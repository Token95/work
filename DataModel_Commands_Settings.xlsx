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https://smartconsolutionsllc-my.sharepoint.com/personal/dbrown_smartconsolutions_com/Documents/Desktop/iot_commissioning_engine/"/>
    </mc:Choice>
  </mc:AlternateContent>
  <xr:revisionPtr revIDLastSave="20" documentId="8_{472D853B-07E1-49CD-9194-42980E158194}" xr6:coauthVersionLast="47" xr6:coauthVersionMax="47" xr10:uidLastSave="{FC0922E7-23DC-482A-AF59-2999A06218B5}"/>
  <bookViews>
    <workbookView xWindow="-19310" yWindow="-110" windowWidth="19420" windowHeight="10300" activeTab="1" xr2:uid="{10812297-40DC-5445-9B9A-9F62F2E94455}"/>
  </bookViews>
  <sheets>
    <sheet name="data model" sheetId="1" r:id="rId1"/>
    <sheet name="data model raw" sheetId="2" r:id="rId2"/>
    <sheet name="Various Commands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2" l="1"/>
  <c r="AA1003" i="2"/>
  <c r="Z1003" i="2"/>
  <c r="X1003" i="2"/>
  <c r="W1003" i="2"/>
  <c r="V1003" i="2"/>
  <c r="U1003" i="2"/>
  <c r="T1003" i="2"/>
  <c r="S1003" i="2"/>
  <c r="R1003" i="2"/>
  <c r="Q1003" i="2"/>
  <c r="P1003" i="2"/>
  <c r="O1003" i="2"/>
  <c r="N1003" i="2"/>
  <c r="M1003" i="2"/>
  <c r="L1003" i="2"/>
  <c r="K1003" i="2"/>
  <c r="J1003" i="2"/>
  <c r="I1003" i="2"/>
  <c r="H1003" i="2"/>
  <c r="G1003" i="2"/>
  <c r="F1003" i="2"/>
  <c r="E1003" i="2"/>
  <c r="D1003" i="2"/>
  <c r="C1003" i="2"/>
  <c r="AA1002" i="2"/>
  <c r="Z1002" i="2"/>
  <c r="X1002" i="2"/>
  <c r="W1002" i="2"/>
  <c r="V1002" i="2"/>
  <c r="U1002" i="2"/>
  <c r="T1002" i="2"/>
  <c r="S1002" i="2"/>
  <c r="R1002" i="2"/>
  <c r="Q1002" i="2"/>
  <c r="P1002" i="2"/>
  <c r="O1002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AA1001" i="2"/>
  <c r="Z1001" i="2"/>
  <c r="X1001" i="2"/>
  <c r="W1001" i="2"/>
  <c r="V1001" i="2"/>
  <c r="U1001" i="2"/>
  <c r="T1001" i="2"/>
  <c r="S1001" i="2"/>
  <c r="R1001" i="2"/>
  <c r="Q1001" i="2"/>
  <c r="P1001" i="2"/>
  <c r="O1001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AA1000" i="2"/>
  <c r="Z1000" i="2"/>
  <c r="X1000" i="2"/>
  <c r="W1000" i="2"/>
  <c r="V1000" i="2"/>
  <c r="U1000" i="2"/>
  <c r="T1000" i="2"/>
  <c r="S1000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AA999" i="2"/>
  <c r="Z999" i="2"/>
  <c r="X999" i="2"/>
  <c r="W999" i="2"/>
  <c r="V999" i="2"/>
  <c r="U999" i="2"/>
  <c r="T999" i="2"/>
  <c r="S999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AA998" i="2"/>
  <c r="Z998" i="2"/>
  <c r="X998" i="2"/>
  <c r="W998" i="2"/>
  <c r="V998" i="2"/>
  <c r="U998" i="2"/>
  <c r="T998" i="2"/>
  <c r="S998" i="2"/>
  <c r="R998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AA997" i="2"/>
  <c r="Z997" i="2"/>
  <c r="X997" i="2"/>
  <c r="W997" i="2"/>
  <c r="V997" i="2"/>
  <c r="U997" i="2"/>
  <c r="T997" i="2"/>
  <c r="S997" i="2"/>
  <c r="R997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AA996" i="2"/>
  <c r="Z996" i="2"/>
  <c r="X996" i="2"/>
  <c r="W996" i="2"/>
  <c r="V996" i="2"/>
  <c r="U996" i="2"/>
  <c r="T996" i="2"/>
  <c r="S996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AA995" i="2"/>
  <c r="Z995" i="2"/>
  <c r="X995" i="2"/>
  <c r="W995" i="2"/>
  <c r="V995" i="2"/>
  <c r="U995" i="2"/>
  <c r="T995" i="2"/>
  <c r="S995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AA994" i="2"/>
  <c r="Z994" i="2"/>
  <c r="X994" i="2"/>
  <c r="W994" i="2"/>
  <c r="V994" i="2"/>
  <c r="U994" i="2"/>
  <c r="T994" i="2"/>
  <c r="S994" i="2"/>
  <c r="R994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AA993" i="2"/>
  <c r="Z993" i="2"/>
  <c r="X993" i="2"/>
  <c r="W993" i="2"/>
  <c r="V993" i="2"/>
  <c r="U993" i="2"/>
  <c r="T993" i="2"/>
  <c r="S993" i="2"/>
  <c r="R993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AA992" i="2"/>
  <c r="Z992" i="2"/>
  <c r="X992" i="2"/>
  <c r="W992" i="2"/>
  <c r="V992" i="2"/>
  <c r="U992" i="2"/>
  <c r="T992" i="2"/>
  <c r="S992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AA991" i="2"/>
  <c r="Z991" i="2"/>
  <c r="X991" i="2"/>
  <c r="W991" i="2"/>
  <c r="V991" i="2"/>
  <c r="U991" i="2"/>
  <c r="T991" i="2"/>
  <c r="S991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AA990" i="2"/>
  <c r="Z990" i="2"/>
  <c r="X990" i="2"/>
  <c r="W990" i="2"/>
  <c r="V990" i="2"/>
  <c r="U990" i="2"/>
  <c r="T990" i="2"/>
  <c r="S990" i="2"/>
  <c r="R990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AA989" i="2"/>
  <c r="Z989" i="2"/>
  <c r="X989" i="2"/>
  <c r="W989" i="2"/>
  <c r="V989" i="2"/>
  <c r="U989" i="2"/>
  <c r="T989" i="2"/>
  <c r="S989" i="2"/>
  <c r="R989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AA988" i="2"/>
  <c r="Z988" i="2"/>
  <c r="X988" i="2"/>
  <c r="W988" i="2"/>
  <c r="V988" i="2"/>
  <c r="U988" i="2"/>
  <c r="T988" i="2"/>
  <c r="S988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AA987" i="2"/>
  <c r="Z987" i="2"/>
  <c r="X987" i="2"/>
  <c r="W987" i="2"/>
  <c r="V987" i="2"/>
  <c r="U987" i="2"/>
  <c r="T987" i="2"/>
  <c r="S987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AA986" i="2"/>
  <c r="Z986" i="2"/>
  <c r="X986" i="2"/>
  <c r="W986" i="2"/>
  <c r="V986" i="2"/>
  <c r="U986" i="2"/>
  <c r="T986" i="2"/>
  <c r="S986" i="2"/>
  <c r="R986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AA985" i="2"/>
  <c r="Z985" i="2"/>
  <c r="X985" i="2"/>
  <c r="W985" i="2"/>
  <c r="V985" i="2"/>
  <c r="U985" i="2"/>
  <c r="T985" i="2"/>
  <c r="S985" i="2"/>
  <c r="R985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AA984" i="2"/>
  <c r="Z984" i="2"/>
  <c r="X984" i="2"/>
  <c r="W984" i="2"/>
  <c r="V984" i="2"/>
  <c r="U984" i="2"/>
  <c r="T984" i="2"/>
  <c r="S984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AA983" i="2"/>
  <c r="Z983" i="2"/>
  <c r="X983" i="2"/>
  <c r="W983" i="2"/>
  <c r="V983" i="2"/>
  <c r="U983" i="2"/>
  <c r="T983" i="2"/>
  <c r="S983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AA982" i="2"/>
  <c r="Z982" i="2"/>
  <c r="X982" i="2"/>
  <c r="W982" i="2"/>
  <c r="V982" i="2"/>
  <c r="U982" i="2"/>
  <c r="T982" i="2"/>
  <c r="S982" i="2"/>
  <c r="R982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AA981" i="2"/>
  <c r="Z981" i="2"/>
  <c r="X981" i="2"/>
  <c r="W981" i="2"/>
  <c r="V981" i="2"/>
  <c r="U981" i="2"/>
  <c r="T981" i="2"/>
  <c r="S981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AA980" i="2"/>
  <c r="Z980" i="2"/>
  <c r="X980" i="2"/>
  <c r="W980" i="2"/>
  <c r="V980" i="2"/>
  <c r="U980" i="2"/>
  <c r="T980" i="2"/>
  <c r="S980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AA979" i="2"/>
  <c r="Z979" i="2"/>
  <c r="X979" i="2"/>
  <c r="W979" i="2"/>
  <c r="V979" i="2"/>
  <c r="U979" i="2"/>
  <c r="T979" i="2"/>
  <c r="S979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AA978" i="2"/>
  <c r="Z978" i="2"/>
  <c r="X978" i="2"/>
  <c r="W978" i="2"/>
  <c r="V978" i="2"/>
  <c r="U978" i="2"/>
  <c r="T978" i="2"/>
  <c r="S978" i="2"/>
  <c r="R978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AA977" i="2"/>
  <c r="Z977" i="2"/>
  <c r="X977" i="2"/>
  <c r="W977" i="2"/>
  <c r="V977" i="2"/>
  <c r="U977" i="2"/>
  <c r="T977" i="2"/>
  <c r="S977" i="2"/>
  <c r="R977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AA976" i="2"/>
  <c r="Z976" i="2"/>
  <c r="X976" i="2"/>
  <c r="W976" i="2"/>
  <c r="V976" i="2"/>
  <c r="U976" i="2"/>
  <c r="T976" i="2"/>
  <c r="S976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AA975" i="2"/>
  <c r="Z975" i="2"/>
  <c r="X975" i="2"/>
  <c r="W975" i="2"/>
  <c r="V975" i="2"/>
  <c r="U975" i="2"/>
  <c r="T975" i="2"/>
  <c r="S975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AA974" i="2"/>
  <c r="Z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AA973" i="2"/>
  <c r="Z973" i="2"/>
  <c r="X973" i="2"/>
  <c r="W973" i="2"/>
  <c r="V973" i="2"/>
  <c r="U973" i="2"/>
  <c r="T973" i="2"/>
  <c r="S973" i="2"/>
  <c r="R973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AA972" i="2"/>
  <c r="Z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AA971" i="2"/>
  <c r="Z971" i="2"/>
  <c r="X971" i="2"/>
  <c r="W971" i="2"/>
  <c r="V971" i="2"/>
  <c r="U971" i="2"/>
  <c r="T971" i="2"/>
  <c r="S971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AA970" i="2"/>
  <c r="Z970" i="2"/>
  <c r="X970" i="2"/>
  <c r="W970" i="2"/>
  <c r="V970" i="2"/>
  <c r="U970" i="2"/>
  <c r="T970" i="2"/>
  <c r="S970" i="2"/>
  <c r="R970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AA969" i="2"/>
  <c r="Z969" i="2"/>
  <c r="X969" i="2"/>
  <c r="W969" i="2"/>
  <c r="V969" i="2"/>
  <c r="U969" i="2"/>
  <c r="T969" i="2"/>
  <c r="S969" i="2"/>
  <c r="R969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AA968" i="2"/>
  <c r="Z968" i="2"/>
  <c r="X968" i="2"/>
  <c r="W968" i="2"/>
  <c r="V968" i="2"/>
  <c r="U968" i="2"/>
  <c r="T968" i="2"/>
  <c r="S968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AA967" i="2"/>
  <c r="Z967" i="2"/>
  <c r="X967" i="2"/>
  <c r="W967" i="2"/>
  <c r="V967" i="2"/>
  <c r="U967" i="2"/>
  <c r="T967" i="2"/>
  <c r="S967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AA966" i="2"/>
  <c r="Z966" i="2"/>
  <c r="X966" i="2"/>
  <c r="W966" i="2"/>
  <c r="V966" i="2"/>
  <c r="U966" i="2"/>
  <c r="T966" i="2"/>
  <c r="S966" i="2"/>
  <c r="R966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AA965" i="2"/>
  <c r="Z965" i="2"/>
  <c r="X965" i="2"/>
  <c r="W965" i="2"/>
  <c r="V965" i="2"/>
  <c r="U965" i="2"/>
  <c r="T965" i="2"/>
  <c r="S965" i="2"/>
  <c r="R965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AA964" i="2"/>
  <c r="Z964" i="2"/>
  <c r="X964" i="2"/>
  <c r="W964" i="2"/>
  <c r="V964" i="2"/>
  <c r="U964" i="2"/>
  <c r="T964" i="2"/>
  <c r="S964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AA963" i="2"/>
  <c r="Z963" i="2"/>
  <c r="X963" i="2"/>
  <c r="W963" i="2"/>
  <c r="V963" i="2"/>
  <c r="U963" i="2"/>
  <c r="T963" i="2"/>
  <c r="S963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AA962" i="2"/>
  <c r="Z962" i="2"/>
  <c r="X962" i="2"/>
  <c r="W962" i="2"/>
  <c r="V962" i="2"/>
  <c r="U962" i="2"/>
  <c r="T962" i="2"/>
  <c r="S962" i="2"/>
  <c r="R962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AA961" i="2"/>
  <c r="Z961" i="2"/>
  <c r="X961" i="2"/>
  <c r="W961" i="2"/>
  <c r="V961" i="2"/>
  <c r="U961" i="2"/>
  <c r="T961" i="2"/>
  <c r="S961" i="2"/>
  <c r="R961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AA960" i="2"/>
  <c r="Z960" i="2"/>
  <c r="X960" i="2"/>
  <c r="W960" i="2"/>
  <c r="V960" i="2"/>
  <c r="U960" i="2"/>
  <c r="T960" i="2"/>
  <c r="S960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AA959" i="2"/>
  <c r="Z959" i="2"/>
  <c r="X959" i="2"/>
  <c r="W959" i="2"/>
  <c r="V959" i="2"/>
  <c r="U959" i="2"/>
  <c r="T959" i="2"/>
  <c r="S959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AA958" i="2"/>
  <c r="Z958" i="2"/>
  <c r="X958" i="2"/>
  <c r="W958" i="2"/>
  <c r="V958" i="2"/>
  <c r="U958" i="2"/>
  <c r="T958" i="2"/>
  <c r="S958" i="2"/>
  <c r="R958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AA957" i="2"/>
  <c r="Z957" i="2"/>
  <c r="X957" i="2"/>
  <c r="W957" i="2"/>
  <c r="V957" i="2"/>
  <c r="U957" i="2"/>
  <c r="T957" i="2"/>
  <c r="S957" i="2"/>
  <c r="R957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AA956" i="2"/>
  <c r="Z956" i="2"/>
  <c r="X956" i="2"/>
  <c r="W956" i="2"/>
  <c r="V956" i="2"/>
  <c r="U956" i="2"/>
  <c r="T956" i="2"/>
  <c r="S956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AA955" i="2"/>
  <c r="Z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AA954" i="2"/>
  <c r="Z954" i="2"/>
  <c r="X954" i="2"/>
  <c r="W954" i="2"/>
  <c r="V954" i="2"/>
  <c r="U954" i="2"/>
  <c r="T954" i="2"/>
  <c r="S954" i="2"/>
  <c r="R954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AA953" i="2"/>
  <c r="Z953" i="2"/>
  <c r="X953" i="2"/>
  <c r="W953" i="2"/>
  <c r="V953" i="2"/>
  <c r="U953" i="2"/>
  <c r="T953" i="2"/>
  <c r="S953" i="2"/>
  <c r="R953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AA952" i="2"/>
  <c r="Z952" i="2"/>
  <c r="X952" i="2"/>
  <c r="W952" i="2"/>
  <c r="V952" i="2"/>
  <c r="U952" i="2"/>
  <c r="T952" i="2"/>
  <c r="S952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AA951" i="2"/>
  <c r="Z951" i="2"/>
  <c r="X951" i="2"/>
  <c r="W951" i="2"/>
  <c r="V951" i="2"/>
  <c r="U951" i="2"/>
  <c r="T951" i="2"/>
  <c r="S951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AA950" i="2"/>
  <c r="Z950" i="2"/>
  <c r="X950" i="2"/>
  <c r="W950" i="2"/>
  <c r="V950" i="2"/>
  <c r="U950" i="2"/>
  <c r="T950" i="2"/>
  <c r="S950" i="2"/>
  <c r="R950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AA949" i="2"/>
  <c r="Z949" i="2"/>
  <c r="X949" i="2"/>
  <c r="W949" i="2"/>
  <c r="V949" i="2"/>
  <c r="U949" i="2"/>
  <c r="T949" i="2"/>
  <c r="S949" i="2"/>
  <c r="R949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AA948" i="2"/>
  <c r="Z948" i="2"/>
  <c r="X948" i="2"/>
  <c r="W948" i="2"/>
  <c r="V948" i="2"/>
  <c r="U948" i="2"/>
  <c r="T948" i="2"/>
  <c r="S948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AA947" i="2"/>
  <c r="Z947" i="2"/>
  <c r="X947" i="2"/>
  <c r="W947" i="2"/>
  <c r="V947" i="2"/>
  <c r="U947" i="2"/>
  <c r="T947" i="2"/>
  <c r="S947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AA946" i="2"/>
  <c r="Z946" i="2"/>
  <c r="X946" i="2"/>
  <c r="W946" i="2"/>
  <c r="V946" i="2"/>
  <c r="U946" i="2"/>
  <c r="T946" i="2"/>
  <c r="S946" i="2"/>
  <c r="R946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AA945" i="2"/>
  <c r="Z945" i="2"/>
  <c r="X945" i="2"/>
  <c r="W945" i="2"/>
  <c r="V945" i="2"/>
  <c r="U945" i="2"/>
  <c r="T945" i="2"/>
  <c r="S945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AA944" i="2"/>
  <c r="Z944" i="2"/>
  <c r="X944" i="2"/>
  <c r="W944" i="2"/>
  <c r="V944" i="2"/>
  <c r="U944" i="2"/>
  <c r="T944" i="2"/>
  <c r="S944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AA943" i="2"/>
  <c r="Z943" i="2"/>
  <c r="X943" i="2"/>
  <c r="W943" i="2"/>
  <c r="V943" i="2"/>
  <c r="U943" i="2"/>
  <c r="T943" i="2"/>
  <c r="S943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AA942" i="2"/>
  <c r="Z942" i="2"/>
  <c r="X942" i="2"/>
  <c r="W942" i="2"/>
  <c r="V942" i="2"/>
  <c r="U942" i="2"/>
  <c r="T942" i="2"/>
  <c r="S942" i="2"/>
  <c r="R942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AA941" i="2"/>
  <c r="Z941" i="2"/>
  <c r="X941" i="2"/>
  <c r="W941" i="2"/>
  <c r="V941" i="2"/>
  <c r="U941" i="2"/>
  <c r="T941" i="2"/>
  <c r="S941" i="2"/>
  <c r="R941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AA940" i="2"/>
  <c r="Z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AA939" i="2"/>
  <c r="Z939" i="2"/>
  <c r="X939" i="2"/>
  <c r="W939" i="2"/>
  <c r="V939" i="2"/>
  <c r="U939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AA938" i="2"/>
  <c r="Z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AA937" i="2"/>
  <c r="Z937" i="2"/>
  <c r="X937" i="2"/>
  <c r="W937" i="2"/>
  <c r="V937" i="2"/>
  <c r="U937" i="2"/>
  <c r="T937" i="2"/>
  <c r="S937" i="2"/>
  <c r="R937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AA936" i="2"/>
  <c r="Z936" i="2"/>
  <c r="X936" i="2"/>
  <c r="W936" i="2"/>
  <c r="V936" i="2"/>
  <c r="U936" i="2"/>
  <c r="T936" i="2"/>
  <c r="S936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AA935" i="2"/>
  <c r="Z935" i="2"/>
  <c r="X935" i="2"/>
  <c r="W935" i="2"/>
  <c r="V935" i="2"/>
  <c r="U935" i="2"/>
  <c r="T935" i="2"/>
  <c r="S935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AA934" i="2"/>
  <c r="Z934" i="2"/>
  <c r="X934" i="2"/>
  <c r="W934" i="2"/>
  <c r="V934" i="2"/>
  <c r="U934" i="2"/>
  <c r="T934" i="2"/>
  <c r="S934" i="2"/>
  <c r="R934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AA933" i="2"/>
  <c r="Z933" i="2"/>
  <c r="X933" i="2"/>
  <c r="W933" i="2"/>
  <c r="V933" i="2"/>
  <c r="U933" i="2"/>
  <c r="T933" i="2"/>
  <c r="S933" i="2"/>
  <c r="R933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AA932" i="2"/>
  <c r="Z932" i="2"/>
  <c r="X932" i="2"/>
  <c r="W932" i="2"/>
  <c r="V932" i="2"/>
  <c r="U932" i="2"/>
  <c r="T932" i="2"/>
  <c r="S932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AA931" i="2"/>
  <c r="Z931" i="2"/>
  <c r="X931" i="2"/>
  <c r="W931" i="2"/>
  <c r="V931" i="2"/>
  <c r="U931" i="2"/>
  <c r="T931" i="2"/>
  <c r="S931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AA930" i="2"/>
  <c r="Z930" i="2"/>
  <c r="X930" i="2"/>
  <c r="W930" i="2"/>
  <c r="V930" i="2"/>
  <c r="U930" i="2"/>
  <c r="T930" i="2"/>
  <c r="S930" i="2"/>
  <c r="R930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AA929" i="2"/>
  <c r="Z929" i="2"/>
  <c r="X929" i="2"/>
  <c r="W929" i="2"/>
  <c r="V929" i="2"/>
  <c r="U929" i="2"/>
  <c r="T929" i="2"/>
  <c r="S929" i="2"/>
  <c r="R929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AA928" i="2"/>
  <c r="Z928" i="2"/>
  <c r="X928" i="2"/>
  <c r="W928" i="2"/>
  <c r="V928" i="2"/>
  <c r="U928" i="2"/>
  <c r="T928" i="2"/>
  <c r="S928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AA927" i="2"/>
  <c r="Z927" i="2"/>
  <c r="X927" i="2"/>
  <c r="W927" i="2"/>
  <c r="V927" i="2"/>
  <c r="U927" i="2"/>
  <c r="T927" i="2"/>
  <c r="S927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AA926" i="2"/>
  <c r="Z926" i="2"/>
  <c r="X926" i="2"/>
  <c r="W926" i="2"/>
  <c r="V926" i="2"/>
  <c r="U926" i="2"/>
  <c r="T926" i="2"/>
  <c r="S926" i="2"/>
  <c r="R926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AA925" i="2"/>
  <c r="Z925" i="2"/>
  <c r="X925" i="2"/>
  <c r="W925" i="2"/>
  <c r="V925" i="2"/>
  <c r="U925" i="2"/>
  <c r="T925" i="2"/>
  <c r="S925" i="2"/>
  <c r="R925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AA924" i="2"/>
  <c r="Z924" i="2"/>
  <c r="X924" i="2"/>
  <c r="W924" i="2"/>
  <c r="V924" i="2"/>
  <c r="U924" i="2"/>
  <c r="T924" i="2"/>
  <c r="S924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AA923" i="2"/>
  <c r="Z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AA922" i="2"/>
  <c r="Z922" i="2"/>
  <c r="X922" i="2"/>
  <c r="W922" i="2"/>
  <c r="V922" i="2"/>
  <c r="U922" i="2"/>
  <c r="T922" i="2"/>
  <c r="S922" i="2"/>
  <c r="R922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AA921" i="2"/>
  <c r="Z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AA920" i="2"/>
  <c r="Z920" i="2"/>
  <c r="X920" i="2"/>
  <c r="W920" i="2"/>
  <c r="V920" i="2"/>
  <c r="U920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AA919" i="2"/>
  <c r="Z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AA918" i="2"/>
  <c r="Z918" i="2"/>
  <c r="X918" i="2"/>
  <c r="W918" i="2"/>
  <c r="V918" i="2"/>
  <c r="U918" i="2"/>
  <c r="T918" i="2"/>
  <c r="S918" i="2"/>
  <c r="R918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AA917" i="2"/>
  <c r="Z917" i="2"/>
  <c r="X917" i="2"/>
  <c r="W917" i="2"/>
  <c r="V917" i="2"/>
  <c r="U917" i="2"/>
  <c r="T917" i="2"/>
  <c r="S917" i="2"/>
  <c r="R917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AA916" i="2"/>
  <c r="Z916" i="2"/>
  <c r="X916" i="2"/>
  <c r="W916" i="2"/>
  <c r="V916" i="2"/>
  <c r="U916" i="2"/>
  <c r="T916" i="2"/>
  <c r="S916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AA915" i="2"/>
  <c r="Z915" i="2"/>
  <c r="X915" i="2"/>
  <c r="W915" i="2"/>
  <c r="V915" i="2"/>
  <c r="U915" i="2"/>
  <c r="T915" i="2"/>
  <c r="S915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AA914" i="2"/>
  <c r="Z914" i="2"/>
  <c r="X914" i="2"/>
  <c r="W914" i="2"/>
  <c r="V914" i="2"/>
  <c r="U914" i="2"/>
  <c r="T914" i="2"/>
  <c r="S914" i="2"/>
  <c r="R914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AA913" i="2"/>
  <c r="Z913" i="2"/>
  <c r="X913" i="2"/>
  <c r="W913" i="2"/>
  <c r="V913" i="2"/>
  <c r="U913" i="2"/>
  <c r="T913" i="2"/>
  <c r="S913" i="2"/>
  <c r="R913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AA912" i="2"/>
  <c r="Z912" i="2"/>
  <c r="X912" i="2"/>
  <c r="W912" i="2"/>
  <c r="V912" i="2"/>
  <c r="U912" i="2"/>
  <c r="T912" i="2"/>
  <c r="S912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AA911" i="2"/>
  <c r="Z911" i="2"/>
  <c r="X911" i="2"/>
  <c r="W911" i="2"/>
  <c r="V911" i="2"/>
  <c r="U911" i="2"/>
  <c r="T911" i="2"/>
  <c r="S911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AA910" i="2"/>
  <c r="Z910" i="2"/>
  <c r="X910" i="2"/>
  <c r="W910" i="2"/>
  <c r="V910" i="2"/>
  <c r="U910" i="2"/>
  <c r="T910" i="2"/>
  <c r="S910" i="2"/>
  <c r="R910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AA909" i="2"/>
  <c r="Z909" i="2"/>
  <c r="X909" i="2"/>
  <c r="W909" i="2"/>
  <c r="V909" i="2"/>
  <c r="U909" i="2"/>
  <c r="T909" i="2"/>
  <c r="S909" i="2"/>
  <c r="R909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AA908" i="2"/>
  <c r="Z908" i="2"/>
  <c r="X908" i="2"/>
  <c r="W908" i="2"/>
  <c r="V908" i="2"/>
  <c r="U908" i="2"/>
  <c r="T908" i="2"/>
  <c r="S908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AA907" i="2"/>
  <c r="Z907" i="2"/>
  <c r="X907" i="2"/>
  <c r="W907" i="2"/>
  <c r="V907" i="2"/>
  <c r="U907" i="2"/>
  <c r="T907" i="2"/>
  <c r="S907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AA906" i="2"/>
  <c r="Z906" i="2"/>
  <c r="X906" i="2"/>
  <c r="W906" i="2"/>
  <c r="V906" i="2"/>
  <c r="U906" i="2"/>
  <c r="T906" i="2"/>
  <c r="S906" i="2"/>
  <c r="R906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AA905" i="2"/>
  <c r="Z905" i="2"/>
  <c r="X905" i="2"/>
  <c r="W905" i="2"/>
  <c r="V905" i="2"/>
  <c r="U905" i="2"/>
  <c r="T905" i="2"/>
  <c r="S905" i="2"/>
  <c r="R905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AA904" i="2"/>
  <c r="Z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AA903" i="2"/>
  <c r="Z903" i="2"/>
  <c r="X903" i="2"/>
  <c r="W903" i="2"/>
  <c r="V903" i="2"/>
  <c r="U903" i="2"/>
  <c r="T903" i="2"/>
  <c r="S903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AA902" i="2"/>
  <c r="Z902" i="2"/>
  <c r="X902" i="2"/>
  <c r="W902" i="2"/>
  <c r="V902" i="2"/>
  <c r="U902" i="2"/>
  <c r="T902" i="2"/>
  <c r="S902" i="2"/>
  <c r="R902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AA901" i="2"/>
  <c r="Z901" i="2"/>
  <c r="X901" i="2"/>
  <c r="W901" i="2"/>
  <c r="V901" i="2"/>
  <c r="U901" i="2"/>
  <c r="T901" i="2"/>
  <c r="S901" i="2"/>
  <c r="R901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AA900" i="2"/>
  <c r="Z900" i="2"/>
  <c r="X900" i="2"/>
  <c r="W900" i="2"/>
  <c r="V900" i="2"/>
  <c r="U900" i="2"/>
  <c r="T900" i="2"/>
  <c r="S900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AA899" i="2"/>
  <c r="Z899" i="2"/>
  <c r="X899" i="2"/>
  <c r="W899" i="2"/>
  <c r="V899" i="2"/>
  <c r="U899" i="2"/>
  <c r="T899" i="2"/>
  <c r="S899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AA898" i="2"/>
  <c r="Z898" i="2"/>
  <c r="X898" i="2"/>
  <c r="W898" i="2"/>
  <c r="V898" i="2"/>
  <c r="U898" i="2"/>
  <c r="T898" i="2"/>
  <c r="S898" i="2"/>
  <c r="R898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AA897" i="2"/>
  <c r="Z897" i="2"/>
  <c r="X897" i="2"/>
  <c r="W897" i="2"/>
  <c r="V897" i="2"/>
  <c r="U897" i="2"/>
  <c r="T897" i="2"/>
  <c r="S897" i="2"/>
  <c r="R897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AA896" i="2"/>
  <c r="Z896" i="2"/>
  <c r="X896" i="2"/>
  <c r="W896" i="2"/>
  <c r="V896" i="2"/>
  <c r="U896" i="2"/>
  <c r="T896" i="2"/>
  <c r="S896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AA895" i="2"/>
  <c r="Z895" i="2"/>
  <c r="X895" i="2"/>
  <c r="W895" i="2"/>
  <c r="V895" i="2"/>
  <c r="U895" i="2"/>
  <c r="T895" i="2"/>
  <c r="S895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AA894" i="2"/>
  <c r="Z894" i="2"/>
  <c r="X894" i="2"/>
  <c r="W894" i="2"/>
  <c r="V894" i="2"/>
  <c r="U894" i="2"/>
  <c r="T894" i="2"/>
  <c r="S894" i="2"/>
  <c r="R894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AA893" i="2"/>
  <c r="Z893" i="2"/>
  <c r="X893" i="2"/>
  <c r="W893" i="2"/>
  <c r="V893" i="2"/>
  <c r="U893" i="2"/>
  <c r="T893" i="2"/>
  <c r="S893" i="2"/>
  <c r="R893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AA892" i="2"/>
  <c r="Z892" i="2"/>
  <c r="X892" i="2"/>
  <c r="W892" i="2"/>
  <c r="V892" i="2"/>
  <c r="U892" i="2"/>
  <c r="T892" i="2"/>
  <c r="S892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AA891" i="2"/>
  <c r="Z891" i="2"/>
  <c r="X891" i="2"/>
  <c r="W891" i="2"/>
  <c r="V891" i="2"/>
  <c r="U891" i="2"/>
  <c r="T891" i="2"/>
  <c r="S891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AA890" i="2"/>
  <c r="Z890" i="2"/>
  <c r="X890" i="2"/>
  <c r="W890" i="2"/>
  <c r="V890" i="2"/>
  <c r="U890" i="2"/>
  <c r="T890" i="2"/>
  <c r="S890" i="2"/>
  <c r="R890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AA889" i="2"/>
  <c r="Z889" i="2"/>
  <c r="X889" i="2"/>
  <c r="W889" i="2"/>
  <c r="V889" i="2"/>
  <c r="U889" i="2"/>
  <c r="T889" i="2"/>
  <c r="S889" i="2"/>
  <c r="R889" i="2"/>
  <c r="Q889" i="2"/>
  <c r="P889" i="2"/>
  <c r="O889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AA888" i="2"/>
  <c r="Z888" i="2"/>
  <c r="X888" i="2"/>
  <c r="W888" i="2"/>
  <c r="V888" i="2"/>
  <c r="U888" i="2"/>
  <c r="T888" i="2"/>
  <c r="S888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AA887" i="2"/>
  <c r="Z887" i="2"/>
  <c r="X887" i="2"/>
  <c r="W887" i="2"/>
  <c r="V887" i="2"/>
  <c r="U887" i="2"/>
  <c r="T887" i="2"/>
  <c r="S887" i="2"/>
  <c r="R887" i="2"/>
  <c r="Q887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AA886" i="2"/>
  <c r="Z886" i="2"/>
  <c r="X886" i="2"/>
  <c r="W886" i="2"/>
  <c r="V886" i="2"/>
  <c r="U886" i="2"/>
  <c r="T886" i="2"/>
  <c r="S886" i="2"/>
  <c r="R886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AA885" i="2"/>
  <c r="Z885" i="2"/>
  <c r="X885" i="2"/>
  <c r="W885" i="2"/>
  <c r="V885" i="2"/>
  <c r="U885" i="2"/>
  <c r="T885" i="2"/>
  <c r="S885" i="2"/>
  <c r="R885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AA884" i="2"/>
  <c r="Z884" i="2"/>
  <c r="X884" i="2"/>
  <c r="W884" i="2"/>
  <c r="V884" i="2"/>
  <c r="U884" i="2"/>
  <c r="T884" i="2"/>
  <c r="S884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AA883" i="2"/>
  <c r="Z883" i="2"/>
  <c r="X883" i="2"/>
  <c r="W883" i="2"/>
  <c r="V883" i="2"/>
  <c r="U883" i="2"/>
  <c r="T883" i="2"/>
  <c r="S883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AA882" i="2"/>
  <c r="Z882" i="2"/>
  <c r="X882" i="2"/>
  <c r="W882" i="2"/>
  <c r="V882" i="2"/>
  <c r="U882" i="2"/>
  <c r="T882" i="2"/>
  <c r="S882" i="2"/>
  <c r="R882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AA881" i="2"/>
  <c r="Z881" i="2"/>
  <c r="X881" i="2"/>
  <c r="W881" i="2"/>
  <c r="V881" i="2"/>
  <c r="U881" i="2"/>
  <c r="T881" i="2"/>
  <c r="S881" i="2"/>
  <c r="R881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AA880" i="2"/>
  <c r="Z880" i="2"/>
  <c r="X880" i="2"/>
  <c r="W880" i="2"/>
  <c r="V880" i="2"/>
  <c r="U880" i="2"/>
  <c r="T880" i="2"/>
  <c r="S880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AA879" i="2"/>
  <c r="Z879" i="2"/>
  <c r="X879" i="2"/>
  <c r="W879" i="2"/>
  <c r="V879" i="2"/>
  <c r="U879" i="2"/>
  <c r="T879" i="2"/>
  <c r="S879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AA878" i="2"/>
  <c r="Z878" i="2"/>
  <c r="X878" i="2"/>
  <c r="W878" i="2"/>
  <c r="V878" i="2"/>
  <c r="U878" i="2"/>
  <c r="T878" i="2"/>
  <c r="S878" i="2"/>
  <c r="R878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AA877" i="2"/>
  <c r="Z877" i="2"/>
  <c r="X877" i="2"/>
  <c r="W877" i="2"/>
  <c r="V877" i="2"/>
  <c r="U877" i="2"/>
  <c r="T877" i="2"/>
  <c r="S877" i="2"/>
  <c r="R877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AA876" i="2"/>
  <c r="Z876" i="2"/>
  <c r="X876" i="2"/>
  <c r="W876" i="2"/>
  <c r="V876" i="2"/>
  <c r="U876" i="2"/>
  <c r="T876" i="2"/>
  <c r="S876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AA875" i="2"/>
  <c r="Z875" i="2"/>
  <c r="X875" i="2"/>
  <c r="W875" i="2"/>
  <c r="V875" i="2"/>
  <c r="U875" i="2"/>
  <c r="T875" i="2"/>
  <c r="S875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AA874" i="2"/>
  <c r="Z874" i="2"/>
  <c r="X874" i="2"/>
  <c r="W874" i="2"/>
  <c r="V874" i="2"/>
  <c r="U874" i="2"/>
  <c r="T874" i="2"/>
  <c r="S874" i="2"/>
  <c r="R874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AA873" i="2"/>
  <c r="Z873" i="2"/>
  <c r="X873" i="2"/>
  <c r="W873" i="2"/>
  <c r="V873" i="2"/>
  <c r="U873" i="2"/>
  <c r="T873" i="2"/>
  <c r="S873" i="2"/>
  <c r="R873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AA872" i="2"/>
  <c r="Z872" i="2"/>
  <c r="X872" i="2"/>
  <c r="W872" i="2"/>
  <c r="V872" i="2"/>
  <c r="U872" i="2"/>
  <c r="T872" i="2"/>
  <c r="S872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AA871" i="2"/>
  <c r="Z871" i="2"/>
  <c r="X871" i="2"/>
  <c r="W871" i="2"/>
  <c r="V871" i="2"/>
  <c r="U871" i="2"/>
  <c r="T871" i="2"/>
  <c r="S871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AA870" i="2"/>
  <c r="Z870" i="2"/>
  <c r="X870" i="2"/>
  <c r="W870" i="2"/>
  <c r="V870" i="2"/>
  <c r="U870" i="2"/>
  <c r="T870" i="2"/>
  <c r="S870" i="2"/>
  <c r="R870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AA869" i="2"/>
  <c r="Z869" i="2"/>
  <c r="X869" i="2"/>
  <c r="W869" i="2"/>
  <c r="V869" i="2"/>
  <c r="U869" i="2"/>
  <c r="T869" i="2"/>
  <c r="S869" i="2"/>
  <c r="R869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AA868" i="2"/>
  <c r="Z868" i="2"/>
  <c r="X868" i="2"/>
  <c r="W868" i="2"/>
  <c r="V868" i="2"/>
  <c r="U868" i="2"/>
  <c r="T868" i="2"/>
  <c r="S868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AA867" i="2"/>
  <c r="Z867" i="2"/>
  <c r="X867" i="2"/>
  <c r="W867" i="2"/>
  <c r="V867" i="2"/>
  <c r="U867" i="2"/>
  <c r="T867" i="2"/>
  <c r="S867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AA866" i="2"/>
  <c r="Z866" i="2"/>
  <c r="X866" i="2"/>
  <c r="W866" i="2"/>
  <c r="V866" i="2"/>
  <c r="U866" i="2"/>
  <c r="T866" i="2"/>
  <c r="S866" i="2"/>
  <c r="R866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AA865" i="2"/>
  <c r="Z865" i="2"/>
  <c r="X865" i="2"/>
  <c r="W865" i="2"/>
  <c r="V865" i="2"/>
  <c r="U865" i="2"/>
  <c r="T865" i="2"/>
  <c r="S865" i="2"/>
  <c r="R865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AA864" i="2"/>
  <c r="Z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AA863" i="2"/>
  <c r="Z863" i="2"/>
  <c r="X863" i="2"/>
  <c r="W863" i="2"/>
  <c r="V863" i="2"/>
  <c r="U863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AA862" i="2"/>
  <c r="Z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AA861" i="2"/>
  <c r="Z861" i="2"/>
  <c r="X861" i="2"/>
  <c r="W861" i="2"/>
  <c r="V861" i="2"/>
  <c r="U861" i="2"/>
  <c r="T861" i="2"/>
  <c r="S861" i="2"/>
  <c r="R861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AA860" i="2"/>
  <c r="Z860" i="2"/>
  <c r="X860" i="2"/>
  <c r="W860" i="2"/>
  <c r="V860" i="2"/>
  <c r="U860" i="2"/>
  <c r="T860" i="2"/>
  <c r="S860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AA859" i="2"/>
  <c r="Z859" i="2"/>
  <c r="X859" i="2"/>
  <c r="W859" i="2"/>
  <c r="V859" i="2"/>
  <c r="U859" i="2"/>
  <c r="T859" i="2"/>
  <c r="S859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AA858" i="2"/>
  <c r="Z858" i="2"/>
  <c r="X858" i="2"/>
  <c r="W858" i="2"/>
  <c r="V858" i="2"/>
  <c r="U858" i="2"/>
  <c r="T858" i="2"/>
  <c r="S858" i="2"/>
  <c r="R858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AA857" i="2"/>
  <c r="Z857" i="2"/>
  <c r="X857" i="2"/>
  <c r="W857" i="2"/>
  <c r="V857" i="2"/>
  <c r="U857" i="2"/>
  <c r="T857" i="2"/>
  <c r="S857" i="2"/>
  <c r="R857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AA856" i="2"/>
  <c r="Z856" i="2"/>
  <c r="X856" i="2"/>
  <c r="W856" i="2"/>
  <c r="V856" i="2"/>
  <c r="U856" i="2"/>
  <c r="T856" i="2"/>
  <c r="S856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AA855" i="2"/>
  <c r="Z855" i="2"/>
  <c r="X855" i="2"/>
  <c r="W855" i="2"/>
  <c r="V855" i="2"/>
  <c r="U855" i="2"/>
  <c r="T855" i="2"/>
  <c r="S855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AA854" i="2"/>
  <c r="Z854" i="2"/>
  <c r="X854" i="2"/>
  <c r="W854" i="2"/>
  <c r="V854" i="2"/>
  <c r="U854" i="2"/>
  <c r="T854" i="2"/>
  <c r="S854" i="2"/>
  <c r="R854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AA853" i="2"/>
  <c r="Z853" i="2"/>
  <c r="X853" i="2"/>
  <c r="W853" i="2"/>
  <c r="V853" i="2"/>
  <c r="U853" i="2"/>
  <c r="T853" i="2"/>
  <c r="S853" i="2"/>
  <c r="R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AA852" i="2"/>
  <c r="Z852" i="2"/>
  <c r="X852" i="2"/>
  <c r="W852" i="2"/>
  <c r="V852" i="2"/>
  <c r="U852" i="2"/>
  <c r="T852" i="2"/>
  <c r="S852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AA851" i="2"/>
  <c r="Z851" i="2"/>
  <c r="X851" i="2"/>
  <c r="W851" i="2"/>
  <c r="V851" i="2"/>
  <c r="U851" i="2"/>
  <c r="T851" i="2"/>
  <c r="S851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AA850" i="2"/>
  <c r="Z850" i="2"/>
  <c r="X850" i="2"/>
  <c r="W850" i="2"/>
  <c r="V850" i="2"/>
  <c r="U850" i="2"/>
  <c r="T850" i="2"/>
  <c r="S850" i="2"/>
  <c r="R850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AA849" i="2"/>
  <c r="Z849" i="2"/>
  <c r="X849" i="2"/>
  <c r="W849" i="2"/>
  <c r="V849" i="2"/>
  <c r="U849" i="2"/>
  <c r="T849" i="2"/>
  <c r="S849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AA848" i="2"/>
  <c r="Z848" i="2"/>
  <c r="X848" i="2"/>
  <c r="W848" i="2"/>
  <c r="V848" i="2"/>
  <c r="U848" i="2"/>
  <c r="T848" i="2"/>
  <c r="S848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AA847" i="2"/>
  <c r="Z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AA846" i="2"/>
  <c r="Z846" i="2"/>
  <c r="X846" i="2"/>
  <c r="W846" i="2"/>
  <c r="V846" i="2"/>
  <c r="U846" i="2"/>
  <c r="T846" i="2"/>
  <c r="S846" i="2"/>
  <c r="R846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AA845" i="2"/>
  <c r="Z845" i="2"/>
  <c r="X845" i="2"/>
  <c r="W845" i="2"/>
  <c r="V845" i="2"/>
  <c r="U845" i="2"/>
  <c r="T845" i="2"/>
  <c r="S845" i="2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AA844" i="2"/>
  <c r="Z844" i="2"/>
  <c r="X844" i="2"/>
  <c r="W844" i="2"/>
  <c r="V844" i="2"/>
  <c r="U844" i="2"/>
  <c r="T844" i="2"/>
  <c r="S844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AA843" i="2"/>
  <c r="Z843" i="2"/>
  <c r="X843" i="2"/>
  <c r="W843" i="2"/>
  <c r="V843" i="2"/>
  <c r="U843" i="2"/>
  <c r="T843" i="2"/>
  <c r="S843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AA842" i="2"/>
  <c r="Z842" i="2"/>
  <c r="X842" i="2"/>
  <c r="W842" i="2"/>
  <c r="V842" i="2"/>
  <c r="U842" i="2"/>
  <c r="T842" i="2"/>
  <c r="S842" i="2"/>
  <c r="R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AA841" i="2"/>
  <c r="Z841" i="2"/>
  <c r="X841" i="2"/>
  <c r="W841" i="2"/>
  <c r="V841" i="2"/>
  <c r="U841" i="2"/>
  <c r="T841" i="2"/>
  <c r="S841" i="2"/>
  <c r="R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AA840" i="2"/>
  <c r="Z840" i="2"/>
  <c r="X840" i="2"/>
  <c r="W840" i="2"/>
  <c r="V840" i="2"/>
  <c r="U840" i="2"/>
  <c r="T840" i="2"/>
  <c r="S840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AA839" i="2"/>
  <c r="Z839" i="2"/>
  <c r="X839" i="2"/>
  <c r="W839" i="2"/>
  <c r="V839" i="2"/>
  <c r="U839" i="2"/>
  <c r="T839" i="2"/>
  <c r="S839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AA838" i="2"/>
  <c r="Z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AA837" i="2"/>
  <c r="Z837" i="2"/>
  <c r="X837" i="2"/>
  <c r="W837" i="2"/>
  <c r="V837" i="2"/>
  <c r="U837" i="2"/>
  <c r="T837" i="2"/>
  <c r="S837" i="2"/>
  <c r="R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AA836" i="2"/>
  <c r="Z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AA835" i="2"/>
  <c r="Z835" i="2"/>
  <c r="X835" i="2"/>
  <c r="W835" i="2"/>
  <c r="V835" i="2"/>
  <c r="U835" i="2"/>
  <c r="T835" i="2"/>
  <c r="S835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AA834" i="2"/>
  <c r="Z834" i="2"/>
  <c r="X834" i="2"/>
  <c r="W834" i="2"/>
  <c r="V834" i="2"/>
  <c r="U834" i="2"/>
  <c r="T834" i="2"/>
  <c r="S834" i="2"/>
  <c r="R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AA833" i="2"/>
  <c r="Z833" i="2"/>
  <c r="X833" i="2"/>
  <c r="W833" i="2"/>
  <c r="V833" i="2"/>
  <c r="U833" i="2"/>
  <c r="T833" i="2"/>
  <c r="S833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AA832" i="2"/>
  <c r="Z832" i="2"/>
  <c r="X832" i="2"/>
  <c r="W832" i="2"/>
  <c r="V832" i="2"/>
  <c r="U832" i="2"/>
  <c r="T832" i="2"/>
  <c r="S832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AA831" i="2"/>
  <c r="Z831" i="2"/>
  <c r="X831" i="2"/>
  <c r="W831" i="2"/>
  <c r="V831" i="2"/>
  <c r="U831" i="2"/>
  <c r="T831" i="2"/>
  <c r="S831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AA830" i="2"/>
  <c r="Z830" i="2"/>
  <c r="X830" i="2"/>
  <c r="W830" i="2"/>
  <c r="V830" i="2"/>
  <c r="U830" i="2"/>
  <c r="T830" i="2"/>
  <c r="S830" i="2"/>
  <c r="R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AA829" i="2"/>
  <c r="Z829" i="2"/>
  <c r="X829" i="2"/>
  <c r="W829" i="2"/>
  <c r="V829" i="2"/>
  <c r="U829" i="2"/>
  <c r="T829" i="2"/>
  <c r="S829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AA828" i="2"/>
  <c r="Z828" i="2"/>
  <c r="X828" i="2"/>
  <c r="W828" i="2"/>
  <c r="V828" i="2"/>
  <c r="U828" i="2"/>
  <c r="T828" i="2"/>
  <c r="S828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AA827" i="2"/>
  <c r="Z827" i="2"/>
  <c r="X827" i="2"/>
  <c r="W827" i="2"/>
  <c r="V827" i="2"/>
  <c r="U827" i="2"/>
  <c r="T827" i="2"/>
  <c r="S827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AA826" i="2"/>
  <c r="Z826" i="2"/>
  <c r="X826" i="2"/>
  <c r="W826" i="2"/>
  <c r="V826" i="2"/>
  <c r="U826" i="2"/>
  <c r="T826" i="2"/>
  <c r="S826" i="2"/>
  <c r="R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AA825" i="2"/>
  <c r="Z825" i="2"/>
  <c r="X825" i="2"/>
  <c r="W825" i="2"/>
  <c r="V825" i="2"/>
  <c r="U825" i="2"/>
  <c r="T825" i="2"/>
  <c r="S825" i="2"/>
  <c r="R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AA824" i="2"/>
  <c r="Z824" i="2"/>
  <c r="X824" i="2"/>
  <c r="W824" i="2"/>
  <c r="V824" i="2"/>
  <c r="U824" i="2"/>
  <c r="T824" i="2"/>
  <c r="S824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AA823" i="2"/>
  <c r="Z823" i="2"/>
  <c r="X823" i="2"/>
  <c r="W823" i="2"/>
  <c r="V823" i="2"/>
  <c r="U823" i="2"/>
  <c r="T823" i="2"/>
  <c r="S823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AA822" i="2"/>
  <c r="Z822" i="2"/>
  <c r="X822" i="2"/>
  <c r="W822" i="2"/>
  <c r="V822" i="2"/>
  <c r="U822" i="2"/>
  <c r="T822" i="2"/>
  <c r="S822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AA821" i="2"/>
  <c r="Z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AA820" i="2"/>
  <c r="Z820" i="2"/>
  <c r="X820" i="2"/>
  <c r="W820" i="2"/>
  <c r="V820" i="2"/>
  <c r="U820" i="2"/>
  <c r="T820" i="2"/>
  <c r="S820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AA819" i="2"/>
  <c r="Z819" i="2"/>
  <c r="X819" i="2"/>
  <c r="W819" i="2"/>
  <c r="V819" i="2"/>
  <c r="U819" i="2"/>
  <c r="T819" i="2"/>
  <c r="S819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AA818" i="2"/>
  <c r="Z818" i="2"/>
  <c r="X818" i="2"/>
  <c r="W818" i="2"/>
  <c r="V818" i="2"/>
  <c r="U818" i="2"/>
  <c r="T818" i="2"/>
  <c r="S818" i="2"/>
  <c r="R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AA817" i="2"/>
  <c r="Z817" i="2"/>
  <c r="X817" i="2"/>
  <c r="W817" i="2"/>
  <c r="V817" i="2"/>
  <c r="U817" i="2"/>
  <c r="T817" i="2"/>
  <c r="S817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AA816" i="2"/>
  <c r="Z816" i="2"/>
  <c r="X816" i="2"/>
  <c r="W816" i="2"/>
  <c r="V816" i="2"/>
  <c r="U816" i="2"/>
  <c r="T816" i="2"/>
  <c r="S816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AA815" i="2"/>
  <c r="Z815" i="2"/>
  <c r="X815" i="2"/>
  <c r="W815" i="2"/>
  <c r="V815" i="2"/>
  <c r="U815" i="2"/>
  <c r="T815" i="2"/>
  <c r="S815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AA814" i="2"/>
  <c r="Z814" i="2"/>
  <c r="X814" i="2"/>
  <c r="W814" i="2"/>
  <c r="V814" i="2"/>
  <c r="U814" i="2"/>
  <c r="T814" i="2"/>
  <c r="S814" i="2"/>
  <c r="R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AA813" i="2"/>
  <c r="Z813" i="2"/>
  <c r="X813" i="2"/>
  <c r="W813" i="2"/>
  <c r="V813" i="2"/>
  <c r="U813" i="2"/>
  <c r="T813" i="2"/>
  <c r="S813" i="2"/>
  <c r="R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AA812" i="2"/>
  <c r="Z812" i="2"/>
  <c r="X812" i="2"/>
  <c r="W812" i="2"/>
  <c r="V812" i="2"/>
  <c r="U812" i="2"/>
  <c r="T812" i="2"/>
  <c r="S812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AA811" i="2"/>
  <c r="Z811" i="2"/>
  <c r="X811" i="2"/>
  <c r="W811" i="2"/>
  <c r="V811" i="2"/>
  <c r="U811" i="2"/>
  <c r="T811" i="2"/>
  <c r="S811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AA810" i="2"/>
  <c r="Z810" i="2"/>
  <c r="X810" i="2"/>
  <c r="W810" i="2"/>
  <c r="V810" i="2"/>
  <c r="U810" i="2"/>
  <c r="T810" i="2"/>
  <c r="S810" i="2"/>
  <c r="R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AA809" i="2"/>
  <c r="Z809" i="2"/>
  <c r="X809" i="2"/>
  <c r="W809" i="2"/>
  <c r="V809" i="2"/>
  <c r="U809" i="2"/>
  <c r="T809" i="2"/>
  <c r="S809" i="2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AA808" i="2"/>
  <c r="Z808" i="2"/>
  <c r="X808" i="2"/>
  <c r="W808" i="2"/>
  <c r="V808" i="2"/>
  <c r="U808" i="2"/>
  <c r="T808" i="2"/>
  <c r="S808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AA807" i="2"/>
  <c r="Z807" i="2"/>
  <c r="X807" i="2"/>
  <c r="W807" i="2"/>
  <c r="V807" i="2"/>
  <c r="U807" i="2"/>
  <c r="T807" i="2"/>
  <c r="S807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AA806" i="2"/>
  <c r="Z806" i="2"/>
  <c r="X806" i="2"/>
  <c r="W806" i="2"/>
  <c r="V806" i="2"/>
  <c r="U806" i="2"/>
  <c r="T806" i="2"/>
  <c r="S806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AA805" i="2"/>
  <c r="Z805" i="2"/>
  <c r="X805" i="2"/>
  <c r="W805" i="2"/>
  <c r="V805" i="2"/>
  <c r="U805" i="2"/>
  <c r="T805" i="2"/>
  <c r="S805" i="2"/>
  <c r="R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AA804" i="2"/>
  <c r="Z804" i="2"/>
  <c r="X804" i="2"/>
  <c r="W804" i="2"/>
  <c r="V804" i="2"/>
  <c r="U804" i="2"/>
  <c r="T804" i="2"/>
  <c r="S804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AA803" i="2"/>
  <c r="Z803" i="2"/>
  <c r="X803" i="2"/>
  <c r="W803" i="2"/>
  <c r="V803" i="2"/>
  <c r="U803" i="2"/>
  <c r="T803" i="2"/>
  <c r="S803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AA802" i="2"/>
  <c r="Z802" i="2"/>
  <c r="X802" i="2"/>
  <c r="W802" i="2"/>
  <c r="V802" i="2"/>
  <c r="U802" i="2"/>
  <c r="T802" i="2"/>
  <c r="S802" i="2"/>
  <c r="R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AA801" i="2"/>
  <c r="Z801" i="2"/>
  <c r="X801" i="2"/>
  <c r="W801" i="2"/>
  <c r="V801" i="2"/>
  <c r="U801" i="2"/>
  <c r="T801" i="2"/>
  <c r="S801" i="2"/>
  <c r="R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AA800" i="2"/>
  <c r="Z800" i="2"/>
  <c r="X800" i="2"/>
  <c r="W800" i="2"/>
  <c r="V800" i="2"/>
  <c r="U800" i="2"/>
  <c r="T800" i="2"/>
  <c r="S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AA799" i="2"/>
  <c r="Z799" i="2"/>
  <c r="X799" i="2"/>
  <c r="W799" i="2"/>
  <c r="V799" i="2"/>
  <c r="U799" i="2"/>
  <c r="T799" i="2"/>
  <c r="S799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AA798" i="2"/>
  <c r="Z798" i="2"/>
  <c r="X798" i="2"/>
  <c r="W798" i="2"/>
  <c r="V798" i="2"/>
  <c r="U798" i="2"/>
  <c r="T798" i="2"/>
  <c r="S798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AA797" i="2"/>
  <c r="Z797" i="2"/>
  <c r="X797" i="2"/>
  <c r="W797" i="2"/>
  <c r="V797" i="2"/>
  <c r="U797" i="2"/>
  <c r="T797" i="2"/>
  <c r="S797" i="2"/>
  <c r="R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AA796" i="2"/>
  <c r="Z796" i="2"/>
  <c r="X796" i="2"/>
  <c r="W796" i="2"/>
  <c r="V796" i="2"/>
  <c r="U796" i="2"/>
  <c r="T796" i="2"/>
  <c r="S796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AA795" i="2"/>
  <c r="Z795" i="2"/>
  <c r="X795" i="2"/>
  <c r="W795" i="2"/>
  <c r="V795" i="2"/>
  <c r="U795" i="2"/>
  <c r="T795" i="2"/>
  <c r="S795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AA794" i="2"/>
  <c r="Z794" i="2"/>
  <c r="X794" i="2"/>
  <c r="W794" i="2"/>
  <c r="V794" i="2"/>
  <c r="U794" i="2"/>
  <c r="T794" i="2"/>
  <c r="S794" i="2"/>
  <c r="R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AA793" i="2"/>
  <c r="Z793" i="2"/>
  <c r="X793" i="2"/>
  <c r="W793" i="2"/>
  <c r="V793" i="2"/>
  <c r="U793" i="2"/>
  <c r="T793" i="2"/>
  <c r="S793" i="2"/>
  <c r="R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AA792" i="2"/>
  <c r="Z792" i="2"/>
  <c r="X792" i="2"/>
  <c r="W792" i="2"/>
  <c r="V792" i="2"/>
  <c r="U792" i="2"/>
  <c r="T792" i="2"/>
  <c r="S792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AA791" i="2"/>
  <c r="Z791" i="2"/>
  <c r="X791" i="2"/>
  <c r="W791" i="2"/>
  <c r="V791" i="2"/>
  <c r="U791" i="2"/>
  <c r="T791" i="2"/>
  <c r="S791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AA790" i="2"/>
  <c r="Z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AA789" i="2"/>
  <c r="Z789" i="2"/>
  <c r="X789" i="2"/>
  <c r="W789" i="2"/>
  <c r="V789" i="2"/>
  <c r="U789" i="2"/>
  <c r="T789" i="2"/>
  <c r="S789" i="2"/>
  <c r="R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AA788" i="2"/>
  <c r="Z788" i="2"/>
  <c r="X788" i="2"/>
  <c r="W788" i="2"/>
  <c r="V788" i="2"/>
  <c r="U788" i="2"/>
  <c r="T788" i="2"/>
  <c r="S788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AA787" i="2"/>
  <c r="Z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AA786" i="2"/>
  <c r="Z786" i="2"/>
  <c r="X786" i="2"/>
  <c r="W786" i="2"/>
  <c r="V786" i="2"/>
  <c r="U786" i="2"/>
  <c r="T786" i="2"/>
  <c r="S786" i="2"/>
  <c r="R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AA785" i="2"/>
  <c r="Z785" i="2"/>
  <c r="X785" i="2"/>
  <c r="W785" i="2"/>
  <c r="V785" i="2"/>
  <c r="U785" i="2"/>
  <c r="T785" i="2"/>
  <c r="S785" i="2"/>
  <c r="R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AA784" i="2"/>
  <c r="Z784" i="2"/>
  <c r="X784" i="2"/>
  <c r="W784" i="2"/>
  <c r="V784" i="2"/>
  <c r="U784" i="2"/>
  <c r="T784" i="2"/>
  <c r="S784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AA783" i="2"/>
  <c r="Z783" i="2"/>
  <c r="X783" i="2"/>
  <c r="W783" i="2"/>
  <c r="V783" i="2"/>
  <c r="U783" i="2"/>
  <c r="T783" i="2"/>
  <c r="S783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AA782" i="2"/>
  <c r="Z782" i="2"/>
  <c r="X782" i="2"/>
  <c r="W782" i="2"/>
  <c r="V782" i="2"/>
  <c r="U782" i="2"/>
  <c r="T782" i="2"/>
  <c r="S782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AA781" i="2"/>
  <c r="Z781" i="2"/>
  <c r="X781" i="2"/>
  <c r="W781" i="2"/>
  <c r="V781" i="2"/>
  <c r="U781" i="2"/>
  <c r="T781" i="2"/>
  <c r="S781" i="2"/>
  <c r="R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AA780" i="2"/>
  <c r="Z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AA779" i="2"/>
  <c r="Z779" i="2"/>
  <c r="X779" i="2"/>
  <c r="W779" i="2"/>
  <c r="V779" i="2"/>
  <c r="U779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AA778" i="2"/>
  <c r="Z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AA777" i="2"/>
  <c r="Z777" i="2"/>
  <c r="X777" i="2"/>
  <c r="W777" i="2"/>
  <c r="V777" i="2"/>
  <c r="U777" i="2"/>
  <c r="T777" i="2"/>
  <c r="S777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AA776" i="2"/>
  <c r="Z776" i="2"/>
  <c r="X776" i="2"/>
  <c r="W776" i="2"/>
  <c r="V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AA775" i="2"/>
  <c r="Z775" i="2"/>
  <c r="X775" i="2"/>
  <c r="W775" i="2"/>
  <c r="V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AA774" i="2"/>
  <c r="Z774" i="2"/>
  <c r="X774" i="2"/>
  <c r="W774" i="2"/>
  <c r="V774" i="2"/>
  <c r="U774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AA773" i="2"/>
  <c r="Z773" i="2"/>
  <c r="X773" i="2"/>
  <c r="W773" i="2"/>
  <c r="V773" i="2"/>
  <c r="U773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AA772" i="2"/>
  <c r="Z772" i="2"/>
  <c r="X772" i="2"/>
  <c r="W772" i="2"/>
  <c r="V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AA771" i="2"/>
  <c r="Z771" i="2"/>
  <c r="X771" i="2"/>
  <c r="W771" i="2"/>
  <c r="V771" i="2"/>
  <c r="U771" i="2"/>
  <c r="T771" i="2"/>
  <c r="S771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AA770" i="2"/>
  <c r="Z770" i="2"/>
  <c r="X770" i="2"/>
  <c r="W770" i="2"/>
  <c r="V770" i="2"/>
  <c r="U770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AA769" i="2"/>
  <c r="Z769" i="2"/>
  <c r="X769" i="2"/>
  <c r="W769" i="2"/>
  <c r="V769" i="2"/>
  <c r="U769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AA768" i="2"/>
  <c r="Z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AA767" i="2"/>
  <c r="Z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AA766" i="2"/>
  <c r="Z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AA765" i="2"/>
  <c r="Z765" i="2"/>
  <c r="X765" i="2"/>
  <c r="W765" i="2"/>
  <c r="V765" i="2"/>
  <c r="U765" i="2"/>
  <c r="T765" i="2"/>
  <c r="S765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AA764" i="2"/>
  <c r="Z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AA763" i="2"/>
  <c r="Z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AA762" i="2"/>
  <c r="Z762" i="2"/>
  <c r="X762" i="2"/>
  <c r="W762" i="2"/>
  <c r="V762" i="2"/>
  <c r="U762" i="2"/>
  <c r="T762" i="2"/>
  <c r="S762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AA761" i="2"/>
  <c r="Z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AA760" i="2"/>
  <c r="Z760" i="2"/>
  <c r="X760" i="2"/>
  <c r="W760" i="2"/>
  <c r="V760" i="2"/>
  <c r="U760" i="2"/>
  <c r="T760" i="2"/>
  <c r="S760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AA759" i="2"/>
  <c r="Z759" i="2"/>
  <c r="X759" i="2"/>
  <c r="W759" i="2"/>
  <c r="V759" i="2"/>
  <c r="U759" i="2"/>
  <c r="T759" i="2"/>
  <c r="S759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AA758" i="2"/>
  <c r="Z758" i="2"/>
  <c r="X758" i="2"/>
  <c r="W758" i="2"/>
  <c r="V758" i="2"/>
  <c r="U758" i="2"/>
  <c r="T758" i="2"/>
  <c r="S758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AA757" i="2"/>
  <c r="Z757" i="2"/>
  <c r="X757" i="2"/>
  <c r="W757" i="2"/>
  <c r="V757" i="2"/>
  <c r="U757" i="2"/>
  <c r="T757" i="2"/>
  <c r="S757" i="2"/>
  <c r="R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AA756" i="2"/>
  <c r="Z756" i="2"/>
  <c r="X756" i="2"/>
  <c r="W756" i="2"/>
  <c r="V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AA755" i="2"/>
  <c r="Z755" i="2"/>
  <c r="X755" i="2"/>
  <c r="W755" i="2"/>
  <c r="V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AA754" i="2"/>
  <c r="Z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AA753" i="2"/>
  <c r="Z753" i="2"/>
  <c r="X753" i="2"/>
  <c r="W753" i="2"/>
  <c r="V753" i="2"/>
  <c r="U753" i="2"/>
  <c r="T753" i="2"/>
  <c r="S753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AA752" i="2"/>
  <c r="Z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AA751" i="2"/>
  <c r="Z751" i="2"/>
  <c r="X751" i="2"/>
  <c r="W751" i="2"/>
  <c r="V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AA750" i="2"/>
  <c r="Z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AA749" i="2"/>
  <c r="Z749" i="2"/>
  <c r="X749" i="2"/>
  <c r="W749" i="2"/>
  <c r="V749" i="2"/>
  <c r="U749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AA748" i="2"/>
  <c r="Z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AA747" i="2"/>
  <c r="Z747" i="2"/>
  <c r="X747" i="2"/>
  <c r="W747" i="2"/>
  <c r="V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AA746" i="2"/>
  <c r="Z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AA745" i="2"/>
  <c r="Z745" i="2"/>
  <c r="X745" i="2"/>
  <c r="W745" i="2"/>
  <c r="V745" i="2"/>
  <c r="U745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AA744" i="2"/>
  <c r="Z744" i="2"/>
  <c r="X744" i="2"/>
  <c r="W744" i="2"/>
  <c r="V744" i="2"/>
  <c r="U744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AA743" i="2"/>
  <c r="Z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AA742" i="2"/>
  <c r="Z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AA741" i="2"/>
  <c r="Z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AA740" i="2"/>
  <c r="Z740" i="2"/>
  <c r="X740" i="2"/>
  <c r="W740" i="2"/>
  <c r="V740" i="2"/>
  <c r="U740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AA739" i="2"/>
  <c r="Z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AA738" i="2"/>
  <c r="Z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AA737" i="2"/>
  <c r="Z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AA736" i="2"/>
  <c r="Z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AA735" i="2"/>
  <c r="Z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AA734" i="2"/>
  <c r="Z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AA733" i="2"/>
  <c r="Z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AA732" i="2"/>
  <c r="Z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AA731" i="2"/>
  <c r="Z731" i="2"/>
  <c r="X731" i="2"/>
  <c r="W731" i="2"/>
  <c r="V731" i="2"/>
  <c r="U731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AA730" i="2"/>
  <c r="Z730" i="2"/>
  <c r="X730" i="2"/>
  <c r="W730" i="2"/>
  <c r="V730" i="2"/>
  <c r="U730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AA729" i="2"/>
  <c r="Z729" i="2"/>
  <c r="X729" i="2"/>
  <c r="W729" i="2"/>
  <c r="V729" i="2"/>
  <c r="U729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AA728" i="2"/>
  <c r="Z728" i="2"/>
  <c r="X728" i="2"/>
  <c r="W728" i="2"/>
  <c r="V728" i="2"/>
  <c r="U728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AA727" i="2"/>
  <c r="Z727" i="2"/>
  <c r="X727" i="2"/>
  <c r="W727" i="2"/>
  <c r="V727" i="2"/>
  <c r="U727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AA726" i="2"/>
  <c r="Z726" i="2"/>
  <c r="X726" i="2"/>
  <c r="W726" i="2"/>
  <c r="V726" i="2"/>
  <c r="U726" i="2"/>
  <c r="T726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AA725" i="2"/>
  <c r="Z725" i="2"/>
  <c r="X725" i="2"/>
  <c r="W725" i="2"/>
  <c r="V725" i="2"/>
  <c r="U725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AA724" i="2"/>
  <c r="Z724" i="2"/>
  <c r="X724" i="2"/>
  <c r="W724" i="2"/>
  <c r="V724" i="2"/>
  <c r="U724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AA723" i="2"/>
  <c r="Z723" i="2"/>
  <c r="X723" i="2"/>
  <c r="W723" i="2"/>
  <c r="V723" i="2"/>
  <c r="U723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AA722" i="2"/>
  <c r="Z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AA721" i="2"/>
  <c r="Z721" i="2"/>
  <c r="X721" i="2"/>
  <c r="W721" i="2"/>
  <c r="V721" i="2"/>
  <c r="U721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AA720" i="2"/>
  <c r="Z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AA719" i="2"/>
  <c r="Z719" i="2"/>
  <c r="X719" i="2"/>
  <c r="W719" i="2"/>
  <c r="V719" i="2"/>
  <c r="U719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AA718" i="2"/>
  <c r="Z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AA717" i="2"/>
  <c r="Z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AA716" i="2"/>
  <c r="Z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AA715" i="2"/>
  <c r="Z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AA714" i="2"/>
  <c r="Z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AA713" i="2"/>
  <c r="Z713" i="2"/>
  <c r="X713" i="2"/>
  <c r="W713" i="2"/>
  <c r="V713" i="2"/>
  <c r="U713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AA712" i="2"/>
  <c r="Z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AA711" i="2"/>
  <c r="Z711" i="2"/>
  <c r="X711" i="2"/>
  <c r="W711" i="2"/>
  <c r="V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AA710" i="2"/>
  <c r="Z710" i="2"/>
  <c r="X710" i="2"/>
  <c r="W710" i="2"/>
  <c r="V710" i="2"/>
  <c r="U710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AA709" i="2"/>
  <c r="Z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AA708" i="2"/>
  <c r="Z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AA707" i="2"/>
  <c r="Z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AA706" i="2"/>
  <c r="Z706" i="2"/>
  <c r="X706" i="2"/>
  <c r="W706" i="2"/>
  <c r="V706" i="2"/>
  <c r="U706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AA705" i="2"/>
  <c r="Z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AA704" i="2"/>
  <c r="Z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AA703" i="2"/>
  <c r="Z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AA702" i="2"/>
  <c r="Z702" i="2"/>
  <c r="X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AA701" i="2"/>
  <c r="Z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AA700" i="2"/>
  <c r="Z700" i="2"/>
  <c r="X700" i="2"/>
  <c r="W700" i="2"/>
  <c r="V700" i="2"/>
  <c r="U700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AA699" i="2"/>
  <c r="Z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AA698" i="2"/>
  <c r="Z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AA697" i="2"/>
  <c r="Z697" i="2"/>
  <c r="X697" i="2"/>
  <c r="W697" i="2"/>
  <c r="V697" i="2"/>
  <c r="U697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AA696" i="2"/>
  <c r="Z696" i="2"/>
  <c r="X696" i="2"/>
  <c r="W696" i="2"/>
  <c r="V696" i="2"/>
  <c r="U696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AA695" i="2"/>
  <c r="Z695" i="2"/>
  <c r="X695" i="2"/>
  <c r="W695" i="2"/>
  <c r="V695" i="2"/>
  <c r="U695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AA694" i="2"/>
  <c r="Z694" i="2"/>
  <c r="X694" i="2"/>
  <c r="W694" i="2"/>
  <c r="V694" i="2"/>
  <c r="U694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AA693" i="2"/>
  <c r="Z693" i="2"/>
  <c r="X693" i="2"/>
  <c r="W693" i="2"/>
  <c r="V693" i="2"/>
  <c r="U693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AA692" i="2"/>
  <c r="Z692" i="2"/>
  <c r="X692" i="2"/>
  <c r="W692" i="2"/>
  <c r="V692" i="2"/>
  <c r="U692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AA691" i="2"/>
  <c r="Z691" i="2"/>
  <c r="X691" i="2"/>
  <c r="W691" i="2"/>
  <c r="V691" i="2"/>
  <c r="U691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AA690" i="2"/>
  <c r="Z690" i="2"/>
  <c r="X690" i="2"/>
  <c r="W690" i="2"/>
  <c r="V690" i="2"/>
  <c r="U690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AA689" i="2"/>
  <c r="Z689" i="2"/>
  <c r="X689" i="2"/>
  <c r="W689" i="2"/>
  <c r="V689" i="2"/>
  <c r="U689" i="2"/>
  <c r="T689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AA688" i="2"/>
  <c r="Z688" i="2"/>
  <c r="X688" i="2"/>
  <c r="W688" i="2"/>
  <c r="V688" i="2"/>
  <c r="U688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AA687" i="2"/>
  <c r="Z687" i="2"/>
  <c r="X687" i="2"/>
  <c r="W687" i="2"/>
  <c r="V687" i="2"/>
  <c r="U687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AA686" i="2"/>
  <c r="Z686" i="2"/>
  <c r="X686" i="2"/>
  <c r="W686" i="2"/>
  <c r="V686" i="2"/>
  <c r="U686" i="2"/>
  <c r="T686" i="2"/>
  <c r="S686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AA685" i="2"/>
  <c r="Z685" i="2"/>
  <c r="X685" i="2"/>
  <c r="W685" i="2"/>
  <c r="V685" i="2"/>
  <c r="U685" i="2"/>
  <c r="T685" i="2"/>
  <c r="S685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AA684" i="2"/>
  <c r="Z684" i="2"/>
  <c r="X684" i="2"/>
  <c r="W684" i="2"/>
  <c r="V684" i="2"/>
  <c r="U684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AA683" i="2"/>
  <c r="Z683" i="2"/>
  <c r="X683" i="2"/>
  <c r="W683" i="2"/>
  <c r="V683" i="2"/>
  <c r="U683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AA682" i="2"/>
  <c r="Z682" i="2"/>
  <c r="X682" i="2"/>
  <c r="W682" i="2"/>
  <c r="V682" i="2"/>
  <c r="U682" i="2"/>
  <c r="T682" i="2"/>
  <c r="S682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AA681" i="2"/>
  <c r="Z681" i="2"/>
  <c r="X681" i="2"/>
  <c r="W681" i="2"/>
  <c r="V681" i="2"/>
  <c r="U681" i="2"/>
  <c r="T681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AA680" i="2"/>
  <c r="Z680" i="2"/>
  <c r="X680" i="2"/>
  <c r="W680" i="2"/>
  <c r="V680" i="2"/>
  <c r="U680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AA679" i="2"/>
  <c r="Z679" i="2"/>
  <c r="X679" i="2"/>
  <c r="W679" i="2"/>
  <c r="V679" i="2"/>
  <c r="U679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AA678" i="2"/>
  <c r="Z678" i="2"/>
  <c r="X678" i="2"/>
  <c r="W678" i="2"/>
  <c r="V678" i="2"/>
  <c r="U678" i="2"/>
  <c r="T678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AA677" i="2"/>
  <c r="Z677" i="2"/>
  <c r="X677" i="2"/>
  <c r="W677" i="2"/>
  <c r="V677" i="2"/>
  <c r="U677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AA676" i="2"/>
  <c r="Z676" i="2"/>
  <c r="X676" i="2"/>
  <c r="W676" i="2"/>
  <c r="V676" i="2"/>
  <c r="U676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AA675" i="2"/>
  <c r="Z675" i="2"/>
  <c r="X675" i="2"/>
  <c r="W675" i="2"/>
  <c r="V675" i="2"/>
  <c r="U675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AA674" i="2"/>
  <c r="Z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AA673" i="2"/>
  <c r="Z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AA672" i="2"/>
  <c r="Z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AA671" i="2"/>
  <c r="Z671" i="2"/>
  <c r="X671" i="2"/>
  <c r="W671" i="2"/>
  <c r="V671" i="2"/>
  <c r="U671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AA670" i="2"/>
  <c r="Z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AA669" i="2"/>
  <c r="Z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AA668" i="2"/>
  <c r="Z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AA667" i="2"/>
  <c r="Z667" i="2"/>
  <c r="X667" i="2"/>
  <c r="W667" i="2"/>
  <c r="V667" i="2"/>
  <c r="U667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AA666" i="2"/>
  <c r="Z666" i="2"/>
  <c r="X666" i="2"/>
  <c r="W666" i="2"/>
  <c r="V666" i="2"/>
  <c r="U666" i="2"/>
  <c r="T666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AA665" i="2"/>
  <c r="Z665" i="2"/>
  <c r="X665" i="2"/>
  <c r="W665" i="2"/>
  <c r="V665" i="2"/>
  <c r="U665" i="2"/>
  <c r="T665" i="2"/>
  <c r="S665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AA664" i="2"/>
  <c r="Z664" i="2"/>
  <c r="X664" i="2"/>
  <c r="W664" i="2"/>
  <c r="V664" i="2"/>
  <c r="U664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AA663" i="2"/>
  <c r="Z663" i="2"/>
  <c r="X663" i="2"/>
  <c r="W663" i="2"/>
  <c r="V663" i="2"/>
  <c r="U663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AA662" i="2"/>
  <c r="Z662" i="2"/>
  <c r="X662" i="2"/>
  <c r="W662" i="2"/>
  <c r="V662" i="2"/>
  <c r="U662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AA661" i="2"/>
  <c r="Z661" i="2"/>
  <c r="X661" i="2"/>
  <c r="W661" i="2"/>
  <c r="V661" i="2"/>
  <c r="U661" i="2"/>
  <c r="T661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AA660" i="2"/>
  <c r="Z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AA659" i="2"/>
  <c r="Z659" i="2"/>
  <c r="X659" i="2"/>
  <c r="W659" i="2"/>
  <c r="V659" i="2"/>
  <c r="U659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AA658" i="2"/>
  <c r="Z658" i="2"/>
  <c r="X658" i="2"/>
  <c r="W658" i="2"/>
  <c r="V658" i="2"/>
  <c r="U658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AA657" i="2"/>
  <c r="Z657" i="2"/>
  <c r="X657" i="2"/>
  <c r="W657" i="2"/>
  <c r="V657" i="2"/>
  <c r="U657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AA656" i="2"/>
  <c r="Z656" i="2"/>
  <c r="X656" i="2"/>
  <c r="W656" i="2"/>
  <c r="V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AA655" i="2"/>
  <c r="Z655" i="2"/>
  <c r="X655" i="2"/>
  <c r="W655" i="2"/>
  <c r="V655" i="2"/>
  <c r="U655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AA654" i="2"/>
  <c r="Z654" i="2"/>
  <c r="X654" i="2"/>
  <c r="W654" i="2"/>
  <c r="V654" i="2"/>
  <c r="U654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AA653" i="2"/>
  <c r="Z653" i="2"/>
  <c r="X653" i="2"/>
  <c r="W653" i="2"/>
  <c r="V653" i="2"/>
  <c r="U653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AA652" i="2"/>
  <c r="Z652" i="2"/>
  <c r="X652" i="2"/>
  <c r="W652" i="2"/>
  <c r="V652" i="2"/>
  <c r="U652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AA651" i="2"/>
  <c r="Z651" i="2"/>
  <c r="X651" i="2"/>
  <c r="W651" i="2"/>
  <c r="V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AA650" i="2"/>
  <c r="Z650" i="2"/>
  <c r="X650" i="2"/>
  <c r="W650" i="2"/>
  <c r="V650" i="2"/>
  <c r="U650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AA649" i="2"/>
  <c r="Z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AA648" i="2"/>
  <c r="Z648" i="2"/>
  <c r="X648" i="2"/>
  <c r="W648" i="2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AA647" i="2"/>
  <c r="Z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AA646" i="2"/>
  <c r="Z646" i="2"/>
  <c r="X646" i="2"/>
  <c r="W646" i="2"/>
  <c r="V646" i="2"/>
  <c r="U646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AA645" i="2"/>
  <c r="Z645" i="2"/>
  <c r="X645" i="2"/>
  <c r="W645" i="2"/>
  <c r="V645" i="2"/>
  <c r="U645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AA644" i="2"/>
  <c r="Z644" i="2"/>
  <c r="X644" i="2"/>
  <c r="W644" i="2"/>
  <c r="V644" i="2"/>
  <c r="U644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AA643" i="2"/>
  <c r="Z643" i="2"/>
  <c r="X643" i="2"/>
  <c r="W643" i="2"/>
  <c r="V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AA642" i="2"/>
  <c r="Z642" i="2"/>
  <c r="X642" i="2"/>
  <c r="W642" i="2"/>
  <c r="V642" i="2"/>
  <c r="U642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AA641" i="2"/>
  <c r="Z641" i="2"/>
  <c r="X641" i="2"/>
  <c r="W641" i="2"/>
  <c r="V641" i="2"/>
  <c r="U641" i="2"/>
  <c r="T641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AA640" i="2"/>
  <c r="Z640" i="2"/>
  <c r="X640" i="2"/>
  <c r="W640" i="2"/>
  <c r="V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AA639" i="2"/>
  <c r="Z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AA638" i="2"/>
  <c r="Z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AA637" i="2"/>
  <c r="Z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AA636" i="2"/>
  <c r="Z636" i="2"/>
  <c r="X636" i="2"/>
  <c r="W636" i="2"/>
  <c r="V636" i="2"/>
  <c r="U636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AA635" i="2"/>
  <c r="Z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AA634" i="2"/>
  <c r="Z634" i="2"/>
  <c r="X634" i="2"/>
  <c r="W634" i="2"/>
  <c r="V634" i="2"/>
  <c r="U634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AA633" i="2"/>
  <c r="Z633" i="2"/>
  <c r="X633" i="2"/>
  <c r="W633" i="2"/>
  <c r="V633" i="2"/>
  <c r="U633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AA632" i="2"/>
  <c r="Z632" i="2"/>
  <c r="X632" i="2"/>
  <c r="W632" i="2"/>
  <c r="V632" i="2"/>
  <c r="U632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AA631" i="2"/>
  <c r="Z631" i="2"/>
  <c r="X631" i="2"/>
  <c r="W631" i="2"/>
  <c r="V631" i="2"/>
  <c r="U631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AA630" i="2"/>
  <c r="Z630" i="2"/>
  <c r="X630" i="2"/>
  <c r="W630" i="2"/>
  <c r="V630" i="2"/>
  <c r="U630" i="2"/>
  <c r="T630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AA629" i="2"/>
  <c r="Z629" i="2"/>
  <c r="X629" i="2"/>
  <c r="W629" i="2"/>
  <c r="V629" i="2"/>
  <c r="U629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AA628" i="2"/>
  <c r="Z628" i="2"/>
  <c r="X628" i="2"/>
  <c r="W628" i="2"/>
  <c r="V628" i="2"/>
  <c r="U628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AA627" i="2"/>
  <c r="Z627" i="2"/>
  <c r="X627" i="2"/>
  <c r="W627" i="2"/>
  <c r="V627" i="2"/>
  <c r="U627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AA626" i="2"/>
  <c r="Z626" i="2"/>
  <c r="X626" i="2"/>
  <c r="W626" i="2"/>
  <c r="V626" i="2"/>
  <c r="U626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AA625" i="2"/>
  <c r="Z625" i="2"/>
  <c r="X625" i="2"/>
  <c r="W625" i="2"/>
  <c r="V625" i="2"/>
  <c r="U625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AA624" i="2"/>
  <c r="Z624" i="2"/>
  <c r="X624" i="2"/>
  <c r="W624" i="2"/>
  <c r="V624" i="2"/>
  <c r="U624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AA623" i="2"/>
  <c r="Z623" i="2"/>
  <c r="X623" i="2"/>
  <c r="W623" i="2"/>
  <c r="V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AA622" i="2"/>
  <c r="Z622" i="2"/>
  <c r="X622" i="2"/>
  <c r="W622" i="2"/>
  <c r="V622" i="2"/>
  <c r="U622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AA621" i="2"/>
  <c r="Z621" i="2"/>
  <c r="X621" i="2"/>
  <c r="W621" i="2"/>
  <c r="V621" i="2"/>
  <c r="U621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AA620" i="2"/>
  <c r="Z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AA619" i="2"/>
  <c r="Z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AA618" i="2"/>
  <c r="Z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AA617" i="2"/>
  <c r="Z617" i="2"/>
  <c r="X617" i="2"/>
  <c r="W617" i="2"/>
  <c r="V617" i="2"/>
  <c r="U617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AA616" i="2"/>
  <c r="Z616" i="2"/>
  <c r="X616" i="2"/>
  <c r="W616" i="2"/>
  <c r="V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AA615" i="2"/>
  <c r="Z615" i="2"/>
  <c r="X615" i="2"/>
  <c r="W615" i="2"/>
  <c r="V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AA614" i="2"/>
  <c r="Z614" i="2"/>
  <c r="X614" i="2"/>
  <c r="W614" i="2"/>
  <c r="V614" i="2"/>
  <c r="U614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AA613" i="2"/>
  <c r="Z613" i="2"/>
  <c r="X613" i="2"/>
  <c r="W613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AA612" i="2"/>
  <c r="Z612" i="2"/>
  <c r="X612" i="2"/>
  <c r="W612" i="2"/>
  <c r="V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AA611" i="2"/>
  <c r="Z611" i="2"/>
  <c r="X611" i="2"/>
  <c r="W611" i="2"/>
  <c r="V611" i="2"/>
  <c r="U611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AA610" i="2"/>
  <c r="Z610" i="2"/>
  <c r="X610" i="2"/>
  <c r="W610" i="2"/>
  <c r="V610" i="2"/>
  <c r="U610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AA609" i="2"/>
  <c r="Z609" i="2"/>
  <c r="X609" i="2"/>
  <c r="W609" i="2"/>
  <c r="V609" i="2"/>
  <c r="U609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AA608" i="2"/>
  <c r="Z608" i="2"/>
  <c r="X608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AA607" i="2"/>
  <c r="Z607" i="2"/>
  <c r="X607" i="2"/>
  <c r="W607" i="2"/>
  <c r="V607" i="2"/>
  <c r="U607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AA606" i="2"/>
  <c r="Z606" i="2"/>
  <c r="X606" i="2"/>
  <c r="W606" i="2"/>
  <c r="V606" i="2"/>
  <c r="U606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AA605" i="2"/>
  <c r="Z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AA604" i="2"/>
  <c r="Z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AA603" i="2"/>
  <c r="Z603" i="2"/>
  <c r="X603" i="2"/>
  <c r="W603" i="2"/>
  <c r="V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AA602" i="2"/>
  <c r="Z602" i="2"/>
  <c r="X602" i="2"/>
  <c r="W602" i="2"/>
  <c r="V602" i="2"/>
  <c r="U602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AA601" i="2"/>
  <c r="Z601" i="2"/>
  <c r="X601" i="2"/>
  <c r="W601" i="2"/>
  <c r="V601" i="2"/>
  <c r="U601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AA600" i="2"/>
  <c r="Z600" i="2"/>
  <c r="X600" i="2"/>
  <c r="W600" i="2"/>
  <c r="V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AA599" i="2"/>
  <c r="Z599" i="2"/>
  <c r="X599" i="2"/>
  <c r="W599" i="2"/>
  <c r="V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AA598" i="2"/>
  <c r="Z598" i="2"/>
  <c r="X598" i="2"/>
  <c r="W598" i="2"/>
  <c r="V598" i="2"/>
  <c r="U598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AA597" i="2"/>
  <c r="Z597" i="2"/>
  <c r="X597" i="2"/>
  <c r="W597" i="2"/>
  <c r="V597" i="2"/>
  <c r="U597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AA596" i="2"/>
  <c r="Z596" i="2"/>
  <c r="X596" i="2"/>
  <c r="W596" i="2"/>
  <c r="V596" i="2"/>
  <c r="U596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AA595" i="2"/>
  <c r="Z595" i="2"/>
  <c r="X595" i="2"/>
  <c r="W595" i="2"/>
  <c r="V595" i="2"/>
  <c r="U595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AA594" i="2"/>
  <c r="Z594" i="2"/>
  <c r="X594" i="2"/>
  <c r="W594" i="2"/>
  <c r="V594" i="2"/>
  <c r="U594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AA593" i="2"/>
  <c r="Z593" i="2"/>
  <c r="X593" i="2"/>
  <c r="W593" i="2"/>
  <c r="V593" i="2"/>
  <c r="U593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AA592" i="2"/>
  <c r="Z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AA591" i="2"/>
  <c r="Z591" i="2"/>
  <c r="X591" i="2"/>
  <c r="W591" i="2"/>
  <c r="V591" i="2"/>
  <c r="U591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AA590" i="2"/>
  <c r="Z590" i="2"/>
  <c r="X590" i="2"/>
  <c r="W590" i="2"/>
  <c r="V590" i="2"/>
  <c r="U590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AA589" i="2"/>
  <c r="Z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AA588" i="2"/>
  <c r="Z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AA587" i="2"/>
  <c r="Z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AA586" i="2"/>
  <c r="Z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AA585" i="2"/>
  <c r="Z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AA584" i="2"/>
  <c r="Z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AA583" i="2"/>
  <c r="Z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AA582" i="2"/>
  <c r="Z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AA581" i="2"/>
  <c r="Z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AA580" i="2"/>
  <c r="Z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AA579" i="2"/>
  <c r="Z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AA578" i="2"/>
  <c r="Z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AA577" i="2"/>
  <c r="Z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AA576" i="2"/>
  <c r="Z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AA575" i="2"/>
  <c r="Z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AA574" i="2"/>
  <c r="Z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AA573" i="2"/>
  <c r="Z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AA572" i="2"/>
  <c r="Z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AA571" i="2"/>
  <c r="Z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AA570" i="2"/>
  <c r="Z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AA569" i="2"/>
  <c r="Z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AA568" i="2"/>
  <c r="Z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AA567" i="2"/>
  <c r="Z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AA566" i="2"/>
  <c r="Z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AA565" i="2"/>
  <c r="Z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AA564" i="2"/>
  <c r="Z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AA563" i="2"/>
  <c r="Z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AA562" i="2"/>
  <c r="Z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AA561" i="2"/>
  <c r="Z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AA560" i="2"/>
  <c r="Z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AA559" i="2"/>
  <c r="Z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AA558" i="2"/>
  <c r="Z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AA557" i="2"/>
  <c r="Z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AA556" i="2"/>
  <c r="Z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AA555" i="2"/>
  <c r="Z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AA554" i="2"/>
  <c r="Z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AA553" i="2"/>
  <c r="Z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AA552" i="2"/>
  <c r="Z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AA551" i="2"/>
  <c r="Z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AA550" i="2"/>
  <c r="Z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AA549" i="2"/>
  <c r="Z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AA548" i="2"/>
  <c r="Z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AA547" i="2"/>
  <c r="Z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AA546" i="2"/>
  <c r="Z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AA545" i="2"/>
  <c r="Z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AA544" i="2"/>
  <c r="Z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AA543" i="2"/>
  <c r="Z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AA542" i="2"/>
  <c r="Z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AA541" i="2"/>
  <c r="Z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AA540" i="2"/>
  <c r="Z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AA539" i="2"/>
  <c r="Z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AA538" i="2"/>
  <c r="Z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AA537" i="2"/>
  <c r="Z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AA536" i="2"/>
  <c r="Z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AA535" i="2"/>
  <c r="Z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AA534" i="2"/>
  <c r="Z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AA533" i="2"/>
  <c r="Z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AA532" i="2"/>
  <c r="Z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AA531" i="2"/>
  <c r="Z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AA530" i="2"/>
  <c r="Z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AA529" i="2"/>
  <c r="Z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AA528" i="2"/>
  <c r="Z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AA527" i="2"/>
  <c r="Z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AA526" i="2"/>
  <c r="Z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AA525" i="2"/>
  <c r="Z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AA524" i="2"/>
  <c r="Z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AA523" i="2"/>
  <c r="Z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AA522" i="2"/>
  <c r="Z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AA521" i="2"/>
  <c r="Z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AA520" i="2"/>
  <c r="Z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AA519" i="2"/>
  <c r="Z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AA518" i="2"/>
  <c r="Z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AA517" i="2"/>
  <c r="Z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AA516" i="2"/>
  <c r="Z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AA515" i="2"/>
  <c r="Z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AA514" i="2"/>
  <c r="Z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AA513" i="2"/>
  <c r="Z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AA512" i="2"/>
  <c r="Z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AA511" i="2"/>
  <c r="Z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AA510" i="2"/>
  <c r="Z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AA509" i="2"/>
  <c r="Z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AA508" i="2"/>
  <c r="Z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AA507" i="2"/>
  <c r="Z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AA506" i="2"/>
  <c r="Z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AA505" i="2"/>
  <c r="Z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AA504" i="2"/>
  <c r="Z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AA503" i="2"/>
  <c r="Z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AA502" i="2"/>
  <c r="Z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AA501" i="2"/>
  <c r="Z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AA500" i="2"/>
  <c r="Z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AA499" i="2"/>
  <c r="Z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AA498" i="2"/>
  <c r="Z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AA497" i="2"/>
  <c r="Z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AA496" i="2"/>
  <c r="Z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AA495" i="2"/>
  <c r="Z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AA494" i="2"/>
  <c r="Z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AA493" i="2"/>
  <c r="Z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AA492" i="2"/>
  <c r="Z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AA491" i="2"/>
  <c r="Z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AA490" i="2"/>
  <c r="Z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AA489" i="2"/>
  <c r="Z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AA488" i="2"/>
  <c r="Z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AA487" i="2"/>
  <c r="Z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AA486" i="2"/>
  <c r="Z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AA485" i="2"/>
  <c r="Z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AA484" i="2"/>
  <c r="Z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AA483" i="2"/>
  <c r="Z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AA482" i="2"/>
  <c r="Z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AA481" i="2"/>
  <c r="Z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AA480" i="2"/>
  <c r="Z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AA479" i="2"/>
  <c r="Z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AA478" i="2"/>
  <c r="Z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AA477" i="2"/>
  <c r="Z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AA476" i="2"/>
  <c r="Z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AA475" i="2"/>
  <c r="Z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AA474" i="2"/>
  <c r="Z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AA473" i="2"/>
  <c r="Z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AA472" i="2"/>
  <c r="Z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AA471" i="2"/>
  <c r="Z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AA470" i="2"/>
  <c r="Z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AA469" i="2"/>
  <c r="Z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AA468" i="2"/>
  <c r="Z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AA467" i="2"/>
  <c r="Z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AA466" i="2"/>
  <c r="Z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AA465" i="2"/>
  <c r="Z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AA464" i="2"/>
  <c r="Z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AA463" i="2"/>
  <c r="Z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AA462" i="2"/>
  <c r="Z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AA461" i="2"/>
  <c r="Z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AA460" i="2"/>
  <c r="Z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AA459" i="2"/>
  <c r="Z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AA458" i="2"/>
  <c r="Z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AA457" i="2"/>
  <c r="Z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AA456" i="2"/>
  <c r="Z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AA455" i="2"/>
  <c r="Z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AA454" i="2"/>
  <c r="Z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AA453" i="2"/>
  <c r="Z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AA452" i="2"/>
  <c r="Z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AA451" i="2"/>
  <c r="Z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AA450" i="2"/>
  <c r="Z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AA449" i="2"/>
  <c r="Z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AA448" i="2"/>
  <c r="Z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AA447" i="2"/>
  <c r="Z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AA446" i="2"/>
  <c r="Z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AA445" i="2"/>
  <c r="Z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AA444" i="2"/>
  <c r="Z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AA443" i="2"/>
  <c r="Z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AA442" i="2"/>
  <c r="Z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AA441" i="2"/>
  <c r="Z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AA440" i="2"/>
  <c r="Z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AA439" i="2"/>
  <c r="Z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AA438" i="2"/>
  <c r="Z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AA437" i="2"/>
  <c r="Z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AA436" i="2"/>
  <c r="Z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AA435" i="2"/>
  <c r="Z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AA434" i="2"/>
  <c r="Z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AA433" i="2"/>
  <c r="Z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AA432" i="2"/>
  <c r="Z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AA431" i="2"/>
  <c r="Z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AA430" i="2"/>
  <c r="Z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AA429" i="2"/>
  <c r="Z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AA428" i="2"/>
  <c r="Z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AA427" i="2"/>
  <c r="Z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AA426" i="2"/>
  <c r="Z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AA425" i="2"/>
  <c r="Z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AA424" i="2"/>
  <c r="Z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AA423" i="2"/>
  <c r="Z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AA422" i="2"/>
  <c r="Z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AA421" i="2"/>
  <c r="Z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AA420" i="2"/>
  <c r="Z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AA419" i="2"/>
  <c r="Z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AA418" i="2"/>
  <c r="Z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AA417" i="2"/>
  <c r="Z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AA416" i="2"/>
  <c r="Z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AA415" i="2"/>
  <c r="Z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AA414" i="2"/>
  <c r="Z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AA413" i="2"/>
  <c r="Z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AA412" i="2"/>
  <c r="Z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AA411" i="2"/>
  <c r="Z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AA410" i="2"/>
  <c r="Z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AA409" i="2"/>
  <c r="Z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AA408" i="2"/>
  <c r="Z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AA407" i="2"/>
  <c r="Z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AA406" i="2"/>
  <c r="Z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AA405" i="2"/>
  <c r="Z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AA404" i="2"/>
  <c r="Z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AA403" i="2"/>
  <c r="Z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AA402" i="2"/>
  <c r="Z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AA401" i="2"/>
  <c r="Z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AA400" i="2"/>
  <c r="Z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AA399" i="2"/>
  <c r="Z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AA398" i="2"/>
  <c r="Z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AA397" i="2"/>
  <c r="Z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AA396" i="2"/>
  <c r="Z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AA395" i="2"/>
  <c r="Z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AA394" i="2"/>
  <c r="Z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AA393" i="2"/>
  <c r="Z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AA392" i="2"/>
  <c r="Z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AA391" i="2"/>
  <c r="Z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AA390" i="2"/>
  <c r="Z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AA389" i="2"/>
  <c r="Z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AA388" i="2"/>
  <c r="Z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AA387" i="2"/>
  <c r="Z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AA386" i="2"/>
  <c r="Z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AA385" i="2"/>
  <c r="Z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AA384" i="2"/>
  <c r="Z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AA383" i="2"/>
  <c r="Z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AA382" i="2"/>
  <c r="Z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AA381" i="2"/>
  <c r="Z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AA380" i="2"/>
  <c r="Z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AA379" i="2"/>
  <c r="Z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AA378" i="2"/>
  <c r="Z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AA377" i="2"/>
  <c r="Z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AA376" i="2"/>
  <c r="Z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AA375" i="2"/>
  <c r="Z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AA374" i="2"/>
  <c r="Z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AA373" i="2"/>
  <c r="Z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AA372" i="2"/>
  <c r="Z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AA371" i="2"/>
  <c r="Z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AA370" i="2"/>
  <c r="Z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AA369" i="2"/>
  <c r="Z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AA368" i="2"/>
  <c r="Z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AA367" i="2"/>
  <c r="Z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AA366" i="2"/>
  <c r="Z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AA365" i="2"/>
  <c r="Z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AA364" i="2"/>
  <c r="Z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AA363" i="2"/>
  <c r="Z363" i="2"/>
  <c r="X363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AA362" i="2"/>
  <c r="Z362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AA361" i="2"/>
  <c r="Z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AA360" i="2"/>
  <c r="Z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AA359" i="2"/>
  <c r="Z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AA358" i="2"/>
  <c r="Z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AA357" i="2"/>
  <c r="Z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AA356" i="2"/>
  <c r="Z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AA355" i="2"/>
  <c r="Z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AA354" i="2"/>
  <c r="Z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AA353" i="2"/>
  <c r="Z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AA352" i="2"/>
  <c r="Z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AA351" i="2"/>
  <c r="Z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AA350" i="2"/>
  <c r="Z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AA349" i="2"/>
  <c r="Z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AA348" i="2"/>
  <c r="Z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AA347" i="2"/>
  <c r="Z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AA346" i="2"/>
  <c r="Z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AA345" i="2"/>
  <c r="Z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AA344" i="2"/>
  <c r="Z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AA343" i="2"/>
  <c r="Z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AA342" i="2"/>
  <c r="Z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AA341" i="2"/>
  <c r="Z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AA340" i="2"/>
  <c r="Z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AA339" i="2"/>
  <c r="Z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AA338" i="2"/>
  <c r="Z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AA337" i="2"/>
  <c r="Z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AA336" i="2"/>
  <c r="Z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AA335" i="2"/>
  <c r="Z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AA334" i="2"/>
  <c r="Z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AA333" i="2"/>
  <c r="Z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AA332" i="2"/>
  <c r="Z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AA331" i="2"/>
  <c r="Z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AA330" i="2"/>
  <c r="Z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AA329" i="2"/>
  <c r="Z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AA328" i="2"/>
  <c r="Z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AA327" i="2"/>
  <c r="Z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AA326" i="2"/>
  <c r="Z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AA325" i="2"/>
  <c r="Z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AA324" i="2"/>
  <c r="Z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AA323" i="2"/>
  <c r="Z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AA322" i="2"/>
  <c r="Z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AA321" i="2"/>
  <c r="Z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AA320" i="2"/>
  <c r="Z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AA319" i="2"/>
  <c r="Z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AA318" i="2"/>
  <c r="Z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AA317" i="2"/>
  <c r="Z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AA316" i="2"/>
  <c r="Z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AA315" i="2"/>
  <c r="Z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AA314" i="2"/>
  <c r="Z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AA313" i="2"/>
  <c r="Z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AA312" i="2"/>
  <c r="Z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AA311" i="2"/>
  <c r="Z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AA310" i="2"/>
  <c r="Z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AA309" i="2"/>
  <c r="Z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AA308" i="2"/>
  <c r="Z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AA307" i="2"/>
  <c r="Z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AA306" i="2"/>
  <c r="Z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AA305" i="2"/>
  <c r="Z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AA304" i="2"/>
  <c r="Z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AA303" i="2"/>
  <c r="Z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AA302" i="2"/>
  <c r="Z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AA301" i="2"/>
  <c r="Z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AA300" i="2"/>
  <c r="Z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AA299" i="2"/>
  <c r="Z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AA298" i="2"/>
  <c r="Z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AA297" i="2"/>
  <c r="Z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AA296" i="2"/>
  <c r="Z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AA295" i="2"/>
  <c r="Z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AA294" i="2"/>
  <c r="Z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AA293" i="2"/>
  <c r="Z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AA292" i="2"/>
  <c r="Z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AA291" i="2"/>
  <c r="Z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AA290" i="2"/>
  <c r="Z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AA289" i="2"/>
  <c r="Z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AA288" i="2"/>
  <c r="Z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AA287" i="2"/>
  <c r="Z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AA286" i="2"/>
  <c r="Z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AA285" i="2"/>
  <c r="Z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AA284" i="2"/>
  <c r="Z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AA283" i="2"/>
  <c r="Z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AA282" i="2"/>
  <c r="Z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AA281" i="2"/>
  <c r="Z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AA280" i="2"/>
  <c r="Z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AA279" i="2"/>
  <c r="Z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AA278" i="2"/>
  <c r="Z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AA277" i="2"/>
  <c r="Z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AA276" i="2"/>
  <c r="Z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AA275" i="2"/>
  <c r="Z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AA274" i="2"/>
  <c r="Z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AA273" i="2"/>
  <c r="Z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AA272" i="2"/>
  <c r="Z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AA271" i="2"/>
  <c r="Z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AA270" i="2"/>
  <c r="Z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AA269" i="2"/>
  <c r="Z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AA268" i="2"/>
  <c r="Z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AA267" i="2"/>
  <c r="Z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AA266" i="2"/>
  <c r="Z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AA265" i="2"/>
  <c r="Z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AA264" i="2"/>
  <c r="Z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AA263" i="2"/>
  <c r="Z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AA262" i="2"/>
  <c r="Z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AA261" i="2"/>
  <c r="Z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AA260" i="2"/>
  <c r="Z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AA259" i="2"/>
  <c r="Z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AA258" i="2"/>
  <c r="Z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AA257" i="2"/>
  <c r="Z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AA256" i="2"/>
  <c r="Z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AA255" i="2"/>
  <c r="Z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AA254" i="2"/>
  <c r="Z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AA253" i="2"/>
  <c r="Z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A252" i="2"/>
  <c r="Z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A251" i="2"/>
  <c r="Z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A250" i="2"/>
  <c r="Z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A249" i="2"/>
  <c r="Z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A248" i="2"/>
  <c r="Z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A247" i="2"/>
  <c r="Z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AA246" i="2"/>
  <c r="Z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AA245" i="2"/>
  <c r="Z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AA244" i="2"/>
  <c r="Z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AA243" i="2"/>
  <c r="Z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AA242" i="2"/>
  <c r="Z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A241" i="2"/>
  <c r="Z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A240" i="2"/>
  <c r="Z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AA239" i="2"/>
  <c r="Z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A238" i="2"/>
  <c r="Z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AA237" i="2"/>
  <c r="Z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AA236" i="2"/>
  <c r="Z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AA235" i="2"/>
  <c r="Z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AA234" i="2"/>
  <c r="Z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AA233" i="2"/>
  <c r="Z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AA232" i="2"/>
  <c r="Z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AA231" i="2"/>
  <c r="Z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AA230" i="2"/>
  <c r="Z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AA229" i="2"/>
  <c r="Z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AA228" i="2"/>
  <c r="Z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AA227" i="2"/>
  <c r="Z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AA226" i="2"/>
  <c r="Z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AA225" i="2"/>
  <c r="Z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AA224" i="2"/>
  <c r="Z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AA223" i="2"/>
  <c r="Z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AA222" i="2"/>
  <c r="Z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AA221" i="2"/>
  <c r="Z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AA220" i="2"/>
  <c r="Z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AA219" i="2"/>
  <c r="Z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AA218" i="2"/>
  <c r="Z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AA217" i="2"/>
  <c r="Z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AA216" i="2"/>
  <c r="Z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A215" i="2"/>
  <c r="Z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A214" i="2"/>
  <c r="Z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A213" i="2"/>
  <c r="Z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AA212" i="2"/>
  <c r="Z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AA211" i="2"/>
  <c r="Z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A210" i="2"/>
  <c r="Z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A209" i="2"/>
  <c r="Z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AA208" i="2"/>
  <c r="Z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AA207" i="2"/>
  <c r="Z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A206" i="2"/>
  <c r="Z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AA205" i="2"/>
  <c r="Z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A204" i="2"/>
  <c r="Z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A203" i="2"/>
  <c r="Z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A202" i="2"/>
  <c r="Z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A201" i="2"/>
  <c r="Z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AA200" i="2"/>
  <c r="Z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AA199" i="2"/>
  <c r="Z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A198" i="2"/>
  <c r="Z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A197" i="2"/>
  <c r="Z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A196" i="2"/>
  <c r="Z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A195" i="2"/>
  <c r="Z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A194" i="2"/>
  <c r="Z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AA193" i="2"/>
  <c r="Z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AA192" i="2"/>
  <c r="Z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AA191" i="2"/>
  <c r="Z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AA190" i="2"/>
  <c r="Z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AA189" i="2"/>
  <c r="Z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AA188" i="2"/>
  <c r="Z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AA187" i="2"/>
  <c r="Z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AA186" i="2"/>
  <c r="Z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AA185" i="2"/>
  <c r="Z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AA184" i="2"/>
  <c r="Z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A183" i="2"/>
  <c r="Z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A182" i="2"/>
  <c r="Z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A181" i="2"/>
  <c r="Z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A180" i="2"/>
  <c r="Z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A179" i="2"/>
  <c r="Z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A178" i="2"/>
  <c r="Z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A177" i="2"/>
  <c r="Z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A176" i="2"/>
  <c r="Z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AA175" i="2"/>
  <c r="Z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AA174" i="2"/>
  <c r="Z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A173" i="2"/>
  <c r="Z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A172" i="2"/>
  <c r="Z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A171" i="2"/>
  <c r="Z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A170" i="2"/>
  <c r="Z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A169" i="2"/>
  <c r="Z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A168" i="2"/>
  <c r="Z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A167" i="2"/>
  <c r="Z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A166" i="2"/>
  <c r="Z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AA165" i="2"/>
  <c r="Z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AA164" i="2"/>
  <c r="Z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AA163" i="2"/>
  <c r="Z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AA162" i="2"/>
  <c r="Z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AA161" i="2"/>
  <c r="Z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AA160" i="2"/>
  <c r="Z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AA159" i="2"/>
  <c r="Z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AA158" i="2"/>
  <c r="Z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AA157" i="2"/>
  <c r="Z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AA156" i="2"/>
  <c r="Z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AA155" i="2"/>
  <c r="Z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AA153" i="2"/>
  <c r="Z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AA152" i="2"/>
  <c r="Z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AA151" i="2"/>
  <c r="Z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AA150" i="2"/>
  <c r="Z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AA149" i="2"/>
  <c r="Z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AA148" i="2"/>
  <c r="Z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AA147" i="2"/>
  <c r="Z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AA146" i="2"/>
  <c r="Z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A145" i="2"/>
  <c r="Z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AA144" i="2"/>
  <c r="Z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AA143" i="2"/>
  <c r="Z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AA142" i="2"/>
  <c r="Z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AA141" i="2"/>
  <c r="Z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AA140" i="2"/>
  <c r="Z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A139" i="2"/>
  <c r="Z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A138" i="2"/>
  <c r="Z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A137" i="2"/>
  <c r="Z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A136" i="2"/>
  <c r="Z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A135" i="2"/>
  <c r="Z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A134" i="2"/>
  <c r="Z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A133" i="2"/>
  <c r="Z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A132" i="2"/>
  <c r="Z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A131" i="2"/>
  <c r="Z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AA130" i="2"/>
  <c r="Z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A129" i="2"/>
  <c r="Z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A128" i="2"/>
  <c r="Z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A127" i="2"/>
  <c r="Z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A126" i="2"/>
  <c r="Z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A125" i="2"/>
  <c r="Z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A124" i="2"/>
  <c r="Z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AA123" i="2"/>
  <c r="Z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A122" i="2"/>
  <c r="Z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A121" i="2"/>
  <c r="Z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AA120" i="2"/>
  <c r="Z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AA119" i="2"/>
  <c r="Z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AA118" i="2"/>
  <c r="Z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AA117" i="2"/>
  <c r="Z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AA116" i="2"/>
  <c r="Z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AA115" i="2"/>
  <c r="Z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A114" i="2"/>
  <c r="Z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A113" i="2"/>
  <c r="Z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A112" i="2"/>
  <c r="Z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A111" i="2"/>
  <c r="Z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A110" i="2"/>
  <c r="Z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A109" i="2"/>
  <c r="Z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A108" i="2"/>
  <c r="Z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A107" i="2"/>
  <c r="Z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A106" i="2"/>
  <c r="Z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A105" i="2"/>
  <c r="Z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A104" i="2"/>
  <c r="Z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A103" i="2"/>
  <c r="Z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A102" i="2"/>
  <c r="Z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A101" i="2"/>
  <c r="Z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A100" i="2"/>
  <c r="Z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A99" i="2"/>
  <c r="Z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A98" i="2"/>
  <c r="Z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A97" i="2"/>
  <c r="Z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A96" i="2"/>
  <c r="Z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AA95" i="2"/>
  <c r="Z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AA94" i="2"/>
  <c r="Z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A93" i="2"/>
  <c r="Z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A92" i="2"/>
  <c r="Z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A91" i="2"/>
  <c r="Z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A90" i="2"/>
  <c r="Z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A89" i="2"/>
  <c r="Z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AA88" i="2"/>
  <c r="Z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A87" i="2"/>
  <c r="Z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A86" i="2"/>
  <c r="Z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A85" i="2"/>
  <c r="Z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A84" i="2"/>
  <c r="Z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AA83" i="2"/>
  <c r="Z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A82" i="2"/>
  <c r="Z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A81" i="2"/>
  <c r="Z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A80" i="2"/>
  <c r="Z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A79" i="2"/>
  <c r="Z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A78" i="2"/>
  <c r="Z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A77" i="2"/>
  <c r="Z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A76" i="2"/>
  <c r="Z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A75" i="2"/>
  <c r="Z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A74" i="2"/>
  <c r="Z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A73" i="2"/>
  <c r="Z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A72" i="2"/>
  <c r="Z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A71" i="2"/>
  <c r="Z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A70" i="2"/>
  <c r="Z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A69" i="2"/>
  <c r="Z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A68" i="2"/>
  <c r="Z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A67" i="2"/>
  <c r="Z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A66" i="2"/>
  <c r="Z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A65" i="2"/>
  <c r="Z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A64" i="2"/>
  <c r="Z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AA63" i="2"/>
  <c r="Z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A62" i="2"/>
  <c r="Z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A61" i="2"/>
  <c r="Z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A60" i="2"/>
  <c r="Z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A59" i="2"/>
  <c r="Z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AA58" i="2"/>
  <c r="Z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A57" i="2"/>
  <c r="Z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A56" i="2"/>
  <c r="Z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A55" i="2"/>
  <c r="Z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AA54" i="2"/>
  <c r="Z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AA53" i="2"/>
  <c r="Z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AA52" i="2"/>
  <c r="Z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AA51" i="2"/>
  <c r="Z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AA50" i="2"/>
  <c r="Z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AA49" i="2"/>
  <c r="Z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AA48" i="2"/>
  <c r="Z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AA47" i="2"/>
  <c r="Z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AA46" i="2"/>
  <c r="Z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AA45" i="2"/>
  <c r="Z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AA44" i="2"/>
  <c r="Z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AA43" i="2"/>
  <c r="Z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A42" i="2"/>
  <c r="Z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AA41" i="2"/>
  <c r="Z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AA40" i="2"/>
  <c r="Z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A39" i="2"/>
  <c r="Z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AA38" i="2"/>
  <c r="Z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A37" i="2"/>
  <c r="Z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A36" i="2"/>
  <c r="Z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AA35" i="2"/>
  <c r="Z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A34" i="2"/>
  <c r="Z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A33" i="2"/>
  <c r="Z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AA32" i="2"/>
  <c r="Z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A31" i="2"/>
  <c r="Z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A30" i="2"/>
  <c r="Z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AA29" i="2"/>
  <c r="Z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A28" i="2"/>
  <c r="Z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AA27" i="2"/>
  <c r="Z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AA26" i="2"/>
  <c r="Z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AA25" i="2"/>
  <c r="Z25" i="2"/>
  <c r="X25" i="2"/>
  <c r="W25" i="2"/>
  <c r="V25" i="2"/>
  <c r="U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AA24" i="2"/>
  <c r="Z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A23" i="2"/>
  <c r="Z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A22" i="2"/>
  <c r="Z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A21" i="2"/>
  <c r="Z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AA20" i="2"/>
  <c r="Z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AA19" i="2"/>
  <c r="Z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AA18" i="2"/>
  <c r="Z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AA17" i="2"/>
  <c r="Z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AA16" i="2"/>
  <c r="Z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A15" i="2"/>
  <c r="Z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AA14" i="2"/>
  <c r="Z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A13" i="2"/>
  <c r="Z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A12" i="2"/>
  <c r="Z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A11" i="2"/>
  <c r="Z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A10" i="2"/>
  <c r="Z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A9" i="2"/>
  <c r="Z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A8" i="2"/>
  <c r="Z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A7" i="2"/>
  <c r="Z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A6" i="2"/>
  <c r="Z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A5" i="2"/>
  <c r="Z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A4" i="2"/>
  <c r="Z4" i="2"/>
  <c r="Y4" i="2" a="1"/>
  <c r="Y997" i="2" s="1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996" i="2"/>
  <c r="A990" i="2"/>
  <c r="A970" i="2"/>
  <c r="A948" i="2"/>
  <c r="A942" i="2"/>
  <c r="A922" i="2"/>
  <c r="A900" i="2"/>
  <c r="A892" i="2"/>
  <c r="A870" i="2"/>
  <c r="A850" i="2"/>
  <c r="A844" i="2"/>
  <c r="A822" i="2"/>
  <c r="A802" i="2"/>
  <c r="A796" i="2"/>
  <c r="A774" i="2"/>
  <c r="A754" i="2"/>
  <c r="A746" i="2"/>
  <c r="A724" i="2"/>
  <c r="A702" i="2"/>
  <c r="A698" i="2"/>
  <c r="A677" i="2"/>
  <c r="A658" i="2"/>
  <c r="A652" i="2"/>
  <c r="A633" i="2"/>
  <c r="A613" i="2"/>
  <c r="A609" i="2"/>
  <c r="A588" i="2"/>
  <c r="A570" i="2"/>
  <c r="A563" i="2"/>
  <c r="A545" i="2"/>
  <c r="A526" i="2"/>
  <c r="A522" i="2"/>
  <c r="A503" i="2"/>
  <c r="A485" i="2"/>
  <c r="A481" i="2"/>
  <c r="A462" i="2"/>
  <c r="A444" i="2"/>
  <c r="A437" i="2"/>
  <c r="A419" i="2"/>
  <c r="A401" i="2"/>
  <c r="A396" i="2"/>
  <c r="A378" i="2"/>
  <c r="A359" i="2"/>
  <c r="A355" i="2"/>
  <c r="A337" i="2"/>
  <c r="A318" i="2"/>
  <c r="A314" i="2"/>
  <c r="A295" i="2"/>
  <c r="A277" i="2"/>
  <c r="A270" i="2"/>
  <c r="A252" i="2"/>
  <c r="A234" i="2"/>
  <c r="A229" i="2"/>
  <c r="A211" i="2"/>
  <c r="A193" i="2"/>
  <c r="A188" i="2"/>
  <c r="A170" i="2"/>
  <c r="A151" i="2"/>
  <c r="A145" i="2"/>
  <c r="A129" i="2"/>
  <c r="A112" i="2"/>
  <c r="A106" i="2"/>
  <c r="A89" i="2"/>
  <c r="A71" i="2"/>
  <c r="A67" i="2"/>
  <c r="A50" i="2"/>
  <c r="A33" i="2"/>
  <c r="A28" i="2"/>
  <c r="A11" i="2"/>
  <c r="A4" i="2" a="1"/>
  <c r="A980" i="2" s="1"/>
  <c r="Q1626" i="1"/>
  <c r="H1626" i="1"/>
  <c r="Q1625" i="1"/>
  <c r="H1625" i="1"/>
  <c r="Q1624" i="1"/>
  <c r="H1624" i="1"/>
  <c r="Q1623" i="1"/>
  <c r="H1623" i="1"/>
  <c r="Q1622" i="1"/>
  <c r="H1622" i="1"/>
  <c r="Q1621" i="1"/>
  <c r="H1621" i="1"/>
  <c r="Q1620" i="1"/>
  <c r="H1620" i="1"/>
  <c r="Q1619" i="1"/>
  <c r="H1619" i="1"/>
  <c r="Q1618" i="1"/>
  <c r="H1618" i="1"/>
  <c r="Q1617" i="1"/>
  <c r="H1617" i="1"/>
  <c r="Q1616" i="1"/>
  <c r="H1616" i="1"/>
  <c r="Q1615" i="1"/>
  <c r="H1615" i="1"/>
  <c r="Q1614" i="1"/>
  <c r="H1614" i="1"/>
  <c r="Q1613" i="1"/>
  <c r="H1613" i="1"/>
  <c r="Q1612" i="1"/>
  <c r="H1612" i="1"/>
  <c r="Q1611" i="1"/>
  <c r="H1611" i="1"/>
  <c r="Q1610" i="1"/>
  <c r="H1610" i="1"/>
  <c r="Q1609" i="1"/>
  <c r="H1609" i="1"/>
  <c r="Q1608" i="1"/>
  <c r="H1608" i="1"/>
  <c r="Q1607" i="1"/>
  <c r="H1607" i="1"/>
  <c r="Q1606" i="1"/>
  <c r="H1606" i="1"/>
  <c r="Q1605" i="1"/>
  <c r="H1605" i="1"/>
  <c r="Q1604" i="1"/>
  <c r="H1604" i="1"/>
  <c r="Q1603" i="1"/>
  <c r="H1603" i="1"/>
  <c r="Q1602" i="1"/>
  <c r="H1602" i="1"/>
  <c r="Q1601" i="1"/>
  <c r="H1601" i="1"/>
  <c r="Q1600" i="1"/>
  <c r="H1600" i="1"/>
  <c r="Q1599" i="1"/>
  <c r="H1599" i="1"/>
  <c r="Q1598" i="1"/>
  <c r="H1598" i="1"/>
  <c r="Q1597" i="1"/>
  <c r="H1597" i="1"/>
  <c r="Q1596" i="1"/>
  <c r="H1596" i="1"/>
  <c r="Q1595" i="1"/>
  <c r="H1595" i="1"/>
  <c r="Q1594" i="1"/>
  <c r="H1594" i="1"/>
  <c r="Q1593" i="1"/>
  <c r="H1593" i="1"/>
  <c r="Q1592" i="1"/>
  <c r="H1592" i="1"/>
  <c r="Q1591" i="1"/>
  <c r="H1591" i="1"/>
  <c r="Q1590" i="1"/>
  <c r="H1590" i="1"/>
  <c r="Q1589" i="1"/>
  <c r="H1589" i="1"/>
  <c r="Q1588" i="1"/>
  <c r="H1588" i="1"/>
  <c r="Q1587" i="1"/>
  <c r="H1587" i="1"/>
  <c r="Q1586" i="1"/>
  <c r="H1586" i="1"/>
  <c r="Q1585" i="1"/>
  <c r="H1585" i="1"/>
  <c r="Q1584" i="1"/>
  <c r="H1584" i="1"/>
  <c r="Q1583" i="1"/>
  <c r="H1583" i="1"/>
  <c r="Q1582" i="1"/>
  <c r="H1582" i="1"/>
  <c r="Q1581" i="1"/>
  <c r="H1581" i="1"/>
  <c r="Q1580" i="1"/>
  <c r="H1580" i="1"/>
  <c r="Q1579" i="1"/>
  <c r="H1579" i="1"/>
  <c r="Q1578" i="1"/>
  <c r="H1578" i="1"/>
  <c r="Q1577" i="1"/>
  <c r="H1577" i="1"/>
  <c r="Q1576" i="1"/>
  <c r="H1576" i="1"/>
  <c r="Q1575" i="1"/>
  <c r="H1575" i="1"/>
  <c r="Q1574" i="1"/>
  <c r="H1574" i="1"/>
  <c r="Q1573" i="1"/>
  <c r="H1573" i="1"/>
  <c r="Q1572" i="1"/>
  <c r="H1572" i="1"/>
  <c r="Q1571" i="1"/>
  <c r="H1571" i="1"/>
  <c r="Q1570" i="1"/>
  <c r="H1570" i="1"/>
  <c r="Q1569" i="1"/>
  <c r="H1569" i="1"/>
  <c r="Q1568" i="1"/>
  <c r="H1568" i="1"/>
  <c r="Q1567" i="1"/>
  <c r="H1567" i="1"/>
  <c r="Q1566" i="1"/>
  <c r="H1566" i="1"/>
  <c r="Q1565" i="1"/>
  <c r="H1565" i="1"/>
  <c r="Q1564" i="1"/>
  <c r="H1564" i="1"/>
  <c r="Q1563" i="1"/>
  <c r="H1563" i="1"/>
  <c r="Q1562" i="1"/>
  <c r="H1562" i="1"/>
  <c r="Q1561" i="1"/>
  <c r="H1561" i="1"/>
  <c r="Q1560" i="1"/>
  <c r="H1560" i="1"/>
  <c r="Q1559" i="1"/>
  <c r="H1559" i="1"/>
  <c r="Q1558" i="1"/>
  <c r="H1558" i="1"/>
  <c r="Q1557" i="1"/>
  <c r="H1557" i="1"/>
  <c r="Q1556" i="1"/>
  <c r="H1556" i="1"/>
  <c r="Q1555" i="1"/>
  <c r="H1555" i="1"/>
  <c r="Q1554" i="1"/>
  <c r="H1554" i="1"/>
  <c r="Q1553" i="1"/>
  <c r="H1553" i="1"/>
  <c r="Q1552" i="1"/>
  <c r="H1552" i="1"/>
  <c r="Q1551" i="1"/>
  <c r="H1551" i="1"/>
  <c r="Q1550" i="1"/>
  <c r="H1550" i="1"/>
  <c r="Q1549" i="1"/>
  <c r="H1549" i="1"/>
  <c r="Q1548" i="1"/>
  <c r="H1548" i="1"/>
  <c r="Q1547" i="1"/>
  <c r="H1547" i="1"/>
  <c r="Q1546" i="1"/>
  <c r="H1546" i="1"/>
  <c r="Q1545" i="1"/>
  <c r="H1545" i="1"/>
  <c r="Q1544" i="1"/>
  <c r="H1544" i="1"/>
  <c r="Q1543" i="1"/>
  <c r="H1543" i="1"/>
  <c r="Q1542" i="1"/>
  <c r="H1542" i="1"/>
  <c r="Q1541" i="1"/>
  <c r="H1541" i="1"/>
  <c r="Q1540" i="1"/>
  <c r="H1540" i="1"/>
  <c r="Q1539" i="1"/>
  <c r="H1539" i="1"/>
  <c r="Q1538" i="1"/>
  <c r="H1538" i="1"/>
  <c r="Q1537" i="1"/>
  <c r="H1537" i="1"/>
  <c r="Q1536" i="1"/>
  <c r="H1536" i="1"/>
  <c r="Q1535" i="1"/>
  <c r="H1535" i="1"/>
  <c r="Q1534" i="1"/>
  <c r="H1534" i="1"/>
  <c r="Q1533" i="1"/>
  <c r="H1533" i="1"/>
  <c r="Q1532" i="1"/>
  <c r="H1532" i="1"/>
  <c r="Q1531" i="1"/>
  <c r="H1531" i="1"/>
  <c r="Q1530" i="1"/>
  <c r="H1530" i="1"/>
  <c r="Q1529" i="1"/>
  <c r="H1529" i="1"/>
  <c r="Q1528" i="1"/>
  <c r="H1528" i="1"/>
  <c r="Q1527" i="1"/>
  <c r="H1527" i="1"/>
  <c r="Q1526" i="1"/>
  <c r="H1526" i="1"/>
  <c r="Q1525" i="1"/>
  <c r="H1525" i="1"/>
  <c r="Q1524" i="1"/>
  <c r="H1524" i="1"/>
  <c r="Q1523" i="1"/>
  <c r="H1523" i="1"/>
  <c r="Q1522" i="1"/>
  <c r="H1522" i="1"/>
  <c r="Q1521" i="1"/>
  <c r="H1521" i="1"/>
  <c r="Q1520" i="1"/>
  <c r="H1520" i="1"/>
  <c r="Q1519" i="1"/>
  <c r="H1519" i="1"/>
  <c r="Q1518" i="1"/>
  <c r="H1518" i="1"/>
  <c r="Q1517" i="1"/>
  <c r="H1517" i="1"/>
  <c r="Q1516" i="1"/>
  <c r="H1516" i="1"/>
  <c r="Q1515" i="1"/>
  <c r="H1515" i="1"/>
  <c r="Q1514" i="1"/>
  <c r="H1514" i="1"/>
  <c r="Q1513" i="1"/>
  <c r="H1513" i="1"/>
  <c r="Q1512" i="1"/>
  <c r="H1512" i="1"/>
  <c r="Q1511" i="1"/>
  <c r="H1511" i="1"/>
  <c r="Q1510" i="1"/>
  <c r="H1510" i="1"/>
  <c r="Q1509" i="1"/>
  <c r="H1509" i="1"/>
  <c r="Q1508" i="1"/>
  <c r="H1508" i="1"/>
  <c r="Q1507" i="1"/>
  <c r="H1507" i="1"/>
  <c r="Q1506" i="1"/>
  <c r="H1506" i="1"/>
  <c r="Q1505" i="1"/>
  <c r="H1505" i="1"/>
  <c r="Q1504" i="1"/>
  <c r="H1504" i="1"/>
  <c r="Q1503" i="1"/>
  <c r="H1503" i="1"/>
  <c r="Q1502" i="1"/>
  <c r="H1502" i="1"/>
  <c r="Q1501" i="1"/>
  <c r="H1501" i="1"/>
  <c r="Q1500" i="1"/>
  <c r="H1500" i="1"/>
  <c r="Q1499" i="1"/>
  <c r="H1499" i="1"/>
  <c r="Q1498" i="1"/>
  <c r="H1498" i="1"/>
  <c r="Q1497" i="1"/>
  <c r="H1497" i="1"/>
  <c r="Q1496" i="1"/>
  <c r="H1496" i="1"/>
  <c r="Q1495" i="1"/>
  <c r="H1495" i="1"/>
  <c r="Q1494" i="1"/>
  <c r="H1494" i="1"/>
  <c r="Q1493" i="1"/>
  <c r="H1493" i="1"/>
  <c r="Q1492" i="1"/>
  <c r="H1492" i="1"/>
  <c r="Q1491" i="1"/>
  <c r="H1491" i="1"/>
  <c r="Q1490" i="1"/>
  <c r="H1490" i="1"/>
  <c r="Q1489" i="1"/>
  <c r="H1489" i="1"/>
  <c r="Q1488" i="1"/>
  <c r="H1488" i="1"/>
  <c r="Q1487" i="1"/>
  <c r="H1487" i="1"/>
  <c r="Q1486" i="1"/>
  <c r="H1486" i="1"/>
  <c r="Q1485" i="1"/>
  <c r="H1485" i="1"/>
  <c r="Q1484" i="1"/>
  <c r="H1484" i="1"/>
  <c r="Q1483" i="1"/>
  <c r="H1483" i="1"/>
  <c r="Q1482" i="1"/>
  <c r="H1482" i="1"/>
  <c r="Q1481" i="1"/>
  <c r="H1481" i="1"/>
  <c r="Q1480" i="1"/>
  <c r="H1480" i="1"/>
  <c r="Q1479" i="1"/>
  <c r="H1479" i="1"/>
  <c r="Q1478" i="1"/>
  <c r="H1478" i="1"/>
  <c r="Q1477" i="1"/>
  <c r="H1477" i="1"/>
  <c r="Q1476" i="1"/>
  <c r="H1476" i="1"/>
  <c r="Q1475" i="1"/>
  <c r="H1475" i="1"/>
  <c r="Q1474" i="1"/>
  <c r="H1474" i="1"/>
  <c r="Q1473" i="1"/>
  <c r="H1473" i="1"/>
  <c r="Q1472" i="1"/>
  <c r="H1472" i="1"/>
  <c r="Q1471" i="1"/>
  <c r="H1471" i="1"/>
  <c r="Q1470" i="1"/>
  <c r="H1470" i="1"/>
  <c r="Q1469" i="1"/>
  <c r="H1469" i="1"/>
  <c r="Q1468" i="1"/>
  <c r="H1468" i="1"/>
  <c r="Q1467" i="1"/>
  <c r="H1467" i="1"/>
  <c r="Q1466" i="1"/>
  <c r="H1466" i="1"/>
  <c r="Q1465" i="1"/>
  <c r="H1465" i="1"/>
  <c r="Q1464" i="1"/>
  <c r="H1464" i="1"/>
  <c r="Q1463" i="1"/>
  <c r="H1463" i="1"/>
  <c r="Q1462" i="1"/>
  <c r="H1462" i="1"/>
  <c r="Q1461" i="1"/>
  <c r="H1461" i="1"/>
  <c r="Q1460" i="1"/>
  <c r="H1460" i="1"/>
  <c r="Q1459" i="1"/>
  <c r="H1459" i="1"/>
  <c r="Q1458" i="1"/>
  <c r="H1458" i="1"/>
  <c r="Q1457" i="1"/>
  <c r="H1457" i="1"/>
  <c r="Q1456" i="1"/>
  <c r="H1456" i="1"/>
  <c r="Q1455" i="1"/>
  <c r="H1455" i="1"/>
  <c r="Q1454" i="1"/>
  <c r="H1454" i="1"/>
  <c r="Q1453" i="1"/>
  <c r="H1453" i="1"/>
  <c r="Q1452" i="1"/>
  <c r="H1452" i="1"/>
  <c r="Q1451" i="1"/>
  <c r="H1451" i="1"/>
  <c r="Q1450" i="1"/>
  <c r="H1450" i="1"/>
  <c r="Q1449" i="1"/>
  <c r="H1449" i="1"/>
  <c r="Q1448" i="1"/>
  <c r="H1448" i="1"/>
  <c r="Q1447" i="1"/>
  <c r="H1447" i="1"/>
  <c r="Q1446" i="1"/>
  <c r="H1446" i="1"/>
  <c r="Q1445" i="1"/>
  <c r="H1445" i="1"/>
  <c r="Q1444" i="1"/>
  <c r="H1444" i="1"/>
  <c r="Q1443" i="1"/>
  <c r="H1443" i="1"/>
  <c r="Q1442" i="1"/>
  <c r="H1442" i="1"/>
  <c r="Q1441" i="1"/>
  <c r="H1441" i="1"/>
  <c r="Q1440" i="1"/>
  <c r="H1440" i="1"/>
  <c r="Q1439" i="1"/>
  <c r="H1439" i="1"/>
  <c r="Q1438" i="1"/>
  <c r="H1438" i="1"/>
  <c r="Q1437" i="1"/>
  <c r="H1437" i="1"/>
  <c r="Q1436" i="1"/>
  <c r="H1436" i="1"/>
  <c r="Q1435" i="1"/>
  <c r="H1435" i="1"/>
  <c r="Q1434" i="1"/>
  <c r="H1434" i="1"/>
  <c r="Q1433" i="1"/>
  <c r="H1433" i="1"/>
  <c r="Q1432" i="1"/>
  <c r="H1432" i="1"/>
  <c r="Q1431" i="1"/>
  <c r="H1431" i="1"/>
  <c r="Q1430" i="1"/>
  <c r="H1430" i="1"/>
  <c r="Q1429" i="1"/>
  <c r="H1429" i="1"/>
  <c r="Q1428" i="1"/>
  <c r="H1428" i="1"/>
  <c r="Q1427" i="1"/>
  <c r="H1427" i="1"/>
  <c r="Q1426" i="1"/>
  <c r="H1426" i="1"/>
  <c r="Q1425" i="1"/>
  <c r="H1425" i="1"/>
  <c r="Q1424" i="1"/>
  <c r="H1424" i="1"/>
  <c r="Q1423" i="1"/>
  <c r="H1423" i="1"/>
  <c r="Q1422" i="1"/>
  <c r="H1422" i="1"/>
  <c r="Q1421" i="1"/>
  <c r="H1421" i="1"/>
  <c r="Q1420" i="1"/>
  <c r="H1420" i="1"/>
  <c r="Q1419" i="1"/>
  <c r="H1419" i="1"/>
  <c r="Q1418" i="1"/>
  <c r="H1418" i="1"/>
  <c r="Q1417" i="1"/>
  <c r="H1417" i="1"/>
  <c r="Q1416" i="1"/>
  <c r="H1416" i="1"/>
  <c r="Q1415" i="1"/>
  <c r="H1415" i="1"/>
  <c r="Q1414" i="1"/>
  <c r="H1414" i="1"/>
  <c r="Q1413" i="1"/>
  <c r="H1413" i="1"/>
  <c r="Q1412" i="1"/>
  <c r="H1412" i="1"/>
  <c r="Q1411" i="1"/>
  <c r="H1411" i="1"/>
  <c r="Q1410" i="1"/>
  <c r="H1410" i="1"/>
  <c r="Q1409" i="1"/>
  <c r="H1409" i="1"/>
  <c r="Q1408" i="1"/>
  <c r="H1408" i="1"/>
  <c r="Q1407" i="1"/>
  <c r="H1407" i="1"/>
  <c r="Q1406" i="1"/>
  <c r="H1406" i="1"/>
  <c r="Q1405" i="1"/>
  <c r="H1405" i="1"/>
  <c r="Q1404" i="1"/>
  <c r="H1404" i="1"/>
  <c r="Q1403" i="1"/>
  <c r="H1403" i="1"/>
  <c r="Q1402" i="1"/>
  <c r="H1402" i="1"/>
  <c r="Q1401" i="1"/>
  <c r="H1401" i="1"/>
  <c r="Q1400" i="1"/>
  <c r="H1400" i="1"/>
  <c r="Q1399" i="1"/>
  <c r="H1399" i="1"/>
  <c r="Q1398" i="1"/>
  <c r="H1398" i="1"/>
  <c r="Q1397" i="1"/>
  <c r="H1397" i="1"/>
  <c r="Q1396" i="1"/>
  <c r="H1396" i="1"/>
  <c r="Q1395" i="1"/>
  <c r="H1395" i="1"/>
  <c r="Q1394" i="1"/>
  <c r="H1394" i="1"/>
  <c r="Q1393" i="1"/>
  <c r="H1393" i="1"/>
  <c r="Q1392" i="1"/>
  <c r="H1392" i="1"/>
  <c r="Q1391" i="1"/>
  <c r="H1391" i="1"/>
  <c r="Q1390" i="1"/>
  <c r="H1390" i="1"/>
  <c r="Q1389" i="1"/>
  <c r="H1389" i="1"/>
  <c r="Q1388" i="1"/>
  <c r="H1388" i="1"/>
  <c r="Q1387" i="1"/>
  <c r="H1387" i="1"/>
  <c r="Q1386" i="1"/>
  <c r="H1386" i="1"/>
  <c r="Q1385" i="1"/>
  <c r="H1385" i="1"/>
  <c r="Q1384" i="1"/>
  <c r="H1384" i="1"/>
  <c r="Q1383" i="1"/>
  <c r="H1383" i="1"/>
  <c r="Q1382" i="1"/>
  <c r="H1382" i="1"/>
  <c r="Q1381" i="1"/>
  <c r="H1381" i="1"/>
  <c r="Q1380" i="1"/>
  <c r="H1380" i="1"/>
  <c r="Q1379" i="1"/>
  <c r="H1379" i="1"/>
  <c r="Q1378" i="1"/>
  <c r="H1378" i="1"/>
  <c r="Q1377" i="1"/>
  <c r="H1377" i="1"/>
  <c r="Q1376" i="1"/>
  <c r="H1376" i="1"/>
  <c r="Q1375" i="1"/>
  <c r="H1375" i="1"/>
  <c r="Q1374" i="1"/>
  <c r="H1374" i="1"/>
  <c r="Q1373" i="1"/>
  <c r="H1373" i="1"/>
  <c r="Q1372" i="1"/>
  <c r="H1372" i="1"/>
  <c r="Q1371" i="1"/>
  <c r="H1371" i="1"/>
  <c r="Q1370" i="1"/>
  <c r="H1370" i="1"/>
  <c r="Q1369" i="1"/>
  <c r="H1369" i="1"/>
  <c r="Q1368" i="1"/>
  <c r="H1368" i="1"/>
  <c r="Q1367" i="1"/>
  <c r="H1367" i="1"/>
  <c r="Q1366" i="1"/>
  <c r="H1366" i="1"/>
  <c r="Q1365" i="1"/>
  <c r="H1365" i="1"/>
  <c r="Q1364" i="1"/>
  <c r="H1364" i="1"/>
  <c r="Q1363" i="1"/>
  <c r="H1363" i="1"/>
  <c r="Q1362" i="1"/>
  <c r="H1362" i="1"/>
  <c r="Q1361" i="1"/>
  <c r="H1361" i="1"/>
  <c r="Q1360" i="1"/>
  <c r="H1360" i="1"/>
  <c r="Q1359" i="1"/>
  <c r="H1359" i="1"/>
  <c r="Q1358" i="1"/>
  <c r="H1358" i="1"/>
  <c r="Q1357" i="1"/>
  <c r="H1357" i="1"/>
  <c r="Q1356" i="1"/>
  <c r="H1356" i="1"/>
  <c r="Q1355" i="1"/>
  <c r="H1355" i="1"/>
  <c r="Q1354" i="1"/>
  <c r="H1354" i="1"/>
  <c r="Q1353" i="1"/>
  <c r="H1353" i="1"/>
  <c r="Q1352" i="1"/>
  <c r="H1352" i="1"/>
  <c r="Q1351" i="1"/>
  <c r="H1351" i="1"/>
  <c r="Q1350" i="1"/>
  <c r="H1350" i="1"/>
  <c r="Q1349" i="1"/>
  <c r="H1349" i="1"/>
  <c r="Q1348" i="1"/>
  <c r="H1348" i="1"/>
  <c r="Q1347" i="1"/>
  <c r="H1347" i="1"/>
  <c r="Q1346" i="1"/>
  <c r="H1346" i="1"/>
  <c r="Q1345" i="1"/>
  <c r="H1345" i="1"/>
  <c r="Q1344" i="1"/>
  <c r="H1344" i="1"/>
  <c r="Q1343" i="1"/>
  <c r="H1343" i="1"/>
  <c r="Q1342" i="1"/>
  <c r="H1342" i="1"/>
  <c r="Q1341" i="1"/>
  <c r="H1341" i="1"/>
  <c r="Q1340" i="1"/>
  <c r="H1340" i="1"/>
  <c r="Q1339" i="1"/>
  <c r="H1339" i="1"/>
  <c r="Q1338" i="1"/>
  <c r="H1338" i="1"/>
  <c r="Q1337" i="1"/>
  <c r="H1337" i="1"/>
  <c r="Q1336" i="1"/>
  <c r="H1336" i="1"/>
  <c r="Q1335" i="1"/>
  <c r="H1335" i="1"/>
  <c r="Q1334" i="1"/>
  <c r="H1334" i="1"/>
  <c r="Q1333" i="1"/>
  <c r="H1333" i="1"/>
  <c r="Q1332" i="1"/>
  <c r="H1332" i="1"/>
  <c r="Q1331" i="1"/>
  <c r="H1331" i="1"/>
  <c r="Q1330" i="1"/>
  <c r="H1330" i="1"/>
  <c r="Q1329" i="1"/>
  <c r="H1329" i="1"/>
  <c r="Q1328" i="1"/>
  <c r="H1328" i="1"/>
  <c r="Q1327" i="1"/>
  <c r="H1327" i="1"/>
  <c r="Q1326" i="1"/>
  <c r="H1326" i="1"/>
  <c r="Q1325" i="1"/>
  <c r="H1325" i="1"/>
  <c r="Q1324" i="1"/>
  <c r="H1324" i="1"/>
  <c r="Q1323" i="1"/>
  <c r="H1323" i="1"/>
  <c r="Q1322" i="1"/>
  <c r="H1322" i="1"/>
  <c r="Q1321" i="1"/>
  <c r="H1321" i="1"/>
  <c r="Q1320" i="1"/>
  <c r="H1320" i="1"/>
  <c r="Q1319" i="1"/>
  <c r="H1319" i="1"/>
  <c r="Q1318" i="1"/>
  <c r="H1318" i="1"/>
  <c r="Q1317" i="1"/>
  <c r="H1317" i="1"/>
  <c r="Q1316" i="1"/>
  <c r="H1316" i="1"/>
  <c r="Q1315" i="1"/>
  <c r="H1315" i="1"/>
  <c r="Q1314" i="1"/>
  <c r="H1314" i="1"/>
  <c r="Q1313" i="1"/>
  <c r="H1313" i="1"/>
  <c r="Q1312" i="1"/>
  <c r="H1312" i="1"/>
  <c r="Q1311" i="1"/>
  <c r="H1311" i="1"/>
  <c r="Q1310" i="1"/>
  <c r="H1310" i="1"/>
  <c r="Q1309" i="1"/>
  <c r="H1309" i="1"/>
  <c r="Q1308" i="1"/>
  <c r="H1308" i="1"/>
  <c r="Q1307" i="1"/>
  <c r="H1307" i="1"/>
  <c r="Q1306" i="1"/>
  <c r="H1306" i="1"/>
  <c r="Q1305" i="1"/>
  <c r="H1305" i="1"/>
  <c r="Q1304" i="1"/>
  <c r="H1304" i="1"/>
  <c r="Q1303" i="1"/>
  <c r="H1303" i="1"/>
  <c r="Q1302" i="1"/>
  <c r="H1302" i="1"/>
  <c r="Q1301" i="1"/>
  <c r="H1301" i="1"/>
  <c r="Q1300" i="1"/>
  <c r="H1300" i="1"/>
  <c r="Q1299" i="1"/>
  <c r="H1299" i="1"/>
  <c r="Q1298" i="1"/>
  <c r="H1298" i="1"/>
  <c r="Q1297" i="1"/>
  <c r="H1297" i="1"/>
  <c r="Q1296" i="1"/>
  <c r="H1296" i="1"/>
  <c r="Q1295" i="1"/>
  <c r="H1295" i="1"/>
  <c r="Q1294" i="1"/>
  <c r="H1294" i="1"/>
  <c r="Q1293" i="1"/>
  <c r="H1293" i="1"/>
  <c r="Q1292" i="1"/>
  <c r="H1292" i="1"/>
  <c r="Q1291" i="1"/>
  <c r="H1291" i="1"/>
  <c r="Q1290" i="1"/>
  <c r="H1290" i="1"/>
  <c r="Q1289" i="1"/>
  <c r="H1289" i="1"/>
  <c r="Q1288" i="1"/>
  <c r="H1288" i="1"/>
  <c r="Q1287" i="1"/>
  <c r="H1287" i="1"/>
  <c r="Q1286" i="1"/>
  <c r="H1286" i="1"/>
  <c r="Q1285" i="1"/>
  <c r="H1285" i="1"/>
  <c r="Q1284" i="1"/>
  <c r="H1284" i="1"/>
  <c r="Q1283" i="1"/>
  <c r="H1283" i="1"/>
  <c r="Q1282" i="1"/>
  <c r="H1282" i="1"/>
  <c r="Q1281" i="1"/>
  <c r="H1281" i="1"/>
  <c r="Q1280" i="1"/>
  <c r="H1280" i="1"/>
  <c r="Q1279" i="1"/>
  <c r="H1279" i="1"/>
  <c r="Q1278" i="1"/>
  <c r="H1278" i="1"/>
  <c r="Q1277" i="1"/>
  <c r="H1277" i="1"/>
  <c r="Q1276" i="1"/>
  <c r="H1276" i="1"/>
  <c r="Q1275" i="1"/>
  <c r="H1275" i="1"/>
  <c r="Q1274" i="1"/>
  <c r="H1274" i="1"/>
  <c r="Q1273" i="1"/>
  <c r="H1273" i="1"/>
  <c r="Q1272" i="1"/>
  <c r="H1272" i="1"/>
  <c r="Q1271" i="1"/>
  <c r="H1271" i="1"/>
  <c r="Q1270" i="1"/>
  <c r="H1270" i="1"/>
  <c r="Q1269" i="1"/>
  <c r="H1269" i="1"/>
  <c r="Q1268" i="1"/>
  <c r="H1268" i="1"/>
  <c r="Q1267" i="1"/>
  <c r="H1267" i="1"/>
  <c r="Q1266" i="1"/>
  <c r="H1266" i="1"/>
  <c r="Q1265" i="1"/>
  <c r="H1265" i="1"/>
  <c r="Q1264" i="1"/>
  <c r="H1264" i="1"/>
  <c r="Q1263" i="1"/>
  <c r="H1263" i="1"/>
  <c r="Q1262" i="1"/>
  <c r="H1262" i="1"/>
  <c r="Q1261" i="1"/>
  <c r="H1261" i="1"/>
  <c r="Q1260" i="1"/>
  <c r="H1260" i="1"/>
  <c r="Q1259" i="1"/>
  <c r="H1259" i="1"/>
  <c r="Q1258" i="1"/>
  <c r="H1258" i="1"/>
  <c r="Q1257" i="1"/>
  <c r="H1257" i="1"/>
  <c r="Q1256" i="1"/>
  <c r="H1256" i="1"/>
  <c r="Q1255" i="1"/>
  <c r="H1255" i="1"/>
  <c r="Q1254" i="1"/>
  <c r="H1254" i="1"/>
  <c r="Q1253" i="1"/>
  <c r="H1253" i="1"/>
  <c r="Q1252" i="1"/>
  <c r="H1252" i="1"/>
  <c r="Q1251" i="1"/>
  <c r="H1251" i="1"/>
  <c r="Q1250" i="1"/>
  <c r="H1250" i="1"/>
  <c r="Q1249" i="1"/>
  <c r="H1249" i="1"/>
  <c r="Q1248" i="1"/>
  <c r="H1248" i="1"/>
  <c r="Q1247" i="1"/>
  <c r="H1247" i="1"/>
  <c r="Q1246" i="1"/>
  <c r="H1246" i="1"/>
  <c r="Q1245" i="1"/>
  <c r="H1245" i="1"/>
  <c r="Q1244" i="1"/>
  <c r="H1244" i="1"/>
  <c r="Q1243" i="1"/>
  <c r="H1243" i="1"/>
  <c r="Q1242" i="1"/>
  <c r="H1242" i="1"/>
  <c r="Q1241" i="1"/>
  <c r="H1241" i="1"/>
  <c r="Q1240" i="1"/>
  <c r="H1240" i="1"/>
  <c r="Q1239" i="1"/>
  <c r="H1239" i="1"/>
  <c r="Q1238" i="1"/>
  <c r="H1238" i="1"/>
  <c r="Q1237" i="1"/>
  <c r="H1237" i="1"/>
  <c r="Q1236" i="1"/>
  <c r="H1236" i="1"/>
  <c r="Q1235" i="1"/>
  <c r="H1235" i="1"/>
  <c r="Q1234" i="1"/>
  <c r="H1234" i="1"/>
  <c r="Q1233" i="1"/>
  <c r="H1233" i="1"/>
  <c r="Q1232" i="1"/>
  <c r="H1232" i="1"/>
  <c r="Q1231" i="1"/>
  <c r="H1231" i="1"/>
  <c r="Q1230" i="1"/>
  <c r="H1230" i="1"/>
  <c r="Q1229" i="1"/>
  <c r="H1229" i="1"/>
  <c r="Q1228" i="1"/>
  <c r="H1228" i="1"/>
  <c r="Q1227" i="1"/>
  <c r="H1227" i="1"/>
  <c r="Q1226" i="1"/>
  <c r="H1226" i="1"/>
  <c r="Q1225" i="1"/>
  <c r="H1225" i="1"/>
  <c r="Q1224" i="1"/>
  <c r="H1224" i="1"/>
  <c r="Q1223" i="1"/>
  <c r="H1223" i="1"/>
  <c r="Q1222" i="1"/>
  <c r="H1222" i="1"/>
  <c r="Q1221" i="1"/>
  <c r="H1221" i="1"/>
  <c r="Q1220" i="1"/>
  <c r="H1220" i="1"/>
  <c r="Q1219" i="1"/>
  <c r="H1219" i="1"/>
  <c r="Q1218" i="1"/>
  <c r="H1218" i="1"/>
  <c r="Q1217" i="1"/>
  <c r="H1217" i="1"/>
  <c r="Q1216" i="1"/>
  <c r="H1216" i="1"/>
  <c r="Q1215" i="1"/>
  <c r="H1215" i="1"/>
  <c r="Q1214" i="1"/>
  <c r="H1214" i="1"/>
  <c r="Q1213" i="1"/>
  <c r="H1213" i="1"/>
  <c r="Q1212" i="1"/>
  <c r="H1212" i="1"/>
  <c r="Q1211" i="1"/>
  <c r="H1211" i="1"/>
  <c r="Q1210" i="1"/>
  <c r="H1210" i="1"/>
  <c r="Q1209" i="1"/>
  <c r="H1209" i="1"/>
  <c r="Q1208" i="1"/>
  <c r="H1208" i="1"/>
  <c r="Q1207" i="1"/>
  <c r="H1207" i="1"/>
  <c r="Q1206" i="1"/>
  <c r="H1206" i="1"/>
  <c r="Q1205" i="1"/>
  <c r="H1205" i="1"/>
  <c r="Q1204" i="1"/>
  <c r="H1204" i="1"/>
  <c r="Q1203" i="1"/>
  <c r="H1203" i="1"/>
  <c r="Q1202" i="1"/>
  <c r="H1202" i="1"/>
  <c r="Q1201" i="1"/>
  <c r="H1201" i="1"/>
  <c r="Q1200" i="1"/>
  <c r="H1200" i="1"/>
  <c r="Q1199" i="1"/>
  <c r="H1199" i="1"/>
  <c r="Q1198" i="1"/>
  <c r="H1198" i="1"/>
  <c r="Q1197" i="1"/>
  <c r="H1197" i="1"/>
  <c r="Q1196" i="1"/>
  <c r="H1196" i="1"/>
  <c r="Q1195" i="1"/>
  <c r="H1195" i="1"/>
  <c r="Q1194" i="1"/>
  <c r="H1194" i="1"/>
  <c r="Q1193" i="1"/>
  <c r="H1193" i="1"/>
  <c r="Q1192" i="1"/>
  <c r="H1192" i="1"/>
  <c r="Q1191" i="1"/>
  <c r="H1191" i="1"/>
  <c r="Q1190" i="1"/>
  <c r="H1190" i="1"/>
  <c r="Q1189" i="1"/>
  <c r="H1189" i="1"/>
  <c r="Q1188" i="1"/>
  <c r="H1188" i="1"/>
  <c r="Q1187" i="1"/>
  <c r="H1187" i="1"/>
  <c r="Q1186" i="1"/>
  <c r="H1186" i="1"/>
  <c r="Q1185" i="1"/>
  <c r="H1185" i="1"/>
  <c r="Q1184" i="1"/>
  <c r="H1184" i="1"/>
  <c r="Q1183" i="1"/>
  <c r="H1183" i="1"/>
  <c r="Q1182" i="1"/>
  <c r="H1182" i="1"/>
  <c r="Q1181" i="1"/>
  <c r="H1181" i="1"/>
  <c r="Q1180" i="1"/>
  <c r="H1180" i="1"/>
  <c r="Q1179" i="1"/>
  <c r="H1179" i="1"/>
  <c r="Q1178" i="1"/>
  <c r="H1178" i="1"/>
  <c r="Q1177" i="1"/>
  <c r="H1177" i="1"/>
  <c r="Q1176" i="1"/>
  <c r="H1176" i="1"/>
  <c r="Q1175" i="1"/>
  <c r="H1175" i="1"/>
  <c r="Q1174" i="1"/>
  <c r="H1174" i="1"/>
  <c r="Q1173" i="1"/>
  <c r="H1173" i="1"/>
  <c r="Q1172" i="1"/>
  <c r="H1172" i="1"/>
  <c r="Q1171" i="1"/>
  <c r="H1171" i="1"/>
  <c r="Q1170" i="1"/>
  <c r="H1170" i="1"/>
  <c r="Q1169" i="1"/>
  <c r="H1169" i="1"/>
  <c r="Q1168" i="1"/>
  <c r="H1168" i="1"/>
  <c r="Q1167" i="1"/>
  <c r="H1167" i="1"/>
  <c r="Q1166" i="1"/>
  <c r="H1166" i="1"/>
  <c r="Q1165" i="1"/>
  <c r="H1165" i="1"/>
  <c r="Q1164" i="1"/>
  <c r="H1164" i="1"/>
  <c r="Q1163" i="1"/>
  <c r="H1163" i="1"/>
  <c r="Q1162" i="1"/>
  <c r="H1162" i="1"/>
  <c r="Q1161" i="1"/>
  <c r="H1161" i="1"/>
  <c r="Q1160" i="1"/>
  <c r="H1160" i="1"/>
  <c r="Q1159" i="1"/>
  <c r="H1159" i="1"/>
  <c r="Q1158" i="1"/>
  <c r="H1158" i="1"/>
  <c r="Q1157" i="1"/>
  <c r="H1157" i="1"/>
  <c r="Q1156" i="1"/>
  <c r="H1156" i="1"/>
  <c r="Q1155" i="1"/>
  <c r="H1155" i="1"/>
  <c r="Q1154" i="1"/>
  <c r="H1154" i="1"/>
  <c r="Q1153" i="1"/>
  <c r="H1153" i="1"/>
  <c r="Q1152" i="1"/>
  <c r="H1152" i="1"/>
  <c r="Q1151" i="1"/>
  <c r="H1151" i="1"/>
  <c r="Q1150" i="1"/>
  <c r="H1150" i="1"/>
  <c r="Q1149" i="1"/>
  <c r="H1149" i="1"/>
  <c r="Q1148" i="1"/>
  <c r="H1148" i="1"/>
  <c r="Q1147" i="1"/>
  <c r="H1147" i="1"/>
  <c r="Q1146" i="1"/>
  <c r="H1146" i="1"/>
  <c r="Q1145" i="1"/>
  <c r="H1145" i="1"/>
  <c r="Q1144" i="1"/>
  <c r="H1144" i="1"/>
  <c r="Q1143" i="1"/>
  <c r="H1143" i="1"/>
  <c r="Q1142" i="1"/>
  <c r="H1142" i="1"/>
  <c r="Q1141" i="1"/>
  <c r="H1141" i="1"/>
  <c r="Q1140" i="1"/>
  <c r="H1140" i="1"/>
  <c r="Q1139" i="1"/>
  <c r="H1139" i="1"/>
  <c r="Q1138" i="1"/>
  <c r="H1138" i="1"/>
  <c r="Q1137" i="1"/>
  <c r="H1137" i="1"/>
  <c r="Q1136" i="1"/>
  <c r="H1136" i="1"/>
  <c r="Q1135" i="1"/>
  <c r="H1135" i="1"/>
  <c r="Q1134" i="1"/>
  <c r="H1134" i="1"/>
  <c r="Q1133" i="1"/>
  <c r="H1133" i="1"/>
  <c r="Q1132" i="1"/>
  <c r="H1132" i="1"/>
  <c r="Q1131" i="1"/>
  <c r="H1131" i="1"/>
  <c r="Q1130" i="1"/>
  <c r="H1130" i="1"/>
  <c r="Q1129" i="1"/>
  <c r="H1129" i="1"/>
  <c r="Q1128" i="1"/>
  <c r="H1128" i="1"/>
  <c r="Q1127" i="1"/>
  <c r="H1127" i="1"/>
  <c r="Q1126" i="1"/>
  <c r="H1126" i="1"/>
  <c r="Q1125" i="1"/>
  <c r="H1125" i="1"/>
  <c r="Q1124" i="1"/>
  <c r="H1124" i="1"/>
  <c r="Q1123" i="1"/>
  <c r="H1123" i="1"/>
  <c r="Q1122" i="1"/>
  <c r="H1122" i="1"/>
  <c r="Q1121" i="1"/>
  <c r="H1121" i="1"/>
  <c r="Q1120" i="1"/>
  <c r="H1120" i="1"/>
  <c r="Q1119" i="1"/>
  <c r="H1119" i="1"/>
  <c r="Q1118" i="1"/>
  <c r="H1118" i="1"/>
  <c r="Q1117" i="1"/>
  <c r="H1117" i="1"/>
  <c r="Q1116" i="1"/>
  <c r="H1116" i="1"/>
  <c r="Q1115" i="1"/>
  <c r="H1115" i="1"/>
  <c r="Q1114" i="1"/>
  <c r="H1114" i="1"/>
  <c r="Q1113" i="1"/>
  <c r="H1113" i="1"/>
  <c r="Q1112" i="1"/>
  <c r="H1112" i="1"/>
  <c r="Q1111" i="1"/>
  <c r="H1111" i="1"/>
  <c r="Q1110" i="1"/>
  <c r="H1110" i="1"/>
  <c r="Q1109" i="1"/>
  <c r="H1109" i="1"/>
  <c r="Q1108" i="1"/>
  <c r="H1108" i="1"/>
  <c r="Q1107" i="1"/>
  <c r="H1107" i="1"/>
  <c r="Q1106" i="1"/>
  <c r="H1106" i="1"/>
  <c r="Q1105" i="1"/>
  <c r="H1105" i="1"/>
  <c r="Q1104" i="1"/>
  <c r="H1104" i="1"/>
  <c r="Q1103" i="1"/>
  <c r="H1103" i="1"/>
  <c r="Q1102" i="1"/>
  <c r="H1102" i="1"/>
  <c r="Q1101" i="1"/>
  <c r="H1101" i="1"/>
  <c r="Q1100" i="1"/>
  <c r="H1100" i="1"/>
  <c r="Q1099" i="1"/>
  <c r="H1099" i="1"/>
  <c r="Q1098" i="1"/>
  <c r="H1098" i="1"/>
  <c r="Q1097" i="1"/>
  <c r="H1097" i="1"/>
  <c r="Q1096" i="1"/>
  <c r="H1096" i="1"/>
  <c r="Q1095" i="1"/>
  <c r="H1095" i="1"/>
  <c r="Q1094" i="1"/>
  <c r="H1094" i="1"/>
  <c r="Q1093" i="1"/>
  <c r="H1093" i="1"/>
  <c r="Q1092" i="1"/>
  <c r="H1092" i="1"/>
  <c r="Q1091" i="1"/>
  <c r="H1091" i="1"/>
  <c r="Q1090" i="1"/>
  <c r="H1090" i="1"/>
  <c r="Q1089" i="1"/>
  <c r="H1089" i="1"/>
  <c r="Q1088" i="1"/>
  <c r="H1088" i="1"/>
  <c r="Q1087" i="1"/>
  <c r="H1087" i="1"/>
  <c r="Q1086" i="1"/>
  <c r="H1086" i="1"/>
  <c r="Q1085" i="1"/>
  <c r="H1085" i="1"/>
  <c r="Q1084" i="1"/>
  <c r="H1084" i="1"/>
  <c r="Q1083" i="1"/>
  <c r="H1083" i="1"/>
  <c r="Q1082" i="1"/>
  <c r="H1082" i="1"/>
  <c r="Q1081" i="1"/>
  <c r="H1081" i="1"/>
  <c r="Q1080" i="1"/>
  <c r="H1080" i="1"/>
  <c r="Q1079" i="1"/>
  <c r="H1079" i="1"/>
  <c r="Q1078" i="1"/>
  <c r="H1078" i="1"/>
  <c r="Q1077" i="1"/>
  <c r="H1077" i="1"/>
  <c r="Q1076" i="1"/>
  <c r="H1076" i="1"/>
  <c r="Q1075" i="1"/>
  <c r="H1075" i="1"/>
  <c r="Q1074" i="1"/>
  <c r="H1074" i="1"/>
  <c r="Q1073" i="1"/>
  <c r="H1073" i="1"/>
  <c r="Q1072" i="1"/>
  <c r="H1072" i="1"/>
  <c r="Q1071" i="1"/>
  <c r="H1071" i="1"/>
  <c r="Q1070" i="1"/>
  <c r="H1070" i="1"/>
  <c r="Q1069" i="1"/>
  <c r="H1069" i="1"/>
  <c r="Q1068" i="1"/>
  <c r="H1068" i="1"/>
  <c r="Q1067" i="1"/>
  <c r="H1067" i="1"/>
  <c r="Q1066" i="1"/>
  <c r="H1066" i="1"/>
  <c r="Q1065" i="1"/>
  <c r="H1065" i="1"/>
  <c r="Q1064" i="1"/>
  <c r="H1064" i="1"/>
  <c r="Q1063" i="1"/>
  <c r="H1063" i="1"/>
  <c r="Q1062" i="1"/>
  <c r="H1062" i="1"/>
  <c r="Q1061" i="1"/>
  <c r="H1061" i="1"/>
  <c r="Q1060" i="1"/>
  <c r="H1060" i="1"/>
  <c r="Q1059" i="1"/>
  <c r="H1059" i="1"/>
  <c r="Q1058" i="1"/>
  <c r="H1058" i="1"/>
  <c r="Q1057" i="1"/>
  <c r="H1057" i="1"/>
  <c r="Q1056" i="1"/>
  <c r="H1056" i="1"/>
  <c r="Q1055" i="1"/>
  <c r="H1055" i="1"/>
  <c r="Q1054" i="1"/>
  <c r="H1054" i="1"/>
  <c r="Q1053" i="1"/>
  <c r="H1053" i="1"/>
  <c r="Q1052" i="1"/>
  <c r="H1052" i="1"/>
  <c r="Q1051" i="1"/>
  <c r="H1051" i="1"/>
  <c r="Q1050" i="1"/>
  <c r="H1050" i="1"/>
  <c r="Q1049" i="1"/>
  <c r="H1049" i="1"/>
  <c r="Q1048" i="1"/>
  <c r="H1048" i="1"/>
  <c r="Q1047" i="1"/>
  <c r="H1047" i="1"/>
  <c r="Q1046" i="1"/>
  <c r="H1046" i="1"/>
  <c r="Q1045" i="1"/>
  <c r="H1045" i="1"/>
  <c r="Q1044" i="1"/>
  <c r="H1044" i="1"/>
  <c r="Q1043" i="1"/>
  <c r="H1043" i="1"/>
  <c r="Q1042" i="1"/>
  <c r="H1042" i="1"/>
  <c r="Q1041" i="1"/>
  <c r="H1041" i="1"/>
  <c r="Q1040" i="1"/>
  <c r="H1040" i="1"/>
  <c r="Q1039" i="1"/>
  <c r="H1039" i="1"/>
  <c r="Q1038" i="1"/>
  <c r="H1038" i="1"/>
  <c r="Q1037" i="1"/>
  <c r="H1037" i="1"/>
  <c r="Q1036" i="1"/>
  <c r="H1036" i="1"/>
  <c r="Q1035" i="1"/>
  <c r="H1035" i="1"/>
  <c r="Q1034" i="1"/>
  <c r="H1034" i="1"/>
  <c r="Q1033" i="1"/>
  <c r="H1033" i="1"/>
  <c r="Q1032" i="1"/>
  <c r="H1032" i="1"/>
  <c r="Q1031" i="1"/>
  <c r="H1031" i="1"/>
  <c r="Q1030" i="1"/>
  <c r="H1030" i="1"/>
  <c r="Q1029" i="1"/>
  <c r="H1029" i="1"/>
  <c r="Q1028" i="1"/>
  <c r="H1028" i="1"/>
  <c r="Q1027" i="1"/>
  <c r="H1027" i="1"/>
  <c r="Q1026" i="1"/>
  <c r="H1026" i="1"/>
  <c r="Q1025" i="1"/>
  <c r="H1025" i="1"/>
  <c r="Q1024" i="1"/>
  <c r="H1024" i="1"/>
  <c r="Q1023" i="1"/>
  <c r="H1023" i="1"/>
  <c r="Q1022" i="1"/>
  <c r="H1022" i="1"/>
  <c r="Q1021" i="1"/>
  <c r="H1021" i="1"/>
  <c r="Q1020" i="1"/>
  <c r="H1020" i="1"/>
  <c r="Q1019" i="1"/>
  <c r="H1019" i="1"/>
  <c r="Q1018" i="1"/>
  <c r="H1018" i="1"/>
  <c r="Q1017" i="1"/>
  <c r="H1017" i="1"/>
  <c r="Q1016" i="1"/>
  <c r="H1016" i="1"/>
  <c r="Q1015" i="1"/>
  <c r="H1015" i="1"/>
  <c r="Q1014" i="1"/>
  <c r="H1014" i="1"/>
  <c r="Q1013" i="1"/>
  <c r="H1013" i="1"/>
  <c r="Q1012" i="1"/>
  <c r="H1012" i="1"/>
  <c r="Q1011" i="1"/>
  <c r="H1011" i="1"/>
  <c r="Q1010" i="1"/>
  <c r="H1010" i="1"/>
  <c r="Q1009" i="1"/>
  <c r="H1009" i="1"/>
  <c r="Q1008" i="1"/>
  <c r="H1008" i="1"/>
  <c r="Q1007" i="1"/>
  <c r="H1007" i="1"/>
  <c r="Q1006" i="1"/>
  <c r="H1006" i="1"/>
  <c r="Q1005" i="1"/>
  <c r="H1005" i="1"/>
  <c r="Q1004" i="1"/>
  <c r="H1004" i="1"/>
  <c r="Q1003" i="1"/>
  <c r="H1003" i="1"/>
  <c r="Q1002" i="1"/>
  <c r="H1002" i="1"/>
  <c r="Q1001" i="1"/>
  <c r="H1001" i="1"/>
  <c r="Q1000" i="1"/>
  <c r="H1000" i="1"/>
  <c r="Q999" i="1"/>
  <c r="H999" i="1"/>
  <c r="Q998" i="1"/>
  <c r="H998" i="1"/>
  <c r="Q997" i="1"/>
  <c r="H997" i="1"/>
  <c r="Q996" i="1"/>
  <c r="H996" i="1"/>
  <c r="Q995" i="1"/>
  <c r="H995" i="1"/>
  <c r="Q994" i="1"/>
  <c r="H994" i="1"/>
  <c r="Q993" i="1"/>
  <c r="H993" i="1"/>
  <c r="Q992" i="1"/>
  <c r="H992" i="1"/>
  <c r="Q991" i="1"/>
  <c r="H991" i="1"/>
  <c r="Q990" i="1"/>
  <c r="H990" i="1"/>
  <c r="Q989" i="1"/>
  <c r="H989" i="1"/>
  <c r="Q988" i="1"/>
  <c r="H988" i="1"/>
  <c r="Q987" i="1"/>
  <c r="H987" i="1"/>
  <c r="Q986" i="1"/>
  <c r="H986" i="1"/>
  <c r="Q985" i="1"/>
  <c r="H985" i="1"/>
  <c r="Q984" i="1"/>
  <c r="H984" i="1"/>
  <c r="Q983" i="1"/>
  <c r="H983" i="1"/>
  <c r="Q982" i="1"/>
  <c r="H982" i="1"/>
  <c r="Q981" i="1"/>
  <c r="H981" i="1"/>
  <c r="Q980" i="1"/>
  <c r="H980" i="1"/>
  <c r="Q979" i="1"/>
  <c r="H979" i="1"/>
  <c r="Q978" i="1"/>
  <c r="H978" i="1"/>
  <c r="Q977" i="1"/>
  <c r="H977" i="1"/>
  <c r="Q976" i="1"/>
  <c r="H976" i="1"/>
  <c r="Q975" i="1"/>
  <c r="H975" i="1"/>
  <c r="Q974" i="1"/>
  <c r="H974" i="1"/>
  <c r="Q973" i="1"/>
  <c r="H973" i="1"/>
  <c r="Q972" i="1"/>
  <c r="H972" i="1"/>
  <c r="Q971" i="1"/>
  <c r="H971" i="1"/>
  <c r="Q970" i="1"/>
  <c r="H970" i="1"/>
  <c r="Q969" i="1"/>
  <c r="H969" i="1"/>
  <c r="Q968" i="1"/>
  <c r="H968" i="1"/>
  <c r="Q967" i="1"/>
  <c r="H967" i="1"/>
  <c r="Q966" i="1"/>
  <c r="H966" i="1"/>
  <c r="Q965" i="1"/>
  <c r="H965" i="1"/>
  <c r="Q964" i="1"/>
  <c r="H964" i="1"/>
  <c r="Q963" i="1"/>
  <c r="H963" i="1"/>
  <c r="Q962" i="1"/>
  <c r="H962" i="1"/>
  <c r="Q961" i="1"/>
  <c r="H961" i="1"/>
  <c r="Q960" i="1"/>
  <c r="H960" i="1"/>
  <c r="Q959" i="1"/>
  <c r="H959" i="1"/>
  <c r="Q958" i="1"/>
  <c r="H958" i="1"/>
  <c r="Q957" i="1"/>
  <c r="H957" i="1"/>
  <c r="Q956" i="1"/>
  <c r="H956" i="1"/>
  <c r="Q955" i="1"/>
  <c r="H955" i="1"/>
  <c r="Q954" i="1"/>
  <c r="H954" i="1"/>
  <c r="Q953" i="1"/>
  <c r="H953" i="1"/>
  <c r="Q952" i="1"/>
  <c r="H952" i="1"/>
  <c r="Q951" i="1"/>
  <c r="H951" i="1"/>
  <c r="Q950" i="1"/>
  <c r="H950" i="1"/>
  <c r="Q949" i="1"/>
  <c r="H949" i="1"/>
  <c r="Q948" i="1"/>
  <c r="H948" i="1"/>
  <c r="Q947" i="1"/>
  <c r="H947" i="1"/>
  <c r="Q946" i="1"/>
  <c r="H946" i="1"/>
  <c r="Q945" i="1"/>
  <c r="H945" i="1"/>
  <c r="Q944" i="1"/>
  <c r="H944" i="1"/>
  <c r="Q943" i="1"/>
  <c r="H943" i="1"/>
  <c r="Q942" i="1"/>
  <c r="H942" i="1"/>
  <c r="Q941" i="1"/>
  <c r="H941" i="1"/>
  <c r="Q940" i="1"/>
  <c r="H940" i="1"/>
  <c r="Q939" i="1"/>
  <c r="H939" i="1"/>
  <c r="Q938" i="1"/>
  <c r="H938" i="1"/>
  <c r="Q937" i="1"/>
  <c r="H937" i="1"/>
  <c r="Q936" i="1"/>
  <c r="H936" i="1"/>
  <c r="Q935" i="1"/>
  <c r="H935" i="1"/>
  <c r="Q934" i="1"/>
  <c r="H934" i="1"/>
  <c r="Q933" i="1"/>
  <c r="H933" i="1"/>
  <c r="Q932" i="1"/>
  <c r="H932" i="1"/>
  <c r="Q931" i="1"/>
  <c r="H931" i="1"/>
  <c r="Q930" i="1"/>
  <c r="H930" i="1"/>
  <c r="Q929" i="1"/>
  <c r="H929" i="1"/>
  <c r="Q928" i="1"/>
  <c r="H928" i="1"/>
  <c r="Q927" i="1"/>
  <c r="H927" i="1"/>
  <c r="Q926" i="1"/>
  <c r="H926" i="1"/>
  <c r="Q925" i="1"/>
  <c r="H925" i="1"/>
  <c r="Q924" i="1"/>
  <c r="H924" i="1"/>
  <c r="Q923" i="1"/>
  <c r="H923" i="1"/>
  <c r="Q922" i="1"/>
  <c r="H922" i="1"/>
  <c r="Q921" i="1"/>
  <c r="H921" i="1"/>
  <c r="Q920" i="1"/>
  <c r="H920" i="1"/>
  <c r="Q919" i="1"/>
  <c r="H919" i="1"/>
  <c r="Q918" i="1"/>
  <c r="H918" i="1"/>
  <c r="Q917" i="1"/>
  <c r="H917" i="1"/>
  <c r="Q916" i="1"/>
  <c r="H916" i="1"/>
  <c r="Q915" i="1"/>
  <c r="H915" i="1"/>
  <c r="Q914" i="1"/>
  <c r="H914" i="1"/>
  <c r="Q913" i="1"/>
  <c r="H913" i="1"/>
  <c r="Q912" i="1"/>
  <c r="H912" i="1"/>
  <c r="Q911" i="1"/>
  <c r="H911" i="1"/>
  <c r="Q910" i="1"/>
  <c r="H910" i="1"/>
  <c r="Q909" i="1"/>
  <c r="H909" i="1"/>
  <c r="Q908" i="1"/>
  <c r="H908" i="1"/>
  <c r="Q907" i="1"/>
  <c r="H907" i="1"/>
  <c r="Q906" i="1"/>
  <c r="H906" i="1"/>
  <c r="Q905" i="1"/>
  <c r="H905" i="1"/>
  <c r="Q904" i="1"/>
  <c r="H904" i="1"/>
  <c r="Q903" i="1"/>
  <c r="H903" i="1"/>
  <c r="Q902" i="1"/>
  <c r="H902" i="1"/>
  <c r="Q901" i="1"/>
  <c r="H901" i="1"/>
  <c r="Q900" i="1"/>
  <c r="H900" i="1"/>
  <c r="Q899" i="1"/>
  <c r="H899" i="1"/>
  <c r="Q898" i="1"/>
  <c r="H898" i="1"/>
  <c r="Q897" i="1"/>
  <c r="H897" i="1"/>
  <c r="Q896" i="1"/>
  <c r="H896" i="1"/>
  <c r="Q895" i="1"/>
  <c r="H895" i="1"/>
  <c r="Q894" i="1"/>
  <c r="H894" i="1"/>
  <c r="Q893" i="1"/>
  <c r="H893" i="1"/>
  <c r="Q892" i="1"/>
  <c r="H892" i="1"/>
  <c r="Q891" i="1"/>
  <c r="H891" i="1"/>
  <c r="Q890" i="1"/>
  <c r="H890" i="1"/>
  <c r="Q889" i="1"/>
  <c r="H889" i="1"/>
  <c r="Q888" i="1"/>
  <c r="H888" i="1"/>
  <c r="Q887" i="1"/>
  <c r="H887" i="1"/>
  <c r="Q886" i="1"/>
  <c r="H886" i="1"/>
  <c r="Q885" i="1"/>
  <c r="H885" i="1"/>
  <c r="Q884" i="1"/>
  <c r="H884" i="1"/>
  <c r="Q883" i="1"/>
  <c r="H883" i="1"/>
  <c r="Q882" i="1"/>
  <c r="H882" i="1"/>
  <c r="Q881" i="1"/>
  <c r="H881" i="1"/>
  <c r="Q880" i="1"/>
  <c r="H880" i="1"/>
  <c r="Q879" i="1"/>
  <c r="H879" i="1"/>
  <c r="Q878" i="1"/>
  <c r="H878" i="1"/>
  <c r="Q877" i="1"/>
  <c r="H877" i="1"/>
  <c r="Q876" i="1"/>
  <c r="H876" i="1"/>
  <c r="Q875" i="1"/>
  <c r="H875" i="1"/>
  <c r="Q874" i="1"/>
  <c r="H874" i="1"/>
  <c r="Q873" i="1"/>
  <c r="H873" i="1"/>
  <c r="Q872" i="1"/>
  <c r="H872" i="1"/>
  <c r="Q871" i="1"/>
  <c r="H871" i="1"/>
  <c r="Q870" i="1"/>
  <c r="H870" i="1"/>
  <c r="Q869" i="1"/>
  <c r="H869" i="1"/>
  <c r="Q868" i="1"/>
  <c r="H868" i="1"/>
  <c r="Q867" i="1"/>
  <c r="H867" i="1"/>
  <c r="Q866" i="1"/>
  <c r="H866" i="1"/>
  <c r="Q865" i="1"/>
  <c r="H865" i="1"/>
  <c r="Q864" i="1"/>
  <c r="H864" i="1"/>
  <c r="Q863" i="1"/>
  <c r="H863" i="1"/>
  <c r="Q862" i="1"/>
  <c r="H862" i="1"/>
  <c r="Q861" i="1"/>
  <c r="H861" i="1"/>
  <c r="Q860" i="1"/>
  <c r="H860" i="1"/>
  <c r="Q859" i="1"/>
  <c r="H859" i="1"/>
  <c r="Q858" i="1"/>
  <c r="H858" i="1"/>
  <c r="Q857" i="1"/>
  <c r="H857" i="1"/>
  <c r="Q856" i="1"/>
  <c r="H856" i="1"/>
  <c r="Q855" i="1"/>
  <c r="H855" i="1"/>
  <c r="Q854" i="1"/>
  <c r="H854" i="1"/>
  <c r="Q853" i="1"/>
  <c r="H853" i="1"/>
  <c r="Q852" i="1"/>
  <c r="H852" i="1"/>
  <c r="Q851" i="1"/>
  <c r="H851" i="1"/>
  <c r="Q850" i="1"/>
  <c r="H850" i="1"/>
  <c r="Q849" i="1"/>
  <c r="H849" i="1"/>
  <c r="Q848" i="1"/>
  <c r="H848" i="1"/>
  <c r="Q847" i="1"/>
  <c r="H847" i="1"/>
  <c r="Q846" i="1"/>
  <c r="H846" i="1"/>
  <c r="Q845" i="1"/>
  <c r="H845" i="1"/>
  <c r="Q844" i="1"/>
  <c r="H844" i="1"/>
  <c r="Q843" i="1"/>
  <c r="H843" i="1"/>
  <c r="Q842" i="1"/>
  <c r="H842" i="1"/>
  <c r="Q841" i="1"/>
  <c r="H841" i="1"/>
  <c r="Q840" i="1"/>
  <c r="H840" i="1"/>
  <c r="Q839" i="1"/>
  <c r="H839" i="1"/>
  <c r="Q838" i="1"/>
  <c r="H838" i="1"/>
  <c r="Q837" i="1"/>
  <c r="H837" i="1"/>
  <c r="Q836" i="1"/>
  <c r="H836" i="1"/>
  <c r="Q835" i="1"/>
  <c r="H835" i="1"/>
  <c r="Q834" i="1"/>
  <c r="H834" i="1"/>
  <c r="Q833" i="1"/>
  <c r="H833" i="1"/>
  <c r="Q832" i="1"/>
  <c r="H832" i="1"/>
  <c r="Q831" i="1"/>
  <c r="H831" i="1"/>
  <c r="Q830" i="1"/>
  <c r="H830" i="1"/>
  <c r="Q829" i="1"/>
  <c r="H829" i="1"/>
  <c r="Q828" i="1"/>
  <c r="H828" i="1"/>
  <c r="Q827" i="1"/>
  <c r="H827" i="1"/>
  <c r="Q826" i="1"/>
  <c r="H826" i="1"/>
  <c r="Q825" i="1"/>
  <c r="H825" i="1"/>
  <c r="Q824" i="1"/>
  <c r="H824" i="1"/>
  <c r="Q823" i="1"/>
  <c r="H823" i="1"/>
  <c r="Q822" i="1"/>
  <c r="H822" i="1"/>
  <c r="Q821" i="1"/>
  <c r="H821" i="1"/>
  <c r="Q820" i="1"/>
  <c r="H820" i="1"/>
  <c r="Q819" i="1"/>
  <c r="H819" i="1"/>
  <c r="Q818" i="1"/>
  <c r="H818" i="1"/>
  <c r="Q817" i="1"/>
  <c r="H817" i="1"/>
  <c r="Q816" i="1"/>
  <c r="H816" i="1"/>
  <c r="Q815" i="1"/>
  <c r="H815" i="1"/>
  <c r="Q814" i="1"/>
  <c r="H814" i="1"/>
  <c r="Q813" i="1"/>
  <c r="H813" i="1"/>
  <c r="Q812" i="1"/>
  <c r="H812" i="1"/>
  <c r="Q811" i="1"/>
  <c r="H811" i="1"/>
  <c r="Q810" i="1"/>
  <c r="H810" i="1"/>
  <c r="Q809" i="1"/>
  <c r="H809" i="1"/>
  <c r="Q808" i="1"/>
  <c r="H808" i="1"/>
  <c r="Q807" i="1"/>
  <c r="H807" i="1"/>
  <c r="Q806" i="1"/>
  <c r="H806" i="1"/>
  <c r="Q805" i="1"/>
  <c r="H805" i="1"/>
  <c r="Q804" i="1"/>
  <c r="H804" i="1"/>
  <c r="Q803" i="1"/>
  <c r="H803" i="1"/>
  <c r="Q802" i="1"/>
  <c r="H802" i="1"/>
  <c r="Q801" i="1"/>
  <c r="H801" i="1"/>
  <c r="Q800" i="1"/>
  <c r="H800" i="1"/>
  <c r="Q799" i="1"/>
  <c r="H799" i="1"/>
  <c r="Q798" i="1"/>
  <c r="H798" i="1"/>
  <c r="Q797" i="1"/>
  <c r="H797" i="1"/>
  <c r="Q796" i="1"/>
  <c r="H796" i="1"/>
  <c r="Q795" i="1"/>
  <c r="H795" i="1"/>
  <c r="Q794" i="1"/>
  <c r="H794" i="1"/>
  <c r="Q793" i="1"/>
  <c r="H793" i="1"/>
  <c r="Q792" i="1"/>
  <c r="H792" i="1"/>
  <c r="Q791" i="1"/>
  <c r="H791" i="1"/>
  <c r="Q790" i="1"/>
  <c r="H790" i="1"/>
  <c r="Q789" i="1"/>
  <c r="H789" i="1"/>
  <c r="Q788" i="1"/>
  <c r="H788" i="1"/>
  <c r="Q787" i="1"/>
  <c r="H787" i="1"/>
  <c r="Q786" i="1"/>
  <c r="H786" i="1"/>
  <c r="Q785" i="1"/>
  <c r="H785" i="1"/>
  <c r="Q784" i="1"/>
  <c r="H784" i="1"/>
  <c r="Q783" i="1"/>
  <c r="H783" i="1"/>
  <c r="Q782" i="1"/>
  <c r="H782" i="1"/>
  <c r="Q781" i="1"/>
  <c r="H781" i="1"/>
  <c r="Q780" i="1"/>
  <c r="H780" i="1"/>
  <c r="Q779" i="1"/>
  <c r="H779" i="1"/>
  <c r="Q778" i="1"/>
  <c r="H778" i="1"/>
  <c r="Q777" i="1"/>
  <c r="H777" i="1"/>
  <c r="Q776" i="1"/>
  <c r="H776" i="1"/>
  <c r="Q775" i="1"/>
  <c r="H775" i="1"/>
  <c r="Q774" i="1"/>
  <c r="H774" i="1"/>
  <c r="Q773" i="1"/>
  <c r="H773" i="1"/>
  <c r="Q772" i="1"/>
  <c r="H772" i="1"/>
  <c r="Q771" i="1"/>
  <c r="H771" i="1"/>
  <c r="Q770" i="1"/>
  <c r="H770" i="1"/>
  <c r="Q769" i="1"/>
  <c r="H769" i="1"/>
  <c r="Q768" i="1"/>
  <c r="H768" i="1"/>
  <c r="Q767" i="1"/>
  <c r="H767" i="1"/>
  <c r="Q766" i="1"/>
  <c r="H766" i="1"/>
  <c r="Q765" i="1"/>
  <c r="H765" i="1"/>
  <c r="Q764" i="1"/>
  <c r="H764" i="1"/>
  <c r="Q763" i="1"/>
  <c r="H763" i="1"/>
  <c r="Q762" i="1"/>
  <c r="H762" i="1"/>
  <c r="Q761" i="1"/>
  <c r="H761" i="1"/>
  <c r="Q760" i="1"/>
  <c r="H760" i="1"/>
  <c r="Q759" i="1"/>
  <c r="H759" i="1"/>
  <c r="Q758" i="1"/>
  <c r="H758" i="1"/>
  <c r="Q757" i="1"/>
  <c r="H757" i="1"/>
  <c r="Q756" i="1"/>
  <c r="H756" i="1"/>
  <c r="Q755" i="1"/>
  <c r="H755" i="1"/>
  <c r="Q754" i="1"/>
  <c r="H754" i="1"/>
  <c r="Q753" i="1"/>
  <c r="H753" i="1"/>
  <c r="Q752" i="1"/>
  <c r="H752" i="1"/>
  <c r="Q751" i="1"/>
  <c r="H751" i="1"/>
  <c r="Q750" i="1"/>
  <c r="H750" i="1"/>
  <c r="Q749" i="1"/>
  <c r="H749" i="1"/>
  <c r="Q748" i="1"/>
  <c r="H748" i="1"/>
  <c r="Q747" i="1"/>
  <c r="H747" i="1"/>
  <c r="Q746" i="1"/>
  <c r="H746" i="1"/>
  <c r="Q745" i="1"/>
  <c r="H745" i="1"/>
  <c r="Q744" i="1"/>
  <c r="H744" i="1"/>
  <c r="Q743" i="1"/>
  <c r="H743" i="1"/>
  <c r="Q742" i="1"/>
  <c r="H742" i="1"/>
  <c r="Q741" i="1"/>
  <c r="H741" i="1"/>
  <c r="Q740" i="1"/>
  <c r="H740" i="1"/>
  <c r="Q739" i="1"/>
  <c r="H739" i="1"/>
  <c r="Q738" i="1"/>
  <c r="H738" i="1"/>
  <c r="Q737" i="1"/>
  <c r="H737" i="1"/>
  <c r="Q736" i="1"/>
  <c r="H736" i="1"/>
  <c r="Q735" i="1"/>
  <c r="H735" i="1"/>
  <c r="Q734" i="1"/>
  <c r="H734" i="1"/>
  <c r="Q733" i="1"/>
  <c r="H733" i="1"/>
  <c r="Q732" i="1"/>
  <c r="H732" i="1"/>
  <c r="Q731" i="1"/>
  <c r="H731" i="1"/>
  <c r="Q730" i="1"/>
  <c r="H730" i="1"/>
  <c r="Q729" i="1"/>
  <c r="H729" i="1"/>
  <c r="Q728" i="1"/>
  <c r="H728" i="1"/>
  <c r="Q727" i="1"/>
  <c r="H727" i="1"/>
  <c r="Q726" i="1"/>
  <c r="H726" i="1"/>
  <c r="Q725" i="1"/>
  <c r="H725" i="1"/>
  <c r="Q724" i="1"/>
  <c r="H724" i="1"/>
  <c r="Q723" i="1"/>
  <c r="H723" i="1"/>
  <c r="Q722" i="1"/>
  <c r="H722" i="1"/>
  <c r="Q721" i="1"/>
  <c r="H721" i="1"/>
  <c r="Q720" i="1"/>
  <c r="H720" i="1"/>
  <c r="Q719" i="1"/>
  <c r="H719" i="1"/>
  <c r="Q718" i="1"/>
  <c r="H718" i="1"/>
  <c r="Q717" i="1"/>
  <c r="H717" i="1"/>
  <c r="Q716" i="1"/>
  <c r="H716" i="1"/>
  <c r="Q715" i="1"/>
  <c r="H715" i="1"/>
  <c r="Q714" i="1"/>
  <c r="H714" i="1"/>
  <c r="Q713" i="1"/>
  <c r="H713" i="1"/>
  <c r="Q712" i="1"/>
  <c r="H712" i="1"/>
  <c r="Q711" i="1"/>
  <c r="H711" i="1"/>
  <c r="Q710" i="1"/>
  <c r="H710" i="1"/>
  <c r="Q709" i="1"/>
  <c r="H709" i="1"/>
  <c r="Q708" i="1"/>
  <c r="H708" i="1"/>
  <c r="Q707" i="1"/>
  <c r="H707" i="1"/>
  <c r="Q706" i="1"/>
  <c r="H706" i="1"/>
  <c r="Q705" i="1"/>
  <c r="H705" i="1"/>
  <c r="Q704" i="1"/>
  <c r="H704" i="1"/>
  <c r="Q703" i="1"/>
  <c r="H703" i="1"/>
  <c r="Q702" i="1"/>
  <c r="H702" i="1"/>
  <c r="Q701" i="1"/>
  <c r="H701" i="1"/>
  <c r="Q700" i="1"/>
  <c r="H700" i="1"/>
  <c r="Q699" i="1"/>
  <c r="H699" i="1"/>
  <c r="Q698" i="1"/>
  <c r="H698" i="1"/>
  <c r="Q697" i="1"/>
  <c r="H697" i="1"/>
  <c r="Q696" i="1"/>
  <c r="H696" i="1"/>
  <c r="Q695" i="1"/>
  <c r="H695" i="1"/>
  <c r="Q694" i="1"/>
  <c r="H694" i="1"/>
  <c r="Q693" i="1"/>
  <c r="H693" i="1"/>
  <c r="Q692" i="1"/>
  <c r="H692" i="1"/>
  <c r="Q691" i="1"/>
  <c r="H691" i="1"/>
  <c r="Q690" i="1"/>
  <c r="H690" i="1"/>
  <c r="Q689" i="1"/>
  <c r="H689" i="1"/>
  <c r="Q688" i="1"/>
  <c r="H688" i="1"/>
  <c r="Q687" i="1"/>
  <c r="H687" i="1"/>
  <c r="Q686" i="1"/>
  <c r="H686" i="1"/>
  <c r="Q685" i="1"/>
  <c r="H685" i="1"/>
  <c r="Q684" i="1"/>
  <c r="H684" i="1"/>
  <c r="Q683" i="1"/>
  <c r="H683" i="1"/>
  <c r="Q682" i="1"/>
  <c r="H682" i="1"/>
  <c r="Q681" i="1"/>
  <c r="H681" i="1"/>
  <c r="Q680" i="1"/>
  <c r="H680" i="1"/>
  <c r="Q679" i="1"/>
  <c r="H679" i="1"/>
  <c r="Q678" i="1"/>
  <c r="H678" i="1"/>
  <c r="Q677" i="1"/>
  <c r="H677" i="1"/>
  <c r="Q676" i="1"/>
  <c r="H676" i="1"/>
  <c r="Q675" i="1"/>
  <c r="H675" i="1"/>
  <c r="Q674" i="1"/>
  <c r="H674" i="1"/>
  <c r="Q673" i="1"/>
  <c r="H673" i="1"/>
  <c r="Q672" i="1"/>
  <c r="H672" i="1"/>
  <c r="Q671" i="1"/>
  <c r="H671" i="1"/>
  <c r="Q670" i="1"/>
  <c r="H670" i="1"/>
  <c r="Q669" i="1"/>
  <c r="H669" i="1"/>
  <c r="Q668" i="1"/>
  <c r="H668" i="1"/>
  <c r="Q667" i="1"/>
  <c r="H667" i="1"/>
  <c r="Q666" i="1"/>
  <c r="H666" i="1"/>
  <c r="Q665" i="1"/>
  <c r="H665" i="1"/>
  <c r="Q664" i="1"/>
  <c r="H664" i="1"/>
  <c r="Q663" i="1"/>
  <c r="H663" i="1"/>
  <c r="Q662" i="1"/>
  <c r="H662" i="1"/>
  <c r="Q661" i="1"/>
  <c r="H661" i="1"/>
  <c r="Q660" i="1"/>
  <c r="H660" i="1"/>
  <c r="Q659" i="1"/>
  <c r="H659" i="1"/>
  <c r="Q658" i="1"/>
  <c r="H658" i="1"/>
  <c r="Q657" i="1"/>
  <c r="H657" i="1"/>
  <c r="Q656" i="1"/>
  <c r="H656" i="1"/>
  <c r="Q655" i="1"/>
  <c r="H655" i="1"/>
  <c r="Q654" i="1"/>
  <c r="H654" i="1"/>
  <c r="Q653" i="1"/>
  <c r="H653" i="1"/>
  <c r="Q652" i="1"/>
  <c r="H652" i="1"/>
  <c r="Q651" i="1"/>
  <c r="H651" i="1"/>
  <c r="Q650" i="1"/>
  <c r="H650" i="1"/>
  <c r="Q649" i="1"/>
  <c r="H649" i="1"/>
  <c r="Q648" i="1"/>
  <c r="H648" i="1"/>
  <c r="Q647" i="1"/>
  <c r="H647" i="1"/>
  <c r="Q646" i="1"/>
  <c r="H646" i="1"/>
  <c r="Q645" i="1"/>
  <c r="H645" i="1"/>
  <c r="Q644" i="1"/>
  <c r="H644" i="1"/>
  <c r="Q643" i="1"/>
  <c r="H643" i="1"/>
  <c r="Q642" i="1"/>
  <c r="H642" i="1"/>
  <c r="Q641" i="1"/>
  <c r="H641" i="1"/>
  <c r="Q640" i="1"/>
  <c r="H640" i="1"/>
  <c r="Q639" i="1"/>
  <c r="H639" i="1"/>
  <c r="Q638" i="1"/>
  <c r="H638" i="1"/>
  <c r="Q637" i="1"/>
  <c r="H637" i="1"/>
  <c r="Q636" i="1"/>
  <c r="H636" i="1"/>
  <c r="Q635" i="1"/>
  <c r="H635" i="1"/>
  <c r="Q634" i="1"/>
  <c r="H634" i="1"/>
  <c r="Q633" i="1"/>
  <c r="H633" i="1"/>
  <c r="Q632" i="1"/>
  <c r="H632" i="1"/>
  <c r="Q631" i="1"/>
  <c r="H631" i="1"/>
  <c r="Q630" i="1"/>
  <c r="H630" i="1"/>
  <c r="Q629" i="1"/>
  <c r="H629" i="1"/>
  <c r="Q628" i="1"/>
  <c r="H628" i="1"/>
  <c r="Q627" i="1"/>
  <c r="H627" i="1"/>
  <c r="Q626" i="1"/>
  <c r="H626" i="1"/>
  <c r="Q625" i="1"/>
  <c r="H625" i="1"/>
  <c r="Q624" i="1"/>
  <c r="H624" i="1"/>
  <c r="Q623" i="1"/>
  <c r="H623" i="1"/>
  <c r="Q622" i="1"/>
  <c r="H622" i="1"/>
  <c r="Q621" i="1"/>
  <c r="H621" i="1"/>
  <c r="Q620" i="1"/>
  <c r="H620" i="1"/>
  <c r="Q619" i="1"/>
  <c r="H619" i="1"/>
  <c r="Q618" i="1"/>
  <c r="H618" i="1"/>
  <c r="Q617" i="1"/>
  <c r="H617" i="1"/>
  <c r="Q616" i="1"/>
  <c r="H616" i="1"/>
  <c r="Q615" i="1"/>
  <c r="H615" i="1"/>
  <c r="Q614" i="1"/>
  <c r="H614" i="1"/>
  <c r="Q613" i="1"/>
  <c r="H613" i="1"/>
  <c r="Q612" i="1"/>
  <c r="H612" i="1"/>
  <c r="Q611" i="1"/>
  <c r="H611" i="1"/>
  <c r="Q610" i="1"/>
  <c r="H610" i="1"/>
  <c r="Q609" i="1"/>
  <c r="H609" i="1"/>
  <c r="Q608" i="1"/>
  <c r="H608" i="1"/>
  <c r="Q607" i="1"/>
  <c r="H607" i="1"/>
  <c r="Q606" i="1"/>
  <c r="H606" i="1"/>
  <c r="Q605" i="1"/>
  <c r="H605" i="1"/>
  <c r="Q604" i="1"/>
  <c r="H604" i="1"/>
  <c r="Q603" i="1"/>
  <c r="H603" i="1"/>
  <c r="Q602" i="1"/>
  <c r="H602" i="1"/>
  <c r="Q601" i="1"/>
  <c r="H601" i="1"/>
  <c r="Q600" i="1"/>
  <c r="H600" i="1"/>
  <c r="Q599" i="1"/>
  <c r="H599" i="1"/>
  <c r="Q598" i="1"/>
  <c r="H598" i="1"/>
  <c r="Q597" i="1"/>
  <c r="H597" i="1"/>
  <c r="Q596" i="1"/>
  <c r="H596" i="1"/>
  <c r="Q595" i="1"/>
  <c r="H595" i="1"/>
  <c r="Q594" i="1"/>
  <c r="H594" i="1"/>
  <c r="Q593" i="1"/>
  <c r="H593" i="1"/>
  <c r="Q592" i="1"/>
  <c r="H592" i="1"/>
  <c r="Q591" i="1"/>
  <c r="H591" i="1"/>
  <c r="Q590" i="1"/>
  <c r="H590" i="1"/>
  <c r="Q589" i="1"/>
  <c r="H589" i="1"/>
  <c r="Q588" i="1"/>
  <c r="H588" i="1"/>
  <c r="Q587" i="1"/>
  <c r="H587" i="1"/>
  <c r="Q586" i="1"/>
  <c r="H586" i="1"/>
  <c r="Q585" i="1"/>
  <c r="H585" i="1"/>
  <c r="Q584" i="1"/>
  <c r="H584" i="1"/>
  <c r="Q583" i="1"/>
  <c r="H583" i="1"/>
  <c r="Q582" i="1"/>
  <c r="H582" i="1"/>
  <c r="Q581" i="1"/>
  <c r="H581" i="1"/>
  <c r="Q580" i="1"/>
  <c r="H580" i="1"/>
  <c r="Q579" i="1"/>
  <c r="H579" i="1"/>
  <c r="Q578" i="1"/>
  <c r="H578" i="1"/>
  <c r="Q577" i="1"/>
  <c r="H577" i="1"/>
  <c r="Q576" i="1"/>
  <c r="H576" i="1"/>
  <c r="Q575" i="1"/>
  <c r="H575" i="1"/>
  <c r="Q574" i="1"/>
  <c r="H574" i="1"/>
  <c r="Q573" i="1"/>
  <c r="H573" i="1"/>
  <c r="Q572" i="1"/>
  <c r="H572" i="1"/>
  <c r="Q571" i="1"/>
  <c r="H571" i="1"/>
  <c r="Q570" i="1"/>
  <c r="H570" i="1"/>
  <c r="Q569" i="1"/>
  <c r="H569" i="1"/>
  <c r="Q568" i="1"/>
  <c r="H568" i="1"/>
  <c r="Q567" i="1"/>
  <c r="H567" i="1"/>
  <c r="Q566" i="1"/>
  <c r="H566" i="1"/>
  <c r="Q565" i="1"/>
  <c r="H565" i="1"/>
  <c r="Q564" i="1"/>
  <c r="H564" i="1"/>
  <c r="Q563" i="1"/>
  <c r="H563" i="1"/>
  <c r="Q562" i="1"/>
  <c r="H562" i="1"/>
  <c r="Q561" i="1"/>
  <c r="H561" i="1"/>
  <c r="Q560" i="1"/>
  <c r="H560" i="1"/>
  <c r="Q559" i="1"/>
  <c r="H559" i="1"/>
  <c r="Q558" i="1"/>
  <c r="H558" i="1"/>
  <c r="Q557" i="1"/>
  <c r="H557" i="1"/>
  <c r="Q556" i="1"/>
  <c r="H556" i="1"/>
  <c r="Q555" i="1"/>
  <c r="H555" i="1"/>
  <c r="Q554" i="1"/>
  <c r="H554" i="1"/>
  <c r="Q553" i="1"/>
  <c r="H553" i="1"/>
  <c r="Q552" i="1"/>
  <c r="H552" i="1"/>
  <c r="Q551" i="1"/>
  <c r="H551" i="1"/>
  <c r="Q550" i="1"/>
  <c r="H550" i="1"/>
  <c r="Q549" i="1"/>
  <c r="H549" i="1"/>
  <c r="Q548" i="1"/>
  <c r="H548" i="1"/>
  <c r="Q547" i="1"/>
  <c r="H547" i="1"/>
  <c r="Q546" i="1"/>
  <c r="H546" i="1"/>
  <c r="Q545" i="1"/>
  <c r="H545" i="1"/>
  <c r="Q544" i="1"/>
  <c r="H544" i="1"/>
  <c r="Q543" i="1"/>
  <c r="H543" i="1"/>
  <c r="Q542" i="1"/>
  <c r="H542" i="1"/>
  <c r="Q541" i="1"/>
  <c r="H541" i="1"/>
  <c r="Q540" i="1"/>
  <c r="H540" i="1"/>
  <c r="Q539" i="1"/>
  <c r="H539" i="1"/>
  <c r="Q538" i="1"/>
  <c r="H538" i="1"/>
  <c r="Q537" i="1"/>
  <c r="H537" i="1"/>
  <c r="Q536" i="1"/>
  <c r="H536" i="1"/>
  <c r="Q535" i="1"/>
  <c r="H535" i="1"/>
  <c r="Q534" i="1"/>
  <c r="H534" i="1"/>
  <c r="Q533" i="1"/>
  <c r="H533" i="1"/>
  <c r="Q532" i="1"/>
  <c r="H532" i="1"/>
  <c r="Q531" i="1"/>
  <c r="H531" i="1"/>
  <c r="Q530" i="1"/>
  <c r="H530" i="1"/>
  <c r="Q529" i="1"/>
  <c r="H529" i="1"/>
  <c r="Q528" i="1"/>
  <c r="H528" i="1"/>
  <c r="Q527" i="1"/>
  <c r="H527" i="1"/>
  <c r="Q526" i="1"/>
  <c r="H526" i="1"/>
  <c r="Q525" i="1"/>
  <c r="H525" i="1"/>
  <c r="Q524" i="1"/>
  <c r="H524" i="1"/>
  <c r="Q523" i="1"/>
  <c r="H523" i="1"/>
  <c r="Q522" i="1"/>
  <c r="H522" i="1"/>
  <c r="Q521" i="1"/>
  <c r="H521" i="1"/>
  <c r="Q520" i="1"/>
  <c r="H520" i="1"/>
  <c r="Q519" i="1"/>
  <c r="H519" i="1"/>
  <c r="Q518" i="1"/>
  <c r="H518" i="1"/>
  <c r="Q517" i="1"/>
  <c r="H517" i="1"/>
  <c r="Q516" i="1"/>
  <c r="H516" i="1"/>
  <c r="Q515" i="1"/>
  <c r="H515" i="1"/>
  <c r="Q514" i="1"/>
  <c r="H514" i="1"/>
  <c r="Q513" i="1"/>
  <c r="H513" i="1"/>
  <c r="Q512" i="1"/>
  <c r="H512" i="1"/>
  <c r="Q511" i="1"/>
  <c r="H511" i="1"/>
  <c r="Q510" i="1"/>
  <c r="H510" i="1"/>
  <c r="Q509" i="1"/>
  <c r="H509" i="1"/>
  <c r="Q508" i="1"/>
  <c r="H508" i="1"/>
  <c r="Q507" i="1"/>
  <c r="H507" i="1"/>
  <c r="Q506" i="1"/>
  <c r="H506" i="1"/>
  <c r="Q505" i="1"/>
  <c r="H505" i="1"/>
  <c r="Q504" i="1"/>
  <c r="H504" i="1"/>
  <c r="Q503" i="1"/>
  <c r="H503" i="1"/>
  <c r="Q502" i="1"/>
  <c r="H502" i="1"/>
  <c r="Q501" i="1"/>
  <c r="H501" i="1"/>
  <c r="Q500" i="1"/>
  <c r="H500" i="1"/>
  <c r="Q499" i="1"/>
  <c r="H499" i="1"/>
  <c r="Q498" i="1"/>
  <c r="H498" i="1"/>
  <c r="Q497" i="1"/>
  <c r="H497" i="1"/>
  <c r="Q496" i="1"/>
  <c r="H496" i="1"/>
  <c r="Q495" i="1"/>
  <c r="H495" i="1"/>
  <c r="Q494" i="1"/>
  <c r="H494" i="1"/>
  <c r="Q493" i="1"/>
  <c r="H493" i="1"/>
  <c r="Q492" i="1"/>
  <c r="H492" i="1"/>
  <c r="Q491" i="1"/>
  <c r="H491" i="1"/>
  <c r="Q490" i="1"/>
  <c r="H490" i="1"/>
  <c r="Q489" i="1"/>
  <c r="H489" i="1"/>
  <c r="Q488" i="1"/>
  <c r="H488" i="1"/>
  <c r="Q487" i="1"/>
  <c r="H487" i="1"/>
  <c r="Q486" i="1"/>
  <c r="H486" i="1"/>
  <c r="Q485" i="1"/>
  <c r="H485" i="1"/>
  <c r="Q484" i="1"/>
  <c r="H484" i="1"/>
  <c r="Q483" i="1"/>
  <c r="H483" i="1"/>
  <c r="Q482" i="1"/>
  <c r="H482" i="1"/>
  <c r="Q481" i="1"/>
  <c r="H481" i="1"/>
  <c r="Q480" i="1"/>
  <c r="H480" i="1"/>
  <c r="Q479" i="1"/>
  <c r="H479" i="1"/>
  <c r="Q478" i="1"/>
  <c r="H478" i="1"/>
  <c r="Q477" i="1"/>
  <c r="H477" i="1"/>
  <c r="Q476" i="1"/>
  <c r="H476" i="1"/>
  <c r="Q475" i="1"/>
  <c r="H475" i="1"/>
  <c r="Q474" i="1"/>
  <c r="H474" i="1"/>
  <c r="Q473" i="1"/>
  <c r="H473" i="1"/>
  <c r="Q472" i="1"/>
  <c r="H472" i="1"/>
  <c r="Q471" i="1"/>
  <c r="H471" i="1"/>
  <c r="Q470" i="1"/>
  <c r="H470" i="1"/>
  <c r="Q469" i="1"/>
  <c r="H469" i="1"/>
  <c r="Q468" i="1"/>
  <c r="H468" i="1"/>
  <c r="Q467" i="1"/>
  <c r="H467" i="1"/>
  <c r="Q466" i="1"/>
  <c r="H466" i="1"/>
  <c r="Q465" i="1"/>
  <c r="H465" i="1"/>
  <c r="Q464" i="1"/>
  <c r="H464" i="1"/>
  <c r="Q463" i="1"/>
  <c r="H463" i="1"/>
  <c r="Q462" i="1"/>
  <c r="H462" i="1"/>
  <c r="Q461" i="1"/>
  <c r="H461" i="1"/>
  <c r="Q460" i="1"/>
  <c r="H460" i="1"/>
  <c r="Q459" i="1"/>
  <c r="H459" i="1"/>
  <c r="Q458" i="1"/>
  <c r="H458" i="1"/>
  <c r="Q457" i="1"/>
  <c r="H457" i="1"/>
  <c r="Q456" i="1"/>
  <c r="H456" i="1"/>
  <c r="Q455" i="1"/>
  <c r="H455" i="1"/>
  <c r="Q454" i="1"/>
  <c r="H454" i="1"/>
  <c r="Q453" i="1"/>
  <c r="H453" i="1"/>
  <c r="Q452" i="1"/>
  <c r="H452" i="1"/>
  <c r="Q451" i="1"/>
  <c r="H451" i="1"/>
  <c r="Q450" i="1"/>
  <c r="H450" i="1"/>
  <c r="Q449" i="1"/>
  <c r="H449" i="1"/>
  <c r="Q448" i="1"/>
  <c r="H448" i="1"/>
  <c r="Q447" i="1"/>
  <c r="H447" i="1"/>
  <c r="Q446" i="1"/>
  <c r="H446" i="1"/>
  <c r="Q445" i="1"/>
  <c r="H445" i="1"/>
  <c r="Q444" i="1"/>
  <c r="H444" i="1"/>
  <c r="Q443" i="1"/>
  <c r="H443" i="1"/>
  <c r="Q442" i="1"/>
  <c r="H442" i="1"/>
  <c r="Q441" i="1"/>
  <c r="H441" i="1"/>
  <c r="Q440" i="1"/>
  <c r="H440" i="1"/>
  <c r="Q439" i="1"/>
  <c r="H439" i="1"/>
  <c r="Q438" i="1"/>
  <c r="H438" i="1"/>
  <c r="Q437" i="1"/>
  <c r="H437" i="1"/>
  <c r="Q436" i="1"/>
  <c r="H436" i="1"/>
  <c r="Q435" i="1"/>
  <c r="H435" i="1"/>
  <c r="Q434" i="1"/>
  <c r="H434" i="1"/>
  <c r="Q433" i="1"/>
  <c r="H433" i="1"/>
  <c r="Q432" i="1"/>
  <c r="H432" i="1"/>
  <c r="Q431" i="1"/>
  <c r="H431" i="1"/>
  <c r="Q430" i="1"/>
  <c r="H430" i="1"/>
  <c r="Q429" i="1"/>
  <c r="H429" i="1"/>
  <c r="Q428" i="1"/>
  <c r="H428" i="1"/>
  <c r="Q427" i="1"/>
  <c r="H427" i="1"/>
  <c r="Q426" i="1"/>
  <c r="H426" i="1"/>
  <c r="Q425" i="1"/>
  <c r="H425" i="1"/>
  <c r="Q424" i="1"/>
  <c r="H424" i="1"/>
  <c r="Q423" i="1"/>
  <c r="H423" i="1"/>
  <c r="Q422" i="1"/>
  <c r="H422" i="1"/>
  <c r="Q421" i="1"/>
  <c r="H421" i="1"/>
  <c r="Q420" i="1"/>
  <c r="H420" i="1"/>
  <c r="Q419" i="1"/>
  <c r="H419" i="1"/>
  <c r="Q418" i="1"/>
  <c r="H418" i="1"/>
  <c r="Q417" i="1"/>
  <c r="H417" i="1"/>
  <c r="Q416" i="1"/>
  <c r="H416" i="1"/>
  <c r="Q415" i="1"/>
  <c r="H415" i="1"/>
  <c r="Q414" i="1"/>
  <c r="H414" i="1"/>
  <c r="Q413" i="1"/>
  <c r="H413" i="1"/>
  <c r="Q412" i="1"/>
  <c r="H412" i="1"/>
  <c r="Q411" i="1"/>
  <c r="H411" i="1"/>
  <c r="Q410" i="1"/>
  <c r="H410" i="1"/>
  <c r="Q409" i="1"/>
  <c r="H409" i="1"/>
  <c r="Q408" i="1"/>
  <c r="H408" i="1"/>
  <c r="Q407" i="1"/>
  <c r="H407" i="1"/>
  <c r="Q406" i="1"/>
  <c r="H406" i="1"/>
  <c r="Q405" i="1"/>
  <c r="H405" i="1"/>
  <c r="Q404" i="1"/>
  <c r="H404" i="1"/>
  <c r="Q403" i="1"/>
  <c r="H403" i="1"/>
  <c r="Q402" i="1"/>
  <c r="H402" i="1"/>
  <c r="Q401" i="1"/>
  <c r="H401" i="1"/>
  <c r="Q400" i="1"/>
  <c r="H400" i="1"/>
  <c r="Q399" i="1"/>
  <c r="H399" i="1"/>
  <c r="Q398" i="1"/>
  <c r="H398" i="1"/>
  <c r="Q397" i="1"/>
  <c r="H397" i="1"/>
  <c r="Q396" i="1"/>
  <c r="H396" i="1"/>
  <c r="Q395" i="1"/>
  <c r="H395" i="1"/>
  <c r="Q394" i="1"/>
  <c r="H394" i="1"/>
  <c r="Q393" i="1"/>
  <c r="H393" i="1"/>
  <c r="Q392" i="1"/>
  <c r="H392" i="1"/>
  <c r="Q391" i="1"/>
  <c r="H391" i="1"/>
  <c r="Q390" i="1"/>
  <c r="H390" i="1"/>
  <c r="Q389" i="1"/>
  <c r="H389" i="1"/>
  <c r="Q388" i="1"/>
  <c r="H388" i="1"/>
  <c r="Q387" i="1"/>
  <c r="H387" i="1"/>
  <c r="Q386" i="1"/>
  <c r="H386" i="1"/>
  <c r="Q385" i="1"/>
  <c r="H385" i="1"/>
  <c r="Q384" i="1"/>
  <c r="H384" i="1"/>
  <c r="Q383" i="1"/>
  <c r="H383" i="1"/>
  <c r="Q382" i="1"/>
  <c r="H382" i="1"/>
  <c r="Q381" i="1"/>
  <c r="H381" i="1"/>
  <c r="Q380" i="1"/>
  <c r="H380" i="1"/>
  <c r="Q379" i="1"/>
  <c r="H379" i="1"/>
  <c r="Q378" i="1"/>
  <c r="H378" i="1"/>
  <c r="Q377" i="1"/>
  <c r="H377" i="1"/>
  <c r="Q376" i="1"/>
  <c r="H376" i="1"/>
  <c r="Q375" i="1"/>
  <c r="H375" i="1"/>
  <c r="Q374" i="1"/>
  <c r="H374" i="1"/>
  <c r="Q373" i="1"/>
  <c r="H373" i="1"/>
  <c r="Q372" i="1"/>
  <c r="H372" i="1"/>
  <c r="Q371" i="1"/>
  <c r="H371" i="1"/>
  <c r="Q370" i="1"/>
  <c r="H370" i="1"/>
  <c r="Q369" i="1"/>
  <c r="H369" i="1"/>
  <c r="Q368" i="1"/>
  <c r="H368" i="1"/>
  <c r="Q367" i="1"/>
  <c r="H367" i="1"/>
  <c r="Q366" i="1"/>
  <c r="H366" i="1"/>
  <c r="Q365" i="1"/>
  <c r="H365" i="1"/>
  <c r="Q364" i="1"/>
  <c r="H364" i="1"/>
  <c r="Q363" i="1"/>
  <c r="H363" i="1"/>
  <c r="Q362" i="1"/>
  <c r="H362" i="1"/>
  <c r="Q361" i="1"/>
  <c r="H361" i="1"/>
  <c r="Q360" i="1"/>
  <c r="H360" i="1"/>
  <c r="Q359" i="1"/>
  <c r="H359" i="1"/>
  <c r="Q358" i="1"/>
  <c r="H358" i="1"/>
  <c r="Q357" i="1"/>
  <c r="H357" i="1"/>
  <c r="Q356" i="1"/>
  <c r="H356" i="1"/>
  <c r="Q355" i="1"/>
  <c r="H355" i="1"/>
  <c r="Q354" i="1"/>
  <c r="H354" i="1"/>
  <c r="Q353" i="1"/>
  <c r="H353" i="1"/>
  <c r="Q352" i="1"/>
  <c r="H352" i="1"/>
  <c r="Q351" i="1"/>
  <c r="H351" i="1"/>
  <c r="Q350" i="1"/>
  <c r="H350" i="1"/>
  <c r="Q349" i="1"/>
  <c r="H349" i="1"/>
  <c r="Q348" i="1"/>
  <c r="H348" i="1"/>
  <c r="Q347" i="1"/>
  <c r="H347" i="1"/>
  <c r="Q346" i="1"/>
  <c r="H346" i="1"/>
  <c r="Q345" i="1"/>
  <c r="H345" i="1"/>
  <c r="Q344" i="1"/>
  <c r="H344" i="1"/>
  <c r="Q343" i="1"/>
  <c r="H343" i="1"/>
  <c r="Q342" i="1"/>
  <c r="H342" i="1"/>
  <c r="Q341" i="1"/>
  <c r="H341" i="1"/>
  <c r="Q340" i="1"/>
  <c r="H340" i="1"/>
  <c r="Q339" i="1"/>
  <c r="H339" i="1"/>
  <c r="Q338" i="1"/>
  <c r="H338" i="1"/>
  <c r="Q337" i="1"/>
  <c r="H337" i="1"/>
  <c r="Q336" i="1"/>
  <c r="H336" i="1"/>
  <c r="Q335" i="1"/>
  <c r="H335" i="1"/>
  <c r="Q334" i="1"/>
  <c r="H334" i="1"/>
  <c r="Q333" i="1"/>
  <c r="H333" i="1"/>
  <c r="Q332" i="1"/>
  <c r="H332" i="1"/>
  <c r="Q331" i="1"/>
  <c r="H331" i="1"/>
  <c r="Q330" i="1"/>
  <c r="H330" i="1"/>
  <c r="Q329" i="1"/>
  <c r="H329" i="1"/>
  <c r="Q328" i="1"/>
  <c r="H328" i="1"/>
  <c r="Q327" i="1"/>
  <c r="H327" i="1"/>
  <c r="Q326" i="1"/>
  <c r="H326" i="1"/>
  <c r="Q325" i="1"/>
  <c r="H325" i="1"/>
  <c r="Q324" i="1"/>
  <c r="H324" i="1"/>
  <c r="Q323" i="1"/>
  <c r="H323" i="1"/>
  <c r="Q322" i="1"/>
  <c r="H322" i="1"/>
  <c r="Q321" i="1"/>
  <c r="H321" i="1"/>
  <c r="Q320" i="1"/>
  <c r="H320" i="1"/>
  <c r="Q319" i="1"/>
  <c r="H319" i="1"/>
  <c r="Q318" i="1"/>
  <c r="H318" i="1"/>
  <c r="Q317" i="1"/>
  <c r="H317" i="1"/>
  <c r="Q316" i="1"/>
  <c r="H316" i="1"/>
  <c r="Q315" i="1"/>
  <c r="H315" i="1"/>
  <c r="Q314" i="1"/>
  <c r="H314" i="1"/>
  <c r="Q313" i="1"/>
  <c r="H313" i="1"/>
  <c r="Q312" i="1"/>
  <c r="H312" i="1"/>
  <c r="Q311" i="1"/>
  <c r="H311" i="1"/>
  <c r="Q310" i="1"/>
  <c r="H310" i="1"/>
  <c r="Q309" i="1"/>
  <c r="H309" i="1"/>
  <c r="Q308" i="1"/>
  <c r="H308" i="1"/>
  <c r="Q307" i="1"/>
  <c r="H307" i="1"/>
  <c r="Q306" i="1"/>
  <c r="H306" i="1"/>
  <c r="Q305" i="1"/>
  <c r="H305" i="1"/>
  <c r="Q304" i="1"/>
  <c r="H304" i="1"/>
  <c r="Q303" i="1"/>
  <c r="H303" i="1"/>
  <c r="Q302" i="1"/>
  <c r="H302" i="1"/>
  <c r="Q301" i="1"/>
  <c r="H301" i="1"/>
  <c r="Q300" i="1"/>
  <c r="H300" i="1"/>
  <c r="Q299" i="1"/>
  <c r="H299" i="1"/>
  <c r="Q298" i="1"/>
  <c r="H298" i="1"/>
  <c r="Q297" i="1"/>
  <c r="H297" i="1"/>
  <c r="Q296" i="1"/>
  <c r="H296" i="1"/>
  <c r="Q295" i="1"/>
  <c r="H295" i="1"/>
  <c r="Q294" i="1"/>
  <c r="H294" i="1"/>
  <c r="Q293" i="1"/>
  <c r="H293" i="1"/>
  <c r="Q292" i="1"/>
  <c r="H292" i="1"/>
  <c r="Q291" i="1"/>
  <c r="H291" i="1"/>
  <c r="Q290" i="1"/>
  <c r="H290" i="1"/>
  <c r="Q289" i="1"/>
  <c r="H289" i="1"/>
  <c r="Q288" i="1"/>
  <c r="H288" i="1"/>
  <c r="Q287" i="1"/>
  <c r="H287" i="1"/>
  <c r="Q286" i="1"/>
  <c r="H286" i="1"/>
  <c r="Q285" i="1"/>
  <c r="H285" i="1"/>
  <c r="Q284" i="1"/>
  <c r="H284" i="1"/>
  <c r="Q283" i="1"/>
  <c r="H283" i="1"/>
  <c r="Q282" i="1"/>
  <c r="H282" i="1"/>
  <c r="Q281" i="1"/>
  <c r="H281" i="1"/>
  <c r="Q280" i="1"/>
  <c r="H280" i="1"/>
  <c r="Q279" i="1"/>
  <c r="H279" i="1"/>
  <c r="Q278" i="1"/>
  <c r="H278" i="1"/>
  <c r="Q277" i="1"/>
  <c r="H277" i="1"/>
  <c r="Q276" i="1"/>
  <c r="H276" i="1"/>
  <c r="Q275" i="1"/>
  <c r="H275" i="1"/>
  <c r="X274" i="1"/>
  <c r="Q274" i="1"/>
  <c r="H274" i="1"/>
  <c r="X273" i="1"/>
  <c r="S273" i="1"/>
  <c r="Q273" i="1"/>
  <c r="H273" i="1"/>
  <c r="X272" i="1"/>
  <c r="S272" i="1"/>
  <c r="Q272" i="1"/>
  <c r="H272" i="1"/>
  <c r="X271" i="1"/>
  <c r="S271" i="1"/>
  <c r="Q271" i="1"/>
  <c r="H271" i="1"/>
  <c r="X270" i="1"/>
  <c r="S270" i="1"/>
  <c r="Q270" i="1"/>
  <c r="H270" i="1"/>
  <c r="X269" i="1"/>
  <c r="S269" i="1"/>
  <c r="Q269" i="1"/>
  <c r="H269" i="1"/>
  <c r="X268" i="1"/>
  <c r="S268" i="1"/>
  <c r="Q268" i="1"/>
  <c r="H268" i="1"/>
  <c r="X267" i="1"/>
  <c r="S267" i="1"/>
  <c r="Q267" i="1"/>
  <c r="H267" i="1"/>
  <c r="X266" i="1"/>
  <c r="S266" i="1"/>
  <c r="Q266" i="1"/>
  <c r="H266" i="1"/>
  <c r="X265" i="1"/>
  <c r="S265" i="1"/>
  <c r="Q265" i="1"/>
  <c r="H265" i="1"/>
  <c r="X264" i="1"/>
  <c r="S264" i="1"/>
  <c r="Q264" i="1"/>
  <c r="H264" i="1"/>
  <c r="X263" i="1"/>
  <c r="S263" i="1"/>
  <c r="Q263" i="1"/>
  <c r="H263" i="1"/>
  <c r="X262" i="1"/>
  <c r="S262" i="1"/>
  <c r="Q262" i="1"/>
  <c r="H262" i="1"/>
  <c r="X261" i="1"/>
  <c r="S261" i="1"/>
  <c r="Q261" i="1"/>
  <c r="H261" i="1"/>
  <c r="X260" i="1"/>
  <c r="S260" i="1"/>
  <c r="Q260" i="1"/>
  <c r="H260" i="1"/>
  <c r="X259" i="1"/>
  <c r="S259" i="1"/>
  <c r="Q259" i="1"/>
  <c r="H259" i="1"/>
  <c r="X258" i="1"/>
  <c r="S258" i="1"/>
  <c r="Q258" i="1"/>
  <c r="H258" i="1"/>
  <c r="X257" i="1"/>
  <c r="S257" i="1"/>
  <c r="Q257" i="1"/>
  <c r="H257" i="1"/>
  <c r="X256" i="1"/>
  <c r="S256" i="1"/>
  <c r="Q256" i="1"/>
  <c r="H256" i="1"/>
  <c r="X255" i="1"/>
  <c r="S255" i="1"/>
  <c r="Q255" i="1"/>
  <c r="H255" i="1"/>
  <c r="X254" i="1"/>
  <c r="S254" i="1"/>
  <c r="Q254" i="1"/>
  <c r="H254" i="1"/>
  <c r="X253" i="1"/>
  <c r="S253" i="1"/>
  <c r="Q253" i="1"/>
  <c r="H253" i="1"/>
  <c r="X252" i="1"/>
  <c r="S252" i="1"/>
  <c r="Q252" i="1"/>
  <c r="H252" i="1"/>
  <c r="X251" i="1"/>
  <c r="S251" i="1"/>
  <c r="Q251" i="1"/>
  <c r="H251" i="1"/>
  <c r="X250" i="1"/>
  <c r="S250" i="1"/>
  <c r="Q250" i="1"/>
  <c r="H250" i="1"/>
  <c r="X249" i="1"/>
  <c r="S249" i="1"/>
  <c r="Q249" i="1"/>
  <c r="H249" i="1"/>
  <c r="X248" i="1"/>
  <c r="S248" i="1"/>
  <c r="Q248" i="1"/>
  <c r="H248" i="1"/>
  <c r="X247" i="1"/>
  <c r="S247" i="1"/>
  <c r="Q247" i="1"/>
  <c r="H247" i="1"/>
  <c r="X246" i="1"/>
  <c r="S246" i="1"/>
  <c r="Q246" i="1"/>
  <c r="H246" i="1"/>
  <c r="X245" i="1"/>
  <c r="S245" i="1"/>
  <c r="Q245" i="1"/>
  <c r="H245" i="1"/>
  <c r="X244" i="1"/>
  <c r="S244" i="1"/>
  <c r="Q244" i="1"/>
  <c r="H244" i="1"/>
  <c r="X243" i="1"/>
  <c r="S243" i="1"/>
  <c r="Q243" i="1"/>
  <c r="H243" i="1"/>
  <c r="X242" i="1"/>
  <c r="S242" i="1"/>
  <c r="Q242" i="1"/>
  <c r="H242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S241" i="1"/>
  <c r="Q241" i="1"/>
  <c r="O241" i="1"/>
  <c r="H241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S240" i="1"/>
  <c r="Q240" i="1"/>
  <c r="O240" i="1"/>
  <c r="H240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S239" i="1"/>
  <c r="Q239" i="1"/>
  <c r="O239" i="1"/>
  <c r="H239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S238" i="1"/>
  <c r="Q238" i="1"/>
  <c r="O238" i="1"/>
  <c r="H238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S237" i="1"/>
  <c r="Q237" i="1"/>
  <c r="O237" i="1"/>
  <c r="H237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S236" i="1"/>
  <c r="Q236" i="1"/>
  <c r="O236" i="1"/>
  <c r="H236" i="1"/>
  <c r="X235" i="1"/>
  <c r="S235" i="1"/>
  <c r="Q235" i="1"/>
  <c r="H235" i="1"/>
  <c r="X234" i="1"/>
  <c r="S234" i="1"/>
  <c r="Q234" i="1"/>
  <c r="H234" i="1"/>
  <c r="X233" i="1"/>
  <c r="S233" i="1"/>
  <c r="Q233" i="1"/>
  <c r="H233" i="1"/>
  <c r="X232" i="1"/>
  <c r="S232" i="1"/>
  <c r="Q232" i="1"/>
  <c r="H232" i="1"/>
  <c r="X231" i="1"/>
  <c r="S231" i="1"/>
  <c r="Q231" i="1"/>
  <c r="H231" i="1"/>
  <c r="X230" i="1"/>
  <c r="S230" i="1"/>
  <c r="Q230" i="1"/>
  <c r="H230" i="1"/>
  <c r="X229" i="1"/>
  <c r="S229" i="1"/>
  <c r="Q229" i="1"/>
  <c r="H229" i="1"/>
  <c r="X228" i="1"/>
  <c r="S228" i="1"/>
  <c r="Q228" i="1"/>
  <c r="H228" i="1"/>
  <c r="X227" i="1"/>
  <c r="S227" i="1"/>
  <c r="Q227" i="1"/>
  <c r="H227" i="1"/>
  <c r="X226" i="1"/>
  <c r="S226" i="1"/>
  <c r="Q226" i="1"/>
  <c r="H226" i="1"/>
  <c r="X225" i="1"/>
  <c r="S225" i="1"/>
  <c r="Q225" i="1"/>
  <c r="H225" i="1"/>
  <c r="X224" i="1"/>
  <c r="S224" i="1"/>
  <c r="Q224" i="1"/>
  <c r="H224" i="1"/>
  <c r="X223" i="1"/>
  <c r="S223" i="1"/>
  <c r="Q223" i="1"/>
  <c r="H223" i="1"/>
  <c r="X222" i="1"/>
  <c r="S222" i="1"/>
  <c r="Q222" i="1"/>
  <c r="H222" i="1"/>
  <c r="BU221" i="1"/>
  <c r="BT221" i="1"/>
  <c r="BS221" i="1"/>
  <c r="BR221" i="1"/>
  <c r="X221" i="1"/>
  <c r="S221" i="1"/>
  <c r="Q221" i="1"/>
  <c r="H221" i="1"/>
  <c r="BU220" i="1"/>
  <c r="BT220" i="1"/>
  <c r="BS220" i="1"/>
  <c r="BR220" i="1"/>
  <c r="X220" i="1"/>
  <c r="S220" i="1"/>
  <c r="Q220" i="1"/>
  <c r="H220" i="1"/>
  <c r="BU219" i="1"/>
  <c r="BT219" i="1"/>
  <c r="BS219" i="1"/>
  <c r="BR219" i="1"/>
  <c r="X219" i="1"/>
  <c r="S219" i="1"/>
  <c r="Q219" i="1"/>
  <c r="H219" i="1"/>
  <c r="CK218" i="1"/>
  <c r="CJ218" i="1"/>
  <c r="CI218" i="1"/>
  <c r="CH218" i="1"/>
  <c r="BU218" i="1"/>
  <c r="BT218" i="1"/>
  <c r="BS218" i="1"/>
  <c r="BR218" i="1"/>
  <c r="X218" i="1"/>
  <c r="S218" i="1"/>
  <c r="Q218" i="1"/>
  <c r="H218" i="1"/>
  <c r="CK217" i="1"/>
  <c r="CJ217" i="1"/>
  <c r="CI217" i="1"/>
  <c r="CH217" i="1"/>
  <c r="BU217" i="1"/>
  <c r="BT217" i="1"/>
  <c r="BS217" i="1"/>
  <c r="BR217" i="1"/>
  <c r="X217" i="1"/>
  <c r="S217" i="1"/>
  <c r="Q217" i="1"/>
  <c r="H217" i="1"/>
  <c r="CK216" i="1"/>
  <c r="CJ216" i="1"/>
  <c r="CI216" i="1"/>
  <c r="CH216" i="1"/>
  <c r="BU216" i="1"/>
  <c r="BT216" i="1"/>
  <c r="BS216" i="1"/>
  <c r="BR216" i="1"/>
  <c r="X216" i="1"/>
  <c r="S216" i="1"/>
  <c r="Q216" i="1"/>
  <c r="H216" i="1"/>
  <c r="CK215" i="1"/>
  <c r="CJ215" i="1"/>
  <c r="CI215" i="1"/>
  <c r="CH215" i="1"/>
  <c r="BU215" i="1"/>
  <c r="BT215" i="1"/>
  <c r="BS215" i="1"/>
  <c r="BR215" i="1"/>
  <c r="X215" i="1"/>
  <c r="S215" i="1"/>
  <c r="Q215" i="1"/>
  <c r="H215" i="1"/>
  <c r="CK214" i="1"/>
  <c r="CJ214" i="1"/>
  <c r="CI214" i="1"/>
  <c r="CH214" i="1"/>
  <c r="BU214" i="1"/>
  <c r="BT214" i="1"/>
  <c r="BS214" i="1"/>
  <c r="BR214" i="1"/>
  <c r="X214" i="1"/>
  <c r="S214" i="1"/>
  <c r="Q214" i="1"/>
  <c r="H214" i="1"/>
  <c r="CK213" i="1"/>
  <c r="CJ213" i="1"/>
  <c r="CI213" i="1"/>
  <c r="CH213" i="1"/>
  <c r="BU213" i="1"/>
  <c r="BT213" i="1"/>
  <c r="BS213" i="1"/>
  <c r="BR213" i="1"/>
  <c r="X213" i="1"/>
  <c r="S213" i="1"/>
  <c r="Q213" i="1"/>
  <c r="H213" i="1"/>
  <c r="CK212" i="1"/>
  <c r="CJ212" i="1"/>
  <c r="CI212" i="1"/>
  <c r="CH212" i="1"/>
  <c r="BU212" i="1"/>
  <c r="BT212" i="1"/>
  <c r="BS212" i="1"/>
  <c r="BR212" i="1"/>
  <c r="X212" i="1"/>
  <c r="S212" i="1"/>
  <c r="Q212" i="1"/>
  <c r="H212" i="1"/>
  <c r="CK211" i="1"/>
  <c r="CJ211" i="1"/>
  <c r="CI211" i="1"/>
  <c r="CH211" i="1"/>
  <c r="BU211" i="1"/>
  <c r="BT211" i="1"/>
  <c r="BS211" i="1"/>
  <c r="BR211" i="1"/>
  <c r="X211" i="1"/>
  <c r="S211" i="1"/>
  <c r="Q211" i="1"/>
  <c r="H211" i="1"/>
  <c r="CK210" i="1"/>
  <c r="CJ210" i="1"/>
  <c r="CI210" i="1"/>
  <c r="CH210" i="1"/>
  <c r="BU210" i="1"/>
  <c r="BT210" i="1"/>
  <c r="BS210" i="1"/>
  <c r="BR210" i="1"/>
  <c r="X210" i="1"/>
  <c r="S210" i="1"/>
  <c r="Q210" i="1"/>
  <c r="H210" i="1"/>
  <c r="CK209" i="1"/>
  <c r="CJ209" i="1"/>
  <c r="CI209" i="1"/>
  <c r="CH209" i="1"/>
  <c r="BU209" i="1"/>
  <c r="BT209" i="1"/>
  <c r="BS209" i="1"/>
  <c r="BR209" i="1"/>
  <c r="X209" i="1"/>
  <c r="S209" i="1"/>
  <c r="Q209" i="1"/>
  <c r="H209" i="1"/>
  <c r="CK208" i="1"/>
  <c r="CJ208" i="1"/>
  <c r="CI208" i="1"/>
  <c r="CH208" i="1"/>
  <c r="BU208" i="1"/>
  <c r="BT208" i="1"/>
  <c r="BS208" i="1"/>
  <c r="BR208" i="1"/>
  <c r="X208" i="1"/>
  <c r="S208" i="1"/>
  <c r="Q208" i="1"/>
  <c r="H208" i="1"/>
  <c r="CK207" i="1"/>
  <c r="CJ207" i="1"/>
  <c r="CI207" i="1"/>
  <c r="CH207" i="1"/>
  <c r="BU207" i="1"/>
  <c r="BT207" i="1"/>
  <c r="BS207" i="1"/>
  <c r="BR207" i="1"/>
  <c r="X207" i="1"/>
  <c r="S207" i="1"/>
  <c r="Q207" i="1"/>
  <c r="H207" i="1"/>
  <c r="CK206" i="1"/>
  <c r="CJ206" i="1"/>
  <c r="CI206" i="1"/>
  <c r="CH206" i="1"/>
  <c r="BU206" i="1"/>
  <c r="BT206" i="1"/>
  <c r="BS206" i="1"/>
  <c r="BR206" i="1"/>
  <c r="X206" i="1"/>
  <c r="S206" i="1"/>
  <c r="Q206" i="1"/>
  <c r="H206" i="1"/>
  <c r="CK205" i="1"/>
  <c r="CJ205" i="1"/>
  <c r="CI205" i="1"/>
  <c r="CH205" i="1"/>
  <c r="BU205" i="1"/>
  <c r="BT205" i="1"/>
  <c r="BS205" i="1"/>
  <c r="BR205" i="1"/>
  <c r="X205" i="1"/>
  <c r="S205" i="1"/>
  <c r="Q205" i="1"/>
  <c r="H205" i="1"/>
  <c r="CK204" i="1"/>
  <c r="CJ204" i="1"/>
  <c r="CI204" i="1"/>
  <c r="CH204" i="1"/>
  <c r="BU204" i="1"/>
  <c r="BT204" i="1"/>
  <c r="BS204" i="1"/>
  <c r="BR204" i="1"/>
  <c r="X204" i="1"/>
  <c r="S204" i="1"/>
  <c r="Q204" i="1"/>
  <c r="H204" i="1"/>
  <c r="CK203" i="1"/>
  <c r="CJ203" i="1"/>
  <c r="CI203" i="1"/>
  <c r="CH203" i="1"/>
  <c r="BU203" i="1"/>
  <c r="BT203" i="1"/>
  <c r="BS203" i="1"/>
  <c r="BR203" i="1"/>
  <c r="X203" i="1"/>
  <c r="S203" i="1"/>
  <c r="Q203" i="1"/>
  <c r="H203" i="1"/>
  <c r="CK202" i="1"/>
  <c r="CJ202" i="1"/>
  <c r="CI202" i="1"/>
  <c r="CH202" i="1"/>
  <c r="BU202" i="1"/>
  <c r="BT202" i="1"/>
  <c r="BS202" i="1"/>
  <c r="BR202" i="1"/>
  <c r="X202" i="1"/>
  <c r="S202" i="1"/>
  <c r="Q202" i="1"/>
  <c r="H202" i="1"/>
  <c r="CK201" i="1"/>
  <c r="CJ201" i="1"/>
  <c r="CI201" i="1"/>
  <c r="CH201" i="1"/>
  <c r="BU201" i="1"/>
  <c r="BT201" i="1"/>
  <c r="BS201" i="1"/>
  <c r="BR201" i="1"/>
  <c r="X201" i="1"/>
  <c r="S201" i="1"/>
  <c r="Q201" i="1"/>
  <c r="H201" i="1"/>
  <c r="CK200" i="1"/>
  <c r="CJ200" i="1"/>
  <c r="CI200" i="1"/>
  <c r="CH200" i="1"/>
  <c r="BU200" i="1"/>
  <c r="BT200" i="1"/>
  <c r="BS200" i="1"/>
  <c r="BR200" i="1"/>
  <c r="X200" i="1"/>
  <c r="S200" i="1"/>
  <c r="Q200" i="1"/>
  <c r="H200" i="1"/>
  <c r="CK199" i="1"/>
  <c r="CJ199" i="1"/>
  <c r="CI199" i="1"/>
  <c r="CH199" i="1"/>
  <c r="BU199" i="1"/>
  <c r="BT199" i="1"/>
  <c r="BS199" i="1"/>
  <c r="BR199" i="1"/>
  <c r="X199" i="1"/>
  <c r="S199" i="1"/>
  <c r="Q199" i="1"/>
  <c r="H199" i="1"/>
  <c r="CK198" i="1"/>
  <c r="CJ198" i="1"/>
  <c r="CI198" i="1"/>
  <c r="CH198" i="1"/>
  <c r="BU198" i="1"/>
  <c r="BT198" i="1"/>
  <c r="BS198" i="1"/>
  <c r="BR198" i="1"/>
  <c r="X198" i="1"/>
  <c r="S198" i="1"/>
  <c r="Q198" i="1"/>
  <c r="H198" i="1"/>
  <c r="CK197" i="1"/>
  <c r="CJ197" i="1"/>
  <c r="CI197" i="1"/>
  <c r="CH197" i="1"/>
  <c r="BU197" i="1"/>
  <c r="BT197" i="1"/>
  <c r="BS197" i="1"/>
  <c r="BR197" i="1"/>
  <c r="X197" i="1"/>
  <c r="S197" i="1"/>
  <c r="Q197" i="1"/>
  <c r="H197" i="1"/>
  <c r="CX196" i="1"/>
  <c r="CK196" i="1"/>
  <c r="CJ196" i="1"/>
  <c r="CI196" i="1"/>
  <c r="CH196" i="1"/>
  <c r="BU196" i="1"/>
  <c r="BT196" i="1"/>
  <c r="BS196" i="1"/>
  <c r="BR196" i="1"/>
  <c r="X196" i="1"/>
  <c r="S196" i="1"/>
  <c r="Q196" i="1"/>
  <c r="H196" i="1"/>
  <c r="CX195" i="1"/>
  <c r="CK195" i="1"/>
  <c r="CJ195" i="1"/>
  <c r="CI195" i="1"/>
  <c r="CH195" i="1"/>
  <c r="BU195" i="1"/>
  <c r="BT195" i="1"/>
  <c r="BS195" i="1"/>
  <c r="BR195" i="1"/>
  <c r="X195" i="1"/>
  <c r="S195" i="1"/>
  <c r="Q195" i="1"/>
  <c r="H195" i="1"/>
  <c r="CX194" i="1"/>
  <c r="CK194" i="1"/>
  <c r="CJ194" i="1"/>
  <c r="CI194" i="1"/>
  <c r="CH194" i="1"/>
  <c r="BU194" i="1"/>
  <c r="BT194" i="1"/>
  <c r="BS194" i="1"/>
  <c r="BR194" i="1"/>
  <c r="X194" i="1"/>
  <c r="S194" i="1"/>
  <c r="Q194" i="1"/>
  <c r="H194" i="1"/>
  <c r="CX193" i="1"/>
  <c r="CK193" i="1"/>
  <c r="CJ193" i="1"/>
  <c r="CI193" i="1"/>
  <c r="CH193" i="1"/>
  <c r="BU193" i="1"/>
  <c r="BT193" i="1"/>
  <c r="BS193" i="1"/>
  <c r="BR193" i="1"/>
  <c r="X193" i="1"/>
  <c r="S193" i="1"/>
  <c r="Q193" i="1"/>
  <c r="H193" i="1"/>
  <c r="CX192" i="1"/>
  <c r="CK192" i="1"/>
  <c r="CJ192" i="1"/>
  <c r="CI192" i="1"/>
  <c r="CH192" i="1"/>
  <c r="BU192" i="1"/>
  <c r="BT192" i="1"/>
  <c r="BS192" i="1"/>
  <c r="BR192" i="1"/>
  <c r="X192" i="1"/>
  <c r="S192" i="1"/>
  <c r="Q192" i="1"/>
  <c r="H192" i="1"/>
  <c r="CX191" i="1"/>
  <c r="CK191" i="1"/>
  <c r="CJ191" i="1"/>
  <c r="CI191" i="1"/>
  <c r="CH191" i="1"/>
  <c r="BU191" i="1"/>
  <c r="BT191" i="1"/>
  <c r="BS191" i="1"/>
  <c r="BR191" i="1"/>
  <c r="AB191" i="1"/>
  <c r="AA191" i="1"/>
  <c r="Z191" i="1"/>
  <c r="Y191" i="1"/>
  <c r="X191" i="1"/>
  <c r="S191" i="1"/>
  <c r="Q191" i="1"/>
  <c r="O191" i="1"/>
  <c r="H191" i="1"/>
  <c r="CX190" i="1"/>
  <c r="CK190" i="1"/>
  <c r="CJ190" i="1"/>
  <c r="CI190" i="1"/>
  <c r="CH190" i="1"/>
  <c r="BU190" i="1"/>
  <c r="BT190" i="1"/>
  <c r="BS190" i="1"/>
  <c r="BR190" i="1"/>
  <c r="AA190" i="1"/>
  <c r="Z190" i="1"/>
  <c r="Y190" i="1"/>
  <c r="X190" i="1"/>
  <c r="S190" i="1"/>
  <c r="Q190" i="1"/>
  <c r="O190" i="1"/>
  <c r="H190" i="1"/>
  <c r="CX189" i="1"/>
  <c r="CK189" i="1"/>
  <c r="CJ189" i="1"/>
  <c r="CI189" i="1"/>
  <c r="CH189" i="1"/>
  <c r="BU189" i="1"/>
  <c r="BT189" i="1"/>
  <c r="BS189" i="1"/>
  <c r="BR189" i="1"/>
  <c r="X189" i="1"/>
  <c r="S189" i="1"/>
  <c r="Q189" i="1"/>
  <c r="H189" i="1"/>
  <c r="CX188" i="1"/>
  <c r="CK188" i="1"/>
  <c r="CJ188" i="1"/>
  <c r="CI188" i="1"/>
  <c r="CH188" i="1"/>
  <c r="BU188" i="1"/>
  <c r="BT188" i="1"/>
  <c r="BS188" i="1"/>
  <c r="BR188" i="1"/>
  <c r="X188" i="1"/>
  <c r="S188" i="1"/>
  <c r="Q188" i="1"/>
  <c r="H188" i="1"/>
  <c r="CX187" i="1"/>
  <c r="CK187" i="1"/>
  <c r="CJ187" i="1"/>
  <c r="CI187" i="1"/>
  <c r="CH187" i="1"/>
  <c r="BU187" i="1"/>
  <c r="BT187" i="1"/>
  <c r="BS187" i="1"/>
  <c r="BR187" i="1"/>
  <c r="X187" i="1"/>
  <c r="S187" i="1"/>
  <c r="Q187" i="1"/>
  <c r="H187" i="1"/>
  <c r="CX186" i="1"/>
  <c r="CK186" i="1"/>
  <c r="CJ186" i="1"/>
  <c r="CI186" i="1"/>
  <c r="CH186" i="1"/>
  <c r="BU186" i="1"/>
  <c r="BT186" i="1"/>
  <c r="BS186" i="1"/>
  <c r="BR186" i="1"/>
  <c r="AE186" i="1"/>
  <c r="AD186" i="1"/>
  <c r="AC186" i="1"/>
  <c r="AB186" i="1"/>
  <c r="AA186" i="1"/>
  <c r="Z186" i="1"/>
  <c r="Y186" i="1"/>
  <c r="X186" i="1"/>
  <c r="S186" i="1"/>
  <c r="Q186" i="1"/>
  <c r="O186" i="1"/>
  <c r="H186" i="1"/>
  <c r="CX185" i="1"/>
  <c r="CK185" i="1"/>
  <c r="CJ185" i="1"/>
  <c r="CI185" i="1"/>
  <c r="CH185" i="1"/>
  <c r="BU185" i="1"/>
  <c r="BT185" i="1"/>
  <c r="BS185" i="1"/>
  <c r="BR185" i="1"/>
  <c r="X185" i="1"/>
  <c r="S185" i="1"/>
  <c r="Q185" i="1"/>
  <c r="H185" i="1"/>
  <c r="CX184" i="1"/>
  <c r="CK184" i="1"/>
  <c r="CJ184" i="1"/>
  <c r="CI184" i="1"/>
  <c r="CH184" i="1"/>
  <c r="BU184" i="1"/>
  <c r="BT184" i="1"/>
  <c r="BS184" i="1"/>
  <c r="BR184" i="1"/>
  <c r="X184" i="1"/>
  <c r="S184" i="1"/>
  <c r="Q184" i="1"/>
  <c r="H184" i="1"/>
  <c r="CX183" i="1"/>
  <c r="CK183" i="1"/>
  <c r="CJ183" i="1"/>
  <c r="CI183" i="1"/>
  <c r="CH183" i="1"/>
  <c r="BU183" i="1"/>
  <c r="BT183" i="1"/>
  <c r="BS183" i="1"/>
  <c r="BR183" i="1"/>
  <c r="X183" i="1"/>
  <c r="S183" i="1"/>
  <c r="Q183" i="1"/>
  <c r="H183" i="1"/>
  <c r="CX182" i="1"/>
  <c r="CK182" i="1"/>
  <c r="CJ182" i="1"/>
  <c r="CI182" i="1"/>
  <c r="CH182" i="1"/>
  <c r="BU182" i="1"/>
  <c r="BT182" i="1"/>
  <c r="BS182" i="1"/>
  <c r="BR182" i="1"/>
  <c r="X182" i="1"/>
  <c r="S182" i="1"/>
  <c r="Q182" i="1"/>
  <c r="H182" i="1"/>
  <c r="CX181" i="1"/>
  <c r="CK181" i="1"/>
  <c r="CJ181" i="1"/>
  <c r="CI181" i="1"/>
  <c r="CH181" i="1"/>
  <c r="BU181" i="1"/>
  <c r="BT181" i="1"/>
  <c r="BS181" i="1"/>
  <c r="BR181" i="1"/>
  <c r="X181" i="1"/>
  <c r="S181" i="1"/>
  <c r="Q181" i="1"/>
  <c r="H181" i="1"/>
  <c r="CX180" i="1"/>
  <c r="CK180" i="1"/>
  <c r="CJ180" i="1"/>
  <c r="CI180" i="1"/>
  <c r="CH180" i="1"/>
  <c r="BU180" i="1"/>
  <c r="BT180" i="1"/>
  <c r="BS180" i="1"/>
  <c r="BR180" i="1"/>
  <c r="X180" i="1"/>
  <c r="S180" i="1"/>
  <c r="Q180" i="1"/>
  <c r="H180" i="1"/>
  <c r="CX179" i="1"/>
  <c r="CK179" i="1"/>
  <c r="CJ179" i="1"/>
  <c r="CI179" i="1"/>
  <c r="CH179" i="1"/>
  <c r="BU179" i="1"/>
  <c r="BT179" i="1"/>
  <c r="BS179" i="1"/>
  <c r="BR179" i="1"/>
  <c r="X179" i="1"/>
  <c r="S179" i="1"/>
  <c r="Q179" i="1"/>
  <c r="H179" i="1"/>
  <c r="CX178" i="1"/>
  <c r="CK178" i="1"/>
  <c r="CJ178" i="1"/>
  <c r="CI178" i="1"/>
  <c r="CH178" i="1"/>
  <c r="BU178" i="1"/>
  <c r="BT178" i="1"/>
  <c r="BS178" i="1"/>
  <c r="BR178" i="1"/>
  <c r="X178" i="1"/>
  <c r="S178" i="1"/>
  <c r="Q178" i="1"/>
  <c r="H178" i="1"/>
  <c r="CX177" i="1"/>
  <c r="CK177" i="1"/>
  <c r="CJ177" i="1"/>
  <c r="CI177" i="1"/>
  <c r="CH177" i="1"/>
  <c r="BU177" i="1"/>
  <c r="BT177" i="1"/>
  <c r="BS177" i="1"/>
  <c r="BR177" i="1"/>
  <c r="X177" i="1"/>
  <c r="S177" i="1"/>
  <c r="Q177" i="1"/>
  <c r="H177" i="1"/>
  <c r="CX176" i="1"/>
  <c r="CK176" i="1"/>
  <c r="CJ176" i="1"/>
  <c r="CI176" i="1"/>
  <c r="CH176" i="1"/>
  <c r="BU176" i="1"/>
  <c r="BT176" i="1"/>
  <c r="BS176" i="1"/>
  <c r="BR176" i="1"/>
  <c r="X176" i="1"/>
  <c r="S176" i="1"/>
  <c r="Q176" i="1"/>
  <c r="H176" i="1"/>
  <c r="CX175" i="1"/>
  <c r="CK175" i="1"/>
  <c r="CJ175" i="1"/>
  <c r="CI175" i="1"/>
  <c r="CH175" i="1"/>
  <c r="BU175" i="1"/>
  <c r="BT175" i="1"/>
  <c r="BS175" i="1"/>
  <c r="BR175" i="1"/>
  <c r="X175" i="1"/>
  <c r="S175" i="1"/>
  <c r="Q175" i="1"/>
  <c r="H175" i="1"/>
  <c r="CX174" i="1"/>
  <c r="CK174" i="1"/>
  <c r="CJ174" i="1"/>
  <c r="CI174" i="1"/>
  <c r="CH174" i="1"/>
  <c r="BU174" i="1"/>
  <c r="BT174" i="1"/>
  <c r="BS174" i="1"/>
  <c r="BR174" i="1"/>
  <c r="X174" i="1"/>
  <c r="S174" i="1"/>
  <c r="Q174" i="1"/>
  <c r="O174" i="1"/>
  <c r="H174" i="1"/>
  <c r="CX173" i="1"/>
  <c r="CK173" i="1"/>
  <c r="CJ173" i="1"/>
  <c r="CI173" i="1"/>
  <c r="CH173" i="1"/>
  <c r="BU173" i="1"/>
  <c r="BT173" i="1"/>
  <c r="BS173" i="1"/>
  <c r="BR173" i="1"/>
  <c r="AC173" i="1"/>
  <c r="AB173" i="1"/>
  <c r="AA173" i="1"/>
  <c r="Z173" i="1"/>
  <c r="Y173" i="1"/>
  <c r="X173" i="1"/>
  <c r="S173" i="1"/>
  <c r="Q173" i="1"/>
  <c r="O173" i="1"/>
  <c r="H173" i="1"/>
  <c r="CX172" i="1"/>
  <c r="CK172" i="1"/>
  <c r="CJ172" i="1"/>
  <c r="CI172" i="1"/>
  <c r="CH172" i="1"/>
  <c r="BU172" i="1"/>
  <c r="BT172" i="1"/>
  <c r="BS172" i="1"/>
  <c r="BR172" i="1"/>
  <c r="X172" i="1"/>
  <c r="S172" i="1"/>
  <c r="Q172" i="1"/>
  <c r="O172" i="1"/>
  <c r="H172" i="1"/>
  <c r="CX171" i="1"/>
  <c r="CK171" i="1"/>
  <c r="CJ171" i="1"/>
  <c r="CI171" i="1"/>
  <c r="CH171" i="1"/>
  <c r="BU171" i="1"/>
  <c r="BT171" i="1"/>
  <c r="BS171" i="1"/>
  <c r="BR171" i="1"/>
  <c r="X171" i="1"/>
  <c r="S171" i="1"/>
  <c r="Q171" i="1"/>
  <c r="O171" i="1"/>
  <c r="H171" i="1"/>
  <c r="CX170" i="1"/>
  <c r="CK170" i="1"/>
  <c r="CJ170" i="1"/>
  <c r="CI170" i="1"/>
  <c r="CH170" i="1"/>
  <c r="BU170" i="1"/>
  <c r="BT170" i="1"/>
  <c r="BS170" i="1"/>
  <c r="BR170" i="1"/>
  <c r="X170" i="1"/>
  <c r="S170" i="1"/>
  <c r="Q170" i="1"/>
  <c r="H170" i="1"/>
  <c r="CX169" i="1"/>
  <c r="CK169" i="1"/>
  <c r="CJ169" i="1"/>
  <c r="CI169" i="1"/>
  <c r="CH169" i="1"/>
  <c r="BU169" i="1"/>
  <c r="BT169" i="1"/>
  <c r="BS169" i="1"/>
  <c r="BR169" i="1"/>
  <c r="X169" i="1"/>
  <c r="S169" i="1"/>
  <c r="Q169" i="1"/>
  <c r="H169" i="1"/>
  <c r="CX168" i="1"/>
  <c r="CK168" i="1"/>
  <c r="CJ168" i="1"/>
  <c r="CI168" i="1"/>
  <c r="CH168" i="1"/>
  <c r="BU168" i="1"/>
  <c r="BT168" i="1"/>
  <c r="BS168" i="1"/>
  <c r="BR168" i="1"/>
  <c r="X168" i="1"/>
  <c r="S168" i="1"/>
  <c r="Q168" i="1"/>
  <c r="H168" i="1"/>
  <c r="CX167" i="1"/>
  <c r="CK167" i="1"/>
  <c r="CJ167" i="1"/>
  <c r="CI167" i="1"/>
  <c r="CH167" i="1"/>
  <c r="BU167" i="1"/>
  <c r="BT167" i="1"/>
  <c r="BS167" i="1"/>
  <c r="BR167" i="1"/>
  <c r="X167" i="1"/>
  <c r="S167" i="1"/>
  <c r="Q167" i="1"/>
  <c r="H167" i="1"/>
  <c r="CX166" i="1"/>
  <c r="CK166" i="1"/>
  <c r="CJ166" i="1"/>
  <c r="CI166" i="1"/>
  <c r="CH166" i="1"/>
  <c r="BU166" i="1"/>
  <c r="BT166" i="1"/>
  <c r="BS166" i="1"/>
  <c r="BR166" i="1"/>
  <c r="X166" i="1"/>
  <c r="S166" i="1"/>
  <c r="Q166" i="1"/>
  <c r="H166" i="1"/>
  <c r="CX165" i="1"/>
  <c r="CK165" i="1"/>
  <c r="CJ165" i="1"/>
  <c r="CI165" i="1"/>
  <c r="CH165" i="1"/>
  <c r="BU165" i="1"/>
  <c r="BT165" i="1"/>
  <c r="BS165" i="1"/>
  <c r="BR165" i="1"/>
  <c r="X165" i="1"/>
  <c r="S165" i="1"/>
  <c r="Q165" i="1"/>
  <c r="H165" i="1"/>
  <c r="CX164" i="1"/>
  <c r="CK164" i="1"/>
  <c r="CJ164" i="1"/>
  <c r="CI164" i="1"/>
  <c r="CH164" i="1"/>
  <c r="BU164" i="1"/>
  <c r="BT164" i="1"/>
  <c r="BS164" i="1"/>
  <c r="BR164" i="1"/>
  <c r="X164" i="1"/>
  <c r="S164" i="1"/>
  <c r="Q164" i="1"/>
  <c r="H164" i="1"/>
  <c r="CX163" i="1"/>
  <c r="CK163" i="1"/>
  <c r="CJ163" i="1"/>
  <c r="CI163" i="1"/>
  <c r="CH163" i="1"/>
  <c r="BU163" i="1"/>
  <c r="BT163" i="1"/>
  <c r="BS163" i="1"/>
  <c r="BR163" i="1"/>
  <c r="AC163" i="1"/>
  <c r="AB163" i="1"/>
  <c r="AA163" i="1"/>
  <c r="Z163" i="1"/>
  <c r="Y163" i="1"/>
  <c r="X163" i="1"/>
  <c r="S163" i="1"/>
  <c r="Q163" i="1"/>
  <c r="O163" i="1"/>
  <c r="H163" i="1"/>
  <c r="CX162" i="1"/>
  <c r="CK162" i="1"/>
  <c r="CJ162" i="1"/>
  <c r="CI162" i="1"/>
  <c r="CH162" i="1"/>
  <c r="BU162" i="1"/>
  <c r="BT162" i="1"/>
  <c r="BS162" i="1"/>
  <c r="BR162" i="1"/>
  <c r="X162" i="1"/>
  <c r="S162" i="1"/>
  <c r="Q162" i="1"/>
  <c r="H162" i="1"/>
  <c r="CX161" i="1"/>
  <c r="CK161" i="1"/>
  <c r="CJ161" i="1"/>
  <c r="CI161" i="1"/>
  <c r="CH161" i="1"/>
  <c r="BU161" i="1"/>
  <c r="BT161" i="1"/>
  <c r="BS161" i="1"/>
  <c r="BR161" i="1"/>
  <c r="X161" i="1"/>
  <c r="S161" i="1"/>
  <c r="Q161" i="1"/>
  <c r="H161" i="1"/>
  <c r="CX160" i="1"/>
  <c r="CK160" i="1"/>
  <c r="CJ160" i="1"/>
  <c r="CI160" i="1"/>
  <c r="CH160" i="1"/>
  <c r="BU160" i="1"/>
  <c r="BT160" i="1"/>
  <c r="BS160" i="1"/>
  <c r="BR160" i="1"/>
  <c r="X160" i="1"/>
  <c r="S160" i="1"/>
  <c r="Q160" i="1"/>
  <c r="H160" i="1"/>
  <c r="CX159" i="1"/>
  <c r="CK159" i="1"/>
  <c r="CJ159" i="1"/>
  <c r="CI159" i="1"/>
  <c r="CH159" i="1"/>
  <c r="BU159" i="1"/>
  <c r="BT159" i="1"/>
  <c r="BS159" i="1"/>
  <c r="BR159" i="1"/>
  <c r="X159" i="1"/>
  <c r="S159" i="1"/>
  <c r="Q159" i="1"/>
  <c r="H159" i="1"/>
  <c r="CX158" i="1"/>
  <c r="CK158" i="1"/>
  <c r="CJ158" i="1"/>
  <c r="CI158" i="1"/>
  <c r="CH158" i="1"/>
  <c r="BU158" i="1"/>
  <c r="BT158" i="1"/>
  <c r="BS158" i="1"/>
  <c r="BR158" i="1"/>
  <c r="AB158" i="1"/>
  <c r="AA158" i="1"/>
  <c r="Z158" i="1"/>
  <c r="Y158" i="1"/>
  <c r="X158" i="1"/>
  <c r="S158" i="1"/>
  <c r="Q158" i="1"/>
  <c r="O158" i="1"/>
  <c r="H158" i="1"/>
  <c r="CX157" i="1"/>
  <c r="CK157" i="1"/>
  <c r="CJ157" i="1"/>
  <c r="CI157" i="1"/>
  <c r="CH157" i="1"/>
  <c r="BU157" i="1"/>
  <c r="BT157" i="1"/>
  <c r="BS157" i="1"/>
  <c r="BR157" i="1"/>
  <c r="X157" i="1"/>
  <c r="S157" i="1"/>
  <c r="Q157" i="1"/>
  <c r="H157" i="1"/>
  <c r="CX156" i="1"/>
  <c r="CK156" i="1"/>
  <c r="CJ156" i="1"/>
  <c r="CI156" i="1"/>
  <c r="CH156" i="1"/>
  <c r="BU156" i="1"/>
  <c r="BT156" i="1"/>
  <c r="BS156" i="1"/>
  <c r="BR156" i="1"/>
  <c r="X156" i="1"/>
  <c r="S156" i="1"/>
  <c r="Q156" i="1"/>
  <c r="H156" i="1"/>
  <c r="CX155" i="1"/>
  <c r="CK155" i="1"/>
  <c r="CJ155" i="1"/>
  <c r="CI155" i="1"/>
  <c r="CH155" i="1"/>
  <c r="BU155" i="1"/>
  <c r="BT155" i="1"/>
  <c r="BS155" i="1"/>
  <c r="BR155" i="1"/>
  <c r="X155" i="1"/>
  <c r="S155" i="1"/>
  <c r="Q155" i="1"/>
  <c r="H155" i="1"/>
  <c r="CX154" i="1"/>
  <c r="CK154" i="1"/>
  <c r="CJ154" i="1"/>
  <c r="CI154" i="1"/>
  <c r="CH154" i="1"/>
  <c r="BU154" i="1"/>
  <c r="BT154" i="1"/>
  <c r="BS154" i="1"/>
  <c r="BR154" i="1"/>
  <c r="X154" i="1"/>
  <c r="S154" i="1"/>
  <c r="Q154" i="1"/>
  <c r="H154" i="1"/>
  <c r="CX153" i="1"/>
  <c r="CK153" i="1"/>
  <c r="CJ153" i="1"/>
  <c r="CI153" i="1"/>
  <c r="CH153" i="1"/>
  <c r="BU153" i="1"/>
  <c r="BT153" i="1"/>
  <c r="BS153" i="1"/>
  <c r="BR153" i="1"/>
  <c r="X153" i="1"/>
  <c r="S153" i="1"/>
  <c r="Q153" i="1"/>
  <c r="H153" i="1"/>
  <c r="CX152" i="1"/>
  <c r="CK152" i="1"/>
  <c r="CJ152" i="1"/>
  <c r="CI152" i="1"/>
  <c r="CH152" i="1"/>
  <c r="BU152" i="1"/>
  <c r="BT152" i="1"/>
  <c r="BS152" i="1"/>
  <c r="BR152" i="1"/>
  <c r="X152" i="1"/>
  <c r="S152" i="1"/>
  <c r="Q152" i="1"/>
  <c r="H152" i="1"/>
  <c r="CX151" i="1"/>
  <c r="CK151" i="1"/>
  <c r="CJ151" i="1"/>
  <c r="CI151" i="1"/>
  <c r="CH151" i="1"/>
  <c r="BU151" i="1"/>
  <c r="BT151" i="1"/>
  <c r="BS151" i="1"/>
  <c r="BR151" i="1"/>
  <c r="X151" i="1"/>
  <c r="S151" i="1"/>
  <c r="Q151" i="1"/>
  <c r="H151" i="1"/>
  <c r="CX150" i="1"/>
  <c r="CK150" i="1"/>
  <c r="CJ150" i="1"/>
  <c r="CI150" i="1"/>
  <c r="CH150" i="1"/>
  <c r="BU150" i="1"/>
  <c r="BT150" i="1"/>
  <c r="BS150" i="1"/>
  <c r="BR150" i="1"/>
  <c r="X150" i="1"/>
  <c r="S150" i="1"/>
  <c r="Q150" i="1"/>
  <c r="H150" i="1"/>
  <c r="CX149" i="1"/>
  <c r="CK149" i="1"/>
  <c r="CJ149" i="1"/>
  <c r="CI149" i="1"/>
  <c r="CH149" i="1"/>
  <c r="BU149" i="1"/>
  <c r="BT149" i="1"/>
  <c r="BS149" i="1"/>
  <c r="BR149" i="1"/>
  <c r="X149" i="1"/>
  <c r="S149" i="1"/>
  <c r="Q149" i="1"/>
  <c r="H149" i="1"/>
  <c r="CX148" i="1"/>
  <c r="CK148" i="1"/>
  <c r="CJ148" i="1"/>
  <c r="CI148" i="1"/>
  <c r="CH148" i="1"/>
  <c r="BU148" i="1"/>
  <c r="BT148" i="1"/>
  <c r="BS148" i="1"/>
  <c r="BR148" i="1"/>
  <c r="X148" i="1"/>
  <c r="S148" i="1"/>
  <c r="Q148" i="1"/>
  <c r="H148" i="1"/>
  <c r="CX147" i="1"/>
  <c r="CK147" i="1"/>
  <c r="CJ147" i="1"/>
  <c r="CI147" i="1"/>
  <c r="CH147" i="1"/>
  <c r="BU147" i="1"/>
  <c r="BT147" i="1"/>
  <c r="BS147" i="1"/>
  <c r="BR147" i="1"/>
  <c r="X147" i="1"/>
  <c r="S147" i="1"/>
  <c r="Q147" i="1"/>
  <c r="H147" i="1"/>
  <c r="CX146" i="1"/>
  <c r="CK146" i="1"/>
  <c r="CJ146" i="1"/>
  <c r="CI146" i="1"/>
  <c r="CH146" i="1"/>
  <c r="BU146" i="1"/>
  <c r="BT146" i="1"/>
  <c r="BS146" i="1"/>
  <c r="BR146" i="1"/>
  <c r="X146" i="1"/>
  <c r="S146" i="1"/>
  <c r="Q146" i="1"/>
  <c r="H146" i="1"/>
  <c r="CX145" i="1"/>
  <c r="CK145" i="1"/>
  <c r="CJ145" i="1"/>
  <c r="CI145" i="1"/>
  <c r="CH145" i="1"/>
  <c r="BU145" i="1"/>
  <c r="BT145" i="1"/>
  <c r="BS145" i="1"/>
  <c r="BR145" i="1"/>
  <c r="X145" i="1"/>
  <c r="S145" i="1"/>
  <c r="Q145" i="1"/>
  <c r="H145" i="1"/>
  <c r="CX144" i="1"/>
  <c r="CK144" i="1"/>
  <c r="CJ144" i="1"/>
  <c r="CI144" i="1"/>
  <c r="CH144" i="1"/>
  <c r="BU144" i="1"/>
  <c r="BT144" i="1"/>
  <c r="BS144" i="1"/>
  <c r="BR144" i="1"/>
  <c r="X144" i="1"/>
  <c r="S144" i="1"/>
  <c r="Q144" i="1"/>
  <c r="H144" i="1"/>
  <c r="CX143" i="1"/>
  <c r="CK143" i="1"/>
  <c r="CJ143" i="1"/>
  <c r="CI143" i="1"/>
  <c r="CH143" i="1"/>
  <c r="BU143" i="1"/>
  <c r="BT143" i="1"/>
  <c r="BS143" i="1"/>
  <c r="BR143" i="1"/>
  <c r="X143" i="1"/>
  <c r="S143" i="1"/>
  <c r="Q143" i="1"/>
  <c r="H143" i="1"/>
  <c r="CX142" i="1"/>
  <c r="CK142" i="1"/>
  <c r="CJ142" i="1"/>
  <c r="CI142" i="1"/>
  <c r="CH142" i="1"/>
  <c r="BU142" i="1"/>
  <c r="BT142" i="1"/>
  <c r="BS142" i="1"/>
  <c r="BR142" i="1"/>
  <c r="X142" i="1"/>
  <c r="S142" i="1"/>
  <c r="Q142" i="1"/>
  <c r="H142" i="1"/>
  <c r="CX141" i="1"/>
  <c r="CK141" i="1"/>
  <c r="CJ141" i="1"/>
  <c r="CI141" i="1"/>
  <c r="CH141" i="1"/>
  <c r="BU141" i="1"/>
  <c r="BT141" i="1"/>
  <c r="BS141" i="1"/>
  <c r="BR141" i="1"/>
  <c r="X141" i="1"/>
  <c r="S141" i="1"/>
  <c r="Q141" i="1"/>
  <c r="H141" i="1"/>
  <c r="CX140" i="1"/>
  <c r="CK140" i="1"/>
  <c r="CJ140" i="1"/>
  <c r="CI140" i="1"/>
  <c r="CH140" i="1"/>
  <c r="BU140" i="1"/>
  <c r="BT140" i="1"/>
  <c r="BS140" i="1"/>
  <c r="BR140" i="1"/>
  <c r="X140" i="1"/>
  <c r="S140" i="1"/>
  <c r="Q140" i="1"/>
  <c r="H140" i="1"/>
  <c r="CX139" i="1"/>
  <c r="CK139" i="1"/>
  <c r="CJ139" i="1"/>
  <c r="CI139" i="1"/>
  <c r="CH139" i="1"/>
  <c r="BU139" i="1"/>
  <c r="BT139" i="1"/>
  <c r="BS139" i="1"/>
  <c r="BR139" i="1"/>
  <c r="X139" i="1"/>
  <c r="S139" i="1"/>
  <c r="Q139" i="1"/>
  <c r="H139" i="1"/>
  <c r="CX138" i="1"/>
  <c r="CK138" i="1"/>
  <c r="CJ138" i="1"/>
  <c r="CI138" i="1"/>
  <c r="CH138" i="1"/>
  <c r="BU138" i="1"/>
  <c r="BT138" i="1"/>
  <c r="BS138" i="1"/>
  <c r="BR138" i="1"/>
  <c r="X138" i="1"/>
  <c r="S138" i="1"/>
  <c r="Q138" i="1"/>
  <c r="H138" i="1"/>
  <c r="CX137" i="1"/>
  <c r="CK137" i="1"/>
  <c r="CJ137" i="1"/>
  <c r="CI137" i="1"/>
  <c r="CH137" i="1"/>
  <c r="BU137" i="1"/>
  <c r="BT137" i="1"/>
  <c r="BS137" i="1"/>
  <c r="BR137" i="1"/>
  <c r="X137" i="1"/>
  <c r="S137" i="1"/>
  <c r="Q137" i="1"/>
  <c r="H137" i="1"/>
  <c r="CX136" i="1"/>
  <c r="CK136" i="1"/>
  <c r="CJ136" i="1"/>
  <c r="CI136" i="1"/>
  <c r="CH136" i="1"/>
  <c r="BU136" i="1"/>
  <c r="BT136" i="1"/>
  <c r="BS136" i="1"/>
  <c r="BR136" i="1"/>
  <c r="X136" i="1"/>
  <c r="S136" i="1"/>
  <c r="Q136" i="1"/>
  <c r="H136" i="1"/>
  <c r="CX135" i="1"/>
  <c r="CK135" i="1"/>
  <c r="CJ135" i="1"/>
  <c r="CI135" i="1"/>
  <c r="CH135" i="1"/>
  <c r="BU135" i="1"/>
  <c r="BT135" i="1"/>
  <c r="BS135" i="1"/>
  <c r="BR135" i="1"/>
  <c r="X135" i="1"/>
  <c r="S135" i="1"/>
  <c r="Q135" i="1"/>
  <c r="H135" i="1"/>
  <c r="CX134" i="1"/>
  <c r="CK134" i="1"/>
  <c r="CJ134" i="1"/>
  <c r="CI134" i="1"/>
  <c r="CH134" i="1"/>
  <c r="BU134" i="1"/>
  <c r="BT134" i="1"/>
  <c r="BS134" i="1"/>
  <c r="BR134" i="1"/>
  <c r="X134" i="1"/>
  <c r="S134" i="1"/>
  <c r="Q134" i="1"/>
  <c r="H134" i="1"/>
  <c r="CX133" i="1"/>
  <c r="CK133" i="1"/>
  <c r="CJ133" i="1"/>
  <c r="CI133" i="1"/>
  <c r="CH133" i="1"/>
  <c r="BU133" i="1"/>
  <c r="BT133" i="1"/>
  <c r="BS133" i="1"/>
  <c r="BR133" i="1"/>
  <c r="X133" i="1"/>
  <c r="S133" i="1"/>
  <c r="Q133" i="1"/>
  <c r="H133" i="1"/>
  <c r="CX132" i="1"/>
  <c r="CK132" i="1"/>
  <c r="CJ132" i="1"/>
  <c r="CI132" i="1"/>
  <c r="CH132" i="1"/>
  <c r="BU132" i="1"/>
  <c r="BT132" i="1"/>
  <c r="BS132" i="1"/>
  <c r="BR132" i="1"/>
  <c r="X132" i="1"/>
  <c r="S132" i="1"/>
  <c r="Q132" i="1"/>
  <c r="H132" i="1"/>
  <c r="CX131" i="1"/>
  <c r="CK131" i="1"/>
  <c r="CJ131" i="1"/>
  <c r="CI131" i="1"/>
  <c r="CH131" i="1"/>
  <c r="BU131" i="1"/>
  <c r="BT131" i="1"/>
  <c r="BS131" i="1"/>
  <c r="BR131" i="1"/>
  <c r="X131" i="1"/>
  <c r="S131" i="1"/>
  <c r="Q131" i="1"/>
  <c r="H131" i="1"/>
  <c r="CX130" i="1"/>
  <c r="CK130" i="1"/>
  <c r="CJ130" i="1"/>
  <c r="CI130" i="1"/>
  <c r="CH130" i="1"/>
  <c r="BU130" i="1"/>
  <c r="BT130" i="1"/>
  <c r="BS130" i="1"/>
  <c r="BR130" i="1"/>
  <c r="X130" i="1"/>
  <c r="S130" i="1"/>
  <c r="Q130" i="1"/>
  <c r="H130" i="1"/>
  <c r="CX129" i="1"/>
  <c r="CK129" i="1"/>
  <c r="CJ129" i="1"/>
  <c r="CI129" i="1"/>
  <c r="CH129" i="1"/>
  <c r="BU129" i="1"/>
  <c r="BT129" i="1"/>
  <c r="BS129" i="1"/>
  <c r="BR129" i="1"/>
  <c r="X129" i="1"/>
  <c r="S129" i="1"/>
  <c r="Q129" i="1"/>
  <c r="H129" i="1"/>
  <c r="CX128" i="1"/>
  <c r="CK128" i="1"/>
  <c r="CJ128" i="1"/>
  <c r="CI128" i="1"/>
  <c r="CH128" i="1"/>
  <c r="BU128" i="1"/>
  <c r="BT128" i="1"/>
  <c r="BS128" i="1"/>
  <c r="BR128" i="1"/>
  <c r="X128" i="1"/>
  <c r="S128" i="1"/>
  <c r="Q128" i="1"/>
  <c r="H128" i="1"/>
  <c r="CX127" i="1"/>
  <c r="CK127" i="1"/>
  <c r="CJ127" i="1"/>
  <c r="CI127" i="1"/>
  <c r="CH127" i="1"/>
  <c r="BU127" i="1"/>
  <c r="BT127" i="1"/>
  <c r="BS127" i="1"/>
  <c r="BR127" i="1"/>
  <c r="X127" i="1"/>
  <c r="S127" i="1"/>
  <c r="Q127" i="1"/>
  <c r="H127" i="1"/>
  <c r="CX126" i="1"/>
  <c r="CK126" i="1"/>
  <c r="CJ126" i="1"/>
  <c r="CI126" i="1"/>
  <c r="CH126" i="1"/>
  <c r="BU126" i="1"/>
  <c r="BT126" i="1"/>
  <c r="BS126" i="1"/>
  <c r="BR126" i="1"/>
  <c r="X126" i="1"/>
  <c r="S126" i="1"/>
  <c r="Q126" i="1"/>
  <c r="H126" i="1"/>
  <c r="CX125" i="1"/>
  <c r="CK125" i="1"/>
  <c r="CJ125" i="1"/>
  <c r="CI125" i="1"/>
  <c r="CH125" i="1"/>
  <c r="BU125" i="1"/>
  <c r="BT125" i="1"/>
  <c r="BS125" i="1"/>
  <c r="BR125" i="1"/>
  <c r="X125" i="1"/>
  <c r="S125" i="1"/>
  <c r="Q125" i="1"/>
  <c r="H125" i="1"/>
  <c r="CX124" i="1"/>
  <c r="CK124" i="1"/>
  <c r="CJ124" i="1"/>
  <c r="CI124" i="1"/>
  <c r="CH124" i="1"/>
  <c r="BU124" i="1"/>
  <c r="BT124" i="1"/>
  <c r="BS124" i="1"/>
  <c r="BR124" i="1"/>
  <c r="X124" i="1"/>
  <c r="S124" i="1"/>
  <c r="Q124" i="1"/>
  <c r="H124" i="1"/>
  <c r="CX123" i="1"/>
  <c r="CK123" i="1"/>
  <c r="CJ123" i="1"/>
  <c r="CI123" i="1"/>
  <c r="CH123" i="1"/>
  <c r="BU123" i="1"/>
  <c r="BT123" i="1"/>
  <c r="BS123" i="1"/>
  <c r="BR123" i="1"/>
  <c r="X123" i="1"/>
  <c r="S123" i="1"/>
  <c r="Q123" i="1"/>
  <c r="H123" i="1"/>
  <c r="CX122" i="1"/>
  <c r="CK122" i="1"/>
  <c r="CJ122" i="1"/>
  <c r="CI122" i="1"/>
  <c r="CH122" i="1"/>
  <c r="BU122" i="1"/>
  <c r="BT122" i="1"/>
  <c r="BS122" i="1"/>
  <c r="BR122" i="1"/>
  <c r="X122" i="1"/>
  <c r="S122" i="1"/>
  <c r="Q122" i="1"/>
  <c r="H122" i="1"/>
  <c r="CX121" i="1"/>
  <c r="CK121" i="1"/>
  <c r="CJ121" i="1"/>
  <c r="CI121" i="1"/>
  <c r="CH121" i="1"/>
  <c r="BU121" i="1"/>
  <c r="BT121" i="1"/>
  <c r="BS121" i="1"/>
  <c r="BR121" i="1"/>
  <c r="X121" i="1"/>
  <c r="S121" i="1"/>
  <c r="Q121" i="1"/>
  <c r="H121" i="1"/>
  <c r="CX120" i="1"/>
  <c r="CK120" i="1"/>
  <c r="CJ120" i="1"/>
  <c r="CI120" i="1"/>
  <c r="CH120" i="1"/>
  <c r="BU120" i="1"/>
  <c r="BT120" i="1"/>
  <c r="BS120" i="1"/>
  <c r="BR120" i="1"/>
  <c r="X120" i="1"/>
  <c r="S120" i="1"/>
  <c r="Q120" i="1"/>
  <c r="H120" i="1"/>
  <c r="CX119" i="1"/>
  <c r="CK119" i="1"/>
  <c r="CJ119" i="1"/>
  <c r="CI119" i="1"/>
  <c r="CH119" i="1"/>
  <c r="BU119" i="1"/>
  <c r="BT119" i="1"/>
  <c r="BS119" i="1"/>
  <c r="BR119" i="1"/>
  <c r="X119" i="1"/>
  <c r="S119" i="1"/>
  <c r="Q119" i="1"/>
  <c r="H119" i="1"/>
  <c r="CX118" i="1"/>
  <c r="CK118" i="1"/>
  <c r="CJ118" i="1"/>
  <c r="CI118" i="1"/>
  <c r="CH118" i="1"/>
  <c r="BU118" i="1"/>
  <c r="BT118" i="1"/>
  <c r="BS118" i="1"/>
  <c r="BR118" i="1"/>
  <c r="AC118" i="1"/>
  <c r="AB118" i="1"/>
  <c r="AA118" i="1"/>
  <c r="Z118" i="1"/>
  <c r="Y118" i="1"/>
  <c r="X118" i="1"/>
  <c r="S118" i="1"/>
  <c r="Q118" i="1"/>
  <c r="O118" i="1"/>
  <c r="H118" i="1"/>
  <c r="CX117" i="1"/>
  <c r="CK117" i="1"/>
  <c r="CJ117" i="1"/>
  <c r="CI117" i="1"/>
  <c r="CH117" i="1"/>
  <c r="BU117" i="1"/>
  <c r="BT117" i="1"/>
  <c r="BS117" i="1"/>
  <c r="BR117" i="1"/>
  <c r="AB117" i="1"/>
  <c r="AA117" i="1"/>
  <c r="Z117" i="1"/>
  <c r="Y117" i="1"/>
  <c r="X117" i="1"/>
  <c r="S117" i="1"/>
  <c r="Q117" i="1"/>
  <c r="O117" i="1"/>
  <c r="H117" i="1"/>
  <c r="CX116" i="1"/>
  <c r="CK116" i="1"/>
  <c r="CJ116" i="1"/>
  <c r="CI116" i="1"/>
  <c r="CH116" i="1"/>
  <c r="BU116" i="1"/>
  <c r="BT116" i="1"/>
  <c r="BS116" i="1"/>
  <c r="BR116" i="1"/>
  <c r="AD116" i="1"/>
  <c r="AC116" i="1"/>
  <c r="AB116" i="1"/>
  <c r="AA116" i="1"/>
  <c r="Z116" i="1"/>
  <c r="Y116" i="1"/>
  <c r="X116" i="1"/>
  <c r="S116" i="1"/>
  <c r="Q116" i="1"/>
  <c r="O116" i="1"/>
  <c r="H116" i="1"/>
  <c r="CX115" i="1"/>
  <c r="CK115" i="1"/>
  <c r="CJ115" i="1"/>
  <c r="CI115" i="1"/>
  <c r="CH115" i="1"/>
  <c r="BU115" i="1"/>
  <c r="BT115" i="1"/>
  <c r="BS115" i="1"/>
  <c r="BR115" i="1"/>
  <c r="X115" i="1"/>
  <c r="S115" i="1"/>
  <c r="Q115" i="1"/>
  <c r="H115" i="1"/>
  <c r="CX114" i="1"/>
  <c r="CK114" i="1"/>
  <c r="CJ114" i="1"/>
  <c r="CI114" i="1"/>
  <c r="CH114" i="1"/>
  <c r="BU114" i="1"/>
  <c r="BT114" i="1"/>
  <c r="BS114" i="1"/>
  <c r="BR114" i="1"/>
  <c r="X114" i="1"/>
  <c r="S114" i="1"/>
  <c r="Q114" i="1"/>
  <c r="H114" i="1"/>
  <c r="CX113" i="1"/>
  <c r="CK113" i="1"/>
  <c r="CJ113" i="1"/>
  <c r="CI113" i="1"/>
  <c r="CH113" i="1"/>
  <c r="BU113" i="1"/>
  <c r="BT113" i="1"/>
  <c r="BS113" i="1"/>
  <c r="BR113" i="1"/>
  <c r="AB113" i="1"/>
  <c r="AA113" i="1"/>
  <c r="Z113" i="1"/>
  <c r="Y113" i="1"/>
  <c r="X113" i="1"/>
  <c r="S113" i="1"/>
  <c r="Q113" i="1"/>
  <c r="O113" i="1"/>
  <c r="H113" i="1"/>
  <c r="CX112" i="1"/>
  <c r="CK112" i="1"/>
  <c r="CJ112" i="1"/>
  <c r="CI112" i="1"/>
  <c r="CH112" i="1"/>
  <c r="BU112" i="1"/>
  <c r="BT112" i="1"/>
  <c r="BS112" i="1"/>
  <c r="BR112" i="1"/>
  <c r="X112" i="1"/>
  <c r="S112" i="1"/>
  <c r="Q112" i="1"/>
  <c r="H112" i="1"/>
  <c r="CX111" i="1"/>
  <c r="CK111" i="1"/>
  <c r="CJ111" i="1"/>
  <c r="CI111" i="1"/>
  <c r="CH111" i="1"/>
  <c r="BU111" i="1"/>
  <c r="BT111" i="1"/>
  <c r="BS111" i="1"/>
  <c r="BR111" i="1"/>
  <c r="X111" i="1"/>
  <c r="S111" i="1"/>
  <c r="Q111" i="1"/>
  <c r="H111" i="1"/>
  <c r="CX110" i="1"/>
  <c r="CK110" i="1"/>
  <c r="CJ110" i="1"/>
  <c r="CI110" i="1"/>
  <c r="CH110" i="1"/>
  <c r="BU110" i="1"/>
  <c r="BT110" i="1"/>
  <c r="BS110" i="1"/>
  <c r="BR110" i="1"/>
  <c r="X110" i="1"/>
  <c r="S110" i="1"/>
  <c r="Q110" i="1"/>
  <c r="H110" i="1"/>
  <c r="CX109" i="1"/>
  <c r="CK109" i="1"/>
  <c r="CJ109" i="1"/>
  <c r="CI109" i="1"/>
  <c r="CH109" i="1"/>
  <c r="BU109" i="1"/>
  <c r="BT109" i="1"/>
  <c r="BS109" i="1"/>
  <c r="BR109" i="1"/>
  <c r="X109" i="1"/>
  <c r="S109" i="1"/>
  <c r="Q109" i="1"/>
  <c r="H109" i="1"/>
  <c r="CX108" i="1"/>
  <c r="CK108" i="1"/>
  <c r="CJ108" i="1"/>
  <c r="CI108" i="1"/>
  <c r="CH108" i="1"/>
  <c r="BU108" i="1"/>
  <c r="BT108" i="1"/>
  <c r="BS108" i="1"/>
  <c r="BR108" i="1"/>
  <c r="X108" i="1"/>
  <c r="S108" i="1"/>
  <c r="Q108" i="1"/>
  <c r="H108" i="1"/>
  <c r="CX107" i="1"/>
  <c r="CK107" i="1"/>
  <c r="CJ107" i="1"/>
  <c r="CI107" i="1"/>
  <c r="CH107" i="1"/>
  <c r="BU107" i="1"/>
  <c r="BT107" i="1"/>
  <c r="BS107" i="1"/>
  <c r="BR107" i="1"/>
  <c r="X107" i="1"/>
  <c r="S107" i="1"/>
  <c r="Q107" i="1"/>
  <c r="H107" i="1"/>
  <c r="CX106" i="1"/>
  <c r="CK106" i="1"/>
  <c r="CJ106" i="1"/>
  <c r="CI106" i="1"/>
  <c r="CH106" i="1"/>
  <c r="BU106" i="1"/>
  <c r="BT106" i="1"/>
  <c r="BS106" i="1"/>
  <c r="BR106" i="1"/>
  <c r="AB106" i="1"/>
  <c r="AA106" i="1"/>
  <c r="Z106" i="1"/>
  <c r="Y106" i="1"/>
  <c r="X106" i="1"/>
  <c r="S106" i="1"/>
  <c r="Q106" i="1"/>
  <c r="O106" i="1"/>
  <c r="H106" i="1"/>
  <c r="CX105" i="1"/>
  <c r="CK105" i="1"/>
  <c r="CJ105" i="1"/>
  <c r="CI105" i="1"/>
  <c r="CH105" i="1"/>
  <c r="BU105" i="1"/>
  <c r="BT105" i="1"/>
  <c r="BS105" i="1"/>
  <c r="BR105" i="1"/>
  <c r="AB105" i="1"/>
  <c r="AA105" i="1"/>
  <c r="Z105" i="1"/>
  <c r="Y105" i="1"/>
  <c r="X105" i="1"/>
  <c r="S105" i="1"/>
  <c r="Q105" i="1"/>
  <c r="O105" i="1"/>
  <c r="H105" i="1"/>
  <c r="CX104" i="1"/>
  <c r="CK104" i="1"/>
  <c r="CJ104" i="1"/>
  <c r="CI104" i="1"/>
  <c r="CH104" i="1"/>
  <c r="BU104" i="1"/>
  <c r="BT104" i="1"/>
  <c r="BS104" i="1"/>
  <c r="BR104" i="1"/>
  <c r="X104" i="1"/>
  <c r="S104" i="1"/>
  <c r="Q104" i="1"/>
  <c r="H104" i="1"/>
  <c r="CX103" i="1"/>
  <c r="CK103" i="1"/>
  <c r="CJ103" i="1"/>
  <c r="CI103" i="1"/>
  <c r="CH103" i="1"/>
  <c r="BU103" i="1"/>
  <c r="BT103" i="1"/>
  <c r="BS103" i="1"/>
  <c r="BR103" i="1"/>
  <c r="X103" i="1"/>
  <c r="S103" i="1"/>
  <c r="Q103" i="1"/>
  <c r="H103" i="1"/>
  <c r="CX102" i="1"/>
  <c r="CK102" i="1"/>
  <c r="CJ102" i="1"/>
  <c r="CI102" i="1"/>
  <c r="CH102" i="1"/>
  <c r="BU102" i="1"/>
  <c r="BT102" i="1"/>
  <c r="BS102" i="1"/>
  <c r="BR102" i="1"/>
  <c r="X102" i="1"/>
  <c r="S102" i="1"/>
  <c r="Q102" i="1"/>
  <c r="H102" i="1"/>
  <c r="CX101" i="1"/>
  <c r="CK101" i="1"/>
  <c r="CJ101" i="1"/>
  <c r="CI101" i="1"/>
  <c r="CH101" i="1"/>
  <c r="BU101" i="1"/>
  <c r="BT101" i="1"/>
  <c r="BS101" i="1"/>
  <c r="BR101" i="1"/>
  <c r="X101" i="1"/>
  <c r="S101" i="1"/>
  <c r="Q101" i="1"/>
  <c r="H101" i="1"/>
  <c r="CX100" i="1"/>
  <c r="CK100" i="1"/>
  <c r="CJ100" i="1"/>
  <c r="CI100" i="1"/>
  <c r="CH100" i="1"/>
  <c r="BU100" i="1"/>
  <c r="BT100" i="1"/>
  <c r="BS100" i="1"/>
  <c r="BR100" i="1"/>
  <c r="X100" i="1"/>
  <c r="S100" i="1"/>
  <c r="Q100" i="1"/>
  <c r="H100" i="1"/>
  <c r="CX99" i="1"/>
  <c r="CK99" i="1"/>
  <c r="CJ99" i="1"/>
  <c r="CI99" i="1"/>
  <c r="CH99" i="1"/>
  <c r="BU99" i="1"/>
  <c r="BT99" i="1"/>
  <c r="BS99" i="1"/>
  <c r="BR99" i="1"/>
  <c r="X99" i="1"/>
  <c r="S99" i="1"/>
  <c r="Q99" i="1"/>
  <c r="H99" i="1"/>
  <c r="CX98" i="1"/>
  <c r="CK98" i="1"/>
  <c r="CJ98" i="1"/>
  <c r="CI98" i="1"/>
  <c r="CH98" i="1"/>
  <c r="BU98" i="1"/>
  <c r="BT98" i="1"/>
  <c r="BS98" i="1"/>
  <c r="BR98" i="1"/>
  <c r="X98" i="1"/>
  <c r="S98" i="1"/>
  <c r="Q98" i="1"/>
  <c r="H98" i="1"/>
  <c r="CX97" i="1"/>
  <c r="CK97" i="1"/>
  <c r="CJ97" i="1"/>
  <c r="CI97" i="1"/>
  <c r="CH97" i="1"/>
  <c r="BU97" i="1"/>
  <c r="BT97" i="1"/>
  <c r="BS97" i="1"/>
  <c r="BR97" i="1"/>
  <c r="X97" i="1"/>
  <c r="S97" i="1"/>
  <c r="Q97" i="1"/>
  <c r="H97" i="1"/>
  <c r="CX96" i="1"/>
  <c r="CK96" i="1"/>
  <c r="CJ96" i="1"/>
  <c r="CI96" i="1"/>
  <c r="CH96" i="1"/>
  <c r="BU96" i="1"/>
  <c r="BT96" i="1"/>
  <c r="BS96" i="1"/>
  <c r="BR96" i="1"/>
  <c r="X96" i="1"/>
  <c r="S96" i="1"/>
  <c r="Q96" i="1"/>
  <c r="H96" i="1"/>
  <c r="CX95" i="1"/>
  <c r="CK95" i="1"/>
  <c r="CJ95" i="1"/>
  <c r="CI95" i="1"/>
  <c r="CH95" i="1"/>
  <c r="BU95" i="1"/>
  <c r="BT95" i="1"/>
  <c r="BS95" i="1"/>
  <c r="BR95" i="1"/>
  <c r="X95" i="1"/>
  <c r="S95" i="1"/>
  <c r="Q95" i="1"/>
  <c r="H95" i="1"/>
  <c r="CX94" i="1"/>
  <c r="CK94" i="1"/>
  <c r="CJ94" i="1"/>
  <c r="CI94" i="1"/>
  <c r="CH94" i="1"/>
  <c r="BU94" i="1"/>
  <c r="BT94" i="1"/>
  <c r="BS94" i="1"/>
  <c r="BR94" i="1"/>
  <c r="X94" i="1"/>
  <c r="S94" i="1"/>
  <c r="Q94" i="1"/>
  <c r="H94" i="1"/>
  <c r="CX93" i="1"/>
  <c r="CK93" i="1"/>
  <c r="CJ93" i="1"/>
  <c r="CI93" i="1"/>
  <c r="CH93" i="1"/>
  <c r="BU93" i="1"/>
  <c r="BT93" i="1"/>
  <c r="BS93" i="1"/>
  <c r="BR93" i="1"/>
  <c r="X93" i="1"/>
  <c r="S93" i="1"/>
  <c r="Q93" i="1"/>
  <c r="H93" i="1"/>
  <c r="CX92" i="1"/>
  <c r="CK92" i="1"/>
  <c r="CJ92" i="1"/>
  <c r="CI92" i="1"/>
  <c r="CH92" i="1"/>
  <c r="BU92" i="1"/>
  <c r="BT92" i="1"/>
  <c r="BS92" i="1"/>
  <c r="BR92" i="1"/>
  <c r="X92" i="1"/>
  <c r="S92" i="1"/>
  <c r="Q92" i="1"/>
  <c r="H92" i="1"/>
  <c r="CX91" i="1"/>
  <c r="CK91" i="1"/>
  <c r="CJ91" i="1"/>
  <c r="CI91" i="1"/>
  <c r="CH91" i="1"/>
  <c r="BU91" i="1"/>
  <c r="BT91" i="1"/>
  <c r="BS91" i="1"/>
  <c r="BR91" i="1"/>
  <c r="X91" i="1"/>
  <c r="S91" i="1"/>
  <c r="Q91" i="1"/>
  <c r="H91" i="1"/>
  <c r="CX90" i="1"/>
  <c r="CK90" i="1"/>
  <c r="CJ90" i="1"/>
  <c r="CI90" i="1"/>
  <c r="CH90" i="1"/>
  <c r="BU90" i="1"/>
  <c r="BT90" i="1"/>
  <c r="BS90" i="1"/>
  <c r="BR90" i="1"/>
  <c r="X90" i="1"/>
  <c r="S90" i="1"/>
  <c r="Q90" i="1"/>
  <c r="H90" i="1"/>
  <c r="CX89" i="1"/>
  <c r="CK89" i="1"/>
  <c r="CJ89" i="1"/>
  <c r="CI89" i="1"/>
  <c r="CH89" i="1"/>
  <c r="BU89" i="1"/>
  <c r="BT89" i="1"/>
  <c r="BS89" i="1"/>
  <c r="BR89" i="1"/>
  <c r="X89" i="1"/>
  <c r="S89" i="1"/>
  <c r="Q89" i="1"/>
  <c r="H89" i="1"/>
  <c r="CX88" i="1"/>
  <c r="CK88" i="1"/>
  <c r="CJ88" i="1"/>
  <c r="CI88" i="1"/>
  <c r="CH88" i="1"/>
  <c r="BU88" i="1"/>
  <c r="BT88" i="1"/>
  <c r="BS88" i="1"/>
  <c r="BR88" i="1"/>
  <c r="X88" i="1"/>
  <c r="S88" i="1"/>
  <c r="Q88" i="1"/>
  <c r="H88" i="1"/>
  <c r="CX87" i="1"/>
  <c r="CK87" i="1"/>
  <c r="CJ87" i="1"/>
  <c r="CI87" i="1"/>
  <c r="CH87" i="1"/>
  <c r="BU87" i="1"/>
  <c r="BT87" i="1"/>
  <c r="BS87" i="1"/>
  <c r="BR87" i="1"/>
  <c r="X87" i="1"/>
  <c r="S87" i="1"/>
  <c r="Q87" i="1"/>
  <c r="H87" i="1"/>
  <c r="CX86" i="1"/>
  <c r="CK86" i="1"/>
  <c r="CJ86" i="1"/>
  <c r="CI86" i="1"/>
  <c r="CH86" i="1"/>
  <c r="BU86" i="1"/>
  <c r="BT86" i="1"/>
  <c r="BS86" i="1"/>
  <c r="BR86" i="1"/>
  <c r="X86" i="1"/>
  <c r="S86" i="1"/>
  <c r="Q86" i="1"/>
  <c r="H86" i="1"/>
  <c r="CX85" i="1"/>
  <c r="CK85" i="1"/>
  <c r="CJ85" i="1"/>
  <c r="CI85" i="1"/>
  <c r="CH85" i="1"/>
  <c r="BU85" i="1"/>
  <c r="BT85" i="1"/>
  <c r="BS85" i="1"/>
  <c r="BR85" i="1"/>
  <c r="X85" i="1"/>
  <c r="S85" i="1"/>
  <c r="Q85" i="1"/>
  <c r="H85" i="1"/>
  <c r="CX84" i="1"/>
  <c r="CK84" i="1"/>
  <c r="CJ84" i="1"/>
  <c r="CI84" i="1"/>
  <c r="CH84" i="1"/>
  <c r="BU84" i="1"/>
  <c r="BT84" i="1"/>
  <c r="BS84" i="1"/>
  <c r="BR84" i="1"/>
  <c r="X84" i="1"/>
  <c r="S84" i="1"/>
  <c r="Q84" i="1"/>
  <c r="H84" i="1"/>
  <c r="CX83" i="1"/>
  <c r="CK83" i="1"/>
  <c r="CJ83" i="1"/>
  <c r="CI83" i="1"/>
  <c r="CH83" i="1"/>
  <c r="BU83" i="1"/>
  <c r="BT83" i="1"/>
  <c r="BS83" i="1"/>
  <c r="BR83" i="1"/>
  <c r="X83" i="1"/>
  <c r="S83" i="1"/>
  <c r="Q83" i="1"/>
  <c r="H83" i="1"/>
  <c r="CX82" i="1"/>
  <c r="CK82" i="1"/>
  <c r="CJ82" i="1"/>
  <c r="CI82" i="1"/>
  <c r="CH82" i="1"/>
  <c r="BU82" i="1"/>
  <c r="BT82" i="1"/>
  <c r="BS82" i="1"/>
  <c r="BR82" i="1"/>
  <c r="X82" i="1"/>
  <c r="S82" i="1"/>
  <c r="Q82" i="1"/>
  <c r="H82" i="1"/>
  <c r="CX81" i="1"/>
  <c r="CK81" i="1"/>
  <c r="CJ81" i="1"/>
  <c r="CI81" i="1"/>
  <c r="CH81" i="1"/>
  <c r="BU81" i="1"/>
  <c r="BT81" i="1"/>
  <c r="BS81" i="1"/>
  <c r="BR81" i="1"/>
  <c r="X81" i="1"/>
  <c r="S81" i="1"/>
  <c r="Q81" i="1"/>
  <c r="H81" i="1"/>
  <c r="CX80" i="1"/>
  <c r="CK80" i="1"/>
  <c r="CJ80" i="1"/>
  <c r="CI80" i="1"/>
  <c r="CH80" i="1"/>
  <c r="BU80" i="1"/>
  <c r="BT80" i="1"/>
  <c r="BS80" i="1"/>
  <c r="BR80" i="1"/>
  <c r="X80" i="1"/>
  <c r="S80" i="1"/>
  <c r="Q80" i="1"/>
  <c r="H80" i="1"/>
  <c r="CX79" i="1"/>
  <c r="CK79" i="1"/>
  <c r="CJ79" i="1"/>
  <c r="CI79" i="1"/>
  <c r="CH79" i="1"/>
  <c r="BU79" i="1"/>
  <c r="BT79" i="1"/>
  <c r="BS79" i="1"/>
  <c r="BR79" i="1"/>
  <c r="X79" i="1"/>
  <c r="S79" i="1"/>
  <c r="Q79" i="1"/>
  <c r="H79" i="1"/>
  <c r="CX78" i="1"/>
  <c r="CK78" i="1"/>
  <c r="CJ78" i="1"/>
  <c r="CI78" i="1"/>
  <c r="CH78" i="1"/>
  <c r="BU78" i="1"/>
  <c r="BT78" i="1"/>
  <c r="BS78" i="1"/>
  <c r="BR78" i="1"/>
  <c r="AC78" i="1"/>
  <c r="AB78" i="1"/>
  <c r="AA78" i="1"/>
  <c r="Z78" i="1"/>
  <c r="Y78" i="1"/>
  <c r="X78" i="1"/>
  <c r="S78" i="1"/>
  <c r="Q78" i="1"/>
  <c r="O78" i="1"/>
  <c r="H78" i="1"/>
  <c r="CX77" i="1"/>
  <c r="CK77" i="1"/>
  <c r="CJ77" i="1"/>
  <c r="CI77" i="1"/>
  <c r="CH77" i="1"/>
  <c r="BU77" i="1"/>
  <c r="BT77" i="1"/>
  <c r="BS77" i="1"/>
  <c r="BR77" i="1"/>
  <c r="X77" i="1"/>
  <c r="S77" i="1"/>
  <c r="Q77" i="1"/>
  <c r="H77" i="1"/>
  <c r="CX76" i="1"/>
  <c r="CK76" i="1"/>
  <c r="CJ76" i="1"/>
  <c r="CI76" i="1"/>
  <c r="CH76" i="1"/>
  <c r="BU76" i="1"/>
  <c r="BT76" i="1"/>
  <c r="BS76" i="1"/>
  <c r="BR76" i="1"/>
  <c r="X76" i="1"/>
  <c r="S76" i="1"/>
  <c r="Q76" i="1"/>
  <c r="H76" i="1"/>
  <c r="CX75" i="1"/>
  <c r="CK75" i="1"/>
  <c r="CJ75" i="1"/>
  <c r="CI75" i="1"/>
  <c r="CH75" i="1"/>
  <c r="BU75" i="1"/>
  <c r="BT75" i="1"/>
  <c r="BS75" i="1"/>
  <c r="BR75" i="1"/>
  <c r="X75" i="1"/>
  <c r="S75" i="1"/>
  <c r="Q75" i="1"/>
  <c r="H75" i="1"/>
  <c r="CX74" i="1"/>
  <c r="CK74" i="1"/>
  <c r="CJ74" i="1"/>
  <c r="CI74" i="1"/>
  <c r="CH74" i="1"/>
  <c r="BU74" i="1"/>
  <c r="BT74" i="1"/>
  <c r="BS74" i="1"/>
  <c r="BR74" i="1"/>
  <c r="X74" i="1"/>
  <c r="S74" i="1"/>
  <c r="Q74" i="1"/>
  <c r="H74" i="1"/>
  <c r="CX73" i="1"/>
  <c r="CK73" i="1"/>
  <c r="CJ73" i="1"/>
  <c r="CI73" i="1"/>
  <c r="CH73" i="1"/>
  <c r="BU73" i="1"/>
  <c r="BT73" i="1"/>
  <c r="BS73" i="1"/>
  <c r="BR73" i="1"/>
  <c r="AC73" i="1"/>
  <c r="AB73" i="1"/>
  <c r="AA73" i="1"/>
  <c r="Z73" i="1"/>
  <c r="Y73" i="1"/>
  <c r="X73" i="1"/>
  <c r="S73" i="1"/>
  <c r="Q73" i="1"/>
  <c r="O73" i="1"/>
  <c r="H73" i="1"/>
  <c r="CX72" i="1"/>
  <c r="CK72" i="1"/>
  <c r="CJ72" i="1"/>
  <c r="CI72" i="1"/>
  <c r="CH72" i="1"/>
  <c r="BU72" i="1"/>
  <c r="BT72" i="1"/>
  <c r="BS72" i="1"/>
  <c r="BR72" i="1"/>
  <c r="X72" i="1"/>
  <c r="S72" i="1"/>
  <c r="Q72" i="1"/>
  <c r="H72" i="1"/>
  <c r="CX71" i="1"/>
  <c r="CK71" i="1"/>
  <c r="CJ71" i="1"/>
  <c r="CI71" i="1"/>
  <c r="CH71" i="1"/>
  <c r="BU71" i="1"/>
  <c r="BT71" i="1"/>
  <c r="BS71" i="1"/>
  <c r="BR71" i="1"/>
  <c r="AB71" i="1"/>
  <c r="AA71" i="1"/>
  <c r="Z71" i="1"/>
  <c r="Y71" i="1"/>
  <c r="X71" i="1"/>
  <c r="S71" i="1"/>
  <c r="Q71" i="1"/>
  <c r="O71" i="1"/>
  <c r="H71" i="1"/>
  <c r="CX70" i="1"/>
  <c r="CK70" i="1"/>
  <c r="CJ70" i="1"/>
  <c r="CI70" i="1"/>
  <c r="CH70" i="1"/>
  <c r="BU70" i="1"/>
  <c r="BT70" i="1"/>
  <c r="BS70" i="1"/>
  <c r="BR70" i="1"/>
  <c r="BN70" i="1"/>
  <c r="BM70" i="1"/>
  <c r="BL70" i="1"/>
  <c r="X70" i="1"/>
  <c r="S70" i="1"/>
  <c r="Q70" i="1"/>
  <c r="H70" i="1"/>
  <c r="CX69" i="1"/>
  <c r="CK69" i="1"/>
  <c r="CJ69" i="1"/>
  <c r="CI69" i="1"/>
  <c r="CH69" i="1"/>
  <c r="CD69" i="1"/>
  <c r="CC69" i="1"/>
  <c r="CB69" i="1"/>
  <c r="CA69" i="1"/>
  <c r="BZ69" i="1"/>
  <c r="BY69" i="1"/>
  <c r="BU69" i="1"/>
  <c r="BT69" i="1"/>
  <c r="BS69" i="1"/>
  <c r="BR69" i="1"/>
  <c r="BN69" i="1"/>
  <c r="BM69" i="1"/>
  <c r="BL69" i="1"/>
  <c r="X69" i="1"/>
  <c r="S69" i="1"/>
  <c r="Q69" i="1"/>
  <c r="H69" i="1"/>
  <c r="CX68" i="1"/>
  <c r="CK68" i="1"/>
  <c r="CJ68" i="1"/>
  <c r="CI68" i="1"/>
  <c r="CH68" i="1"/>
  <c r="CD68" i="1"/>
  <c r="CC68" i="1"/>
  <c r="CB68" i="1"/>
  <c r="CA68" i="1"/>
  <c r="BZ68" i="1"/>
  <c r="BY68" i="1"/>
  <c r="BU68" i="1"/>
  <c r="BT68" i="1"/>
  <c r="BS68" i="1"/>
  <c r="BR68" i="1"/>
  <c r="BN68" i="1"/>
  <c r="BM68" i="1"/>
  <c r="BL68" i="1"/>
  <c r="X68" i="1"/>
  <c r="S68" i="1"/>
  <c r="Q68" i="1"/>
  <c r="H68" i="1"/>
  <c r="CX67" i="1"/>
  <c r="CK67" i="1"/>
  <c r="CJ67" i="1"/>
  <c r="CI67" i="1"/>
  <c r="CH67" i="1"/>
  <c r="CD67" i="1"/>
  <c r="CC67" i="1"/>
  <c r="CB67" i="1"/>
  <c r="CA67" i="1"/>
  <c r="BZ67" i="1"/>
  <c r="BY67" i="1"/>
  <c r="BU67" i="1"/>
  <c r="BT67" i="1"/>
  <c r="BS67" i="1"/>
  <c r="BR67" i="1"/>
  <c r="BN67" i="1"/>
  <c r="BM67" i="1"/>
  <c r="BL67" i="1"/>
  <c r="X67" i="1"/>
  <c r="S67" i="1"/>
  <c r="Q67" i="1"/>
  <c r="H67" i="1"/>
  <c r="CX66" i="1"/>
  <c r="CK66" i="1"/>
  <c r="CJ66" i="1"/>
  <c r="CI66" i="1"/>
  <c r="CH66" i="1"/>
  <c r="CD66" i="1"/>
  <c r="CC66" i="1"/>
  <c r="CB66" i="1"/>
  <c r="CA66" i="1"/>
  <c r="BZ66" i="1"/>
  <c r="BY66" i="1"/>
  <c r="BU66" i="1"/>
  <c r="BT66" i="1"/>
  <c r="BS66" i="1"/>
  <c r="BR66" i="1"/>
  <c r="BN66" i="1"/>
  <c r="BM66" i="1"/>
  <c r="BL66" i="1"/>
  <c r="X66" i="1"/>
  <c r="S66" i="1"/>
  <c r="Q66" i="1"/>
  <c r="H66" i="1"/>
  <c r="CX65" i="1"/>
  <c r="CK65" i="1"/>
  <c r="CJ65" i="1"/>
  <c r="CI65" i="1"/>
  <c r="CH65" i="1"/>
  <c r="CD65" i="1"/>
  <c r="CC65" i="1"/>
  <c r="CB65" i="1"/>
  <c r="CA65" i="1"/>
  <c r="BZ65" i="1"/>
  <c r="BY65" i="1"/>
  <c r="BU65" i="1"/>
  <c r="BT65" i="1"/>
  <c r="BS65" i="1"/>
  <c r="BR65" i="1"/>
  <c r="BN65" i="1"/>
  <c r="BM65" i="1"/>
  <c r="BL65" i="1"/>
  <c r="X65" i="1"/>
  <c r="S65" i="1"/>
  <c r="Q65" i="1"/>
  <c r="H65" i="1"/>
  <c r="CX64" i="1"/>
  <c r="CK64" i="1"/>
  <c r="CJ64" i="1"/>
  <c r="CI64" i="1"/>
  <c r="CH64" i="1"/>
  <c r="CD64" i="1"/>
  <c r="CC64" i="1"/>
  <c r="CB64" i="1"/>
  <c r="CA64" i="1"/>
  <c r="BZ64" i="1"/>
  <c r="BY64" i="1"/>
  <c r="BU64" i="1"/>
  <c r="BT64" i="1"/>
  <c r="BS64" i="1"/>
  <c r="BR64" i="1"/>
  <c r="BN64" i="1"/>
  <c r="BM64" i="1"/>
  <c r="BL64" i="1"/>
  <c r="X64" i="1"/>
  <c r="S64" i="1"/>
  <c r="Q64" i="1"/>
  <c r="H64" i="1"/>
  <c r="CX63" i="1"/>
  <c r="CK63" i="1"/>
  <c r="CJ63" i="1"/>
  <c r="CI63" i="1"/>
  <c r="CH63" i="1"/>
  <c r="CD63" i="1"/>
  <c r="CC63" i="1"/>
  <c r="CB63" i="1"/>
  <c r="CA63" i="1"/>
  <c r="BZ63" i="1"/>
  <c r="BY63" i="1"/>
  <c r="BU63" i="1"/>
  <c r="BT63" i="1"/>
  <c r="BS63" i="1"/>
  <c r="BR63" i="1"/>
  <c r="BN63" i="1"/>
  <c r="BM63" i="1"/>
  <c r="BL63" i="1"/>
  <c r="X63" i="1"/>
  <c r="S63" i="1"/>
  <c r="Q63" i="1"/>
  <c r="H63" i="1"/>
  <c r="CX62" i="1"/>
  <c r="CK62" i="1"/>
  <c r="CJ62" i="1"/>
  <c r="CI62" i="1"/>
  <c r="CH62" i="1"/>
  <c r="CD62" i="1"/>
  <c r="CC62" i="1"/>
  <c r="CB62" i="1"/>
  <c r="CA62" i="1"/>
  <c r="BZ62" i="1"/>
  <c r="BY62" i="1"/>
  <c r="BU62" i="1"/>
  <c r="BT62" i="1"/>
  <c r="BS62" i="1"/>
  <c r="BR62" i="1"/>
  <c r="BN62" i="1"/>
  <c r="BM62" i="1"/>
  <c r="BL62" i="1"/>
  <c r="X62" i="1"/>
  <c r="S62" i="1"/>
  <c r="Q62" i="1"/>
  <c r="H62" i="1"/>
  <c r="CX61" i="1"/>
  <c r="CK61" i="1"/>
  <c r="CJ61" i="1"/>
  <c r="CI61" i="1"/>
  <c r="CH61" i="1"/>
  <c r="CD61" i="1"/>
  <c r="CC61" i="1"/>
  <c r="CB61" i="1"/>
  <c r="CA61" i="1"/>
  <c r="BZ61" i="1"/>
  <c r="BY61" i="1"/>
  <c r="BU61" i="1"/>
  <c r="BT61" i="1"/>
  <c r="BS61" i="1"/>
  <c r="BR61" i="1"/>
  <c r="BN61" i="1"/>
  <c r="BM61" i="1"/>
  <c r="BL61" i="1"/>
  <c r="X61" i="1"/>
  <c r="S61" i="1"/>
  <c r="Q61" i="1"/>
  <c r="H61" i="1"/>
  <c r="CX60" i="1"/>
  <c r="CK60" i="1"/>
  <c r="CJ60" i="1"/>
  <c r="CI60" i="1"/>
  <c r="CH60" i="1"/>
  <c r="CD60" i="1"/>
  <c r="CC60" i="1"/>
  <c r="CB60" i="1"/>
  <c r="CA60" i="1"/>
  <c r="BZ60" i="1"/>
  <c r="BY60" i="1"/>
  <c r="BU60" i="1"/>
  <c r="BT60" i="1"/>
  <c r="BS60" i="1"/>
  <c r="BR60" i="1"/>
  <c r="BN60" i="1"/>
  <c r="BM60" i="1"/>
  <c r="BL60" i="1"/>
  <c r="X60" i="1"/>
  <c r="S60" i="1"/>
  <c r="Q60" i="1"/>
  <c r="H60" i="1"/>
  <c r="CX59" i="1"/>
  <c r="CK59" i="1"/>
  <c r="CJ59" i="1"/>
  <c r="CI59" i="1"/>
  <c r="CH59" i="1"/>
  <c r="CD59" i="1"/>
  <c r="CC59" i="1"/>
  <c r="CB59" i="1"/>
  <c r="CA59" i="1"/>
  <c r="BZ59" i="1"/>
  <c r="BY59" i="1"/>
  <c r="BU59" i="1"/>
  <c r="BT59" i="1"/>
  <c r="BS59" i="1"/>
  <c r="BR59" i="1"/>
  <c r="BN59" i="1"/>
  <c r="BM59" i="1"/>
  <c r="BL59" i="1"/>
  <c r="X59" i="1"/>
  <c r="S59" i="1"/>
  <c r="Q59" i="1"/>
  <c r="H59" i="1"/>
  <c r="CX58" i="1"/>
  <c r="CK58" i="1"/>
  <c r="CJ58" i="1"/>
  <c r="CI58" i="1"/>
  <c r="CH58" i="1"/>
  <c r="CD58" i="1"/>
  <c r="CC58" i="1"/>
  <c r="CB58" i="1"/>
  <c r="CA58" i="1"/>
  <c r="BZ58" i="1"/>
  <c r="BY58" i="1"/>
  <c r="BU58" i="1"/>
  <c r="BT58" i="1"/>
  <c r="BS58" i="1"/>
  <c r="BR58" i="1"/>
  <c r="BN58" i="1"/>
  <c r="BM58" i="1"/>
  <c r="BL58" i="1"/>
  <c r="X58" i="1"/>
  <c r="S58" i="1"/>
  <c r="Q58" i="1"/>
  <c r="H58" i="1"/>
  <c r="CX57" i="1"/>
  <c r="CK57" i="1"/>
  <c r="CJ57" i="1"/>
  <c r="CI57" i="1"/>
  <c r="CH57" i="1"/>
  <c r="CD57" i="1"/>
  <c r="CC57" i="1"/>
  <c r="CB57" i="1"/>
  <c r="CA57" i="1"/>
  <c r="BZ57" i="1"/>
  <c r="BY57" i="1"/>
  <c r="BU57" i="1"/>
  <c r="BT57" i="1"/>
  <c r="BS57" i="1"/>
  <c r="BR57" i="1"/>
  <c r="BN57" i="1"/>
  <c r="BM57" i="1"/>
  <c r="BL57" i="1"/>
  <c r="X57" i="1"/>
  <c r="S57" i="1"/>
  <c r="Q57" i="1"/>
  <c r="H57" i="1"/>
  <c r="CX56" i="1"/>
  <c r="CK56" i="1"/>
  <c r="CJ56" i="1"/>
  <c r="CI56" i="1"/>
  <c r="CH56" i="1"/>
  <c r="CD56" i="1"/>
  <c r="CC56" i="1"/>
  <c r="CB56" i="1"/>
  <c r="CA56" i="1"/>
  <c r="BZ56" i="1"/>
  <c r="BY56" i="1"/>
  <c r="BU56" i="1"/>
  <c r="BT56" i="1"/>
  <c r="BS56" i="1"/>
  <c r="BR56" i="1"/>
  <c r="BN56" i="1"/>
  <c r="BM56" i="1"/>
  <c r="BL56" i="1"/>
  <c r="X56" i="1"/>
  <c r="S56" i="1"/>
  <c r="Q56" i="1"/>
  <c r="H56" i="1"/>
  <c r="DI55" i="1"/>
  <c r="DH55" i="1"/>
  <c r="DG55" i="1"/>
  <c r="DF55" i="1"/>
  <c r="DE55" i="1"/>
  <c r="CX55" i="1"/>
  <c r="CK55" i="1"/>
  <c r="CJ55" i="1"/>
  <c r="CI55" i="1"/>
  <c r="CH55" i="1"/>
  <c r="CD55" i="1"/>
  <c r="CC55" i="1"/>
  <c r="CB55" i="1"/>
  <c r="CA55" i="1"/>
  <c r="BZ55" i="1"/>
  <c r="BY55" i="1"/>
  <c r="BU55" i="1"/>
  <c r="BT55" i="1"/>
  <c r="BS55" i="1"/>
  <c r="BR55" i="1"/>
  <c r="BN55" i="1"/>
  <c r="BM55" i="1"/>
  <c r="BL55" i="1"/>
  <c r="X55" i="1"/>
  <c r="S55" i="1"/>
  <c r="Q55" i="1"/>
  <c r="H55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CX54" i="1"/>
  <c r="CK54" i="1"/>
  <c r="CJ54" i="1"/>
  <c r="CI54" i="1"/>
  <c r="CH54" i="1"/>
  <c r="CD54" i="1"/>
  <c r="CC54" i="1"/>
  <c r="CB54" i="1"/>
  <c r="CA54" i="1"/>
  <c r="BZ54" i="1"/>
  <c r="BY54" i="1"/>
  <c r="BU54" i="1"/>
  <c r="BT54" i="1"/>
  <c r="BS54" i="1"/>
  <c r="BR54" i="1"/>
  <c r="BN54" i="1"/>
  <c r="BM54" i="1"/>
  <c r="BL54" i="1"/>
  <c r="X54" i="1"/>
  <c r="S54" i="1"/>
  <c r="Q54" i="1"/>
  <c r="H54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CX53" i="1"/>
  <c r="CK53" i="1"/>
  <c r="CJ53" i="1"/>
  <c r="CI53" i="1"/>
  <c r="CH53" i="1"/>
  <c r="CD53" i="1"/>
  <c r="CC53" i="1"/>
  <c r="CB53" i="1"/>
  <c r="CA53" i="1"/>
  <c r="BZ53" i="1"/>
  <c r="BY53" i="1"/>
  <c r="BU53" i="1"/>
  <c r="BT53" i="1"/>
  <c r="BS53" i="1"/>
  <c r="BR53" i="1"/>
  <c r="BN53" i="1"/>
  <c r="BM53" i="1"/>
  <c r="BL53" i="1"/>
  <c r="X53" i="1"/>
  <c r="S53" i="1"/>
  <c r="Q53" i="1"/>
  <c r="H53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CX52" i="1"/>
  <c r="CK52" i="1"/>
  <c r="CJ52" i="1"/>
  <c r="CI52" i="1"/>
  <c r="CH52" i="1"/>
  <c r="CD52" i="1"/>
  <c r="CC52" i="1"/>
  <c r="CB52" i="1"/>
  <c r="CA52" i="1"/>
  <c r="BZ52" i="1"/>
  <c r="BY52" i="1"/>
  <c r="BU52" i="1"/>
  <c r="BT52" i="1"/>
  <c r="BS52" i="1"/>
  <c r="BR52" i="1"/>
  <c r="BN52" i="1"/>
  <c r="BM52" i="1"/>
  <c r="BL52" i="1"/>
  <c r="X52" i="1"/>
  <c r="S52" i="1"/>
  <c r="Q52" i="1"/>
  <c r="H52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CX51" i="1"/>
  <c r="CK51" i="1"/>
  <c r="CJ51" i="1"/>
  <c r="CI51" i="1"/>
  <c r="CH51" i="1"/>
  <c r="CD51" i="1"/>
  <c r="CC51" i="1"/>
  <c r="CB51" i="1"/>
  <c r="CA51" i="1"/>
  <c r="BZ51" i="1"/>
  <c r="BY51" i="1"/>
  <c r="BU51" i="1"/>
  <c r="BT51" i="1"/>
  <c r="BS51" i="1"/>
  <c r="BR51" i="1"/>
  <c r="BN51" i="1"/>
  <c r="BM51" i="1"/>
  <c r="BL51" i="1"/>
  <c r="X51" i="1"/>
  <c r="S51" i="1"/>
  <c r="Q51" i="1"/>
  <c r="H51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CX50" i="1"/>
  <c r="CK50" i="1"/>
  <c r="CJ50" i="1"/>
  <c r="CI50" i="1"/>
  <c r="CH50" i="1"/>
  <c r="CD50" i="1"/>
  <c r="CC50" i="1"/>
  <c r="CB50" i="1"/>
  <c r="CA50" i="1"/>
  <c r="BZ50" i="1"/>
  <c r="BY50" i="1"/>
  <c r="BU50" i="1"/>
  <c r="BT50" i="1"/>
  <c r="BS50" i="1"/>
  <c r="BR50" i="1"/>
  <c r="BN50" i="1"/>
  <c r="BM50" i="1"/>
  <c r="BL50" i="1"/>
  <c r="X50" i="1"/>
  <c r="S50" i="1"/>
  <c r="Q50" i="1"/>
  <c r="H50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CX49" i="1"/>
  <c r="CK49" i="1"/>
  <c r="CJ49" i="1"/>
  <c r="CI49" i="1"/>
  <c r="CH49" i="1"/>
  <c r="CD49" i="1"/>
  <c r="CC49" i="1"/>
  <c r="CB49" i="1"/>
  <c r="CA49" i="1"/>
  <c r="BZ49" i="1"/>
  <c r="BY49" i="1"/>
  <c r="BU49" i="1"/>
  <c r="BT49" i="1"/>
  <c r="BS49" i="1"/>
  <c r="BR49" i="1"/>
  <c r="BN49" i="1"/>
  <c r="BM49" i="1"/>
  <c r="BL49" i="1"/>
  <c r="X49" i="1"/>
  <c r="S49" i="1"/>
  <c r="Q49" i="1"/>
  <c r="H49" i="1"/>
  <c r="DJ48" i="1"/>
  <c r="DI48" i="1"/>
  <c r="DH48" i="1"/>
  <c r="DG48" i="1"/>
  <c r="DF48" i="1"/>
  <c r="DE48" i="1"/>
  <c r="CX48" i="1"/>
  <c r="CK48" i="1"/>
  <c r="CJ48" i="1"/>
  <c r="CI48" i="1"/>
  <c r="CH48" i="1"/>
  <c r="CD48" i="1"/>
  <c r="CC48" i="1"/>
  <c r="CB48" i="1"/>
  <c r="CA48" i="1"/>
  <c r="BZ48" i="1"/>
  <c r="BY48" i="1"/>
  <c r="BU48" i="1"/>
  <c r="BT48" i="1"/>
  <c r="BS48" i="1"/>
  <c r="BR48" i="1"/>
  <c r="BN48" i="1"/>
  <c r="BM48" i="1"/>
  <c r="BL48" i="1"/>
  <c r="X48" i="1"/>
  <c r="S48" i="1"/>
  <c r="Q48" i="1"/>
  <c r="H48" i="1"/>
  <c r="DL47" i="1"/>
  <c r="DK47" i="1"/>
  <c r="DJ47" i="1"/>
  <c r="DI47" i="1"/>
  <c r="DH47" i="1"/>
  <c r="DG47" i="1"/>
  <c r="DF47" i="1"/>
  <c r="DE47" i="1"/>
  <c r="CX47" i="1"/>
  <c r="CK47" i="1"/>
  <c r="CJ47" i="1"/>
  <c r="CI47" i="1"/>
  <c r="CH47" i="1"/>
  <c r="CD47" i="1"/>
  <c r="CC47" i="1"/>
  <c r="CB47" i="1"/>
  <c r="CA47" i="1"/>
  <c r="BZ47" i="1"/>
  <c r="BY47" i="1"/>
  <c r="BU47" i="1"/>
  <c r="BT47" i="1"/>
  <c r="BS47" i="1"/>
  <c r="BR47" i="1"/>
  <c r="BN47" i="1"/>
  <c r="BM47" i="1"/>
  <c r="BL47" i="1"/>
  <c r="X47" i="1"/>
  <c r="S47" i="1"/>
  <c r="Q47" i="1"/>
  <c r="H47" i="1"/>
  <c r="DJ46" i="1"/>
  <c r="DI46" i="1"/>
  <c r="DH46" i="1"/>
  <c r="DG46" i="1"/>
  <c r="DF46" i="1"/>
  <c r="DE46" i="1"/>
  <c r="CX46" i="1"/>
  <c r="CK46" i="1"/>
  <c r="CJ46" i="1"/>
  <c r="CI46" i="1"/>
  <c r="CH46" i="1"/>
  <c r="CD46" i="1"/>
  <c r="CC46" i="1"/>
  <c r="CB46" i="1"/>
  <c r="CA46" i="1"/>
  <c r="BZ46" i="1"/>
  <c r="BY46" i="1"/>
  <c r="BU46" i="1"/>
  <c r="BT46" i="1"/>
  <c r="BS46" i="1"/>
  <c r="BR46" i="1"/>
  <c r="BN46" i="1"/>
  <c r="BM46" i="1"/>
  <c r="BL46" i="1"/>
  <c r="X46" i="1"/>
  <c r="S46" i="1"/>
  <c r="Q46" i="1"/>
  <c r="H46" i="1"/>
  <c r="DJ45" i="1"/>
  <c r="DI45" i="1"/>
  <c r="DH45" i="1"/>
  <c r="DG45" i="1"/>
  <c r="DF45" i="1"/>
  <c r="DE45" i="1"/>
  <c r="CX45" i="1"/>
  <c r="CK45" i="1"/>
  <c r="CJ45" i="1"/>
  <c r="CI45" i="1"/>
  <c r="CH45" i="1"/>
  <c r="CD45" i="1"/>
  <c r="CC45" i="1"/>
  <c r="CB45" i="1"/>
  <c r="CA45" i="1"/>
  <c r="BZ45" i="1"/>
  <c r="BY45" i="1"/>
  <c r="BU45" i="1"/>
  <c r="BT45" i="1"/>
  <c r="BS45" i="1"/>
  <c r="BR45" i="1"/>
  <c r="BN45" i="1"/>
  <c r="BM45" i="1"/>
  <c r="BL45" i="1"/>
  <c r="X45" i="1"/>
  <c r="S45" i="1"/>
  <c r="Q45" i="1"/>
  <c r="H45" i="1"/>
  <c r="DI44" i="1"/>
  <c r="DH44" i="1"/>
  <c r="DG44" i="1"/>
  <c r="DF44" i="1"/>
  <c r="DE44" i="1"/>
  <c r="CX44" i="1"/>
  <c r="CK44" i="1"/>
  <c r="CJ44" i="1"/>
  <c r="CI44" i="1"/>
  <c r="CH44" i="1"/>
  <c r="CD44" i="1"/>
  <c r="CC44" i="1"/>
  <c r="CB44" i="1"/>
  <c r="CA44" i="1"/>
  <c r="BZ44" i="1"/>
  <c r="BY44" i="1"/>
  <c r="BU44" i="1"/>
  <c r="BT44" i="1"/>
  <c r="BS44" i="1"/>
  <c r="BR44" i="1"/>
  <c r="BN44" i="1"/>
  <c r="BM44" i="1"/>
  <c r="BL44" i="1"/>
  <c r="X44" i="1"/>
  <c r="S44" i="1"/>
  <c r="Q44" i="1"/>
  <c r="H44" i="1"/>
  <c r="DJ43" i="1"/>
  <c r="DI43" i="1"/>
  <c r="DH43" i="1"/>
  <c r="DG43" i="1"/>
  <c r="DF43" i="1"/>
  <c r="DE43" i="1"/>
  <c r="CX43" i="1"/>
  <c r="CK43" i="1"/>
  <c r="CJ43" i="1"/>
  <c r="CI43" i="1"/>
  <c r="CH43" i="1"/>
  <c r="CD43" i="1"/>
  <c r="CC43" i="1"/>
  <c r="CB43" i="1"/>
  <c r="CA43" i="1"/>
  <c r="BZ43" i="1"/>
  <c r="BY43" i="1"/>
  <c r="BU43" i="1"/>
  <c r="BT43" i="1"/>
  <c r="BS43" i="1"/>
  <c r="BR43" i="1"/>
  <c r="BN43" i="1"/>
  <c r="BM43" i="1"/>
  <c r="BL43" i="1"/>
  <c r="X43" i="1"/>
  <c r="S43" i="1"/>
  <c r="Q43" i="1"/>
  <c r="H43" i="1"/>
  <c r="DJ42" i="1"/>
  <c r="DI42" i="1"/>
  <c r="DH42" i="1"/>
  <c r="DG42" i="1"/>
  <c r="DF42" i="1"/>
  <c r="DE42" i="1"/>
  <c r="CX42" i="1"/>
  <c r="CK42" i="1"/>
  <c r="CJ42" i="1"/>
  <c r="CI42" i="1"/>
  <c r="CH42" i="1"/>
  <c r="CD42" i="1"/>
  <c r="CC42" i="1"/>
  <c r="CB42" i="1"/>
  <c r="CA42" i="1"/>
  <c r="BZ42" i="1"/>
  <c r="BY42" i="1"/>
  <c r="BU42" i="1"/>
  <c r="BT42" i="1"/>
  <c r="BS42" i="1"/>
  <c r="BR42" i="1"/>
  <c r="BN42" i="1"/>
  <c r="BM42" i="1"/>
  <c r="BL42" i="1"/>
  <c r="AA42" i="1"/>
  <c r="Z42" i="1"/>
  <c r="Y42" i="1"/>
  <c r="X42" i="1"/>
  <c r="S42" i="1"/>
  <c r="Q42" i="1"/>
  <c r="O42" i="1"/>
  <c r="H42" i="1"/>
  <c r="DJ41" i="1"/>
  <c r="DI41" i="1"/>
  <c r="DH41" i="1"/>
  <c r="DG41" i="1"/>
  <c r="DF41" i="1"/>
  <c r="DE41" i="1"/>
  <c r="CX41" i="1"/>
  <c r="CK41" i="1"/>
  <c r="CJ41" i="1"/>
  <c r="CI41" i="1"/>
  <c r="CH41" i="1"/>
  <c r="CD41" i="1"/>
  <c r="CC41" i="1"/>
  <c r="CB41" i="1"/>
  <c r="CA41" i="1"/>
  <c r="BZ41" i="1"/>
  <c r="BY41" i="1"/>
  <c r="BU41" i="1"/>
  <c r="BT41" i="1"/>
  <c r="BS41" i="1"/>
  <c r="BR41" i="1"/>
  <c r="BN41" i="1"/>
  <c r="BM41" i="1"/>
  <c r="BL41" i="1"/>
  <c r="AC41" i="1"/>
  <c r="AB41" i="1"/>
  <c r="AA41" i="1"/>
  <c r="Z41" i="1"/>
  <c r="Y41" i="1"/>
  <c r="X41" i="1"/>
  <c r="S41" i="1"/>
  <c r="Q41" i="1"/>
  <c r="O41" i="1"/>
  <c r="H41" i="1"/>
  <c r="DI40" i="1"/>
  <c r="DH40" i="1"/>
  <c r="DG40" i="1"/>
  <c r="DF40" i="1"/>
  <c r="DE40" i="1"/>
  <c r="CX40" i="1"/>
  <c r="CK40" i="1"/>
  <c r="CJ40" i="1"/>
  <c r="CI40" i="1"/>
  <c r="CH40" i="1"/>
  <c r="CD40" i="1"/>
  <c r="CC40" i="1"/>
  <c r="CB40" i="1"/>
  <c r="CA40" i="1"/>
  <c r="BZ40" i="1"/>
  <c r="BY40" i="1"/>
  <c r="BU40" i="1"/>
  <c r="BT40" i="1"/>
  <c r="BS40" i="1"/>
  <c r="BR40" i="1"/>
  <c r="BN40" i="1"/>
  <c r="BM40" i="1"/>
  <c r="BL40" i="1"/>
  <c r="X40" i="1"/>
  <c r="S40" i="1"/>
  <c r="Q40" i="1"/>
  <c r="H40" i="1"/>
  <c r="DI39" i="1"/>
  <c r="DH39" i="1"/>
  <c r="DG39" i="1"/>
  <c r="DF39" i="1"/>
  <c r="DE39" i="1"/>
  <c r="CX39" i="1"/>
  <c r="CK39" i="1"/>
  <c r="CJ39" i="1"/>
  <c r="CI39" i="1"/>
  <c r="CH39" i="1"/>
  <c r="CD39" i="1"/>
  <c r="CC39" i="1"/>
  <c r="CB39" i="1"/>
  <c r="CA39" i="1"/>
  <c r="BZ39" i="1"/>
  <c r="BY39" i="1"/>
  <c r="BU39" i="1"/>
  <c r="BT39" i="1"/>
  <c r="BS39" i="1"/>
  <c r="BR39" i="1"/>
  <c r="BN39" i="1"/>
  <c r="BM39" i="1"/>
  <c r="BL39" i="1"/>
  <c r="X39" i="1"/>
  <c r="S39" i="1"/>
  <c r="Q39" i="1"/>
  <c r="H39" i="1"/>
  <c r="DK38" i="1"/>
  <c r="DJ38" i="1"/>
  <c r="DI38" i="1"/>
  <c r="DH38" i="1"/>
  <c r="DG38" i="1"/>
  <c r="DF38" i="1"/>
  <c r="DE38" i="1"/>
  <c r="CX38" i="1"/>
  <c r="CK38" i="1"/>
  <c r="CJ38" i="1"/>
  <c r="CI38" i="1"/>
  <c r="CH38" i="1"/>
  <c r="CD38" i="1"/>
  <c r="CC38" i="1"/>
  <c r="CB38" i="1"/>
  <c r="CA38" i="1"/>
  <c r="BZ38" i="1"/>
  <c r="BY38" i="1"/>
  <c r="BU38" i="1"/>
  <c r="BT38" i="1"/>
  <c r="BS38" i="1"/>
  <c r="BR38" i="1"/>
  <c r="BN38" i="1"/>
  <c r="BM38" i="1"/>
  <c r="BL38" i="1"/>
  <c r="X38" i="1"/>
  <c r="S38" i="1"/>
  <c r="Q38" i="1"/>
  <c r="H38" i="1"/>
  <c r="DH37" i="1"/>
  <c r="DG37" i="1"/>
  <c r="DF37" i="1"/>
  <c r="DE37" i="1"/>
  <c r="CX37" i="1"/>
  <c r="CK37" i="1"/>
  <c r="CJ37" i="1"/>
  <c r="CI37" i="1"/>
  <c r="CH37" i="1"/>
  <c r="CD37" i="1"/>
  <c r="CC37" i="1"/>
  <c r="CB37" i="1"/>
  <c r="CA37" i="1"/>
  <c r="BZ37" i="1"/>
  <c r="BY37" i="1"/>
  <c r="BU37" i="1"/>
  <c r="BT37" i="1"/>
  <c r="BS37" i="1"/>
  <c r="BR37" i="1"/>
  <c r="BN37" i="1"/>
  <c r="BM37" i="1"/>
  <c r="BL37" i="1"/>
  <c r="X37" i="1"/>
  <c r="S37" i="1"/>
  <c r="Q37" i="1"/>
  <c r="H37" i="1"/>
  <c r="DL36" i="1"/>
  <c r="DK36" i="1"/>
  <c r="DJ36" i="1"/>
  <c r="DI36" i="1"/>
  <c r="DH36" i="1"/>
  <c r="DG36" i="1"/>
  <c r="DF36" i="1"/>
  <c r="DE36" i="1"/>
  <c r="CX36" i="1"/>
  <c r="CK36" i="1"/>
  <c r="CJ36" i="1"/>
  <c r="CI36" i="1"/>
  <c r="CH36" i="1"/>
  <c r="CD36" i="1"/>
  <c r="CC36" i="1"/>
  <c r="CB36" i="1"/>
  <c r="CA36" i="1"/>
  <c r="BZ36" i="1"/>
  <c r="BY36" i="1"/>
  <c r="BU36" i="1"/>
  <c r="BT36" i="1"/>
  <c r="BS36" i="1"/>
  <c r="BR36" i="1"/>
  <c r="BN36" i="1"/>
  <c r="BM36" i="1"/>
  <c r="BL36" i="1"/>
  <c r="AC36" i="1"/>
  <c r="AB36" i="1"/>
  <c r="AA36" i="1"/>
  <c r="Z36" i="1"/>
  <c r="Y36" i="1"/>
  <c r="X36" i="1"/>
  <c r="S36" i="1"/>
  <c r="Q36" i="1"/>
  <c r="O36" i="1"/>
  <c r="H36" i="1"/>
  <c r="DK35" i="1"/>
  <c r="DJ35" i="1"/>
  <c r="DI35" i="1"/>
  <c r="DH35" i="1"/>
  <c r="DG35" i="1"/>
  <c r="DF35" i="1"/>
  <c r="DE35" i="1"/>
  <c r="CX35" i="1"/>
  <c r="CK35" i="1"/>
  <c r="CJ35" i="1"/>
  <c r="CI35" i="1"/>
  <c r="CH35" i="1"/>
  <c r="CD35" i="1"/>
  <c r="CC35" i="1"/>
  <c r="CB35" i="1"/>
  <c r="CA35" i="1"/>
  <c r="BZ35" i="1"/>
  <c r="BY35" i="1"/>
  <c r="BU35" i="1"/>
  <c r="BT35" i="1"/>
  <c r="BS35" i="1"/>
  <c r="BR35" i="1"/>
  <c r="BN35" i="1"/>
  <c r="BM35" i="1"/>
  <c r="BL35" i="1"/>
  <c r="X35" i="1"/>
  <c r="S35" i="1"/>
  <c r="Q35" i="1"/>
  <c r="H35" i="1"/>
  <c r="DJ34" i="1"/>
  <c r="DI34" i="1"/>
  <c r="DH34" i="1"/>
  <c r="DG34" i="1"/>
  <c r="DF34" i="1"/>
  <c r="DE34" i="1"/>
  <c r="CX34" i="1"/>
  <c r="CK34" i="1"/>
  <c r="CJ34" i="1"/>
  <c r="CI34" i="1"/>
  <c r="CH34" i="1"/>
  <c r="CD34" i="1"/>
  <c r="CC34" i="1"/>
  <c r="CB34" i="1"/>
  <c r="CA34" i="1"/>
  <c r="BZ34" i="1"/>
  <c r="BY34" i="1"/>
  <c r="BU34" i="1"/>
  <c r="BT34" i="1"/>
  <c r="BS34" i="1"/>
  <c r="BR34" i="1"/>
  <c r="BN34" i="1"/>
  <c r="BM34" i="1"/>
  <c r="BL34" i="1"/>
  <c r="X34" i="1"/>
  <c r="S34" i="1"/>
  <c r="Q34" i="1"/>
  <c r="H34" i="1"/>
  <c r="DK33" i="1"/>
  <c r="DJ33" i="1"/>
  <c r="DI33" i="1"/>
  <c r="DH33" i="1"/>
  <c r="DG33" i="1"/>
  <c r="DF33" i="1"/>
  <c r="DE33" i="1"/>
  <c r="CX33" i="1"/>
  <c r="CK33" i="1"/>
  <c r="CJ33" i="1"/>
  <c r="CI33" i="1"/>
  <c r="CH33" i="1"/>
  <c r="CD33" i="1"/>
  <c r="CC33" i="1"/>
  <c r="CB33" i="1"/>
  <c r="CA33" i="1"/>
  <c r="BZ33" i="1"/>
  <c r="BY33" i="1"/>
  <c r="BU33" i="1"/>
  <c r="BT33" i="1"/>
  <c r="BS33" i="1"/>
  <c r="BR33" i="1"/>
  <c r="BN33" i="1"/>
  <c r="BM33" i="1"/>
  <c r="BL33" i="1"/>
  <c r="X33" i="1"/>
  <c r="S33" i="1"/>
  <c r="Q33" i="1"/>
  <c r="H33" i="1"/>
  <c r="DJ32" i="1"/>
  <c r="DI32" i="1"/>
  <c r="DH32" i="1"/>
  <c r="DG32" i="1"/>
  <c r="DF32" i="1"/>
  <c r="DE32" i="1"/>
  <c r="CX32" i="1"/>
  <c r="CK32" i="1"/>
  <c r="CJ32" i="1"/>
  <c r="CI32" i="1"/>
  <c r="CH32" i="1"/>
  <c r="CD32" i="1"/>
  <c r="CC32" i="1"/>
  <c r="CB32" i="1"/>
  <c r="CA32" i="1"/>
  <c r="BZ32" i="1"/>
  <c r="BY32" i="1"/>
  <c r="BU32" i="1"/>
  <c r="BT32" i="1"/>
  <c r="BS32" i="1"/>
  <c r="BR32" i="1"/>
  <c r="BN32" i="1"/>
  <c r="BM32" i="1"/>
  <c r="BL32" i="1"/>
  <c r="X32" i="1"/>
  <c r="S32" i="1"/>
  <c r="Q32" i="1"/>
  <c r="H32" i="1"/>
  <c r="DI31" i="1"/>
  <c r="DH31" i="1"/>
  <c r="DG31" i="1"/>
  <c r="DF31" i="1"/>
  <c r="DE31" i="1"/>
  <c r="CX31" i="1"/>
  <c r="CK31" i="1"/>
  <c r="CJ31" i="1"/>
  <c r="CI31" i="1"/>
  <c r="CH31" i="1"/>
  <c r="CD31" i="1"/>
  <c r="CC31" i="1"/>
  <c r="CB31" i="1"/>
  <c r="CA31" i="1"/>
  <c r="BZ31" i="1"/>
  <c r="BY31" i="1"/>
  <c r="BU31" i="1"/>
  <c r="BT31" i="1"/>
  <c r="BS31" i="1"/>
  <c r="BR31" i="1"/>
  <c r="BN31" i="1"/>
  <c r="BM31" i="1"/>
  <c r="BL31" i="1"/>
  <c r="X31" i="1"/>
  <c r="S31" i="1"/>
  <c r="Q31" i="1"/>
  <c r="H31" i="1"/>
  <c r="DK30" i="1"/>
  <c r="DJ30" i="1"/>
  <c r="DI30" i="1"/>
  <c r="DH30" i="1"/>
  <c r="DG30" i="1"/>
  <c r="DF30" i="1"/>
  <c r="DE30" i="1"/>
  <c r="CX30" i="1"/>
  <c r="CK30" i="1"/>
  <c r="CJ30" i="1"/>
  <c r="CI30" i="1"/>
  <c r="CH30" i="1"/>
  <c r="CD30" i="1"/>
  <c r="CC30" i="1"/>
  <c r="CB30" i="1"/>
  <c r="CA30" i="1"/>
  <c r="BZ30" i="1"/>
  <c r="BY30" i="1"/>
  <c r="BU30" i="1"/>
  <c r="BT30" i="1"/>
  <c r="BS30" i="1"/>
  <c r="BR30" i="1"/>
  <c r="BN30" i="1"/>
  <c r="BM30" i="1"/>
  <c r="BL30" i="1"/>
  <c r="X30" i="1"/>
  <c r="S30" i="1"/>
  <c r="Q30" i="1"/>
  <c r="H30" i="1"/>
  <c r="DJ29" i="1"/>
  <c r="DI29" i="1"/>
  <c r="DH29" i="1"/>
  <c r="DG29" i="1"/>
  <c r="DF29" i="1"/>
  <c r="DE29" i="1"/>
  <c r="CX29" i="1"/>
  <c r="CK29" i="1"/>
  <c r="CJ29" i="1"/>
  <c r="CI29" i="1"/>
  <c r="CH29" i="1"/>
  <c r="CD29" i="1"/>
  <c r="CC29" i="1"/>
  <c r="CB29" i="1"/>
  <c r="CA29" i="1"/>
  <c r="BZ29" i="1"/>
  <c r="BY29" i="1"/>
  <c r="BU29" i="1"/>
  <c r="BT29" i="1"/>
  <c r="BS29" i="1"/>
  <c r="BR29" i="1"/>
  <c r="BN29" i="1"/>
  <c r="BM29" i="1"/>
  <c r="BL29" i="1"/>
  <c r="X29" i="1"/>
  <c r="S29" i="1"/>
  <c r="Q29" i="1"/>
  <c r="H29" i="1"/>
  <c r="DJ28" i="1"/>
  <c r="DI28" i="1"/>
  <c r="DH28" i="1"/>
  <c r="DG28" i="1"/>
  <c r="DF28" i="1"/>
  <c r="DE28" i="1"/>
  <c r="CX28" i="1"/>
  <c r="CK28" i="1"/>
  <c r="CJ28" i="1"/>
  <c r="CI28" i="1"/>
  <c r="CH28" i="1"/>
  <c r="CD28" i="1"/>
  <c r="CC28" i="1"/>
  <c r="CB28" i="1"/>
  <c r="CA28" i="1"/>
  <c r="BZ28" i="1"/>
  <c r="BY28" i="1"/>
  <c r="BU28" i="1"/>
  <c r="BT28" i="1"/>
  <c r="BS28" i="1"/>
  <c r="BR28" i="1"/>
  <c r="BN28" i="1"/>
  <c r="BM28" i="1"/>
  <c r="BL28" i="1"/>
  <c r="X28" i="1"/>
  <c r="S28" i="1"/>
  <c r="Q28" i="1"/>
  <c r="H28" i="1"/>
  <c r="DK27" i="1"/>
  <c r="DJ27" i="1"/>
  <c r="DI27" i="1"/>
  <c r="DH27" i="1"/>
  <c r="DG27" i="1"/>
  <c r="DF27" i="1"/>
  <c r="DE27" i="1"/>
  <c r="CX27" i="1"/>
  <c r="CK27" i="1"/>
  <c r="CJ27" i="1"/>
  <c r="CI27" i="1"/>
  <c r="CH27" i="1"/>
  <c r="CD27" i="1"/>
  <c r="CC27" i="1"/>
  <c r="CB27" i="1"/>
  <c r="CA27" i="1"/>
  <c r="BZ27" i="1"/>
  <c r="BY27" i="1"/>
  <c r="BU27" i="1"/>
  <c r="BT27" i="1"/>
  <c r="BS27" i="1"/>
  <c r="BR27" i="1"/>
  <c r="BN27" i="1"/>
  <c r="BM27" i="1"/>
  <c r="BL27" i="1"/>
  <c r="X27" i="1"/>
  <c r="S27" i="1"/>
  <c r="Q27" i="1"/>
  <c r="H27" i="1"/>
  <c r="DK26" i="1"/>
  <c r="DJ26" i="1"/>
  <c r="DI26" i="1"/>
  <c r="DH26" i="1"/>
  <c r="DG26" i="1"/>
  <c r="DF26" i="1"/>
  <c r="DE26" i="1"/>
  <c r="CX26" i="1"/>
  <c r="CK26" i="1"/>
  <c r="CJ26" i="1"/>
  <c r="CI26" i="1"/>
  <c r="CH26" i="1"/>
  <c r="CD26" i="1"/>
  <c r="CC26" i="1"/>
  <c r="CB26" i="1"/>
  <c r="CA26" i="1"/>
  <c r="BZ26" i="1"/>
  <c r="BY26" i="1"/>
  <c r="BU26" i="1"/>
  <c r="BT26" i="1"/>
  <c r="BS26" i="1"/>
  <c r="BR26" i="1"/>
  <c r="BN26" i="1"/>
  <c r="BM26" i="1"/>
  <c r="BL26" i="1"/>
  <c r="X26" i="1"/>
  <c r="S26" i="1"/>
  <c r="Q26" i="1"/>
  <c r="H26" i="1"/>
  <c r="DK25" i="1"/>
  <c r="DJ25" i="1"/>
  <c r="DI25" i="1"/>
  <c r="DH25" i="1"/>
  <c r="DG25" i="1"/>
  <c r="DF25" i="1"/>
  <c r="DE25" i="1"/>
  <c r="CX25" i="1"/>
  <c r="CK25" i="1"/>
  <c r="CJ25" i="1"/>
  <c r="CI25" i="1"/>
  <c r="CH25" i="1"/>
  <c r="CD25" i="1"/>
  <c r="CC25" i="1"/>
  <c r="CB25" i="1"/>
  <c r="CA25" i="1"/>
  <c r="BZ25" i="1"/>
  <c r="BY25" i="1"/>
  <c r="BU25" i="1"/>
  <c r="BT25" i="1"/>
  <c r="BS25" i="1"/>
  <c r="BR25" i="1"/>
  <c r="BN25" i="1"/>
  <c r="BM25" i="1"/>
  <c r="BL25" i="1"/>
  <c r="X25" i="1"/>
  <c r="S25" i="1"/>
  <c r="Q25" i="1"/>
  <c r="H25" i="1"/>
  <c r="DK24" i="1"/>
  <c r="DJ24" i="1"/>
  <c r="DI24" i="1"/>
  <c r="DH24" i="1"/>
  <c r="DG24" i="1"/>
  <c r="DF24" i="1"/>
  <c r="DE24" i="1"/>
  <c r="CX24" i="1"/>
  <c r="CO24" i="1"/>
  <c r="CK24" i="1"/>
  <c r="CJ24" i="1"/>
  <c r="CI24" i="1"/>
  <c r="CH24" i="1"/>
  <c r="CD24" i="1"/>
  <c r="CC24" i="1"/>
  <c r="CB24" i="1"/>
  <c r="CA24" i="1"/>
  <c r="BZ24" i="1"/>
  <c r="BY24" i="1"/>
  <c r="BU24" i="1"/>
  <c r="BT24" i="1"/>
  <c r="BS24" i="1"/>
  <c r="BR24" i="1"/>
  <c r="BN24" i="1"/>
  <c r="BM24" i="1"/>
  <c r="BL24" i="1"/>
  <c r="AC24" i="1"/>
  <c r="AB24" i="1"/>
  <c r="AA24" i="1"/>
  <c r="Z24" i="1"/>
  <c r="Y24" i="1"/>
  <c r="X24" i="1"/>
  <c r="S24" i="1"/>
  <c r="Q24" i="1"/>
  <c r="O24" i="1"/>
  <c r="H24" i="1"/>
  <c r="DJ23" i="1"/>
  <c r="DI23" i="1"/>
  <c r="DH23" i="1"/>
  <c r="DG23" i="1"/>
  <c r="DF23" i="1"/>
  <c r="DE23" i="1"/>
  <c r="CX23" i="1"/>
  <c r="CO23" i="1"/>
  <c r="CK23" i="1"/>
  <c r="CJ23" i="1"/>
  <c r="CI23" i="1"/>
  <c r="CH23" i="1"/>
  <c r="CD23" i="1"/>
  <c r="CC23" i="1"/>
  <c r="CB23" i="1"/>
  <c r="CA23" i="1"/>
  <c r="BZ23" i="1"/>
  <c r="BY23" i="1"/>
  <c r="BU23" i="1"/>
  <c r="BT23" i="1"/>
  <c r="BS23" i="1"/>
  <c r="BR23" i="1"/>
  <c r="BN23" i="1"/>
  <c r="BM23" i="1"/>
  <c r="BL23" i="1"/>
  <c r="X23" i="1"/>
  <c r="S23" i="1"/>
  <c r="Q23" i="1"/>
  <c r="H23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CX22" i="1"/>
  <c r="CO22" i="1"/>
  <c r="CK22" i="1"/>
  <c r="CJ22" i="1"/>
  <c r="CI22" i="1"/>
  <c r="CH22" i="1"/>
  <c r="CD22" i="1"/>
  <c r="CC22" i="1"/>
  <c r="CB22" i="1"/>
  <c r="CA22" i="1"/>
  <c r="BZ22" i="1"/>
  <c r="BY22" i="1"/>
  <c r="BU22" i="1"/>
  <c r="BT22" i="1"/>
  <c r="BS22" i="1"/>
  <c r="BR22" i="1"/>
  <c r="BN22" i="1"/>
  <c r="BM22" i="1"/>
  <c r="BL22" i="1"/>
  <c r="X22" i="1"/>
  <c r="S22" i="1"/>
  <c r="Q22" i="1"/>
  <c r="H22" i="1"/>
  <c r="DM21" i="1"/>
  <c r="DL21" i="1"/>
  <c r="DK21" i="1"/>
  <c r="DJ21" i="1"/>
  <c r="DI21" i="1"/>
  <c r="DH21" i="1"/>
  <c r="DG21" i="1"/>
  <c r="DF21" i="1"/>
  <c r="DE21" i="1"/>
  <c r="CX21" i="1"/>
  <c r="CO21" i="1"/>
  <c r="CK21" i="1"/>
  <c r="CJ21" i="1"/>
  <c r="CI21" i="1"/>
  <c r="CH21" i="1"/>
  <c r="CD21" i="1"/>
  <c r="CC21" i="1"/>
  <c r="CB21" i="1"/>
  <c r="CA21" i="1"/>
  <c r="BZ21" i="1"/>
  <c r="BY21" i="1"/>
  <c r="BU21" i="1"/>
  <c r="BT21" i="1"/>
  <c r="BS21" i="1"/>
  <c r="BR21" i="1"/>
  <c r="BN21" i="1"/>
  <c r="BM21" i="1"/>
  <c r="BL21" i="1"/>
  <c r="X21" i="1"/>
  <c r="S21" i="1"/>
  <c r="Q21" i="1"/>
  <c r="H21" i="1"/>
  <c r="DK20" i="1"/>
  <c r="DJ20" i="1"/>
  <c r="DI20" i="1"/>
  <c r="DH20" i="1"/>
  <c r="DG20" i="1"/>
  <c r="DF20" i="1"/>
  <c r="DE20" i="1"/>
  <c r="CX20" i="1"/>
  <c r="CO20" i="1"/>
  <c r="CK20" i="1"/>
  <c r="CJ20" i="1"/>
  <c r="CI20" i="1"/>
  <c r="CH20" i="1"/>
  <c r="CD20" i="1"/>
  <c r="CC20" i="1"/>
  <c r="CB20" i="1"/>
  <c r="CA20" i="1"/>
  <c r="BZ20" i="1"/>
  <c r="BY20" i="1"/>
  <c r="BU20" i="1"/>
  <c r="BT20" i="1"/>
  <c r="BS20" i="1"/>
  <c r="BR20" i="1"/>
  <c r="BN20" i="1"/>
  <c r="BM20" i="1"/>
  <c r="BL20" i="1"/>
  <c r="X20" i="1"/>
  <c r="S20" i="1"/>
  <c r="Q20" i="1"/>
  <c r="H20" i="1"/>
  <c r="DI19" i="1"/>
  <c r="DH19" i="1"/>
  <c r="DG19" i="1"/>
  <c r="DF19" i="1"/>
  <c r="DE19" i="1"/>
  <c r="CX19" i="1"/>
  <c r="CO19" i="1"/>
  <c r="CK19" i="1"/>
  <c r="CJ19" i="1"/>
  <c r="CI19" i="1"/>
  <c r="CH19" i="1"/>
  <c r="CD19" i="1"/>
  <c r="CC19" i="1"/>
  <c r="CB19" i="1"/>
  <c r="CA19" i="1"/>
  <c r="BZ19" i="1"/>
  <c r="BY19" i="1"/>
  <c r="BU19" i="1"/>
  <c r="BT19" i="1"/>
  <c r="BS19" i="1"/>
  <c r="BR19" i="1"/>
  <c r="BN19" i="1"/>
  <c r="BM19" i="1"/>
  <c r="BL19" i="1"/>
  <c r="X19" i="1"/>
  <c r="S19" i="1"/>
  <c r="Q19" i="1"/>
  <c r="H19" i="1"/>
  <c r="DK18" i="1"/>
  <c r="DJ18" i="1"/>
  <c r="DI18" i="1"/>
  <c r="DH18" i="1"/>
  <c r="DG18" i="1"/>
  <c r="DF18" i="1"/>
  <c r="DE18" i="1"/>
  <c r="CX18" i="1"/>
  <c r="CO18" i="1"/>
  <c r="CK18" i="1"/>
  <c r="CJ18" i="1"/>
  <c r="CI18" i="1"/>
  <c r="CH18" i="1"/>
  <c r="CD18" i="1"/>
  <c r="CC18" i="1"/>
  <c r="CB18" i="1"/>
  <c r="CA18" i="1"/>
  <c r="BZ18" i="1"/>
  <c r="BY18" i="1"/>
  <c r="BU18" i="1"/>
  <c r="BT18" i="1"/>
  <c r="BS18" i="1"/>
  <c r="BR18" i="1"/>
  <c r="BN18" i="1"/>
  <c r="BM18" i="1"/>
  <c r="BL18" i="1"/>
  <c r="AD18" i="1"/>
  <c r="AC18" i="1"/>
  <c r="AB18" i="1"/>
  <c r="AA18" i="1"/>
  <c r="Z18" i="1"/>
  <c r="Y18" i="1"/>
  <c r="X18" i="1"/>
  <c r="S18" i="1"/>
  <c r="Q18" i="1"/>
  <c r="O18" i="1"/>
  <c r="H18" i="1"/>
  <c r="DK17" i="1"/>
  <c r="DJ17" i="1"/>
  <c r="DI17" i="1"/>
  <c r="DH17" i="1"/>
  <c r="DG17" i="1"/>
  <c r="DF17" i="1"/>
  <c r="DE17" i="1"/>
  <c r="CX17" i="1"/>
  <c r="CO17" i="1"/>
  <c r="CK17" i="1"/>
  <c r="CJ17" i="1"/>
  <c r="CI17" i="1"/>
  <c r="CH17" i="1"/>
  <c r="CD17" i="1"/>
  <c r="CC17" i="1"/>
  <c r="CB17" i="1"/>
  <c r="CA17" i="1"/>
  <c r="BZ17" i="1"/>
  <c r="BY17" i="1"/>
  <c r="BU17" i="1"/>
  <c r="BT17" i="1"/>
  <c r="BS17" i="1"/>
  <c r="BR17" i="1"/>
  <c r="BN17" i="1"/>
  <c r="BM17" i="1"/>
  <c r="BL17" i="1"/>
  <c r="X17" i="1"/>
  <c r="S17" i="1"/>
  <c r="Q17" i="1"/>
  <c r="H17" i="1"/>
  <c r="DJ16" i="1"/>
  <c r="DI16" i="1"/>
  <c r="DH16" i="1"/>
  <c r="DG16" i="1"/>
  <c r="DF16" i="1"/>
  <c r="DE16" i="1"/>
  <c r="CX16" i="1"/>
  <c r="CO16" i="1"/>
  <c r="CK16" i="1"/>
  <c r="CJ16" i="1"/>
  <c r="CI16" i="1"/>
  <c r="CH16" i="1"/>
  <c r="CD16" i="1"/>
  <c r="CC16" i="1"/>
  <c r="CB16" i="1"/>
  <c r="CA16" i="1"/>
  <c r="BZ16" i="1"/>
  <c r="BY16" i="1"/>
  <c r="BU16" i="1"/>
  <c r="BT16" i="1"/>
  <c r="BS16" i="1"/>
  <c r="BR16" i="1"/>
  <c r="BN16" i="1"/>
  <c r="BM16" i="1"/>
  <c r="BL16" i="1"/>
  <c r="X16" i="1"/>
  <c r="S16" i="1"/>
  <c r="Q16" i="1"/>
  <c r="H16" i="1"/>
  <c r="DK15" i="1"/>
  <c r="DJ15" i="1"/>
  <c r="DI15" i="1"/>
  <c r="DH15" i="1"/>
  <c r="DG15" i="1"/>
  <c r="DF15" i="1"/>
  <c r="DE15" i="1"/>
  <c r="CX15" i="1"/>
  <c r="CO15" i="1"/>
  <c r="CK15" i="1"/>
  <c r="CJ15" i="1"/>
  <c r="CI15" i="1"/>
  <c r="CH15" i="1"/>
  <c r="CD15" i="1"/>
  <c r="CC15" i="1"/>
  <c r="CB15" i="1"/>
  <c r="CA15" i="1"/>
  <c r="BZ15" i="1"/>
  <c r="BY15" i="1"/>
  <c r="BU15" i="1"/>
  <c r="BT15" i="1"/>
  <c r="BS15" i="1"/>
  <c r="BR15" i="1"/>
  <c r="BN15" i="1"/>
  <c r="BM15" i="1"/>
  <c r="BL15" i="1"/>
  <c r="X15" i="1"/>
  <c r="S15" i="1"/>
  <c r="Q15" i="1"/>
  <c r="H15" i="1"/>
  <c r="DJ14" i="1"/>
  <c r="DI14" i="1"/>
  <c r="DH14" i="1"/>
  <c r="DG14" i="1"/>
  <c r="DF14" i="1"/>
  <c r="DE14" i="1"/>
  <c r="CX14" i="1"/>
  <c r="CO14" i="1"/>
  <c r="CK14" i="1"/>
  <c r="CJ14" i="1"/>
  <c r="CI14" i="1"/>
  <c r="CH14" i="1"/>
  <c r="CD14" i="1"/>
  <c r="CC14" i="1"/>
  <c r="CB14" i="1"/>
  <c r="CA14" i="1"/>
  <c r="BZ14" i="1"/>
  <c r="BY14" i="1"/>
  <c r="BU14" i="1"/>
  <c r="BT14" i="1"/>
  <c r="BS14" i="1"/>
  <c r="BR14" i="1"/>
  <c r="BN14" i="1"/>
  <c r="BM14" i="1"/>
  <c r="BL14" i="1"/>
  <c r="X14" i="1"/>
  <c r="S14" i="1"/>
  <c r="Q14" i="1"/>
  <c r="H14" i="1"/>
  <c r="DK13" i="1"/>
  <c r="DJ13" i="1"/>
  <c r="DI13" i="1"/>
  <c r="DH13" i="1"/>
  <c r="DG13" i="1"/>
  <c r="DF13" i="1"/>
  <c r="DE13" i="1"/>
  <c r="CX13" i="1"/>
  <c r="CO13" i="1"/>
  <c r="CK13" i="1"/>
  <c r="CJ13" i="1"/>
  <c r="CI13" i="1"/>
  <c r="CH13" i="1"/>
  <c r="CD13" i="1"/>
  <c r="CC13" i="1"/>
  <c r="CB13" i="1"/>
  <c r="CA13" i="1"/>
  <c r="BZ13" i="1"/>
  <c r="BY13" i="1"/>
  <c r="BU13" i="1"/>
  <c r="BT13" i="1"/>
  <c r="BS13" i="1"/>
  <c r="BR13" i="1"/>
  <c r="BN13" i="1"/>
  <c r="BM13" i="1"/>
  <c r="BL13" i="1"/>
  <c r="X13" i="1"/>
  <c r="U13" i="1"/>
  <c r="S13" i="1"/>
  <c r="Q13" i="1"/>
  <c r="H13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CX12" i="1"/>
  <c r="CO12" i="1"/>
  <c r="CK12" i="1"/>
  <c r="CJ12" i="1"/>
  <c r="CI12" i="1"/>
  <c r="CH12" i="1"/>
  <c r="CD12" i="1"/>
  <c r="CC12" i="1"/>
  <c r="CB12" i="1"/>
  <c r="CA12" i="1"/>
  <c r="BZ12" i="1"/>
  <c r="BY12" i="1"/>
  <c r="BU12" i="1"/>
  <c r="BT12" i="1"/>
  <c r="BS12" i="1"/>
  <c r="BR12" i="1"/>
  <c r="BN12" i="1"/>
  <c r="BM12" i="1"/>
  <c r="BL12" i="1"/>
  <c r="X12" i="1"/>
  <c r="U12" i="1"/>
  <c r="S12" i="1"/>
  <c r="Q12" i="1"/>
  <c r="H12" i="1"/>
  <c r="DK11" i="1"/>
  <c r="DJ11" i="1"/>
  <c r="DI11" i="1"/>
  <c r="DH11" i="1"/>
  <c r="DG11" i="1"/>
  <c r="DF11" i="1"/>
  <c r="DE11" i="1"/>
  <c r="CX11" i="1"/>
  <c r="CO11" i="1"/>
  <c r="CK11" i="1"/>
  <c r="CJ11" i="1"/>
  <c r="CI11" i="1"/>
  <c r="CH11" i="1"/>
  <c r="CD11" i="1"/>
  <c r="CC11" i="1"/>
  <c r="CB11" i="1"/>
  <c r="CA11" i="1"/>
  <c r="BZ11" i="1"/>
  <c r="BY11" i="1"/>
  <c r="BU11" i="1"/>
  <c r="BT11" i="1"/>
  <c r="BS11" i="1"/>
  <c r="BR11" i="1"/>
  <c r="BN11" i="1"/>
  <c r="BM11" i="1"/>
  <c r="BL11" i="1"/>
  <c r="AC11" i="1"/>
  <c r="AB11" i="1"/>
  <c r="AA11" i="1"/>
  <c r="Z11" i="1"/>
  <c r="Y11" i="1"/>
  <c r="X11" i="1"/>
  <c r="U11" i="1"/>
  <c r="S11" i="1"/>
  <c r="Q11" i="1"/>
  <c r="O11" i="1"/>
  <c r="H11" i="1"/>
  <c r="DK10" i="1"/>
  <c r="DJ10" i="1"/>
  <c r="DI10" i="1"/>
  <c r="DH10" i="1"/>
  <c r="DG10" i="1"/>
  <c r="DF10" i="1"/>
  <c r="DE10" i="1"/>
  <c r="CX10" i="1"/>
  <c r="CO10" i="1"/>
  <c r="CK10" i="1"/>
  <c r="CJ10" i="1"/>
  <c r="CI10" i="1"/>
  <c r="CH10" i="1"/>
  <c r="CD10" i="1"/>
  <c r="CC10" i="1"/>
  <c r="CB10" i="1"/>
  <c r="CA10" i="1"/>
  <c r="BZ10" i="1"/>
  <c r="BY10" i="1"/>
  <c r="BU10" i="1"/>
  <c r="BT10" i="1"/>
  <c r="BS10" i="1"/>
  <c r="BR10" i="1"/>
  <c r="BN10" i="1"/>
  <c r="BM10" i="1"/>
  <c r="BL10" i="1"/>
  <c r="X10" i="1"/>
  <c r="U10" i="1"/>
  <c r="S10" i="1"/>
  <c r="Q10" i="1"/>
  <c r="H10" i="1"/>
  <c r="DI9" i="1"/>
  <c r="DH9" i="1"/>
  <c r="DG9" i="1"/>
  <c r="DF9" i="1"/>
  <c r="DE9" i="1"/>
  <c r="CX9" i="1"/>
  <c r="CO9" i="1"/>
  <c r="CK9" i="1"/>
  <c r="CJ9" i="1"/>
  <c r="CI9" i="1"/>
  <c r="CH9" i="1"/>
  <c r="CD9" i="1"/>
  <c r="CC9" i="1"/>
  <c r="CB9" i="1"/>
  <c r="CA9" i="1"/>
  <c r="BZ9" i="1"/>
  <c r="BY9" i="1"/>
  <c r="BU9" i="1"/>
  <c r="BT9" i="1"/>
  <c r="BS9" i="1"/>
  <c r="BR9" i="1"/>
  <c r="BN9" i="1"/>
  <c r="BM9" i="1"/>
  <c r="BL9" i="1"/>
  <c r="X9" i="1"/>
  <c r="U9" i="1"/>
  <c r="S9" i="1"/>
  <c r="Q9" i="1"/>
  <c r="H9" i="1"/>
  <c r="DH8" i="1"/>
  <c r="DG8" i="1"/>
  <c r="DF8" i="1"/>
  <c r="DE8" i="1"/>
  <c r="CX8" i="1"/>
  <c r="CO8" i="1"/>
  <c r="CK8" i="1"/>
  <c r="CJ8" i="1"/>
  <c r="CI8" i="1"/>
  <c r="CH8" i="1"/>
  <c r="CD8" i="1"/>
  <c r="CC8" i="1"/>
  <c r="CB8" i="1"/>
  <c r="CA8" i="1"/>
  <c r="BZ8" i="1"/>
  <c r="BY8" i="1"/>
  <c r="BU8" i="1"/>
  <c r="BT8" i="1"/>
  <c r="BS8" i="1"/>
  <c r="BR8" i="1"/>
  <c r="BN8" i="1"/>
  <c r="BM8" i="1"/>
  <c r="BL8" i="1"/>
  <c r="AA8" i="1"/>
  <c r="Z8" i="1"/>
  <c r="Y8" i="1"/>
  <c r="X8" i="1"/>
  <c r="U8" i="1"/>
  <c r="S8" i="1"/>
  <c r="Q8" i="1"/>
  <c r="O8" i="1"/>
  <c r="H8" i="1"/>
  <c r="DL7" i="1"/>
  <c r="DK7" i="1"/>
  <c r="DJ7" i="1"/>
  <c r="DI7" i="1"/>
  <c r="DH7" i="1"/>
  <c r="DG7" i="1"/>
  <c r="DF7" i="1"/>
  <c r="DE7" i="1"/>
  <c r="CX7" i="1"/>
  <c r="CO7" i="1"/>
  <c r="CK7" i="1"/>
  <c r="CJ7" i="1"/>
  <c r="CI7" i="1"/>
  <c r="CH7" i="1"/>
  <c r="CD7" i="1"/>
  <c r="CC7" i="1"/>
  <c r="CB7" i="1"/>
  <c r="CA7" i="1"/>
  <c r="BZ7" i="1"/>
  <c r="BY7" i="1"/>
  <c r="BU7" i="1"/>
  <c r="BT7" i="1"/>
  <c r="BS7" i="1"/>
  <c r="BR7" i="1"/>
  <c r="BN7" i="1"/>
  <c r="BM7" i="1"/>
  <c r="BL7" i="1"/>
  <c r="AA7" i="1"/>
  <c r="Z7" i="1"/>
  <c r="Y7" i="1"/>
  <c r="X7" i="1"/>
  <c r="U7" i="1"/>
  <c r="S7" i="1"/>
  <c r="Q7" i="1"/>
  <c r="O7" i="1"/>
  <c r="H7" i="1"/>
  <c r="DJ6" i="1"/>
  <c r="DI6" i="1"/>
  <c r="DH6" i="1"/>
  <c r="DG6" i="1"/>
  <c r="DF6" i="1"/>
  <c r="DE6" i="1"/>
  <c r="CX6" i="1"/>
  <c r="CO6" i="1"/>
  <c r="CK6" i="1"/>
  <c r="CJ6" i="1"/>
  <c r="CI6" i="1"/>
  <c r="CH6" i="1"/>
  <c r="CD6" i="1"/>
  <c r="CC6" i="1"/>
  <c r="CB6" i="1"/>
  <c r="CA6" i="1"/>
  <c r="BZ6" i="1"/>
  <c r="BY6" i="1"/>
  <c r="BU6" i="1"/>
  <c r="BT6" i="1"/>
  <c r="BS6" i="1"/>
  <c r="BR6" i="1"/>
  <c r="BN6" i="1"/>
  <c r="BM6" i="1"/>
  <c r="BL6" i="1"/>
  <c r="X6" i="1"/>
  <c r="U6" i="1"/>
  <c r="S6" i="1"/>
  <c r="Q6" i="1"/>
  <c r="H6" i="1"/>
  <c r="DK5" i="1"/>
  <c r="DJ5" i="1"/>
  <c r="DI5" i="1"/>
  <c r="DH5" i="1"/>
  <c r="DG5" i="1"/>
  <c r="DF5" i="1"/>
  <c r="DE5" i="1"/>
  <c r="CX5" i="1"/>
  <c r="CO5" i="1"/>
  <c r="CK5" i="1"/>
  <c r="CJ5" i="1"/>
  <c r="CI5" i="1"/>
  <c r="CH5" i="1"/>
  <c r="CD5" i="1"/>
  <c r="CC5" i="1"/>
  <c r="CB5" i="1"/>
  <c r="CA5" i="1"/>
  <c r="BZ5" i="1"/>
  <c r="BY5" i="1"/>
  <c r="BU5" i="1"/>
  <c r="BT5" i="1"/>
  <c r="BS5" i="1"/>
  <c r="BR5" i="1"/>
  <c r="BN5" i="1"/>
  <c r="BM5" i="1"/>
  <c r="BL5" i="1"/>
  <c r="X5" i="1"/>
  <c r="U5" i="1"/>
  <c r="S5" i="1"/>
  <c r="Q5" i="1"/>
  <c r="H5" i="1"/>
  <c r="DN4" i="1"/>
  <c r="DM4" i="1"/>
  <c r="DL4" i="1"/>
  <c r="DK4" i="1"/>
  <c r="DJ4" i="1"/>
  <c r="DI4" i="1"/>
  <c r="DH4" i="1"/>
  <c r="DG4" i="1"/>
  <c r="DF4" i="1"/>
  <c r="DE4" i="1"/>
  <c r="CX4" i="1"/>
  <c r="CO4" i="1"/>
  <c r="CK4" i="1"/>
  <c r="CJ4" i="1"/>
  <c r="CI4" i="1"/>
  <c r="CH4" i="1"/>
  <c r="CD4" i="1"/>
  <c r="CC4" i="1"/>
  <c r="CB4" i="1"/>
  <c r="CA4" i="1"/>
  <c r="BZ4" i="1"/>
  <c r="BY4" i="1"/>
  <c r="BU4" i="1"/>
  <c r="BT4" i="1"/>
  <c r="BS4" i="1"/>
  <c r="BR4" i="1"/>
  <c r="BN4" i="1"/>
  <c r="BM4" i="1"/>
  <c r="BL4" i="1"/>
  <c r="X4" i="1"/>
  <c r="W4" i="1"/>
  <c r="V4" i="1"/>
  <c r="U4" i="1"/>
  <c r="S4" i="1"/>
  <c r="Q4" i="1"/>
  <c r="H4" i="1"/>
  <c r="S3" i="1"/>
  <c r="A10" i="2" l="1"/>
  <c r="A14" i="2"/>
  <c r="A32" i="2"/>
  <c r="A49" i="2"/>
  <c r="A53" i="2"/>
  <c r="A70" i="2"/>
  <c r="A87" i="2"/>
  <c r="A93" i="2"/>
  <c r="A110" i="2"/>
  <c r="A126" i="2"/>
  <c r="A132" i="2"/>
  <c r="A150" i="2"/>
  <c r="A169" i="2"/>
  <c r="A173" i="2"/>
  <c r="A192" i="2"/>
  <c r="A210" i="2"/>
  <c r="A214" i="2"/>
  <c r="A233" i="2"/>
  <c r="A251" i="2"/>
  <c r="A257" i="2"/>
  <c r="A275" i="2"/>
  <c r="A293" i="2"/>
  <c r="A299" i="2"/>
  <c r="A317" i="2"/>
  <c r="A336" i="2"/>
  <c r="A340" i="2"/>
  <c r="A358" i="2"/>
  <c r="A377" i="2"/>
  <c r="A381" i="2"/>
  <c r="A400" i="2"/>
  <c r="A418" i="2"/>
  <c r="A425" i="2"/>
  <c r="A443" i="2"/>
  <c r="A461" i="2"/>
  <c r="A466" i="2"/>
  <c r="A484" i="2"/>
  <c r="A502" i="2"/>
  <c r="A507" i="2"/>
  <c r="A525" i="2"/>
  <c r="A544" i="2"/>
  <c r="A549" i="2"/>
  <c r="A567" i="2"/>
  <c r="A586" i="2"/>
  <c r="A593" i="2"/>
  <c r="A612" i="2"/>
  <c r="A631" i="2"/>
  <c r="A636" i="2"/>
  <c r="A657" i="2"/>
  <c r="A676" i="2"/>
  <c r="A681" i="2"/>
  <c r="A701" i="2"/>
  <c r="A723" i="2"/>
  <c r="A731" i="2"/>
  <c r="A753" i="2"/>
  <c r="A773" i="2"/>
  <c r="A779" i="2"/>
  <c r="A801" i="2"/>
  <c r="A821" i="2"/>
  <c r="A827" i="2"/>
  <c r="A849" i="2"/>
  <c r="A869" i="2"/>
  <c r="A876" i="2"/>
  <c r="A898" i="2"/>
  <c r="A918" i="2"/>
  <c r="A925" i="2"/>
  <c r="A947" i="2"/>
  <c r="A967" i="2"/>
  <c r="A973" i="2"/>
  <c r="A995" i="2"/>
  <c r="A12" i="2"/>
  <c r="A29" i="2"/>
  <c r="A34" i="2"/>
  <c r="A51" i="2"/>
  <c r="A68" i="2"/>
  <c r="A74" i="2"/>
  <c r="A90" i="2"/>
  <c r="A107" i="2"/>
  <c r="A113" i="2"/>
  <c r="A130" i="2"/>
  <c r="A147" i="2"/>
  <c r="A153" i="2"/>
  <c r="A171" i="2"/>
  <c r="A189" i="2"/>
  <c r="A194" i="2"/>
  <c r="A212" i="2"/>
  <c r="A230" i="2"/>
  <c r="A235" i="2"/>
  <c r="A253" i="2"/>
  <c r="A272" i="2"/>
  <c r="A278" i="2"/>
  <c r="A297" i="2"/>
  <c r="A315" i="2"/>
  <c r="A320" i="2"/>
  <c r="A338" i="2"/>
  <c r="A356" i="2"/>
  <c r="A361" i="2"/>
  <c r="A379" i="2"/>
  <c r="A397" i="2"/>
  <c r="A403" i="2"/>
  <c r="A421" i="2"/>
  <c r="A439" i="2"/>
  <c r="A445" i="2"/>
  <c r="A464" i="2"/>
  <c r="A482" i="2"/>
  <c r="A486" i="2"/>
  <c r="A505" i="2"/>
  <c r="A523" i="2"/>
  <c r="A528" i="2"/>
  <c r="A546" i="2"/>
  <c r="A564" i="2"/>
  <c r="A571" i="2"/>
  <c r="A589" i="2"/>
  <c r="A610" i="2"/>
  <c r="A614" i="2"/>
  <c r="A634" i="2"/>
  <c r="A653" i="2"/>
  <c r="A659" i="2"/>
  <c r="A678" i="2"/>
  <c r="A699" i="2"/>
  <c r="A706" i="2"/>
  <c r="A726" i="2"/>
  <c r="A748" i="2"/>
  <c r="A755" i="2"/>
  <c r="A775" i="2"/>
  <c r="A797" i="2"/>
  <c r="A803" i="2"/>
  <c r="A823" i="2"/>
  <c r="A845" i="2"/>
  <c r="A851" i="2"/>
  <c r="A871" i="2"/>
  <c r="A893" i="2"/>
  <c r="A901" i="2"/>
  <c r="A923" i="2"/>
  <c r="A945" i="2"/>
  <c r="A949" i="2"/>
  <c r="A971" i="2"/>
  <c r="A993" i="2"/>
  <c r="A997" i="2"/>
  <c r="A9" i="2"/>
  <c r="A13" i="2"/>
  <c r="A30" i="2"/>
  <c r="A48" i="2"/>
  <c r="A52" i="2"/>
  <c r="A69" i="2"/>
  <c r="A86" i="2"/>
  <c r="A92" i="2"/>
  <c r="A108" i="2"/>
  <c r="A125" i="2"/>
  <c r="A131" i="2"/>
  <c r="A149" i="2"/>
  <c r="A167" i="2"/>
  <c r="A172" i="2"/>
  <c r="A190" i="2"/>
  <c r="A209" i="2"/>
  <c r="A213" i="2"/>
  <c r="A231" i="2"/>
  <c r="A250" i="2"/>
  <c r="A254" i="2"/>
  <c r="A273" i="2"/>
  <c r="A291" i="2"/>
  <c r="A298" i="2"/>
  <c r="A316" i="2"/>
  <c r="A334" i="2"/>
  <c r="A339" i="2"/>
  <c r="A357" i="2"/>
  <c r="A375" i="2"/>
  <c r="A380" i="2"/>
  <c r="A398" i="2"/>
  <c r="A417" i="2"/>
  <c r="A423" i="2"/>
  <c r="A442" i="2"/>
  <c r="A460" i="2"/>
  <c r="A465" i="2"/>
  <c r="A483" i="2"/>
  <c r="A501" i="2"/>
  <c r="A506" i="2"/>
  <c r="A524" i="2"/>
  <c r="A542" i="2"/>
  <c r="A547" i="2"/>
  <c r="A565" i="2"/>
  <c r="A583" i="2"/>
  <c r="A590" i="2"/>
  <c r="A611" i="2"/>
  <c r="A630" i="2"/>
  <c r="A635" i="2"/>
  <c r="A654" i="2"/>
  <c r="A675" i="2"/>
  <c r="A679" i="2"/>
  <c r="A700" i="2"/>
  <c r="A722" i="2"/>
  <c r="A730" i="2"/>
  <c r="A750" i="2"/>
  <c r="A772" i="2"/>
  <c r="A778" i="2"/>
  <c r="A798" i="2"/>
  <c r="A820" i="2"/>
  <c r="A826" i="2"/>
  <c r="A846" i="2"/>
  <c r="A868" i="2"/>
  <c r="A874" i="2"/>
  <c r="A894" i="2"/>
  <c r="A916" i="2"/>
  <c r="A924" i="2"/>
  <c r="A946" i="2"/>
  <c r="A966" i="2"/>
  <c r="A972" i="2"/>
  <c r="A994" i="2"/>
  <c r="Y17" i="2"/>
  <c r="Y36" i="2"/>
  <c r="Y56" i="2"/>
  <c r="Y75" i="2"/>
  <c r="Y96" i="2"/>
  <c r="Y115" i="2"/>
  <c r="Y134" i="2"/>
  <c r="Y153" i="2"/>
  <c r="Y173" i="2"/>
  <c r="Y193" i="2"/>
  <c r="Y212" i="2"/>
  <c r="Y232" i="2"/>
  <c r="Y251" i="2"/>
  <c r="Y272" i="2"/>
  <c r="Y293" i="2"/>
  <c r="Y313" i="2"/>
  <c r="Y335" i="2"/>
  <c r="Y356" i="2"/>
  <c r="Y377" i="2"/>
  <c r="Y398" i="2"/>
  <c r="Y418" i="2"/>
  <c r="Y439" i="2"/>
  <c r="Y459" i="2"/>
  <c r="Y481" i="2"/>
  <c r="Y502" i="2"/>
  <c r="Y523" i="2"/>
  <c r="Y544" i="2"/>
  <c r="Y565" i="2"/>
  <c r="Y585" i="2"/>
  <c r="Y606" i="2"/>
  <c r="Y628" i="2"/>
  <c r="Y648" i="2"/>
  <c r="Y670" i="2"/>
  <c r="Y690" i="2"/>
  <c r="Y711" i="2"/>
  <c r="Y731" i="2"/>
  <c r="Y752" i="2"/>
  <c r="Y774" i="2"/>
  <c r="Y794" i="2"/>
  <c r="Y818" i="2"/>
  <c r="Y840" i="2"/>
  <c r="Y863" i="2"/>
  <c r="Y885" i="2"/>
  <c r="Y906" i="2"/>
  <c r="Y930" i="2"/>
  <c r="Y952" i="2"/>
  <c r="Y976" i="2"/>
  <c r="Y998" i="2"/>
  <c r="Y18" i="2"/>
  <c r="Y38" i="2"/>
  <c r="Y57" i="2"/>
  <c r="Y77" i="2"/>
  <c r="Y97" i="2"/>
  <c r="Y116" i="2"/>
  <c r="Y135" i="2"/>
  <c r="Y154" i="2"/>
  <c r="Y175" i="2"/>
  <c r="Y194" i="2"/>
  <c r="Y213" i="2"/>
  <c r="Y233" i="2"/>
  <c r="Y253" i="2"/>
  <c r="Y273" i="2"/>
  <c r="Y294" i="2"/>
  <c r="Y315" i="2"/>
  <c r="Y336" i="2"/>
  <c r="Y357" i="2"/>
  <c r="Y378" i="2"/>
  <c r="Y399" i="2"/>
  <c r="Y420" i="2"/>
  <c r="Y440" i="2"/>
  <c r="Y462" i="2"/>
  <c r="Y482" i="2"/>
  <c r="Y503" i="2"/>
  <c r="Y525" i="2"/>
  <c r="Y545" i="2"/>
  <c r="Y566" i="2"/>
  <c r="Y586" i="2"/>
  <c r="Y608" i="2"/>
  <c r="Y629" i="2"/>
  <c r="Y649" i="2"/>
  <c r="Y671" i="2"/>
  <c r="Y692" i="2"/>
  <c r="Y712" i="2"/>
  <c r="Y733" i="2"/>
  <c r="Y754" i="2"/>
  <c r="Y775" i="2"/>
  <c r="Y795" i="2"/>
  <c r="Y820" i="2"/>
  <c r="Y841" i="2"/>
  <c r="Y864" i="2"/>
  <c r="Y886" i="2"/>
  <c r="Y910" i="2"/>
  <c r="Y932" i="2"/>
  <c r="Y953" i="2"/>
  <c r="Y977" i="2"/>
  <c r="Y999" i="2"/>
  <c r="Y19" i="2"/>
  <c r="Y39" i="2"/>
  <c r="Y58" i="2"/>
  <c r="Y79" i="2"/>
  <c r="Y98" i="2"/>
  <c r="Y117" i="2"/>
  <c r="Y136" i="2"/>
  <c r="Y155" i="2"/>
  <c r="Y176" i="2"/>
  <c r="Y195" i="2"/>
  <c r="Y215" i="2"/>
  <c r="Y234" i="2"/>
  <c r="Y254" i="2"/>
  <c r="Y274" i="2"/>
  <c r="Y295" i="2"/>
  <c r="Y317" i="2"/>
  <c r="Y337" i="2"/>
  <c r="Y359" i="2"/>
  <c r="Y379" i="2"/>
  <c r="Y400" i="2"/>
  <c r="Y421" i="2"/>
  <c r="Y441" i="2"/>
  <c r="Y463" i="2"/>
  <c r="Y484" i="2"/>
  <c r="Y505" i="2"/>
  <c r="Y526" i="2"/>
  <c r="Y546" i="2"/>
  <c r="Y567" i="2"/>
  <c r="Y587" i="2"/>
  <c r="Y609" i="2"/>
  <c r="Y630" i="2"/>
  <c r="Y651" i="2"/>
  <c r="Y672" i="2"/>
  <c r="Y693" i="2"/>
  <c r="Y713" i="2"/>
  <c r="Y734" i="2"/>
  <c r="Y756" i="2"/>
  <c r="Y776" i="2"/>
  <c r="Y799" i="2"/>
  <c r="Y821" i="2"/>
  <c r="Y842" i="2"/>
  <c r="Y865" i="2"/>
  <c r="Y887" i="2"/>
  <c r="Y911" i="2"/>
  <c r="Y933" i="2"/>
  <c r="Y955" i="2"/>
  <c r="Y978" i="2"/>
  <c r="Y1000" i="2"/>
  <c r="Y21" i="2"/>
  <c r="Y40" i="2"/>
  <c r="Y59" i="2"/>
  <c r="Y80" i="2"/>
  <c r="Y99" i="2"/>
  <c r="Y118" i="2"/>
  <c r="Y137" i="2"/>
  <c r="Y158" i="2"/>
  <c r="Y177" i="2"/>
  <c r="Y196" i="2"/>
  <c r="Y216" i="2"/>
  <c r="Y235" i="2"/>
  <c r="Y255" i="2"/>
  <c r="Y276" i="2"/>
  <c r="Y297" i="2"/>
  <c r="Y318" i="2"/>
  <c r="Y338" i="2"/>
  <c r="Y360" i="2"/>
  <c r="Y381" i="2"/>
  <c r="Y401" i="2"/>
  <c r="Y422" i="2"/>
  <c r="Y443" i="2"/>
  <c r="Y464" i="2"/>
  <c r="Y485" i="2"/>
  <c r="Y506" i="2"/>
  <c r="Y527" i="2"/>
  <c r="Y548" i="2"/>
  <c r="Y568" i="2"/>
  <c r="Y590" i="2"/>
  <c r="Y610" i="2"/>
  <c r="Y631" i="2"/>
  <c r="Y653" i="2"/>
  <c r="Y673" i="2"/>
  <c r="Y694" i="2"/>
  <c r="Y714" i="2"/>
  <c r="Y736" i="2"/>
  <c r="Y757" i="2"/>
  <c r="Y777" i="2"/>
  <c r="Y800" i="2"/>
  <c r="Y822" i="2"/>
  <c r="Y843" i="2"/>
  <c r="Y866" i="2"/>
  <c r="Y889" i="2"/>
  <c r="Y912" i="2"/>
  <c r="Y934" i="2"/>
  <c r="Y958" i="2"/>
  <c r="Y980" i="2"/>
  <c r="Y1001" i="2"/>
  <c r="Y22" i="2"/>
  <c r="Y41" i="2"/>
  <c r="Y62" i="2"/>
  <c r="Y81" i="2"/>
  <c r="Y100" i="2"/>
  <c r="Y119" i="2"/>
  <c r="Y138" i="2"/>
  <c r="Y159" i="2"/>
  <c r="Y178" i="2"/>
  <c r="Y198" i="2"/>
  <c r="Y217" i="2"/>
  <c r="Y237" i="2"/>
  <c r="Y256" i="2"/>
  <c r="Y277" i="2"/>
  <c r="Y298" i="2"/>
  <c r="Y319" i="2"/>
  <c r="Y341" i="2"/>
  <c r="Y361" i="2"/>
  <c r="Y382" i="2"/>
  <c r="Y402" i="2"/>
  <c r="Y423" i="2"/>
  <c r="Y445" i="2"/>
  <c r="Y465" i="2"/>
  <c r="Y487" i="2"/>
  <c r="Y507" i="2"/>
  <c r="Y528" i="2"/>
  <c r="Y549" i="2"/>
  <c r="Y569" i="2"/>
  <c r="Y591" i="2"/>
  <c r="Y612" i="2"/>
  <c r="Y633" i="2"/>
  <c r="Y654" i="2"/>
  <c r="Y674" i="2"/>
  <c r="Y695" i="2"/>
  <c r="Y715" i="2"/>
  <c r="Y737" i="2"/>
  <c r="Y758" i="2"/>
  <c r="Y779" i="2"/>
  <c r="Y801" i="2"/>
  <c r="Y823" i="2"/>
  <c r="Y846" i="2"/>
  <c r="Y868" i="2"/>
  <c r="Y890" i="2"/>
  <c r="Y913" i="2"/>
  <c r="Y936" i="2"/>
  <c r="Y959" i="2"/>
  <c r="Y981" i="2"/>
  <c r="Y1002" i="2"/>
  <c r="Y4" i="2"/>
  <c r="Y23" i="2"/>
  <c r="Y42" i="2"/>
  <c r="Y63" i="2"/>
  <c r="Y82" i="2"/>
  <c r="Y101" i="2"/>
  <c r="Y120" i="2"/>
  <c r="Y141" i="2"/>
  <c r="Y160" i="2"/>
  <c r="Y179" i="2"/>
  <c r="Y199" i="2"/>
  <c r="Y218" i="2"/>
  <c r="Y238" i="2"/>
  <c r="Y257" i="2"/>
  <c r="Y279" i="2"/>
  <c r="Y299" i="2"/>
  <c r="Y320" i="2"/>
  <c r="Y342" i="2"/>
  <c r="Y362" i="2"/>
  <c r="Y383" i="2"/>
  <c r="Y404" i="2"/>
  <c r="Y425" i="2"/>
  <c r="Y446" i="2"/>
  <c r="Y466" i="2"/>
  <c r="Y488" i="2"/>
  <c r="Y509" i="2"/>
  <c r="Y529" i="2"/>
  <c r="Y550" i="2"/>
  <c r="Y571" i="2"/>
  <c r="Y592" i="2"/>
  <c r="Y613" i="2"/>
  <c r="Y634" i="2"/>
  <c r="Y655" i="2"/>
  <c r="Y676" i="2"/>
  <c r="Y696" i="2"/>
  <c r="Y718" i="2"/>
  <c r="Y738" i="2"/>
  <c r="Y759" i="2"/>
  <c r="Y781" i="2"/>
  <c r="Y802" i="2"/>
  <c r="Y824" i="2"/>
  <c r="Y847" i="2"/>
  <c r="Y870" i="2"/>
  <c r="Y891" i="2"/>
  <c r="Y914" i="2"/>
  <c r="Y937" i="2"/>
  <c r="Y960" i="2"/>
  <c r="Y982" i="2"/>
  <c r="Y1003" i="2"/>
  <c r="Y5" i="2"/>
  <c r="Y24" i="2"/>
  <c r="Y45" i="2"/>
  <c r="Y64" i="2"/>
  <c r="Y83" i="2"/>
  <c r="Y102" i="2"/>
  <c r="Y121" i="2"/>
  <c r="Y142" i="2"/>
  <c r="Y161" i="2"/>
  <c r="Y181" i="2"/>
  <c r="Y200" i="2"/>
  <c r="Y219" i="2"/>
  <c r="Y239" i="2"/>
  <c r="Y258" i="2"/>
  <c r="Y280" i="2"/>
  <c r="Y301" i="2"/>
  <c r="Y322" i="2"/>
  <c r="Y343" i="2"/>
  <c r="Y363" i="2"/>
  <c r="Y384" i="2"/>
  <c r="Y405" i="2"/>
  <c r="Y426" i="2"/>
  <c r="Y447" i="2"/>
  <c r="Y469" i="2"/>
  <c r="Y489" i="2"/>
  <c r="Y510" i="2"/>
  <c r="Y530" i="2"/>
  <c r="Y551" i="2"/>
  <c r="Y573" i="2"/>
  <c r="Y593" i="2"/>
  <c r="Y615" i="2"/>
  <c r="Y635" i="2"/>
  <c r="Y656" i="2"/>
  <c r="Y677" i="2"/>
  <c r="Y697" i="2"/>
  <c r="Y719" i="2"/>
  <c r="Y740" i="2"/>
  <c r="Y761" i="2"/>
  <c r="Y782" i="2"/>
  <c r="Y804" i="2"/>
  <c r="Y825" i="2"/>
  <c r="Y848" i="2"/>
  <c r="Y871" i="2"/>
  <c r="Y894" i="2"/>
  <c r="Y917" i="2"/>
  <c r="Y938" i="2"/>
  <c r="Y961" i="2"/>
  <c r="Y983" i="2"/>
  <c r="Y6" i="2"/>
  <c r="Y25" i="2"/>
  <c r="Y46" i="2"/>
  <c r="Y65" i="2"/>
  <c r="Y84" i="2"/>
  <c r="Y103" i="2"/>
  <c r="Y123" i="2"/>
  <c r="Y143" i="2"/>
  <c r="Y162" i="2"/>
  <c r="Y182" i="2"/>
  <c r="Y201" i="2"/>
  <c r="Y221" i="2"/>
  <c r="Y240" i="2"/>
  <c r="Y261" i="2"/>
  <c r="Y281" i="2"/>
  <c r="Y302" i="2"/>
  <c r="Y324" i="2"/>
  <c r="Y344" i="2"/>
  <c r="Y365" i="2"/>
  <c r="Y385" i="2"/>
  <c r="Y407" i="2"/>
  <c r="Y427" i="2"/>
  <c r="Y448" i="2"/>
  <c r="Y470" i="2"/>
  <c r="Y490" i="2"/>
  <c r="Y511" i="2"/>
  <c r="Y532" i="2"/>
  <c r="Y553" i="2"/>
  <c r="Y574" i="2"/>
  <c r="Y594" i="2"/>
  <c r="Y616" i="2"/>
  <c r="Y637" i="2"/>
  <c r="Y657" i="2"/>
  <c r="Y678" i="2"/>
  <c r="Y699" i="2"/>
  <c r="Y720" i="2"/>
  <c r="Y741" i="2"/>
  <c r="Y762" i="2"/>
  <c r="Y783" i="2"/>
  <c r="Y805" i="2"/>
  <c r="Y826" i="2"/>
  <c r="Y850" i="2"/>
  <c r="Y872" i="2"/>
  <c r="Y895" i="2"/>
  <c r="Y918" i="2"/>
  <c r="Y939" i="2"/>
  <c r="Y962" i="2"/>
  <c r="Y984" i="2"/>
  <c r="Y7" i="2"/>
  <c r="Y27" i="2"/>
  <c r="Y47" i="2"/>
  <c r="Y66" i="2"/>
  <c r="Y85" i="2"/>
  <c r="Y104" i="2"/>
  <c r="Y125" i="2"/>
  <c r="Y144" i="2"/>
  <c r="Y164" i="2"/>
  <c r="Y183" i="2"/>
  <c r="Y202" i="2"/>
  <c r="Y222" i="2"/>
  <c r="Y241" i="2"/>
  <c r="Y262" i="2"/>
  <c r="Y282" i="2"/>
  <c r="Y304" i="2"/>
  <c r="Y325" i="2"/>
  <c r="Y345" i="2"/>
  <c r="Y366" i="2"/>
  <c r="Y386" i="2"/>
  <c r="Y408" i="2"/>
  <c r="Y429" i="2"/>
  <c r="Y450" i="2"/>
  <c r="Y471" i="2"/>
  <c r="Y491" i="2"/>
  <c r="Y512" i="2"/>
  <c r="Y533" i="2"/>
  <c r="Y554" i="2"/>
  <c r="Y575" i="2"/>
  <c r="Y597" i="2"/>
  <c r="Y617" i="2"/>
  <c r="Y638" i="2"/>
  <c r="Y658" i="2"/>
  <c r="Y679" i="2"/>
  <c r="Y701" i="2"/>
  <c r="Y721" i="2"/>
  <c r="Y743" i="2"/>
  <c r="Y763" i="2"/>
  <c r="Y784" i="2"/>
  <c r="Y806" i="2"/>
  <c r="Y827" i="2"/>
  <c r="Y852" i="2"/>
  <c r="Y873" i="2"/>
  <c r="Y897" i="2"/>
  <c r="Y919" i="2"/>
  <c r="Y942" i="2"/>
  <c r="Y964" i="2"/>
  <c r="Y985" i="2"/>
  <c r="Y8" i="2"/>
  <c r="Y29" i="2"/>
  <c r="Y48" i="2"/>
  <c r="Y67" i="2"/>
  <c r="Y86" i="2"/>
  <c r="Y106" i="2"/>
  <c r="Y126" i="2"/>
  <c r="Y145" i="2"/>
  <c r="Y165" i="2"/>
  <c r="Y184" i="2"/>
  <c r="Y203" i="2"/>
  <c r="Y223" i="2"/>
  <c r="Y243" i="2"/>
  <c r="Y263" i="2"/>
  <c r="Y283" i="2"/>
  <c r="Y305" i="2"/>
  <c r="Y326" i="2"/>
  <c r="Y346" i="2"/>
  <c r="Y367" i="2"/>
  <c r="Y389" i="2"/>
  <c r="Y409" i="2"/>
  <c r="Y430" i="2"/>
  <c r="Y452" i="2"/>
  <c r="Y472" i="2"/>
  <c r="Y493" i="2"/>
  <c r="Y513" i="2"/>
  <c r="Y535" i="2"/>
  <c r="Y555" i="2"/>
  <c r="Y576" i="2"/>
  <c r="Y598" i="2"/>
  <c r="Y618" i="2"/>
  <c r="Y639" i="2"/>
  <c r="Y660" i="2"/>
  <c r="Y681" i="2"/>
  <c r="Y702" i="2"/>
  <c r="Y722" i="2"/>
  <c r="Y744" i="2"/>
  <c r="Y765" i="2"/>
  <c r="Y785" i="2"/>
  <c r="Y807" i="2"/>
  <c r="Y831" i="2"/>
  <c r="Y853" i="2"/>
  <c r="Y874" i="2"/>
  <c r="Y898" i="2"/>
  <c r="Y920" i="2"/>
  <c r="Y943" i="2"/>
  <c r="Y965" i="2"/>
  <c r="Y987" i="2"/>
  <c r="Y10" i="2"/>
  <c r="Y30" i="2"/>
  <c r="Y49" i="2"/>
  <c r="Y68" i="2"/>
  <c r="Y87" i="2"/>
  <c r="Y107" i="2"/>
  <c r="Y127" i="2"/>
  <c r="Y147" i="2"/>
  <c r="Y166" i="2"/>
  <c r="Y185" i="2"/>
  <c r="Y205" i="2"/>
  <c r="Y224" i="2"/>
  <c r="Y244" i="2"/>
  <c r="Y264" i="2"/>
  <c r="Y286" i="2"/>
  <c r="Y306" i="2"/>
  <c r="Y327" i="2"/>
  <c r="Y347" i="2"/>
  <c r="Y368" i="2"/>
  <c r="Y390" i="2"/>
  <c r="Y410" i="2"/>
  <c r="Y432" i="2"/>
  <c r="Y453" i="2"/>
  <c r="Y473" i="2"/>
  <c r="Y494" i="2"/>
  <c r="Y514" i="2"/>
  <c r="Y536" i="2"/>
  <c r="Y557" i="2"/>
  <c r="Y578" i="2"/>
  <c r="Y599" i="2"/>
  <c r="Y619" i="2"/>
  <c r="Y640" i="2"/>
  <c r="Y661" i="2"/>
  <c r="Y682" i="2"/>
  <c r="Y703" i="2"/>
  <c r="Y725" i="2"/>
  <c r="Y745" i="2"/>
  <c r="Y766" i="2"/>
  <c r="Y786" i="2"/>
  <c r="Y808" i="2"/>
  <c r="Y832" i="2"/>
  <c r="Y854" i="2"/>
  <c r="Y878" i="2"/>
  <c r="Y900" i="2"/>
  <c r="Y921" i="2"/>
  <c r="Y944" i="2"/>
  <c r="Y966" i="2"/>
  <c r="Y990" i="2"/>
  <c r="Y11" i="2"/>
  <c r="Y31" i="2"/>
  <c r="Y50" i="2"/>
  <c r="Y69" i="2"/>
  <c r="Y89" i="2"/>
  <c r="Y109" i="2"/>
  <c r="Y128" i="2"/>
  <c r="Y148" i="2"/>
  <c r="Y167" i="2"/>
  <c r="Y186" i="2"/>
  <c r="Y206" i="2"/>
  <c r="Y226" i="2"/>
  <c r="Y245" i="2"/>
  <c r="Y265" i="2"/>
  <c r="Y287" i="2"/>
  <c r="Y308" i="2"/>
  <c r="Y328" i="2"/>
  <c r="Y349" i="2"/>
  <c r="Y370" i="2"/>
  <c r="Y391" i="2"/>
  <c r="Y411" i="2"/>
  <c r="Y433" i="2"/>
  <c r="Y454" i="2"/>
  <c r="Y474" i="2"/>
  <c r="Y495" i="2"/>
  <c r="Y517" i="2"/>
  <c r="Y537" i="2"/>
  <c r="Y558" i="2"/>
  <c r="Y580" i="2"/>
  <c r="Y600" i="2"/>
  <c r="Y621" i="2"/>
  <c r="Y641" i="2"/>
  <c r="Y663" i="2"/>
  <c r="Y683" i="2"/>
  <c r="Y704" i="2"/>
  <c r="Y726" i="2"/>
  <c r="Y746" i="2"/>
  <c r="Y767" i="2"/>
  <c r="Y788" i="2"/>
  <c r="Y810" i="2"/>
  <c r="Y833" i="2"/>
  <c r="Y855" i="2"/>
  <c r="Y879" i="2"/>
  <c r="Y901" i="2"/>
  <c r="Y922" i="2"/>
  <c r="Y945" i="2"/>
  <c r="Y968" i="2"/>
  <c r="Y991" i="2"/>
  <c r="Y13" i="2"/>
  <c r="Y32" i="2"/>
  <c r="Y51" i="2"/>
  <c r="Y70" i="2"/>
  <c r="Y90" i="2"/>
  <c r="Y110" i="2"/>
  <c r="Y130" i="2"/>
  <c r="Y149" i="2"/>
  <c r="Y168" i="2"/>
  <c r="Y187" i="2"/>
  <c r="Y207" i="2"/>
  <c r="Y227" i="2"/>
  <c r="Y246" i="2"/>
  <c r="Y267" i="2"/>
  <c r="Y288" i="2"/>
  <c r="Y309" i="2"/>
  <c r="Y329" i="2"/>
  <c r="Y350" i="2"/>
  <c r="Y372" i="2"/>
  <c r="Y392" i="2"/>
  <c r="Y414" i="2"/>
  <c r="Y434" i="2"/>
  <c r="Y455" i="2"/>
  <c r="Y475" i="2"/>
  <c r="Y496" i="2"/>
  <c r="Y518" i="2"/>
  <c r="Y538" i="2"/>
  <c r="Y560" i="2"/>
  <c r="Y581" i="2"/>
  <c r="Y601" i="2"/>
  <c r="Y622" i="2"/>
  <c r="Y642" i="2"/>
  <c r="Y664" i="2"/>
  <c r="Y685" i="2"/>
  <c r="Y706" i="2"/>
  <c r="Y727" i="2"/>
  <c r="Y747" i="2"/>
  <c r="Y768" i="2"/>
  <c r="Y789" i="2"/>
  <c r="Y811" i="2"/>
  <c r="Y834" i="2"/>
  <c r="Y857" i="2"/>
  <c r="Y880" i="2"/>
  <c r="Y902" i="2"/>
  <c r="Y923" i="2"/>
  <c r="Y946" i="2"/>
  <c r="Y969" i="2"/>
  <c r="Y992" i="2"/>
  <c r="Y14" i="2"/>
  <c r="Y33" i="2"/>
  <c r="Y52" i="2"/>
  <c r="Y72" i="2"/>
  <c r="Y91" i="2"/>
  <c r="Y111" i="2"/>
  <c r="Y131" i="2"/>
  <c r="Y150" i="2"/>
  <c r="Y169" i="2"/>
  <c r="Y189" i="2"/>
  <c r="Y209" i="2"/>
  <c r="Y228" i="2"/>
  <c r="Y247" i="2"/>
  <c r="Y269" i="2"/>
  <c r="Y289" i="2"/>
  <c r="Y310" i="2"/>
  <c r="Y330" i="2"/>
  <c r="Y352" i="2"/>
  <c r="Y373" i="2"/>
  <c r="Y393" i="2"/>
  <c r="Y415" i="2"/>
  <c r="Y436" i="2"/>
  <c r="Y456" i="2"/>
  <c r="Y477" i="2"/>
  <c r="Y498" i="2"/>
  <c r="Y519" i="2"/>
  <c r="Y539" i="2"/>
  <c r="Y561" i="2"/>
  <c r="Y582" i="2"/>
  <c r="Y602" i="2"/>
  <c r="Y623" i="2"/>
  <c r="Y645" i="2"/>
  <c r="Y665" i="2"/>
  <c r="Y686" i="2"/>
  <c r="Y708" i="2"/>
  <c r="Y728" i="2"/>
  <c r="Y749" i="2"/>
  <c r="Y769" i="2"/>
  <c r="Y791" i="2"/>
  <c r="Y814" i="2"/>
  <c r="Y836" i="2"/>
  <c r="Y858" i="2"/>
  <c r="Y881" i="2"/>
  <c r="Y903" i="2"/>
  <c r="Y926" i="2"/>
  <c r="Y949" i="2"/>
  <c r="Y970" i="2"/>
  <c r="Y993" i="2"/>
  <c r="Y15" i="2"/>
  <c r="Y34" i="2"/>
  <c r="Y53" i="2"/>
  <c r="Y73" i="2"/>
  <c r="Y93" i="2"/>
  <c r="Y113" i="2"/>
  <c r="Y132" i="2"/>
  <c r="Y151" i="2"/>
  <c r="Y170" i="2"/>
  <c r="Y190" i="2"/>
  <c r="Y210" i="2"/>
  <c r="Y229" i="2"/>
  <c r="Y249" i="2"/>
  <c r="Y270" i="2"/>
  <c r="Y290" i="2"/>
  <c r="Y311" i="2"/>
  <c r="Y331" i="2"/>
  <c r="Y353" i="2"/>
  <c r="Y374" i="2"/>
  <c r="Y395" i="2"/>
  <c r="Y416" i="2"/>
  <c r="Y437" i="2"/>
  <c r="Y457" i="2"/>
  <c r="Y478" i="2"/>
  <c r="Y500" i="2"/>
  <c r="Y520" i="2"/>
  <c r="Y542" i="2"/>
  <c r="Y562" i="2"/>
  <c r="Y583" i="2"/>
  <c r="Y603" i="2"/>
  <c r="Y624" i="2"/>
  <c r="Y646" i="2"/>
  <c r="Y666" i="2"/>
  <c r="Y688" i="2"/>
  <c r="Y709" i="2"/>
  <c r="Y729" i="2"/>
  <c r="Y750" i="2"/>
  <c r="Y770" i="2"/>
  <c r="Y792" i="2"/>
  <c r="Y815" i="2"/>
  <c r="Y838" i="2"/>
  <c r="Y859" i="2"/>
  <c r="Y882" i="2"/>
  <c r="Y904" i="2"/>
  <c r="Y927" i="2"/>
  <c r="Y950" i="2"/>
  <c r="Y971" i="2"/>
  <c r="Y996" i="2"/>
  <c r="Y16" i="2"/>
  <c r="Y35" i="2"/>
  <c r="Y55" i="2"/>
  <c r="Y74" i="2"/>
  <c r="Y94" i="2"/>
  <c r="Y114" i="2"/>
  <c r="Y133" i="2"/>
  <c r="Y152" i="2"/>
  <c r="Y171" i="2"/>
  <c r="Y192" i="2"/>
  <c r="Y211" i="2"/>
  <c r="Y230" i="2"/>
  <c r="Y250" i="2"/>
  <c r="Y271" i="2"/>
  <c r="Y292" i="2"/>
  <c r="Y312" i="2"/>
  <c r="Y334" i="2"/>
  <c r="Y354" i="2"/>
  <c r="Y375" i="2"/>
  <c r="Y397" i="2"/>
  <c r="Y417" i="2"/>
  <c r="Y438" i="2"/>
  <c r="Y458" i="2"/>
  <c r="Y480" i="2"/>
  <c r="Y501" i="2"/>
  <c r="Y521" i="2"/>
  <c r="Y543" i="2"/>
  <c r="Y564" i="2"/>
  <c r="Y584" i="2"/>
  <c r="Y605" i="2"/>
  <c r="Y626" i="2"/>
  <c r="Y647" i="2"/>
  <c r="Y667" i="2"/>
  <c r="Y689" i="2"/>
  <c r="Y710" i="2"/>
  <c r="Y730" i="2"/>
  <c r="Y751" i="2"/>
  <c r="Y773" i="2"/>
  <c r="Y793" i="2"/>
  <c r="Y816" i="2"/>
  <c r="Y839" i="2"/>
  <c r="Y862" i="2"/>
  <c r="Y884" i="2"/>
  <c r="Y905" i="2"/>
  <c r="Y929" i="2"/>
  <c r="Y951" i="2"/>
  <c r="Y974" i="2"/>
  <c r="B4" i="2" a="1"/>
  <c r="A16" i="2"/>
  <c r="A35" i="2"/>
  <c r="A55" i="2"/>
  <c r="A75" i="2"/>
  <c r="A94" i="2"/>
  <c r="A114" i="2"/>
  <c r="A133" i="2"/>
  <c r="A154" i="2"/>
  <c r="A174" i="2"/>
  <c r="A195" i="2"/>
  <c r="A215" i="2"/>
  <c r="A236" i="2"/>
  <c r="A259" i="2"/>
  <c r="A279" i="2"/>
  <c r="A300" i="2"/>
  <c r="A321" i="2"/>
  <c r="A341" i="2"/>
  <c r="A362" i="2"/>
  <c r="A382" i="2"/>
  <c r="A405" i="2"/>
  <c r="A426" i="2"/>
  <c r="A446" i="2"/>
  <c r="A467" i="2"/>
  <c r="A487" i="2"/>
  <c r="A508" i="2"/>
  <c r="A529" i="2"/>
  <c r="A551" i="2"/>
  <c r="A572" i="2"/>
  <c r="A594" i="2"/>
  <c r="A615" i="2"/>
  <c r="A637" i="2"/>
  <c r="A660" i="2"/>
  <c r="A682" i="2"/>
  <c r="A708" i="2"/>
  <c r="A732" i="2"/>
  <c r="A756" i="2"/>
  <c r="A780" i="2"/>
  <c r="A804" i="2"/>
  <c r="A828" i="2"/>
  <c r="A852" i="2"/>
  <c r="A878" i="2"/>
  <c r="A902" i="2"/>
  <c r="A926" i="2"/>
  <c r="A950" i="2"/>
  <c r="A974" i="2"/>
  <c r="A998" i="2"/>
  <c r="A17" i="2"/>
  <c r="A37" i="2"/>
  <c r="A57" i="2"/>
  <c r="A76" i="2"/>
  <c r="A96" i="2"/>
  <c r="A115" i="2"/>
  <c r="A134" i="2"/>
  <c r="A155" i="2"/>
  <c r="A176" i="2"/>
  <c r="A196" i="2"/>
  <c r="A217" i="2"/>
  <c r="A238" i="2"/>
  <c r="A260" i="2"/>
  <c r="A281" i="2"/>
  <c r="A301" i="2"/>
  <c r="A322" i="2"/>
  <c r="A342" i="2"/>
  <c r="A363" i="2"/>
  <c r="A385" i="2"/>
  <c r="A406" i="2"/>
  <c r="A427" i="2"/>
  <c r="A448" i="2"/>
  <c r="A468" i="2"/>
  <c r="A489" i="2"/>
  <c r="A509" i="2"/>
  <c r="A531" i="2"/>
  <c r="A553" i="2"/>
  <c r="A573" i="2"/>
  <c r="A595" i="2"/>
  <c r="A617" i="2"/>
  <c r="A638" i="2"/>
  <c r="A661" i="2"/>
  <c r="A684" i="2"/>
  <c r="A709" i="2"/>
  <c r="A733" i="2"/>
  <c r="A757" i="2"/>
  <c r="A781" i="2"/>
  <c r="A805" i="2"/>
  <c r="A829" i="2"/>
  <c r="A854" i="2"/>
  <c r="A881" i="2"/>
  <c r="A903" i="2"/>
  <c r="A929" i="2"/>
  <c r="A951" i="2"/>
  <c r="A977" i="2"/>
  <c r="A999" i="2"/>
  <c r="A19" i="2"/>
  <c r="A38" i="2"/>
  <c r="A58" i="2"/>
  <c r="A77" i="2"/>
  <c r="A97" i="2"/>
  <c r="A116" i="2"/>
  <c r="A135" i="2"/>
  <c r="A156" i="2"/>
  <c r="A177" i="2"/>
  <c r="A197" i="2"/>
  <c r="A218" i="2"/>
  <c r="A241" i="2"/>
  <c r="A261" i="2"/>
  <c r="A282" i="2"/>
  <c r="A302" i="2"/>
  <c r="A323" i="2"/>
  <c r="A343" i="2"/>
  <c r="A364" i="2"/>
  <c r="A387" i="2"/>
  <c r="A407" i="2"/>
  <c r="A428" i="2"/>
  <c r="A449" i="2"/>
  <c r="A469" i="2"/>
  <c r="A490" i="2"/>
  <c r="A510" i="2"/>
  <c r="A533" i="2"/>
  <c r="A554" i="2"/>
  <c r="A574" i="2"/>
  <c r="A596" i="2"/>
  <c r="A618" i="2"/>
  <c r="A641" i="2"/>
  <c r="A662" i="2"/>
  <c r="A686" i="2"/>
  <c r="A710" i="2"/>
  <c r="A734" i="2"/>
  <c r="A758" i="2"/>
  <c r="A782" i="2"/>
  <c r="A806" i="2"/>
  <c r="A830" i="2"/>
  <c r="A858" i="2"/>
  <c r="A882" i="2"/>
  <c r="A906" i="2"/>
  <c r="A930" i="2"/>
  <c r="A954" i="2"/>
  <c r="A978" i="2"/>
  <c r="A1002" i="2"/>
  <c r="A20" i="2"/>
  <c r="A39" i="2"/>
  <c r="A59" i="2"/>
  <c r="A78" i="2"/>
  <c r="A98" i="2"/>
  <c r="A117" i="2"/>
  <c r="A137" i="2"/>
  <c r="A157" i="2"/>
  <c r="A178" i="2"/>
  <c r="A198" i="2"/>
  <c r="A220" i="2"/>
  <c r="A242" i="2"/>
  <c r="A262" i="2"/>
  <c r="A283" i="2"/>
  <c r="A304" i="2"/>
  <c r="A324" i="2"/>
  <c r="A345" i="2"/>
  <c r="A366" i="2"/>
  <c r="A388" i="2"/>
  <c r="A409" i="2"/>
  <c r="A429" i="2"/>
  <c r="A450" i="2"/>
  <c r="A470" i="2"/>
  <c r="A491" i="2"/>
  <c r="A513" i="2"/>
  <c r="A534" i="2"/>
  <c r="A555" i="2"/>
  <c r="A576" i="2"/>
  <c r="A597" i="2"/>
  <c r="A619" i="2"/>
  <c r="A642" i="2"/>
  <c r="A665" i="2"/>
  <c r="A689" i="2"/>
  <c r="A711" i="2"/>
  <c r="A737" i="2"/>
  <c r="A759" i="2"/>
  <c r="A785" i="2"/>
  <c r="A807" i="2"/>
  <c r="A834" i="2"/>
  <c r="A859" i="2"/>
  <c r="A883" i="2"/>
  <c r="A907" i="2"/>
  <c r="A931" i="2"/>
  <c r="A955" i="2"/>
  <c r="A979" i="2"/>
  <c r="A21" i="2"/>
  <c r="A41" i="2"/>
  <c r="A60" i="2"/>
  <c r="A80" i="2"/>
  <c r="A99" i="2"/>
  <c r="A118" i="2"/>
  <c r="A138" i="2"/>
  <c r="A158" i="2"/>
  <c r="A179" i="2"/>
  <c r="A199" i="2"/>
  <c r="A222" i="2"/>
  <c r="A243" i="2"/>
  <c r="A263" i="2"/>
  <c r="A284" i="2"/>
  <c r="A305" i="2"/>
  <c r="A325" i="2"/>
  <c r="A346" i="2"/>
  <c r="A369" i="2"/>
  <c r="A389" i="2"/>
  <c r="A410" i="2"/>
  <c r="A430" i="2"/>
  <c r="A451" i="2"/>
  <c r="A471" i="2"/>
  <c r="A492" i="2"/>
  <c r="A515" i="2"/>
  <c r="A535" i="2"/>
  <c r="A556" i="2"/>
  <c r="A577" i="2"/>
  <c r="A598" i="2"/>
  <c r="A620" i="2"/>
  <c r="A643" i="2"/>
  <c r="A667" i="2"/>
  <c r="A690" i="2"/>
  <c r="A714" i="2"/>
  <c r="A738" i="2"/>
  <c r="A762" i="2"/>
  <c r="A786" i="2"/>
  <c r="A810" i="2"/>
  <c r="A836" i="2"/>
  <c r="A860" i="2"/>
  <c r="A884" i="2"/>
  <c r="A908" i="2"/>
  <c r="A932" i="2"/>
  <c r="A956" i="2"/>
  <c r="CP4" i="1" a="1"/>
  <c r="CP1488" i="1" s="1"/>
  <c r="A992" i="2"/>
  <c r="A976" i="2"/>
  <c r="A960" i="2"/>
  <c r="A944" i="2"/>
  <c r="A928" i="2"/>
  <c r="A912" i="2"/>
  <c r="A896" i="2"/>
  <c r="A880" i="2"/>
  <c r="A864" i="2"/>
  <c r="A848" i="2"/>
  <c r="A832" i="2"/>
  <c r="A816" i="2"/>
  <c r="A800" i="2"/>
  <c r="A784" i="2"/>
  <c r="A768" i="2"/>
  <c r="A752" i="2"/>
  <c r="A736" i="2"/>
  <c r="A720" i="2"/>
  <c r="A704" i="2"/>
  <c r="A688" i="2"/>
  <c r="A672" i="2"/>
  <c r="A656" i="2"/>
  <c r="A640" i="2"/>
  <c r="A624" i="2"/>
  <c r="A608" i="2"/>
  <c r="A592" i="2"/>
  <c r="A991" i="2"/>
  <c r="A975" i="2"/>
  <c r="A959" i="2"/>
  <c r="A943" i="2"/>
  <c r="A927" i="2"/>
  <c r="A911" i="2"/>
  <c r="A895" i="2"/>
  <c r="A879" i="2"/>
  <c r="A863" i="2"/>
  <c r="A847" i="2"/>
  <c r="A831" i="2"/>
  <c r="A815" i="2"/>
  <c r="A799" i="2"/>
  <c r="A783" i="2"/>
  <c r="A767" i="2"/>
  <c r="A751" i="2"/>
  <c r="A735" i="2"/>
  <c r="A719" i="2"/>
  <c r="A703" i="2"/>
  <c r="A687" i="2"/>
  <c r="A671" i="2"/>
  <c r="A655" i="2"/>
  <c r="A639" i="2"/>
  <c r="A623" i="2"/>
  <c r="A607" i="2"/>
  <c r="A591" i="2"/>
  <c r="A575" i="2"/>
  <c r="A559" i="2"/>
  <c r="A543" i="2"/>
  <c r="A527" i="2"/>
  <c r="A511" i="2"/>
  <c r="A495" i="2"/>
  <c r="A479" i="2"/>
  <c r="A463" i="2"/>
  <c r="A447" i="2"/>
  <c r="A431" i="2"/>
  <c r="A415" i="2"/>
  <c r="A399" i="2"/>
  <c r="A383" i="2"/>
  <c r="A367" i="2"/>
  <c r="A351" i="2"/>
  <c r="A335" i="2"/>
  <c r="A319" i="2"/>
  <c r="A303" i="2"/>
  <c r="A287" i="2"/>
  <c r="A271" i="2"/>
  <c r="A255" i="2"/>
  <c r="A239" i="2"/>
  <c r="A223" i="2"/>
  <c r="A207" i="2"/>
  <c r="A191" i="2"/>
  <c r="A175" i="2"/>
  <c r="A159" i="2"/>
  <c r="A143" i="2"/>
  <c r="A127" i="2"/>
  <c r="A111" i="2"/>
  <c r="A95" i="2"/>
  <c r="A79" i="2"/>
  <c r="A63" i="2"/>
  <c r="A47" i="2"/>
  <c r="A31" i="2"/>
  <c r="A15" i="2"/>
  <c r="A1001" i="2"/>
  <c r="A985" i="2"/>
  <c r="A969" i="2"/>
  <c r="A953" i="2"/>
  <c r="A937" i="2"/>
  <c r="A921" i="2"/>
  <c r="A905" i="2"/>
  <c r="A889" i="2"/>
  <c r="A873" i="2"/>
  <c r="A857" i="2"/>
  <c r="A841" i="2"/>
  <c r="A825" i="2"/>
  <c r="A809" i="2"/>
  <c r="A793" i="2"/>
  <c r="A777" i="2"/>
  <c r="A761" i="2"/>
  <c r="A745" i="2"/>
  <c r="A729" i="2"/>
  <c r="A713" i="2"/>
  <c r="A697" i="2"/>
  <c r="A1000" i="2"/>
  <c r="A984" i="2"/>
  <c r="A968" i="2"/>
  <c r="A952" i="2"/>
  <c r="A936" i="2"/>
  <c r="A920" i="2"/>
  <c r="A904" i="2"/>
  <c r="A888" i="2"/>
  <c r="A872" i="2"/>
  <c r="A856" i="2"/>
  <c r="A840" i="2"/>
  <c r="A824" i="2"/>
  <c r="A808" i="2"/>
  <c r="A792" i="2"/>
  <c r="A776" i="2"/>
  <c r="A760" i="2"/>
  <c r="A744" i="2"/>
  <c r="A728" i="2"/>
  <c r="A712" i="2"/>
  <c r="A696" i="2"/>
  <c r="A680" i="2"/>
  <c r="A664" i="2"/>
  <c r="A648" i="2"/>
  <c r="A632" i="2"/>
  <c r="A616" i="2"/>
  <c r="A600" i="2"/>
  <c r="A584" i="2"/>
  <c r="A568" i="2"/>
  <c r="A552" i="2"/>
  <c r="A536" i="2"/>
  <c r="A520" i="2"/>
  <c r="A504" i="2"/>
  <c r="A488" i="2"/>
  <c r="A472" i="2"/>
  <c r="A456" i="2"/>
  <c r="A440" i="2"/>
  <c r="A424" i="2"/>
  <c r="A408" i="2"/>
  <c r="A392" i="2"/>
  <c r="A376" i="2"/>
  <c r="A360" i="2"/>
  <c r="A344" i="2"/>
  <c r="A328" i="2"/>
  <c r="A312" i="2"/>
  <c r="A296" i="2"/>
  <c r="A280" i="2"/>
  <c r="A264" i="2"/>
  <c r="A248" i="2"/>
  <c r="A232" i="2"/>
  <c r="A216" i="2"/>
  <c r="A200" i="2"/>
  <c r="A184" i="2"/>
  <c r="A168" i="2"/>
  <c r="A152" i="2"/>
  <c r="A136" i="2"/>
  <c r="A120" i="2"/>
  <c r="A104" i="2"/>
  <c r="A88" i="2"/>
  <c r="A72" i="2"/>
  <c r="A56" i="2"/>
  <c r="A40" i="2"/>
  <c r="A24" i="2"/>
  <c r="A8" i="2"/>
  <c r="A983" i="2"/>
  <c r="A963" i="2"/>
  <c r="A941" i="2"/>
  <c r="A919" i="2"/>
  <c r="A899" i="2"/>
  <c r="A877" i="2"/>
  <c r="A855" i="2"/>
  <c r="A835" i="2"/>
  <c r="A813" i="2"/>
  <c r="A791" i="2"/>
  <c r="A771" i="2"/>
  <c r="A749" i="2"/>
  <c r="A727" i="2"/>
  <c r="A707" i="2"/>
  <c r="A685" i="2"/>
  <c r="A666" i="2"/>
  <c r="A646" i="2"/>
  <c r="A627" i="2"/>
  <c r="A606" i="2"/>
  <c r="A587" i="2"/>
  <c r="A569" i="2"/>
  <c r="A550" i="2"/>
  <c r="A532" i="2"/>
  <c r="A514" i="2"/>
  <c r="A496" i="2"/>
  <c r="A477" i="2"/>
  <c r="A459" i="2"/>
  <c r="A441" i="2"/>
  <c r="A422" i="2"/>
  <c r="A404" i="2"/>
  <c r="A386" i="2"/>
  <c r="A368" i="2"/>
  <c r="A349" i="2"/>
  <c r="A331" i="2"/>
  <c r="A313" i="2"/>
  <c r="A294" i="2"/>
  <c r="A276" i="2"/>
  <c r="A258" i="2"/>
  <c r="A240" i="2"/>
  <c r="A221" i="2"/>
  <c r="A203" i="2"/>
  <c r="A185" i="2"/>
  <c r="A166" i="2"/>
  <c r="A148" i="2"/>
  <c r="A1003" i="2"/>
  <c r="A981" i="2"/>
  <c r="A961" i="2"/>
  <c r="A939" i="2"/>
  <c r="A917" i="2"/>
  <c r="A897" i="2"/>
  <c r="A875" i="2"/>
  <c r="A853" i="2"/>
  <c r="A833" i="2"/>
  <c r="A811" i="2"/>
  <c r="A789" i="2"/>
  <c r="A769" i="2"/>
  <c r="A747" i="2"/>
  <c r="A725" i="2"/>
  <c r="A705" i="2"/>
  <c r="A683" i="2"/>
  <c r="A663" i="2"/>
  <c r="A644" i="2"/>
  <c r="A625" i="2"/>
  <c r="A604" i="2"/>
  <c r="A585" i="2"/>
  <c r="A566" i="2"/>
  <c r="A548" i="2"/>
  <c r="A530" i="2"/>
  <c r="A512" i="2"/>
  <c r="A493" i="2"/>
  <c r="A475" i="2"/>
  <c r="A457" i="2"/>
  <c r="A438" i="2"/>
  <c r="A420" i="2"/>
  <c r="A402" i="2"/>
  <c r="A384" i="2"/>
  <c r="A365" i="2"/>
  <c r="A347" i="2"/>
  <c r="A329" i="2"/>
  <c r="A310" i="2"/>
  <c r="A292" i="2"/>
  <c r="A274" i="2"/>
  <c r="A256" i="2"/>
  <c r="A237" i="2"/>
  <c r="A219" i="2"/>
  <c r="A201" i="2"/>
  <c r="A182" i="2"/>
  <c r="A164" i="2"/>
  <c r="A146" i="2"/>
  <c r="A128" i="2"/>
  <c r="A109" i="2"/>
  <c r="A91" i="2"/>
  <c r="A73" i="2"/>
  <c r="A54" i="2"/>
  <c r="A36" i="2"/>
  <c r="A18" i="2"/>
  <c r="A22" i="2"/>
  <c r="A42" i="2"/>
  <c r="A61" i="2"/>
  <c r="A81" i="2"/>
  <c r="A100" i="2"/>
  <c r="A119" i="2"/>
  <c r="A139" i="2"/>
  <c r="A160" i="2"/>
  <c r="A180" i="2"/>
  <c r="A202" i="2"/>
  <c r="A224" i="2"/>
  <c r="A244" i="2"/>
  <c r="A265" i="2"/>
  <c r="A285" i="2"/>
  <c r="A306" i="2"/>
  <c r="A326" i="2"/>
  <c r="A348" i="2"/>
  <c r="A370" i="2"/>
  <c r="A390" i="2"/>
  <c r="A411" i="2"/>
  <c r="A432" i="2"/>
  <c r="A452" i="2"/>
  <c r="A473" i="2"/>
  <c r="A494" i="2"/>
  <c r="A516" i="2"/>
  <c r="A537" i="2"/>
  <c r="A557" i="2"/>
  <c r="A578" i="2"/>
  <c r="A599" i="2"/>
  <c r="A621" i="2"/>
  <c r="A645" i="2"/>
  <c r="A668" i="2"/>
  <c r="A691" i="2"/>
  <c r="A715" i="2"/>
  <c r="A739" i="2"/>
  <c r="A763" i="2"/>
  <c r="A787" i="2"/>
  <c r="A812" i="2"/>
  <c r="A837" i="2"/>
  <c r="A861" i="2"/>
  <c r="A885" i="2"/>
  <c r="A909" i="2"/>
  <c r="A933" i="2"/>
  <c r="A957" i="2"/>
  <c r="A982" i="2"/>
  <c r="A4" i="2"/>
  <c r="A23" i="2"/>
  <c r="A43" i="2"/>
  <c r="A62" i="2"/>
  <c r="A82" i="2"/>
  <c r="A101" i="2"/>
  <c r="A121" i="2"/>
  <c r="A140" i="2"/>
  <c r="A161" i="2"/>
  <c r="A181" i="2"/>
  <c r="A204" i="2"/>
  <c r="A225" i="2"/>
  <c r="A245" i="2"/>
  <c r="A266" i="2"/>
  <c r="A286" i="2"/>
  <c r="A307" i="2"/>
  <c r="A327" i="2"/>
  <c r="A350" i="2"/>
  <c r="A371" i="2"/>
  <c r="A391" i="2"/>
  <c r="A412" i="2"/>
  <c r="A433" i="2"/>
  <c r="A453" i="2"/>
  <c r="A474" i="2"/>
  <c r="A497" i="2"/>
  <c r="A517" i="2"/>
  <c r="A538" i="2"/>
  <c r="A558" i="2"/>
  <c r="A579" i="2"/>
  <c r="A601" i="2"/>
  <c r="A622" i="2"/>
  <c r="A647" i="2"/>
  <c r="A669" i="2"/>
  <c r="A692" i="2"/>
  <c r="A716" i="2"/>
  <c r="A740" i="2"/>
  <c r="A764" i="2"/>
  <c r="A788" i="2"/>
  <c r="A814" i="2"/>
  <c r="A838" i="2"/>
  <c r="A862" i="2"/>
  <c r="A886" i="2"/>
  <c r="A910" i="2"/>
  <c r="A934" i="2"/>
  <c r="A958" i="2"/>
  <c r="A986" i="2"/>
  <c r="A5" i="2"/>
  <c r="A25" i="2"/>
  <c r="A44" i="2"/>
  <c r="A64" i="2"/>
  <c r="A83" i="2"/>
  <c r="A102" i="2"/>
  <c r="A122" i="2"/>
  <c r="A141" i="2"/>
  <c r="A162" i="2"/>
  <c r="A183" i="2"/>
  <c r="A205" i="2"/>
  <c r="A226" i="2"/>
  <c r="A246" i="2"/>
  <c r="A267" i="2"/>
  <c r="A288" i="2"/>
  <c r="A308" i="2"/>
  <c r="A330" i="2"/>
  <c r="A352" i="2"/>
  <c r="A372" i="2"/>
  <c r="A393" i="2"/>
  <c r="A413" i="2"/>
  <c r="A434" i="2"/>
  <c r="A454" i="2"/>
  <c r="A476" i="2"/>
  <c r="A498" i="2"/>
  <c r="A518" i="2"/>
  <c r="A539" i="2"/>
  <c r="A560" i="2"/>
  <c r="A580" i="2"/>
  <c r="A602" i="2"/>
  <c r="A626" i="2"/>
  <c r="A649" i="2"/>
  <c r="A670" i="2"/>
  <c r="A693" i="2"/>
  <c r="A717" i="2"/>
  <c r="A741" i="2"/>
  <c r="A765" i="2"/>
  <c r="A790" i="2"/>
  <c r="A817" i="2"/>
  <c r="A839" i="2"/>
  <c r="A865" i="2"/>
  <c r="A887" i="2"/>
  <c r="A913" i="2"/>
  <c r="A935" i="2"/>
  <c r="A962" i="2"/>
  <c r="A987" i="2"/>
  <c r="A6" i="2"/>
  <c r="A26" i="2"/>
  <c r="A45" i="2"/>
  <c r="A65" i="2"/>
  <c r="A84" i="2"/>
  <c r="A103" i="2"/>
  <c r="A123" i="2"/>
  <c r="A142" i="2"/>
  <c r="A163" i="2"/>
  <c r="A186" i="2"/>
  <c r="A206" i="2"/>
  <c r="A227" i="2"/>
  <c r="A247" i="2"/>
  <c r="A268" i="2"/>
  <c r="A289" i="2"/>
  <c r="A309" i="2"/>
  <c r="A332" i="2"/>
  <c r="A353" i="2"/>
  <c r="A373" i="2"/>
  <c r="A394" i="2"/>
  <c r="A414" i="2"/>
  <c r="A435" i="2"/>
  <c r="A455" i="2"/>
  <c r="A478" i="2"/>
  <c r="A499" i="2"/>
  <c r="A519" i="2"/>
  <c r="A540" i="2"/>
  <c r="A561" i="2"/>
  <c r="A581" i="2"/>
  <c r="A603" i="2"/>
  <c r="A628" i="2"/>
  <c r="A650" i="2"/>
  <c r="A673" i="2"/>
  <c r="A694" i="2"/>
  <c r="A718" i="2"/>
  <c r="A742" i="2"/>
  <c r="A766" i="2"/>
  <c r="A794" i="2"/>
  <c r="A818" i="2"/>
  <c r="A842" i="2"/>
  <c r="A866" i="2"/>
  <c r="A890" i="2"/>
  <c r="A914" i="2"/>
  <c r="A938" i="2"/>
  <c r="A964" i="2"/>
  <c r="A988" i="2"/>
  <c r="A7" i="2"/>
  <c r="A27" i="2"/>
  <c r="A46" i="2"/>
  <c r="A66" i="2"/>
  <c r="A85" i="2"/>
  <c r="A105" i="2"/>
  <c r="A124" i="2"/>
  <c r="A144" i="2"/>
  <c r="A165" i="2"/>
  <c r="A187" i="2"/>
  <c r="A208" i="2"/>
  <c r="A228" i="2"/>
  <c r="A249" i="2"/>
  <c r="A269" i="2"/>
  <c r="A290" i="2"/>
  <c r="A311" i="2"/>
  <c r="A333" i="2"/>
  <c r="A354" i="2"/>
  <c r="A374" i="2"/>
  <c r="A395" i="2"/>
  <c r="A416" i="2"/>
  <c r="A436" i="2"/>
  <c r="A458" i="2"/>
  <c r="A480" i="2"/>
  <c r="A500" i="2"/>
  <c r="A521" i="2"/>
  <c r="A541" i="2"/>
  <c r="A562" i="2"/>
  <c r="A582" i="2"/>
  <c r="A605" i="2"/>
  <c r="A629" i="2"/>
  <c r="A651" i="2"/>
  <c r="A674" i="2"/>
  <c r="A695" i="2"/>
  <c r="A721" i="2"/>
  <c r="A743" i="2"/>
  <c r="A770" i="2"/>
  <c r="A795" i="2"/>
  <c r="A819" i="2"/>
  <c r="A843" i="2"/>
  <c r="A867" i="2"/>
  <c r="A891" i="2"/>
  <c r="A915" i="2"/>
  <c r="A940" i="2"/>
  <c r="A965" i="2"/>
  <c r="A989" i="2"/>
  <c r="Y995" i="2"/>
  <c r="Y979" i="2"/>
  <c r="Y963" i="2"/>
  <c r="Y947" i="2"/>
  <c r="Y931" i="2"/>
  <c r="Y915" i="2"/>
  <c r="Y899" i="2"/>
  <c r="Y883" i="2"/>
  <c r="Y867" i="2"/>
  <c r="Y851" i="2"/>
  <c r="Y835" i="2"/>
  <c r="Y819" i="2"/>
  <c r="Y803" i="2"/>
  <c r="Y787" i="2"/>
  <c r="Y771" i="2"/>
  <c r="Y755" i="2"/>
  <c r="Y739" i="2"/>
  <c r="Y723" i="2"/>
  <c r="Y707" i="2"/>
  <c r="Y691" i="2"/>
  <c r="Y675" i="2"/>
  <c r="Y659" i="2"/>
  <c r="Y643" i="2"/>
  <c r="Y627" i="2"/>
  <c r="Y611" i="2"/>
  <c r="Y595" i="2"/>
  <c r="Y579" i="2"/>
  <c r="Y563" i="2"/>
  <c r="Y547" i="2"/>
  <c r="Y531" i="2"/>
  <c r="Y515" i="2"/>
  <c r="Y499" i="2"/>
  <c r="Y483" i="2"/>
  <c r="Y467" i="2"/>
  <c r="Y451" i="2"/>
  <c r="Y435" i="2"/>
  <c r="Y419" i="2"/>
  <c r="Y403" i="2"/>
  <c r="Y387" i="2"/>
  <c r="Y371" i="2"/>
  <c r="Y355" i="2"/>
  <c r="Y339" i="2"/>
  <c r="Y323" i="2"/>
  <c r="Y307" i="2"/>
  <c r="Y291" i="2"/>
  <c r="Y275" i="2"/>
  <c r="Y259" i="2"/>
  <c r="Y989" i="2"/>
  <c r="Y973" i="2"/>
  <c r="Y957" i="2"/>
  <c r="Y941" i="2"/>
  <c r="Y925" i="2"/>
  <c r="Y909" i="2"/>
  <c r="Y893" i="2"/>
  <c r="Y877" i="2"/>
  <c r="Y861" i="2"/>
  <c r="Y845" i="2"/>
  <c r="Y829" i="2"/>
  <c r="Y813" i="2"/>
  <c r="Y797" i="2"/>
  <c r="Y988" i="2"/>
  <c r="Y972" i="2"/>
  <c r="Y956" i="2"/>
  <c r="Y940" i="2"/>
  <c r="Y924" i="2"/>
  <c r="Y908" i="2"/>
  <c r="Y892" i="2"/>
  <c r="Y876" i="2"/>
  <c r="Y860" i="2"/>
  <c r="Y844" i="2"/>
  <c r="Y828" i="2"/>
  <c r="Y812" i="2"/>
  <c r="Y796" i="2"/>
  <c r="Y780" i="2"/>
  <c r="Y764" i="2"/>
  <c r="Y748" i="2"/>
  <c r="Y732" i="2"/>
  <c r="Y716" i="2"/>
  <c r="Y700" i="2"/>
  <c r="Y684" i="2"/>
  <c r="Y668" i="2"/>
  <c r="Y652" i="2"/>
  <c r="Y636" i="2"/>
  <c r="Y620" i="2"/>
  <c r="Y604" i="2"/>
  <c r="Y588" i="2"/>
  <c r="Y572" i="2"/>
  <c r="Y556" i="2"/>
  <c r="Y540" i="2"/>
  <c r="Y524" i="2"/>
  <c r="Y508" i="2"/>
  <c r="Y492" i="2"/>
  <c r="Y476" i="2"/>
  <c r="Y460" i="2"/>
  <c r="Y444" i="2"/>
  <c r="Y428" i="2"/>
  <c r="Y412" i="2"/>
  <c r="Y396" i="2"/>
  <c r="Y380" i="2"/>
  <c r="Y364" i="2"/>
  <c r="Y348" i="2"/>
  <c r="Y332" i="2"/>
  <c r="Y316" i="2"/>
  <c r="Y300" i="2"/>
  <c r="Y284" i="2"/>
  <c r="Y268" i="2"/>
  <c r="Y252" i="2"/>
  <c r="Y236" i="2"/>
  <c r="Y220" i="2"/>
  <c r="Y204" i="2"/>
  <c r="Y188" i="2"/>
  <c r="Y172" i="2"/>
  <c r="Y156" i="2"/>
  <c r="Y140" i="2"/>
  <c r="Y124" i="2"/>
  <c r="Y108" i="2"/>
  <c r="Y92" i="2"/>
  <c r="Y76" i="2"/>
  <c r="Y60" i="2"/>
  <c r="Y44" i="2"/>
  <c r="Y28" i="2"/>
  <c r="Y12" i="2"/>
  <c r="Y20" i="2"/>
  <c r="Y37" i="2"/>
  <c r="Y54" i="2"/>
  <c r="Y71" i="2"/>
  <c r="Y88" i="2"/>
  <c r="Y105" i="2"/>
  <c r="Y122" i="2"/>
  <c r="Y139" i="2"/>
  <c r="Y157" i="2"/>
  <c r="Y174" i="2"/>
  <c r="Y191" i="2"/>
  <c r="Y208" i="2"/>
  <c r="Y225" i="2"/>
  <c r="Y242" i="2"/>
  <c r="Y260" i="2"/>
  <c r="Y278" i="2"/>
  <c r="Y296" i="2"/>
  <c r="Y314" i="2"/>
  <c r="Y333" i="2"/>
  <c r="Y351" i="2"/>
  <c r="Y369" i="2"/>
  <c r="Y388" i="2"/>
  <c r="Y406" i="2"/>
  <c r="Y424" i="2"/>
  <c r="Y442" i="2"/>
  <c r="Y461" i="2"/>
  <c r="Y479" i="2"/>
  <c r="Y497" i="2"/>
  <c r="Y516" i="2"/>
  <c r="Y534" i="2"/>
  <c r="Y552" i="2"/>
  <c r="Y570" i="2"/>
  <c r="Y589" i="2"/>
  <c r="Y607" i="2"/>
  <c r="Y625" i="2"/>
  <c r="Y644" i="2"/>
  <c r="Y662" i="2"/>
  <c r="Y680" i="2"/>
  <c r="Y698" i="2"/>
  <c r="Y717" i="2"/>
  <c r="Y735" i="2"/>
  <c r="Y753" i="2"/>
  <c r="Y772" i="2"/>
  <c r="Y790" i="2"/>
  <c r="Y809" i="2"/>
  <c r="Y830" i="2"/>
  <c r="Y849" i="2"/>
  <c r="Y869" i="2"/>
  <c r="Y888" i="2"/>
  <c r="Y907" i="2"/>
  <c r="Y928" i="2"/>
  <c r="Y948" i="2"/>
  <c r="Y967" i="2"/>
  <c r="Y986" i="2"/>
  <c r="Y9" i="2"/>
  <c r="Y26" i="2"/>
  <c r="Y43" i="2"/>
  <c r="Y61" i="2"/>
  <c r="Y78" i="2"/>
  <c r="Y95" i="2"/>
  <c r="Y112" i="2"/>
  <c r="Y129" i="2"/>
  <c r="Y146" i="2"/>
  <c r="Y163" i="2"/>
  <c r="Y180" i="2"/>
  <c r="Y197" i="2"/>
  <c r="Y214" i="2"/>
  <c r="Y231" i="2"/>
  <c r="Y248" i="2"/>
  <c r="Y266" i="2"/>
  <c r="Y285" i="2"/>
  <c r="Y303" i="2"/>
  <c r="Y321" i="2"/>
  <c r="Y340" i="2"/>
  <c r="Y358" i="2"/>
  <c r="Y376" i="2"/>
  <c r="Y394" i="2"/>
  <c r="Y413" i="2"/>
  <c r="Y431" i="2"/>
  <c r="Y449" i="2"/>
  <c r="Y468" i="2"/>
  <c r="Y486" i="2"/>
  <c r="Y504" i="2"/>
  <c r="Y522" i="2"/>
  <c r="Y541" i="2"/>
  <c r="Y559" i="2"/>
  <c r="Y577" i="2"/>
  <c r="Y596" i="2"/>
  <c r="Y614" i="2"/>
  <c r="Y632" i="2"/>
  <c r="Y650" i="2"/>
  <c r="Y669" i="2"/>
  <c r="Y687" i="2"/>
  <c r="Y705" i="2"/>
  <c r="Y724" i="2"/>
  <c r="Y742" i="2"/>
  <c r="Y760" i="2"/>
  <c r="Y778" i="2"/>
  <c r="Y798" i="2"/>
  <c r="Y817" i="2"/>
  <c r="Y837" i="2"/>
  <c r="Y856" i="2"/>
  <c r="Y875" i="2"/>
  <c r="Y896" i="2"/>
  <c r="Y916" i="2"/>
  <c r="Y935" i="2"/>
  <c r="Y954" i="2"/>
  <c r="Y975" i="2"/>
  <c r="Y994" i="2"/>
  <c r="CY4" i="1" a="1"/>
  <c r="CS4" i="1" a="1"/>
  <c r="CR4" i="1" a="1"/>
  <c r="CT4" i="1" a="1"/>
  <c r="CQ4" i="1" a="1"/>
  <c r="DA4" i="1" a="1"/>
  <c r="CZ4" i="1" a="1"/>
  <c r="B205" i="1"/>
  <c r="B203" i="1"/>
  <c r="B202" i="1"/>
  <c r="B206" i="1"/>
  <c r="CP250" i="1" l="1"/>
  <c r="CP156" i="1"/>
  <c r="CP665" i="1"/>
  <c r="CP231" i="1"/>
  <c r="B207" i="1"/>
  <c r="CP15" i="1"/>
  <c r="CP179" i="1"/>
  <c r="CP547" i="1"/>
  <c r="CP1466" i="1"/>
  <c r="CP142" i="1"/>
  <c r="CP787" i="1"/>
  <c r="CP864" i="1"/>
  <c r="CP1207" i="1"/>
  <c r="CP469" i="1"/>
  <c r="CP370" i="1"/>
  <c r="CP1000" i="1"/>
  <c r="CP40" i="1"/>
  <c r="CP962" i="1"/>
  <c r="CP910" i="1"/>
  <c r="CP23" i="1"/>
  <c r="CP1543" i="1"/>
  <c r="CP652" i="1"/>
  <c r="CP110" i="1"/>
  <c r="CP80" i="1"/>
  <c r="CP952" i="1"/>
  <c r="CP653" i="1"/>
  <c r="CP464" i="1"/>
  <c r="CP1243" i="1"/>
  <c r="CP146" i="1"/>
  <c r="CP518" i="1"/>
  <c r="CP973" i="1"/>
  <c r="CP1372" i="1"/>
  <c r="CP1446" i="1"/>
  <c r="CP806" i="1"/>
  <c r="CP312" i="1"/>
  <c r="CP1380" i="1"/>
  <c r="CP197" i="1"/>
  <c r="CP548" i="1"/>
  <c r="CP1092" i="1"/>
  <c r="CP154" i="1"/>
  <c r="CP1512" i="1"/>
  <c r="CP884" i="1"/>
  <c r="CP1056" i="1"/>
  <c r="CP1225" i="1"/>
  <c r="CP428" i="1"/>
  <c r="CP19" i="1"/>
  <c r="CP1185" i="1"/>
  <c r="CP874" i="1"/>
  <c r="CP875" i="1"/>
  <c r="CP1579" i="1"/>
  <c r="CP475" i="1"/>
  <c r="CP284" i="1"/>
  <c r="CP1249" i="1"/>
  <c r="CP1376" i="1"/>
  <c r="CP1568" i="1"/>
  <c r="CP642" i="1"/>
  <c r="CP687" i="1"/>
  <c r="CP743" i="1"/>
  <c r="CP160" i="1"/>
  <c r="CP389" i="1"/>
  <c r="CP1381" i="1"/>
  <c r="CP336" i="1"/>
  <c r="CP1005" i="1"/>
  <c r="CP927" i="1"/>
  <c r="CP204" i="1"/>
  <c r="CP586" i="1"/>
  <c r="CP219" i="1"/>
  <c r="CP523" i="1"/>
  <c r="CP108" i="1"/>
  <c r="CP1234" i="1"/>
  <c r="CP1527" i="1"/>
  <c r="CP415" i="1"/>
  <c r="CP1096" i="1"/>
  <c r="CP1199" i="1"/>
  <c r="CP408" i="1"/>
  <c r="CP232" i="1"/>
  <c r="CP1473" i="1"/>
  <c r="CP467" i="1"/>
  <c r="CP831" i="1"/>
  <c r="CP873" i="1"/>
  <c r="CP222" i="1"/>
  <c r="CP796" i="1"/>
  <c r="CP1510" i="1"/>
  <c r="CP48" i="1"/>
  <c r="CP758" i="1"/>
  <c r="CP1475" i="1"/>
  <c r="CP1402" i="1"/>
  <c r="CP1398" i="1"/>
  <c r="CP619" i="1"/>
  <c r="CP825" i="1"/>
  <c r="CP295" i="1"/>
  <c r="CP942" i="1"/>
  <c r="CP117" i="1"/>
  <c r="CP267" i="1"/>
  <c r="CP977" i="1"/>
  <c r="CP1224" i="1"/>
  <c r="CP852" i="1"/>
  <c r="CP1132" i="1"/>
  <c r="CP563" i="1"/>
  <c r="CP49" i="1"/>
  <c r="CP626" i="1"/>
  <c r="CP1335" i="1"/>
  <c r="CP478" i="1"/>
  <c r="CP658" i="1"/>
  <c r="CP1340" i="1"/>
  <c r="CP1154" i="1"/>
  <c r="CP638" i="1"/>
  <c r="CP1062" i="1"/>
  <c r="CP1378" i="1"/>
  <c r="CP1353" i="1"/>
  <c r="CP814" i="1"/>
  <c r="CP1434" i="1"/>
  <c r="CP634" i="1"/>
  <c r="CP908" i="1"/>
  <c r="CP1559" i="1"/>
  <c r="CP747" i="1"/>
  <c r="CP427" i="1"/>
  <c r="CP366" i="1"/>
  <c r="CP997" i="1"/>
  <c r="CP1298" i="1"/>
  <c r="CP1187" i="1"/>
  <c r="CP151" i="1"/>
  <c r="CP1097" i="1"/>
  <c r="CP1369" i="1"/>
  <c r="CP265" i="1"/>
  <c r="CP429" i="1"/>
  <c r="CP270" i="1"/>
  <c r="CP162" i="1"/>
  <c r="CP828" i="1"/>
  <c r="CP445" i="1"/>
  <c r="CP1287" i="1"/>
  <c r="CP318" i="1"/>
  <c r="CP1197" i="1"/>
  <c r="CP1082" i="1"/>
  <c r="CP457" i="1"/>
  <c r="CP205" i="1"/>
  <c r="CP733" i="1"/>
  <c r="CP228" i="1"/>
  <c r="CP1083" i="1"/>
  <c r="CP991" i="1"/>
  <c r="CP1330" i="1"/>
  <c r="CP727" i="1"/>
  <c r="CP1306" i="1"/>
  <c r="CP56" i="1"/>
  <c r="CP531" i="1"/>
  <c r="CP1095" i="1"/>
  <c r="CP594" i="1"/>
  <c r="CP1447" i="1"/>
  <c r="CP1333" i="1"/>
  <c r="CP955" i="1"/>
  <c r="CP679" i="1"/>
  <c r="CP448" i="1"/>
  <c r="CP165" i="1"/>
  <c r="CP608" i="1"/>
  <c r="CP1313" i="1"/>
  <c r="CP822" i="1"/>
  <c r="CP322" i="1"/>
  <c r="CP1538" i="1"/>
  <c r="CP183" i="1"/>
  <c r="CP567" i="1"/>
  <c r="CP1063" i="1"/>
  <c r="CP1549" i="1"/>
  <c r="CP315" i="1"/>
  <c r="CP835" i="1"/>
  <c r="CP1309" i="1"/>
  <c r="CP223" i="1"/>
  <c r="CP627" i="1"/>
  <c r="CP1188" i="1"/>
  <c r="CP42" i="1"/>
  <c r="CP472" i="1"/>
  <c r="CP963" i="1"/>
  <c r="CP1458" i="1"/>
  <c r="CP337" i="1"/>
  <c r="CP755" i="1"/>
  <c r="CP1336" i="1"/>
  <c r="CP172" i="1"/>
  <c r="CP674" i="1"/>
  <c r="CP1123" i="1"/>
  <c r="CP136" i="1"/>
  <c r="CP715" i="1"/>
  <c r="CP1220" i="1"/>
  <c r="CP246" i="1"/>
  <c r="CP842" i="1"/>
  <c r="CP1534" i="1"/>
  <c r="CP538" i="1"/>
  <c r="CP1222" i="1"/>
  <c r="CP285" i="1"/>
  <c r="CP929" i="1"/>
  <c r="CP1100" i="1"/>
  <c r="CP1101" i="1"/>
  <c r="CP339" i="1"/>
  <c r="CP902" i="1"/>
  <c r="CP1484" i="1"/>
  <c r="CP426" i="1"/>
  <c r="CP995" i="1"/>
  <c r="CP1577" i="1"/>
  <c r="CP473" i="1"/>
  <c r="CP1009" i="1"/>
  <c r="CP1555" i="1"/>
  <c r="CP1072" i="1"/>
  <c r="CP1584" i="1"/>
  <c r="CP541" i="1"/>
  <c r="CP1087" i="1"/>
  <c r="CP127" i="1"/>
  <c r="CP271" i="1"/>
  <c r="CP1347" i="1"/>
  <c r="CP218" i="1"/>
  <c r="CP851" i="1"/>
  <c r="CP1470" i="1"/>
  <c r="CP422" i="1"/>
  <c r="CP1015" i="1"/>
  <c r="CP69" i="1"/>
  <c r="CP621" i="1"/>
  <c r="CP1130" i="1"/>
  <c r="CP55" i="1"/>
  <c r="CP506" i="1"/>
  <c r="CP769" i="1"/>
  <c r="CP1252" i="1"/>
  <c r="CP145" i="1"/>
  <c r="CP347" i="1"/>
  <c r="CP765" i="1"/>
  <c r="CP1233" i="1"/>
  <c r="CP1525" i="1"/>
  <c r="CP202" i="1"/>
  <c r="CP587" i="1"/>
  <c r="CP1090" i="1"/>
  <c r="CP1573" i="1"/>
  <c r="CP334" i="1"/>
  <c r="CP856" i="1"/>
  <c r="CP1332" i="1"/>
  <c r="CP241" i="1"/>
  <c r="CP649" i="1"/>
  <c r="CP1215" i="1"/>
  <c r="CP60" i="1"/>
  <c r="CP551" i="1"/>
  <c r="CP983" i="1"/>
  <c r="CP1530" i="1"/>
  <c r="CP358" i="1"/>
  <c r="CP777" i="1"/>
  <c r="CP1363" i="1"/>
  <c r="CP190" i="1"/>
  <c r="CP694" i="1"/>
  <c r="CP1146" i="1"/>
  <c r="CP155" i="1"/>
  <c r="CP737" i="1"/>
  <c r="CP1342" i="1"/>
  <c r="CP264" i="1"/>
  <c r="CP862" i="1"/>
  <c r="CP1562" i="1"/>
  <c r="CP557" i="1"/>
  <c r="CP1244" i="1"/>
  <c r="CP304" i="1"/>
  <c r="CP949" i="1"/>
  <c r="CP1118" i="1"/>
  <c r="CP1119" i="1"/>
  <c r="CP356" i="1"/>
  <c r="CP920" i="1"/>
  <c r="CP1502" i="1"/>
  <c r="CP443" i="1"/>
  <c r="CP1013" i="1"/>
  <c r="CP1595" i="1"/>
  <c r="CP489" i="1"/>
  <c r="CP1026" i="1"/>
  <c r="CP1572" i="1"/>
  <c r="CP1088" i="1"/>
  <c r="CP1600" i="1"/>
  <c r="CP1566" i="1"/>
  <c r="CP485" i="1"/>
  <c r="CP1034" i="1"/>
  <c r="CP86" i="1"/>
  <c r="CP178" i="1"/>
  <c r="CP1151" i="1"/>
  <c r="CP177" i="1"/>
  <c r="CP790" i="1"/>
  <c r="CP1399" i="1"/>
  <c r="CP367" i="1"/>
  <c r="CP953" i="1"/>
  <c r="CP17" i="1"/>
  <c r="CP465" i="1"/>
  <c r="CP1059" i="1"/>
  <c r="CP14" i="1"/>
  <c r="CP350" i="1"/>
  <c r="CP724" i="1"/>
  <c r="CP1181" i="1"/>
  <c r="CP1590" i="1"/>
  <c r="CP291" i="1"/>
  <c r="CP707" i="1"/>
  <c r="CP1037" i="1"/>
  <c r="CP1547" i="1"/>
  <c r="CP220" i="1"/>
  <c r="CP645" i="1"/>
  <c r="CP1113" i="1"/>
  <c r="CP1599" i="1"/>
  <c r="CP394" i="1"/>
  <c r="CP876" i="1"/>
  <c r="CP1359" i="1"/>
  <c r="CP259" i="1"/>
  <c r="CP670" i="1"/>
  <c r="CP1238" i="1"/>
  <c r="CP78" i="1"/>
  <c r="CP571" i="1"/>
  <c r="CP1003" i="1"/>
  <c r="CP1626" i="1"/>
  <c r="CP378" i="1"/>
  <c r="CP839" i="1"/>
  <c r="CP1386" i="1"/>
  <c r="CP208" i="1"/>
  <c r="CP714" i="1"/>
  <c r="CP1169" i="1"/>
  <c r="CP173" i="1"/>
  <c r="CP759" i="1"/>
  <c r="CP1438" i="1"/>
  <c r="CP283" i="1"/>
  <c r="CP883" i="1"/>
  <c r="CP1585" i="1"/>
  <c r="CP576" i="1"/>
  <c r="CP1272" i="1"/>
  <c r="CP325" i="1"/>
  <c r="CP969" i="1"/>
  <c r="CP1137" i="1"/>
  <c r="CP1138" i="1"/>
  <c r="CP373" i="1"/>
  <c r="CP938" i="1"/>
  <c r="CP1522" i="1"/>
  <c r="CP460" i="1"/>
  <c r="CP1031" i="1"/>
  <c r="CP1613" i="1"/>
  <c r="CP505" i="1"/>
  <c r="CP1043" i="1"/>
  <c r="CP1589" i="1"/>
  <c r="CP1104" i="1"/>
  <c r="CP1616" i="1"/>
  <c r="CP1476" i="1"/>
  <c r="CP430" i="1"/>
  <c r="CP972" i="1"/>
  <c r="CP34" i="1"/>
  <c r="CP74" i="1"/>
  <c r="CP1081" i="1"/>
  <c r="CP125" i="1"/>
  <c r="CP744" i="1"/>
  <c r="CP1329" i="1"/>
  <c r="CP311" i="1"/>
  <c r="CP894" i="1"/>
  <c r="CP1618" i="1"/>
  <c r="CP410" i="1"/>
  <c r="CP999" i="1"/>
  <c r="CP1615" i="1"/>
  <c r="CP307" i="1"/>
  <c r="CP662" i="1"/>
  <c r="CP1110" i="1"/>
  <c r="CP1496" i="1"/>
  <c r="CP237" i="1"/>
  <c r="CP659" i="1"/>
  <c r="CP979" i="1"/>
  <c r="CP1570" i="1"/>
  <c r="CP239" i="1"/>
  <c r="CP668" i="1"/>
  <c r="CP1135" i="1"/>
  <c r="CP1622" i="1"/>
  <c r="CP470" i="1"/>
  <c r="CP897" i="1"/>
  <c r="CP1432" i="1"/>
  <c r="CP277" i="1"/>
  <c r="CP691" i="1"/>
  <c r="CP1260" i="1"/>
  <c r="CP96" i="1"/>
  <c r="CP590" i="1"/>
  <c r="CP1023" i="1"/>
  <c r="CP6" i="1"/>
  <c r="CP397" i="1"/>
  <c r="CP922" i="1"/>
  <c r="CP1409" i="1"/>
  <c r="CP262" i="1"/>
  <c r="CP734" i="1"/>
  <c r="CP1195" i="1"/>
  <c r="CP191" i="1"/>
  <c r="CP779" i="1"/>
  <c r="CP1461" i="1"/>
  <c r="CP381" i="1"/>
  <c r="CP905" i="1"/>
  <c r="CP1608" i="1"/>
  <c r="CP597" i="1"/>
  <c r="CP1294" i="1"/>
  <c r="CP344" i="1"/>
  <c r="CP989" i="1"/>
  <c r="CP1155" i="1"/>
  <c r="CP1156" i="1"/>
  <c r="CP390" i="1"/>
  <c r="CP956" i="1"/>
  <c r="CP1540" i="1"/>
  <c r="CP477" i="1"/>
  <c r="CP1049" i="1"/>
  <c r="CP9" i="1"/>
  <c r="CP521" i="1"/>
  <c r="CP1060" i="1"/>
  <c r="CP1606" i="1"/>
  <c r="CP1120" i="1"/>
  <c r="CP1421" i="1"/>
  <c r="CP385" i="1"/>
  <c r="CP914" i="1"/>
  <c r="CP1153" i="1"/>
  <c r="CP1018" i="1"/>
  <c r="CP72" i="1"/>
  <c r="CP682" i="1"/>
  <c r="CP1274" i="1"/>
  <c r="CP268" i="1"/>
  <c r="CP846" i="1"/>
  <c r="CP1397" i="1"/>
  <c r="CP365" i="1"/>
  <c r="CP951" i="1"/>
  <c r="CP1515" i="1"/>
  <c r="CP159" i="1"/>
  <c r="CP605" i="1"/>
  <c r="CP1055" i="1"/>
  <c r="CP1305" i="1"/>
  <c r="CP196" i="1"/>
  <c r="CP602" i="1"/>
  <c r="CP810" i="1"/>
  <c r="CP1597" i="1"/>
  <c r="CP257" i="1"/>
  <c r="CP729" i="1"/>
  <c r="CP1163" i="1"/>
  <c r="CP21" i="1"/>
  <c r="CP490" i="1"/>
  <c r="CP917" i="1"/>
  <c r="CP1528" i="1"/>
  <c r="CP296" i="1"/>
  <c r="CP751" i="1"/>
  <c r="CP1288" i="1"/>
  <c r="CP114" i="1"/>
  <c r="CP609" i="1"/>
  <c r="CP1045" i="1"/>
  <c r="CP24" i="1"/>
  <c r="CP416" i="1"/>
  <c r="CP943" i="1"/>
  <c r="CP1436" i="1"/>
  <c r="CP338" i="1"/>
  <c r="CP756" i="1"/>
  <c r="CP1269" i="1"/>
  <c r="CP209" i="1"/>
  <c r="CP799" i="1"/>
  <c r="CP1489" i="1"/>
  <c r="CP458" i="1"/>
  <c r="CP926" i="1"/>
  <c r="CP11" i="1"/>
  <c r="CP616" i="1"/>
  <c r="CP1318" i="1"/>
  <c r="CP364" i="1"/>
  <c r="CP1011" i="1"/>
  <c r="CP1173" i="1"/>
  <c r="CP1174" i="1"/>
  <c r="CP407" i="1"/>
  <c r="CP975" i="1"/>
  <c r="CP1558" i="1"/>
  <c r="CP494" i="1"/>
  <c r="CP1067" i="1"/>
  <c r="CP25" i="1"/>
  <c r="CP537" i="1"/>
  <c r="CP1077" i="1"/>
  <c r="CP1623" i="1"/>
  <c r="CP1136" i="1"/>
  <c r="CP1351" i="1"/>
  <c r="CP330" i="1"/>
  <c r="CP868" i="1"/>
  <c r="CP971" i="1"/>
  <c r="CP970" i="1"/>
  <c r="CP31" i="1"/>
  <c r="CP624" i="1"/>
  <c r="CP1204" i="1"/>
  <c r="CP215" i="1"/>
  <c r="CP788" i="1"/>
  <c r="CP1326" i="1"/>
  <c r="CP309" i="1"/>
  <c r="CP892" i="1"/>
  <c r="CP1445" i="1"/>
  <c r="CP107" i="1"/>
  <c r="CP560" i="1"/>
  <c r="CP996" i="1"/>
  <c r="CP1235" i="1"/>
  <c r="CP144" i="1"/>
  <c r="CP546" i="1"/>
  <c r="CP764" i="1"/>
  <c r="CP1620" i="1"/>
  <c r="CP275" i="1"/>
  <c r="CP749" i="1"/>
  <c r="CP1186" i="1"/>
  <c r="CP39" i="1"/>
  <c r="CP509" i="1"/>
  <c r="CP937" i="1"/>
  <c r="CP1550" i="1"/>
  <c r="CP316" i="1"/>
  <c r="CP836" i="1"/>
  <c r="CP1310" i="1"/>
  <c r="CP168" i="1"/>
  <c r="CP628" i="1"/>
  <c r="CP1070" i="1"/>
  <c r="CP43" i="1"/>
  <c r="CP435" i="1"/>
  <c r="CP964" i="1"/>
  <c r="CP1459" i="1"/>
  <c r="CP359" i="1"/>
  <c r="CP778" i="1"/>
  <c r="CP1364" i="1"/>
  <c r="CP227" i="1"/>
  <c r="CP820" i="1"/>
  <c r="CP1511" i="1"/>
  <c r="CP479" i="1"/>
  <c r="CP1029" i="1"/>
  <c r="CP47" i="1"/>
  <c r="CP657" i="1"/>
  <c r="CP1368" i="1"/>
  <c r="CP402" i="1"/>
  <c r="CP1054" i="1"/>
  <c r="CP1209" i="1"/>
  <c r="CP1210" i="1"/>
  <c r="CP442" i="1"/>
  <c r="CP1012" i="1"/>
  <c r="CP1594" i="1"/>
  <c r="CP528" i="1"/>
  <c r="CP1103" i="1"/>
  <c r="CP57" i="1"/>
  <c r="CP569" i="1"/>
  <c r="CP1111" i="1"/>
  <c r="CP656" i="1"/>
  <c r="CP1168" i="1"/>
  <c r="CP1279" i="1"/>
  <c r="CP274" i="1"/>
  <c r="CP807" i="1"/>
  <c r="CP1277" i="1"/>
  <c r="CP853" i="1"/>
  <c r="CP911" i="1"/>
  <c r="CP581" i="1"/>
  <c r="CP1133" i="1"/>
  <c r="CP163" i="1"/>
  <c r="CP622" i="1"/>
  <c r="CP1256" i="1"/>
  <c r="CP254" i="1"/>
  <c r="CP833" i="1"/>
  <c r="CP1254" i="1"/>
  <c r="CP54" i="1"/>
  <c r="CP504" i="1"/>
  <c r="CP827" i="1"/>
  <c r="CP1180" i="1"/>
  <c r="CP92" i="1"/>
  <c r="CP388" i="1"/>
  <c r="CP706" i="1"/>
  <c r="CP1526" i="1"/>
  <c r="CP333" i="1"/>
  <c r="CP771" i="1"/>
  <c r="CP1208" i="1"/>
  <c r="CP94" i="1"/>
  <c r="CP530" i="1"/>
  <c r="CP961" i="1"/>
  <c r="CP1578" i="1"/>
  <c r="CP335" i="1"/>
  <c r="CP857" i="1"/>
  <c r="CP1334" i="1"/>
  <c r="CP242" i="1"/>
  <c r="CP651" i="1"/>
  <c r="CP1143" i="1"/>
  <c r="CP61" i="1"/>
  <c r="CP454" i="1"/>
  <c r="CP984" i="1"/>
  <c r="CP1481" i="1"/>
  <c r="CP379" i="1"/>
  <c r="CP798" i="1"/>
  <c r="CP1387" i="1"/>
  <c r="CP320" i="1"/>
  <c r="CP841" i="1"/>
  <c r="CP1533" i="1"/>
  <c r="CP498" i="1"/>
  <c r="CP1125" i="1"/>
  <c r="CP139" i="1"/>
  <c r="CP761" i="1"/>
  <c r="CP1491" i="1"/>
  <c r="CP500" i="1"/>
  <c r="CP1177" i="1"/>
  <c r="CP1301" i="1"/>
  <c r="CP1302" i="1"/>
  <c r="CP527" i="1"/>
  <c r="CP1102" i="1"/>
  <c r="CP67" i="1"/>
  <c r="CP613" i="1"/>
  <c r="CP1194" i="1"/>
  <c r="CP137" i="1"/>
  <c r="CP650" i="1"/>
  <c r="CP1196" i="1"/>
  <c r="CP736" i="1"/>
  <c r="CP1248" i="1"/>
  <c r="CP524" i="1"/>
  <c r="CP1079" i="1"/>
  <c r="CP123" i="1"/>
  <c r="CP566" i="1"/>
  <c r="CP1202" i="1"/>
  <c r="CP213" i="1"/>
  <c r="CP785" i="1"/>
  <c r="CP1183" i="1"/>
  <c r="CP13" i="1"/>
  <c r="CP449" i="1"/>
  <c r="CP767" i="1"/>
  <c r="CP1109" i="1"/>
  <c r="CP51" i="1"/>
  <c r="CP346" i="1"/>
  <c r="CP644" i="1"/>
  <c r="CP1548" i="1"/>
  <c r="CP352" i="1"/>
  <c r="CP791" i="1"/>
  <c r="CP1236" i="1"/>
  <c r="CP112" i="1"/>
  <c r="CP549" i="1"/>
  <c r="CP981" i="1"/>
  <c r="CP1601" i="1"/>
  <c r="CP354" i="1"/>
  <c r="CP877" i="1"/>
  <c r="CP1361" i="1"/>
  <c r="CP260" i="1"/>
  <c r="CP671" i="1"/>
  <c r="CP1239" i="1"/>
  <c r="CP79" i="1"/>
  <c r="CP514" i="1"/>
  <c r="CP1004" i="1"/>
  <c r="CP1509" i="1"/>
  <c r="CP398" i="1"/>
  <c r="CP819" i="1"/>
  <c r="CP1414" i="1"/>
  <c r="CP399" i="1"/>
  <c r="CP861" i="1"/>
  <c r="CP1561" i="1"/>
  <c r="CP517" i="1"/>
  <c r="CP1148" i="1"/>
  <c r="CP211" i="1"/>
  <c r="CP843" i="1"/>
  <c r="CP1586" i="1"/>
  <c r="CP577" i="1"/>
  <c r="CP1273" i="1"/>
  <c r="CP1373" i="1"/>
  <c r="CP1374" i="1"/>
  <c r="CP595" i="1"/>
  <c r="CP1175" i="1"/>
  <c r="CP135" i="1"/>
  <c r="CP685" i="1"/>
  <c r="CP1268" i="1"/>
  <c r="CP201" i="1"/>
  <c r="CP718" i="1"/>
  <c r="CP1265" i="1"/>
  <c r="CP800" i="1"/>
  <c r="CP1312" i="1"/>
  <c r="CP1159" i="1"/>
  <c r="CP180" i="1"/>
  <c r="CP584" i="1"/>
  <c r="CP1086" i="1"/>
  <c r="CP583" i="1"/>
  <c r="CP805" i="1"/>
  <c r="CP1544" i="1"/>
  <c r="CP468" i="1"/>
  <c r="CP1016" i="1"/>
  <c r="CP1619" i="1"/>
  <c r="CP522" i="1"/>
  <c r="CP1131" i="1"/>
  <c r="CP161" i="1"/>
  <c r="CP726" i="1"/>
  <c r="CP998" i="1"/>
  <c r="CP1596" i="1"/>
  <c r="CP404" i="1"/>
  <c r="CP604" i="1"/>
  <c r="CP1039" i="1"/>
  <c r="CP1588" i="1"/>
  <c r="CP195" i="1"/>
  <c r="CP600" i="1"/>
  <c r="CP1571" i="1"/>
  <c r="CP412" i="1"/>
  <c r="CP813" i="1"/>
  <c r="CP1258" i="1"/>
  <c r="CP166" i="1"/>
  <c r="CP568" i="1"/>
  <c r="CP1042" i="1"/>
  <c r="CP1624" i="1"/>
  <c r="CP375" i="1"/>
  <c r="CP898" i="1"/>
  <c r="CP1383" i="1"/>
  <c r="CP278" i="1"/>
  <c r="CP692" i="1"/>
  <c r="CP1261" i="1"/>
  <c r="CP97" i="1"/>
  <c r="CP591" i="1"/>
  <c r="CP1025" i="1"/>
  <c r="CP1581" i="1"/>
  <c r="CP417" i="1"/>
  <c r="CP840" i="1"/>
  <c r="CP1437" i="1"/>
  <c r="CP418" i="1"/>
  <c r="CP966" i="1"/>
  <c r="CP1583" i="1"/>
  <c r="CP536" i="1"/>
  <c r="CP1171" i="1"/>
  <c r="CP229" i="1"/>
  <c r="CP863" i="1"/>
  <c r="CP1609" i="1"/>
  <c r="CP598" i="1"/>
  <c r="CP1295" i="1"/>
  <c r="CP1391" i="1"/>
  <c r="CP1393" i="1"/>
  <c r="CP612" i="1"/>
  <c r="CP1193" i="1"/>
  <c r="CP152" i="1"/>
  <c r="CP703" i="1"/>
  <c r="CP1286" i="1"/>
  <c r="CP217" i="1"/>
  <c r="CP735" i="1"/>
  <c r="CP1282" i="1"/>
  <c r="CP816" i="1"/>
  <c r="CP1328" i="1"/>
  <c r="CP1089" i="1"/>
  <c r="CP128" i="1"/>
  <c r="CP540" i="1"/>
  <c r="CP1019" i="1"/>
  <c r="CP483" i="1"/>
  <c r="CP745" i="1"/>
  <c r="CP1471" i="1"/>
  <c r="CP423" i="1"/>
  <c r="CP954" i="1"/>
  <c r="CP1524" i="1"/>
  <c r="CP466" i="1"/>
  <c r="CP1061" i="1"/>
  <c r="CP109" i="1"/>
  <c r="CP664" i="1"/>
  <c r="CP950" i="1"/>
  <c r="CP1498" i="1"/>
  <c r="CP349" i="1"/>
  <c r="CP559" i="1"/>
  <c r="CP993" i="1"/>
  <c r="CP1495" i="1"/>
  <c r="CP143" i="1"/>
  <c r="CP543" i="1"/>
  <c r="CP1598" i="1"/>
  <c r="CP431" i="1"/>
  <c r="CP834" i="1"/>
  <c r="CP1281" i="1"/>
  <c r="CP184" i="1"/>
  <c r="CP588" i="1"/>
  <c r="CP1141" i="1"/>
  <c r="CP4" i="1"/>
  <c r="CP433" i="1"/>
  <c r="CP918" i="1"/>
  <c r="CP1406" i="1"/>
  <c r="CP298" i="1"/>
  <c r="CP712" i="1"/>
  <c r="CP1289" i="1"/>
  <c r="CP115" i="1"/>
  <c r="CP610" i="1"/>
  <c r="CP1046" i="1"/>
  <c r="CP44" i="1"/>
  <c r="CP436" i="1"/>
  <c r="CP901" i="1"/>
  <c r="CP1460" i="1"/>
  <c r="CP437" i="1"/>
  <c r="CP1051" i="1"/>
  <c r="CP1607" i="1"/>
  <c r="CP556" i="1"/>
  <c r="CP1198" i="1"/>
  <c r="CP247" i="1"/>
  <c r="CP886" i="1"/>
  <c r="CP12" i="1"/>
  <c r="CP618" i="1"/>
  <c r="CP1323" i="1"/>
  <c r="CP1410" i="1"/>
  <c r="CP1411" i="1"/>
  <c r="CP629" i="1"/>
  <c r="CP1211" i="1"/>
  <c r="CP170" i="1"/>
  <c r="CP722" i="1"/>
  <c r="CP1304" i="1"/>
  <c r="CP233" i="1"/>
  <c r="CP753" i="1"/>
  <c r="CP1299" i="1"/>
  <c r="CP832" i="1"/>
  <c r="CP1344" i="1"/>
  <c r="CP1035" i="1"/>
  <c r="CP1565" i="1"/>
  <c r="CP484" i="1"/>
  <c r="CP913" i="1"/>
  <c r="CP327" i="1"/>
  <c r="CP686" i="1"/>
  <c r="CP1400" i="1"/>
  <c r="CP368" i="1"/>
  <c r="CP789" i="1"/>
  <c r="CP1453" i="1"/>
  <c r="CP411" i="1"/>
  <c r="CP1014" i="1"/>
  <c r="CP68" i="1"/>
  <c r="CP507" i="1"/>
  <c r="CP891" i="1"/>
  <c r="CP1444" i="1"/>
  <c r="CP198" i="1"/>
  <c r="CP503" i="1"/>
  <c r="CP933" i="1"/>
  <c r="CP1300" i="1"/>
  <c r="CP91" i="1"/>
  <c r="CP487" i="1"/>
  <c r="CP38" i="1"/>
  <c r="CP450" i="1"/>
  <c r="CP854" i="1"/>
  <c r="CP1354" i="1"/>
  <c r="CP203" i="1"/>
  <c r="CP607" i="1"/>
  <c r="CP1164" i="1"/>
  <c r="CP22" i="1"/>
  <c r="CP512" i="1"/>
  <c r="CP941" i="1"/>
  <c r="CP1479" i="1"/>
  <c r="CP317" i="1"/>
  <c r="CP732" i="1"/>
  <c r="CP1311" i="1"/>
  <c r="CP133" i="1"/>
  <c r="CP631" i="1"/>
  <c r="CP1071" i="1"/>
  <c r="CP62" i="1"/>
  <c r="CP455" i="1"/>
  <c r="CP985" i="1"/>
  <c r="CP1487" i="1"/>
  <c r="CP456" i="1"/>
  <c r="CP1074" i="1"/>
  <c r="CP82" i="1"/>
  <c r="CP575" i="1"/>
  <c r="CP1221" i="1"/>
  <c r="CP266" i="1"/>
  <c r="CP907" i="1"/>
  <c r="CP30" i="1"/>
  <c r="CP637" i="1"/>
  <c r="CP1346" i="1"/>
  <c r="CP1428" i="1"/>
  <c r="CP1429" i="1"/>
  <c r="CP647" i="1"/>
  <c r="CP1229" i="1"/>
  <c r="CP187" i="1"/>
  <c r="CP740" i="1"/>
  <c r="CP1322" i="1"/>
  <c r="CP249" i="1"/>
  <c r="CP770" i="1"/>
  <c r="CP1316" i="1"/>
  <c r="CP848" i="1"/>
  <c r="CP1360" i="1"/>
  <c r="CP808" i="1"/>
  <c r="CP1420" i="1"/>
  <c r="CP384" i="1"/>
  <c r="CP746" i="1"/>
  <c r="CP126" i="1"/>
  <c r="CP582" i="1"/>
  <c r="CP1275" i="1"/>
  <c r="CP164" i="1"/>
  <c r="CP681" i="1"/>
  <c r="CP1327" i="1"/>
  <c r="CP310" i="1"/>
  <c r="CP893" i="1"/>
  <c r="CP1617" i="1"/>
  <c r="CP308" i="1"/>
  <c r="CP783" i="1"/>
  <c r="CP1307" i="1"/>
  <c r="CP1591" i="1"/>
  <c r="CP403" i="1"/>
  <c r="CP826" i="1"/>
  <c r="CP1038" i="1"/>
  <c r="CP1569" i="1"/>
  <c r="CP387" i="1"/>
  <c r="CP111" i="1"/>
  <c r="CP488" i="1"/>
  <c r="CP895" i="1"/>
  <c r="CP1454" i="1"/>
  <c r="CP240" i="1"/>
  <c r="CP646" i="1"/>
  <c r="CP1214" i="1"/>
  <c r="CP59" i="1"/>
  <c r="CP550" i="1"/>
  <c r="CP982" i="1"/>
  <c r="CP1602" i="1"/>
  <c r="CP355" i="1"/>
  <c r="CP878" i="1"/>
  <c r="CP1362" i="1"/>
  <c r="CP207" i="1"/>
  <c r="CP673" i="1"/>
  <c r="CP1117" i="1"/>
  <c r="CP98" i="1"/>
  <c r="CP496" i="1"/>
  <c r="CP1027" i="1"/>
  <c r="CP1532" i="1"/>
  <c r="CP497" i="1"/>
  <c r="CP1124" i="1"/>
  <c r="CP174" i="1"/>
  <c r="CP696" i="1"/>
  <c r="CP1271" i="1"/>
  <c r="CP303" i="1"/>
  <c r="CP948" i="1"/>
  <c r="CP66" i="1"/>
  <c r="CP678" i="1"/>
  <c r="CP1396" i="1"/>
  <c r="CP1464" i="1"/>
  <c r="CP1465" i="1"/>
  <c r="CP683" i="1"/>
  <c r="CP1267" i="1"/>
  <c r="CP221" i="1"/>
  <c r="CP776" i="1"/>
  <c r="CP1358" i="1"/>
  <c r="CP281" i="1"/>
  <c r="CP804" i="1"/>
  <c r="CP1350" i="1"/>
  <c r="CP880" i="1"/>
  <c r="CP1392" i="1"/>
  <c r="CP748" i="1"/>
  <c r="CP1349" i="1"/>
  <c r="CP328" i="1"/>
  <c r="CP639" i="1"/>
  <c r="CP32" i="1"/>
  <c r="CP525" i="1"/>
  <c r="CP1205" i="1"/>
  <c r="CP124" i="1"/>
  <c r="CP623" i="1"/>
  <c r="CP1257" i="1"/>
  <c r="CP256" i="1"/>
  <c r="CP845" i="1"/>
  <c r="CP1516" i="1"/>
  <c r="CP253" i="1"/>
  <c r="CP725" i="1"/>
  <c r="CP1253" i="1"/>
  <c r="CP1497" i="1"/>
  <c r="CP348" i="1"/>
  <c r="CP766" i="1"/>
  <c r="CP990" i="1"/>
  <c r="CP1494" i="1"/>
  <c r="CP332" i="1"/>
  <c r="CP129" i="1"/>
  <c r="CP508" i="1"/>
  <c r="CP916" i="1"/>
  <c r="CP1477" i="1"/>
  <c r="CP258" i="1"/>
  <c r="CP710" i="1"/>
  <c r="CP1237" i="1"/>
  <c r="CP77" i="1"/>
  <c r="CP570" i="1"/>
  <c r="CP1002" i="1"/>
  <c r="CP1625" i="1"/>
  <c r="CP376" i="1"/>
  <c r="CP899" i="1"/>
  <c r="CP1385" i="1"/>
  <c r="CP279" i="1"/>
  <c r="CP693" i="1"/>
  <c r="CP1190" i="1"/>
  <c r="CP116" i="1"/>
  <c r="CP515" i="1"/>
  <c r="CP1050" i="1"/>
  <c r="CP27" i="1"/>
  <c r="CP516" i="1"/>
  <c r="CP1147" i="1"/>
  <c r="CP192" i="1"/>
  <c r="CP780" i="1"/>
  <c r="CP1293" i="1"/>
  <c r="CP343" i="1"/>
  <c r="CP988" i="1"/>
  <c r="CP103" i="1"/>
  <c r="CP719" i="1"/>
  <c r="CP1442" i="1"/>
  <c r="CP1500" i="1"/>
  <c r="CP1501" i="1"/>
  <c r="CP721" i="1"/>
  <c r="CP1303" i="1"/>
  <c r="CP255" i="1"/>
  <c r="CP812" i="1"/>
  <c r="CP1395" i="1"/>
  <c r="CP313" i="1"/>
  <c r="CP838" i="1"/>
  <c r="CP1384" i="1"/>
  <c r="CP912" i="1"/>
  <c r="CP1424" i="1"/>
  <c r="CP700" i="1"/>
  <c r="CP1278" i="1"/>
  <c r="CP273" i="1"/>
  <c r="CP526" i="1"/>
  <c r="CP1545" i="1"/>
  <c r="CP482" i="1"/>
  <c r="CP1017" i="1"/>
  <c r="CP71" i="1"/>
  <c r="CP580" i="1"/>
  <c r="CP1203" i="1"/>
  <c r="CP214" i="1"/>
  <c r="CP786" i="1"/>
  <c r="CP1450" i="1"/>
  <c r="CP200" i="1"/>
  <c r="CP663" i="1"/>
  <c r="CP1057" i="1"/>
  <c r="CP1443" i="1"/>
  <c r="CP292" i="1"/>
  <c r="CP603" i="1"/>
  <c r="CP932" i="1"/>
  <c r="CP1423" i="1"/>
  <c r="CP182" i="1"/>
  <c r="CP147" i="1"/>
  <c r="CP529" i="1"/>
  <c r="CP980" i="1"/>
  <c r="CP1499" i="1"/>
  <c r="CP276" i="1"/>
  <c r="CP792" i="1"/>
  <c r="CP1259" i="1"/>
  <c r="CP131" i="1"/>
  <c r="CP589" i="1"/>
  <c r="CP1022" i="1"/>
  <c r="CP5" i="1"/>
  <c r="CP396" i="1"/>
  <c r="CP919" i="1"/>
  <c r="CP1407" i="1"/>
  <c r="CP299" i="1"/>
  <c r="CP713" i="1"/>
  <c r="CP1290" i="1"/>
  <c r="CP134" i="1"/>
  <c r="CP573" i="1"/>
  <c r="CP1073" i="1"/>
  <c r="CP99" i="1"/>
  <c r="CP535" i="1"/>
  <c r="CP1170" i="1"/>
  <c r="CP210" i="1"/>
  <c r="CP801" i="1"/>
  <c r="CP1416" i="1"/>
  <c r="CP439" i="1"/>
  <c r="CP1099" i="1"/>
  <c r="CP194" i="1"/>
  <c r="CP824" i="1"/>
  <c r="CP1564" i="1"/>
  <c r="CP1592" i="1"/>
  <c r="CP1593" i="1"/>
  <c r="CP811" i="1"/>
  <c r="CP1394" i="1"/>
  <c r="CP340" i="1"/>
  <c r="CP903" i="1"/>
  <c r="CP1485" i="1"/>
  <c r="CP393" i="1"/>
  <c r="CP923" i="1"/>
  <c r="CP1469" i="1"/>
  <c r="CP992" i="1"/>
  <c r="CP1504" i="1"/>
  <c r="B201" i="1"/>
  <c r="CP29" i="1"/>
  <c r="CP324" i="1"/>
  <c r="CP636" i="1"/>
  <c r="CP968" i="1"/>
  <c r="CP1345" i="1"/>
  <c r="CP85" i="1"/>
  <c r="CP383" i="1"/>
  <c r="CP698" i="1"/>
  <c r="CP1033" i="1"/>
  <c r="CP1419" i="1"/>
  <c r="CP1191" i="1"/>
  <c r="CP1482" i="1"/>
  <c r="CP1192" i="1"/>
  <c r="CP1483" i="1"/>
  <c r="CP424" i="1"/>
  <c r="CP702" i="1"/>
  <c r="CP994" i="1"/>
  <c r="CP1285" i="1"/>
  <c r="CP1576" i="1"/>
  <c r="CP238" i="1"/>
  <c r="CP511" i="1"/>
  <c r="CP794" i="1"/>
  <c r="CP1085" i="1"/>
  <c r="CP1377" i="1"/>
  <c r="CP41" i="1"/>
  <c r="CP297" i="1"/>
  <c r="CP553" i="1"/>
  <c r="CP821" i="1"/>
  <c r="CP1094" i="1"/>
  <c r="CP1367" i="1"/>
  <c r="CP640" i="1"/>
  <c r="CP896" i="1"/>
  <c r="CP1152" i="1"/>
  <c r="CP1408" i="1"/>
  <c r="CP1560" i="1"/>
  <c r="CP245" i="1"/>
  <c r="CP555" i="1"/>
  <c r="CP882" i="1"/>
  <c r="CP1242" i="1"/>
  <c r="CP10" i="1"/>
  <c r="CP302" i="1"/>
  <c r="CP615" i="1"/>
  <c r="CP947" i="1"/>
  <c r="CP1317" i="1"/>
  <c r="CP65" i="1"/>
  <c r="CP363" i="1"/>
  <c r="CP677" i="1"/>
  <c r="CP1010" i="1"/>
  <c r="CP1390" i="1"/>
  <c r="CP122" i="1"/>
  <c r="CP421" i="1"/>
  <c r="CP742" i="1"/>
  <c r="CP1078" i="1"/>
  <c r="CP1468" i="1"/>
  <c r="CP1227" i="1"/>
  <c r="CP1518" i="1"/>
  <c r="CP1228" i="1"/>
  <c r="CP1519" i="1"/>
  <c r="CP459" i="1"/>
  <c r="CP739" i="1"/>
  <c r="CP1030" i="1"/>
  <c r="CP1321" i="1"/>
  <c r="CP1612" i="1"/>
  <c r="CP272" i="1"/>
  <c r="CP545" i="1"/>
  <c r="CP830" i="1"/>
  <c r="CP1122" i="1"/>
  <c r="CP1413" i="1"/>
  <c r="CP73" i="1"/>
  <c r="CP329" i="1"/>
  <c r="CP585" i="1"/>
  <c r="CP855" i="1"/>
  <c r="CP1128" i="1"/>
  <c r="CP1401" i="1"/>
  <c r="CP672" i="1"/>
  <c r="CP928" i="1"/>
  <c r="CP1184" i="1"/>
  <c r="CP1440" i="1"/>
  <c r="CP1582" i="1"/>
  <c r="CP263" i="1"/>
  <c r="CP574" i="1"/>
  <c r="CP904" i="1"/>
  <c r="CP1270" i="1"/>
  <c r="CP28" i="1"/>
  <c r="CP321" i="1"/>
  <c r="CP635" i="1"/>
  <c r="CP967" i="1"/>
  <c r="CP1343" i="1"/>
  <c r="CP83" i="1"/>
  <c r="CP382" i="1"/>
  <c r="CP697" i="1"/>
  <c r="CP1032" i="1"/>
  <c r="CP1417" i="1"/>
  <c r="CP140" i="1"/>
  <c r="CP440" i="1"/>
  <c r="CP762" i="1"/>
  <c r="CP1105" i="1"/>
  <c r="CP1492" i="1"/>
  <c r="CP1245" i="1"/>
  <c r="CP1537" i="1"/>
  <c r="CP1246" i="1"/>
  <c r="CP1539" i="1"/>
  <c r="CP476" i="1"/>
  <c r="CP757" i="1"/>
  <c r="CP1048" i="1"/>
  <c r="CP1339" i="1"/>
  <c r="CP16" i="1"/>
  <c r="CP289" i="1"/>
  <c r="CP562" i="1"/>
  <c r="CP849" i="1"/>
  <c r="CP1140" i="1"/>
  <c r="CP1431" i="1"/>
  <c r="CP89" i="1"/>
  <c r="CP345" i="1"/>
  <c r="CP601" i="1"/>
  <c r="CP872" i="1"/>
  <c r="CP1145" i="1"/>
  <c r="CP1418" i="1"/>
  <c r="CP688" i="1"/>
  <c r="CP944" i="1"/>
  <c r="CP1200" i="1"/>
  <c r="CP1456" i="1"/>
  <c r="CP620" i="1"/>
  <c r="CP1379" i="1"/>
  <c r="CP463" i="1"/>
  <c r="CP1182" i="1"/>
  <c r="CP293" i="1"/>
  <c r="CP934" i="1"/>
  <c r="CP104" i="1"/>
  <c r="CP708" i="1"/>
  <c r="CP1425" i="1"/>
  <c r="CP501" i="1"/>
  <c r="CP1161" i="1"/>
  <c r="CP287" i="1"/>
  <c r="CP1621" i="1"/>
  <c r="CP294" i="1"/>
  <c r="CP606" i="1"/>
  <c r="CP936" i="1"/>
  <c r="CP1308" i="1"/>
  <c r="CP58" i="1"/>
  <c r="CP353" i="1"/>
  <c r="CP669" i="1"/>
  <c r="CP1001" i="1"/>
  <c r="CP1382" i="1"/>
  <c r="CP95" i="1"/>
  <c r="CP395" i="1"/>
  <c r="CP711" i="1"/>
  <c r="CP1044" i="1"/>
  <c r="CP1433" i="1"/>
  <c r="CP132" i="1"/>
  <c r="CP434" i="1"/>
  <c r="CP754" i="1"/>
  <c r="CP1093" i="1"/>
  <c r="CP1480" i="1"/>
  <c r="CP171" i="1"/>
  <c r="CP474" i="1"/>
  <c r="CP797" i="1"/>
  <c r="CP1144" i="1"/>
  <c r="CP1531" i="1"/>
  <c r="CP226" i="1"/>
  <c r="CP534" i="1"/>
  <c r="CP860" i="1"/>
  <c r="CP1219" i="1"/>
  <c r="CP1605" i="1"/>
  <c r="CP282" i="1"/>
  <c r="CP593" i="1"/>
  <c r="CP925" i="1"/>
  <c r="CP1292" i="1"/>
  <c r="CP46" i="1"/>
  <c r="CP342" i="1"/>
  <c r="CP655" i="1"/>
  <c r="CP987" i="1"/>
  <c r="CP1366" i="1"/>
  <c r="CP102" i="1"/>
  <c r="CP401" i="1"/>
  <c r="CP717" i="1"/>
  <c r="CP1053" i="1"/>
  <c r="CP1441" i="1"/>
  <c r="CP158" i="1"/>
  <c r="CP462" i="1"/>
  <c r="CP782" i="1"/>
  <c r="CP1127" i="1"/>
  <c r="CP1514" i="1"/>
  <c r="CP1263" i="1"/>
  <c r="CP1556" i="1"/>
  <c r="CP1266" i="1"/>
  <c r="CP1557" i="1"/>
  <c r="CP493" i="1"/>
  <c r="CP775" i="1"/>
  <c r="CP1066" i="1"/>
  <c r="CP1357" i="1"/>
  <c r="CP33" i="1"/>
  <c r="CP306" i="1"/>
  <c r="CP579" i="1"/>
  <c r="CP867" i="1"/>
  <c r="CP1158" i="1"/>
  <c r="CP1449" i="1"/>
  <c r="CP105" i="1"/>
  <c r="CP361" i="1"/>
  <c r="CP617" i="1"/>
  <c r="CP889" i="1"/>
  <c r="CP1162" i="1"/>
  <c r="CP1435" i="1"/>
  <c r="CP704" i="1"/>
  <c r="CP960" i="1"/>
  <c r="CP1216" i="1"/>
  <c r="CP1472" i="1"/>
  <c r="CP564" i="1"/>
  <c r="CP1324" i="1"/>
  <c r="CP405" i="1"/>
  <c r="CP1112" i="1"/>
  <c r="CP251" i="1"/>
  <c r="CP888" i="1"/>
  <c r="CP52" i="1"/>
  <c r="CP660" i="1"/>
  <c r="CP1370" i="1"/>
  <c r="CP446" i="1"/>
  <c r="CP1107" i="1"/>
  <c r="CP235" i="1"/>
  <c r="CP20" i="1"/>
  <c r="CP314" i="1"/>
  <c r="CP625" i="1"/>
  <c r="CP959" i="1"/>
  <c r="CP1331" i="1"/>
  <c r="CP76" i="1"/>
  <c r="CP372" i="1"/>
  <c r="CP690" i="1"/>
  <c r="CP1021" i="1"/>
  <c r="CP1405" i="1"/>
  <c r="CP113" i="1"/>
  <c r="CP414" i="1"/>
  <c r="CP731" i="1"/>
  <c r="CP1069" i="1"/>
  <c r="CP1457" i="1"/>
  <c r="CP150" i="1"/>
  <c r="CP453" i="1"/>
  <c r="CP774" i="1"/>
  <c r="CP1116" i="1"/>
  <c r="CP1508" i="1"/>
  <c r="CP189" i="1"/>
  <c r="CP495" i="1"/>
  <c r="CP818" i="1"/>
  <c r="CP1167" i="1"/>
  <c r="CP1554" i="1"/>
  <c r="CP244" i="1"/>
  <c r="CP554" i="1"/>
  <c r="CP881" i="1"/>
  <c r="CP1241" i="1"/>
  <c r="CP8" i="1"/>
  <c r="CP301" i="1"/>
  <c r="CP614" i="1"/>
  <c r="CP946" i="1"/>
  <c r="CP1315" i="1"/>
  <c r="CP64" i="1"/>
  <c r="CP362" i="1"/>
  <c r="CP676" i="1"/>
  <c r="CP1007" i="1"/>
  <c r="CP1389" i="1"/>
  <c r="CP120" i="1"/>
  <c r="CP420" i="1"/>
  <c r="CP741" i="1"/>
  <c r="CP1076" i="1"/>
  <c r="CP1463" i="1"/>
  <c r="CP176" i="1"/>
  <c r="CP481" i="1"/>
  <c r="CP803" i="1"/>
  <c r="CP1150" i="1"/>
  <c r="CP1542" i="1"/>
  <c r="CP1283" i="1"/>
  <c r="CP1574" i="1"/>
  <c r="CP1284" i="1"/>
  <c r="CP1575" i="1"/>
  <c r="CP510" i="1"/>
  <c r="CP793" i="1"/>
  <c r="CP1084" i="1"/>
  <c r="CP1375" i="1"/>
  <c r="CP50" i="1"/>
  <c r="CP323" i="1"/>
  <c r="CP596" i="1"/>
  <c r="CP885" i="1"/>
  <c r="CP1176" i="1"/>
  <c r="CP1467" i="1"/>
  <c r="CP121" i="1"/>
  <c r="CP377" i="1"/>
  <c r="CP633" i="1"/>
  <c r="CP906" i="1"/>
  <c r="CP1179" i="1"/>
  <c r="CP1452" i="1"/>
  <c r="CP720" i="1"/>
  <c r="CP976" i="1"/>
  <c r="CP1232" i="1"/>
  <c r="CP1297" i="1"/>
  <c r="CP386" i="1"/>
  <c r="CP1226" i="1"/>
  <c r="CP331" i="1"/>
  <c r="CP1160" i="1"/>
  <c r="CP286" i="1"/>
  <c r="CP1106" i="1"/>
  <c r="CP234" i="1"/>
  <c r="CP1036" i="1"/>
  <c r="CP181" i="1"/>
  <c r="CP978" i="1"/>
  <c r="CP141" i="1"/>
  <c r="CP930" i="1"/>
  <c r="CP88" i="1"/>
  <c r="CP870" i="1"/>
  <c r="CP36" i="1"/>
  <c r="CP809" i="1"/>
  <c r="CP763" i="1"/>
  <c r="CP705" i="1"/>
  <c r="CP643" i="1"/>
  <c r="CP1567" i="1"/>
  <c r="CP599" i="1"/>
  <c r="CP1493" i="1"/>
  <c r="CP542" i="1"/>
  <c r="CP1422" i="1"/>
  <c r="CP486" i="1"/>
  <c r="CP1352" i="1"/>
  <c r="CP444" i="1"/>
  <c r="CP413" i="1"/>
  <c r="CP730" i="1"/>
  <c r="CP1068" i="1"/>
  <c r="CP1455" i="1"/>
  <c r="CP149" i="1"/>
  <c r="CP452" i="1"/>
  <c r="CP773" i="1"/>
  <c r="CP1115" i="1"/>
  <c r="CP1507" i="1"/>
  <c r="CP188" i="1"/>
  <c r="CP492" i="1"/>
  <c r="CP817" i="1"/>
  <c r="CP1166" i="1"/>
  <c r="CP1553" i="1"/>
  <c r="CP225" i="1"/>
  <c r="CP533" i="1"/>
  <c r="CP859" i="1"/>
  <c r="CP1218" i="1"/>
  <c r="CP1604" i="1"/>
  <c r="CP280" i="1"/>
  <c r="CP592" i="1"/>
  <c r="CP924" i="1"/>
  <c r="CP1291" i="1"/>
  <c r="CP45" i="1"/>
  <c r="CP341" i="1"/>
  <c r="CP654" i="1"/>
  <c r="CP986" i="1"/>
  <c r="CP1365" i="1"/>
  <c r="CP100" i="1"/>
  <c r="CP400" i="1"/>
  <c r="CP716" i="1"/>
  <c r="CP1052" i="1"/>
  <c r="CP1439" i="1"/>
  <c r="CP157" i="1"/>
  <c r="CP461" i="1"/>
  <c r="CP781" i="1"/>
  <c r="CP1126" i="1"/>
  <c r="CP1513" i="1"/>
  <c r="CP212" i="1"/>
  <c r="CP519" i="1"/>
  <c r="CP844" i="1"/>
  <c r="CP1201" i="1"/>
  <c r="CP1587" i="1"/>
  <c r="CP1319" i="1"/>
  <c r="CP1610" i="1"/>
  <c r="CP1320" i="1"/>
  <c r="CP1611" i="1"/>
  <c r="CP544" i="1"/>
  <c r="CP829" i="1"/>
  <c r="CP1121" i="1"/>
  <c r="CP1412" i="1"/>
  <c r="CP84" i="1"/>
  <c r="CP357" i="1"/>
  <c r="CP630" i="1"/>
  <c r="CP921" i="1"/>
  <c r="CP1212" i="1"/>
  <c r="CP1505" i="1"/>
  <c r="CP153" i="1"/>
  <c r="CP409" i="1"/>
  <c r="CP667" i="1"/>
  <c r="CP940" i="1"/>
  <c r="CP1213" i="1"/>
  <c r="CP1486" i="1"/>
  <c r="CP752" i="1"/>
  <c r="CP1008" i="1"/>
  <c r="CP1264" i="1"/>
  <c r="CP1520" i="1"/>
  <c r="CP915" i="1"/>
  <c r="CP87" i="1"/>
  <c r="CP699" i="1"/>
  <c r="CP1474" i="1"/>
  <c r="CP1546" i="1"/>
  <c r="CP1276" i="1"/>
  <c r="CP369" i="1"/>
  <c r="CP1134" i="1"/>
  <c r="CP269" i="1"/>
  <c r="CP909" i="1"/>
  <c r="CP70" i="1"/>
  <c r="CP728" i="1"/>
  <c r="CP1517" i="1"/>
  <c r="CP565" i="1"/>
  <c r="CP1325" i="1"/>
  <c r="CP406" i="1"/>
  <c r="CP1129" i="1"/>
  <c r="CP252" i="1"/>
  <c r="CP935" i="1"/>
  <c r="CP106" i="1"/>
  <c r="CP723" i="1"/>
  <c r="CP1426" i="1"/>
  <c r="CP502" i="1"/>
  <c r="CP1178" i="1"/>
  <c r="CP290" i="1"/>
  <c r="CP931" i="1"/>
  <c r="CP90" i="1"/>
  <c r="CP75" i="1"/>
  <c r="CP371" i="1"/>
  <c r="CP689" i="1"/>
  <c r="CP1020" i="1"/>
  <c r="CP1404" i="1"/>
  <c r="CP130" i="1"/>
  <c r="CP432" i="1"/>
  <c r="CP750" i="1"/>
  <c r="CP1091" i="1"/>
  <c r="CP1478" i="1"/>
  <c r="CP167" i="1"/>
  <c r="CP471" i="1"/>
  <c r="CP795" i="1"/>
  <c r="CP1142" i="1"/>
  <c r="CP1529" i="1"/>
  <c r="CP206" i="1"/>
  <c r="CP513" i="1"/>
  <c r="CP837" i="1"/>
  <c r="CP1189" i="1"/>
  <c r="CP1580" i="1"/>
  <c r="CP243" i="1"/>
  <c r="CP552" i="1"/>
  <c r="CP879" i="1"/>
  <c r="CP1240" i="1"/>
  <c r="CP7" i="1"/>
  <c r="CP300" i="1"/>
  <c r="CP611" i="1"/>
  <c r="CP945" i="1"/>
  <c r="CP1314" i="1"/>
  <c r="CP63" i="1"/>
  <c r="CP360" i="1"/>
  <c r="CP675" i="1"/>
  <c r="CP1006" i="1"/>
  <c r="CP1388" i="1"/>
  <c r="CP119" i="1"/>
  <c r="CP419" i="1"/>
  <c r="CP738" i="1"/>
  <c r="CP1075" i="1"/>
  <c r="CP1462" i="1"/>
  <c r="CP175" i="1"/>
  <c r="CP480" i="1"/>
  <c r="CP802" i="1"/>
  <c r="CP1149" i="1"/>
  <c r="CP1535" i="1"/>
  <c r="CP230" i="1"/>
  <c r="CP539" i="1"/>
  <c r="CP865" i="1"/>
  <c r="CP1223" i="1"/>
  <c r="CP1614" i="1"/>
  <c r="CP1337" i="1"/>
  <c r="CP1047" i="1"/>
  <c r="CP1338" i="1"/>
  <c r="CP288" i="1"/>
  <c r="CP561" i="1"/>
  <c r="CP847" i="1"/>
  <c r="CP1139" i="1"/>
  <c r="CP1430" i="1"/>
  <c r="CP101" i="1"/>
  <c r="CP374" i="1"/>
  <c r="CP648" i="1"/>
  <c r="CP939" i="1"/>
  <c r="CP1231" i="1"/>
  <c r="CP1523" i="1"/>
  <c r="CP169" i="1"/>
  <c r="CP425" i="1"/>
  <c r="CP684" i="1"/>
  <c r="CP957" i="1"/>
  <c r="CP1230" i="1"/>
  <c r="CP1503" i="1"/>
  <c r="CP768" i="1"/>
  <c r="CP1024" i="1"/>
  <c r="CP1280" i="1"/>
  <c r="CP1536" i="1"/>
  <c r="CP869" i="1"/>
  <c r="CP35" i="1"/>
  <c r="CP641" i="1"/>
  <c r="CP1403" i="1"/>
  <c r="CP1348" i="1"/>
  <c r="CP1206" i="1"/>
  <c r="CP326" i="1"/>
  <c r="CP1080" i="1"/>
  <c r="CP216" i="1"/>
  <c r="CP850" i="1"/>
  <c r="CP18" i="1"/>
  <c r="CP680" i="1"/>
  <c r="CP1451" i="1"/>
  <c r="CP520" i="1"/>
  <c r="CP1255" i="1"/>
  <c r="CP351" i="1"/>
  <c r="CP1058" i="1"/>
  <c r="CP199" i="1"/>
  <c r="CP890" i="1"/>
  <c r="CP53" i="1"/>
  <c r="CP661" i="1"/>
  <c r="CP1371" i="1"/>
  <c r="CP447" i="1"/>
  <c r="CP1108" i="1"/>
  <c r="CP236" i="1"/>
  <c r="CP871" i="1"/>
  <c r="CP37" i="1"/>
  <c r="CP93" i="1"/>
  <c r="CP392" i="1"/>
  <c r="CP709" i="1"/>
  <c r="CP1041" i="1"/>
  <c r="CP1427" i="1"/>
  <c r="CP148" i="1"/>
  <c r="CP451" i="1"/>
  <c r="CP772" i="1"/>
  <c r="CP1114" i="1"/>
  <c r="CP1506" i="1"/>
  <c r="CP186" i="1"/>
  <c r="CP491" i="1"/>
  <c r="CP815" i="1"/>
  <c r="CP1165" i="1"/>
  <c r="CP1551" i="1"/>
  <c r="CP224" i="1"/>
  <c r="CP532" i="1"/>
  <c r="CP858" i="1"/>
  <c r="CP1217" i="1"/>
  <c r="CP1603" i="1"/>
  <c r="CP261" i="1"/>
  <c r="CP572" i="1"/>
  <c r="CP900" i="1"/>
  <c r="CP1262" i="1"/>
  <c r="CP26" i="1"/>
  <c r="CP319" i="1"/>
  <c r="CP632" i="1"/>
  <c r="CP965" i="1"/>
  <c r="CP1341" i="1"/>
  <c r="CP81" i="1"/>
  <c r="CP380" i="1"/>
  <c r="CP695" i="1"/>
  <c r="CP1028" i="1"/>
  <c r="CP1415" i="1"/>
  <c r="CP138" i="1"/>
  <c r="CP438" i="1"/>
  <c r="CP760" i="1"/>
  <c r="CP1098" i="1"/>
  <c r="CP1490" i="1"/>
  <c r="CP193" i="1"/>
  <c r="CP499" i="1"/>
  <c r="CP823" i="1"/>
  <c r="CP1172" i="1"/>
  <c r="CP1563" i="1"/>
  <c r="CP248" i="1"/>
  <c r="CP558" i="1"/>
  <c r="CP887" i="1"/>
  <c r="CP1251" i="1"/>
  <c r="CP1064" i="1"/>
  <c r="CP1355" i="1"/>
  <c r="CP1065" i="1"/>
  <c r="CP1356" i="1"/>
  <c r="CP305" i="1"/>
  <c r="CP578" i="1"/>
  <c r="CP866" i="1"/>
  <c r="CP1157" i="1"/>
  <c r="CP1448" i="1"/>
  <c r="CP118" i="1"/>
  <c r="CP391" i="1"/>
  <c r="CP666" i="1"/>
  <c r="CP958" i="1"/>
  <c r="CP1250" i="1"/>
  <c r="CP1541" i="1"/>
  <c r="CP185" i="1"/>
  <c r="CP441" i="1"/>
  <c r="CP701" i="1"/>
  <c r="CP974" i="1"/>
  <c r="CP1247" i="1"/>
  <c r="CP1521" i="1"/>
  <c r="CP784" i="1"/>
  <c r="CP1040" i="1"/>
  <c r="CP1296" i="1"/>
  <c r="CP1552" i="1"/>
  <c r="B1003" i="2"/>
  <c r="B987" i="2"/>
  <c r="B971" i="2"/>
  <c r="B955" i="2"/>
  <c r="B939" i="2"/>
  <c r="B923" i="2"/>
  <c r="B907" i="2"/>
  <c r="B891" i="2"/>
  <c r="B875" i="2"/>
  <c r="B859" i="2"/>
  <c r="B843" i="2"/>
  <c r="B827" i="2"/>
  <c r="B811" i="2"/>
  <c r="B795" i="2"/>
  <c r="B779" i="2"/>
  <c r="B763" i="2"/>
  <c r="B747" i="2"/>
  <c r="B731" i="2"/>
  <c r="B715" i="2"/>
  <c r="B699" i="2"/>
  <c r="B683" i="2"/>
  <c r="B667" i="2"/>
  <c r="B651" i="2"/>
  <c r="B999" i="2"/>
  <c r="B982" i="2"/>
  <c r="B965" i="2"/>
  <c r="B948" i="2"/>
  <c r="B931" i="2"/>
  <c r="B914" i="2"/>
  <c r="B897" i="2"/>
  <c r="B880" i="2"/>
  <c r="B863" i="2"/>
  <c r="B846" i="2"/>
  <c r="B829" i="2"/>
  <c r="B812" i="2"/>
  <c r="B794" i="2"/>
  <c r="B777" i="2"/>
  <c r="B760" i="2"/>
  <c r="B743" i="2"/>
  <c r="B726" i="2"/>
  <c r="B709" i="2"/>
  <c r="B692" i="2"/>
  <c r="B675" i="2"/>
  <c r="B658" i="2"/>
  <c r="B641" i="2"/>
  <c r="B625" i="2"/>
  <c r="B609" i="2"/>
  <c r="B593" i="2"/>
  <c r="B577" i="2"/>
  <c r="B561" i="2"/>
  <c r="B545" i="2"/>
  <c r="B529" i="2"/>
  <c r="B513" i="2"/>
  <c r="B986" i="2"/>
  <c r="B968" i="2"/>
  <c r="B950" i="2"/>
  <c r="B932" i="2"/>
  <c r="B913" i="2"/>
  <c r="B895" i="2"/>
  <c r="B877" i="2"/>
  <c r="B858" i="2"/>
  <c r="B840" i="2"/>
  <c r="B822" i="2"/>
  <c r="B804" i="2"/>
  <c r="B786" i="2"/>
  <c r="B768" i="2"/>
  <c r="B750" i="2"/>
  <c r="B732" i="2"/>
  <c r="B713" i="2"/>
  <c r="B695" i="2"/>
  <c r="B677" i="2"/>
  <c r="B659" i="2"/>
  <c r="B640" i="2"/>
  <c r="B623" i="2"/>
  <c r="B606" i="2"/>
  <c r="B589" i="2"/>
  <c r="B572" i="2"/>
  <c r="B555" i="2"/>
  <c r="B538" i="2"/>
  <c r="B521" i="2"/>
  <c r="B504" i="2"/>
  <c r="B488" i="2"/>
  <c r="B472" i="2"/>
  <c r="B456" i="2"/>
  <c r="B440" i="2"/>
  <c r="B424" i="2"/>
  <c r="B408" i="2"/>
  <c r="B392" i="2"/>
  <c r="B376" i="2"/>
  <c r="B360" i="2"/>
  <c r="B344" i="2"/>
  <c r="B328" i="2"/>
  <c r="B312" i="2"/>
  <c r="B296" i="2"/>
  <c r="B280" i="2"/>
  <c r="B264" i="2"/>
  <c r="B248" i="2"/>
  <c r="B232" i="2"/>
  <c r="B216" i="2"/>
  <c r="B200" i="2"/>
  <c r="B184" i="2"/>
  <c r="B168" i="2"/>
  <c r="B152" i="2"/>
  <c r="B136" i="2"/>
  <c r="B120" i="2"/>
  <c r="B104" i="2"/>
  <c r="B88" i="2"/>
  <c r="B72" i="2"/>
  <c r="B985" i="2"/>
  <c r="B967" i="2"/>
  <c r="B949" i="2"/>
  <c r="B930" i="2"/>
  <c r="B912" i="2"/>
  <c r="B894" i="2"/>
  <c r="B876" i="2"/>
  <c r="B857" i="2"/>
  <c r="B839" i="2"/>
  <c r="B821" i="2"/>
  <c r="B803" i="2"/>
  <c r="B785" i="2"/>
  <c r="B767" i="2"/>
  <c r="B749" i="2"/>
  <c r="B730" i="2"/>
  <c r="B712" i="2"/>
  <c r="B694" i="2"/>
  <c r="B676" i="2"/>
  <c r="B657" i="2"/>
  <c r="B639" i="2"/>
  <c r="B622" i="2"/>
  <c r="B605" i="2"/>
  <c r="B588" i="2"/>
  <c r="B571" i="2"/>
  <c r="B554" i="2"/>
  <c r="B537" i="2"/>
  <c r="B520" i="2"/>
  <c r="B503" i="2"/>
  <c r="B487" i="2"/>
  <c r="B471" i="2"/>
  <c r="B455" i="2"/>
  <c r="B439" i="2"/>
  <c r="B423" i="2"/>
  <c r="B407" i="2"/>
  <c r="B391" i="2"/>
  <c r="B375" i="2"/>
  <c r="B359" i="2"/>
  <c r="B343" i="2"/>
  <c r="B327" i="2"/>
  <c r="B311" i="2"/>
  <c r="B295" i="2"/>
  <c r="B279" i="2"/>
  <c r="B263" i="2"/>
  <c r="B247" i="2"/>
  <c r="B231" i="2"/>
  <c r="B215" i="2"/>
  <c r="B199" i="2"/>
  <c r="B183" i="2"/>
  <c r="B167" i="2"/>
  <c r="B151" i="2"/>
  <c r="B135" i="2"/>
  <c r="B119" i="2"/>
  <c r="B103" i="2"/>
  <c r="B87" i="2"/>
  <c r="B71" i="2"/>
  <c r="B55" i="2"/>
  <c r="B39" i="2"/>
  <c r="B23" i="2"/>
  <c r="B7" i="2"/>
  <c r="B1002" i="2"/>
  <c r="B984" i="2"/>
  <c r="B966" i="2"/>
  <c r="B947" i="2"/>
  <c r="B929" i="2"/>
  <c r="B911" i="2"/>
  <c r="B893" i="2"/>
  <c r="B874" i="2"/>
  <c r="B856" i="2"/>
  <c r="B838" i="2"/>
  <c r="B820" i="2"/>
  <c r="B802" i="2"/>
  <c r="B784" i="2"/>
  <c r="B766" i="2"/>
  <c r="B748" i="2"/>
  <c r="B729" i="2"/>
  <c r="B711" i="2"/>
  <c r="B693" i="2"/>
  <c r="B674" i="2"/>
  <c r="B656" i="2"/>
  <c r="B638" i="2"/>
  <c r="B621" i="2"/>
  <c r="B604" i="2"/>
  <c r="B587" i="2"/>
  <c r="B570" i="2"/>
  <c r="B553" i="2"/>
  <c r="B536" i="2"/>
  <c r="B519" i="2"/>
  <c r="B502" i="2"/>
  <c r="B486" i="2"/>
  <c r="B470" i="2"/>
  <c r="B454" i="2"/>
  <c r="B438" i="2"/>
  <c r="B422" i="2"/>
  <c r="B406" i="2"/>
  <c r="B390" i="2"/>
  <c r="B374" i="2"/>
  <c r="B358" i="2"/>
  <c r="B342" i="2"/>
  <c r="B326" i="2"/>
  <c r="B310" i="2"/>
  <c r="B294" i="2"/>
  <c r="B278" i="2"/>
  <c r="B262" i="2"/>
  <c r="B246" i="2"/>
  <c r="B230" i="2"/>
  <c r="B214" i="2"/>
  <c r="B198" i="2"/>
  <c r="B182" i="2"/>
  <c r="B166" i="2"/>
  <c r="B150" i="2"/>
  <c r="B134" i="2"/>
  <c r="B118" i="2"/>
  <c r="B102" i="2"/>
  <c r="B86" i="2"/>
  <c r="B70" i="2"/>
  <c r="B54" i="2"/>
  <c r="B38" i="2"/>
  <c r="B22" i="2"/>
  <c r="B6" i="2"/>
  <c r="B995" i="2"/>
  <c r="B977" i="2"/>
  <c r="B959" i="2"/>
  <c r="B941" i="2"/>
  <c r="B922" i="2"/>
  <c r="B904" i="2"/>
  <c r="B886" i="2"/>
  <c r="B868" i="2"/>
  <c r="B850" i="2"/>
  <c r="B832" i="2"/>
  <c r="B814" i="2"/>
  <c r="B796" i="2"/>
  <c r="B776" i="2"/>
  <c r="B758" i="2"/>
  <c r="B740" i="2"/>
  <c r="B722" i="2"/>
  <c r="B704" i="2"/>
  <c r="B686" i="2"/>
  <c r="B668" i="2"/>
  <c r="B649" i="2"/>
  <c r="B632" i="2"/>
  <c r="B615" i="2"/>
  <c r="B598" i="2"/>
  <c r="B581" i="2"/>
  <c r="B564" i="2"/>
  <c r="B547" i="2"/>
  <c r="B530" i="2"/>
  <c r="B512" i="2"/>
  <c r="B496" i="2"/>
  <c r="B480" i="2"/>
  <c r="B464" i="2"/>
  <c r="B448" i="2"/>
  <c r="B432" i="2"/>
  <c r="B416" i="2"/>
  <c r="B400" i="2"/>
  <c r="B384" i="2"/>
  <c r="B368" i="2"/>
  <c r="B352" i="2"/>
  <c r="B336" i="2"/>
  <c r="B320" i="2"/>
  <c r="B304" i="2"/>
  <c r="B288" i="2"/>
  <c r="B272" i="2"/>
  <c r="B256" i="2"/>
  <c r="B240" i="2"/>
  <c r="B224" i="2"/>
  <c r="B208" i="2"/>
  <c r="B192" i="2"/>
  <c r="B176" i="2"/>
  <c r="B160" i="2"/>
  <c r="B144" i="2"/>
  <c r="B128" i="2"/>
  <c r="B112" i="2"/>
  <c r="B96" i="2"/>
  <c r="B80" i="2"/>
  <c r="B64" i="2"/>
  <c r="B48" i="2"/>
  <c r="B32" i="2"/>
  <c r="B16" i="2"/>
  <c r="B994" i="2"/>
  <c r="B976" i="2"/>
  <c r="B958" i="2"/>
  <c r="B940" i="2"/>
  <c r="B921" i="2"/>
  <c r="B903" i="2"/>
  <c r="B885" i="2"/>
  <c r="B867" i="2"/>
  <c r="B849" i="2"/>
  <c r="B831" i="2"/>
  <c r="B813" i="2"/>
  <c r="B793" i="2"/>
  <c r="B775" i="2"/>
  <c r="B757" i="2"/>
  <c r="B739" i="2"/>
  <c r="B721" i="2"/>
  <c r="B703" i="2"/>
  <c r="B685" i="2"/>
  <c r="B666" i="2"/>
  <c r="B648" i="2"/>
  <c r="B631" i="2"/>
  <c r="B614" i="2"/>
  <c r="B597" i="2"/>
  <c r="B580" i="2"/>
  <c r="B563" i="2"/>
  <c r="B546" i="2"/>
  <c r="B528" i="2"/>
  <c r="B511" i="2"/>
  <c r="B495" i="2"/>
  <c r="B479" i="2"/>
  <c r="B463" i="2"/>
  <c r="B447" i="2"/>
  <c r="B431" i="2"/>
  <c r="B415" i="2"/>
  <c r="B399" i="2"/>
  <c r="B383" i="2"/>
  <c r="B367" i="2"/>
  <c r="B351" i="2"/>
  <c r="B335" i="2"/>
  <c r="B319" i="2"/>
  <c r="B303" i="2"/>
  <c r="B287" i="2"/>
  <c r="B271" i="2"/>
  <c r="B255" i="2"/>
  <c r="B239" i="2"/>
  <c r="B223" i="2"/>
  <c r="B207" i="2"/>
  <c r="B191" i="2"/>
  <c r="B175" i="2"/>
  <c r="B159" i="2"/>
  <c r="B143" i="2"/>
  <c r="B127" i="2"/>
  <c r="B111" i="2"/>
  <c r="B95" i="2"/>
  <c r="B79" i="2"/>
  <c r="B63" i="2"/>
  <c r="B47" i="2"/>
  <c r="B31" i="2"/>
  <c r="B15" i="2"/>
  <c r="B979" i="2"/>
  <c r="B953" i="2"/>
  <c r="B926" i="2"/>
  <c r="B900" i="2"/>
  <c r="B872" i="2"/>
  <c r="B847" i="2"/>
  <c r="B819" i="2"/>
  <c r="B792" i="2"/>
  <c r="B769" i="2"/>
  <c r="B741" i="2"/>
  <c r="B716" i="2"/>
  <c r="B688" i="2"/>
  <c r="B662" i="2"/>
  <c r="B635" i="2"/>
  <c r="B611" i="2"/>
  <c r="B585" i="2"/>
  <c r="B560" i="2"/>
  <c r="B535" i="2"/>
  <c r="B510" i="2"/>
  <c r="B489" i="2"/>
  <c r="B465" i="2"/>
  <c r="B442" i="2"/>
  <c r="B418" i="2"/>
  <c r="B395" i="2"/>
  <c r="B371" i="2"/>
  <c r="B348" i="2"/>
  <c r="B324" i="2"/>
  <c r="B301" i="2"/>
  <c r="B277" i="2"/>
  <c r="B254" i="2"/>
  <c r="B233" i="2"/>
  <c r="B209" i="2"/>
  <c r="B186" i="2"/>
  <c r="B162" i="2"/>
  <c r="B139" i="2"/>
  <c r="B115" i="2"/>
  <c r="B92" i="2"/>
  <c r="B68" i="2"/>
  <c r="B46" i="2"/>
  <c r="B26" i="2"/>
  <c r="B4" i="2"/>
  <c r="B978" i="2"/>
  <c r="B952" i="2"/>
  <c r="B925" i="2"/>
  <c r="B899" i="2"/>
  <c r="B871" i="2"/>
  <c r="B845" i="2"/>
  <c r="B818" i="2"/>
  <c r="B791" i="2"/>
  <c r="B765" i="2"/>
  <c r="B738" i="2"/>
  <c r="B714" i="2"/>
  <c r="B687" i="2"/>
  <c r="B661" i="2"/>
  <c r="B634" i="2"/>
  <c r="B610" i="2"/>
  <c r="B584" i="2"/>
  <c r="B559" i="2"/>
  <c r="B534" i="2"/>
  <c r="B509" i="2"/>
  <c r="B485" i="2"/>
  <c r="B462" i="2"/>
  <c r="B441" i="2"/>
  <c r="B417" i="2"/>
  <c r="B394" i="2"/>
  <c r="B370" i="2"/>
  <c r="B347" i="2"/>
  <c r="B323" i="2"/>
  <c r="B300" i="2"/>
  <c r="B276" i="2"/>
  <c r="B253" i="2"/>
  <c r="B229" i="2"/>
  <c r="B206" i="2"/>
  <c r="B185" i="2"/>
  <c r="B161" i="2"/>
  <c r="B138" i="2"/>
  <c r="B114" i="2"/>
  <c r="B91" i="2"/>
  <c r="B67" i="2"/>
  <c r="B45" i="2"/>
  <c r="B25" i="2"/>
  <c r="B1001" i="2"/>
  <c r="B975" i="2"/>
  <c r="B951" i="2"/>
  <c r="B924" i="2"/>
  <c r="B898" i="2"/>
  <c r="B870" i="2"/>
  <c r="B844" i="2"/>
  <c r="B817" i="2"/>
  <c r="B790" i="2"/>
  <c r="B764" i="2"/>
  <c r="B737" i="2"/>
  <c r="B710" i="2"/>
  <c r="B684" i="2"/>
  <c r="B660" i="2"/>
  <c r="B633" i="2"/>
  <c r="B608" i="2"/>
  <c r="B583" i="2"/>
  <c r="B558" i="2"/>
  <c r="B533" i="2"/>
  <c r="B508" i="2"/>
  <c r="B484" i="2"/>
  <c r="B461" i="2"/>
  <c r="B437" i="2"/>
  <c r="B414" i="2"/>
  <c r="B393" i="2"/>
  <c r="B369" i="2"/>
  <c r="B346" i="2"/>
  <c r="B322" i="2"/>
  <c r="B299" i="2"/>
  <c r="B275" i="2"/>
  <c r="B252" i="2"/>
  <c r="B228" i="2"/>
  <c r="B205" i="2"/>
  <c r="B181" i="2"/>
  <c r="B158" i="2"/>
  <c r="B137" i="2"/>
  <c r="B113" i="2"/>
  <c r="B90" i="2"/>
  <c r="B66" i="2"/>
  <c r="B44" i="2"/>
  <c r="B24" i="2"/>
  <c r="B973" i="2"/>
  <c r="B942" i="2"/>
  <c r="B909" i="2"/>
  <c r="B879" i="2"/>
  <c r="B842" i="2"/>
  <c r="B809" i="2"/>
  <c r="B780" i="2"/>
  <c r="B746" i="2"/>
  <c r="B717" i="2"/>
  <c r="B680" i="2"/>
  <c r="B647" i="2"/>
  <c r="B618" i="2"/>
  <c r="B590" i="2"/>
  <c r="B556" i="2"/>
  <c r="B525" i="2"/>
  <c r="B497" i="2"/>
  <c r="B468" i="2"/>
  <c r="B436" i="2"/>
  <c r="B410" i="2"/>
  <c r="B381" i="2"/>
  <c r="B354" i="2"/>
  <c r="B325" i="2"/>
  <c r="B293" i="2"/>
  <c r="B267" i="2"/>
  <c r="B238" i="2"/>
  <c r="B211" i="2"/>
  <c r="B179" i="2"/>
  <c r="B153" i="2"/>
  <c r="B124" i="2"/>
  <c r="B97" i="2"/>
  <c r="B65" i="2"/>
  <c r="B40" i="2"/>
  <c r="B13" i="2"/>
  <c r="B972" i="2"/>
  <c r="B938" i="2"/>
  <c r="B908" i="2"/>
  <c r="B878" i="2"/>
  <c r="B841" i="2"/>
  <c r="B808" i="2"/>
  <c r="B778" i="2"/>
  <c r="B745" i="2"/>
  <c r="B708" i="2"/>
  <c r="B679" i="2"/>
  <c r="B646" i="2"/>
  <c r="B617" i="2"/>
  <c r="B586" i="2"/>
  <c r="B552" i="2"/>
  <c r="B524" i="2"/>
  <c r="B494" i="2"/>
  <c r="B467" i="2"/>
  <c r="B435" i="2"/>
  <c r="B409" i="2"/>
  <c r="B380" i="2"/>
  <c r="B353" i="2"/>
  <c r="B321" i="2"/>
  <c r="B292" i="2"/>
  <c r="B266" i="2"/>
  <c r="B237" i="2"/>
  <c r="B210" i="2"/>
  <c r="B178" i="2"/>
  <c r="B149" i="2"/>
  <c r="B123" i="2"/>
  <c r="B94" i="2"/>
  <c r="B62" i="2"/>
  <c r="B37" i="2"/>
  <c r="B12" i="2"/>
  <c r="B1000" i="2"/>
  <c r="B970" i="2"/>
  <c r="B937" i="2"/>
  <c r="B906" i="2"/>
  <c r="B873" i="2"/>
  <c r="B837" i="2"/>
  <c r="B807" i="2"/>
  <c r="B774" i="2"/>
  <c r="B744" i="2"/>
  <c r="B707" i="2"/>
  <c r="B678" i="2"/>
  <c r="B645" i="2"/>
  <c r="B616" i="2"/>
  <c r="B582" i="2"/>
  <c r="B551" i="2"/>
  <c r="B523" i="2"/>
  <c r="B493" i="2"/>
  <c r="B466" i="2"/>
  <c r="B434" i="2"/>
  <c r="B405" i="2"/>
  <c r="B379" i="2"/>
  <c r="B350" i="2"/>
  <c r="B318" i="2"/>
  <c r="B291" i="2"/>
  <c r="B265" i="2"/>
  <c r="B236" i="2"/>
  <c r="B204" i="2"/>
  <c r="B177" i="2"/>
  <c r="B148" i="2"/>
  <c r="B122" i="2"/>
  <c r="B93" i="2"/>
  <c r="B61" i="2"/>
  <c r="B36" i="2"/>
  <c r="B11" i="2"/>
  <c r="B998" i="2"/>
  <c r="B969" i="2"/>
  <c r="B936" i="2"/>
  <c r="B905" i="2"/>
  <c r="B869" i="2"/>
  <c r="B836" i="2"/>
  <c r="B806" i="2"/>
  <c r="B773" i="2"/>
  <c r="B742" i="2"/>
  <c r="B706" i="2"/>
  <c r="B673" i="2"/>
  <c r="B644" i="2"/>
  <c r="B613" i="2"/>
  <c r="B579" i="2"/>
  <c r="B550" i="2"/>
  <c r="B522" i="2"/>
  <c r="B492" i="2"/>
  <c r="B460" i="2"/>
  <c r="B433" i="2"/>
  <c r="B404" i="2"/>
  <c r="B378" i="2"/>
  <c r="B349" i="2"/>
  <c r="B317" i="2"/>
  <c r="B290" i="2"/>
  <c r="B261" i="2"/>
  <c r="B235" i="2"/>
  <c r="B203" i="2"/>
  <c r="B174" i="2"/>
  <c r="B147" i="2"/>
  <c r="B121" i="2"/>
  <c r="B89" i="2"/>
  <c r="B60" i="2"/>
  <c r="B35" i="2"/>
  <c r="B10" i="2"/>
  <c r="B997" i="2"/>
  <c r="B964" i="2"/>
  <c r="B935" i="2"/>
  <c r="B902" i="2"/>
  <c r="B866" i="2"/>
  <c r="B835" i="2"/>
  <c r="B805" i="2"/>
  <c r="B772" i="2"/>
  <c r="B736" i="2"/>
  <c r="B705" i="2"/>
  <c r="B672" i="2"/>
  <c r="B643" i="2"/>
  <c r="B612" i="2"/>
  <c r="B578" i="2"/>
  <c r="B549" i="2"/>
  <c r="B518" i="2"/>
  <c r="B491" i="2"/>
  <c r="B459" i="2"/>
  <c r="B430" i="2"/>
  <c r="B403" i="2"/>
  <c r="B377" i="2"/>
  <c r="B345" i="2"/>
  <c r="B316" i="2"/>
  <c r="B289" i="2"/>
  <c r="B260" i="2"/>
  <c r="B234" i="2"/>
  <c r="B202" i="2"/>
  <c r="B173" i="2"/>
  <c r="B146" i="2"/>
  <c r="B117" i="2"/>
  <c r="B85" i="2"/>
  <c r="B59" i="2"/>
  <c r="B34" i="2"/>
  <c r="B9" i="2"/>
  <c r="B996" i="2"/>
  <c r="B963" i="2"/>
  <c r="B934" i="2"/>
  <c r="B901" i="2"/>
  <c r="B865" i="2"/>
  <c r="B834" i="2"/>
  <c r="B801" i="2"/>
  <c r="B771" i="2"/>
  <c r="B735" i="2"/>
  <c r="B702" i="2"/>
  <c r="B671" i="2"/>
  <c r="B642" i="2"/>
  <c r="B607" i="2"/>
  <c r="B576" i="2"/>
  <c r="B548" i="2"/>
  <c r="B517" i="2"/>
  <c r="B490" i="2"/>
  <c r="B458" i="2"/>
  <c r="B429" i="2"/>
  <c r="B402" i="2"/>
  <c r="B373" i="2"/>
  <c r="B341" i="2"/>
  <c r="B315" i="2"/>
  <c r="B286" i="2"/>
  <c r="B259" i="2"/>
  <c r="B227" i="2"/>
  <c r="B201" i="2"/>
  <c r="B172" i="2"/>
  <c r="B145" i="2"/>
  <c r="B116" i="2"/>
  <c r="B84" i="2"/>
  <c r="B58" i="2"/>
  <c r="B33" i="2"/>
  <c r="B8" i="2"/>
  <c r="B993" i="2"/>
  <c r="B962" i="2"/>
  <c r="B933" i="2"/>
  <c r="B896" i="2"/>
  <c r="B864" i="2"/>
  <c r="B833" i="2"/>
  <c r="B800" i="2"/>
  <c r="B770" i="2"/>
  <c r="B734" i="2"/>
  <c r="B701" i="2"/>
  <c r="B670" i="2"/>
  <c r="B637" i="2"/>
  <c r="B603" i="2"/>
  <c r="B575" i="2"/>
  <c r="B544" i="2"/>
  <c r="B516" i="2"/>
  <c r="B483" i="2"/>
  <c r="B457" i="2"/>
  <c r="B428" i="2"/>
  <c r="B401" i="2"/>
  <c r="B372" i="2"/>
  <c r="B340" i="2"/>
  <c r="B314" i="2"/>
  <c r="B285" i="2"/>
  <c r="B258" i="2"/>
  <c r="B226" i="2"/>
  <c r="B197" i="2"/>
  <c r="B171" i="2"/>
  <c r="B142" i="2"/>
  <c r="B110" i="2"/>
  <c r="B83" i="2"/>
  <c r="B57" i="2"/>
  <c r="B30" i="2"/>
  <c r="B5" i="2"/>
  <c r="B992" i="2"/>
  <c r="B961" i="2"/>
  <c r="B928" i="2"/>
  <c r="B892" i="2"/>
  <c r="B862" i="2"/>
  <c r="B830" i="2"/>
  <c r="B799" i="2"/>
  <c r="B762" i="2"/>
  <c r="B733" i="2"/>
  <c r="B700" i="2"/>
  <c r="B669" i="2"/>
  <c r="B636" i="2"/>
  <c r="B602" i="2"/>
  <c r="B574" i="2"/>
  <c r="B543" i="2"/>
  <c r="B515" i="2"/>
  <c r="B482" i="2"/>
  <c r="B453" i="2"/>
  <c r="B427" i="2"/>
  <c r="B398" i="2"/>
  <c r="B366" i="2"/>
  <c r="B339" i="2"/>
  <c r="B313" i="2"/>
  <c r="B284" i="2"/>
  <c r="B257" i="2"/>
  <c r="B225" i="2"/>
  <c r="B196" i="2"/>
  <c r="B170" i="2"/>
  <c r="B141" i="2"/>
  <c r="B109" i="2"/>
  <c r="B82" i="2"/>
  <c r="B56" i="2"/>
  <c r="B29" i="2"/>
  <c r="B991" i="2"/>
  <c r="B960" i="2"/>
  <c r="B927" i="2"/>
  <c r="B890" i="2"/>
  <c r="B861" i="2"/>
  <c r="B828" i="2"/>
  <c r="B798" i="2"/>
  <c r="B761" i="2"/>
  <c r="B728" i="2"/>
  <c r="B698" i="2"/>
  <c r="B665" i="2"/>
  <c r="B630" i="2"/>
  <c r="B601" i="2"/>
  <c r="B573" i="2"/>
  <c r="B542" i="2"/>
  <c r="B514" i="2"/>
  <c r="B481" i="2"/>
  <c r="B452" i="2"/>
  <c r="B426" i="2"/>
  <c r="B397" i="2"/>
  <c r="B365" i="2"/>
  <c r="B338" i="2"/>
  <c r="B309" i="2"/>
  <c r="B283" i="2"/>
  <c r="B251" i="2"/>
  <c r="B222" i="2"/>
  <c r="B195" i="2"/>
  <c r="B169" i="2"/>
  <c r="B140" i="2"/>
  <c r="B108" i="2"/>
  <c r="B81" i="2"/>
  <c r="B53" i="2"/>
  <c r="B28" i="2"/>
  <c r="B990" i="2"/>
  <c r="B957" i="2"/>
  <c r="B920" i="2"/>
  <c r="B889" i="2"/>
  <c r="B860" i="2"/>
  <c r="B826" i="2"/>
  <c r="B797" i="2"/>
  <c r="B759" i="2"/>
  <c r="B727" i="2"/>
  <c r="B697" i="2"/>
  <c r="B664" i="2"/>
  <c r="B629" i="2"/>
  <c r="B600" i="2"/>
  <c r="B569" i="2"/>
  <c r="B541" i="2"/>
  <c r="B507" i="2"/>
  <c r="B478" i="2"/>
  <c r="B451" i="2"/>
  <c r="B425" i="2"/>
  <c r="B396" i="2"/>
  <c r="B364" i="2"/>
  <c r="B337" i="2"/>
  <c r="B308" i="2"/>
  <c r="B282" i="2"/>
  <c r="B250" i="2"/>
  <c r="B221" i="2"/>
  <c r="B194" i="2"/>
  <c r="B165" i="2"/>
  <c r="B133" i="2"/>
  <c r="B107" i="2"/>
  <c r="B78" i="2"/>
  <c r="B52" i="2"/>
  <c r="B27" i="2"/>
  <c r="B989" i="2"/>
  <c r="B956" i="2"/>
  <c r="B919" i="2"/>
  <c r="B888" i="2"/>
  <c r="B855" i="2"/>
  <c r="B825" i="2"/>
  <c r="B789" i="2"/>
  <c r="B756" i="2"/>
  <c r="B725" i="2"/>
  <c r="B696" i="2"/>
  <c r="B663" i="2"/>
  <c r="B628" i="2"/>
  <c r="B599" i="2"/>
  <c r="B568" i="2"/>
  <c r="B540" i="2"/>
  <c r="B506" i="2"/>
  <c r="B477" i="2"/>
  <c r="B450" i="2"/>
  <c r="B421" i="2"/>
  <c r="B389" i="2"/>
  <c r="B363" i="2"/>
  <c r="B334" i="2"/>
  <c r="B307" i="2"/>
  <c r="B281" i="2"/>
  <c r="B249" i="2"/>
  <c r="B220" i="2"/>
  <c r="B193" i="2"/>
  <c r="B164" i="2"/>
  <c r="B132" i="2"/>
  <c r="B106" i="2"/>
  <c r="B77" i="2"/>
  <c r="B51" i="2"/>
  <c r="B21" i="2"/>
  <c r="B988" i="2"/>
  <c r="B954" i="2"/>
  <c r="B918" i="2"/>
  <c r="B887" i="2"/>
  <c r="B854" i="2"/>
  <c r="B824" i="2"/>
  <c r="B788" i="2"/>
  <c r="B755" i="2"/>
  <c r="B724" i="2"/>
  <c r="B691" i="2"/>
  <c r="B655" i="2"/>
  <c r="B627" i="2"/>
  <c r="B596" i="2"/>
  <c r="B567" i="2"/>
  <c r="B539" i="2"/>
  <c r="B505" i="2"/>
  <c r="B476" i="2"/>
  <c r="B449" i="2"/>
  <c r="B420" i="2"/>
  <c r="B388" i="2"/>
  <c r="B362" i="2"/>
  <c r="B333" i="2"/>
  <c r="B306" i="2"/>
  <c r="B274" i="2"/>
  <c r="B245" i="2"/>
  <c r="B219" i="2"/>
  <c r="B190" i="2"/>
  <c r="B163" i="2"/>
  <c r="B131" i="2"/>
  <c r="B105" i="2"/>
  <c r="B76" i="2"/>
  <c r="B50" i="2"/>
  <c r="B20" i="2"/>
  <c r="B983" i="2"/>
  <c r="B946" i="2"/>
  <c r="B917" i="2"/>
  <c r="B884" i="2"/>
  <c r="B853" i="2"/>
  <c r="B823" i="2"/>
  <c r="B787" i="2"/>
  <c r="B754" i="2"/>
  <c r="B723" i="2"/>
  <c r="B690" i="2"/>
  <c r="B654" i="2"/>
  <c r="B626" i="2"/>
  <c r="B595" i="2"/>
  <c r="B566" i="2"/>
  <c r="B532" i="2"/>
  <c r="B501" i="2"/>
  <c r="B475" i="2"/>
  <c r="B446" i="2"/>
  <c r="B419" i="2"/>
  <c r="B387" i="2"/>
  <c r="B361" i="2"/>
  <c r="B332" i="2"/>
  <c r="B305" i="2"/>
  <c r="B273" i="2"/>
  <c r="B244" i="2"/>
  <c r="B218" i="2"/>
  <c r="B189" i="2"/>
  <c r="B157" i="2"/>
  <c r="B130" i="2"/>
  <c r="B101" i="2"/>
  <c r="B75" i="2"/>
  <c r="B49" i="2"/>
  <c r="B19" i="2"/>
  <c r="B981" i="2"/>
  <c r="B945" i="2"/>
  <c r="B916" i="2"/>
  <c r="B883" i="2"/>
  <c r="B852" i="2"/>
  <c r="B816" i="2"/>
  <c r="B783" i="2"/>
  <c r="B753" i="2"/>
  <c r="B720" i="2"/>
  <c r="B689" i="2"/>
  <c r="B653" i="2"/>
  <c r="B624" i="2"/>
  <c r="B594" i="2"/>
  <c r="B565" i="2"/>
  <c r="B531" i="2"/>
  <c r="B500" i="2"/>
  <c r="B474" i="2"/>
  <c r="B445" i="2"/>
  <c r="B413" i="2"/>
  <c r="B386" i="2"/>
  <c r="B357" i="2"/>
  <c r="B331" i="2"/>
  <c r="B302" i="2"/>
  <c r="B270" i="2"/>
  <c r="B243" i="2"/>
  <c r="B217" i="2"/>
  <c r="B188" i="2"/>
  <c r="B156" i="2"/>
  <c r="B129" i="2"/>
  <c r="B100" i="2"/>
  <c r="B74" i="2"/>
  <c r="B43" i="2"/>
  <c r="B18" i="2"/>
  <c r="B980" i="2"/>
  <c r="B944" i="2"/>
  <c r="B915" i="2"/>
  <c r="B882" i="2"/>
  <c r="B851" i="2"/>
  <c r="B815" i="2"/>
  <c r="B782" i="2"/>
  <c r="B752" i="2"/>
  <c r="B719" i="2"/>
  <c r="B682" i="2"/>
  <c r="B652" i="2"/>
  <c r="B620" i="2"/>
  <c r="B592" i="2"/>
  <c r="B562" i="2"/>
  <c r="B527" i="2"/>
  <c r="B499" i="2"/>
  <c r="B473" i="2"/>
  <c r="B444" i="2"/>
  <c r="B412" i="2"/>
  <c r="B385" i="2"/>
  <c r="B356" i="2"/>
  <c r="B330" i="2"/>
  <c r="B298" i="2"/>
  <c r="B269" i="2"/>
  <c r="B242" i="2"/>
  <c r="B213" i="2"/>
  <c r="B187" i="2"/>
  <c r="B155" i="2"/>
  <c r="B126" i="2"/>
  <c r="B99" i="2"/>
  <c r="B73" i="2"/>
  <c r="B42" i="2"/>
  <c r="B17" i="2"/>
  <c r="B974" i="2"/>
  <c r="B943" i="2"/>
  <c r="B910" i="2"/>
  <c r="B881" i="2"/>
  <c r="B848" i="2"/>
  <c r="B810" i="2"/>
  <c r="B781" i="2"/>
  <c r="B751" i="2"/>
  <c r="B718" i="2"/>
  <c r="B681" i="2"/>
  <c r="B650" i="2"/>
  <c r="B619" i="2"/>
  <c r="B591" i="2"/>
  <c r="B557" i="2"/>
  <c r="B526" i="2"/>
  <c r="B498" i="2"/>
  <c r="B469" i="2"/>
  <c r="B443" i="2"/>
  <c r="B411" i="2"/>
  <c r="B382" i="2"/>
  <c r="B355" i="2"/>
  <c r="B329" i="2"/>
  <c r="B297" i="2"/>
  <c r="B268" i="2"/>
  <c r="B241" i="2"/>
  <c r="B212" i="2"/>
  <c r="B180" i="2"/>
  <c r="B154" i="2"/>
  <c r="B125" i="2"/>
  <c r="B98" i="2"/>
  <c r="B69" i="2"/>
  <c r="B41" i="2"/>
  <c r="B14" i="2"/>
  <c r="CQ1625" i="1"/>
  <c r="CQ1609" i="1"/>
  <c r="CQ1593" i="1"/>
  <c r="CQ1577" i="1"/>
  <c r="CQ1561" i="1"/>
  <c r="CQ1545" i="1"/>
  <c r="CQ1529" i="1"/>
  <c r="CQ1513" i="1"/>
  <c r="CQ1497" i="1"/>
  <c r="CQ1481" i="1"/>
  <c r="CQ1465" i="1"/>
  <c r="CQ1449" i="1"/>
  <c r="CQ1433" i="1"/>
  <c r="CQ1417" i="1"/>
  <c r="CQ1401" i="1"/>
  <c r="CQ1385" i="1"/>
  <c r="CQ1369" i="1"/>
  <c r="CQ1353" i="1"/>
  <c r="CQ1337" i="1"/>
  <c r="CQ1321" i="1"/>
  <c r="CQ1305" i="1"/>
  <c r="CQ1289" i="1"/>
  <c r="CQ1273" i="1"/>
  <c r="CQ1257" i="1"/>
  <c r="CQ1241" i="1"/>
  <c r="CQ1225" i="1"/>
  <c r="CQ1209" i="1"/>
  <c r="CQ1193" i="1"/>
  <c r="CQ1177" i="1"/>
  <c r="CQ1161" i="1"/>
  <c r="CQ1145" i="1"/>
  <c r="CQ1129" i="1"/>
  <c r="CQ1113" i="1"/>
  <c r="CQ1097" i="1"/>
  <c r="CQ1081" i="1"/>
  <c r="CQ1065" i="1"/>
  <c r="CQ1049" i="1"/>
  <c r="CQ1033" i="1"/>
  <c r="CQ1017" i="1"/>
  <c r="CQ1001" i="1"/>
  <c r="CQ985" i="1"/>
  <c r="CQ969" i="1"/>
  <c r="CQ953" i="1"/>
  <c r="CQ937" i="1"/>
  <c r="CQ921" i="1"/>
  <c r="CQ1624" i="1"/>
  <c r="CQ1608" i="1"/>
  <c r="CQ1592" i="1"/>
  <c r="CQ1576" i="1"/>
  <c r="CQ1560" i="1"/>
  <c r="CQ1544" i="1"/>
  <c r="CQ1528" i="1"/>
  <c r="CQ1512" i="1"/>
  <c r="CQ1496" i="1"/>
  <c r="CQ1480" i="1"/>
  <c r="CQ1464" i="1"/>
  <c r="CQ1448" i="1"/>
  <c r="CQ1432" i="1"/>
  <c r="CQ1416" i="1"/>
  <c r="CQ1400" i="1"/>
  <c r="CQ1384" i="1"/>
  <c r="CQ1368" i="1"/>
  <c r="CQ1352" i="1"/>
  <c r="CQ1336" i="1"/>
  <c r="CQ1320" i="1"/>
  <c r="CQ1304" i="1"/>
  <c r="CQ1288" i="1"/>
  <c r="CQ1272" i="1"/>
  <c r="CQ1256" i="1"/>
  <c r="CQ1240" i="1"/>
  <c r="CQ1224" i="1"/>
  <c r="CQ1208" i="1"/>
  <c r="CQ1192" i="1"/>
  <c r="CQ1176" i="1"/>
  <c r="CQ1160" i="1"/>
  <c r="CQ1144" i="1"/>
  <c r="CQ1128" i="1"/>
  <c r="CQ1112" i="1"/>
  <c r="CQ1096" i="1"/>
  <c r="CQ1080" i="1"/>
  <c r="CQ1064" i="1"/>
  <c r="CQ1048" i="1"/>
  <c r="CQ1032" i="1"/>
  <c r="CQ1016" i="1"/>
  <c r="CQ1000" i="1"/>
  <c r="CQ984" i="1"/>
  <c r="CQ968" i="1"/>
  <c r="CQ952" i="1"/>
  <c r="CQ936" i="1"/>
  <c r="CQ920" i="1"/>
  <c r="CQ904" i="1"/>
  <c r="CQ888" i="1"/>
  <c r="CQ872" i="1"/>
  <c r="CQ856" i="1"/>
  <c r="CQ840" i="1"/>
  <c r="CQ824" i="1"/>
  <c r="CQ808" i="1"/>
  <c r="CQ792" i="1"/>
  <c r="CQ776" i="1"/>
  <c r="CQ760" i="1"/>
  <c r="CQ744" i="1"/>
  <c r="CQ728" i="1"/>
  <c r="CQ712" i="1"/>
  <c r="CQ696" i="1"/>
  <c r="CQ680" i="1"/>
  <c r="CQ664" i="1"/>
  <c r="CQ648" i="1"/>
  <c r="CQ632" i="1"/>
  <c r="CQ616" i="1"/>
  <c r="CQ600" i="1"/>
  <c r="CQ584" i="1"/>
  <c r="CQ568" i="1"/>
  <c r="CQ552" i="1"/>
  <c r="CQ536" i="1"/>
  <c r="CQ520" i="1"/>
  <c r="CQ504" i="1"/>
  <c r="CQ488" i="1"/>
  <c r="CQ472" i="1"/>
  <c r="CQ456" i="1"/>
  <c r="CQ440" i="1"/>
  <c r="CQ424" i="1"/>
  <c r="CQ408" i="1"/>
  <c r="CQ392" i="1"/>
  <c r="CQ376" i="1"/>
  <c r="CQ360" i="1"/>
  <c r="CQ344" i="1"/>
  <c r="CQ328" i="1"/>
  <c r="CQ312" i="1"/>
  <c r="CQ296" i="1"/>
  <c r="CQ280" i="1"/>
  <c r="CQ264" i="1"/>
  <c r="CQ248" i="1"/>
  <c r="CQ232" i="1"/>
  <c r="CQ216" i="1"/>
  <c r="CQ200" i="1"/>
  <c r="CQ184" i="1"/>
  <c r="CQ168" i="1"/>
  <c r="CQ152" i="1"/>
  <c r="CQ136" i="1"/>
  <c r="CQ120" i="1"/>
  <c r="CQ104" i="1"/>
  <c r="CQ88" i="1"/>
  <c r="CQ72" i="1"/>
  <c r="CQ56" i="1"/>
  <c r="CQ40" i="1"/>
  <c r="CQ24" i="1"/>
  <c r="CQ8" i="1"/>
  <c r="CQ1623" i="1"/>
  <c r="CQ1607" i="1"/>
  <c r="CQ1591" i="1"/>
  <c r="CQ1575" i="1"/>
  <c r="CQ1559" i="1"/>
  <c r="CQ1543" i="1"/>
  <c r="CQ1527" i="1"/>
  <c r="CQ1511" i="1"/>
  <c r="CQ1495" i="1"/>
  <c r="CQ1479" i="1"/>
  <c r="CQ1463" i="1"/>
  <c r="CQ1447" i="1"/>
  <c r="CQ1431" i="1"/>
  <c r="CQ1415" i="1"/>
  <c r="CQ1399" i="1"/>
  <c r="CQ1383" i="1"/>
  <c r="CQ1367" i="1"/>
  <c r="CQ1351" i="1"/>
  <c r="CQ1335" i="1"/>
  <c r="CQ1319" i="1"/>
  <c r="CQ1303" i="1"/>
  <c r="CQ1287" i="1"/>
  <c r="CQ1271" i="1"/>
  <c r="CQ1255" i="1"/>
  <c r="CQ1239" i="1"/>
  <c r="CQ1223" i="1"/>
  <c r="CQ1207" i="1"/>
  <c r="CQ1610" i="1"/>
  <c r="CQ1588" i="1"/>
  <c r="CQ1569" i="1"/>
  <c r="CQ1550" i="1"/>
  <c r="CQ1531" i="1"/>
  <c r="CQ1509" i="1"/>
  <c r="CQ1490" i="1"/>
  <c r="CQ1471" i="1"/>
  <c r="CQ1452" i="1"/>
  <c r="CQ1430" i="1"/>
  <c r="CQ1411" i="1"/>
  <c r="CQ1392" i="1"/>
  <c r="CQ1373" i="1"/>
  <c r="CQ1354" i="1"/>
  <c r="CQ1332" i="1"/>
  <c r="CQ1313" i="1"/>
  <c r="CQ1294" i="1"/>
  <c r="CQ1275" i="1"/>
  <c r="CQ1253" i="1"/>
  <c r="CQ1234" i="1"/>
  <c r="CQ1215" i="1"/>
  <c r="CQ1196" i="1"/>
  <c r="CQ1178" i="1"/>
  <c r="CQ1158" i="1"/>
  <c r="CQ1140" i="1"/>
  <c r="CQ1122" i="1"/>
  <c r="CQ1104" i="1"/>
  <c r="CQ1086" i="1"/>
  <c r="CQ1068" i="1"/>
  <c r="CQ1050" i="1"/>
  <c r="CQ1030" i="1"/>
  <c r="CQ1012" i="1"/>
  <c r="CQ994" i="1"/>
  <c r="CQ976" i="1"/>
  <c r="CQ958" i="1"/>
  <c r="CQ940" i="1"/>
  <c r="CQ922" i="1"/>
  <c r="CQ903" i="1"/>
  <c r="CQ886" i="1"/>
  <c r="CQ869" i="1"/>
  <c r="CQ852" i="1"/>
  <c r="CQ835" i="1"/>
  <c r="CQ818" i="1"/>
  <c r="CQ801" i="1"/>
  <c r="CQ784" i="1"/>
  <c r="CQ767" i="1"/>
  <c r="CQ750" i="1"/>
  <c r="CQ733" i="1"/>
  <c r="CQ716" i="1"/>
  <c r="CQ699" i="1"/>
  <c r="CQ682" i="1"/>
  <c r="CQ665" i="1"/>
  <c r="CQ647" i="1"/>
  <c r="CQ630" i="1"/>
  <c r="CQ613" i="1"/>
  <c r="CQ596" i="1"/>
  <c r="CQ579" i="1"/>
  <c r="CQ562" i="1"/>
  <c r="CQ545" i="1"/>
  <c r="CQ528" i="1"/>
  <c r="CQ511" i="1"/>
  <c r="CQ494" i="1"/>
  <c r="CQ477" i="1"/>
  <c r="CQ460" i="1"/>
  <c r="CQ443" i="1"/>
  <c r="CQ426" i="1"/>
  <c r="CQ409" i="1"/>
  <c r="CQ391" i="1"/>
  <c r="CQ374" i="1"/>
  <c r="CQ357" i="1"/>
  <c r="CQ340" i="1"/>
  <c r="CQ323" i="1"/>
  <c r="CQ306" i="1"/>
  <c r="CQ289" i="1"/>
  <c r="CQ272" i="1"/>
  <c r="CQ255" i="1"/>
  <c r="CQ238" i="1"/>
  <c r="CQ221" i="1"/>
  <c r="CQ204" i="1"/>
  <c r="CQ187" i="1"/>
  <c r="CQ170" i="1"/>
  <c r="CQ153" i="1"/>
  <c r="CQ135" i="1"/>
  <c r="CQ118" i="1"/>
  <c r="CQ101" i="1"/>
  <c r="CQ84" i="1"/>
  <c r="CQ67" i="1"/>
  <c r="CQ50" i="1"/>
  <c r="CQ33" i="1"/>
  <c r="CQ16" i="1"/>
  <c r="CQ1606" i="1"/>
  <c r="CQ1587" i="1"/>
  <c r="CQ1568" i="1"/>
  <c r="CQ1549" i="1"/>
  <c r="CQ1530" i="1"/>
  <c r="CQ1508" i="1"/>
  <c r="CQ1489" i="1"/>
  <c r="CQ1470" i="1"/>
  <c r="CQ1451" i="1"/>
  <c r="CQ1429" i="1"/>
  <c r="CQ1410" i="1"/>
  <c r="CQ1391" i="1"/>
  <c r="CQ1372" i="1"/>
  <c r="CQ1350" i="1"/>
  <c r="CQ1331" i="1"/>
  <c r="CQ1312" i="1"/>
  <c r="CQ1293" i="1"/>
  <c r="CQ1274" i="1"/>
  <c r="CQ1252" i="1"/>
  <c r="CQ1233" i="1"/>
  <c r="CQ1214" i="1"/>
  <c r="CQ1195" i="1"/>
  <c r="CQ1175" i="1"/>
  <c r="CQ1157" i="1"/>
  <c r="CQ1139" i="1"/>
  <c r="CQ1121" i="1"/>
  <c r="CQ1103" i="1"/>
  <c r="CQ1085" i="1"/>
  <c r="CQ1067" i="1"/>
  <c r="CQ1047" i="1"/>
  <c r="CQ1029" i="1"/>
  <c r="CQ1011" i="1"/>
  <c r="CQ993" i="1"/>
  <c r="CQ975" i="1"/>
  <c r="CQ957" i="1"/>
  <c r="CQ939" i="1"/>
  <c r="CQ919" i="1"/>
  <c r="CQ902" i="1"/>
  <c r="CQ885" i="1"/>
  <c r="CQ868" i="1"/>
  <c r="CQ851" i="1"/>
  <c r="CQ834" i="1"/>
  <c r="CQ817" i="1"/>
  <c r="CQ800" i="1"/>
  <c r="CQ783" i="1"/>
  <c r="CQ766" i="1"/>
  <c r="CQ749" i="1"/>
  <c r="CQ732" i="1"/>
  <c r="CQ715" i="1"/>
  <c r="CQ698" i="1"/>
  <c r="CQ681" i="1"/>
  <c r="CQ663" i="1"/>
  <c r="CQ646" i="1"/>
  <c r="CQ629" i="1"/>
  <c r="CQ612" i="1"/>
  <c r="CQ595" i="1"/>
  <c r="CQ1626" i="1"/>
  <c r="CQ1604" i="1"/>
  <c r="CQ1585" i="1"/>
  <c r="CQ1566" i="1"/>
  <c r="CQ1547" i="1"/>
  <c r="CQ1525" i="1"/>
  <c r="CQ1506" i="1"/>
  <c r="CQ1487" i="1"/>
  <c r="CQ1468" i="1"/>
  <c r="CQ1446" i="1"/>
  <c r="CQ1427" i="1"/>
  <c r="CQ1408" i="1"/>
  <c r="CQ1389" i="1"/>
  <c r="CQ1370" i="1"/>
  <c r="CQ1348" i="1"/>
  <c r="CQ1329" i="1"/>
  <c r="CQ1310" i="1"/>
  <c r="CQ1291" i="1"/>
  <c r="CQ1269" i="1"/>
  <c r="CQ1250" i="1"/>
  <c r="CQ1231" i="1"/>
  <c r="CQ1212" i="1"/>
  <c r="CQ1191" i="1"/>
  <c r="CQ1173" i="1"/>
  <c r="CQ1155" i="1"/>
  <c r="CQ1137" i="1"/>
  <c r="CQ1119" i="1"/>
  <c r="CQ1101" i="1"/>
  <c r="CQ1083" i="1"/>
  <c r="CQ1063" i="1"/>
  <c r="CQ1045" i="1"/>
  <c r="CQ1027" i="1"/>
  <c r="CQ1009" i="1"/>
  <c r="CQ991" i="1"/>
  <c r="CQ973" i="1"/>
  <c r="CQ955" i="1"/>
  <c r="CQ935" i="1"/>
  <c r="CQ917" i="1"/>
  <c r="CQ900" i="1"/>
  <c r="CQ883" i="1"/>
  <c r="CQ866" i="1"/>
  <c r="CQ849" i="1"/>
  <c r="CQ832" i="1"/>
  <c r="CQ815" i="1"/>
  <c r="CQ798" i="1"/>
  <c r="CQ781" i="1"/>
  <c r="CQ764" i="1"/>
  <c r="CQ747" i="1"/>
  <c r="CQ730" i="1"/>
  <c r="CQ713" i="1"/>
  <c r="CQ695" i="1"/>
  <c r="CQ678" i="1"/>
  <c r="CQ661" i="1"/>
  <c r="CQ644" i="1"/>
  <c r="CQ627" i="1"/>
  <c r="CQ610" i="1"/>
  <c r="CQ593" i="1"/>
  <c r="CQ576" i="1"/>
  <c r="CQ1613" i="1"/>
  <c r="CQ1586" i="1"/>
  <c r="CQ1563" i="1"/>
  <c r="CQ1538" i="1"/>
  <c r="CQ1516" i="1"/>
  <c r="CQ1491" i="1"/>
  <c r="CQ1466" i="1"/>
  <c r="CQ1441" i="1"/>
  <c r="CQ1419" i="1"/>
  <c r="CQ1394" i="1"/>
  <c r="CQ1366" i="1"/>
  <c r="CQ1344" i="1"/>
  <c r="CQ1322" i="1"/>
  <c r="CQ1297" i="1"/>
  <c r="CQ1270" i="1"/>
  <c r="CQ1247" i="1"/>
  <c r="CQ1222" i="1"/>
  <c r="CQ1200" i="1"/>
  <c r="CQ1179" i="1"/>
  <c r="CQ1153" i="1"/>
  <c r="CQ1132" i="1"/>
  <c r="CQ1109" i="1"/>
  <c r="CQ1088" i="1"/>
  <c r="CQ1062" i="1"/>
  <c r="CQ1041" i="1"/>
  <c r="CQ1020" i="1"/>
  <c r="CQ997" i="1"/>
  <c r="CQ974" i="1"/>
  <c r="CQ950" i="1"/>
  <c r="CQ929" i="1"/>
  <c r="CQ908" i="1"/>
  <c r="CQ887" i="1"/>
  <c r="CQ864" i="1"/>
  <c r="CQ844" i="1"/>
  <c r="CQ823" i="1"/>
  <c r="CQ803" i="1"/>
  <c r="CQ780" i="1"/>
  <c r="CQ759" i="1"/>
  <c r="CQ739" i="1"/>
  <c r="CQ719" i="1"/>
  <c r="CQ697" i="1"/>
  <c r="CQ675" i="1"/>
  <c r="CQ655" i="1"/>
  <c r="CQ635" i="1"/>
  <c r="CQ614" i="1"/>
  <c r="CQ591" i="1"/>
  <c r="CQ572" i="1"/>
  <c r="CQ554" i="1"/>
  <c r="CQ535" i="1"/>
  <c r="CQ517" i="1"/>
  <c r="CQ499" i="1"/>
  <c r="CQ481" i="1"/>
  <c r="CQ463" i="1"/>
  <c r="CQ445" i="1"/>
  <c r="CQ427" i="1"/>
  <c r="CQ407" i="1"/>
  <c r="CQ389" i="1"/>
  <c r="CQ371" i="1"/>
  <c r="CQ353" i="1"/>
  <c r="CQ335" i="1"/>
  <c r="CQ317" i="1"/>
  <c r="CQ299" i="1"/>
  <c r="CQ281" i="1"/>
  <c r="CQ262" i="1"/>
  <c r="CQ244" i="1"/>
  <c r="CQ226" i="1"/>
  <c r="CQ208" i="1"/>
  <c r="CQ190" i="1"/>
  <c r="CQ172" i="1"/>
  <c r="CQ154" i="1"/>
  <c r="CQ134" i="1"/>
  <c r="CQ116" i="1"/>
  <c r="CQ98" i="1"/>
  <c r="CQ80" i="1"/>
  <c r="CQ62" i="1"/>
  <c r="CQ44" i="1"/>
  <c r="CQ26" i="1"/>
  <c r="CQ7" i="1"/>
  <c r="CQ1612" i="1"/>
  <c r="CQ1584" i="1"/>
  <c r="CQ1562" i="1"/>
  <c r="CQ1537" i="1"/>
  <c r="CQ1515" i="1"/>
  <c r="CQ1488" i="1"/>
  <c r="CQ1462" i="1"/>
  <c r="CQ1440" i="1"/>
  <c r="CQ1418" i="1"/>
  <c r="CQ1393" i="1"/>
  <c r="CQ1365" i="1"/>
  <c r="CQ1343" i="1"/>
  <c r="CQ1318" i="1"/>
  <c r="CQ1296" i="1"/>
  <c r="CQ1268" i="1"/>
  <c r="CQ1246" i="1"/>
  <c r="CQ1221" i="1"/>
  <c r="CQ1199" i="1"/>
  <c r="CQ1174" i="1"/>
  <c r="CQ1152" i="1"/>
  <c r="CQ1131" i="1"/>
  <c r="CQ1108" i="1"/>
  <c r="CQ1087" i="1"/>
  <c r="CQ1061" i="1"/>
  <c r="CQ1040" i="1"/>
  <c r="CQ1019" i="1"/>
  <c r="CQ996" i="1"/>
  <c r="CQ972" i="1"/>
  <c r="CQ949" i="1"/>
  <c r="CQ928" i="1"/>
  <c r="CQ907" i="1"/>
  <c r="CQ884" i="1"/>
  <c r="CQ863" i="1"/>
  <c r="CQ843" i="1"/>
  <c r="CQ822" i="1"/>
  <c r="CQ802" i="1"/>
  <c r="CQ779" i="1"/>
  <c r="CQ758" i="1"/>
  <c r="CQ738" i="1"/>
  <c r="CQ718" i="1"/>
  <c r="CQ694" i="1"/>
  <c r="CQ674" i="1"/>
  <c r="CQ654" i="1"/>
  <c r="CQ634" i="1"/>
  <c r="CQ611" i="1"/>
  <c r="CQ590" i="1"/>
  <c r="CQ571" i="1"/>
  <c r="CQ553" i="1"/>
  <c r="CQ534" i="1"/>
  <c r="CQ516" i="1"/>
  <c r="CQ498" i="1"/>
  <c r="CQ480" i="1"/>
  <c r="CQ462" i="1"/>
  <c r="CQ444" i="1"/>
  <c r="CQ425" i="1"/>
  <c r="CQ406" i="1"/>
  <c r="CQ388" i="1"/>
  <c r="CQ370" i="1"/>
  <c r="CQ352" i="1"/>
  <c r="CQ334" i="1"/>
  <c r="CQ316" i="1"/>
  <c r="CQ298" i="1"/>
  <c r="CQ279" i="1"/>
  <c r="CQ261" i="1"/>
  <c r="CQ243" i="1"/>
  <c r="CQ225" i="1"/>
  <c r="CQ207" i="1"/>
  <c r="CQ189" i="1"/>
  <c r="CQ171" i="1"/>
  <c r="CQ151" i="1"/>
  <c r="CQ133" i="1"/>
  <c r="CQ115" i="1"/>
  <c r="CQ97" i="1"/>
  <c r="CQ79" i="1"/>
  <c r="CQ61" i="1"/>
  <c r="CQ43" i="1"/>
  <c r="CQ25" i="1"/>
  <c r="CQ6" i="1"/>
  <c r="CQ1611" i="1"/>
  <c r="CQ1583" i="1"/>
  <c r="CQ1558" i="1"/>
  <c r="CQ1536" i="1"/>
  <c r="CQ1514" i="1"/>
  <c r="CQ1486" i="1"/>
  <c r="CQ1461" i="1"/>
  <c r="CQ1439" i="1"/>
  <c r="CQ1414" i="1"/>
  <c r="CQ1390" i="1"/>
  <c r="CQ1364" i="1"/>
  <c r="CQ1342" i="1"/>
  <c r="CQ1317" i="1"/>
  <c r="CQ1295" i="1"/>
  <c r="CQ1267" i="1"/>
  <c r="CQ1245" i="1"/>
  <c r="CQ1220" i="1"/>
  <c r="CQ1198" i="1"/>
  <c r="CQ1172" i="1"/>
  <c r="CQ1151" i="1"/>
  <c r="CQ1130" i="1"/>
  <c r="CQ1107" i="1"/>
  <c r="CQ1084" i="1"/>
  <c r="CQ1060" i="1"/>
  <c r="CQ1039" i="1"/>
  <c r="CQ1018" i="1"/>
  <c r="CQ995" i="1"/>
  <c r="CQ971" i="1"/>
  <c r="CQ948" i="1"/>
  <c r="CQ927" i="1"/>
  <c r="CQ906" i="1"/>
  <c r="CQ882" i="1"/>
  <c r="CQ862" i="1"/>
  <c r="CQ842" i="1"/>
  <c r="CQ821" i="1"/>
  <c r="CQ799" i="1"/>
  <c r="CQ778" i="1"/>
  <c r="CQ757" i="1"/>
  <c r="CQ737" i="1"/>
  <c r="CQ717" i="1"/>
  <c r="CQ693" i="1"/>
  <c r="CQ673" i="1"/>
  <c r="CQ653" i="1"/>
  <c r="CQ633" i="1"/>
  <c r="CQ609" i="1"/>
  <c r="CQ589" i="1"/>
  <c r="CQ570" i="1"/>
  <c r="CQ551" i="1"/>
  <c r="CQ533" i="1"/>
  <c r="CQ515" i="1"/>
  <c r="CQ497" i="1"/>
  <c r="CQ479" i="1"/>
  <c r="CQ461" i="1"/>
  <c r="CQ442" i="1"/>
  <c r="CQ423" i="1"/>
  <c r="CQ405" i="1"/>
  <c r="CQ387" i="1"/>
  <c r="CQ369" i="1"/>
  <c r="CQ351" i="1"/>
  <c r="CQ333" i="1"/>
  <c r="CQ315" i="1"/>
  <c r="CQ297" i="1"/>
  <c r="CQ278" i="1"/>
  <c r="CQ260" i="1"/>
  <c r="CQ242" i="1"/>
  <c r="CQ224" i="1"/>
  <c r="CQ206" i="1"/>
  <c r="CQ188" i="1"/>
  <c r="CQ169" i="1"/>
  <c r="CQ150" i="1"/>
  <c r="CQ132" i="1"/>
  <c r="CQ114" i="1"/>
  <c r="CQ96" i="1"/>
  <c r="CQ78" i="1"/>
  <c r="CQ60" i="1"/>
  <c r="CQ42" i="1"/>
  <c r="CQ23" i="1"/>
  <c r="CQ5" i="1"/>
  <c r="CQ1605" i="1"/>
  <c r="CQ1582" i="1"/>
  <c r="CQ1557" i="1"/>
  <c r="CQ1535" i="1"/>
  <c r="CQ1510" i="1"/>
  <c r="CQ1485" i="1"/>
  <c r="CQ1460" i="1"/>
  <c r="CQ1438" i="1"/>
  <c r="CQ1413" i="1"/>
  <c r="CQ1388" i="1"/>
  <c r="CQ1363" i="1"/>
  <c r="CQ1341" i="1"/>
  <c r="CQ1316" i="1"/>
  <c r="CQ1292" i="1"/>
  <c r="CQ1266" i="1"/>
  <c r="CQ1244" i="1"/>
  <c r="CQ1219" i="1"/>
  <c r="CQ1197" i="1"/>
  <c r="CQ1171" i="1"/>
  <c r="CQ1150" i="1"/>
  <c r="CQ1127" i="1"/>
  <c r="CQ1106" i="1"/>
  <c r="CQ1082" i="1"/>
  <c r="CQ1059" i="1"/>
  <c r="CQ1038" i="1"/>
  <c r="CQ1015" i="1"/>
  <c r="CQ992" i="1"/>
  <c r="CQ970" i="1"/>
  <c r="CQ947" i="1"/>
  <c r="CQ926" i="1"/>
  <c r="CQ905" i="1"/>
  <c r="CQ881" i="1"/>
  <c r="CQ861" i="1"/>
  <c r="CQ841" i="1"/>
  <c r="CQ820" i="1"/>
  <c r="CQ797" i="1"/>
  <c r="CQ777" i="1"/>
  <c r="CQ756" i="1"/>
  <c r="CQ736" i="1"/>
  <c r="CQ714" i="1"/>
  <c r="CQ692" i="1"/>
  <c r="CQ672" i="1"/>
  <c r="CQ652" i="1"/>
  <c r="CQ631" i="1"/>
  <c r="CQ608" i="1"/>
  <c r="CQ588" i="1"/>
  <c r="CQ569" i="1"/>
  <c r="CQ550" i="1"/>
  <c r="CQ532" i="1"/>
  <c r="CQ514" i="1"/>
  <c r="CQ496" i="1"/>
  <c r="CQ478" i="1"/>
  <c r="CQ459" i="1"/>
  <c r="CQ441" i="1"/>
  <c r="CQ422" i="1"/>
  <c r="CQ404" i="1"/>
  <c r="CQ386" i="1"/>
  <c r="CQ368" i="1"/>
  <c r="CQ350" i="1"/>
  <c r="CQ332" i="1"/>
  <c r="CQ314" i="1"/>
  <c r="CQ295" i="1"/>
  <c r="CQ277" i="1"/>
  <c r="CQ259" i="1"/>
  <c r="CQ241" i="1"/>
  <c r="CQ223" i="1"/>
  <c r="CQ205" i="1"/>
  <c r="CQ186" i="1"/>
  <c r="CQ167" i="1"/>
  <c r="CQ149" i="1"/>
  <c r="CQ131" i="1"/>
  <c r="CQ113" i="1"/>
  <c r="CQ95" i="1"/>
  <c r="CQ77" i="1"/>
  <c r="CQ59" i="1"/>
  <c r="CQ41" i="1"/>
  <c r="CQ22" i="1"/>
  <c r="CQ4" i="1"/>
  <c r="CQ1603" i="1"/>
  <c r="CQ1581" i="1"/>
  <c r="CQ1556" i="1"/>
  <c r="CQ1534" i="1"/>
  <c r="CQ1507" i="1"/>
  <c r="CQ1484" i="1"/>
  <c r="CQ1459" i="1"/>
  <c r="CQ1437" i="1"/>
  <c r="CQ1412" i="1"/>
  <c r="CQ1387" i="1"/>
  <c r="CQ1362" i="1"/>
  <c r="CQ1340" i="1"/>
  <c r="CQ1315" i="1"/>
  <c r="CQ1290" i="1"/>
  <c r="CQ1265" i="1"/>
  <c r="CQ1243" i="1"/>
  <c r="CQ1218" i="1"/>
  <c r="CQ1194" i="1"/>
  <c r="CQ1170" i="1"/>
  <c r="CQ1149" i="1"/>
  <c r="CQ1126" i="1"/>
  <c r="CQ1105" i="1"/>
  <c r="CQ1079" i="1"/>
  <c r="CQ1058" i="1"/>
  <c r="CQ1037" i="1"/>
  <c r="CQ1014" i="1"/>
  <c r="CQ990" i="1"/>
  <c r="CQ967" i="1"/>
  <c r="CQ946" i="1"/>
  <c r="CQ925" i="1"/>
  <c r="CQ901" i="1"/>
  <c r="CQ880" i="1"/>
  <c r="CQ860" i="1"/>
  <c r="CQ839" i="1"/>
  <c r="CQ819" i="1"/>
  <c r="CQ796" i="1"/>
  <c r="CQ775" i="1"/>
  <c r="CQ755" i="1"/>
  <c r="CQ735" i="1"/>
  <c r="CQ711" i="1"/>
  <c r="CQ691" i="1"/>
  <c r="CQ671" i="1"/>
  <c r="CQ651" i="1"/>
  <c r="CQ628" i="1"/>
  <c r="CQ607" i="1"/>
  <c r="CQ587" i="1"/>
  <c r="CQ567" i="1"/>
  <c r="CQ549" i="1"/>
  <c r="CQ531" i="1"/>
  <c r="CQ513" i="1"/>
  <c r="CQ495" i="1"/>
  <c r="CQ476" i="1"/>
  <c r="CQ458" i="1"/>
  <c r="CQ439" i="1"/>
  <c r="CQ421" i="1"/>
  <c r="CQ403" i="1"/>
  <c r="CQ385" i="1"/>
  <c r="CQ367" i="1"/>
  <c r="CQ349" i="1"/>
  <c r="CQ331" i="1"/>
  <c r="CQ313" i="1"/>
  <c r="CQ294" i="1"/>
  <c r="CQ276" i="1"/>
  <c r="CQ258" i="1"/>
  <c r="CQ240" i="1"/>
  <c r="CQ222" i="1"/>
  <c r="CQ203" i="1"/>
  <c r="CQ185" i="1"/>
  <c r="CQ166" i="1"/>
  <c r="CQ148" i="1"/>
  <c r="CQ130" i="1"/>
  <c r="CQ112" i="1"/>
  <c r="CQ94" i="1"/>
  <c r="CQ76" i="1"/>
  <c r="CQ58" i="1"/>
  <c r="CQ39" i="1"/>
  <c r="CQ21" i="1"/>
  <c r="CQ1602" i="1"/>
  <c r="CQ1580" i="1"/>
  <c r="CQ1555" i="1"/>
  <c r="CQ1533" i="1"/>
  <c r="CQ1505" i="1"/>
  <c r="CQ1483" i="1"/>
  <c r="CQ1458" i="1"/>
  <c r="CQ1436" i="1"/>
  <c r="CQ1409" i="1"/>
  <c r="CQ1386" i="1"/>
  <c r="CQ1361" i="1"/>
  <c r="CQ1339" i="1"/>
  <c r="CQ1314" i="1"/>
  <c r="CQ1286" i="1"/>
  <c r="CQ1264" i="1"/>
  <c r="CQ1242" i="1"/>
  <c r="CQ1217" i="1"/>
  <c r="CQ1190" i="1"/>
  <c r="CQ1169" i="1"/>
  <c r="CQ1148" i="1"/>
  <c r="CQ1125" i="1"/>
  <c r="CQ1102" i="1"/>
  <c r="CQ1078" i="1"/>
  <c r="CQ1057" i="1"/>
  <c r="CQ1036" i="1"/>
  <c r="CQ1013" i="1"/>
  <c r="CQ989" i="1"/>
  <c r="CQ966" i="1"/>
  <c r="CQ945" i="1"/>
  <c r="CQ924" i="1"/>
  <c r="CQ899" i="1"/>
  <c r="CQ879" i="1"/>
  <c r="CQ859" i="1"/>
  <c r="CQ838" i="1"/>
  <c r="CQ816" i="1"/>
  <c r="CQ795" i="1"/>
  <c r="CQ774" i="1"/>
  <c r="CQ754" i="1"/>
  <c r="CQ734" i="1"/>
  <c r="CQ710" i="1"/>
  <c r="CQ1601" i="1"/>
  <c r="CQ1579" i="1"/>
  <c r="CQ1554" i="1"/>
  <c r="CQ1532" i="1"/>
  <c r="CQ1504" i="1"/>
  <c r="CQ1482" i="1"/>
  <c r="CQ1457" i="1"/>
  <c r="CQ1435" i="1"/>
  <c r="CQ1407" i="1"/>
  <c r="CQ1382" i="1"/>
  <c r="CQ1360" i="1"/>
  <c r="CQ1338" i="1"/>
  <c r="CQ1311" i="1"/>
  <c r="CQ1285" i="1"/>
  <c r="CQ1263" i="1"/>
  <c r="CQ1238" i="1"/>
  <c r="CQ1216" i="1"/>
  <c r="CQ1189" i="1"/>
  <c r="CQ1168" i="1"/>
  <c r="CQ1147" i="1"/>
  <c r="CQ1124" i="1"/>
  <c r="CQ1100" i="1"/>
  <c r="CQ1077" i="1"/>
  <c r="CQ1056" i="1"/>
  <c r="CQ1035" i="1"/>
  <c r="CQ1010" i="1"/>
  <c r="CQ988" i="1"/>
  <c r="CQ1622" i="1"/>
  <c r="CQ1600" i="1"/>
  <c r="CQ1578" i="1"/>
  <c r="CQ1553" i="1"/>
  <c r="CQ1526" i="1"/>
  <c r="CQ1503" i="1"/>
  <c r="CQ1478" i="1"/>
  <c r="CQ1456" i="1"/>
  <c r="CQ1434" i="1"/>
  <c r="CQ1406" i="1"/>
  <c r="CQ1381" i="1"/>
  <c r="CQ1359" i="1"/>
  <c r="CQ1334" i="1"/>
  <c r="CQ1309" i="1"/>
  <c r="CQ1284" i="1"/>
  <c r="CQ1262" i="1"/>
  <c r="CQ1237" i="1"/>
  <c r="CQ1213" i="1"/>
  <c r="CQ1188" i="1"/>
  <c r="CQ1167" i="1"/>
  <c r="CQ1146" i="1"/>
  <c r="CQ1597" i="1"/>
  <c r="CQ1548" i="1"/>
  <c r="CQ1500" i="1"/>
  <c r="CQ1453" i="1"/>
  <c r="CQ1403" i="1"/>
  <c r="CQ1356" i="1"/>
  <c r="CQ1306" i="1"/>
  <c r="CQ1259" i="1"/>
  <c r="CQ1206" i="1"/>
  <c r="CQ1164" i="1"/>
  <c r="CQ1118" i="1"/>
  <c r="CQ1076" i="1"/>
  <c r="CQ1043" i="1"/>
  <c r="CQ1003" i="1"/>
  <c r="CQ962" i="1"/>
  <c r="CQ930" i="1"/>
  <c r="CQ893" i="1"/>
  <c r="CQ857" i="1"/>
  <c r="CQ827" i="1"/>
  <c r="CQ790" i="1"/>
  <c r="CQ761" i="1"/>
  <c r="CQ724" i="1"/>
  <c r="CQ689" i="1"/>
  <c r="CQ660" i="1"/>
  <c r="CQ626" i="1"/>
  <c r="CQ601" i="1"/>
  <c r="CQ573" i="1"/>
  <c r="CQ543" i="1"/>
  <c r="CQ519" i="1"/>
  <c r="CQ490" i="1"/>
  <c r="CQ466" i="1"/>
  <c r="CQ436" i="1"/>
  <c r="CQ413" i="1"/>
  <c r="CQ383" i="1"/>
  <c r="CQ359" i="1"/>
  <c r="CQ330" i="1"/>
  <c r="CQ305" i="1"/>
  <c r="CQ282" i="1"/>
  <c r="CQ252" i="1"/>
  <c r="CQ228" i="1"/>
  <c r="CQ198" i="1"/>
  <c r="CQ175" i="1"/>
  <c r="CQ145" i="1"/>
  <c r="CQ122" i="1"/>
  <c r="CQ92" i="1"/>
  <c r="CQ68" i="1"/>
  <c r="CQ38" i="1"/>
  <c r="CQ14" i="1"/>
  <c r="CQ1596" i="1"/>
  <c r="CQ1546" i="1"/>
  <c r="CQ1499" i="1"/>
  <c r="CQ1450" i="1"/>
  <c r="CQ1402" i="1"/>
  <c r="CQ1355" i="1"/>
  <c r="CQ1302" i="1"/>
  <c r="CQ1258" i="1"/>
  <c r="CQ1205" i="1"/>
  <c r="CQ1163" i="1"/>
  <c r="CQ1117" i="1"/>
  <c r="CQ1075" i="1"/>
  <c r="CQ1042" i="1"/>
  <c r="CQ1002" i="1"/>
  <c r="CQ961" i="1"/>
  <c r="CQ923" i="1"/>
  <c r="CQ892" i="1"/>
  <c r="CQ855" i="1"/>
  <c r="CQ826" i="1"/>
  <c r="CQ789" i="1"/>
  <c r="CQ753" i="1"/>
  <c r="CQ723" i="1"/>
  <c r="CQ688" i="1"/>
  <c r="CQ659" i="1"/>
  <c r="CQ625" i="1"/>
  <c r="CQ599" i="1"/>
  <c r="CQ566" i="1"/>
  <c r="CQ542" i="1"/>
  <c r="CQ518" i="1"/>
  <c r="CQ489" i="1"/>
  <c r="CQ465" i="1"/>
  <c r="CQ435" i="1"/>
  <c r="CQ412" i="1"/>
  <c r="CQ382" i="1"/>
  <c r="CQ358" i="1"/>
  <c r="CQ329" i="1"/>
  <c r="CQ304" i="1"/>
  <c r="CQ275" i="1"/>
  <c r="CQ251" i="1"/>
  <c r="CQ227" i="1"/>
  <c r="CQ197" i="1"/>
  <c r="CQ174" i="1"/>
  <c r="CQ144" i="1"/>
  <c r="CQ121" i="1"/>
  <c r="CQ91" i="1"/>
  <c r="CQ66" i="1"/>
  <c r="CQ37" i="1"/>
  <c r="CQ13" i="1"/>
  <c r="CQ1595" i="1"/>
  <c r="CQ1542" i="1"/>
  <c r="CQ1498" i="1"/>
  <c r="CQ1445" i="1"/>
  <c r="CQ1398" i="1"/>
  <c r="CQ1349" i="1"/>
  <c r="CQ1301" i="1"/>
  <c r="CQ1254" i="1"/>
  <c r="CQ1204" i="1"/>
  <c r="CQ1162" i="1"/>
  <c r="CQ1116" i="1"/>
  <c r="CQ1074" i="1"/>
  <c r="CQ1034" i="1"/>
  <c r="CQ999" i="1"/>
  <c r="CQ960" i="1"/>
  <c r="CQ918" i="1"/>
  <c r="CQ891" i="1"/>
  <c r="CQ854" i="1"/>
  <c r="CQ825" i="1"/>
  <c r="CQ788" i="1"/>
  <c r="CQ752" i="1"/>
  <c r="CQ722" i="1"/>
  <c r="CQ687" i="1"/>
  <c r="CQ658" i="1"/>
  <c r="CQ624" i="1"/>
  <c r="CQ598" i="1"/>
  <c r="CQ565" i="1"/>
  <c r="CQ541" i="1"/>
  <c r="CQ512" i="1"/>
  <c r="CQ487" i="1"/>
  <c r="CQ464" i="1"/>
  <c r="CQ434" i="1"/>
  <c r="CQ411" i="1"/>
  <c r="CQ381" i="1"/>
  <c r="CQ356" i="1"/>
  <c r="CQ327" i="1"/>
  <c r="CQ303" i="1"/>
  <c r="CQ274" i="1"/>
  <c r="CQ250" i="1"/>
  <c r="CQ220" i="1"/>
  <c r="CQ196" i="1"/>
  <c r="CQ173" i="1"/>
  <c r="CQ143" i="1"/>
  <c r="CQ119" i="1"/>
  <c r="CQ90" i="1"/>
  <c r="CQ65" i="1"/>
  <c r="CQ36" i="1"/>
  <c r="CQ12" i="1"/>
  <c r="CQ1594" i="1"/>
  <c r="CQ1541" i="1"/>
  <c r="CQ1494" i="1"/>
  <c r="CQ1444" i="1"/>
  <c r="CQ1397" i="1"/>
  <c r="CQ1347" i="1"/>
  <c r="CQ1300" i="1"/>
  <c r="CQ1251" i="1"/>
  <c r="CQ1203" i="1"/>
  <c r="CQ1159" i="1"/>
  <c r="CQ1115" i="1"/>
  <c r="CQ1073" i="1"/>
  <c r="CQ1031" i="1"/>
  <c r="CQ998" i="1"/>
  <c r="CQ959" i="1"/>
  <c r="CQ916" i="1"/>
  <c r="CQ890" i="1"/>
  <c r="CQ853" i="1"/>
  <c r="CQ814" i="1"/>
  <c r="CQ787" i="1"/>
  <c r="CQ751" i="1"/>
  <c r="CQ721" i="1"/>
  <c r="CQ686" i="1"/>
  <c r="CQ657" i="1"/>
  <c r="CQ623" i="1"/>
  <c r="CQ597" i="1"/>
  <c r="CQ564" i="1"/>
  <c r="CQ540" i="1"/>
  <c r="CQ510" i="1"/>
  <c r="CQ486" i="1"/>
  <c r="CQ457" i="1"/>
  <c r="CQ433" i="1"/>
  <c r="CQ410" i="1"/>
  <c r="CQ380" i="1"/>
  <c r="CQ355" i="1"/>
  <c r="CQ326" i="1"/>
  <c r="CQ302" i="1"/>
  <c r="CQ273" i="1"/>
  <c r="CQ249" i="1"/>
  <c r="CQ219" i="1"/>
  <c r="CQ195" i="1"/>
  <c r="CQ165" i="1"/>
  <c r="CQ142" i="1"/>
  <c r="CQ117" i="1"/>
  <c r="CQ89" i="1"/>
  <c r="CQ64" i="1"/>
  <c r="CQ35" i="1"/>
  <c r="CQ11" i="1"/>
  <c r="CQ1590" i="1"/>
  <c r="CQ1540" i="1"/>
  <c r="CQ1493" i="1"/>
  <c r="CQ1443" i="1"/>
  <c r="CQ1396" i="1"/>
  <c r="CQ1346" i="1"/>
  <c r="CQ1299" i="1"/>
  <c r="CQ1249" i="1"/>
  <c r="CQ1202" i="1"/>
  <c r="CQ1156" i="1"/>
  <c r="CQ1114" i="1"/>
  <c r="CQ1072" i="1"/>
  <c r="CQ1028" i="1"/>
  <c r="CQ987" i="1"/>
  <c r="CQ956" i="1"/>
  <c r="CQ915" i="1"/>
  <c r="CQ889" i="1"/>
  <c r="CQ850" i="1"/>
  <c r="CQ813" i="1"/>
  <c r="CQ786" i="1"/>
  <c r="CQ748" i="1"/>
  <c r="CQ720" i="1"/>
  <c r="CQ685" i="1"/>
  <c r="CQ656" i="1"/>
  <c r="CQ622" i="1"/>
  <c r="CQ594" i="1"/>
  <c r="CQ563" i="1"/>
  <c r="CQ539" i="1"/>
  <c r="CQ509" i="1"/>
  <c r="CQ485" i="1"/>
  <c r="CQ455" i="1"/>
  <c r="CQ432" i="1"/>
  <c r="CQ402" i="1"/>
  <c r="CQ379" i="1"/>
  <c r="CQ354" i="1"/>
  <c r="CQ325" i="1"/>
  <c r="CQ301" i="1"/>
  <c r="CQ271" i="1"/>
  <c r="CQ247" i="1"/>
  <c r="CQ218" i="1"/>
  <c r="CQ194" i="1"/>
  <c r="CQ164" i="1"/>
  <c r="CQ141" i="1"/>
  <c r="CQ111" i="1"/>
  <c r="CQ87" i="1"/>
  <c r="CQ63" i="1"/>
  <c r="CQ34" i="1"/>
  <c r="CQ10" i="1"/>
  <c r="CQ1589" i="1"/>
  <c r="CQ1539" i="1"/>
  <c r="CQ1492" i="1"/>
  <c r="CQ1442" i="1"/>
  <c r="CQ1395" i="1"/>
  <c r="CQ1345" i="1"/>
  <c r="CQ1298" i="1"/>
  <c r="CQ1248" i="1"/>
  <c r="CQ1201" i="1"/>
  <c r="CQ1154" i="1"/>
  <c r="CQ1111" i="1"/>
  <c r="CQ1071" i="1"/>
  <c r="CQ1026" i="1"/>
  <c r="CQ986" i="1"/>
  <c r="CQ954" i="1"/>
  <c r="CQ914" i="1"/>
  <c r="CQ878" i="1"/>
  <c r="CQ848" i="1"/>
  <c r="CQ812" i="1"/>
  <c r="CQ785" i="1"/>
  <c r="CQ746" i="1"/>
  <c r="CQ709" i="1"/>
  <c r="CQ684" i="1"/>
  <c r="CQ650" i="1"/>
  <c r="CQ621" i="1"/>
  <c r="CQ592" i="1"/>
  <c r="CQ561" i="1"/>
  <c r="CQ538" i="1"/>
  <c r="CQ508" i="1"/>
  <c r="CQ484" i="1"/>
  <c r="CQ454" i="1"/>
  <c r="CQ431" i="1"/>
  <c r="CQ401" i="1"/>
  <c r="CQ378" i="1"/>
  <c r="CQ348" i="1"/>
  <c r="CQ324" i="1"/>
  <c r="CQ300" i="1"/>
  <c r="CQ270" i="1"/>
  <c r="CQ246" i="1"/>
  <c r="CQ217" i="1"/>
  <c r="CQ193" i="1"/>
  <c r="CQ163" i="1"/>
  <c r="CQ140" i="1"/>
  <c r="CQ110" i="1"/>
  <c r="CQ86" i="1"/>
  <c r="CQ57" i="1"/>
  <c r="CQ32" i="1"/>
  <c r="CQ9" i="1"/>
  <c r="CQ1621" i="1"/>
  <c r="CQ1574" i="1"/>
  <c r="CQ1524" i="1"/>
  <c r="CQ1477" i="1"/>
  <c r="CQ1428" i="1"/>
  <c r="CQ1380" i="1"/>
  <c r="CQ1333" i="1"/>
  <c r="CQ1283" i="1"/>
  <c r="CQ1236" i="1"/>
  <c r="CQ1187" i="1"/>
  <c r="CQ1143" i="1"/>
  <c r="CQ1110" i="1"/>
  <c r="CQ1070" i="1"/>
  <c r="CQ1025" i="1"/>
  <c r="CQ983" i="1"/>
  <c r="CQ951" i="1"/>
  <c r="CQ913" i="1"/>
  <c r="CQ877" i="1"/>
  <c r="CQ847" i="1"/>
  <c r="CQ811" i="1"/>
  <c r="CQ782" i="1"/>
  <c r="CQ745" i="1"/>
  <c r="CQ708" i="1"/>
  <c r="CQ683" i="1"/>
  <c r="CQ649" i="1"/>
  <c r="CQ620" i="1"/>
  <c r="CQ586" i="1"/>
  <c r="CQ560" i="1"/>
  <c r="CQ537" i="1"/>
  <c r="CQ507" i="1"/>
  <c r="CQ483" i="1"/>
  <c r="CQ453" i="1"/>
  <c r="CQ430" i="1"/>
  <c r="CQ400" i="1"/>
  <c r="CQ377" i="1"/>
  <c r="CQ347" i="1"/>
  <c r="CQ322" i="1"/>
  <c r="CQ293" i="1"/>
  <c r="CQ269" i="1"/>
  <c r="CQ245" i="1"/>
  <c r="CQ215" i="1"/>
  <c r="CQ192" i="1"/>
  <c r="CQ162" i="1"/>
  <c r="CQ139" i="1"/>
  <c r="CQ109" i="1"/>
  <c r="CQ85" i="1"/>
  <c r="CQ55" i="1"/>
  <c r="CQ31" i="1"/>
  <c r="CQ1620" i="1"/>
  <c r="CQ1573" i="1"/>
  <c r="CQ1523" i="1"/>
  <c r="CQ1476" i="1"/>
  <c r="CQ1426" i="1"/>
  <c r="CQ1379" i="1"/>
  <c r="CQ1330" i="1"/>
  <c r="CQ1282" i="1"/>
  <c r="CQ1235" i="1"/>
  <c r="CQ1186" i="1"/>
  <c r="CQ1142" i="1"/>
  <c r="CQ1099" i="1"/>
  <c r="CQ1069" i="1"/>
  <c r="CQ1024" i="1"/>
  <c r="CQ982" i="1"/>
  <c r="CQ944" i="1"/>
  <c r="CQ912" i="1"/>
  <c r="CQ876" i="1"/>
  <c r="CQ846" i="1"/>
  <c r="CQ810" i="1"/>
  <c r="CQ773" i="1"/>
  <c r="CQ743" i="1"/>
  <c r="CQ707" i="1"/>
  <c r="CQ679" i="1"/>
  <c r="CQ645" i="1"/>
  <c r="CQ619" i="1"/>
  <c r="CQ585" i="1"/>
  <c r="CQ559" i="1"/>
  <c r="CQ530" i="1"/>
  <c r="CQ506" i="1"/>
  <c r="CQ482" i="1"/>
  <c r="CQ452" i="1"/>
  <c r="CQ429" i="1"/>
  <c r="CQ399" i="1"/>
  <c r="CQ375" i="1"/>
  <c r="CQ346" i="1"/>
  <c r="CQ321" i="1"/>
  <c r="CQ292" i="1"/>
  <c r="CQ268" i="1"/>
  <c r="CQ239" i="1"/>
  <c r="CQ214" i="1"/>
  <c r="CQ191" i="1"/>
  <c r="CQ161" i="1"/>
  <c r="CQ138" i="1"/>
  <c r="CQ108" i="1"/>
  <c r="CQ83" i="1"/>
  <c r="CQ54" i="1"/>
  <c r="CQ30" i="1"/>
  <c r="CQ1619" i="1"/>
  <c r="CQ1572" i="1"/>
  <c r="CQ1522" i="1"/>
  <c r="CQ1475" i="1"/>
  <c r="CQ1425" i="1"/>
  <c r="CQ1378" i="1"/>
  <c r="CQ1328" i="1"/>
  <c r="CQ1281" i="1"/>
  <c r="CQ1232" i="1"/>
  <c r="CQ1185" i="1"/>
  <c r="CQ1141" i="1"/>
  <c r="CQ1098" i="1"/>
  <c r="CQ1066" i="1"/>
  <c r="CQ1023" i="1"/>
  <c r="CQ981" i="1"/>
  <c r="CQ943" i="1"/>
  <c r="CQ911" i="1"/>
  <c r="CQ875" i="1"/>
  <c r="CQ845" i="1"/>
  <c r="CQ809" i="1"/>
  <c r="CQ772" i="1"/>
  <c r="CQ742" i="1"/>
  <c r="CQ706" i="1"/>
  <c r="CQ677" i="1"/>
  <c r="CQ643" i="1"/>
  <c r="CQ618" i="1"/>
  <c r="CQ583" i="1"/>
  <c r="CQ558" i="1"/>
  <c r="CQ529" i="1"/>
  <c r="CQ505" i="1"/>
  <c r="CQ475" i="1"/>
  <c r="CQ451" i="1"/>
  <c r="CQ428" i="1"/>
  <c r="CQ398" i="1"/>
  <c r="CQ373" i="1"/>
  <c r="CQ345" i="1"/>
  <c r="CQ320" i="1"/>
  <c r="CQ291" i="1"/>
  <c r="CQ267" i="1"/>
  <c r="CQ237" i="1"/>
  <c r="CQ213" i="1"/>
  <c r="CQ183" i="1"/>
  <c r="CQ160" i="1"/>
  <c r="CQ137" i="1"/>
  <c r="CQ107" i="1"/>
  <c r="CQ82" i="1"/>
  <c r="CQ53" i="1"/>
  <c r="CQ29" i="1"/>
  <c r="CQ1618" i="1"/>
  <c r="CQ1571" i="1"/>
  <c r="CQ1521" i="1"/>
  <c r="CQ1474" i="1"/>
  <c r="CQ1424" i="1"/>
  <c r="CQ1377" i="1"/>
  <c r="CQ1327" i="1"/>
  <c r="CQ1280" i="1"/>
  <c r="CQ1230" i="1"/>
  <c r="CQ1184" i="1"/>
  <c r="CQ1138" i="1"/>
  <c r="CQ1095" i="1"/>
  <c r="CQ1055" i="1"/>
  <c r="CQ1022" i="1"/>
  <c r="CQ980" i="1"/>
  <c r="CQ942" i="1"/>
  <c r="CQ910" i="1"/>
  <c r="CQ874" i="1"/>
  <c r="CQ837" i="1"/>
  <c r="CQ807" i="1"/>
  <c r="CQ771" i="1"/>
  <c r="CQ741" i="1"/>
  <c r="CQ705" i="1"/>
  <c r="CQ676" i="1"/>
  <c r="CQ642" i="1"/>
  <c r="CQ617" i="1"/>
  <c r="CQ582" i="1"/>
  <c r="CQ557" i="1"/>
  <c r="CQ527" i="1"/>
  <c r="CQ503" i="1"/>
  <c r="CQ474" i="1"/>
  <c r="CQ450" i="1"/>
  <c r="CQ420" i="1"/>
  <c r="CQ397" i="1"/>
  <c r="CQ372" i="1"/>
  <c r="CQ343" i="1"/>
  <c r="CQ319" i="1"/>
  <c r="CQ290" i="1"/>
  <c r="CQ266" i="1"/>
  <c r="CQ236" i="1"/>
  <c r="CQ212" i="1"/>
  <c r="CQ182" i="1"/>
  <c r="CQ159" i="1"/>
  <c r="CQ129" i="1"/>
  <c r="CQ106" i="1"/>
  <c r="CQ81" i="1"/>
  <c r="CQ52" i="1"/>
  <c r="CQ28" i="1"/>
  <c r="CQ1617" i="1"/>
  <c r="CQ1570" i="1"/>
  <c r="CQ1520" i="1"/>
  <c r="CQ1473" i="1"/>
  <c r="CQ1423" i="1"/>
  <c r="CQ1376" i="1"/>
  <c r="CQ1326" i="1"/>
  <c r="CQ1279" i="1"/>
  <c r="CQ1229" i="1"/>
  <c r="CQ1183" i="1"/>
  <c r="CQ1136" i="1"/>
  <c r="CQ1094" i="1"/>
  <c r="CQ1054" i="1"/>
  <c r="CQ1021" i="1"/>
  <c r="CQ979" i="1"/>
  <c r="CQ941" i="1"/>
  <c r="CQ909" i="1"/>
  <c r="CQ873" i="1"/>
  <c r="CQ836" i="1"/>
  <c r="CQ806" i="1"/>
  <c r="CQ770" i="1"/>
  <c r="CQ740" i="1"/>
  <c r="CQ704" i="1"/>
  <c r="CQ670" i="1"/>
  <c r="CQ641" i="1"/>
  <c r="CQ615" i="1"/>
  <c r="CQ581" i="1"/>
  <c r="CQ556" i="1"/>
  <c r="CQ526" i="1"/>
  <c r="CQ502" i="1"/>
  <c r="CQ473" i="1"/>
  <c r="CQ449" i="1"/>
  <c r="CQ419" i="1"/>
  <c r="CQ396" i="1"/>
  <c r="CQ366" i="1"/>
  <c r="CQ342" i="1"/>
  <c r="CQ318" i="1"/>
  <c r="CQ288" i="1"/>
  <c r="CQ265" i="1"/>
  <c r="CQ235" i="1"/>
  <c r="CQ211" i="1"/>
  <c r="CQ181" i="1"/>
  <c r="CQ158" i="1"/>
  <c r="CQ128" i="1"/>
  <c r="CQ105" i="1"/>
  <c r="CQ75" i="1"/>
  <c r="CQ51" i="1"/>
  <c r="CQ27" i="1"/>
  <c r="CQ1616" i="1"/>
  <c r="CQ1567" i="1"/>
  <c r="CQ1519" i="1"/>
  <c r="CQ1472" i="1"/>
  <c r="CQ1422" i="1"/>
  <c r="CQ1375" i="1"/>
  <c r="CQ1325" i="1"/>
  <c r="CQ1278" i="1"/>
  <c r="CQ1228" i="1"/>
  <c r="CQ1182" i="1"/>
  <c r="CQ1135" i="1"/>
  <c r="CQ1093" i="1"/>
  <c r="CQ1053" i="1"/>
  <c r="CQ1008" i="1"/>
  <c r="CQ978" i="1"/>
  <c r="CQ938" i="1"/>
  <c r="CQ898" i="1"/>
  <c r="CQ871" i="1"/>
  <c r="CQ833" i="1"/>
  <c r="CQ805" i="1"/>
  <c r="CQ769" i="1"/>
  <c r="CQ731" i="1"/>
  <c r="CQ703" i="1"/>
  <c r="CQ669" i="1"/>
  <c r="CQ640" i="1"/>
  <c r="CQ606" i="1"/>
  <c r="CQ580" i="1"/>
  <c r="CQ555" i="1"/>
  <c r="CQ525" i="1"/>
  <c r="CQ501" i="1"/>
  <c r="CQ471" i="1"/>
  <c r="CQ448" i="1"/>
  <c r="CQ418" i="1"/>
  <c r="CQ395" i="1"/>
  <c r="CQ365" i="1"/>
  <c r="CQ341" i="1"/>
  <c r="CQ311" i="1"/>
  <c r="CQ287" i="1"/>
  <c r="CQ263" i="1"/>
  <c r="CQ234" i="1"/>
  <c r="CQ210" i="1"/>
  <c r="CQ180" i="1"/>
  <c r="CQ157" i="1"/>
  <c r="CQ127" i="1"/>
  <c r="CQ103" i="1"/>
  <c r="CQ74" i="1"/>
  <c r="CQ49" i="1"/>
  <c r="CQ20" i="1"/>
  <c r="CQ1502" i="1"/>
  <c r="CQ1308" i="1"/>
  <c r="CQ1123" i="1"/>
  <c r="CQ964" i="1"/>
  <c r="CQ829" i="1"/>
  <c r="CQ700" i="1"/>
  <c r="CQ575" i="1"/>
  <c r="CQ468" i="1"/>
  <c r="CQ362" i="1"/>
  <c r="CQ254" i="1"/>
  <c r="CQ147" i="1"/>
  <c r="CQ46" i="1"/>
  <c r="CQ1501" i="1"/>
  <c r="CQ1307" i="1"/>
  <c r="CQ1120" i="1"/>
  <c r="CQ963" i="1"/>
  <c r="CQ828" i="1"/>
  <c r="CQ690" i="1"/>
  <c r="CQ574" i="1"/>
  <c r="CQ467" i="1"/>
  <c r="CQ361" i="1"/>
  <c r="CQ253" i="1"/>
  <c r="CQ146" i="1"/>
  <c r="CQ45" i="1"/>
  <c r="CQ1469" i="1"/>
  <c r="CQ1092" i="1"/>
  <c r="CQ804" i="1"/>
  <c r="CQ668" i="1"/>
  <c r="CQ447" i="1"/>
  <c r="CQ339" i="1"/>
  <c r="CQ126" i="1"/>
  <c r="CQ19" i="1"/>
  <c r="CQ1277" i="1"/>
  <c r="CQ934" i="1"/>
  <c r="CQ548" i="1"/>
  <c r="CQ233" i="1"/>
  <c r="CQ1467" i="1"/>
  <c r="CQ1276" i="1"/>
  <c r="CQ1091" i="1"/>
  <c r="CQ933" i="1"/>
  <c r="CQ794" i="1"/>
  <c r="CQ667" i="1"/>
  <c r="CQ547" i="1"/>
  <c r="CQ446" i="1"/>
  <c r="CQ338" i="1"/>
  <c r="CQ231" i="1"/>
  <c r="CQ125" i="1"/>
  <c r="CQ18" i="1"/>
  <c r="CQ1455" i="1"/>
  <c r="CQ1261" i="1"/>
  <c r="CQ1090" i="1"/>
  <c r="CQ932" i="1"/>
  <c r="CQ793" i="1"/>
  <c r="CQ666" i="1"/>
  <c r="CQ546" i="1"/>
  <c r="CQ438" i="1"/>
  <c r="CQ337" i="1"/>
  <c r="CQ230" i="1"/>
  <c r="CQ124" i="1"/>
  <c r="CQ17" i="1"/>
  <c r="CQ1454" i="1"/>
  <c r="CQ1260" i="1"/>
  <c r="CQ1089" i="1"/>
  <c r="CQ931" i="1"/>
  <c r="CQ791" i="1"/>
  <c r="CQ662" i="1"/>
  <c r="CQ544" i="1"/>
  <c r="CQ437" i="1"/>
  <c r="CQ336" i="1"/>
  <c r="CQ229" i="1"/>
  <c r="CQ123" i="1"/>
  <c r="CQ15" i="1"/>
  <c r="CQ1615" i="1"/>
  <c r="CQ1421" i="1"/>
  <c r="CQ1227" i="1"/>
  <c r="CQ1052" i="1"/>
  <c r="CQ897" i="1"/>
  <c r="CQ768" i="1"/>
  <c r="CQ639" i="1"/>
  <c r="CQ524" i="1"/>
  <c r="CQ417" i="1"/>
  <c r="CQ310" i="1"/>
  <c r="CQ209" i="1"/>
  <c r="CQ102" i="1"/>
  <c r="CQ1614" i="1"/>
  <c r="CQ1420" i="1"/>
  <c r="CQ1226" i="1"/>
  <c r="CQ1051" i="1"/>
  <c r="CQ896" i="1"/>
  <c r="CQ765" i="1"/>
  <c r="CQ638" i="1"/>
  <c r="CQ523" i="1"/>
  <c r="CQ416" i="1"/>
  <c r="CQ309" i="1"/>
  <c r="CQ202" i="1"/>
  <c r="CQ100" i="1"/>
  <c r="CQ1599" i="1"/>
  <c r="CQ1405" i="1"/>
  <c r="CQ1211" i="1"/>
  <c r="CQ1046" i="1"/>
  <c r="CQ895" i="1"/>
  <c r="CQ763" i="1"/>
  <c r="CQ637" i="1"/>
  <c r="CQ522" i="1"/>
  <c r="CQ415" i="1"/>
  <c r="CQ308" i="1"/>
  <c r="CQ201" i="1"/>
  <c r="CQ99" i="1"/>
  <c r="CQ1598" i="1"/>
  <c r="CQ1404" i="1"/>
  <c r="CQ1210" i="1"/>
  <c r="CQ1044" i="1"/>
  <c r="CQ894" i="1"/>
  <c r="CQ762" i="1"/>
  <c r="CQ636" i="1"/>
  <c r="CQ521" i="1"/>
  <c r="CQ414" i="1"/>
  <c r="CQ307" i="1"/>
  <c r="CQ199" i="1"/>
  <c r="CQ93" i="1"/>
  <c r="CQ1565" i="1"/>
  <c r="CQ1374" i="1"/>
  <c r="CQ1181" i="1"/>
  <c r="CQ1007" i="1"/>
  <c r="CQ870" i="1"/>
  <c r="CQ729" i="1"/>
  <c r="CQ605" i="1"/>
  <c r="CQ500" i="1"/>
  <c r="CQ394" i="1"/>
  <c r="CQ286" i="1"/>
  <c r="CQ179" i="1"/>
  <c r="CQ73" i="1"/>
  <c r="CQ1564" i="1"/>
  <c r="CQ1371" i="1"/>
  <c r="CQ1180" i="1"/>
  <c r="CQ1006" i="1"/>
  <c r="CQ867" i="1"/>
  <c r="CQ727" i="1"/>
  <c r="CQ604" i="1"/>
  <c r="CQ493" i="1"/>
  <c r="CQ393" i="1"/>
  <c r="CQ285" i="1"/>
  <c r="CQ178" i="1"/>
  <c r="CQ71" i="1"/>
  <c r="CQ1552" i="1"/>
  <c r="CQ1358" i="1"/>
  <c r="CQ1166" i="1"/>
  <c r="CQ1005" i="1"/>
  <c r="CQ865" i="1"/>
  <c r="CQ726" i="1"/>
  <c r="CQ603" i="1"/>
  <c r="CQ492" i="1"/>
  <c r="CQ390" i="1"/>
  <c r="CQ284" i="1"/>
  <c r="CQ177" i="1"/>
  <c r="CQ70" i="1"/>
  <c r="CQ1551" i="1"/>
  <c r="CQ1357" i="1"/>
  <c r="CQ1165" i="1"/>
  <c r="CQ1004" i="1"/>
  <c r="CQ858" i="1"/>
  <c r="CQ725" i="1"/>
  <c r="CQ602" i="1"/>
  <c r="CQ491" i="1"/>
  <c r="CQ384" i="1"/>
  <c r="CQ283" i="1"/>
  <c r="CQ176" i="1"/>
  <c r="CQ69" i="1"/>
  <c r="CQ1518" i="1"/>
  <c r="CQ1324" i="1"/>
  <c r="CQ1134" i="1"/>
  <c r="CQ977" i="1"/>
  <c r="CQ831" i="1"/>
  <c r="CQ702" i="1"/>
  <c r="CQ578" i="1"/>
  <c r="CQ470" i="1"/>
  <c r="CQ364" i="1"/>
  <c r="CQ257" i="1"/>
  <c r="CQ156" i="1"/>
  <c r="CQ48" i="1"/>
  <c r="CQ1517" i="1"/>
  <c r="CQ1323" i="1"/>
  <c r="CQ1133" i="1"/>
  <c r="CQ965" i="1"/>
  <c r="CQ830" i="1"/>
  <c r="CQ701" i="1"/>
  <c r="CQ577" i="1"/>
  <c r="CQ469" i="1"/>
  <c r="CQ363" i="1"/>
  <c r="CQ256" i="1"/>
  <c r="CQ155" i="1"/>
  <c r="CQ47" i="1"/>
  <c r="B204" i="1"/>
  <c r="B208" i="1"/>
  <c r="CZ1614" i="1"/>
  <c r="CZ1598" i="1"/>
  <c r="CZ1582" i="1"/>
  <c r="CZ1566" i="1"/>
  <c r="CZ1550" i="1"/>
  <c r="CZ1534" i="1"/>
  <c r="CZ1518" i="1"/>
  <c r="CZ1502" i="1"/>
  <c r="CZ1486" i="1"/>
  <c r="CZ1470" i="1"/>
  <c r="CZ1454" i="1"/>
  <c r="CZ1438" i="1"/>
  <c r="CZ1422" i="1"/>
  <c r="CZ1406" i="1"/>
  <c r="CZ1390" i="1"/>
  <c r="CZ1374" i="1"/>
  <c r="CZ1358" i="1"/>
  <c r="CZ1342" i="1"/>
  <c r="CZ1326" i="1"/>
  <c r="CZ1310" i="1"/>
  <c r="CZ1294" i="1"/>
  <c r="CZ1278" i="1"/>
  <c r="CZ1262" i="1"/>
  <c r="CZ1246" i="1"/>
  <c r="CZ1230" i="1"/>
  <c r="CZ1214" i="1"/>
  <c r="CZ1612" i="1"/>
  <c r="CZ1596" i="1"/>
  <c r="CZ1580" i="1"/>
  <c r="CZ1626" i="1"/>
  <c r="CZ1610" i="1"/>
  <c r="CZ1594" i="1"/>
  <c r="CZ1578" i="1"/>
  <c r="CZ1617" i="1"/>
  <c r="CZ1597" i="1"/>
  <c r="CZ1576" i="1"/>
  <c r="CZ1559" i="1"/>
  <c r="CZ1542" i="1"/>
  <c r="CZ1525" i="1"/>
  <c r="CZ1508" i="1"/>
  <c r="CZ1491" i="1"/>
  <c r="CZ1474" i="1"/>
  <c r="CZ1457" i="1"/>
  <c r="CZ1440" i="1"/>
  <c r="CZ1423" i="1"/>
  <c r="CZ1405" i="1"/>
  <c r="CZ1388" i="1"/>
  <c r="CZ1371" i="1"/>
  <c r="CZ1354" i="1"/>
  <c r="CZ1337" i="1"/>
  <c r="CZ1320" i="1"/>
  <c r="CZ1303" i="1"/>
  <c r="CZ1286" i="1"/>
  <c r="CZ1269" i="1"/>
  <c r="CZ1252" i="1"/>
  <c r="CZ1235" i="1"/>
  <c r="CZ1218" i="1"/>
  <c r="CZ1201" i="1"/>
  <c r="CZ1185" i="1"/>
  <c r="CZ1169" i="1"/>
  <c r="CZ1153" i="1"/>
  <c r="CZ1137" i="1"/>
  <c r="CZ1121" i="1"/>
  <c r="CZ1105" i="1"/>
  <c r="CZ1089" i="1"/>
  <c r="CZ1073" i="1"/>
  <c r="CZ1057" i="1"/>
  <c r="CZ1041" i="1"/>
  <c r="CZ1025" i="1"/>
  <c r="CZ1009" i="1"/>
  <c r="CZ993" i="1"/>
  <c r="CZ977" i="1"/>
  <c r="CZ961" i="1"/>
  <c r="CZ945" i="1"/>
  <c r="CZ929" i="1"/>
  <c r="CZ913" i="1"/>
  <c r="CZ897" i="1"/>
  <c r="CZ881" i="1"/>
  <c r="CZ865" i="1"/>
  <c r="CZ849" i="1"/>
  <c r="CZ833" i="1"/>
  <c r="CZ817" i="1"/>
  <c r="CZ801" i="1"/>
  <c r="CZ785" i="1"/>
  <c r="CZ769" i="1"/>
  <c r="CZ753" i="1"/>
  <c r="CZ737" i="1"/>
  <c r="CZ721" i="1"/>
  <c r="CZ705" i="1"/>
  <c r="CZ689" i="1"/>
  <c r="CZ673" i="1"/>
  <c r="CZ657" i="1"/>
  <c r="CZ641" i="1"/>
  <c r="CZ625" i="1"/>
  <c r="CZ609" i="1"/>
  <c r="CZ593" i="1"/>
  <c r="CZ577" i="1"/>
  <c r="CZ561" i="1"/>
  <c r="CZ545" i="1"/>
  <c r="CZ529" i="1"/>
  <c r="CZ513" i="1"/>
  <c r="CZ497" i="1"/>
  <c r="CZ481" i="1"/>
  <c r="CZ465" i="1"/>
  <c r="CZ449" i="1"/>
  <c r="CZ433" i="1"/>
  <c r="CZ417" i="1"/>
  <c r="CZ401" i="1"/>
  <c r="CZ385" i="1"/>
  <c r="CZ369" i="1"/>
  <c r="CZ353" i="1"/>
  <c r="CZ337" i="1"/>
  <c r="CZ321" i="1"/>
  <c r="CZ305" i="1"/>
  <c r="CZ289" i="1"/>
  <c r="CZ273" i="1"/>
  <c r="CZ257" i="1"/>
  <c r="CZ241" i="1"/>
  <c r="CZ225" i="1"/>
  <c r="CZ209" i="1"/>
  <c r="CZ193" i="1"/>
  <c r="CZ177" i="1"/>
  <c r="CZ161" i="1"/>
  <c r="CZ145" i="1"/>
  <c r="CZ129" i="1"/>
  <c r="CZ113" i="1"/>
  <c r="CZ97" i="1"/>
  <c r="CZ81" i="1"/>
  <c r="CZ65" i="1"/>
  <c r="CZ49" i="1"/>
  <c r="CZ33" i="1"/>
  <c r="CZ17" i="1"/>
  <c r="CZ1621" i="1"/>
  <c r="CZ1601" i="1"/>
  <c r="CZ1579" i="1"/>
  <c r="CZ1560" i="1"/>
  <c r="CZ1541" i="1"/>
  <c r="CZ1523" i="1"/>
  <c r="CZ1505" i="1"/>
  <c r="CZ1487" i="1"/>
  <c r="CZ1468" i="1"/>
  <c r="CZ1450" i="1"/>
  <c r="CZ1432" i="1"/>
  <c r="CZ1414" i="1"/>
  <c r="CZ1396" i="1"/>
  <c r="CZ1378" i="1"/>
  <c r="CZ1360" i="1"/>
  <c r="CZ1341" i="1"/>
  <c r="CZ1323" i="1"/>
  <c r="CZ1305" i="1"/>
  <c r="CZ1287" i="1"/>
  <c r="CZ1268" i="1"/>
  <c r="CZ1250" i="1"/>
  <c r="CZ1232" i="1"/>
  <c r="CZ1213" i="1"/>
  <c r="CZ1196" i="1"/>
  <c r="CZ1179" i="1"/>
  <c r="CZ1162" i="1"/>
  <c r="CZ1145" i="1"/>
  <c r="CZ1619" i="1"/>
  <c r="CZ1599" i="1"/>
  <c r="CZ1575" i="1"/>
  <c r="CZ1557" i="1"/>
  <c r="CZ1539" i="1"/>
  <c r="CZ1521" i="1"/>
  <c r="CZ1503" i="1"/>
  <c r="CZ1484" i="1"/>
  <c r="CZ1466" i="1"/>
  <c r="CZ1448" i="1"/>
  <c r="CZ1430" i="1"/>
  <c r="CZ1412" i="1"/>
  <c r="CZ1394" i="1"/>
  <c r="CZ1376" i="1"/>
  <c r="CZ1357" i="1"/>
  <c r="CZ1339" i="1"/>
  <c r="CZ1321" i="1"/>
  <c r="CZ1302" i="1"/>
  <c r="CZ1284" i="1"/>
  <c r="CZ1266" i="1"/>
  <c r="CZ1248" i="1"/>
  <c r="CZ1618" i="1"/>
  <c r="CZ1595" i="1"/>
  <c r="CZ1574" i="1"/>
  <c r="CZ1556" i="1"/>
  <c r="CZ1538" i="1"/>
  <c r="CZ1520" i="1"/>
  <c r="CZ1501" i="1"/>
  <c r="CZ1483" i="1"/>
  <c r="CZ1465" i="1"/>
  <c r="CZ1447" i="1"/>
  <c r="CZ1429" i="1"/>
  <c r="CZ1411" i="1"/>
  <c r="CZ1393" i="1"/>
  <c r="CZ1375" i="1"/>
  <c r="CZ1356" i="1"/>
  <c r="CZ1338" i="1"/>
  <c r="CZ1319" i="1"/>
  <c r="CZ1301" i="1"/>
  <c r="CZ1283" i="1"/>
  <c r="CZ1265" i="1"/>
  <c r="CZ1247" i="1"/>
  <c r="CZ1616" i="1"/>
  <c r="CZ1593" i="1"/>
  <c r="CZ1573" i="1"/>
  <c r="CZ1555" i="1"/>
  <c r="CZ1537" i="1"/>
  <c r="CZ1519" i="1"/>
  <c r="CZ1500" i="1"/>
  <c r="CZ1482" i="1"/>
  <c r="CZ1464" i="1"/>
  <c r="CZ1446" i="1"/>
  <c r="CZ1428" i="1"/>
  <c r="CZ1410" i="1"/>
  <c r="CZ1392" i="1"/>
  <c r="CZ1373" i="1"/>
  <c r="CZ1355" i="1"/>
  <c r="CZ1336" i="1"/>
  <c r="CZ1318" i="1"/>
  <c r="CZ1300" i="1"/>
  <c r="CZ1282" i="1"/>
  <c r="CZ1264" i="1"/>
  <c r="CZ1245" i="1"/>
  <c r="CZ1227" i="1"/>
  <c r="CZ1209" i="1"/>
  <c r="CZ1192" i="1"/>
  <c r="CZ1175" i="1"/>
  <c r="CZ1158" i="1"/>
  <c r="CZ1141" i="1"/>
  <c r="CZ1615" i="1"/>
  <c r="CZ1592" i="1"/>
  <c r="CZ1572" i="1"/>
  <c r="CZ1554" i="1"/>
  <c r="CZ1536" i="1"/>
  <c r="CZ1517" i="1"/>
  <c r="CZ1499" i="1"/>
  <c r="CZ1481" i="1"/>
  <c r="CZ1463" i="1"/>
  <c r="CZ1445" i="1"/>
  <c r="CZ1427" i="1"/>
  <c r="CZ1409" i="1"/>
  <c r="CZ1391" i="1"/>
  <c r="CZ1372" i="1"/>
  <c r="CZ1353" i="1"/>
  <c r="CZ1335" i="1"/>
  <c r="CZ1317" i="1"/>
  <c r="CZ1299" i="1"/>
  <c r="CZ1281" i="1"/>
  <c r="CZ1263" i="1"/>
  <c r="CZ1244" i="1"/>
  <c r="CZ1226" i="1"/>
  <c r="CZ1208" i="1"/>
  <c r="CZ1191" i="1"/>
  <c r="CZ1174" i="1"/>
  <c r="CZ1157" i="1"/>
  <c r="CZ1140" i="1"/>
  <c r="CZ1123" i="1"/>
  <c r="CZ1106" i="1"/>
  <c r="CZ1088" i="1"/>
  <c r="CZ1071" i="1"/>
  <c r="CZ1054" i="1"/>
  <c r="CZ1037" i="1"/>
  <c r="CZ1020" i="1"/>
  <c r="CZ1003" i="1"/>
  <c r="CZ986" i="1"/>
  <c r="CZ969" i="1"/>
  <c r="CZ952" i="1"/>
  <c r="CZ935" i="1"/>
  <c r="CZ918" i="1"/>
  <c r="CZ901" i="1"/>
  <c r="CZ884" i="1"/>
  <c r="CZ867" i="1"/>
  <c r="CZ850" i="1"/>
  <c r="CZ832" i="1"/>
  <c r="CZ815" i="1"/>
  <c r="CZ1606" i="1"/>
  <c r="CZ1577" i="1"/>
  <c r="CZ1548" i="1"/>
  <c r="CZ1524" i="1"/>
  <c r="CZ1495" i="1"/>
  <c r="CZ1471" i="1"/>
  <c r="CZ1442" i="1"/>
  <c r="CZ1417" i="1"/>
  <c r="CZ1387" i="1"/>
  <c r="CZ1364" i="1"/>
  <c r="CZ1334" i="1"/>
  <c r="CZ1311" i="1"/>
  <c r="CZ1285" i="1"/>
  <c r="CZ1257" i="1"/>
  <c r="CZ1233" i="1"/>
  <c r="CZ1210" i="1"/>
  <c r="CZ1188" i="1"/>
  <c r="CZ1167" i="1"/>
  <c r="CZ1147" i="1"/>
  <c r="CZ1127" i="1"/>
  <c r="CZ1109" i="1"/>
  <c r="CZ1091" i="1"/>
  <c r="CZ1072" i="1"/>
  <c r="CZ1053" i="1"/>
  <c r="CZ1035" i="1"/>
  <c r="CZ1017" i="1"/>
  <c r="CZ999" i="1"/>
  <c r="CZ981" i="1"/>
  <c r="CZ963" i="1"/>
  <c r="CZ944" i="1"/>
  <c r="CZ926" i="1"/>
  <c r="CZ908" i="1"/>
  <c r="CZ890" i="1"/>
  <c r="CZ872" i="1"/>
  <c r="CZ854" i="1"/>
  <c r="CZ836" i="1"/>
  <c r="CZ818" i="1"/>
  <c r="CZ799" i="1"/>
  <c r="CZ782" i="1"/>
  <c r="CZ765" i="1"/>
  <c r="CZ748" i="1"/>
  <c r="CZ731" i="1"/>
  <c r="CZ714" i="1"/>
  <c r="CZ697" i="1"/>
  <c r="CZ680" i="1"/>
  <c r="CZ663" i="1"/>
  <c r="CZ646" i="1"/>
  <c r="CZ629" i="1"/>
  <c r="CZ612" i="1"/>
  <c r="CZ595" i="1"/>
  <c r="CZ578" i="1"/>
  <c r="CZ560" i="1"/>
  <c r="CZ543" i="1"/>
  <c r="CZ526" i="1"/>
  <c r="CZ509" i="1"/>
  <c r="CZ492" i="1"/>
  <c r="CZ475" i="1"/>
  <c r="CZ458" i="1"/>
  <c r="CZ441" i="1"/>
  <c r="CZ424" i="1"/>
  <c r="CZ407" i="1"/>
  <c r="CZ390" i="1"/>
  <c r="CZ373" i="1"/>
  <c r="CZ356" i="1"/>
  <c r="CZ339" i="1"/>
  <c r="CZ322" i="1"/>
  <c r="CZ304" i="1"/>
  <c r="CZ287" i="1"/>
  <c r="CZ270" i="1"/>
  <c r="CZ253" i="1"/>
  <c r="CZ236" i="1"/>
  <c r="CZ219" i="1"/>
  <c r="CZ202" i="1"/>
  <c r="CZ185" i="1"/>
  <c r="CZ168" i="1"/>
  <c r="CZ151" i="1"/>
  <c r="CZ134" i="1"/>
  <c r="CZ117" i="1"/>
  <c r="CZ100" i="1"/>
  <c r="CZ83" i="1"/>
  <c r="CZ66" i="1"/>
  <c r="CZ48" i="1"/>
  <c r="CZ31" i="1"/>
  <c r="CZ14" i="1"/>
  <c r="CZ1604" i="1"/>
  <c r="CZ1570" i="1"/>
  <c r="CZ1546" i="1"/>
  <c r="CZ1516" i="1"/>
  <c r="CZ1493" i="1"/>
  <c r="CZ1467" i="1"/>
  <c r="CZ1439" i="1"/>
  <c r="CZ1415" i="1"/>
  <c r="CZ1385" i="1"/>
  <c r="CZ1362" i="1"/>
  <c r="CZ1332" i="1"/>
  <c r="CZ1308" i="1"/>
  <c r="CZ1279" i="1"/>
  <c r="CZ1255" i="1"/>
  <c r="CZ1229" i="1"/>
  <c r="CZ1206" i="1"/>
  <c r="CZ1186" i="1"/>
  <c r="CZ1165" i="1"/>
  <c r="CZ1144" i="1"/>
  <c r="CZ1125" i="1"/>
  <c r="CZ1107" i="1"/>
  <c r="CZ1087" i="1"/>
  <c r="CZ1069" i="1"/>
  <c r="CZ1051" i="1"/>
  <c r="CZ1033" i="1"/>
  <c r="CZ1015" i="1"/>
  <c r="CZ997" i="1"/>
  <c r="CZ979" i="1"/>
  <c r="CZ960" i="1"/>
  <c r="CZ942" i="1"/>
  <c r="CZ924" i="1"/>
  <c r="CZ906" i="1"/>
  <c r="CZ888" i="1"/>
  <c r="CZ870" i="1"/>
  <c r="CZ852" i="1"/>
  <c r="CZ834" i="1"/>
  <c r="CZ814" i="1"/>
  <c r="CZ1603" i="1"/>
  <c r="CZ1569" i="1"/>
  <c r="CZ1545" i="1"/>
  <c r="CZ1515" i="1"/>
  <c r="CZ1492" i="1"/>
  <c r="CZ1462" i="1"/>
  <c r="CZ1437" i="1"/>
  <c r="CZ1413" i="1"/>
  <c r="CZ1384" i="1"/>
  <c r="CZ1361" i="1"/>
  <c r="CZ1331" i="1"/>
  <c r="CZ1307" i="1"/>
  <c r="CZ1277" i="1"/>
  <c r="CZ1254" i="1"/>
  <c r="CZ1228" i="1"/>
  <c r="CZ1205" i="1"/>
  <c r="CZ1184" i="1"/>
  <c r="CZ1164" i="1"/>
  <c r="CZ1143" i="1"/>
  <c r="CZ1124" i="1"/>
  <c r="CZ1104" i="1"/>
  <c r="CZ1086" i="1"/>
  <c r="CZ1068" i="1"/>
  <c r="CZ1050" i="1"/>
  <c r="CZ1032" i="1"/>
  <c r="CZ1014" i="1"/>
  <c r="CZ996" i="1"/>
  <c r="CZ978" i="1"/>
  <c r="CZ959" i="1"/>
  <c r="CZ941" i="1"/>
  <c r="CZ923" i="1"/>
  <c r="CZ905" i="1"/>
  <c r="CZ887" i="1"/>
  <c r="CZ869" i="1"/>
  <c r="CZ851" i="1"/>
  <c r="CZ831" i="1"/>
  <c r="CZ813" i="1"/>
  <c r="CZ796" i="1"/>
  <c r="CZ779" i="1"/>
  <c r="CZ762" i="1"/>
  <c r="CZ745" i="1"/>
  <c r="CZ728" i="1"/>
  <c r="CZ711" i="1"/>
  <c r="CZ694" i="1"/>
  <c r="CZ677" i="1"/>
  <c r="CZ660" i="1"/>
  <c r="CZ643" i="1"/>
  <c r="CZ626" i="1"/>
  <c r="CZ608" i="1"/>
  <c r="CZ591" i="1"/>
  <c r="CZ574" i="1"/>
  <c r="CZ557" i="1"/>
  <c r="CZ540" i="1"/>
  <c r="CZ523" i="1"/>
  <c r="CZ506" i="1"/>
  <c r="CZ489" i="1"/>
  <c r="CZ472" i="1"/>
  <c r="CZ455" i="1"/>
  <c r="CZ1589" i="1"/>
  <c r="CZ1558" i="1"/>
  <c r="CZ1527" i="1"/>
  <c r="CZ1490" i="1"/>
  <c r="CZ1458" i="1"/>
  <c r="CZ1425" i="1"/>
  <c r="CZ1397" i="1"/>
  <c r="CZ1363" i="1"/>
  <c r="CZ1328" i="1"/>
  <c r="CZ1295" i="1"/>
  <c r="CZ1261" i="1"/>
  <c r="CZ1234" i="1"/>
  <c r="CZ1203" i="1"/>
  <c r="CZ1178" i="1"/>
  <c r="CZ1152" i="1"/>
  <c r="CZ1129" i="1"/>
  <c r="CZ1103" i="1"/>
  <c r="CZ1082" i="1"/>
  <c r="CZ1061" i="1"/>
  <c r="CZ1039" i="1"/>
  <c r="CZ1016" i="1"/>
  <c r="CZ992" i="1"/>
  <c r="CZ971" i="1"/>
  <c r="CZ949" i="1"/>
  <c r="CZ927" i="1"/>
  <c r="CZ903" i="1"/>
  <c r="CZ880" i="1"/>
  <c r="CZ859" i="1"/>
  <c r="CZ838" i="1"/>
  <c r="CZ812" i="1"/>
  <c r="CZ793" i="1"/>
  <c r="CZ774" i="1"/>
  <c r="CZ755" i="1"/>
  <c r="CZ735" i="1"/>
  <c r="CZ716" i="1"/>
  <c r="CZ696" i="1"/>
  <c r="CZ676" i="1"/>
  <c r="CZ656" i="1"/>
  <c r="CZ637" i="1"/>
  <c r="CZ618" i="1"/>
  <c r="CZ599" i="1"/>
  <c r="CZ580" i="1"/>
  <c r="CZ559" i="1"/>
  <c r="CZ539" i="1"/>
  <c r="CZ520" i="1"/>
  <c r="CZ501" i="1"/>
  <c r="CZ482" i="1"/>
  <c r="CZ462" i="1"/>
  <c r="CZ443" i="1"/>
  <c r="CZ425" i="1"/>
  <c r="CZ406" i="1"/>
  <c r="CZ388" i="1"/>
  <c r="CZ370" i="1"/>
  <c r="CZ351" i="1"/>
  <c r="CZ333" i="1"/>
  <c r="CZ315" i="1"/>
  <c r="CZ297" i="1"/>
  <c r="CZ279" i="1"/>
  <c r="CZ261" i="1"/>
  <c r="CZ243" i="1"/>
  <c r="CZ224" i="1"/>
  <c r="CZ206" i="1"/>
  <c r="CZ188" i="1"/>
  <c r="CZ170" i="1"/>
  <c r="CZ152" i="1"/>
  <c r="CZ133" i="1"/>
  <c r="CZ115" i="1"/>
  <c r="CZ96" i="1"/>
  <c r="CZ78" i="1"/>
  <c r="CZ60" i="1"/>
  <c r="CZ42" i="1"/>
  <c r="CZ24" i="1"/>
  <c r="CZ6" i="1"/>
  <c r="CZ1625" i="1"/>
  <c r="CZ1588" i="1"/>
  <c r="CZ1553" i="1"/>
  <c r="CZ1526" i="1"/>
  <c r="CZ1489" i="1"/>
  <c r="CZ1456" i="1"/>
  <c r="CZ1424" i="1"/>
  <c r="CZ1395" i="1"/>
  <c r="CZ1359" i="1"/>
  <c r="CZ1327" i="1"/>
  <c r="CZ1293" i="1"/>
  <c r="CZ1260" i="1"/>
  <c r="CZ1231" i="1"/>
  <c r="CZ1202" i="1"/>
  <c r="CZ1177" i="1"/>
  <c r="CZ1151" i="1"/>
  <c r="CZ1128" i="1"/>
  <c r="CZ1102" i="1"/>
  <c r="CZ1081" i="1"/>
  <c r="CZ1060" i="1"/>
  <c r="CZ1038" i="1"/>
  <c r="CZ1013" i="1"/>
  <c r="CZ991" i="1"/>
  <c r="CZ970" i="1"/>
  <c r="CZ948" i="1"/>
  <c r="CZ925" i="1"/>
  <c r="CZ902" i="1"/>
  <c r="CZ879" i="1"/>
  <c r="CZ858" i="1"/>
  <c r="CZ837" i="1"/>
  <c r="CZ811" i="1"/>
  <c r="CZ792" i="1"/>
  <c r="CZ773" i="1"/>
  <c r="CZ754" i="1"/>
  <c r="CZ734" i="1"/>
  <c r="CZ715" i="1"/>
  <c r="CZ695" i="1"/>
  <c r="CZ675" i="1"/>
  <c r="CZ655" i="1"/>
  <c r="CZ636" i="1"/>
  <c r="CZ617" i="1"/>
  <c r="CZ598" i="1"/>
  <c r="CZ579" i="1"/>
  <c r="CZ558" i="1"/>
  <c r="CZ538" i="1"/>
  <c r="CZ519" i="1"/>
  <c r="CZ500" i="1"/>
  <c r="CZ480" i="1"/>
  <c r="CZ461" i="1"/>
  <c r="CZ442" i="1"/>
  <c r="CZ423" i="1"/>
  <c r="CZ405" i="1"/>
  <c r="CZ387" i="1"/>
  <c r="CZ368" i="1"/>
  <c r="CZ350" i="1"/>
  <c r="CZ332" i="1"/>
  <c r="CZ314" i="1"/>
  <c r="CZ296" i="1"/>
  <c r="CZ278" i="1"/>
  <c r="CZ260" i="1"/>
  <c r="CZ242" i="1"/>
  <c r="CZ223" i="1"/>
  <c r="CZ205" i="1"/>
  <c r="CZ187" i="1"/>
  <c r="CZ169" i="1"/>
  <c r="CZ150" i="1"/>
  <c r="CZ132" i="1"/>
  <c r="CZ114" i="1"/>
  <c r="CZ95" i="1"/>
  <c r="CZ77" i="1"/>
  <c r="CZ59" i="1"/>
  <c r="CZ41" i="1"/>
  <c r="CZ23" i="1"/>
  <c r="CZ5" i="1"/>
  <c r="CZ1624" i="1"/>
  <c r="CZ1587" i="1"/>
  <c r="CZ1552" i="1"/>
  <c r="CZ1522" i="1"/>
  <c r="CZ1488" i="1"/>
  <c r="CZ1455" i="1"/>
  <c r="CZ1421" i="1"/>
  <c r="CZ1389" i="1"/>
  <c r="CZ1352" i="1"/>
  <c r="CZ1325" i="1"/>
  <c r="CZ1292" i="1"/>
  <c r="CZ1259" i="1"/>
  <c r="CZ1225" i="1"/>
  <c r="CZ1200" i="1"/>
  <c r="CZ1176" i="1"/>
  <c r="CZ1150" i="1"/>
  <c r="CZ1126" i="1"/>
  <c r="CZ1101" i="1"/>
  <c r="CZ1080" i="1"/>
  <c r="CZ1059" i="1"/>
  <c r="CZ1036" i="1"/>
  <c r="CZ1012" i="1"/>
  <c r="CZ990" i="1"/>
  <c r="CZ968" i="1"/>
  <c r="CZ947" i="1"/>
  <c r="CZ922" i="1"/>
  <c r="CZ900" i="1"/>
  <c r="CZ878" i="1"/>
  <c r="CZ857" i="1"/>
  <c r="CZ835" i="1"/>
  <c r="CZ810" i="1"/>
  <c r="CZ791" i="1"/>
  <c r="CZ772" i="1"/>
  <c r="CZ752" i="1"/>
  <c r="CZ733" i="1"/>
  <c r="CZ713" i="1"/>
  <c r="CZ693" i="1"/>
  <c r="CZ674" i="1"/>
  <c r="CZ654" i="1"/>
  <c r="CZ635" i="1"/>
  <c r="CZ616" i="1"/>
  <c r="CZ597" i="1"/>
  <c r="CZ576" i="1"/>
  <c r="CZ556" i="1"/>
  <c r="CZ537" i="1"/>
  <c r="CZ518" i="1"/>
  <c r="CZ499" i="1"/>
  <c r="CZ479" i="1"/>
  <c r="CZ460" i="1"/>
  <c r="CZ440" i="1"/>
  <c r="CZ422" i="1"/>
  <c r="CZ404" i="1"/>
  <c r="CZ386" i="1"/>
  <c r="CZ367" i="1"/>
  <c r="CZ349" i="1"/>
  <c r="CZ331" i="1"/>
  <c r="CZ313" i="1"/>
  <c r="CZ295" i="1"/>
  <c r="CZ277" i="1"/>
  <c r="CZ259" i="1"/>
  <c r="CZ240" i="1"/>
  <c r="CZ222" i="1"/>
  <c r="CZ204" i="1"/>
  <c r="CZ186" i="1"/>
  <c r="CZ167" i="1"/>
  <c r="CZ1623" i="1"/>
  <c r="CZ1586" i="1"/>
  <c r="CZ1551" i="1"/>
  <c r="CZ1514" i="1"/>
  <c r="CZ1485" i="1"/>
  <c r="CZ1453" i="1"/>
  <c r="CZ1420" i="1"/>
  <c r="CZ1386" i="1"/>
  <c r="CZ1351" i="1"/>
  <c r="CZ1324" i="1"/>
  <c r="CZ1291" i="1"/>
  <c r="CZ1258" i="1"/>
  <c r="CZ1224" i="1"/>
  <c r="CZ1199" i="1"/>
  <c r="CZ1173" i="1"/>
  <c r="CZ1149" i="1"/>
  <c r="CZ1122" i="1"/>
  <c r="CZ1100" i="1"/>
  <c r="CZ1079" i="1"/>
  <c r="CZ1058" i="1"/>
  <c r="CZ1034" i="1"/>
  <c r="CZ1011" i="1"/>
  <c r="CZ989" i="1"/>
  <c r="CZ967" i="1"/>
  <c r="CZ946" i="1"/>
  <c r="CZ921" i="1"/>
  <c r="CZ899" i="1"/>
  <c r="CZ877" i="1"/>
  <c r="CZ856" i="1"/>
  <c r="CZ830" i="1"/>
  <c r="CZ809" i="1"/>
  <c r="CZ790" i="1"/>
  <c r="CZ771" i="1"/>
  <c r="CZ751" i="1"/>
  <c r="CZ732" i="1"/>
  <c r="CZ712" i="1"/>
  <c r="CZ692" i="1"/>
  <c r="CZ672" i="1"/>
  <c r="CZ653" i="1"/>
  <c r="CZ634" i="1"/>
  <c r="CZ615" i="1"/>
  <c r="CZ596" i="1"/>
  <c r="CZ575" i="1"/>
  <c r="CZ555" i="1"/>
  <c r="CZ536" i="1"/>
  <c r="CZ517" i="1"/>
  <c r="CZ498" i="1"/>
  <c r="CZ478" i="1"/>
  <c r="CZ459" i="1"/>
  <c r="CZ439" i="1"/>
  <c r="CZ421" i="1"/>
  <c r="CZ403" i="1"/>
  <c r="CZ384" i="1"/>
  <c r="CZ366" i="1"/>
  <c r="CZ348" i="1"/>
  <c r="CZ330" i="1"/>
  <c r="CZ312" i="1"/>
  <c r="CZ294" i="1"/>
  <c r="CZ276" i="1"/>
  <c r="CZ258" i="1"/>
  <c r="CZ239" i="1"/>
  <c r="CZ221" i="1"/>
  <c r="CZ203" i="1"/>
  <c r="CZ184" i="1"/>
  <c r="CZ166" i="1"/>
  <c r="CZ148" i="1"/>
  <c r="CZ130" i="1"/>
  <c r="CZ111" i="1"/>
  <c r="CZ93" i="1"/>
  <c r="CZ75" i="1"/>
  <c r="CZ57" i="1"/>
  <c r="CZ39" i="1"/>
  <c r="CZ21" i="1"/>
  <c r="CZ1622" i="1"/>
  <c r="CZ1585" i="1"/>
  <c r="CZ1549" i="1"/>
  <c r="CZ1513" i="1"/>
  <c r="CZ1480" i="1"/>
  <c r="CZ1452" i="1"/>
  <c r="CZ1419" i="1"/>
  <c r="CZ1383" i="1"/>
  <c r="CZ1350" i="1"/>
  <c r="CZ1322" i="1"/>
  <c r="CZ1290" i="1"/>
  <c r="CZ1256" i="1"/>
  <c r="CZ1223" i="1"/>
  <c r="CZ1198" i="1"/>
  <c r="CZ1172" i="1"/>
  <c r="CZ1148" i="1"/>
  <c r="CZ1120" i="1"/>
  <c r="CZ1099" i="1"/>
  <c r="CZ1078" i="1"/>
  <c r="CZ1056" i="1"/>
  <c r="CZ1031" i="1"/>
  <c r="CZ1010" i="1"/>
  <c r="CZ988" i="1"/>
  <c r="CZ966" i="1"/>
  <c r="CZ943" i="1"/>
  <c r="CZ920" i="1"/>
  <c r="CZ898" i="1"/>
  <c r="CZ876" i="1"/>
  <c r="CZ855" i="1"/>
  <c r="CZ829" i="1"/>
  <c r="CZ808" i="1"/>
  <c r="CZ789" i="1"/>
  <c r="CZ770" i="1"/>
  <c r="CZ750" i="1"/>
  <c r="CZ730" i="1"/>
  <c r="CZ710" i="1"/>
  <c r="CZ691" i="1"/>
  <c r="CZ671" i="1"/>
  <c r="CZ652" i="1"/>
  <c r="CZ633" i="1"/>
  <c r="CZ614" i="1"/>
  <c r="CZ594" i="1"/>
  <c r="CZ573" i="1"/>
  <c r="CZ554" i="1"/>
  <c r="CZ535" i="1"/>
  <c r="CZ516" i="1"/>
  <c r="CZ496" i="1"/>
  <c r="CZ477" i="1"/>
  <c r="CZ457" i="1"/>
  <c r="CZ438" i="1"/>
  <c r="CZ420" i="1"/>
  <c r="CZ402" i="1"/>
  <c r="CZ383" i="1"/>
  <c r="CZ365" i="1"/>
  <c r="CZ347" i="1"/>
  <c r="CZ329" i="1"/>
  <c r="CZ311" i="1"/>
  <c r="CZ293" i="1"/>
  <c r="CZ275" i="1"/>
  <c r="CZ256" i="1"/>
  <c r="CZ238" i="1"/>
  <c r="CZ220" i="1"/>
  <c r="CZ201" i="1"/>
  <c r="CZ183" i="1"/>
  <c r="CZ1620" i="1"/>
  <c r="CZ1584" i="1"/>
  <c r="CZ1547" i="1"/>
  <c r="CZ1512" i="1"/>
  <c r="CZ1479" i="1"/>
  <c r="CZ1451" i="1"/>
  <c r="CZ1418" i="1"/>
  <c r="CZ1382" i="1"/>
  <c r="CZ1349" i="1"/>
  <c r="CZ1316" i="1"/>
  <c r="CZ1289" i="1"/>
  <c r="CZ1253" i="1"/>
  <c r="CZ1222" i="1"/>
  <c r="CZ1197" i="1"/>
  <c r="CZ1171" i="1"/>
  <c r="CZ1146" i="1"/>
  <c r="CZ1119" i="1"/>
  <c r="CZ1098" i="1"/>
  <c r="CZ1077" i="1"/>
  <c r="CZ1055" i="1"/>
  <c r="CZ1030" i="1"/>
  <c r="CZ1008" i="1"/>
  <c r="CZ987" i="1"/>
  <c r="CZ965" i="1"/>
  <c r="CZ940" i="1"/>
  <c r="CZ919" i="1"/>
  <c r="CZ896" i="1"/>
  <c r="CZ875" i="1"/>
  <c r="CZ853" i="1"/>
  <c r="CZ828" i="1"/>
  <c r="CZ807" i="1"/>
  <c r="CZ788" i="1"/>
  <c r="CZ768" i="1"/>
  <c r="CZ749" i="1"/>
  <c r="CZ729" i="1"/>
  <c r="CZ709" i="1"/>
  <c r="CZ690" i="1"/>
  <c r="CZ670" i="1"/>
  <c r="CZ651" i="1"/>
  <c r="CZ632" i="1"/>
  <c r="CZ613" i="1"/>
  <c r="CZ592" i="1"/>
  <c r="CZ572" i="1"/>
  <c r="CZ553" i="1"/>
  <c r="CZ534" i="1"/>
  <c r="CZ515" i="1"/>
  <c r="CZ495" i="1"/>
  <c r="CZ476" i="1"/>
  <c r="CZ456" i="1"/>
  <c r="CZ437" i="1"/>
  <c r="CZ419" i="1"/>
  <c r="CZ400" i="1"/>
  <c r="CZ382" i="1"/>
  <c r="CZ364" i="1"/>
  <c r="CZ346" i="1"/>
  <c r="CZ328" i="1"/>
  <c r="CZ310" i="1"/>
  <c r="CZ292" i="1"/>
  <c r="CZ274" i="1"/>
  <c r="CZ255" i="1"/>
  <c r="CZ237" i="1"/>
  <c r="CZ218" i="1"/>
  <c r="CZ200" i="1"/>
  <c r="CZ182" i="1"/>
  <c r="CZ164" i="1"/>
  <c r="CZ146" i="1"/>
  <c r="CZ127" i="1"/>
  <c r="CZ109" i="1"/>
  <c r="CZ91" i="1"/>
  <c r="CZ73" i="1"/>
  <c r="CZ55" i="1"/>
  <c r="CZ37" i="1"/>
  <c r="CZ19" i="1"/>
  <c r="CZ1611" i="1"/>
  <c r="CZ1563" i="1"/>
  <c r="CZ1507" i="1"/>
  <c r="CZ1459" i="1"/>
  <c r="CZ1402" i="1"/>
  <c r="CZ1347" i="1"/>
  <c r="CZ1298" i="1"/>
  <c r="CZ1242" i="1"/>
  <c r="CZ1204" i="1"/>
  <c r="CZ1160" i="1"/>
  <c r="CZ1117" i="1"/>
  <c r="CZ1085" i="1"/>
  <c r="CZ1047" i="1"/>
  <c r="CZ1018" i="1"/>
  <c r="CZ976" i="1"/>
  <c r="CZ938" i="1"/>
  <c r="CZ909" i="1"/>
  <c r="CZ868" i="1"/>
  <c r="CZ839" i="1"/>
  <c r="CZ800" i="1"/>
  <c r="CZ766" i="1"/>
  <c r="CZ739" i="1"/>
  <c r="CZ704" i="1"/>
  <c r="CZ678" i="1"/>
  <c r="CZ644" i="1"/>
  <c r="CZ610" i="1"/>
  <c r="CZ583" i="1"/>
  <c r="CZ549" i="1"/>
  <c r="CZ521" i="1"/>
  <c r="CZ487" i="1"/>
  <c r="CZ453" i="1"/>
  <c r="CZ428" i="1"/>
  <c r="CZ396" i="1"/>
  <c r="CZ371" i="1"/>
  <c r="CZ340" i="1"/>
  <c r="CZ308" i="1"/>
  <c r="CZ282" i="1"/>
  <c r="CZ250" i="1"/>
  <c r="CZ226" i="1"/>
  <c r="CZ194" i="1"/>
  <c r="CZ163" i="1"/>
  <c r="CZ140" i="1"/>
  <c r="CZ118" i="1"/>
  <c r="CZ90" i="1"/>
  <c r="CZ68" i="1"/>
  <c r="CZ44" i="1"/>
  <c r="CZ18" i="1"/>
  <c r="CZ1609" i="1"/>
  <c r="CZ1562" i="1"/>
  <c r="CZ1506" i="1"/>
  <c r="CZ1449" i="1"/>
  <c r="CZ1401" i="1"/>
  <c r="CZ1346" i="1"/>
  <c r="CZ1297" i="1"/>
  <c r="CZ1241" i="1"/>
  <c r="CZ1195" i="1"/>
  <c r="CZ1159" i="1"/>
  <c r="CZ1116" i="1"/>
  <c r="CZ1084" i="1"/>
  <c r="CZ1046" i="1"/>
  <c r="CZ1007" i="1"/>
  <c r="CZ975" i="1"/>
  <c r="CZ937" i="1"/>
  <c r="CZ907" i="1"/>
  <c r="CZ866" i="1"/>
  <c r="CZ827" i="1"/>
  <c r="CZ798" i="1"/>
  <c r="CZ764" i="1"/>
  <c r="CZ738" i="1"/>
  <c r="CZ703" i="1"/>
  <c r="CZ669" i="1"/>
  <c r="CZ642" i="1"/>
  <c r="CZ607" i="1"/>
  <c r="CZ582" i="1"/>
  <c r="CZ548" i="1"/>
  <c r="CZ514" i="1"/>
  <c r="CZ486" i="1"/>
  <c r="CZ452" i="1"/>
  <c r="CZ427" i="1"/>
  <c r="CZ395" i="1"/>
  <c r="CZ363" i="1"/>
  <c r="CZ338" i="1"/>
  <c r="CZ307" i="1"/>
  <c r="CZ281" i="1"/>
  <c r="CZ249" i="1"/>
  <c r="CZ217" i="1"/>
  <c r="CZ192" i="1"/>
  <c r="CZ162" i="1"/>
  <c r="CZ139" i="1"/>
  <c r="CZ116" i="1"/>
  <c r="CZ89" i="1"/>
  <c r="CZ67" i="1"/>
  <c r="CZ43" i="1"/>
  <c r="CZ16" i="1"/>
  <c r="CZ1608" i="1"/>
  <c r="CZ1561" i="1"/>
  <c r="CZ1504" i="1"/>
  <c r="CZ1444" i="1"/>
  <c r="CZ1400" i="1"/>
  <c r="CZ1345" i="1"/>
  <c r="CZ1296" i="1"/>
  <c r="CZ1240" i="1"/>
  <c r="CZ1194" i="1"/>
  <c r="CZ1156" i="1"/>
  <c r="CZ1115" i="1"/>
  <c r="CZ1083" i="1"/>
  <c r="CZ1045" i="1"/>
  <c r="CZ1006" i="1"/>
  <c r="CZ974" i="1"/>
  <c r="CZ936" i="1"/>
  <c r="CZ904" i="1"/>
  <c r="CZ864" i="1"/>
  <c r="CZ826" i="1"/>
  <c r="CZ797" i="1"/>
  <c r="CZ763" i="1"/>
  <c r="CZ736" i="1"/>
  <c r="CZ702" i="1"/>
  <c r="CZ668" i="1"/>
  <c r="CZ640" i="1"/>
  <c r="CZ606" i="1"/>
  <c r="CZ581" i="1"/>
  <c r="CZ547" i="1"/>
  <c r="CZ512" i="1"/>
  <c r="CZ485" i="1"/>
  <c r="CZ451" i="1"/>
  <c r="CZ426" i="1"/>
  <c r="CZ394" i="1"/>
  <c r="CZ362" i="1"/>
  <c r="CZ336" i="1"/>
  <c r="CZ306" i="1"/>
  <c r="CZ280" i="1"/>
  <c r="CZ248" i="1"/>
  <c r="CZ216" i="1"/>
  <c r="CZ191" i="1"/>
  <c r="CZ160" i="1"/>
  <c r="CZ138" i="1"/>
  <c r="CZ112" i="1"/>
  <c r="CZ88" i="1"/>
  <c r="CZ64" i="1"/>
  <c r="CZ40" i="1"/>
  <c r="CZ15" i="1"/>
  <c r="CZ1607" i="1"/>
  <c r="CZ1544" i="1"/>
  <c r="CZ1498" i="1"/>
  <c r="CZ1443" i="1"/>
  <c r="CZ1399" i="1"/>
  <c r="CZ1344" i="1"/>
  <c r="CZ1288" i="1"/>
  <c r="CZ1239" i="1"/>
  <c r="CZ1193" i="1"/>
  <c r="CZ1155" i="1"/>
  <c r="CZ1114" i="1"/>
  <c r="CZ1076" i="1"/>
  <c r="CZ1044" i="1"/>
  <c r="CZ1005" i="1"/>
  <c r="CZ973" i="1"/>
  <c r="CZ934" i="1"/>
  <c r="CZ895" i="1"/>
  <c r="CZ863" i="1"/>
  <c r="CZ825" i="1"/>
  <c r="CZ795" i="1"/>
  <c r="CZ761" i="1"/>
  <c r="CZ727" i="1"/>
  <c r="CZ701" i="1"/>
  <c r="CZ667" i="1"/>
  <c r="CZ639" i="1"/>
  <c r="CZ605" i="1"/>
  <c r="CZ571" i="1"/>
  <c r="CZ546" i="1"/>
  <c r="CZ511" i="1"/>
  <c r="CZ484" i="1"/>
  <c r="CZ450" i="1"/>
  <c r="CZ418" i="1"/>
  <c r="CZ393" i="1"/>
  <c r="CZ361" i="1"/>
  <c r="CZ335" i="1"/>
  <c r="CZ303" i="1"/>
  <c r="CZ272" i="1"/>
  <c r="CZ247" i="1"/>
  <c r="CZ215" i="1"/>
  <c r="CZ190" i="1"/>
  <c r="CZ159" i="1"/>
  <c r="CZ137" i="1"/>
  <c r="CZ110" i="1"/>
  <c r="CZ87" i="1"/>
  <c r="CZ63" i="1"/>
  <c r="CZ38" i="1"/>
  <c r="CZ13" i="1"/>
  <c r="CZ1605" i="1"/>
  <c r="CZ1543" i="1"/>
  <c r="CZ1497" i="1"/>
  <c r="CZ1441" i="1"/>
  <c r="CZ1398" i="1"/>
  <c r="CZ1343" i="1"/>
  <c r="CZ1280" i="1"/>
  <c r="CZ1238" i="1"/>
  <c r="CZ1190" i="1"/>
  <c r="CZ1154" i="1"/>
  <c r="CZ1113" i="1"/>
  <c r="CZ1075" i="1"/>
  <c r="CZ1043" i="1"/>
  <c r="CZ1004" i="1"/>
  <c r="CZ972" i="1"/>
  <c r="CZ933" i="1"/>
  <c r="CZ894" i="1"/>
  <c r="CZ862" i="1"/>
  <c r="CZ824" i="1"/>
  <c r="CZ794" i="1"/>
  <c r="CZ760" i="1"/>
  <c r="CZ726" i="1"/>
  <c r="CZ700" i="1"/>
  <c r="CZ666" i="1"/>
  <c r="CZ638" i="1"/>
  <c r="CZ604" i="1"/>
  <c r="CZ570" i="1"/>
  <c r="CZ544" i="1"/>
  <c r="CZ510" i="1"/>
  <c r="CZ483" i="1"/>
  <c r="CZ448" i="1"/>
  <c r="CZ416" i="1"/>
  <c r="CZ392" i="1"/>
  <c r="CZ360" i="1"/>
  <c r="CZ334" i="1"/>
  <c r="CZ302" i="1"/>
  <c r="CZ271" i="1"/>
  <c r="CZ246" i="1"/>
  <c r="CZ214" i="1"/>
  <c r="CZ189" i="1"/>
  <c r="CZ158" i="1"/>
  <c r="CZ136" i="1"/>
  <c r="CZ108" i="1"/>
  <c r="CZ86" i="1"/>
  <c r="CZ62" i="1"/>
  <c r="CZ36" i="1"/>
  <c r="CZ12" i="1"/>
  <c r="CZ1602" i="1"/>
  <c r="CZ1540" i="1"/>
  <c r="CZ1496" i="1"/>
  <c r="CZ1436" i="1"/>
  <c r="CZ1381" i="1"/>
  <c r="CZ1340" i="1"/>
  <c r="CZ1276" i="1"/>
  <c r="CZ1237" i="1"/>
  <c r="CZ1189" i="1"/>
  <c r="CZ1142" i="1"/>
  <c r="CZ1112" i="1"/>
  <c r="CZ1074" i="1"/>
  <c r="CZ1042" i="1"/>
  <c r="CZ1002" i="1"/>
  <c r="CZ964" i="1"/>
  <c r="CZ932" i="1"/>
  <c r="CZ893" i="1"/>
  <c r="CZ861" i="1"/>
  <c r="CZ823" i="1"/>
  <c r="CZ787" i="1"/>
  <c r="CZ759" i="1"/>
  <c r="CZ725" i="1"/>
  <c r="CZ699" i="1"/>
  <c r="CZ665" i="1"/>
  <c r="CZ631" i="1"/>
  <c r="CZ603" i="1"/>
  <c r="CZ569" i="1"/>
  <c r="CZ542" i="1"/>
  <c r="CZ508" i="1"/>
  <c r="CZ474" i="1"/>
  <c r="CZ447" i="1"/>
  <c r="CZ415" i="1"/>
  <c r="CZ391" i="1"/>
  <c r="CZ359" i="1"/>
  <c r="CZ327" i="1"/>
  <c r="CZ301" i="1"/>
  <c r="CZ269" i="1"/>
  <c r="CZ245" i="1"/>
  <c r="CZ213" i="1"/>
  <c r="CZ181" i="1"/>
  <c r="CZ157" i="1"/>
  <c r="CZ135" i="1"/>
  <c r="CZ107" i="1"/>
  <c r="CZ85" i="1"/>
  <c r="CZ61" i="1"/>
  <c r="CZ35" i="1"/>
  <c r="CZ11" i="1"/>
  <c r="CZ1590" i="1"/>
  <c r="CZ1532" i="1"/>
  <c r="CZ1477" i="1"/>
  <c r="CZ1433" i="1"/>
  <c r="CZ1377" i="1"/>
  <c r="CZ1329" i="1"/>
  <c r="CZ1273" i="1"/>
  <c r="CZ1220" i="1"/>
  <c r="CZ1182" i="1"/>
  <c r="CZ1136" i="1"/>
  <c r="CZ1108" i="1"/>
  <c r="CZ1066" i="1"/>
  <c r="CZ1028" i="1"/>
  <c r="CZ998" i="1"/>
  <c r="CZ957" i="1"/>
  <c r="CZ928" i="1"/>
  <c r="CZ889" i="1"/>
  <c r="CZ847" i="1"/>
  <c r="CZ820" i="1"/>
  <c r="CZ783" i="1"/>
  <c r="CZ756" i="1"/>
  <c r="CZ722" i="1"/>
  <c r="CZ687" i="1"/>
  <c r="CZ661" i="1"/>
  <c r="CZ627" i="1"/>
  <c r="CZ600" i="1"/>
  <c r="CZ566" i="1"/>
  <c r="CZ532" i="1"/>
  <c r="CZ504" i="1"/>
  <c r="CZ470" i="1"/>
  <c r="CZ444" i="1"/>
  <c r="CZ412" i="1"/>
  <c r="CZ380" i="1"/>
  <c r="CZ355" i="1"/>
  <c r="CZ324" i="1"/>
  <c r="CZ298" i="1"/>
  <c r="CZ266" i="1"/>
  <c r="CZ234" i="1"/>
  <c r="CZ210" i="1"/>
  <c r="CZ178" i="1"/>
  <c r="CZ154" i="1"/>
  <c r="CZ126" i="1"/>
  <c r="CZ104" i="1"/>
  <c r="CZ80" i="1"/>
  <c r="CZ54" i="1"/>
  <c r="CZ30" i="1"/>
  <c r="CZ8" i="1"/>
  <c r="CZ1583" i="1"/>
  <c r="CZ1531" i="1"/>
  <c r="CZ1476" i="1"/>
  <c r="CZ1431" i="1"/>
  <c r="CZ1370" i="1"/>
  <c r="CZ1315" i="1"/>
  <c r="CZ1272" i="1"/>
  <c r="CZ1219" i="1"/>
  <c r="CZ1181" i="1"/>
  <c r="CZ1135" i="1"/>
  <c r="CZ1097" i="1"/>
  <c r="CZ1065" i="1"/>
  <c r="CZ1027" i="1"/>
  <c r="CZ995" i="1"/>
  <c r="CZ956" i="1"/>
  <c r="CZ917" i="1"/>
  <c r="CZ886" i="1"/>
  <c r="CZ846" i="1"/>
  <c r="CZ819" i="1"/>
  <c r="CZ781" i="1"/>
  <c r="CZ747" i="1"/>
  <c r="CZ720" i="1"/>
  <c r="CZ686" i="1"/>
  <c r="CZ659" i="1"/>
  <c r="CZ624" i="1"/>
  <c r="CZ590" i="1"/>
  <c r="CZ565" i="1"/>
  <c r="CZ531" i="1"/>
  <c r="CZ503" i="1"/>
  <c r="CZ469" i="1"/>
  <c r="CZ436" i="1"/>
  <c r="CZ411" i="1"/>
  <c r="CZ379" i="1"/>
  <c r="CZ354" i="1"/>
  <c r="CZ323" i="1"/>
  <c r="CZ291" i="1"/>
  <c r="CZ265" i="1"/>
  <c r="CZ233" i="1"/>
  <c r="CZ208" i="1"/>
  <c r="CZ176" i="1"/>
  <c r="CZ153" i="1"/>
  <c r="CZ125" i="1"/>
  <c r="CZ103" i="1"/>
  <c r="CZ79" i="1"/>
  <c r="CZ53" i="1"/>
  <c r="CZ29" i="1"/>
  <c r="CZ7" i="1"/>
  <c r="CZ1581" i="1"/>
  <c r="CZ1530" i="1"/>
  <c r="CZ1475" i="1"/>
  <c r="CZ1426" i="1"/>
  <c r="CZ1369" i="1"/>
  <c r="CZ1314" i="1"/>
  <c r="CZ1271" i="1"/>
  <c r="CZ1217" i="1"/>
  <c r="CZ1180" i="1"/>
  <c r="CZ1134" i="1"/>
  <c r="CZ1096" i="1"/>
  <c r="CZ1064" i="1"/>
  <c r="CZ1026" i="1"/>
  <c r="CZ994" i="1"/>
  <c r="CZ955" i="1"/>
  <c r="CZ916" i="1"/>
  <c r="CZ885" i="1"/>
  <c r="CZ845" i="1"/>
  <c r="CZ816" i="1"/>
  <c r="CZ780" i="1"/>
  <c r="CZ746" i="1"/>
  <c r="CZ719" i="1"/>
  <c r="CZ685" i="1"/>
  <c r="CZ658" i="1"/>
  <c r="CZ623" i="1"/>
  <c r="CZ589" i="1"/>
  <c r="CZ564" i="1"/>
  <c r="CZ530" i="1"/>
  <c r="CZ502" i="1"/>
  <c r="CZ468" i="1"/>
  <c r="CZ435" i="1"/>
  <c r="CZ410" i="1"/>
  <c r="CZ378" i="1"/>
  <c r="CZ352" i="1"/>
  <c r="CZ320" i="1"/>
  <c r="CZ290" i="1"/>
  <c r="CZ264" i="1"/>
  <c r="CZ232" i="1"/>
  <c r="CZ207" i="1"/>
  <c r="CZ175" i="1"/>
  <c r="CZ149" i="1"/>
  <c r="CZ124" i="1"/>
  <c r="CZ102" i="1"/>
  <c r="CZ76" i="1"/>
  <c r="CZ52" i="1"/>
  <c r="CZ28" i="1"/>
  <c r="CZ4" i="1"/>
  <c r="CZ1571" i="1"/>
  <c r="CZ1529" i="1"/>
  <c r="CZ1473" i="1"/>
  <c r="CZ1416" i="1"/>
  <c r="CZ1368" i="1"/>
  <c r="CZ1313" i="1"/>
  <c r="CZ1270" i="1"/>
  <c r="CZ1216" i="1"/>
  <c r="CZ1170" i="1"/>
  <c r="CZ1133" i="1"/>
  <c r="CZ1095" i="1"/>
  <c r="CZ1063" i="1"/>
  <c r="CZ1024" i="1"/>
  <c r="CZ985" i="1"/>
  <c r="CZ954" i="1"/>
  <c r="CZ915" i="1"/>
  <c r="CZ883" i="1"/>
  <c r="CZ844" i="1"/>
  <c r="CZ806" i="1"/>
  <c r="CZ778" i="1"/>
  <c r="CZ744" i="1"/>
  <c r="CZ718" i="1"/>
  <c r="CZ684" i="1"/>
  <c r="CZ650" i="1"/>
  <c r="CZ622" i="1"/>
  <c r="CZ588" i="1"/>
  <c r="CZ563" i="1"/>
  <c r="CZ528" i="1"/>
  <c r="CZ494" i="1"/>
  <c r="CZ467" i="1"/>
  <c r="CZ434" i="1"/>
  <c r="CZ409" i="1"/>
  <c r="CZ377" i="1"/>
  <c r="CZ345" i="1"/>
  <c r="CZ319" i="1"/>
  <c r="CZ288" i="1"/>
  <c r="CZ263" i="1"/>
  <c r="CZ231" i="1"/>
  <c r="CZ1568" i="1"/>
  <c r="CZ1528" i="1"/>
  <c r="CZ1472" i="1"/>
  <c r="CZ1408" i="1"/>
  <c r="CZ1367" i="1"/>
  <c r="CZ1312" i="1"/>
  <c r="CZ1267" i="1"/>
  <c r="CZ1215" i="1"/>
  <c r="CZ1168" i="1"/>
  <c r="CZ1132" i="1"/>
  <c r="CZ1094" i="1"/>
  <c r="CZ1062" i="1"/>
  <c r="CZ1023" i="1"/>
  <c r="CZ984" i="1"/>
  <c r="CZ953" i="1"/>
  <c r="CZ914" i="1"/>
  <c r="CZ882" i="1"/>
  <c r="CZ843" i="1"/>
  <c r="CZ805" i="1"/>
  <c r="CZ777" i="1"/>
  <c r="CZ743" i="1"/>
  <c r="CZ717" i="1"/>
  <c r="CZ683" i="1"/>
  <c r="CZ649" i="1"/>
  <c r="CZ621" i="1"/>
  <c r="CZ587" i="1"/>
  <c r="CZ562" i="1"/>
  <c r="CZ527" i="1"/>
  <c r="CZ493" i="1"/>
  <c r="CZ466" i="1"/>
  <c r="CZ432" i="1"/>
  <c r="CZ408" i="1"/>
  <c r="CZ376" i="1"/>
  <c r="CZ344" i="1"/>
  <c r="CZ318" i="1"/>
  <c r="CZ286" i="1"/>
  <c r="CZ262" i="1"/>
  <c r="CZ230" i="1"/>
  <c r="CZ1564" i="1"/>
  <c r="CZ1380" i="1"/>
  <c r="CZ1221" i="1"/>
  <c r="CZ1093" i="1"/>
  <c r="CZ982" i="1"/>
  <c r="CZ871" i="1"/>
  <c r="CZ758" i="1"/>
  <c r="CZ662" i="1"/>
  <c r="CZ552" i="1"/>
  <c r="CZ463" i="1"/>
  <c r="CZ372" i="1"/>
  <c r="CZ268" i="1"/>
  <c r="CZ195" i="1"/>
  <c r="CZ128" i="1"/>
  <c r="CZ72" i="1"/>
  <c r="CZ22" i="1"/>
  <c r="CZ1535" i="1"/>
  <c r="CZ1379" i="1"/>
  <c r="CZ1212" i="1"/>
  <c r="CZ1092" i="1"/>
  <c r="CZ980" i="1"/>
  <c r="CZ860" i="1"/>
  <c r="CZ757" i="1"/>
  <c r="CZ648" i="1"/>
  <c r="CZ551" i="1"/>
  <c r="CZ454" i="1"/>
  <c r="CZ358" i="1"/>
  <c r="CZ267" i="1"/>
  <c r="CZ180" i="1"/>
  <c r="CZ123" i="1"/>
  <c r="CZ71" i="1"/>
  <c r="CZ20" i="1"/>
  <c r="CZ1533" i="1"/>
  <c r="CZ1366" i="1"/>
  <c r="CZ1211" i="1"/>
  <c r="CZ1090" i="1"/>
  <c r="CZ962" i="1"/>
  <c r="CZ848" i="1"/>
  <c r="CZ742" i="1"/>
  <c r="CZ647" i="1"/>
  <c r="CZ550" i="1"/>
  <c r="CZ446" i="1"/>
  <c r="CZ357" i="1"/>
  <c r="CZ254" i="1"/>
  <c r="CZ179" i="1"/>
  <c r="CZ122" i="1"/>
  <c r="CZ70" i="1"/>
  <c r="CZ10" i="1"/>
  <c r="CZ1511" i="1"/>
  <c r="CZ1365" i="1"/>
  <c r="CZ1207" i="1"/>
  <c r="CZ1070" i="1"/>
  <c r="CZ958" i="1"/>
  <c r="CZ842" i="1"/>
  <c r="CZ741" i="1"/>
  <c r="CZ645" i="1"/>
  <c r="CZ541" i="1"/>
  <c r="CZ445" i="1"/>
  <c r="CZ343" i="1"/>
  <c r="CZ252" i="1"/>
  <c r="CZ174" i="1"/>
  <c r="CZ121" i="1"/>
  <c r="CZ69" i="1"/>
  <c r="CZ9" i="1"/>
  <c r="CZ1510" i="1"/>
  <c r="CZ1348" i="1"/>
  <c r="CZ1187" i="1"/>
  <c r="CZ1067" i="1"/>
  <c r="CZ951" i="1"/>
  <c r="CZ841" i="1"/>
  <c r="CZ740" i="1"/>
  <c r="CZ630" i="1"/>
  <c r="CZ533" i="1"/>
  <c r="CZ431" i="1"/>
  <c r="CZ342" i="1"/>
  <c r="CZ251" i="1"/>
  <c r="CZ173" i="1"/>
  <c r="CZ120" i="1"/>
  <c r="CZ58" i="1"/>
  <c r="CZ1509" i="1"/>
  <c r="CZ1333" i="1"/>
  <c r="CZ1183" i="1"/>
  <c r="CZ1052" i="1"/>
  <c r="CZ950" i="1"/>
  <c r="CZ840" i="1"/>
  <c r="CZ724" i="1"/>
  <c r="CZ628" i="1"/>
  <c r="CZ525" i="1"/>
  <c r="CZ430" i="1"/>
  <c r="CZ341" i="1"/>
  <c r="CZ244" i="1"/>
  <c r="CZ172" i="1"/>
  <c r="CZ119" i="1"/>
  <c r="CZ56" i="1"/>
  <c r="CZ1469" i="1"/>
  <c r="CZ1306" i="1"/>
  <c r="CZ1161" i="1"/>
  <c r="CZ1040" i="1"/>
  <c r="CZ930" i="1"/>
  <c r="CZ804" i="1"/>
  <c r="CZ707" i="1"/>
  <c r="CZ611" i="1"/>
  <c r="CZ507" i="1"/>
  <c r="CZ413" i="1"/>
  <c r="CZ317" i="1"/>
  <c r="CZ228" i="1"/>
  <c r="CZ156" i="1"/>
  <c r="CZ101" i="1"/>
  <c r="CZ47" i="1"/>
  <c r="CZ1591" i="1"/>
  <c r="CZ1274" i="1"/>
  <c r="CZ1029" i="1"/>
  <c r="CZ822" i="1"/>
  <c r="CZ679" i="1"/>
  <c r="CZ488" i="1"/>
  <c r="CZ309" i="1"/>
  <c r="CZ165" i="1"/>
  <c r="CZ74" i="1"/>
  <c r="CZ1567" i="1"/>
  <c r="CZ1251" i="1"/>
  <c r="CZ1022" i="1"/>
  <c r="CZ821" i="1"/>
  <c r="CZ664" i="1"/>
  <c r="CZ473" i="1"/>
  <c r="CZ300" i="1"/>
  <c r="CZ155" i="1"/>
  <c r="CZ51" i="1"/>
  <c r="CZ1565" i="1"/>
  <c r="CZ1249" i="1"/>
  <c r="CZ1021" i="1"/>
  <c r="CZ803" i="1"/>
  <c r="CZ620" i="1"/>
  <c r="CZ471" i="1"/>
  <c r="CZ299" i="1"/>
  <c r="CZ147" i="1"/>
  <c r="CZ50" i="1"/>
  <c r="CZ1494" i="1"/>
  <c r="CZ1243" i="1"/>
  <c r="CZ1019" i="1"/>
  <c r="CZ802" i="1"/>
  <c r="CZ619" i="1"/>
  <c r="CZ464" i="1"/>
  <c r="CZ285" i="1"/>
  <c r="CZ144" i="1"/>
  <c r="CZ46" i="1"/>
  <c r="CZ1478" i="1"/>
  <c r="CZ1236" i="1"/>
  <c r="CZ1001" i="1"/>
  <c r="CZ786" i="1"/>
  <c r="CZ602" i="1"/>
  <c r="CZ429" i="1"/>
  <c r="CZ284" i="1"/>
  <c r="CZ143" i="1"/>
  <c r="CZ45" i="1"/>
  <c r="CZ1461" i="1"/>
  <c r="CZ1166" i="1"/>
  <c r="CZ1000" i="1"/>
  <c r="CZ784" i="1"/>
  <c r="CZ601" i="1"/>
  <c r="CZ414" i="1"/>
  <c r="CZ283" i="1"/>
  <c r="CZ142" i="1"/>
  <c r="CZ34" i="1"/>
  <c r="CZ1138" i="1"/>
  <c r="CZ874" i="1"/>
  <c r="CZ567" i="1"/>
  <c r="CZ235" i="1"/>
  <c r="CZ94" i="1"/>
  <c r="CZ1131" i="1"/>
  <c r="CZ873" i="1"/>
  <c r="CZ524" i="1"/>
  <c r="CZ229" i="1"/>
  <c r="CZ92" i="1"/>
  <c r="CZ1613" i="1"/>
  <c r="CZ1130" i="1"/>
  <c r="CZ776" i="1"/>
  <c r="CZ522" i="1"/>
  <c r="CZ227" i="1"/>
  <c r="CZ84" i="1"/>
  <c r="CZ1600" i="1"/>
  <c r="CZ1118" i="1"/>
  <c r="CZ775" i="1"/>
  <c r="CZ505" i="1"/>
  <c r="CZ212" i="1"/>
  <c r="CZ82" i="1"/>
  <c r="CZ1460" i="1"/>
  <c r="CZ1111" i="1"/>
  <c r="CZ767" i="1"/>
  <c r="CZ491" i="1"/>
  <c r="CZ211" i="1"/>
  <c r="CZ32" i="1"/>
  <c r="CZ1435" i="1"/>
  <c r="CZ1110" i="1"/>
  <c r="CZ723" i="1"/>
  <c r="CZ490" i="1"/>
  <c r="CZ199" i="1"/>
  <c r="CZ27" i="1"/>
  <c r="CZ1404" i="1"/>
  <c r="CZ983" i="1"/>
  <c r="CZ698" i="1"/>
  <c r="CZ397" i="1"/>
  <c r="CZ196" i="1"/>
  <c r="CZ1403" i="1"/>
  <c r="CZ939" i="1"/>
  <c r="CZ688" i="1"/>
  <c r="CZ389" i="1"/>
  <c r="CZ171" i="1"/>
  <c r="CZ1330" i="1"/>
  <c r="CZ931" i="1"/>
  <c r="CZ682" i="1"/>
  <c r="CZ381" i="1"/>
  <c r="CZ141" i="1"/>
  <c r="CZ1304" i="1"/>
  <c r="CZ911" i="1"/>
  <c r="CZ586" i="1"/>
  <c r="CZ374" i="1"/>
  <c r="CZ106" i="1"/>
  <c r="CZ681" i="1"/>
  <c r="CZ26" i="1"/>
  <c r="CZ585" i="1"/>
  <c r="CZ25" i="1"/>
  <c r="CZ1434" i="1"/>
  <c r="CZ584" i="1"/>
  <c r="CZ1407" i="1"/>
  <c r="CZ568" i="1"/>
  <c r="CZ1309" i="1"/>
  <c r="CZ399" i="1"/>
  <c r="CZ1275" i="1"/>
  <c r="CZ398" i="1"/>
  <c r="CZ1163" i="1"/>
  <c r="CZ375" i="1"/>
  <c r="CZ1049" i="1"/>
  <c r="CZ325" i="1"/>
  <c r="CZ912" i="1"/>
  <c r="CZ910" i="1"/>
  <c r="CZ892" i="1"/>
  <c r="CZ891" i="1"/>
  <c r="CZ708" i="1"/>
  <c r="CZ706" i="1"/>
  <c r="CZ326" i="1"/>
  <c r="CZ316" i="1"/>
  <c r="CZ198" i="1"/>
  <c r="CZ99" i="1"/>
  <c r="CZ98" i="1"/>
  <c r="CZ1139" i="1"/>
  <c r="CZ1048" i="1"/>
  <c r="CZ197" i="1"/>
  <c r="CZ131" i="1"/>
  <c r="CZ105" i="1"/>
  <c r="DA1624" i="1"/>
  <c r="DA1608" i="1"/>
  <c r="DA1592" i="1"/>
  <c r="DA1576" i="1"/>
  <c r="DA1560" i="1"/>
  <c r="DA1544" i="1"/>
  <c r="DA1528" i="1"/>
  <c r="DA1512" i="1"/>
  <c r="DA1496" i="1"/>
  <c r="DA1480" i="1"/>
  <c r="DA1464" i="1"/>
  <c r="DA1448" i="1"/>
  <c r="DA1432" i="1"/>
  <c r="DA1416" i="1"/>
  <c r="DA1400" i="1"/>
  <c r="DA1384" i="1"/>
  <c r="DA1368" i="1"/>
  <c r="DA1352" i="1"/>
  <c r="DA1336" i="1"/>
  <c r="DA1320" i="1"/>
  <c r="DA1304" i="1"/>
  <c r="DA1288" i="1"/>
  <c r="DA1272" i="1"/>
  <c r="DA1256" i="1"/>
  <c r="DA1240" i="1"/>
  <c r="DA1224" i="1"/>
  <c r="DA1208" i="1"/>
  <c r="DA1192" i="1"/>
  <c r="DA1176" i="1"/>
  <c r="DA1160" i="1"/>
  <c r="DA1144" i="1"/>
  <c r="DA1128" i="1"/>
  <c r="DA1112" i="1"/>
  <c r="DA1096" i="1"/>
  <c r="DA1080" i="1"/>
  <c r="DA1064" i="1"/>
  <c r="DA1048" i="1"/>
  <c r="DA1032" i="1"/>
  <c r="DA1016" i="1"/>
  <c r="DA1000" i="1"/>
  <c r="DA984" i="1"/>
  <c r="DA968" i="1"/>
  <c r="DA952" i="1"/>
  <c r="DA936" i="1"/>
  <c r="DA920" i="1"/>
  <c r="DA904" i="1"/>
  <c r="DA888" i="1"/>
  <c r="DA872" i="1"/>
  <c r="DA856" i="1"/>
  <c r="DA840" i="1"/>
  <c r="DA824" i="1"/>
  <c r="DA808" i="1"/>
  <c r="DA792" i="1"/>
  <c r="DA776" i="1"/>
  <c r="DA760" i="1"/>
  <c r="DA744" i="1"/>
  <c r="DA728" i="1"/>
  <c r="DA712" i="1"/>
  <c r="DA696" i="1"/>
  <c r="DA680" i="1"/>
  <c r="DA664" i="1"/>
  <c r="DA648" i="1"/>
  <c r="DA632" i="1"/>
  <c r="DA616" i="1"/>
  <c r="DA600" i="1"/>
  <c r="DA584" i="1"/>
  <c r="DA568" i="1"/>
  <c r="DA552" i="1"/>
  <c r="DA536" i="1"/>
  <c r="DA520" i="1"/>
  <c r="DA504" i="1"/>
  <c r="DA488" i="1"/>
  <c r="DA472" i="1"/>
  <c r="DA456" i="1"/>
  <c r="DA440" i="1"/>
  <c r="DA424" i="1"/>
  <c r="DA408" i="1"/>
  <c r="DA392" i="1"/>
  <c r="DA376" i="1"/>
  <c r="DA360" i="1"/>
  <c r="DA344" i="1"/>
  <c r="DA328" i="1"/>
  <c r="DA312" i="1"/>
  <c r="DA296" i="1"/>
  <c r="DA280" i="1"/>
  <c r="DA1623" i="1"/>
  <c r="DA1607" i="1"/>
  <c r="DA1591" i="1"/>
  <c r="DA1575" i="1"/>
  <c r="DA1559" i="1"/>
  <c r="DA1543" i="1"/>
  <c r="DA1527" i="1"/>
  <c r="DA1511" i="1"/>
  <c r="DA1495" i="1"/>
  <c r="DA1479" i="1"/>
  <c r="DA1463" i="1"/>
  <c r="DA1447" i="1"/>
  <c r="DA1431" i="1"/>
  <c r="DA1415" i="1"/>
  <c r="DA1399" i="1"/>
  <c r="DA1383" i="1"/>
  <c r="DA1367" i="1"/>
  <c r="DA1351" i="1"/>
  <c r="DA1335" i="1"/>
  <c r="DA1319" i="1"/>
  <c r="DA1303" i="1"/>
  <c r="DA1287" i="1"/>
  <c r="DA1271" i="1"/>
  <c r="DA1255" i="1"/>
  <c r="DA1239" i="1"/>
  <c r="DA1223" i="1"/>
  <c r="DA1207" i="1"/>
  <c r="DA1191" i="1"/>
  <c r="DA1175" i="1"/>
  <c r="DA1159" i="1"/>
  <c r="DA1143" i="1"/>
  <c r="DA1127" i="1"/>
  <c r="DA1111" i="1"/>
  <c r="DA1095" i="1"/>
  <c r="DA1079" i="1"/>
  <c r="DA1063" i="1"/>
  <c r="DA1047" i="1"/>
  <c r="DA1031" i="1"/>
  <c r="DA1015" i="1"/>
  <c r="DA999" i="1"/>
  <c r="DA983" i="1"/>
  <c r="DA967" i="1"/>
  <c r="DA951" i="1"/>
  <c r="DA935" i="1"/>
  <c r="DA919" i="1"/>
  <c r="DA903" i="1"/>
  <c r="DA887" i="1"/>
  <c r="DA871" i="1"/>
  <c r="DA855" i="1"/>
  <c r="DA839" i="1"/>
  <c r="DA823" i="1"/>
  <c r="DA807" i="1"/>
  <c r="DA791" i="1"/>
  <c r="DA775" i="1"/>
  <c r="DA759" i="1"/>
  <c r="DA743" i="1"/>
  <c r="DA727" i="1"/>
  <c r="DA711" i="1"/>
  <c r="DA695" i="1"/>
  <c r="DA679" i="1"/>
  <c r="DA663" i="1"/>
  <c r="DA647" i="1"/>
  <c r="DA631" i="1"/>
  <c r="DA615" i="1"/>
  <c r="DA599" i="1"/>
  <c r="DA583" i="1"/>
  <c r="DA567" i="1"/>
  <c r="DA551" i="1"/>
  <c r="DA535" i="1"/>
  <c r="DA519" i="1"/>
  <c r="DA503" i="1"/>
  <c r="DA487" i="1"/>
  <c r="DA471" i="1"/>
  <c r="DA455" i="1"/>
  <c r="DA439" i="1"/>
  <c r="DA423" i="1"/>
  <c r="DA407" i="1"/>
  <c r="DA391" i="1"/>
  <c r="DA375" i="1"/>
  <c r="DA359" i="1"/>
  <c r="DA343" i="1"/>
  <c r="DA327" i="1"/>
  <c r="DA311" i="1"/>
  <c r="DA295" i="1"/>
  <c r="DA1622" i="1"/>
  <c r="DA1606" i="1"/>
  <c r="DA1590" i="1"/>
  <c r="DA1574" i="1"/>
  <c r="DA1558" i="1"/>
  <c r="DA1542" i="1"/>
  <c r="DA1526" i="1"/>
  <c r="DA1510" i="1"/>
  <c r="DA1494" i="1"/>
  <c r="DA1478" i="1"/>
  <c r="DA1462" i="1"/>
  <c r="DA1446" i="1"/>
  <c r="DA1430" i="1"/>
  <c r="DA1414" i="1"/>
  <c r="DA1398" i="1"/>
  <c r="DA1382" i="1"/>
  <c r="DA1366" i="1"/>
  <c r="DA1350" i="1"/>
  <c r="DA1334" i="1"/>
  <c r="DA1318" i="1"/>
  <c r="DA1302" i="1"/>
  <c r="DA1286" i="1"/>
  <c r="DA1270" i="1"/>
  <c r="DA1254" i="1"/>
  <c r="DA1238" i="1"/>
  <c r="DA1222" i="1"/>
  <c r="DA1206" i="1"/>
  <c r="DA1190" i="1"/>
  <c r="DA1174" i="1"/>
  <c r="DA1158" i="1"/>
  <c r="DA1142" i="1"/>
  <c r="DA1126" i="1"/>
  <c r="DA1110" i="1"/>
  <c r="DA1094" i="1"/>
  <c r="DA1078" i="1"/>
  <c r="DA1062" i="1"/>
  <c r="DA1046" i="1"/>
  <c r="DA1030" i="1"/>
  <c r="DA1014" i="1"/>
  <c r="DA998" i="1"/>
  <c r="DA982" i="1"/>
  <c r="DA966" i="1"/>
  <c r="DA950" i="1"/>
  <c r="DA934" i="1"/>
  <c r="DA918" i="1"/>
  <c r="DA902" i="1"/>
  <c r="DA886" i="1"/>
  <c r="DA870" i="1"/>
  <c r="DA854" i="1"/>
  <c r="DA838" i="1"/>
  <c r="DA822" i="1"/>
  <c r="DA806" i="1"/>
  <c r="DA790" i="1"/>
  <c r="DA774" i="1"/>
  <c r="DA758" i="1"/>
  <c r="DA742" i="1"/>
  <c r="DA726" i="1"/>
  <c r="DA710" i="1"/>
  <c r="DA694" i="1"/>
  <c r="DA678" i="1"/>
  <c r="DA662" i="1"/>
  <c r="DA646" i="1"/>
  <c r="DA630" i="1"/>
  <c r="DA614" i="1"/>
  <c r="DA598" i="1"/>
  <c r="DA582" i="1"/>
  <c r="DA566" i="1"/>
  <c r="DA550" i="1"/>
  <c r="DA534" i="1"/>
  <c r="DA518" i="1"/>
  <c r="DA502" i="1"/>
  <c r="DA486" i="1"/>
  <c r="DA470" i="1"/>
  <c r="DA454" i="1"/>
  <c r="DA438" i="1"/>
  <c r="DA422" i="1"/>
  <c r="DA406" i="1"/>
  <c r="DA390" i="1"/>
  <c r="DA374" i="1"/>
  <c r="DA358" i="1"/>
  <c r="DA342" i="1"/>
  <c r="DA326" i="1"/>
  <c r="DA310" i="1"/>
  <c r="DA294" i="1"/>
  <c r="DA1621" i="1"/>
  <c r="DA1605" i="1"/>
  <c r="DA1589" i="1"/>
  <c r="DA1573" i="1"/>
  <c r="DA1557" i="1"/>
  <c r="DA1541" i="1"/>
  <c r="DA1525" i="1"/>
  <c r="DA1509" i="1"/>
  <c r="DA1493" i="1"/>
  <c r="DA1477" i="1"/>
  <c r="DA1461" i="1"/>
  <c r="DA1445" i="1"/>
  <c r="DA1429" i="1"/>
  <c r="DA1413" i="1"/>
  <c r="DA1397" i="1"/>
  <c r="DA1381" i="1"/>
  <c r="DA1365" i="1"/>
  <c r="DA1349" i="1"/>
  <c r="DA1333" i="1"/>
  <c r="DA1317" i="1"/>
  <c r="DA1301" i="1"/>
  <c r="DA1285" i="1"/>
  <c r="DA1269" i="1"/>
  <c r="DA1253" i="1"/>
  <c r="DA1237" i="1"/>
  <c r="DA1221" i="1"/>
  <c r="DA1205" i="1"/>
  <c r="DA1189" i="1"/>
  <c r="DA1173" i="1"/>
  <c r="DA1157" i="1"/>
  <c r="DA1141" i="1"/>
  <c r="DA1125" i="1"/>
  <c r="DA1109" i="1"/>
  <c r="DA1093" i="1"/>
  <c r="DA1077" i="1"/>
  <c r="DA1061" i="1"/>
  <c r="DA1620" i="1"/>
  <c r="DA1604" i="1"/>
  <c r="DA1588" i="1"/>
  <c r="DA1572" i="1"/>
  <c r="DA1556" i="1"/>
  <c r="DA1540" i="1"/>
  <c r="DA1524" i="1"/>
  <c r="DA1508" i="1"/>
  <c r="DA1492" i="1"/>
  <c r="DA1476" i="1"/>
  <c r="DA1460" i="1"/>
  <c r="DA1444" i="1"/>
  <c r="DA1428" i="1"/>
  <c r="DA1412" i="1"/>
  <c r="DA1396" i="1"/>
  <c r="DA1380" i="1"/>
  <c r="DA1364" i="1"/>
  <c r="DA1348" i="1"/>
  <c r="DA1332" i="1"/>
  <c r="DA1316" i="1"/>
  <c r="DA1300" i="1"/>
  <c r="DA1284" i="1"/>
  <c r="DA1268" i="1"/>
  <c r="DA1252" i="1"/>
  <c r="DA1236" i="1"/>
  <c r="DA1220" i="1"/>
  <c r="DA1204" i="1"/>
  <c r="DA1188" i="1"/>
  <c r="DA1172" i="1"/>
  <c r="DA1156" i="1"/>
  <c r="DA1140" i="1"/>
  <c r="DA1124" i="1"/>
  <c r="DA1108" i="1"/>
  <c r="DA1092" i="1"/>
  <c r="DA1076" i="1"/>
  <c r="DA1060" i="1"/>
  <c r="DA1044" i="1"/>
  <c r="DA1028" i="1"/>
  <c r="DA1012" i="1"/>
  <c r="DA996" i="1"/>
  <c r="DA980" i="1"/>
  <c r="DA964" i="1"/>
  <c r="DA948" i="1"/>
  <c r="DA932" i="1"/>
  <c r="DA916" i="1"/>
  <c r="DA900" i="1"/>
  <c r="DA884" i="1"/>
  <c r="DA868" i="1"/>
  <c r="DA852" i="1"/>
  <c r="DA836" i="1"/>
  <c r="DA820" i="1"/>
  <c r="DA804" i="1"/>
  <c r="DA788" i="1"/>
  <c r="DA772" i="1"/>
  <c r="DA756" i="1"/>
  <c r="DA740" i="1"/>
  <c r="DA724" i="1"/>
  <c r="DA708" i="1"/>
  <c r="DA692" i="1"/>
  <c r="DA676" i="1"/>
  <c r="DA660" i="1"/>
  <c r="DA644" i="1"/>
  <c r="DA628" i="1"/>
  <c r="DA612" i="1"/>
  <c r="DA596" i="1"/>
  <c r="DA580" i="1"/>
  <c r="DA564" i="1"/>
  <c r="DA1619" i="1"/>
  <c r="DA1603" i="1"/>
  <c r="DA1587" i="1"/>
  <c r="DA1571" i="1"/>
  <c r="DA1555" i="1"/>
  <c r="DA1539" i="1"/>
  <c r="DA1523" i="1"/>
  <c r="DA1507" i="1"/>
  <c r="DA1491" i="1"/>
  <c r="DA1475" i="1"/>
  <c r="DA1459" i="1"/>
  <c r="DA1443" i="1"/>
  <c r="DA1427" i="1"/>
  <c r="DA1411" i="1"/>
  <c r="DA1395" i="1"/>
  <c r="DA1379" i="1"/>
  <c r="DA1363" i="1"/>
  <c r="DA1347" i="1"/>
  <c r="DA1331" i="1"/>
  <c r="DA1315" i="1"/>
  <c r="DA1299" i="1"/>
  <c r="DA1283" i="1"/>
  <c r="DA1267" i="1"/>
  <c r="DA1251" i="1"/>
  <c r="DA1235" i="1"/>
  <c r="DA1219" i="1"/>
  <c r="DA1203" i="1"/>
  <c r="DA1187" i="1"/>
  <c r="DA1171" i="1"/>
  <c r="DA1155" i="1"/>
  <c r="DA1139" i="1"/>
  <c r="DA1123" i="1"/>
  <c r="DA1107" i="1"/>
  <c r="DA1091" i="1"/>
  <c r="DA1075" i="1"/>
  <c r="DA1059" i="1"/>
  <c r="DA1043" i="1"/>
  <c r="DA1027" i="1"/>
  <c r="DA1011" i="1"/>
  <c r="DA995" i="1"/>
  <c r="DA979" i="1"/>
  <c r="DA963" i="1"/>
  <c r="DA947" i="1"/>
  <c r="DA931" i="1"/>
  <c r="DA915" i="1"/>
  <c r="DA899" i="1"/>
  <c r="DA883" i="1"/>
  <c r="DA867" i="1"/>
  <c r="DA851" i="1"/>
  <c r="DA835" i="1"/>
  <c r="DA819" i="1"/>
  <c r="DA803" i="1"/>
  <c r="DA787" i="1"/>
  <c r="DA771" i="1"/>
  <c r="DA755" i="1"/>
  <c r="DA739" i="1"/>
  <c r="DA723" i="1"/>
  <c r="DA707" i="1"/>
  <c r="DA691" i="1"/>
  <c r="DA675" i="1"/>
  <c r="DA659" i="1"/>
  <c r="DA643" i="1"/>
  <c r="DA627" i="1"/>
  <c r="DA611" i="1"/>
  <c r="DA595" i="1"/>
  <c r="DA579" i="1"/>
  <c r="DA563" i="1"/>
  <c r="DA547" i="1"/>
  <c r="DA531" i="1"/>
  <c r="DA515" i="1"/>
  <c r="DA499" i="1"/>
  <c r="DA483" i="1"/>
  <c r="DA467" i="1"/>
  <c r="DA451" i="1"/>
  <c r="DA435" i="1"/>
  <c r="DA419" i="1"/>
  <c r="DA403" i="1"/>
  <c r="DA387" i="1"/>
  <c r="DA371" i="1"/>
  <c r="DA355" i="1"/>
  <c r="DA339" i="1"/>
  <c r="DA323" i="1"/>
  <c r="DA1616" i="1"/>
  <c r="DA1600" i="1"/>
  <c r="DA1584" i="1"/>
  <c r="DA1568" i="1"/>
  <c r="DA1552" i="1"/>
  <c r="DA1536" i="1"/>
  <c r="DA1520" i="1"/>
  <c r="DA1504" i="1"/>
  <c r="DA1488" i="1"/>
  <c r="DA1472" i="1"/>
  <c r="DA1456" i="1"/>
  <c r="DA1440" i="1"/>
  <c r="DA1424" i="1"/>
  <c r="DA1408" i="1"/>
  <c r="DA1392" i="1"/>
  <c r="DA1376" i="1"/>
  <c r="DA1360" i="1"/>
  <c r="DA1344" i="1"/>
  <c r="DA1328" i="1"/>
  <c r="DA1312" i="1"/>
  <c r="DA1296" i="1"/>
  <c r="DA1280" i="1"/>
  <c r="DA1264" i="1"/>
  <c r="DA1248" i="1"/>
  <c r="DA1232" i="1"/>
  <c r="DA1216" i="1"/>
  <c r="DA1200" i="1"/>
  <c r="DA1184" i="1"/>
  <c r="DA1168" i="1"/>
  <c r="DA1152" i="1"/>
  <c r="DA1136" i="1"/>
  <c r="DA1120" i="1"/>
  <c r="DA1104" i="1"/>
  <c r="DA1088" i="1"/>
  <c r="DA1072" i="1"/>
  <c r="DA1056" i="1"/>
  <c r="DA1040" i="1"/>
  <c r="DA1024" i="1"/>
  <c r="DA1008" i="1"/>
  <c r="DA992" i="1"/>
  <c r="DA976" i="1"/>
  <c r="DA960" i="1"/>
  <c r="DA944" i="1"/>
  <c r="DA928" i="1"/>
  <c r="DA912" i="1"/>
  <c r="DA896" i="1"/>
  <c r="DA880" i="1"/>
  <c r="DA864" i="1"/>
  <c r="DA848" i="1"/>
  <c r="DA832" i="1"/>
  <c r="DA816" i="1"/>
  <c r="DA800" i="1"/>
  <c r="DA784" i="1"/>
  <c r="DA768" i="1"/>
  <c r="DA752" i="1"/>
  <c r="DA736" i="1"/>
  <c r="DA720" i="1"/>
  <c r="DA1614" i="1"/>
  <c r="DA1598" i="1"/>
  <c r="DA1582" i="1"/>
  <c r="DA1566" i="1"/>
  <c r="DA1550" i="1"/>
  <c r="DA1534" i="1"/>
  <c r="DA1518" i="1"/>
  <c r="DA1502" i="1"/>
  <c r="DA1486" i="1"/>
  <c r="DA1470" i="1"/>
  <c r="DA1454" i="1"/>
  <c r="DA1438" i="1"/>
  <c r="DA1422" i="1"/>
  <c r="DA1406" i="1"/>
  <c r="DA1390" i="1"/>
  <c r="DA1374" i="1"/>
  <c r="DA1358" i="1"/>
  <c r="DA1342" i="1"/>
  <c r="DA1326" i="1"/>
  <c r="DA1310" i="1"/>
  <c r="DA1294" i="1"/>
  <c r="DA1278" i="1"/>
  <c r="DA1262" i="1"/>
  <c r="DA1246" i="1"/>
  <c r="DA1230" i="1"/>
  <c r="DA1214" i="1"/>
  <c r="DA1198" i="1"/>
  <c r="DA1182" i="1"/>
  <c r="DA1166" i="1"/>
  <c r="DA1150" i="1"/>
  <c r="DA1134" i="1"/>
  <c r="DA1118" i="1"/>
  <c r="DA1102" i="1"/>
  <c r="DA1086" i="1"/>
  <c r="DA1070" i="1"/>
  <c r="DA1054" i="1"/>
  <c r="DA1038" i="1"/>
  <c r="DA1022" i="1"/>
  <c r="DA1006" i="1"/>
  <c r="DA990" i="1"/>
  <c r="DA974" i="1"/>
  <c r="DA958" i="1"/>
  <c r="DA942" i="1"/>
  <c r="DA926" i="1"/>
  <c r="DA910" i="1"/>
  <c r="DA894" i="1"/>
  <c r="DA878" i="1"/>
  <c r="DA862" i="1"/>
  <c r="DA846" i="1"/>
  <c r="DA830" i="1"/>
  <c r="DA814" i="1"/>
  <c r="DA798" i="1"/>
  <c r="DA782" i="1"/>
  <c r="DA1612" i="1"/>
  <c r="DA1596" i="1"/>
  <c r="DA1580" i="1"/>
  <c r="DA1564" i="1"/>
  <c r="DA1548" i="1"/>
  <c r="DA1532" i="1"/>
  <c r="DA1516" i="1"/>
  <c r="DA1500" i="1"/>
  <c r="DA1484" i="1"/>
  <c r="DA1468" i="1"/>
  <c r="DA1452" i="1"/>
  <c r="DA1436" i="1"/>
  <c r="DA1420" i="1"/>
  <c r="DA1404" i="1"/>
  <c r="DA1388" i="1"/>
  <c r="DA1372" i="1"/>
  <c r="DA1356" i="1"/>
  <c r="DA1340" i="1"/>
  <c r="DA1324" i="1"/>
  <c r="DA1308" i="1"/>
  <c r="DA1292" i="1"/>
  <c r="DA1276" i="1"/>
  <c r="DA1260" i="1"/>
  <c r="DA1244" i="1"/>
  <c r="DA1228" i="1"/>
  <c r="DA1212" i="1"/>
  <c r="DA1196" i="1"/>
  <c r="DA1180" i="1"/>
  <c r="DA1164" i="1"/>
  <c r="DA1148" i="1"/>
  <c r="DA1132" i="1"/>
  <c r="DA1116" i="1"/>
  <c r="DA1100" i="1"/>
  <c r="DA1084" i="1"/>
  <c r="DA1068" i="1"/>
  <c r="DA1052" i="1"/>
  <c r="DA1036" i="1"/>
  <c r="DA1020" i="1"/>
  <c r="DA1004" i="1"/>
  <c r="DA988" i="1"/>
  <c r="DA972" i="1"/>
  <c r="DA956" i="1"/>
  <c r="DA940" i="1"/>
  <c r="DA924" i="1"/>
  <c r="DA908" i="1"/>
  <c r="DA892" i="1"/>
  <c r="DA876" i="1"/>
  <c r="DA860" i="1"/>
  <c r="DA844" i="1"/>
  <c r="DA828" i="1"/>
  <c r="DA812" i="1"/>
  <c r="DA796" i="1"/>
  <c r="DA780" i="1"/>
  <c r="DA764" i="1"/>
  <c r="DA748" i="1"/>
  <c r="DA732" i="1"/>
  <c r="DA716" i="1"/>
  <c r="DA700" i="1"/>
  <c r="DA684" i="1"/>
  <c r="DA668" i="1"/>
  <c r="DA652" i="1"/>
  <c r="DA636" i="1"/>
  <c r="DA620" i="1"/>
  <c r="DA604" i="1"/>
  <c r="DA588" i="1"/>
  <c r="DA572" i="1"/>
  <c r="DA556" i="1"/>
  <c r="DA1611" i="1"/>
  <c r="DA1595" i="1"/>
  <c r="DA1579" i="1"/>
  <c r="DA1563" i="1"/>
  <c r="DA1547" i="1"/>
  <c r="DA1531" i="1"/>
  <c r="DA1515" i="1"/>
  <c r="DA1499" i="1"/>
  <c r="DA1483" i="1"/>
  <c r="DA1467" i="1"/>
  <c r="DA1451" i="1"/>
  <c r="DA1435" i="1"/>
  <c r="DA1419" i="1"/>
  <c r="DA1403" i="1"/>
  <c r="DA1387" i="1"/>
  <c r="DA1371" i="1"/>
  <c r="DA1355" i="1"/>
  <c r="DA1339" i="1"/>
  <c r="DA1323" i="1"/>
  <c r="DA1307" i="1"/>
  <c r="DA1291" i="1"/>
  <c r="DA1275" i="1"/>
  <c r="DA1259" i="1"/>
  <c r="DA1243" i="1"/>
  <c r="DA1227" i="1"/>
  <c r="DA1211" i="1"/>
  <c r="DA1195" i="1"/>
  <c r="DA1179" i="1"/>
  <c r="DA1163" i="1"/>
  <c r="DA1147" i="1"/>
  <c r="DA1131" i="1"/>
  <c r="DA1115" i="1"/>
  <c r="DA1099" i="1"/>
  <c r="DA1083" i="1"/>
  <c r="DA1067" i="1"/>
  <c r="DA1051" i="1"/>
  <c r="DA1035" i="1"/>
  <c r="DA1019" i="1"/>
  <c r="DA1003" i="1"/>
  <c r="DA987" i="1"/>
  <c r="DA971" i="1"/>
  <c r="DA955" i="1"/>
  <c r="DA939" i="1"/>
  <c r="DA923" i="1"/>
  <c r="DA907" i="1"/>
  <c r="DA891" i="1"/>
  <c r="DA875" i="1"/>
  <c r="DA859" i="1"/>
  <c r="DA843" i="1"/>
  <c r="DA827" i="1"/>
  <c r="DA811" i="1"/>
  <c r="DA795" i="1"/>
  <c r="DA779" i="1"/>
  <c r="DA763" i="1"/>
  <c r="DA747" i="1"/>
  <c r="DA731" i="1"/>
  <c r="DA715" i="1"/>
  <c r="DA699" i="1"/>
  <c r="DA683" i="1"/>
  <c r="DA667" i="1"/>
  <c r="DA651" i="1"/>
  <c r="DA635" i="1"/>
  <c r="DA619" i="1"/>
  <c r="DA603" i="1"/>
  <c r="DA587" i="1"/>
  <c r="DA571" i="1"/>
  <c r="DA555" i="1"/>
  <c r="DA1599" i="1"/>
  <c r="DA1554" i="1"/>
  <c r="DA1514" i="1"/>
  <c r="DA1471" i="1"/>
  <c r="DA1426" i="1"/>
  <c r="DA1386" i="1"/>
  <c r="DA1343" i="1"/>
  <c r="DA1298" i="1"/>
  <c r="DA1258" i="1"/>
  <c r="DA1215" i="1"/>
  <c r="DA1170" i="1"/>
  <c r="DA1130" i="1"/>
  <c r="DA1087" i="1"/>
  <c r="DA1045" i="1"/>
  <c r="DA1009" i="1"/>
  <c r="DA973" i="1"/>
  <c r="DA937" i="1"/>
  <c r="DA898" i="1"/>
  <c r="DA863" i="1"/>
  <c r="DA826" i="1"/>
  <c r="DA789" i="1"/>
  <c r="DA754" i="1"/>
  <c r="DA722" i="1"/>
  <c r="DA693" i="1"/>
  <c r="DA666" i="1"/>
  <c r="DA638" i="1"/>
  <c r="DA608" i="1"/>
  <c r="DA578" i="1"/>
  <c r="DA553" i="1"/>
  <c r="DA529" i="1"/>
  <c r="DA509" i="1"/>
  <c r="DA489" i="1"/>
  <c r="DA465" i="1"/>
  <c r="DA445" i="1"/>
  <c r="DA425" i="1"/>
  <c r="DA401" i="1"/>
  <c r="DA381" i="1"/>
  <c r="DA361" i="1"/>
  <c r="DA337" i="1"/>
  <c r="DA317" i="1"/>
  <c r="DA298" i="1"/>
  <c r="DA278" i="1"/>
  <c r="DA262" i="1"/>
  <c r="DA246" i="1"/>
  <c r="DA230" i="1"/>
  <c r="DA214" i="1"/>
  <c r="DA198" i="1"/>
  <c r="DA182" i="1"/>
  <c r="DA166" i="1"/>
  <c r="DA150" i="1"/>
  <c r="DA134" i="1"/>
  <c r="DA118" i="1"/>
  <c r="DA102" i="1"/>
  <c r="DA86" i="1"/>
  <c r="DA70" i="1"/>
  <c r="DA54" i="1"/>
  <c r="DA38" i="1"/>
  <c r="DA22" i="1"/>
  <c r="DA6" i="1"/>
  <c r="DA1594" i="1"/>
  <c r="DA1551" i="1"/>
  <c r="DA1506" i="1"/>
  <c r="DA1466" i="1"/>
  <c r="DA1423" i="1"/>
  <c r="DA1378" i="1"/>
  <c r="DA1338" i="1"/>
  <c r="DA1295" i="1"/>
  <c r="DA1250" i="1"/>
  <c r="DA1210" i="1"/>
  <c r="DA1167" i="1"/>
  <c r="DA1122" i="1"/>
  <c r="DA1082" i="1"/>
  <c r="DA1041" i="1"/>
  <c r="DA1005" i="1"/>
  <c r="DA969" i="1"/>
  <c r="DA930" i="1"/>
  <c r="DA895" i="1"/>
  <c r="DA858" i="1"/>
  <c r="DA821" i="1"/>
  <c r="DA785" i="1"/>
  <c r="DA751" i="1"/>
  <c r="DA719" i="1"/>
  <c r="DA689" i="1"/>
  <c r="DA661" i="1"/>
  <c r="DA634" i="1"/>
  <c r="DA606" i="1"/>
  <c r="DA576" i="1"/>
  <c r="DA548" i="1"/>
  <c r="DA527" i="1"/>
  <c r="DA507" i="1"/>
  <c r="DA484" i="1"/>
  <c r="DA463" i="1"/>
  <c r="DA443" i="1"/>
  <c r="DA420" i="1"/>
  <c r="DA399" i="1"/>
  <c r="DA379" i="1"/>
  <c r="DA356" i="1"/>
  <c r="DA335" i="1"/>
  <c r="DA315" i="1"/>
  <c r="DA293" i="1"/>
  <c r="DA276" i="1"/>
  <c r="DA260" i="1"/>
  <c r="DA244" i="1"/>
  <c r="DA228" i="1"/>
  <c r="DA212" i="1"/>
  <c r="DA196" i="1"/>
  <c r="DA180" i="1"/>
  <c r="DA164" i="1"/>
  <c r="DA148" i="1"/>
  <c r="DA132" i="1"/>
  <c r="DA116" i="1"/>
  <c r="DA100" i="1"/>
  <c r="DA84" i="1"/>
  <c r="DA68" i="1"/>
  <c r="DA52" i="1"/>
  <c r="DA36" i="1"/>
  <c r="DA20" i="1"/>
  <c r="DA4" i="1"/>
  <c r="DA1593" i="1"/>
  <c r="DA1549" i="1"/>
  <c r="DA1505" i="1"/>
  <c r="DA1465" i="1"/>
  <c r="DA1421" i="1"/>
  <c r="DA1377" i="1"/>
  <c r="DA1337" i="1"/>
  <c r="DA1293" i="1"/>
  <c r="DA1249" i="1"/>
  <c r="DA1209" i="1"/>
  <c r="DA1165" i="1"/>
  <c r="DA1121" i="1"/>
  <c r="DA1081" i="1"/>
  <c r="DA1039" i="1"/>
  <c r="DA1002" i="1"/>
  <c r="DA965" i="1"/>
  <c r="DA929" i="1"/>
  <c r="DA893" i="1"/>
  <c r="DA857" i="1"/>
  <c r="DA818" i="1"/>
  <c r="DA783" i="1"/>
  <c r="DA750" i="1"/>
  <c r="DA718" i="1"/>
  <c r="DA688" i="1"/>
  <c r="DA658" i="1"/>
  <c r="DA633" i="1"/>
  <c r="DA605" i="1"/>
  <c r="DA575" i="1"/>
  <c r="DA546" i="1"/>
  <c r="DA526" i="1"/>
  <c r="DA506" i="1"/>
  <c r="DA482" i="1"/>
  <c r="DA462" i="1"/>
  <c r="DA442" i="1"/>
  <c r="DA418" i="1"/>
  <c r="DA398" i="1"/>
  <c r="DA378" i="1"/>
  <c r="DA354" i="1"/>
  <c r="DA334" i="1"/>
  <c r="DA314" i="1"/>
  <c r="DA292" i="1"/>
  <c r="DA275" i="1"/>
  <c r="DA259" i="1"/>
  <c r="DA243" i="1"/>
  <c r="DA227" i="1"/>
  <c r="DA211" i="1"/>
  <c r="DA195" i="1"/>
  <c r="DA179" i="1"/>
  <c r="DA163" i="1"/>
  <c r="DA147" i="1"/>
  <c r="DA131" i="1"/>
  <c r="DA115" i="1"/>
  <c r="DA99" i="1"/>
  <c r="DA83" i="1"/>
  <c r="DA67" i="1"/>
  <c r="DA51" i="1"/>
  <c r="DA35" i="1"/>
  <c r="DA19" i="1"/>
  <c r="DA1586" i="1"/>
  <c r="DA1546" i="1"/>
  <c r="DA1503" i="1"/>
  <c r="DA1458" i="1"/>
  <c r="DA1418" i="1"/>
  <c r="DA1375" i="1"/>
  <c r="DA1330" i="1"/>
  <c r="DA1290" i="1"/>
  <c r="DA1247" i="1"/>
  <c r="DA1202" i="1"/>
  <c r="DA1162" i="1"/>
  <c r="DA1119" i="1"/>
  <c r="DA1074" i="1"/>
  <c r="DA1037" i="1"/>
  <c r="DA1001" i="1"/>
  <c r="DA962" i="1"/>
  <c r="DA927" i="1"/>
  <c r="DA890" i="1"/>
  <c r="DA853" i="1"/>
  <c r="DA817" i="1"/>
  <c r="DA781" i="1"/>
  <c r="DA749" i="1"/>
  <c r="DA717" i="1"/>
  <c r="DA687" i="1"/>
  <c r="DA657" i="1"/>
  <c r="DA629" i="1"/>
  <c r="DA602" i="1"/>
  <c r="DA574" i="1"/>
  <c r="DA545" i="1"/>
  <c r="DA525" i="1"/>
  <c r="DA505" i="1"/>
  <c r="DA481" i="1"/>
  <c r="DA461" i="1"/>
  <c r="DA441" i="1"/>
  <c r="DA417" i="1"/>
  <c r="DA397" i="1"/>
  <c r="DA377" i="1"/>
  <c r="DA353" i="1"/>
  <c r="DA333" i="1"/>
  <c r="DA313" i="1"/>
  <c r="DA291" i="1"/>
  <c r="DA274" i="1"/>
  <c r="DA258" i="1"/>
  <c r="DA242" i="1"/>
  <c r="DA226" i="1"/>
  <c r="DA210" i="1"/>
  <c r="DA194" i="1"/>
  <c r="DA178" i="1"/>
  <c r="DA162" i="1"/>
  <c r="DA146" i="1"/>
  <c r="DA130" i="1"/>
  <c r="DA114" i="1"/>
  <c r="DA98" i="1"/>
  <c r="DA82" i="1"/>
  <c r="DA66" i="1"/>
  <c r="DA50" i="1"/>
  <c r="DA34" i="1"/>
  <c r="DA18" i="1"/>
  <c r="DA1585" i="1"/>
  <c r="DA1597" i="1"/>
  <c r="DA1533" i="1"/>
  <c r="DA1481" i="1"/>
  <c r="DA1417" i="1"/>
  <c r="DA1361" i="1"/>
  <c r="DA1309" i="1"/>
  <c r="DA1245" i="1"/>
  <c r="DA1193" i="1"/>
  <c r="DA1137" i="1"/>
  <c r="DA1073" i="1"/>
  <c r="DA1025" i="1"/>
  <c r="DA978" i="1"/>
  <c r="DA925" i="1"/>
  <c r="DA879" i="1"/>
  <c r="DA833" i="1"/>
  <c r="DA778" i="1"/>
  <c r="DA737" i="1"/>
  <c r="DA701" i="1"/>
  <c r="DA656" i="1"/>
  <c r="DA622" i="1"/>
  <c r="DA586" i="1"/>
  <c r="DA544" i="1"/>
  <c r="DA517" i="1"/>
  <c r="DA492" i="1"/>
  <c r="DA460" i="1"/>
  <c r="DA432" i="1"/>
  <c r="DA405" i="1"/>
  <c r="DA373" i="1"/>
  <c r="DA348" i="1"/>
  <c r="DA320" i="1"/>
  <c r="DA290" i="1"/>
  <c r="DA269" i="1"/>
  <c r="DA249" i="1"/>
  <c r="DA225" i="1"/>
  <c r="DA205" i="1"/>
  <c r="DA185" i="1"/>
  <c r="DA161" i="1"/>
  <c r="DA141" i="1"/>
  <c r="DA121" i="1"/>
  <c r="DA97" i="1"/>
  <c r="DA77" i="1"/>
  <c r="DA57" i="1"/>
  <c r="DA33" i="1"/>
  <c r="DA13" i="1"/>
  <c r="DA1581" i="1"/>
  <c r="DA1529" i="1"/>
  <c r="DA1473" i="1"/>
  <c r="DA1409" i="1"/>
  <c r="DA1357" i="1"/>
  <c r="DA1305" i="1"/>
  <c r="DA1241" i="1"/>
  <c r="DA1185" i="1"/>
  <c r="DA1133" i="1"/>
  <c r="DA1578" i="1"/>
  <c r="DA1522" i="1"/>
  <c r="DA1469" i="1"/>
  <c r="DA1407" i="1"/>
  <c r="DA1354" i="1"/>
  <c r="DA1297" i="1"/>
  <c r="DA1234" i="1"/>
  <c r="DA1183" i="1"/>
  <c r="DA1129" i="1"/>
  <c r="DA1577" i="1"/>
  <c r="DA1521" i="1"/>
  <c r="DA1457" i="1"/>
  <c r="DA1405" i="1"/>
  <c r="DA1353" i="1"/>
  <c r="DA1289" i="1"/>
  <c r="DA1233" i="1"/>
  <c r="DA1181" i="1"/>
  <c r="DA1117" i="1"/>
  <c r="DA1570" i="1"/>
  <c r="DA1519" i="1"/>
  <c r="DA1455" i="1"/>
  <c r="DA1402" i="1"/>
  <c r="DA1346" i="1"/>
  <c r="DA1583" i="1"/>
  <c r="DA1497" i="1"/>
  <c r="DA1425" i="1"/>
  <c r="DA1327" i="1"/>
  <c r="DA1263" i="1"/>
  <c r="DA1178" i="1"/>
  <c r="DA1103" i="1"/>
  <c r="DA1049" i="1"/>
  <c r="DA991" i="1"/>
  <c r="DA943" i="1"/>
  <c r="DA885" i="1"/>
  <c r="DA837" i="1"/>
  <c r="DA786" i="1"/>
  <c r="DA735" i="1"/>
  <c r="DA697" i="1"/>
  <c r="DA653" i="1"/>
  <c r="DA613" i="1"/>
  <c r="DA570" i="1"/>
  <c r="DA538" i="1"/>
  <c r="DA508" i="1"/>
  <c r="DA476" i="1"/>
  <c r="DA447" i="1"/>
  <c r="DA414" i="1"/>
  <c r="DA385" i="1"/>
  <c r="DA352" i="1"/>
  <c r="DA324" i="1"/>
  <c r="DA299" i="1"/>
  <c r="DA270" i="1"/>
  <c r="DA248" i="1"/>
  <c r="DA223" i="1"/>
  <c r="DA202" i="1"/>
  <c r="DA177" i="1"/>
  <c r="DA156" i="1"/>
  <c r="DA135" i="1"/>
  <c r="DA110" i="1"/>
  <c r="DA89" i="1"/>
  <c r="DA64" i="1"/>
  <c r="DA43" i="1"/>
  <c r="DA21" i="1"/>
  <c r="DA1567" i="1"/>
  <c r="DA1489" i="1"/>
  <c r="DA1401" i="1"/>
  <c r="DA1322" i="1"/>
  <c r="DA1257" i="1"/>
  <c r="DA1169" i="1"/>
  <c r="DA1098" i="1"/>
  <c r="DA1034" i="1"/>
  <c r="DA986" i="1"/>
  <c r="DA938" i="1"/>
  <c r="DA881" i="1"/>
  <c r="DA831" i="1"/>
  <c r="DA773" i="1"/>
  <c r="DA733" i="1"/>
  <c r="DA686" i="1"/>
  <c r="DA649" i="1"/>
  <c r="DA609" i="1"/>
  <c r="DA565" i="1"/>
  <c r="DA533" i="1"/>
  <c r="DA500" i="1"/>
  <c r="DA474" i="1"/>
  <c r="DA444" i="1"/>
  <c r="DA412" i="1"/>
  <c r="DA383" i="1"/>
  <c r="DA350" i="1"/>
  <c r="DA321" i="1"/>
  <c r="DA289" i="1"/>
  <c r="DA267" i="1"/>
  <c r="DA245" i="1"/>
  <c r="DA221" i="1"/>
  <c r="DA200" i="1"/>
  <c r="DA175" i="1"/>
  <c r="DA154" i="1"/>
  <c r="DA129" i="1"/>
  <c r="DA108" i="1"/>
  <c r="DA87" i="1"/>
  <c r="DA62" i="1"/>
  <c r="DA41" i="1"/>
  <c r="DA16" i="1"/>
  <c r="DA1565" i="1"/>
  <c r="DA1487" i="1"/>
  <c r="DA1394" i="1"/>
  <c r="DA1321" i="1"/>
  <c r="DA1242" i="1"/>
  <c r="DA1161" i="1"/>
  <c r="DA1097" i="1"/>
  <c r="DA1033" i="1"/>
  <c r="DA985" i="1"/>
  <c r="DA933" i="1"/>
  <c r="DA877" i="1"/>
  <c r="DA829" i="1"/>
  <c r="DA770" i="1"/>
  <c r="DA730" i="1"/>
  <c r="DA685" i="1"/>
  <c r="DA645" i="1"/>
  <c r="DA607" i="1"/>
  <c r="DA562" i="1"/>
  <c r="DA532" i="1"/>
  <c r="DA498" i="1"/>
  <c r="DA473" i="1"/>
  <c r="DA437" i="1"/>
  <c r="DA411" i="1"/>
  <c r="DA382" i="1"/>
  <c r="DA349" i="1"/>
  <c r="DA319" i="1"/>
  <c r="DA288" i="1"/>
  <c r="DA266" i="1"/>
  <c r="DA241" i="1"/>
  <c r="DA220" i="1"/>
  <c r="DA199" i="1"/>
  <c r="DA174" i="1"/>
  <c r="DA153" i="1"/>
  <c r="DA128" i="1"/>
  <c r="DA107" i="1"/>
  <c r="DA85" i="1"/>
  <c r="DA61" i="1"/>
  <c r="DA40" i="1"/>
  <c r="DA15" i="1"/>
  <c r="DA1562" i="1"/>
  <c r="DA1485" i="1"/>
  <c r="DA1393" i="1"/>
  <c r="DA1314" i="1"/>
  <c r="DA1231" i="1"/>
  <c r="DA1154" i="1"/>
  <c r="DA1090" i="1"/>
  <c r="DA1029" i="1"/>
  <c r="DA981" i="1"/>
  <c r="DA922" i="1"/>
  <c r="DA874" i="1"/>
  <c r="DA825" i="1"/>
  <c r="DA769" i="1"/>
  <c r="DA729" i="1"/>
  <c r="DA682" i="1"/>
  <c r="DA642" i="1"/>
  <c r="DA601" i="1"/>
  <c r="DA561" i="1"/>
  <c r="DA530" i="1"/>
  <c r="DA497" i="1"/>
  <c r="DA469" i="1"/>
  <c r="DA436" i="1"/>
  <c r="DA410" i="1"/>
  <c r="DA380" i="1"/>
  <c r="DA347" i="1"/>
  <c r="DA318" i="1"/>
  <c r="DA287" i="1"/>
  <c r="DA265" i="1"/>
  <c r="DA240" i="1"/>
  <c r="DA219" i="1"/>
  <c r="DA197" i="1"/>
  <c r="DA173" i="1"/>
  <c r="DA152" i="1"/>
  <c r="DA127" i="1"/>
  <c r="DA106" i="1"/>
  <c r="DA81" i="1"/>
  <c r="DA60" i="1"/>
  <c r="DA39" i="1"/>
  <c r="DA14" i="1"/>
  <c r="DA1561" i="1"/>
  <c r="DA1482" i="1"/>
  <c r="DA1391" i="1"/>
  <c r="DA1313" i="1"/>
  <c r="DA1229" i="1"/>
  <c r="DA1153" i="1"/>
  <c r="DA1089" i="1"/>
  <c r="DA1026" i="1"/>
  <c r="DA977" i="1"/>
  <c r="DA921" i="1"/>
  <c r="DA873" i="1"/>
  <c r="DA815" i="1"/>
  <c r="DA767" i="1"/>
  <c r="DA725" i="1"/>
  <c r="DA681" i="1"/>
  <c r="DA641" i="1"/>
  <c r="DA597" i="1"/>
  <c r="DA560" i="1"/>
  <c r="DA528" i="1"/>
  <c r="DA496" i="1"/>
  <c r="DA468" i="1"/>
  <c r="DA434" i="1"/>
  <c r="DA409" i="1"/>
  <c r="DA372" i="1"/>
  <c r="DA346" i="1"/>
  <c r="DA316" i="1"/>
  <c r="DA286" i="1"/>
  <c r="DA264" i="1"/>
  <c r="DA239" i="1"/>
  <c r="DA218" i="1"/>
  <c r="DA193" i="1"/>
  <c r="DA172" i="1"/>
  <c r="DA151" i="1"/>
  <c r="DA126" i="1"/>
  <c r="DA105" i="1"/>
  <c r="DA80" i="1"/>
  <c r="DA59" i="1"/>
  <c r="DA37" i="1"/>
  <c r="DA12" i="1"/>
  <c r="DA1618" i="1"/>
  <c r="DA1617" i="1"/>
  <c r="DA1615" i="1"/>
  <c r="DA1538" i="1"/>
  <c r="DA1437" i="1"/>
  <c r="DA1306" i="1"/>
  <c r="DA1199" i="1"/>
  <c r="DA1085" i="1"/>
  <c r="DA1010" i="1"/>
  <c r="DA941" i="1"/>
  <c r="DA850" i="1"/>
  <c r="DA793" i="1"/>
  <c r="DA709" i="1"/>
  <c r="DA655" i="1"/>
  <c r="DA592" i="1"/>
  <c r="DA541" i="1"/>
  <c r="DA494" i="1"/>
  <c r="DA452" i="1"/>
  <c r="DA404" i="1"/>
  <c r="DA365" i="1"/>
  <c r="DA322" i="1"/>
  <c r="DA281" i="1"/>
  <c r="DA250" i="1"/>
  <c r="DA213" i="1"/>
  <c r="DA183" i="1"/>
  <c r="DA144" i="1"/>
  <c r="DA113" i="1"/>
  <c r="DA78" i="1"/>
  <c r="DA47" i="1"/>
  <c r="DA11" i="1"/>
  <c r="DA1537" i="1"/>
  <c r="DA1434" i="1"/>
  <c r="DA1282" i="1"/>
  <c r="DA1197" i="1"/>
  <c r="DA1535" i="1"/>
  <c r="DA1433" i="1"/>
  <c r="DA1281" i="1"/>
  <c r="DA1194" i="1"/>
  <c r="DA1069" i="1"/>
  <c r="DA997" i="1"/>
  <c r="DA914" i="1"/>
  <c r="DA847" i="1"/>
  <c r="DA766" i="1"/>
  <c r="DA705" i="1"/>
  <c r="DA650" i="1"/>
  <c r="DA590" i="1"/>
  <c r="DA539" i="1"/>
  <c r="DA491" i="1"/>
  <c r="DA449" i="1"/>
  <c r="DA400" i="1"/>
  <c r="DA363" i="1"/>
  <c r="DA308" i="1"/>
  <c r="DA277" i="1"/>
  <c r="DA238" i="1"/>
  <c r="DA208" i="1"/>
  <c r="DA176" i="1"/>
  <c r="DA142" i="1"/>
  <c r="DA111" i="1"/>
  <c r="DA75" i="1"/>
  <c r="DA45" i="1"/>
  <c r="DA9" i="1"/>
  <c r="DA1530" i="1"/>
  <c r="DA1410" i="1"/>
  <c r="DA1279" i="1"/>
  <c r="DA1186" i="1"/>
  <c r="DA1066" i="1"/>
  <c r="DA994" i="1"/>
  <c r="DA913" i="1"/>
  <c r="DA845" i="1"/>
  <c r="DA765" i="1"/>
  <c r="DA704" i="1"/>
  <c r="DA640" i="1"/>
  <c r="DA589" i="1"/>
  <c r="DA537" i="1"/>
  <c r="DA490" i="1"/>
  <c r="DA448" i="1"/>
  <c r="DA396" i="1"/>
  <c r="DA362" i="1"/>
  <c r="DA307" i="1"/>
  <c r="DA273" i="1"/>
  <c r="DA237" i="1"/>
  <c r="DA207" i="1"/>
  <c r="DA171" i="1"/>
  <c r="DA140" i="1"/>
  <c r="DA109" i="1"/>
  <c r="DA74" i="1"/>
  <c r="DA44" i="1"/>
  <c r="DA8" i="1"/>
  <c r="DA1517" i="1"/>
  <c r="DA1369" i="1"/>
  <c r="DA1218" i="1"/>
  <c r="DA1071" i="1"/>
  <c r="DA975" i="1"/>
  <c r="DA897" i="1"/>
  <c r="DA801" i="1"/>
  <c r="DA713" i="1"/>
  <c r="DA637" i="1"/>
  <c r="DA569" i="1"/>
  <c r="DA512" i="1"/>
  <c r="DA457" i="1"/>
  <c r="DA395" i="1"/>
  <c r="DA341" i="1"/>
  <c r="DA300" i="1"/>
  <c r="DA253" i="1"/>
  <c r="DA209" i="1"/>
  <c r="DA168" i="1"/>
  <c r="DA125" i="1"/>
  <c r="DA91" i="1"/>
  <c r="DA48" i="1"/>
  <c r="DA5" i="1"/>
  <c r="DA1513" i="1"/>
  <c r="DA1362" i="1"/>
  <c r="DA1217" i="1"/>
  <c r="DA1065" i="1"/>
  <c r="DA970" i="1"/>
  <c r="DA889" i="1"/>
  <c r="DA799" i="1"/>
  <c r="DA706" i="1"/>
  <c r="DA626" i="1"/>
  <c r="DA559" i="1"/>
  <c r="DA511" i="1"/>
  <c r="DA453" i="1"/>
  <c r="DA394" i="1"/>
  <c r="DA340" i="1"/>
  <c r="DA297" i="1"/>
  <c r="DA252" i="1"/>
  <c r="DA206" i="1"/>
  <c r="DA167" i="1"/>
  <c r="DA124" i="1"/>
  <c r="DA90" i="1"/>
  <c r="DA46" i="1"/>
  <c r="DA1501" i="1"/>
  <c r="DA1359" i="1"/>
  <c r="DA1213" i="1"/>
  <c r="DA1058" i="1"/>
  <c r="DA961" i="1"/>
  <c r="DA882" i="1"/>
  <c r="DA797" i="1"/>
  <c r="DA703" i="1"/>
  <c r="DA625" i="1"/>
  <c r="DA558" i="1"/>
  <c r="DA510" i="1"/>
  <c r="DA450" i="1"/>
  <c r="DA393" i="1"/>
  <c r="DA338" i="1"/>
  <c r="DA285" i="1"/>
  <c r="DA251" i="1"/>
  <c r="DA204" i="1"/>
  <c r="DA165" i="1"/>
  <c r="DA123" i="1"/>
  <c r="DA88" i="1"/>
  <c r="DA42" i="1"/>
  <c r="DA1498" i="1"/>
  <c r="DA1345" i="1"/>
  <c r="DA1201" i="1"/>
  <c r="DA1057" i="1"/>
  <c r="DA959" i="1"/>
  <c r="DA869" i="1"/>
  <c r="DA794" i="1"/>
  <c r="DA702" i="1"/>
  <c r="DA624" i="1"/>
  <c r="DA557" i="1"/>
  <c r="DA501" i="1"/>
  <c r="DA446" i="1"/>
  <c r="DA389" i="1"/>
  <c r="DA336" i="1"/>
  <c r="DA284" i="1"/>
  <c r="DA247" i="1"/>
  <c r="DA203" i="1"/>
  <c r="DA160" i="1"/>
  <c r="DA122" i="1"/>
  <c r="DA79" i="1"/>
  <c r="DA32" i="1"/>
  <c r="DA1490" i="1"/>
  <c r="DA1341" i="1"/>
  <c r="DA1177" i="1"/>
  <c r="DA1055" i="1"/>
  <c r="DA957" i="1"/>
  <c r="DA866" i="1"/>
  <c r="DA777" i="1"/>
  <c r="DA698" i="1"/>
  <c r="DA623" i="1"/>
  <c r="DA554" i="1"/>
  <c r="DA495" i="1"/>
  <c r="DA433" i="1"/>
  <c r="DA388" i="1"/>
  <c r="DA332" i="1"/>
  <c r="DA283" i="1"/>
  <c r="DA236" i="1"/>
  <c r="DA201" i="1"/>
  <c r="DA159" i="1"/>
  <c r="DA120" i="1"/>
  <c r="DA76" i="1"/>
  <c r="DA31" i="1"/>
  <c r="DA1474" i="1"/>
  <c r="DA1329" i="1"/>
  <c r="DA1151" i="1"/>
  <c r="DA1053" i="1"/>
  <c r="DA954" i="1"/>
  <c r="DA865" i="1"/>
  <c r="DA762" i="1"/>
  <c r="DA690" i="1"/>
  <c r="DA621" i="1"/>
  <c r="DA549" i="1"/>
  <c r="DA493" i="1"/>
  <c r="DA431" i="1"/>
  <c r="DA386" i="1"/>
  <c r="DA331" i="1"/>
  <c r="DA282" i="1"/>
  <c r="DA235" i="1"/>
  <c r="DA192" i="1"/>
  <c r="DA158" i="1"/>
  <c r="DA119" i="1"/>
  <c r="DA73" i="1"/>
  <c r="DA30" i="1"/>
  <c r="DA1613" i="1"/>
  <c r="DA1610" i="1"/>
  <c r="DA1609" i="1"/>
  <c r="DA1442" i="1"/>
  <c r="DA1225" i="1"/>
  <c r="DA1017" i="1"/>
  <c r="DA849" i="1"/>
  <c r="DA734" i="1"/>
  <c r="DA594" i="1"/>
  <c r="DA513" i="1"/>
  <c r="DA421" i="1"/>
  <c r="DA329" i="1"/>
  <c r="DA256" i="1"/>
  <c r="DA188" i="1"/>
  <c r="DA133" i="1"/>
  <c r="DA58" i="1"/>
  <c r="DA1441" i="1"/>
  <c r="DA1149" i="1"/>
  <c r="DA1013" i="1"/>
  <c r="DA842" i="1"/>
  <c r="DA721" i="1"/>
  <c r="DA593" i="1"/>
  <c r="DA485" i="1"/>
  <c r="DA416" i="1"/>
  <c r="DA325" i="1"/>
  <c r="DA255" i="1"/>
  <c r="DA187" i="1"/>
  <c r="DA117" i="1"/>
  <c r="DA56" i="1"/>
  <c r="DA1439" i="1"/>
  <c r="DA1146" i="1"/>
  <c r="DA1007" i="1"/>
  <c r="DA841" i="1"/>
  <c r="DA714" i="1"/>
  <c r="DA591" i="1"/>
  <c r="DA480" i="1"/>
  <c r="DA415" i="1"/>
  <c r="DA309" i="1"/>
  <c r="DA254" i="1"/>
  <c r="DA186" i="1"/>
  <c r="DA112" i="1"/>
  <c r="DA55" i="1"/>
  <c r="DA1389" i="1"/>
  <c r="DA1145" i="1"/>
  <c r="DA993" i="1"/>
  <c r="DA834" i="1"/>
  <c r="DA677" i="1"/>
  <c r="DA585" i="1"/>
  <c r="DA479" i="1"/>
  <c r="DA413" i="1"/>
  <c r="DA306" i="1"/>
  <c r="DA234" i="1"/>
  <c r="DA184" i="1"/>
  <c r="DA104" i="1"/>
  <c r="DA53" i="1"/>
  <c r="DA1385" i="1"/>
  <c r="DA1138" i="1"/>
  <c r="DA989" i="1"/>
  <c r="DA813" i="1"/>
  <c r="DA674" i="1"/>
  <c r="DA581" i="1"/>
  <c r="DA478" i="1"/>
  <c r="DA402" i="1"/>
  <c r="DA305" i="1"/>
  <c r="DA233" i="1"/>
  <c r="DA181" i="1"/>
  <c r="DA103" i="1"/>
  <c r="DA49" i="1"/>
  <c r="DA1373" i="1"/>
  <c r="DA1135" i="1"/>
  <c r="DA953" i="1"/>
  <c r="DA810" i="1"/>
  <c r="DA673" i="1"/>
  <c r="DA577" i="1"/>
  <c r="DA477" i="1"/>
  <c r="DA384" i="1"/>
  <c r="DA304" i="1"/>
  <c r="DA232" i="1"/>
  <c r="DA170" i="1"/>
  <c r="DA101" i="1"/>
  <c r="DA29" i="1"/>
  <c r="DA1602" i="1"/>
  <c r="DA1311" i="1"/>
  <c r="DA1106" i="1"/>
  <c r="DA945" i="1"/>
  <c r="DA802" i="1"/>
  <c r="DA670" i="1"/>
  <c r="DA542" i="1"/>
  <c r="DA464" i="1"/>
  <c r="DA368" i="1"/>
  <c r="DA301" i="1"/>
  <c r="DA224" i="1"/>
  <c r="DA155" i="1"/>
  <c r="DA94" i="1"/>
  <c r="DA26" i="1"/>
  <c r="DA1601" i="1"/>
  <c r="DA1277" i="1"/>
  <c r="DA1105" i="1"/>
  <c r="DA917" i="1"/>
  <c r="DA761" i="1"/>
  <c r="DA669" i="1"/>
  <c r="DA540" i="1"/>
  <c r="DA459" i="1"/>
  <c r="DA367" i="1"/>
  <c r="DA279" i="1"/>
  <c r="DA222" i="1"/>
  <c r="DA149" i="1"/>
  <c r="DA93" i="1"/>
  <c r="DA25" i="1"/>
  <c r="DA1569" i="1"/>
  <c r="DA1274" i="1"/>
  <c r="DA1101" i="1"/>
  <c r="DA911" i="1"/>
  <c r="DA757" i="1"/>
  <c r="DA665" i="1"/>
  <c r="DA524" i="1"/>
  <c r="DA458" i="1"/>
  <c r="DA366" i="1"/>
  <c r="DA272" i="1"/>
  <c r="DA217" i="1"/>
  <c r="DA145" i="1"/>
  <c r="DA92" i="1"/>
  <c r="DA24" i="1"/>
  <c r="DA1553" i="1"/>
  <c r="DA1273" i="1"/>
  <c r="DA1050" i="1"/>
  <c r="DA909" i="1"/>
  <c r="DA753" i="1"/>
  <c r="DA654" i="1"/>
  <c r="DA523" i="1"/>
  <c r="DA430" i="1"/>
  <c r="DA364" i="1"/>
  <c r="DA271" i="1"/>
  <c r="DA216" i="1"/>
  <c r="DA143" i="1"/>
  <c r="DA72" i="1"/>
  <c r="DA23" i="1"/>
  <c r="DA1545" i="1"/>
  <c r="DA1266" i="1"/>
  <c r="DA1042" i="1"/>
  <c r="DA906" i="1"/>
  <c r="DA746" i="1"/>
  <c r="DA639" i="1"/>
  <c r="DA522" i="1"/>
  <c r="DA429" i="1"/>
  <c r="DA357" i="1"/>
  <c r="DA268" i="1"/>
  <c r="DA215" i="1"/>
  <c r="DA139" i="1"/>
  <c r="DA71" i="1"/>
  <c r="DA17" i="1"/>
  <c r="DA1114" i="1"/>
  <c r="DA671" i="1"/>
  <c r="DA351" i="1"/>
  <c r="DA137" i="1"/>
  <c r="DA1113" i="1"/>
  <c r="DA618" i="1"/>
  <c r="DA345" i="1"/>
  <c r="DA136" i="1"/>
  <c r="DA1023" i="1"/>
  <c r="DA617" i="1"/>
  <c r="DA330" i="1"/>
  <c r="DA96" i="1"/>
  <c r="DA1021" i="1"/>
  <c r="DA610" i="1"/>
  <c r="DA303" i="1"/>
  <c r="DA95" i="1"/>
  <c r="DA1018" i="1"/>
  <c r="DA573" i="1"/>
  <c r="DA302" i="1"/>
  <c r="DA69" i="1"/>
  <c r="DA949" i="1"/>
  <c r="DA543" i="1"/>
  <c r="DA263" i="1"/>
  <c r="DA65" i="1"/>
  <c r="DA1453" i="1"/>
  <c r="DA901" i="1"/>
  <c r="DA514" i="1"/>
  <c r="DA231" i="1"/>
  <c r="DA27" i="1"/>
  <c r="DA905" i="1"/>
  <c r="DA369" i="1"/>
  <c r="DA861" i="1"/>
  <c r="DA261" i="1"/>
  <c r="DA809" i="1"/>
  <c r="DA257" i="1"/>
  <c r="DA805" i="1"/>
  <c r="DA229" i="1"/>
  <c r="DA745" i="1"/>
  <c r="DA191" i="1"/>
  <c r="DA741" i="1"/>
  <c r="DA190" i="1"/>
  <c r="DA738" i="1"/>
  <c r="DA10" i="1"/>
  <c r="DA672" i="1"/>
  <c r="DA7" i="1"/>
  <c r="DA521" i="1"/>
  <c r="DA516" i="1"/>
  <c r="DA475" i="1"/>
  <c r="DA466" i="1"/>
  <c r="DA1450" i="1"/>
  <c r="DA426" i="1"/>
  <c r="DA1449" i="1"/>
  <c r="DA370" i="1"/>
  <c r="DA1370" i="1"/>
  <c r="DA189" i="1"/>
  <c r="DA1265" i="1"/>
  <c r="DA157" i="1"/>
  <c r="DA63" i="1"/>
  <c r="DA28" i="1"/>
  <c r="DA1626" i="1"/>
  <c r="DA1325" i="1"/>
  <c r="DA1625" i="1"/>
  <c r="DA1261" i="1"/>
  <c r="DA1226" i="1"/>
  <c r="DA946" i="1"/>
  <c r="DA428" i="1"/>
  <c r="DA427" i="1"/>
  <c r="DA169" i="1"/>
  <c r="DA138" i="1"/>
  <c r="CY1625" i="1"/>
  <c r="CY1609" i="1"/>
  <c r="CY1593" i="1"/>
  <c r="CY1577" i="1"/>
  <c r="CY1561" i="1"/>
  <c r="CY1545" i="1"/>
  <c r="CY1529" i="1"/>
  <c r="CY1513" i="1"/>
  <c r="CY1497" i="1"/>
  <c r="CY1481" i="1"/>
  <c r="CY1465" i="1"/>
  <c r="CY1449" i="1"/>
  <c r="CY1433" i="1"/>
  <c r="CY1417" i="1"/>
  <c r="CY1401" i="1"/>
  <c r="CY1385" i="1"/>
  <c r="CY1369" i="1"/>
  <c r="CY1353" i="1"/>
  <c r="CY1337" i="1"/>
  <c r="CY1321" i="1"/>
  <c r="CY1305" i="1"/>
  <c r="CY1289" i="1"/>
  <c r="CY1273" i="1"/>
  <c r="CY1257" i="1"/>
  <c r="CY1241" i="1"/>
  <c r="CY1225" i="1"/>
  <c r="CY1209" i="1"/>
  <c r="CY1621" i="1"/>
  <c r="CY1604" i="1"/>
  <c r="CY1587" i="1"/>
  <c r="CY1570" i="1"/>
  <c r="CY1612" i="1"/>
  <c r="CY1594" i="1"/>
  <c r="CY1575" i="1"/>
  <c r="CY1557" i="1"/>
  <c r="CY1540" i="1"/>
  <c r="CY1523" i="1"/>
  <c r="CY1506" i="1"/>
  <c r="CY1489" i="1"/>
  <c r="CY1472" i="1"/>
  <c r="CY1455" i="1"/>
  <c r="CY1438" i="1"/>
  <c r="CY1421" i="1"/>
  <c r="CY1404" i="1"/>
  <c r="CY1387" i="1"/>
  <c r="CY1370" i="1"/>
  <c r="CY1352" i="1"/>
  <c r="CY1335" i="1"/>
  <c r="CY1318" i="1"/>
  <c r="CY1301" i="1"/>
  <c r="CY1284" i="1"/>
  <c r="CY1267" i="1"/>
  <c r="CY1250" i="1"/>
  <c r="CY1233" i="1"/>
  <c r="CY1216" i="1"/>
  <c r="CY1199" i="1"/>
  <c r="CY1183" i="1"/>
  <c r="CY1167" i="1"/>
  <c r="CY1151" i="1"/>
  <c r="CY1135" i="1"/>
  <c r="CY1119" i="1"/>
  <c r="CY1103" i="1"/>
  <c r="CY1087" i="1"/>
  <c r="CY1071" i="1"/>
  <c r="CY1055" i="1"/>
  <c r="CY1039" i="1"/>
  <c r="CY1023" i="1"/>
  <c r="CY1007" i="1"/>
  <c r="CY991" i="1"/>
  <c r="CY975" i="1"/>
  <c r="CY959" i="1"/>
  <c r="CY943" i="1"/>
  <c r="CY927" i="1"/>
  <c r="CY911" i="1"/>
  <c r="CY895" i="1"/>
  <c r="CY879" i="1"/>
  <c r="CY863" i="1"/>
  <c r="CY847" i="1"/>
  <c r="CY831" i="1"/>
  <c r="CY1611" i="1"/>
  <c r="CY1592" i="1"/>
  <c r="CY1574" i="1"/>
  <c r="CY1556" i="1"/>
  <c r="CY1539" i="1"/>
  <c r="CY1522" i="1"/>
  <c r="CY1505" i="1"/>
  <c r="CY1488" i="1"/>
  <c r="CY1471" i="1"/>
  <c r="CY1454" i="1"/>
  <c r="CY1437" i="1"/>
  <c r="CY1420" i="1"/>
  <c r="CY1403" i="1"/>
  <c r="CY1386" i="1"/>
  <c r="CY1368" i="1"/>
  <c r="CY1351" i="1"/>
  <c r="CY1334" i="1"/>
  <c r="CY1317" i="1"/>
  <c r="CY1300" i="1"/>
  <c r="CY1283" i="1"/>
  <c r="CY1266" i="1"/>
  <c r="CY1249" i="1"/>
  <c r="CY1232" i="1"/>
  <c r="CY1215" i="1"/>
  <c r="CY1198" i="1"/>
  <c r="CY1182" i="1"/>
  <c r="CY1166" i="1"/>
  <c r="CY1150" i="1"/>
  <c r="CY1134" i="1"/>
  <c r="CY1118" i="1"/>
  <c r="CY1102" i="1"/>
  <c r="CY1086" i="1"/>
  <c r="CY1070" i="1"/>
  <c r="CY1054" i="1"/>
  <c r="CY1038" i="1"/>
  <c r="CY1022" i="1"/>
  <c r="CY1006" i="1"/>
  <c r="CY990" i="1"/>
  <c r="CY974" i="1"/>
  <c r="CY958" i="1"/>
  <c r="CY942" i="1"/>
  <c r="CY926" i="1"/>
  <c r="CY910" i="1"/>
  <c r="CY894" i="1"/>
  <c r="CY1624" i="1"/>
  <c r="CY1606" i="1"/>
  <c r="CY1588" i="1"/>
  <c r="CY1569" i="1"/>
  <c r="CY1552" i="1"/>
  <c r="CY1535" i="1"/>
  <c r="CY1518" i="1"/>
  <c r="CY1501" i="1"/>
  <c r="CY1484" i="1"/>
  <c r="CY1467" i="1"/>
  <c r="CY1450" i="1"/>
  <c r="CY1432" i="1"/>
  <c r="CY1415" i="1"/>
  <c r="CY1618" i="1"/>
  <c r="CY1597" i="1"/>
  <c r="CY1573" i="1"/>
  <c r="CY1551" i="1"/>
  <c r="CY1531" i="1"/>
  <c r="CY1510" i="1"/>
  <c r="CY1490" i="1"/>
  <c r="CY1468" i="1"/>
  <c r="CY1446" i="1"/>
  <c r="CY1426" i="1"/>
  <c r="CY1406" i="1"/>
  <c r="CY1384" i="1"/>
  <c r="CY1365" i="1"/>
  <c r="CY1346" i="1"/>
  <c r="CY1327" i="1"/>
  <c r="CY1308" i="1"/>
  <c r="CY1288" i="1"/>
  <c r="CY1269" i="1"/>
  <c r="CY1248" i="1"/>
  <c r="CY1229" i="1"/>
  <c r="CY1210" i="1"/>
  <c r="CY1191" i="1"/>
  <c r="CY1173" i="1"/>
  <c r="CY1155" i="1"/>
  <c r="CY1137" i="1"/>
  <c r="CY1117" i="1"/>
  <c r="CY1099" i="1"/>
  <c r="CY1081" i="1"/>
  <c r="CY1063" i="1"/>
  <c r="CY1045" i="1"/>
  <c r="CY1027" i="1"/>
  <c r="CY1009" i="1"/>
  <c r="CY989" i="1"/>
  <c r="CY971" i="1"/>
  <c r="CY953" i="1"/>
  <c r="CY935" i="1"/>
  <c r="CY917" i="1"/>
  <c r="CY899" i="1"/>
  <c r="CY881" i="1"/>
  <c r="CY864" i="1"/>
  <c r="CY846" i="1"/>
  <c r="CY829" i="1"/>
  <c r="CY813" i="1"/>
  <c r="CY797" i="1"/>
  <c r="CY781" i="1"/>
  <c r="CY765" i="1"/>
  <c r="CY749" i="1"/>
  <c r="CY733" i="1"/>
  <c r="CY717" i="1"/>
  <c r="CY701" i="1"/>
  <c r="CY685" i="1"/>
  <c r="CY669" i="1"/>
  <c r="CY653" i="1"/>
  <c r="CY637" i="1"/>
  <c r="CY621" i="1"/>
  <c r="CY605" i="1"/>
  <c r="CY589" i="1"/>
  <c r="CY573" i="1"/>
  <c r="CY557" i="1"/>
  <c r="CY541" i="1"/>
  <c r="CY525" i="1"/>
  <c r="CY509" i="1"/>
  <c r="CY493" i="1"/>
  <c r="CY477" i="1"/>
  <c r="CY461" i="1"/>
  <c r="CY445" i="1"/>
  <c r="CY429" i="1"/>
  <c r="CY413" i="1"/>
  <c r="CY397" i="1"/>
  <c r="CY381" i="1"/>
  <c r="CY365" i="1"/>
  <c r="CY349" i="1"/>
  <c r="CY333" i="1"/>
  <c r="CY317" i="1"/>
  <c r="CY301" i="1"/>
  <c r="CY285" i="1"/>
  <c r="CY269" i="1"/>
  <c r="CY253" i="1"/>
  <c r="CY237" i="1"/>
  <c r="CY221" i="1"/>
  <c r="CY205" i="1"/>
  <c r="CY189" i="1"/>
  <c r="CY173" i="1"/>
  <c r="CY157" i="1"/>
  <c r="CY141" i="1"/>
  <c r="CY125" i="1"/>
  <c r="CY109" i="1"/>
  <c r="CY93" i="1"/>
  <c r="CY77" i="1"/>
  <c r="CY61" i="1"/>
  <c r="CY45" i="1"/>
  <c r="CY29" i="1"/>
  <c r="CY13" i="1"/>
  <c r="CY1617" i="1"/>
  <c r="CY1596" i="1"/>
  <c r="CY1572" i="1"/>
  <c r="CY1550" i="1"/>
  <c r="CY1530" i="1"/>
  <c r="CY1509" i="1"/>
  <c r="CY1487" i="1"/>
  <c r="CY1466" i="1"/>
  <c r="CY1445" i="1"/>
  <c r="CY1425" i="1"/>
  <c r="CY1405" i="1"/>
  <c r="CY1383" i="1"/>
  <c r="CY1364" i="1"/>
  <c r="CY1345" i="1"/>
  <c r="CY1326" i="1"/>
  <c r="CY1307" i="1"/>
  <c r="CY1287" i="1"/>
  <c r="CY1268" i="1"/>
  <c r="CY1247" i="1"/>
  <c r="CY1228" i="1"/>
  <c r="CY1208" i="1"/>
  <c r="CY1190" i="1"/>
  <c r="CY1172" i="1"/>
  <c r="CY1154" i="1"/>
  <c r="CY1136" i="1"/>
  <c r="CY1116" i="1"/>
  <c r="CY1098" i="1"/>
  <c r="CY1080" i="1"/>
  <c r="CY1062" i="1"/>
  <c r="CY1044" i="1"/>
  <c r="CY1026" i="1"/>
  <c r="CY1008" i="1"/>
  <c r="CY988" i="1"/>
  <c r="CY970" i="1"/>
  <c r="CY952" i="1"/>
  <c r="CY934" i="1"/>
  <c r="CY916" i="1"/>
  <c r="CY898" i="1"/>
  <c r="CY880" i="1"/>
  <c r="CY862" i="1"/>
  <c r="CY845" i="1"/>
  <c r="CY828" i="1"/>
  <c r="CY812" i="1"/>
  <c r="CY796" i="1"/>
  <c r="CY780" i="1"/>
  <c r="CY764" i="1"/>
  <c r="CY748" i="1"/>
  <c r="CY732" i="1"/>
  <c r="CY716" i="1"/>
  <c r="CY700" i="1"/>
  <c r="CY684" i="1"/>
  <c r="CY668" i="1"/>
  <c r="CY652" i="1"/>
  <c r="CY636" i="1"/>
  <c r="CY620" i="1"/>
  <c r="CY604" i="1"/>
  <c r="CY588" i="1"/>
  <c r="CY572" i="1"/>
  <c r="CY556" i="1"/>
  <c r="CY540" i="1"/>
  <c r="CY524" i="1"/>
  <c r="CY508" i="1"/>
  <c r="CY492" i="1"/>
  <c r="CY476" i="1"/>
  <c r="CY460" i="1"/>
  <c r="CY444" i="1"/>
  <c r="CY428" i="1"/>
  <c r="CY412" i="1"/>
  <c r="CY396" i="1"/>
  <c r="CY380" i="1"/>
  <c r="CY364" i="1"/>
  <c r="CY348" i="1"/>
  <c r="CY332" i="1"/>
  <c r="CY316" i="1"/>
  <c r="CY300" i="1"/>
  <c r="CY284" i="1"/>
  <c r="CY268" i="1"/>
  <c r="CY252" i="1"/>
  <c r="CY236" i="1"/>
  <c r="CY220" i="1"/>
  <c r="CY204" i="1"/>
  <c r="CY188" i="1"/>
  <c r="CY172" i="1"/>
  <c r="CY156" i="1"/>
  <c r="CY140" i="1"/>
  <c r="CY124" i="1"/>
  <c r="CY108" i="1"/>
  <c r="CY92" i="1"/>
  <c r="CY76" i="1"/>
  <c r="CY60" i="1"/>
  <c r="CY44" i="1"/>
  <c r="CY28" i="1"/>
  <c r="CY12" i="1"/>
  <c r="CY1616" i="1"/>
  <c r="CY1595" i="1"/>
  <c r="CY1571" i="1"/>
  <c r="CY1549" i="1"/>
  <c r="CY1528" i="1"/>
  <c r="CY1508" i="1"/>
  <c r="CY1486" i="1"/>
  <c r="CY1464" i="1"/>
  <c r="CY1444" i="1"/>
  <c r="CY1424" i="1"/>
  <c r="CY1402" i="1"/>
  <c r="CY1382" i="1"/>
  <c r="CY1363" i="1"/>
  <c r="CY1344" i="1"/>
  <c r="CY1325" i="1"/>
  <c r="CY1306" i="1"/>
  <c r="CY1286" i="1"/>
  <c r="CY1265" i="1"/>
  <c r="CY1246" i="1"/>
  <c r="CY1227" i="1"/>
  <c r="CY1207" i="1"/>
  <c r="CY1189" i="1"/>
  <c r="CY1171" i="1"/>
  <c r="CY1153" i="1"/>
  <c r="CY1133" i="1"/>
  <c r="CY1115" i="1"/>
  <c r="CY1097" i="1"/>
  <c r="CY1079" i="1"/>
  <c r="CY1061" i="1"/>
  <c r="CY1043" i="1"/>
  <c r="CY1025" i="1"/>
  <c r="CY1005" i="1"/>
  <c r="CY987" i="1"/>
  <c r="CY969" i="1"/>
  <c r="CY951" i="1"/>
  <c r="CY933" i="1"/>
  <c r="CY915" i="1"/>
  <c r="CY897" i="1"/>
  <c r="CY878" i="1"/>
  <c r="CY861" i="1"/>
  <c r="CY844" i="1"/>
  <c r="CY827" i="1"/>
  <c r="CY811" i="1"/>
  <c r="CY795" i="1"/>
  <c r="CY779" i="1"/>
  <c r="CY763" i="1"/>
  <c r="CY747" i="1"/>
  <c r="CY731" i="1"/>
  <c r="CY715" i="1"/>
  <c r="CY699" i="1"/>
  <c r="CY683" i="1"/>
  <c r="CY667" i="1"/>
  <c r="CY651" i="1"/>
  <c r="CY635" i="1"/>
  <c r="CY619" i="1"/>
  <c r="CY603" i="1"/>
  <c r="CY587" i="1"/>
  <c r="CY571" i="1"/>
  <c r="CY555" i="1"/>
  <c r="CY539" i="1"/>
  <c r="CY523" i="1"/>
  <c r="CY507" i="1"/>
  <c r="CY491" i="1"/>
  <c r="CY475" i="1"/>
  <c r="CY459" i="1"/>
  <c r="CY443" i="1"/>
  <c r="CY427" i="1"/>
  <c r="CY411" i="1"/>
  <c r="CY395" i="1"/>
  <c r="CY379" i="1"/>
  <c r="CY363" i="1"/>
  <c r="CY347" i="1"/>
  <c r="CY331" i="1"/>
  <c r="CY315" i="1"/>
  <c r="CY299" i="1"/>
  <c r="CY283" i="1"/>
  <c r="CY267" i="1"/>
  <c r="CY251" i="1"/>
  <c r="CY235" i="1"/>
  <c r="CY219" i="1"/>
  <c r="CY203" i="1"/>
  <c r="CY187" i="1"/>
  <c r="CY171" i="1"/>
  <c r="CY155" i="1"/>
  <c r="CY139" i="1"/>
  <c r="CY123" i="1"/>
  <c r="CY107" i="1"/>
  <c r="CY91" i="1"/>
  <c r="CY75" i="1"/>
  <c r="CY59" i="1"/>
  <c r="CY43" i="1"/>
  <c r="CY27" i="1"/>
  <c r="CY11" i="1"/>
  <c r="CY1615" i="1"/>
  <c r="CY1591" i="1"/>
  <c r="CY1568" i="1"/>
  <c r="CY1548" i="1"/>
  <c r="CY1527" i="1"/>
  <c r="CY1507" i="1"/>
  <c r="CY1485" i="1"/>
  <c r="CY1463" i="1"/>
  <c r="CY1443" i="1"/>
  <c r="CY1423" i="1"/>
  <c r="CY1400" i="1"/>
  <c r="CY1381" i="1"/>
  <c r="CY1362" i="1"/>
  <c r="CY1343" i="1"/>
  <c r="CY1324" i="1"/>
  <c r="CY1304" i="1"/>
  <c r="CY1285" i="1"/>
  <c r="CY1264" i="1"/>
  <c r="CY1245" i="1"/>
  <c r="CY1226" i="1"/>
  <c r="CY1206" i="1"/>
  <c r="CY1188" i="1"/>
  <c r="CY1170" i="1"/>
  <c r="CY1152" i="1"/>
  <c r="CY1132" i="1"/>
  <c r="CY1114" i="1"/>
  <c r="CY1096" i="1"/>
  <c r="CY1078" i="1"/>
  <c r="CY1060" i="1"/>
  <c r="CY1042" i="1"/>
  <c r="CY1024" i="1"/>
  <c r="CY1004" i="1"/>
  <c r="CY986" i="1"/>
  <c r="CY968" i="1"/>
  <c r="CY950" i="1"/>
  <c r="CY932" i="1"/>
  <c r="CY914" i="1"/>
  <c r="CY896" i="1"/>
  <c r="CY877" i="1"/>
  <c r="CY860" i="1"/>
  <c r="CY843" i="1"/>
  <c r="CY826" i="1"/>
  <c r="CY810" i="1"/>
  <c r="CY794" i="1"/>
  <c r="CY778" i="1"/>
  <c r="CY762" i="1"/>
  <c r="CY746" i="1"/>
  <c r="CY730" i="1"/>
  <c r="CY714" i="1"/>
  <c r="CY698" i="1"/>
  <c r="CY682" i="1"/>
  <c r="CY666" i="1"/>
  <c r="CY650" i="1"/>
  <c r="CY634" i="1"/>
  <c r="CY618" i="1"/>
  <c r="CY602" i="1"/>
  <c r="CY586" i="1"/>
  <c r="CY570" i="1"/>
  <c r="CY554" i="1"/>
  <c r="CY538" i="1"/>
  <c r="CY522" i="1"/>
  <c r="CY506" i="1"/>
  <c r="CY490" i="1"/>
  <c r="CY474" i="1"/>
  <c r="CY458" i="1"/>
  <c r="CY442" i="1"/>
  <c r="CY426" i="1"/>
  <c r="CY410" i="1"/>
  <c r="CY394" i="1"/>
  <c r="CY378" i="1"/>
  <c r="CY362" i="1"/>
  <c r="CY346" i="1"/>
  <c r="CY330" i="1"/>
  <c r="CY314" i="1"/>
  <c r="CY298" i="1"/>
  <c r="CY282" i="1"/>
  <c r="CY266" i="1"/>
  <c r="CY250" i="1"/>
  <c r="CY234" i="1"/>
  <c r="CY218" i="1"/>
  <c r="CY202" i="1"/>
  <c r="CY186" i="1"/>
  <c r="CY170" i="1"/>
  <c r="CY154" i="1"/>
  <c r="CY138" i="1"/>
  <c r="CY122" i="1"/>
  <c r="CY106" i="1"/>
  <c r="CY90" i="1"/>
  <c r="CY74" i="1"/>
  <c r="CY58" i="1"/>
  <c r="CY42" i="1"/>
  <c r="CY26" i="1"/>
  <c r="CY10" i="1"/>
  <c r="CY1614" i="1"/>
  <c r="CY1590" i="1"/>
  <c r="CY1567" i="1"/>
  <c r="CY1547" i="1"/>
  <c r="CY1526" i="1"/>
  <c r="CY1504" i="1"/>
  <c r="CY1483" i="1"/>
  <c r="CY1462" i="1"/>
  <c r="CY1442" i="1"/>
  <c r="CY1422" i="1"/>
  <c r="CY1399" i="1"/>
  <c r="CY1380" i="1"/>
  <c r="CY1361" i="1"/>
  <c r="CY1342" i="1"/>
  <c r="CY1323" i="1"/>
  <c r="CY1303" i="1"/>
  <c r="CY1282" i="1"/>
  <c r="CY1263" i="1"/>
  <c r="CY1244" i="1"/>
  <c r="CY1224" i="1"/>
  <c r="CY1205" i="1"/>
  <c r="CY1187" i="1"/>
  <c r="CY1169" i="1"/>
  <c r="CY1149" i="1"/>
  <c r="CY1131" i="1"/>
  <c r="CY1113" i="1"/>
  <c r="CY1095" i="1"/>
  <c r="CY1077" i="1"/>
  <c r="CY1059" i="1"/>
  <c r="CY1041" i="1"/>
  <c r="CY1021" i="1"/>
  <c r="CY1003" i="1"/>
  <c r="CY985" i="1"/>
  <c r="CY967" i="1"/>
  <c r="CY949" i="1"/>
  <c r="CY931" i="1"/>
  <c r="CY913" i="1"/>
  <c r="CY893" i="1"/>
  <c r="CY876" i="1"/>
  <c r="CY859" i="1"/>
  <c r="CY842" i="1"/>
  <c r="CY825" i="1"/>
  <c r="CY809" i="1"/>
  <c r="CY793" i="1"/>
  <c r="CY777" i="1"/>
  <c r="CY761" i="1"/>
  <c r="CY745" i="1"/>
  <c r="CY729" i="1"/>
  <c r="CY713" i="1"/>
  <c r="CY697" i="1"/>
  <c r="CY681" i="1"/>
  <c r="CY665" i="1"/>
  <c r="CY649" i="1"/>
  <c r="CY633" i="1"/>
  <c r="CY617" i="1"/>
  <c r="CY601" i="1"/>
  <c r="CY585" i="1"/>
  <c r="CY569" i="1"/>
  <c r="CY553" i="1"/>
  <c r="CY537" i="1"/>
  <c r="CY521" i="1"/>
  <c r="CY505" i="1"/>
  <c r="CY489" i="1"/>
  <c r="CY473" i="1"/>
  <c r="CY457" i="1"/>
  <c r="CY441" i="1"/>
  <c r="CY425" i="1"/>
  <c r="CY409" i="1"/>
  <c r="CY393" i="1"/>
  <c r="CY377" i="1"/>
  <c r="CY361" i="1"/>
  <c r="CY345" i="1"/>
  <c r="CY329" i="1"/>
  <c r="CY313" i="1"/>
  <c r="CY297" i="1"/>
  <c r="CY281" i="1"/>
  <c r="CY265" i="1"/>
  <c r="CY249" i="1"/>
  <c r="CY233" i="1"/>
  <c r="CY217" i="1"/>
  <c r="CY201" i="1"/>
  <c r="CY185" i="1"/>
  <c r="CY169" i="1"/>
  <c r="CY153" i="1"/>
  <c r="CY137" i="1"/>
  <c r="CY121" i="1"/>
  <c r="CY105" i="1"/>
  <c r="CY89" i="1"/>
  <c r="CY73" i="1"/>
  <c r="CY57" i="1"/>
  <c r="CY41" i="1"/>
  <c r="CY25" i="1"/>
  <c r="CY9" i="1"/>
  <c r="CY1613" i="1"/>
  <c r="CY1589" i="1"/>
  <c r="CY1566" i="1"/>
  <c r="CY1546" i="1"/>
  <c r="CY1525" i="1"/>
  <c r="CY1503" i="1"/>
  <c r="CY1482" i="1"/>
  <c r="CY1461" i="1"/>
  <c r="CY1441" i="1"/>
  <c r="CY1607" i="1"/>
  <c r="CY1584" i="1"/>
  <c r="CY1563" i="1"/>
  <c r="CY1542" i="1"/>
  <c r="CY1605" i="1"/>
  <c r="CY1583" i="1"/>
  <c r="CY1603" i="1"/>
  <c r="CY1582" i="1"/>
  <c r="CY1560" i="1"/>
  <c r="CY1538" i="1"/>
  <c r="CY1586" i="1"/>
  <c r="CY1543" i="1"/>
  <c r="CY1511" i="1"/>
  <c r="CY1475" i="1"/>
  <c r="CY1439" i="1"/>
  <c r="CY1410" i="1"/>
  <c r="CY1378" i="1"/>
  <c r="CY1354" i="1"/>
  <c r="CY1322" i="1"/>
  <c r="CY1295" i="1"/>
  <c r="CY1270" i="1"/>
  <c r="CY1238" i="1"/>
  <c r="CY1212" i="1"/>
  <c r="CY1181" i="1"/>
  <c r="CY1158" i="1"/>
  <c r="CY1128" i="1"/>
  <c r="CY1105" i="1"/>
  <c r="CY1075" i="1"/>
  <c r="CY1050" i="1"/>
  <c r="CY1020" i="1"/>
  <c r="CY997" i="1"/>
  <c r="CY972" i="1"/>
  <c r="CY944" i="1"/>
  <c r="CY919" i="1"/>
  <c r="CY889" i="1"/>
  <c r="CY867" i="1"/>
  <c r="CY839" i="1"/>
  <c r="CY817" i="1"/>
  <c r="CY791" i="1"/>
  <c r="CY770" i="1"/>
  <c r="CY744" i="1"/>
  <c r="CY723" i="1"/>
  <c r="CY702" i="1"/>
  <c r="CY676" i="1"/>
  <c r="CY655" i="1"/>
  <c r="CY629" i="1"/>
  <c r="CY608" i="1"/>
  <c r="CY582" i="1"/>
  <c r="CY561" i="1"/>
  <c r="CY535" i="1"/>
  <c r="CY514" i="1"/>
  <c r="CY488" i="1"/>
  <c r="CY467" i="1"/>
  <c r="CY446" i="1"/>
  <c r="CY420" i="1"/>
  <c r="CY399" i="1"/>
  <c r="CY373" i="1"/>
  <c r="CY352" i="1"/>
  <c r="CY326" i="1"/>
  <c r="CY305" i="1"/>
  <c r="CY279" i="1"/>
  <c r="CY258" i="1"/>
  <c r="CY232" i="1"/>
  <c r="CY211" i="1"/>
  <c r="CY190" i="1"/>
  <c r="CY164" i="1"/>
  <c r="CY143" i="1"/>
  <c r="CY117" i="1"/>
  <c r="CY96" i="1"/>
  <c r="CY70" i="1"/>
  <c r="CY49" i="1"/>
  <c r="CY23" i="1"/>
  <c r="CY1585" i="1"/>
  <c r="CY1541" i="1"/>
  <c r="CY1502" i="1"/>
  <c r="CY1474" i="1"/>
  <c r="CY1436" i="1"/>
  <c r="CY1409" i="1"/>
  <c r="CY1377" i="1"/>
  <c r="CY1350" i="1"/>
  <c r="CY1320" i="1"/>
  <c r="CY1294" i="1"/>
  <c r="CY1262" i="1"/>
  <c r="CY1237" i="1"/>
  <c r="CY1211" i="1"/>
  <c r="CY1180" i="1"/>
  <c r="CY1157" i="1"/>
  <c r="CY1127" i="1"/>
  <c r="CY1104" i="1"/>
  <c r="CY1074" i="1"/>
  <c r="CY1049" i="1"/>
  <c r="CY1019" i="1"/>
  <c r="CY996" i="1"/>
  <c r="CY966" i="1"/>
  <c r="CY941" i="1"/>
  <c r="CY918" i="1"/>
  <c r="CY888" i="1"/>
  <c r="CY866" i="1"/>
  <c r="CY838" i="1"/>
  <c r="CY816" i="1"/>
  <c r="CY790" i="1"/>
  <c r="CY769" i="1"/>
  <c r="CY743" i="1"/>
  <c r="CY722" i="1"/>
  <c r="CY696" i="1"/>
  <c r="CY675" i="1"/>
  <c r="CY654" i="1"/>
  <c r="CY628" i="1"/>
  <c r="CY607" i="1"/>
  <c r="CY581" i="1"/>
  <c r="CY560" i="1"/>
  <c r="CY534" i="1"/>
  <c r="CY513" i="1"/>
  <c r="CY487" i="1"/>
  <c r="CY466" i="1"/>
  <c r="CY440" i="1"/>
  <c r="CY419" i="1"/>
  <c r="CY398" i="1"/>
  <c r="CY372" i="1"/>
  <c r="CY351" i="1"/>
  <c r="CY325" i="1"/>
  <c r="CY304" i="1"/>
  <c r="CY278" i="1"/>
  <c r="CY257" i="1"/>
  <c r="CY231" i="1"/>
  <c r="CY210" i="1"/>
  <c r="CY184" i="1"/>
  <c r="CY163" i="1"/>
  <c r="CY142" i="1"/>
  <c r="CY116" i="1"/>
  <c r="CY95" i="1"/>
  <c r="CY69" i="1"/>
  <c r="CY48" i="1"/>
  <c r="CY22" i="1"/>
  <c r="CY1581" i="1"/>
  <c r="CY1537" i="1"/>
  <c r="CY1500" i="1"/>
  <c r="CY1473" i="1"/>
  <c r="CY1435" i="1"/>
  <c r="CY1408" i="1"/>
  <c r="CY1376" i="1"/>
  <c r="CY1349" i="1"/>
  <c r="CY1319" i="1"/>
  <c r="CY1293" i="1"/>
  <c r="CY1261" i="1"/>
  <c r="CY1236" i="1"/>
  <c r="CY1204" i="1"/>
  <c r="CY1179" i="1"/>
  <c r="CY1156" i="1"/>
  <c r="CY1126" i="1"/>
  <c r="CY1101" i="1"/>
  <c r="CY1073" i="1"/>
  <c r="CY1048" i="1"/>
  <c r="CY1018" i="1"/>
  <c r="CY995" i="1"/>
  <c r="CY965" i="1"/>
  <c r="CY940" i="1"/>
  <c r="CY912" i="1"/>
  <c r="CY887" i="1"/>
  <c r="CY865" i="1"/>
  <c r="CY837" i="1"/>
  <c r="CY815" i="1"/>
  <c r="CY789" i="1"/>
  <c r="CY768" i="1"/>
  <c r="CY742" i="1"/>
  <c r="CY721" i="1"/>
  <c r="CY695" i="1"/>
  <c r="CY674" i="1"/>
  <c r="CY648" i="1"/>
  <c r="CY627" i="1"/>
  <c r="CY606" i="1"/>
  <c r="CY580" i="1"/>
  <c r="CY559" i="1"/>
  <c r="CY533" i="1"/>
  <c r="CY512" i="1"/>
  <c r="CY486" i="1"/>
  <c r="CY465" i="1"/>
  <c r="CY439" i="1"/>
  <c r="CY418" i="1"/>
  <c r="CY392" i="1"/>
  <c r="CY371" i="1"/>
  <c r="CY350" i="1"/>
  <c r="CY324" i="1"/>
  <c r="CY303" i="1"/>
  <c r="CY277" i="1"/>
  <c r="CY256" i="1"/>
  <c r="CY230" i="1"/>
  <c r="CY209" i="1"/>
  <c r="CY183" i="1"/>
  <c r="CY162" i="1"/>
  <c r="CY136" i="1"/>
  <c r="CY115" i="1"/>
  <c r="CY94" i="1"/>
  <c r="CY68" i="1"/>
  <c r="CY47" i="1"/>
  <c r="CY21" i="1"/>
  <c r="CY1580" i="1"/>
  <c r="CY1536" i="1"/>
  <c r="CY1499" i="1"/>
  <c r="CY1470" i="1"/>
  <c r="CY1434" i="1"/>
  <c r="CY1407" i="1"/>
  <c r="CY1375" i="1"/>
  <c r="CY1348" i="1"/>
  <c r="CY1316" i="1"/>
  <c r="CY1292" i="1"/>
  <c r="CY1260" i="1"/>
  <c r="CY1235" i="1"/>
  <c r="CY1203" i="1"/>
  <c r="CY1178" i="1"/>
  <c r="CY1148" i="1"/>
  <c r="CY1125" i="1"/>
  <c r="CY1100" i="1"/>
  <c r="CY1072" i="1"/>
  <c r="CY1047" i="1"/>
  <c r="CY1017" i="1"/>
  <c r="CY994" i="1"/>
  <c r="CY964" i="1"/>
  <c r="CY939" i="1"/>
  <c r="CY909" i="1"/>
  <c r="CY886" i="1"/>
  <c r="CY858" i="1"/>
  <c r="CY836" i="1"/>
  <c r="CY814" i="1"/>
  <c r="CY788" i="1"/>
  <c r="CY767" i="1"/>
  <c r="CY741" i="1"/>
  <c r="CY720" i="1"/>
  <c r="CY694" i="1"/>
  <c r="CY673" i="1"/>
  <c r="CY647" i="1"/>
  <c r="CY626" i="1"/>
  <c r="CY600" i="1"/>
  <c r="CY579" i="1"/>
  <c r="CY558" i="1"/>
  <c r="CY532" i="1"/>
  <c r="CY511" i="1"/>
  <c r="CY485" i="1"/>
  <c r="CY464" i="1"/>
  <c r="CY438" i="1"/>
  <c r="CY417" i="1"/>
  <c r="CY391" i="1"/>
  <c r="CY370" i="1"/>
  <c r="CY344" i="1"/>
  <c r="CY323" i="1"/>
  <c r="CY302" i="1"/>
  <c r="CY276" i="1"/>
  <c r="CY255" i="1"/>
  <c r="CY229" i="1"/>
  <c r="CY208" i="1"/>
  <c r="CY182" i="1"/>
  <c r="CY161" i="1"/>
  <c r="CY135" i="1"/>
  <c r="CY114" i="1"/>
  <c r="CY88" i="1"/>
  <c r="CY67" i="1"/>
  <c r="CY46" i="1"/>
  <c r="CY20" i="1"/>
  <c r="CY1626" i="1"/>
  <c r="CY1579" i="1"/>
  <c r="CY1534" i="1"/>
  <c r="CY1498" i="1"/>
  <c r="CY1469" i="1"/>
  <c r="CY1431" i="1"/>
  <c r="CY1398" i="1"/>
  <c r="CY1374" i="1"/>
  <c r="CY1347" i="1"/>
  <c r="CY1315" i="1"/>
  <c r="CY1291" i="1"/>
  <c r="CY1259" i="1"/>
  <c r="CY1234" i="1"/>
  <c r="CY1202" i="1"/>
  <c r="CY1177" i="1"/>
  <c r="CY1147" i="1"/>
  <c r="CY1124" i="1"/>
  <c r="CY1094" i="1"/>
  <c r="CY1069" i="1"/>
  <c r="CY1046" i="1"/>
  <c r="CY1016" i="1"/>
  <c r="CY993" i="1"/>
  <c r="CY963" i="1"/>
  <c r="CY938" i="1"/>
  <c r="CY908" i="1"/>
  <c r="CY885" i="1"/>
  <c r="CY857" i="1"/>
  <c r="CY835" i="1"/>
  <c r="CY808" i="1"/>
  <c r="CY787" i="1"/>
  <c r="CY766" i="1"/>
  <c r="CY740" i="1"/>
  <c r="CY719" i="1"/>
  <c r="CY693" i="1"/>
  <c r="CY672" i="1"/>
  <c r="CY646" i="1"/>
  <c r="CY625" i="1"/>
  <c r="CY599" i="1"/>
  <c r="CY578" i="1"/>
  <c r="CY552" i="1"/>
  <c r="CY531" i="1"/>
  <c r="CY510" i="1"/>
  <c r="CY484" i="1"/>
  <c r="CY463" i="1"/>
  <c r="CY437" i="1"/>
  <c r="CY416" i="1"/>
  <c r="CY390" i="1"/>
  <c r="CY369" i="1"/>
  <c r="CY343" i="1"/>
  <c r="CY322" i="1"/>
  <c r="CY296" i="1"/>
  <c r="CY275" i="1"/>
  <c r="CY254" i="1"/>
  <c r="CY228" i="1"/>
  <c r="CY207" i="1"/>
  <c r="CY181" i="1"/>
  <c r="CY160" i="1"/>
  <c r="CY134" i="1"/>
  <c r="CY113" i="1"/>
  <c r="CY87" i="1"/>
  <c r="CY66" i="1"/>
  <c r="CY40" i="1"/>
  <c r="CY19" i="1"/>
  <c r="CY1623" i="1"/>
  <c r="CY1578" i="1"/>
  <c r="CY1533" i="1"/>
  <c r="CY1496" i="1"/>
  <c r="CY1460" i="1"/>
  <c r="CY1430" i="1"/>
  <c r="CY1397" i="1"/>
  <c r="CY1373" i="1"/>
  <c r="CY1341" i="1"/>
  <c r="CY1314" i="1"/>
  <c r="CY1290" i="1"/>
  <c r="CY1258" i="1"/>
  <c r="CY1231" i="1"/>
  <c r="CY1201" i="1"/>
  <c r="CY1176" i="1"/>
  <c r="CY1146" i="1"/>
  <c r="CY1123" i="1"/>
  <c r="CY1093" i="1"/>
  <c r="CY1068" i="1"/>
  <c r="CY1040" i="1"/>
  <c r="CY1015" i="1"/>
  <c r="CY992" i="1"/>
  <c r="CY962" i="1"/>
  <c r="CY937" i="1"/>
  <c r="CY907" i="1"/>
  <c r="CY884" i="1"/>
  <c r="CY856" i="1"/>
  <c r="CY834" i="1"/>
  <c r="CY807" i="1"/>
  <c r="CY786" i="1"/>
  <c r="CY760" i="1"/>
  <c r="CY739" i="1"/>
  <c r="CY718" i="1"/>
  <c r="CY692" i="1"/>
  <c r="CY671" i="1"/>
  <c r="CY645" i="1"/>
  <c r="CY624" i="1"/>
  <c r="CY598" i="1"/>
  <c r="CY577" i="1"/>
  <c r="CY551" i="1"/>
  <c r="CY530" i="1"/>
  <c r="CY504" i="1"/>
  <c r="CY483" i="1"/>
  <c r="CY462" i="1"/>
  <c r="CY436" i="1"/>
  <c r="CY415" i="1"/>
  <c r="CY389" i="1"/>
  <c r="CY368" i="1"/>
  <c r="CY342" i="1"/>
  <c r="CY321" i="1"/>
  <c r="CY295" i="1"/>
  <c r="CY274" i="1"/>
  <c r="CY248" i="1"/>
  <c r="CY227" i="1"/>
  <c r="CY206" i="1"/>
  <c r="CY180" i="1"/>
  <c r="CY159" i="1"/>
  <c r="CY133" i="1"/>
  <c r="CY112" i="1"/>
  <c r="CY86" i="1"/>
  <c r="CY65" i="1"/>
  <c r="CY39" i="1"/>
  <c r="CY18" i="1"/>
  <c r="CY1619" i="1"/>
  <c r="CY1564" i="1"/>
  <c r="CY1521" i="1"/>
  <c r="CY1493" i="1"/>
  <c r="CY1457" i="1"/>
  <c r="CY1427" i="1"/>
  <c r="CY1394" i="1"/>
  <c r="CY1367" i="1"/>
  <c r="CY1338" i="1"/>
  <c r="CY1311" i="1"/>
  <c r="CY1279" i="1"/>
  <c r="CY1254" i="1"/>
  <c r="CY1222" i="1"/>
  <c r="CY1196" i="1"/>
  <c r="CY1168" i="1"/>
  <c r="CY1143" i="1"/>
  <c r="CY1120" i="1"/>
  <c r="CY1090" i="1"/>
  <c r="CY1065" i="1"/>
  <c r="CY1035" i="1"/>
  <c r="CY1012" i="1"/>
  <c r="CY982" i="1"/>
  <c r="CY957" i="1"/>
  <c r="CY929" i="1"/>
  <c r="CY904" i="1"/>
  <c r="CY875" i="1"/>
  <c r="CY853" i="1"/>
  <c r="CY830" i="1"/>
  <c r="CY804" i="1"/>
  <c r="CY783" i="1"/>
  <c r="CY757" i="1"/>
  <c r="CY736" i="1"/>
  <c r="CY710" i="1"/>
  <c r="CY689" i="1"/>
  <c r="CY663" i="1"/>
  <c r="CY642" i="1"/>
  <c r="CY616" i="1"/>
  <c r="CY595" i="1"/>
  <c r="CY574" i="1"/>
  <c r="CY548" i="1"/>
  <c r="CY527" i="1"/>
  <c r="CY501" i="1"/>
  <c r="CY480" i="1"/>
  <c r="CY454" i="1"/>
  <c r="CY433" i="1"/>
  <c r="CY407" i="1"/>
  <c r="CY386" i="1"/>
  <c r="CY360" i="1"/>
  <c r="CY339" i="1"/>
  <c r="CY318" i="1"/>
  <c r="CY292" i="1"/>
  <c r="CY271" i="1"/>
  <c r="CY245" i="1"/>
  <c r="CY224" i="1"/>
  <c r="CY198" i="1"/>
  <c r="CY177" i="1"/>
  <c r="CY151" i="1"/>
  <c r="CY130" i="1"/>
  <c r="CY104" i="1"/>
  <c r="CY83" i="1"/>
  <c r="CY62" i="1"/>
  <c r="CY36" i="1"/>
  <c r="CY15" i="1"/>
  <c r="CY1600" i="1"/>
  <c r="CY1517" i="1"/>
  <c r="CY1456" i="1"/>
  <c r="CY1396" i="1"/>
  <c r="CY1356" i="1"/>
  <c r="CY1299" i="1"/>
  <c r="CY1252" i="1"/>
  <c r="CY1197" i="1"/>
  <c r="CY1159" i="1"/>
  <c r="CY1108" i="1"/>
  <c r="CY1057" i="1"/>
  <c r="CY1011" i="1"/>
  <c r="CY961" i="1"/>
  <c r="CY921" i="1"/>
  <c r="CY871" i="1"/>
  <c r="CY823" i="1"/>
  <c r="CY784" i="1"/>
  <c r="CY750" i="1"/>
  <c r="CY705" i="1"/>
  <c r="CY660" i="1"/>
  <c r="CY615" i="1"/>
  <c r="CY576" i="1"/>
  <c r="CY542" i="1"/>
  <c r="CY497" i="1"/>
  <c r="CY452" i="1"/>
  <c r="CY408" i="1"/>
  <c r="CY374" i="1"/>
  <c r="CY334" i="1"/>
  <c r="CY289" i="1"/>
  <c r="CY244" i="1"/>
  <c r="CY200" i="1"/>
  <c r="CY166" i="1"/>
  <c r="CY126" i="1"/>
  <c r="CY81" i="1"/>
  <c r="CY37" i="1"/>
  <c r="CY1599" i="1"/>
  <c r="CY1516" i="1"/>
  <c r="CY1453" i="1"/>
  <c r="CY1395" i="1"/>
  <c r="CY1355" i="1"/>
  <c r="CY1298" i="1"/>
  <c r="CY1251" i="1"/>
  <c r="CY1195" i="1"/>
  <c r="CY1145" i="1"/>
  <c r="CY1107" i="1"/>
  <c r="CY1056" i="1"/>
  <c r="CY1010" i="1"/>
  <c r="CY960" i="1"/>
  <c r="CY920" i="1"/>
  <c r="CY870" i="1"/>
  <c r="CY822" i="1"/>
  <c r="CY782" i="1"/>
  <c r="CY738" i="1"/>
  <c r="CY704" i="1"/>
  <c r="CY659" i="1"/>
  <c r="CY614" i="1"/>
  <c r="CY575" i="1"/>
  <c r="CY536" i="1"/>
  <c r="CY496" i="1"/>
  <c r="CY451" i="1"/>
  <c r="CY406" i="1"/>
  <c r="CY367" i="1"/>
  <c r="CY328" i="1"/>
  <c r="CY288" i="1"/>
  <c r="CY243" i="1"/>
  <c r="CY199" i="1"/>
  <c r="CY165" i="1"/>
  <c r="CY120" i="1"/>
  <c r="CY80" i="1"/>
  <c r="CY35" i="1"/>
  <c r="CY1598" i="1"/>
  <c r="CY1515" i="1"/>
  <c r="CY1452" i="1"/>
  <c r="CY1393" i="1"/>
  <c r="CY1340" i="1"/>
  <c r="CY1297" i="1"/>
  <c r="CY1243" i="1"/>
  <c r="CY1194" i="1"/>
  <c r="CY1144" i="1"/>
  <c r="CY1106" i="1"/>
  <c r="CY1053" i="1"/>
  <c r="CY1002" i="1"/>
  <c r="CY956" i="1"/>
  <c r="CY906" i="1"/>
  <c r="CY869" i="1"/>
  <c r="CY821" i="1"/>
  <c r="CY776" i="1"/>
  <c r="CY737" i="1"/>
  <c r="CY703" i="1"/>
  <c r="CY658" i="1"/>
  <c r="CY613" i="1"/>
  <c r="CY568" i="1"/>
  <c r="CY529" i="1"/>
  <c r="CY495" i="1"/>
  <c r="CY450" i="1"/>
  <c r="CY405" i="1"/>
  <c r="CY366" i="1"/>
  <c r="CY327" i="1"/>
  <c r="CY287" i="1"/>
  <c r="CY242" i="1"/>
  <c r="CY197" i="1"/>
  <c r="CY158" i="1"/>
  <c r="CY119" i="1"/>
  <c r="CY79" i="1"/>
  <c r="CY34" i="1"/>
  <c r="CY1576" i="1"/>
  <c r="CY1514" i="1"/>
  <c r="CY1451" i="1"/>
  <c r="CY1392" i="1"/>
  <c r="CY1339" i="1"/>
  <c r="CY1296" i="1"/>
  <c r="CY1242" i="1"/>
  <c r="CY1193" i="1"/>
  <c r="CY1142" i="1"/>
  <c r="CY1092" i="1"/>
  <c r="CY1052" i="1"/>
  <c r="CY1001" i="1"/>
  <c r="CY955" i="1"/>
  <c r="CY905" i="1"/>
  <c r="CY868" i="1"/>
  <c r="CY820" i="1"/>
  <c r="CY775" i="1"/>
  <c r="CY735" i="1"/>
  <c r="CY691" i="1"/>
  <c r="CY657" i="1"/>
  <c r="CY612" i="1"/>
  <c r="CY567" i="1"/>
  <c r="CY528" i="1"/>
  <c r="CY494" i="1"/>
  <c r="CY449" i="1"/>
  <c r="CY404" i="1"/>
  <c r="CY359" i="1"/>
  <c r="CY320" i="1"/>
  <c r="CY286" i="1"/>
  <c r="CY241" i="1"/>
  <c r="CY196" i="1"/>
  <c r="CY152" i="1"/>
  <c r="CY118" i="1"/>
  <c r="CY78" i="1"/>
  <c r="CY33" i="1"/>
  <c r="CY1565" i="1"/>
  <c r="CY1512" i="1"/>
  <c r="CY1448" i="1"/>
  <c r="CY1391" i="1"/>
  <c r="CY1336" i="1"/>
  <c r="CY1281" i="1"/>
  <c r="CY1240" i="1"/>
  <c r="CY1192" i="1"/>
  <c r="CY1141" i="1"/>
  <c r="CY1091" i="1"/>
  <c r="CY1051" i="1"/>
  <c r="CY1000" i="1"/>
  <c r="CY954" i="1"/>
  <c r="CY903" i="1"/>
  <c r="CY855" i="1"/>
  <c r="CY819" i="1"/>
  <c r="CY774" i="1"/>
  <c r="CY734" i="1"/>
  <c r="CY690" i="1"/>
  <c r="CY656" i="1"/>
  <c r="CY611" i="1"/>
  <c r="CY566" i="1"/>
  <c r="CY526" i="1"/>
  <c r="CY482" i="1"/>
  <c r="CY448" i="1"/>
  <c r="CY403" i="1"/>
  <c r="CY358" i="1"/>
  <c r="CY319" i="1"/>
  <c r="CY280" i="1"/>
  <c r="CY240" i="1"/>
  <c r="CY195" i="1"/>
  <c r="CY150" i="1"/>
  <c r="CY111" i="1"/>
  <c r="CY72" i="1"/>
  <c r="CY32" i="1"/>
  <c r="CY1562" i="1"/>
  <c r="CY1495" i="1"/>
  <c r="CY1447" i="1"/>
  <c r="CY1390" i="1"/>
  <c r="CY1333" i="1"/>
  <c r="CY1280" i="1"/>
  <c r="CY1239" i="1"/>
  <c r="CY1186" i="1"/>
  <c r="CY1140" i="1"/>
  <c r="CY1089" i="1"/>
  <c r="CY1037" i="1"/>
  <c r="CY999" i="1"/>
  <c r="CY948" i="1"/>
  <c r="CY902" i="1"/>
  <c r="CY854" i="1"/>
  <c r="CY818" i="1"/>
  <c r="CY773" i="1"/>
  <c r="CY728" i="1"/>
  <c r="CY688" i="1"/>
  <c r="CY644" i="1"/>
  <c r="CY610" i="1"/>
  <c r="CY565" i="1"/>
  <c r="CY520" i="1"/>
  <c r="CY481" i="1"/>
  <c r="CY447" i="1"/>
  <c r="CY402" i="1"/>
  <c r="CY357" i="1"/>
  <c r="CY312" i="1"/>
  <c r="CY273" i="1"/>
  <c r="CY239" i="1"/>
  <c r="CY194" i="1"/>
  <c r="CY149" i="1"/>
  <c r="CY110" i="1"/>
  <c r="CY71" i="1"/>
  <c r="CY31" i="1"/>
  <c r="CY1555" i="1"/>
  <c r="CY1459" i="1"/>
  <c r="CY1371" i="1"/>
  <c r="CY1278" i="1"/>
  <c r="CY1217" i="1"/>
  <c r="CY1130" i="1"/>
  <c r="CY1064" i="1"/>
  <c r="CY980" i="1"/>
  <c r="CY901" i="1"/>
  <c r="CY840" i="1"/>
  <c r="CY759" i="1"/>
  <c r="CY707" i="1"/>
  <c r="CY638" i="1"/>
  <c r="CY564" i="1"/>
  <c r="CY502" i="1"/>
  <c r="CY432" i="1"/>
  <c r="CY376" i="1"/>
  <c r="CY307" i="1"/>
  <c r="CY238" i="1"/>
  <c r="CY175" i="1"/>
  <c r="CY101" i="1"/>
  <c r="CY50" i="1"/>
  <c r="CY1554" i="1"/>
  <c r="CY1458" i="1"/>
  <c r="CY1366" i="1"/>
  <c r="CY1277" i="1"/>
  <c r="CY1214" i="1"/>
  <c r="CY1129" i="1"/>
  <c r="CY1058" i="1"/>
  <c r="CY979" i="1"/>
  <c r="CY900" i="1"/>
  <c r="CY833" i="1"/>
  <c r="CY758" i="1"/>
  <c r="CY706" i="1"/>
  <c r="CY632" i="1"/>
  <c r="CY563" i="1"/>
  <c r="CY500" i="1"/>
  <c r="CY431" i="1"/>
  <c r="CY375" i="1"/>
  <c r="CY306" i="1"/>
  <c r="CY226" i="1"/>
  <c r="CY174" i="1"/>
  <c r="CY100" i="1"/>
  <c r="CY38" i="1"/>
  <c r="CY1553" i="1"/>
  <c r="CY1440" i="1"/>
  <c r="CY1360" i="1"/>
  <c r="CY1276" i="1"/>
  <c r="CY1213" i="1"/>
  <c r="CY1122" i="1"/>
  <c r="CY1036" i="1"/>
  <c r="CY978" i="1"/>
  <c r="CY892" i="1"/>
  <c r="CY832" i="1"/>
  <c r="CY756" i="1"/>
  <c r="CY687" i="1"/>
  <c r="CY631" i="1"/>
  <c r="CY562" i="1"/>
  <c r="CY499" i="1"/>
  <c r="CY430" i="1"/>
  <c r="CY356" i="1"/>
  <c r="CY294" i="1"/>
  <c r="CY225" i="1"/>
  <c r="CY168" i="1"/>
  <c r="CY99" i="1"/>
  <c r="CY30" i="1"/>
  <c r="CY1544" i="1"/>
  <c r="CY1429" i="1"/>
  <c r="CY1359" i="1"/>
  <c r="CY1275" i="1"/>
  <c r="CY1200" i="1"/>
  <c r="CY1121" i="1"/>
  <c r="CY1034" i="1"/>
  <c r="CY977" i="1"/>
  <c r="CY891" i="1"/>
  <c r="CY824" i="1"/>
  <c r="CY755" i="1"/>
  <c r="CY686" i="1"/>
  <c r="CY630" i="1"/>
  <c r="CY550" i="1"/>
  <c r="CY498" i="1"/>
  <c r="CY424" i="1"/>
  <c r="CY355" i="1"/>
  <c r="CY293" i="1"/>
  <c r="CY223" i="1"/>
  <c r="CY167" i="1"/>
  <c r="CY98" i="1"/>
  <c r="CY24" i="1"/>
  <c r="CY1532" i="1"/>
  <c r="CY1428" i="1"/>
  <c r="CY1358" i="1"/>
  <c r="CY1274" i="1"/>
  <c r="CY1185" i="1"/>
  <c r="CY1112" i="1"/>
  <c r="CY1033" i="1"/>
  <c r="CY976" i="1"/>
  <c r="CY890" i="1"/>
  <c r="CY806" i="1"/>
  <c r="CY754" i="1"/>
  <c r="CY680" i="1"/>
  <c r="CY623" i="1"/>
  <c r="CY549" i="1"/>
  <c r="CY479" i="1"/>
  <c r="CY423" i="1"/>
  <c r="CY354" i="1"/>
  <c r="CY291" i="1"/>
  <c r="CY222" i="1"/>
  <c r="CY148" i="1"/>
  <c r="CY97" i="1"/>
  <c r="CY17" i="1"/>
  <c r="CY1524" i="1"/>
  <c r="CY1419" i="1"/>
  <c r="CY1357" i="1"/>
  <c r="CY1272" i="1"/>
  <c r="CY1184" i="1"/>
  <c r="CY1111" i="1"/>
  <c r="CY1032" i="1"/>
  <c r="CY973" i="1"/>
  <c r="CY883" i="1"/>
  <c r="CY805" i="1"/>
  <c r="CY753" i="1"/>
  <c r="CY679" i="1"/>
  <c r="CY622" i="1"/>
  <c r="CY547" i="1"/>
  <c r="CY478" i="1"/>
  <c r="CY422" i="1"/>
  <c r="CY353" i="1"/>
  <c r="CY290" i="1"/>
  <c r="CY216" i="1"/>
  <c r="CY147" i="1"/>
  <c r="CY85" i="1"/>
  <c r="CY16" i="1"/>
  <c r="CY1622" i="1"/>
  <c r="CY1494" i="1"/>
  <c r="CY1414" i="1"/>
  <c r="CY1330" i="1"/>
  <c r="CY1255" i="1"/>
  <c r="CY1165" i="1"/>
  <c r="CY1088" i="1"/>
  <c r="CY1029" i="1"/>
  <c r="CY945" i="1"/>
  <c r="CY873" i="1"/>
  <c r="CY801" i="1"/>
  <c r="CY727" i="1"/>
  <c r="CY670" i="1"/>
  <c r="CY596" i="1"/>
  <c r="CY544" i="1"/>
  <c r="CY470" i="1"/>
  <c r="CY401" i="1"/>
  <c r="CY338" i="1"/>
  <c r="CY264" i="1"/>
  <c r="CY213" i="1"/>
  <c r="CY144" i="1"/>
  <c r="CY64" i="1"/>
  <c r="CY7" i="1"/>
  <c r="CY1620" i="1"/>
  <c r="CY1492" i="1"/>
  <c r="CY1413" i="1"/>
  <c r="CY1329" i="1"/>
  <c r="CY1253" i="1"/>
  <c r="CY1164" i="1"/>
  <c r="CY1085" i="1"/>
  <c r="CY1028" i="1"/>
  <c r="CY936" i="1"/>
  <c r="CY872" i="1"/>
  <c r="CY800" i="1"/>
  <c r="CY726" i="1"/>
  <c r="CY664" i="1"/>
  <c r="CY594" i="1"/>
  <c r="CY543" i="1"/>
  <c r="CY469" i="1"/>
  <c r="CY400" i="1"/>
  <c r="CY337" i="1"/>
  <c r="CY263" i="1"/>
  <c r="CY212" i="1"/>
  <c r="CY132" i="1"/>
  <c r="CY63" i="1"/>
  <c r="CY6" i="1"/>
  <c r="CY1610" i="1"/>
  <c r="CY1491" i="1"/>
  <c r="CY1412" i="1"/>
  <c r="CY1328" i="1"/>
  <c r="CY1230" i="1"/>
  <c r="CY1163" i="1"/>
  <c r="CY1084" i="1"/>
  <c r="CY1014" i="1"/>
  <c r="CY930" i="1"/>
  <c r="CY852" i="1"/>
  <c r="CY799" i="1"/>
  <c r="CY725" i="1"/>
  <c r="CY662" i="1"/>
  <c r="CY593" i="1"/>
  <c r="CY519" i="1"/>
  <c r="CY468" i="1"/>
  <c r="CY388" i="1"/>
  <c r="CY336" i="1"/>
  <c r="CY262" i="1"/>
  <c r="CY193" i="1"/>
  <c r="CY131" i="1"/>
  <c r="CY56" i="1"/>
  <c r="CY5" i="1"/>
  <c r="CY1602" i="1"/>
  <c r="CY1479" i="1"/>
  <c r="CY1389" i="1"/>
  <c r="CY1312" i="1"/>
  <c r="CY1221" i="1"/>
  <c r="CY1161" i="1"/>
  <c r="CY1082" i="1"/>
  <c r="CY998" i="1"/>
  <c r="CY925" i="1"/>
  <c r="CY850" i="1"/>
  <c r="CY792" i="1"/>
  <c r="CY712" i="1"/>
  <c r="CY643" i="1"/>
  <c r="CY591" i="1"/>
  <c r="CY517" i="1"/>
  <c r="CY455" i="1"/>
  <c r="CY385" i="1"/>
  <c r="CY311" i="1"/>
  <c r="CY260" i="1"/>
  <c r="CY191" i="1"/>
  <c r="CY128" i="1"/>
  <c r="CY54" i="1"/>
  <c r="CY1379" i="1"/>
  <c r="CY1162" i="1"/>
  <c r="CY947" i="1"/>
  <c r="CY772" i="1"/>
  <c r="CY592" i="1"/>
  <c r="CY421" i="1"/>
  <c r="CY247" i="1"/>
  <c r="CY55" i="1"/>
  <c r="CY1372" i="1"/>
  <c r="CY1160" i="1"/>
  <c r="CY946" i="1"/>
  <c r="CY771" i="1"/>
  <c r="CY590" i="1"/>
  <c r="CY414" i="1"/>
  <c r="CY246" i="1"/>
  <c r="CY53" i="1"/>
  <c r="CY1608" i="1"/>
  <c r="CY1332" i="1"/>
  <c r="CY1139" i="1"/>
  <c r="CY928" i="1"/>
  <c r="CY752" i="1"/>
  <c r="CY584" i="1"/>
  <c r="CY387" i="1"/>
  <c r="CY215" i="1"/>
  <c r="CY52" i="1"/>
  <c r="CY1601" i="1"/>
  <c r="CY1331" i="1"/>
  <c r="CY1138" i="1"/>
  <c r="CY924" i="1"/>
  <c r="CY751" i="1"/>
  <c r="CY583" i="1"/>
  <c r="CY384" i="1"/>
  <c r="CY214" i="1"/>
  <c r="CY51" i="1"/>
  <c r="CY1559" i="1"/>
  <c r="CY1313" i="1"/>
  <c r="CY1110" i="1"/>
  <c r="CY923" i="1"/>
  <c r="CY724" i="1"/>
  <c r="CY546" i="1"/>
  <c r="CY383" i="1"/>
  <c r="CY192" i="1"/>
  <c r="CY14" i="1"/>
  <c r="CY1558" i="1"/>
  <c r="CY1310" i="1"/>
  <c r="CY1109" i="1"/>
  <c r="CY922" i="1"/>
  <c r="CY711" i="1"/>
  <c r="CY545" i="1"/>
  <c r="CY382" i="1"/>
  <c r="CY179" i="1"/>
  <c r="CY8" i="1"/>
  <c r="CY1520" i="1"/>
  <c r="CY1309" i="1"/>
  <c r="CY1083" i="1"/>
  <c r="CY882" i="1"/>
  <c r="CY709" i="1"/>
  <c r="CY518" i="1"/>
  <c r="CY341" i="1"/>
  <c r="CY178" i="1"/>
  <c r="CY4" i="1"/>
  <c r="CY1480" i="1"/>
  <c r="CY1271" i="1"/>
  <c r="CY1067" i="1"/>
  <c r="CY851" i="1"/>
  <c r="CY678" i="1"/>
  <c r="CY515" i="1"/>
  <c r="CY335" i="1"/>
  <c r="CY146" i="1"/>
  <c r="CY1477" i="1"/>
  <c r="CY1031" i="1"/>
  <c r="CY661" i="1"/>
  <c r="CY309" i="1"/>
  <c r="CY1476" i="1"/>
  <c r="CY1030" i="1"/>
  <c r="CY641" i="1"/>
  <c r="CY308" i="1"/>
  <c r="CY1418" i="1"/>
  <c r="CY1013" i="1"/>
  <c r="CY640" i="1"/>
  <c r="CY272" i="1"/>
  <c r="CY1416" i="1"/>
  <c r="CY984" i="1"/>
  <c r="CY639" i="1"/>
  <c r="CY270" i="1"/>
  <c r="CY1411" i="1"/>
  <c r="CY983" i="1"/>
  <c r="CY609" i="1"/>
  <c r="CY261" i="1"/>
  <c r="CY1388" i="1"/>
  <c r="CY981" i="1"/>
  <c r="CY597" i="1"/>
  <c r="CY259" i="1"/>
  <c r="CY1302" i="1"/>
  <c r="CY874" i="1"/>
  <c r="CY516" i="1"/>
  <c r="CY176" i="1"/>
  <c r="CY1256" i="1"/>
  <c r="CY849" i="1"/>
  <c r="CY503" i="1"/>
  <c r="CY145" i="1"/>
  <c r="CY1223" i="1"/>
  <c r="CY848" i="1"/>
  <c r="CY472" i="1"/>
  <c r="CY129" i="1"/>
  <c r="CY708" i="1"/>
  <c r="CY677" i="1"/>
  <c r="CY1519" i="1"/>
  <c r="CY471" i="1"/>
  <c r="CY1478" i="1"/>
  <c r="CY456" i="1"/>
  <c r="CY1220" i="1"/>
  <c r="CY453" i="1"/>
  <c r="CY1219" i="1"/>
  <c r="CY435" i="1"/>
  <c r="CY1218" i="1"/>
  <c r="CY434" i="1"/>
  <c r="CY1175" i="1"/>
  <c r="CY340" i="1"/>
  <c r="CY1066" i="1"/>
  <c r="CY841" i="1"/>
  <c r="CY803" i="1"/>
  <c r="CY802" i="1"/>
  <c r="CY798" i="1"/>
  <c r="CY785" i="1"/>
  <c r="CY310" i="1"/>
  <c r="CY127" i="1"/>
  <c r="CY103" i="1"/>
  <c r="CY102" i="1"/>
  <c r="CY84" i="1"/>
  <c r="CY82" i="1"/>
  <c r="CY1174" i="1"/>
  <c r="CY1076" i="1"/>
  <c r="CT1622" i="1"/>
  <c r="CT1606" i="1"/>
  <c r="CT1590" i="1"/>
  <c r="CT1574" i="1"/>
  <c r="CT1558" i="1"/>
  <c r="CT1542" i="1"/>
  <c r="CT1526" i="1"/>
  <c r="CT1510" i="1"/>
  <c r="CT1494" i="1"/>
  <c r="CT1478" i="1"/>
  <c r="CT1462" i="1"/>
  <c r="CT1446" i="1"/>
  <c r="CT1430" i="1"/>
  <c r="CT1414" i="1"/>
  <c r="CT1398" i="1"/>
  <c r="CT1382" i="1"/>
  <c r="CT1366" i="1"/>
  <c r="CT1350" i="1"/>
  <c r="CT1334" i="1"/>
  <c r="CT1318" i="1"/>
  <c r="CT1302" i="1"/>
  <c r="CT1621" i="1"/>
  <c r="CT1605" i="1"/>
  <c r="CT1589" i="1"/>
  <c r="CT1573" i="1"/>
  <c r="CT1557" i="1"/>
  <c r="CT1541" i="1"/>
  <c r="CT1525" i="1"/>
  <c r="CT1509" i="1"/>
  <c r="CT1493" i="1"/>
  <c r="CT1477" i="1"/>
  <c r="CT1461" i="1"/>
  <c r="CT1445" i="1"/>
  <c r="CT1429" i="1"/>
  <c r="CT1413" i="1"/>
  <c r="CT1397" i="1"/>
  <c r="CT1381" i="1"/>
  <c r="CT1365" i="1"/>
  <c r="CT1620" i="1"/>
  <c r="CT1604" i="1"/>
  <c r="CT1588" i="1"/>
  <c r="CT1572" i="1"/>
  <c r="CT1556" i="1"/>
  <c r="CT1540" i="1"/>
  <c r="CT1524" i="1"/>
  <c r="CT1508" i="1"/>
  <c r="CT1492" i="1"/>
  <c r="CT1476" i="1"/>
  <c r="CT1460" i="1"/>
  <c r="CT1444" i="1"/>
  <c r="CT1428" i="1"/>
  <c r="CT1412" i="1"/>
  <c r="CT1396" i="1"/>
  <c r="CT1380" i="1"/>
  <c r="CT1364" i="1"/>
  <c r="CT1619" i="1"/>
  <c r="CT1603" i="1"/>
  <c r="CT1587" i="1"/>
  <c r="CT1571" i="1"/>
  <c r="CT1555" i="1"/>
  <c r="CT1539" i="1"/>
  <c r="CT1618" i="1"/>
  <c r="CT1602" i="1"/>
  <c r="CT1582" i="1"/>
  <c r="CT1562" i="1"/>
  <c r="CT1538" i="1"/>
  <c r="CT1519" i="1"/>
  <c r="CT1500" i="1"/>
  <c r="CT1481" i="1"/>
  <c r="CT1459" i="1"/>
  <c r="CT1440" i="1"/>
  <c r="CT1421" i="1"/>
  <c r="CT1402" i="1"/>
  <c r="CT1383" i="1"/>
  <c r="CT1361" i="1"/>
  <c r="CT1344" i="1"/>
  <c r="CT1327" i="1"/>
  <c r="CT1310" i="1"/>
  <c r="CT1293" i="1"/>
  <c r="CT1277" i="1"/>
  <c r="CT1261" i="1"/>
  <c r="CT1245" i="1"/>
  <c r="CT1229" i="1"/>
  <c r="CT1213" i="1"/>
  <c r="CT1197" i="1"/>
  <c r="CT1181" i="1"/>
  <c r="CT1165" i="1"/>
  <c r="CT1149" i="1"/>
  <c r="CT1133" i="1"/>
  <c r="CT1117" i="1"/>
  <c r="CT1101" i="1"/>
  <c r="CT1085" i="1"/>
  <c r="CT1069" i="1"/>
  <c r="CT1053" i="1"/>
  <c r="CT1037" i="1"/>
  <c r="CT1021" i="1"/>
  <c r="CT1005" i="1"/>
  <c r="CT989" i="1"/>
  <c r="CT973" i="1"/>
  <c r="CT957" i="1"/>
  <c r="CT941" i="1"/>
  <c r="CT925" i="1"/>
  <c r="CT909" i="1"/>
  <c r="CT893" i="1"/>
  <c r="CT877" i="1"/>
  <c r="CT861" i="1"/>
  <c r="CT845" i="1"/>
  <c r="CT829" i="1"/>
  <c r="CT813" i="1"/>
  <c r="CT797" i="1"/>
  <c r="CT781" i="1"/>
  <c r="CT765" i="1"/>
  <c r="CT749" i="1"/>
  <c r="CT733" i="1"/>
  <c r="CT717" i="1"/>
  <c r="CT701" i="1"/>
  <c r="CT685" i="1"/>
  <c r="CT669" i="1"/>
  <c r="CT653" i="1"/>
  <c r="CT637" i="1"/>
  <c r="CT621" i="1"/>
  <c r="CT605" i="1"/>
  <c r="CT589" i="1"/>
  <c r="CT573" i="1"/>
  <c r="CT557" i="1"/>
  <c r="CT541" i="1"/>
  <c r="CT525" i="1"/>
  <c r="CT509" i="1"/>
  <c r="CT493" i="1"/>
  <c r="CT477" i="1"/>
  <c r="CT461" i="1"/>
  <c r="CT445" i="1"/>
  <c r="CT429" i="1"/>
  <c r="CT413" i="1"/>
  <c r="CT397" i="1"/>
  <c r="CT381" i="1"/>
  <c r="CT365" i="1"/>
  <c r="CT349" i="1"/>
  <c r="CT333" i="1"/>
  <c r="CT317" i="1"/>
  <c r="CT301" i="1"/>
  <c r="CT285" i="1"/>
  <c r="CT269" i="1"/>
  <c r="CT253" i="1"/>
  <c r="CT237" i="1"/>
  <c r="CT221" i="1"/>
  <c r="CT205" i="1"/>
  <c r="CT189" i="1"/>
  <c r="CT173" i="1"/>
  <c r="CT157" i="1"/>
  <c r="CT141" i="1"/>
  <c r="CT125" i="1"/>
  <c r="CT109" i="1"/>
  <c r="CT93" i="1"/>
  <c r="CT77" i="1"/>
  <c r="CT61" i="1"/>
  <c r="CT45" i="1"/>
  <c r="CT29" i="1"/>
  <c r="CT13" i="1"/>
  <c r="CT1626" i="1"/>
  <c r="CT1601" i="1"/>
  <c r="CT1581" i="1"/>
  <c r="CT1561" i="1"/>
  <c r="CT1537" i="1"/>
  <c r="CT1518" i="1"/>
  <c r="CT1499" i="1"/>
  <c r="CT1480" i="1"/>
  <c r="CT1458" i="1"/>
  <c r="CT1439" i="1"/>
  <c r="CT1420" i="1"/>
  <c r="CT1401" i="1"/>
  <c r="CT1379" i="1"/>
  <c r="CT1360" i="1"/>
  <c r="CT1343" i="1"/>
  <c r="CT1326" i="1"/>
  <c r="CT1309" i="1"/>
  <c r="CT1292" i="1"/>
  <c r="CT1276" i="1"/>
  <c r="CT1260" i="1"/>
  <c r="CT1244" i="1"/>
  <c r="CT1228" i="1"/>
  <c r="CT1212" i="1"/>
  <c r="CT1196" i="1"/>
  <c r="CT1180" i="1"/>
  <c r="CT1164" i="1"/>
  <c r="CT1148" i="1"/>
  <c r="CT1132" i="1"/>
  <c r="CT1116" i="1"/>
  <c r="CT1100" i="1"/>
  <c r="CT1084" i="1"/>
  <c r="CT1068" i="1"/>
  <c r="CT1052" i="1"/>
  <c r="CT1036" i="1"/>
  <c r="CT1020" i="1"/>
  <c r="CT1004" i="1"/>
  <c r="CT988" i="1"/>
  <c r="CT972" i="1"/>
  <c r="CT956" i="1"/>
  <c r="CT940" i="1"/>
  <c r="CT924" i="1"/>
  <c r="CT908" i="1"/>
  <c r="CT892" i="1"/>
  <c r="CT876" i="1"/>
  <c r="CT860" i="1"/>
  <c r="CT844" i="1"/>
  <c r="CT828" i="1"/>
  <c r="CT812" i="1"/>
  <c r="CT796" i="1"/>
  <c r="CT780" i="1"/>
  <c r="CT764" i="1"/>
  <c r="CT748" i="1"/>
  <c r="CT732" i="1"/>
  <c r="CT716" i="1"/>
  <c r="CT700" i="1"/>
  <c r="CT684" i="1"/>
  <c r="CT668" i="1"/>
  <c r="CT652" i="1"/>
  <c r="CT636" i="1"/>
  <c r="CT620" i="1"/>
  <c r="CT604" i="1"/>
  <c r="CT588" i="1"/>
  <c r="CT572" i="1"/>
  <c r="CT556" i="1"/>
  <c r="CT540" i="1"/>
  <c r="CT524" i="1"/>
  <c r="CT508" i="1"/>
  <c r="CT492" i="1"/>
  <c r="CT476" i="1"/>
  <c r="CT460" i="1"/>
  <c r="CT444" i="1"/>
  <c r="CT428" i="1"/>
  <c r="CT412" i="1"/>
  <c r="CT396" i="1"/>
  <c r="CT380" i="1"/>
  <c r="CT364" i="1"/>
  <c r="CT348" i="1"/>
  <c r="CT332" i="1"/>
  <c r="CT316" i="1"/>
  <c r="CT300" i="1"/>
  <c r="CT284" i="1"/>
  <c r="CT268" i="1"/>
  <c r="CT252" i="1"/>
  <c r="CT236" i="1"/>
  <c r="CT220" i="1"/>
  <c r="CT204" i="1"/>
  <c r="CT188" i="1"/>
  <c r="CT172" i="1"/>
  <c r="CT156" i="1"/>
  <c r="CT140" i="1"/>
  <c r="CT124" i="1"/>
  <c r="CT108" i="1"/>
  <c r="CT92" i="1"/>
  <c r="CT76" i="1"/>
  <c r="CT60" i="1"/>
  <c r="CT44" i="1"/>
  <c r="CT28" i="1"/>
  <c r="CT12" i="1"/>
  <c r="CT1625" i="1"/>
  <c r="CT1600" i="1"/>
  <c r="CT1580" i="1"/>
  <c r="CT1560" i="1"/>
  <c r="CT1536" i="1"/>
  <c r="CT1517" i="1"/>
  <c r="CT1498" i="1"/>
  <c r="CT1479" i="1"/>
  <c r="CT1457" i="1"/>
  <c r="CT1438" i="1"/>
  <c r="CT1419" i="1"/>
  <c r="CT1400" i="1"/>
  <c r="CT1378" i="1"/>
  <c r="CT1359" i="1"/>
  <c r="CT1342" i="1"/>
  <c r="CT1325" i="1"/>
  <c r="CT1308" i="1"/>
  <c r="CT1291" i="1"/>
  <c r="CT1275" i="1"/>
  <c r="CT1259" i="1"/>
  <c r="CT1243" i="1"/>
  <c r="CT1227" i="1"/>
  <c r="CT1211" i="1"/>
  <c r="CT1195" i="1"/>
  <c r="CT1179" i="1"/>
  <c r="CT1163" i="1"/>
  <c r="CT1147" i="1"/>
  <c r="CT1131" i="1"/>
  <c r="CT1115" i="1"/>
  <c r="CT1099" i="1"/>
  <c r="CT1083" i="1"/>
  <c r="CT1067" i="1"/>
  <c r="CT1051" i="1"/>
  <c r="CT1035" i="1"/>
  <c r="CT1019" i="1"/>
  <c r="CT1003" i="1"/>
  <c r="CT987" i="1"/>
  <c r="CT971" i="1"/>
  <c r="CT955" i="1"/>
  <c r="CT939" i="1"/>
  <c r="CT923" i="1"/>
  <c r="CT907" i="1"/>
  <c r="CT891" i="1"/>
  <c r="CT875" i="1"/>
  <c r="CT859" i="1"/>
  <c r="CT843" i="1"/>
  <c r="CT827" i="1"/>
  <c r="CT811" i="1"/>
  <c r="CT795" i="1"/>
  <c r="CT779" i="1"/>
  <c r="CT763" i="1"/>
  <c r="CT747" i="1"/>
  <c r="CT731" i="1"/>
  <c r="CT715" i="1"/>
  <c r="CT699" i="1"/>
  <c r="CT683" i="1"/>
  <c r="CT667" i="1"/>
  <c r="CT651" i="1"/>
  <c r="CT635" i="1"/>
  <c r="CT619" i="1"/>
  <c r="CT603" i="1"/>
  <c r="CT587" i="1"/>
  <c r="CT571" i="1"/>
  <c r="CT555" i="1"/>
  <c r="CT539" i="1"/>
  <c r="CT523" i="1"/>
  <c r="CT507" i="1"/>
  <c r="CT491" i="1"/>
  <c r="CT475" i="1"/>
  <c r="CT459" i="1"/>
  <c r="CT443" i="1"/>
  <c r="CT427" i="1"/>
  <c r="CT411" i="1"/>
  <c r="CT395" i="1"/>
  <c r="CT379" i="1"/>
  <c r="CT363" i="1"/>
  <c r="CT347" i="1"/>
  <c r="CT331" i="1"/>
  <c r="CT315" i="1"/>
  <c r="CT299" i="1"/>
  <c r="CT283" i="1"/>
  <c r="CT267" i="1"/>
  <c r="CT251" i="1"/>
  <c r="CT235" i="1"/>
  <c r="CT219" i="1"/>
  <c r="CT203" i="1"/>
  <c r="CT187" i="1"/>
  <c r="CT171" i="1"/>
  <c r="CT155" i="1"/>
  <c r="CT139" i="1"/>
  <c r="CT123" i="1"/>
  <c r="CT107" i="1"/>
  <c r="CT91" i="1"/>
  <c r="CT75" i="1"/>
  <c r="CT59" i="1"/>
  <c r="CT43" i="1"/>
  <c r="CT27" i="1"/>
  <c r="CT11" i="1"/>
  <c r="CT1624" i="1"/>
  <c r="CT1599" i="1"/>
  <c r="CT1579" i="1"/>
  <c r="CT1559" i="1"/>
  <c r="CT1535" i="1"/>
  <c r="CT1516" i="1"/>
  <c r="CT1497" i="1"/>
  <c r="CT1475" i="1"/>
  <c r="CT1456" i="1"/>
  <c r="CT1437" i="1"/>
  <c r="CT1418" i="1"/>
  <c r="CT1399" i="1"/>
  <c r="CT1377" i="1"/>
  <c r="CT1358" i="1"/>
  <c r="CT1341" i="1"/>
  <c r="CT1324" i="1"/>
  <c r="CT1307" i="1"/>
  <c r="CT1290" i="1"/>
  <c r="CT1274" i="1"/>
  <c r="CT1258" i="1"/>
  <c r="CT1242" i="1"/>
  <c r="CT1226" i="1"/>
  <c r="CT1210" i="1"/>
  <c r="CT1623" i="1"/>
  <c r="CT1598" i="1"/>
  <c r="CT1578" i="1"/>
  <c r="CT1554" i="1"/>
  <c r="CT1534" i="1"/>
  <c r="CT1515" i="1"/>
  <c r="CT1496" i="1"/>
  <c r="CT1474" i="1"/>
  <c r="CT1455" i="1"/>
  <c r="CT1436" i="1"/>
  <c r="CT1417" i="1"/>
  <c r="CT1395" i="1"/>
  <c r="CT1376" i="1"/>
  <c r="CT1357" i="1"/>
  <c r="CT1340" i="1"/>
  <c r="CT1323" i="1"/>
  <c r="CT1306" i="1"/>
  <c r="CT1289" i="1"/>
  <c r="CT1273" i="1"/>
  <c r="CT1257" i="1"/>
  <c r="CT1241" i="1"/>
  <c r="CT1225" i="1"/>
  <c r="CT1209" i="1"/>
  <c r="CT1617" i="1"/>
  <c r="CT1597" i="1"/>
  <c r="CT1577" i="1"/>
  <c r="CT1553" i="1"/>
  <c r="CT1533" i="1"/>
  <c r="CT1514" i="1"/>
  <c r="CT1495" i="1"/>
  <c r="CT1473" i="1"/>
  <c r="CT1454" i="1"/>
  <c r="CT1435" i="1"/>
  <c r="CT1416" i="1"/>
  <c r="CT1614" i="1"/>
  <c r="CT1594" i="1"/>
  <c r="CT1585" i="1"/>
  <c r="CT1549" i="1"/>
  <c r="CT1520" i="1"/>
  <c r="CT1486" i="1"/>
  <c r="CT1452" i="1"/>
  <c r="CT1424" i="1"/>
  <c r="CT1391" i="1"/>
  <c r="CT1367" i="1"/>
  <c r="CT1337" i="1"/>
  <c r="CT1314" i="1"/>
  <c r="CT1287" i="1"/>
  <c r="CT1266" i="1"/>
  <c r="CT1240" i="1"/>
  <c r="CT1219" i="1"/>
  <c r="CT1198" i="1"/>
  <c r="CT1176" i="1"/>
  <c r="CT1157" i="1"/>
  <c r="CT1138" i="1"/>
  <c r="CT1119" i="1"/>
  <c r="CT1097" i="1"/>
  <c r="CT1078" i="1"/>
  <c r="CT1059" i="1"/>
  <c r="CT1040" i="1"/>
  <c r="CT1018" i="1"/>
  <c r="CT999" i="1"/>
  <c r="CT980" i="1"/>
  <c r="CT961" i="1"/>
  <c r="CT942" i="1"/>
  <c r="CT920" i="1"/>
  <c r="CT901" i="1"/>
  <c r="CT882" i="1"/>
  <c r="CT863" i="1"/>
  <c r="CT841" i="1"/>
  <c r="CT822" i="1"/>
  <c r="CT803" i="1"/>
  <c r="CT784" i="1"/>
  <c r="CT762" i="1"/>
  <c r="CT743" i="1"/>
  <c r="CT724" i="1"/>
  <c r="CT705" i="1"/>
  <c r="CT686" i="1"/>
  <c r="CT664" i="1"/>
  <c r="CT645" i="1"/>
  <c r="CT626" i="1"/>
  <c r="CT607" i="1"/>
  <c r="CT585" i="1"/>
  <c r="CT566" i="1"/>
  <c r="CT547" i="1"/>
  <c r="CT528" i="1"/>
  <c r="CT506" i="1"/>
  <c r="CT487" i="1"/>
  <c r="CT468" i="1"/>
  <c r="CT449" i="1"/>
  <c r="CT430" i="1"/>
  <c r="CT408" i="1"/>
  <c r="CT389" i="1"/>
  <c r="CT370" i="1"/>
  <c r="CT351" i="1"/>
  <c r="CT329" i="1"/>
  <c r="CT310" i="1"/>
  <c r="CT291" i="1"/>
  <c r="CT272" i="1"/>
  <c r="CT250" i="1"/>
  <c r="CT231" i="1"/>
  <c r="CT212" i="1"/>
  <c r="CT193" i="1"/>
  <c r="CT174" i="1"/>
  <c r="CT152" i="1"/>
  <c r="CT133" i="1"/>
  <c r="CT114" i="1"/>
  <c r="CT95" i="1"/>
  <c r="CT73" i="1"/>
  <c r="CT54" i="1"/>
  <c r="CT35" i="1"/>
  <c r="CT16" i="1"/>
  <c r="CT1616" i="1"/>
  <c r="CT1584" i="1"/>
  <c r="CT1548" i="1"/>
  <c r="CT1513" i="1"/>
  <c r="CT1485" i="1"/>
  <c r="CT1451" i="1"/>
  <c r="CT1423" i="1"/>
  <c r="CT1390" i="1"/>
  <c r="CT1363" i="1"/>
  <c r="CT1336" i="1"/>
  <c r="CT1313" i="1"/>
  <c r="CT1286" i="1"/>
  <c r="CT1265" i="1"/>
  <c r="CT1239" i="1"/>
  <c r="CT1218" i="1"/>
  <c r="CT1194" i="1"/>
  <c r="CT1175" i="1"/>
  <c r="CT1156" i="1"/>
  <c r="CT1137" i="1"/>
  <c r="CT1118" i="1"/>
  <c r="CT1096" i="1"/>
  <c r="CT1077" i="1"/>
  <c r="CT1058" i="1"/>
  <c r="CT1039" i="1"/>
  <c r="CT1017" i="1"/>
  <c r="CT998" i="1"/>
  <c r="CT979" i="1"/>
  <c r="CT960" i="1"/>
  <c r="CT938" i="1"/>
  <c r="CT919" i="1"/>
  <c r="CT900" i="1"/>
  <c r="CT881" i="1"/>
  <c r="CT862" i="1"/>
  <c r="CT840" i="1"/>
  <c r="CT821" i="1"/>
  <c r="CT802" i="1"/>
  <c r="CT783" i="1"/>
  <c r="CT761" i="1"/>
  <c r="CT742" i="1"/>
  <c r="CT723" i="1"/>
  <c r="CT704" i="1"/>
  <c r="CT682" i="1"/>
  <c r="CT663" i="1"/>
  <c r="CT644" i="1"/>
  <c r="CT625" i="1"/>
  <c r="CT606" i="1"/>
  <c r="CT584" i="1"/>
  <c r="CT565" i="1"/>
  <c r="CT546" i="1"/>
  <c r="CT527" i="1"/>
  <c r="CT505" i="1"/>
  <c r="CT486" i="1"/>
  <c r="CT467" i="1"/>
  <c r="CT448" i="1"/>
  <c r="CT426" i="1"/>
  <c r="CT407" i="1"/>
  <c r="CT388" i="1"/>
  <c r="CT369" i="1"/>
  <c r="CT350" i="1"/>
  <c r="CT328" i="1"/>
  <c r="CT309" i="1"/>
  <c r="CT290" i="1"/>
  <c r="CT271" i="1"/>
  <c r="CT249" i="1"/>
  <c r="CT230" i="1"/>
  <c r="CT211" i="1"/>
  <c r="CT192" i="1"/>
  <c r="CT170" i="1"/>
  <c r="CT151" i="1"/>
  <c r="CT132" i="1"/>
  <c r="CT113" i="1"/>
  <c r="CT94" i="1"/>
  <c r="CT72" i="1"/>
  <c r="CT53" i="1"/>
  <c r="CT34" i="1"/>
  <c r="CT15" i="1"/>
  <c r="CT1615" i="1"/>
  <c r="CT1583" i="1"/>
  <c r="CT1547" i="1"/>
  <c r="CT1512" i="1"/>
  <c r="CT1484" i="1"/>
  <c r="CT1450" i="1"/>
  <c r="CT1422" i="1"/>
  <c r="CT1389" i="1"/>
  <c r="CT1362" i="1"/>
  <c r="CT1335" i="1"/>
  <c r="CT1312" i="1"/>
  <c r="CT1285" i="1"/>
  <c r="CT1264" i="1"/>
  <c r="CT1238" i="1"/>
  <c r="CT1217" i="1"/>
  <c r="CT1193" i="1"/>
  <c r="CT1174" i="1"/>
  <c r="CT1155" i="1"/>
  <c r="CT1136" i="1"/>
  <c r="CT1114" i="1"/>
  <c r="CT1095" i="1"/>
  <c r="CT1076" i="1"/>
  <c r="CT1057" i="1"/>
  <c r="CT1038" i="1"/>
  <c r="CT1016" i="1"/>
  <c r="CT997" i="1"/>
  <c r="CT978" i="1"/>
  <c r="CT959" i="1"/>
  <c r="CT937" i="1"/>
  <c r="CT918" i="1"/>
  <c r="CT899" i="1"/>
  <c r="CT880" i="1"/>
  <c r="CT858" i="1"/>
  <c r="CT839" i="1"/>
  <c r="CT820" i="1"/>
  <c r="CT801" i="1"/>
  <c r="CT782" i="1"/>
  <c r="CT760" i="1"/>
  <c r="CT741" i="1"/>
  <c r="CT722" i="1"/>
  <c r="CT703" i="1"/>
  <c r="CT681" i="1"/>
  <c r="CT662" i="1"/>
  <c r="CT643" i="1"/>
  <c r="CT624" i="1"/>
  <c r="CT602" i="1"/>
  <c r="CT583" i="1"/>
  <c r="CT564" i="1"/>
  <c r="CT545" i="1"/>
  <c r="CT526" i="1"/>
  <c r="CT504" i="1"/>
  <c r="CT485" i="1"/>
  <c r="CT466" i="1"/>
  <c r="CT447" i="1"/>
  <c r="CT425" i="1"/>
  <c r="CT406" i="1"/>
  <c r="CT387" i="1"/>
  <c r="CT368" i="1"/>
  <c r="CT346" i="1"/>
  <c r="CT327" i="1"/>
  <c r="CT308" i="1"/>
  <c r="CT289" i="1"/>
  <c r="CT270" i="1"/>
  <c r="CT248" i="1"/>
  <c r="CT229" i="1"/>
  <c r="CT210" i="1"/>
  <c r="CT191" i="1"/>
  <c r="CT169" i="1"/>
  <c r="CT150" i="1"/>
  <c r="CT131" i="1"/>
  <c r="CT112" i="1"/>
  <c r="CT90" i="1"/>
  <c r="CT71" i="1"/>
  <c r="CT52" i="1"/>
  <c r="CT33" i="1"/>
  <c r="CT14" i="1"/>
  <c r="CT1613" i="1"/>
  <c r="CT1576" i="1"/>
  <c r="CT1546" i="1"/>
  <c r="CT1511" i="1"/>
  <c r="CT1483" i="1"/>
  <c r="CT1449" i="1"/>
  <c r="CT1415" i="1"/>
  <c r="CT1388" i="1"/>
  <c r="CT1356" i="1"/>
  <c r="CT1333" i="1"/>
  <c r="CT1311" i="1"/>
  <c r="CT1284" i="1"/>
  <c r="CT1263" i="1"/>
  <c r="CT1237" i="1"/>
  <c r="CT1216" i="1"/>
  <c r="CT1192" i="1"/>
  <c r="CT1173" i="1"/>
  <c r="CT1154" i="1"/>
  <c r="CT1135" i="1"/>
  <c r="CT1113" i="1"/>
  <c r="CT1094" i="1"/>
  <c r="CT1075" i="1"/>
  <c r="CT1056" i="1"/>
  <c r="CT1034" i="1"/>
  <c r="CT1015" i="1"/>
  <c r="CT996" i="1"/>
  <c r="CT977" i="1"/>
  <c r="CT958" i="1"/>
  <c r="CT936" i="1"/>
  <c r="CT917" i="1"/>
  <c r="CT898" i="1"/>
  <c r="CT879" i="1"/>
  <c r="CT857" i="1"/>
  <c r="CT838" i="1"/>
  <c r="CT819" i="1"/>
  <c r="CT800" i="1"/>
  <c r="CT778" i="1"/>
  <c r="CT759" i="1"/>
  <c r="CT740" i="1"/>
  <c r="CT721" i="1"/>
  <c r="CT702" i="1"/>
  <c r="CT680" i="1"/>
  <c r="CT661" i="1"/>
  <c r="CT642" i="1"/>
  <c r="CT623" i="1"/>
  <c r="CT601" i="1"/>
  <c r="CT582" i="1"/>
  <c r="CT563" i="1"/>
  <c r="CT544" i="1"/>
  <c r="CT522" i="1"/>
  <c r="CT503" i="1"/>
  <c r="CT484" i="1"/>
  <c r="CT465" i="1"/>
  <c r="CT446" i="1"/>
  <c r="CT424" i="1"/>
  <c r="CT405" i="1"/>
  <c r="CT386" i="1"/>
  <c r="CT367" i="1"/>
  <c r="CT345" i="1"/>
  <c r="CT326" i="1"/>
  <c r="CT307" i="1"/>
  <c r="CT288" i="1"/>
  <c r="CT266" i="1"/>
  <c r="CT247" i="1"/>
  <c r="CT228" i="1"/>
  <c r="CT209" i="1"/>
  <c r="CT190" i="1"/>
  <c r="CT168" i="1"/>
  <c r="CT149" i="1"/>
  <c r="CT130" i="1"/>
  <c r="CT111" i="1"/>
  <c r="CT89" i="1"/>
  <c r="CT70" i="1"/>
  <c r="CT51" i="1"/>
  <c r="CT32" i="1"/>
  <c r="CT10" i="1"/>
  <c r="CT1612" i="1"/>
  <c r="CT1575" i="1"/>
  <c r="CT1545" i="1"/>
  <c r="CT1507" i="1"/>
  <c r="CT1482" i="1"/>
  <c r="CT1448" i="1"/>
  <c r="CT1411" i="1"/>
  <c r="CT1387" i="1"/>
  <c r="CT1355" i="1"/>
  <c r="CT1332" i="1"/>
  <c r="CT1305" i="1"/>
  <c r="CT1283" i="1"/>
  <c r="CT1262" i="1"/>
  <c r="CT1236" i="1"/>
  <c r="CT1215" i="1"/>
  <c r="CT1191" i="1"/>
  <c r="CT1172" i="1"/>
  <c r="CT1153" i="1"/>
  <c r="CT1134" i="1"/>
  <c r="CT1112" i="1"/>
  <c r="CT1093" i="1"/>
  <c r="CT1074" i="1"/>
  <c r="CT1055" i="1"/>
  <c r="CT1033" i="1"/>
  <c r="CT1014" i="1"/>
  <c r="CT995" i="1"/>
  <c r="CT976" i="1"/>
  <c r="CT954" i="1"/>
  <c r="CT935" i="1"/>
  <c r="CT916" i="1"/>
  <c r="CT897" i="1"/>
  <c r="CT878" i="1"/>
  <c r="CT856" i="1"/>
  <c r="CT837" i="1"/>
  <c r="CT818" i="1"/>
  <c r="CT799" i="1"/>
  <c r="CT777" i="1"/>
  <c r="CT758" i="1"/>
  <c r="CT739" i="1"/>
  <c r="CT720" i="1"/>
  <c r="CT698" i="1"/>
  <c r="CT679" i="1"/>
  <c r="CT660" i="1"/>
  <c r="CT641" i="1"/>
  <c r="CT622" i="1"/>
  <c r="CT600" i="1"/>
  <c r="CT581" i="1"/>
  <c r="CT562" i="1"/>
  <c r="CT543" i="1"/>
  <c r="CT521" i="1"/>
  <c r="CT502" i="1"/>
  <c r="CT483" i="1"/>
  <c r="CT464" i="1"/>
  <c r="CT442" i="1"/>
  <c r="CT423" i="1"/>
  <c r="CT404" i="1"/>
  <c r="CT385" i="1"/>
  <c r="CT366" i="1"/>
  <c r="CT344" i="1"/>
  <c r="CT325" i="1"/>
  <c r="CT306" i="1"/>
  <c r="CT287" i="1"/>
  <c r="CT265" i="1"/>
  <c r="CT246" i="1"/>
  <c r="CT227" i="1"/>
  <c r="CT208" i="1"/>
  <c r="CT186" i="1"/>
  <c r="CT167" i="1"/>
  <c r="CT148" i="1"/>
  <c r="CT129" i="1"/>
  <c r="CT110" i="1"/>
  <c r="CT88" i="1"/>
  <c r="CT69" i="1"/>
  <c r="CT50" i="1"/>
  <c r="CT1608" i="1"/>
  <c r="CT1552" i="1"/>
  <c r="CT1504" i="1"/>
  <c r="CT1465" i="1"/>
  <c r="CT1409" i="1"/>
  <c r="CT1372" i="1"/>
  <c r="CT1331" i="1"/>
  <c r="CT1298" i="1"/>
  <c r="CT1267" i="1"/>
  <c r="CT1231" i="1"/>
  <c r="CT1200" i="1"/>
  <c r="CT1168" i="1"/>
  <c r="CT1141" i="1"/>
  <c r="CT1109" i="1"/>
  <c r="CT1082" i="1"/>
  <c r="CT1050" i="1"/>
  <c r="CT1026" i="1"/>
  <c r="CT994" i="1"/>
  <c r="CT967" i="1"/>
  <c r="CT943" i="1"/>
  <c r="CT911" i="1"/>
  <c r="CT884" i="1"/>
  <c r="CT852" i="1"/>
  <c r="CT825" i="1"/>
  <c r="CT793" i="1"/>
  <c r="CT769" i="1"/>
  <c r="CT737" i="1"/>
  <c r="CT710" i="1"/>
  <c r="CT678" i="1"/>
  <c r="CT654" i="1"/>
  <c r="CT627" i="1"/>
  <c r="CT595" i="1"/>
  <c r="CT568" i="1"/>
  <c r="CT536" i="1"/>
  <c r="CT512" i="1"/>
  <c r="CT480" i="1"/>
  <c r="CT453" i="1"/>
  <c r="CT421" i="1"/>
  <c r="CT394" i="1"/>
  <c r="CT362" i="1"/>
  <c r="CT338" i="1"/>
  <c r="CT311" i="1"/>
  <c r="CT279" i="1"/>
  <c r="CT255" i="1"/>
  <c r="CT223" i="1"/>
  <c r="CT196" i="1"/>
  <c r="CT164" i="1"/>
  <c r="CT137" i="1"/>
  <c r="CT105" i="1"/>
  <c r="CT81" i="1"/>
  <c r="CT49" i="1"/>
  <c r="CT23" i="1"/>
  <c r="CT1607" i="1"/>
  <c r="CT1551" i="1"/>
  <c r="CT1503" i="1"/>
  <c r="CT1464" i="1"/>
  <c r="CT1408" i="1"/>
  <c r="CT1371" i="1"/>
  <c r="CT1330" i="1"/>
  <c r="CT1297" i="1"/>
  <c r="CT1256" i="1"/>
  <c r="CT1230" i="1"/>
  <c r="CT1199" i="1"/>
  <c r="CT1167" i="1"/>
  <c r="CT1140" i="1"/>
  <c r="CT1108" i="1"/>
  <c r="CT1081" i="1"/>
  <c r="CT1049" i="1"/>
  <c r="CT1025" i="1"/>
  <c r="CT993" i="1"/>
  <c r="CT966" i="1"/>
  <c r="CT934" i="1"/>
  <c r="CT910" i="1"/>
  <c r="CT883" i="1"/>
  <c r="CT851" i="1"/>
  <c r="CT824" i="1"/>
  <c r="CT792" i="1"/>
  <c r="CT768" i="1"/>
  <c r="CT736" i="1"/>
  <c r="CT709" i="1"/>
  <c r="CT677" i="1"/>
  <c r="CT650" i="1"/>
  <c r="CT618" i="1"/>
  <c r="CT594" i="1"/>
  <c r="CT567" i="1"/>
  <c r="CT535" i="1"/>
  <c r="CT511" i="1"/>
  <c r="CT479" i="1"/>
  <c r="CT452" i="1"/>
  <c r="CT420" i="1"/>
  <c r="CT393" i="1"/>
  <c r="CT361" i="1"/>
  <c r="CT337" i="1"/>
  <c r="CT305" i="1"/>
  <c r="CT278" i="1"/>
  <c r="CT254" i="1"/>
  <c r="CT222" i="1"/>
  <c r="CT195" i="1"/>
  <c r="CT163" i="1"/>
  <c r="CT136" i="1"/>
  <c r="CT104" i="1"/>
  <c r="CT80" i="1"/>
  <c r="CT48" i="1"/>
  <c r="CT22" i="1"/>
  <c r="CT1596" i="1"/>
  <c r="CT1550" i="1"/>
  <c r="CT1502" i="1"/>
  <c r="CT1463" i="1"/>
  <c r="CT1407" i="1"/>
  <c r="CT1370" i="1"/>
  <c r="CT1329" i="1"/>
  <c r="CT1296" i="1"/>
  <c r="CT1255" i="1"/>
  <c r="CT1224" i="1"/>
  <c r="CT1190" i="1"/>
  <c r="CT1166" i="1"/>
  <c r="CT1139" i="1"/>
  <c r="CT1107" i="1"/>
  <c r="CT1080" i="1"/>
  <c r="CT1048" i="1"/>
  <c r="CT1024" i="1"/>
  <c r="CT992" i="1"/>
  <c r="CT965" i="1"/>
  <c r="CT933" i="1"/>
  <c r="CT906" i="1"/>
  <c r="CT874" i="1"/>
  <c r="CT850" i="1"/>
  <c r="CT823" i="1"/>
  <c r="CT791" i="1"/>
  <c r="CT767" i="1"/>
  <c r="CT735" i="1"/>
  <c r="CT708" i="1"/>
  <c r="CT676" i="1"/>
  <c r="CT649" i="1"/>
  <c r="CT617" i="1"/>
  <c r="CT593" i="1"/>
  <c r="CT561" i="1"/>
  <c r="CT534" i="1"/>
  <c r="CT510" i="1"/>
  <c r="CT478" i="1"/>
  <c r="CT451" i="1"/>
  <c r="CT419" i="1"/>
  <c r="CT392" i="1"/>
  <c r="CT360" i="1"/>
  <c r="CT336" i="1"/>
  <c r="CT304" i="1"/>
  <c r="CT277" i="1"/>
  <c r="CT245" i="1"/>
  <c r="CT218" i="1"/>
  <c r="CT194" i="1"/>
  <c r="CT162" i="1"/>
  <c r="CT135" i="1"/>
  <c r="CT103" i="1"/>
  <c r="CT79" i="1"/>
  <c r="CT47" i="1"/>
  <c r="CT21" i="1"/>
  <c r="CT1595" i="1"/>
  <c r="CT1544" i="1"/>
  <c r="CT1501" i="1"/>
  <c r="CT1453" i="1"/>
  <c r="CT1406" i="1"/>
  <c r="CT1369" i="1"/>
  <c r="CT1328" i="1"/>
  <c r="CT1295" i="1"/>
  <c r="CT1254" i="1"/>
  <c r="CT1223" i="1"/>
  <c r="CT1189" i="1"/>
  <c r="CT1162" i="1"/>
  <c r="CT1130" i="1"/>
  <c r="CT1106" i="1"/>
  <c r="CT1079" i="1"/>
  <c r="CT1047" i="1"/>
  <c r="CT1023" i="1"/>
  <c r="CT991" i="1"/>
  <c r="CT964" i="1"/>
  <c r="CT932" i="1"/>
  <c r="CT905" i="1"/>
  <c r="CT873" i="1"/>
  <c r="CT849" i="1"/>
  <c r="CT817" i="1"/>
  <c r="CT790" i="1"/>
  <c r="CT766" i="1"/>
  <c r="CT734" i="1"/>
  <c r="CT707" i="1"/>
  <c r="CT675" i="1"/>
  <c r="CT648" i="1"/>
  <c r="CT616" i="1"/>
  <c r="CT592" i="1"/>
  <c r="CT560" i="1"/>
  <c r="CT533" i="1"/>
  <c r="CT501" i="1"/>
  <c r="CT474" i="1"/>
  <c r="CT450" i="1"/>
  <c r="CT418" i="1"/>
  <c r="CT391" i="1"/>
  <c r="CT359" i="1"/>
  <c r="CT335" i="1"/>
  <c r="CT303" i="1"/>
  <c r="CT276" i="1"/>
  <c r="CT244" i="1"/>
  <c r="CT217" i="1"/>
  <c r="CT185" i="1"/>
  <c r="CT161" i="1"/>
  <c r="CT134" i="1"/>
  <c r="CT102" i="1"/>
  <c r="CT78" i="1"/>
  <c r="CT46" i="1"/>
  <c r="CT20" i="1"/>
  <c r="CT1593" i="1"/>
  <c r="CT1543" i="1"/>
  <c r="CT1491" i="1"/>
  <c r="CT1447" i="1"/>
  <c r="CT1405" i="1"/>
  <c r="CT1368" i="1"/>
  <c r="CT1322" i="1"/>
  <c r="CT1294" i="1"/>
  <c r="CT1253" i="1"/>
  <c r="CT1222" i="1"/>
  <c r="CT1188" i="1"/>
  <c r="CT1161" i="1"/>
  <c r="CT1129" i="1"/>
  <c r="CT1105" i="1"/>
  <c r="CT1073" i="1"/>
  <c r="CT1046" i="1"/>
  <c r="CT1022" i="1"/>
  <c r="CT990" i="1"/>
  <c r="CT963" i="1"/>
  <c r="CT931" i="1"/>
  <c r="CT904" i="1"/>
  <c r="CT872" i="1"/>
  <c r="CT848" i="1"/>
  <c r="CT816" i="1"/>
  <c r="CT789" i="1"/>
  <c r="CT757" i="1"/>
  <c r="CT730" i="1"/>
  <c r="CT706" i="1"/>
  <c r="CT674" i="1"/>
  <c r="CT647" i="1"/>
  <c r="CT615" i="1"/>
  <c r="CT591" i="1"/>
  <c r="CT559" i="1"/>
  <c r="CT532" i="1"/>
  <c r="CT500" i="1"/>
  <c r="CT473" i="1"/>
  <c r="CT441" i="1"/>
  <c r="CT417" i="1"/>
  <c r="CT390" i="1"/>
  <c r="CT358" i="1"/>
  <c r="CT334" i="1"/>
  <c r="CT302" i="1"/>
  <c r="CT275" i="1"/>
  <c r="CT243" i="1"/>
  <c r="CT216" i="1"/>
  <c r="CT184" i="1"/>
  <c r="CT160" i="1"/>
  <c r="CT128" i="1"/>
  <c r="CT101" i="1"/>
  <c r="CT74" i="1"/>
  <c r="CT42" i="1"/>
  <c r="CT19" i="1"/>
  <c r="CT1592" i="1"/>
  <c r="CT1532" i="1"/>
  <c r="CT1490" i="1"/>
  <c r="CT1443" i="1"/>
  <c r="CT1404" i="1"/>
  <c r="CT1354" i="1"/>
  <c r="CT1321" i="1"/>
  <c r="CT1288" i="1"/>
  <c r="CT1252" i="1"/>
  <c r="CT1221" i="1"/>
  <c r="CT1187" i="1"/>
  <c r="CT1160" i="1"/>
  <c r="CT1128" i="1"/>
  <c r="CT1104" i="1"/>
  <c r="CT1072" i="1"/>
  <c r="CT1045" i="1"/>
  <c r="CT1013" i="1"/>
  <c r="CT986" i="1"/>
  <c r="CT962" i="1"/>
  <c r="CT930" i="1"/>
  <c r="CT903" i="1"/>
  <c r="CT871" i="1"/>
  <c r="CT847" i="1"/>
  <c r="CT815" i="1"/>
  <c r="CT788" i="1"/>
  <c r="CT756" i="1"/>
  <c r="CT729" i="1"/>
  <c r="CT697" i="1"/>
  <c r="CT673" i="1"/>
  <c r="CT646" i="1"/>
  <c r="CT614" i="1"/>
  <c r="CT590" i="1"/>
  <c r="CT558" i="1"/>
  <c r="CT531" i="1"/>
  <c r="CT499" i="1"/>
  <c r="CT472" i="1"/>
  <c r="CT440" i="1"/>
  <c r="CT416" i="1"/>
  <c r="CT384" i="1"/>
  <c r="CT357" i="1"/>
  <c r="CT330" i="1"/>
  <c r="CT298" i="1"/>
  <c r="CT274" i="1"/>
  <c r="CT242" i="1"/>
  <c r="CT215" i="1"/>
  <c r="CT183" i="1"/>
  <c r="CT159" i="1"/>
  <c r="CT127" i="1"/>
  <c r="CT100" i="1"/>
  <c r="CT68" i="1"/>
  <c r="CT41" i="1"/>
  <c r="CT18" i="1"/>
  <c r="CT1570" i="1"/>
  <c r="CT1529" i="1"/>
  <c r="CT1487" i="1"/>
  <c r="CT1434" i="1"/>
  <c r="CT1393" i="1"/>
  <c r="CT1351" i="1"/>
  <c r="CT1317" i="1"/>
  <c r="CT1280" i="1"/>
  <c r="CT1249" i="1"/>
  <c r="CT1208" i="1"/>
  <c r="CT1184" i="1"/>
  <c r="CT1152" i="1"/>
  <c r="CT1125" i="1"/>
  <c r="CT1098" i="1"/>
  <c r="CT1066" i="1"/>
  <c r="CT1042" i="1"/>
  <c r="CT1010" i="1"/>
  <c r="CT983" i="1"/>
  <c r="CT951" i="1"/>
  <c r="CT927" i="1"/>
  <c r="CT895" i="1"/>
  <c r="CT868" i="1"/>
  <c r="CT836" i="1"/>
  <c r="CT809" i="1"/>
  <c r="CT785" i="1"/>
  <c r="CT753" i="1"/>
  <c r="CT726" i="1"/>
  <c r="CT694" i="1"/>
  <c r="CT670" i="1"/>
  <c r="CT638" i="1"/>
  <c r="CT611" i="1"/>
  <c r="CT579" i="1"/>
  <c r="CT552" i="1"/>
  <c r="CT520" i="1"/>
  <c r="CT496" i="1"/>
  <c r="CT469" i="1"/>
  <c r="CT437" i="1"/>
  <c r="CT410" i="1"/>
  <c r="CT378" i="1"/>
  <c r="CT354" i="1"/>
  <c r="CT322" i="1"/>
  <c r="CT295" i="1"/>
  <c r="CT263" i="1"/>
  <c r="CT239" i="1"/>
  <c r="CT207" i="1"/>
  <c r="CT180" i="1"/>
  <c r="CT153" i="1"/>
  <c r="CT121" i="1"/>
  <c r="CT97" i="1"/>
  <c r="CT65" i="1"/>
  <c r="CT38" i="1"/>
  <c r="CT8" i="1"/>
  <c r="CT1569" i="1"/>
  <c r="CT1528" i="1"/>
  <c r="CT1472" i="1"/>
  <c r="CT1433" i="1"/>
  <c r="CT1392" i="1"/>
  <c r="CT1349" i="1"/>
  <c r="CT1316" i="1"/>
  <c r="CT1279" i="1"/>
  <c r="CT1248" i="1"/>
  <c r="CT1207" i="1"/>
  <c r="CT1183" i="1"/>
  <c r="CT1151" i="1"/>
  <c r="CT1124" i="1"/>
  <c r="CT1092" i="1"/>
  <c r="CT1065" i="1"/>
  <c r="CT1041" i="1"/>
  <c r="CT1009" i="1"/>
  <c r="CT982" i="1"/>
  <c r="CT950" i="1"/>
  <c r="CT926" i="1"/>
  <c r="CT894" i="1"/>
  <c r="CT867" i="1"/>
  <c r="CT835" i="1"/>
  <c r="CT808" i="1"/>
  <c r="CT776" i="1"/>
  <c r="CT752" i="1"/>
  <c r="CT725" i="1"/>
  <c r="CT693" i="1"/>
  <c r="CT666" i="1"/>
  <c r="CT634" i="1"/>
  <c r="CT610" i="1"/>
  <c r="CT578" i="1"/>
  <c r="CT551" i="1"/>
  <c r="CT519" i="1"/>
  <c r="CT495" i="1"/>
  <c r="CT463" i="1"/>
  <c r="CT436" i="1"/>
  <c r="CT409" i="1"/>
  <c r="CT377" i="1"/>
  <c r="CT353" i="1"/>
  <c r="CT321" i="1"/>
  <c r="CT294" i="1"/>
  <c r="CT262" i="1"/>
  <c r="CT238" i="1"/>
  <c r="CT206" i="1"/>
  <c r="CT179" i="1"/>
  <c r="CT147" i="1"/>
  <c r="CT120" i="1"/>
  <c r="CT96" i="1"/>
  <c r="CT64" i="1"/>
  <c r="CT37" i="1"/>
  <c r="CT7" i="1"/>
  <c r="CT1568" i="1"/>
  <c r="CT1527" i="1"/>
  <c r="CT1471" i="1"/>
  <c r="CT1432" i="1"/>
  <c r="CT1386" i="1"/>
  <c r="CT1348" i="1"/>
  <c r="CT1315" i="1"/>
  <c r="CT1278" i="1"/>
  <c r="CT1247" i="1"/>
  <c r="CT1206" i="1"/>
  <c r="CT1182" i="1"/>
  <c r="CT1150" i="1"/>
  <c r="CT1123" i="1"/>
  <c r="CT1091" i="1"/>
  <c r="CT1064" i="1"/>
  <c r="CT1032" i="1"/>
  <c r="CT1008" i="1"/>
  <c r="CT981" i="1"/>
  <c r="CT949" i="1"/>
  <c r="CT922" i="1"/>
  <c r="CT890" i="1"/>
  <c r="CT866" i="1"/>
  <c r="CT834" i="1"/>
  <c r="CT807" i="1"/>
  <c r="CT775" i="1"/>
  <c r="CT751" i="1"/>
  <c r="CT719" i="1"/>
  <c r="CT692" i="1"/>
  <c r="CT665" i="1"/>
  <c r="CT633" i="1"/>
  <c r="CT609" i="1"/>
  <c r="CT577" i="1"/>
  <c r="CT550" i="1"/>
  <c r="CT518" i="1"/>
  <c r="CT494" i="1"/>
  <c r="CT462" i="1"/>
  <c r="CT435" i="1"/>
  <c r="CT403" i="1"/>
  <c r="CT376" i="1"/>
  <c r="CT352" i="1"/>
  <c r="CT320" i="1"/>
  <c r="CT293" i="1"/>
  <c r="CT261" i="1"/>
  <c r="CT234" i="1"/>
  <c r="CT202" i="1"/>
  <c r="CT1566" i="1"/>
  <c r="CT1522" i="1"/>
  <c r="CT1469" i="1"/>
  <c r="CT1427" i="1"/>
  <c r="CT1384" i="1"/>
  <c r="CT1346" i="1"/>
  <c r="CT1303" i="1"/>
  <c r="CT1271" i="1"/>
  <c r="CT1235" i="1"/>
  <c r="CT1204" i="1"/>
  <c r="CT1177" i="1"/>
  <c r="CT1145" i="1"/>
  <c r="CT1121" i="1"/>
  <c r="CT1089" i="1"/>
  <c r="CT1062" i="1"/>
  <c r="CT1030" i="1"/>
  <c r="CT1006" i="1"/>
  <c r="CT974" i="1"/>
  <c r="CT947" i="1"/>
  <c r="CT915" i="1"/>
  <c r="CT888" i="1"/>
  <c r="CT864" i="1"/>
  <c r="CT832" i="1"/>
  <c r="CT805" i="1"/>
  <c r="CT773" i="1"/>
  <c r="CT746" i="1"/>
  <c r="CT714" i="1"/>
  <c r="CT690" i="1"/>
  <c r="CT658" i="1"/>
  <c r="CT631" i="1"/>
  <c r="CT599" i="1"/>
  <c r="CT575" i="1"/>
  <c r="CT548" i="1"/>
  <c r="CT516" i="1"/>
  <c r="CT489" i="1"/>
  <c r="CT457" i="1"/>
  <c r="CT1563" i="1"/>
  <c r="CT1426" i="1"/>
  <c r="CT1319" i="1"/>
  <c r="CT1232" i="1"/>
  <c r="CT1144" i="1"/>
  <c r="CT1070" i="1"/>
  <c r="CT1000" i="1"/>
  <c r="CT914" i="1"/>
  <c r="CT842" i="1"/>
  <c r="CT770" i="1"/>
  <c r="CT689" i="1"/>
  <c r="CT612" i="1"/>
  <c r="CT537" i="1"/>
  <c r="CT456" i="1"/>
  <c r="CT398" i="1"/>
  <c r="CT323" i="1"/>
  <c r="CT259" i="1"/>
  <c r="CT198" i="1"/>
  <c r="CT142" i="1"/>
  <c r="CT83" i="1"/>
  <c r="CT25" i="1"/>
  <c r="CT1531" i="1"/>
  <c r="CT1425" i="1"/>
  <c r="CT1304" i="1"/>
  <c r="CT1220" i="1"/>
  <c r="CT1143" i="1"/>
  <c r="CT1063" i="1"/>
  <c r="CT985" i="1"/>
  <c r="CT913" i="1"/>
  <c r="CT833" i="1"/>
  <c r="CT755" i="1"/>
  <c r="CT688" i="1"/>
  <c r="CT608" i="1"/>
  <c r="CT530" i="1"/>
  <c r="CT455" i="1"/>
  <c r="CT383" i="1"/>
  <c r="CT319" i="1"/>
  <c r="CT258" i="1"/>
  <c r="CT197" i="1"/>
  <c r="CT138" i="1"/>
  <c r="CT82" i="1"/>
  <c r="CT24" i="1"/>
  <c r="CT1530" i="1"/>
  <c r="CT1410" i="1"/>
  <c r="CT1301" i="1"/>
  <c r="CT1214" i="1"/>
  <c r="CT1142" i="1"/>
  <c r="CT1061" i="1"/>
  <c r="CT984" i="1"/>
  <c r="CT912" i="1"/>
  <c r="CT831" i="1"/>
  <c r="CT754" i="1"/>
  <c r="CT687" i="1"/>
  <c r="CT598" i="1"/>
  <c r="CT529" i="1"/>
  <c r="CT454" i="1"/>
  <c r="CT382" i="1"/>
  <c r="CT318" i="1"/>
  <c r="CT257" i="1"/>
  <c r="CT182" i="1"/>
  <c r="CT126" i="1"/>
  <c r="CT67" i="1"/>
  <c r="CT17" i="1"/>
  <c r="CT1523" i="1"/>
  <c r="CT1403" i="1"/>
  <c r="CT1300" i="1"/>
  <c r="CT1205" i="1"/>
  <c r="CT1127" i="1"/>
  <c r="CT1060" i="1"/>
  <c r="CT975" i="1"/>
  <c r="CT902" i="1"/>
  <c r="CT830" i="1"/>
  <c r="CT750" i="1"/>
  <c r="CT672" i="1"/>
  <c r="CT597" i="1"/>
  <c r="CT517" i="1"/>
  <c r="CT439" i="1"/>
  <c r="CT375" i="1"/>
  <c r="CT314" i="1"/>
  <c r="CT256" i="1"/>
  <c r="CT181" i="1"/>
  <c r="CT122" i="1"/>
  <c r="CT66" i="1"/>
  <c r="CT9" i="1"/>
  <c r="CT1521" i="1"/>
  <c r="CT1394" i="1"/>
  <c r="CT1299" i="1"/>
  <c r="CT1203" i="1"/>
  <c r="CT1126" i="1"/>
  <c r="CT1054" i="1"/>
  <c r="CT970" i="1"/>
  <c r="CT896" i="1"/>
  <c r="CT826" i="1"/>
  <c r="CT745" i="1"/>
  <c r="CT671" i="1"/>
  <c r="CT596" i="1"/>
  <c r="CT515" i="1"/>
  <c r="CT438" i="1"/>
  <c r="CT374" i="1"/>
  <c r="CT313" i="1"/>
  <c r="CT241" i="1"/>
  <c r="CT178" i="1"/>
  <c r="CT119" i="1"/>
  <c r="CT63" i="1"/>
  <c r="CT6" i="1"/>
  <c r="CT1506" i="1"/>
  <c r="CT1385" i="1"/>
  <c r="CT1282" i="1"/>
  <c r="CT1202" i="1"/>
  <c r="CT1122" i="1"/>
  <c r="CT1044" i="1"/>
  <c r="CT969" i="1"/>
  <c r="CT889" i="1"/>
  <c r="CT814" i="1"/>
  <c r="CT744" i="1"/>
  <c r="CT659" i="1"/>
  <c r="CT586" i="1"/>
  <c r="CT514" i="1"/>
  <c r="CT434" i="1"/>
  <c r="CT373" i="1"/>
  <c r="CT312" i="1"/>
  <c r="CT240" i="1"/>
  <c r="CT177" i="1"/>
  <c r="CT118" i="1"/>
  <c r="CT62" i="1"/>
  <c r="CT5" i="1"/>
  <c r="CT1505" i="1"/>
  <c r="CT1375" i="1"/>
  <c r="CT1281" i="1"/>
  <c r="CT1611" i="1"/>
  <c r="CT1488" i="1"/>
  <c r="CT1373" i="1"/>
  <c r="CT1270" i="1"/>
  <c r="CT1185" i="1"/>
  <c r="CT1110" i="1"/>
  <c r="CT1029" i="1"/>
  <c r="CT952" i="1"/>
  <c r="CT885" i="1"/>
  <c r="CT804" i="1"/>
  <c r="CT727" i="1"/>
  <c r="CT655" i="1"/>
  <c r="CT574" i="1"/>
  <c r="CT497" i="1"/>
  <c r="CT431" i="1"/>
  <c r="CT356" i="1"/>
  <c r="CT292" i="1"/>
  <c r="CT226" i="1"/>
  <c r="CT166" i="1"/>
  <c r="CT115" i="1"/>
  <c r="CT56" i="1"/>
  <c r="CT1609" i="1"/>
  <c r="CT1352" i="1"/>
  <c r="CT1178" i="1"/>
  <c r="CT1043" i="1"/>
  <c r="CT928" i="1"/>
  <c r="CT786" i="1"/>
  <c r="CT639" i="1"/>
  <c r="CT498" i="1"/>
  <c r="CT399" i="1"/>
  <c r="CT273" i="1"/>
  <c r="CT154" i="1"/>
  <c r="CT55" i="1"/>
  <c r="CT1591" i="1"/>
  <c r="CT1347" i="1"/>
  <c r="CT1171" i="1"/>
  <c r="CT1031" i="1"/>
  <c r="CT921" i="1"/>
  <c r="CT774" i="1"/>
  <c r="CT632" i="1"/>
  <c r="CT490" i="1"/>
  <c r="CT372" i="1"/>
  <c r="CT264" i="1"/>
  <c r="CT146" i="1"/>
  <c r="CT40" i="1"/>
  <c r="CT1586" i="1"/>
  <c r="CT1345" i="1"/>
  <c r="CT1170" i="1"/>
  <c r="CT1028" i="1"/>
  <c r="CT887" i="1"/>
  <c r="CT772" i="1"/>
  <c r="CT630" i="1"/>
  <c r="CT488" i="1"/>
  <c r="CT371" i="1"/>
  <c r="CT260" i="1"/>
  <c r="CT145" i="1"/>
  <c r="CT39" i="1"/>
  <c r="CT1567" i="1"/>
  <c r="CT1339" i="1"/>
  <c r="CT1169" i="1"/>
  <c r="CT1027" i="1"/>
  <c r="CT886" i="1"/>
  <c r="CT771" i="1"/>
  <c r="CT629" i="1"/>
  <c r="CT482" i="1"/>
  <c r="CT355" i="1"/>
  <c r="CT233" i="1"/>
  <c r="CT144" i="1"/>
  <c r="CT36" i="1"/>
  <c r="CT1565" i="1"/>
  <c r="CT1338" i="1"/>
  <c r="CT1159" i="1"/>
  <c r="CT1012" i="1"/>
  <c r="CT870" i="1"/>
  <c r="CT738" i="1"/>
  <c r="CT628" i="1"/>
  <c r="CT481" i="1"/>
  <c r="CT343" i="1"/>
  <c r="CT232" i="1"/>
  <c r="CT143" i="1"/>
  <c r="CT31" i="1"/>
  <c r="CT1564" i="1"/>
  <c r="CT1320" i="1"/>
  <c r="CT1158" i="1"/>
  <c r="CT1011" i="1"/>
  <c r="CT869" i="1"/>
  <c r="CT728" i="1"/>
  <c r="CT613" i="1"/>
  <c r="CT471" i="1"/>
  <c r="CT342" i="1"/>
  <c r="CT225" i="1"/>
  <c r="CT117" i="1"/>
  <c r="CT30" i="1"/>
  <c r="CT1489" i="1"/>
  <c r="CT1272" i="1"/>
  <c r="CT1146" i="1"/>
  <c r="CT1007" i="1"/>
  <c r="CT865" i="1"/>
  <c r="CT718" i="1"/>
  <c r="CT580" i="1"/>
  <c r="CT470" i="1"/>
  <c r="CT341" i="1"/>
  <c r="CT224" i="1"/>
  <c r="CT116" i="1"/>
  <c r="CT26" i="1"/>
  <c r="CT1470" i="1"/>
  <c r="CT1269" i="1"/>
  <c r="CT1120" i="1"/>
  <c r="CT1002" i="1"/>
  <c r="CT855" i="1"/>
  <c r="CT713" i="1"/>
  <c r="CT576" i="1"/>
  <c r="CT1468" i="1"/>
  <c r="CT1268" i="1"/>
  <c r="CT1111" i="1"/>
  <c r="CT1001" i="1"/>
  <c r="CT854" i="1"/>
  <c r="CT712" i="1"/>
  <c r="CT570" i="1"/>
  <c r="CT433" i="1"/>
  <c r="CT339" i="1"/>
  <c r="CT213" i="1"/>
  <c r="CT99" i="1"/>
  <c r="CT1467" i="1"/>
  <c r="CT1090" i="1"/>
  <c r="CT798" i="1"/>
  <c r="CT513" i="1"/>
  <c r="CT280" i="1"/>
  <c r="CT57" i="1"/>
  <c r="CT1466" i="1"/>
  <c r="CT1088" i="1"/>
  <c r="CT794" i="1"/>
  <c r="CT458" i="1"/>
  <c r="CT214" i="1"/>
  <c r="CT4" i="1"/>
  <c r="CT1442" i="1"/>
  <c r="CT1087" i="1"/>
  <c r="CT787" i="1"/>
  <c r="CT432" i="1"/>
  <c r="CT201" i="1"/>
  <c r="CT1441" i="1"/>
  <c r="CT1086" i="1"/>
  <c r="CT711" i="1"/>
  <c r="CT422" i="1"/>
  <c r="CT200" i="1"/>
  <c r="CT1431" i="1"/>
  <c r="CT1071" i="1"/>
  <c r="CT696" i="1"/>
  <c r="CT415" i="1"/>
  <c r="CT199" i="1"/>
  <c r="CT1374" i="1"/>
  <c r="CT968" i="1"/>
  <c r="CT695" i="1"/>
  <c r="CT414" i="1"/>
  <c r="CT176" i="1"/>
  <c r="CT1353" i="1"/>
  <c r="CT953" i="1"/>
  <c r="CT691" i="1"/>
  <c r="CT402" i="1"/>
  <c r="CT175" i="1"/>
  <c r="CT1251" i="1"/>
  <c r="CT948" i="1"/>
  <c r="CT657" i="1"/>
  <c r="CT401" i="1"/>
  <c r="CT165" i="1"/>
  <c r="CT1234" i="1"/>
  <c r="CT569" i="1"/>
  <c r="CT98" i="1"/>
  <c r="CT1233" i="1"/>
  <c r="CT554" i="1"/>
  <c r="CT87" i="1"/>
  <c r="CT1201" i="1"/>
  <c r="CT553" i="1"/>
  <c r="CT86" i="1"/>
  <c r="CT1186" i="1"/>
  <c r="CT549" i="1"/>
  <c r="CT85" i="1"/>
  <c r="CT1103" i="1"/>
  <c r="CT542" i="1"/>
  <c r="CT84" i="1"/>
  <c r="CT1102" i="1"/>
  <c r="CT538" i="1"/>
  <c r="CT58" i="1"/>
  <c r="CT946" i="1"/>
  <c r="CT400" i="1"/>
  <c r="CT945" i="1"/>
  <c r="CT340" i="1"/>
  <c r="CT944" i="1"/>
  <c r="CT324" i="1"/>
  <c r="CT929" i="1"/>
  <c r="CT297" i="1"/>
  <c r="CT853" i="1"/>
  <c r="CT296" i="1"/>
  <c r="CT846" i="1"/>
  <c r="CT286" i="1"/>
  <c r="CT656" i="1"/>
  <c r="CT640" i="1"/>
  <c r="CT282" i="1"/>
  <c r="CT281" i="1"/>
  <c r="CT158" i="1"/>
  <c r="CT106" i="1"/>
  <c r="CT1610" i="1"/>
  <c r="CT1250" i="1"/>
  <c r="CT1246" i="1"/>
  <c r="CT810" i="1"/>
  <c r="CT806" i="1"/>
  <c r="CR1620" i="1"/>
  <c r="CR1604" i="1"/>
  <c r="CR1588" i="1"/>
  <c r="CR1572" i="1"/>
  <c r="CR1556" i="1"/>
  <c r="CR1540" i="1"/>
  <c r="CR1524" i="1"/>
  <c r="CR1619" i="1"/>
  <c r="CR1603" i="1"/>
  <c r="CR1587" i="1"/>
  <c r="CR1571" i="1"/>
  <c r="CR1555" i="1"/>
  <c r="CR1539" i="1"/>
  <c r="CR1523" i="1"/>
  <c r="CR1507" i="1"/>
  <c r="CR1491" i="1"/>
  <c r="CR1475" i="1"/>
  <c r="CR1459" i="1"/>
  <c r="CR1443" i="1"/>
  <c r="CR1427" i="1"/>
  <c r="CR1411" i="1"/>
  <c r="CR1395" i="1"/>
  <c r="CR1379" i="1"/>
  <c r="CR1363" i="1"/>
  <c r="CR1618" i="1"/>
  <c r="CR1602" i="1"/>
  <c r="CR1586" i="1"/>
  <c r="CR1570" i="1"/>
  <c r="CR1554" i="1"/>
  <c r="CR1538" i="1"/>
  <c r="CR1617" i="1"/>
  <c r="CR1601" i="1"/>
  <c r="CR1585" i="1"/>
  <c r="CR1569" i="1"/>
  <c r="CR1553" i="1"/>
  <c r="CR1537" i="1"/>
  <c r="CR1521" i="1"/>
  <c r="CR1505" i="1"/>
  <c r="CR1489" i="1"/>
  <c r="CR1473" i="1"/>
  <c r="CR1457" i="1"/>
  <c r="CR1441" i="1"/>
  <c r="CR1425" i="1"/>
  <c r="CR1409" i="1"/>
  <c r="CR1393" i="1"/>
  <c r="CR1377" i="1"/>
  <c r="CR1361" i="1"/>
  <c r="CR1615" i="1"/>
  <c r="CR1599" i="1"/>
  <c r="CR1583" i="1"/>
  <c r="CR1567" i="1"/>
  <c r="CR1551" i="1"/>
  <c r="CR1535" i="1"/>
  <c r="CR1519" i="1"/>
  <c r="CR1623" i="1"/>
  <c r="CR1597" i="1"/>
  <c r="CR1576" i="1"/>
  <c r="CR1550" i="1"/>
  <c r="CR1529" i="1"/>
  <c r="CR1509" i="1"/>
  <c r="CR1490" i="1"/>
  <c r="CR1471" i="1"/>
  <c r="CR1453" i="1"/>
  <c r="CR1435" i="1"/>
  <c r="CR1417" i="1"/>
  <c r="CR1399" i="1"/>
  <c r="CR1381" i="1"/>
  <c r="CR1362" i="1"/>
  <c r="CR1345" i="1"/>
  <c r="CR1329" i="1"/>
  <c r="CR1313" i="1"/>
  <c r="CR1297" i="1"/>
  <c r="CR1281" i="1"/>
  <c r="CR1265" i="1"/>
  <c r="CR1249" i="1"/>
  <c r="CR1233" i="1"/>
  <c r="CR1217" i="1"/>
  <c r="CR1201" i="1"/>
  <c r="CR1185" i="1"/>
  <c r="CR1169" i="1"/>
  <c r="CR1153" i="1"/>
  <c r="CR1137" i="1"/>
  <c r="CR1121" i="1"/>
  <c r="CR1105" i="1"/>
  <c r="CR1089" i="1"/>
  <c r="CR1073" i="1"/>
  <c r="CR1057" i="1"/>
  <c r="CR1041" i="1"/>
  <c r="CR1025" i="1"/>
  <c r="CR1009" i="1"/>
  <c r="CR993" i="1"/>
  <c r="CR977" i="1"/>
  <c r="CR961" i="1"/>
  <c r="CR945" i="1"/>
  <c r="CR929" i="1"/>
  <c r="CR913" i="1"/>
  <c r="CR897" i="1"/>
  <c r="CR881" i="1"/>
  <c r="CR865" i="1"/>
  <c r="CR849" i="1"/>
  <c r="CR833" i="1"/>
  <c r="CR817" i="1"/>
  <c r="CR801" i="1"/>
  <c r="CR785" i="1"/>
  <c r="CR769" i="1"/>
  <c r="CR753" i="1"/>
  <c r="CR737" i="1"/>
  <c r="CR721" i="1"/>
  <c r="CR705" i="1"/>
  <c r="CR689" i="1"/>
  <c r="CR673" i="1"/>
  <c r="CR657" i="1"/>
  <c r="CR641" i="1"/>
  <c r="CR625" i="1"/>
  <c r="CR609" i="1"/>
  <c r="CR593" i="1"/>
  <c r="CR577" i="1"/>
  <c r="CR561" i="1"/>
  <c r="CR545" i="1"/>
  <c r="CR529" i="1"/>
  <c r="CR513" i="1"/>
  <c r="CR497" i="1"/>
  <c r="CR481" i="1"/>
  <c r="CR465" i="1"/>
  <c r="CR449" i="1"/>
  <c r="CR433" i="1"/>
  <c r="CR417" i="1"/>
  <c r="CR401" i="1"/>
  <c r="CR385" i="1"/>
  <c r="CR369" i="1"/>
  <c r="CR353" i="1"/>
  <c r="CR337" i="1"/>
  <c r="CR321" i="1"/>
  <c r="CR305" i="1"/>
  <c r="CR289" i="1"/>
  <c r="CR273" i="1"/>
  <c r="CR257" i="1"/>
  <c r="CR241" i="1"/>
  <c r="CR225" i="1"/>
  <c r="CR209" i="1"/>
  <c r="CR193" i="1"/>
  <c r="CR177" i="1"/>
  <c r="CR161" i="1"/>
  <c r="CR145" i="1"/>
  <c r="CR129" i="1"/>
  <c r="CR113" i="1"/>
  <c r="CR97" i="1"/>
  <c r="CR81" i="1"/>
  <c r="CR65" i="1"/>
  <c r="CR49" i="1"/>
  <c r="CR33" i="1"/>
  <c r="CR17" i="1"/>
  <c r="CR1622" i="1"/>
  <c r="CR1596" i="1"/>
  <c r="CR1575" i="1"/>
  <c r="CR1549" i="1"/>
  <c r="CR1528" i="1"/>
  <c r="CR1508" i="1"/>
  <c r="CR1488" i="1"/>
  <c r="CR1470" i="1"/>
  <c r="CR1452" i="1"/>
  <c r="CR1434" i="1"/>
  <c r="CR1416" i="1"/>
  <c r="CR1398" i="1"/>
  <c r="CR1380" i="1"/>
  <c r="CR1360" i="1"/>
  <c r="CR1344" i="1"/>
  <c r="CR1328" i="1"/>
  <c r="CR1312" i="1"/>
  <c r="CR1296" i="1"/>
  <c r="CR1280" i="1"/>
  <c r="CR1264" i="1"/>
  <c r="CR1248" i="1"/>
  <c r="CR1232" i="1"/>
  <c r="CR1216" i="1"/>
  <c r="CR1200" i="1"/>
  <c r="CR1184" i="1"/>
  <c r="CR1168" i="1"/>
  <c r="CR1152" i="1"/>
  <c r="CR1136" i="1"/>
  <c r="CR1120" i="1"/>
  <c r="CR1104" i="1"/>
  <c r="CR1088" i="1"/>
  <c r="CR1072" i="1"/>
  <c r="CR1056" i="1"/>
  <c r="CR1040" i="1"/>
  <c r="CR1024" i="1"/>
  <c r="CR1008" i="1"/>
  <c r="CR992" i="1"/>
  <c r="CR976" i="1"/>
  <c r="CR960" i="1"/>
  <c r="CR944" i="1"/>
  <c r="CR928" i="1"/>
  <c r="CR912" i="1"/>
  <c r="CR896" i="1"/>
  <c r="CR880" i="1"/>
  <c r="CR864" i="1"/>
  <c r="CR848" i="1"/>
  <c r="CR832" i="1"/>
  <c r="CR816" i="1"/>
  <c r="CR800" i="1"/>
  <c r="CR784" i="1"/>
  <c r="CR768" i="1"/>
  <c r="CR752" i="1"/>
  <c r="CR736" i="1"/>
  <c r="CR720" i="1"/>
  <c r="CR704" i="1"/>
  <c r="CR688" i="1"/>
  <c r="CR672" i="1"/>
  <c r="CR656" i="1"/>
  <c r="CR640" i="1"/>
  <c r="CR624" i="1"/>
  <c r="CR608" i="1"/>
  <c r="CR592" i="1"/>
  <c r="CR576" i="1"/>
  <c r="CR560" i="1"/>
  <c r="CR544" i="1"/>
  <c r="CR528" i="1"/>
  <c r="CR512" i="1"/>
  <c r="CR496" i="1"/>
  <c r="CR480" i="1"/>
  <c r="CR464" i="1"/>
  <c r="CR448" i="1"/>
  <c r="CR432" i="1"/>
  <c r="CR416" i="1"/>
  <c r="CR400" i="1"/>
  <c r="CR384" i="1"/>
  <c r="CR368" i="1"/>
  <c r="CR352" i="1"/>
  <c r="CR336" i="1"/>
  <c r="CR320" i="1"/>
  <c r="CR304" i="1"/>
  <c r="CR288" i="1"/>
  <c r="CR272" i="1"/>
  <c r="CR256" i="1"/>
  <c r="CR240" i="1"/>
  <c r="CR224" i="1"/>
  <c r="CR208" i="1"/>
  <c r="CR192" i="1"/>
  <c r="CR176" i="1"/>
  <c r="CR160" i="1"/>
  <c r="CR144" i="1"/>
  <c r="CR128" i="1"/>
  <c r="CR112" i="1"/>
  <c r="CR96" i="1"/>
  <c r="CR80" i="1"/>
  <c r="CR64" i="1"/>
  <c r="CR48" i="1"/>
  <c r="CR32" i="1"/>
  <c r="CR16" i="1"/>
  <c r="CR1621" i="1"/>
  <c r="CR1595" i="1"/>
  <c r="CR1574" i="1"/>
  <c r="CR1548" i="1"/>
  <c r="CR1527" i="1"/>
  <c r="CR1506" i="1"/>
  <c r="CR1487" i="1"/>
  <c r="CR1469" i="1"/>
  <c r="CR1451" i="1"/>
  <c r="CR1433" i="1"/>
  <c r="CR1415" i="1"/>
  <c r="CR1397" i="1"/>
  <c r="CR1378" i="1"/>
  <c r="CR1359" i="1"/>
  <c r="CR1343" i="1"/>
  <c r="CR1327" i="1"/>
  <c r="CR1311" i="1"/>
  <c r="CR1295" i="1"/>
  <c r="CR1279" i="1"/>
  <c r="CR1263" i="1"/>
  <c r="CR1247" i="1"/>
  <c r="CR1231" i="1"/>
  <c r="CR1215" i="1"/>
  <c r="CR1199" i="1"/>
  <c r="CR1183" i="1"/>
  <c r="CR1167" i="1"/>
  <c r="CR1151" i="1"/>
  <c r="CR1135" i="1"/>
  <c r="CR1119" i="1"/>
  <c r="CR1103" i="1"/>
  <c r="CR1087" i="1"/>
  <c r="CR1071" i="1"/>
  <c r="CR1055" i="1"/>
  <c r="CR1039" i="1"/>
  <c r="CR1023" i="1"/>
  <c r="CR1007" i="1"/>
  <c r="CR991" i="1"/>
  <c r="CR975" i="1"/>
  <c r="CR959" i="1"/>
  <c r="CR943" i="1"/>
  <c r="CR927" i="1"/>
  <c r="CR911" i="1"/>
  <c r="CR895" i="1"/>
  <c r="CR879" i="1"/>
  <c r="CR863" i="1"/>
  <c r="CR847" i="1"/>
  <c r="CR831" i="1"/>
  <c r="CR815" i="1"/>
  <c r="CR799" i="1"/>
  <c r="CR783" i="1"/>
  <c r="CR767" i="1"/>
  <c r="CR751" i="1"/>
  <c r="CR735" i="1"/>
  <c r="CR719" i="1"/>
  <c r="CR703" i="1"/>
  <c r="CR687" i="1"/>
  <c r="CR671" i="1"/>
  <c r="CR655" i="1"/>
  <c r="CR639" i="1"/>
  <c r="CR623" i="1"/>
  <c r="CR607" i="1"/>
  <c r="CR591" i="1"/>
  <c r="CR575" i="1"/>
  <c r="CR559" i="1"/>
  <c r="CR543" i="1"/>
  <c r="CR527" i="1"/>
  <c r="CR511" i="1"/>
  <c r="CR495" i="1"/>
  <c r="CR479" i="1"/>
  <c r="CR463" i="1"/>
  <c r="CR447" i="1"/>
  <c r="CR431" i="1"/>
  <c r="CR415" i="1"/>
  <c r="CR399" i="1"/>
  <c r="CR383" i="1"/>
  <c r="CR367" i="1"/>
  <c r="CR351" i="1"/>
  <c r="CR335" i="1"/>
  <c r="CR319" i="1"/>
  <c r="CR303" i="1"/>
  <c r="CR287" i="1"/>
  <c r="CR271" i="1"/>
  <c r="CR255" i="1"/>
  <c r="CR239" i="1"/>
  <c r="CR223" i="1"/>
  <c r="CR207" i="1"/>
  <c r="CR191" i="1"/>
  <c r="CR175" i="1"/>
  <c r="CR159" i="1"/>
  <c r="CR143" i="1"/>
  <c r="CR127" i="1"/>
  <c r="CR111" i="1"/>
  <c r="CR95" i="1"/>
  <c r="CR79" i="1"/>
  <c r="CR63" i="1"/>
  <c r="CR47" i="1"/>
  <c r="CR31" i="1"/>
  <c r="CR15" i="1"/>
  <c r="CR1616" i="1"/>
  <c r="CR1594" i="1"/>
  <c r="CR1573" i="1"/>
  <c r="CR1547" i="1"/>
  <c r="CR1526" i="1"/>
  <c r="CR1504" i="1"/>
  <c r="CR1486" i="1"/>
  <c r="CR1468" i="1"/>
  <c r="CR1450" i="1"/>
  <c r="CR1432" i="1"/>
  <c r="CR1414" i="1"/>
  <c r="CR1396" i="1"/>
  <c r="CR1376" i="1"/>
  <c r="CR1358" i="1"/>
  <c r="CR1342" i="1"/>
  <c r="CR1326" i="1"/>
  <c r="CR1310" i="1"/>
  <c r="CR1294" i="1"/>
  <c r="CR1278" i="1"/>
  <c r="CR1262" i="1"/>
  <c r="CR1246" i="1"/>
  <c r="CR1230" i="1"/>
  <c r="CR1214" i="1"/>
  <c r="CR1198" i="1"/>
  <c r="CR1182" i="1"/>
  <c r="CR1166" i="1"/>
  <c r="CR1150" i="1"/>
  <c r="CR1134" i="1"/>
  <c r="CR1118" i="1"/>
  <c r="CR1102" i="1"/>
  <c r="CR1086" i="1"/>
  <c r="CR1070" i="1"/>
  <c r="CR1054" i="1"/>
  <c r="CR1038" i="1"/>
  <c r="CR1022" i="1"/>
  <c r="CR1006" i="1"/>
  <c r="CR990" i="1"/>
  <c r="CR974" i="1"/>
  <c r="CR958" i="1"/>
  <c r="CR942" i="1"/>
  <c r="CR926" i="1"/>
  <c r="CR910" i="1"/>
  <c r="CR894" i="1"/>
  <c r="CR878" i="1"/>
  <c r="CR862" i="1"/>
  <c r="CR846" i="1"/>
  <c r="CR830" i="1"/>
  <c r="CR814" i="1"/>
  <c r="CR1614" i="1"/>
  <c r="CR1593" i="1"/>
  <c r="CR1568" i="1"/>
  <c r="CR1546" i="1"/>
  <c r="CR1525" i="1"/>
  <c r="CR1503" i="1"/>
  <c r="CR1485" i="1"/>
  <c r="CR1467" i="1"/>
  <c r="CR1449" i="1"/>
  <c r="CR1431" i="1"/>
  <c r="CR1413" i="1"/>
  <c r="CR1394" i="1"/>
  <c r="CR1375" i="1"/>
  <c r="CR1357" i="1"/>
  <c r="CR1341" i="1"/>
  <c r="CR1325" i="1"/>
  <c r="CR1309" i="1"/>
  <c r="CR1293" i="1"/>
  <c r="CR1277" i="1"/>
  <c r="CR1261" i="1"/>
  <c r="CR1245" i="1"/>
  <c r="CR1229" i="1"/>
  <c r="CR1213" i="1"/>
  <c r="CR1197" i="1"/>
  <c r="CR1181" i="1"/>
  <c r="CR1165" i="1"/>
  <c r="CR1149" i="1"/>
  <c r="CR1133" i="1"/>
  <c r="CR1117" i="1"/>
  <c r="CR1101" i="1"/>
  <c r="CR1085" i="1"/>
  <c r="CR1069" i="1"/>
  <c r="CR1053" i="1"/>
  <c r="CR1037" i="1"/>
  <c r="CR1021" i="1"/>
  <c r="CR1005" i="1"/>
  <c r="CR989" i="1"/>
  <c r="CR973" i="1"/>
  <c r="CR957" i="1"/>
  <c r="CR941" i="1"/>
  <c r="CR925" i="1"/>
  <c r="CR909" i="1"/>
  <c r="CR893" i="1"/>
  <c r="CR877" i="1"/>
  <c r="CR861" i="1"/>
  <c r="CR845" i="1"/>
  <c r="CR829" i="1"/>
  <c r="CR813" i="1"/>
  <c r="CR1613" i="1"/>
  <c r="CR1592" i="1"/>
  <c r="CR1566" i="1"/>
  <c r="CR1545" i="1"/>
  <c r="CR1522" i="1"/>
  <c r="CR1502" i="1"/>
  <c r="CR1484" i="1"/>
  <c r="CR1466" i="1"/>
  <c r="CR1448" i="1"/>
  <c r="CR1430" i="1"/>
  <c r="CR1412" i="1"/>
  <c r="CR1392" i="1"/>
  <c r="CR1374" i="1"/>
  <c r="CR1356" i="1"/>
  <c r="CR1340" i="1"/>
  <c r="CR1324" i="1"/>
  <c r="CR1308" i="1"/>
  <c r="CR1292" i="1"/>
  <c r="CR1276" i="1"/>
  <c r="CR1260" i="1"/>
  <c r="CR1244" i="1"/>
  <c r="CR1228" i="1"/>
  <c r="CR1212" i="1"/>
  <c r="CR1196" i="1"/>
  <c r="CR1180" i="1"/>
  <c r="CR1164" i="1"/>
  <c r="CR1148" i="1"/>
  <c r="CR1132" i="1"/>
  <c r="CR1116" i="1"/>
  <c r="CR1100" i="1"/>
  <c r="CR1084" i="1"/>
  <c r="CR1068" i="1"/>
  <c r="CR1052" i="1"/>
  <c r="CR1036" i="1"/>
  <c r="CR1020" i="1"/>
  <c r="CR1004" i="1"/>
  <c r="CR1610" i="1"/>
  <c r="CR1589" i="1"/>
  <c r="CR1563" i="1"/>
  <c r="CR1542" i="1"/>
  <c r="CR1517" i="1"/>
  <c r="CR1499" i="1"/>
  <c r="CR1481" i="1"/>
  <c r="CR1463" i="1"/>
  <c r="CR1445" i="1"/>
  <c r="CR1426" i="1"/>
  <c r="CR1407" i="1"/>
  <c r="CR1389" i="1"/>
  <c r="CR1371" i="1"/>
  <c r="CR1353" i="1"/>
  <c r="CR1337" i="1"/>
  <c r="CR1321" i="1"/>
  <c r="CR1305" i="1"/>
  <c r="CR1289" i="1"/>
  <c r="CR1273" i="1"/>
  <c r="CR1257" i="1"/>
  <c r="CR1241" i="1"/>
  <c r="CR1225" i="1"/>
  <c r="CR1209" i="1"/>
  <c r="CR1193" i="1"/>
  <c r="CR1177" i="1"/>
  <c r="CR1161" i="1"/>
  <c r="CR1145" i="1"/>
  <c r="CR1129" i="1"/>
  <c r="CR1113" i="1"/>
  <c r="CR1097" i="1"/>
  <c r="CR1081" i="1"/>
  <c r="CR1065" i="1"/>
  <c r="CR1049" i="1"/>
  <c r="CR1033" i="1"/>
  <c r="CR1017" i="1"/>
  <c r="CR1001" i="1"/>
  <c r="CR985" i="1"/>
  <c r="CR969" i="1"/>
  <c r="CR953" i="1"/>
  <c r="CR937" i="1"/>
  <c r="CR921" i="1"/>
  <c r="CR905" i="1"/>
  <c r="CR889" i="1"/>
  <c r="CR873" i="1"/>
  <c r="CR857" i="1"/>
  <c r="CR841" i="1"/>
  <c r="CR825" i="1"/>
  <c r="CR809" i="1"/>
  <c r="CR793" i="1"/>
  <c r="CR777" i="1"/>
  <c r="CR761" i="1"/>
  <c r="CR745" i="1"/>
  <c r="CR729" i="1"/>
  <c r="CR713" i="1"/>
  <c r="CR697" i="1"/>
  <c r="CR681" i="1"/>
  <c r="CR665" i="1"/>
  <c r="CR649" i="1"/>
  <c r="CR633" i="1"/>
  <c r="CR617" i="1"/>
  <c r="CR601" i="1"/>
  <c r="CR585" i="1"/>
  <c r="CR569" i="1"/>
  <c r="CR553" i="1"/>
  <c r="CR537" i="1"/>
  <c r="CR521" i="1"/>
  <c r="CR505" i="1"/>
  <c r="CR489" i="1"/>
  <c r="CR473" i="1"/>
  <c r="CR457" i="1"/>
  <c r="CR441" i="1"/>
  <c r="CR425" i="1"/>
  <c r="CR409" i="1"/>
  <c r="CR1591" i="1"/>
  <c r="CR1557" i="1"/>
  <c r="CR1513" i="1"/>
  <c r="CR1479" i="1"/>
  <c r="CR1446" i="1"/>
  <c r="CR1418" i="1"/>
  <c r="CR1384" i="1"/>
  <c r="CR1350" i="1"/>
  <c r="CR1320" i="1"/>
  <c r="CR1291" i="1"/>
  <c r="CR1267" i="1"/>
  <c r="CR1237" i="1"/>
  <c r="CR1207" i="1"/>
  <c r="CR1178" i="1"/>
  <c r="CR1154" i="1"/>
  <c r="CR1124" i="1"/>
  <c r="CR1094" i="1"/>
  <c r="CR1064" i="1"/>
  <c r="CR1035" i="1"/>
  <c r="CR1011" i="1"/>
  <c r="CR982" i="1"/>
  <c r="CR955" i="1"/>
  <c r="CR932" i="1"/>
  <c r="CR904" i="1"/>
  <c r="CR882" i="1"/>
  <c r="CR854" i="1"/>
  <c r="CR827" i="1"/>
  <c r="CR804" i="1"/>
  <c r="CR781" i="1"/>
  <c r="CR760" i="1"/>
  <c r="CR740" i="1"/>
  <c r="CR717" i="1"/>
  <c r="CR696" i="1"/>
  <c r="CR676" i="1"/>
  <c r="CR653" i="1"/>
  <c r="CR632" i="1"/>
  <c r="CR612" i="1"/>
  <c r="CR589" i="1"/>
  <c r="CR568" i="1"/>
  <c r="CR548" i="1"/>
  <c r="CR525" i="1"/>
  <c r="CR504" i="1"/>
  <c r="CR484" i="1"/>
  <c r="CR461" i="1"/>
  <c r="CR440" i="1"/>
  <c r="CR420" i="1"/>
  <c r="CR397" i="1"/>
  <c r="CR378" i="1"/>
  <c r="CR359" i="1"/>
  <c r="CR340" i="1"/>
  <c r="CR318" i="1"/>
  <c r="CR299" i="1"/>
  <c r="CR280" i="1"/>
  <c r="CR261" i="1"/>
  <c r="CR242" i="1"/>
  <c r="CR220" i="1"/>
  <c r="CR201" i="1"/>
  <c r="CR182" i="1"/>
  <c r="CR163" i="1"/>
  <c r="CR141" i="1"/>
  <c r="CR122" i="1"/>
  <c r="CR103" i="1"/>
  <c r="CR84" i="1"/>
  <c r="CR62" i="1"/>
  <c r="CR43" i="1"/>
  <c r="CR24" i="1"/>
  <c r="CR5" i="1"/>
  <c r="CR1590" i="1"/>
  <c r="CR1552" i="1"/>
  <c r="CR1512" i="1"/>
  <c r="CR1478" i="1"/>
  <c r="CR1444" i="1"/>
  <c r="CR1410" i="1"/>
  <c r="CR1383" i="1"/>
  <c r="CR1349" i="1"/>
  <c r="CR1319" i="1"/>
  <c r="CR1290" i="1"/>
  <c r="CR1266" i="1"/>
  <c r="CR1236" i="1"/>
  <c r="CR1206" i="1"/>
  <c r="CR1176" i="1"/>
  <c r="CR1147" i="1"/>
  <c r="CR1123" i="1"/>
  <c r="CR1093" i="1"/>
  <c r="CR1063" i="1"/>
  <c r="CR1034" i="1"/>
  <c r="CR1010" i="1"/>
  <c r="CR981" i="1"/>
  <c r="CR954" i="1"/>
  <c r="CR931" i="1"/>
  <c r="CR903" i="1"/>
  <c r="CR876" i="1"/>
  <c r="CR853" i="1"/>
  <c r="CR826" i="1"/>
  <c r="CR803" i="1"/>
  <c r="CR780" i="1"/>
  <c r="CR759" i="1"/>
  <c r="CR739" i="1"/>
  <c r="CR716" i="1"/>
  <c r="CR695" i="1"/>
  <c r="CR675" i="1"/>
  <c r="CR652" i="1"/>
  <c r="CR631" i="1"/>
  <c r="CR611" i="1"/>
  <c r="CR588" i="1"/>
  <c r="CR567" i="1"/>
  <c r="CR547" i="1"/>
  <c r="CR524" i="1"/>
  <c r="CR503" i="1"/>
  <c r="CR483" i="1"/>
  <c r="CR460" i="1"/>
  <c r="CR439" i="1"/>
  <c r="CR419" i="1"/>
  <c r="CR396" i="1"/>
  <c r="CR377" i="1"/>
  <c r="CR358" i="1"/>
  <c r="CR339" i="1"/>
  <c r="CR317" i="1"/>
  <c r="CR298" i="1"/>
  <c r="CR279" i="1"/>
  <c r="CR260" i="1"/>
  <c r="CR238" i="1"/>
  <c r="CR219" i="1"/>
  <c r="CR200" i="1"/>
  <c r="CR181" i="1"/>
  <c r="CR162" i="1"/>
  <c r="CR140" i="1"/>
  <c r="CR121" i="1"/>
  <c r="CR102" i="1"/>
  <c r="CR83" i="1"/>
  <c r="CR61" i="1"/>
  <c r="CR42" i="1"/>
  <c r="CR23" i="1"/>
  <c r="CR4" i="1"/>
  <c r="CR1584" i="1"/>
  <c r="CR1544" i="1"/>
  <c r="CR1511" i="1"/>
  <c r="CR1477" i="1"/>
  <c r="CR1442" i="1"/>
  <c r="CR1408" i="1"/>
  <c r="CR1382" i="1"/>
  <c r="CR1348" i="1"/>
  <c r="CR1318" i="1"/>
  <c r="CR1288" i="1"/>
  <c r="CR1259" i="1"/>
  <c r="CR1235" i="1"/>
  <c r="CR1205" i="1"/>
  <c r="CR1175" i="1"/>
  <c r="CR1146" i="1"/>
  <c r="CR1122" i="1"/>
  <c r="CR1092" i="1"/>
  <c r="CR1062" i="1"/>
  <c r="CR1032" i="1"/>
  <c r="CR1003" i="1"/>
  <c r="CR980" i="1"/>
  <c r="CR952" i="1"/>
  <c r="CR930" i="1"/>
  <c r="CR902" i="1"/>
  <c r="CR875" i="1"/>
  <c r="CR852" i="1"/>
  <c r="CR824" i="1"/>
  <c r="CR802" i="1"/>
  <c r="CR779" i="1"/>
  <c r="CR758" i="1"/>
  <c r="CR738" i="1"/>
  <c r="CR715" i="1"/>
  <c r="CR694" i="1"/>
  <c r="CR674" i="1"/>
  <c r="CR651" i="1"/>
  <c r="CR630" i="1"/>
  <c r="CR610" i="1"/>
  <c r="CR587" i="1"/>
  <c r="CR566" i="1"/>
  <c r="CR546" i="1"/>
  <c r="CR523" i="1"/>
  <c r="CR502" i="1"/>
  <c r="CR482" i="1"/>
  <c r="CR459" i="1"/>
  <c r="CR438" i="1"/>
  <c r="CR418" i="1"/>
  <c r="CR395" i="1"/>
  <c r="CR376" i="1"/>
  <c r="CR357" i="1"/>
  <c r="CR338" i="1"/>
  <c r="CR316" i="1"/>
  <c r="CR297" i="1"/>
  <c r="CR278" i="1"/>
  <c r="CR259" i="1"/>
  <c r="CR237" i="1"/>
  <c r="CR218" i="1"/>
  <c r="CR199" i="1"/>
  <c r="CR180" i="1"/>
  <c r="CR158" i="1"/>
  <c r="CR139" i="1"/>
  <c r="CR120" i="1"/>
  <c r="CR101" i="1"/>
  <c r="CR82" i="1"/>
  <c r="CR60" i="1"/>
  <c r="CR41" i="1"/>
  <c r="CR22" i="1"/>
  <c r="CR1582" i="1"/>
  <c r="CR1543" i="1"/>
  <c r="CR1510" i="1"/>
  <c r="CR1476" i="1"/>
  <c r="CR1440" i="1"/>
  <c r="CR1406" i="1"/>
  <c r="CR1373" i="1"/>
  <c r="CR1347" i="1"/>
  <c r="CR1317" i="1"/>
  <c r="CR1287" i="1"/>
  <c r="CR1258" i="1"/>
  <c r="CR1234" i="1"/>
  <c r="CR1204" i="1"/>
  <c r="CR1174" i="1"/>
  <c r="CR1144" i="1"/>
  <c r="CR1115" i="1"/>
  <c r="CR1091" i="1"/>
  <c r="CR1061" i="1"/>
  <c r="CR1031" i="1"/>
  <c r="CR1002" i="1"/>
  <c r="CR979" i="1"/>
  <c r="CR951" i="1"/>
  <c r="CR924" i="1"/>
  <c r="CR901" i="1"/>
  <c r="CR874" i="1"/>
  <c r="CR851" i="1"/>
  <c r="CR823" i="1"/>
  <c r="CR798" i="1"/>
  <c r="CR778" i="1"/>
  <c r="CR757" i="1"/>
  <c r="CR734" i="1"/>
  <c r="CR714" i="1"/>
  <c r="CR693" i="1"/>
  <c r="CR670" i="1"/>
  <c r="CR650" i="1"/>
  <c r="CR629" i="1"/>
  <c r="CR606" i="1"/>
  <c r="CR586" i="1"/>
  <c r="CR565" i="1"/>
  <c r="CR542" i="1"/>
  <c r="CR522" i="1"/>
  <c r="CR501" i="1"/>
  <c r="CR478" i="1"/>
  <c r="CR458" i="1"/>
  <c r="CR437" i="1"/>
  <c r="CR414" i="1"/>
  <c r="CR394" i="1"/>
  <c r="CR375" i="1"/>
  <c r="CR356" i="1"/>
  <c r="CR334" i="1"/>
  <c r="CR315" i="1"/>
  <c r="CR296" i="1"/>
  <c r="CR277" i="1"/>
  <c r="CR258" i="1"/>
  <c r="CR236" i="1"/>
  <c r="CR217" i="1"/>
  <c r="CR198" i="1"/>
  <c r="CR179" i="1"/>
  <c r="CR157" i="1"/>
  <c r="CR138" i="1"/>
  <c r="CR119" i="1"/>
  <c r="CR100" i="1"/>
  <c r="CR78" i="1"/>
  <c r="CR59" i="1"/>
  <c r="CR40" i="1"/>
  <c r="CR21" i="1"/>
  <c r="CR1626" i="1"/>
  <c r="CR1581" i="1"/>
  <c r="CR1541" i="1"/>
  <c r="CR1501" i="1"/>
  <c r="CR1474" i="1"/>
  <c r="CR1439" i="1"/>
  <c r="CR1405" i="1"/>
  <c r="CR1372" i="1"/>
  <c r="CR1346" i="1"/>
  <c r="CR1316" i="1"/>
  <c r="CR1286" i="1"/>
  <c r="CR1256" i="1"/>
  <c r="CR1227" i="1"/>
  <c r="CR1203" i="1"/>
  <c r="CR1173" i="1"/>
  <c r="CR1143" i="1"/>
  <c r="CR1114" i="1"/>
  <c r="CR1090" i="1"/>
  <c r="CR1060" i="1"/>
  <c r="CR1030" i="1"/>
  <c r="CR1000" i="1"/>
  <c r="CR978" i="1"/>
  <c r="CR950" i="1"/>
  <c r="CR923" i="1"/>
  <c r="CR900" i="1"/>
  <c r="CR872" i="1"/>
  <c r="CR850" i="1"/>
  <c r="CR822" i="1"/>
  <c r="CR797" i="1"/>
  <c r="CR776" i="1"/>
  <c r="CR756" i="1"/>
  <c r="CR733" i="1"/>
  <c r="CR712" i="1"/>
  <c r="CR692" i="1"/>
  <c r="CR669" i="1"/>
  <c r="CR648" i="1"/>
  <c r="CR628" i="1"/>
  <c r="CR605" i="1"/>
  <c r="CR584" i="1"/>
  <c r="CR564" i="1"/>
  <c r="CR541" i="1"/>
  <c r="CR520" i="1"/>
  <c r="CR500" i="1"/>
  <c r="CR477" i="1"/>
  <c r="CR456" i="1"/>
  <c r="CR436" i="1"/>
  <c r="CR413" i="1"/>
  <c r="CR393" i="1"/>
  <c r="CR374" i="1"/>
  <c r="CR355" i="1"/>
  <c r="CR333" i="1"/>
  <c r="CR314" i="1"/>
  <c r="CR295" i="1"/>
  <c r="CR1625" i="1"/>
  <c r="CR1580" i="1"/>
  <c r="CR1536" i="1"/>
  <c r="CR1500" i="1"/>
  <c r="CR1472" i="1"/>
  <c r="CR1438" i="1"/>
  <c r="CR1404" i="1"/>
  <c r="CR1370" i="1"/>
  <c r="CR1339" i="1"/>
  <c r="CR1315" i="1"/>
  <c r="CR1285" i="1"/>
  <c r="CR1255" i="1"/>
  <c r="CR1226" i="1"/>
  <c r="CR1202" i="1"/>
  <c r="CR1172" i="1"/>
  <c r="CR1142" i="1"/>
  <c r="CR1112" i="1"/>
  <c r="CR1083" i="1"/>
  <c r="CR1059" i="1"/>
  <c r="CR1029" i="1"/>
  <c r="CR999" i="1"/>
  <c r="CR972" i="1"/>
  <c r="CR949" i="1"/>
  <c r="CR922" i="1"/>
  <c r="CR899" i="1"/>
  <c r="CR871" i="1"/>
  <c r="CR844" i="1"/>
  <c r="CR821" i="1"/>
  <c r="CR796" i="1"/>
  <c r="CR775" i="1"/>
  <c r="CR755" i="1"/>
  <c r="CR732" i="1"/>
  <c r="CR711" i="1"/>
  <c r="CR691" i="1"/>
  <c r="CR668" i="1"/>
  <c r="CR647" i="1"/>
  <c r="CR627" i="1"/>
  <c r="CR604" i="1"/>
  <c r="CR583" i="1"/>
  <c r="CR563" i="1"/>
  <c r="CR540" i="1"/>
  <c r="CR519" i="1"/>
  <c r="CR499" i="1"/>
  <c r="CR476" i="1"/>
  <c r="CR455" i="1"/>
  <c r="CR435" i="1"/>
  <c r="CR412" i="1"/>
  <c r="CR392" i="1"/>
  <c r="CR373" i="1"/>
  <c r="CR354" i="1"/>
  <c r="CR1624" i="1"/>
  <c r="CR1579" i="1"/>
  <c r="CR1534" i="1"/>
  <c r="CR1498" i="1"/>
  <c r="CR1465" i="1"/>
  <c r="CR1437" i="1"/>
  <c r="CR1403" i="1"/>
  <c r="CR1369" i="1"/>
  <c r="CR1338" i="1"/>
  <c r="CR1314" i="1"/>
  <c r="CR1284" i="1"/>
  <c r="CR1254" i="1"/>
  <c r="CR1224" i="1"/>
  <c r="CR1195" i="1"/>
  <c r="CR1171" i="1"/>
  <c r="CR1141" i="1"/>
  <c r="CR1111" i="1"/>
  <c r="CR1082" i="1"/>
  <c r="CR1058" i="1"/>
  <c r="CR1028" i="1"/>
  <c r="CR998" i="1"/>
  <c r="CR971" i="1"/>
  <c r="CR948" i="1"/>
  <c r="CR920" i="1"/>
  <c r="CR898" i="1"/>
  <c r="CR870" i="1"/>
  <c r="CR843" i="1"/>
  <c r="CR820" i="1"/>
  <c r="CR795" i="1"/>
  <c r="CR774" i="1"/>
  <c r="CR754" i="1"/>
  <c r="CR731" i="1"/>
  <c r="CR710" i="1"/>
  <c r="CR690" i="1"/>
  <c r="CR667" i="1"/>
  <c r="CR646" i="1"/>
  <c r="CR626" i="1"/>
  <c r="CR603" i="1"/>
  <c r="CR582" i="1"/>
  <c r="CR562" i="1"/>
  <c r="CR539" i="1"/>
  <c r="CR1562" i="1"/>
  <c r="CR1495" i="1"/>
  <c r="CR1436" i="1"/>
  <c r="CR1386" i="1"/>
  <c r="CR1331" i="1"/>
  <c r="CR1274" i="1"/>
  <c r="CR1222" i="1"/>
  <c r="CR1179" i="1"/>
  <c r="CR1127" i="1"/>
  <c r="CR1076" i="1"/>
  <c r="CR1019" i="1"/>
  <c r="CR970" i="1"/>
  <c r="CR934" i="1"/>
  <c r="CR886" i="1"/>
  <c r="CR838" i="1"/>
  <c r="CR792" i="1"/>
  <c r="CR762" i="1"/>
  <c r="CR723" i="1"/>
  <c r="CR682" i="1"/>
  <c r="CR643" i="1"/>
  <c r="CR602" i="1"/>
  <c r="CR571" i="1"/>
  <c r="CR532" i="1"/>
  <c r="CR493" i="1"/>
  <c r="CR466" i="1"/>
  <c r="CR427" i="1"/>
  <c r="CR391" i="1"/>
  <c r="CR363" i="1"/>
  <c r="CR330" i="1"/>
  <c r="CR306" i="1"/>
  <c r="CR275" i="1"/>
  <c r="CR249" i="1"/>
  <c r="CR226" i="1"/>
  <c r="CR196" i="1"/>
  <c r="CR170" i="1"/>
  <c r="CR147" i="1"/>
  <c r="CR117" i="1"/>
  <c r="CR91" i="1"/>
  <c r="CR68" i="1"/>
  <c r="CR38" i="1"/>
  <c r="CR12" i="1"/>
  <c r="CR1561" i="1"/>
  <c r="CR1494" i="1"/>
  <c r="CR1429" i="1"/>
  <c r="CR1385" i="1"/>
  <c r="CR1330" i="1"/>
  <c r="CR1272" i="1"/>
  <c r="CR1221" i="1"/>
  <c r="CR1170" i="1"/>
  <c r="CR1126" i="1"/>
  <c r="CR1075" i="1"/>
  <c r="CR1018" i="1"/>
  <c r="CR968" i="1"/>
  <c r="CR933" i="1"/>
  <c r="CR885" i="1"/>
  <c r="CR837" i="1"/>
  <c r="CR791" i="1"/>
  <c r="CR750" i="1"/>
  <c r="CR722" i="1"/>
  <c r="CR680" i="1"/>
  <c r="CR642" i="1"/>
  <c r="CR600" i="1"/>
  <c r="CR570" i="1"/>
  <c r="CR531" i="1"/>
  <c r="CR492" i="1"/>
  <c r="CR462" i="1"/>
  <c r="CR426" i="1"/>
  <c r="CR390" i="1"/>
  <c r="CR362" i="1"/>
  <c r="CR329" i="1"/>
  <c r="CR302" i="1"/>
  <c r="CR274" i="1"/>
  <c r="CR248" i="1"/>
  <c r="CR222" i="1"/>
  <c r="CR195" i="1"/>
  <c r="CR169" i="1"/>
  <c r="CR146" i="1"/>
  <c r="CR116" i="1"/>
  <c r="CR90" i="1"/>
  <c r="CR67" i="1"/>
  <c r="CR37" i="1"/>
  <c r="CR11" i="1"/>
  <c r="CR1560" i="1"/>
  <c r="CR1493" i="1"/>
  <c r="CR1428" i="1"/>
  <c r="CR1368" i="1"/>
  <c r="CR1323" i="1"/>
  <c r="CR1271" i="1"/>
  <c r="CR1220" i="1"/>
  <c r="CR1163" i="1"/>
  <c r="CR1125" i="1"/>
  <c r="CR1074" i="1"/>
  <c r="CR1016" i="1"/>
  <c r="CR967" i="1"/>
  <c r="CR919" i="1"/>
  <c r="CR884" i="1"/>
  <c r="CR836" i="1"/>
  <c r="CR790" i="1"/>
  <c r="CR749" i="1"/>
  <c r="CR718" i="1"/>
  <c r="CR679" i="1"/>
  <c r="CR638" i="1"/>
  <c r="CR599" i="1"/>
  <c r="CR558" i="1"/>
  <c r="CR530" i="1"/>
  <c r="CR491" i="1"/>
  <c r="CR454" i="1"/>
  <c r="CR424" i="1"/>
  <c r="CR389" i="1"/>
  <c r="CR361" i="1"/>
  <c r="CR328" i="1"/>
  <c r="CR301" i="1"/>
  <c r="CR270" i="1"/>
  <c r="CR247" i="1"/>
  <c r="CR221" i="1"/>
  <c r="CR194" i="1"/>
  <c r="CR168" i="1"/>
  <c r="CR142" i="1"/>
  <c r="CR115" i="1"/>
  <c r="CR89" i="1"/>
  <c r="CR66" i="1"/>
  <c r="CR36" i="1"/>
  <c r="CR10" i="1"/>
  <c r="CR1612" i="1"/>
  <c r="CR1559" i="1"/>
  <c r="CR1492" i="1"/>
  <c r="CR1424" i="1"/>
  <c r="CR1367" i="1"/>
  <c r="CR1322" i="1"/>
  <c r="CR1270" i="1"/>
  <c r="CR1219" i="1"/>
  <c r="CR1162" i="1"/>
  <c r="CR1110" i="1"/>
  <c r="CR1067" i="1"/>
  <c r="CR1015" i="1"/>
  <c r="CR966" i="1"/>
  <c r="CR918" i="1"/>
  <c r="CR883" i="1"/>
  <c r="CR835" i="1"/>
  <c r="CR789" i="1"/>
  <c r="CR748" i="1"/>
  <c r="CR709" i="1"/>
  <c r="CR678" i="1"/>
  <c r="CR637" i="1"/>
  <c r="CR598" i="1"/>
  <c r="CR557" i="1"/>
  <c r="CR526" i="1"/>
  <c r="CR490" i="1"/>
  <c r="CR453" i="1"/>
  <c r="CR423" i="1"/>
  <c r="CR388" i="1"/>
  <c r="CR360" i="1"/>
  <c r="CR327" i="1"/>
  <c r="CR300" i="1"/>
  <c r="CR269" i="1"/>
  <c r="CR246" i="1"/>
  <c r="CR216" i="1"/>
  <c r="CR190" i="1"/>
  <c r="CR167" i="1"/>
  <c r="CR137" i="1"/>
  <c r="CR114" i="1"/>
  <c r="CR88" i="1"/>
  <c r="CR58" i="1"/>
  <c r="CR35" i="1"/>
  <c r="CR9" i="1"/>
  <c r="CR1611" i="1"/>
  <c r="CR1558" i="1"/>
  <c r="CR1483" i="1"/>
  <c r="CR1423" i="1"/>
  <c r="CR1366" i="1"/>
  <c r="CR1307" i="1"/>
  <c r="CR1269" i="1"/>
  <c r="CR1218" i="1"/>
  <c r="CR1160" i="1"/>
  <c r="CR1109" i="1"/>
  <c r="CR1066" i="1"/>
  <c r="CR1014" i="1"/>
  <c r="CR965" i="1"/>
  <c r="CR917" i="1"/>
  <c r="CR869" i="1"/>
  <c r="CR834" i="1"/>
  <c r="CR788" i="1"/>
  <c r="CR747" i="1"/>
  <c r="CR708" i="1"/>
  <c r="CR677" i="1"/>
  <c r="CR636" i="1"/>
  <c r="CR597" i="1"/>
  <c r="CR556" i="1"/>
  <c r="CR518" i="1"/>
  <c r="CR488" i="1"/>
  <c r="CR452" i="1"/>
  <c r="CR422" i="1"/>
  <c r="CR387" i="1"/>
  <c r="CR350" i="1"/>
  <c r="CR326" i="1"/>
  <c r="CR294" i="1"/>
  <c r="CR268" i="1"/>
  <c r="CR245" i="1"/>
  <c r="CR215" i="1"/>
  <c r="CR189" i="1"/>
  <c r="CR166" i="1"/>
  <c r="CR136" i="1"/>
  <c r="CR110" i="1"/>
  <c r="CR87" i="1"/>
  <c r="CR57" i="1"/>
  <c r="CR34" i="1"/>
  <c r="CR8" i="1"/>
  <c r="CR1609" i="1"/>
  <c r="CR1533" i="1"/>
  <c r="CR1482" i="1"/>
  <c r="CR1422" i="1"/>
  <c r="CR1365" i="1"/>
  <c r="CR1306" i="1"/>
  <c r="CR1268" i="1"/>
  <c r="CR1211" i="1"/>
  <c r="CR1159" i="1"/>
  <c r="CR1108" i="1"/>
  <c r="CR1051" i="1"/>
  <c r="CR1013" i="1"/>
  <c r="CR964" i="1"/>
  <c r="CR916" i="1"/>
  <c r="CR868" i="1"/>
  <c r="CR828" i="1"/>
  <c r="CR787" i="1"/>
  <c r="CR746" i="1"/>
  <c r="CR707" i="1"/>
  <c r="CR666" i="1"/>
  <c r="CR635" i="1"/>
  <c r="CR596" i="1"/>
  <c r="CR555" i="1"/>
  <c r="CR517" i="1"/>
  <c r="CR487" i="1"/>
  <c r="CR451" i="1"/>
  <c r="CR421" i="1"/>
  <c r="CR386" i="1"/>
  <c r="CR349" i="1"/>
  <c r="CR325" i="1"/>
  <c r="CR293" i="1"/>
  <c r="CR267" i="1"/>
  <c r="CR244" i="1"/>
  <c r="CR214" i="1"/>
  <c r="CR188" i="1"/>
  <c r="CR165" i="1"/>
  <c r="CR135" i="1"/>
  <c r="CR109" i="1"/>
  <c r="CR86" i="1"/>
  <c r="CR56" i="1"/>
  <c r="CR30" i="1"/>
  <c r="CR7" i="1"/>
  <c r="CR1608" i="1"/>
  <c r="CR1532" i="1"/>
  <c r="CR1480" i="1"/>
  <c r="CR1421" i="1"/>
  <c r="CR1364" i="1"/>
  <c r="CR1304" i="1"/>
  <c r="CR1253" i="1"/>
  <c r="CR1210" i="1"/>
  <c r="CR1158" i="1"/>
  <c r="CR1107" i="1"/>
  <c r="CR1050" i="1"/>
  <c r="CR1012" i="1"/>
  <c r="CR963" i="1"/>
  <c r="CR915" i="1"/>
  <c r="CR867" i="1"/>
  <c r="CR819" i="1"/>
  <c r="CR786" i="1"/>
  <c r="CR744" i="1"/>
  <c r="CR706" i="1"/>
  <c r="CR664" i="1"/>
  <c r="CR634" i="1"/>
  <c r="CR595" i="1"/>
  <c r="CR554" i="1"/>
  <c r="CR516" i="1"/>
  <c r="CR486" i="1"/>
  <c r="CR450" i="1"/>
  <c r="CR411" i="1"/>
  <c r="CR382" i="1"/>
  <c r="CR348" i="1"/>
  <c r="CR324" i="1"/>
  <c r="CR292" i="1"/>
  <c r="CR266" i="1"/>
  <c r="CR243" i="1"/>
  <c r="CR213" i="1"/>
  <c r="CR187" i="1"/>
  <c r="CR164" i="1"/>
  <c r="CR134" i="1"/>
  <c r="CR108" i="1"/>
  <c r="CR85" i="1"/>
  <c r="CR55" i="1"/>
  <c r="CR29" i="1"/>
  <c r="CR6" i="1"/>
  <c r="CR1607" i="1"/>
  <c r="CR1531" i="1"/>
  <c r="CR1464" i="1"/>
  <c r="CR1420" i="1"/>
  <c r="CR1355" i="1"/>
  <c r="CR1303" i="1"/>
  <c r="CR1252" i="1"/>
  <c r="CR1208" i="1"/>
  <c r="CR1157" i="1"/>
  <c r="CR1106" i="1"/>
  <c r="CR1048" i="1"/>
  <c r="CR997" i="1"/>
  <c r="CR962" i="1"/>
  <c r="CR914" i="1"/>
  <c r="CR866" i="1"/>
  <c r="CR818" i="1"/>
  <c r="CR782" i="1"/>
  <c r="CR743" i="1"/>
  <c r="CR702" i="1"/>
  <c r="CR663" i="1"/>
  <c r="CR622" i="1"/>
  <c r="CR594" i="1"/>
  <c r="CR552" i="1"/>
  <c r="CR515" i="1"/>
  <c r="CR485" i="1"/>
  <c r="CR446" i="1"/>
  <c r="CR410" i="1"/>
  <c r="CR381" i="1"/>
  <c r="CR347" i="1"/>
  <c r="CR323" i="1"/>
  <c r="CR291" i="1"/>
  <c r="CR265" i="1"/>
  <c r="CR235" i="1"/>
  <c r="CR212" i="1"/>
  <c r="CR186" i="1"/>
  <c r="CR156" i="1"/>
  <c r="CR133" i="1"/>
  <c r="CR107" i="1"/>
  <c r="CR77" i="1"/>
  <c r="CR54" i="1"/>
  <c r="CR28" i="1"/>
  <c r="CR1600" i="1"/>
  <c r="CR1460" i="1"/>
  <c r="CR1351" i="1"/>
  <c r="CR1243" i="1"/>
  <c r="CR1140" i="1"/>
  <c r="CR1045" i="1"/>
  <c r="CR946" i="1"/>
  <c r="CR858" i="1"/>
  <c r="CR771" i="1"/>
  <c r="CR699" i="1"/>
  <c r="CR619" i="1"/>
  <c r="CR549" i="1"/>
  <c r="CR472" i="1"/>
  <c r="CR406" i="1"/>
  <c r="CR344" i="1"/>
  <c r="CR285" i="1"/>
  <c r="CR232" i="1"/>
  <c r="CR183" i="1"/>
  <c r="CR130" i="1"/>
  <c r="CR74" i="1"/>
  <c r="CR25" i="1"/>
  <c r="CR1598" i="1"/>
  <c r="CR1458" i="1"/>
  <c r="CR1336" i="1"/>
  <c r="CR1242" i="1"/>
  <c r="CR1139" i="1"/>
  <c r="CR1044" i="1"/>
  <c r="CR940" i="1"/>
  <c r="CR856" i="1"/>
  <c r="CR770" i="1"/>
  <c r="CR698" i="1"/>
  <c r="CR618" i="1"/>
  <c r="CR538" i="1"/>
  <c r="CR471" i="1"/>
  <c r="CR405" i="1"/>
  <c r="CR343" i="1"/>
  <c r="CR284" i="1"/>
  <c r="CR231" i="1"/>
  <c r="CR178" i="1"/>
  <c r="CR126" i="1"/>
  <c r="CR73" i="1"/>
  <c r="CR20" i="1"/>
  <c r="CR1578" i="1"/>
  <c r="CR1456" i="1"/>
  <c r="CR1335" i="1"/>
  <c r="CR1240" i="1"/>
  <c r="CR1138" i="1"/>
  <c r="CR1043" i="1"/>
  <c r="CR939" i="1"/>
  <c r="CR855" i="1"/>
  <c r="CR766" i="1"/>
  <c r="CR686" i="1"/>
  <c r="CR616" i="1"/>
  <c r="CR536" i="1"/>
  <c r="CR470" i="1"/>
  <c r="CR404" i="1"/>
  <c r="CR342" i="1"/>
  <c r="CR283" i="1"/>
  <c r="CR230" i="1"/>
  <c r="CR174" i="1"/>
  <c r="CR125" i="1"/>
  <c r="CR72" i="1"/>
  <c r="CR19" i="1"/>
  <c r="CR1577" i="1"/>
  <c r="CR1455" i="1"/>
  <c r="CR1334" i="1"/>
  <c r="CR1239" i="1"/>
  <c r="CR1131" i="1"/>
  <c r="CR1042" i="1"/>
  <c r="CR938" i="1"/>
  <c r="CR842" i="1"/>
  <c r="CR765" i="1"/>
  <c r="CR685" i="1"/>
  <c r="CR615" i="1"/>
  <c r="CR535" i="1"/>
  <c r="CR469" i="1"/>
  <c r="CR403" i="1"/>
  <c r="CR341" i="1"/>
  <c r="CR282" i="1"/>
  <c r="CR229" i="1"/>
  <c r="CR173" i="1"/>
  <c r="CR124" i="1"/>
  <c r="CR71" i="1"/>
  <c r="CR18" i="1"/>
  <c r="CR1565" i="1"/>
  <c r="CR1454" i="1"/>
  <c r="CR1333" i="1"/>
  <c r="CR1238" i="1"/>
  <c r="CR1130" i="1"/>
  <c r="CR1027" i="1"/>
  <c r="CR936" i="1"/>
  <c r="CR840" i="1"/>
  <c r="CR764" i="1"/>
  <c r="CR684" i="1"/>
  <c r="CR614" i="1"/>
  <c r="CR534" i="1"/>
  <c r="CR468" i="1"/>
  <c r="CR402" i="1"/>
  <c r="CR332" i="1"/>
  <c r="CR281" i="1"/>
  <c r="CR228" i="1"/>
  <c r="CR172" i="1"/>
  <c r="CR123" i="1"/>
  <c r="CR70" i="1"/>
  <c r="CR14" i="1"/>
  <c r="CR1564" i="1"/>
  <c r="CR1447" i="1"/>
  <c r="CR1332" i="1"/>
  <c r="CR1223" i="1"/>
  <c r="CR1128" i="1"/>
  <c r="CR1026" i="1"/>
  <c r="CR935" i="1"/>
  <c r="CR839" i="1"/>
  <c r="CR763" i="1"/>
  <c r="CR683" i="1"/>
  <c r="CR613" i="1"/>
  <c r="CR533" i="1"/>
  <c r="CR467" i="1"/>
  <c r="CR398" i="1"/>
  <c r="CR331" i="1"/>
  <c r="CR276" i="1"/>
  <c r="CR227" i="1"/>
  <c r="CR171" i="1"/>
  <c r="CR118" i="1"/>
  <c r="CR69" i="1"/>
  <c r="CR13" i="1"/>
  <c r="CR1530" i="1"/>
  <c r="CR1419" i="1"/>
  <c r="CR1302" i="1"/>
  <c r="CR1194" i="1"/>
  <c r="CR1099" i="1"/>
  <c r="CR996" i="1"/>
  <c r="CR908" i="1"/>
  <c r="CR812" i="1"/>
  <c r="CR742" i="1"/>
  <c r="CR662" i="1"/>
  <c r="CR590" i="1"/>
  <c r="CR514" i="1"/>
  <c r="CR445" i="1"/>
  <c r="CR380" i="1"/>
  <c r="CR322" i="1"/>
  <c r="CR264" i="1"/>
  <c r="CR211" i="1"/>
  <c r="CR155" i="1"/>
  <c r="CR106" i="1"/>
  <c r="CR53" i="1"/>
  <c r="CR1520" i="1"/>
  <c r="CR1402" i="1"/>
  <c r="CR1301" i="1"/>
  <c r="CR1192" i="1"/>
  <c r="CR1098" i="1"/>
  <c r="CR995" i="1"/>
  <c r="CR907" i="1"/>
  <c r="CR811" i="1"/>
  <c r="CR741" i="1"/>
  <c r="CR661" i="1"/>
  <c r="CR581" i="1"/>
  <c r="CR510" i="1"/>
  <c r="CR444" i="1"/>
  <c r="CR379" i="1"/>
  <c r="CR313" i="1"/>
  <c r="CR263" i="1"/>
  <c r="CR210" i="1"/>
  <c r="CR154" i="1"/>
  <c r="CR105" i="1"/>
  <c r="CR52" i="1"/>
  <c r="CR1518" i="1"/>
  <c r="CR1401" i="1"/>
  <c r="CR1300" i="1"/>
  <c r="CR1191" i="1"/>
  <c r="CR1096" i="1"/>
  <c r="CR994" i="1"/>
  <c r="CR906" i="1"/>
  <c r="CR810" i="1"/>
  <c r="CR730" i="1"/>
  <c r="CR660" i="1"/>
  <c r="CR580" i="1"/>
  <c r="CR509" i="1"/>
  <c r="CR443" i="1"/>
  <c r="CR372" i="1"/>
  <c r="CR312" i="1"/>
  <c r="CR262" i="1"/>
  <c r="CR206" i="1"/>
  <c r="CR153" i="1"/>
  <c r="CR104" i="1"/>
  <c r="CR51" i="1"/>
  <c r="CR1516" i="1"/>
  <c r="CR1400" i="1"/>
  <c r="CR1299" i="1"/>
  <c r="CR1190" i="1"/>
  <c r="CR1095" i="1"/>
  <c r="CR988" i="1"/>
  <c r="CR892" i="1"/>
  <c r="CR808" i="1"/>
  <c r="CR728" i="1"/>
  <c r="CR659" i="1"/>
  <c r="CR579" i="1"/>
  <c r="CR508" i="1"/>
  <c r="CR442" i="1"/>
  <c r="CR371" i="1"/>
  <c r="CR311" i="1"/>
  <c r="CR254" i="1"/>
  <c r="CR205" i="1"/>
  <c r="CR152" i="1"/>
  <c r="CR99" i="1"/>
  <c r="CR50" i="1"/>
  <c r="CR1515" i="1"/>
  <c r="CR1391" i="1"/>
  <c r="CR1298" i="1"/>
  <c r="CR1189" i="1"/>
  <c r="CR1080" i="1"/>
  <c r="CR987" i="1"/>
  <c r="CR891" i="1"/>
  <c r="CR807" i="1"/>
  <c r="CR727" i="1"/>
  <c r="CR658" i="1"/>
  <c r="CR578" i="1"/>
  <c r="CR507" i="1"/>
  <c r="CR434" i="1"/>
  <c r="CR370" i="1"/>
  <c r="CR310" i="1"/>
  <c r="CR253" i="1"/>
  <c r="CR204" i="1"/>
  <c r="CR151" i="1"/>
  <c r="CR98" i="1"/>
  <c r="CR46" i="1"/>
  <c r="CR1514" i="1"/>
  <c r="CR1390" i="1"/>
  <c r="CR1283" i="1"/>
  <c r="CR1188" i="1"/>
  <c r="CR1079" i="1"/>
  <c r="CR986" i="1"/>
  <c r="CR890" i="1"/>
  <c r="CR806" i="1"/>
  <c r="CR726" i="1"/>
  <c r="CR654" i="1"/>
  <c r="CR574" i="1"/>
  <c r="CR506" i="1"/>
  <c r="CR430" i="1"/>
  <c r="CR366" i="1"/>
  <c r="CR309" i="1"/>
  <c r="CR252" i="1"/>
  <c r="CR203" i="1"/>
  <c r="CR150" i="1"/>
  <c r="CR94" i="1"/>
  <c r="CR45" i="1"/>
  <c r="CR1251" i="1"/>
  <c r="CR860" i="1"/>
  <c r="CR551" i="1"/>
  <c r="CR290" i="1"/>
  <c r="CR76" i="1"/>
  <c r="CR1250" i="1"/>
  <c r="CR859" i="1"/>
  <c r="CR550" i="1"/>
  <c r="CR286" i="1"/>
  <c r="CR75" i="1"/>
  <c r="CR805" i="1"/>
  <c r="CR251" i="1"/>
  <c r="CR1187" i="1"/>
  <c r="CR498" i="1"/>
  <c r="CR44" i="1"/>
  <c r="CR1186" i="1"/>
  <c r="CR794" i="1"/>
  <c r="CR494" i="1"/>
  <c r="CR250" i="1"/>
  <c r="CR39" i="1"/>
  <c r="CR1606" i="1"/>
  <c r="CR1156" i="1"/>
  <c r="CR773" i="1"/>
  <c r="CR475" i="1"/>
  <c r="CR234" i="1"/>
  <c r="CR27" i="1"/>
  <c r="CR1605" i="1"/>
  <c r="CR1155" i="1"/>
  <c r="CR772" i="1"/>
  <c r="CR474" i="1"/>
  <c r="CR233" i="1"/>
  <c r="CR26" i="1"/>
  <c r="CR1497" i="1"/>
  <c r="CR1078" i="1"/>
  <c r="CR725" i="1"/>
  <c r="CR429" i="1"/>
  <c r="CR202" i="1"/>
  <c r="CR1496" i="1"/>
  <c r="CR1077" i="1"/>
  <c r="CR724" i="1"/>
  <c r="CR428" i="1"/>
  <c r="CR197" i="1"/>
  <c r="CR1462" i="1"/>
  <c r="CR1047" i="1"/>
  <c r="CR701" i="1"/>
  <c r="CR408" i="1"/>
  <c r="CR185" i="1"/>
  <c r="CR1461" i="1"/>
  <c r="CR1046" i="1"/>
  <c r="CR700" i="1"/>
  <c r="CR407" i="1"/>
  <c r="CR184" i="1"/>
  <c r="CR1388" i="1"/>
  <c r="CR984" i="1"/>
  <c r="CR645" i="1"/>
  <c r="CR365" i="1"/>
  <c r="CR149" i="1"/>
  <c r="CR1387" i="1"/>
  <c r="CR983" i="1"/>
  <c r="CR644" i="1"/>
  <c r="CR364" i="1"/>
  <c r="CR148" i="1"/>
  <c r="CR1354" i="1"/>
  <c r="CR956" i="1"/>
  <c r="CR621" i="1"/>
  <c r="CR346" i="1"/>
  <c r="CR132" i="1"/>
  <c r="CR1352" i="1"/>
  <c r="CR947" i="1"/>
  <c r="CR620" i="1"/>
  <c r="CR345" i="1"/>
  <c r="CR131" i="1"/>
  <c r="CR1282" i="1"/>
  <c r="CR888" i="1"/>
  <c r="CR573" i="1"/>
  <c r="CR308" i="1"/>
  <c r="CR93" i="1"/>
  <c r="CR1275" i="1"/>
  <c r="CR887" i="1"/>
  <c r="CR572" i="1"/>
  <c r="CR307" i="1"/>
  <c r="CR92" i="1"/>
  <c r="CS1621" i="1"/>
  <c r="CS1605" i="1"/>
  <c r="CS1589" i="1"/>
  <c r="CS1573" i="1"/>
  <c r="CS1557" i="1"/>
  <c r="CS1541" i="1"/>
  <c r="CS1525" i="1"/>
  <c r="CS1509" i="1"/>
  <c r="CS1493" i="1"/>
  <c r="CS1477" i="1"/>
  <c r="CS1461" i="1"/>
  <c r="CS1445" i="1"/>
  <c r="CS1429" i="1"/>
  <c r="CS1413" i="1"/>
  <c r="CS1397" i="1"/>
  <c r="CS1381" i="1"/>
  <c r="CS1365" i="1"/>
  <c r="CS1349" i="1"/>
  <c r="CS1333" i="1"/>
  <c r="CS1317" i="1"/>
  <c r="CS1301" i="1"/>
  <c r="CS1285" i="1"/>
  <c r="CS1269" i="1"/>
  <c r="CS1253" i="1"/>
  <c r="CS1237" i="1"/>
  <c r="CS1221" i="1"/>
  <c r="CS1205" i="1"/>
  <c r="CS1189" i="1"/>
  <c r="CS1173" i="1"/>
  <c r="CS1157" i="1"/>
  <c r="CS1141" i="1"/>
  <c r="CS1125" i="1"/>
  <c r="CS1109" i="1"/>
  <c r="CS1093" i="1"/>
  <c r="CS1077" i="1"/>
  <c r="CS1061" i="1"/>
  <c r="CS1045" i="1"/>
  <c r="CS1029" i="1"/>
  <c r="CS1013" i="1"/>
  <c r="CS997" i="1"/>
  <c r="CS981" i="1"/>
  <c r="CS965" i="1"/>
  <c r="CS949" i="1"/>
  <c r="CS933" i="1"/>
  <c r="CS1620" i="1"/>
  <c r="CS1604" i="1"/>
  <c r="CS1588" i="1"/>
  <c r="CS1572" i="1"/>
  <c r="CS1556" i="1"/>
  <c r="CS1540" i="1"/>
  <c r="CS1524" i="1"/>
  <c r="CS1508" i="1"/>
  <c r="CS1492" i="1"/>
  <c r="CS1476" i="1"/>
  <c r="CS1460" i="1"/>
  <c r="CS1444" i="1"/>
  <c r="CS1428" i="1"/>
  <c r="CS1412" i="1"/>
  <c r="CS1396" i="1"/>
  <c r="CS1380" i="1"/>
  <c r="CS1364" i="1"/>
  <c r="CS1348" i="1"/>
  <c r="CS1332" i="1"/>
  <c r="CS1316" i="1"/>
  <c r="CS1300" i="1"/>
  <c r="CS1284" i="1"/>
  <c r="CS1268" i="1"/>
  <c r="CS1252" i="1"/>
  <c r="CS1236" i="1"/>
  <c r="CS1220" i="1"/>
  <c r="CS1204" i="1"/>
  <c r="CS1188" i="1"/>
  <c r="CS1172" i="1"/>
  <c r="CS1156" i="1"/>
  <c r="CS1140" i="1"/>
  <c r="CS1124" i="1"/>
  <c r="CS1108" i="1"/>
  <c r="CS1092" i="1"/>
  <c r="CS1076" i="1"/>
  <c r="CS1060" i="1"/>
  <c r="CS1044" i="1"/>
  <c r="CS1028" i="1"/>
  <c r="CS1012" i="1"/>
  <c r="CS996" i="1"/>
  <c r="CS980" i="1"/>
  <c r="CS964" i="1"/>
  <c r="CS948" i="1"/>
  <c r="CS932" i="1"/>
  <c r="CS1619" i="1"/>
  <c r="CS1603" i="1"/>
  <c r="CS1587" i="1"/>
  <c r="CS1571" i="1"/>
  <c r="CS1555" i="1"/>
  <c r="CS1539" i="1"/>
  <c r="CS1523" i="1"/>
  <c r="CS1507" i="1"/>
  <c r="CS1491" i="1"/>
  <c r="CS1475" i="1"/>
  <c r="CS1459" i="1"/>
  <c r="CS1443" i="1"/>
  <c r="CS1427" i="1"/>
  <c r="CS1411" i="1"/>
  <c r="CS1395" i="1"/>
  <c r="CS1379" i="1"/>
  <c r="CS1363" i="1"/>
  <c r="CS1347" i="1"/>
  <c r="CS1331" i="1"/>
  <c r="CS1315" i="1"/>
  <c r="CS1299" i="1"/>
  <c r="CS1283" i="1"/>
  <c r="CS1267" i="1"/>
  <c r="CS1251" i="1"/>
  <c r="CS1235" i="1"/>
  <c r="CS1219" i="1"/>
  <c r="CS1203" i="1"/>
  <c r="CS1187" i="1"/>
  <c r="CS1171" i="1"/>
  <c r="CS1155" i="1"/>
  <c r="CS1139" i="1"/>
  <c r="CS1123" i="1"/>
  <c r="CS1107" i="1"/>
  <c r="CS1091" i="1"/>
  <c r="CS1075" i="1"/>
  <c r="CS1059" i="1"/>
  <c r="CS1043" i="1"/>
  <c r="CS1027" i="1"/>
  <c r="CS1011" i="1"/>
  <c r="CS995" i="1"/>
  <c r="CS979" i="1"/>
  <c r="CS963" i="1"/>
  <c r="CS947" i="1"/>
  <c r="CS931" i="1"/>
  <c r="CS915" i="1"/>
  <c r="CS899" i="1"/>
  <c r="CS883" i="1"/>
  <c r="CS867" i="1"/>
  <c r="CS851" i="1"/>
  <c r="CS835" i="1"/>
  <c r="CS819" i="1"/>
  <c r="CS803" i="1"/>
  <c r="CS787" i="1"/>
  <c r="CS771" i="1"/>
  <c r="CS755" i="1"/>
  <c r="CS739" i="1"/>
  <c r="CS723" i="1"/>
  <c r="CS707" i="1"/>
  <c r="CS691" i="1"/>
  <c r="CS675" i="1"/>
  <c r="CS659" i="1"/>
  <c r="CS643" i="1"/>
  <c r="CS627" i="1"/>
  <c r="CS611" i="1"/>
  <c r="CS595" i="1"/>
  <c r="CS579" i="1"/>
  <c r="CS563" i="1"/>
  <c r="CS547" i="1"/>
  <c r="CS531" i="1"/>
  <c r="CS515" i="1"/>
  <c r="CS499" i="1"/>
  <c r="CS483" i="1"/>
  <c r="CS467" i="1"/>
  <c r="CS451" i="1"/>
  <c r="CS435" i="1"/>
  <c r="CS419" i="1"/>
  <c r="CS403" i="1"/>
  <c r="CS387" i="1"/>
  <c r="CS371" i="1"/>
  <c r="CS355" i="1"/>
  <c r="CS339" i="1"/>
  <c r="CS323" i="1"/>
  <c r="CS307" i="1"/>
  <c r="CS291" i="1"/>
  <c r="CS275" i="1"/>
  <c r="CS259" i="1"/>
  <c r="CS243" i="1"/>
  <c r="CS227" i="1"/>
  <c r="CS211" i="1"/>
  <c r="CS195" i="1"/>
  <c r="CS179" i="1"/>
  <c r="CS163" i="1"/>
  <c r="CS147" i="1"/>
  <c r="CS131" i="1"/>
  <c r="CS115" i="1"/>
  <c r="CS99" i="1"/>
  <c r="CS83" i="1"/>
  <c r="CS67" i="1"/>
  <c r="CS51" i="1"/>
  <c r="CS35" i="1"/>
  <c r="CS19" i="1"/>
  <c r="CS1618" i="1"/>
  <c r="CS1599" i="1"/>
  <c r="CS1580" i="1"/>
  <c r="CS1561" i="1"/>
  <c r="CS1542" i="1"/>
  <c r="CS1520" i="1"/>
  <c r="CS1501" i="1"/>
  <c r="CS1482" i="1"/>
  <c r="CS1463" i="1"/>
  <c r="CS1441" i="1"/>
  <c r="CS1422" i="1"/>
  <c r="CS1403" i="1"/>
  <c r="CS1384" i="1"/>
  <c r="CS1362" i="1"/>
  <c r="CS1343" i="1"/>
  <c r="CS1324" i="1"/>
  <c r="CS1305" i="1"/>
  <c r="CS1286" i="1"/>
  <c r="CS1264" i="1"/>
  <c r="CS1245" i="1"/>
  <c r="CS1226" i="1"/>
  <c r="CS1207" i="1"/>
  <c r="CS1185" i="1"/>
  <c r="CS1166" i="1"/>
  <c r="CS1147" i="1"/>
  <c r="CS1128" i="1"/>
  <c r="CS1106" i="1"/>
  <c r="CS1087" i="1"/>
  <c r="CS1068" i="1"/>
  <c r="CS1049" i="1"/>
  <c r="CS1030" i="1"/>
  <c r="CS1008" i="1"/>
  <c r="CS989" i="1"/>
  <c r="CS970" i="1"/>
  <c r="CS951" i="1"/>
  <c r="CS929" i="1"/>
  <c r="CS912" i="1"/>
  <c r="CS895" i="1"/>
  <c r="CS878" i="1"/>
  <c r="CS861" i="1"/>
  <c r="CS844" i="1"/>
  <c r="CS827" i="1"/>
  <c r="CS810" i="1"/>
  <c r="CS793" i="1"/>
  <c r="CS776" i="1"/>
  <c r="CS759" i="1"/>
  <c r="CS742" i="1"/>
  <c r="CS725" i="1"/>
  <c r="CS708" i="1"/>
  <c r="CS690" i="1"/>
  <c r="CS673" i="1"/>
  <c r="CS656" i="1"/>
  <c r="CS639" i="1"/>
  <c r="CS622" i="1"/>
  <c r="CS605" i="1"/>
  <c r="CS588" i="1"/>
  <c r="CS571" i="1"/>
  <c r="CS554" i="1"/>
  <c r="CS537" i="1"/>
  <c r="CS520" i="1"/>
  <c r="CS503" i="1"/>
  <c r="CS1617" i="1"/>
  <c r="CS1598" i="1"/>
  <c r="CS1579" i="1"/>
  <c r="CS1560" i="1"/>
  <c r="CS1538" i="1"/>
  <c r="CS1519" i="1"/>
  <c r="CS1500" i="1"/>
  <c r="CS1481" i="1"/>
  <c r="CS1462" i="1"/>
  <c r="CS1440" i="1"/>
  <c r="CS1421" i="1"/>
  <c r="CS1402" i="1"/>
  <c r="CS1383" i="1"/>
  <c r="CS1361" i="1"/>
  <c r="CS1342" i="1"/>
  <c r="CS1323" i="1"/>
  <c r="CS1304" i="1"/>
  <c r="CS1282" i="1"/>
  <c r="CS1263" i="1"/>
  <c r="CS1244" i="1"/>
  <c r="CS1225" i="1"/>
  <c r="CS1206" i="1"/>
  <c r="CS1184" i="1"/>
  <c r="CS1165" i="1"/>
  <c r="CS1146" i="1"/>
  <c r="CS1127" i="1"/>
  <c r="CS1105" i="1"/>
  <c r="CS1086" i="1"/>
  <c r="CS1067" i="1"/>
  <c r="CS1048" i="1"/>
  <c r="CS1026" i="1"/>
  <c r="CS1007" i="1"/>
  <c r="CS988" i="1"/>
  <c r="CS969" i="1"/>
  <c r="CS950" i="1"/>
  <c r="CS928" i="1"/>
  <c r="CS911" i="1"/>
  <c r="CS894" i="1"/>
  <c r="CS877" i="1"/>
  <c r="CS860" i="1"/>
  <c r="CS843" i="1"/>
  <c r="CS826" i="1"/>
  <c r="CS809" i="1"/>
  <c r="CS792" i="1"/>
  <c r="CS775" i="1"/>
  <c r="CS758" i="1"/>
  <c r="CS741" i="1"/>
  <c r="CS724" i="1"/>
  <c r="CS706" i="1"/>
  <c r="CS1616" i="1"/>
  <c r="CS1597" i="1"/>
  <c r="CS1578" i="1"/>
  <c r="CS1559" i="1"/>
  <c r="CS1537" i="1"/>
  <c r="CS1518" i="1"/>
  <c r="CS1499" i="1"/>
  <c r="CS1480" i="1"/>
  <c r="CS1458" i="1"/>
  <c r="CS1439" i="1"/>
  <c r="CS1420" i="1"/>
  <c r="CS1401" i="1"/>
  <c r="CS1382" i="1"/>
  <c r="CS1360" i="1"/>
  <c r="CS1341" i="1"/>
  <c r="CS1322" i="1"/>
  <c r="CS1303" i="1"/>
  <c r="CS1281" i="1"/>
  <c r="CS1262" i="1"/>
  <c r="CS1243" i="1"/>
  <c r="CS1224" i="1"/>
  <c r="CS1202" i="1"/>
  <c r="CS1183" i="1"/>
  <c r="CS1164" i="1"/>
  <c r="CS1145" i="1"/>
  <c r="CS1126" i="1"/>
  <c r="CS1104" i="1"/>
  <c r="CS1085" i="1"/>
  <c r="CS1066" i="1"/>
  <c r="CS1047" i="1"/>
  <c r="CS1025" i="1"/>
  <c r="CS1006" i="1"/>
  <c r="CS987" i="1"/>
  <c r="CS968" i="1"/>
  <c r="CS946" i="1"/>
  <c r="CS927" i="1"/>
  <c r="CS910" i="1"/>
  <c r="CS893" i="1"/>
  <c r="CS876" i="1"/>
  <c r="CS859" i="1"/>
  <c r="CS842" i="1"/>
  <c r="CS825" i="1"/>
  <c r="CS808" i="1"/>
  <c r="CS791" i="1"/>
  <c r="CS774" i="1"/>
  <c r="CS757" i="1"/>
  <c r="CS740" i="1"/>
  <c r="CS722" i="1"/>
  <c r="CS1615" i="1"/>
  <c r="CS1596" i="1"/>
  <c r="CS1577" i="1"/>
  <c r="CS1558" i="1"/>
  <c r="CS1536" i="1"/>
  <c r="CS1517" i="1"/>
  <c r="CS1498" i="1"/>
  <c r="CS1479" i="1"/>
  <c r="CS1457" i="1"/>
  <c r="CS1438" i="1"/>
  <c r="CS1419" i="1"/>
  <c r="CS1400" i="1"/>
  <c r="CS1378" i="1"/>
  <c r="CS1359" i="1"/>
  <c r="CS1340" i="1"/>
  <c r="CS1321" i="1"/>
  <c r="CS1302" i="1"/>
  <c r="CS1280" i="1"/>
  <c r="CS1261" i="1"/>
  <c r="CS1242" i="1"/>
  <c r="CS1223" i="1"/>
  <c r="CS1201" i="1"/>
  <c r="CS1182" i="1"/>
  <c r="CS1163" i="1"/>
  <c r="CS1144" i="1"/>
  <c r="CS1122" i="1"/>
  <c r="CS1103" i="1"/>
  <c r="CS1084" i="1"/>
  <c r="CS1065" i="1"/>
  <c r="CS1046" i="1"/>
  <c r="CS1024" i="1"/>
  <c r="CS1005" i="1"/>
  <c r="CS986" i="1"/>
  <c r="CS967" i="1"/>
  <c r="CS945" i="1"/>
  <c r="CS926" i="1"/>
  <c r="CS909" i="1"/>
  <c r="CS892" i="1"/>
  <c r="CS875" i="1"/>
  <c r="CS858" i="1"/>
  <c r="CS841" i="1"/>
  <c r="CS824" i="1"/>
  <c r="CS807" i="1"/>
  <c r="CS790" i="1"/>
  <c r="CS773" i="1"/>
  <c r="CS756" i="1"/>
  <c r="CS738" i="1"/>
  <c r="CS721" i="1"/>
  <c r="CS1624" i="1"/>
  <c r="CS1594" i="1"/>
  <c r="CS1568" i="1"/>
  <c r="CS1545" i="1"/>
  <c r="CS1515" i="1"/>
  <c r="CS1489" i="1"/>
  <c r="CS1466" i="1"/>
  <c r="CS1436" i="1"/>
  <c r="CS1410" i="1"/>
  <c r="CS1387" i="1"/>
  <c r="CS1357" i="1"/>
  <c r="CS1334" i="1"/>
  <c r="CS1308" i="1"/>
  <c r="CS1278" i="1"/>
  <c r="CS1255" i="1"/>
  <c r="CS1229" i="1"/>
  <c r="CS1199" i="1"/>
  <c r="CS1176" i="1"/>
  <c r="CS1150" i="1"/>
  <c r="CS1120" i="1"/>
  <c r="CS1097" i="1"/>
  <c r="CS1071" i="1"/>
  <c r="CS1041" i="1"/>
  <c r="CS1018" i="1"/>
  <c r="CS992" i="1"/>
  <c r="CS962" i="1"/>
  <c r="CS939" i="1"/>
  <c r="CS916" i="1"/>
  <c r="CS890" i="1"/>
  <c r="CS869" i="1"/>
  <c r="CS847" i="1"/>
  <c r="CS822" i="1"/>
  <c r="CS800" i="1"/>
  <c r="CS779" i="1"/>
  <c r="CS753" i="1"/>
  <c r="CS732" i="1"/>
  <c r="CS711" i="1"/>
  <c r="CS692" i="1"/>
  <c r="CS672" i="1"/>
  <c r="CS654" i="1"/>
  <c r="CS636" i="1"/>
  <c r="CS618" i="1"/>
  <c r="CS600" i="1"/>
  <c r="CS582" i="1"/>
  <c r="CS564" i="1"/>
  <c r="CS545" i="1"/>
  <c r="CS527" i="1"/>
  <c r="CS509" i="1"/>
  <c r="CS491" i="1"/>
  <c r="CS474" i="1"/>
  <c r="CS457" i="1"/>
  <c r="CS440" i="1"/>
  <c r="CS423" i="1"/>
  <c r="CS406" i="1"/>
  <c r="CS389" i="1"/>
  <c r="CS372" i="1"/>
  <c r="CS354" i="1"/>
  <c r="CS337" i="1"/>
  <c r="CS320" i="1"/>
  <c r="CS303" i="1"/>
  <c r="CS286" i="1"/>
  <c r="CS269" i="1"/>
  <c r="CS252" i="1"/>
  <c r="CS235" i="1"/>
  <c r="CS218" i="1"/>
  <c r="CS201" i="1"/>
  <c r="CS184" i="1"/>
  <c r="CS167" i="1"/>
  <c r="CS150" i="1"/>
  <c r="CS133" i="1"/>
  <c r="CS116" i="1"/>
  <c r="CS98" i="1"/>
  <c r="CS81" i="1"/>
  <c r="CS64" i="1"/>
  <c r="CS47" i="1"/>
  <c r="CS30" i="1"/>
  <c r="CS13" i="1"/>
  <c r="CS1623" i="1"/>
  <c r="CS1593" i="1"/>
  <c r="CS1567" i="1"/>
  <c r="CS1544" i="1"/>
  <c r="CS1514" i="1"/>
  <c r="CS1488" i="1"/>
  <c r="CS1465" i="1"/>
  <c r="CS1435" i="1"/>
  <c r="CS1409" i="1"/>
  <c r="CS1386" i="1"/>
  <c r="CS1356" i="1"/>
  <c r="CS1330" i="1"/>
  <c r="CS1307" i="1"/>
  <c r="CS1277" i="1"/>
  <c r="CS1254" i="1"/>
  <c r="CS1228" i="1"/>
  <c r="CS1198" i="1"/>
  <c r="CS1175" i="1"/>
  <c r="CS1149" i="1"/>
  <c r="CS1119" i="1"/>
  <c r="CS1096" i="1"/>
  <c r="CS1070" i="1"/>
  <c r="CS1040" i="1"/>
  <c r="CS1017" i="1"/>
  <c r="CS991" i="1"/>
  <c r="CS961" i="1"/>
  <c r="CS938" i="1"/>
  <c r="CS914" i="1"/>
  <c r="CS889" i="1"/>
  <c r="CS868" i="1"/>
  <c r="CS846" i="1"/>
  <c r="CS821" i="1"/>
  <c r="CS799" i="1"/>
  <c r="CS778" i="1"/>
  <c r="CS752" i="1"/>
  <c r="CS731" i="1"/>
  <c r="CS710" i="1"/>
  <c r="CS689" i="1"/>
  <c r="CS671" i="1"/>
  <c r="CS653" i="1"/>
  <c r="CS635" i="1"/>
  <c r="CS617" i="1"/>
  <c r="CS599" i="1"/>
  <c r="CS581" i="1"/>
  <c r="CS562" i="1"/>
  <c r="CS544" i="1"/>
  <c r="CS526" i="1"/>
  <c r="CS508" i="1"/>
  <c r="CS490" i="1"/>
  <c r="CS473" i="1"/>
  <c r="CS456" i="1"/>
  <c r="CS439" i="1"/>
  <c r="CS422" i="1"/>
  <c r="CS405" i="1"/>
  <c r="CS388" i="1"/>
  <c r="CS370" i="1"/>
  <c r="CS353" i="1"/>
  <c r="CS336" i="1"/>
  <c r="CS319" i="1"/>
  <c r="CS302" i="1"/>
  <c r="CS285" i="1"/>
  <c r="CS268" i="1"/>
  <c r="CS251" i="1"/>
  <c r="CS234" i="1"/>
  <c r="CS217" i="1"/>
  <c r="CS200" i="1"/>
  <c r="CS183" i="1"/>
  <c r="CS166" i="1"/>
  <c r="CS149" i="1"/>
  <c r="CS132" i="1"/>
  <c r="CS114" i="1"/>
  <c r="CS97" i="1"/>
  <c r="CS80" i="1"/>
  <c r="CS63" i="1"/>
  <c r="CS46" i="1"/>
  <c r="CS29" i="1"/>
  <c r="CS12" i="1"/>
  <c r="CS1622" i="1"/>
  <c r="CS1592" i="1"/>
  <c r="CS1566" i="1"/>
  <c r="CS1543" i="1"/>
  <c r="CS1513" i="1"/>
  <c r="CS1487" i="1"/>
  <c r="CS1464" i="1"/>
  <c r="CS1434" i="1"/>
  <c r="CS1408" i="1"/>
  <c r="CS1385" i="1"/>
  <c r="CS1355" i="1"/>
  <c r="CS1329" i="1"/>
  <c r="CS1306" i="1"/>
  <c r="CS1276" i="1"/>
  <c r="CS1250" i="1"/>
  <c r="CS1227" i="1"/>
  <c r="CS1197" i="1"/>
  <c r="CS1174" i="1"/>
  <c r="CS1148" i="1"/>
  <c r="CS1118" i="1"/>
  <c r="CS1095" i="1"/>
  <c r="CS1069" i="1"/>
  <c r="CS1039" i="1"/>
  <c r="CS1016" i="1"/>
  <c r="CS990" i="1"/>
  <c r="CS960" i="1"/>
  <c r="CS937" i="1"/>
  <c r="CS913" i="1"/>
  <c r="CS888" i="1"/>
  <c r="CS866" i="1"/>
  <c r="CS845" i="1"/>
  <c r="CS820" i="1"/>
  <c r="CS798" i="1"/>
  <c r="CS777" i="1"/>
  <c r="CS751" i="1"/>
  <c r="CS730" i="1"/>
  <c r="CS709" i="1"/>
  <c r="CS688" i="1"/>
  <c r="CS670" i="1"/>
  <c r="CS652" i="1"/>
  <c r="CS634" i="1"/>
  <c r="CS616" i="1"/>
  <c r="CS598" i="1"/>
  <c r="CS580" i="1"/>
  <c r="CS561" i="1"/>
  <c r="CS543" i="1"/>
  <c r="CS525" i="1"/>
  <c r="CS507" i="1"/>
  <c r="CS489" i="1"/>
  <c r="CS472" i="1"/>
  <c r="CS455" i="1"/>
  <c r="CS438" i="1"/>
  <c r="CS421" i="1"/>
  <c r="CS404" i="1"/>
  <c r="CS386" i="1"/>
  <c r="CS369" i="1"/>
  <c r="CS352" i="1"/>
  <c r="CS335" i="1"/>
  <c r="CS318" i="1"/>
  <c r="CS301" i="1"/>
  <c r="CS284" i="1"/>
  <c r="CS267" i="1"/>
  <c r="CS250" i="1"/>
  <c r="CS233" i="1"/>
  <c r="CS216" i="1"/>
  <c r="CS199" i="1"/>
  <c r="CS182" i="1"/>
  <c r="CS165" i="1"/>
  <c r="CS148" i="1"/>
  <c r="CS130" i="1"/>
  <c r="CS113" i="1"/>
  <c r="CS96" i="1"/>
  <c r="CS79" i="1"/>
  <c r="CS62" i="1"/>
  <c r="CS45" i="1"/>
  <c r="CS28" i="1"/>
  <c r="CS11" i="1"/>
  <c r="CS1614" i="1"/>
  <c r="CS1591" i="1"/>
  <c r="CS1565" i="1"/>
  <c r="CS1535" i="1"/>
  <c r="CS1512" i="1"/>
  <c r="CS1486" i="1"/>
  <c r="CS1456" i="1"/>
  <c r="CS1433" i="1"/>
  <c r="CS1407" i="1"/>
  <c r="CS1377" i="1"/>
  <c r="CS1354" i="1"/>
  <c r="CS1328" i="1"/>
  <c r="CS1298" i="1"/>
  <c r="CS1275" i="1"/>
  <c r="CS1249" i="1"/>
  <c r="CS1222" i="1"/>
  <c r="CS1196" i="1"/>
  <c r="CS1170" i="1"/>
  <c r="CS1143" i="1"/>
  <c r="CS1117" i="1"/>
  <c r="CS1094" i="1"/>
  <c r="CS1064" i="1"/>
  <c r="CS1038" i="1"/>
  <c r="CS1015" i="1"/>
  <c r="CS985" i="1"/>
  <c r="CS959" i="1"/>
  <c r="CS936" i="1"/>
  <c r="CS908" i="1"/>
  <c r="CS887" i="1"/>
  <c r="CS865" i="1"/>
  <c r="CS840" i="1"/>
  <c r="CS818" i="1"/>
  <c r="CS797" i="1"/>
  <c r="CS772" i="1"/>
  <c r="CS750" i="1"/>
  <c r="CS729" i="1"/>
  <c r="CS705" i="1"/>
  <c r="CS687" i="1"/>
  <c r="CS669" i="1"/>
  <c r="CS651" i="1"/>
  <c r="CS633" i="1"/>
  <c r="CS615" i="1"/>
  <c r="CS597" i="1"/>
  <c r="CS578" i="1"/>
  <c r="CS560" i="1"/>
  <c r="CS542" i="1"/>
  <c r="CS524" i="1"/>
  <c r="CS506" i="1"/>
  <c r="CS488" i="1"/>
  <c r="CS471" i="1"/>
  <c r="CS454" i="1"/>
  <c r="CS437" i="1"/>
  <c r="CS420" i="1"/>
  <c r="CS402" i="1"/>
  <c r="CS385" i="1"/>
  <c r="CS368" i="1"/>
  <c r="CS351" i="1"/>
  <c r="CS334" i="1"/>
  <c r="CS317" i="1"/>
  <c r="CS300" i="1"/>
  <c r="CS283" i="1"/>
  <c r="CS266" i="1"/>
  <c r="CS249" i="1"/>
  <c r="CS232" i="1"/>
  <c r="CS215" i="1"/>
  <c r="CS198" i="1"/>
  <c r="CS181" i="1"/>
  <c r="CS164" i="1"/>
  <c r="CS146" i="1"/>
  <c r="CS129" i="1"/>
  <c r="CS112" i="1"/>
  <c r="CS95" i="1"/>
  <c r="CS78" i="1"/>
  <c r="CS61" i="1"/>
  <c r="CS44" i="1"/>
  <c r="CS27" i="1"/>
  <c r="CS10" i="1"/>
  <c r="CS1613" i="1"/>
  <c r="CS1590" i="1"/>
  <c r="CS1564" i="1"/>
  <c r="CS1534" i="1"/>
  <c r="CS1511" i="1"/>
  <c r="CS1485" i="1"/>
  <c r="CS1455" i="1"/>
  <c r="CS1432" i="1"/>
  <c r="CS1406" i="1"/>
  <c r="CS1376" i="1"/>
  <c r="CS1353" i="1"/>
  <c r="CS1327" i="1"/>
  <c r="CS1297" i="1"/>
  <c r="CS1274" i="1"/>
  <c r="CS1248" i="1"/>
  <c r="CS1218" i="1"/>
  <c r="CS1195" i="1"/>
  <c r="CS1169" i="1"/>
  <c r="CS1142" i="1"/>
  <c r="CS1116" i="1"/>
  <c r="CS1090" i="1"/>
  <c r="CS1063" i="1"/>
  <c r="CS1037" i="1"/>
  <c r="CS1014" i="1"/>
  <c r="CS984" i="1"/>
  <c r="CS958" i="1"/>
  <c r="CS935" i="1"/>
  <c r="CS907" i="1"/>
  <c r="CS886" i="1"/>
  <c r="CS864" i="1"/>
  <c r="CS839" i="1"/>
  <c r="CS817" i="1"/>
  <c r="CS796" i="1"/>
  <c r="CS770" i="1"/>
  <c r="CS749" i="1"/>
  <c r="CS728" i="1"/>
  <c r="CS704" i="1"/>
  <c r="CS686" i="1"/>
  <c r="CS668" i="1"/>
  <c r="CS650" i="1"/>
  <c r="CS632" i="1"/>
  <c r="CS614" i="1"/>
  <c r="CS596" i="1"/>
  <c r="CS577" i="1"/>
  <c r="CS559" i="1"/>
  <c r="CS541" i="1"/>
  <c r="CS523" i="1"/>
  <c r="CS505" i="1"/>
  <c r="CS487" i="1"/>
  <c r="CS470" i="1"/>
  <c r="CS453" i="1"/>
  <c r="CS436" i="1"/>
  <c r="CS418" i="1"/>
  <c r="CS401" i="1"/>
  <c r="CS384" i="1"/>
  <c r="CS367" i="1"/>
  <c r="CS350" i="1"/>
  <c r="CS333" i="1"/>
  <c r="CS316" i="1"/>
  <c r="CS299" i="1"/>
  <c r="CS282" i="1"/>
  <c r="CS265" i="1"/>
  <c r="CS1612" i="1"/>
  <c r="CS1586" i="1"/>
  <c r="CS1563" i="1"/>
  <c r="CS1533" i="1"/>
  <c r="CS1510" i="1"/>
  <c r="CS1484" i="1"/>
  <c r="CS1454" i="1"/>
  <c r="CS1431" i="1"/>
  <c r="CS1405" i="1"/>
  <c r="CS1375" i="1"/>
  <c r="CS1352" i="1"/>
  <c r="CS1326" i="1"/>
  <c r="CS1296" i="1"/>
  <c r="CS1273" i="1"/>
  <c r="CS1247" i="1"/>
  <c r="CS1217" i="1"/>
  <c r="CS1194" i="1"/>
  <c r="CS1168" i="1"/>
  <c r="CS1138" i="1"/>
  <c r="CS1115" i="1"/>
  <c r="CS1089" i="1"/>
  <c r="CS1062" i="1"/>
  <c r="CS1036" i="1"/>
  <c r="CS1010" i="1"/>
  <c r="CS983" i="1"/>
  <c r="CS957" i="1"/>
  <c r="CS934" i="1"/>
  <c r="CS906" i="1"/>
  <c r="CS885" i="1"/>
  <c r="CS863" i="1"/>
  <c r="CS838" i="1"/>
  <c r="CS816" i="1"/>
  <c r="CS795" i="1"/>
  <c r="CS769" i="1"/>
  <c r="CS748" i="1"/>
  <c r="CS727" i="1"/>
  <c r="CS703" i="1"/>
  <c r="CS685" i="1"/>
  <c r="CS667" i="1"/>
  <c r="CS649" i="1"/>
  <c r="CS631" i="1"/>
  <c r="CS613" i="1"/>
  <c r="CS594" i="1"/>
  <c r="CS576" i="1"/>
  <c r="CS558" i="1"/>
  <c r="CS540" i="1"/>
  <c r="CS522" i="1"/>
  <c r="CS504" i="1"/>
  <c r="CS486" i="1"/>
  <c r="CS469" i="1"/>
  <c r="CS452" i="1"/>
  <c r="CS434" i="1"/>
  <c r="CS417" i="1"/>
  <c r="CS400" i="1"/>
  <c r="CS383" i="1"/>
  <c r="CS366" i="1"/>
  <c r="CS349" i="1"/>
  <c r="CS332" i="1"/>
  <c r="CS315" i="1"/>
  <c r="CS298" i="1"/>
  <c r="CS281" i="1"/>
  <c r="CS264" i="1"/>
  <c r="CS247" i="1"/>
  <c r="CS230" i="1"/>
  <c r="CS213" i="1"/>
  <c r="CS196" i="1"/>
  <c r="CS178" i="1"/>
  <c r="CS161" i="1"/>
  <c r="CS144" i="1"/>
  <c r="CS127" i="1"/>
  <c r="CS110" i="1"/>
  <c r="CS93" i="1"/>
  <c r="CS76" i="1"/>
  <c r="CS59" i="1"/>
  <c r="CS42" i="1"/>
  <c r="CS25" i="1"/>
  <c r="CS8" i="1"/>
  <c r="CS1609" i="1"/>
  <c r="CS1583" i="1"/>
  <c r="CS1553" i="1"/>
  <c r="CS1530" i="1"/>
  <c r="CS1504" i="1"/>
  <c r="CS1474" i="1"/>
  <c r="CS1451" i="1"/>
  <c r="CS1425" i="1"/>
  <c r="CS1398" i="1"/>
  <c r="CS1372" i="1"/>
  <c r="CS1346" i="1"/>
  <c r="CS1319" i="1"/>
  <c r="CS1293" i="1"/>
  <c r="CS1270" i="1"/>
  <c r="CS1240" i="1"/>
  <c r="CS1214" i="1"/>
  <c r="CS1191" i="1"/>
  <c r="CS1161" i="1"/>
  <c r="CS1135" i="1"/>
  <c r="CS1112" i="1"/>
  <c r="CS1082" i="1"/>
  <c r="CS1608" i="1"/>
  <c r="CS1582" i="1"/>
  <c r="CS1552" i="1"/>
  <c r="CS1600" i="1"/>
  <c r="CS1547" i="1"/>
  <c r="CS1496" i="1"/>
  <c r="CS1449" i="1"/>
  <c r="CS1399" i="1"/>
  <c r="CS1358" i="1"/>
  <c r="CS1311" i="1"/>
  <c r="CS1260" i="1"/>
  <c r="CS1213" i="1"/>
  <c r="CS1167" i="1"/>
  <c r="CS1129" i="1"/>
  <c r="CS1078" i="1"/>
  <c r="CS1033" i="1"/>
  <c r="CS994" i="1"/>
  <c r="CS952" i="1"/>
  <c r="CS905" i="1"/>
  <c r="CS873" i="1"/>
  <c r="CS834" i="1"/>
  <c r="CS802" i="1"/>
  <c r="CS764" i="1"/>
  <c r="CS726" i="1"/>
  <c r="CS696" i="1"/>
  <c r="CS664" i="1"/>
  <c r="CS638" i="1"/>
  <c r="CS607" i="1"/>
  <c r="CS575" i="1"/>
  <c r="CS550" i="1"/>
  <c r="CS518" i="1"/>
  <c r="CS493" i="1"/>
  <c r="CS463" i="1"/>
  <c r="CS433" i="1"/>
  <c r="CS410" i="1"/>
  <c r="CS380" i="1"/>
  <c r="CS357" i="1"/>
  <c r="CS327" i="1"/>
  <c r="CS297" i="1"/>
  <c r="CS273" i="1"/>
  <c r="CS245" i="1"/>
  <c r="CS222" i="1"/>
  <c r="CS194" i="1"/>
  <c r="CS172" i="1"/>
  <c r="CS145" i="1"/>
  <c r="CS122" i="1"/>
  <c r="CS100" i="1"/>
  <c r="CS72" i="1"/>
  <c r="CS49" i="1"/>
  <c r="CS22" i="1"/>
  <c r="CS1595" i="1"/>
  <c r="CS1546" i="1"/>
  <c r="CS1495" i="1"/>
  <c r="CS1448" i="1"/>
  <c r="CS1394" i="1"/>
  <c r="CS1351" i="1"/>
  <c r="CS1310" i="1"/>
  <c r="CS1259" i="1"/>
  <c r="CS1212" i="1"/>
  <c r="CS1162" i="1"/>
  <c r="CS1121" i="1"/>
  <c r="CS1074" i="1"/>
  <c r="CS1032" i="1"/>
  <c r="CS993" i="1"/>
  <c r="CS944" i="1"/>
  <c r="CS904" i="1"/>
  <c r="CS872" i="1"/>
  <c r="CS833" i="1"/>
  <c r="CS801" i="1"/>
  <c r="CS763" i="1"/>
  <c r="CS720" i="1"/>
  <c r="CS695" i="1"/>
  <c r="CS663" i="1"/>
  <c r="CS637" i="1"/>
  <c r="CS606" i="1"/>
  <c r="CS574" i="1"/>
  <c r="CS549" i="1"/>
  <c r="CS517" i="1"/>
  <c r="CS492" i="1"/>
  <c r="CS462" i="1"/>
  <c r="CS432" i="1"/>
  <c r="CS409" i="1"/>
  <c r="CS379" i="1"/>
  <c r="CS356" i="1"/>
  <c r="CS326" i="1"/>
  <c r="CS296" i="1"/>
  <c r="CS272" i="1"/>
  <c r="CS244" i="1"/>
  <c r="CS221" i="1"/>
  <c r="CS193" i="1"/>
  <c r="CS171" i="1"/>
  <c r="CS143" i="1"/>
  <c r="CS121" i="1"/>
  <c r="CS94" i="1"/>
  <c r="CS71" i="1"/>
  <c r="CS48" i="1"/>
  <c r="CS21" i="1"/>
  <c r="CS1585" i="1"/>
  <c r="CS1532" i="1"/>
  <c r="CS1494" i="1"/>
  <c r="CS1447" i="1"/>
  <c r="CS1393" i="1"/>
  <c r="CS1350" i="1"/>
  <c r="CS1309" i="1"/>
  <c r="CS1258" i="1"/>
  <c r="CS1211" i="1"/>
  <c r="CS1160" i="1"/>
  <c r="CS1114" i="1"/>
  <c r="CS1073" i="1"/>
  <c r="CS1031" i="1"/>
  <c r="CS982" i="1"/>
  <c r="CS943" i="1"/>
  <c r="CS903" i="1"/>
  <c r="CS871" i="1"/>
  <c r="CS832" i="1"/>
  <c r="CS794" i="1"/>
  <c r="CS762" i="1"/>
  <c r="CS719" i="1"/>
  <c r="CS694" i="1"/>
  <c r="CS662" i="1"/>
  <c r="CS630" i="1"/>
  <c r="CS604" i="1"/>
  <c r="CS573" i="1"/>
  <c r="CS548" i="1"/>
  <c r="CS516" i="1"/>
  <c r="CS485" i="1"/>
  <c r="CS461" i="1"/>
  <c r="CS431" i="1"/>
  <c r="CS408" i="1"/>
  <c r="CS378" i="1"/>
  <c r="CS348" i="1"/>
  <c r="CS325" i="1"/>
  <c r="CS295" i="1"/>
  <c r="CS271" i="1"/>
  <c r="CS242" i="1"/>
  <c r="CS220" i="1"/>
  <c r="CS192" i="1"/>
  <c r="CS170" i="1"/>
  <c r="CS142" i="1"/>
  <c r="CS120" i="1"/>
  <c r="CS92" i="1"/>
  <c r="CS70" i="1"/>
  <c r="CS43" i="1"/>
  <c r="CS20" i="1"/>
  <c r="CS1584" i="1"/>
  <c r="CS1531" i="1"/>
  <c r="CS1490" i="1"/>
  <c r="CS1446" i="1"/>
  <c r="CS1392" i="1"/>
  <c r="CS1345" i="1"/>
  <c r="CS1295" i="1"/>
  <c r="CS1257" i="1"/>
  <c r="CS1210" i="1"/>
  <c r="CS1159" i="1"/>
  <c r="CS1113" i="1"/>
  <c r="CS1072" i="1"/>
  <c r="CS1023" i="1"/>
  <c r="CS978" i="1"/>
  <c r="CS942" i="1"/>
  <c r="CS902" i="1"/>
  <c r="CS870" i="1"/>
  <c r="CS831" i="1"/>
  <c r="CS789" i="1"/>
  <c r="CS761" i="1"/>
  <c r="CS718" i="1"/>
  <c r="CS693" i="1"/>
  <c r="CS661" i="1"/>
  <c r="CS629" i="1"/>
  <c r="CS603" i="1"/>
  <c r="CS572" i="1"/>
  <c r="CS546" i="1"/>
  <c r="CS514" i="1"/>
  <c r="CS484" i="1"/>
  <c r="CS460" i="1"/>
  <c r="CS430" i="1"/>
  <c r="CS407" i="1"/>
  <c r="CS377" i="1"/>
  <c r="CS347" i="1"/>
  <c r="CS324" i="1"/>
  <c r="CS294" i="1"/>
  <c r="CS270" i="1"/>
  <c r="CS241" i="1"/>
  <c r="CS219" i="1"/>
  <c r="CS191" i="1"/>
  <c r="CS169" i="1"/>
  <c r="CS141" i="1"/>
  <c r="CS119" i="1"/>
  <c r="CS91" i="1"/>
  <c r="CS69" i="1"/>
  <c r="CS41" i="1"/>
  <c r="CS18" i="1"/>
  <c r="CS1581" i="1"/>
  <c r="CS1529" i="1"/>
  <c r="CS1483" i="1"/>
  <c r="CS1442" i="1"/>
  <c r="CS1391" i="1"/>
  <c r="CS1344" i="1"/>
  <c r="CS1294" i="1"/>
  <c r="CS1256" i="1"/>
  <c r="CS1209" i="1"/>
  <c r="CS1158" i="1"/>
  <c r="CS1111" i="1"/>
  <c r="CS1058" i="1"/>
  <c r="CS1022" i="1"/>
  <c r="CS977" i="1"/>
  <c r="CS941" i="1"/>
  <c r="CS901" i="1"/>
  <c r="CS862" i="1"/>
  <c r="CS830" i="1"/>
  <c r="CS788" i="1"/>
  <c r="CS760" i="1"/>
  <c r="CS717" i="1"/>
  <c r="CS684" i="1"/>
  <c r="CS660" i="1"/>
  <c r="CS628" i="1"/>
  <c r="CS602" i="1"/>
  <c r="CS570" i="1"/>
  <c r="CS539" i="1"/>
  <c r="CS513" i="1"/>
  <c r="CS482" i="1"/>
  <c r="CS459" i="1"/>
  <c r="CS429" i="1"/>
  <c r="CS399" i="1"/>
  <c r="CS376" i="1"/>
  <c r="CS346" i="1"/>
  <c r="CS322" i="1"/>
  <c r="CS293" i="1"/>
  <c r="CS263" i="1"/>
  <c r="CS240" i="1"/>
  <c r="CS214" i="1"/>
  <c r="CS190" i="1"/>
  <c r="CS168" i="1"/>
  <c r="CS140" i="1"/>
  <c r="CS118" i="1"/>
  <c r="CS90" i="1"/>
  <c r="CS68" i="1"/>
  <c r="CS40" i="1"/>
  <c r="CS17" i="1"/>
  <c r="CS1576" i="1"/>
  <c r="CS1528" i="1"/>
  <c r="CS1478" i="1"/>
  <c r="CS1437" i="1"/>
  <c r="CS1390" i="1"/>
  <c r="CS1339" i="1"/>
  <c r="CS1292" i="1"/>
  <c r="CS1246" i="1"/>
  <c r="CS1208" i="1"/>
  <c r="CS1154" i="1"/>
  <c r="CS1110" i="1"/>
  <c r="CS1057" i="1"/>
  <c r="CS1021" i="1"/>
  <c r="CS976" i="1"/>
  <c r="CS940" i="1"/>
  <c r="CS900" i="1"/>
  <c r="CS857" i="1"/>
  <c r="CS829" i="1"/>
  <c r="CS786" i="1"/>
  <c r="CS754" i="1"/>
  <c r="CS716" i="1"/>
  <c r="CS683" i="1"/>
  <c r="CS658" i="1"/>
  <c r="CS626" i="1"/>
  <c r="CS601" i="1"/>
  <c r="CS569" i="1"/>
  <c r="CS538" i="1"/>
  <c r="CS512" i="1"/>
  <c r="CS481" i="1"/>
  <c r="CS458" i="1"/>
  <c r="CS428" i="1"/>
  <c r="CS398" i="1"/>
  <c r="CS375" i="1"/>
  <c r="CS345" i="1"/>
  <c r="CS321" i="1"/>
  <c r="CS292" i="1"/>
  <c r="CS262" i="1"/>
  <c r="CS239" i="1"/>
  <c r="CS212" i="1"/>
  <c r="CS189" i="1"/>
  <c r="CS162" i="1"/>
  <c r="CS139" i="1"/>
  <c r="CS117" i="1"/>
  <c r="CS89" i="1"/>
  <c r="CS66" i="1"/>
  <c r="CS39" i="1"/>
  <c r="CS16" i="1"/>
  <c r="CS1626" i="1"/>
  <c r="CS1570" i="1"/>
  <c r="CS1522" i="1"/>
  <c r="CS1471" i="1"/>
  <c r="CS1424" i="1"/>
  <c r="CS1374" i="1"/>
  <c r="CS1336" i="1"/>
  <c r="CS1289" i="1"/>
  <c r="CS1238" i="1"/>
  <c r="CS1192" i="1"/>
  <c r="CS1151" i="1"/>
  <c r="CS1100" i="1"/>
  <c r="CS1054" i="1"/>
  <c r="CS1009" i="1"/>
  <c r="CS973" i="1"/>
  <c r="CS924" i="1"/>
  <c r="CS896" i="1"/>
  <c r="CS854" i="1"/>
  <c r="CS815" i="1"/>
  <c r="CS783" i="1"/>
  <c r="CS745" i="1"/>
  <c r="CS713" i="1"/>
  <c r="CS680" i="1"/>
  <c r="CS648" i="1"/>
  <c r="CS623" i="1"/>
  <c r="CS591" i="1"/>
  <c r="CS566" i="1"/>
  <c r="CS534" i="1"/>
  <c r="CS502" i="1"/>
  <c r="CS478" i="1"/>
  <c r="CS448" i="1"/>
  <c r="CS425" i="1"/>
  <c r="CS395" i="1"/>
  <c r="CS365" i="1"/>
  <c r="CS342" i="1"/>
  <c r="CS312" i="1"/>
  <c r="CS288" i="1"/>
  <c r="CS258" i="1"/>
  <c r="CS236" i="1"/>
  <c r="CS208" i="1"/>
  <c r="CS186" i="1"/>
  <c r="CS158" i="1"/>
  <c r="CS136" i="1"/>
  <c r="CS108" i="1"/>
  <c r="CS86" i="1"/>
  <c r="CS58" i="1"/>
  <c r="CS36" i="1"/>
  <c r="CS9" i="1"/>
  <c r="CS1575" i="1"/>
  <c r="CS1502" i="1"/>
  <c r="CS1416" i="1"/>
  <c r="CS1325" i="1"/>
  <c r="CS1239" i="1"/>
  <c r="CS1177" i="1"/>
  <c r="CS1081" i="1"/>
  <c r="CS1002" i="1"/>
  <c r="CS923" i="1"/>
  <c r="CS856" i="1"/>
  <c r="CS805" i="1"/>
  <c r="CS736" i="1"/>
  <c r="CS678" i="1"/>
  <c r="CS624" i="1"/>
  <c r="CS583" i="1"/>
  <c r="CS528" i="1"/>
  <c r="CS475" i="1"/>
  <c r="CS424" i="1"/>
  <c r="CS374" i="1"/>
  <c r="CS329" i="1"/>
  <c r="CS278" i="1"/>
  <c r="CS229" i="1"/>
  <c r="CS187" i="1"/>
  <c r="CS151" i="1"/>
  <c r="CS103" i="1"/>
  <c r="CS55" i="1"/>
  <c r="CS7" i="1"/>
  <c r="CS1574" i="1"/>
  <c r="CS1497" i="1"/>
  <c r="CS1415" i="1"/>
  <c r="CS1320" i="1"/>
  <c r="CS1234" i="1"/>
  <c r="CS1153" i="1"/>
  <c r="CS1080" i="1"/>
  <c r="CS1001" i="1"/>
  <c r="CS922" i="1"/>
  <c r="CS855" i="1"/>
  <c r="CS804" i="1"/>
  <c r="CS735" i="1"/>
  <c r="CS677" i="1"/>
  <c r="CS621" i="1"/>
  <c r="CS568" i="1"/>
  <c r="CS521" i="1"/>
  <c r="CS468" i="1"/>
  <c r="CS416" i="1"/>
  <c r="CS373" i="1"/>
  <c r="CS328" i="1"/>
  <c r="CS277" i="1"/>
  <c r="CS228" i="1"/>
  <c r="CS185" i="1"/>
  <c r="CS138" i="1"/>
  <c r="CS102" i="1"/>
  <c r="CS54" i="1"/>
  <c r="CS6" i="1"/>
  <c r="CS1569" i="1"/>
  <c r="CS1473" i="1"/>
  <c r="CS1414" i="1"/>
  <c r="CS1318" i="1"/>
  <c r="CS1233" i="1"/>
  <c r="CS1152" i="1"/>
  <c r="CS1079" i="1"/>
  <c r="CS1000" i="1"/>
  <c r="CS921" i="1"/>
  <c r="CS853" i="1"/>
  <c r="CS785" i="1"/>
  <c r="CS734" i="1"/>
  <c r="CS676" i="1"/>
  <c r="CS620" i="1"/>
  <c r="CS567" i="1"/>
  <c r="CS519" i="1"/>
  <c r="CS466" i="1"/>
  <c r="CS415" i="1"/>
  <c r="CS364" i="1"/>
  <c r="CS314" i="1"/>
  <c r="CS276" i="1"/>
  <c r="CS226" i="1"/>
  <c r="CS180" i="1"/>
  <c r="CS137" i="1"/>
  <c r="CS101" i="1"/>
  <c r="CS53" i="1"/>
  <c r="CS5" i="1"/>
  <c r="CS1562" i="1"/>
  <c r="CS1472" i="1"/>
  <c r="CS1404" i="1"/>
  <c r="CS1314" i="1"/>
  <c r="CS1232" i="1"/>
  <c r="CS1137" i="1"/>
  <c r="CS1056" i="1"/>
  <c r="CS999" i="1"/>
  <c r="CS920" i="1"/>
  <c r="CS852" i="1"/>
  <c r="CS784" i="1"/>
  <c r="CS733" i="1"/>
  <c r="CS674" i="1"/>
  <c r="CS619" i="1"/>
  <c r="CS565" i="1"/>
  <c r="CS511" i="1"/>
  <c r="CS465" i="1"/>
  <c r="CS414" i="1"/>
  <c r="CS363" i="1"/>
  <c r="CS313" i="1"/>
  <c r="CS274" i="1"/>
  <c r="CS225" i="1"/>
  <c r="CS177" i="1"/>
  <c r="CS135" i="1"/>
  <c r="CS88" i="1"/>
  <c r="CS52" i="1"/>
  <c r="CS4" i="1"/>
  <c r="CS1554" i="1"/>
  <c r="CS1470" i="1"/>
  <c r="CS1389" i="1"/>
  <c r="CS1313" i="1"/>
  <c r="CS1231" i="1"/>
  <c r="CS1136" i="1"/>
  <c r="CS1055" i="1"/>
  <c r="CS998" i="1"/>
  <c r="CS919" i="1"/>
  <c r="CS850" i="1"/>
  <c r="CS782" i="1"/>
  <c r="CS715" i="1"/>
  <c r="CS666" i="1"/>
  <c r="CS612" i="1"/>
  <c r="CS557" i="1"/>
  <c r="CS510" i="1"/>
  <c r="CS464" i="1"/>
  <c r="CS413" i="1"/>
  <c r="CS362" i="1"/>
  <c r="CS311" i="1"/>
  <c r="CS261" i="1"/>
  <c r="CS224" i="1"/>
  <c r="CS176" i="1"/>
  <c r="CS134" i="1"/>
  <c r="CS87" i="1"/>
  <c r="CS50" i="1"/>
  <c r="CS1551" i="1"/>
  <c r="CS1469" i="1"/>
  <c r="CS1388" i="1"/>
  <c r="CS1312" i="1"/>
  <c r="CS1230" i="1"/>
  <c r="CS1134" i="1"/>
  <c r="CS1053" i="1"/>
  <c r="CS975" i="1"/>
  <c r="CS918" i="1"/>
  <c r="CS849" i="1"/>
  <c r="CS781" i="1"/>
  <c r="CS714" i="1"/>
  <c r="CS665" i="1"/>
  <c r="CS610" i="1"/>
  <c r="CS556" i="1"/>
  <c r="CS501" i="1"/>
  <c r="CS450" i="1"/>
  <c r="CS412" i="1"/>
  <c r="CS361" i="1"/>
  <c r="CS310" i="1"/>
  <c r="CS260" i="1"/>
  <c r="CS223" i="1"/>
  <c r="CS175" i="1"/>
  <c r="CS128" i="1"/>
  <c r="CS85" i="1"/>
  <c r="CS38" i="1"/>
  <c r="CS1550" i="1"/>
  <c r="CS1468" i="1"/>
  <c r="CS1373" i="1"/>
  <c r="CS1291" i="1"/>
  <c r="CS1216" i="1"/>
  <c r="CS1133" i="1"/>
  <c r="CS1052" i="1"/>
  <c r="CS974" i="1"/>
  <c r="CS917" i="1"/>
  <c r="CS848" i="1"/>
  <c r="CS780" i="1"/>
  <c r="CS712" i="1"/>
  <c r="CS657" i="1"/>
  <c r="CS609" i="1"/>
  <c r="CS555" i="1"/>
  <c r="CS500" i="1"/>
  <c r="CS449" i="1"/>
  <c r="CS411" i="1"/>
  <c r="CS360" i="1"/>
  <c r="CS309" i="1"/>
  <c r="CS257" i="1"/>
  <c r="CS210" i="1"/>
  <c r="CS174" i="1"/>
  <c r="CS126" i="1"/>
  <c r="CS84" i="1"/>
  <c r="CS37" i="1"/>
  <c r="CS1505" i="1"/>
  <c r="CS1366" i="1"/>
  <c r="CS1190" i="1"/>
  <c r="CS1050" i="1"/>
  <c r="CS925" i="1"/>
  <c r="CS812" i="1"/>
  <c r="CS698" i="1"/>
  <c r="CS592" i="1"/>
  <c r="CS498" i="1"/>
  <c r="CS427" i="1"/>
  <c r="CS340" i="1"/>
  <c r="CS253" i="1"/>
  <c r="CS160" i="1"/>
  <c r="CS104" i="1"/>
  <c r="CS23" i="1"/>
  <c r="CS1503" i="1"/>
  <c r="CS1338" i="1"/>
  <c r="CS1186" i="1"/>
  <c r="CS1042" i="1"/>
  <c r="CS898" i="1"/>
  <c r="CS811" i="1"/>
  <c r="CS697" i="1"/>
  <c r="CS590" i="1"/>
  <c r="CS497" i="1"/>
  <c r="CS426" i="1"/>
  <c r="CS338" i="1"/>
  <c r="CS248" i="1"/>
  <c r="CS159" i="1"/>
  <c r="CS82" i="1"/>
  <c r="CS15" i="1"/>
  <c r="CS1625" i="1"/>
  <c r="CS1467" i="1"/>
  <c r="CS1337" i="1"/>
  <c r="CS1181" i="1"/>
  <c r="CS1035" i="1"/>
  <c r="CS897" i="1"/>
  <c r="CS806" i="1"/>
  <c r="CS682" i="1"/>
  <c r="CS589" i="1"/>
  <c r="CS496" i="1"/>
  <c r="CS397" i="1"/>
  <c r="CS331" i="1"/>
  <c r="CS246" i="1"/>
  <c r="CS157" i="1"/>
  <c r="CS77" i="1"/>
  <c r="CS14" i="1"/>
  <c r="CS1611" i="1"/>
  <c r="CS1453" i="1"/>
  <c r="CS1335" i="1"/>
  <c r="CS1180" i="1"/>
  <c r="CS1034" i="1"/>
  <c r="CS891" i="1"/>
  <c r="CS768" i="1"/>
  <c r="CS681" i="1"/>
  <c r="CS587" i="1"/>
  <c r="CS495" i="1"/>
  <c r="CS396" i="1"/>
  <c r="CS330" i="1"/>
  <c r="CS238" i="1"/>
  <c r="CS156" i="1"/>
  <c r="CS75" i="1"/>
  <c r="CS1610" i="1"/>
  <c r="CS1452" i="1"/>
  <c r="CS1290" i="1"/>
  <c r="CS1179" i="1"/>
  <c r="CS1020" i="1"/>
  <c r="CS884" i="1"/>
  <c r="CS767" i="1"/>
  <c r="CS679" i="1"/>
  <c r="CS586" i="1"/>
  <c r="CS494" i="1"/>
  <c r="CS394" i="1"/>
  <c r="CS308" i="1"/>
  <c r="CS237" i="1"/>
  <c r="CS155" i="1"/>
  <c r="CS74" i="1"/>
  <c r="CS1607" i="1"/>
  <c r="CS1450" i="1"/>
  <c r="CS1288" i="1"/>
  <c r="CS1178" i="1"/>
  <c r="CS1019" i="1"/>
  <c r="CS882" i="1"/>
  <c r="CS766" i="1"/>
  <c r="CS655" i="1"/>
  <c r="CS585" i="1"/>
  <c r="CS480" i="1"/>
  <c r="CS393" i="1"/>
  <c r="CS306" i="1"/>
  <c r="CS231" i="1"/>
  <c r="CS154" i="1"/>
  <c r="CS73" i="1"/>
  <c r="CS1606" i="1"/>
  <c r="CS1430" i="1"/>
  <c r="CS1287" i="1"/>
  <c r="CS1132" i="1"/>
  <c r="CS1004" i="1"/>
  <c r="CS881" i="1"/>
  <c r="CS765" i="1"/>
  <c r="CS647" i="1"/>
  <c r="CS584" i="1"/>
  <c r="CS479" i="1"/>
  <c r="CS392" i="1"/>
  <c r="CS305" i="1"/>
  <c r="CS209" i="1"/>
  <c r="CS153" i="1"/>
  <c r="CS65" i="1"/>
  <c r="CS1602" i="1"/>
  <c r="CS1426" i="1"/>
  <c r="CS1279" i="1"/>
  <c r="CS1131" i="1"/>
  <c r="CS1003" i="1"/>
  <c r="CS880" i="1"/>
  <c r="CS747" i="1"/>
  <c r="CS646" i="1"/>
  <c r="CS553" i="1"/>
  <c r="CS477" i="1"/>
  <c r="CS391" i="1"/>
  <c r="CS304" i="1"/>
  <c r="CS207" i="1"/>
  <c r="CS152" i="1"/>
  <c r="CS60" i="1"/>
  <c r="CS1417" i="1"/>
  <c r="CS1101" i="1"/>
  <c r="CS837" i="1"/>
  <c r="CS642" i="1"/>
  <c r="CS446" i="1"/>
  <c r="CS287" i="1"/>
  <c r="CS123" i="1"/>
  <c r="CS1371" i="1"/>
  <c r="CS1099" i="1"/>
  <c r="CS836" i="1"/>
  <c r="CS641" i="1"/>
  <c r="CS445" i="1"/>
  <c r="CS280" i="1"/>
  <c r="CS111" i="1"/>
  <c r="CS1370" i="1"/>
  <c r="CS1098" i="1"/>
  <c r="CS828" i="1"/>
  <c r="CS640" i="1"/>
  <c r="CS444" i="1"/>
  <c r="CS279" i="1"/>
  <c r="CS109" i="1"/>
  <c r="CS1369" i="1"/>
  <c r="CS1088" i="1"/>
  <c r="CS823" i="1"/>
  <c r="CS625" i="1"/>
  <c r="CS443" i="1"/>
  <c r="CS256" i="1"/>
  <c r="CS107" i="1"/>
  <c r="CS1368" i="1"/>
  <c r="CS1083" i="1"/>
  <c r="CS814" i="1"/>
  <c r="CS608" i="1"/>
  <c r="CS442" i="1"/>
  <c r="CS255" i="1"/>
  <c r="CS106" i="1"/>
  <c r="CS1367" i="1"/>
  <c r="CS1051" i="1"/>
  <c r="CS813" i="1"/>
  <c r="CS593" i="1"/>
  <c r="CS441" i="1"/>
  <c r="CS254" i="1"/>
  <c r="CS105" i="1"/>
  <c r="CS1601" i="1"/>
  <c r="CS1272" i="1"/>
  <c r="CS972" i="1"/>
  <c r="CS746" i="1"/>
  <c r="CS552" i="1"/>
  <c r="CS390" i="1"/>
  <c r="CS206" i="1"/>
  <c r="CS57" i="1"/>
  <c r="CS1549" i="1"/>
  <c r="CS1271" i="1"/>
  <c r="CS971" i="1"/>
  <c r="CS744" i="1"/>
  <c r="CS551" i="1"/>
  <c r="CS382" i="1"/>
  <c r="CS205" i="1"/>
  <c r="CS56" i="1"/>
  <c r="CS1548" i="1"/>
  <c r="CS1266" i="1"/>
  <c r="CS966" i="1"/>
  <c r="CS743" i="1"/>
  <c r="CS536" i="1"/>
  <c r="CS381" i="1"/>
  <c r="CS204" i="1"/>
  <c r="CS34" i="1"/>
  <c r="CS1527" i="1"/>
  <c r="CS1265" i="1"/>
  <c r="CS956" i="1"/>
  <c r="CS737" i="1"/>
  <c r="CS535" i="1"/>
  <c r="CS359" i="1"/>
  <c r="CS203" i="1"/>
  <c r="CS33" i="1"/>
  <c r="CS1526" i="1"/>
  <c r="CS1241" i="1"/>
  <c r="CS955" i="1"/>
  <c r="CS702" i="1"/>
  <c r="CS533" i="1"/>
  <c r="CS358" i="1"/>
  <c r="CS202" i="1"/>
  <c r="CS32" i="1"/>
  <c r="CS1521" i="1"/>
  <c r="CS1215" i="1"/>
  <c r="CS954" i="1"/>
  <c r="CS701" i="1"/>
  <c r="CS532" i="1"/>
  <c r="CS344" i="1"/>
  <c r="CS197" i="1"/>
  <c r="CS31" i="1"/>
  <c r="CS879" i="1"/>
  <c r="CS125" i="1"/>
  <c r="CS874" i="1"/>
  <c r="CS124" i="1"/>
  <c r="CS700" i="1"/>
  <c r="CS26" i="1"/>
  <c r="CS699" i="1"/>
  <c r="CS24" i="1"/>
  <c r="CS645" i="1"/>
  <c r="CS644" i="1"/>
  <c r="CS1516" i="1"/>
  <c r="CS530" i="1"/>
  <c r="CS1506" i="1"/>
  <c r="CS529" i="1"/>
  <c r="CS1423" i="1"/>
  <c r="CS476" i="1"/>
  <c r="CS1418" i="1"/>
  <c r="CS447" i="1"/>
  <c r="CS1200" i="1"/>
  <c r="CS343" i="1"/>
  <c r="CS1193" i="1"/>
  <c r="CS341" i="1"/>
  <c r="CS1130" i="1"/>
  <c r="CS290" i="1"/>
  <c r="CS1102" i="1"/>
  <c r="CS289" i="1"/>
  <c r="CS953" i="1"/>
  <c r="CS188" i="1"/>
  <c r="CS930" i="1"/>
  <c r="CS173" i="1"/>
</calcChain>
</file>

<file path=xl/sharedStrings.xml><?xml version="1.0" encoding="utf-8"?>
<sst xmlns="http://schemas.openxmlformats.org/spreadsheetml/2006/main" count="13905" uniqueCount="1577">
  <si>
    <t>Attribute Name</t>
  </si>
  <si>
    <t>Value to Set</t>
  </si>
  <si>
    <t>Units - °F</t>
  </si>
  <si>
    <t>Reporting</t>
  </si>
  <si>
    <t>Values From Imported CSV</t>
  </si>
  <si>
    <t>Generated CSV line by line</t>
  </si>
  <si>
    <t>Attribute Write Commands</t>
  </si>
  <si>
    <t>Generated CSV</t>
  </si>
  <si>
    <t>Min</t>
  </si>
  <si>
    <t>Max</t>
  </si>
  <si>
    <t>Change</t>
  </si>
  <si>
    <t>Value</t>
  </si>
  <si>
    <t>Poll Freq</t>
  </si>
  <si>
    <t>Read Only Non-Diagnostic Attributes</t>
  </si>
  <si>
    <t>Cluster</t>
  </si>
  <si>
    <t>Attribute</t>
  </si>
  <si>
    <t>List of writable attributes</t>
  </si>
  <si>
    <t>Default Values</t>
  </si>
  <si>
    <t>Reported Attributes</t>
  </si>
  <si>
    <t>Polled Attributes</t>
  </si>
  <si>
    <t>Poll Freq.</t>
  </si>
  <si>
    <t>Writable Reported Attributes</t>
  </si>
  <si>
    <t>Writable Polled Attributes</t>
  </si>
  <si>
    <t>Enum Attributes</t>
  </si>
  <si>
    <t>"Runtime" Control Attributes</t>
  </si>
  <si>
    <t>Attributes available in settings sheet but not in data model</t>
  </si>
  <si>
    <t>Attributes available in settings sheet</t>
  </si>
  <si>
    <t>cool_setpoint</t>
  </si>
  <si>
    <t>°F / °C</t>
  </si>
  <si>
    <t/>
  </si>
  <si>
    <t>cool_setpoint,10,260,513,17,41,,0,3600,0</t>
  </si>
  <si>
    <t>heat_setpoint</t>
  </si>
  <si>
    <t>heat_setpoint,10,260,513,18,41,,0,3600,0</t>
  </si>
  <si>
    <t>display_setpoint</t>
  </si>
  <si>
    <t xml:space="preserve">°F / °C </t>
  </si>
  <si>
    <t>display_setpoint,10,260,513,61511,41,,0,3600,0</t>
  </si>
  <si>
    <t>display_temp_units</t>
  </si>
  <si>
    <t>humidity_units</t>
  </si>
  <si>
    <t>local_temp_calibration</t>
  </si>
  <si>
    <t>Δ°F / °C</t>
  </si>
  <si>
    <t>local_temp_calibration,10,260,513,16,41,,0,3600,0</t>
  </si>
  <si>
    <t>comfort_zone</t>
  </si>
  <si>
    <t>comfort_zone,10,260,513,61672,33,167,,,,86400</t>
  </si>
  <si>
    <t>system_mode</t>
  </si>
  <si>
    <t>hvac_test_mode_timeout</t>
  </si>
  <si>
    <t>mins</t>
  </si>
  <si>
    <t>hvac_test_mode_timeout,10,260,513,61515,33,30,,,,86400</t>
  </si>
  <si>
    <t>force_occ</t>
  </si>
  <si>
    <t>force_occ,10,260,513,61696,33,65535,0,3600,15</t>
  </si>
  <si>
    <t>force_unocc</t>
  </si>
  <si>
    <t>force_unocc,10,260,513,61697,33,,0,3600,15</t>
  </si>
  <si>
    <t>changeover_relay_inverted</t>
  </si>
  <si>
    <t>bool</t>
  </si>
  <si>
    <t>changeover_relay_inverted,10,260,513,61584,16,1,,,,86400</t>
  </si>
  <si>
    <t>force_deep_setback_mode</t>
  </si>
  <si>
    <t>force_deep_setback_mode,10,260,513,61670,16,0,0,3600,0</t>
  </si>
  <si>
    <t>schedule_paused</t>
  </si>
  <si>
    <t>schedule_paused,10,260,513,61713,16,0,0,3600,0</t>
  </si>
  <si>
    <t>fan_mode</t>
  </si>
  <si>
    <t>Manual Fan Max Time</t>
  </si>
  <si>
    <t>manual_fan_max_time</t>
  </si>
  <si>
    <t>manual_fan_max_time,10,260,513,61545,33,65535,,,,86400</t>
  </si>
  <si>
    <t>Available Modes</t>
  </si>
  <si>
    <t>modes_available</t>
  </si>
  <si>
    <t>"auto"</t>
  </si>
  <si>
    <t>changeover_hysteresis</t>
  </si>
  <si>
    <t>changeover_hysteresis,10,260,513,61512,33,167,,,,86400</t>
  </si>
  <si>
    <t>Setpoint Ranges</t>
  </si>
  <si>
    <t>heat_setpoint_min</t>
  </si>
  <si>
    <t>heat_setpoint_min,10,260,513,21,41,1778,,,,86400</t>
  </si>
  <si>
    <t>heat_setpoint_max</t>
  </si>
  <si>
    <t>heat_setpoint_max,10,260,513,22,41,2667,,,,86400</t>
  </si>
  <si>
    <t>cool_setpoint_min</t>
  </si>
  <si>
    <t>cool_setpoint_min,10,260,513,23,41,1778,,,,86400</t>
  </si>
  <si>
    <t>cool_setpoint_max</t>
  </si>
  <si>
    <t>cool_setpoint_max,10,260,513,24,41,2667,,,,86400</t>
  </si>
  <si>
    <t>cool_drive_min</t>
  </si>
  <si>
    <t>cool_drive_min,10,260,513,61505,41,1000,,,,86400</t>
  </si>
  <si>
    <t>heat_drive_max</t>
  </si>
  <si>
    <t>heat_drive_max,10,260,513,61506,41,3222,,,,86400</t>
  </si>
  <si>
    <t>Temperature Protection</t>
  </si>
  <si>
    <t>temp_protection_enable</t>
  </si>
  <si>
    <t>"low"</t>
  </si>
  <si>
    <t>temp_protection_low_limit</t>
  </si>
  <si>
    <t>temp_protection_low_limit,10,260,513,61539,41,722,,,,86400</t>
  </si>
  <si>
    <t>temp_protection_high_limit</t>
  </si>
  <si>
    <t>temp_protection_high_limit,10,260,513,61540,41,3000,,,,86400</t>
  </si>
  <si>
    <t>Setback</t>
  </si>
  <si>
    <t>setback_mode</t>
  </si>
  <si>
    <t>"none"</t>
  </si>
  <si>
    <t>leaf_button_function</t>
  </si>
  <si>
    <t>"smart_away"</t>
  </si>
  <si>
    <t>setback_min</t>
  </si>
  <si>
    <t>setback_min,10,260,513,61507,41,1778,,,,86400</t>
  </si>
  <si>
    <t>setback_max</t>
  </si>
  <si>
    <t>setback_max,10,260,513,61508,41,2667,,,,86400</t>
  </si>
  <si>
    <t>deep_setback_min</t>
  </si>
  <si>
    <t>deep_setback_min,10,260,513,61509,41,1278,,,,86400</t>
  </si>
  <si>
    <t>deep_setback_max</t>
  </si>
  <si>
    <t>deep_setback_max,10,260,513,61510,41,2944,,,,86400</t>
  </si>
  <si>
    <t>fixed_heat_setback</t>
  </si>
  <si>
    <t>fixed_heat_setback,10,260,513,61679,41,1778,,,,86400</t>
  </si>
  <si>
    <t>fixed_cool_setback</t>
  </si>
  <si>
    <t>fixed_cool_setback,10,260,513,61680,41,2667,,,,86400</t>
  </si>
  <si>
    <t>deep_heat_setback</t>
  </si>
  <si>
    <t>deep_heat_setback,10,260,513,61683,41,1278,,,,86400</t>
  </si>
  <si>
    <t>deep_cool_setback</t>
  </si>
  <si>
    <t>deep_cool_setback,10,260,513,61684,41,2944,,,,86400</t>
  </si>
  <si>
    <t>delta_setback</t>
  </si>
  <si>
    <t>delta_setback,10,260,513,61681,33,167,,,,86400</t>
  </si>
  <si>
    <t>deep_delta_setback</t>
  </si>
  <si>
    <t>deep_delta_setback,10,260,513,61685,33,278,,,,86400</t>
  </si>
  <si>
    <t>recovery_time</t>
  </si>
  <si>
    <t>recovery_time,10,260,513,61671,32,12,,,,86400</t>
  </si>
  <si>
    <t>night_lock</t>
  </si>
  <si>
    <t>night_lock,10,260,513,61689,16,1,,,,86400</t>
  </si>
  <si>
    <t>day_start_time</t>
  </si>
  <si>
    <t>day_start_time,10,260,513,61687,33,540,,,,86400</t>
  </si>
  <si>
    <t>night_start_time</t>
  </si>
  <si>
    <t>night_start_time,10,260,513,61688,33,1200,,,,86400</t>
  </si>
  <si>
    <t>unocc_delay_based_on_schedule</t>
  </si>
  <si>
    <t>unocc_delay_based_on_schedule,10,260,513,61690,16,0,,,,86400</t>
  </si>
  <si>
    <t>unocc_delay_day_or_no_schedule</t>
  </si>
  <si>
    <t>unocc_delay_day_or_no_schedule,10,260,513,61692,33,30,,,,86400</t>
  </si>
  <si>
    <t>unocc_delay_night_or_schedule</t>
  </si>
  <si>
    <t>unocc_delay_night_or_schedule,10,260,513,61693,33,480,,,,86400</t>
  </si>
  <si>
    <t>unocc_delay_deep_setback</t>
  </si>
  <si>
    <t>unocc_delay_deep_setback,10,260,513,61694,33,1440,,,,86400</t>
  </si>
  <si>
    <t>Extended Setback</t>
  </si>
  <si>
    <t>unocc_delay_extended_deep_setback</t>
  </si>
  <si>
    <t>unocc_delay_extended_deep_setback,10,260,513,61792,33,0,,,,86400</t>
  </si>
  <si>
    <t>extended_deep_setback_min</t>
  </si>
  <si>
    <t>extended_deep_setback_min,10,260,513,61796,41,1278,,,,86400</t>
  </si>
  <si>
    <t>extended_deep_setback_max</t>
  </si>
  <si>
    <t>extended_deep_setback_max,10,260,513,61797,41,2944,,,,86400</t>
  </si>
  <si>
    <t>extended_deep_heat_setback</t>
  </si>
  <si>
    <t>extended_deep_heat_setback,10,260,513,61793,41,1278,,,,86400</t>
  </si>
  <si>
    <t>extended_deep_cool_setback</t>
  </si>
  <si>
    <t>extended_deep_cool_setback,10,260,513,61794,41,2944,,,,86400</t>
  </si>
  <si>
    <t>extended_deep_delta_setback</t>
  </si>
  <si>
    <t>extended_deep_delta_setback,10,260,513,61795,33,444,,,,86400</t>
  </si>
  <si>
    <t>Setpoint Reset</t>
  </si>
  <si>
    <t>setpoint_reset_enable</t>
  </si>
  <si>
    <t>"disabled"</t>
  </si>
  <si>
    <t>setpoint_reset_timeout</t>
  </si>
  <si>
    <t>setpoint_reset_timeout,10,260,513,61809,33,480,,,,86400</t>
  </si>
  <si>
    <t>setpoint_reset_hvac_mode</t>
  </si>
  <si>
    <t>"off"</t>
  </si>
  <si>
    <t>setpoint_reset_cool_setpoint</t>
  </si>
  <si>
    <t>setpoint_reset_cool_setpoint,10,260,513,61811,41,2000,,,,86400</t>
  </si>
  <si>
    <t>setpoint_reset_heat_setpoint</t>
  </si>
  <si>
    <t>setpoint_reset_heat_setpoint,10,260,513,61812,41,2000,,,,86400</t>
  </si>
  <si>
    <t>Dehumidification</t>
  </si>
  <si>
    <t>dehumidification_option</t>
  </si>
  <si>
    <t>dehumidification_setpoint</t>
  </si>
  <si>
    <t>% RH</t>
  </si>
  <si>
    <t>dehumidification_setpoint,10,260,515,16,32,65,,,,86400</t>
  </si>
  <si>
    <t>user_rh_target_editing_enabled</t>
  </si>
  <si>
    <t>user_rh_target_editing_enabled,10,260,513,61776,16,0,,,,86400</t>
  </si>
  <si>
    <t>user_rh_target_min</t>
  </si>
  <si>
    <t>user_rh_target_min,10,260,513,61777,32,50,,,,86400</t>
  </si>
  <si>
    <t>user_rh_target_max</t>
  </si>
  <si>
    <t>user_rh_target_max,10,260,513,61778,32,75,,,,86400</t>
  </si>
  <si>
    <t>rh_target_limit</t>
  </si>
  <si>
    <t>rh_target_limit,10,260,513,61779,32,50,,,,86400</t>
  </si>
  <si>
    <t>dehumidification_overdrive_temp_max</t>
  </si>
  <si>
    <t>dehumidification_overdrive_temp_max,10,260,513,61532,33,56,,,,86400</t>
  </si>
  <si>
    <t>dehumidification_min_cycle_time</t>
  </si>
  <si>
    <t>dehumidification_min_cycle_time,10,260,513,61534,32,10,,,,86400</t>
  </si>
  <si>
    <t>dehumidification_max_cycle_time</t>
  </si>
  <si>
    <t>dehumidification_max_cycle_time,10,260,513,61559,32,60,,,,86400</t>
  </si>
  <si>
    <t>dehumidification_first_stage_timeout</t>
  </si>
  <si>
    <t>dehumidification_first_stage_timeout,10,260,513,61556,32,0,,,,86400</t>
  </si>
  <si>
    <t>dehumidification_second_stage_timeout</t>
  </si>
  <si>
    <t>dehumidification_second_stage_timeout,10,260,513,61557,32,20,,,,86400</t>
  </si>
  <si>
    <t>dehumidification_first_stage_threshold</t>
  </si>
  <si>
    <t>dehumidification_first_stage_threshold,10,260,513,61555,33,1,,,,86400</t>
  </si>
  <si>
    <t>dehumidification_second_stage_threshold</t>
  </si>
  <si>
    <t>dehumidification_second_stage_threshold,10,260,513,61533,33,0,,,,86400</t>
  </si>
  <si>
    <t>humidistat_stages</t>
  </si>
  <si>
    <t>humidistat_stages,10,260,513,61782,32,1,,,,86400</t>
  </si>
  <si>
    <t>humidistat_min_off_time</t>
  </si>
  <si>
    <t>humidistat_min_off_time,10,260,513,61780,32,5,,,,86400</t>
  </si>
  <si>
    <t>humidistat_min_on_time</t>
  </si>
  <si>
    <t>humidistat_min_on_time,10,260,513,61781,32,5,,,,86400</t>
  </si>
  <si>
    <t>humidistat_stage_threshold_time</t>
  </si>
  <si>
    <t>humidistat_stage_threshold_time,10,260,513,61783,32,10,,,,86400</t>
  </si>
  <si>
    <t>dew_point_target</t>
  </si>
  <si>
    <t>dew_point_target,10,260,513,61784,41,1556,0,3600,0</t>
  </si>
  <si>
    <t>user_dew_point_target_min</t>
  </si>
  <si>
    <t>user_dew_point_target_min,10,260,513,61785,41,444,,,,86400</t>
  </si>
  <si>
    <t>user_dew_point_target_max</t>
  </si>
  <si>
    <t>user_dew_point_target_max,10,260,513,61786,41,2111,,,,86400</t>
  </si>
  <si>
    <t>dew_point_target_limit</t>
  </si>
  <si>
    <t>dew_point_target_limit,10,260,513,61787,41,444,,,,86400</t>
  </si>
  <si>
    <t>Refresh</t>
  </si>
  <si>
    <t>refresh_delay</t>
  </si>
  <si>
    <t>hrs</t>
  </si>
  <si>
    <t>refresh_delay,10,260,513,61535,32,0,,,,86400</t>
  </si>
  <si>
    <t>refresh_duration</t>
  </si>
  <si>
    <t>refresh_duration,10,260,513,61536,32,10,,,,86400</t>
  </si>
  <si>
    <t>Touch Combo User Interface</t>
  </si>
  <si>
    <t>display_home_detailed</t>
  </si>
  <si>
    <t>"medium"</t>
  </si>
  <si>
    <t>haptic_enabled</t>
  </si>
  <si>
    <t>"on"</t>
  </si>
  <si>
    <t>show_available_modes</t>
  </si>
  <si>
    <t>show_available_modes,10,260,64517,21,16,1,,,,86400</t>
  </si>
  <si>
    <t>show_mobile_app_notification</t>
  </si>
  <si>
    <t>show_mobile_app_notification,10,260,64517,23,16,0,,,,86400</t>
  </si>
  <si>
    <t>display_more_button_disabled</t>
  </si>
  <si>
    <t>display_more_button_disabled,10,260,64517,25,16,0,,,,86400</t>
  </si>
  <si>
    <t>display_schedule_menu_enabled</t>
  </si>
  <si>
    <t>display_schedule_menu_enabled,10,260,64517,29,16,0,,,,86400</t>
  </si>
  <si>
    <t>display_settings_menu_enabled</t>
  </si>
  <si>
    <t>display_settings_menu_enabled,10,260,64517,30,16,1,,,,86400</t>
  </si>
  <si>
    <t>display_thermostat_menu_enabled</t>
  </si>
  <si>
    <t>display_thermostat_menu_enabled,10,260,64517,27,16,0,,,,86400</t>
  </si>
  <si>
    <t>display_wifi_menu</t>
  </si>
  <si>
    <t>"wifi+claim"</t>
  </si>
  <si>
    <t>display_leaf_button_disabled</t>
  </si>
  <si>
    <t>display_leaf_button_disabled,10,260,64517,33,16,1,,,,86400</t>
  </si>
  <si>
    <t>display_set_time_reminder</t>
  </si>
  <si>
    <t>display_set_time_reminder,10,260,64517,35,16,0,,,,86400</t>
  </si>
  <si>
    <t>oem_brand</t>
  </si>
  <si>
    <t>startup_screen</t>
  </si>
  <si>
    <t>"select_preset"</t>
  </si>
  <si>
    <t>ui_keypad_lockout</t>
  </si>
  <si>
    <t>Passwords</t>
  </si>
  <si>
    <t>config_menu_password</t>
  </si>
  <si>
    <t>0xBEA5</t>
  </si>
  <si>
    <t>dec | hex</t>
  </si>
  <si>
    <t>config_menu_password,10,260,64517,0,33,48805,,,,86400</t>
  </si>
  <si>
    <t>password_level_1</t>
  </si>
  <si>
    <t>0x1EAF</t>
  </si>
  <si>
    <t>password_level_1,10,260,64517,37,33,7855,,,,86400</t>
  </si>
  <si>
    <t>password_level_2</t>
  </si>
  <si>
    <t>0xC57A</t>
  </si>
  <si>
    <t>password_level_2,10,260,64517,38,33,50554,,,,86400</t>
  </si>
  <si>
    <t>Hidden AP</t>
  </si>
  <si>
    <t>hidden_ap_enabled</t>
  </si>
  <si>
    <t>hidden_ap_enabled,10,260,64517,22,16,1,,,,86400</t>
  </si>
  <si>
    <t>Display Brightness Config</t>
  </si>
  <si>
    <t>display_brightness_high_light</t>
  </si>
  <si>
    <t>Lux * 100?</t>
  </si>
  <si>
    <t>display_brightness_high_light,10,260,64517,13,33,32000,,,,86400</t>
  </si>
  <si>
    <t>display_brightness_low_light</t>
  </si>
  <si>
    <t>display_brightness_low_light,10,260,64517,14,33,400,,,,86400</t>
  </si>
  <si>
    <t>light_sensor_dark_threshold</t>
  </si>
  <si>
    <t>light_sensor_dark_threshold,10,260,64517,15,33,4000,,,,86400</t>
  </si>
  <si>
    <t>Lanai / Occ Lock / PIR / Scene Config</t>
  </si>
  <si>
    <t>lanai_enabled</t>
  </si>
  <si>
    <t>lanai_enabled,10,260,513,61616,16,0,,,,86400</t>
  </si>
  <si>
    <t>lanai_delay_time</t>
  </si>
  <si>
    <t>secs</t>
  </si>
  <si>
    <t>lanai_delay_time,10,260,513,61617,33,30,,,,86400</t>
  </si>
  <si>
    <t>lanai_entry_offline_time</t>
  </si>
  <si>
    <t>lanai_entry_offline_time,10,260,513,61618,32,16,,,,86400</t>
  </si>
  <si>
    <t>entry_unchanged_timeout</t>
  </si>
  <si>
    <t>entry_unchanged_timeout,10,260,513,61628,32,72,,,,86400</t>
  </si>
  <si>
    <t>door_occ_lock_enabled</t>
  </si>
  <si>
    <t>door_occ_lock_enabled,10,260,513,61648,24,0,,,,86400</t>
  </si>
  <si>
    <t>local_door_occ_lock_delay</t>
  </si>
  <si>
    <t>local_door_occ_lock_delay,10,260,513,61649,33,10,,,,86400</t>
  </si>
  <si>
    <t>remote_door_occ_lock_delay</t>
  </si>
  <si>
    <t>remote_door_occ_lock_delay,10,260,513,61650,33,900,,,,86400</t>
  </si>
  <si>
    <t>door_occ_lock_max_duration</t>
  </si>
  <si>
    <t>door_occ_lock_max_duration,10,260,513,61651,32,10,,,,86400</t>
  </si>
  <si>
    <t>unocc_delay_exit_event</t>
  </si>
  <si>
    <t>unocc_delay_exit_event,10,260,513,61704,32,5,,,,86400</t>
  </si>
  <si>
    <t>occupancy_devices</t>
  </si>
  <si>
    <t>occupancy_devices,10,260,513,61664,27,,,,,86400</t>
  </si>
  <si>
    <t>pir_unocc_delay</t>
  </si>
  <si>
    <t>pir_unocc_delay,10,260,1030,16,33,600,,,,86400</t>
  </si>
  <si>
    <t>pir_sensor_threshold</t>
  </si>
  <si>
    <t>12 = medium</t>
  </si>
  <si>
    <t>pir_sensor_threshold,10,260,1030,61441,32,12,,,,86400</t>
  </si>
  <si>
    <t>scenes_unocc_delay</t>
  </si>
  <si>
    <t>scenes_unocc_delay,10,260,5,61442,33,480,,,,86400</t>
  </si>
  <si>
    <t>scenes_unocc_aux_delay</t>
  </si>
  <si>
    <t>scenes_unocc_aux_delay,10,260,5,61443,33,1440,,,,86400</t>
  </si>
  <si>
    <t>Temperature Sensor Config</t>
  </si>
  <si>
    <t>primary_temp_sensor</t>
  </si>
  <si>
    <t>primary_temp_sensor,10,260,513,61519,48,32,,,,86400</t>
  </si>
  <si>
    <t>local_secondary_temp_sensors</t>
  </si>
  <si>
    <t>local_secondary_temp_sensors,10,260,513,61520,24,0,,,,86400</t>
  </si>
  <si>
    <t>remote_secondary_temp_sensors</t>
  </si>
  <si>
    <t>remote_secondary_temp_sensors,10,260,513,61521,27,0,,,,86400</t>
  </si>
  <si>
    <t>ntc_beta_sensor_0</t>
  </si>
  <si>
    <t>ntc_beta_sensor_0,10,260,513,61632,33,,,,,86400</t>
  </si>
  <si>
    <t>ntc_beta_sensor_1</t>
  </si>
  <si>
    <t>ntc_beta_sensor_1,10,260,513,61633,33,,,,,86400</t>
  </si>
  <si>
    <t>ntc_beta_sensor_2</t>
  </si>
  <si>
    <t>ntc_beta_sensor_2,10,260,513,61634,33,,,,,86400</t>
  </si>
  <si>
    <t>Ventilation</t>
  </si>
  <si>
    <t>ventilation_option</t>
  </si>
  <si>
    <t>standard_ventilation_duty_cycle</t>
  </si>
  <si>
    <t>mins/hr</t>
  </si>
  <si>
    <t>standard_ventilation_duty_cycle,10,260,513,61761,32,15,,,,86400</t>
  </si>
  <si>
    <t>smart_ventilation_home_size</t>
  </si>
  <si>
    <t>sq ft</t>
  </si>
  <si>
    <t>smart_ventilation_home_size,10,260,513,61762,33,2500,,,,86400</t>
  </si>
  <si>
    <t>smart_ventilation_number_of_bedrooms</t>
  </si>
  <si>
    <t>smart_ventilation_number_of_bedrooms,10,260,513,61763,32,3,,,,86400</t>
  </si>
  <si>
    <t>smart_ventilation_fan_size</t>
  </si>
  <si>
    <t>cfm</t>
  </si>
  <si>
    <t>smart_ventilation_fan_size,10,260,513,61765,33,750,,,,86400</t>
  </si>
  <si>
    <t>manual_ventilation_setting</t>
  </si>
  <si>
    <t>Aquastat</t>
  </si>
  <si>
    <t>aquastat_enabled</t>
  </si>
  <si>
    <t>aquastat_enabled,10,260,513,61600,16,0,,,,86400</t>
  </si>
  <si>
    <t>aquastat_low_temp_threshold</t>
  </si>
  <si>
    <t>aquastat_low_temp_threshold,10,260,513,61601,41,,,,,86400</t>
  </si>
  <si>
    <t>aquastat_high_temp_threshold</t>
  </si>
  <si>
    <t>aquastat_high_temp_threshold,10,260,513,61602,41,,,,,86400</t>
  </si>
  <si>
    <t>aquastat_hysteresis_time</t>
  </si>
  <si>
    <t>aquastat_hysteresis_time,10,260,513,61603,32,5,,,,86400</t>
  </si>
  <si>
    <t>aquastat_changeover_min_period</t>
  </si>
  <si>
    <t>aquastat_changeover_min_period,10,260,513,61604,33,240,,,,86400</t>
  </si>
  <si>
    <t>aquastat_chilled_modes_available</t>
  </si>
  <si>
    <t>aquastat_heated_modes_available</t>
  </si>
  <si>
    <t>aquastat_chilled_changeover_mode</t>
  </si>
  <si>
    <t>aquastat_heated_changeover_mode</t>
  </si>
  <si>
    <t>Recovery Time</t>
  </si>
  <si>
    <t>second_stage_heat_delta_c</t>
  </si>
  <si>
    <t>second_stage_heat_delta_c,10,260,513,61673,33,0,,,,86400</t>
  </si>
  <si>
    <t>third_stage_heat_delta_c</t>
  </si>
  <si>
    <t>third_stage_heat_delta_c,10,260,513,61674,33,0,,,,86400</t>
  </si>
  <si>
    <t>second_stage_cool_delta_c</t>
  </si>
  <si>
    <t>second_stage_cool_delta_c,10,260,513,61675,33,0,,,,86400</t>
  </si>
  <si>
    <t>third_stage_cool_delta_c</t>
  </si>
  <si>
    <t>third_stage_cool_delta_c,10,260,513,61676,33,0,,,,86400</t>
  </si>
  <si>
    <t>tau_smoothing_alpha</t>
  </si>
  <si>
    <t>tau_smoothing_alpha,10,260,513,61677,32,2500,,,,86400</t>
  </si>
  <si>
    <t>heating_tau</t>
  </si>
  <si>
    <t>heating_tau,10,260,513,61700,33,,0,3600,0</t>
  </si>
  <si>
    <t>cooling_tau</t>
  </si>
  <si>
    <t>cooling_tau,10,260,513,61702,33,,0,3600,0</t>
  </si>
  <si>
    <t>VRF Integration</t>
  </si>
  <si>
    <t>active_remote_controller</t>
  </si>
  <si>
    <t>remote_controller_auto_fan_disable</t>
  </si>
  <si>
    <t>remote_controller_auto_fan_disable,10,260,513,61561,24,0,,,,86400</t>
  </si>
  <si>
    <t>Zigbee Config</t>
  </si>
  <si>
    <t>reporting_type</t>
  </si>
  <si>
    <t>"wifi"</t>
  </si>
  <si>
    <t>zigbee_node_type</t>
  </si>
  <si>
    <t>"coordinator"</t>
  </si>
  <si>
    <t>PMS / BacNet</t>
  </si>
  <si>
    <t>state_variable_0</t>
  </si>
  <si>
    <t>state_variable_0,10,260,513,61550,32,,0,900,0</t>
  </si>
  <si>
    <t>state_variable_1</t>
  </si>
  <si>
    <t>state_variable_1,10,260,513,61551,32,,0,900,0</t>
  </si>
  <si>
    <t>state_variable_2</t>
  </si>
  <si>
    <t>state_variable_2,10,260,513,61552,32,,0,900,0</t>
  </si>
  <si>
    <t>state_variable_3</t>
  </si>
  <si>
    <t>state_variable_3,10,260,513,61553,32,1,0,900,0</t>
  </si>
  <si>
    <t>bacnet_oid</t>
  </si>
  <si>
    <t>bacnet_oid,10,260,64517,39,35,,,,,86400</t>
  </si>
  <si>
    <t>Contact Configs</t>
  </si>
  <si>
    <r>
      <rPr>
        <sz val="10"/>
        <color rgb="FFFFFFFF"/>
        <rFont val="Arial"/>
        <family val="2"/>
      </rPr>
      <t xml:space="preserve">Values from </t>
    </r>
    <r>
      <rPr>
        <b/>
        <sz val="10"/>
        <color rgb="FFFFFFFF"/>
        <rFont val="Arial"/>
        <family val="2"/>
      </rPr>
      <t xml:space="preserve">Contact Table </t>
    </r>
    <r>
      <rPr>
        <sz val="10"/>
        <color rgb="FFFFFFFF"/>
        <rFont val="Arial"/>
        <family val="2"/>
      </rPr>
      <t>tab</t>
    </r>
  </si>
  <si>
    <t>contact_config_0</t>
  </si>
  <si>
    <t>contact_config_0,10,260,513,61952,35,1217,,,,86400</t>
  </si>
  <si>
    <t>contact_config_1</t>
  </si>
  <si>
    <t>contact_config_1,10,260,513,61953,35,2048,,,,86400</t>
  </si>
  <si>
    <t>contact_config_2</t>
  </si>
  <si>
    <t>contact_config_2,10,260,513,61954,35,2624,,,,86400</t>
  </si>
  <si>
    <t>contact_config_3</t>
  </si>
  <si>
    <t>contact_config_3,10,260,513,61955,35,16384,,,,86400</t>
  </si>
  <si>
    <t>contact_config_4</t>
  </si>
  <si>
    <t>contact_config_4,10,260,513,61956,35,,,,,86400</t>
  </si>
  <si>
    <t>contact_config_5</t>
  </si>
  <si>
    <t>contact_config_5,10,260,513,61957,35,,,,,86400</t>
  </si>
  <si>
    <t>contact_config_6</t>
  </si>
  <si>
    <t>contact_config_6,10,260,513,61958,35,,,,,86400</t>
  </si>
  <si>
    <t>contact_config_7</t>
  </si>
  <si>
    <t>contact_config_7,10,260,513,61959,35,,,,,86400</t>
  </si>
  <si>
    <t>Relay Configuration</t>
  </si>
  <si>
    <t>invert_relays</t>
  </si>
  <si>
    <t>invert_relays,10,260,513,61596,24,0,,,,86400</t>
  </si>
  <si>
    <t>relay_0_load_temperature_compensation</t>
  </si>
  <si>
    <t>relay_0_load_temperature_compensation,10,260,513,61824,33,,,,,86400</t>
  </si>
  <si>
    <t>relay_1_load_temperature_compensation</t>
  </si>
  <si>
    <t>relay_1_load_temperature_compensation,10,260,513,61825,33,,,,,86400</t>
  </si>
  <si>
    <t>relay_2_load_temperature_compensation</t>
  </si>
  <si>
    <t>relay_2_load_temperature_compensation,10,260,513,61826,33,,,,,86400</t>
  </si>
  <si>
    <t>relay_3_load_temperature_compensation</t>
  </si>
  <si>
    <t>relay_3_load_temperature_compensation,10,260,513,61827,33,,,,,86400</t>
  </si>
  <si>
    <t>relay_4_load_temperature_compensation</t>
  </si>
  <si>
    <t>relay_4_load_temperature_compensation,10,260,513,61828,33,,,,,86400</t>
  </si>
  <si>
    <t>relay_5_load_temperature_compensation</t>
  </si>
  <si>
    <t>relay_5_load_temperature_compensation,10,260,513,61829,33,,,,,86400</t>
  </si>
  <si>
    <t>relay_6_load_temperature_compensation</t>
  </si>
  <si>
    <t>relay_6_load_temperature_compensation,10,260,513,61830,33,,,,,86400</t>
  </si>
  <si>
    <t>relay_7_load_temperature_compensation</t>
  </si>
  <si>
    <t>relay_7_load_temperature_compensation,10,260,513,61831,33,,,,,86400</t>
  </si>
  <si>
    <t>relay_0_pulse_length</t>
  </si>
  <si>
    <t>relay_0_pulse_length,10,260,513,61576,33,,,,,86400</t>
  </si>
  <si>
    <t>relay_1_pulse_length</t>
  </si>
  <si>
    <t>relay_1_pulse_length,10,260,513,61577,33,,,,,86400</t>
  </si>
  <si>
    <t>relay_2_pulse_length</t>
  </si>
  <si>
    <t>relay_2_pulse_length,10,260,513,61578,33,,,,,86400</t>
  </si>
  <si>
    <t>relay_3_pulse_length</t>
  </si>
  <si>
    <t>relay_3_pulse_length,10,260,513,61579,33,,,,,86400</t>
  </si>
  <si>
    <t>relay_4_pulse_length</t>
  </si>
  <si>
    <t>relay_4_pulse_length,10,260,513,61580,33,,,,,86400</t>
  </si>
  <si>
    <t>relay_5_pulse_length</t>
  </si>
  <si>
    <t>relay_5_pulse_length,10,260,513,61581,33,,,,,86400</t>
  </si>
  <si>
    <t>analog_output_setting_0</t>
  </si>
  <si>
    <t>analog_output_setting_0,10,260,513,61856,32,,,,,86400</t>
  </si>
  <si>
    <t>analog_output_setting_1</t>
  </si>
  <si>
    <t>analog_output_setting_1,10,260,513,61857,32,,,,,86400</t>
  </si>
  <si>
    <t>analog_output_setting_2</t>
  </si>
  <si>
    <t>analog_output_setting_2,10,260,513,61858,32,,,,,86400</t>
  </si>
  <si>
    <t>analog_output_setting_3</t>
  </si>
  <si>
    <t>analog_output_setting_3,10,260,513,61859,32,,,,,86400</t>
  </si>
  <si>
    <t>analog_output_setting_4</t>
  </si>
  <si>
    <t>analog_output_setting_4,10,260,513,61860,32,,,,,86400</t>
  </si>
  <si>
    <t>analog_output_setting_5</t>
  </si>
  <si>
    <t>analog_output_setting_5,10,260,513,61861,32,,,,,86400</t>
  </si>
  <si>
    <t>analog_output_setting_6</t>
  </si>
  <si>
    <t>analog_output_setting_6,10,260,513,61862,32,,,,,86400</t>
  </si>
  <si>
    <t>analog_output_setting_7</t>
  </si>
  <si>
    <t>analog_output_setting_7,10,260,513,61863,32,,,,,86400</t>
  </si>
  <si>
    <t>AIDA Button Config</t>
  </si>
  <si>
    <t>push_button_config_key_1</t>
  </si>
  <si>
    <t>push_button_config_key_2</t>
  </si>
  <si>
    <t>push_button_config_key_3</t>
  </si>
  <si>
    <t>push_button_config_key_4</t>
  </si>
  <si>
    <t>push_button_config_key_5</t>
  </si>
  <si>
    <t>push_button_config_key_6</t>
  </si>
  <si>
    <t>ui_enhanced_icons</t>
  </si>
  <si>
    <t>ui_enhanced_icons,10,260,64517,48,16,0,,,,86400</t>
  </si>
  <si>
    <t>Zigbee Device Table</t>
  </si>
  <si>
    <t>device_table_slot_1</t>
  </si>
  <si>
    <t>device_table_slot_1,10,260,64530,257,240,,,,,86400</t>
  </si>
  <si>
    <t>device_table_slot_2</t>
  </si>
  <si>
    <t>device_table_slot_2,10,260,64530,258,240,,,,,86400</t>
  </si>
  <si>
    <t>device_table_slot_3</t>
  </si>
  <si>
    <t>device_table_slot_3,10,260,64530,259,240,,,,,86400</t>
  </si>
  <si>
    <t>device_table_slot_4</t>
  </si>
  <si>
    <t>device_table_slot_4,10,260,64530,260,240,,,,,86400</t>
  </si>
  <si>
    <t>device_table_slot_5</t>
  </si>
  <si>
    <t>device_table_slot_5,10,260,64530,261,240,,,,,86400</t>
  </si>
  <si>
    <t>device_table_slot_6</t>
  </si>
  <si>
    <t>device_table_slot_6,10,260,64530,262,240,,,,,86400</t>
  </si>
  <si>
    <t>device_table_slot_7</t>
  </si>
  <si>
    <t>device_table_slot_7,10,260,64530,263,240,,,,,86400</t>
  </si>
  <si>
    <t>device_table_slot_8</t>
  </si>
  <si>
    <t>device_table_slot_8,10,260,64530,264,240,,,,,86400</t>
  </si>
  <si>
    <t>device_table_slot_9</t>
  </si>
  <si>
    <t>device_table_slot_9,10,260,64530,265,240,,,,,86400</t>
  </si>
  <si>
    <t>device_table_slot_10</t>
  </si>
  <si>
    <t>device_table_slot_10,10,260,64530,266,240,,,,,86400</t>
  </si>
  <si>
    <t>device_table_slot_11</t>
  </si>
  <si>
    <t>device_table_slot_11,10,260,64530,267,240,,,,,86400</t>
  </si>
  <si>
    <t>device_table_slot_12</t>
  </si>
  <si>
    <t>device_table_slot_12,10,260,64530,268,240,,,,,86400</t>
  </si>
  <si>
    <t>device_table_slot_13</t>
  </si>
  <si>
    <t>device_table_slot_13,10,260,64530,269,240,,,,,86400</t>
  </si>
  <si>
    <t>device_table_slot_14</t>
  </si>
  <si>
    <t>device_table_slot_14,10,260,64530,270,240,,,,,86400</t>
  </si>
  <si>
    <t>device_table_slot_15</t>
  </si>
  <si>
    <t>device_table_slot_15,10,260,64530,271,240,,,,,86400</t>
  </si>
  <si>
    <t>device_table_slot_16</t>
  </si>
  <si>
    <t>device_table_slot_16,10,260,64530,272,240,,,,,86400</t>
  </si>
  <si>
    <t>Reporting Only</t>
  </si>
  <si>
    <t>zigbee_enabled</t>
  </si>
  <si>
    <t>zigbee_enabled,10,260,0,3,32,,,,,86400</t>
  </si>
  <si>
    <t>scenes_occ</t>
  </si>
  <si>
    <t>scenes_occ,10,260,5,61440,16,,0,3600,0</t>
  </si>
  <si>
    <t>scenes_occ_aux</t>
  </si>
  <si>
    <t>scenes_occ_aux,10,260,5,61441,16,,0,3600,0</t>
  </si>
  <si>
    <t>system_temp</t>
  </si>
  <si>
    <t>system_temp,10,260,513,0,41,,0,1800,28</t>
  </si>
  <si>
    <t>system_occ</t>
  </si>
  <si>
    <t>system_occ,10,260,513,2,24,,0,3600,0</t>
  </si>
  <si>
    <t>cool_setpoint_unocc</t>
  </si>
  <si>
    <t>cool_setpoint_unocc,10,260,513,19,41,,0,3600,0</t>
  </si>
  <si>
    <t>heat_setpoint_unocc</t>
  </si>
  <si>
    <t>heat_setpoint_unocc,10,260,513,20,41,,0,3600,0</t>
  </si>
  <si>
    <t>running_mode</t>
  </si>
  <si>
    <t>running_mode,10,260,513,30,48,,0,3600,0</t>
  </si>
  <si>
    <t>fan_state</t>
  </si>
  <si>
    <t>fan_state,10,260,513,61440,48,,0,3600,0</t>
  </si>
  <si>
    <t>system_modes_available</t>
  </si>
  <si>
    <t>system_modes_available,10,260,513,61467,48,,0,3600,0</t>
  </si>
  <si>
    <t>temp_sensors_online</t>
  </si>
  <si>
    <t>temp_sensors_online,10,260,513,61522,27,,0,3600,0</t>
  </si>
  <si>
    <t>thermo_speed</t>
  </si>
  <si>
    <t>thermo_speed,10,260,513,61525,48,,0,3600,0</t>
  </si>
  <si>
    <t>drive_to_cool</t>
  </si>
  <si>
    <t>drive_to_cool,10,260,513,61526,41,,0,3600,0</t>
  </si>
  <si>
    <t>drive_to_heat</t>
  </si>
  <si>
    <t>drive_to_heat,10,260,513,61527,41,,0,3600,0</t>
  </si>
  <si>
    <t>temp_protection_active</t>
  </si>
  <si>
    <t>temp_protection_active,10,260,513,61541,24,,0,3600,0</t>
  </si>
  <si>
    <t>dehumidification_stage</t>
  </si>
  <si>
    <t>dehumidification_stage,10,260,513,61558,48,,0,3600,0</t>
  </si>
  <si>
    <t>remote_controller_error_code</t>
  </si>
  <si>
    <t>remote_controller_error_code,10,260,513,61562,49,,0,3600,0</t>
  </si>
  <si>
    <t>output_state</t>
  </si>
  <si>
    <t>output_state,10,260,513,61570,48,,0,3600,0</t>
  </si>
  <si>
    <t>relay_state</t>
  </si>
  <si>
    <t>relay_state,10,260,513,61585,24,,0,3600,0</t>
  </si>
  <si>
    <t>aquastat_required_mode</t>
  </si>
  <si>
    <t>aquastat_required_mode,10,260,513,61609,48,,0,3600,0</t>
  </si>
  <si>
    <t>aquastat_applied_mode</t>
  </si>
  <si>
    <t>aquastat_applied_mode,10,260,513,61610,48,,0,3600,0</t>
  </si>
  <si>
    <t>lanai_online</t>
  </si>
  <si>
    <t>lanai_online,10,260,513,61619,24,,0,3600,0</t>
  </si>
  <si>
    <t>lanai_open</t>
  </si>
  <si>
    <t>lanai_open,10,260,513,61620,24,,0,3600,0</t>
  </si>
  <si>
    <t>lanai_activated</t>
  </si>
  <si>
    <t>lanai_activated,10,260,513,61622,16,,0,3600,0</t>
  </si>
  <si>
    <t>entry_online</t>
  </si>
  <si>
    <t>entry_online,10,260,513,61625,24,,0,3600,0</t>
  </si>
  <si>
    <t>entry_open</t>
  </si>
  <si>
    <t>entry_open,10,260,513,61626,24,,0,3600,0</t>
  </si>
  <si>
    <t>entry_door_not_changing</t>
  </si>
  <si>
    <t>entry_door_not_changing,10,260,513,61629,24,,0,3600,0</t>
  </si>
  <si>
    <t>door_occ_locked</t>
  </si>
  <si>
    <t>door_occ_locked,10,260,513,61652,16,,0,3600,0</t>
  </si>
  <si>
    <t>occupancy_sensor_state</t>
  </si>
  <si>
    <t>occupancy_sensor_state,10,260,513,61665,27,,0,3600,0</t>
  </si>
  <si>
    <t>occupancy_sensor_offline</t>
  </si>
  <si>
    <t>occupancy_sensor_offline,10,260,513,61666,27,,0,3600,0</t>
  </si>
  <si>
    <t>deep_setback_active</t>
  </si>
  <si>
    <t>deep_setback_active,10,260,513,61669,16,,0,3600,0</t>
  </si>
  <si>
    <t>night_state</t>
  </si>
  <si>
    <t>night_state,10,260,513,61691,16,,0,3600,0</t>
  </si>
  <si>
    <t>heating_final_value</t>
  </si>
  <si>
    <t>heating_final_value,10,260,513,61701,41,,0,3600,0</t>
  </si>
  <si>
    <t>cooling_final_value</t>
  </si>
  <si>
    <t>cooling_final_value,10,260,513,61703,41,,0,3600,0</t>
  </si>
  <si>
    <t>savings_in_effect</t>
  </si>
  <si>
    <t>savings_in_effect,10,260,513,61705,16,,0,3600,0</t>
  </si>
  <si>
    <t>schedule_configured</t>
  </si>
  <si>
    <t>schedule_configured,10,260,513,61712,16,,0,3600,0</t>
  </si>
  <si>
    <t>schedule_serial_number</t>
  </si>
  <si>
    <t>schedule_serial_number,10,260,513,61714,32,,0,3600,0</t>
  </si>
  <si>
    <t>smart_ventilation_required_fan_size</t>
  </si>
  <si>
    <t>smart_ventilation_required_fan_size,10,260,513,61764,33,,,,,86400</t>
  </si>
  <si>
    <t>ventilation_duty_cycle</t>
  </si>
  <si>
    <t>ventilation_duty_cycle,10,260,513,61766,32,,,,,86400</t>
  </si>
  <si>
    <t>ventilation_engaged</t>
  </si>
  <si>
    <t>ventilation_engaged,10,260,513,61769,16,,0,3600,0</t>
  </si>
  <si>
    <t>fan_modes_available</t>
  </si>
  <si>
    <t>fan_modes_available,10,260,514,1,48,,0,3600,0</t>
  </si>
  <si>
    <t>humidity</t>
  </si>
  <si>
    <t>humidity,10,260,515,0,32,,0,3600,5</t>
  </si>
  <si>
    <t>dew_point_measured_value</t>
  </si>
  <si>
    <t>dew_point_measured_value,10,260,515,61440,41,,0,3600,111</t>
  </si>
  <si>
    <t>illuminance_measurement</t>
  </si>
  <si>
    <t>illuminance_measurement,10,260,1024,0,33,,0,3600,75</t>
  </si>
  <si>
    <t>local_sensor_occupied</t>
  </si>
  <si>
    <t>local_sensor_occupied,10,260,1030,0,24,,0,3600,0</t>
  </si>
  <si>
    <t>dry_contact</t>
  </si>
  <si>
    <t>dry_contact,10,260,1280,2,25,,0,3600,0</t>
  </si>
  <si>
    <t>serial_number</t>
  </si>
  <si>
    <t>serial_number,10,260,64516,2,35,,,,,86400</t>
  </si>
  <si>
    <t>gp_data_ver</t>
  </si>
  <si>
    <t>gp_data_ver,10,260,64544,2,33,,,,,86400</t>
  </si>
  <si>
    <t>fw_ver</t>
  </si>
  <si>
    <t>fw_ver,10,260,64544,4,35,,,,,86400</t>
  </si>
  <si>
    <t>ui_ver</t>
  </si>
  <si>
    <t>ui_ver,10,260,64544,5,33,,,,,86400</t>
  </si>
  <si>
    <t>extended_deep_setback_active</t>
  </si>
  <si>
    <t>extended_deep_setback_active,10,260,513,61798,16,,0,3600,0</t>
  </si>
  <si>
    <t>motion_sensor_contacts</t>
  </si>
  <si>
    <t>motion_sensor_contacts,10,260,513,61706,24,,,,,86400</t>
  </si>
  <si>
    <t>motion_sensor_contacts_active</t>
  </si>
  <si>
    <t>motion_sensor_contacts_active,10,260,513,61707,24,,,,,86400</t>
  </si>
  <si>
    <t>zigbee_nonsecure</t>
  </si>
  <si>
    <t>zigbee_nonsecure,10,260,64517,47,16,,,,,86400</t>
  </si>
  <si>
    <t>do_not_disturb</t>
  </si>
  <si>
    <t>do_not_disturb,10,260,64519,1,16,,0,3600,0</t>
  </si>
  <si>
    <t>make_up_room</t>
  </si>
  <si>
    <t>make_up_room,10,260,64519,2,16,,0,3600,0</t>
  </si>
  <si>
    <t>green_mode_active</t>
  </si>
  <si>
    <t>green_mode_active,10,260,64519,7,16,,0,3600,0</t>
  </si>
  <si>
    <t>device_type</t>
  </si>
  <si>
    <t>device_type,10,260,64512,0,48,,,,,86400</t>
  </si>
  <si>
    <t>device_subtype</t>
  </si>
  <si>
    <t>device_subtype,10,260,64512,1,48,,,,,86400</t>
  </si>
  <si>
    <t>last_preset_applied</t>
  </si>
  <si>
    <t>last_preset_applied,10,260,64517,46,32,,,,,86400</t>
  </si>
  <si>
    <t>relay_polarity</t>
  </si>
  <si>
    <t>relay_polarity,10,260,513,61597,24,,,,,86400</t>
  </si>
  <si>
    <t>timedout_devices</t>
  </si>
  <si>
    <t>timedout_devices,10,260,64530,61440,27,,0,3600,0</t>
  </si>
  <si>
    <t>rui_soft_button_config</t>
  </si>
  <si>
    <t>rui_soft_button_config,10,260,64517,51,33,,,,,86400</t>
  </si>
  <si>
    <t>lcd_revision</t>
  </si>
  <si>
    <t>lcd_revision,10,260,64517,55,32,,,,,86400</t>
  </si>
  <si>
    <t>Select Data Model Version:</t>
  </si>
  <si>
    <t>2.24.0 (TB)</t>
  </si>
  <si>
    <t>Cluster / Attr</t>
  </si>
  <si>
    <t>Type</t>
  </si>
  <si>
    <t>Data Type</t>
  </si>
  <si>
    <t>Read Only</t>
  </si>
  <si>
    <t>Reporting Type</t>
  </si>
  <si>
    <t>Poll Frequency</t>
  </si>
  <si>
    <t>Report Max</t>
  </si>
  <si>
    <t>Report Min</t>
  </si>
  <si>
    <t>Report Thresh.</t>
  </si>
  <si>
    <t>Max Value</t>
  </si>
  <si>
    <t>Min Value</t>
  </si>
  <si>
    <t>Bound Attr Max</t>
  </si>
  <si>
    <t>Bound Attr Min</t>
  </si>
  <si>
    <t>Enum Values</t>
  </si>
  <si>
    <t>Bound Attr Enum</t>
  </si>
  <si>
    <t>Decimal Places</t>
  </si>
  <si>
    <t>Default Value</t>
  </si>
  <si>
    <t>Attribute ID</t>
  </si>
  <si>
    <t>Endpoint ID</t>
  </si>
  <si>
    <t>Profile ID</t>
  </si>
  <si>
    <t>Cluster ID</t>
  </si>
  <si>
    <t>ZCL Data Type</t>
  </si>
  <si>
    <t>Write Formatter</t>
  </si>
  <si>
    <t>Read Formatter</t>
  </si>
  <si>
    <t>2.23.1 (TB)</t>
  </si>
  <si>
    <t>2.22.0 (TB)</t>
  </si>
  <si>
    <t>2.21.0 (TB)</t>
  </si>
  <si>
    <t>2.19.0 (TB)</t>
  </si>
  <si>
    <t>2.18.0 (TB)</t>
  </si>
  <si>
    <t>2.17.0 (TB)</t>
  </si>
  <si>
    <t>2.16.1 (TB)</t>
  </si>
  <si>
    <t>2.16.0 (TB)</t>
  </si>
  <si>
    <t>2.15.8 (TB)</t>
  </si>
  <si>
    <t>2.15.7 (TB)</t>
  </si>
  <si>
    <t>2.15.4 (TB)</t>
  </si>
  <si>
    <t>2.15.3 (TB)</t>
  </si>
  <si>
    <t>2.14.1 (TB)</t>
  </si>
  <si>
    <t>2.10.0</t>
  </si>
  <si>
    <t>2.9.0</t>
  </si>
  <si>
    <t>2.8.0</t>
  </si>
  <si>
    <t>2.6.0</t>
  </si>
  <si>
    <t>enum_values":\[["a-zA-Z0-9_,\+]+</t>
  </si>
  <si>
    <t>{"protocol_ver":2,"name":"RhapsodyThermostat","slug_name":"thermostat","group":"Thermostat","ver":"2.24.0","protocol_type":"wifi_zigbee","offline_timeout":1860,"is_tko_controller":true,"attributes":{</t>
  </si>
  <si>
    <t>{"protocol_ver":2,"name":"RhapsodyThermostat","slug_name":"thermostat","group":"Thermostat","ver":"2.23.1","protocol_type":"wifi_zigbee","offline_timeout":1860,"is_tko_controller":true,"attributes":{</t>
  </si>
  <si>
    <t>{"protocol_ver":2,"name":"TouchComboandAida","slug_name":"aidatouchcombo","group":"Thermostat","ver":"2.22.0","protocol_type":"wifi_zigbee","offline_timeout":1860,"is_tko_controller":true,"attributes":{</t>
  </si>
  <si>
    <t>{"protocol_ver":2,"name":"TouchComboandAida","slug_name":"aidatouchcombo","group":"Thermostat","ver":"2.21.0","protocol_type":"wifi_zigbee","offline_timeout":1860,"is_tko_controller":true,"attributes":{</t>
  </si>
  <si>
    <t>{"protocol_ver":2,"name":"TouchComboandAida","slug_name":"aidatouchcombo","group":"Thermostat","ver":"2.19.0","protocol_type":"wifi_zigbee","offline_timeout":1860,"is_tko_controller":true,"attributes":{</t>
  </si>
  <si>
    <t>{"protocol_ver":2,"name":"TouchCombo","slug_name":"touchcombo","group":"Thermostat","ver":"2.18.0","protocol_type":"wifi_zigbee","offline_timeout":1860,"is_tko_controller":true,"attributes":{</t>
  </si>
  <si>
    <t>{"protocol_ver":2,"name":"TouchCombo","slug_name":"touchcombo","group":"Thermostat","ver":"2.17.0","protocol_type":"wifi_zigbee","offline_timeout":1860,"is_tko_controller":true,"attributes":{</t>
  </si>
  <si>
    <t>{"protocol_ver":2,"name":"TouchCombo","slug_name":"touchcombo","group":"Thermostat","ver":"2.16.1","protocol_type":"wifi_zigbee","offline_timeout":1860,"is_tko_controller":true,"attributes":{</t>
  </si>
  <si>
    <t>{"protocol_ver":2,"name":"TouchCombo","slug_name":"touchcombo","group":"Thermostat","ver":"2.16.0","protocol_type":"wifi_zigbee","offline_timeout":1860,"is_tko_controller":true,"attributes":{</t>
  </si>
  <si>
    <t>{"protocol_ver":2,"name":"TouchCombo","slug_name":"touchcombo","group":"Thermostat","ver":"2.15.8","protocol_type":"wifi_zigbee","offline_timeout":1860,"is_tko_controller":true,"attributes":{</t>
  </si>
  <si>
    <t>{"protocol_ver":2,"name":"TouchCombo","slug_name":"touchcombo","group":"Thermostat","ver":"2.15.7","protocol_type":"wifi_zigbee","offline_timeout":1860,"is_tko_controller":true,"attributes":{</t>
  </si>
  <si>
    <t>{"protocol_ver":2,"name":"TouchCombo","slug_name":"touchcombo","group":"Thermostat","ver":"2.15.4","protocol_type":"wifi_zigbee","offline_timeout":1860,"is_tko_controller":true,"attributes":{</t>
  </si>
  <si>
    <t>{"protocol_ver":2,"name":"TouchCombo","slug_name":"touchcombo","group":"Thermostat","ver":"2.15.3","protocol_type":"wifi_zigbee","offline_timeout":1860,"is_tko_controller":true,"attributes":{</t>
  </si>
  <si>
    <t>{"protocol_ver":2,"name":"TouchCombo","slug_name":"touchcombo","group":"Thermostat","ver":"2.14.1","protocol_type":"wifi_zigbee","offline_timeout":1860,"is_tko_controller":true,"attributes":{</t>
  </si>
  <si>
    <t>{"protocol_ver":2,"name":"TouchCombo","slug_name":"touchcombo","group":"Thermostat","ver":"2.10.0","protocol_type":"wifi_zigbee","offline_timeout":1860,"is_tko_controller":true,"attributes":{</t>
  </si>
  <si>
    <t>{"protocol_ver":2,"name":"TouchCombo","slug_name":"touchcombo","group":"Thermostat","ver":"2.9.0","protocol_type":"wifi_zigbee","offline_timeout":1860,"is_tko_controller":true,"attributes":{</t>
  </si>
  <si>
    <t>{"protocol_ver":2,"name":"TouchCombo","slug_name":"touchcombo","group":"Thermostat","ver":"2.8.0","protocol_type":"wifi_zigbee","offline_timeout":1860,"is_tko_controller":true,"attributes":{</t>
  </si>
  <si>
    <t>{"protocol_ver":2,"name":"TouchCombo","slug_name":"touchcombo","group":"Thermostat","ver":"2.6.0","protocol_type":"wifi_zigbee","offline_timeout":1860,"is_tko_controller":true,"attributes":{</t>
  </si>
  <si>
    <t>default_value":["a-zA-Z0-9_\.\+]+</t>
  </si>
  <si>
    <t>fw_ver:{"type":"attribute","data_type":"string","is_readonly":true,"reporting_type":"polled","poll_freq":86400,"zigbee_metadata":{"attr_id":4,"endpoint_id":10,"profile_id":260,"cluster_id":64544,"zcl_data_type":35,"read_formatter":"lambdax:'.'.join('%d'%int(('%08X'%x)[i:i+2],16)foriinrange(6,-2,-2))"}},</t>
  </si>
  <si>
    <t>fw_ver:{"type":"client","data_type":"string","is_readonly":true,"reporting_type":"polled","poll_freq":86400,"zigbee_metadata":{"attr_id":4,"endpoint_id":10,"profile_id":260,"cluster_id":64544,"zcl_data_type":35,"read_formatter":"(x)=&gt;x=(parseInt(x.substring(2,4),16)+'.'+parseInt(x.substring(4,6),16)+'.'+parseInt(x.substring(6,8),16)+'.'+parseInt(x.substring(8,10),16))"}},</t>
  </si>
  <si>
    <t>fw_ver:{"type":"basic","data_type":"string","is_readonly":true,"reporting_type":"polled","poll_freq":86400,"zigbee_metadata":{"attr_id":4,"endpoint_id":10,"profile_id":260,"cluster_id":64544,"zcl_data_type":35,"read_formatter":"lambdax:'.'.join('%d'%int(('%08X'%x)[i:i+2],16)foriinrange(6,-2,-2))"}</t>
  </si>
  <si>
    <t>read_formatter":["a-zA-Z0-9\W].*</t>
  </si>
  <si>
    <t>gp_data_ver:{"type":"attribute","data_type":"string","is_readonly":true,"reporting_type":"polled","poll_freq":86400,"zigbee_metadata":{"attr_id":2,"endpoint_id":10,"profile_id":260,"cluster_id":64544,"zcl_data_type":33,"read_formatter":"lambdax:'%d'%x"}},</t>
  </si>
  <si>
    <t>gp_data_ver:{"type":"client","data_type":"string","is_readonly":true,"reporting_type":"polled","poll_freq":86400,"zigbee_metadata":{"attr_id":2,"endpoint_id":10,"profile_id":260,"cluster_id":64544,"zcl_data_type":33,"read_formatter":"(x)=&gt;Number(x)"}},</t>
  </si>
  <si>
    <t>gp_data_ver:{"type":"basic","data_type":"string","is_readonly":true,"reporting_type":"polled","poll_freq":86400,"zigbee_metadata":{"attr_id":2,"endpoint_id":10,"profile_id":260,"cluster_id":64544,"zcl_data_type":33,"read_formatter":"lambdax:'%d'%x"}</t>
  </si>
  <si>
    <t>write_formatter":["a-zA-Z0-9\W].*|"}},|}},|","</t>
  </si>
  <si>
    <t>ui_ver:{"type":"attribute","data_type":"string","is_readonly":true,"reporting_type":"polled","poll_freq":86400,"zigbee_metadata":{"attr_id":5,"endpoint_id":10,"profile_id":260,"cluster_id":64544,"zcl_data_type":33,"read_formatter":"lambdax:'%d'%x"}},</t>
  </si>
  <si>
    <t>ui_ver:{"type":"client","data_type":"string","is_readonly":true,"reporting_type":"polled","poll_freq":86400,"zigbee_metadata":{"attr_id":5,"endpoint_id":10,"profile_id":260,"cluster_id":64544,"zcl_data_type":33,"read_formatter":"(x)=&gt;Number(x)"}},</t>
  </si>
  <si>
    <t>ui_ver:{"type":"basic","data_type":"string","is_readonly":true,"reporting_type":"polled","poll_freq":86400,"zigbee_metadata":{"attr_id":5,"endpoint_id":10,"profile_id":260,"cluster_id":64544,"zcl_data_type":33,"read_formatter":"lambdax:'%d'%x"}</t>
  </si>
  <si>
    <t>write_formatter":["a-zA-Z0-9\W].*</t>
  </si>
  <si>
    <t>esp_ver:{"type":"attribute","data_type":"string","is_readonly":true,"reporting_type":"polled","poll_freq":86400},</t>
  </si>
  <si>
    <t>esp_ver:{"type":"client","data_type":"string","is_readonly":true,"reporting_type":"polled","poll_freq":86400},</t>
  </si>
  <si>
    <t>esp_ver:{"type":"basic","data_type":"string","is_readonly":true,"reporting_type":"polled","poll_freq":86400</t>
  </si>
  <si>
    <t>read_formatter":["a-zA-Z0-9\W].*|"}},|}},|","</t>
  </si>
  <si>
    <t>mac_address:{"type":"attribute","data_type":"string","is_readonly":true,"reporting_type":"polled","poll_freq":86400},</t>
  </si>
  <si>
    <t>mac_address:{"type":"client","data_type":"string","is_readonly":true,"reporting_type":"polled","poll_freq":86400},</t>
  </si>
  <si>
    <t>mac_address:{"type":"basic","data_type":"string","is_readonly":true,"reporting_type":"polled","poll_freq":86400</t>
  </si>
  <si>
    <t>ip_address:{"type":"attribute","data_type":"string","is_readonly":true,"reporting_type":"polled","poll_freq":86400},</t>
  </si>
  <si>
    <t>ip_address:{"type":"client","data_type":"string","is_readonly":true,"reporting_type":"polled","poll_freq":86400},</t>
  </si>
  <si>
    <t>ip_address:{"type":"basic","data_type":"string","is_readonly":true,"reporting_type":"polled","poll_freq":86400</t>
  </si>
  <si>
    <t>mqtt_server:{"type":"attribute","data_type":"string","is_readonly":true,"reporting_type":"polled","poll_freq":86400},</t>
  </si>
  <si>
    <t>mqtt_server:{"type":"client","data_type":"string","is_readonly":true,"reporting_type":"polled","poll_freq":86400},</t>
  </si>
  <si>
    <t>mqtt_server:{"type":"basic","data_type":"string","is_readonly":true,"reporting_type":"polled","poll_freq":86400</t>
  </si>
  <si>
    <t>serial_number:{"type":"attribute","data_type":"uint32","is_readonly":true,"reporting_type":"polled","poll_freq":86400,"zigbee_metadata":{"attr_id":2,"endpoint_id":10,"profile_id":260,"cluster_id":64516,"zcl_data_type":35}},</t>
  </si>
  <si>
    <t>serial_number:{"type":"client","data_type":"uint32","is_readonly":true,"reporting_type":"polled","poll_freq":86400,"zigbee_metadata":{"attr_id":2,"endpoint_id":10,"profile_id":260,"cluster_id":64516,"zcl_data_type":35}},</t>
  </si>
  <si>
    <t>serial_number:{"type":"basic","data_type":"uint32","is_readonly":true,"reporting_type":"polled","zigbee_metadata":{"attr_id":2,"endpoint_id":10,"profile_id":260,"cluster_id":64516,"zcl_data_type":35}</t>
  </si>
  <si>
    <t>host_filesystem_directory:{"type":"attribute","data_type":"string","is_readonly":true,"reporting_type":"polled","poll_freq":86400},</t>
  </si>
  <si>
    <t>host_filesystem_directory:{"type":"client","data_type":"string","is_readonly":true,"reporting_type":"polled","poll_freq":86400},</t>
  </si>
  <si>
    <t>host_filesystem_directory:{"type":"basic","data_type":"string","is_readonly":true,"reporting_type":"polled","poll_freq":86400</t>
  </si>
  <si>
    <t>local_time_of_day:{"type":"attribute","data_type":"string","is_readonly":false,"reporting_type":"diagnostic","zigbee_metadata":{"attr_id":61440,"endpoint_id":10,"profile_id":260,"cluster_id":10,"zcl_data_type":35,"write_formatter":"lambdax:(int(__import__('re').search('^(\\d+)',x).group(1))*(3600ifnot(int(__import__('re').search('^(\\d+)',x).group(1))==12and__import__('re').search('([AaPp][Mm])$',x).group(1).lower()=='am')else0))+(int(__import__('re').search(':(\\d+)',x).group(1))*60)+(int(__import__('re').search(':(\\d+):(\\d+)',x).group(2)))+(43200if(int(__import__('re').search('^(\\d+)',x).group(1))!=12and__import__('re').search('([AaPp][Mm])$',x).group(1).lower()=='pm')else0)","read_formatter":"lambdax:'{h}:{m:02d}:{s:02d}{am}'.format(h=(int(x/3600)-12)ifint(x/3600)&gt;12else12ifint(x/3600)==0elseint(x/3600),m=int(x%3600/60),s=x%3600%60,am='AM'ifint(x/3600)&lt;12else'PM')"}},</t>
  </si>
  <si>
    <t>local_time_of_day:{"type":"client","data_type":"string","is_readonly":false,"reporting_type":"diagnostic","zigbee_metadata":{"attr_id":61440,"endpoint_id":10,"profile_id":260,"cluster_id":10,"zcl_data_type":35,"write_formatter":"(x)=&gt;x","read_formatter":"(x)=&gt;x"}},</t>
  </si>
  <si>
    <t>local_time_of_day:{"type":"basic","data_type":"string","is_readonly":false,"reporting_type":"diagnostic","zigbee_metadata":{"attr_id":61440,"endpoint_id":10,"profile_id":260,"cluster_id":10,"zcl_data_type":35,"write_validator":"lambdax:bool(__import__('re').match('((1[0-2]|0?[1-9]):([0-5][0-9]):([0-5][0-9])?([AaPp][Mm])$)',x))","write_formatter":"lambdax:(int(__import__('re').search('^(\\d+)',x).group(1))*(3600ifnot(int(__import__('re').search('^(\\d+)',x).group(1))==12and__import__('re').search('([AaPp][Mm])$',x).group(1).lower()=='am')else0))+(int(__import__('re').search(':(\\d+)',x).group(1))*60)+(int(__import__('re').search(':(\\d+):(\\d+)',x).group(2)))+(43200if(int(__import__('re').search('^(\\d+)',x).group(1))!=12and__import__('re').search('([AaPp][Mm])$',x).group(1).lower()=='pm')else0)","read_formatter":"lambdax:'{h}:{m:02d}:{s:02d}{am}'.format(h=(int(x/3600)-12)ifint(x/3600)&gt;12else12ifint(x/3600)==0elseint(x/3600),m=int(x%3600/60),s=x%3600%60,am='AM'ifint(x/3600)&lt;12else'PM')"}</t>
  </si>
  <si>
    <t>day_of_week:{"type":"attribute","data_type":"enum","is_readonly":false,"reporting_type":"diagnostic","enum_values":["sun","mon","tue","wed","thur","fri","sat"],"zigbee_metadata":{"attr_id":61441,"endpoint_id":10,"profile_id":260,"cluster_id":10,"zcl_data_type":48,"write_formatter":"lambdax:{'sun':0,'mon':1,'tue':2,'wed':3,'thur':4,'fri':5,'sat':6}[x]","read_formatter":"lambdax:{0:'sun',1:'mon',2:'tue',3:'wed',4:'thur',5:'fri',6:'sat'}.get(x,'unknown')"}},</t>
  </si>
  <si>
    <t>day_of_week:{"type":"client","data_type":"enum","is_readonly":false,"reporting_type":"diagnostic","enum_values":["sun","mon","tue","wed","thur","fri","sat"],"zigbee_metadata":{"attr_id":61441,"endpoint_id":10,"profile_id":260,"cluster_id":10,"zcl_data_type":48,"write_formatter":"(x)=&gt;x={'sun':0,'mon':1,'tue':2,'wed':3,'thur':4,'fri':5,'sat':6}[x]","read_formatter":"(x)=&gt;x={0:'sun',1:'mon',2:'tue',3:'wed',4:'thur',5:'fri',6:'sat'}[x]"}},</t>
  </si>
  <si>
    <t>day_of_week:{"type":"basic","data_type":"enum","is_readonly":false,"reporting_type":"diagnostic","enum_values":["sun","mon","tue","wed","thur","fri","sat"],"zigbee_metadata":{"attr_id":61441,"endpoint_id":10,"profile_id":260,"cluster_id":10,"zcl_data_type":48,"write_formatter":"lambdax:{'sun':0,'mon':1,'tue':2,'wed':3,'thur':4,'fri':5,'sat':6}[x]","read_formatter":"lambdax:{0:'sun',1:'mon',2:'tue',3:'wed',4:'thur',5:'fri',6:'sat'}.get(x,'unknown')"}</t>
  </si>
  <si>
    <t>schedule_configured:{"type":"attribute","data_type":"bool","is_readonly":true,"reporting_type":"reported","report_max":3600,"report_min":0,"zigbee_metadata":{"attr_id":61712,"endpoint_id":10,"profile_id":260,"cluster_id":513,"zcl_data_type":16,"read_formatter":"lambdax:bool(x)"}},</t>
  </si>
  <si>
    <t>schedule:{"type":"attribute","data_type":"schedule","is_readonly":false,"reporting_type":"polled","poll_freq":3600,"max_schedules":4,"max_transitions":4,"default_value":null,"custom_metadata":{"python_module":"tkozb.devices.attrs","python_attr_class":"ScheduleAttribute"}},</t>
  </si>
  <si>
    <t>schedule:{"type":"shared","data_type":"schedule","is_readonly":false,"reporting_type":"polled","poll_freq":3600,"max_schedules":4,"max_transitions":4,"default_value":null,"custom_metadata":{"python_module":"tkozb.devices.attrs","python_attr_class":"ScheduleAttribute"}},</t>
  </si>
  <si>
    <t>schedule:{"type":"basic","data_type":"schedule","is_readonly":false,"reporting_type":"polled","poll_freq":3600,"max_schedules":4,"max_transitions":4,"default_value":null,"custom_metadata":{"python_module":"tkozb.devices.attrs","python_attr_class":"ScheduleAttribute"}</t>
  </si>
  <si>
    <t>schedule_serial_number:{"type":"telemetry","data_type":"uint8","is_readonly":true,"reporting_type":"reported","report_max":3600,"report_min":0,"zigbee_metadata":{"attr_id":61714,"endpoint_id":10,"profile_id":260,"cluster_id":513,"zcl_data_type":32}},</t>
  </si>
  <si>
    <t>schedule_configured:{"type":"client","data_type":"bool","is_readonly":true,"reporting_type":"reported","report_max":3600,"report_min":0,"zigbee_metadata":{"attr_id":61712,"endpoint_id":10,"profile_id":260,"cluster_id":513,"zcl_data_type":16,"read_formatter":"(x)=&gt;!!x"}},</t>
  </si>
  <si>
    <t>schedule_configured:{"type":"basic","data_type":"bool","is_readonly":true,"reporting_type":"reported","report_max":3600,"report_min":0,"zigbee_metadata":{"attr_id":61712,"endpoint_id":10,"profile_id":260,"cluster_id":513,"zcl_data_type":16,"read_formatter":"lambdax:bool(x)"}</t>
  </si>
  <si>
    <t>schedule_paused:{"type":"attribute","data_type":"bool","is_readonly":false,"reporting_type":"reported","report_max":3600,"report_min":0,"default_value":null,"zigbee_metadata":{"attr_id":61713,"endpoint_id":10,"profile_id":260,"cluster_id":513,"zcl_data_type":16,"write_formatter":"lambdax:int(x)","read_formatter":"lambdax:bool(x)"}},</t>
  </si>
  <si>
    <t>schedule_paused:{"type":"shared","data_type":"bool","is_readonly":false,"reporting_type":"reported","report_max":3600,"report_min":0,"default_value":null,"zigbee_metadata":{"attr_id":61713,"endpoint_id":10,"profile_id":260,"cluster_id":513,"zcl_data_type":16,"write_formatter":"(x)=&gt;parseInt(x)","read_formatter":"(x)=&gt;!!x"}},</t>
  </si>
  <si>
    <t>schedule_paused:{"type":"basic","data_type":"bool","is_readonly":false,"reporting_type":"reported","report_max":3600,"report_min":0,"default_value":null,"zigbee_metadata":{"attr_id":61713,"endpoint_id":10,"profile_id":260,"cluster_id":513,"zcl_data_type":16,"write_formatter":"lambdax:int(x)","read_formatter":"lambdax:bool(x)"}</t>
  </si>
  <si>
    <t>system_temp:{"type":"telemetry","data_type":"float","is_readonly":true,"reporting_type":"reported","report_max":3600,"report_min":0,"report_threshold":0.5,"decimal_places":2,"zigbee_metadata":{"attr_id":0,"endpoint_id":10,"profile_id":260,"cluster_id":513,"zcl_data_type":41,"write_formatter":"lambdax:int(round(x,2)*100)","read_formatter":"lambdax:x/100"}},</t>
  </si>
  <si>
    <t>system_temp:{"type":"telemetry","data_type":"float","is_readonly":true,"reporting_type":"reported","report_max":3600,"report_min":0,"report_threshold":0.5,"decimal_places":2,"zigbee_metadata":{"attr_id":0,"endpoint_id":10,"profile_id":260,"cluster_id":513,"zcl_data_type":41,"write_formatter":"(x)=&gt;x*100","read_formatter":"(x)=&gt;x/100"}},</t>
  </si>
  <si>
    <t>system_temp:{"type":"basic","data_type":"float","is_readonly":true,"reporting_type":"reported","report_max":3600,"report_min":0,"report_threshold":0.5,"decimal_places":2,"zigbee_metadata":{"attr_id":0,"endpoint_id":10,"profile_id":260,"cluster_id":513,"zcl_data_type":41,"write_formatter":"lambdax:int(round(x,2)*100)","read_formatter":"lambdax:x/100"}</t>
  </si>
  <si>
    <t>cool_setpoint:{"type":"combined","data_type":"float","is_readonly":false,"reporting_type":"reported","report_max":3600,"report_min":0,"report_threshold":0,"decimal_places":2,"bound_attr_max":"cool_setpoint_max","bound_attr_min":"cool_setpoint_min","default_value":null,"zigbee_metadata":{"attr_id":17,"endpoint_id":10,"profile_id":260,"cluster_id":513,"zcl_data_type":41,"write_formatter":"lambdax:int(round(x,2)*100)","read_formatter":"lambdax:x/100"}},</t>
  </si>
  <si>
    <t>cool_setpoint:{"type":"attribute","data_type":"float","is_readonly":false,"reporting_type":"reported","report_max":3600,"report_min":0,"report_threshold":0,"decimal_places":2,"bound_attr_max":"cool_setpoint_max","bound_attr_min":"cool_setpoint_min","default_value":null,"zigbee_metadata":{"attr_id":17,"endpoint_id":10,"profile_id":260,"cluster_id":513,"zcl_data_type":41,"write_formatter":"lambdax:int(round(x,2)*100)","read_formatter":"lambdax:x/100"}},</t>
  </si>
  <si>
    <t>cool_setpoint:{"type":"shared","data_type":"float","is_readonly":false,"reporting_type":"reported","report_max":3600,"report_min":0,"report_threshold":0,"decimal_places":2,"bound_attr_max":"cool_setpoint_max","bound_attr_min":"cool_setpoint_min","default_value":null,"zigbee_metadata":{"attr_id":17,"endpoint_id":10,"profile_id":260,"cluster_id":513,"zcl_data_type":41,"write_formatter":"(x)=&gt;x*100","read_formatter":"(x)=&gt;x/100"}},</t>
  </si>
  <si>
    <t>cool_setpoint:{"type":"basic","data_type":"float","is_readonly":false,"reporting_type":"reported","report_max":3600,"report_min":0,"report_threshold":0,"decimal_places":2,"bound_attr_max":"cool_setpoint_max","bound_attr_min":"cool_setpoint_min","default_value":null,"zigbee_metadata":{"attr_id":17,"endpoint_id":10,"profile_id":260,"cluster_id":513,"zcl_data_type":41,"write_formatter":"lambdax:int(round(x,2)*100)","read_formatter":"lambdax:x/100"}</t>
  </si>
  <si>
    <t>heat_setpoint:{"type":"combined","data_type":"float","is_readonly":false,"reporting_type":"reported","report_max":3600,"report_min":0,"report_threshold":0,"decimal_places":2,"bound_attr_max":"heat_setpoint_max","bound_attr_min":"heat_setpoint_min","default_value":null,"zigbee_metadata":{"attr_id":18,"endpoint_id":10,"profile_id":260,"cluster_id":513,"zcl_data_type":41,"write_formatter":"lambdax:int(round(x,2)*100)","read_formatter":"lambdax:x/100"}},</t>
  </si>
  <si>
    <t>heat_setpoint:{"type":"attribute","data_type":"float","is_readonly":false,"reporting_type":"reported","report_max":3600,"report_min":0,"report_threshold":0,"decimal_places":2,"bound_attr_max":"heat_setpoint_max","bound_attr_min":"heat_setpoint_min","default_value":null,"zigbee_metadata":{"attr_id":18,"endpoint_id":10,"profile_id":260,"cluster_id":513,"zcl_data_type":41,"write_formatter":"lambdax:int(round(x,2)*100)","read_formatter":"lambdax:x/100"}},</t>
  </si>
  <si>
    <t>heat_setpoint:{"type":"shared","data_type":"float","is_readonly":false,"reporting_type":"reported","report_max":3600,"report_min":0,"report_threshold":0,"decimal_places":2,"bound_attr_max":"heat_setpoint_max","bound_attr_min":"heat_setpoint_min","default_value":null,"zigbee_metadata":{"attr_id":18,"endpoint_id":10,"profile_id":260,"cluster_id":513,"zcl_data_type":41,"write_formatter":"(x)=&gt;x*100","read_formatter":"(x)=&gt;x/100"}},</t>
  </si>
  <si>
    <t>heat_setpoint:{"type":"basic","data_type":"float","is_readonly":false,"reporting_type":"reported","report_max":3600,"report_min":0,"report_threshold":0,"decimal_places":2,"bound_attr_max":"heat_setpoint_max","bound_attr_min":"heat_setpoint_min","default_value":null,"zigbee_metadata":{"attr_id":18,"endpoint_id":10,"profile_id":260,"cluster_id":513,"zcl_data_type":41,"write_formatter":"lambdax:int(round(x,2)*100)","read_formatter":"lambdax:x/100"}</t>
  </si>
  <si>
    <t>cool_setpoint_unocc:{"type":"attribute","data_type":"float","is_readonly":true,"reporting_type":"reported","report_max":3600,"report_min":0,"report_threshold":0,"decimal_places":2,"zigbee_metadata":{"attr_id":19,"endpoint_id":10,"profile_id":260,"cluster_id":513,"zcl_data_type":41,"write_formatter":"lambdax:int(round(x,2)*100)","read_formatter":"lambdax:x/100"}},</t>
  </si>
  <si>
    <t>cool_setpoint_unocc:{"type":"client","data_type":"float","is_readonly":true,"reporting_type":"reported","report_max":3600,"report_min":0,"report_threshold":0,"decimal_places":2,"zigbee_metadata":{"attr_id":19,"endpoint_id":10,"profile_id":260,"cluster_id":513,"zcl_data_type":41,"write_formatter":"(x)=&gt;x*100","read_formatter":"(x)=&gt;x/100"}},</t>
  </si>
  <si>
    <t>cool_setpoint_unocc:{"type":"basic","data_type":"float","is_readonly":true,"reporting_type":"reported","report_max":3600,"report_min":0,"report_threshold":0,"decimal_places":2,"zigbee_metadata":{"attr_id":19,"endpoint_id":10,"profile_id":260,"cluster_id":513,"zcl_data_type":41,"write_formatter":"lambdax:int(round(x,2)*100)","read_formatter":"lambdax:x/100"}</t>
  </si>
  <si>
    <t>heat_setpoint_unocc:{"type":"attribute","data_type":"float","is_readonly":true,"reporting_type":"reported","report_max":3600,"report_min":0,"report_threshold":0,"decimal_places":2,"zigbee_metadata":{"attr_id":20,"endpoint_id":10,"profile_id":260,"cluster_id":513,"zcl_data_type":41,"write_formatter":"lambdax:int(round(x,2)*100)","read_formatter":"lambdax:x/100"}},</t>
  </si>
  <si>
    <t>heat_setpoint_unocc:{"type":"client","data_type":"float","is_readonly":true,"reporting_type":"reported","report_max":3600,"report_min":0,"report_threshold":0,"decimal_places":2,"zigbee_metadata":{"attr_id":20,"endpoint_id":10,"profile_id":260,"cluster_id":513,"zcl_data_type":41,"write_formatter":"(x)=&gt;x*100","read_formatter":"(x)=&gt;x/100"}},</t>
  </si>
  <si>
    <t>heat_setpoint_unocc:{"type":"basic","data_type":"float","is_readonly":true,"reporting_type":"reported","report_max":3600,"report_min":0,"report_threshold":0,"decimal_places":2,"zigbee_metadata":{"attr_id":20,"endpoint_id":10,"profile_id":260,"cluster_id":513,"zcl_data_type":41,"write_formatter":"lambdax:int(round(x,2)*100)","read_formatter":"lambdax:x/100"}</t>
  </si>
  <si>
    <t>system_mode:{"type":"combined","data_type":"enum","is_readonly":false,"reporting_type":"reported","report_max":3600,"report_min":0,"bound_attr_enum":"system_modes_available","enum_values":["off","cool","heat","auto"],"default_value":null,"zigbee_metadata":{"attr_id":28,"endpoint_id":10,"profile_id":260,"cluster_id":513,"zcl_data_type":48,"write_formatter":"lambdax:{'off':0,'auto':1,'cool':3,'heat':4}[x]","read_formatter":"lambdax:{0:'off',1:'auto',3:'cool',4:'heat'}.get(x,'unknown')"}},</t>
  </si>
  <si>
    <t>system_mode:{"type":"combined","data_type":"enum","is_readonly":false,"reporting_type":"reported","report_max":3600,"report_min":0,"bound_attr_enum":"system_modes_available","enum_values":["off","cool","heat","auto"],"default_value":null,"zigbee_metadata":{"attr_id":28,"endpoint_id":10,"profile_id":260,"cluster_id":513,"zcl_data_type":48,"write_formatter":"(x)=&gt;x={'off':0,'auto':1,'cool':3,'heat':4}[x]","read_formatter":"(x)=&gt;x={0:'off',1:'auto',3:'cool',4:'heat'}[x]"}},</t>
  </si>
  <si>
    <t>system_mode:{"type":"basic","data_type":"enum","is_readonly":false,"reporting_type":"reported","report_max":3600,"report_min":0,"bound_attr_enum":"system_modes_available","enum_values":["off","cool","heat","auto"],"default_value":null,"zigbee_metadata":{"attr_id":28,"endpoint_id":10,"profile_id":260,"cluster_id":513,"zcl_data_type":48,"write_formatter":"lambdax:{'off':0,'auto':1,'cool':3,'heat':4}[x]","read_formatter":"lambdax:{0:'off',1:'auto',3:'cool',4:'heat'}.get(x,'unknown')"}</t>
  </si>
  <si>
    <t>system_modes_available:{"type":"attribute","data_type":"enum_list","is_readonly":true,"reporting_type":"reported","report_max":3600,"report_min":0,"zigbee_metadata":{"attr_id":61467,"endpoint_id":10,"profile_id":260,"cluster_id":513,"zcl_data_type":48,"read_formatter":"lambdax:{0x00:['off','cool'],0x02:['off','heat'],0x04:['off','cool','heat'],0x89:['off','auto'],0x8f:['off','auto','cool','heat']}.get(x,[])"}},</t>
  </si>
  <si>
    <t>system_modes_available:{"type":"client","data_type":"enum_list","is_readonly":true,"reporting_type":"reported","report_max":3600,"report_min":0,"zigbee_metadata":{"attr_id":61467,"endpoint_id":10,"profile_id":260,"cluster_id":513,"zcl_data_type":48,"read_formatter":"(x)=&gt;x={0x00:['off','cool'],0x02:['off','heat'],0x04:['off','cool','heat'],0x89:['off','auto'],0x8f:['off','auto','cool','heat']}[x]"}},</t>
  </si>
  <si>
    <t>system_modes_available:{"type":"advanced","data_type":"enum_list","is_readonly":true,"reporting_type":"reported","report_max":3600,"report_min":0,"zigbee_metadata":{"attr_id":61467,"endpoint_id":10,"profile_id":260,"cluster_id":513,"zcl_data_type":48,"read_formatter":"lambdax:{0x00:['off','cool'],0x02:['off','heat'],0x04:['off','cool','heat'],0x89:['off','auto'],0x8f:['off','auto','cool','heat']}.get(x,[])"}</t>
  </si>
  <si>
    <t>running_mode:{"type":"telemetry","data_type":"enum","is_readonly":true,"reporting_type":"reported","report_max":3600,"report_min":0,"enum_values":["off","cool","heat"],"zigbee_metadata":{"attr_id":30,"endpoint_id":10,"profile_id":260,"cluster_id":513,"zcl_data_type":48,"read_formatter":"lambdax:{0:'off',3:'cool',4:'heat'}.get(x,'unknown')"}},</t>
  </si>
  <si>
    <t>running_mode:{"type":"client","data_type":"enum","is_readonly":true,"reporting_type":"reported","report_max":3600,"report_min":0,"enum_values":["off","cool","heat"],"zigbee_metadata":{"attr_id":30,"endpoint_id":10,"profile_id":260,"cluster_id":513,"zcl_data_type":48,"read_formatter":"(x)=&gt;x={0:'off',3:'cool',4:'heat'}[x]"}},</t>
  </si>
  <si>
    <t>running_mode:{"type":"basic","data_type":"enum","is_readonly":true,"reporting_type":"reported","report_max":3600,"report_min":0,"enum_values":["off","cool","heat"],"zigbee_metadata":{"attr_id":30,"endpoint_id":10,"profile_id":260,"cluster_id":513,"zcl_data_type":48,"read_formatter":"lambdax:{0:'off',3:'cool',4:'heat'}.get(x,'unknown')"}</t>
  </si>
  <si>
    <t>fan_mode:{"type":"combined","data_type":"enum","is_readonly":false,"reporting_type":"reported","report_max":3600,"report_min":0,"bound_attr_enum":"fan_modes_available","default_value":null,"enum_values":["auto","on","low","medium","high"],"zigbee_metadata":{"attr_id":0,"endpoint_id":10,"profile_id":260,"cluster_id":514,"zcl_data_type":48,"write_formatter":"lambdax:{'low':1,'medium':2,'high':3,'on':4,'auto':5}[x]","read_formatter":"lambdax:{1:'low',2:'medium',3:'high',4:'on',5:'auto'}.get(x,'unknown')"}},</t>
  </si>
  <si>
    <t>fan_mode:{"type":"shared","data_type":"enum","is_readonly":false,"reporting_type":"reported","report_max":3600,"report_min":0,"bound_attr_enum":"fan_modes_available","default_value":null,"enum_values":["auto","on","low","medium","high"],"zigbee_metadata":{"attr_id":0,"endpoint_id":10,"profile_id":260,"cluster_id":514,"zcl_data_type":48,"write_formatter":"(x)=&gt;x={'low':1,'medium':2,'high':3,'on':4,'auto':5}[x]","read_formatter":"(x)=&gt;x={1:'low',2:'medium',3:'high',4:'on',5:'auto'}[x]"}},</t>
  </si>
  <si>
    <t>fan_mode:{"type":"basic","data_type":"enum","is_readonly":false,"reporting_type":"reported","report_max":3600,"report_min":0,"bound_attr_enum":"fan_modes_available","default_value":null,"enum_values":["auto","on","low","medium","high"],"zigbee_metadata":{"attr_id":0,"endpoint_id":10,"profile_id":260,"cluster_id":514,"zcl_data_type":48,"write_formatter":"lambdax:{'low':1,'medium':2,'high':3,'on':4,'auto':5}[x]","read_formatter":"lambdax:{1:'low',2:'medium',3:'high',4:'on',5:'auto'}.get(x,'unknown')"}</t>
  </si>
  <si>
    <t>fan_modes_available:{"type":"attribute","data_type":"enum_list","is_readonly":true,"reporting_type":"reported","report_max":3600,"report_min":0,"zigbee_metadata":{"attr_id":1,"endpoint_id":10,"profile_id":260,"cluster_id":514,"zcl_data_type":48,"read_formatter":"lambdax:{0x88:['auto'],0x04:['auto','on'],0x03:['auto','low','high'],0x02:['auto','low','medium','high']}.get(x,[])"}},</t>
  </si>
  <si>
    <t>fan_modes_available:{"type":"client","data_type":"enum_list","is_readonly":true,"reporting_type":"reported","report_max":3600,"report_min":0,"zigbee_metadata":{"attr_id":1,"endpoint_id":10,"profile_id":260,"cluster_id":514,"zcl_data_type":48,"read_formatter":"(x)=&gt;x={0x88:['auto'],0x04:['auto','on'],0x03:['auto','low','high'],0x02:['auto','low','medium','high']}[x]"}},</t>
  </si>
  <si>
    <t>fan_modes_available:{"type":"advanced","data_type":"enum_list","is_readonly":true,"reporting_type":"reported","report_max":3600,"report_min":0,"zigbee_metadata":{"attr_id":1,"endpoint_id":10,"profile_id":260,"cluster_id":514,"zcl_data_type":48,"read_formatter":"lambdax:{0x88:['auto'],0x04:['auto','on'],0x03:['auto','low','high'],0x02:['auto','low','medium','high']}.get(x,[])"}</t>
  </si>
  <si>
    <t>fan_state:{"type":"telemetry","data_type":"enum","is_readonly":true,"reporting_type":"reported","report_max":3600,"report_min":0,"enum_values":["off","low","medium","high","on"],"zigbee_metadata":{"attr_id":61440,"endpoint_id":10,"profile_id":260,"cluster_id":513,"zcl_data_type":48,"read_formatter":"lambdax:{0:'off',1:'low',2:'medium',3:'high',4:'on'}.get(x,'unknown')"}},</t>
  </si>
  <si>
    <t>fan_state:{"type":"client","data_type":"enum","is_readonly":true,"reporting_type":"reported","report_max":3600,"report_min":0,"enum_values":["off","low","medium","high","on"],"zigbee_metadata":{"attr_id":61440,"endpoint_id":10,"profile_id":260,"cluster_id":513,"zcl_data_type":48,"read_formatter":"(x)=&gt;x={0:'off',1:'low',2:'medium',3:'high',4:'on'}[x]"}},</t>
  </si>
  <si>
    <t>fan_state:{"type":"basic","data_type":"enum","is_readonly":true,"reporting_type":"reported","report_max":3600,"report_min":0,"enum_values":["off","low","medium","high","on"],"zigbee_metadata":{"attr_id":61440,"endpoint_id":10,"profile_id":260,"cluster_id":513,"zcl_data_type":48,"read_formatter":"lambdax:{0:'off',1:'low',2:'medium',3:'high',4:'on'}.get(x,'unknown')"}</t>
  </si>
  <si>
    <t>system_occ:{"type":"telemetry","data_type":"bool","is_readonly":true,"reporting_type":"reported","report_max":3600,"report_min":0,"zigbee_metadata":{"attr_id":2,"endpoint_id":10,"profile_id":260,"cluster_id":513,"zcl_data_type":24,"read_formatter":"lambdax:x&amp;0x01==0x01"}},</t>
  </si>
  <si>
    <t>system_occ:{"type":"telemetry","data_type":"bool","is_readonly":true,"reporting_type":"reported","report_max":3600,"report_min":0,"zigbee_metadata":{"attr_id":2,"endpoint_id":10,"profile_id":260,"cluster_id":513,"zcl_data_type":24,"read_formatter":"(x)=&gt;Boolean(x)"}},</t>
  </si>
  <si>
    <t>system_occ:{"type":"basic","data_type":"bool","is_readonly":true,"reporting_type":"reported","report_max":3600,"report_min":0,"zigbee_metadata":{"attr_id":2,"endpoint_id":10,"profile_id":260,"cluster_id":513,"zcl_data_type":24,"read_formatter":"lambdax:x&amp;0x01==0x01"}</t>
  </si>
  <si>
    <t>humidity:{"type":"telemetry","data_type":"uint8","is_readonly":true,"reporting_type":"reported","report_max":3600,"report_min":0,"report_threshold":5,"zigbee_metadata":{"attr_id":0,"endpoint_id":10,"profile_id":260,"cluster_id":515,"zcl_data_type":32}},</t>
  </si>
  <si>
    <t>humidity:{"type":"basic","data_type":"uint8","is_readonly":true,"reporting_type":"reported","report_max":3600,"report_min":0,"report_threshold":5,"zigbee_metadata":{"attr_id":0,"endpoint_id":10,"profile_id":260,"cluster_id":515,"zcl_data_type":32}</t>
  </si>
  <si>
    <t>ui_keypad_lockout:{"type":"attribute","data_type":"enum","is_readonly":false,"reporting_type":"polled","poll_freq":86400,"default_value":"none","enum_values":["none","mode","mode_fan","all"],"zigbee_metadata":{"attr_id":1,"endpoint_id":10,"profile_id":260,"cluster_id":516,"zcl_data_type":48,"write_formatter":"lambdax:{'none':0,'mode':1,'mode_fan':2,'all':3}[x]","read_formatter":"lambdax:{0:'none',1:'mode',2:'mode_fan',3:'all'}.get(x,'unknown')"}},</t>
  </si>
  <si>
    <t>display_temp_units:{"type":"attribute","data_type":"enum","is_readonly":false,"reporting_type":"reported","report_max":3600,"report_min":0,"default_value":null,"enum_values":["fahrenheit","celsius"],"zigbee_metadata":{"attr_id":61471,"endpoint_id":10,"profile_id":260,"cluster_id":513,"zcl_data_type":48,"read_formatter":"lambdax:'fahrenheit'ifxelse'celsius'","write_formatter":"lambdax:int(x=='fahrenheit')"}},</t>
  </si>
  <si>
    <t>display_temp_units:{"type":"client","data_type":"enum","is_readonly":false,"reporting_type":"reported","report_max":3600,"report_min":0,"default_value":null,"enum_values":["fahrenheit","celsius"],"zigbee_metadata":{"attr_id":61471,"endpoint_id":10,"profile_id":260,"cluster_id":513,"zcl_data_type":48,"read_formatter":"(x)=&gt;x={0:'celsius',1:'fahrenheit'}[x]","write_formatter":"(x)=&gt;+(x=='fahrenheit')"}},</t>
  </si>
  <si>
    <t>display_temp_units:{"type":"advanced","data_type":"enum","is_readonly":false,"reporting_type":"reported","report_max":3600,"report_min":0,"default_value":null,"enum_values":["fahrenheit","celsius"],"zigbee_metadata":{"attr_id":61471,"endpoint_id":10,"profile_id":260,"cluster_id":513,"zcl_data_type":48,"read_formatter":"lambdax:'fahrenheit'ifxelse'celsius'","write_formatter":"lambdax:int(x=='fahrenheit')"}</t>
  </si>
  <si>
    <t>time_in_state:{"type":"attribute","data_type":"uint16","is_readonly":true,"reporting_type":"diagnostic","zigbee_metadata":{"attr_id":61524,"endpoint_id":10,"profile_id":260,"cluster_id":513,"zcl_data_type":33}},</t>
  </si>
  <si>
    <t>time_in_state:{"type":"client","data_type":"uint16","is_readonly":true,"reporting_type":"diagnostic","zigbee_metadata":{"attr_id":61524,"endpoint_id":10,"profile_id":260,"cluster_id":513,"zcl_data_type":33}},</t>
  </si>
  <si>
    <t>time_in_state:{"type":"tko_only","data_type":"uint16","is_readonly":true,"reporting_type":"diagnostic","zigbee_metadata":{"attr_id":61524,"endpoint_id":10,"profile_id":260,"cluster_id":513,"zcl_data_type":33}</t>
  </si>
  <si>
    <t>thermo_speed:{"type":"attribute","data_type":"enum","is_readonly":true,"reporting_type":"reported","report_max":3600,"report_min":0,"enum_values":["off","low","medium","high"],"zigbee_metadata":{"attr_id":61525,"endpoint_id":10,"profile_id":260,"cluster_id":513,"zcl_data_type":48,"read_formatter":"lambdax:{0:'off',1:'low',2:'medium',3:'high'}.get(x,'unknown')"}},</t>
  </si>
  <si>
    <t>thermo_speed:{"type":"client","data_type":"enum","is_readonly":true,"reporting_type":"reported","report_max":3600,"report_min":0,"enum_values":["off","low","medium","high"],"zigbee_metadata":{"attr_id":61525,"endpoint_id":10,"profile_id":260,"cluster_id":513,"zcl_data_type":48,"read_formatter":"(x)=&gt;x={0:'off',1:'low',2:'medium',3:'high'}[x]"}},</t>
  </si>
  <si>
    <t>thermo_speed:{"type":"advanced","data_type":"enum","is_readonly":true,"reporting_type":"reported","report_max":3600,"report_min":0,"enum_values":["off","low","medium","high"],"zigbee_metadata":{"attr_id":61525,"endpoint_id":10,"profile_id":260,"cluster_id":513,"zcl_data_type":48,"read_formatter":"lambdax:{0:'off',1:'low',2:'medium',3:'high'}.get(x,'unknown')"}</t>
  </si>
  <si>
    <t>drive_to_cool:{"type":"attribute","data_type":"float","is_readonly":true,"reporting_type":"reported","report_max":3600,"report_min":0,"report_threshold":0,"zigbee_metadata":{"attr_id":61526,"endpoint_id":10,"profile_id":260,"cluster_id":513,"zcl_data_type":41,"write_formatter":"lambdax:int(round(x,2)*100)","read_formatter":"lambdax:x/100"}},</t>
  </si>
  <si>
    <t>drive_to_cool:{"type":"client","data_type":"float","is_readonly":true,"reporting_type":"reported","report_max":3600,"report_min":0,"report_threshold":0,"zigbee_metadata":{"attr_id":61526,"endpoint_id":10,"profile_id":260,"cluster_id":513,"zcl_data_type":41,"write_formatter":"(x)=&gt;x*100","read_formatter":"(x)=&gt;x/100"}},</t>
  </si>
  <si>
    <t>drive_to_cool:{"type":"advanced","data_type":"float","is_readonly":true,"reporting_type":"reported","report_max":3600,"report_min":0,"report_threshold":0,"zigbee_metadata":{"attr_id":61526,"endpoint_id":10,"profile_id":260,"cluster_id":513,"zcl_data_type":41,"write_formatter":"lambdax:int(round(x,2)*100)","read_formatter":"lambdax:x/100"}</t>
  </si>
  <si>
    <t>drive_to_heat:{"type":"attribute","data_type":"float","is_readonly":true,"reporting_type":"reported","report_max":3600,"report_min":0,"report_threshold":0,"zigbee_metadata":{"attr_id":61527,"endpoint_id":10,"profile_id":260,"cluster_id":513,"zcl_data_type":41,"write_formatter":"lambdax:int(round(x,2)*100)","read_formatter":"lambdax:x/100"}},</t>
  </si>
  <si>
    <t>drive_to_heat:{"type":"client","data_type":"float","is_readonly":true,"reporting_type":"reported","report_max":3600,"report_min":0,"report_threshold":0,"zigbee_metadata":{"attr_id":61527,"endpoint_id":10,"profile_id":260,"cluster_id":513,"zcl_data_type":41,"write_formatter":"(x)=&gt;x*100","read_formatter":"(x)=&gt;x/100"}},</t>
  </si>
  <si>
    <t>drive_to_heat:{"type":"advanced","data_type":"float","is_readonly":true,"reporting_type":"reported","report_max":3600,"report_min":0,"report_threshold":0,"zigbee_metadata":{"attr_id":61527,"endpoint_id":10,"profile_id":260,"cluster_id":513,"zcl_data_type":41,"write_formatter":"lambdax:int(round(x,2)*100)","read_formatter":"lambdax:x/100"}</t>
  </si>
  <si>
    <t>last_driving_mode:{"type":"attribute","data_type":"enum","is_readonly":true,"reporting_type":"diagnostic","enum_values":["none","cool","heat"],"zigbee_metadata":{"attr_id":61528,"endpoint_id":10,"profile_id":260,"cluster_id":513,"zcl_data_type":48,"read_formatter":"lambdax:{0:'none',3:'cool',4:'heat'}.get(x,'unknown')"}},</t>
  </si>
  <si>
    <t>last_driving_mode:{"type":"client","data_type":"enum","is_readonly":true,"reporting_type":"diagnostic","enum_values":["none","cool","heat"],"zigbee_metadata":{"attr_id":61528,"endpoint_id":10,"profile_id":260,"cluster_id":513,"zcl_data_type":48,"read_formatter":"(x)=&gt;x={0:'none',3:'cool',4:'heat'}[x]"}},</t>
  </si>
  <si>
    <t>last_driving_mode:{"type":"advanced","data_type":"enum","is_readonly":true,"reporting_type":"diagnostic","enum_values":["none","cool","heat"],"zigbee_metadata":{"attr_id":61528,"endpoint_id":10,"profile_id":260,"cluster_id":513,"zcl_data_type":48,"read_formatter":"lambdax:{0:'none',3:'cool',4:'heat'}.get(x,'unknown')"}</t>
  </si>
  <si>
    <t>last_drive_time:{"type":"attribute","data_type":"uint32","is_readonly":true,"reporting_type":"diagnostic","zigbee_metadata":{"attr_id":61529,"endpoint_id":10,"profile_id":260,"cluster_id":513,"zcl_data_type":35}},</t>
  </si>
  <si>
    <t>last_drive_time:{"type":"client","data_type":"uint32","is_readonly":true,"reporting_type":"diagnostic","zigbee_metadata":{"attr_id":61529,"endpoint_id":10,"profile_id":260,"cluster_id":513,"zcl_data_type":35}},</t>
  </si>
  <si>
    <t>last_drive_time:{"type":"advanced","data_type":"uint32","is_readonly":true,"reporting_type":"diagnostic","zigbee_metadata":{"attr_id":61529,"endpoint_id":10,"profile_id":260,"cluster_id":513,"zcl_data_type":35}</t>
  </si>
  <si>
    <t>drive_start_temp:{"type":"attribute","data_type":"float","is_readonly":true,"reporting_type":"diagnostic","zigbee_metadata":{"attr_id":61530,"endpoint_id":10,"profile_id":260,"cluster_id":513,"zcl_data_type":41,"read_formatter":"lambdax:x/100"}},</t>
  </si>
  <si>
    <t>drive_start_temp:{"type":"client","data_type":"float","is_readonly":true,"reporting_type":"diagnostic","zigbee_metadata":{"attr_id":61530,"endpoint_id":10,"profile_id":260,"cluster_id":513,"zcl_data_type":41,"read_formatter":"(x)=&gt;x/100"}},</t>
  </si>
  <si>
    <t>drive_start_temp:{"type":"advanced","data_type":"float","is_readonly":true,"reporting_type":"diagnostic","zigbee_metadata":{"attr_id":61530,"endpoint_id":10,"profile_id":260,"cluster_id":513,"zcl_data_type":41,"read_formatter":"lambdax:x/100"}</t>
  </si>
  <si>
    <t>drift_start_temp:{"type":"attribute","data_type":"float","is_readonly":true,"reporting_type":"diagnostic","zigbee_metadata":{"attr_id":61531,"endpoint_id":10,"profile_id":260,"cluster_id":513,"zcl_data_type":41,"read_formatter":"lambdax:x/100"}},</t>
  </si>
  <si>
    <t>drift_start_temp:{"type":"client","data_type":"float","is_readonly":true,"reporting_type":"diagnostic","zigbee_metadata":{"attr_id":61531,"endpoint_id":10,"profile_id":260,"cluster_id":513,"zcl_data_type":41,"read_formatter":"(x)=&gt;x/100"}},</t>
  </si>
  <si>
    <t>drift_start_temp:{"type":"advanced","data_type":"float","is_readonly":true,"reporting_type":"diagnostic","zigbee_metadata":{"attr_id":61531,"endpoint_id":10,"profile_id":260,"cluster_id":513,"zcl_data_type":41,"read_formatter":"lambdax:x/100"}</t>
  </si>
  <si>
    <t>refresh_last_cycle_time:{"type":"attribute","data_type":"uint32","is_readonly":true,"reporting_type":"diagnostic","zigbee_metadata":{"attr_id":61537,"endpoint_id":10,"profile_id":260,"cluster_id":513,"zcl_data_type":35}},</t>
  </si>
  <si>
    <t>refresh_last_cycle_time:{"type":"client","data_type":"uint32","is_readonly":true,"reporting_type":"diagnostic","zigbee_metadata":{"attr_id":61537,"endpoint_id":10,"profile_id":260,"cluster_id":513,"zcl_data_type":35}},</t>
  </si>
  <si>
    <t>refresh_last_cycle_time:{"type":"advanced","data_type":"uint32","is_readonly":true,"reporting_type":"diagnostic","zigbee_metadata":{"attr_id":61537,"endpoint_id":10,"profile_id":260,"cluster_id":513,"zcl_data_type":35}</t>
  </si>
  <si>
    <t>temp_protection_active:{"type":"attribute","data_type":"enum","is_readonly":true,"reporting_type":"reported","report_max":3600,"report_min":0,"enum_values":["none","heat","cool"],"zigbee_metadata":{"attr_id":61541,"endpoint_id":10,"profile_id":260,"cluster_id":513,"zcl_data_type":24,"read_formatter":"lambdax:{0:'none',1:'heat',2:'cool'}.get(x,'unknown')"}},</t>
  </si>
  <si>
    <t>temp_protection_active_heat:{"type":"client","data_type":"bool","is_readonly":true,"reporting_type":"reported","report_max":3600,"report_min":0,"zigbee_metadata":{"attr_id":61541,"endpoint_id":10,"profile_id":260,"cluster_id":513,"zcl_data_type":24,"read_formatter":"(x)=&gt;Boolean(x&amp;1)","bitmap":true,"bitmap_mask":1}},</t>
  </si>
  <si>
    <t>temp_protection_active_heat:{"type":"advanced","data_type":"bool","is_readonly":true,"reporting_type":"reported","report_max":3600,"report_min":0,"zigbee_metadata":{"attr_id":61541,"endpoint_id":10,"profile_id":260,"cluster_id":513,"zcl_data_type":24,"read_formatter":"lambdax:bool(x&amp;0x01)","bitmap":true,"bitmap_mask":1}</t>
  </si>
  <si>
    <t>temp_protection_return_mode:{"type":"attribute","data_type":"enum","is_readonly":true,"reporting_type":"diagnostic","enum_values":["off","auto","cool","heat"],"zigbee_metadata":{"attr_id":61542,"endpoint_id":10,"profile_id":260,"cluster_id":513,"zcl_data_type":48,"read_formatter":"lambdax:{0:'off',1:'auto',3:'cool',4:'heat'}.get(x,'unknown')"}},</t>
  </si>
  <si>
    <t>temp_protection_active_cool:{"type":"client","data_type":"bool","is_readonly":true,"reporting_type":"reported","report_max":3600,"report_min":0,"zigbee_metadata":{"attr_id":61541,"endpoint_id":10,"profile_id":260,"cluster_id":513,"zcl_data_type":24,"read_formatter":"(x)=&gt;Boolean(x&amp;2)","bitmap":true,"bitmap_mask":2}},</t>
  </si>
  <si>
    <t>temp_protection_active_cool:{"type":"advanced","data_type":"bool","is_readonly":true,"reporting_type":"reported","report_max":3600,"report_min":0,"zigbee_metadata":{"attr_id":61541,"endpoint_id":10,"profile_id":260,"cluster_id":513,"zcl_data_type":24,"read_formatter":"lambdax:bool(x&amp;0x02)","bitmap":true,"bitmap_mask":2}</t>
  </si>
  <si>
    <t>dehumidification_option:{"type":"attribute","data_type":"enum","is_readonly":false,"reporting_type":"polled","poll_freq":86400,"enum_values":["none","simple","staged","dynamic"],"default_value":"none","zigbee_metadata":{"attr_id":61543,"endpoint_id":10,"profile_id":260,"cluster_id":513,"zcl_data_type":48,"write_formatter":"lambdax:{'none':0,'simple':1,'staged':2,'dynamic':3}[x]","read_formatter":"lambdax:{0:'none',1:'simple',2:'staged',3:'dynamic'}.get(x,'unknown')"}},</t>
  </si>
  <si>
    <t>temp_protection_return_mode:{"type":"client","data_type":"enum","is_readonly":true,"reporting_type":"diagnostic","enum_values":["off","auto","cool","heat"],"zigbee_metadata":{"attr_id":61542,"endpoint_id":10,"profile_id":260,"cluster_id":513,"zcl_data_type":48,"read_formatter":"(x)=&gt;x={0:'off',1:'auto',3:'cool',4:'heat'}[x]"}},</t>
  </si>
  <si>
    <t>temp_protection_return_mode:{"type":"advanced","data_type":"enum","is_readonly":true,"reporting_type":"diagnostic","enum_values":["off","auto","cool","heat"],"zigbee_metadata":{"attr_id":61542,"endpoint_id":10,"profile_id":260,"cluster_id":513,"zcl_data_type":48,"read_formatter":"lambdax:{0:'off',1:'auto',3:'cool',4:'heat'}.get(x,'unknown')"}</t>
  </si>
  <si>
    <t>output_state:{"type":"telemetry","data_type":"enum","is_readonly":true,"reporting_type":"reported","report_max":3600,"report_min":0,"enum_values":["idle","pre_cool","cool_low","cool_med","cool_high","post_cool","refresh_cool","dehum_cool","pre_heat","heat_low","heat_med","heat_high","post_heat","refresh_heat","dehum_heat","dehum_cool_2","dehum_heat_2","manual_fan_1","manual_fan_2","manual_fan_3"],"zigbee_metadata":{"attr_id":61570,"endpoint_id":10,"profile_id":260,"cluster_id":513,"zcl_data_type":48,"read_formatter":"lambdax:{0:'idle',1:'pre_cool',2:'cool_low',3:'cool_med',4:'cool_high',5:'post_cool',6:'refresh_cool',7:'dehum_cool',8:'pre_heat',9:'heat_low',10:'heat_med',11:'heat_high',12:'post_heat',13:'refresh_heat',14:'dehum_heat',15:'dehum_cool_2',16:'dehum_heat_2',32:'manual_fan_1',33:'manual_fan_2',34:'manual_fan_3'}.get(x,'unknown')"}},</t>
  </si>
  <si>
    <t>dehumidification_option:{"type":"shared","data_type":"enum","is_readonly":false,"reporting_type":"polled","poll_freq":86400,"enum_values":["none","simple","staged","dynamic"],"default_value":"none","zigbee_metadata":{"attr_id":61543,"endpoint_id":10,"profile_id":260,"cluster_id":513,"zcl_data_type":48,"write_formatter":"(x)=&gt;x={'none':0,'simple':1,'staged':2,'dynamic':3}[x]","read_formatter":"(x)=&gt;x={0:'none',1:'simple',2:'staged',3:'dynamic'}[x]"}},</t>
  </si>
  <si>
    <t>output_state:{"type":"advanced","data_type":"enum","is_readonly":true,"reporting_type":"reported","report_max":3600,"report_min":0,"enum_values":["idle","pre_cool","cool_low","cool_med","cool_high","post_cool","refresh_cool","dehum_cool","pre_heat","heat_low","heat_med","heat_high","post_heat","refresh_heat","dehum_heat","dehum_cool_2","dehum_heat_2","manual_fan_1","manual_fan_2","manual_fan_3"],"zigbee_metadata":{"attr_id":61570,"endpoint_id":10,"profile_id":260,"cluster_id":513,"zcl_data_type":48,"read_formatter":"lambdax:{0:'idle',1:'pre_cool',2:'cool_low',3:'cool_med',4:'cool_high',5:'post_cool',6:'refresh_cool',7:'dehum_cool',8:'pre_heat',9:'heat_low',10:'heat_med',11:'heat_high',12:'post_heat',13:'refresh_heat',14:'dehum_heat',15:'dehum_cool_2',16:'dehum_heat_2',32:'manual_fan_1',33:'manual_fan_2',34:'manual_fan_3'}.get(x,'unknown')"}</t>
  </si>
  <si>
    <t>output_driving_state:{"type":"attribute","data_type":"enum","is_readonly":true,"reporting_type":"diagnostic","enum_values":["off","cool","heat"],"zigbee_metadata":{"attr_id":61571,"endpoint_id":11,"profile_id":260,"cluster_id":513,"zcl_data_type":48,"read_formatter":"lambdax:{0:'off',3:'cool',4:'heat'}.get(x,'unknown')"}},</t>
  </si>
  <si>
    <t>output_state:{"type":"telemetry","data_type":"enum","is_readonly":true,"reporting_type":"reported","report_max":3600,"report_min":0,"enum_values":["idle","pre_cool","cool_low","cool_med","cool_high","post_cool","refresh_cool","dehum_cool","pre_heat","heat_low","heat_med","heat_high","post_heat","refresh_heat","dehum_heat","dehum_cool_2","dehum_heat_2","manual_fan_1","manual_fan_2","manual_fan_3"],"zigbee_metadata":{"attr_id":61570,"endpoint_id":10,"profile_id":260,"cluster_id":513,"zcl_data_type":48,"read_formatter":"(x)=&gt;x={0:'idle',1:'pre_cool',2:'cool_low',3:'cool_med',4:'cool_high',5:'post_cool',6:'refresh_cool',7:'dehum_cool',8:'pre_heat',9:'heat_low',10:'heat_med',11:'heat_high',12:'post_heat',13:'refresh_heat',14:'dehum_heat',15:'dehum_cool_2',16:'dehum_heat_2',32:'manual_fan_1',33:'manual_fan_2',34:'manual_fan_3'}[x]"}},</t>
  </si>
  <si>
    <t>output_driving_state:{"type":"advanced","data_type":"enum","is_readonly":true,"reporting_type":"diagnostic","enum_values":["off","cool","heat"],"zigbee_metadata":{"attr_id":61571,"endpoint_id":11,"profile_id":260,"cluster_id":513,"zcl_data_type":48,"read_formatter":"lambdax:{0:'off',3:'cool',4:'heat'}.get(x,'unknown')"}</t>
  </si>
  <si>
    <t>humidistat_active_stages:{"type":"attribute","data_type":"uint8","is_readonly":true,"reporting_type":"diagnostic","report_max":3600,"report_min":0,"zigbee_metadata":{"attr_id":61572,"endpoint_id":10,"profile_id":260,"cluster_id":513,"zcl_data_type":24}},</t>
  </si>
  <si>
    <t>output_driving_state:{"type":"client","data_type":"enum","is_readonly":true,"reporting_type":"diagnostic","enum_values":["off","cool","heat"],"zigbee_metadata":{"attr_id":61571,"endpoint_id":11,"profile_id":260,"cluster_id":513,"zcl_data_type":48,"read_formatter":"(x)=&gt;x={0:'off',3:'cool',4:'heat'}[x]"}},</t>
  </si>
  <si>
    <t>relay_state:{"type":"advanced","data_type":"uint8","is_readonly":true,"reporting_type":"reported","report_max":3600,"report_min":0,"zigbee_metadata":{"attr_id":61585,"endpoint_id":10,"profile_id":260,"cluster_id":513,"zcl_data_type":24}</t>
  </si>
  <si>
    <t>relay_state:{"type":"telemetry","data_type":"uint8","is_readonly":true,"reporting_type":"reported","report_max":3600,"report_min":0,"zigbee_metadata":{"attr_id":61585,"endpoint_id":10,"profile_id":260,"cluster_id":513,"zcl_data_type":24}},</t>
  </si>
  <si>
    <t>humidistat_active_stages:{"type":"client","data_type":"uint8","is_readonly":true,"reporting_type":"diagnostic","report_max":3600,"report_min":0,"zigbee_metadata":{"attr_id":61572,"endpoint_id":10,"profile_id":260,"cluster_id":513,"zcl_data_type":24}},</t>
  </si>
  <si>
    <t>relay_w_state:{"type":"advanced","data_type":"bool","is_readonly":true,"reporting_type":"reported","report_max":3600,"report_min":0,"zigbee_metadata":{"attr_id":61585,"endpoint_id":10,"profile_id":260,"cluster_id":513,"zcl_data_type":24,"read_formatter":"lambdax:bool(x&amp;16)","bitmap":true,"bitmap_mask":16}</t>
  </si>
  <si>
    <t>relay_0_pulse_length:{"type":"attribute","data_type":"uint16","is_readonly":false,"reporting_type":"polled","poll_freq":86400,"zigbee_metadata":{"attr_id":61576,"endpoint_id":10,"profile_id":260,"cluster_id":513,"zcl_data_type":33}},</t>
  </si>
  <si>
    <t>invert_relays:{"type":"attribute","data_type":"uint8","is_readonly":false,"reporting_type":"polled","poll_freq":86400,"default_value":0,"zigbee_metadata":{"attr_id":61596,"endpoint_id":10,"profile_id":260,"cluster_id":513,"zcl_data_type":24}},</t>
  </si>
  <si>
    <t>deep_setback_active:{"type":"telemetry","data_type":"bool","is_readonly":true,"reporting_type":"reported","report_max":3600,"report_min":0,"zigbee_metadata":{"attr_id":61669,"endpoint_id":10,"profile_id":260,"cluster_id":513,"zcl_data_type":16,"read_formatter":"lambdax:bool(x)"}},</t>
  </si>
  <si>
    <t>relay_state:{"type":"client","data_type":"uint8","is_readonly":true,"reporting_type":"reported","report_max":3600,"report_min":0,"zigbee_metadata":{"attr_id":61585,"endpoint_id":10,"profile_id":260,"cluster_id":513,"zcl_data_type":24}},</t>
  </si>
  <si>
    <t>relay_y_state:{"type":"advanced","data_type":"bool","is_readonly":true,"reporting_type":"reported","report_max":3600,"report_min":0,"zigbee_metadata":{"attr_id":61585,"endpoint_id":10,"profile_id":260,"cluster_id":513,"zcl_data_type":24,"read_formatter":"lambdax:bool(x&amp;32)","bitmap":true,"bitmap_mask":32}</t>
  </si>
  <si>
    <t>relay_1_pulse_length:{"type":"attribute","data_type":"uint16","is_readonly":false,"reporting_type":"polled","poll_freq":86400,"zigbee_metadata":{"attr_id":61577,"endpoint_id":10,"profile_id":260,"cluster_id":513,"zcl_data_type":33}},</t>
  </si>
  <si>
    <t>relay_polarity:{"type":"telemetry","data_type":"uint8","is_readonly":true,"reporting_type":"polled","poll_freq":86400,"zigbee_metadata":{"attr_id":61597,"endpoint_id":10,"profile_id":260,"cluster_id":513,"zcl_data_type":24}},</t>
  </si>
  <si>
    <t>night_state:{"type":"telemetry","data_type":"bool","is_readonly":true,"reporting_type":"reported","report_max":3600,"report_min":0,"zigbee_metadata":{"attr_id":61691,"endpoint_id":10,"profile_id":260,"cluster_id":513,"zcl_data_type":16,"read_formatter":"lambdax:bool(x)"}},</t>
  </si>
  <si>
    <t>relay_w_state:{"type":"client","data_type":"bool","is_readonly":true,"reporting_type":"reported","report_max":3600,"report_min":0,"zigbee_metadata":{"attr_id":61585,"endpoint_id":10,"profile_id":260,"cluster_id":513,"zcl_data_type":24,"read_formatter":"(x)=&gt;Boolean(x&amp;16)","bitmap":true,"bitmap_mask":16}},</t>
  </si>
  <si>
    <t>relay_g_state:{"type":"advanced","data_type":"bool","is_readonly":true,"reporting_type":"reported","report_max":3600,"report_min":0,"zigbee_metadata":{"attr_id":61585,"endpoint_id":10,"profile_id":260,"cluster_id":513,"zcl_data_type":24,"read_formatter":"lambdax:bool(x&amp;8)","bitmap":true,"bitmap_mask":8}</t>
  </si>
  <si>
    <t>relay_2_pulse_length:{"type":"attribute","data_type":"uint16","is_readonly":false,"reporting_type":"polled","poll_freq":86400,"zigbee_metadata":{"attr_id":61578,"endpoint_id":10,"profile_id":260,"cluster_id":513,"zcl_data_type":33}},</t>
  </si>
  <si>
    <t>timedout_devices:{"type":"telemetry","data_type":"uint32","is_readonly":true,"reporting_type":"reported","report_max":3600,"report_min":0,"zigbee_metadata":{"attr_id":61440,"endpoint_id":10,"profile_id":260,"cluster_id":64530,"zcl_data_type":27}},</t>
  </si>
  <si>
    <t>time_to_unocc:{"type":"attribute","data_type":"uint32","is_readonly":true,"reporting_type":"diagnostic","zigbee_metadata":{"attr_id":61695,"endpoint_id":10,"profile_id":260,"cluster_id":513,"zcl_data_type":35}},</t>
  </si>
  <si>
    <t>relay_y_state:{"type":"client","data_type":"bool","is_readonly":true,"reporting_type":"reported","report_max":3600,"report_min":0,"zigbee_metadata":{"attr_id":61585,"endpoint_id":10,"profile_id":260,"cluster_id":513,"zcl_data_type":24,"read_formatter":"(x)=&gt;Boolean(x&amp;32)","bitmap":true,"bitmap_mask":32}},</t>
  </si>
  <si>
    <t>relay_ob_state:{"type":"advanced","data_type":"bool","is_readonly":true,"reporting_type":"reported","report_max":3600,"report_min":0,"zigbee_metadata":{"attr_id":61585,"endpoint_id":10,"profile_id":260,"cluster_id":513,"zcl_data_type":24,"read_formatter":"lambdax:bool(x&amp;1)","bitmap":true,"bitmap_mask":1}</t>
  </si>
  <si>
    <t>relay_3_pulse_length:{"type":"attribute","data_type":"uint16","is_readonly":false,"reporting_type":"polled","poll_freq":86400,"zigbee_metadata":{"attr_id":61579,"endpoint_id":10,"profile_id":260,"cluster_id":513,"zcl_data_type":33}},</t>
  </si>
  <si>
    <t>force_occ:{"type":"attribute","data_type":"uint16","is_readonly":false,"reporting_type":"reported","report_max":3600,"report_min":0,"report_threshold":15,"default_value":null,"zigbee_metadata":{"attr_id":61696,"endpoint_id":10,"profile_id":260,"cluster_id":513,"zcl_data_type":33}},</t>
  </si>
  <si>
    <t>relay_g_state:{"type":"client","data_type":"bool","is_readonly":true,"reporting_type":"reported","report_max":3600,"report_min":0,"zigbee_metadata":{"attr_id":61585,"endpoint_id":10,"profile_id":260,"cluster_id":513,"zcl_data_type":24,"read_formatter":"(x)=&gt;Boolean(x&amp;8)","bitmap":true,"bitmap_mask":8}},</t>
  </si>
  <si>
    <t>relay_w2_state:{"type":"advanced","data_type":"bool","is_readonly":true,"reporting_type":"reported","report_max":3600,"report_min":0,"zigbee_metadata":{"attr_id":61585,"endpoint_id":10,"profile_id":260,"cluster_id":513,"zcl_data_type":24,"read_formatter":"lambdax:bool(x&amp;2)","bitmap":true,"bitmap_mask":2}</t>
  </si>
  <si>
    <t>relay_4_pulse_length:{"type":"attribute","data_type":"uint16","is_readonly":false,"reporting_type":"polled","poll_freq":86400,"zigbee_metadata":{"attr_id":61580,"endpoint_id":10,"profile_id":260,"cluster_id":513,"zcl_data_type":33}},</t>
  </si>
  <si>
    <t>force_unocc:{"type":"attribute","data_type":"uint16","is_readonly":false,"reporting_type":"reported","report_max":3600,"report_min":0,"report_threshold":15,"default_value":null,"zigbee_metadata":{"attr_id":61697,"endpoint_id":10,"profile_id":260,"cluster_id":513,"zcl_data_type":33}},</t>
  </si>
  <si>
    <t>relay_ob_state:{"type":"client","data_type":"bool","is_readonly":true,"reporting_type":"reported","report_max":3600,"report_min":0,"zigbee_metadata":{"attr_id":61585,"endpoint_id":10,"profile_id":260,"cluster_id":513,"zcl_data_type":24,"read_formatter":"(x)=&gt;Boolean(x&amp;1)","bitmap":true,"bitmap_mask":1}},</t>
  </si>
  <si>
    <t>relay_y2_state:{"type":"advanced","data_type":"bool","is_readonly":true,"reporting_type":"reported","report_max":3600,"report_min":0,"zigbee_metadata":{"attr_id":61585,"endpoint_id":10,"profile_id":260,"cluster_id":513,"zcl_data_type":24,"read_formatter":"lambdax:bool(x&amp;4)","bitmap":true,"bitmap_mask":4}</t>
  </si>
  <si>
    <t>relay_5_pulse_length:{"type":"attribute","data_type":"uint16","is_readonly":false,"reporting_type":"polled","poll_freq":86400,"zigbee_metadata":{"attr_id":61581,"endpoint_id":10,"profile_id":260,"cluster_id":513,"zcl_data_type":33}},</t>
  </si>
  <si>
    <t>heating_tau:{"type":"attribute","data_type":"uint16","is_readonly":false,"reporting_type":"reported","report_max":3600,"report_min":0,"report_threshold":0,"default_value":null,"zigbee_metadata":{"attr_id":61700,"endpoint_id":10,"profile_id":260,"cluster_id":513,"zcl_data_type":33}},</t>
  </si>
  <si>
    <t>relay_w2_state:{"type":"client","data_type":"bool","is_readonly":true,"reporting_type":"reported","report_max":3600,"report_min":0,"zigbee_metadata":{"attr_id":61585,"endpoint_id":10,"profile_id":260,"cluster_id":513,"zcl_data_type":24,"read_formatter":"(x)=&gt;Boolean(x&amp;2)","bitmap":true,"bitmap_mask":2}},</t>
  </si>
  <si>
    <t>deep_setback_active:{"type":"basic","data_type":"bool","is_readonly":true,"reporting_type":"reported","report_max":3600,"report_min":0,"zigbee_metadata":{"attr_id":61669,"endpoint_id":10,"profile_id":260,"cluster_id":513,"zcl_data_type":16,"read_formatter":"lambdax:bool(x)"}</t>
  </si>
  <si>
    <t>heating_final_value:{"type":"attribute","data_type":"float","is_readonly":true,"reporting_type":"reported","report_max":3600,"report_min":0,"report_threshold":0,"zigbee_metadata":{"attr_id":61701,"endpoint_id":10,"profile_id":260,"cluster_id":513,"zcl_data_type":41,"write_formatter":"lambdax:int(round(x,2)*100)","read_formatter":"lambdax:x/100"}},</t>
  </si>
  <si>
    <t>relay_y2_state:{"type":"client","data_type":"bool","is_readonly":true,"reporting_type":"reported","report_max":3600,"report_min":0,"zigbee_metadata":{"attr_id":61585,"endpoint_id":10,"profile_id":260,"cluster_id":513,"zcl_data_type":24,"read_formatter":"(x)=&gt;Boolean(x&amp;4)","bitmap":true,"bitmap_mask":4}},</t>
  </si>
  <si>
    <t>night_state:{"type":"advanced","data_type":"bool","is_readonly":true,"reporting_type":"reported","report_max":3600,"report_min":0,"zigbee_metadata":{"attr_id":61691,"endpoint_id":10,"profile_id":260,"cluster_id":513,"zcl_data_type":16,"read_formatter":"lambdax:bool(x)"}</t>
  </si>
  <si>
    <t>cooling_tau:{"type":"attribute","data_type":"uint16","is_readonly":false,"reporting_type":"reported","report_max":3600,"report_min":0,"report_threshold":0,"default_value":null,"zigbee_metadata":{"attr_id":61702,"endpoint_id":10,"profile_id":260,"cluster_id":513,"zcl_data_type":33}},</t>
  </si>
  <si>
    <t>deep_setback_active:{"type":"client","data_type":"bool","is_readonly":true,"reporting_type":"reported","report_max":3600,"report_min":0,"zigbee_metadata":{"attr_id":61669,"endpoint_id":10,"profile_id":260,"cluster_id":513,"zcl_data_type":16,"read_formatter":"(x)=&gt;Boolean(x)"}},</t>
  </si>
  <si>
    <t>time_to_unocc:{"type":"advanced","data_type":"uint32","is_readonly":true,"reporting_type":"diagnostic","zigbee_metadata":{"attr_id":61695,"endpoint_id":10,"profile_id":260,"cluster_id":513,"zcl_data_type":35}</t>
  </si>
  <si>
    <t>cooling_final_value:{"type":"attribute","data_type":"float","is_readonly":true,"reporting_type":"reported","report_max":3600,"report_min":0,"report_threshold":0,"zigbee_metadata":{"attr_id":61703,"endpoint_id":10,"profile_id":260,"cluster_id":513,"zcl_data_type":41,"write_formatter":"lambdax:int(round(x,2)*100)","read_formatter":"lambdax:x/100"}},</t>
  </si>
  <si>
    <t>night_state:{"type":"client","data_type":"bool","is_readonly":true,"reporting_type":"reported","report_max":3600,"report_min":0,"zigbee_metadata":{"attr_id":61691,"endpoint_id":10,"profile_id":260,"cluster_id":513,"zcl_data_type":16,"read_formatter":"(x)=&gt;Boolean(x)"}},</t>
  </si>
  <si>
    <t>force_occ:{"type":"advanced","data_type":"uint16","is_readonly":false,"reporting_type":"reported","report_max":3600,"report_min":0,"report_threshold":15,"default_value":null,"zigbee_metadata":{"attr_id":61696,"endpoint_id":10,"profile_id":260,"cluster_id":513,"zcl_data_type":33}</t>
  </si>
  <si>
    <t>savings_in_effect:{"type":"attribute","data_type":"bool","is_readonly":true,"reporting_type":"reported","report_max":3600,"report_min":0,"zigbee_metadata":{"attr_id":61705,"endpoint_id":10,"profile_id":260,"cluster_id":513,"zcl_data_type":16,"read_formatter":"lambdax:bool(x)"}},</t>
  </si>
  <si>
    <t>time_to_unocc:{"type":"client","data_type":"uint32","is_readonly":true,"reporting_type":"diagnostic","zigbee_metadata":{"attr_id":61695,"endpoint_id":10,"profile_id":260,"cluster_id":513,"zcl_data_type":35}},</t>
  </si>
  <si>
    <t>force_unocc:{"type":"advanced","data_type":"uint16","is_readonly":false,"reporting_type":"reported","report_max":3600,"report_min":0,"report_threshold":15,"default_value":null,"zigbee_metadata":{"attr_id":61697,"endpoint_id":10,"profile_id":260,"cluster_id":513,"zcl_data_type":33}</t>
  </si>
  <si>
    <t>motion_sensor_contacts:{"type":"telemetry","data_type":"uint8","is_readonly":true,"reporting_type":"polled","poll_freq":86400,"zigbee_metadata":{"attr_id":61706,"endpoint_id":10,"profile_id":260,"cluster_id":513,"zcl_data_type":24}},</t>
  </si>
  <si>
    <t>thermo_speed_override:{"type":"attribute","data_type":"enum","is_readonly":false,"reporting_type":"diagnostic","enum_values":["normal","low","medium","high"],"default_value":null,"zigbee_metadata":{"attr_id":61514,"endpoint_id":10,"profile_id":260,"cluster_id":513,"zcl_data_type":48,"write_formatter":"lambdax:{'normal':0,'low':1,'medium':2,'high':3}[x]","read_formatter":"lambdax:{0:'normal',1:'low',2:'medium',3:'high'}.get(x,'unknown')"}},</t>
  </si>
  <si>
    <t>force_occ:{"type":"shared","data_type":"uint16","is_readonly":false,"reporting_type":"reported","report_max":3600,"report_min":0,"report_threshold":15,"default_value":null,"zigbee_metadata":{"attr_id":61696,"endpoint_id":10,"profile_id":260,"cluster_id":513,"zcl_data_type":33}},</t>
  </si>
  <si>
    <t>heating_tau:{"type":"basic","data_type":"uint16","is_readonly":false,"reporting_type":"reported","report_max":3600,"report_min":0,"report_threshold":0,"default_value":null,"zigbee_metadata":{"attr_id":61700,"endpoint_id":10,"profile_id":260,"cluster_id":513,"zcl_data_type":33}</t>
  </si>
  <si>
    <t>thermo_speed_override:{"type":"advanced","data_type":"enum","is_readonly":false,"reporting_type":"diagnostic","enum_values":["normal","low","medium","high"],"default_value":null,"zigbee_metadata":{"attr_id":61514,"endpoint_id":10,"profile_id":260,"cluster_id":513,"zcl_data_type":48,"write_formatter":"lambdax:{'normal':0,'low':1,'medium':2,'high':3}[x]","read_formatter":"lambdax:{0:'normal',1:'low',2:'medium',3:'high'}.get(x,'unknown')"}</t>
  </si>
  <si>
    <t>motion_sensor_contacts_active:{"type":"telemetry","data_type":"uint8","is_readonly":true,"reporting_type":"polled","poll_freq":86400,"zigbee_metadata":{"attr_id":61707,"endpoint_id":10,"profile_id":260,"cluster_id":513,"zcl_data_type":24}},</t>
  </si>
  <si>
    <t>force_deep_setback_mode:{"type":"attribute","data_type":"bool","is_readonly":false,"reporting_type":"reported","report_max":3600,"report_min":0,"default_value":null,"zigbee_metadata":{"attr_id":61670,"endpoint_id":10,"profile_id":260,"cluster_id":513,"zcl_data_type":16,"read_formatter":"lambdax:bool(x)","write_formatter":"lambdax:int(x)"}},</t>
  </si>
  <si>
    <t>force_unocc:{"type":"shared","data_type":"uint16","is_readonly":false,"reporting_type":"reported","report_max":3600,"report_min":0,"report_threshold":15,"default_value":null,"zigbee_metadata":{"attr_id":61697,"endpoint_id":10,"profile_id":260,"cluster_id":513,"zcl_data_type":33}},</t>
  </si>
  <si>
    <t>heating_final_value:{"type":"basic","data_type":"float","is_readonly":true,"reporting_type":"reported","report_max":3600,"report_min":0,"report_threshold":0,"zigbee_metadata":{"attr_id":61701,"endpoint_id":10,"profile_id":260,"cluster_id":513,"zcl_data_type":33,"write_formatter":"lambdax:int(round(x,2)*100)","read_formatter":"lambdax:x/100"}</t>
  </si>
  <si>
    <t>force_deep_setback_mode:{"type":"advanced","data_type":"bool","is_readonly":false,"reporting_type":"reported","report_max":3600,"report_min":0,"default_value":null,"zigbee_metadata":{"attr_id":61670,"endpoint_id":10,"profile_id":260,"cluster_id":513,"zcl_data_type":16,"read_formatter":"lambdax:bool(x)","write_formatter":"lambdax:int(x)"}</t>
  </si>
  <si>
    <t>dehumidification_stage:{"type":"telemetry","data_type":"enum","is_readonly":true,"reporting_type":"reported","report_max":3600,"report_min":0,"enum_values":["off","overdrive","stage_1","stage_2"],"zigbee_metadata":{"attr_id":61558,"endpoint_id":10,"profile_id":260,"cluster_id":513,"zcl_data_type":48,"read_formatter":"lambdax:{0:'off',1:'overdrive',2:'stage_1',3:'stage_2'}.get(x,'unknown')"}},</t>
  </si>
  <si>
    <t>heating_tau:{"type":"shared","data_type":"uint16","is_readonly":false,"reporting_type":"reported","report_max":3600,"report_min":0,"report_threshold":0,"default_value":null,"zigbee_metadata":{"attr_id":61700,"endpoint_id":10,"profile_id":260,"cluster_id":513,"zcl_data_type":33}},</t>
  </si>
  <si>
    <t>cooling_tau:{"type":"basic","data_type":"uint16","is_readonly":false,"reporting_type":"reported","report_max":3600,"report_min":0,"report_threshold":0,"default_value":null,"zigbee_metadata":{"attr_id":61702,"endpoint_id":10,"profile_id":260,"cluster_id":513,"zcl_data_type":33}</t>
  </si>
  <si>
    <t>dehumidification_stage:{"type":"advanced","data_type":"enum","is_readonly":true,"reporting_type":"reported","report_max":3600,"report_min":0,"enum_values":["off","overdrive","stage_1","stage_2"],"zigbee_metadata":{"attr_id":61558,"endpoint_id":10,"profile_id":260,"cluster_id":513,"zcl_data_type":48,"read_formatter":"lambdax:{0:'off',1:'overdrive',2:'stage_1',3:'stage_2'}.get(x,'unknown')"}</t>
  </si>
  <si>
    <t>manual_fan_time_remaining:{"type":"attribute","data_type":"uint16","is_readonly":true,"reporting_type":"diagnostic","zigbee_metadata":{"attr_id":61546,"endpoint_id":10,"profile_id":260,"cluster_id":513,"zcl_data_type":33}},</t>
  </si>
  <si>
    <t>heating_final_value:{"type":"client","data_type":"float","is_readonly":true,"reporting_type":"reported","report_max":3600,"report_min":0,"report_threshold":0,"zigbee_metadata":{"attr_id":61701,"endpoint_id":10,"profile_id":260,"cluster_id":513,"zcl_data_type":41,"write_formatter":"(x)=&gt;x*100","read_formatter":"(x)=&gt;x/100"}},</t>
  </si>
  <si>
    <t>cooling_final_value:{"type":"basic","data_type":"float","is_readonly":true,"reporting_type":"reported","report_max":3600,"report_min":0,"report_threshold":0,"zigbee_metadata":{"attr_id":61703,"endpoint_id":10,"profile_id":260,"cluster_id":513,"zcl_data_type":33,"write_formatter":"lambdax:int(round(x,2)*100)","read_formatter":"lambdax:x/100"}</t>
  </si>
  <si>
    <t>manual_fan_time_remaining:{"type":"advanced","data_type":"uint16","is_readonly":true,"reporting_type":"diagnostic","zigbee_metadata":{"attr_id":61546,"endpoint_id":10,"profile_id":260,"cluster_id":513,"zcl_data_type":33}</t>
  </si>
  <si>
    <t>humidity_units:{"type":"attribute","data_type":"enum","is_readonly":false,"reporting_type":"polled","poll_freq":86400,"enum_values":["RH","dew_point"],"zigbee_metadata":{"attr_id":61547,"endpoint_id":10,"profile_id":260,"cluster_id":513,"zcl_data_type":48,"write_formatter":"lambdax:{'RH':0,'dew_point':1}[x]","read_formatter":"lambdax:{0:'RH',1:'dew_point'}.get(x,'unknown')"}},</t>
  </si>
  <si>
    <t>cooling_tau:{"type":"shared","data_type":"uint16","is_readonly":false,"reporting_type":"reported","report_max":3600,"report_min":0,"report_threshold":0,"default_value":null,"zigbee_metadata":{"attr_id":61702,"endpoint_id":10,"profile_id":260,"cluster_id":513,"zcl_data_type":33}},</t>
  </si>
  <si>
    <t>savings_in_effect:{"type":"basic","data_type":"bool","is_readonly":true,"reporting_type":"reported","report_max":3600,"report_min":0,"zigbee_metadata":{"attr_id":61705,"endpoint_id":10,"profile_id":260,"cluster_id":513,"zcl_data_type":16,"read_formatter":"lambdax:bool(x)"}</t>
  </si>
  <si>
    <t>aquastat_required_mode:{"type":"advanced","data_type":"enum","is_readonly":true,"reporting_type":"reported","report_max":3600,"report_min":0,"enum_values":["none","chilled","heated"],"zigbee_metadata":{"attr_id":61609,"endpoint_id":10,"profile_id":260,"cluster_id":513,"zcl_data_type":48,"read_formatter":"lambdax:{0:'none',3:'chilled',4:'heated'}.get(x,'unknown')"}</t>
  </si>
  <si>
    <t>aquastat_required_mode:{"type":"attribute","data_type":"enum","is_readonly":true,"reporting_type":"reported","report_max":3600,"report_min":0,"enum_values":["none","chilled","heated"],"zigbee_metadata":{"attr_id":61609,"endpoint_id":10,"profile_id":260,"cluster_id":513,"zcl_data_type":48,"read_formatter":"lambdax:{0:'none',3:'chilled',4:'heated'}.get(x,'unknown')"}},</t>
  </si>
  <si>
    <t>cooling_final_value:{"type":"client","data_type":"float","is_readonly":true,"reporting_type":"reported","report_max":3600,"report_min":0,"report_threshold":0,"zigbee_metadata":{"attr_id":61703,"endpoint_id":10,"profile_id":260,"cluster_id":513,"zcl_data_type":41,"write_formatter":"(x)=&gt;x*100","read_formatter":"(x)=&gt;x/100"}},</t>
  </si>
  <si>
    <t>aquastat_applied_mode:{"type":"advanced","data_type":"enum","is_readonly":true,"reporting_type":"reported","report_max":3600,"report_min":0,"enum_values":["none","chilled","heated"],"zigbee_metadata":{"attr_id":61610,"endpoint_id":10,"profile_id":260,"cluster_id":513,"zcl_data_type":48,"read_formatter":"lambdax:{0:'none',3:'chilled',4:'heated'}.get(x,'unknown')"}</t>
  </si>
  <si>
    <t>aquastat_applied_mode:{"type":"attribute","data_type":"enum","is_readonly":true,"reporting_type":"reported","report_max":3600,"report_min":0,"enum_values":["none","chilled","heated"],"zigbee_metadata":{"attr_id":61610,"endpoint_id":10,"profile_id":260,"cluster_id":513,"zcl_data_type":48,"read_formatter":"lambdax:{0:'none',3:'chilled',4:'heated'}.get(x,'unknown')"}},</t>
  </si>
  <si>
    <t>savings_in_effect:{"type":"client","data_type":"bool","is_readonly":true,"reporting_type":"reported","report_max":3600,"report_min":0,"zigbee_metadata":{"attr_id":61705,"endpoint_id":10,"profile_id":260,"cluster_id":513,"zcl_data_type":16,"read_formatter":"(x)=&gt;Boolean(x)"}},</t>
  </si>
  <si>
    <t>aquastat_time_out_of_sync:{"type":"advanced","data_type":"uint8","is_readonly":true,"reporting_type":"diagnostic","zigbee_metadata":{"attr_id":61611,"endpoint_id":10,"profile_id":260,"cluster_id":513,"zcl_data_type":32}</t>
  </si>
  <si>
    <t>aquastat_time_out_of_sync:{"type":"attribute","data_type":"uint8","is_readonly":true,"reporting_type":"diagnostic","zigbee_metadata":{"attr_id":61611,"endpoint_id":10,"profile_id":260,"cluster_id":513,"zcl_data_type":32}},</t>
  </si>
  <si>
    <t>thermo_speed_override:{"type":"shared","data_type":"enum","is_readonly":false,"reporting_type":"diagnostic","enum_values":["normal","low","medium","high"],"default_value":null,"zigbee_metadata":{"attr_id":61514,"endpoint_id":10,"profile_id":260,"cluster_id":513,"zcl_data_type":48,"write_formatter":"(x)=&gt;x={'normal':0,'low':1,'medium':2,'high':3}[x]","read_formatter":"(x)=&gt;x={0:'normal',1:'low',2:'medium',3:'high'}[x]"}},</t>
  </si>
  <si>
    <t>aquastat_time_since_changeover:{"type":"advanced","data_type":"uint16","is_readonly":true,"reporting_type":"diagnostic","zigbee_metadata":{"attr_id":61612,"endpoint_id":10,"profile_id":260,"cluster_id":513,"zcl_data_type":33}</t>
  </si>
  <si>
    <t>aquastat_time_since_changeover:{"type":"attribute","data_type":"uint16","is_readonly":true,"reporting_type":"diagnostic","zigbee_metadata":{"attr_id":61612,"endpoint_id":10,"profile_id":260,"cluster_id":513,"zcl_data_type":33}},</t>
  </si>
  <si>
    <t>force_deep_setback_mode:{"type":"advanced","data_type":"bool","is_readonly":false,"reporting_type":"reported","report_max":3600,"report_min":0,"default_value":null,"zigbee_metadata":{"attr_id":61670,"endpoint_id":10,"profile_id":260,"cluster_id":513,"zcl_data_type":16,"read_formatter":"(x)=&gt;Boolean(x)","write_formatter":"(x)=&gt;+(x)"}},</t>
  </si>
  <si>
    <t>lanai_online:{"type":"basic","data_type":"uint8","is_readonly":true,"reporting_type":"reported","report_max":3600,"report_min":0,"zigbee_metadata":{"attr_id":61619,"endpoint_id":10,"profile_id":260,"cluster_id":513,"zcl_data_type":24}</t>
  </si>
  <si>
    <t>lanai_online:{"type":"attribute","data_type":"uint8","is_readonly":true,"reporting_type":"reported","report_max":3600,"report_min":0,"zigbee_metadata":{"attr_id":61619,"endpoint_id":10,"profile_id":260,"cluster_id":513,"zcl_data_type":24}},</t>
  </si>
  <si>
    <t>dehumidification_stage:{"type":"client","data_type":"enum","is_readonly":true,"reporting_type":"reported","report_max":3600,"report_min":0,"enum_values":["off","overdrive","stage_1","stage_2"],"zigbee_metadata":{"attr_id":61558,"endpoint_id":10,"profile_id":260,"cluster_id":513,"zcl_data_type":48,"read_formatter":"(x)=&gt;x={0:'off',1:'overdrive',2:'stage_1',3:'stage_2'}[x]"}},</t>
  </si>
  <si>
    <t>lanai_open:{"type":"basic","data_type":"uint8","is_readonly":true,"reporting_type":"reported","report_max":3600,"report_min":0,"zigbee_metadata":{"attr_id":61620,"endpoint_id":10,"profile_id":260,"cluster_id":513,"zcl_data_type":24}</t>
  </si>
  <si>
    <t>lanai_open:{"type":"telemetry","data_type":"uint8","is_readonly":true,"reporting_type":"reported","report_max":3600,"report_min":0,"zigbee_metadata":{"attr_id":61620,"endpoint_id":10,"profile_id":260,"cluster_id":513,"zcl_data_type":24}},</t>
  </si>
  <si>
    <t>manual_fan_time_remaining:{"type":"client","data_type":"uint16","is_readonly":true,"reporting_type":"diagnostic","zigbee_metadata":{"attr_id":61546,"endpoint_id":10,"profile_id":260,"cluster_id":513,"zcl_data_type":33}},</t>
  </si>
  <si>
    <t>lanai_open_time:{"type":"basic","data_type":"uint16","is_readonly":true,"reporting_type":"diagnostic","zigbee_metadata":{"attr_id":61621,"endpoint_id":10,"profile_id":260,"cluster_id":513,"zcl_data_type":33}</t>
  </si>
  <si>
    <t>lanai_open_time:{"type":"attribute","data_type":"uint16","is_readonly":true,"reporting_type":"diagnostic","zigbee_metadata":{"attr_id":61621,"endpoint_id":10,"profile_id":260,"cluster_id":513,"zcl_data_type":33}},</t>
  </si>
  <si>
    <t>humidity_units:{"type":"shared","data_type":"enum","is_readonly":false,"reporting_type":"polled","enum_values":["RH","dew_point"],"zigbee_metadata":{"attr_id":61547,"endpoint_id":10,"profile_id":260,"cluster_id":513,"zcl_data_type":48,"write_formatter":"(x)=&gt;x={'RH':0,'dew_point':1}[x]","read_formatter":"(x)=&gt;x={0:'RH',1:'dew_point'}[x]"}},</t>
  </si>
  <si>
    <t>lanai_activated:{"type":"basic","data_type":"bool","is_readonly":true,"reporting_type":"reported","report_max":3600,"report_min":0,"zigbee_metadata":{"attr_id":61622,"endpoint_id":10,"profile_id":260,"cluster_id":513,"zcl_data_type":16,"read_formatter":"lambdax:bool(x)"}</t>
  </si>
  <si>
    <t>lanai_activated:{"type":"telemetry","data_type":"bool","is_readonly":true,"reporting_type":"reported","report_max":3600,"report_min":0,"zigbee_metadata":{"attr_id":61622,"endpoint_id":10,"profile_id":260,"cluster_id":513,"zcl_data_type":16,"read_formatter":"lambdax:bool(x)"}},</t>
  </si>
  <si>
    <t>aquastat_required_mode:{"type":"client","data_type":"enum","is_readonly":true,"reporting_type":"reported","report_max":3600,"report_min":0,"enum_values":["none","chilled","heated"],"zigbee_metadata":{"attr_id":61609,"endpoint_id":10,"profile_id":260,"cluster_id":513,"zcl_data_type":48,"read_formatter":"(x)=&gt;x={0:'none',3:'chilled',4:'heated'}[x]"}},</t>
  </si>
  <si>
    <t>esp_boot_count:{"type":"basic","data_type":"uint32","is_readonly":true,"reporting_type":"polled","poll_freq":86400</t>
  </si>
  <si>
    <t>esp_boot_count:{"type":"attribute","data_type":"uint32","is_readonly":true,"reporting_type":"polled","poll_freq":86400},</t>
  </si>
  <si>
    <t>aquastat_applied_mode:{"type":"client","data_type":"enum","is_readonly":true,"reporting_type":"reported","report_max":3600,"report_min":0,"enum_values":["none","chilled","heated"],"zigbee_metadata":{"attr_id":61610,"endpoint_id":10,"profile_id":260,"cluster_id":513,"zcl_data_type":48,"read_formatter":"(x)=&gt;x={0:'none',3:'chilled',4:'heated'}[x]"}},</t>
  </si>
  <si>
    <t>esp_boot_count_power:{"type":"advanced","data_type":"uint32","is_readonly":true,"reporting_type":"polled","poll_freq":86400</t>
  </si>
  <si>
    <t>esp_boot_count_power:{"type":"attribute","data_type":"uint32","is_readonly":true,"reporting_type":"polled","poll_freq":86400},</t>
  </si>
  <si>
    <t>aquastat_time_out_of_sync:{"type":"client","data_type":"uint8","is_readonly":true,"reporting_type":"diagnostic","zigbee_metadata":{"attr_id":61611,"endpoint_id":10,"profile_id":260,"cluster_id":513,"zcl_data_type":32}},</t>
  </si>
  <si>
    <t>esp_boot_count_brownout:{"type":"advanced","data_type":"uint32","is_readonly":true,"reporting_type":"polled","poll_freq":86400</t>
  </si>
  <si>
    <t>esp_boot_count_brownout:{"type":"attribute","data_type":"uint32","is_readonly":true,"reporting_type":"polled","poll_freq":86400},</t>
  </si>
  <si>
    <t>aquastat_time_since_changeover:{"type":"client","data_type":"uint16","is_readonly":true,"reporting_type":"diagnostic","zigbee_metadata":{"attr_id":61612,"endpoint_id":10,"profile_id":260,"cluster_id":513,"zcl_data_type":33}},</t>
  </si>
  <si>
    <t>esp_boot_count_watchdog:{"type":"advanced","data_type":"uint32","is_readonly":true,"reporting_type":"polled","poll_freq":86400</t>
  </si>
  <si>
    <t>esp_boot_count_watchdog:{"type":"attribute","data_type":"uint32","is_readonly":true,"reporting_type":"polled","poll_freq":86400},</t>
  </si>
  <si>
    <t>lanai_online:{"type":"client","data_type":"uint8","is_readonly":true,"reporting_type":"reported","report_max":3600,"report_min":0,"zigbee_metadata":{"attr_id":61619,"endpoint_id":10,"profile_id":260,"cluster_id":513,"zcl_data_type":24}},</t>
  </si>
  <si>
    <t>esp_boot_count_wifi:{"type":"advanced","data_type":"uint32","is_readonly":true,"reporting_type":"polled","poll_freq":86400</t>
  </si>
  <si>
    <t>esp_boot_count_wifi:{"type":"attribute","data_type":"uint32","is_readonly":true,"reporting_type":"polled","poll_freq":86400},</t>
  </si>
  <si>
    <t>local_temp_calibration:{"type":"advanced","data_type":"float","is_readonly":false,"reporting_type":"reported","report_max":3600,"report_min":0,"report_threshold":0,"max":5.0,"min":-5.0,"decimal_places":2,"default_value":null,"zigbee_metadata":{"attr_id":16,"endpoint_id":10,"profile_id":260,"cluster_id":513,"zcl_data_type":41,"write_formatter":"lambdax:int(round(x,2)*100)","read_formatter":"lambdax:x/100"}</t>
  </si>
  <si>
    <t>local_temp_calibration:{"type":"attribute","data_type":"float","is_readonly":false,"reporting_type":"reported","report_max":3600,"report_min":0,"report_threshold":0,"max":5.0,"min":-5.0,"decimal_places":2,"default_value":null,"zigbee_metadata":{"attr_id":16,"endpoint_id":10,"profile_id":260,"cluster_id":513,"zcl_data_type":41,"write_formatter":"lambdax:int(round(x,2)*100)","read_formatter":"lambdax:x/100"}},</t>
  </si>
  <si>
    <t>lanai_open_time:{"type":"client","data_type":"uint16","is_readonly":true,"reporting_type":"diagnostic","zigbee_metadata":{"attr_id":61621,"endpoint_id":10,"profile_id":260,"cluster_id":513,"zcl_data_type":33}},</t>
  </si>
  <si>
    <t>occupancy_sensor_state:{"type":"advanced","data_type":"uint32","is_readonly":true,"reporting_type":"reported","report_max":3600,"report_min":0,"zigbee_metadata":{"attr_id":61665,"endpoint_id":10,"profile_id":260,"cluster_id":513,"zcl_data_type":27}</t>
  </si>
  <si>
    <t>occupancy_sensor_state:{"type":"telemetry","data_type":"uint32","is_readonly":true,"reporting_type":"reported","report_max":3600,"report_min":0,"zigbee_metadata":{"attr_id":61665,"endpoint_id":10,"profile_id":260,"cluster_id":513,"zcl_data_type":27}},</t>
  </si>
  <si>
    <t>lanai_activated:{"type":"telemetry","data_type":"bool","is_readonly":true,"reporting_type":"reported","report_max":3600,"report_min":0,"zigbee_metadata":{"attr_id":61622,"endpoint_id":10,"profile_id":260,"cluster_id":513,"zcl_data_type":16,"read_formatter":"(x)=&gt;Boolean(x)"}},</t>
  </si>
  <si>
    <t>occupancy_sensor_offline:{"type":"advanced","data_type":"uint32","is_readonly":true,"reporting_type":"reported","report_max":3600,"report_min":0,"zigbee_metadata":{"attr_id":61666,"endpoint_id":10,"profile_id":260,"cluster_id":513,"zcl_data_type":27}</t>
  </si>
  <si>
    <t>occupancy_sensor_offline:{"type":"attribute","data_type":"uint32","is_readonly":true,"reporting_type":"reported","report_max":3600,"report_min":0,"zigbee_metadata":{"attr_id":61666,"endpoint_id":10,"profile_id":260,"cluster_id":513,"zcl_data_type":27}},</t>
  </si>
  <si>
    <t>esp_boot_count:{"type":"client","data_type":"uint32","is_readonly":true,"reporting_type":"polled","poll_freq":86400},</t>
  </si>
  <si>
    <t>heat_setpoint_min:{"type":"basic","data_type":"float","is_readonly":false,"reporting_type":"polled","poll_freq":86400,"max":35.0,"min":0.0,"decimal_places":2,"default_value":15.56,"zigbee_metadata":{"attr_id":21,"endpoint_id":10,"profile_id":260,"cluster_id":513,"zcl_data_type":41,"write_formatter":"lambdax:int(round(x,2)*100)","read_formatter":"lambdax:x/100"}</t>
  </si>
  <si>
    <t>local_temp_calibration:{"type":"attribute","data_type":"float","is_readonly":false,"reporting_type":"reported","report_max":3600,"report_min":0,"report_threshold":0,"max":5,"min":-5,"decimal_places":2,"default_value":null,"zigbee_metadata":{"attr_id":16,"endpoint_id":10,"profile_id":260,"cluster_id":513,"zcl_data_type":41,"write_formatter":"lambdax:int(round(x,2)*100)","read_formatter":"lambdax:x/100"}},</t>
  </si>
  <si>
    <t>occupancy_devices:{"type":"attribute","data_type":"uint32","is_readonly":false,"reporting_type":"polled","poll_freq":86400,"default_value":null,"zigbee_metadata":{"attr_id":61664,"endpoint_id":10,"profile_id":260,"cluster_id":513,"zcl_data_type":27}},</t>
  </si>
  <si>
    <t>heat_setpoint_min:{"type":"attribute","data_type":"float","is_readonly":false,"reporting_type":"polled","poll_freq":86400,"max":35.0,"min":0.0,"decimal_places":2,"default_value":15.56,"zigbee_metadata":{"attr_id":21,"endpoint_id":10,"profile_id":260,"cluster_id":513,"zcl_data_type":41,"write_formatter":"lambdax:int(round(x,2)*100)","read_formatter":"lambdax:x/100"}},</t>
  </si>
  <si>
    <t>esp_boot_count_power:{"type":"client","data_type":"uint32","is_readonly":true,"reporting_type":"polled","poll_freq":86400},</t>
  </si>
  <si>
    <t>heat_setpoint_max:{"type":"basic","data_type":"float","is_readonly":false,"reporting_type":"polled","poll_freq":86400,"max":35.0,"min":0.0,"decimal_places":2,"default_value":26.67,"zigbee_metadata":{"attr_id":22,"endpoint_id":10,"profile_id":260,"cluster_id":513,"zcl_data_type":41,"write_formatter":"lambdax:int(round(x,2)*100)","read_formatter":"lambdax:x/100"}</t>
  </si>
  <si>
    <t>occupancy_devices:{"type":"attribute","data_type":"uint32","is_readonly":false,"reporting_type":"polled","poll_freq":86400,"default_value":0,"zigbee_metadata":{"attr_id":61664,"endpoint_id":10,"profile_id":260,"cluster_id":513,"zcl_data_type":27}},</t>
  </si>
  <si>
    <t>heat_setpoint_max:{"type":"attribute","data_type":"float","is_readonly":false,"reporting_type":"polled","poll_freq":86400,"max":35.0,"min":0.0,"decimal_places":2,"default_value":26.67,"zigbee_metadata":{"attr_id":22,"endpoint_id":10,"profile_id":260,"cluster_id":513,"zcl_data_type":41,"write_formatter":"lambdax:int(round(x,2)*100)","read_formatter":"lambdax:x/100"}},</t>
  </si>
  <si>
    <t>esp_boot_count_brownout:{"type":"client","data_type":"uint32","is_readonly":true,"reporting_type":"polled","poll_freq":86400},</t>
  </si>
  <si>
    <t>cool_setpoint_min:{"type":"basic","data_type":"float","is_readonly":false,"reporting_type":"polled","poll_freq":86400,"max":35.0,"min":0.0,"decimal_places":2,"default_value":21.11,"zigbee_metadata":{"attr_id":23,"endpoint_id":10,"profile_id":260,"cluster_id":513,"zcl_data_type":41,"write_formatter":"lambdax:int(round(x,2)*100)","read_formatter":"lambdax:x/100"}</t>
  </si>
  <si>
    <t>cool_setpoint_min:{"type":"attribute","data_type":"float","is_readonly":false,"reporting_type":"polled","poll_freq":86400,"max":35.0,"min":0.0,"decimal_places":2,"default_value":21.11,"zigbee_metadata":{"attr_id":23,"endpoint_id":10,"profile_id":260,"cluster_id":513,"zcl_data_type":41,"write_formatter":"lambdax:int(round(x,2)*100)","read_formatter":"lambdax:x/100"}},</t>
  </si>
  <si>
    <t>esp_boot_count_watchdog:{"type":"client","data_type":"uint32","is_readonly":true,"reporting_type":"polled","poll_freq":86400},</t>
  </si>
  <si>
    <t>cool_setpoint_max:{"type":"basic","data_type":"float","is_readonly":false,"reporting_type":"polled","poll_freq":86400,"max":35.0,"min":0.0,"decimal_places":2,"default_value":26.67,"zigbee_metadata":{"attr_id":24,"endpoint_id":10,"profile_id":260,"cluster_id":513,"zcl_data_type":41,"write_formatter":"lambdax:int(round(x,2)*100)","read_formatter":"lambdax:x/100"}</t>
  </si>
  <si>
    <t>cool_setpoint_max:{"type":"attribute","data_type":"float","is_readonly":false,"reporting_type":"polled","poll_freq":86400,"max":35.0,"min":0.0,"decimal_places":2,"default_value":26.67,"zigbee_metadata":{"attr_id":24,"endpoint_id":10,"profile_id":260,"cluster_id":513,"zcl_data_type":41,"write_formatter":"lambdax:int(round(x,2)*100)","read_formatter":"lambdax:x/100"}},</t>
  </si>
  <si>
    <t>esp_boot_count_wifi:{"type":"client","data_type":"uint32","is_readonly":true,"reporting_type":"polled","poll_freq":86400},</t>
  </si>
  <si>
    <t>cool_mode_available:{"type":"basic","data_type":"bool","is_readonly":false,"reporting_type":"polled","poll_freq":86400,"default_value":false,"zigbee_metadata":{"attr_id":61504,"endpoint_id":10,"profile_id":260,"cluster_id":513,"zcl_data_type":24,"write_formatter":"lambdax:1ifxelse0","read_formatter":"lambdax:bool(x&amp;1)","bitmap":true,"bitmap_mask":1}</t>
  </si>
  <si>
    <t>heat_setpoint_min:{"type":"attribute","data_type":"float","is_readonly":false,"reporting_type":"polled","poll_freq":86400,"max":35,"min":0,"decimal_places":2,"default_value":15.56,"zigbee_metadata":{"attr_id":21,"endpoint_id":10,"profile_id":260,"cluster_id":513,"zcl_data_type":41,"write_formatter":"lambdax:int(round(x,2)*100)","read_formatter":"lambdax:x/100"}},</t>
  </si>
  <si>
    <t>modes_available:{"type":"attribute","data_type":"enum","is_readonly":false,"reporting_type":"polled","poll_freq":86400,"enum_values":["cool_only","heat_only","cool+heat","auto"],"default_value":"cool+heat","zigbee_metadata":{"attr_id":61504,"endpoint_id":10,"profile_id":260,"cluster_id":513,"zcl_data_type":24,"write_formatter":"lambdax:{'cool_only':1,'heat_only':2,'cool+heat':3,'auto':4}[x]","read_formatter":"lambdax:{1:'cool_only',2:'heat_only',3:'cool+heat',4:'auto'}.get(x,'unknown')"}},</t>
  </si>
  <si>
    <t>local_temp_calibration:{"type":"shared","data_type":"float","is_readonly":false,"reporting_type":"reported","report_max":3600,"report_min":0,"report_threshold":0,"max":5.0,"min":-5.0,"decimal_places":2,"default_value":null,"zigbee_metadata":{"attr_id":16,"endpoint_id":10,"profile_id":260,"cluster_id":513,"zcl_data_type":41,"write_formatter":"(x)=&gt;x*100","read_formatter":"(x)=&gt;x/100"}},</t>
  </si>
  <si>
    <t>heat_mode_available:{"type":"basic","data_type":"bool","is_readonly":false,"reporting_type":"polled","poll_freq":86400,"default_value":false,"zigbee_metadata":{"attr_id":61504,"endpoint_id":10,"profile_id":260,"cluster_id":513,"zcl_data_type":24,"write_formatter":"lambdax:2ifxelse0","read_formatter":"lambdax:bool(x&amp;2)","bitmap":true,"bitmap_mask":2}</t>
  </si>
  <si>
    <t>heat_setpoint_max:{"type":"attribute","data_type":"float","is_readonly":false,"reporting_type":"polled","poll_freq":86400,"max":35,"min":0,"decimal_places":2,"default_value":26.67,"zigbee_metadata":{"attr_id":22,"endpoint_id":10,"profile_id":260,"cluster_id":513,"zcl_data_type":41,"write_formatter":"lambdax:int(round(x,2)*100)","read_formatter":"lambdax:x/100"}},</t>
  </si>
  <si>
    <t>cool_drive_min:{"type":"attribute","data_type":"float","is_readonly":false,"reporting_type":"polled","poll_freq":86400,"max":35.0,"min":0.0,"decimal_places":2,"default_value":10.0,"zigbee_metadata":{"attr_id":61505,"endpoint_id":10,"profile_id":260,"cluster_id":513,"zcl_data_type":41,"write_formatter":"lambdax:int(round(x,2)*100)","read_formatter":"lambdax:x/100"}},</t>
  </si>
  <si>
    <t>auto_mode_available:{"type":"basic","data_type":"bool","is_readonly":false,"reporting_type":"polled","poll_freq":86400,"default_value":false,"zigbee_metadata":{"attr_id":61504,"endpoint_id":10,"profile_id":260,"cluster_id":513,"zcl_data_type":24,"write_formatter":"lambdax:4ifxelse0","read_formatter":"lambdax:bool(x&amp;4)","bitmap":true,"bitmap_mask":4}</t>
  </si>
  <si>
    <t>cool_setpoint_min:{"type":"attribute","data_type":"float","is_readonly":false,"reporting_type":"polled","poll_freq":86400,"max":35,"min":0,"decimal_places":2,"default_value":21.11,"zigbee_metadata":{"attr_id":23,"endpoint_id":10,"profile_id":260,"cluster_id":513,"zcl_data_type":41,"write_formatter":"lambdax:int(round(x,2)*100)","read_formatter":"lambdax:x/100"}},</t>
  </si>
  <si>
    <t>heat_drive_max:{"type":"attribute","data_type":"float","is_readonly":false,"reporting_type":"polled","poll_freq":86400,"max":35.0,"min":0.0,"decimal_places":2,"default_value":32.0,"zigbee_metadata":{"attr_id":61506,"endpoint_id":10,"profile_id":260,"cluster_id":513,"zcl_data_type":41,"write_formatter":"lambdax:int(round(x,2)*100)","read_formatter":"lambdax:x/100"}},</t>
  </si>
  <si>
    <t>occupancy_sensor_offline:{"type":"client","data_type":"uint32","is_readonly":true,"reporting_type":"reported","report_max":3600,"report_min":0,"zigbee_metadata":{"attr_id":61666,"endpoint_id":10,"profile_id":260,"cluster_id":513,"zcl_data_type":27}},</t>
  </si>
  <si>
    <t>cool_drive_min:{"type":"advanced","data_type":"float","is_readonly":false,"reporting_type":"polled","poll_freq":86400,"max":35.0,"min":0.0,"decimal_places":2,"default_value":10.0,"zigbee_metadata":{"attr_id":61505,"endpoint_id":10,"profile_id":260,"cluster_id":513,"zcl_data_type":41,"write_formatter":"lambdax:int(round(x,2)*100)","read_formatter":"lambdax:x/100"}</t>
  </si>
  <si>
    <t>cool_setpoint_max:{"type":"attribute","data_type":"float","is_readonly":false,"reporting_type":"polled","poll_freq":86400,"max":35,"min":0,"decimal_places":2,"default_value":26.67,"zigbee_metadata":{"attr_id":24,"endpoint_id":10,"profile_id":260,"cluster_id":513,"zcl_data_type":41,"write_formatter":"lambdax:int(round(x,2)*100)","read_formatter":"lambdax:x/100"}},</t>
  </si>
  <si>
    <t>setback_min:{"type":"attribute","data_type":"float","is_readonly":false,"reporting_type":"polled","poll_freq":86400,"max":35.0,"min":0.0,"decimal_places":2,"default_value":15.56,"zigbee_metadata":{"attr_id":61507,"endpoint_id":10,"profile_id":260,"cluster_id":513,"zcl_data_type":41,"write_formatter":"lambdax:int(round(x,2)*100)","read_formatter":"lambdax:x/100"}},</t>
  </si>
  <si>
    <t>heat_setpoint_min:{"type":"shared","data_type":"float","is_readonly":false,"reporting_type":"polled","poll_freq":86400,"max":35.0,"min":0.0,"decimal_places":2,"default_value":15.56,"zigbee_metadata":{"attr_id":21,"endpoint_id":10,"profile_id":260,"cluster_id":513,"zcl_data_type":41,"write_formatter":"(x)=&gt;x*100","read_formatter":"(x)=&gt;x/100"}},</t>
  </si>
  <si>
    <t>heat_drive_max:{"type":"advanced","data_type":"float","is_readonly":false,"reporting_type":"polled","poll_freq":86400,"max":35.0,"min":0.0,"decimal_places":2,"default_value":32.0,"zigbee_metadata":{"attr_id":61506,"endpoint_id":10,"profile_id":260,"cluster_id":513,"zcl_data_type":41,"write_formatter":"lambdax:int(round(x,2)*100)","read_formatter":"lambdax:x/100"}</t>
  </si>
  <si>
    <t>setback_max:{"type":"attribute","data_type":"float","is_readonly":false,"reporting_type":"polled","poll_freq":86400,"max":35.0,"min":0.0,"decimal_places":2,"default_value":27.78,"zigbee_metadata":{"attr_id":61508,"endpoint_id":10,"profile_id":260,"cluster_id":513,"zcl_data_type":41,"write_formatter":"lambdax:int(round(x,2)*100)","read_formatter":"lambdax:x/100"}},</t>
  </si>
  <si>
    <t>heat_setpoint_max:{"type":"shared","data_type":"float","is_readonly":false,"reporting_type":"polled","poll_freq":86400,"max":35.0,"min":0.0,"decimal_places":2,"default_value":26.67,"zigbee_metadata":{"attr_id":22,"endpoint_id":10,"profile_id":260,"cluster_id":513,"zcl_data_type":41,"write_formatter":"(x)=&gt;x*100","read_formatter":"(x)=&gt;x/100"}},</t>
  </si>
  <si>
    <t>setback_min:{"type":"basic","data_type":"float","is_readonly":false,"reporting_type":"polled","poll_freq":86400,"max":35.0,"min":0.0,"decimal_places":2,"default_value":15.56,"zigbee_metadata":{"attr_id":61507,"endpoint_id":10,"profile_id":260,"cluster_id":513,"zcl_data_type":41,"write_formatter":"lambdax:int(round(x,2)*100)","read_formatter":"lambdax:x/100"}</t>
  </si>
  <si>
    <t>cool_drive_min:{"type":"attribute","data_type":"float","is_readonly":false,"reporting_type":"polled","poll_freq":86400,"max":35,"min":0,"decimal_places":2,"default_value":10,"zigbee_metadata":{"attr_id":61505,"endpoint_id":10,"profile_id":260,"cluster_id":513,"zcl_data_type":41,"write_formatter":"lambdax:int(round(x,2)*100)","read_formatter":"lambdax:x/100"}},</t>
  </si>
  <si>
    <t>deep_setback_min:{"type":"attribute","data_type":"float","is_readonly":false,"reporting_type":"polled","poll_freq":86400,"max":35.0,"min":0.0,"decimal_places":2,"default_value":15.56,"zigbee_metadata":{"attr_id":61509,"endpoint_id":10,"profile_id":260,"cluster_id":513,"zcl_data_type":41,"write_formatter":"lambdax:int(round(x,2)*100)","read_formatter":"lambdax:x/100"}},</t>
  </si>
  <si>
    <t>cool_setpoint_min:{"type":"shared","data_type":"float","is_readonly":false,"reporting_type":"polled","poll_freq":86400,"max":35.0,"min":0.0,"decimal_places":2,"default_value":21.11,"zigbee_metadata":{"attr_id":23,"endpoint_id":10,"profile_id":260,"cluster_id":513,"zcl_data_type":41,"write_formatter":"(x)=&gt;x*100","read_formatter":"(x)=&gt;x/100"}},</t>
  </si>
  <si>
    <t>setback_max:{"type":"basic","data_type":"float","is_readonly":false,"reporting_type":"polled","poll_freq":86400,"max":35.0,"min":0.0,"decimal_places":2,"default_value":27.78,"zigbee_metadata":{"attr_id":61508,"endpoint_id":10,"profile_id":260,"cluster_id":513,"zcl_data_type":41,"write_formatter":"lambdax:int(round(x,2)*100)","read_formatter":"lambdax:x/100"}</t>
  </si>
  <si>
    <t>heat_drive_max:{"type":"attribute","data_type":"float","is_readonly":false,"reporting_type":"polled","poll_freq":86400,"max":35,"min":0,"decimal_places":2,"default_value":32,"zigbee_metadata":{"attr_id":61506,"endpoint_id":10,"profile_id":260,"cluster_id":513,"zcl_data_type":41,"write_formatter":"lambdax:int(round(x,2)*100)","read_formatter":"lambdax:x/100"}},</t>
  </si>
  <si>
    <t>deep_setback_max:{"type":"attribute","data_type":"float","is_readonly":false,"reporting_type":"polled","poll_freq":86400,"max":35.0,"min":0.0,"decimal_places":2,"default_value":27.78,"zigbee_metadata":{"attr_id":61510,"endpoint_id":10,"profile_id":260,"cluster_id":513,"zcl_data_type":41,"write_formatter":"lambdax:int(round(x,2)*100)","read_formatter":"lambdax:x/100"}},</t>
  </si>
  <si>
    <t>cool_setpoint_max:{"type":"shared","data_type":"float","is_readonly":false,"reporting_type":"polled","poll_freq":86400,"max":35.0,"min":0.0,"decimal_places":2,"default_value":26.67,"zigbee_metadata":{"attr_id":24,"endpoint_id":10,"profile_id":260,"cluster_id":513,"zcl_data_type":41,"write_formatter":"(x)=&gt;x*100","read_formatter":"(x)=&gt;x/100"}},</t>
  </si>
  <si>
    <t>deep_setback_min:{"type":"basic","data_type":"float","is_readonly":false,"reporting_type":"polled","poll_freq":86400,"max":35.0,"min":0.0,"decimal_places":2,"default_value":15.56,"zigbee_metadata":{"attr_id":61509,"endpoint_id":10,"profile_id":260,"cluster_id":513,"zcl_data_type":41,"write_formatter":"lambdax:int(round(x,2)*100)","read_formatter":"lambdax:x/100"}</t>
  </si>
  <si>
    <t>setback_min:{"type":"attribute","data_type":"float","is_readonly":false,"reporting_type":"polled","poll_freq":86400,"max":35,"min":0,"decimal_places":2,"default_value":15.56,"zigbee_metadata":{"attr_id":61507,"endpoint_id":10,"profile_id":260,"cluster_id":513,"zcl_data_type":41,"write_formatter":"lambdax:int(round(x,2)*100)","read_formatter":"lambdax:x/100"}},</t>
  </si>
  <si>
    <t>display_setpoint:{"type":"combined","data_type":"float","is_readonly":false,"reporting_type":"reported","report_max":3600,"report_min":0,"report_threshold":0,"decimal_places":2,"bound_attr_max":"cool_setpoint_max","bound_attr_min":"heat_setpoint_min","default_value":null,"zigbee_metadata":{"attr_id":61511,"endpoint_id":10,"profile_id":260,"cluster_id":513,"zcl_data_type":41,"write_formatter":"lambdax:int(round(x,2)*100)","read_formatter":"lambdax:x/100"}},</t>
  </si>
  <si>
    <t>cool_mode_available:{"type":"shared","data_type":"bool","is_readonly":false,"reporting_type":"polled","poll_freq":86400,"default_value":false,"zigbee_metadata":{"attr_id":61504,"endpoint_id":10,"profile_id":260,"cluster_id":513,"zcl_data_type":24,"write_formatter":"(x)=&gt;+(x)","read_formatter":"(x)=&gt;Boolean(x&amp;1)","bitmap":true,"bitmap_mask":1}},</t>
  </si>
  <si>
    <t>deep_setback_max:{"type":"basic","data_type":"float","is_readonly":false,"reporting_type":"polled","poll_freq":86400,"max":35.0,"min":0.0,"decimal_places":2,"default_value":27.78,"zigbee_metadata":{"attr_id":61510,"endpoint_id":10,"profile_id":260,"cluster_id":513,"zcl_data_type":41,"write_formatter":"lambdax:int(round(x,2)*100)","read_formatter":"lambdax:x/100"}</t>
  </si>
  <si>
    <t>setback_max:{"type":"attribute","data_type":"float","is_readonly":false,"reporting_type":"polled","poll_freq":86400,"max":35,"min":0,"decimal_places":2,"default_value":27.78,"zigbee_metadata":{"attr_id":61508,"endpoint_id":10,"profile_id":260,"cluster_id":513,"zcl_data_type":41,"write_formatter":"lambdax:int(round(x,2)*100)","read_formatter":"lambdax:x/100"}},</t>
  </si>
  <si>
    <t>changeover_hysteresis:{"type":"attribute","data_type":"float","is_readonly":false,"reporting_type":"polled","poll_freq":86400,"max":10.0,"min":1.0,"decimal_places":2,"default_value":2.0,"zigbee_metadata":{"attr_id":61512,"endpoint_id":10,"profile_id":260,"cluster_id":513,"zcl_data_type":33,"write_formatter":"lambdax:int(round(x,2)*100)","read_formatter":"lambdax:x/100"}},</t>
  </si>
  <si>
    <t>heat_mode_available:{"type":"shared","data_type":"bool","is_readonly":false,"reporting_type":"polled","poll_freq":86400,"default_value":false,"zigbee_metadata":{"attr_id":61504,"endpoint_id":10,"profile_id":260,"cluster_id":513,"zcl_data_type":24,"write_formatter":"(x)=&gt;x={false:0,true:2}[x]","read_formatter":"(x)=&gt;Boolean(x&amp;2)","bitmap":true,"bitmap_mask":2}},</t>
  </si>
  <si>
    <t>display_setpoint:{"type":"basic","data_type":"float","is_readonly":false,"reporting_type":"reported","report_max":3600,"report_min":0,"report_threshold":0,"decimal_places":2,"bound_attr_max":"cool_setpoint_max","bound_attr_min":"heat_setpoint_min","default_value":null,"zigbee_metadata":{"attr_id":61511,"endpoint_id":10,"profile_id":260,"cluster_id":513,"zcl_data_type":41,"write_formatter":"lambdax:int(round(x,2)*100)","read_formatter":"lambdax:x/100"}</t>
  </si>
  <si>
    <t>deep_setback_min:{"type":"attribute","data_type":"float","is_readonly":false,"reporting_type":"polled","poll_freq":86400,"max":35,"min":0,"decimal_places":2,"default_value":15.56,"zigbee_metadata":{"attr_id":61509,"endpoint_id":10,"profile_id":260,"cluster_id":513,"zcl_data_type":41,"write_formatter":"lambdax:int(round(x,2)*100)","read_formatter":"lambdax:x/100"}},</t>
  </si>
  <si>
    <t>dehumidification_setpoint:{"type":"attribute","data_type":"uint8","is_readonly":false,"reporting_type":"polled","poll_freq":86400,"max":100,"min":0,"default_value":null,"zigbee_metadata":{"attr_id":16,"endpoint_id":10,"profile_id":260,"cluster_id":515,"zcl_data_type":32}},</t>
  </si>
  <si>
    <t>auto_mode_available:{"type":"shared","data_type":"bool","is_readonly":false,"reporting_type":"polled","poll_freq":86400,"default_value":false,"zigbee_metadata":{"attr_id":61504,"endpoint_id":10,"profile_id":260,"cluster_id":513,"zcl_data_type":24,"write_formatter":"(x)=&gt;x={false:0,true:4}[x]","read_formatter":"(x)=&gt;Boolean(x&amp;4)","bitmap":true,"bitmap_mask":4}},</t>
  </si>
  <si>
    <t>changeover_hysteresis:{"type":"advanced","data_type":"float","is_readonly":false,"reporting_type":"polled","poll_freq":86400,"max":10.0,"min":1.0,"decimal_places":2,"default_value":2.0,"zigbee_metadata":{"attr_id":61512,"endpoint_id":10,"profile_id":260,"cluster_id":513,"zcl_data_type":33,"write_formatter":"lambdax:int(round(x,2)*100)","read_formatter":"lambdax:x/100"}</t>
  </si>
  <si>
    <t>deep_setback_max:{"type":"attribute","data_type":"float","is_readonly":false,"reporting_type":"polled","poll_freq":86400,"max":35,"min":0,"decimal_places":2,"default_value":27.78,"zigbee_metadata":{"attr_id":61510,"endpoint_id":10,"profile_id":260,"cluster_id":513,"zcl_data_type":41,"write_formatter":"lambdax:int(round(x,2)*100)","read_formatter":"lambdax:x/100"}},</t>
  </si>
  <si>
    <t>dew_point_measured_value:{"type":"attribute","data_type":"float","is_readonly":true,"reporting_type":"reported","report_max":3600,"report_min":0,"report_threshold":56.0,"decimal_places":2,"zigbee_metadata":{"attr_id":61440,"endpoint_id":10,"profile_id":260,"cluster_id":515,"zcl_data_type":41,"read_formatter":"lambdax:x/100"}},</t>
  </si>
  <si>
    <t>cool_drive_min:{"type":"shared","data_type":"float","is_readonly":false,"reporting_type":"polled","poll_freq":86400,"max":35.0,"min":0.0,"decimal_places":2,"default_value":10.0,"zigbee_metadata":{"attr_id":61505,"endpoint_id":10,"profile_id":260,"cluster_id":513,"zcl_data_type":41,"write_formatter":"(x)=&gt;x*100","read_formatter":"(x)=&gt;x/100"}},</t>
  </si>
  <si>
    <t>dehumidification_setpoint:{"type":"advanced","data_type":"uint8","is_readonly":false,"reporting_type":"polled","poll_freq":86400,"max":100,"min":0,"default_value":0,"zigbee_metadata":{"attr_id":16,"endpoint_id":10,"profile_id":260,"cluster_id":515,"zcl_data_type":32}</t>
  </si>
  <si>
    <t>dehumidification_overdrive_temp_max:{"type":"attribute","data_type":"float","is_readonly":false,"reporting_type":"polled","poll_freq":86400,"max":10.0,"min":0.0,"decimal_places":2,"default_value":2.0,"zigbee_metadata":{"attr_id":61532,"endpoint_id":10,"profile_id":260,"cluster_id":513,"zcl_data_type":33,"write_formatter":"lambdax:int(round(x,2)*100)","read_formatter":"lambdax:x/100"}},</t>
  </si>
  <si>
    <t>heat_drive_max:{"type":"shared","data_type":"float","is_readonly":false,"reporting_type":"polled","poll_freq":86400,"max":35.0,"min":0.0,"decimal_places":2,"default_value":32.0,"zigbee_metadata":{"attr_id":61506,"endpoint_id":10,"profile_id":260,"cluster_id":513,"zcl_data_type":41,"write_formatter":"(x)=&gt;x*100","read_formatter":"(x)=&gt;x/100"}},</t>
  </si>
  <si>
    <t>dehumidification_enabled:{"type":"advanced","data_type":"bool","is_readonly":false,"reporting_type":"polled","poll_freq":86400,"default_value":false,"zigbee_metadata":{"attr_id":18,"endpoint_id":10,"profile_id":260,"cluster_id":515,"zcl_data_type":48,"read_formatter":"lambdax:bool(x)","write_formatter":"lambdax:int(x)"}</t>
  </si>
  <si>
    <t>changeover_hysteresis:{"type":"attribute","data_type":"float","is_readonly":false,"reporting_type":"polled","poll_freq":86400,"max":10,"min":1,"decimal_places":2,"default_value":2,"zigbee_metadata":{"attr_id":61512,"endpoint_id":10,"profile_id":260,"cluster_id":513,"zcl_data_type":33,"write_formatter":"lambdax:int(round(x,2)*100)","read_formatter":"lambdax:x/100"}},</t>
  </si>
  <si>
    <t>dehumidification_second_stage_threshold:{"type":"attribute","data_type":"float","is_readonly":false,"reporting_type":"polled","poll_freq":86400,"max":10.0,"min":0.0,"decimal_places":2,"default_value":1.0,"zigbee_metadata":{"attr_id":61533,"endpoint_id":10,"profile_id":260,"cluster_id":513,"zcl_data_type":33,"write_formatter":"lambdax:int(round(x,2)*100)","read_formatter":"lambdax:x/100"}},</t>
  </si>
  <si>
    <t>setback_min:{"type":"shared","data_type":"float","is_readonly":false,"reporting_type":"polled","poll_freq":86400,"max":35.0,"min":0.0,"decimal_places":2,"default_value":15.56,"zigbee_metadata":{"attr_id":61507,"endpoint_id":10,"profile_id":260,"cluster_id":513,"zcl_data_type":41,"write_formatter":"(x)=&gt;x*100","read_formatter":"(x)=&gt;x/100"}},</t>
  </si>
  <si>
    <t>dehumidification_overdrive_temp_max:{"type":"advanced","data_type":"float","is_readonly":false,"reporting_type":"polled","poll_freq":86400,"max":10.0,"min":0.0,"decimal_places":2,"default_value":2.0,"zigbee_metadata":{"attr_id":61532,"endpoint_id":10,"profile_id":260,"cluster_id":513,"zcl_data_type":33,"write_formatter":"lambdax:int(round(x,2)*100)","read_formatter":"lambdax:x/100"}</t>
  </si>
  <si>
    <t>dehumidification_min_cycle_time:{"type":"attribute","data_type":"uint8","is_readonly":false,"reporting_type":"polled","poll_freq":86400,"default_value":10,"zigbee_metadata":{"attr_id":61534,"endpoint_id":10,"profile_id":260,"cluster_id":513,"zcl_data_type":32}},</t>
  </si>
  <si>
    <t>setback_max:{"type":"shared","data_type":"float","is_readonly":false,"reporting_type":"polled","poll_freq":86400,"max":35.0,"min":0.0,"decimal_places":2,"default_value":27.78,"zigbee_metadata":{"attr_id":61508,"endpoint_id":10,"profile_id":260,"cluster_id":513,"zcl_data_type":41,"write_formatter":"(x)=&gt;x*100","read_formatter":"(x)=&gt;x/100"}},</t>
  </si>
  <si>
    <t>dehumidification_second_stage_threshold:{"type":"advanced","data_type":"float","is_readonly":false,"reporting_type":"polled","poll_freq":86400,"max":10.0,"min":0.0,"decimal_places":2,"default_value":1.0,"zigbee_metadata":{"attr_id":61533,"endpoint_id":10,"profile_id":260,"cluster_id":513,"zcl_data_type":33,"write_formatter":"lambdax:int(round(x,2)*100)","read_formatter":"lambdax:x/100"}</t>
  </si>
  <si>
    <t>dew_point_measured_value:{"type":"attribute","data_type":"float","is_readonly":true,"reporting_type":"reported","report_max":3600,"report_min":0,"report_threshold":56,"decimal_places":2,"zigbee_metadata":{"attr_id":61440,"endpoint_id":10,"profile_id":260,"cluster_id":515,"zcl_data_type":41,"read_formatter":"lambdax:x/100"}},</t>
  </si>
  <si>
    <t>refresh_delay:{"type":"attribute","data_type":"uint8","is_readonly":false,"reporting_type":"polled","poll_freq":86400,"default_value":0,"zigbee_metadata":{"attr_id":61535,"endpoint_id":10,"profile_id":260,"cluster_id":513,"zcl_data_type":32}},</t>
  </si>
  <si>
    <t>deep_setback_min:{"type":"shared","data_type":"float","is_readonly":false,"reporting_type":"polled","poll_freq":86400,"max":35.0,"min":0.0,"decimal_places":2,"default_value":15.56,"zigbee_metadata":{"attr_id":61509,"endpoint_id":10,"profile_id":260,"cluster_id":513,"zcl_data_type":41,"write_formatter":"(x)=&gt;x*100","read_formatter":"(x)=&gt;x/100"}},</t>
  </si>
  <si>
    <t>dehumidification_min_cycle_time:{"type":"advanced","data_type":"uint8","is_readonly":false,"reporting_type":"polled","poll_freq":86400,"default_value":10,"zigbee_metadata":{"attr_id":61534,"endpoint_id":10,"profile_id":260,"cluster_id":513,"zcl_data_type":32}</t>
  </si>
  <si>
    <t>dehumidification_overdrive_temp_max:{"type":"attribute","data_type":"float","is_readonly":false,"reporting_type":"polled","poll_freq":86400,"max":10,"min":0,"decimal_places":2,"default_value":2,"zigbee_metadata":{"attr_id":61532,"endpoint_id":10,"profile_id":260,"cluster_id":513,"zcl_data_type":33,"write_formatter":"lambdax:int(round(x,2)*100)","read_formatter":"lambdax:x/100"}},</t>
  </si>
  <si>
    <t>refresh_duration:{"type":"attribute","data_type":"uint8","is_readonly":false,"reporting_type":"polled","poll_freq":86400,"default_value":5,"zigbee_metadata":{"attr_id":61536,"endpoint_id":10,"profile_id":260,"cluster_id":513,"zcl_data_type":32}},</t>
  </si>
  <si>
    <t>deep_setback_max:{"type":"shared","data_type":"float","is_readonly":false,"reporting_type":"polled","poll_freq":86400,"max":35.0,"min":0.0,"decimal_places":2,"default_value":27.78,"zigbee_metadata":{"attr_id":61510,"endpoint_id":10,"profile_id":260,"cluster_id":513,"zcl_data_type":41,"write_formatter":"(x)=&gt;x*100","read_formatter":"(x)=&gt;x/100"}},</t>
  </si>
  <si>
    <t>refresh_delay:{"type":"advanced","data_type":"uint8","is_readonly":false,"reporting_type":"polled","poll_freq":86400,"default_value":0,"zigbee_metadata":{"attr_id":61535,"endpoint_id":10,"profile_id":260,"cluster_id":513,"zcl_data_type":32}</t>
  </si>
  <si>
    <t>dehumidification_second_stage_threshold:{"type":"attribute","data_type":"float","is_readonly":false,"reporting_type":"polled","poll_freq":86400,"max":10,"min":0,"decimal_places":2,"default_value":1,"zigbee_metadata":{"attr_id":61533,"endpoint_id":10,"profile_id":260,"cluster_id":513,"zcl_data_type":33,"write_formatter":"lambdax:int(round(x,2)*100)","read_formatter":"lambdax:x/100"}},</t>
  </si>
  <si>
    <t>temp_protection_enable:{"type":"attribute","data_type":"enum","is_readonly":false,"reporting_type":"polled","poll_freq":86400,"enum_values":["none","low","high","low+high"],"default_value":"none","zigbee_metadata":{"attr_id":61538,"endpoint_id":10,"profile_id":260,"cluster_id":513,"zcl_data_type":24,"write_formatter":"lambdax:{'none':0,'low':1,'high':2,'low+high':3}","read_formatter":"lambdax:{0:'none',1:'low',2:'high',3:'low+high'}.get(x,'unknown')"}},</t>
  </si>
  <si>
    <t>display_setpoint:{"type":"telemetry","data_type":"float","is_readonly":false,"reporting_type":"reported","report_max":3600,"report_min":0,"report_threshold":0,"decimal_places":2,"bound_attr_max":"cool_setpoint_max","bound_attr_min":"heat_setpoint_min","default_value":null,"zigbee_metadata":{"attr_id":61511,"endpoint_id":10,"profile_id":260,"cluster_id":513,"zcl_data_type":41,"write_formatter":"(x)=&gt;x*100","read_formatter":"(x)=&gt;x/100"}},</t>
  </si>
  <si>
    <t>refresh_duration:{"type":"advanced","data_type":"uint8","is_readonly":false,"reporting_type":"polled","poll_freq":86400,"default_value":5,"zigbee_metadata":{"attr_id":61536,"endpoint_id":10,"profile_id":260,"cluster_id":513,"zcl_data_type":32}</t>
  </si>
  <si>
    <t>temp_protection_low_limit:{"type":"advanced","data_type":"float","is_readonly":false,"reporting_type":"polled","poll_freq":86400,"max":35.0,"min":0.0,"decimal_places":2,"default_value":10.0,"zigbee_metadata":{"attr_id":61539,"endpoint_id":10,"profile_id":260,"cluster_id":513,"zcl_data_type":41,"write_formatter":"lambdax:int(round(x,2)*100)","read_formatter":"lambdax:x/100"}},</t>
  </si>
  <si>
    <t>changeover_hysteresis:{"type":"shared","data_type":"float","is_readonly":false,"reporting_type":"polled","poll_freq":86400,"max":10.0,"min":1.0,"decimal_places":2,"default_value":2.0,"zigbee_metadata":{"attr_id":61512,"endpoint_id":10,"profile_id":260,"cluster_id":513,"zcl_data_type":33,"write_formatter":"(x)=&gt;x*100","read_formatter":"(x)=&gt;x/100"}},</t>
  </si>
  <si>
    <t>temp_protection_enable_low_limit:{"type":"advanced","data_type":"bool","is_readonly":false,"reporting_type":"polled","poll_freq":86400,"default_value":false,"zigbee_metadata":{"attr_id":61538,"endpoint_id":10,"profile_id":260,"cluster_id":513,"zcl_data_type":24,"write_formatter":"lambdax:1ifxelse0","read_formatter":"lambdax:bool(x&amp;1)","bitmap":true,"bitmap_mask":1}</t>
  </si>
  <si>
    <t>temp_protection_enable:{"type":"attribute","data_type":"enum","is_readonly":false,"reporting_type":"polled","poll_freq":86400,"enum_values":["none","low","high","low+high"],"default_value":"none","zigbee_metadata":{"attr_id":61538,"endpoint_id":10,"profile_id":260,"cluster_id":513,"zcl_data_type":24,"write_formatter":"lambdax:{'none':0,'low':1,'high':2,'low+high':3}[x]","read_formatter":"lambdax:{0:'none',1:'low',2:'high',3:'low+high'}.get(x,'unknown')"}},</t>
  </si>
  <si>
    <t>temp_protection_high_limit:{"type":"advanced","data_type":"float","is_readonly":false,"reporting_type":"polled","poll_freq":86400,"max":35.0,"min":0.0,"decimal_places":2,"default_value":30.0,"zigbee_metadata":{"attr_id":61540,"endpoint_id":10,"profile_id":260,"cluster_id":513,"zcl_data_type":41,"write_formatter":"lambdax:int(round(x,2)*100)","read_formatter":"lambdax:x/100"}},</t>
  </si>
  <si>
    <t>dehumidification_setpoint:{"type":"shared","data_type":"uint8","is_readonly":false,"reporting_type":"polled","poll_freq":86400,"max":100,"min":0,"default_value":0,"zigbee_metadata":{"attr_id":16,"endpoint_id":10,"profile_id":260,"cluster_id":515,"zcl_data_type":32}},</t>
  </si>
  <si>
    <t>temp_protection_enable_high_limit:{"type":"advanced","data_type":"bool","is_readonly":false,"reporting_type":"polled","poll_freq":86400,"default_value":false,"zigbee_metadata":{"attr_id":61538,"endpoint_id":10,"profile_id":260,"cluster_id":513,"zcl_data_type":24,"write_formatter":"lambdax:2ifxelse0","read_formatter":"lambdax:bool(x&amp;2)","bitmap":true,"bitmap_mask":2}</t>
  </si>
  <si>
    <t>setback_mode:{"type":"attribute","data_type":"enum","is_readonly":false,"reporting_type":"polled","poll_freq":86400,"enum_values":["none","recovery_time","fixed","delta"],"default_value":"none","zigbee_metadata":{"attr_id":61668,"endpoint_id":10,"profile_id":260,"cluster_id":513,"zcl_data_type":48,"write_formatter":"lambdax:{'none':0,'recovery_time':1,'fixed':2,'delta':3}[x]","read_formatter":"lambdax:{0:'none',1:'recovery_time',2:'fixed',3:'delta'}.get(x,'unknown')"}},</t>
  </si>
  <si>
    <t>dew_point_measured_value:{"type":"client","data_type":"float","is_readonly":true,"reporting_type":"reported","report_max":3600,"report_min":0,"report_threshold":2.0,"decimal_places":2,"zigbee_metadata":{"attr_id":61440,"endpoint_id":10,"profile_id":260,"cluster_id":515,"zcl_data_type":41,"write_formatter":"(x)=&gt;x*100","read_formatter":"(x)=&gt;x/100"}},</t>
  </si>
  <si>
    <t>temp_protection_low_limit:{"type":"advanced","data_type":"float","is_readonly":false,"reporting_type":"polled","poll_freq":86400,"max":35.0,"min":0.0,"decimal_places":2,"default_value":10.0,"zigbee_metadata":{"attr_id":61539,"endpoint_id":10,"profile_id":260,"cluster_id":513,"zcl_data_type":41,"write_formatter":"lambdax:int(round(x,2)*100)","read_formatter":"lambdax:x/100"}</t>
  </si>
  <si>
    <t>recovery_time:{"type":"attribute","data_type":"uint8","is_readonly":false,"reporting_type":"polled","poll_freq":86400,"default_value":10,"zigbee_metadata":{"attr_id":61671,"endpoint_id":10,"profile_id":260,"cluster_id":513,"zcl_data_type":32}},</t>
  </si>
  <si>
    <t>dehumidification_overdrive_temp_max:{"type":"shared","data_type":"float","is_readonly":false,"reporting_type":"polled","poll_freq":86400,"max":10.0,"min":0.0,"decimal_places":2,"default_value":2.0,"zigbee_metadata":{"attr_id":61532,"endpoint_id":10,"profile_id":260,"cluster_id":513,"zcl_data_type":33,"write_formatter":"(x)=&gt;x*100","read_formatter":"(x)=&gt;x/100"}},</t>
  </si>
  <si>
    <t>temp_protection_high_limit:{"type":"advanced","data_type":"float","is_readonly":false,"reporting_type":"polled","poll_freq":86400,"max":35.0,"min":0.0,"decimal_places":2,"default_value":30.0,"zigbee_metadata":{"attr_id":61540,"endpoint_id":10,"profile_id":260,"cluster_id":513,"zcl_data_type":41,"write_formatter":"lambdax:int(round(x,2)*100)","read_formatter":"lambdax:x/100"}</t>
  </si>
  <si>
    <t>temp_protection_low_limit:{"type":"advanced","data_type":"float","is_readonly":false,"reporting_type":"polled","poll_freq":86400,"max":35,"min":0,"decimal_places":2,"default_value":10,"zigbee_metadata":{"attr_id":61539,"endpoint_id":10,"profile_id":260,"cluster_id":513,"zcl_data_type":41,"write_formatter":"lambdax:int(round(x,2)*100)","read_formatter":"lambdax:x/100"}},</t>
  </si>
  <si>
    <t>comfort_zone:{"type":"attribute","data_type":"float","is_readonly":false,"reporting_type":"polled","poll_freq":86400,"max":5.0,"min":0.0,"decimal_places":2,"default_value":1.0,"zigbee_metadata":{"attr_id":61672,"endpoint_id":10,"profile_id":260,"cluster_id":513,"zcl_data_type":33,"write_formatter":"lambdax:int(round(x,2)*100)","read_formatter":"lambdax:x/100"}},</t>
  </si>
  <si>
    <t>dehumidification_second_stage_threshold:{"type":"shared","data_type":"float","is_readonly":false,"reporting_type":"polled","poll_freq":86400,"max":10.0,"min":0.0,"decimal_places":2,"default_value":1.0,"zigbee_metadata":{"attr_id":61533,"endpoint_id":10,"profile_id":260,"cluster_id":513,"zcl_data_type":33,"write_formatter":"(x)=&gt;x*100","read_formatter":"(x)=&gt;x/100"}},</t>
  </si>
  <si>
    <t>setback_mode:{"type":"basic","data_type":"enum","is_readonly":false,"reporting_type":"polled","poll_freq":86400,"enum_values":["none","recovery_time","fixed","delta"],"default_value":"none","zigbee_metadata":{"attr_id":61668,"endpoint_id":10,"profile_id":260,"cluster_id":513,"zcl_data_type":48,"write_formatter":"lambdax:{'none':0,'recovery_time':1,'fixed':2,'delta':3}[x]","read_formatter":"lambdax:{0:'none',1:'recovery_time',2:'fixed',3:'delta'}.get(x,'unknown')"}</t>
  </si>
  <si>
    <t>temp_protection_high_limit:{"type":"advanced","data_type":"float","is_readonly":false,"reporting_type":"polled","poll_freq":86400,"max":35,"min":0,"decimal_places":2,"default_value":30,"zigbee_metadata":{"attr_id":61540,"endpoint_id":10,"profile_id":260,"cluster_id":513,"zcl_data_type":41,"write_formatter":"lambdax:int(round(x,2)*100)","read_formatter":"lambdax:x/100"}},</t>
  </si>
  <si>
    <t>second_stage_heat_delta_c:{"type":"attribute","data_type":"float","is_readonly":false,"reporting_type":"polled","poll_freq":86400,"max":10.0,"min":0.0,"decimal_places":2,"default_value":0.0,"zigbee_metadata":{"attr_id":61673,"endpoint_id":10,"profile_id":260,"cluster_id":513,"zcl_data_type":33,"write_formatter":"lambdax:int(round(x,2)*100)","read_formatter":"lambdax:x/100"}},</t>
  </si>
  <si>
    <t>dehumidification_min_cycle_time:{"type":"shared","data_type":"uint8","is_readonly":false,"reporting_type":"polled","poll_freq":86400,"default_value":10,"zigbee_metadata":{"attr_id":61534,"endpoint_id":10,"profile_id":260,"cluster_id":513,"zcl_data_type":32}},</t>
  </si>
  <si>
    <t>recovery_time:{"type":"basic","data_type":"uint8","is_readonly":false,"reporting_type":"polled","poll_freq":86400,"default_value":10,"zigbee_metadata":{"attr_id":61671,"endpoint_id":10,"profile_id":260,"cluster_id":513,"zcl_data_type":32}</t>
  </si>
  <si>
    <t>third_stage_heat_delta_c:{"type":"attribute","data_type":"float","is_readonly":false,"reporting_type":"polled","poll_freq":86400,"max":10.0,"min":0.0,"decimal_places":2,"default_value":0.0,"zigbee_metadata":{"attr_id":61674,"endpoint_id":10,"profile_id":260,"cluster_id":513,"zcl_data_type":33,"write_formatter":"lambdax:int(round(x,2)*100)","read_formatter":"lambdax:x/100"}},</t>
  </si>
  <si>
    <t>refresh_delay:{"type":"shared","data_type":"uint8","is_readonly":false,"reporting_type":"polled","poll_freq":86400,"default_value":0,"zigbee_metadata":{"attr_id":61535,"endpoint_id":10,"profile_id":260,"cluster_id":513,"zcl_data_type":32}},</t>
  </si>
  <si>
    <t>comfort_zone:{"type":"advanced","data_type":"float","is_readonly":false,"reporting_type":"polled","poll_freq":86400,"max":5.0,"min":0.0,"decimal_places":2,"default_value":1.0,"zigbee_metadata":{"attr_id":61672,"endpoint_id":10,"profile_id":260,"cluster_id":513,"zcl_data_type":33,"write_formatter":"lambdax:int(round(x,2)*100)","read_formatter":"lambdax:x/100"}</t>
  </si>
  <si>
    <t>second_stage_cool_delta_c:{"type":"attribute","data_type":"float","is_readonly":false,"reporting_type":"polled","poll_freq":86400,"max":10.0,"min":0.0,"decimal_places":2,"default_value":0.0,"zigbee_metadata":{"attr_id":61675,"endpoint_id":10,"profile_id":260,"cluster_id":513,"zcl_data_type":33,"write_formatter":"lambdax:int(round(x,2)*100)","read_formatter":"lambdax:x/100"}},</t>
  </si>
  <si>
    <t>refresh_duration:{"type":"shared","data_type":"uint8","is_readonly":false,"reporting_type":"polled","poll_freq":86400,"default_value":5,"zigbee_metadata":{"attr_id":61536,"endpoint_id":10,"profile_id":260,"cluster_id":513,"zcl_data_type":32}},</t>
  </si>
  <si>
    <t>fixed_heat_setback:{"type":"basic","data_type":"float","is_readonly":false,"reporting_type":"polled","poll_freq":86400,"max":35.0,"min":0.0,"decimal_places":2,"default_value":18.33,"zigbee_metadata":{"attr_id":61679,"endpoint_id":10,"profile_id":260,"cluster_id":513,"zcl_data_type":41,"write_formatter":"lambdax:int(round(x,2)*100)","read_formatter":"lambdax:x/100"}</t>
  </si>
  <si>
    <t>comfort_zone:{"type":"attribute","data_type":"float","is_readonly":false,"reporting_type":"polled","poll_freq":86400,"max":5,"min":0,"decimal_places":2,"default_value":1,"zigbee_metadata":{"attr_id":61672,"endpoint_id":10,"profile_id":260,"cluster_id":513,"zcl_data_type":33,"write_formatter":"lambdax:int(round(x,2)*100)","read_formatter":"lambdax:x/100"}},</t>
  </si>
  <si>
    <t>third_stage_cool_delta_c:{"type":"attribute","data_type":"float","is_readonly":false,"reporting_type":"polled","poll_freq":86400,"max":10.0,"min":0.0,"decimal_places":2,"default_value":0.0,"zigbee_metadata":{"attr_id":61676,"endpoint_id":10,"profile_id":260,"cluster_id":513,"zcl_data_type":33,"write_formatter":"lambdax:int(round(x,2)*100)","read_formatter":"lambdax:x/100"}},</t>
  </si>
  <si>
    <t>temp_protection_enable_low_limit:{"type":"shared","data_type":"bool","is_readonly":false,"reporting_type":"polled","poll_freq":86400,"default_value":false,"zigbee_metadata":{"attr_id":61538,"endpoint_id":10,"profile_id":260,"cluster_id":513,"zcl_data_type":24,"write_formatter":"(x)=&gt;+(x)","read_formatter":"(x)=&gt;Boolean(x&amp;1)","bitmap":true,"bitmap_mask":1}},</t>
  </si>
  <si>
    <t>fixed_cool_setback:{"type":"basic","data_type":"float","is_readonly":false,"reporting_type":"polled","poll_freq":86400,"max":35.0,"min":0.0,"decimal_places":2,"default_value":27.78,"zigbee_metadata":{"attr_id":61680,"endpoint_id":10,"profile_id":260,"cluster_id":513,"zcl_data_type":41,"write_formatter":"lambdax:int(round(x,2)*100)","read_formatter":"lambdax:x/100"}</t>
  </si>
  <si>
    <t>second_stage_heat_delta_c:{"type":"attribute","data_type":"float","is_readonly":false,"reporting_type":"polled","poll_freq":86400,"max":10,"min":0,"decimal_places":2,"default_value":0,"zigbee_metadata":{"attr_id":61673,"endpoint_id":10,"profile_id":260,"cluster_id":513,"zcl_data_type":33,"write_formatter":"lambdax:int(round(x,2)*100)","read_formatter":"lambdax:x/100"}},</t>
  </si>
  <si>
    <t>tau_smoothing_alpha:{"type":"attribute","data_type":"uint8","is_readonly":false,"reporting_type":"polled","poll_freq":86400,"max":100,"min":0,"default_value":25,"zigbee_metadata":{"attr_id":61677,"endpoint_id":10,"profile_id":260,"cluster_id":513,"zcl_data_type":32}},</t>
  </si>
  <si>
    <t>temp_protection_enable_high_limit:{"type":"shared","data_type":"bool","is_readonly":false,"reporting_type":"polled","poll_freq":86400,"default_value":false,"zigbee_metadata":{"attr_id":61538,"endpoint_id":10,"profile_id":260,"cluster_id":513,"zcl_data_type":24,"write_formatter":"(x)=&gt;x={false:0,true:2}[x]","read_formatter":"(x)=&gt;Boolean(x&amp;2)","bitmap":true,"bitmap_mask":2}},</t>
  </si>
  <si>
    <t>delta_setback:{"type":"basic","data_type":"float","is_readonly":false,"reporting_type":"polled","poll_freq":86400,"max":10.0,"min":0.0,"decimal_places":2,"default_value":3.0,"zigbee_metadata":{"attr_id":61681,"endpoint_id":10,"profile_id":260,"cluster_id":513,"zcl_data_type":33,"write_formatter":"lambdax:int(round(x,2)*100)","read_formatter":"lambdax:x/100"}</t>
  </si>
  <si>
    <t>third_stage_heat_delta_c:{"type":"attribute","data_type":"float","is_readonly":false,"reporting_type":"polled","poll_freq":86400,"max":10,"min":0,"decimal_places":2,"default_value":0,"zigbee_metadata":{"attr_id":61674,"endpoint_id":10,"profile_id":260,"cluster_id":513,"zcl_data_type":33,"write_formatter":"lambdax:int(round(x,2)*100)","read_formatter":"lambdax:x/100"}},</t>
  </si>
  <si>
    <t>fixed_heat_setback:{"type":"attribute","data_type":"float","is_readonly":false,"reporting_type":"polled","poll_freq":86400,"max":35.0,"min":0.0,"decimal_places":2,"default_value":18.33,"zigbee_metadata":{"attr_id":61679,"endpoint_id":10,"profile_id":260,"cluster_id":513,"zcl_data_type":41,"write_formatter":"lambdax:int(round(x,2)*100)","read_formatter":"lambdax:x/100"}},</t>
  </si>
  <si>
    <t>temp_protection_low_limit:{"type":"shared","data_type":"float","is_readonly":false,"reporting_type":"polled","poll_freq":86400,"max":35.0,"min":0.0,"decimal_places":2,"default_value":10.0,"zigbee_metadata":{"attr_id":61539,"endpoint_id":10,"profile_id":260,"cluster_id":513,"zcl_data_type":41,"write_formatter":"(x)=&gt;x*100","read_formatter":"(x)=&gt;x/100"}},</t>
  </si>
  <si>
    <t>deep_heat_setback:{"type":"basic","data_type":"float","is_readonly":false,"reporting_type":"polled","poll_freq":86400,"max":35.0,"min":0.0,"decimal_places":2,"default_value":16.67,"zigbee_metadata":{"attr_id":61683,"endpoint_id":10,"profile_id":260,"cluster_id":513,"zcl_data_type":41,"write_formatter":"lambdax:int(round(x,2)*100)","read_formatter":"lambdax:x/100"}</t>
  </si>
  <si>
    <t>second_stage_cool_delta_c:{"type":"attribute","data_type":"float","is_readonly":false,"reporting_type":"polled","poll_freq":86400,"max":10,"min":0,"decimal_places":2,"default_value":0,"zigbee_metadata":{"attr_id":61675,"endpoint_id":10,"profile_id":260,"cluster_id":513,"zcl_data_type":33,"write_formatter":"lambdax:int(round(x,2)*100)","read_formatter":"lambdax:x/100"}},</t>
  </si>
  <si>
    <t>fixed_cool_setback:{"type":"attribute","data_type":"float","is_readonly":false,"reporting_type":"polled","poll_freq":86400,"max":35.0,"min":0.0,"decimal_places":2,"default_value":27.78,"zigbee_metadata":{"attr_id":61680,"endpoint_id":10,"profile_id":260,"cluster_id":513,"zcl_data_type":41,"write_formatter":"lambdax:int(round(x,2)*100)","read_formatter":"lambdax:x/100"}},</t>
  </si>
  <si>
    <t>temp_protection_high_limit:{"type":"shared","data_type":"float","is_readonly":false,"reporting_type":"polled","poll_freq":86400,"max":35.0,"min":0.0,"decimal_places":2,"default_value":30.0,"zigbee_metadata":{"attr_id":61540,"endpoint_id":10,"profile_id":260,"cluster_id":513,"zcl_data_type":41,"write_formatter":"(x)=&gt;x*100","read_formatter":"(x)=&gt;x/100"}},</t>
  </si>
  <si>
    <t>deep_cool_setback:{"type":"basic","data_type":"float","is_readonly":false,"reporting_type":"polled","poll_freq":86400,"max":35.0,"min":0.0,"decimal_places":2,"default_value":29.44,"zigbee_metadata":{"attr_id":61684,"endpoint_id":10,"profile_id":260,"cluster_id":513,"zcl_data_type":41,"write_formatter":"lambdax:int(round(x,2)*100)","read_formatter":"lambdax:x/100"}</t>
  </si>
  <si>
    <t>third_stage_cool_delta_c:{"type":"attribute","data_type":"float","is_readonly":false,"reporting_type":"polled","poll_freq":86400,"max":10,"min":0,"decimal_places":2,"default_value":0,"zigbee_metadata":{"attr_id":61676,"endpoint_id":10,"profile_id":260,"cluster_id":513,"zcl_data_type":33,"write_formatter":"lambdax:int(round(x,2)*100)","read_formatter":"lambdax:x/100"}},</t>
  </si>
  <si>
    <t>delta_setback:{"type":"attribute","data_type":"float","is_readonly":false,"reporting_type":"polled","poll_freq":86400,"max":10.0,"min":0.0,"decimal_places":2,"default_value":3.0,"zigbee_metadata":{"attr_id":61681,"endpoint_id":10,"profile_id":260,"cluster_id":513,"zcl_data_type":33,"write_formatter":"lambdax:int(round(x,2)*100)","read_formatter":"lambdax:x/100"}},</t>
  </si>
  <si>
    <t>setback_mode:{"type":"shared","data_type":"enum","is_readonly":false,"reporting_type":"polled","poll_freq":86400,"enum_values":["none","recovery_time","fixed","delta"],"default_value":"none","zigbee_metadata":{"attr_id":61668,"endpoint_id":10,"profile_id":260,"cluster_id":513,"zcl_data_type":48,"write_formatter":"(x)=&gt;x={'none':0,'recovery_time':1,'fixed':2,'delta':3}[x]","read_formatter":"(x)=&gt;x={0:'none',1:'recovery_time',2:'fixed',3:'delta'}[x]"}},</t>
  </si>
  <si>
    <t>second_stage_heat_delta_c:{"type":"advanced","data_type":"float","is_readonly":false,"reporting_type":"polled","poll_freq":86400,"max":10.0,"min":0.0,"decimal_places":2,"default_value":0.0,"zigbee_metadata":{"attr_id":61673,"endpoint_id":10,"profile_id":260,"cluster_id":513,"zcl_data_type":33,"write_formatter":"lambdax:int(round(x,2)*100)","read_formatter":"lambdax:x/100"}</t>
  </si>
  <si>
    <t>deep_delta_setback:{"type":"basic","data_type":"float","is_readonly":false,"reporting_type":"polled","poll_freq":86400,"max":10.0,"min":0.0,"decimal_places":2,"default_value":5.0,"zigbee_metadata":{"attr_id":61685,"endpoint_id":10,"profile_id":260,"cluster_id":513,"zcl_data_type":33,"write_formatter":"lambdax:int(round(x,2)*100)","read_formatter":"lambdax:x/100"}</t>
  </si>
  <si>
    <t>deep_heat_setback:{"type":"attribute","data_type":"float","is_readonly":false,"reporting_type":"polled","poll_freq":86400,"max":35.0,"min":0.0,"decimal_places":2,"default_value":16.67,"zigbee_metadata":{"attr_id":61683,"endpoint_id":10,"profile_id":260,"cluster_id":513,"zcl_data_type":41,"write_formatter":"lambdax:int(round(x,2)*100)","read_formatter":"lambdax:x/100"}},</t>
  </si>
  <si>
    <t>recovery_time:{"type":"shared","data_type":"uint8","is_readonly":false,"reporting_type":"polled","poll_freq":86400,"default_value":10,"zigbee_metadata":{"attr_id":61671,"endpoint_id":10,"profile_id":260,"cluster_id":513,"zcl_data_type":32}},</t>
  </si>
  <si>
    <t>third_stage_heat_delta_c:{"type":"advanced","data_type":"float","is_readonly":false,"reporting_type":"polled","poll_freq":86400,"max":10.0,"min":0.0,"decimal_places":2,"default_value":0.0,"zigbee_metadata":{"attr_id":61674,"endpoint_id":10,"profile_id":260,"cluster_id":513,"zcl_data_type":33,"write_formatter":"lambdax:int(round(x,2)*100)","read_formatter":"lambdax:x/100"}</t>
  </si>
  <si>
    <t>day_start_time:{"type":"advanced","data_type":"uint16","is_readonly":false,"reporting_type":"polled","poll_freq":86400,"max":1439,"min":0,"default_value":360,"zigbee_metadata":{"attr_id":61687,"endpoint_id":10,"profile_id":260,"cluster_id":513,"zcl_data_type":33}</t>
  </si>
  <si>
    <t>fixed_heat_setback:{"type":"attribute","data_type":"float","is_readonly":false,"reporting_type":"polled","poll_freq":86400,"max":35,"min":0,"decimal_places":2,"default_value":18.33,"zigbee_metadata":{"attr_id":61679,"endpoint_id":10,"profile_id":260,"cluster_id":513,"zcl_data_type":41,"write_formatter":"lambdax:int(round(x,2)*100)","read_formatter":"lambdax:x/100"}},</t>
  </si>
  <si>
    <t>deep_cool_setback:{"type":"attribute","data_type":"float","is_readonly":false,"reporting_type":"polled","poll_freq":86400,"max":35.0,"min":0.0,"decimal_places":2,"default_value":29.44,"zigbee_metadata":{"attr_id":61684,"endpoint_id":10,"profile_id":260,"cluster_id":513,"zcl_data_type":41,"write_formatter":"lambdax:int(round(x,2)*100)","read_formatter":"lambdax:x/100"}},</t>
  </si>
  <si>
    <t>comfort_zone:{"type":"shared","data_type":"float","is_readonly":false,"reporting_type":"polled","poll_freq":86400,"max":5.0,"min":0.0,"decimal_places":2,"default_value":1.0,"zigbee_metadata":{"attr_id":61672,"endpoint_id":10,"profile_id":260,"cluster_id":513,"zcl_data_type":33,"write_formatter":"(x)=&gt;x*100","read_formatter":"(x)=&gt;x/100"}},</t>
  </si>
  <si>
    <t>second_stage_cool_delta_c:{"type":"advanced","data_type":"float","is_readonly":false,"reporting_type":"polled","poll_freq":86400,"max":10.0,"min":0.0,"decimal_places":2,"default_value":0.0,"zigbee_metadata":{"attr_id":61675,"endpoint_id":10,"profile_id":260,"cluster_id":513,"zcl_data_type":33,"write_formatter":"lambdax:int(round(x,2)*100)","read_formatter":"lambdax:x/100"}</t>
  </si>
  <si>
    <t>night_start_time:{"type":"advanced","data_type":"uint16","is_readonly":false,"reporting_type":"polled","poll_freq":86400,"max":1439,"min":0,"default_value":1200,"zigbee_metadata":{"attr_id":61688,"endpoint_id":10,"profile_id":260,"cluster_id":513,"zcl_data_type":33}</t>
  </si>
  <si>
    <t>fixed_cool_setback:{"type":"attribute","data_type":"float","is_readonly":false,"reporting_type":"polled","poll_freq":86400,"max":35,"min":0,"decimal_places":2,"default_value":27.78,"zigbee_metadata":{"attr_id":61680,"endpoint_id":10,"profile_id":260,"cluster_id":513,"zcl_data_type":41,"write_formatter":"lambdax:int(round(x,2)*100)","read_formatter":"lambdax:x/100"}},</t>
  </si>
  <si>
    <t>deep_delta_setback:{"type":"attribute","data_type":"float","is_readonly":false,"reporting_type":"polled","poll_freq":86400,"max":10.0,"min":0.0,"decimal_places":2,"default_value":5.0,"zigbee_metadata":{"attr_id":61685,"endpoint_id":10,"profile_id":260,"cluster_id":513,"zcl_data_type":33,"write_formatter":"lambdax:int(round(x,2)*100)","read_formatter":"lambdax:x/100"}},</t>
  </si>
  <si>
    <t>second_stage_heat_delta_c:{"type":"shared","data_type":"float","is_readonly":false,"reporting_type":"polled","poll_freq":86400,"max":10.0,"min":0.0,"decimal_places":2,"default_value":0.0,"zigbee_metadata":{"attr_id":61673,"endpoint_id":10,"profile_id":260,"cluster_id":513,"zcl_data_type":33,"write_formatter":"(x)=&gt;x*100","read_formatter":"(x)=&gt;x/100"}},</t>
  </si>
  <si>
    <t>third_stage_cool_delta_c:{"type":"advanced","data_type":"float","is_readonly":false,"reporting_type":"polled","poll_freq":86400,"max":10.0,"min":0.0,"decimal_places":2,"default_value":0.0,"zigbee_metadata":{"attr_id":61676,"endpoint_id":10,"profile_id":260,"cluster_id":513,"zcl_data_type":33,"write_formatter":"lambdax:int(round(x,2)*100)","read_formatter":"lambdax:x/100"}</t>
  </si>
  <si>
    <t>night_lock:{"type":"advanced","data_type":"bool","is_readonly":false,"reporting_type":"polled","poll_freq":86400,"default_value":false,"zigbee_metadata":{"attr_id":61689,"endpoint_id":10,"profile_id":260,"cluster_id":513,"zcl_data_type":16,"read_formatter":"lambdax:bool(x)","write_formatter":"lambdax:int(x)"}</t>
  </si>
  <si>
    <t>delta_setback:{"type":"attribute","data_type":"float","is_readonly":false,"reporting_type":"polled","poll_freq":86400,"max":10,"min":0,"decimal_places":2,"default_value":3,"zigbee_metadata":{"attr_id":61681,"endpoint_id":10,"profile_id":260,"cluster_id":513,"zcl_data_type":33,"write_formatter":"lambdax:int(round(x,2)*100)","read_formatter":"lambdax:x/100"}},</t>
  </si>
  <si>
    <t>day_start_time:{"type":"attribute","data_type":"uint16","is_readonly":false,"reporting_type":"polled","poll_freq":86400,"max":1439,"min":0,"default_value":360,"zigbee_metadata":{"attr_id":61687,"endpoint_id":10,"profile_id":260,"cluster_id":513,"zcl_data_type":33}},</t>
  </si>
  <si>
    <t>third_stage_heat_delta_c:{"type":"shared","data_type":"float","is_readonly":false,"reporting_type":"polled","poll_freq":86400,"max":10.0,"min":0.0,"decimal_places":2,"default_value":0.0,"zigbee_metadata":{"attr_id":61674,"endpoint_id":10,"profile_id":260,"cluster_id":513,"zcl_data_type":33,"write_formatter":"(x)=&gt;x*100","read_formatter":"(x)=&gt;x/100"}},</t>
  </si>
  <si>
    <t>tau_smoothing_alpha:{"type":"advanced","data_type":"uint8","is_readonly":false,"reporting_type":"polled","poll_freq":86400,"max":100,"min":0,"default_value":25,"zigbee_metadata":{"attr_id":61677,"endpoint_id":10,"profile_id":260,"cluster_id":513,"zcl_data_type":32}</t>
  </si>
  <si>
    <t>unocc_delay_based_on_schedule:{"type":"advanced","data_type":"enum","is_readonly":false,"reporting_type":"polled","poll_freq":86400,"default_value":"day_night","enum_values":["day_night","schedule"],"zigbee_metadata":{"attr_id":61690,"endpoint_id":10,"profile_id":260,"cluster_id":513,"zcl_data_type":16,"write_formatter":"lambdax:{'day_night':0,'schedule':1}[x]","read_formatter":"lambdax:{0:'day_night',1:'schedule'}.get(x,'unknown')"}</t>
  </si>
  <si>
    <t>deep_heat_setback:{"type":"attribute","data_type":"float","is_readonly":false,"reporting_type":"polled","poll_freq":86400,"max":35,"min":0,"decimal_places":2,"default_value":16.67,"zigbee_metadata":{"attr_id":61683,"endpoint_id":10,"profile_id":260,"cluster_id":513,"zcl_data_type":41,"write_formatter":"lambdax:int(round(x,2)*100)","read_formatter":"lambdax:x/100"}},</t>
  </si>
  <si>
    <t>night_start_time:{"type":"attribute","data_type":"uint16","is_readonly":false,"reporting_type":"polled","poll_freq":86400,"max":1439,"min":0,"default_value":1200,"zigbee_metadata":{"attr_id":61688,"endpoint_id":10,"profile_id":260,"cluster_id":513,"zcl_data_type":33}},</t>
  </si>
  <si>
    <t>second_stage_cool_delta_c:{"type":"shared","data_type":"float","is_readonly":false,"reporting_type":"polled","poll_freq":86400,"max":10.0,"min":0.0,"decimal_places":2,"default_value":0.0,"zigbee_metadata":{"attr_id":61675,"endpoint_id":10,"profile_id":260,"cluster_id":513,"zcl_data_type":33,"write_formatter":"(x)=&gt;x*100","read_formatter":"(x)=&gt;x/100"}},</t>
  </si>
  <si>
    <t>unocc_delay_day_or_no_schedule:{"type":"advanced","data_type":"uint16","is_readonly":false,"reporting_type":"polled","poll_freq":86400,"default_value":360,"zigbee_metadata":{"attr_id":61692,"endpoint_id":10,"profile_id":260,"cluster_id":513,"zcl_data_type":33}</t>
  </si>
  <si>
    <t>deep_cool_setback:{"type":"attribute","data_type":"float","is_readonly":false,"reporting_type":"polled","poll_freq":86400,"max":35,"min":0,"decimal_places":2,"default_value":29.44,"zigbee_metadata":{"attr_id":61684,"endpoint_id":10,"profile_id":260,"cluster_id":513,"zcl_data_type":41,"write_formatter":"lambdax:int(round(x,2)*100)","read_formatter":"lambdax:x/100"}},</t>
  </si>
  <si>
    <t>night_lock:{"type":"attribute","data_type":"bool","is_readonly":false,"reporting_type":"polled","poll_freq":86400,"default_value":false,"zigbee_metadata":{"attr_id":61689,"endpoint_id":10,"profile_id":260,"cluster_id":513,"zcl_data_type":16,"read_formatter":"lambdax:bool(x)","write_formatter":"lambdax:int(x)"}},</t>
  </si>
  <si>
    <t>third_stage_cool_delta_c:{"type":"shared","data_type":"float","is_readonly":false,"reporting_type":"polled","poll_freq":86400,"max":10.0,"min":0.0,"decimal_places":2,"default_value":0.0,"zigbee_metadata":{"attr_id":61676,"endpoint_id":10,"profile_id":260,"cluster_id":513,"zcl_data_type":33,"write_formatter":"(x)=&gt;x*100","read_formatter":"(x)=&gt;x/100"}},</t>
  </si>
  <si>
    <t>unocc_delay_night_or_schedule:{"type":"advanced","data_type":"uint16","is_readonly":false,"reporting_type":"polled","poll_freq":86400,"default_value":1440,"zigbee_metadata":{"attr_id":61693,"endpoint_id":10,"profile_id":260,"cluster_id":513,"zcl_data_type":33}</t>
  </si>
  <si>
    <t>deep_delta_setback:{"type":"attribute","data_type":"float","is_readonly":false,"reporting_type":"polled","poll_freq":86400,"max":10,"min":0,"decimal_places":2,"default_value":5,"zigbee_metadata":{"attr_id":61685,"endpoint_id":10,"profile_id":260,"cluster_id":513,"zcl_data_type":33,"write_formatter":"lambdax:int(round(x,2)*100)","read_formatter":"lambdax:x/100"}},</t>
  </si>
  <si>
    <t>unocc_delay_based_on_schedule:{"type":"attribute","data_type":"enum","is_readonly":false,"reporting_type":"polled","poll_freq":86400,"default_value":"day_night","enum_values":["day_night","schedule"],"zigbee_metadata":{"attr_id":61690,"endpoint_id":10,"profile_id":260,"cluster_id":513,"zcl_data_type":16,"write_formatter":"lambdax:{'day_night':0,'schedule':1}[x]","read_formatter":"lambdax:{0:'day_night',1:'schedule'}.get(x,'unknown')"}},</t>
  </si>
  <si>
    <t>tau_smoothing_alpha:{"type":"shared","data_type":"uint8","is_readonly":false,"reporting_type":"polled","poll_freq":86400,"max":100,"min":0,"default_value":25,"zigbee_metadata":{"attr_id":61677,"endpoint_id":10,"profile_id":260,"cluster_id":513,"zcl_data_type":32}},</t>
  </si>
  <si>
    <t>unocc_delay_deep_setback:{"type":"advanced","data_type":"uint16","is_readonly":false,"reporting_type":"polled","poll_freq":86400,"default_value":1440,"zigbee_metadata":{"attr_id":61694,"endpoint_id":10,"profile_id":260,"cluster_id":513,"zcl_data_type":33}</t>
  </si>
  <si>
    <t>unocc_delay_day_or_no_schedule:{"type":"attribute","data_type":"uint16","is_readonly":false,"reporting_type":"polled","poll_freq":86400,"default_value":360,"zigbee_metadata":{"attr_id":61692,"endpoint_id":10,"profile_id":260,"cluster_id":513,"zcl_data_type":33}},</t>
  </si>
  <si>
    <t>fixed_heat_setback:{"type":"shared","data_type":"float","is_readonly":false,"reporting_type":"polled","poll_freq":86400,"max":35.0,"min":0.0,"decimal_places":2,"default_value":18.33,"zigbee_metadata":{"attr_id":61679,"endpoint_id":10,"profile_id":260,"cluster_id":513,"zcl_data_type":41,"write_formatter":"(x)=&gt;x*100","read_formatter":"(x)=&gt;x/100"}},</t>
  </si>
  <si>
    <t>config_menu_password:{"type":"basic","data_type":"uint16","is_readonly":false,"reporting_type":"polled","poll_freq":86400,"default_value":50554,"zigbee_metadata":{"attr_id":0,"endpoint_id":10,"profile_id":260,"cluster_id":64517,"zcl_data_type":33}</t>
  </si>
  <si>
    <t>unocc_delay_night_or_schedule:{"type":"attribute","data_type":"uint16","is_readonly":false,"reporting_type":"polled","poll_freq":86400,"default_value":1440,"zigbee_metadata":{"attr_id":61693,"endpoint_id":10,"profile_id":260,"cluster_id":513,"zcl_data_type":33}},</t>
  </si>
  <si>
    <t>fixed_cool_setback:{"type":"shared","data_type":"float","is_readonly":false,"reporting_type":"polled","poll_freq":86400,"max":35.0,"min":0.0,"decimal_places":2,"default_value":27.78,"zigbee_metadata":{"attr_id":61680,"endpoint_id":10,"profile_id":260,"cluster_id":513,"zcl_data_type":41,"write_formatter":"(x)=&gt;x*100","read_formatter":"(x)=&gt;x/100"}},</t>
  </si>
  <si>
    <t>display_home_detailed:{"type":"basic","data_type":"enum","is_readonly":false,"reporting_type":"polled","poll_freq":86400,"enum_values":["minimal","medium","maximal"],"default_value":"medium","zigbee_metadata":{"attr_id":5,"endpoint_id":10,"profile_id":260,"cluster_id":64517,"zcl_data_type":48,"write_formatter":"lambdax:{'minimal':0,'medium':1,'maximal':2}[x]","read_formatter":"lambdax:{0:'minimal',1:'medium',2:'maximal'}.get(x,'unknown')"}</t>
  </si>
  <si>
    <t>unocc_delay_deep_setback:{"type":"attribute","data_type":"uint16","is_readonly":false,"reporting_type":"polled","poll_freq":86400,"default_value":1440,"zigbee_metadata":{"attr_id":61694,"endpoint_id":10,"profile_id":260,"cluster_id":513,"zcl_data_type":33}},</t>
  </si>
  <si>
    <t>delta_setback:{"type":"shared","data_type":"float","is_readonly":false,"reporting_type":"polled","poll_freq":86400,"max":10.0,"min":0.0,"decimal_places":2,"default_value":3.0,"zigbee_metadata":{"attr_id":61681,"endpoint_id":10,"profile_id":260,"cluster_id":513,"zcl_data_type":33,"write_formatter":"(x)=&gt;x*100","read_formatter":"(x)=&gt;x/100"}},</t>
  </si>
  <si>
    <t>haptic_enabled:{"type":"basic","data_type":"enum","is_readonly":false,"reporting_type":"polled","poll_freq":86400,"enum_values":["off","on","line_powered"],"default_value":"line_powered","zigbee_metadata":{"attr_id":9,"endpoint_id":10,"profile_id":260,"cluster_id":64517,"zcl_data_type":48,"write_formatter":"lambdax:{'off':0,'on':1,'line_powered':2}[x]","read_formatter":"lambdax:{0:'off',1:'on',2:'line_powered'}.get(x,'unknown')"}</t>
  </si>
  <si>
    <t>config_menu_password:{"type":"attribute","data_type":"uint16","is_readonly":false,"reporting_type":"polled","poll_freq":86400,"default_value":50554,"zigbee_metadata":{"attr_id":0,"endpoint_id":10,"profile_id":260,"cluster_id":64517,"zcl_data_type":33}},</t>
  </si>
  <si>
    <t>deep_heat_setback:{"type":"shared","data_type":"float","is_readonly":false,"reporting_type":"polled","poll_freq":86400,"max":35.0,"min":0.0,"decimal_places":2,"default_value":16.67,"zigbee_metadata":{"attr_id":61683,"endpoint_id":10,"profile_id":260,"cluster_id":513,"zcl_data_type":41,"write_formatter":"(x)=&gt;x*100","read_formatter":"(x)=&gt;x/100"}},</t>
  </si>
  <si>
    <t>display_brightness_high_light:{"type":"basic","data_type":"uint16","is_readonly":false,"reporting_type":"polled","poll_freq":86400,"min":1,"default_value":32000,"zigbee_metadata":{"attr_id":13,"endpoint_id":10,"profile_id":260,"cluster_id":64517,"zcl_data_type":33}</t>
  </si>
  <si>
    <t>display_home_detailed:{"type":"attribute","data_type":"enum","is_readonly":false,"reporting_type":"polled","poll_freq":86400,"enum_values":["minimal","medium","maximal"],"default_value":"medium","zigbee_metadata":{"attr_id":5,"endpoint_id":10,"profile_id":260,"cluster_id":64517,"zcl_data_type":48,"write_formatter":"lambdax:{'minimal':0,'medium':1,'maximal':2}[x]","read_formatter":"lambdax:{0:'minimal',1:'medium',2:'maximal'}.get(x,'unknown')"}},</t>
  </si>
  <si>
    <t>deep_cool_setback:{"type":"shared","data_type":"float","is_readonly":false,"reporting_type":"polled","poll_freq":86400,"max":35.0,"min":0.0,"decimal_places":2,"default_value":29.44,"zigbee_metadata":{"attr_id":61684,"endpoint_id":10,"profile_id":260,"cluster_id":513,"zcl_data_type":41,"write_formatter":"(x)=&gt;x*100","read_formatter":"(x)=&gt;x/100"}},</t>
  </si>
  <si>
    <t>display_brightness_low_light:{"type":"basic","data_type":"uint16","is_readonly":false,"reporting_type":"polled","poll_freq":86400,"min":1,"default_value":400,"zigbee_metadata":{"attr_id":14,"endpoint_id":10,"profile_id":260,"cluster_id":64517,"zcl_data_type":33}</t>
  </si>
  <si>
    <t>haptic_enabled:{"type":"attribute","data_type":"enum","is_readonly":false,"reporting_type":"polled","poll_freq":86400,"enum_values":["off","on","line_powered"],"default_value":"line_powered","zigbee_metadata":{"attr_id":9,"endpoint_id":10,"profile_id":260,"cluster_id":64517,"zcl_data_type":48,"write_formatter":"lambdax:{'off':0,'on':1,'line_powered':2}[x]","read_formatter":"lambdax:{0:'off',1:'on',2:'line_powered'}.get(x,'unknown')"}},</t>
  </si>
  <si>
    <t>deep_delta_setback:{"type":"shared","data_type":"float","is_readonly":false,"reporting_type":"polled","poll_freq":86400,"max":10.0,"min":0.0,"decimal_places":2,"default_value":5.0,"zigbee_metadata":{"attr_id":61685,"endpoint_id":10,"profile_id":260,"cluster_id":513,"zcl_data_type":33,"write_formatter":"(x)=&gt;x*100","read_formatter":"(x)=&gt;x/100"}},</t>
  </si>
  <si>
    <t>light_sensor_dark_threshold:{"type":"basic","data_type":"uint16","is_readonly":false,"reporting_type":"polled","poll_freq":86400,"max":4095,"default_value":4000,"zigbee_metadata":{"attr_id":15,"endpoint_id":10,"profile_id":260,"cluster_id":64517,"zcl_data_type":33}</t>
  </si>
  <si>
    <t>display_brightness_high_light:{"type":"attribute","data_type":"uint16","is_readonly":false,"reporting_type":"polled","poll_freq":86400,"min":1,"default_value":32000,"zigbee_metadata":{"attr_id":13,"endpoint_id":10,"profile_id":260,"cluster_id":64517,"zcl_data_type":33}},</t>
  </si>
  <si>
    <t>day_start_time:{"type":"shared","data_type":"uint16","is_readonly":false,"reporting_type":"polled","poll_freq":86400,"max":1439,"min":0,"default_value":360,"zigbee_metadata":{"attr_id":61687,"endpoint_id":10,"profile_id":260,"cluster_id":513,"zcl_data_type":33}},</t>
  </si>
  <si>
    <t>hidden_ap_enabled:{"type":"basic","data_type":"bool","is_readonly":false,"reporting_type":"polled","poll_freq":86400,"default_value":true,"zigbee_metadata":{"attr_id":22,"endpoint_id":10,"profile_id":260,"cluster_id":64517,"zcl_data_type":16,"read_formatter":"lambdax:bool(x)","write_formatter":"lambdax:int(x)"}</t>
  </si>
  <si>
    <t>display_brightness_low_light:{"type":"attribute","data_type":"uint16","is_readonly":false,"reporting_type":"polled","poll_freq":86400,"min":1,"default_value":400,"zigbee_metadata":{"attr_id":14,"endpoint_id":10,"profile_id":260,"cluster_id":64517,"zcl_data_type":33}},</t>
  </si>
  <si>
    <t>night_start_time:{"type":"shared","data_type":"uint16","is_readonly":false,"reporting_type":"polled","poll_freq":86400,"max":1439,"min":0,"default_value":1200,"zigbee_metadata":{"attr_id":61688,"endpoint_id":10,"profile_id":260,"cluster_id":513,"zcl_data_type":33}},</t>
  </si>
  <si>
    <t>show_mobile_app_notification:{"type":"basic","data_type":"bool","is_readonly":false,"reporting_type":"polled","poll_freq":86400,"default_value":true,"zigbee_metadata":{"attr_id":23,"endpoint_id":10,"profile_id":260,"cluster_id":64517,"zcl_data_type":16,"read_formatter":"lambdax:bool(x)","write_formatter":"lambdax:int(x)"}</t>
  </si>
  <si>
    <t>light_sensor_dark_threshold:{"type":"attribute","data_type":"uint16","is_readonly":false,"reporting_type":"polled","poll_freq":86400,"max":4095,"default_value":4000,"zigbee_metadata":{"attr_id":15,"endpoint_id":10,"profile_id":260,"cluster_id":64517,"zcl_data_type":33}},</t>
  </si>
  <si>
    <t>night_lock:{"type":"shared","data_type":"bool","is_readonly":false,"reporting_type":"polled","poll_freq":86400,"default_value":false,"zigbee_metadata":{"attr_id":61689,"endpoint_id":10,"profile_id":260,"cluster_id":513,"zcl_data_type":16,"read_formatter":"(x)=&gt;Boolean(x)","write_formatter":"(x)=&gt;+(x)"}},</t>
  </si>
  <si>
    <t>show_single_mode_available:{"type":"basic","data_type":"bool","is_readonly":false,"reporting_type":"polled","poll_freq":86400,"default_value":true,"zigbee_metadata":{"attr_id":21,"endpoint_id":10,"profile_id":260,"cluster_id":64517,"zcl_data_type":16,"read_formatter":"lambdax:bool(x)","write_formatter":"lambdax:int(x)"}</t>
  </si>
  <si>
    <t>hidden_ap_enabled:{"type":"attribute","data_type":"bool","is_readonly":false,"reporting_type":"polled","poll_freq":86400,"default_value":true,"zigbee_metadata":{"attr_id":22,"endpoint_id":10,"profile_id":260,"cluster_id":64517,"zcl_data_type":16,"read_formatter":"lambdax:bool(x)","write_formatter":"lambdax:int(x)"}},</t>
  </si>
  <si>
    <t>unocc_delay_based_on_schedule:{"type":"shared","data_type":"enum","is_readonly":false,"reporting_type":"polled","poll_freq":86400,"default_value":"day_night","enum_values":["day_night","schedule"],"zigbee_metadata":{"attr_id":61690,"endpoint_id":10,"profile_id":260,"cluster_id":513,"zcl_data_type":16,"write_formatter":"(x)=&gt;x={'day_night':0,'schedule':1}[x]","read_formatter":"(x)=&gt;x={0:'day_night',1:'schedule'}[x]"}},</t>
  </si>
  <si>
    <t>contact_change_events:{"type":"advanced","data_type":"uint16","is_readonly":true,"reporting_type":"diagnostic","zigbee_metadata":{"attr_id":154,"endpoint_id":10,"profile_id":260,"cluster_id":64516,"zcl_data_type":33}</t>
  </si>
  <si>
    <t>show_mobile_app_notification:{"type":"attribute","data_type":"bool","is_readonly":false,"reporting_type":"polled","poll_freq":86400,"default_value":true,"zigbee_metadata":{"attr_id":23,"endpoint_id":10,"profile_id":260,"cluster_id":64517,"zcl_data_type":16,"read_formatter":"lambdax:bool(x)","write_formatter":"lambdax:int(x)"}},</t>
  </si>
  <si>
    <t>unocc_delay_day_or_no_schedule:{"type":"shared","data_type":"uint16","is_readonly":false,"reporting_type":"polled","poll_freq":86400,"default_value":360,"zigbee_metadata":{"attr_id":61692,"endpoint_id":10,"profile_id":260,"cluster_id":513,"zcl_data_type":33}},</t>
  </si>
  <si>
    <t>state_variable_0:{"type":"basic","data_type":"uint8","is_readonly":false,"reporting_type":"reported","report_max":3600,"report_min":0,"default_value":0,"zigbee_metadata":{"attr_id":61550,"endpoint_id":10,"profile_id":260,"cluster_id":513,"zcl_data_type":32}</t>
  </si>
  <si>
    <t>show_available_modes:{"type":"attribute","data_type":"bool","is_readonly":false,"reporting_type":"polled","poll_freq":86400,"default_value":true,"zigbee_metadata":{"attr_id":21,"endpoint_id":10,"profile_id":260,"cluster_id":64517,"zcl_data_type":16,"read_formatter":"lambdax:bool(x)","write_formatter":"lambdax:int(x)"}},</t>
  </si>
  <si>
    <t>unocc_delay_night_or_schedule:{"type":"shared","data_type":"uint16","is_readonly":false,"reporting_type":"polled","poll_freq":86400,"default_value":1440,"zigbee_metadata":{"attr_id":61693,"endpoint_id":10,"profile_id":260,"cluster_id":513,"zcl_data_type":33}},</t>
  </si>
  <si>
    <t>state_variable_1:{"type":"basic","data_type":"uint8","is_readonly":false,"reporting_type":"reported","report_max":3600,"report_min":0,"default_value":0,"zigbee_metadata":{"attr_id":61551,"endpoint_id":10,"profile_id":260,"cluster_id":513,"zcl_data_type":32}</t>
  </si>
  <si>
    <t>contact_change_events:{"type":"attribute","data_type":"uint16","is_readonly":true,"reporting_type":"diagnostic","zigbee_metadata":{"attr_id":154,"endpoint_id":10,"profile_id":260,"cluster_id":64516,"zcl_data_type":33}},</t>
  </si>
  <si>
    <t>unocc_delay_deep_setback:{"type":"shared","data_type":"uint16","is_readonly":false,"reporting_type":"polled","poll_freq":86400,"default_value":1440,"zigbee_metadata":{"attr_id":61694,"endpoint_id":10,"profile_id":260,"cluster_id":513,"zcl_data_type":33}},</t>
  </si>
  <si>
    <t>state_variable_2:{"type":"basic","data_type":"uint8","is_readonly":false,"reporting_type":"reported","report_max":3600,"report_min":0,"default_value":0,"zigbee_metadata":{"attr_id":61552,"endpoint_id":10,"profile_id":260,"cluster_id":513,"zcl_data_type":32}</t>
  </si>
  <si>
    <t>state_variable_0:{"type":"combined","data_type":"uint8","is_readonly":false,"reporting_type":"reported","report_max":3600,"report_min":0,"default_value":0,"zigbee_metadata":{"attr_id":61550,"endpoint_id":10,"profile_id":260,"cluster_id":513,"zcl_data_type":32}},</t>
  </si>
  <si>
    <t>config_menu_password:{"type":"shared","data_type":"uint16","is_readonly":false,"reporting_type":"polled","poll_freq":86400,"default_value":50554,"zigbee_metadata":{"attr_id":0,"endpoint_id":10,"profile_id":260,"cluster_id":64517,"zcl_data_type":33}},</t>
  </si>
  <si>
    <t>state_variable_3:{"type":"basic","data_type":"uint8","is_readonly":false,"reporting_type":"reported","report_max":3600,"report_min":0,"default_value":0,"zigbee_metadata":{"attr_id":61553,"endpoint_id":10,"profile_id":260,"cluster_id":513,"zcl_data_type":32}</t>
  </si>
  <si>
    <t>state_variable_1:{"type":"combined","data_type":"uint8","is_readonly":false,"reporting_type":"reported","report_max":3600,"report_min":0,"default_value":0,"zigbee_metadata":{"attr_id":61551,"endpoint_id":10,"profile_id":260,"cluster_id":513,"zcl_data_type":32}},</t>
  </si>
  <si>
    <t>display_home_detailed:{"type":"shared","data_type":"enum","is_readonly":false,"reporting_type":"polled","poll_freq":86400,"enum_values":["minimal","medium","maximal"],"default_value":"medium","zigbee_metadata":{"attr_id":5,"endpoint_id":10,"profile_id":260,"cluster_id":64517,"zcl_data_type":48,"write_formatter":"(x)=&gt;x={'minimal':0,'medium':1,'maximal':2}[x]","read_formatter":"(x)=&gt;x={0:'minimal',1:'medium',2:'maximal'}[X]"}},</t>
  </si>
  <si>
    <t>dehumidification_first_stage_threshold:{"type":"advanced","data_type":"float","is_readonly":false,"reporting_type":"polled","poll_freq":86400,"max":10.0,"min":0.0,"decimal_places":2,"default_value":0,"zigbee_metadata":{"attr_id":61555,"endpoint_id":10,"profile_id":260,"cluster_id":513,"zcl_data_type":33,"write_formatter":"lambdax:int(round(x,2)*100)","read_formatter":"lambdax:x/100"}</t>
  </si>
  <si>
    <t>state_variable_0:{"type":"combined","data_type":"uint8","is_readonly":false,"reporting_type":"reported","report_max":900,"report_min":0,"default_value":0,"zigbee_metadata":{"attr_id":61550,"endpoint_id":10,"profile_id":260,"cluster_id":513,"zcl_data_type":32}},</t>
  </si>
  <si>
    <t>state_variable_2:{"type":"combined","data_type":"uint8","is_readonly":false,"reporting_type":"reported","report_max":3600,"report_min":0,"default_value":0,"zigbee_metadata":{"attr_id":61552,"endpoint_id":10,"profile_id":260,"cluster_id":513,"zcl_data_type":32}},</t>
  </si>
  <si>
    <t>haptic_enabled:{"type":"shared","data_type":"enum","is_readonly":false,"reporting_type":"polled","poll_freq":86400,"enum_values":["off","on","line_powered"],"default_value":"line_powered","zigbee_metadata":{"attr_id":9,"endpoint_id":10,"profile_id":260,"cluster_id":64517,"zcl_data_type":48,"write_formatter":"(x)=&gt;x={'off':0,'on':1,'line_powered':2}[x]","read_formatter":"(x)=&gt;x={0:'off',1:'on',2:'line_powered'}[x]"}},</t>
  </si>
  <si>
    <t>dehumidification_first_stage_timeout:{"type":"advanced","data_type":"uint8","is_readonly":false,"reporting_type":"polled","poll_freq":86400,"default_value":0,"zigbee_metadata":{"attr_id":61556,"endpoint_id":10,"profile_id":260,"cluster_id":513,"zcl_data_type":32}</t>
  </si>
  <si>
    <t>state_variable_1:{"type":"combined","data_type":"uint8","is_readonly":false,"reporting_type":"reported","report_max":900,"report_min":0,"default_value":0,"zigbee_metadata":{"attr_id":61551,"endpoint_id":10,"profile_id":260,"cluster_id":513,"zcl_data_type":32}},</t>
  </si>
  <si>
    <t>state_variable_3:{"type":"combined","data_type":"uint8","is_readonly":false,"reporting_type":"reported","report_max":3600,"report_min":0,"default_value":0,"zigbee_metadata":{"attr_id":61553,"endpoint_id":10,"profile_id":260,"cluster_id":513,"zcl_data_type":32}},</t>
  </si>
  <si>
    <t>display_brightness_high_light:{"type":"shared","data_type":"uint16","is_readonly":false,"reporting_type":"polled","poll_freq":86400,"min":1,"default_value":32000,"zigbee_metadata":{"attr_id":13,"endpoint_id":10,"profile_id":260,"cluster_id":64517,"zcl_data_type":33}},</t>
  </si>
  <si>
    <t>dehumidification_second_stage_timeout:{"type":"advanced","data_type":"uint8","is_readonly":false,"reporting_type":"polled","poll_freq":86400,"default_value":0,"zigbee_metadata":{"attr_id":61557,"endpoint_id":10,"profile_id":260,"cluster_id":513,"zcl_data_type":32}</t>
  </si>
  <si>
    <t>state_variable_2:{"type":"combined","data_type":"uint8","is_readonly":false,"reporting_type":"reported","report_max":900,"report_min":0,"default_value":0,"zigbee_metadata":{"attr_id":61552,"endpoint_id":10,"profile_id":260,"cluster_id":513,"zcl_data_type":32}},</t>
  </si>
  <si>
    <t>dehumidification_first_stage_threshold:{"type":"attribute","data_type":"float","is_readonly":false,"reporting_type":"polled","poll_freq":86400,"max":10.0,"min":0.0,"decimal_places":2,"default_value":0,"zigbee_metadata":{"attr_id":61555,"endpoint_id":10,"profile_id":260,"cluster_id":513,"zcl_data_type":33,"write_formatter":"lambdax:int(round(x,2)*100)","read_formatter":"lambdax:x/100"}},</t>
  </si>
  <si>
    <t>display_brightness_low_light:{"type":"shared","data_type":"uint16","is_readonly":false,"reporting_type":"polled","poll_freq":86400,"min":1,"default_value":400,"zigbee_metadata":{"attr_id":14,"endpoint_id":10,"profile_id":260,"cluster_id":64517,"zcl_data_type":33}},</t>
  </si>
  <si>
    <t>dehumidification_max_cycle_time:{"type":"advanced","data_type":"uint8","is_readonly":false,"reporting_type":"polled","poll_freq":86400,"default_value":0,"zigbee_metadata":{"attr_id":61559,"endpoint_id":10,"profile_id":260,"cluster_id":513,"zcl_data_type":32}</t>
  </si>
  <si>
    <t>state_variable_3:{"type":"combined","data_type":"uint8","is_readonly":false,"reporting_type":"reported","report_max":900,"report_min":0,"default_value":0,"zigbee_metadata":{"attr_id":61553,"endpoint_id":10,"profile_id":260,"cluster_id":513,"zcl_data_type":32}},</t>
  </si>
  <si>
    <t>dehumidification_first_stage_timeout:{"type":"attribute","data_type":"uint8","is_readonly":false,"reporting_type":"polled","poll_freq":86400,"default_value":0,"zigbee_metadata":{"attr_id":61556,"endpoint_id":10,"profile_id":260,"cluster_id":513,"zcl_data_type":32}},</t>
  </si>
  <si>
    <t>light_sensor_dark_threshold:{"type":"shared","data_type":"uint16","is_readonly":false,"reporting_type":"polled","poll_freq":86400,"max":4095,"default_value":4000,"zigbee_metadata":{"attr_id":15,"endpoint_id":10,"profile_id":260,"cluster_id":64517,"zcl_data_type":33}},</t>
  </si>
  <si>
    <t>manual_fan_max_time:{"type":"advanced","data_type":"uint16","is_readonly":false,"reporting_type":"polled","poll_freq":86400,"default_value":65535,"zigbee_metadata":{"attr_id":61545,"endpoint_id":10,"profile_id":260,"cluster_id":513,"zcl_data_type":33}</t>
  </si>
  <si>
    <t>dehumidification_second_stage_timeout:{"type":"attribute","data_type":"uint8","is_readonly":false,"reporting_type":"polled","poll_freq":86400,"default_value":0,"zigbee_metadata":{"attr_id":61557,"endpoint_id":10,"profile_id":260,"cluster_id":513,"zcl_data_type":32}},</t>
  </si>
  <si>
    <t>hidden_ap_enabled:{"type":"shared","data_type":"bool","is_readonly":false,"reporting_type":"polled","poll_freq":86400,"default_value":true,"zigbee_metadata":{"attr_id":22,"endpoint_id":10,"profile_id":260,"cluster_id":64517,"zcl_data_type":16,"read_formatter":"(x)=&gt;Boolean(x)","write_formatter":"(x)=&gt;+(x)"}},</t>
  </si>
  <si>
    <t>active_remote_controller:{"type":"basic","data_type":"enum","is_readonly":false,"reporting_type":"polled","poll_freq":86400,"default_value":"none","enum_values":["none","LG","Mitsubishi","Intesis"],"zigbee_metadata":{"attr_id":61560,"endpoint_id":10,"profile_id":260,"cluster_id":513,"zcl_data_type":48,"write_formatter":"lambdax:{'none':0,'LG':1,'Mitsubishi':2,'Intesis':4}[x]","read_formatter":"lambdax:{0:'none',1:'LG',2:'Mitsubishi',4:'Intesis'}.get(x,'unknown')"}</t>
  </si>
  <si>
    <t>dehumidification_max_cycle_time:{"type":"attribute","data_type":"uint8","is_readonly":false,"reporting_type":"polled","poll_freq":86400,"default_value":0,"zigbee_metadata":{"attr_id":61559,"endpoint_id":10,"profile_id":260,"cluster_id":513,"zcl_data_type":32}},</t>
  </si>
  <si>
    <t>show_mobile_app_notification:{"type":"shared","data_type":"bool","is_readonly":false,"reporting_type":"polled","poll_freq":86400,"default_value":true,"zigbee_metadata":{"attr_id":23,"endpoint_id":10,"profile_id":260,"cluster_id":64517,"zcl_data_type":16,"read_formatter":"(x)=&gt;Boolean(x)","write_formatter":"(x)=&gt;+(x)"}},</t>
  </si>
  <si>
    <t>remote_controller_auto_fan_disable:{"type":"basic","data_type":"bool","is_readonly":false,"reporting_type":"polled","poll_freq":86400,"default_value":false,"zigbee_metadata":{"attr_id":61561,"endpoint_id":10,"profile_id":260,"cluster_id":513,"zcl_data_type":24,"write_formatter":"lambdax:1ifxelse0","read_formatter":"lambdax:bool(x&amp;1)","bitmap":true,"bitmap_mask":1}</t>
  </si>
  <si>
    <t>dehumidification_first_stage_threshold:{"type":"attribute","data_type":"float","is_readonly":false,"reporting_type":"polled","poll_freq":86400,"max":10,"min":0,"decimal_places":2,"default_value":0,"zigbee_metadata":{"attr_id":61555,"endpoint_id":10,"profile_id":260,"cluster_id":513,"zcl_data_type":33,"write_formatter":"lambdax:int(round(x,2)*100)","read_formatter":"lambdax:x/100"}},</t>
  </si>
  <si>
    <t>manual_fan_max_time:{"type":"attribute","data_type":"uint16","is_readonly":false,"reporting_type":"polled","poll_freq":86400,"default_value":65535,"zigbee_metadata":{"attr_id":61545,"endpoint_id":10,"profile_id":260,"cluster_id":513,"zcl_data_type":33}},</t>
  </si>
  <si>
    <t>show_single_mode_available:{"type":"shared","data_type":"bool","is_readonly":false,"reporting_type":"polled","poll_freq":86400,"default_value":true,"zigbee_metadata":{"attr_id":21,"endpoint_id":10,"profile_id":260,"cluster_id":64517,"zcl_data_type":16,"read_formatter":"(x)=&gt;Boolean(x)","write_formatter":"(x)=&gt;+(x)"}},</t>
  </si>
  <si>
    <t>remote_controller_error_code:{"type":"basic","data_type":"int16","is_readonly":true,"reporting_type":"reported","report_max":3600,"report_min":0,"zigbee_metadata":{"attr_id":61562,"endpoint_id":10,"profile_id":260,"cluster_id":513,"zcl_data_type":49}</t>
  </si>
  <si>
    <t>active_remote_controller:{"type":"attribute","data_type":"enum","is_readonly":false,"reporting_type":"polled","poll_freq":86400,"default_value":"none","enum_values":["none","LG","Mitsubishi","Intesis"],"zigbee_metadata":{"attr_id":61560,"endpoint_id":10,"profile_id":260,"cluster_id":513,"zcl_data_type":48,"write_formatter":"lambdax:{'none':0,'LG':1,'Mitsubishi':2,'Intesis':4}[x]","read_formatter":"lambdax:{0:'none',1:'LG',2:'Mitsubishi',4:'Intesis'}.get(x,'unknown')"}},</t>
  </si>
  <si>
    <t>contact_change_events:{"type":"client","data_type":"uint16","is_readonly":true,"reporting_type":"diagnostic","zigbee_metadata":{"attr_id":154,"endpoint_id":10,"profile_id":260,"cluster_id":64516,"zcl_data_type":33}},</t>
  </si>
  <si>
    <t>changeover_relay_inverted:{"type":"advanced","data_type":"bool","is_readonly":false,"reporting_type":"polled","poll_freq":86400,"default_value":false,"zigbee_metadata":{"attr_id":61584,"endpoint_id":10,"profile_id":260,"cluster_id":513,"zcl_data_type":16,"read_formatter":"lambdax:bool(x)","write_formatter":"lambdax:int(x)"}</t>
  </si>
  <si>
    <t>remote_controller_auto_fan_disable:{"type":"attribute","data_type":"bool","is_readonly":false,"reporting_type":"polled","poll_freq":86400,"default_value":false,"zigbee_metadata":{"attr_id":61561,"endpoint_id":10,"profile_id":260,"cluster_id":513,"zcl_data_type":24,"write_formatter":"lambdax:1ifxelse0","read_formatter":"lambdax:bool(x&amp;1)"}},</t>
  </si>
  <si>
    <t>state_variable_0:{"type":"shared","data_type":"uint8","is_readonly":false,"reporting_type":"reported","report_max":3600,"report_min":0,"default_value":0,"zigbee_metadata":{"attr_id":61550,"endpoint_id":10,"profile_id":260,"cluster_id":513,"zcl_data_type":32}},</t>
  </si>
  <si>
    <t>aquastat_enabled:{"type":"advanced","data_type":"bool","is_readonly":false,"reporting_type":"polled","poll_freq":86400,"default_value":false,"zigbee_metadata":{"attr_id":61600,"endpoint_id":10,"profile_id":260,"cluster_id":513,"zcl_data_type":16,"read_formatter":"lambdax:bool(x)","write_formatter":"lambdax:int(x)"}</t>
  </si>
  <si>
    <t>remote_controller_error_code:{"type":"telemetry","data_type":"int16","is_readonly":true,"reporting_type":"reported","report_max":3600,"report_min":0,"zigbee_metadata":{"attr_id":61562,"endpoint_id":10,"profile_id":260,"cluster_id":513,"zcl_data_type":49}},</t>
  </si>
  <si>
    <t>state_variable_1:{"type":"shared","data_type":"uint8","is_readonly":false,"reporting_type":"reported","report_max":3600,"report_min":0,"default_value":0,"zigbee_metadata":{"attr_id":61551,"endpoint_id":10,"profile_id":260,"cluster_id":513,"zcl_data_type":32}},</t>
  </si>
  <si>
    <t>aquastat_low_temp_threshold:{"type":"advanced","data_type":"float","is_readonly":false,"reporting_type":"polled","poll_freq":86400,"default_value":0,"decimal_places":2,"zigbee_metadata":{"attr_id":61601,"endpoint_id":10,"profile_id":260,"cluster_id":513,"zcl_data_type":41,"write_formatter":"lambdax:int(round(x,2)*100)","read_formatter":"lambdax:x/100"}</t>
  </si>
  <si>
    <t>changeover_relay_inverted:{"type":"attribute","data_type":"bool","is_readonly":false,"reporting_type":"polled","poll_freq":86400,"default_value":false,"zigbee_metadata":{"attr_id":61584,"endpoint_id":10,"profile_id":260,"cluster_id":513,"zcl_data_type":16,"read_formatter":"lambdax:bool(x)","write_formatter":"lambdax:int(x)"}},</t>
  </si>
  <si>
    <t>state_variable_2:{"type":"shared","data_type":"uint8","is_readonly":false,"reporting_type":"reported","report_max":3600,"report_min":0,"default_value":0,"zigbee_metadata":{"attr_id":61552,"endpoint_id":10,"profile_id":260,"cluster_id":513,"zcl_data_type":32}},</t>
  </si>
  <si>
    <t>aquastat_high_temp_threshold:{"type":"advanced","data_type":"float","is_readonly":false,"reporting_type":"polled","poll_freq":86400,"default_value":0,"decimal_places":2,"zigbee_metadata":{"attr_id":61602,"endpoint_id":10,"profile_id":260,"cluster_id":513,"zcl_data_type":41,"write_formatter":"lambdax:int(round(x,2)*100)","read_formatter":"lambdax:x/100"}</t>
  </si>
  <si>
    <t>aquastat_enabled:{"type":"attribute","data_type":"bool","is_readonly":false,"reporting_type":"polled","poll_freq":86400,"default_value":false,"zigbee_metadata":{"attr_id":61600,"endpoint_id":10,"profile_id":260,"cluster_id":513,"zcl_data_type":16,"read_formatter":"lambdax:bool(x)","write_formatter":"lambdax:int(x)"}},</t>
  </si>
  <si>
    <t>state_variable_3:{"type":"shared","data_type":"uint8","is_readonly":false,"reporting_type":"reported","report_max":3600,"report_min":0,"default_value":0,"zigbee_metadata":{"attr_id":61553,"endpoint_id":10,"profile_id":260,"cluster_id":513,"zcl_data_type":32}},</t>
  </si>
  <si>
    <t>aquastat_hysteresis_time:{"type":"advanced","data_type":"uint8","is_readonly":false,"reporting_type":"polled","poll_freq":86400,"default_value":5,"zigbee_metadata":{"attr_id":61603,"endpoint_id":10,"profile_id":260,"cluster_id":513,"zcl_data_type":32}</t>
  </si>
  <si>
    <t>aquastat_low_temp_threshold:{"type":"attribute","data_type":"float","is_readonly":false,"reporting_type":"polled","poll_freq":86400,"default_value":0,"decimal_places":2,"zigbee_metadata":{"attr_id":61601,"endpoint_id":10,"profile_id":260,"cluster_id":513,"zcl_data_type":41,"write_formatter":"lambdax:int(round(x,2)*100)","read_formatter":"lambdax:x/100"}},</t>
  </si>
  <si>
    <t>dehumidification_first_stage_threshold:{"type":"shared","data_type":"float","is_readonly":false,"reporting_type":"polled","poll_freq":86400,"max":10.0,"min":0.0,"decimal_places":2,"default_value":0,"zigbee_metadata":{"attr_id":61555,"endpoint_id":10,"profile_id":260,"cluster_id":513,"zcl_data_type":33,"write_formatter":"(x)=&gt;x*100","read_formatter":"(x)=&gt;x/100"}},</t>
  </si>
  <si>
    <t>aquastat_changeover_min_period:{"type":"advanced","data_type":"uint16","is_readonly":false,"reporting_type":"polled","poll_freq":86400,"default_value":240,"zigbee_metadata":{"attr_id":61604,"endpoint_id":10,"profile_id":260,"cluster_id":513,"zcl_data_type":33}</t>
  </si>
  <si>
    <t>aquastat_high_temp_threshold:{"type":"attribute","data_type":"float","is_readonly":false,"reporting_type":"polled","poll_freq":86400,"default_value":0,"decimal_places":2,"zigbee_metadata":{"attr_id":61602,"endpoint_id":10,"profile_id":260,"cluster_id":513,"zcl_data_type":41,"write_formatter":"lambdax:int(round(x,2)*100)","read_formatter":"lambdax:x/100"}},</t>
  </si>
  <si>
    <t>dehumidification_first_stage_timeout:{"type":"shared","data_type":"uint8","is_readonly":false,"reporting_type":"polled","poll_freq":86400,"default_value":0,"zigbee_metadata":{"attr_id":61556,"endpoint_id":10,"profile_id":260,"cluster_id":513,"zcl_data_type":32}},</t>
  </si>
  <si>
    <t>aquastat_chilled_cool_mode_available:{"type":"advanced","data_type":"bool","is_readonly":false,"reporting_type":"polled","poll_freq":86400,"default_value":true,"zigbee_metadata":{"attr_id":61605,"endpoint_id":10,"profile_id":260,"cluster_id":513,"zcl_data_type":24,"write_formatter":"lambdax:1ifxelse0","read_formatter":"lambdax:bool(x&amp;1)","bitmap":true,"bitmap_mask":1}</t>
  </si>
  <si>
    <t>aquastat_hysteresis_time:{"type":"attribute","data_type":"uint8","is_readonly":false,"reporting_type":"polled","poll_freq":86400,"default_value":5,"zigbee_metadata":{"attr_id":61603,"endpoint_id":10,"profile_id":260,"cluster_id":513,"zcl_data_type":32}},</t>
  </si>
  <si>
    <t>dehumidification_second_stage_timeout:{"type":"shared","data_type":"uint8","is_readonly":false,"reporting_type":"polled","poll_freq":86400,"default_value":0,"zigbee_metadata":{"attr_id":61557,"endpoint_id":10,"profile_id":260,"cluster_id":513,"zcl_data_type":32}},</t>
  </si>
  <si>
    <t>aquastat_chilled_heat_mode_available:{"type":"advanced","data_type":"bool","is_readonly":false,"reporting_type":"polled","poll_freq":86400,"default_value":false,"zigbee_metadata":{"attr_id":61605,"endpoint_id":10,"profile_id":260,"cluster_id":513,"zcl_data_type":24,"write_formatter":"lambdax:2ifxelse0","read_formatter":"lambdax:bool(x&amp;2)","bitmap":true,"bitmap_mask":2}</t>
  </si>
  <si>
    <t>aquastat_changeover_min_period:{"type":"attribute","data_type":"uint16","is_readonly":false,"reporting_type":"polled","poll_freq":86400,"default_value":240,"zigbee_metadata":{"attr_id":61604,"endpoint_id":10,"profile_id":260,"cluster_id":513,"zcl_data_type":33}},</t>
  </si>
  <si>
    <t>dehumidification_max_cycle_time:{"type":"shared","data_type":"uint8","is_readonly":false,"reporting_type":"polled","poll_freq":86400,"default_value":0,"zigbee_metadata":{"attr_id":61559,"endpoint_id":10,"profile_id":260,"cluster_id":513,"zcl_data_type":32}},</t>
  </si>
  <si>
    <t>aquastat_chilled_auto_mode_available:{"type":"advanced","data_type":"bool","is_readonly":false,"reporting_type":"polled","poll_freq":86400,"default_value":false,"zigbee_metadata":{"attr_id":61605,"endpoint_id":10,"profile_id":260,"cluster_id":513,"zcl_data_type":24,"write_formatter":"lambdax:4ifxelse0","read_formatter":"lambdax:bool(x&amp;4)","bitmap":true,"bitmap_mask":4}</t>
  </si>
  <si>
    <t>aquastat_chilled_modes_available:{"type":"attribute","data_type":"enum","is_readonly":false,"reporting_type":"polled","poll_freq":86400,"enum_values":["cool_only","heat_only","cool+heat","auto"],"default_value":"cool_only","zigbee_metadata":{"attr_id":61605,"endpoint_id":10,"profile_id":260,"cluster_id":513,"zcl_data_type":24,"write_formatter":"lambdax:{'cool_only':1,'heat_only':2,'cool+heat':3,'auto':4}[x]","read_formatter":"lambdax:{1:'cool_only',2:'heat_only',3:'cool+heat',4:'auto'}.get(x,'unknown')"}},</t>
  </si>
  <si>
    <t>manual_fan_max_time:{"type":"shared","data_type":"uint16","is_readonly":false,"reporting_type":"polled","poll_freq":86400,"default_value":65535,"zigbee_metadata":{"attr_id":61545,"endpoint_id":10,"profile_id":260,"cluster_id":513,"zcl_data_type":33}},</t>
  </si>
  <si>
    <t>aquastat_heated_cool_mode_available:{"type":"advanced","data_type":"bool","is_readonly":false,"reporting_type":"polled","poll_freq":86400,"default_value":false,"zigbee_metadata":{"attr_id":61606,"endpoint_id":10,"profile_id":260,"cluster_id":513,"zcl_data_type":24,"write_formatter":"lambdax:1ifxelse0","read_formatter":"lambdax:bool(x&amp;1)","bitmap":true,"bitmap_mask":1}</t>
  </si>
  <si>
    <t>aquastat_heated_modes_available:{"type":"attribute","data_type":"enum","is_readonly":false,"reporting_type":"polled","poll_freq":86400,"enum_values":["cool_only","heat_only","cool+heat","auto"],"default_value":"heat_only","zigbee_metadata":{"attr_id":61606,"endpoint_id":10,"profile_id":260,"cluster_id":513,"zcl_data_type":24,"write_formatter":"lambdax:{'cool_only':1,'heat_only':2,'cool+heat':3,'auto':4}[x]","read_formatter":"lambdax:{1:'cool_only',2:'heat_only',3:'cool+heat',4:'auto'}.get(x,'unknown')"}},</t>
  </si>
  <si>
    <t>active_remote_controller:{"type":"shared","data_type":"enum","is_readonly":false,"reporting_type":"polled","poll_freq":86400,"default_value":"none","enum_values":["none","LG","Mitsubishi","Intesis"],"zigbee_metadata":{"attr_id":61560,"endpoint_id":10,"profile_id":260,"cluster_id":513,"zcl_data_type":48,"write_formatter":"(x)=&gt;x={'none':0,'LG':1,'Mitsubishi':2,'Intesis':4}[x]","read_formatter":"(x)=&gt;x={0:'none',1:'LG',2:'Mitsubishi',4:'Intesis'}[x]"}},</t>
  </si>
  <si>
    <t>aquastat_heated_heat_mode_available:{"type":"advanced","data_type":"bool","is_readonly":false,"reporting_type":"polled","poll_freq":86400,"default_value":true,"zigbee_metadata":{"attr_id":61606,"endpoint_id":10,"profile_id":260,"cluster_id":513,"zcl_data_type":24,"write_formatter":"lambdax:2ifxelse0","read_formatter":"lambdax:bool(x&amp;2)","bitmap":true,"bitmap_mask":2}</t>
  </si>
  <si>
    <t>aquastat_chilled_changeover_mode:{"type":"attribute","data_type":"enum","is_readonly":false,"reporting_type":"polled","poll_freq":86400,"default_value":"cool","enum_values":["off","cool","heat","auto"],"zigbee_metadata":{"attr_id":61607,"endpoint_id":10,"profile_id":260,"cluster_id":513,"zcl_data_type":48,"write_formatter":"lambdax:{'off':0,'auto':1,'cool':3,'heat':4}[x]","read_formatter":"lambdax:{0:'off',1:'auto',3:'cool',4:'heat'}.get(x,'unknown')"}},</t>
  </si>
  <si>
    <t>remote_controller_auto_fan_disable:{"type":"shared","data_type":"bool","is_readonly":false,"reporting_type":"polled","poll_freq":86400,"default_value":false,"zigbee_metadata":{"attr_id":61561,"endpoint_id":10,"profile_id":260,"cluster_id":513,"zcl_data_type":24,"write_formatter":"(x)=&gt;x={false:0,true:1}[x]","read_formatter":"(x)=&gt;Boolean(x&amp;1)","bitmap":true,"bitmap_mask":1}},</t>
  </si>
  <si>
    <t>aquastat_heated_auto_mode_available:{"type":"advanced","data_type":"bool","is_readonly":false,"reporting_type":"polled","poll_freq":86400,"default_value":false,"zigbee_metadata":{"attr_id":61606,"endpoint_id":10,"profile_id":260,"cluster_id":513,"zcl_data_type":24,"write_formatter":"lambdax:4ifxelse0","read_formatter":"lambdax:bool(x&amp;4)","bitmap":true,"bitmap_mask":4}</t>
  </si>
  <si>
    <t>aquastat_heated_changeover_mode:{"type":"attribute","data_type":"enum","is_readonly":false,"reporting_type":"polled","poll_freq":86400,"default_value":"heat","enum_values":["off","cool","heat","auto"],"zigbee_metadata":{"attr_id":61608,"endpoint_id":10,"profile_id":260,"cluster_id":513,"zcl_data_type":48,"write_formatter":"lambdax:{'off':0,'auto':1,'cool':3,'heat':4}[x]","read_formatter":"lambdax:{0:'off',1:'auto',3:'cool',4:'heat'}.get(x,'unknown')"}},</t>
  </si>
  <si>
    <t>remote_controller_error_code:{"type":"client","data_type":"int16","is_readonly":true,"reporting_type":"reported","report_max":3600,"report_min":0,"zigbee_metadata":{"attr_id":61562,"endpoint_id":10,"profile_id":260,"cluster_id":513,"zcl_data_type":49}},</t>
  </si>
  <si>
    <t>aquastat_chilled_changeover_mode:{"type":"advanced","data_type":"enum","is_readonly":false,"reporting_type":"polled","poll_freq":86400,"default_value":"cool","enum_values":["off","cool","heat","auto"],"zigbee_metadata":{"attr_id":61607,"endpoint_id":10,"profile_id":260,"cluster_id":513,"zcl_data_type":48,"write_formatter":"lambdax:{'off':0,'auto':1,'cool':3,'heat':4}[x]","read_formatter":"lambdax:{0:'off',1:'auto',3:'cool',4:'heat'}.get(x,'unknown')"}</t>
  </si>
  <si>
    <t>active_remote_controller:{"type":"attribute","data_type":"enum","is_readonly":false,"reporting_type":"polled","poll_freq":86400,"default_value":"none","enum_values":["none","Intesis","Mitsubishi","LGModbus","LGZigbee","IRGateway"],"zigbee_metadata":{"attr_id":61560,"endpoint_id":10,"profile_id":260,"cluster_id":513,"zcl_data_type":48,"write_formatter":"lambdax:{'none':0,'LGZigbee':1,'Mitsubishi':2,'Intesis':4,'LGModbus':5,'IRGateway':6}[x]","read_formatter":"lambdax:{0:'none',1:'LGZigbee',2:'Mitsubishi',4:'Intesis',5:'LGModbus',6:'IRGateway'}.get(x,'unknown')"}},</t>
  </si>
  <si>
    <t>lanai_enabled:{"type":"attribute","data_type":"bool","is_readonly":false,"reporting_type":"polled","poll_freq":86400,"default_value":false,"zigbee_metadata":{"attr_id":61616,"endpoint_id":10,"profile_id":260,"cluster_id":513,"zcl_data_type":16,"read_formatter":"lambdax:bool(x)","write_formatter":"lambdax:int(x)"}},</t>
  </si>
  <si>
    <t>changeover_relay_inverted:{"type":"shared","data_type":"bool","is_readonly":false,"reporting_type":"polled","poll_freq":86400,"default_value":false,"zigbee_metadata":{"attr_id":61584,"endpoint_id":10,"profile_id":260,"cluster_id":513,"zcl_data_type":16,"read_formatter":"(x)=&gt;Boolean(x)","write_formatter":"(x)=&gt;+(x)"}},</t>
  </si>
  <si>
    <t>aquastat_heated_changeover_mode:{"type":"advanced","data_type":"enum","is_readonly":false,"reporting_type":"polled","poll_freq":86400,"default_value":"heat","enum_values":["off","cool","heat","auto"],"zigbee_metadata":{"attr_id":61608,"endpoint_id":10,"profile_id":260,"cluster_id":513,"zcl_data_type":48,"write_formatter":"lambdax:{'off':0,'auto':1,'cool':3,'heat':4}[x]","read_formatter":"lambdax:{0:'off',1:'auto',3:'cool',4:'heat'}.get(x,'unknown')"}</t>
  </si>
  <si>
    <t>lanai_delay_time:{"type":"attribute","data_type":"uint16","is_readonly":false,"reporting_type":"polled","poll_freq":86400,"default_value":60,"zigbee_metadata":{"attr_id":61617,"endpoint_id":10,"profile_id":260,"cluster_id":513,"zcl_data_type":33}},</t>
  </si>
  <si>
    <t>aquastat_enabled:{"type":"share","data_type":"bool","is_readonly":false,"reporting_type":"polled","poll_freq":86400,"default_value":false,"zigbee_metadata":{"attr_id":61600,"endpoint_id":10,"profile_id":260,"cluster_id":513,"zcl_data_type":16,"read_formatter":"(x)=&gt;Boolean(x)","write_formatter":"(x)=&gt;+(x)"}},</t>
  </si>
  <si>
    <t>lanai_enabled:{"type":"basic","data_type":"bool","is_readonly":false,"reporting_type":"polled","poll_freq":86400,"default_value":false,"zigbee_metadata":{"attr_id":61616,"endpoint_id":10,"profile_id":260,"cluster_id":513,"zcl_data_type":16,"read_formatter":"lambdax:bool(x)","write_formatter":"lambdax:int(x)"}</t>
  </si>
  <si>
    <t>lanai_entry_offline_time:{"type":"attribute","data_type":"uint8","is_readonly":false,"reporting_type":"polled","poll_freq":86400,"default_value":16,"zigbee_metadata":{"attr_id":61618,"endpoint_id":10,"profile_id":260,"cluster_id":513,"zcl_data_type":32}},</t>
  </si>
  <si>
    <t>aquastat_low_temp_threshold:{"type":"shared","data_type":"float","is_readonly":false,"reporting_type":"polled","poll_freq":86400,"default_value":0,"decimal_places":2,"zigbee_metadata":{"attr_id":61601,"endpoint_id":10,"profile_id":260,"cluster_id":513,"zcl_data_type":41,"write_formatter":"(x)=&gt;x*100","read_formatter":"(x)=&gt;x/100"}},</t>
  </si>
  <si>
    <t>lanai_delay_time:{"type":"basic","data_type":"uint16","is_readonly":false,"reporting_type":"polled","poll_freq":86400,"default_value":60,"zigbee_metadata":{"attr_id":61617,"endpoint_id":10,"profile_id":260,"cluster_id":513,"zcl_data_type":33}</t>
  </si>
  <si>
    <t>unocc_delay_exit_event:{"type":"attribute","data_type":"uint8","is_readonly":false,"reporting_type":"polled","poll_freq":86400,"default_value":5,"zigbee_metadata":{"attr_id":61704,"endpoint_id":10,"profile_id":260,"cluster_id":513,"zcl_data_type":32}},</t>
  </si>
  <si>
    <t>aquastat_high_temp_threshold:{"type":"shared","data_type":"float","is_readonly":false,"reporting_type":"polled","poll_freq":86400,"default_value":0,"decimal_places":2,"zigbee_metadata":{"attr_id":61602,"endpoint_id":10,"profile_id":260,"cluster_id":513,"zcl_data_type":41,"write_formatter":"(x)=&gt;x*100","read_formatter":"(x)=&gt;x/100"}},</t>
  </si>
  <si>
    <t>lanai_entry_offline_time:{"type":"basic","data_type":"uint8","is_readonly":false,"reporting_type":"polled","poll_freq":86400,"default_value":16,"zigbee_metadata":{"attr_id":61618,"endpoint_id":10,"profile_id":260,"cluster_id":513,"zcl_data_type":32}</t>
  </si>
  <si>
    <t>display_more_button_disabled:{"type":"attribute","data_type":"bool","is_readonly":false,"reporting_type":"polled","poll_freq":86400,"default_value":false,"zigbee_metadata":{"attr_id":25,"endpoint_id":10,"profile_id":260,"cluster_id":64517,"zcl_data_type":16,"read_formatter":"lambdax:bool(x)","write_formatter":"lambdax:int(x)"}},</t>
  </si>
  <si>
    <t>aquastat_hysteresis_time:{"type":"shared","data_type":"uint8","is_readonly":false,"reporting_type":"polled","poll_freq":86400,"default_value":5,"zigbee_metadata":{"attr_id":61603,"endpoint_id":10,"profile_id":260,"cluster_id":513,"zcl_data_type":32}},</t>
  </si>
  <si>
    <t>unocc_delay_exit_event:{"type":"advanced","data_type":"uint8","is_readonly":false,"reporting_type":"polled","poll_freq":86400,"default_value":5,"zigbee_metadata":{"attr_id":61704,"endpoint_id":10,"profile_id":260,"cluster_id":513,"zcl_data_type":32}</t>
  </si>
  <si>
    <t>reporting_type:{"type":"attribute","data_type":"enum","is_readonly":false,"reporting_type":"polled","poll_freq":86400,"default_value":"wifi","enum_values":["forwarding","wifi"],"zigbee_metadata":{"attr_id":24,"endpoint_id":10,"profile_id":260,"cluster_id":64517,"zcl_data_type":32,"write_formatter":"lambdax:{'forwarding':0,'wifi':1}[x]","read_formatter":"lambdax:{0:'forwarding',1:'wifi'}.get(x,'unknown')"}},</t>
  </si>
  <si>
    <t>aquastat_changeover_min_period:{"type":"shared","data_type":"uint16","is_readonly":false,"reporting_type":"polled","poll_freq":86400,"default_value":240,"zigbee_metadata":{"attr_id":61604,"endpoint_id":10,"profile_id":260,"cluster_id":513,"zcl_data_type":33}},</t>
  </si>
  <si>
    <t>display_more_button_enabled:{"type":"basic","data_type":"bool","is_readonly":false,"reporting_type":"polled","poll_freq":86400,"default_value":true,"zigbee_metadata":{"attr_id":25,"endpoint_id":10,"profile_id":260,"cluster_id":64517,"zcl_data_type":16,"read_formatter":"lambdax:not(bool(x))","write_formatter":"lambdax:int(not(x))"}</t>
  </si>
  <si>
    <t>zigbee_enabled:{"type":"attribute","data_type":"bool","is_readonly":true,"reporting_type":"polled","poll_freq":86400,"zigbee_metadata":{"attr_id":3,"endpoint_id":10,"profile_id":260,"cluster_id":0,"zcl_data_type":32,"read_formatter":"lambdax:not(bool(x))"}},</t>
  </si>
  <si>
    <t>aquastat_chilled_cool_mode_available:{"type":"shared","data_type":"bool","is_readonly":false,"reporting_type":"polled","poll_freq":86400,"default_value":true,"zigbee_metadata":{"attr_id":61605,"endpoint_id":10,"profile_id":260,"cluster_id":513,"zcl_data_type":24,"write_formatter":"(x)=&gt;x={false:0,true:1}[x]","read_formatter":"(x)=&gt;Boolean(x&amp;1)","bitmap":true,"bitmap_mask":1}},</t>
  </si>
  <si>
    <t>reporting_type:{"type":"advanced","data_type":"enum","is_readonly":false,"reporting_type":"polled","poll_freq":86400,"default_value":"wifi","enum_values":["forwarding","wifi"],"zigbee_metadata":{"attr_id":24,"endpoint_id":10,"profile_id":260,"cluster_id":64517,"zcl_data_type":32,"write_formatter":"lambdax:{'forwarding':0,'wifi':1}[x]","read_formatter":"lambdax:{0:'forwarding',1:'wifi'}.get(x,'unknown')"}</t>
  </si>
  <si>
    <t>display_thermostat_menu_enabled:{"type":"attribute","data_type":"bool","is_readonly":false,"reporting_type":"polled","poll_freq":86400,"default_value":false,"zigbee_metadata":{"attr_id":27,"endpoint_id":10,"profile_id":260,"cluster_id":64517,"zcl_data_type":16,"read_formatter":"lambdax:bool(x)","write_formatter":"lambdax:int(x)"}},</t>
  </si>
  <si>
    <t>aquastat_chilled_heat_mode_available:{"type":"shared","data_type":"bool","is_readonly":false,"reporting_type":"polled","poll_freq":86400,"default_value":false,"zigbee_metadata":{"attr_id":61605,"endpoint_id":10,"profile_id":260,"cluster_id":513,"zcl_data_type":24,"write_formatter":"(x)=&gt;x={false:0,true:2}[x]","read_formatter":"(x)=&gt;Boolean(x&amp;2)","bitmap":true,"bitmap_mask":2}},</t>
  </si>
  <si>
    <t>zigbee_enabled:{"type":"basic","data_type":"bool","is_readonly":true,"reporting_type":"polled","poll_freq":86400,"zigbee_metadata":{"attr_id":3,"endpoint_id":10,"profile_id":260,"cluster_id":0,"zcl_data_type":32,"read_formatter":"lambdax:not(bool(x))"}</t>
  </si>
  <si>
    <t>scenes_occ:{"type":"attribute","data_type":"bool","is_readonly":true,"reporting_type":"reported","report_max":3600,"report_min":0,"zigbee_metadata":{"attr_id":61440,"endpoint_id":10,"profile_id":260,"cluster_id":5,"zcl_data_type":16,"read_formatter":"lambdax:bool(x)"}},</t>
  </si>
  <si>
    <t>aquastat_chilled_auto_mode_available:{"type":"shared","data_type":"bool","is_readonly":false,"reporting_type":"polled","poll_freq":86400,"default_value":false,"zigbee_metadata":{"attr_id":61605,"endpoint_id":10,"profile_id":260,"cluster_id":513,"zcl_data_type":24,"write_formatter":"(x)=&gt;x={false:0,true:4}[x]","read_formatter":"(x)=&gt;Boolean(x&amp;4)","bitmap":true,"bitmap_mask":4}},</t>
  </si>
  <si>
    <t>display_thermostat_menu_enabled:{"type":"basic","data_type":"bool","is_readonly":false,"reporting_type":"polled","poll_freq":86400,"default_value":false,"zigbee_metadata":{"attr_id":27,"endpoint_id":10,"profile_id":260,"cluster_id":64517,"zcl_data_type":16,"read_formatter":"lambdax:bool(x)","write_formatter":"lambdax:int(x)"}</t>
  </si>
  <si>
    <t>scenes_occ_aux:{"type":"attribute","data_type":"bool","is_readonly":true,"reporting_type":"reported","report_max":3600,"report_min":0,"zigbee_metadata":{"attr_id":61441,"endpoint_id":10,"profile_id":260,"cluster_id":5,"zcl_data_type":16,"read_formatter":"lambdax:bool(x)"}},</t>
  </si>
  <si>
    <t>aquastat_heated_cool_mode_available:{"type":"shared","data_type":"bool","is_readonly":false,"reporting_type":"polled","poll_freq":86400,"default_value":false,"zigbee_metadata":{"attr_id":61606,"endpoint_id":10,"profile_id":260,"cluster_id":513,"zcl_data_type":24,"write_formatter":"(x)=&gt;x={false:0,true:1}[x]","read_formatter":"(x)=&gt;Boolean(x&amp;1)","bitmap":true,"bitmap_mask":1}},</t>
  </si>
  <si>
    <t>scenes_occ:{"type":"advanced","data_type":"bool","is_readonly":true,"reporting_type":"reported","report_max":3600,"report_min":0,"zigbee_metadata":{"attr_id":61440,"endpoint_id":10,"profile_id":260,"cluster_id":5,"zcl_data_type":16,"read_formatter":"lambdax:bool(x)"}</t>
  </si>
  <si>
    <t>scenes_unocc_delay:{"type":"attribute","data_type":"uint16","is_readonly":false,"reporting_type":"polled","poll_freq":86400,"default_value":480,"zigbee_metadata":{"attr_id":61442,"endpoint_id":10,"profile_id":260,"cluster_id":5,"zcl_data_type":33}},</t>
  </si>
  <si>
    <t>aquastat_heated_heat_mode_available:{"type":"shared","data_type":"bool","is_readonly":false,"reporting_type":"polled","poll_freq":86400,"default_value":true,"zigbee_metadata":{"attr_id":61606,"endpoint_id":10,"profile_id":260,"cluster_id":513,"zcl_data_type":24,"write_formatter":"(x)=&gt;x={false:0,true:2}[x]","read_formatter":"(x)=&gt;Boolean(x&amp;2)","bitmap":true,"bitmap_mask":2}},</t>
  </si>
  <si>
    <t>scenes_occ_aux:{"type":"advanced","data_type":"bool","is_readonly":true,"reporting_type":"reported","report_max":3600,"report_min":0,"zigbee_metadata":{"attr_id":61441,"endpoint_id":10,"profile_id":260,"cluster_id":5,"zcl_data_type":16,"read_formatter":"lambdax:bool(x)"}</t>
  </si>
  <si>
    <t>scenes_unocc_aux_delay:{"type":"attribute","data_type":"uint16","is_readonly":false,"reporting_type":"polled","poll_freq":86400,"default_value":1440,"zigbee_metadata":{"attr_id":61443,"endpoint_id":10,"profile_id":260,"cluster_id":5,"zcl_data_type":33}},</t>
  </si>
  <si>
    <t>aquastat_heated_auto_mode_available:{"type":"shared","data_type":"bool","is_readonly":false,"reporting_type":"polled","poll_freq":86400,"default_value":false,"zigbee_metadata":{"attr_id":61606,"endpoint_id":10,"profile_id":260,"cluster_id":513,"zcl_data_type":24,"write_formatter":"(x)=&gt;x={false:0,true:4}[x]","read_formatter":"(x)=&gt;Boolean(x&amp;4)","bitmap":true,"bitmap_mask":4}},</t>
  </si>
  <si>
    <t>scenes_unocc_delay:{"type":"advanced","data_type":"uint16","is_readonly":false,"reporting_type":"polled","poll_freq":86400,"default_value":480,"zigbee_metadata":{"attr_id":61442,"endpoint_id":10,"profile_id":260,"cluster_id":5,"zcl_data_type":33}</t>
  </si>
  <si>
    <t>time_to_scenes_unocc:{"type":"attribute","data_type":"uint32","is_readonly":true,"reporting_type":"diagnostic","zigbee_metadata":{"attr_id":61444,"endpoint_id":10,"profile_id":260,"cluster_id":5,"zcl_data_type":35}},</t>
  </si>
  <si>
    <t>aquastat_chilled_changeover_mode:{"type":"shared","data_type":"enum","is_readonly":false,"reporting_type":"polled","poll_freq":86400,"default_value":"cool","enum_values":["off","cool","heat","auto"],"zigbee_metadata":{"attr_id":61607,"endpoint_id":10,"profile_id":260,"cluster_id":513,"zcl_data_type":48,"write_formatter":"(x)=&gt;x={'off':0,'auto':1,'cool':3,'heat':4}[x]","read_formatter":"(x)=&gt;x={0:'off',1:'auto',3:'cool',4:'heat'}[x]"}},</t>
  </si>
  <si>
    <t>scenes_unocc_aux_delay:{"type":"advanced","data_type":"uint16","is_readonly":false,"reporting_type":"polled","poll_freq":86400,"default_value":1440,"zigbee_metadata":{"attr_id":61443,"endpoint_id":10,"profile_id":260,"cluster_id":5,"zcl_data_type":33}</t>
  </si>
  <si>
    <t>time_to_scenes_unocc_aux:{"type":"attribute","data_type":"uint32","is_readonly":true,"reporting_type":"diagnostic","zigbee_metadata":{"attr_id":61445,"endpoint_id":10,"profile_id":260,"cluster_id":5,"zcl_data_type":35}},</t>
  </si>
  <si>
    <t>aquastat_heated_changeover_mode:{"type":"shared","data_type":"enum","is_readonly":false,"reporting_type":"polled","poll_freq":86400,"default_value":"heat","enum_values":["off","cool","heat","auto"],"zigbee_metadata":{"attr_id":61608,"endpoint_id":10,"profile_id":260,"cluster_id":513,"zcl_data_type":48,"write_formatter":"(x)=&gt;x={'off':0,'auto':1,'cool':3,'heat':4}[x]","read_formatter":"(x)=&gt;x={0:'off',1:'auto',3:'cool',4:'heat'}[x]"}},</t>
  </si>
  <si>
    <t>time_to_scenes_unocc:{"type":"advanced","data_type":"uint32","is_readonly":true,"reporting_type":"diagnostic","zigbee_metadata":{"attr_id":61444,"endpoint_id":10,"profile_id":260,"cluster_id":5,"zcl_data_type":35}</t>
  </si>
  <si>
    <t>hvac_test_mode_timeout:{"type":"attribute","data_type":"uint16","is_readonly":false,"reporting_type":"polled","poll_freq":86400,"default_value":30,"zigbee_metadata":{"attr_id":61515,"endpoint_id":10,"profile_id":260,"cluster_id":513,"zcl_data_type":33}},</t>
  </si>
  <si>
    <t>lanai_enabled:{"type":"shared","data_type":"bool","is_readonly":false,"reporting_type":"polled","poll_freq":86400,"default_value":false,"zigbee_metadata":{"attr_id":61616,"endpoint_id":10,"profile_id":260,"cluster_id":513,"zcl_data_type":16,"read_formatter":"(x)=&gt;Boolean(x)","write_formatter":"(x)=&gt;+(x)"}},</t>
  </si>
  <si>
    <t>time_to_scenes_unocc_aux:{"type":"advanced","data_type":"uint32","is_readonly":true,"reporting_type":"diagnostic","zigbee_metadata":{"attr_id":61445,"endpoint_id":10,"profile_id":260,"cluster_id":5,"zcl_data_type":35}</t>
  </si>
  <si>
    <t>hvac_test_mode_enable:{"type":"attribute","data_type":"bool","is_readonly":false,"reporting_type":"diagnostic","zigbee_metadata":{"attr_id":61516,"endpoint_id":10,"profile_id":260,"cluster_id":513,"zcl_data_type":16}},</t>
  </si>
  <si>
    <t>lanai_delay_time:{"type":"shared","data_type":"uint16","is_readonly":false,"reporting_type":"polled","poll_freq":86400,"default_value":60,"zigbee_metadata":{"attr_id":61617,"endpoint_id":10,"profile_id":260,"cluster_id":513,"zcl_data_type":33}},</t>
  </si>
  <si>
    <t>hvac_test_mode_timeout:{"type":"advanced","data_type":"uint16","is_readonly":false,"reporting_type":"polled","poll_freq":86400,"default_value":30,"zigbee_metadata":{"attr_id":61515,"endpoint_id":10,"profile_id":260,"cluster_id":513,"zcl_data_type":33}</t>
  </si>
  <si>
    <t>hvac_test_mode_time_remaining:{"type":"attribute","data_type":"uint16","is_readonly":true,"reporting_type":"diagnostic","zigbee_metadata":{"attr_id":61517,"endpoint_id":10,"profile_id":260,"cluster_id":513,"zcl_data_type":33}},</t>
  </si>
  <si>
    <t>lanai_entry_offline_time:{"type":"shared","data_type":"uint8","is_readonly":false,"reporting_type":"polled","poll_freq":86400,"default_value":16,"zigbee_metadata":{"attr_id":61618,"endpoint_id":10,"profile_id":260,"cluster_id":513,"zcl_data_type":32}},</t>
  </si>
  <si>
    <t>hvac_test_mode_enable:{"type":"advanced","data_type":"bool","is_readonly":false,"reporting_type":"diagnostic","zigbee_metadata":{"attr_id":61516,"endpoint_id":10,"profile_id":260,"cluster_id":513,"zcl_data_type":16}</t>
  </si>
  <si>
    <t>lanai_contacts:{"type":"attribute","data_type":"uint8","is_readonly":true,"reporting_type":"diagnostic","zigbee_metadata":{"attr_id":61623,"endpoint_id":10,"profile_id":260,"cluster_id":513,"zcl_data_type":24}},</t>
  </si>
  <si>
    <t>unocc_delay_exit_event:{"type":"shared","data_type":"uint8","is_readonly":false,"reporting_type":"polled","poll_freq":86400,"default_value":5,"zigbee_metadata":{"attr_id":61704,"endpoint_id":10,"profile_id":260,"cluster_id":513,"zcl_data_type":32}},</t>
  </si>
  <si>
    <t>hvac_test_mode_time_remaining:{"type":"advanced","data_type":"uint16","is_readonly":true,"reporting_type":"diagnostic","zigbee_metadata":{"attr_id":61517,"endpoint_id":10,"profile_id":260,"cluster_id":513,"zcl_data_type":33}</t>
  </si>
  <si>
    <t>entry_contacts:{"type":"attribute","data_type":"uint8","is_readonly":true,"reporting_type":"diagnostic","zigbee_metadata":{"attr_id":61624,"endpoint_id":10,"profile_id":260,"cluster_id":513,"zcl_data_type":24}},</t>
  </si>
  <si>
    <t>display_more_button_enabled:{"type":"shared","data_type":"bool","is_readonly":false,"reporting_type":"polled","poll_freq":86400,"default_value":true,"zigbee_metadata":{"attr_id":25,"endpoint_id":10,"profile_id":260,"cluster_id":64517,"zcl_data_type":16,"read_formatter":"(x)=&gt;x=!Boolean(x)","write_formatter":"(x)=&gt;x=+(!x)"}},</t>
  </si>
  <si>
    <t>lanai_contacts:{"type":"advanced","data_type":"uint8","is_readonly":true,"reporting_type":"diagnostic","zigbee_metadata":{"attr_id":61623,"endpoint_id":10,"profile_id":260,"cluster_id":513,"zcl_data_type":24}</t>
  </si>
  <si>
    <t>entry_online:{"type":"attribute","data_type":"uint8","is_readonly":true,"reporting_type":"reported","report_max":3600,"report_min":0,"zigbee_metadata":{"attr_id":61625,"endpoint_id":10,"profile_id":260,"cluster_id":513,"zcl_data_type":24}},</t>
  </si>
  <si>
    <t>reporting_type:{"type":"shared","data_type":"enum","is_readonly":false,"reporting_type":"polled","poll_freq":86400,"default_value":"wifi","enum_values":["forwarding","wifi"],"zigbee_metadata":{"attr_id":24,"endpoint_id":10,"profile_id":260,"cluster_id":64517,"zcl_data_type":32,"write_formatter":"(x)=&gt;x={'forwarding':0,'wifi':1}[x]","read_formatter":"(x)=&gt;x={0:'forwarding',1:'wifi'}[x]"}},</t>
  </si>
  <si>
    <t>entry_contacts:{"type":"advanced","data_type":"uint8","is_readonly":true,"reporting_type":"diagnostic","zigbee_metadata":{"attr_id":61624,"endpoint_id":10,"profile_id":260,"cluster_id":513,"zcl_data_type":24}</t>
  </si>
  <si>
    <t>entry_open:{"type":"telemetry","data_type":"uint8","is_readonly":true,"reporting_type":"reported","report_max":3600,"report_min":0,"zigbee_metadata":{"attr_id":61626,"endpoint_id":10,"profile_id":260,"cluster_id":513,"zcl_data_type":24}},</t>
  </si>
  <si>
    <t>zigbee_enabled:{"type":"client","data_type":"bool","is_readonly":true,"reporting_type":"polled","poll_freq":86400,"zigbee_metadata":{"attr_id":3,"endpoint_id":10,"profile_id":260,"cluster_id":0,"zcl_data_type":32,"read_formatter":"(x)=&gt;Boolean(!x)"}},</t>
  </si>
  <si>
    <t>entry_online:{"type":"basic","data_type":"uint8","is_readonly":true,"reporting_type":"reported","report_max":3600,"report_min":0,"zigbee_metadata":{"attr_id":61625,"endpoint_id":10,"profile_id":260,"cluster_id":513,"zcl_data_type":24}</t>
  </si>
  <si>
    <t>entry_open_time:{"type":"attribute","data_type":"uint16","is_readonly":true,"reporting_type":"diagnostic","zigbee_metadata":{"attr_id":61627,"endpoint_id":10,"profile_id":260,"cluster_id":513,"zcl_data_type":33}},</t>
  </si>
  <si>
    <t>display_thermostat_menu_enabled:{"type":"shared","data_type":"bool","is_readonly":false,"reporting_type":"polled","poll_freq":86400,"default_value":false,"zigbee_metadata":{"attr_id":27,"endpoint_id":10,"profile_id":260,"cluster_id":64517,"zcl_data_type":16,"read_formatter":"(x)=&gt;Boolean(x)","write_formatter":"(x)=&gt;+(x)"}},</t>
  </si>
  <si>
    <t>entry_open:{"type":"basic","data_type":"uint8","is_readonly":true,"reporting_type":"reported","report_max":3600,"report_min":0,"zigbee_metadata":{"attr_id":61626,"endpoint_id":10,"profile_id":260,"cluster_id":513,"zcl_data_type":24}</t>
  </si>
  <si>
    <t>entry_unchanged_timeout:{"type":"attribute","data_type":"uint8","is_readonly":false,"reporting_type":"polled","poll_freq":86400,"default_value":16,"zigbee_metadata":{"attr_id":61628,"endpoint_id":10,"profile_id":260,"cluster_id":513,"zcl_data_type":32}},</t>
  </si>
  <si>
    <t>scenes_occ:{"type":"client","data_type":"bool","is_readonly":true,"reporting_type":"reported","report_max":3600,"report_min":0,"zigbee_metadata":{"attr_id":61440,"endpoint_id":10,"profile_id":260,"cluster_id":5,"zcl_data_type":16,"read_formatter":"(x)=&gt;Boolean(x)"}},</t>
  </si>
  <si>
    <t>entry_open_time:{"type":"basic","data_type":"uint16","is_readonly":true,"reporting_type":"diagnostic","zigbee_metadata":{"attr_id":61627,"endpoint_id":10,"profile_id":260,"cluster_id":513,"zcl_data_type":33}</t>
  </si>
  <si>
    <t>entry_door_not_changing:{"type":"attribute","data_type":"uint8","is_readonly":true,"reporting_type":"reported","report_max":3600,"report_min":0,"zigbee_metadata":{"attr_id":61629,"endpoint_id":10,"profile_id":260,"cluster_id":513,"zcl_data_type":24}},</t>
  </si>
  <si>
    <t>scenes_occ_aux:{"type":"client","data_type":"bool","is_readonly":true,"reporting_type":"reported","report_max":3600,"report_min":0,"zigbee_metadata":{"attr_id":61441,"endpoint_id":10,"profile_id":260,"cluster_id":5,"zcl_data_type":16,"read_formatter":"(x)=&gt;Boolean(x)"}},</t>
  </si>
  <si>
    <t>entry_unchanged_timeout:{"type":"basic","data_type":"uint8","is_readonly":false,"reporting_type":"polled","poll_freq":86400,"default_value":16,"zigbee_metadata":{"attr_id":61628,"endpoint_id":10,"profile_id":260,"cluster_id":513,"zcl_data_type":32}</t>
  </si>
  <si>
    <t>door_occ_lock_enabled:{"type":"attribute","data_type":"uint8","is_readonly":false,"reporting_type":"polled","poll_freq":86400,"default_value":0,"zigbee_metadata":{"attr_id":61648,"endpoint_id":10,"profile_id":260,"cluster_id":513,"zcl_data_type":24}},</t>
  </si>
  <si>
    <t>scenes_unocc_delay:{"type":"shared","data_type":"uint16","is_readonly":false,"reporting_type":"polled","poll_freq":86400,"default_value":480,"zigbee_metadata":{"attr_id":61442,"endpoint_id":10,"profile_id":260,"cluster_id":5,"zcl_data_type":33}},</t>
  </si>
  <si>
    <t>entry_door_not_changing:{"type":"basic","data_type":"uint8","is_readonly":true,"reporting_type":"reported","report_max":3600,"report_min":0,"zigbee_metadata":{"attr_id":61629,"endpoint_id":10,"profile_id":260,"cluster_id":513,"zcl_data_type":24}</t>
  </si>
  <si>
    <t>local_door_occ_lock_delay:{"type":"attribute","data_type":"uint16","is_readonly":false,"reporting_type":"polled","poll_freq":86400,"default_value":10,"zigbee_metadata":{"attr_id":61649,"endpoint_id":10,"profile_id":260,"cluster_id":513,"zcl_data_type":33}},</t>
  </si>
  <si>
    <t>scenes_unocc_aux_delay:{"type":"shared","data_type":"uint16","is_readonly":false,"reporting_type":"polled","poll_freq":86400,"default_value":1440,"zigbee_metadata":{"attr_id":61443,"endpoint_id":10,"profile_id":260,"cluster_id":5,"zcl_data_type":33}},</t>
  </si>
  <si>
    <t>door_occ_lock_enabled:{"type":"advanced","data_type":"uint8","is_readonly":false,"reporting_type":"polled","poll_freq":86400,"default_value":0,"zigbee_metadata":{"attr_id":61648,"endpoint_id":10,"profile_id":260,"cluster_id":513,"zcl_data_type":24}</t>
  </si>
  <si>
    <t>remote_door_occ_lock_delay:{"type":"attribute","data_type":"uint16","is_readonly":false,"reporting_type":"polled","poll_freq":86400,"default_value":900,"zigbee_metadata":{"attr_id":61650,"endpoint_id":10,"profile_id":260,"cluster_id":513,"zcl_data_type":33}},</t>
  </si>
  <si>
    <t>time_to_scenes_unocc:{"type":"client","data_type":"uint32","is_readonly":true,"reporting_type":"diagnostic","zigbee_metadata":{"attr_id":61444,"endpoint_id":10,"profile_id":260,"cluster_id":5,"zcl_data_type":35}},</t>
  </si>
  <si>
    <t>local_door_occ_lock_delay:{"type":"advanced","data_type":"uint16","is_readonly":false,"reporting_type":"polled","poll_freq":86400,"default_value":10,"zigbee_metadata":{"attr_id":61649,"endpoint_id":10,"profile_id":260,"cluster_id":513,"zcl_data_type":33}</t>
  </si>
  <si>
    <t>door_occ_lock_max_duration:{"type":"attribute","data_type":"uint8","is_readonly":false,"reporting_type":"polled","poll_freq":86400,"default_value":10,"zigbee_metadata":{"attr_id":61651,"endpoint_id":10,"profile_id":260,"cluster_id":513,"zcl_data_type":32}},</t>
  </si>
  <si>
    <t>time_to_scenes_unocc_aux:{"type":"client","data_type":"uint32","is_readonly":true,"reporting_type":"diagnostic","zigbee_metadata":{"attr_id":61445,"endpoint_id":10,"profile_id":260,"cluster_id":5,"zcl_data_type":35}},</t>
  </si>
  <si>
    <t>remote_door_occ_lock_delay:{"type":"advanced","data_type":"uint16","is_readonly":false,"reporting_type":"polled","poll_freq":86400,"default_value":900,"zigbee_metadata":{"attr_id":61650,"endpoint_id":10,"profile_id":260,"cluster_id":513,"zcl_data_type":33}</t>
  </si>
  <si>
    <t>door_occ_locked:{"type":"telemetry","data_type":"bool","is_readonly":true,"reporting_type":"reported","report_max":3600,"report_min":0,"zigbee_metadata":{"attr_id":61652,"endpoint_id":10,"profile_id":260,"cluster_id":513,"zcl_data_type":16}},</t>
  </si>
  <si>
    <t>hvac_test_mode_timeout:{"type":"shared","data_type":"uint16","is_readonly":false,"reporting_type":"polled","poll_freq":86400,"default_value":30,"zigbee_metadata":{"attr_id":61515,"endpoint_id":10,"profile_id":260,"cluster_id":513,"zcl_data_type":33}},</t>
  </si>
  <si>
    <t>door_occ_lock_max_duration:{"type":"advanced","data_type":"uint8","is_readonly":false,"reporting_type":"polled","poll_freq":86400,"default_value":10,"zigbee_metadata":{"attr_id":61651,"endpoint_id":10,"profile_id":260,"cluster_id":513,"zcl_data_type":32}</t>
  </si>
  <si>
    <t>door_occ_lock_time_remaining:{"type":"attribute","data_type":"uint16","is_readonly":true,"reporting_type":"diagnostic","zigbee_metadata":{"attr_id":61653,"endpoint_id":10,"profile_id":260,"cluster_id":513,"zcl_data_type":33}},</t>
  </si>
  <si>
    <t>hvac_test_mode_enable:{"type":"shared","data_type":"bool","is_readonly":false,"reporting_type":"diagnostic","zigbee_metadata":{"attr_id":61516,"endpoint_id":10,"profile_id":260,"cluster_id":513,"zcl_data_type":16}},</t>
  </si>
  <si>
    <t>door_occ_locked:{"type":"basic","data_type":"bool","is_readonly":true,"reporting_type":"reported","report_max":3600,"report_min":0,"zigbee_metadata":{"attr_id":61652,"endpoint_id":10,"profile_id":260,"cluster_id":513,"zcl_data_type":16}</t>
  </si>
  <si>
    <t>illuminance_measurement:{"type":"telemetry","data_type":"uint16","is_readonly":true,"reporting_type":"reported","report_max":3600,"report_min":0,"report_threshold":25,"default_value":null,"zigbee_metadata":{"attr_id":0,"endpoint_id":10,"profile_id":260,"cluster_id":1024,"zcl_data_type":33}},</t>
  </si>
  <si>
    <t>hvac_test_mode_time_remaining:{"type":"client","data_type":"uint16","is_readonly":true,"reporting_type":"diagnostic","zigbee_metadata":{"attr_id":61517,"endpoint_id":10,"profile_id":260,"cluster_id":513,"zcl_data_type":33}},</t>
  </si>
  <si>
    <t>door_occ_lock_time_remaining:{"type":"basic","data_type":"uint16","is_readonly":true,"reporting_type":"diagnostic","zigbee_metadata":{"attr_id":61653,"endpoint_id":10,"profile_id":260,"cluster_id":513,"zcl_data_type":33}</t>
  </si>
  <si>
    <t>local_sensor_occupied:{"type":"telemetry","data_type":"enum","is_readonly":true,"reporting_type":"reported","report_max":3600,"report_min":0,"enum_values":["occupied","unoccupied"],"zigbee_metadata":{"attr_id":0,"endpoint_id":10,"profile_id":260,"cluster_id":1030,"zcl_data_type":24,"read_formatter":"lambdax:'occupied'ifx&amp;0x01else'unoccupied'"}},</t>
  </si>
  <si>
    <t>lanai_contacts:{"type":"client","data_type":"uint8","is_readonly":true,"reporting_type":"diagnostic","zigbee_metadata":{"attr_id":61623,"endpoint_id":10,"profile_id":260,"cluster_id":513,"zcl_data_type":24}},</t>
  </si>
  <si>
    <t>illuminance_measurement:{"type":"basic","data_type":"uint16","is_readonly":false,"reporting_type":"reported","report_max":3600,"report_min":0,"report_threshold":25,"default_value":null,"zigbee_metadata":{"attr_id":0,"endpoint_id":10,"profile_id":260,"cluster_id":1024,"zcl_data_type":33}</t>
  </si>
  <si>
    <t>local_sensor_occupied:{"type":"basic","data_type":"enum","is_readonly":true,"reporting_type":"reported","report_max":3600,"report_min":0,"enum_values":["occupied","unoccupied"],"zigbee_metadata":{"attr_id":0,"endpoint_id":10,"profile_id":260,"cluster_id":1030,"zcl_data_type":24,"read_formatter":"lambdax:'occupied'ifx&amp;0x01else'unoccupied'"}</t>
  </si>
  <si>
    <t>pir_unocc_delay:{"type":"attribute","data_type":"uint16","is_readonly":false,"reporting_type":"polled","poll_freq":86400,"default_value":600,"zigbee_metadata":{"attr_id":16,"endpoint_id":10,"profile_id":260,"cluster_id":1030,"zcl_data_type":33}},</t>
  </si>
  <si>
    <t>entry_contacts:{"type":"client","data_type":"uint8","is_readonly":true,"reporting_type":"diagnostic","zigbee_metadata":{"attr_id":61624,"endpoint_id":10,"profile_id":260,"cluster_id":513,"zcl_data_type":24}},</t>
  </si>
  <si>
    <t>pir_unocc_delay:{"type":"advanced","data_type":"uint16","is_readonly":false,"reporting_type":"polled","poll_freq":86400,"default_value":600,"zigbee_metadata":{"attr_id":16,"endpoint_id":10,"profile_id":260,"cluster_id":1030,"zcl_data_type":33}</t>
  </si>
  <si>
    <t>pir_sensor_threshold:{"type":"attribute","data_type":"uint8","is_readonly":false,"reporting_type":"polled","poll_freq":86400,"default_value":12,"zigbee_metadata":{"attr_id":61441,"endpoint_id":10,"profile_id":260,"cluster_id":1030,"zcl_data_type":32}},</t>
  </si>
  <si>
    <t>entry_online:{"type":"client","data_type":"uint8","is_readonly":true,"reporting_type":"reported","report_max":3600,"report_min":0,"zigbee_metadata":{"attr_id":61625,"endpoint_id":10,"profile_id":260,"cluster_id":513,"zcl_data_type":24}},</t>
  </si>
  <si>
    <t>pir_sensor_threshold:{"type":"advanced","data_type":"uint8","is_readonly":false,"reporting_type":"polled","poll_freq":86400,"default_value":12,"zigbee_metadata":{"attr_id":61441,"endpoint_id":10,"profile_id":260,"cluster_id":1030,"zcl_data_type":32}</t>
  </si>
  <si>
    <t>dry_contact:{"type":"telemetry","data_type":"enum","is_readonly":true,"reporting_type":"reported","report_max":3600,"report_min":0,"enum_values":["opened","closed"],"zigbee_metadata":{"attr_id":2,"endpoint_id":10,"profile_id":260,"cluster_id":1280,"zcl_data_type":25,"read_formatter":"lambdax:'opened'ifx&amp;0x01else'closed'"}},</t>
  </si>
  <si>
    <t>dry_contact:{"type":"basic","data_type":"enum","is_readonly":true,"reporting_type":"reported","report_max":3600,"report_min":0,"enum_values":["opened","closed"],"zigbee_metadata":{"attr_id":2,"endpoint_id":10,"profile_id":260,"cluster_id":1280,"zcl_data_type":25,"read_formatter":"lambdax:'opened'ifx&amp;0x01else'closed'"}</t>
  </si>
  <si>
    <t>zigbee_node_type:{"type":"attribute","data_type":"enum","is_readonly":false,"reporting_type":"polled","poll_freq":86400,"default_value":"coordinator","enum_values":["coordinator","router","end_device"],"zigbee_metadata":{"attr_id":28,"endpoint_id":10,"profile_id":260,"cluster_id":64517,"zcl_data_type":48,"write_formatter":"lambdax:{'coordinator':0,'router':1,'end_device':2}[x]","read_formatter":"lambdax:{0:'coordinator',1:'router',2:'end_device'}.get(x,'unknown')"}},</t>
  </si>
  <si>
    <t>entry_open_time:{"type":"client","data_type":"uint16","is_readonly":true,"reporting_type":"diagnostic","zigbee_metadata":{"attr_id":61627,"endpoint_id":10,"profile_id":260,"cluster_id":513,"zcl_data_type":33}},</t>
  </si>
  <si>
    <t>zigbee_node_type:{"type":"advanced","data_type":"enum","is_readonly":false,"reporting_type":"polled","poll_freq":86400,"default_value":"coordinator","enum_values":["coordinator","router","end_device"],"zigbee_metadata":{"attr_id":28,"endpoint_id":10,"profile_id":260,"cluster_id":64517,"zcl_data_type":48,"write_formatter":"lambdax:{'coordinator':0,'router':1,'end_device':2}[x]","read_formatter":"lambdax:{0:'coordinator',1:'router',2:'end_device'}.get(x,'unknown')"}</t>
  </si>
  <si>
    <t>primary_temp_sensor:{"type":"attribute","data_type":"enum","is_readonly":false,"reporting_type":"polled","poll_freq":86400,"default_value":"local_internal_sensor","enum_values":["remote_device_0","remote_device_1","remote_device_2","remote_device_3","remote_device_4","remote_device_5","remote_device_6","remote_device_7","remote_device_8","remote_device_9","remote_device_10","remote_device_11","remote_device_12","remote_device_13","remote_device_14","remote_device_15","remote_device_16","remote_device_17","remote_device_18","remote_device_19","remote_device_20","remote_device_21","remote_device_22","remote_device_23","remote_device_24","remote_device_25","remote_device_26","remote_device_27","remote_device_28","remote_device_29","remote_device_30","remote_device_31","local_internal_sensor","local_external_sensor_1","local_external_sensor_2","local_external_sensor_3","local_external_sensor_4","none"],"zigbee_metadata":{"attr_id":61519,"endpoint_id":10,"profile_id":260,"cluster_id":513,"zcl_data_type":48,"write_formatter":"lambdax:{'remote_device_0':0,'remote_device_1':1,'remote_device_2':2,'remote_device_3':3,'remote_device_4':4,'remote_device_5':5,'remote_device_6':6,'remote_device_7':7,'remote_device_8':8,'remote_device_9':9,'remote_device_10':10,'remote_device_11':11,'remote_device_12':12,'remote_device_13':13,'remote_device_14':14,'remote_device_15':15,'remote_device_16':16,'remote_device_17':17,'remote_device_18':18,'remote_device_19':19,'remote_device_20':20,'remote_device_21':21,'remote_device_22':22,'remote_device_23':23,'remote_device_24':24,'remote_device_25':25,'remote_device_26':26,'remote_device_27':27,'remote_device_28':28,'remote_device_29':29,'remote_device_30':30,'remote_device_31':31,'local_internal_sensor':32,'local_external_sensor_1':33,'local_external_sensor_2':34,'local_external_sensor_3':35,'local_external_sensor_4':36,'none':255}[x]","read_formatter":"lambdax:{0:'remote_device_0',1:'remote_device_1',2:'remote_device_2',3:'remote_device_3',4:'remote_device_4',5:'remote_device_5',6:'remote_device_6',7:'remote_device_7',8:'remote_device_8',9:'remote_device_9',10:'remote_device_10',11:'remote_device_11',12:'remote_device_12',13:'remote_device_13',14:'remote_device_14',15:'remote_device_15',16:'remote_device_16',17:'remote_device_17',18:'remote_device_18',19:'remote_device_19',20:'remote_device_20',21:'remote_device_21',22:'remote_device_22',23:'remote_device_23',24:'remote_device_24',25:'remote_device_25',26:'remote_device_26',27:'remote_device_27',28:'remote_device_28',29:'remote_device_29',30:'remote_device_30',31:'remote_device_31',32:'local_internal_sensor',33:'local_external_sensor_1',34:'local_external_sensor_2',35:'local_external_sensor_3',36:'local_external_sensor_4',255:'none'}.get(x,'unknown')"}},</t>
  </si>
  <si>
    <t>entry_unchanged_timeout:{"type":"shared","data_type":"uint8","is_readonly":false,"reporting_type":"polled","poll_freq":86400,"default_value":16,"zigbee_metadata":{"attr_id":61628,"endpoint_id":10,"profile_id":260,"cluster_id":513,"zcl_data_type":32}},</t>
  </si>
  <si>
    <t>primary_temp_sensor:{"type":"advanced","data_type":"enum","is_readonly":false,"reporting_type":"polled","poll_freq":86400,"default_value":"local_internal_sensor","enum_values":["remote_device_0","remote_device_1","remote_device_2","remote_device_3","remote_device_4","remote_device_5","remote_device_6","remote_device_7","remote_device_8","remote_device_9","remote_device_10","remote_device_11","remote_device_12","remote_device_13","remote_device_14","remote_device_15","remote_device_16","remote_device_17","remote_device_18","remote_device_19","remote_device_20","remote_device_21","remote_device_22","remote_device_23","remote_device_24","remote_device_25","remote_device_26","remote_device_27","remote_device_28","remote_device_29","remote_device_30","remote_device_31","local_internal_sensor","local_external_sensor_1","local_external_sensor_2","local_external_sensor_3","local_external_sensor_4","none"],"zigbee_metadata":{"attr_id":61519,"endpoint_id":10,"profile_id":260,"cluster_id":513,"zcl_data_type":48,"write_formatter":"lambdax:{'remote_device_0':0,'remote_device_1':1,'remote_device_2':2,'remote_device_3':3,'remote_device_4':4,'remote_device_5':5,'remote_device_6':6,'remote_device_7':7,'remote_device_8':8,'remote_device_9':9,'remote_device_10':10,'remote_device_11':11,'remote_device_12':12,'remote_device_13':13,'remote_device_14':14,'remote_device_15':15,'remote_device_16':16,'remote_device_17':17,'remote_device_18':18,'remote_device_19':19,'remote_device_20':20,'remote_device_21':21,'remote_device_22':22,'remote_device_23':23,'remote_device_24':24,'remote_device_25':25,'remote_device_26':26,'remote_device_27':27,'remote_device_28':28,'remote_device_29':29,'remote_device_30':30,'remote_device_31':31,'local_internal_sensor':32,'local_external_sensor_1':33,'local_external_sensor_2':34,'local_external_sensor_3':35,'local_external_sensor_4':36,'none':255}[x]","read_formatter":"lambdax:{0:'remote_device_0',1:'remote_device_1',2:'remote_device_2',3:'remote_device_3',4:'remote_device_4',5:'remote_device_5',6:'remote_device_6',7:'remote_device_7',8:'remote_device_8',9:'remote_device_9',10:'remote_device_10',11:'remote_device_11',12:'remote_device_12',13:'remote_device_13',14:'remote_device_14',15:'remote_device_15',16:'remote_device_16',17:'remote_device_17',18:'remote_device_18',19:'remote_device_19',20:'remote_device_20',21:'remote_device_21',22:'remote_device_22',23:'remote_device_23',24:'remote_device_24',25:'remote_device_25',26:'remote_device_26',27:'remote_device_27',28:'remote_device_28',29:'remote_device_29',30:'remote_device_30',31:'remote_device_31',32:'local_internal_sensor',33:'local_external_sensor_1',34:'local_external_sensor_2',35:'local_external_sensor_3',36:'local_external_sensor_4',255:'none'}.get(x,'unknown')"}</t>
  </si>
  <si>
    <t>local_secondary_temp_sensors:{"type":"attribute","data_type":"uint8","is_readonly":false,"reporting_type":"polled","poll_freq":86400,"default_value":0,"zigbee_metadata":{"attr_id":61520,"endpoint_id":10,"profile_id":260,"cluster_id":513,"zcl_data_type":24}},</t>
  </si>
  <si>
    <t>entry_door_not_changing:{"type":"client","data_type":"uint8","is_readonly":true,"reporting_type":"reported","report_max":3600,"report_min":0,"zigbee_metadata":{"attr_id":61629,"endpoint_id":10,"profile_id":260,"cluster_id":513,"zcl_data_type":24}},</t>
  </si>
  <si>
    <t>local_secondary_temp_sensors:{"type":"advanced","data_type":"uint8","is_readonly":false,"reporting_type":"polled","poll_freq":86400,"default_value":0,"zigbee_metadata":{"attr_id":61520,"endpoint_id":10,"profile_id":260,"cluster_id":513,"zcl_data_type":24}</t>
  </si>
  <si>
    <t>remote_secondary_temp_sensors:{"type":"attribute","data_type":"uint32","is_readonly":false,"reporting_type":"polled","poll_freq":86400,"default_value":0,"zigbee_metadata":{"attr_id":61521,"endpoint_id":10,"profile_id":260,"cluster_id":513,"zcl_data_type":27}},</t>
  </si>
  <si>
    <t>door_occ_lock_enabled:{"type":"shared","data_type":"uint8","is_readonly":false,"reporting_type":"polled","poll_freq":86400,"default_value":0,"zigbee_metadata":{"attr_id":61648,"endpoint_id":10,"profile_id":260,"cluster_id":513,"zcl_data_type":24}},</t>
  </si>
  <si>
    <t>remote_secondary_temp_sensors:{"type":"advanced","data_type":"uint32","is_readonly":false,"reporting_type":"polled","poll_freq":86400,"default_value":0,"zigbee_metadata":{"attr_id":61521,"endpoint_id":10,"profile_id":260,"cluster_id":513,"zcl_data_type":27}</t>
  </si>
  <si>
    <t>temp_sensors_online:{"type":"attribute","data_type":"uint32","is_readonly":true,"reporting_type":"reported","report_max":3600,"report_min":0,"zigbee_metadata":{"attr_id":61522,"endpoint_id":10,"profile_id":260,"cluster_id":513,"zcl_data_type":27}},</t>
  </si>
  <si>
    <t>local_door_occ_lock_delay:{"type":"shared","data_type":"uint16","is_readonly":false,"reporting_type":"polled","poll_freq":86400,"default_value":10,"zigbee_metadata":{"attr_id":61649,"endpoint_id":10,"profile_id":260,"cluster_id":513,"zcl_data_type":33}},</t>
  </si>
  <si>
    <t>temp_sensors_online:{"type":"basic","data_type":"uint32","is_readonly":true,"reporting_type":"reported","report_max":3600,"report_min":0,"zigbee_metadata":{"attr_id":61522,"endpoint_id":10,"profile_id":260,"cluster_id":513,"zcl_data_type":27}</t>
  </si>
  <si>
    <t>ventilation_option:{"type":"attribute","data_type":"enum","is_readonly":false,"reporting_type":"polled","poll_freq":86400,"enum_values":["none","standard","smart"],"default_value":"none","zigbee_metadata":{"attr_id":61760,"endpoint_id":10,"profile_id":260,"cluster_id":513,"zcl_data_type":48,"write_formatter":"lambdax:{'none':0,'standard':1,'smart':2}[x]","read_formatter":"lambdax:{0:'none',1:'standard',2:'smart'}.get(x,'unknown')"}},</t>
  </si>
  <si>
    <t>remote_door_occ_lock_delay:{"type":"shared","data_type":"uint16","is_readonly":false,"reporting_type":"polled","poll_freq":86400,"default_value":900,"zigbee_metadata":{"attr_id":61650,"endpoint_id":10,"profile_id":260,"cluster_id":513,"zcl_data_type":33}},</t>
  </si>
  <si>
    <t>display_schedule_menu_enabled:{"type":"basic","data_type":"bool","is_readonly":false,"reporting_type":"polled","poll_freq":86400,"default_value":false,"zigbee_metadata":{"attr_id":29,"endpoint_id":10,"profile_id":260,"cluster_id":64517,"zcl_data_type":16,"read_formatter":"lambdax:bool(x)","write_formatter":"lambdax:int(x)"}</t>
  </si>
  <si>
    <t>standard_ventilation_duty_cycle:{"type":"attribute","data_type":"uint8","is_readonly":false,"reporting_type":"polled","poll_freq":86400,"max":60,"min":0,"default_value":15,"zigbee_metadata":{"attr_id":61761,"endpoint_id":10,"profile_id":260,"cluster_id":513,"zcl_data_type":32}},</t>
  </si>
  <si>
    <t>door_occ_lock_max_duration:{"type":"shared","data_type":"uint8","is_readonly":false,"reporting_type":"polled","poll_freq":86400,"default_value":10,"zigbee_metadata":{"attr_id":61651,"endpoint_id":10,"profile_id":260,"cluster_id":513,"zcl_data_type":32}},</t>
  </si>
  <si>
    <t>display_settings_menu_enabled:{"type":"basic","data_type":"bool","is_readonly":false,"reporting_type":"polled","poll_freq":86400,"default_value":false,"zigbee_metadata":{"attr_id":30,"endpoint_id":10,"profile_id":260,"cluster_id":64517,"zcl_data_type":16,"read_formatter":"lambdax:bool(x)","write_formatter":"lambdax:int(x)"}</t>
  </si>
  <si>
    <t>smart_ventilation_home_size:{"type":"attribute","data_type":"uint16","is_readonly":false,"reporting_type":"polled","poll_freq":86400,"max":10000,"min":0,"default_value":2250,"zigbee_metadata":{"attr_id":61762,"endpoint_id":10,"profile_id":260,"cluster_id":513,"zcl_data_type":33}},</t>
  </si>
  <si>
    <t>display_wifi_menu_enabled:{"type":"basic","data_type":"bool","is_readonly":false,"reporting_type":"polled","poll_freq":86400,"default_value":false,"zigbee_metadata":{"attr_id":31,"endpoint_id":10,"profile_id":260,"cluster_id":64517,"zcl_data_type":16,"read_formatter":"lambdax:bool(x)","write_formatter":"lambdax:int(x)"}</t>
  </si>
  <si>
    <t>smart_ventilation_number_of_bedrooms:{"type":"attribute","data_type":"uint8","is_readonly":false,"reporting_type":"polled","poll_freq":86400,"max":10,"min":1,"default_value":15,"zigbee_metadata":{"attr_id":61763,"endpoint_id":10,"profile_id":260,"cluster_id":513,"zcl_data_type":32}},</t>
  </si>
  <si>
    <t>door_occ_lock_time_remaining:{"type":"client","data_type":"uint16","is_readonly":true,"reporting_type":"diagnostic","zigbee_metadata":{"attr_id":61653,"endpoint_id":10,"profile_id":260,"cluster_id":513,"zcl_data_type":33}},</t>
  </si>
  <si>
    <t>display_wifi_menu:{"type":"basic","data_type":"enum","is_readonly":false,"reporting_type":"polled","poll_freq":86400,"default_value":false,"zigbee_metadata":{"attr_id":31,"endpoint_id":10,"profile_id":260,"cluster_id":64517,"zcl_data_type":48,"write_formatter":"lambdax:{'off':0,'claim':1,'wifi+claim':2}[x]","read_formatter":"lambdax:{0:'off',1:'claim',2:'wifi+claim'}.get(x,'unknown')"}</t>
  </si>
  <si>
    <t>display_leaf_button_enabled:{"type":"basic","data_type":"bool","is_readonly":false,"reporting_type":"polled","poll_freq":86400,"default_value":true,"zigbee_metadata":{"attr_id":33,"endpoint_id":10,"profile_id":260,"cluster_id":64517,"zcl_data_type":16,"read_formatter":"lambdax:not(bool(x))","write_formatter":"lambdax:int(not(x))"}}</t>
  </si>
  <si>
    <t>smart_ventilation_required_fan_size:{"type":"attribute","data_type":"uint16","is_readonly":true,"reporting_type":"polled","poll_freq":86400,"zigbee_metadata":{"attr_id":61764,"endpoint_id":10,"profile_id":260,"cluster_id":513,"zcl_data_type":33}},</t>
  </si>
  <si>
    <t>illuminance_measurement:{"type":"client","data_type":"uint16","is_readonly":true,"reporting_type":"reported","report_max":3600,"report_min":0,"report_threshold":25,"default_value":null,"zigbee_metadata":{"attr_id":0,"endpoint_id":10,"profile_id":260,"cluster_id":1024,"zcl_data_type":33}},</t>
  </si>
  <si>
    <t>commands:{</t>
  </si>
  <si>
    <t>smart_ventilation_fan_size:{"type":"attribute","data_type":"uint16","is_readonly":false,"reporting_type":"polled","poll_freq":86400,"max":3000,"min":0,"default_value":600,"zigbee_metadata":{"attr_id":61765,"endpoint_id":10,"profile_id":260,"cluster_id":513,"zcl_data_type":33}},</t>
  </si>
  <si>
    <t>local_sensor_occupied:{"type":"client","data_type":"enum","is_readonly":true,"reporting_type":"reported","report_max":3600,"report_min":0,"enum_values":["occupied","unoccupied"],"zigbee_metadata":{"attr_id":0,"endpoint_id":10,"profile_id":260,"cluster_id":1030,"zcl_data_type":24,"read_formatter":"(x)=&gt;x={0:'unoccupied',1:'occupied'}[x]"}},</t>
  </si>
  <si>
    <t>plugs:{</t>
  </si>
  <si>
    <t>ventilation_duty_cycle:{"type":"attribute","data_type":"uint8","is_readonly":true,"reporting_type":"polled","poll_freq":86400,"zigbee_metadata":{"attr_id":61766,"endpoint_id":10,"profile_id":260,"cluster_id":513,"zcl_data_type":32}},</t>
  </si>
  <si>
    <t>pir_unocc_delay:{"type":"shared","data_type":"uint16","is_readonly":false,"reporting_type":"polled","poll_freq":86400,"default_value":600,"zigbee_metadata":{"attr_id":16,"endpoint_id":10,"profile_id":260,"cluster_id":1030,"zcl_data_type":33}},</t>
  </si>
  <si>
    <t>sockets:{</t>
  </si>
  <si>
    <t>ventilation_required_minutes_remaining_this_hour:{"type":"attribute","data_type":"uint8","is_readonly":true,"reporting_type":"diagnostic","zigbee_metadata":{"attr_id":61767,"endpoint_id":10,"profile_id":260,"cluster_id":513,"zcl_data_type":32}},</t>
  </si>
  <si>
    <t>pir_sensor_threshold:{"type":"shared","data_type":"uint8","is_readonly":false,"reporting_type":"polled","poll_freq":86400,"default_value":12,"zigbee_metadata":{"attr_id":61441,"endpoint_id":10,"profile_id":260,"cluster_id":1030,"zcl_data_type":32}},</t>
  </si>
  <si>
    <t>protocol_settings:{"identifying_params":{"basic_model":"TouchFlex-WZ","basic_hw_ver":0,"basic_hw_ver_conditional":"=="</t>
  </si>
  <si>
    <t>ventilation_minutes_remaining_this_hour:{"type":"attribute","data_type":"uint8","is_readonly":true,"reporting_type":"diagnostic","zigbee_metadata":{"attr_id":61768,"endpoint_id":10,"profile_id":260,"cluster_id":513,"zcl_data_type":32}},</t>
  </si>
  <si>
    <t>dry_contact:{"type":"telemetry","data_type":"enum","is_readonly":true,"reporting_type":"reported","report_max":3600,"report_min":0,"enum_values":["opened","closed"],"zigbee_metadata":{"attr_id":2,"endpoint_id":10,"profile_id":260,"cluster_id":1280,"zcl_data_type":25,"read_formatter":"(x)=&gt;x={0:'closed',1:'opened'}[x]"}},</t>
  </si>
  <si>
    <t>is_end_device:false,"is_sleepy":false,"cmd_timeout":25,"poll_control_support":false,"ota_support":true,"ota_notify_support":true</t>
  </si>
  <si>
    <t>ventilation_engaged:{"type":"attribute","data_type":"bool","is_readonly":true,"reporting_type":"reported","report_max":3600,"report_min":0,"zigbee_metadata":{"attr_id":61769,"endpoint_id":10,"profile_id":260,"cluster_id":513,"zcl_data_type":16,"read_formatter":"lambdax:bool(x)"}},</t>
  </si>
  <si>
    <t>zigbee_node_type:{"type":"shared","data_type":"enum","is_readonly":false,"reporting_type":"polled","poll_freq":86400,"default_value":"coordinator","enum_values":["coordinator","router","end_device"],"zigbee_metadata":{"attr_id":28,"endpoint_id":10,"profile_id":260,"cluster_id":64517,"zcl_data_type":48,"write_formatter":"(x)=&gt;x={'coordinator':0,'router':1,'end_device':2}[x]","read_formatter":"(x)=&gt;x={0:'coordinator',1:'router',2:'end_device'}[x]"}},</t>
  </si>
  <si>
    <t>commissioning_steps:[{"name":{"en":"EnterCommissioningMode"</t>
  </si>
  <si>
    <t>manual_ventilation_setting:{"type":"attribute","data_type":"enum","is_readonly":false,"reporting_type":"polled","poll_freq":86400,"enum_values":["auto","1_hour","2_hours","4_hours"],"default_value":"auto","zigbee_metadata":{"attr_id":61770,"endpoint_id":10,"profile_id":260,"cluster_id":513,"zcl_data_type":48,"write_formatter":"lambdax:{'1_hour':1,'2_hours':2,'4_hours':3,'auto':5}[x]","read_formatter":"lambdax:{1:'1_hour',2:'2_hours',3:'4_hours',5:'auto'}.get(x,'unknown')"}},</t>
  </si>
  <si>
    <t>primary_temp_sensor:{"type":"shared","data_type":"enum","is_readonly":false,"reporting_type":"polled","poll_freq":86400,"default_value":"local_internal_sensor","enum_values":["remote_device_0","remote_device_1","remote_device_2","remote_device_3","remote_device_4","remote_device_5","remote_device_6","remote_device_7","remote_device_8","remote_device_9","remote_device_10","remote_device_11","remote_device_12","remote_device_13","remote_device_14","remote_device_15","remote_device_16","remote_device_17","remote_device_18","remote_device_19","remote_device_20","remote_device_21","remote_device_22","remote_device_23","remote_device_24","remote_device_25","remote_device_26","remote_device_27","remote_device_28","remote_device_29","remote_device_30","remote_device_31","local_internal_sensor","local_external_sensor_1","local_external_sensor_2","local_external_sensor_3","local_external_sensor_4","none"],"zigbee_metadata":{"attr_id":61519,"endpoint_id":10,"profile_id":260,"cluster_id":513,"zcl_data_type":48,"write_formatter":"(x)=&gt;x={'remote_device_0':0,'remote_device_1':1,'remote_device_2':2,'remote_device_3':3,'remote_device_4':4,'remote_device_5':5,'remote_device_6':6,'remote_device_7':7,'remote_device_8':8,'remote_device_9':9,'remote_device_10':10,'remote_device_11':11,'remote_device_12':12,'remote_device_13':13,'remote_device_14':14,'remote_device_15':15,'remote_device_16':16,'remote_device_17':17,'remote_device_18':18,'remote_device_19':19,'remote_device_20':20,'remote_device_21':21,'remote_device_22':22,'remote_device_23':23,'remote_device_24':24,'remote_device_25':25,'remote_device_26':26,'remote_device_27':27,'remote_device_28':28,'remote_device_29':29,'remote_device_30':30,'remote_device_31':31,'local_internal_sensor':32,'local_external_sensor_1':33,'local_external_sensor_2':34,'local_external_sensor_3':35,'local_external_sensor_4':36,'none':255}[x]","read_formatter":"(x)=&gt;x={0:'remote_device_0',1:'remote_device_1',2:'remote_device_2',3:'remote_device_3',4:'remote_device_4',5:'remote_device_5',6:'remote_device_6',7:'remote_device_7',8:'remote_device_8',9:'remote_device_9',10:'remote_device_10',11:'remote_device_11',12:'remote_device_12',13:'remote_device_13',14:'remote_device_14',15:'remote_device_15',16:'remote_device_16',17:'remote_device_17',18:'remote_device_18',19:'remote_device_19',20:'remote_device_20',21:'remote_device_21',22:'remote_device_22',23:'remote_device_23',24:'remote_device_24',25:'remote_device_25',26:'remote_device_26',27:'remote_device_27',28:'remote_device_28',29:'remote_device_29',30:'remote_device_30',31:'remote_device_31',32:'local_internal_sensor',33:'local_external_sensor_1',34:'local_external_sensor_2',35:'local_external_sensor_3',36:'local_external_sensor_4',255:'none'}[x]"}},</t>
  </si>
  <si>
    <t>type:"turn_on_joining","instructions":[{"image":"https://s3.amazonaws.com/tko-prod-commissioning-files/step_screenshots/touchflexwifi/Device.png","text":{"en":"LocatetheTouchThermostatinthehouse"}</t>
  </si>
  <si>
    <t>manual_ventilation_minutes_remaining:{"type":"attribute","data_type":"uint16","is_readonly":true,"reporting_type":"diagnostic","zigbee_metadata":{"attr_id":61771,"endpoint_id":10,"profile_id":260,"cluster_id":513,"zcl_data_type":33}},</t>
  </si>
  <si>
    <t>local_secondary_temp_sensors:{"type":"shared","data_type":"uint8","is_readonly":false,"reporting_type":"polled","poll_freq":86400,"default_value":0,"zigbee_metadata":{"attr_id":61520,"endpoint_id":10,"profile_id":260,"cluster_id":513,"zcl_data_type":24}},</t>
  </si>
  <si>
    <t>{"image":"https://s3.amazonaws.com/tko-prod-commissioning-files/step_screenshots/touchflexwifi/Home.png","text":{"en":"3-FingerTaponthethermostatscreen"}</t>
  </si>
  <si>
    <t>user_rh_target_editing_enabled:{"type":"attribute","data_type":"bool","is_readonly":false,"reporting_type":"polled","poll_freq":86400,"default_value":false,"zigbee_metadata":{"attr_id":61776,"endpoint_id":10,"profile_id":260,"cluster_id":513,"zcl_data_type":16,"read_formatter":"lambdax:bool(x)","write_formatter":"lambdax:int(x)"}},</t>
  </si>
  <si>
    <t>remote_secondary_temp_sensors:{"type":"shared","data_type":"uint32","is_readonly":false,"reporting_type":"polled","poll_freq":86400,"default_value":0,"zigbee_metadata":{"attr_id":61521,"endpoint_id":10,"profile_id":260,"cluster_id":513,"zcl_data_type":27}},</t>
  </si>
  <si>
    <t>{"image":"https://s3.amazonaws.com/tko-prod-commissioning-files/step_screenshots/touchflexwifi/SystemStatus.png","text":{"en":"Tap'Config'fromthe'SystemStatus'screen"}</t>
  </si>
  <si>
    <t>user_rh_target_min:{"type":"attribute","data_type":"uint8","is_readonly":false,"reporting_type":"polled","poll_freq":86400,"max":90,"min":10,"default_value":50,"zigbee_metadata":{"attr_id":61777,"endpoint_id":10,"profile_id":260,"cluster_id":513,"zcl_data_type":32}},</t>
  </si>
  <si>
    <t>temp_sensors_online:{"type":"client","data_type":"uint32","is_readonly":true,"reporting_type":"reported","report_max":3600,"report_min":0,"zigbee_metadata":{"attr_id":61522,"endpoint_id":10,"profile_id":260,"cluster_id":513,"zcl_data_type":27}},</t>
  </si>
  <si>
    <t>display_wifi_menu:{"type":"basic","data_type":"enum","is_readonly":false,"reporting_type":"polled","poll_freq":86400,"default_value":"off","zigbee_metadata":{"attr_id":31,"endpoint_id":10,"profile_id":260,"cluster_id":64517,"zcl_data_type":48,"write_formatter":"lambdax:{'off':0,'claim':1,'wifi+claim':2}[x]","read_formatter":"lambdax:{0:'off',1:'claim',2:'wifi+claim'}.get(x,'unknown')"}</t>
  </si>
  <si>
    <t>{"image":"https://s3.amazonaws.com/tko-prod-commissioning-files/step_screenshots/touchflexwifi/Enterpassword.png","text":{"en":"Usethekeyboardtotypethepassword:C57A"}</t>
  </si>
  <si>
    <t>user_rh_target_max:{"type":"attribute","data_type":"uint8","is_readonly":false,"reporting_type":"polled","poll_freq":86400,"max":90,"min":10,"default_value":75,"zigbee_metadata":{"attr_id":61778,"endpoint_id":10,"profile_id":260,"cluster_id":513,"zcl_data_type":32}},</t>
  </si>
  <si>
    <t>ventilation_option:{"type":"shared","data_type":"enum","is_readonly":false,"reporting_type":"polled","poll_freq":86400,"enum_values":["none","standard","smart"],"default_value":"none","zigbee_metadata":{"attr_id":61760,"endpoint_id":10,"profile_id":260,"cluster_id":513,"zcl_data_type":48,"write_formatter":"(x)=&gt;x={'none':0,'standard':1,'smart':2}[x]","read_formatter":"(x)=&gt;x={0:'none',1:'standard',2:'smart'}[x]"}},</t>
  </si>
  <si>
    <t>display_leaf_button_enabled:{"type":"basic","data_type":"bool","is_readonly":false,"reporting_type":"polled","poll_freq":86400,"default_value":true,"zigbee_metadata":{"attr_id":33,"endpoint_id":10,"profile_id":260,"cluster_id":64517,"zcl_data_type":16,"read_formatter":"lambdax:not(bool(x))","write_formatter":"lambdax:int(not(x))"}</t>
  </si>
  <si>
    <t>{"image":"https://s3.amazonaws.com/tko-prod-commissioning-files/step_screenshots/touchflexwifi/Enterpassword_enter.png","text":{"en":"Tap'Enter'"}</t>
  </si>
  <si>
    <t>rh_target_limit:{"type":"attribute","data_type":"uint8","is_readonly":false,"reporting_type":"polled","poll_freq":86400,"max":90,"min":10,"default_value":50,"zigbee_metadata":{"attr_id":61779,"endpoint_id":10,"profile_id":260,"cluster_id":513,"zcl_data_type":32}},</t>
  </si>
  <si>
    <t>standard_ventilation_duty_cycle:{"type":"shared","data_type":"uint8","is_readonly":false,"reporting_type":"polled","poll_freq":86400,"max":60,"min":0,"default_value":15,"zigbee_metadata":{"attr_id":61761,"endpoint_id":10,"profile_id":260,"cluster_id":513,"zcl_data_type":32}},</t>
  </si>
  <si>
    <t>oem_brand:{"type":"tko_only","data_type":"enum","is_readonly":false,"reporting_type":"polled","poll_freq":86400,"default_value":"none","zigbee_metadata":{"attr_id":34,"endpoint_id":10,"profile_id":260,"cluster_id":64517,"zcl_data_type":48,"write_formatter":"lambdax:{'none':0,'SantaFe':4}[x]","read_formatter":"lambdax:{0:'none',4:'SantaFe',255:'none'}.get(x,'unknown')"}}</t>
  </si>
  <si>
    <t>{"image":"https://s3.amazonaws.com/tko-prod-commissioning-files/step_screenshots/touchflexwifi/Commish.png","text":{"en":"Tap'Commish'"}}]</t>
  </si>
  <si>
    <t>humidistat_min_off_time:{"type":"attribute","data_type":"uint8","is_readonly":false,"reporting_type":"polled","poll_freq":86400,"max":60,"min":1,"default_value":15,"zigbee_metadata":{"attr_id":61780,"endpoint_id":10,"profile_id":260,"cluster_id":513,"zcl_data_type":32}},</t>
  </si>
  <si>
    <t>smart_ventilation_home_size:{"type":"shared","data_type":"uint16","is_readonly":false,"reporting_type":"polled","poll_freq":86400,"max":10000,"min":0,"default_value":2250,"zigbee_metadata":{"attr_id":61762,"endpoint_id":10,"profile_id":260,"cluster_id":513,"zcl_data_type":33}},</t>
  </si>
  <si>
    <t>{"name":{"en":"StartCommissioning"</t>
  </si>
  <si>
    <t>humidistat_min_on_time:{"type":"attribute","data_type":"uint8","is_readonly":false,"reporting_type":"polled","poll_freq":86400,"max":60,"min":1,"default_value":15,"zigbee_metadata":{"attr_id":61781,"endpoint_id":10,"profile_id":260,"cluster_id":513,"zcl_data_type":32}},</t>
  </si>
  <si>
    <t>smart_ventilation_number_of_bedrooms:{"type":"shared","data_type":"uint8","is_readonly":false,"reporting_type":"polled","poll_freq":86400,"max":10,"min":1,"default_value":15,"zigbee_metadata":{"attr_id":61763,"endpoint_id":10,"profile_id":260,"cluster_id":513,"zcl_data_type":32}},</t>
  </si>
  <si>
    <t>type:"initiate_search","instructions":[{"image":"https://s3.amazonaws.com/tko-prod-commissioning-files/step_screenshots/touchflexwifi/Searchingconnection.png","text":{"en":"TouchFlexhasenabledit'suniqueWIFISSIDandisnowwaitingfortheTablettoconnecttoit"}}]</t>
  </si>
  <si>
    <t>humidistat_stages:{"type":"attribute","data_type":"uint8","is_readonly":false,"reporting_type":"polled","poll_freq":86400,"max":5,"min":0,"default_value":1,"zigbee_metadata":{"attr_id":61782,"endpoint_id":10,"profile_id":260,"cluster_id":513,"zcl_data_type":32}},</t>
  </si>
  <si>
    <t>smart_ventilation_required_fan_size:{"type":"client","data_type":"uint16","is_readonly":true,"reporting_type":"polled","poll_freq":86400,"zigbee_metadata":{"attr_id":61764,"endpoint_id":10,"profile_id":260,"cluster_id":513,"zcl_data_type":33}},</t>
  </si>
  <si>
    <t>{"name":{"en":"Commissioning"</t>
  </si>
  <si>
    <t>humidistat_stage_threshold_time:{"type":"attribute","data_type":"uint8","is_readonly":false,"reporting_type":"polled","poll_freq":86400,"max":60,"min":0,"default_value":10,"zigbee_metadata":{"attr_id":61783,"endpoint_id":10,"profile_id":260,"cluster_id":513,"zcl_data_type":32}},</t>
  </si>
  <si>
    <t>smart_ventilation_fan_size:{"type":"shared","data_type":"uint16","is_readonly":false,"reporting_type":"polled","poll_freq":86400,"max":3000,"min":0,"default_value":600,"zigbee_metadata":{"attr_id":61765,"endpoint_id":10,"profile_id":260,"cluster_id":513,"zcl_data_type":33}},</t>
  </si>
  <si>
    <t>type:"commissioning","instructions":[]}]}</t>
  </si>
  <si>
    <t>dew_point_target:{"type":"attribute","data_type":"float","is_readonly":false,"reporting_type":"reported","report_max":3600,"report_min":0,"report_threshold":0,"default_value":null,"zigbee_metadata":{"attr_id":61784,"endpoint_id":10,"profile_id":260,"cluster_id":513,"zcl_data_type":41,"write_formatter":"lambdax:int(round(x,2)*100)","read_formatter":"lambdax:x/100"}},</t>
  </si>
  <si>
    <t>ventilation_duty_cycle:{"type":"client","data_type":"uint8","is_readonly":true,"reporting_type":"polled","poll_freq":86400,"zigbee_metadata":{"attr_id":61766,"endpoint_id":10,"profile_id":260,"cluster_id":513,"zcl_data_type":32}},</t>
  </si>
  <si>
    <t>user_dew_point_target_min:{"type":"attribute","data_type":"float","is_readonly":false,"reporting_type":"polled","poll_freq":86400,"max":35.0,"min":0.0,"decimal_places":2,"default_value":4.44,"zigbee_metadata":{"attr_id":61785,"endpoint_id":10,"profile_id":260,"cluster_id":513,"zcl_data_type":41,"write_formatter":"lambdax:int(round(x,2)*100)","read_formatter":"lambdax:x/100"}},</t>
  </si>
  <si>
    <t>ventilation_required_minutes_remaining_this_hour:{"type":"client","data_type":"uint8","is_readonly":true,"reporting_type":"diagnostic","zigbee_metadata":{"attr_id":61767,"endpoint_id":10,"profile_id":260,"cluster_id":513,"zcl_data_type":32}},</t>
  </si>
  <si>
    <t>user_dew_point_target_max:{"type":"attribute","data_type":"float","is_readonly":false,"reporting_type":"polled","poll_freq":86400,"max":35.0,"min":0.0,"decimal_places":2,"default_value":21.11,"zigbee_metadata":{"attr_id":61786,"endpoint_id":10,"profile_id":260,"cluster_id":513,"zcl_data_type":41,"write_formatter":"lambdax:int(round(x,2)*100)","read_formatter":"lambdax:x/100"}},</t>
  </si>
  <si>
    <t>ventilation_minutes_remaining_this_hour:{"type":"client","data_type":"uint8","is_readonly":true,"reporting_type":"diagnostic","zigbee_metadata":{"attr_id":61768,"endpoint_id":10,"profile_id":260,"cluster_id":513,"zcl_data_type":32}},</t>
  </si>
  <si>
    <t>dew_point_target_limit:{"type":"attribute","data_type":"float","is_readonly":false,"reporting_type":"polled","poll_freq":86400,"max":35.0,"min":0.0,"decimal_places":2,"default_value":4.44,"zigbee_metadata":{"attr_id":61787,"endpoint_id":10,"profile_id":260,"cluster_id":513,"zcl_data_type":41,"write_formatter":"lambdax:int(round(x,2)*100)","read_formatter":"lambdax:x/100"}},</t>
  </si>
  <si>
    <t>ventilation_engaged:{"type":"client","data_type":"bool","is_readonly":true,"reporting_type":"reported","report_max":3600,"report_min":0,"zigbee_metadata":{"attr_id":61769,"endpoint_id":10,"profile_id":260,"cluster_id":513,"zcl_data_type":16,"read_formatter":"(x)=&gt;Boolean(x)"}},</t>
  </si>
  <si>
    <t>contact_config_0:{"type":"attribute","data_type":"int16","is_readonly":false,"reporting_type":"polled","poll_freq":86400,"default_value":null,"zigbee_metadata":{"attr_id":61952,"endpoint_id":10,"profile_id":260,"cluster_id":513,"zcl_data_type":35}},</t>
  </si>
  <si>
    <t>display_schedule_menu_enabled:{"type":"attribute","data_type":"bool","is_readonly":false,"reporting_type":"polled","poll_freq":86400,"default_value":false,"zigbee_metadata":{"attr_id":29,"endpoint_id":10,"profile_id":260,"cluster_id":64517,"zcl_data_type":16,"read_formatter":"lambdax:bool(x)","write_formatter":"lambdax:int(x)"}},</t>
  </si>
  <si>
    <t>manual_ventilation_setting:{"type":"shared","data_type":"enum","is_readonly":false,"reporting_type":"polled","poll_freq":86400,"enum_values":["auto","1_hour","2_hours","4_hours"],"default_value":"auto","zigbee_metadata":{"attr_id":61770,"endpoint_id":10,"profile_id":260,"cluster_id":513,"zcl_data_type":48,"write_formatter":"(x)=&gt;x={'1_hour':1,'2_hours':2,'4_hours':3,'auto':5}[x]","read_formatter":"(x)=&gt;x={1:'1_hour',2:'2_hours',3:'4_hours',5:'auto'}[x]"}},</t>
  </si>
  <si>
    <t>user_dew_point_target_min:{"type":"attribute","data_type":"float","is_readonly":false,"reporting_type":"polled","poll_freq":86400,"max":35,"min":0,"decimal_places":2,"default_value":4.44,"zigbee_metadata":{"attr_id":61785,"endpoint_id":10,"profile_id":260,"cluster_id":513,"zcl_data_type":41,"write_formatter":"lambdax:int(round(x,2)*100)","read_formatter":"lambdax:x/100"}},</t>
  </si>
  <si>
    <t>contact_config_1:{"type":"attribute","data_type":"int16","is_readonly":false,"reporting_type":"polled","poll_freq":86400,"default_value":null,"zigbee_metadata":{"attr_id":61953,"endpoint_id":10,"profile_id":260,"cluster_id":513,"zcl_data_type":35}},</t>
  </si>
  <si>
    <t>display_settings_menu_enabled:{"type":"attribute","data_type":"bool","is_readonly":false,"reporting_type":"polled","poll_freq":86400,"default_value":false,"zigbee_metadata":{"attr_id":30,"endpoint_id":10,"profile_id":260,"cluster_id":64517,"zcl_data_type":16,"read_formatter":"lambdax:bool(x)","write_formatter":"lambdax:int(x)"}},</t>
  </si>
  <si>
    <t>manual_ventilation_minutes_remaining:{"type":"client","data_type":"uint16","is_readonly":true,"reporting_type":"diagnostic","zigbee_metadata":{"attr_id":61771,"endpoint_id":10,"profile_id":260,"cluster_id":513,"zcl_data_type":33}},</t>
  </si>
  <si>
    <t>user_dew_point_target_max:{"type":"attribute","data_type":"float","is_readonly":false,"reporting_type":"polled","poll_freq":86400,"max":35,"min":0,"decimal_places":2,"default_value":21.11,"zigbee_metadata":{"attr_id":61786,"endpoint_id":10,"profile_id":260,"cluster_id":513,"zcl_data_type":41,"write_formatter":"lambdax:int(round(x,2)*100)","read_formatter":"lambdax:x/100"}},</t>
  </si>
  <si>
    <t>unocc_delay_extended_deep_setback:{"type":"attribute","data_type":"uint16","is_readonly":false,"reporting_type":"polled","poll_freq":86400,"default_value":false,"zigbee_metadata":{"attr_id":61792,"endpoint_id":10,"profile_id":260,"cluster_id":513,"zcl_data_type":33}},</t>
  </si>
  <si>
    <t>contact_config_2:{"type":"attribute","data_type":"int16","is_readonly":false,"reporting_type":"polled","poll_freq":86400,"default_value":null,"zigbee_metadata":{"attr_id":61954,"endpoint_id":10,"profile_id":260,"cluster_id":513,"zcl_data_type":35}},</t>
  </si>
  <si>
    <t>display_wifi_menu:{"type":"attribute","data_type":"enum","is_readonly":false,"reporting_type":"polled","poll_freq":86400,"default_value":"off","enum_values":["off","claim","wifi+claim"],"zigbee_metadata":{"attr_id":31,"endpoint_id":10,"profile_id":260,"cluster_id":64517,"zcl_data_type":48,"write_formatter":"lambdax:{'off':0,'claim':1,'wifi+claim':2}[x]","read_formatter":"lambdax:{0:'off',1:'claim',2:'wifi+claim'}.get(x,'unknown')"}},</t>
  </si>
  <si>
    <t>user_rh_target_editing_enabled:{"type":"shared","data_type":"bool","is_readonly":false,"reporting_type":"polled","poll_freq":86400,"default_value":false,"zigbee_metadata":{"attr_id":61776,"endpoint_id":10,"profile_id":260,"cluster_id":513,"zcl_data_type":16,"read_formatter":"(x)=&gt;Boolean(x)","write_formatter":"(x)=&gt;+(x)"}},</t>
  </si>
  <si>
    <t>dew_point_target_limit:{"type":"attribute","data_type":"float","is_readonly":false,"reporting_type":"polled","poll_freq":86400,"max":35,"min":0,"decimal_places":2,"default_value":4.44,"zigbee_metadata":{"attr_id":61787,"endpoint_id":10,"profile_id":260,"cluster_id":513,"zcl_data_type":41,"write_formatter":"lambdax:int(round(x,2)*100)","read_formatter":"lambdax:x/100"}},</t>
  </si>
  <si>
    <t>extended_deep_heat_setback:{"type":"attribute","data_type":"float","is_readonly":false,"reporting_type":"polled","poll_freq":86400,"max":35.0,"min":0.0,"decimal_places":2,"default_value":16.67,"zigbee_metadata":{"attr_id":61793,"endpoint_id":10,"profile_id":260,"cluster_id":513,"zcl_data_type":41,"write_formatter":"lambdax:int(round(x,2)*100)","read_formatter":"lambdax:x/100"}},</t>
  </si>
  <si>
    <t>contact_config_3:{"type":"attribute","data_type":"int16","is_readonly":false,"reporting_type":"polled","poll_freq":86400,"default_value":null,"zigbee_metadata":{"attr_id":61955,"endpoint_id":10,"profile_id":260,"cluster_id":513,"zcl_data_type":35}},</t>
  </si>
  <si>
    <t>display_leaf_button_disabled:{"type":"attribute","data_type":"bool","is_readonly":false,"reporting_type":"polled","poll_freq":86400,"default_value":true,"zigbee_metadata":{"attr_id":33,"endpoint_id":10,"profile_id":260,"cluster_id":64517,"zcl_data_type":16,"read_formatter":"lambdax:bool(x)","write_formatter":"lambdax:int(x)"}},</t>
  </si>
  <si>
    <t>user_rh_target_min:{"type":"shared","data_type":"uint8","is_readonly":false,"reporting_type":"polled","poll_freq":86400,"max":90,"min":10,"default_value":50,"zigbee_metadata":{"attr_id":61777,"endpoint_id":10,"profile_id":260,"cluster_id":513,"zcl_data_type":32}},</t>
  </si>
  <si>
    <t>extended_deep_cool_setback:{"type":"attribute","data_type":"float","is_readonly":false,"reporting_type":"polled","poll_freq":86400,"max":35.0,"min":0.0,"decimal_places":2,"default_value":29.44,"zigbee_metadata":{"attr_id":61794,"endpoint_id":10,"profile_id":260,"cluster_id":513,"zcl_data_type":41,"write_formatter":"lambdax:int(round(x,2)*100)","read_formatter":"lambdax:x/100"}},</t>
  </si>
  <si>
    <t>contact_config_4:{"type":"attribute","data_type":"int16","is_readonly":false,"reporting_type":"polled","poll_freq":86400,"default_value":null,"zigbee_metadata":{"attr_id":61956,"endpoint_id":10,"profile_id":260,"cluster_id":513,"zcl_data_type":35}},</t>
  </si>
  <si>
    <t>oem_brand:{"type":"tko_only","data_type":"enum","is_readonly":false,"reporting_type":"polled","poll_freq":86400,"default_value":"none","enum_values":["none","santa_fe"],"zigbee_metadata":{"attr_id":34,"endpoint_id":10,"profile_id":260,"cluster_id":64517,"zcl_data_type":48,"write_formatter":"lambdax:{'none':0,'santa_fe':4}[x]","read_formatter":"lambdax:{0:'none',4:'santa_fe',255:'none'}.get(x,'unknown')"}},</t>
  </si>
  <si>
    <t>user_rh_target_max:{"type":"shared","data_type":"uint8","is_readonly":false,"reporting_type":"polled","poll_freq":86400,"max":90,"min":10,"default_value":75,"zigbee_metadata":{"attr_id":61778,"endpoint_id":10,"profile_id":260,"cluster_id":513,"zcl_data_type":32}},</t>
  </si>
  <si>
    <t>extended_deep_heat_setback:{"type":"attribute","data_type":"float","is_readonly":false,"reporting_type":"polled","poll_freq":86400,"max":35,"min":0,"decimal_places":2,"default_value":16.67,"zigbee_metadata":{"attr_id":61793,"endpoint_id":10,"profile_id":260,"cluster_id":513,"zcl_data_type":41,"write_formatter":"lambdax:int(round(x,2)*100)","read_formatter":"lambdax:x/100"}},</t>
  </si>
  <si>
    <t>extended_deep_delta_setback:{"type":"attribute","data_type":"float","is_readonly":false,"reporting_type":"polled","poll_freq":86400,"max":10.0,"min":0.0,"decimal_places":2,"default_value":5.0,"zigbee_metadata":{"attr_id":61795,"endpoint_id":10,"profile_id":260,"cluster_id":513,"zcl_data_type":33,"write_formatter":"lambdax:int(round(x,2)*100)","read_formatter":"lambdax:x/100"}},</t>
  </si>
  <si>
    <t>contact_config_5:{"type":"attribute","data_type":"int16","is_readonly":false,"reporting_type":"polled","poll_freq":86400,"default_value":null,"zigbee_metadata":{"attr_id":61957,"endpoint_id":10,"profile_id":260,"cluster_id":513,"zcl_data_type":35}},</t>
  </si>
  <si>
    <t>display_set_time_reminder:{"type":"attribute","data_type":"bool","is_readonly":false,"reporting_type":"polled","poll_freq":86400,"default_value":false,"zigbee_metadata":{"attr_id":35,"endpoint_id":10,"profile_id":260,"cluster_id":64517,"zcl_data_type":16,"read_formatter":"lambdax:bool(x)","write_formatter":"lambdax:int(x)"}},</t>
  </si>
  <si>
    <t>rh_target_limit:{"type":"shared","data_type":"uint8","is_readonly":false,"reporting_type":"polled","poll_freq":86400,"max":90,"min":10,"default_value":50,"zigbee_metadata":{"attr_id":61779,"endpoint_id":10,"profile_id":260,"cluster_id":513,"zcl_data_type":32}},</t>
  </si>
  <si>
    <t>extended_deep_cool_setback:{"type":"attribute","data_type":"float","is_readonly":false,"reporting_type":"polled","poll_freq":86400,"max":35,"min":0,"decimal_places":2,"default_value":29.44,"zigbee_metadata":{"attr_id":61794,"endpoint_id":10,"profile_id":260,"cluster_id":513,"zcl_data_type":41,"write_formatter":"lambdax:int(round(x,2)*100)","read_formatter":"lambdax:x/100"}},</t>
  </si>
  <si>
    <t>extended_deep_setback_min:{"type":"attribute","data_type":"float","is_readonly":false,"reporting_type":"polled","poll_freq":86400,"max":35.0,"min":0.0,"decimal_places":2,"default_value":16.67,"zigbee_metadata":{"attr_id":61796,"endpoint_id":10,"profile_id":260,"cluster_id":513,"zcl_data_type":41,"write_formatter":"lambdax:int(round(x,2)*100)","read_formatter":"lambdax:x/100"}},</t>
  </si>
  <si>
    <t>contact_config_6:{"type":"attribute","data_type":"int16","is_readonly":false,"reporting_type":"polled","poll_freq":86400,"default_value":null,"zigbee_metadata":{"attr_id":61958,"endpoint_id":10,"profile_id":260,"cluster_id":513,"zcl_data_type":35}},</t>
  </si>
  <si>
    <t>startup_screen:{"type":"tko_only","data_type":"enum","is_readonly":false,"reporting_type":"polled","poll_freq":86400,"default_value":"none","enum_values":["none","select_device_type"],"zigbee_metadata":{"attr_id":36,"endpoint_id":10,"profile_id":260,"cluster_id":64517,"zcl_data_type":48,"write_formatter":"lambdax:{'none':0,'select_device_type':1}[x]","read_formatter":"lambdax:{0:'none',1:'select_device_type'}.get(x,'unknown')"}},</t>
  </si>
  <si>
    <t>humidistat_min_off_time:{"type":"shared","data_type":"uint8","is_readonly":false,"reporting_type":"polled","poll_freq":86400,"max":60,"min":1,"default_value":15,"zigbee_metadata":{"attr_id":61780,"endpoint_id":10,"profile_id":260,"cluster_id":513,"zcl_data_type":32}},</t>
  </si>
  <si>
    <t>extended_deep_delta_setback:{"type":"attribute","data_type":"float","is_readonly":false,"reporting_type":"polled","poll_freq":86400,"max":10,"min":0,"decimal_places":2,"default_value":5,"zigbee_metadata":{"attr_id":61795,"endpoint_id":10,"profile_id":260,"cluster_id":513,"zcl_data_type":33,"write_formatter":"lambdax:int(round(x,2)*100)","read_formatter":"lambdax:x/100"}},</t>
  </si>
  <si>
    <t>extended_deep_setback_max:{"type":"attribute","data_type":"float","is_readonly":false,"reporting_type":"polled","poll_freq":86400,"max":35.0,"min":0.0,"decimal_places":2,"default_value":16.67,"zigbee_metadata":{"attr_id":61797,"endpoint_id":10,"profile_id":260,"cluster_id":513,"zcl_data_type":41,"write_formatter":"lambdax:int(round(x,2)*100)","read_formatter":"lambdax:x/100"}},</t>
  </si>
  <si>
    <t>contact_config_7:{"type":"attribute","data_type":"int16","is_readonly":false,"reporting_type":"polled","poll_freq":86400,"default_value":null,"zigbee_metadata":{"attr_id":61959,"endpoint_id":10,"profile_id":260,"cluster_id":513,"zcl_data_type":35}},</t>
  </si>
  <si>
    <t>password_level_1:{"type":"attribute","data_type":"uint16","is_readonly":false,"reporting_type":"polled","poll_freq":86400,"default_value":65535,"zigbee_metadata":{"attr_id":37,"endpoint_id":10,"profile_id":260,"cluster_id":64517,"zcl_data_type":33}},</t>
  </si>
  <si>
    <t>humidistat_min_on_time:{"type":"shared","data_type":"uint8","is_readonly":false,"reporting_type":"polled","poll_freq":86400,"max":60,"min":1,"default_value":15,"zigbee_metadata":{"attr_id":61781,"endpoint_id":10,"profile_id":260,"cluster_id":513,"zcl_data_type":32}},</t>
  </si>
  <si>
    <t>extended_deep_setback_min:{"type":"attribute","data_type":"float","is_readonly":false,"reporting_type":"polled","poll_freq":86400,"max":35,"min":0,"decimal_places":2,"default_value":16.67,"zigbee_metadata":{"attr_id":61796,"endpoint_id":10,"profile_id":260,"cluster_id":513,"zcl_data_type":41,"write_formatter":"lambdax:int(round(x,2)*100)","read_formatter":"lambdax:x/100"}},</t>
  </si>
  <si>
    <t>extended_deep_setback_active:{"type":"telemetry","data_type":"bool","is_readonly":true,"reporting_type":"reported","report_max":3600,"report_min":0,"zigbee_metadata":{"attr_id":61798,"endpoint_id":10,"profile_id":260,"cluster_id":513,"zcl_data_type":16,"read_formatter":"lambdax:bool(x)"}},</t>
  </si>
  <si>
    <t>password_level_2:{"type":"attribute","data_type":"uint16","is_readonly":false,"reporting_type":"polled","poll_freq":86400,"default_value":65535,"zigbee_metadata":{"attr_id":38,"endpoint_id":10,"profile_id":260,"cluster_id":64517,"zcl_data_type":33}},</t>
  </si>
  <si>
    <t>humidistat_stages:{"type":"shared","data_type":"uint8","is_readonly":false,"reporting_type":"polled","poll_freq":86400,"max":5,"min":0,"default_value":1,"zigbee_metadata":{"attr_id":61782,"endpoint_id":10,"profile_id":260,"cluster_id":513,"zcl_data_type":32}},</t>
  </si>
  <si>
    <t>extended_deep_setback_max:{"type":"attribute","data_type":"float","is_readonly":false,"reporting_type":"polled","poll_freq":86400,"max":35,"min":0,"decimal_places":2,"default_value":16.67,"zigbee_metadata":{"attr_id":61797,"endpoint_id":10,"profile_id":260,"cluster_id":513,"zcl_data_type":41,"write_formatter":"lambdax:int(round(x,2)*100)","read_formatter":"lambdax:x/100"}},</t>
  </si>
  <si>
    <t>setpoint_reset_enable:{"type":"attribute","data_type":"enum","is_readonly":false,"reporting_type":"polled","poll_freq":86400,"enum_values":["disabled","setpoint_only","setpoint_and_mode"],"default_value":false,"zigbee_metadata":{"attr_id":61808,"endpoint_id":10,"profile_id":260,"cluster_id":513,"zcl_data_type":48,"write_formatter":"lambdax:{'disabled':0,'setpoint_only':1,'setpoint_and_mode':2}[x]","read_formatter":"lambdax:{0:'disabled',1:'setpoint_only',2:'setpoint_and_mode'}.get(x,'unknown')"}},</t>
  </si>
  <si>
    <t>bacnet_oid:{"type":"attribute","data_type":"uint32","is_readonly":false,"reporting_type":"polled","poll_freq":86400,"default_value":null,"zigbee_metadata":{"attr_id":39,"endpoint_id":10,"profile_id":260,"cluster_id":64517,"zcl_data_type":35}},</t>
  </si>
  <si>
    <t>humidistat_stage_threshold_time:{"type":"shared","data_type":"uint8","is_readonly":false,"reporting_type":"polled","poll_freq":86400,"max":60,"min":0,"default_value":10,"zigbee_metadata":{"attr_id":61783,"endpoint_id":10,"profile_id":260,"cluster_id":513,"zcl_data_type":32}},</t>
  </si>
  <si>
    <t>setpoint_reset_timeout:{"type":"attribute","data_type":"uint16","is_readonly":false,"reporting_type":"polled","poll_freq":86400,"default_value":false,"zigbee_metadata":{"attr_id":61809,"endpoint_id":10,"profile_id":260,"cluster_id":513,"zcl_data_type":33}},</t>
  </si>
  <si>
    <t>device_table_slot_1:{"type":"attribute","data_type":"uint64","is_readonly":false,"reporting_type":"polled","poll_freq":86400,"default_value":null,"zigbee_metadata":{"attr_id":257,"endpoint_id":10,"profile_id":260,"cluster_id":64530,"zcl_data_type":240}},</t>
  </si>
  <si>
    <t>dew_point_target:{"type":"shared","data_type":"float","is_readonly":false,"reporting_type":"reported","report_max":3600,"report_min":0,"report_threshold":0,"zigbee_metadata":{"attr_id":61784,"endpoint_id":10,"profile_id":260,"cluster_id":513,"zcl_data_type":41,"write_formatter":"(x)=&gt;x*100","read_formatter":"(x)=&gt;x/100"}},</t>
  </si>
  <si>
    <t>setpoint_reset_hvac_mode:{"type":"attribute","data_type":"enum","is_readonly":false,"reporting_type":"polled","poll_freq":86400,"bound_attr_enum":"system_modes_available","enum_values":["off","cool","heat","auto"],"default_value":"off","zigbee_metadata":{"attr_id":61810,"endpoint_id":10,"profile_id":260,"cluster_id":513,"zcl_data_type":48,"write_formatter":"lambdax:{'off':0,'auto':1,'cool':3,'heat':4}[x]","read_formatter":"lambdax:{0:'off',1:'auto',3:'cool',4:'heat'}.get(x,'unknown')"}},</t>
  </si>
  <si>
    <t>device_table_slot_2:{"type":"attribute","data_type":"uint64","is_readonly":false,"reporting_type":"polled","poll_freq":86400,"default_value":null,"zigbee_metadata":{"attr_id":258,"endpoint_id":10,"profile_id":260,"cluster_id":64530,"zcl_data_type":240}},</t>
  </si>
  <si>
    <t>user_dew_point_target_min:{"type":"shared","data_type":"float","is_readonly":false,"reporting_type":"polled","poll_freq":86400,"max":35.0,"min":0.0,"decimal_places":2,"default_value":4.44,"zigbee_metadata":{"attr_id":61785,"endpoint_id":10,"profile_id":260,"cluster_id":513,"zcl_data_type":41,"write_formatter":"(x)=&gt;x*100","read_formatter":"(x)=&gt;x/100"}},</t>
  </si>
  <si>
    <t>setpoint_reset_cool_setpoint:{"type":"attribute","data_type":"float","is_readonly":false,"reporting_type":"polled","poll_freq":86400,"max":35.0,"min":0.0,"decimal_places":2,"bound_attr_max":"cool_setpoint_max","bound_attr_min":"cool_setpoint_min","default_value":26.67,"zigbee_metadata":{"attr_id":61811,"endpoint_id":10,"profile_id":260,"cluster_id":513,"zcl_data_type":41,"write_formatter":"lambdax:int(round(x,2)*100)","read_formatter":"lambdax:x/100"}},</t>
  </si>
  <si>
    <t>device_table_slot_3:{"type":"attribute","data_type":"uint64","is_readonly":false,"reporting_type":"polled","poll_freq":86400,"default_value":null,"zigbee_metadata":{"attr_id":259,"endpoint_id":10,"profile_id":260,"cluster_id":64530,"zcl_data_type":240}},</t>
  </si>
  <si>
    <t>user_dew_point_target_max:{"type":"shared","data_type":"float","is_readonly":false,"reporting_type":"polled","poll_freq":86400,"max":35.0,"min":0.0,"decimal_places":2,"default_value":21.11,"zigbee_metadata":{"attr_id":61786,"endpoint_id":10,"profile_id":260,"cluster_id":513,"zcl_data_type":41,"write_formatter":"(x)=&gt;x*100","read_formatter":"(x)=&gt;x/100"}},</t>
  </si>
  <si>
    <t>setpoint_reset_heat_setpoint:{"type":"attribute","data_type":"float","is_readonly":false,"reporting_type":"polled","poll_freq":86400,"max":35.0,"min":0.0,"decimal_places":2,"bound_attr_max":"heat_setpoint_max","bound_attr_min":"heat_setpoint_min","default_value":15.56,"zigbee_metadata":{"attr_id":61812,"endpoint_id":10,"profile_id":260,"cluster_id":513,"zcl_data_type":41,"write_formatter":"lambdax:int(round(x,2)*100)","read_formatter":"lambdax:x/100"}},</t>
  </si>
  <si>
    <t>device_table_slot_4:{"type":"attribute","data_type":"uint64","is_readonly":false,"reporting_type":"polled","poll_freq":86400,"default_value":null,"zigbee_metadata":{"attr_id":260,"endpoint_id":10,"profile_id":260,"cluster_id":64530,"zcl_data_type":240}},</t>
  </si>
  <si>
    <t>dew_point_target_limit:{"type":"shared","data_type":"float","is_readonly":false,"reporting_type":"polled","poll_freq":86400,"max":35.0,"min":0.0,"decimal_places":2,"default_value":4.44,"zigbee_metadata":{"attr_id":61787,"endpoint_id":10,"profile_id":260,"cluster_id":513,"zcl_data_type":41,"write_formatter":"(x)=&gt;x*100","read_formatter":"(x)=&gt;x/100"}},</t>
  </si>
  <si>
    <t>setpoint_reset_cool_setpoint:{"type":"attribute","data_type":"float","is_readonly":false,"reporting_type":"polled","poll_freq":86400,"max":35,"min":0,"decimal_places":2,"bound_attr_max":"cool_setpoint_max","bound_attr_min":"cool_setpoint_min","default_value":26.67,"zigbee_metadata":{"attr_id":61811,"endpoint_id":10,"profile_id":260,"cluster_id":513,"zcl_data_type":41,"write_formatter":"lambdax:int(round(x,2)*100)","read_formatter":"lambdax:x/100"}},</t>
  </si>
  <si>
    <t>oem_brand:{"type":"tko_only","data_type":"enum","is_readonly":false,"reporting_type":"polled","poll_freq":86400,"default_value":"none","enum_values":["none","vda","trane","santa_fe","renew_aire"],"zigbee_metadata":{"attr_id":34,"endpoint_id":10,"profile_id":260,"cluster_id":64517,"zcl_data_type":48,"write_formatter":"lambdax:{'none':0,'vda':1,'trane':2,'santa_fe':3,'renew_aire':4}[x]","read_formatter":"lambdax:{0:'none',1:'vda',2:'trane',3:'santa_fe',4:'renew_aire',255:'none'}.get(x,'unknown')"}},</t>
  </si>
  <si>
    <t>device_table_slot_5:{"type":"attribute","data_type":"uint64","is_readonly":false,"reporting_type":"polled","poll_freq":86400,"default_value":null,"zigbee_metadata":{"attr_id":261,"endpoint_id":10,"profile_id":260,"cluster_id":64530,"zcl_data_type":240}},</t>
  </si>
  <si>
    <t>display_schedule_menu_enabled:{"type":"shared","data_type":"bool","is_readonly":false,"reporting_type":"polled","poll_freq":86400,"default_value":false,"zigbee_metadata":{"attr_id":29,"endpoint_id":10,"profile_id":260,"cluster_id":64517,"zcl_data_type":16,"read_formatter":"(x)=&gt;Boolean(x)","write_formatter":"(x)=&gt;+(x)"}},</t>
  </si>
  <si>
    <t>setpoint_reset_heat_setpoint:{"type":"attribute","data_type":"float","is_readonly":false,"reporting_type":"polled","poll_freq":86400,"max":35,"min":0,"decimal_places":2,"bound_attr_max":"heat_setpoint_max","bound_attr_min":"heat_setpoint_min","default_value":15.56,"zigbee_metadata":{"attr_id":61812,"endpoint_id":10,"profile_id":260,"cluster_id":513,"zcl_data_type":41,"write_formatter":"lambdax:int(round(x,2)*100)","read_formatter":"lambdax:x/100"}},</t>
  </si>
  <si>
    <t>device_table_slot_6:{"type":"attribute","data_type":"uint64","is_readonly":false,"reporting_type":"polled","poll_freq":86400,"default_value":null,"zigbee_metadata":{"attr_id":262,"endpoint_id":10,"profile_id":260,"cluster_id":64530,"zcl_data_type":240}},</t>
  </si>
  <si>
    <t>display_settings_menu_enabled:{"type":"shared","data_type":"bool","is_readonly":false,"reporting_type":"polled","poll_freq":86400,"default_value":false,"zigbee_metadata":{"attr_id":30,"endpoint_id":10,"profile_id":260,"cluster_id":64517,"zcl_data_type":16,"read_formatter":"(x)=&gt;Boolean(x)","write_formatter":"(x)=&gt;+(x)"}},</t>
  </si>
  <si>
    <t>relay_0_load_temperature_compensation:{"type":"attribute","data_type":"float","is_readonly":false,"reporting_type":"polled","poll_freq":86400,"max":5,"min":1,"decimal_places":2,"default_value":0,"zigbee_metadata":{"attr_id":61824,"endpoint_id":10,"profile_id":260,"cluster_id":513,"zcl_data_type":33,"write_formatter":"lambdax:int(round(x,2)*100)","read_formatter":"lambdax:x/100"}},</t>
  </si>
  <si>
    <t>startup_screen:{"type":"tko_only","data_type":"enum","is_readonly":false,"reporting_type":"polled","poll_freq":86400,"default_value":"none","enum_values":["none","select_device_type","select_preset"],"zigbee_metadata":{"attr_id":36,"endpoint_id":10,"profile_id":260,"cluster_id":64517,"zcl_data_type":48,"write_formatter":"lambdax:{'none':0,'select_device_type':1,'select_preset':2}[x]","read_formatter":"lambdax:{0:'none',1:'select_device_type',2:'select_preset'}.get(x,'unknown')"}},</t>
  </si>
  <si>
    <t>device_table_slot_7:{"type":"attribute","data_type":"uint64","is_readonly":false,"reporting_type":"polled","poll_freq":86400,"default_value":null,"zigbee_metadata":{"attr_id":263,"endpoint_id":10,"profile_id":260,"cluster_id":64530,"zcl_data_type":240}},</t>
  </si>
  <si>
    <t>display_wifi_menu:{"type":"shared","data_type":"enum","is_readonly":false,"reporting_type":"polled","poll_freq":86400,"default_value":"off","enum_values":["off","claim","wifi+claim"],"zigbee_metadata":{"attr_id":31,"endpoint_id":10,"profile_id":260,"cluster_id":64517,"zcl_data_type":48,"write_formatter":"(x)=&gt;x={'off':0,'claim':1,'wifi+claim':2}[x]","read_formatter":"(x)=&gt;x={0:'off',1:'claim',2:'wifi+claim'}[x]"}},</t>
  </si>
  <si>
    <t>relay_1_load_temperature_compensation:{"type":"attribute","data_type":"float","is_readonly":false,"reporting_type":"polled","poll_freq":86400,"max":5,"min":1,"decimal_places":2,"default_value":0,"zigbee_metadata":{"attr_id":61825,"endpoint_id":10,"profile_id":260,"cluster_id":513,"zcl_data_type":33,"write_formatter":"lambdax:int(round(x,2)*100)","read_formatter":"lambdax:x/100"}},</t>
  </si>
  <si>
    <t>device_table_slot_8:{"type":"attribute","data_type":"uint64","is_readonly":false,"reporting_type":"polled","poll_freq":86400,"default_value":null,"zigbee_metadata":{"attr_id":264,"endpoint_id":10,"profile_id":260,"cluster_id":64530,"zcl_data_type":240}},</t>
  </si>
  <si>
    <t>display_leaf_button_enabled:{"type":"shared","data_type":"bool","is_readonly":false,"reporting_type":"polled","poll_freq":86400,"default_value":true,"zigbee_metadata":{"attr_id":33,"endpoint_id":10,"profile_id":260,"cluster_id":64517,"zcl_data_type":16,"read_formatter":"(x)=&gt;Boolean(!x)","write_formatter":"(x)=&gt;+(!x)"}},</t>
  </si>
  <si>
    <t>relay_2_load_temperature_compensation:{"type":"attribute","data_type":"float","is_readonly":false,"reporting_type":"polled","poll_freq":86400,"max":5,"min":1,"decimal_places":2,"default_value":0,"zigbee_metadata":{"attr_id":61826,"endpoint_id":10,"profile_id":260,"cluster_id":513,"zcl_data_type":33,"write_formatter":"lambdax:int(round(x,2)*100)","read_formatter":"lambdax:x/100"}},</t>
  </si>
  <si>
    <t>device_table_slot_9:{"type":"attribute","data_type":"uint64","is_readonly":false,"reporting_type":"polled","poll_freq":86400,"default_value":null,"zigbee_metadata":{"attr_id":265,"endpoint_id":10,"profile_id":260,"cluster_id":64530,"zcl_data_type":240}},</t>
  </si>
  <si>
    <t>oem_brand:{"type":"tko_only","data_type":"enum","is_readonly":false,"reporting_type":"polled","poll_freq":86400,"default_value":"none","enum_values":["none","santa_fe"],"zigbee_metadata":{"attr_id":34,"endpoint_id":10,"profile_id":260,"cluster_id":64517,"zcl_data_type":48,"write_formatter":"(x)=&gt;x={'none':0,'santa_fe':4}[x]","read_formatter":"(x)=&gt;x={0:'none',4:'santa_fe',255:'none'}[x]"}},</t>
  </si>
  <si>
    <t>relay_3_load_temperature_compensation:{"type":"attribute","data_type":"float","is_readonly":false,"reporting_type":"polled","poll_freq":86400,"max":5,"min":1,"decimal_places":2,"default_value":0,"zigbee_metadata":{"attr_id":61827,"endpoint_id":10,"profile_id":260,"cluster_id":513,"zcl_data_type":33,"write_formatter":"lambdax:int(round(x,2)*100)","read_formatter":"lambdax:x/100"}},</t>
  </si>
  <si>
    <t>device_table_slot_10:{"type":"attribute","data_type":"uint64","is_readonly":false,"reporting_type":"polled","poll_freq":86400,"default_value":null,"zigbee_metadata":{"attr_id":266,"endpoint_id":10,"profile_id":260,"cluster_id":64530,"zcl_data_type":240}},</t>
  </si>
  <si>
    <t>display_set_time_reminder:{"type":"shared","data_type":"bool","is_readonly":false,"reporting_type":"polled","poll_freq":86400,"default_value":false,"zigbee_metadata":{"attr_id":35,"endpoint_id":10,"profile_id":260,"cluster_id":64517,"zcl_data_type":16,"read_formatter":"(x)=&gt;Boolean(x)","write_formatter":"(x)=&gt;+(x)"}},</t>
  </si>
  <si>
    <t>relay_4_load_temperature_compensation:{"type":"attribute","data_type":"float","is_readonly":false,"reporting_type":"polled","poll_freq":86400,"max":5,"min":1,"decimal_places":2,"default_value":0,"zigbee_metadata":{"attr_id":61828,"endpoint_id":10,"profile_id":260,"cluster_id":513,"zcl_data_type":33,"write_formatter":"lambdax:int(round(x,2)*100)","read_formatter":"lambdax:x/100"}},</t>
  </si>
  <si>
    <t>device_table_slot_11:{"type":"attribute","data_type":"uint64","is_readonly":false,"reporting_type":"polled","poll_freq":86400,"default_value":null,"zigbee_metadata":{"attr_id":267,"endpoint_id":10,"profile_id":260,"cluster_id":64530,"zcl_data_type":240}},</t>
  </si>
  <si>
    <t>startup_screen:{"type":"tko_only","data_type":"enum","is_readonly":false,"reporting_type":"polled","poll_freq":86400,"default_value":"none","enum_values":["none","select_device_type"],"zigbee_metadata":{"attr_id":36,"endpoint_id":10,"profile_id":260,"cluster_id":64517,"zcl_data_type":48,"write_formatter":"(x)=&gt;x={'none':0,'select_device_type':1}[x]","read_formatter":"(x)=&gt;x={0:'none',4:'select_device_type',255:'none'}[x]"}},</t>
  </si>
  <si>
    <t>relay_5_load_temperature_compensation:{"type":"attribute","data_type":"float","is_readonly":false,"reporting_type":"polled","poll_freq":86400,"max":5,"min":1,"decimal_places":2,"default_value":0,"zigbee_metadata":{"attr_id":61829,"endpoint_id":10,"profile_id":260,"cluster_id":513,"zcl_data_type":33,"write_formatter":"lambdax:int(round(x,2)*100)","read_formatter":"lambdax:x/100"}},</t>
  </si>
  <si>
    <t>device_table_slot_12:{"type":"attribute","data_type":"uint64","is_readonly":false,"reporting_type":"polled","poll_freq":86400,"default_value":null,"zigbee_metadata":{"attr_id":268,"endpoint_id":10,"profile_id":260,"cluster_id":64530,"zcl_data_type":240}},</t>
  </si>
  <si>
    <t>bacnet_oid:{"type":"shared","data_type":"uint32","is_readonly":false,"reporting_type":"polled","poll_freq":86400,"default_value":null,"zigbee_metadata":{"attr_id":39,"endpoint_id":10,"profile_id":260,"cluster_id":64517,"zcl_data_type":35}},</t>
  </si>
  <si>
    <t>ntc_beta_sensor_0:{"type":"attribute","data_type":"uint16","is_readonly":false,"reporting_type":"polled","poll_freq":86400,"zigbee_metadata":{"attr_id":61632,"endpoint_id":10,"profile_id":260,"cluster_id":513,"zcl_data_type":33}},</t>
  </si>
  <si>
    <t>device_table_slot_13:{"type":"attribute","data_type":"uint64","is_readonly":false,"reporting_type":"polled","poll_freq":86400,"default_value":null,"zigbee_metadata":{"attr_id":269,"endpoint_id":10,"profile_id":260,"cluster_id":64530,"zcl_data_type":240}},</t>
  </si>
  <si>
    <t>device_table_slot_1:{"type":"shared","data_type":"uint64","is_readonly":false,"reporting_type":"polled","poll_freq":86400,"default_value":null,"zigbee_metadata":{"attr_id":257,"endpoint_id":10,"profile_id":260,"cluster_id":64530,"zcl_data_type":240}},</t>
  </si>
  <si>
    <t>ntc_beta_sensor_1:{"type":"attribute","data_type":"uint16","is_readonly":false,"reporting_type":"polled","poll_freq":86400,"zigbee_metadata":{"attr_id":61633,"endpoint_id":10,"profile_id":260,"cluster_id":513,"zcl_data_type":33}},</t>
  </si>
  <si>
    <t>device_table_slot_14:{"type":"attribute","data_type":"uint64","is_readonly":false,"reporting_type":"polled","poll_freq":86400,"default_value":null,"zigbee_metadata":{"attr_id":270,"endpoint_id":10,"profile_id":260,"cluster_id":64530,"zcl_data_type":240}},</t>
  </si>
  <si>
    <t>device_table_slot_2:{"type":"shared","data_type":"uint64","is_readonly":false,"reporting_type":"polled","poll_freq":86400,"default_value":null,"zigbee_metadata":{"attr_id":258,"endpoint_id":10,"profile_id":260,"cluster_id":64530,"zcl_data_type":240}},</t>
  </si>
  <si>
    <t>ntc_beta_sensor_2:{"type":"attribute","data_type":"uint16","is_readonly":false,"reporting_type":"polled","poll_freq":86400,"zigbee_metadata":{"attr_id":61634,"endpoint_id":10,"profile_id":260,"cluster_id":513,"zcl_data_type":33}},</t>
  </si>
  <si>
    <t>device_table_slot_15:{"type":"attribute","data_type":"uint64","is_readonly":false,"reporting_type":"polled","poll_freq":86400,"default_value":null,"zigbee_metadata":{"attr_id":271,"endpoint_id":10,"profile_id":260,"cluster_id":64530,"zcl_data_type":240}},</t>
  </si>
  <si>
    <t>device_table_slot_3:{"type":"shared","data_type":"uint64","is_readonly":false,"reporting_type":"polled","poll_freq":86400,"default_value":null,"zigbee_metadata":{"attr_id":259,"endpoint_id":10,"profile_id":260,"cluster_id":64530,"zcl_data_type":240}},</t>
  </si>
  <si>
    <t>device_table_slot_16:{"type":"attribute","data_type":"uint64","is_readonly":false,"reporting_type":"polled","poll_freq":86400,"default_value":null,"zigbee_metadata":{"attr_id":272,"endpoint_id":10,"profile_id":260,"cluster_id":64530,"zcl_data_type":240}}},</t>
  </si>
  <si>
    <t>device_table_slot_4:{"type":"shared","data_type":"uint64","is_readonly":false,"reporting_type":"polled","poll_freq":86400,"default_value":null,"zigbee_metadata":{"attr_id":260,"endpoint_id":10,"profile_id":260,"cluster_id":64530,"zcl_data_type":240}},</t>
  </si>
  <si>
    <t>commands:{},</t>
  </si>
  <si>
    <t>device_table_slot_5:{"type":"shared","data_type":"uint64","is_readonly":false,"reporting_type":"polled","poll_freq":86400,"default_value":null,"zigbee_metadata":{"attr_id":261,"endpoint_id":10,"profile_id":260,"cluster_id":64530,"zcl_data_type":240}},</t>
  </si>
  <si>
    <t>plugs:{},</t>
  </si>
  <si>
    <t>device_table_slot_6:{"type":"shared","data_type":"uint64","is_readonly":false,"reporting_type":"polled","poll_freq":86400,"default_value":null,"zigbee_metadata":{"attr_id":262,"endpoint_id":10,"profile_id":260,"cluster_id":64530,"zcl_data_type":240}},</t>
  </si>
  <si>
    <t>sockets:{},</t>
  </si>
  <si>
    <t>device_table_slot_7:{"type":"shared","data_type":"uint64","is_readonly":false,"reporting_type":"polled","poll_freq":86400,"default_value":null,"zigbee_metadata":{"attr_id":263,"endpoint_id":10,"profile_id":260,"cluster_id":64530,"zcl_data_type":240}},</t>
  </si>
  <si>
    <t>protocol_settings:{"identifying_params":{"basic_model":"TouchFlex-WZ","basic_hw_ver":0,"basic_hw_ver_conditional":"=="},</t>
  </si>
  <si>
    <t>device_table_slot_8:{"type":"shared","data_type":"uint64","is_readonly":false,"reporting_type":"polled","poll_freq":86400,"default_value":null,"zigbee_metadata":{"attr_id":264,"endpoint_id":10,"profile_id":260,"cluster_id":64530,"zcl_data_type":240}},</t>
  </si>
  <si>
    <t>is_end_device:false,"is_sleepy":false,"cmd_timeout":25,"poll_control_support":false,"ota_support":true,"ota_notify_support":true},</t>
  </si>
  <si>
    <t>device_table_slot_9:{"type":"shared","data_type":"uint64","is_readonly":false,"reporting_type":"polled","poll_freq":86400,"default_value":null,"zigbee_metadata":{"attr_id":265,"endpoint_id":10,"profile_id":260,"cluster_id":64530,"zcl_data_type":240}},</t>
  </si>
  <si>
    <t>relay_6_load_temperature_compensation:{"type":"attribute","data_type":"float","is_readonly":false,"reporting_type":"polled","poll_freq":86400,"max":5,"min":1,"decimal_places":2,"default_value":0,"zigbee_metadata":{"attr_id":61830,"endpoint_id":10,"profile_id":260,"cluster_id":513,"zcl_data_type":33,"write_formatter":"lambdax:int(round(x,2)*100)","read_formatter":"lambdax:x/100"}},</t>
  </si>
  <si>
    <t>commissioning_steps:[{"name":{"en":"EnterCommissioningMode"},</t>
  </si>
  <si>
    <t>device_table_slot_10:{"type":"shared","data_type":"uint64","is_readonly":false,"reporting_type":"polled","poll_freq":86400,"default_value":null,"zigbee_metadata":{"attr_id":266,"endpoint_id":10,"profile_id":260,"cluster_id":64530,"zcl_data_type":240}},</t>
  </si>
  <si>
    <t>relay_7_load_temperature_compensation:{"type":"attribute","data_type":"float","is_readonly":false,"reporting_type":"polled","poll_freq":86400,"max":5,"min":1,"decimal_places":2,"default_value":0,"zigbee_metadata":{"attr_id":61831,"endpoint_id":10,"profile_id":260,"cluster_id":513,"zcl_data_type":33,"write_formatter":"lambdax:int(round(x,2)*100)","read_formatter":"lambdax:x/100"}},</t>
  </si>
  <si>
    <t>ui_enhanced_icons:{"type":"attribute","data_type":"bool","is_readonly":false,"reporting_type":"polled","poll_freq":86400,"default_value":false,"zigbee_metadata":{"attr_id":48,"endpoint_id":10,"profile_id":260,"cluster_id":64517,"zcl_data_type":16}},</t>
  </si>
  <si>
    <t>type:"turn_on_joining","instructions":[{"image":"https://s3.amazonaws.com/tko-prod-commissioning-files/step_screenshots/touchflexwifi/Device.png","text":{"en":"LocatetheTouchThermostatinthehouse"}},</t>
  </si>
  <si>
    <t>device_table_slot_11:{"type":"shared","data_type":"uint64","is_readonly":false,"reporting_type":"polled","poll_freq":86400,"default_value":null,"zigbee_metadata":{"attr_id":267,"endpoint_id":10,"profile_id":260,"cluster_id":64530,"zcl_data_type":240}},</t>
  </si>
  <si>
    <t>analog_output_setting_0:{"type":"attribute","data_type":"float","is_readonly":false,"reporting_type":"polled","poll_freq":86400,"default_value":0,"zigbee_metadata":{"attr_id":61856,"endpoint_id":10,"profile_id":260,"cluster_id":513,"zcl_data_type":32}},</t>
  </si>
  <si>
    <t>device_type:{"type":"telemetry","data_type":"enum","is_readonly":true,"reporting_type":"polled","poll_freq":86400,"enum_values":["touchflex","touchcombo","aida"],"zigbee_metadata":{"attr_id":0,"endpoint_id":10,"profile_id":260,"cluster_id":64512,"zcl_data_type":48,"read_formatter":"lambdax:{0:'touchflex',1:'touchcombo',2:'aida'}.get(x,'unknown')"}},</t>
  </si>
  <si>
    <t>leaf_button_function:{"type":"attribute","data_type":"enum","is_readonly":false,"reporting_type":"polled","poll_freq":86400,"enum_values":["smart_away","green_mode"],"default_value":"smart_away","zigbee_metadata":{"attr_id":49,"endpoint_id":10,"profile_id":260,"cluster_id":64517,"zcl_data_type":48,"write_formatter":"lambdax:{'smart_away':0,'green_mode':1}[x]","read_formatter":"lambdax:{0:'smart_away',1:'green_mode'}.get(x,'unknown')"}},</t>
  </si>
  <si>
    <t>{"image":"https://s3.amazonaws.com/tko-prod-commissioning-files/step_screenshots/touchflexwifi/Home.png","text":{"en":"3-FingerTaponthethermostatscreen"}},</t>
  </si>
  <si>
    <t>device_table_slot_12:{"type":"shared","data_type":"uint64","is_readonly":false,"reporting_type":"polled","poll_freq":86400,"default_value":null,"zigbee_metadata":{"attr_id":268,"endpoint_id":10,"profile_id":260,"cluster_id":64530,"zcl_data_type":240}},</t>
  </si>
  <si>
    <t>analog_output_setting_1:{"type":"attribute","data_type":"float","is_readonly":false,"reporting_type":"polled","poll_freq":86400,"default_value":0,"zigbee_metadata":{"attr_id":61857,"endpoint_id":10,"profile_id":260,"cluster_id":513,"zcl_data_type":32}},</t>
  </si>
  <si>
    <t>device_subtype:{"type":"telemetry","data_type":"uint8","is_readonly":true,"reporting_type":"polled","poll_freq":86400,"zigbee_metadata":{"attr_id":1,"endpoint_id":10,"profile_id":260,"cluster_id":64512,"zcl_data_type":48}},</t>
  </si>
  <si>
    <t>do_not_disturb:{"type":"attribute","data_type":"bool","is_readonly":false,"reporting_type":"reported","report_max":3600,"report_min":0,"default_value":null,"zigbee_metadata":{"attr_id":1,"endpoint_id":10,"profile_id":260,"cluster_id":64519,"zcl_data_type":16}},</t>
  </si>
  <si>
    <t>{"image":"https://s3.amazonaws.com/tko-prod-commissioning-files/step_screenshots/touchflexwifi/SystemStatus.png","text":{"en":"Tap'Config'fromthe'SystemStatus'screen"}},</t>
  </si>
  <si>
    <t>device_table_slot_13:{"type":"shared","data_type":"uint64","is_readonly":false,"reporting_type":"polled","poll_freq":86400,"default_value":null,"zigbee_metadata":{"attr_id":269,"endpoint_id":10,"profile_id":260,"cluster_id":64530,"zcl_data_type":240}},</t>
  </si>
  <si>
    <t>analog_output_setting_2:{"type":"attribute","data_type":"float","is_readonly":false,"reporting_type":"polled","poll_freq":86400,"default_value":0,"zigbee_metadata":{"attr_id":61858,"endpoint_id":10,"profile_id":260,"cluster_id":513,"zcl_data_type":32}},</t>
  </si>
  <si>
    <t>push_button_config_key_1:{"type":"attribute","data_type":"enum","is_readonly":false,"reporting_type":"polled","poll_freq":86400,"default_value":"cycle_modes","enum_values":["none","up_arrow","down_arrow","on_off","cycle_modes","heat","cool","auto","cycle_fan","fan_up","fan_down","change_temp_units","leaf","backlight","DND","MUR"],"zigbee_metadata":{"attr_id":40,"endpoint_id":10,"profile_id":260,"cluster_id":64517,"zcl_data_type":48,"write_formatter":"lambdax:{'none':0,'up_arrow':1,'down_arrow':2,'on_off':3,'cycle_modes':4,'heat':5,'cool':6,'auto':7,'cycle_fan':8,'fan_up':9,'fan_down':10,'change_temp_units':11,'leaf':12,'backlight':13,'DND':14,'MUR':15}[x]","read_formatter":"lambdax:{0:'none',1:'up_arrow',2:'down_arrow',3:'on_off',4:'cycle_modes',5:'heat',6:'cool',7:'auto',8:'cycle_fan',9:'fan_up',10:'fan_down',11:'change_temp_units',12:'leaf',13:'baclight',14:'DND',15:'MUR'}.get(x,'unknown')"}},</t>
  </si>
  <si>
    <t>push_button_config_key_1:{"type":"attribute","data_type":"uint8","is_readonly":false,"reporting_type":"polled","poll_freq":86400,"zigbee_metadata":{"attr_id":40,"endpoint_id":10,"profile_id":260,"cluster_id":64517,"zcl_data_type":48}},</t>
  </si>
  <si>
    <t>make_up_room:{"type":"attribute","data_type":"bool","is_readonly":false,"reporting_type":"reported","report_max":3600,"report_min":0,"default_value":null,"zigbee_metadata":{"attr_id":2,"endpoint_id":10,"profile_id":260,"cluster_id":64519,"zcl_data_type":16}},</t>
  </si>
  <si>
    <t>{"image":"https://s3.amazonaws.com/tko-prod-commissioning-files/step_screenshots/touchflexwifi/Enterpassword.png","text":{"en":"Usethekeyboardtotypethepassword:C57A"}},</t>
  </si>
  <si>
    <t>device_table_slot_14:{"type":"shared","data_type":"uint64","is_readonly":false,"reporting_type":"polled","poll_freq":86400,"default_value":null,"zigbee_metadata":{"attr_id":270,"endpoint_id":10,"profile_id":260,"cluster_id":64530,"zcl_data_type":240}},</t>
  </si>
  <si>
    <t>analog_output_setting_3:{"type":"attribute","data_type":"float","is_readonly":false,"reporting_type":"polled","poll_freq":86400,"default_value":0,"zigbee_metadata":{"attr_id":61859,"endpoint_id":10,"profile_id":260,"cluster_id":513,"zcl_data_type":32}},</t>
  </si>
  <si>
    <t>push_button_config_key_2:{"type":"attribute","data_type":"enum","is_readonly":false,"reporting_type":"polled","poll_freq":86400,"default_value":"change_temp_units","enum_values":["none","up_arrow","down_arrow","on_off","cycle_modes","heat","cool","auto","cycle_fan","fan_up","fan_down","change_temp_units","leaf","backlight","DND","MUR"],"zigbee_metadata":{"attr_id":41,"endpoint_id":10,"profile_id":260,"cluster_id":64517,"zcl_data_type":48,"write_formatter":"lambdax:{'none':0,'up_arrow':1,'down_arrow':2,'on_off':3,'cycle_modes':4,'heat':5,'cool':6,'auto':7,'cycle_fan':8,'fan_up':9,'fan_down':10,'change_temp_units':11,'leaf':12,'backlight':13,'DND':14,'MUR':15}[x]","read_formatter":"lambdax:{0:'none',1:'up_arrow',2:'down_arrow',3:'on_off',4:'cycle_modes',5:'heat',6:'cool',7:'auto',8:'cycle_fan',9:'fan_up',10:'fan_down',11:'change_temp_units',12:'leaf',13:'baclight',14:'DND',15:'MUR'}.get(x,'unknown')"}},</t>
  </si>
  <si>
    <t>push_button_config_key_2:{"type":"attribute","data_type":"uint8","is_readonly":false,"reporting_type":"polled","poll_freq":86400,"zigbee_metadata":{"attr_id":41,"endpoint_id":10,"profile_id":260,"cluster_id":64517,"zcl_data_type":48}},</t>
  </si>
  <si>
    <t>dnd_contacts:{"type":"telemetry","data_type":"uint8","is_readonly":true,"reporting_type":"diagnostic","zigbee_metadata":{"attr_id":3,"endpoint_id":10,"profile_id":260,"cluster_id":64519,"zcl_data_type":24}},</t>
  </si>
  <si>
    <t>{"image":"https://s3.amazonaws.com/tko-prod-commissioning-files/step_screenshots/touchflexwifi/Enterpassword_enter.png","text":{"en":"Tap'Enter'"}},</t>
  </si>
  <si>
    <t>device_table_slot_15:{"type":"shared","data_type":"uint64","is_readonly":false,"reporting_type":"polled","poll_freq":86400,"default_value":null,"zigbee_metadata":{"attr_id":271,"endpoint_id":10,"profile_id":260,"cluster_id":64530,"zcl_data_type":240}},</t>
  </si>
  <si>
    <t>analog_output_setting_4:{"type":"attribute","data_type":"float","is_readonly":false,"reporting_type":"polled","poll_freq":86400,"default_value":0,"zigbee_metadata":{"attr_id":61860,"endpoint_id":10,"profile_id":260,"cluster_id":513,"zcl_data_type":32}},</t>
  </si>
  <si>
    <t>push_button_config_key_3:{"type":"attribute","data_type":"enum","is_readonly":false,"reporting_type":"polled","poll_freq":86400,"default_value":"cycle_fan","enum_values":["none","up_arrow","down_arrow","on_off","cycle_modes","heat","cool","auto","cycle_fan","fan_up","fan_down","change_temp_units","leaf","backlight","DND","MUR"],"zigbee_metadata":{"attr_id":42,"endpoint_id":10,"profile_id":260,"cluster_id":64517,"zcl_data_type":48,"write_formatter":"lambdax:{'none':0,'up_arrow':1,'down_arrow':2,'on_off':3,'cycle_modes':4,'heat':5,'cool':6,'auto':7,'cycle_fan':8,'fan_up':9,'fan_down':10,'change_temp_units':11,'leaf':12,'backlight':13,'DND':14,'MUR':15}[x]","read_formatter":"lambdax:{0:'none',1:'up_arrow',2:'down_arrow',3:'on_off',4:'cycle_modes',5:'heat',6:'cool',7:'auto',8:'cycle_fan',9:'fan_up',10:'fan_down',11:'change_temp_units',12:'leaf',13:'baclight',14:'DND',15:'MUR'}.get(x,'unknown')"}},</t>
  </si>
  <si>
    <t>push_button_config_key_3:{"type":"attribute","data_type":"uint8","is_readonly":false,"reporting_type":"polled","poll_freq":86400,"zigbee_metadata":{"attr_id":42,"endpoint_id":10,"profile_id":260,"cluster_id":64517,"zcl_data_type":48}},</t>
  </si>
  <si>
    <t>mur_contacts:{"type":"telemetry","data_type":"uint8","is_readonly":true,"reporting_type":"diagnostic","zigbee_metadata":{"attr_id":4,"endpoint_id":10,"profile_id":260,"cluster_id":64519,"zcl_data_type":24}},</t>
  </si>
  <si>
    <t>{"image":"https://s3.amazonaws.com/tko-prod-commissioning-files/step_screenshots/touchflexwifi/Commish.png","text":{"en":"Tap'Commish'"}}]},</t>
  </si>
  <si>
    <t>device_table_slot_16:{"type":"shared","data_type":"uint64","is_readonly":false,"reporting_type":"polled","poll_freq":86400,"default_value":null,"zigbee_metadata":{"attr_id":272,"endpoint_id":10,"profile_id":260,"cluster_id":64530,"zcl_data_type":240}}},</t>
  </si>
  <si>
    <t>analog_output_setting_5:{"type":"attribute","data_type":"float","is_readonly":false,"reporting_type":"polled","poll_freq":86400,"default_value":0,"zigbee_metadata":{"attr_id":61861,"endpoint_id":10,"profile_id":260,"cluster_id":513,"zcl_data_type":32}},</t>
  </si>
  <si>
    <t>push_button_config_key_4:{"type":"attribute","data_type":"enum","is_readonly":false,"reporting_type":"polled","poll_freq":86400,"default_value":"leaf","enum_values":["none","up_arrow","down_arrow","on_off","cycle_modes","heat","cool","auto","cycle_fan","fan_up","fan_down","change_temp_units","leaf","backlight","DND","MUR"],"zigbee_metadata":{"attr_id":43,"endpoint_id":10,"profile_id":260,"cluster_id":64517,"zcl_data_type":48,"write_formatter":"lambdax:{'none':0,'up_arrow':1,'down_arrow':2,'on_off':3,'cycle_modes':4,'heat':5,'cool':6,'auto':7,'cycle_fan':8,'fan_up':9,'fan_down':10,'change_temp_units':11,'leaf':12,'backlight':13,'DND':14,'MUR':15}[x]","read_formatter":"lambdax:{0:'none',1:'up_arrow',2:'down_arrow',3:'on_off',4:'cycle_modes',5:'heat',6:'cool',7:'auto',8:'cycle_fan',9:'fan_up',10:'fan_down',11:'change_temp_units',12:'leaf',13:'baclight',14:'DND',15:'MUR'}.get(x,'unknown')"}},</t>
  </si>
  <si>
    <t>push_button_config_key_4:{"type":"attribute","data_type":"uint8","is_readonly":false,"reporting_type":"polled","poll_freq":86400,"zigbee_metadata":{"attr_id":43,"endpoint_id":10,"profile_id":260,"cluster_id":64517,"zcl_data_type":48}},</t>
  </si>
  <si>
    <t>dnd_contacts_active:{"type":"telemetry","data_type":"uint8","is_readonly":true,"reporting_type":"diagnostic","zigbee_metadata":{"attr_id":5,"endpoint_id":10,"profile_id":260,"cluster_id":64519,"zcl_data_type":24}},</t>
  </si>
  <si>
    <t>{"name":{"en":"StartCommissioning"},</t>
  </si>
  <si>
    <t>analog_output_setting_6:{"type":"attribute","data_type":"float","is_readonly":false,"reporting_type":"polled","poll_freq":86400,"default_value":0,"zigbee_metadata":{"attr_id":61862,"endpoint_id":10,"profile_id":260,"cluster_id":513,"zcl_data_type":32}},</t>
  </si>
  <si>
    <t>push_button_config_key_5:{"type":"attribute","data_type":"enum","is_readonly":false,"reporting_type":"polled","poll_freq":86400,"default_value":"up_arrow","enum_values":["none","up_arrow","down_arrow","on_off","cycle_modes","heat","cool","auto","cycle_fan","fan_up","fan_down","change_temp_units","leaf","backlight","DND","MUR"],"zigbee_metadata":{"attr_id":44,"endpoint_id":10,"profile_id":260,"cluster_id":64517,"zcl_data_type":48,"write_formatter":"lambdax:{'none':0,'up_arrow':1,'down_arrow':2,'on_off':3,'cycle_modes':4,'heat':5,'cool':6,'auto':7,'cycle_fan':8,'fan_up':9,'fan_down':10,'change_temp_units':11,'leaf':12,'backlight':13,'DND':14,'MUR':15}[x]","read_formatter":"lambdax:{0:'none',1:'up_arrow',2:'down_arrow',3:'on_off',4:'cycle_modes',5:'heat',6:'cool',7:'auto',8:'cycle_fan',9:'fan_up',10:'fan_down',11:'change_temp_units',12:'leaf',13:'baclight',14:'DND',15:'MUR'}.get(x,'unknown')"}},</t>
  </si>
  <si>
    <t>push_button_config_key_5:{"type":"attribute","data_type":"uint8","is_readonly":false,"reporting_type":"polled","poll_freq":86400,"zigbee_metadata":{"attr_id":44,"endpoint_id":10,"profile_id":260,"cluster_id":64517,"zcl_data_type":48}},</t>
  </si>
  <si>
    <t>mur_contacts_active:{"type":"telemetry","data_type":"uint8","is_readonly":true,"reporting_type":"diagnostic","zigbee_metadata":{"attr_id":6,"endpoint_id":10,"profile_id":260,"cluster_id":64519,"zcl_data_type":24}},</t>
  </si>
  <si>
    <t>type:"initiate_search","instructions":[{"image":"https://s3.amazonaws.com/tko-prod-commissioning-files/step_screenshots/touchflexwifi/Searchingconnection.png","text":{"en":"TouchFlexhasenabledit'suniqueWIFISSIDandisnowwaitingfortheTablettoconnecttoit"}}]},</t>
  </si>
  <si>
    <t>analog_output_setting_7:{"type":"attribute","data_type":"float","is_readonly":false,"reporting_type":"polled","poll_freq":86400,"default_value":0,"zigbee_metadata":{"attr_id":61863,"endpoint_id":10,"profile_id":260,"cluster_id":513,"zcl_data_type":32}},</t>
  </si>
  <si>
    <t>push_button_config_key_6:{"type":"attribute","data_type":"enum","is_readonly":false,"reporting_type":"polled","poll_freq":86400,"default_value":"down_arrow","enum_values":["none","up_arrow","down_arrow","on_off","cycle_modes","heat","cool","auto","cycle_fan","fan_up","fan_down","change_temp_units","leaf","backlight","DND","MUR"],"zigbee_metadata":{"attr_id":45,"endpoint_id":10,"profile_id":260,"cluster_id":64517,"zcl_data_type":48,"write_formatter":"lambdax:{'none':0,'up_arrow':1,'down_arrow':2,'on_off':3,'cycle_modes':4,'heat':5,'cool':6,'auto':7,'cycle_fan':8,'fan_up':9,'fan_down':10,'change_temp_units':11,'leaf':12,'backlight':13,'DND':14,'MUR':15}[x]","read_formatter":"lambdax:{0:'none',1:'up_arrow',2:'down_arrow',3:'on_off',4:'cycle_modes',5:'heat',6:'cool',7:'auto',8:'cycle_fan',9:'fan_up',10:'fan_down',11:'change_temp_units',12:'leaf',13:'baclight',14:'DND',15:'MUR'}.get(x,'unknown')"}},</t>
  </si>
  <si>
    <t>push_button_config_key_6:{"type":"attribute","data_type":"uint8","is_readonly":false,"reporting_type":"polled","poll_freq":86400,"zigbee_metadata":{"attr_id":45,"endpoint_id":10,"profile_id":260,"cluster_id":64517,"zcl_data_type":48}},</t>
  </si>
  <si>
    <t>green_mode_active:{"type":"attribute","data_type":"bool","is_readonly":false,"reporting_type":"reported","report_max":3600,"report_min":0,"default_value":null,"zigbee_metadata":{"attr_id":7,"endpoint_id":10,"profile_id":260,"cluster_id":64519,"zcl_data_type":16}},</t>
  </si>
  <si>
    <t>{"name":{"en":"Commissioning"},</t>
  </si>
  <si>
    <t>zigbee_nonsecure:{"type":"tko_only","data_type":"bool","is_readonly":false,"reporting_type":"polled","poll_freq":86400,"default_value":false,"zigbee_metadata":{"attr_id":47,"endpoint_id":10,"profile_id":260,"cluster_id":64517,"zcl_data_type":16}},</t>
  </si>
  <si>
    <t>last_preset_applied:{"type":"telemetry","data_type":"uint8","is_readonly":false,"reporting_type":"polled","poll_freq":86400,"default_value":false,"zigbee_metadata":{"attr_id":46,"endpoint_id":10,"profile_id":260,"cluster_id":64517,"zcl_data_type":32}},</t>
  </si>
  <si>
    <t>rui_soft_button_config:{"type":"attribute","data_type":"uint16","is_readonly":false,"reporting_type":"polled","poll_freq":86400,"default_value":null,"zigbee_metadata":{"attr_id":51,"endpoint_id":10,"profile_id":260,"cluster_id":64517,"zcl_data_type":33}},</t>
  </si>
  <si>
    <t>lcd_revision:{"type":"attribute","data_type":"uint8","is_readonly":false,"reporting_type":"polled","poll_freq":86400,"default_value":null,"zigbee_metadata":{"attr_id":55,"endpoint_id":10,"profile_id":260,"cluster_id":64517,"zcl_data_type":32}},</t>
  </si>
  <si>
    <t>mqtt_server</t>
  </si>
  <si>
    <t>mqtt_user</t>
  </si>
  <si>
    <t>mqtt_pass</t>
  </si>
  <si>
    <t>provision_key</t>
  </si>
  <si>
    <t>ota3_secret</t>
  </si>
  <si>
    <t>Touch Combo</t>
  </si>
  <si>
    <t>mqtt-prod.telkonet.com</t>
  </si>
  <si>
    <t>f4d5b643f977b9f9</t>
  </si>
  <si>
    <t>not_default</t>
  </si>
  <si>
    <t>AIDA</t>
  </si>
  <si>
    <t>aida</t>
  </si>
  <si>
    <t>1binpsbukf5t9u081dqz</t>
  </si>
  <si>
    <t>ES Controller</t>
  </si>
  <si>
    <t>escontroller</t>
  </si>
  <si>
    <t>Variable field names</t>
  </si>
  <si>
    <t>vg - variable get</t>
  </si>
  <si>
    <t>vs - variable set</t>
  </si>
  <si>
    <t>vd - variable delete</t>
  </si>
  <si>
    <t>Telkonet Production Servers</t>
  </si>
  <si>
    <t>production.mqtt.telkonet.com</t>
  </si>
  <si>
    <t>wifi_dns</t>
  </si>
  <si>
    <t>WIFI_SSID</t>
  </si>
  <si>
    <t>Host Bridge Mode</t>
  </si>
  <si>
    <t>WIFI_PASS</t>
  </si>
  <si>
    <t>hp 1 - turns mode ON</t>
  </si>
  <si>
    <t>WIFI_SSID2</t>
  </si>
  <si>
    <t>hp 0 - turns mode OFF</t>
  </si>
  <si>
    <t>WIFI_PASS2</t>
  </si>
  <si>
    <t>hc - start command for host in Rhapsody CLI</t>
  </si>
  <si>
    <t>ota3_token</t>
  </si>
  <si>
    <t>roomname</t>
  </si>
  <si>
    <t>sitename</t>
  </si>
  <si>
    <t>Host commands</t>
  </si>
  <si>
    <t>preset exec&lt;#&gt;</t>
  </si>
  <si>
    <t>set HVAC preset</t>
  </si>
  <si>
    <t>mfg reset</t>
  </si>
  <si>
    <t>reboot host processor</t>
  </si>
  <si>
    <t>version</t>
  </si>
  <si>
    <t>reads firmware version of device</t>
  </si>
  <si>
    <t>ESP Command</t>
  </si>
  <si>
    <t>Debugging Commands/Tools</t>
  </si>
  <si>
    <t>reboot</t>
  </si>
  <si>
    <t>reboot esp processor</t>
  </si>
  <si>
    <t>zb -A</t>
  </si>
  <si>
    <t>harc -p</t>
  </si>
  <si>
    <t>harc -d 8  - turns on</t>
  </si>
  <si>
    <t>harc -d 0  - turns off</t>
  </si>
  <si>
    <t>dbg 2 - turns on</t>
  </si>
  <si>
    <t>dbg 0 - turns off</t>
  </si>
  <si>
    <t>zb -a 0x0201 0xf090 0</t>
  </si>
  <si>
    <t>Standard reversing valve - O-Type</t>
  </si>
  <si>
    <t>zb -a 0x0201 0xf090 1</t>
  </si>
  <si>
    <t>Inverted reversing valve  - B-type</t>
  </si>
  <si>
    <t>zb -a 0x0201 0xf04f 1</t>
  </si>
  <si>
    <t>Set primary Temp Input to Slot 1 - (EcoAir)</t>
  </si>
  <si>
    <t>"LGZigbee"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</si>
</sst>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&quot; &quot;AM/PM"/>
  </numFmts>
  <fonts count="1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000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10"/>
      <color theme="1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0" borderId="0" xfId="0" applyFont="1"/>
    <xf numFmtId="0" fontId="1" fillId="2" borderId="3" xfId="0" applyFont="1" applyFill="1" applyBorder="1"/>
    <xf numFmtId="0" fontId="1" fillId="2" borderId="0" xfId="0" applyFont="1" applyFill="1"/>
    <xf numFmtId="0" fontId="3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5" fillId="2" borderId="0" xfId="0" applyFont="1" applyFill="1"/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5" fillId="0" borderId="1" xfId="0" applyFont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5" fillId="0" borderId="0" xfId="0" applyFont="1"/>
    <xf numFmtId="0" fontId="5" fillId="2" borderId="3" xfId="0" applyFont="1" applyFill="1" applyBorder="1"/>
    <xf numFmtId="0" fontId="5" fillId="0" borderId="8" xfId="0" applyFont="1" applyBorder="1"/>
    <xf numFmtId="0" fontId="4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8" fillId="0" borderId="8" xfId="0" applyFont="1" applyBorder="1"/>
    <xf numFmtId="0" fontId="8" fillId="2" borderId="6" xfId="0" applyFont="1" applyFill="1" applyBorder="1"/>
    <xf numFmtId="0" fontId="8" fillId="4" borderId="8" xfId="0" applyFont="1" applyFill="1" applyBorder="1" applyAlignment="1">
      <alignment horizontal="left"/>
    </xf>
    <xf numFmtId="0" fontId="8" fillId="0" borderId="8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8" fontId="5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0" xfId="0" applyFont="1" applyFill="1"/>
    <xf numFmtId="0" fontId="7" fillId="2" borderId="3" xfId="0" applyFont="1" applyFill="1" applyBorder="1"/>
    <xf numFmtId="0" fontId="7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8" fillId="0" borderId="9" xfId="0" applyFont="1" applyBorder="1"/>
    <xf numFmtId="0" fontId="4" fillId="2" borderId="3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left"/>
    </xf>
    <xf numFmtId="0" fontId="5" fillId="5" borderId="11" xfId="0" applyFont="1" applyFill="1" applyBorder="1" applyAlignment="1">
      <alignment horizontal="left"/>
    </xf>
    <xf numFmtId="0" fontId="5" fillId="5" borderId="12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5" borderId="14" xfId="0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5" borderId="16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5" borderId="17" xfId="0" applyFont="1" applyFill="1" applyBorder="1" applyAlignment="1">
      <alignment horizontal="left"/>
    </xf>
    <xf numFmtId="0" fontId="5" fillId="5" borderId="18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11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12" fillId="0" borderId="0" xfId="0" applyFont="1"/>
    <xf numFmtId="0" fontId="1" fillId="0" borderId="2" xfId="0" applyFont="1" applyBorder="1"/>
    <xf numFmtId="0" fontId="2" fillId="0" borderId="7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martconsolutionsllc.sharepoint.com/Users/jeffsobieski/Downloads/Touch%20Combo%20Attribute%20CSV%20Tools%20(1).xlsx" TargetMode="External"/><Relationship Id="rId2" Type="http://schemas.microsoft.com/office/2019/04/relationships/externalLinkLongPath" Target="/personal/dominick_smartconsolutions_com/Documents/SCS%20-%20Internal/Partners_Integrators_Vendors/Telkonet/Rhapsody-20210505T163418Z-001/Touch%20Combo%20Attribute%20CSV%20Tools%20(1).xlsx?A8B6001E" TargetMode="External"/><Relationship Id="rId1" Type="http://schemas.openxmlformats.org/officeDocument/2006/relationships/externalLinkPath" Target="file:///\\A8B6001E\Touch%20Combo%20Attribute%20CSV%20Tools%20(1).xlsx" TargetMode="External"/><Relationship Id="rId4" Type="http://schemas.openxmlformats.org/officeDocument/2006/relationships/externalLinkPath" Target="../../../../dominick_smartconsolutions_com/Documents/SCS%20-%20Internal/Partners_Integrators_Vendors/Telkonet/Rhapsody-20210505T163418Z-001/Touch%20Combo%20Attribute%20CSV%20Tool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SV Generator (NEW)"/>
      <sheetName val="Date and Time Attribute Write"/>
      <sheetName val="CSV Generator (old)"/>
      <sheetName val="CSV Generator (archive)"/>
      <sheetName val="Contact Table"/>
      <sheetName val="CSV Generator - archived"/>
      <sheetName val="Aida Relay Inverter Table"/>
      <sheetName val="Convert CSV to Attribute Write "/>
      <sheetName val="Data Model Parser"/>
      <sheetName val="Data Model Parser (old)"/>
      <sheetName val="ENUM Write Validators"/>
    </sheetNames>
    <sheetDataSet>
      <sheetData sheetId="0"/>
      <sheetData sheetId="1"/>
      <sheetData sheetId="2"/>
      <sheetData sheetId="3"/>
      <sheetData sheetId="4">
        <row r="3">
          <cell r="H3" t="e">
            <v>#NAME?</v>
          </cell>
        </row>
        <row r="5">
          <cell r="H5" t="e">
            <v>#NAME?</v>
          </cell>
        </row>
        <row r="7">
          <cell r="H7" t="e">
            <v>#NAME?</v>
          </cell>
        </row>
        <row r="9">
          <cell r="H9" t="e">
            <v>#NAME?</v>
          </cell>
        </row>
        <row r="11">
          <cell r="H11" t="e">
            <v>#NAME?</v>
          </cell>
        </row>
        <row r="13">
          <cell r="H13" t="e">
            <v>#NAME?</v>
          </cell>
        </row>
        <row r="15">
          <cell r="H15" t="e">
            <v>#NAME?</v>
          </cell>
        </row>
        <row r="17">
          <cell r="H17" t="e">
            <v>#NAME?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7C4F-3D46-1647-8D40-C810E34F2F71}">
  <dimension ref="A1:FR1626"/>
  <sheetViews>
    <sheetView topLeftCell="A178" zoomScale="70" zoomScaleNormal="70" workbookViewId="0">
      <selection activeCell="C187" sqref="C187"/>
    </sheetView>
  </sheetViews>
  <sheetFormatPr defaultColWidth="12.625" defaultRowHeight="15.75" outlineLevelCol="1" x14ac:dyDescent="0.25"/>
  <cols>
    <col min="1" max="1" width="32.625" customWidth="1"/>
    <col min="2" max="2" width="22.625" customWidth="1"/>
    <col min="3" max="3" width="16.125" customWidth="1"/>
    <col min="4" max="4" width="2.625" customWidth="1" collapsed="1"/>
    <col min="5" max="6" width="4.625" hidden="1" customWidth="1" outlineLevel="1"/>
    <col min="7" max="7" width="7.125" hidden="1" customWidth="1" outlineLevel="1"/>
    <col min="8" max="8" width="2.625" customWidth="1" collapsed="1"/>
    <col min="9" max="12" width="7.125" hidden="1" customWidth="1" outlineLevel="1"/>
    <col min="13" max="13" width="8.375" hidden="1" customWidth="1" outlineLevel="1"/>
    <col min="14" max="14" width="2.625" customWidth="1" collapsed="1"/>
    <col min="15" max="15" width="55.5" hidden="1" customWidth="1" outlineLevel="1"/>
    <col min="16" max="16" width="2.625" customWidth="1" collapsed="1"/>
    <col min="17" max="17" width="28.375" customWidth="1" outlineLevel="1"/>
    <col min="18" max="18" width="2.875" customWidth="1"/>
    <col min="19" max="19" width="59.375" customWidth="1"/>
    <col min="20" max="20" width="2.625" customWidth="1"/>
    <col min="21" max="24" width="52.625" customWidth="1" outlineLevel="1"/>
    <col min="25" max="63" width="12.625" outlineLevel="1"/>
    <col min="64" max="64" width="38.375" customWidth="1" outlineLevel="1"/>
    <col min="65" max="65" width="6.875" customWidth="1" outlineLevel="1"/>
    <col min="66" max="66" width="8" customWidth="1" outlineLevel="1"/>
    <col min="67" max="69" width="2.625" customWidth="1" outlineLevel="1"/>
    <col min="70" max="70" width="32.125" customWidth="1" outlineLevel="1"/>
    <col min="71" max="71" width="6.875" customWidth="1" outlineLevel="1"/>
    <col min="72" max="72" width="8" customWidth="1" outlineLevel="1"/>
    <col min="73" max="73" width="17.875" customWidth="1" outlineLevel="1"/>
    <col min="74" max="76" width="2.625" customWidth="1" outlineLevel="1"/>
    <col min="77" max="77" width="23" customWidth="1" outlineLevel="1"/>
    <col min="78" max="78" width="6.625" customWidth="1" outlineLevel="1"/>
    <col min="79" max="79" width="8" customWidth="1" outlineLevel="1"/>
    <col min="80" max="80" width="3.875" customWidth="1" outlineLevel="1"/>
    <col min="81" max="81" width="4.625" customWidth="1" outlineLevel="1"/>
    <col min="82" max="82" width="7.125" customWidth="1" outlineLevel="1"/>
    <col min="83" max="85" width="2.625" customWidth="1" outlineLevel="1"/>
    <col min="86" max="86" width="38.375" customWidth="1" outlineLevel="1"/>
    <col min="87" max="87" width="6.875" customWidth="1" outlineLevel="1"/>
    <col min="88" max="88" width="8" customWidth="1" outlineLevel="1"/>
    <col min="89" max="89" width="8.625" customWidth="1" outlineLevel="1"/>
    <col min="90" max="92" width="2.625" customWidth="1" outlineLevel="1"/>
    <col min="93" max="93" width="23.625" customWidth="1" outlineLevel="1"/>
    <col min="94" max="94" width="6.625" customWidth="1" outlineLevel="1"/>
    <col min="95" max="95" width="8" customWidth="1" outlineLevel="1"/>
    <col min="96" max="96" width="3.875" customWidth="1" outlineLevel="1"/>
    <col min="97" max="97" width="4.625" customWidth="1" outlineLevel="1"/>
    <col min="98" max="98" width="7.125" customWidth="1" outlineLevel="1"/>
    <col min="99" max="101" width="2.625" customWidth="1" outlineLevel="1"/>
    <col min="102" max="102" width="32.125" customWidth="1" outlineLevel="1"/>
    <col min="103" max="103" width="6.875" customWidth="1" outlineLevel="1"/>
    <col min="104" max="104" width="8" customWidth="1" outlineLevel="1"/>
    <col min="105" max="105" width="8.625" customWidth="1" outlineLevel="1"/>
    <col min="106" max="108" width="2.625" customWidth="1" outlineLevel="1"/>
    <col min="109" max="109" width="28.125" customWidth="1" outlineLevel="1"/>
    <col min="110" max="111" width="6.875" customWidth="1" outlineLevel="1"/>
    <col min="112" max="112" width="15" customWidth="1" outlineLevel="1"/>
    <col min="113" max="113" width="16.375" customWidth="1" outlineLevel="1"/>
    <col min="114" max="114" width="16.875" customWidth="1" outlineLevel="1"/>
    <col min="115" max="121" width="15" customWidth="1" outlineLevel="1"/>
    <col min="122" max="122" width="15.875" customWidth="1" outlineLevel="1"/>
    <col min="123" max="123" width="15.625" customWidth="1" outlineLevel="1"/>
    <col min="124" max="131" width="15.875" customWidth="1" outlineLevel="1"/>
    <col min="132" max="174" width="8.625" customWidth="1" outlineLevel="1"/>
  </cols>
  <sheetData>
    <row r="1" spans="1:174" ht="15.75" customHeight="1" x14ac:dyDescent="0.25">
      <c r="A1" s="64" t="s">
        <v>0</v>
      </c>
      <c r="B1" s="64" t="s">
        <v>1</v>
      </c>
      <c r="C1" s="66" t="s">
        <v>2</v>
      </c>
      <c r="D1" s="2"/>
      <c r="E1" s="67" t="s">
        <v>3</v>
      </c>
      <c r="F1" s="68"/>
      <c r="G1" s="69"/>
      <c r="H1" s="3"/>
      <c r="I1" s="67" t="s">
        <v>4</v>
      </c>
      <c r="J1" s="68"/>
      <c r="K1" s="68"/>
      <c r="L1" s="68"/>
      <c r="M1" s="69"/>
      <c r="N1" s="4"/>
      <c r="O1" s="70" t="s">
        <v>5</v>
      </c>
      <c r="P1" s="6"/>
      <c r="Q1" s="62" t="s">
        <v>6</v>
      </c>
      <c r="R1" s="6"/>
      <c r="S1" s="62" t="s">
        <v>7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7"/>
      <c r="BQ1" s="5"/>
      <c r="BR1" s="5"/>
      <c r="BS1" s="5"/>
      <c r="BT1" s="5"/>
      <c r="BU1" s="5"/>
      <c r="BV1" s="5"/>
      <c r="BW1" s="7"/>
      <c r="BX1" s="5"/>
      <c r="BY1" s="5"/>
      <c r="BZ1" s="5"/>
      <c r="CA1" s="5"/>
      <c r="CB1" s="5"/>
      <c r="CC1" s="5"/>
      <c r="CD1" s="5"/>
      <c r="CE1" s="5"/>
      <c r="CF1" s="7"/>
      <c r="CG1" s="5"/>
      <c r="CH1" s="5"/>
      <c r="CI1" s="5"/>
      <c r="CJ1" s="5"/>
      <c r="CK1" s="5"/>
      <c r="CL1" s="5"/>
      <c r="CM1" s="7"/>
      <c r="CN1" s="5"/>
      <c r="CO1" s="5"/>
      <c r="CP1" s="5"/>
      <c r="CQ1" s="5"/>
      <c r="CR1" s="5"/>
      <c r="CS1" s="5"/>
      <c r="CT1" s="5"/>
      <c r="CU1" s="5"/>
      <c r="CV1" s="7"/>
      <c r="CW1" s="5"/>
      <c r="CX1" s="5"/>
      <c r="CY1" s="5"/>
      <c r="CZ1" s="5"/>
      <c r="DA1" s="5"/>
      <c r="DB1" s="5"/>
      <c r="DC1" s="7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</row>
    <row r="2" spans="1:174" ht="15.75" customHeight="1" x14ac:dyDescent="0.25">
      <c r="A2" s="65"/>
      <c r="B2" s="65"/>
      <c r="C2" s="63"/>
      <c r="D2" s="4"/>
      <c r="E2" s="1" t="s">
        <v>8</v>
      </c>
      <c r="F2" s="1" t="s">
        <v>9</v>
      </c>
      <c r="G2" s="1" t="s">
        <v>10</v>
      </c>
      <c r="H2" s="8"/>
      <c r="I2" s="1" t="s">
        <v>11</v>
      </c>
      <c r="J2" s="1" t="s">
        <v>8</v>
      </c>
      <c r="K2" s="1" t="s">
        <v>9</v>
      </c>
      <c r="L2" s="1" t="s">
        <v>10</v>
      </c>
      <c r="M2" s="1" t="s">
        <v>12</v>
      </c>
      <c r="N2" s="4"/>
      <c r="O2" s="71"/>
      <c r="P2" s="6"/>
      <c r="Q2" s="63"/>
      <c r="R2" s="6"/>
      <c r="S2" s="63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 t="s">
        <v>13</v>
      </c>
      <c r="BM2" s="5" t="s">
        <v>14</v>
      </c>
      <c r="BN2" s="5" t="s">
        <v>15</v>
      </c>
      <c r="BO2" s="5"/>
      <c r="BP2" s="7"/>
      <c r="BQ2" s="5"/>
      <c r="BR2" s="5" t="s">
        <v>16</v>
      </c>
      <c r="BS2" s="5" t="s">
        <v>14</v>
      </c>
      <c r="BT2" s="5" t="s">
        <v>15</v>
      </c>
      <c r="BU2" s="5" t="s">
        <v>17</v>
      </c>
      <c r="BV2" s="5"/>
      <c r="BW2" s="7"/>
      <c r="BX2" s="5"/>
      <c r="BY2" s="5" t="s">
        <v>18</v>
      </c>
      <c r="BZ2" s="5" t="s">
        <v>14</v>
      </c>
      <c r="CA2" s="5" t="s">
        <v>15</v>
      </c>
      <c r="CB2" s="5" t="s">
        <v>8</v>
      </c>
      <c r="CC2" s="5" t="s">
        <v>9</v>
      </c>
      <c r="CD2" s="5" t="s">
        <v>10</v>
      </c>
      <c r="CE2" s="5"/>
      <c r="CF2" s="7"/>
      <c r="CG2" s="5"/>
      <c r="CH2" s="5" t="s">
        <v>19</v>
      </c>
      <c r="CI2" s="5" t="s">
        <v>14</v>
      </c>
      <c r="CJ2" s="5" t="s">
        <v>15</v>
      </c>
      <c r="CK2" s="5" t="s">
        <v>20</v>
      </c>
      <c r="CL2" s="5"/>
      <c r="CM2" s="7"/>
      <c r="CN2" s="5"/>
      <c r="CO2" s="5" t="s">
        <v>21</v>
      </c>
      <c r="CP2" s="5" t="s">
        <v>14</v>
      </c>
      <c r="CQ2" s="5" t="s">
        <v>15</v>
      </c>
      <c r="CR2" s="5" t="s">
        <v>8</v>
      </c>
      <c r="CS2" s="5" t="s">
        <v>9</v>
      </c>
      <c r="CT2" s="5" t="s">
        <v>10</v>
      </c>
      <c r="CU2" s="5"/>
      <c r="CV2" s="7"/>
      <c r="CW2" s="5"/>
      <c r="CX2" s="5" t="s">
        <v>22</v>
      </c>
      <c r="CY2" s="5" t="s">
        <v>14</v>
      </c>
      <c r="CZ2" s="5" t="s">
        <v>15</v>
      </c>
      <c r="DA2" s="5" t="s">
        <v>20</v>
      </c>
      <c r="DB2" s="5"/>
      <c r="DC2" s="7"/>
      <c r="DD2" s="5"/>
      <c r="DE2" s="5" t="s">
        <v>23</v>
      </c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</row>
    <row r="3" spans="1:174" ht="15.75" customHeight="1" x14ac:dyDescent="0.25">
      <c r="A3" s="9" t="s">
        <v>24</v>
      </c>
      <c r="B3" s="9"/>
      <c r="C3" s="9"/>
      <c r="D3" s="9"/>
      <c r="E3" s="9"/>
      <c r="F3" s="9"/>
      <c r="G3" s="9"/>
      <c r="H3" s="3"/>
      <c r="I3" s="9"/>
      <c r="J3" s="9"/>
      <c r="K3" s="9"/>
      <c r="L3" s="9"/>
      <c r="M3" s="9"/>
      <c r="N3" s="9"/>
      <c r="O3" s="10"/>
      <c r="P3" s="11"/>
      <c r="Q3" s="12"/>
      <c r="R3" s="11"/>
      <c r="S3" s="13" t="str">
        <f ca="1">IFERROR(__xludf.DUMMYFUNCTION("SORT(FILTER(O4:O1626, O4:O1626&lt;&gt;""""), 1, 1)"),"active_remote_controller,10,260,513,61560,48,5,,,,86400")</f>
        <v>active_remote_controller,10,260,513,61560,48,5,,,,86400</v>
      </c>
      <c r="T3" s="14"/>
      <c r="W3" s="5" t="s">
        <v>25</v>
      </c>
      <c r="X3" s="5" t="s">
        <v>26</v>
      </c>
      <c r="BL3" s="14"/>
      <c r="BP3" s="10"/>
      <c r="BW3" s="10"/>
      <c r="CF3" s="10"/>
      <c r="CM3" s="10"/>
      <c r="CV3" s="10"/>
      <c r="DC3" s="10"/>
    </row>
    <row r="4" spans="1:174" ht="15.75" customHeight="1" x14ac:dyDescent="0.25">
      <c r="A4" s="15" t="s">
        <v>27</v>
      </c>
      <c r="B4" s="15"/>
      <c r="C4" s="15" t="s">
        <v>28</v>
      </c>
      <c r="D4" s="16"/>
      <c r="E4" s="15"/>
      <c r="F4" s="15"/>
      <c r="G4" s="15"/>
      <c r="H4" s="17" t="str">
        <f ca="1">IFERROR(__xludf.DUMMYFUNCTION("ArrayFormula(IF(ISNA(VLOOKUP(A4:A1626, SPLIT(O4:O1626,"","",1,0),7,0))=TRUE,"""",IF(VLOOKUP(A4:A1626, SPLIT(O4:O1626,"","",1,0),7,0)&lt;&gt;I4:I1626,""x"","""")))"),"")</f>
        <v/>
      </c>
      <c r="I4" s="15" t="s">
        <v>29</v>
      </c>
      <c r="J4" s="15" t="s">
        <v>29</v>
      </c>
      <c r="K4" s="15" t="s">
        <v>29</v>
      </c>
      <c r="L4" s="15" t="s">
        <v>29</v>
      </c>
      <c r="M4" s="15" t="s">
        <v>29</v>
      </c>
      <c r="N4" s="16"/>
      <c r="O4" s="18" t="s">
        <v>30</v>
      </c>
      <c r="P4" s="19"/>
      <c r="Q4" s="18" t="str">
        <f ca="1">IFERROR(__xludf.DUMMYFUNCTION("ArrayFormula(IF(O4:O1626="""","""",IF(VLOOKUP(A4:A1626, SPLIT($O$4:$O1626, "","", 1, 0),7,0)="""","""",
""zb -a ""
&amp;VLOOKUP(A4:A1626,{'Data Model Parser'!$C$4:$C1626,'Data Model Parser'!$W$4:$W1626}, 2, 0)
&amp;"" ""
&amp;VLOOKUP(A4:A1626,{'Data Model Parser'!$C$"&amp;"4:$C1626,'Data Model Parser'!$T$4:$T1626}, 2, 0)
&amp;"" ""
&amp;VLOOKUP(A4:A1626, SPLIT($O$4:$O1626, "","", 1, 0),7,0))))"),"")</f>
        <v/>
      </c>
      <c r="R4" s="19"/>
      <c r="S4" s="20" t="str">
        <f ca="1">IFERROR(__xludf.DUMMYFUNCTION("""COMPUTED_VALUE"""),"analog_output_setting_0,10,260,513,61856,32,,,,,86400")</f>
        <v>analog_output_setting_0,10,260,513,61856,32,,,,,86400</v>
      </c>
      <c r="U4" s="18" t="str">
        <f ca="1">IFERROR(__xludf.DUMMYFUNCTION("FILTER(IF(ISERROR(VLOOKUP(BL4:BL1626,IF(S3:S1626="""","""",REGEXEXTRACT(S3:S1626, ""^[a-z0-9_]+"")),1,0))=TRUE,BL4:BL1626,""""),
IF(ISERROR(VLOOKUP(BL4:BL1626,IF(S3:S1626="""","""",REGEXEXTRACT(S3:S1626, ""^[a-z0-9_]+"")),1,0))=TRUE,BL4:BL1626,"""")&lt;&gt;"""""&amp;",
VLOOKUP(
IF(ISERROR(VLOOKUP(BL4:BL1626,IF(S3:S1626="""","""",REGEXEXTRACT(S3:S1626, ""^[a-z0-9_]+"")),1,0))=TRUE,BL4:BL1626,""""),{'Data Model Parser'!C4:C1626,'Data Model Parser'!G4:G1626},2,0)&lt;&gt;""diagnostic"")"),"esp_ver")</f>
        <v>esp_ver</v>
      </c>
      <c r="V4" s="18" t="str">
        <f ca="1">IFERROR(__xludf.DUMMYFUNCTION("FILTER(
IF(ISERROR(VLOOKUP(BR4:BR1626,IF(S3:S1626="""","""",REGEXEXTRACT(S3:S1626, ""^[a-z0-9_]+"")),1,0))=TRUE,BR4:BR1626,""""),
IF(ISERROR(VLOOKUP(BR4:BR1626,IF(S3:S1626="""","""",REGEXEXTRACT(S3:S1626, ""^[a-z0-9_]+"")),1,0))=TRUE,BR4:BR1626,"""")&lt;&gt;"""&amp;""",
VLOOKUP(
IF(ISERROR(VLOOKUP(BR4:BR1626,IF(S3:S1626="""","""",REGEXEXTRACT(S3:S1626, ""^[a-z0-9_]+"")),1,0))=TRUE,BR4:BR1626,""""),{'Data Model Parser'!C4:C1626,'Data Model Parser'!G4:G1626},2,0)&lt;&gt;""diagnostic"")"),"#N/A")</f>
        <v>#N/A</v>
      </c>
      <c r="W4" s="18" t="str">
        <f ca="1">IFERROR(__xludf.DUMMYFUNCTION("FILTER(
IF(ISERROR(VLOOKUP(X4:X1626,'Data Model Parser'!C4:C1626,1,0))=TRUE,X4:X1626,""""),
IF(ISERROR(VLOOKUP(X4:X1626,'Data Model Parser'!C4:C1626,1,0))=TRUE,X4:X1626,"""")&lt;&gt;"""")"),"#N/A")</f>
        <v>#N/A</v>
      </c>
      <c r="X4" s="18" t="str">
        <f ca="1">IFERROR(__xludf.DUMMYFUNCTION("ArrayFormula(SORT(FILTER(A4:A1626,REGEXMATCH(A4:A1626,""^[a-z0-9_]+"")=TRUE),1,1))"),"active_remote_controller")</f>
        <v>active_remote_controller</v>
      </c>
      <c r="BL4" s="14" t="str">
        <f ca="1">IFERROR(__xludf.DUMMYFUNCTION("ArrayFormula(SORT(FILTER({'Data Model Parser'!C4:C1626,'Data Model Parser'!W4:W1626,'Data Model Parser'!T4:T1626},VLOOKUP('Data Model Parser'!C4:C1626,{'Data Model Parser'!C4:C1626,'Data Model Parser'!F4:F1626},2,0)=""true"", VLOOKUP('Data Model Parser'!C"&amp;"4:C1626,{'Data Model Parser'!C4:C1626,'Data Model Parser'!G4:G1626},2,0)&lt;&gt;""diagnostic""), 2,1,3,1))"),"zigbee_enabled")</f>
        <v>zigbee_enabled</v>
      </c>
      <c r="BM4" s="18" t="str">
        <f ca="1">IFERROR(__xludf.DUMMYFUNCTION("""COMPUTED_VALUE"""),"0x0000")</f>
        <v>0x0000</v>
      </c>
      <c r="BN4" s="18" t="str">
        <f ca="1">IFERROR(__xludf.DUMMYFUNCTION("""COMPUTED_VALUE"""),"0x0003")</f>
        <v>0x0003</v>
      </c>
      <c r="BP4" s="10"/>
      <c r="BR4" s="18" t="str">
        <f ca="1">IFERROR(__xludf.DUMMYFUNCTION("ArrayFormula(
SORT(
FILTER({'Data Model Parser'!C4:C1626,'Data Model Parser'!W4:W1626,'Data Model Parser'!T4:T1626,'Data Model Parser'!S4:S1626},VLOOKUP('Data Model Parser'!C4:C1626,{'Data Model Parser'!C4:C1626,'Data Model Parser'!F4:F1626},2,0)=""false"&amp;"""),
2,1,3,1)
)"),"scenes_unocc_delay")</f>
        <v>scenes_unocc_delay</v>
      </c>
      <c r="BS4" s="18" t="str">
        <f ca="1">IFERROR(__xludf.DUMMYFUNCTION("""COMPUTED_VALUE"""),"0x0005")</f>
        <v>0x0005</v>
      </c>
      <c r="BT4" s="18" t="str">
        <f ca="1">IFERROR(__xludf.DUMMYFUNCTION("""COMPUTED_VALUE"""),"0xF002")</f>
        <v>0xF002</v>
      </c>
      <c r="BU4" s="18" t="str">
        <f ca="1">IFERROR(__xludf.DUMMYFUNCTION("""COMPUTED_VALUE"""),"480")</f>
        <v>480</v>
      </c>
      <c r="BW4" s="10"/>
      <c r="BY4" s="18" t="str">
        <f ca="1">IFERROR(__xludf.DUMMYFUNCTION("ArrayFormula(
SORT(
FILTER({'Data Model Parser'!C4:C1626,'Data Model Parser'!W4:W1626,'Data Model Parser'!T4:T1626,'Data Model Parser'!J4:J1626,'Data Model Parser'!I4:I1626,IF('Data Model Parser'!K4:K1626=""N/A"",""0"",'Data Model Parser'!K4:K1626)},VLOOK"&amp;"UP('Data Model Parser'!C4:C1626,{'Data Model Parser'!C4:C1626,'Data Model Parser'!G4:G1626},2,0)=""reported""),
2,1,3,1)
)"),"scenes_occ")</f>
        <v>scenes_occ</v>
      </c>
      <c r="BZ4" s="18" t="str">
        <f ca="1">IFERROR(__xludf.DUMMYFUNCTION("""COMPUTED_VALUE"""),"0x0005")</f>
        <v>0x0005</v>
      </c>
      <c r="CA4" s="18" t="str">
        <f ca="1">IFERROR(__xludf.DUMMYFUNCTION("""COMPUTED_VALUE"""),"0xF000")</f>
        <v>0xF000</v>
      </c>
      <c r="CB4" s="18" t="str">
        <f ca="1">IFERROR(__xludf.DUMMYFUNCTION("""COMPUTED_VALUE"""),"0")</f>
        <v>0</v>
      </c>
      <c r="CC4" s="18" t="str">
        <f ca="1">IFERROR(__xludf.DUMMYFUNCTION("""COMPUTED_VALUE"""),"3600")</f>
        <v>3600</v>
      </c>
      <c r="CD4" s="18" t="str">
        <f ca="1">IFERROR(__xludf.DUMMYFUNCTION("""COMPUTED_VALUE"""),"0")</f>
        <v>0</v>
      </c>
      <c r="CF4" s="10"/>
      <c r="CH4" s="18" t="str">
        <f ca="1">IFERROR(__xludf.DUMMYFUNCTION("ArrayFormula(
SORT(
FILTER({'Data Model Parser'!C4:C1626,'Data Model Parser'!W4:W1626,'Data Model Parser'!T4:T1626,'Data Model Parser'!H4:H1626},VLOOKUP('Data Model Parser'!C4:C1626,{'Data Model Parser'!C4:C1626,'Data Model Parser'!G4:G1626},2,0)=""polled"&amp;"""),
2,1,3,1)
)"),"zigbee_enabled")</f>
        <v>zigbee_enabled</v>
      </c>
      <c r="CI4" s="18" t="str">
        <f ca="1">IFERROR(__xludf.DUMMYFUNCTION("""COMPUTED_VALUE"""),"0x0000")</f>
        <v>0x0000</v>
      </c>
      <c r="CJ4" s="18" t="str">
        <f ca="1">IFERROR(__xludf.DUMMYFUNCTION("""COMPUTED_VALUE"""),"0x0003")</f>
        <v>0x0003</v>
      </c>
      <c r="CK4" s="18" t="str">
        <f ca="1">IFERROR(__xludf.DUMMYFUNCTION("""COMPUTED_VALUE"""),"86400")</f>
        <v>86400</v>
      </c>
      <c r="CM4" s="10"/>
      <c r="CO4" s="18" t="str">
        <f ca="1">IFERROR(__xludf.DUMMYFUNCTION("ArrayFormula(SORT(FILTER(VLOOKUP(BR4:BR1626,BY4:BY1626,1,0),ISERROR(VLOOKUP(BR4:BR1626,BY4:BY1626,1,0))=FALSE),2,1,3,1))"),"local_temp_calibration")</f>
        <v>local_temp_calibration</v>
      </c>
      <c r="CP4" s="18" t="str">
        <f t="array" aca="1" ref="CP4:CP1626" ca="1">IF($CO$4:$CO1626="","",VLOOKUP($CO$4:$CO1626,$BY$4:BZ1626,2,0))</f>
        <v>0x0201</v>
      </c>
      <c r="CQ4" s="18" t="str">
        <f t="array" aca="1" ref="CQ4:CQ1626" ca="1">IF($CO$4:$CO1626="","",VLOOKUP($CO$4:$CO1626,$BY$4:CA1626,3,0))</f>
        <v>0x0010</v>
      </c>
      <c r="CR4" s="18" t="str">
        <f t="array" aca="1" ref="CR4:CR1626" ca="1">IF($CO$4:$CO1626="","",VLOOKUP($CO$4:$CO1626,$BY$4:CB1626,4,0))</f>
        <v>0</v>
      </c>
      <c r="CS4" s="18" t="str">
        <f t="array" aca="1" ref="CS4:CS1626" ca="1">IF($CO$4:$CO1626="","",VLOOKUP($CO$4:$CO1626,$BY$4:CC1626,5,0))</f>
        <v>3600</v>
      </c>
      <c r="CT4" s="18" t="str">
        <f t="array" aca="1" ref="CT4:CT1626" ca="1">IF($CO$4:$CO1626="","",VLOOKUP($CO$4:$CO1626,$BY$4:CD1626,6,0))</f>
        <v>0</v>
      </c>
      <c r="CV4" s="10"/>
      <c r="CX4" s="18" t="str">
        <f ca="1">IFERROR(__xludf.DUMMYFUNCTION("ArrayFormula(SORT(FILTER(VLOOKUP(BR4:BR1626,CH4:CH1626,1,0),ISERROR(VLOOKUP(BR4:BR1626,CH4:CH1626,1,0))=FALSE),2,1,3,1))"),"scenes_unocc_delay")</f>
        <v>scenes_unocc_delay</v>
      </c>
      <c r="CY4" s="18" t="str">
        <f t="array" aca="1" ref="CY4:CY1626" ca="1">IF($CX$4:$CX1626="","",VLOOKUP($CX$4:$CX1626,$CH$4:CI1626,2,0))</f>
        <v>0x0005</v>
      </c>
      <c r="CZ4" s="18" t="str">
        <f t="array" aca="1" ref="CZ4:CZ1626" ca="1">IF($CX$4:$CX1626="","",VLOOKUP($CX$4:$CX1626,$CH$4:CJ1626,3,0))</f>
        <v>0xF002</v>
      </c>
      <c r="DA4" s="18" t="str">
        <f t="array" aca="1" ref="DA4:DA1626" ca="1">IF($CX$4:$CX1626="","",VLOOKUP($CX$4:$CX1626,$CH$4:CK1626,4,0))</f>
        <v>86400</v>
      </c>
      <c r="DC4" s="10"/>
      <c r="DE4" s="18" t="str">
        <f ca="1">IFERROR(__xludf.DUMMYFUNCTION("ArrayFormula(
SORT(
FILTER({'Data Model Parser'!C4:C1626,'Data Model Parser'!W4:W1626,'Data Model Parser'!T4:T1626,SPLIT('Data Model Parser'!P4:P1626,"","")},VLOOKUP('Data Model Parser'!C4:C1626,{'Data Model Parser'!C4:C1626,'Data Model Parser'!E4:E1626},"&amp;"2,0)=""enum""),
2,1,3,1)
)"),"day_of_week")</f>
        <v>day_of_week</v>
      </c>
      <c r="DF4" s="18" t="str">
        <f ca="1">IFERROR(__xludf.DUMMYFUNCTION("""COMPUTED_VALUE"""),"0x000A")</f>
        <v>0x000A</v>
      </c>
      <c r="DG4" s="18" t="str">
        <f ca="1">IFERROR(__xludf.DUMMYFUNCTION("""COMPUTED_VALUE"""),"0xF001")</f>
        <v>0xF001</v>
      </c>
      <c r="DH4" s="18" t="str">
        <f ca="1">IFERROR(__xludf.DUMMYFUNCTION("""COMPUTED_VALUE"""),"""sun""")</f>
        <v>"sun"</v>
      </c>
      <c r="DI4" s="18" t="str">
        <f ca="1">IFERROR(__xludf.DUMMYFUNCTION("""COMPUTED_VALUE"""),"""mon""")</f>
        <v>"mon"</v>
      </c>
      <c r="DJ4" s="18" t="str">
        <f ca="1">IFERROR(__xludf.DUMMYFUNCTION("""COMPUTED_VALUE"""),"""tue""")</f>
        <v>"tue"</v>
      </c>
      <c r="DK4" s="18" t="str">
        <f ca="1">IFERROR(__xludf.DUMMYFUNCTION("""COMPUTED_VALUE"""),"""wed""")</f>
        <v>"wed"</v>
      </c>
      <c r="DL4" s="18" t="str">
        <f ca="1">IFERROR(__xludf.DUMMYFUNCTION("""COMPUTED_VALUE"""),"""thur""")</f>
        <v>"thur"</v>
      </c>
      <c r="DM4" s="18" t="str">
        <f ca="1">IFERROR(__xludf.DUMMYFUNCTION("""COMPUTED_VALUE"""),"""fri""")</f>
        <v>"fri"</v>
      </c>
      <c r="DN4" s="18" t="str">
        <f ca="1">IFERROR(__xludf.DUMMYFUNCTION("""COMPUTED_VALUE"""),"""sat""")</f>
        <v>"sat"</v>
      </c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</row>
    <row r="5" spans="1:174" ht="15.75" customHeight="1" x14ac:dyDescent="0.25">
      <c r="A5" s="15" t="s">
        <v>31</v>
      </c>
      <c r="B5" s="15"/>
      <c r="C5" s="15" t="s">
        <v>28</v>
      </c>
      <c r="D5" s="16"/>
      <c r="E5" s="15"/>
      <c r="F5" s="15"/>
      <c r="G5" s="15"/>
      <c r="H5" s="17" t="str">
        <f ca="1">IFERROR(__xludf.DUMMYFUNCTION("""COMPUTED_VALUE"""),"")</f>
        <v/>
      </c>
      <c r="I5" s="15" t="s">
        <v>29</v>
      </c>
      <c r="J5" s="15" t="s">
        <v>29</v>
      </c>
      <c r="K5" s="15" t="s">
        <v>29</v>
      </c>
      <c r="L5" s="15" t="s">
        <v>29</v>
      </c>
      <c r="M5" s="15" t="s">
        <v>29</v>
      </c>
      <c r="N5" s="16"/>
      <c r="O5" s="18" t="s">
        <v>32</v>
      </c>
      <c r="P5" s="19"/>
      <c r="Q5" s="18" t="str">
        <f ca="1">IFERROR(__xludf.DUMMYFUNCTION("""COMPUTED_VALUE"""),"")</f>
        <v/>
      </c>
      <c r="R5" s="19"/>
      <c r="S5" s="20" t="str">
        <f ca="1">IFERROR(__xludf.DUMMYFUNCTION("""COMPUTED_VALUE"""),"analog_output_setting_1,10,260,513,61857,32,,,,,86400")</f>
        <v>analog_output_setting_1,10,260,513,61857,32,,,,,86400</v>
      </c>
      <c r="U5" s="18" t="str">
        <f ca="1">IFERROR(__xludf.DUMMYFUNCTION("""COMPUTED_VALUE"""),"mac_address")</f>
        <v>mac_address</v>
      </c>
      <c r="X5" s="18" t="str">
        <f ca="1">IFERROR(__xludf.DUMMYFUNCTION("""COMPUTED_VALUE"""),"analog_output_setting_0")</f>
        <v>analog_output_setting_0</v>
      </c>
      <c r="BL5" s="18" t="str">
        <f ca="1">IFERROR(__xludf.DUMMYFUNCTION("""COMPUTED_VALUE"""),"scenes_occ")</f>
        <v>scenes_occ</v>
      </c>
      <c r="BM5" s="18" t="str">
        <f ca="1">IFERROR(__xludf.DUMMYFUNCTION("""COMPUTED_VALUE"""),"0x0005")</f>
        <v>0x0005</v>
      </c>
      <c r="BN5" s="18" t="str">
        <f ca="1">IFERROR(__xludf.DUMMYFUNCTION("""COMPUTED_VALUE"""),"0xF000")</f>
        <v>0xF000</v>
      </c>
      <c r="BP5" s="10"/>
      <c r="BR5" s="18" t="str">
        <f ca="1">IFERROR(__xludf.DUMMYFUNCTION("""COMPUTED_VALUE"""),"scenes_unocc_aux_delay")</f>
        <v>scenes_unocc_aux_delay</v>
      </c>
      <c r="BS5" s="18" t="str">
        <f ca="1">IFERROR(__xludf.DUMMYFUNCTION("""COMPUTED_VALUE"""),"0x0005")</f>
        <v>0x0005</v>
      </c>
      <c r="BT5" s="18" t="str">
        <f ca="1">IFERROR(__xludf.DUMMYFUNCTION("""COMPUTED_VALUE"""),"0xF003")</f>
        <v>0xF003</v>
      </c>
      <c r="BU5" s="18" t="str">
        <f ca="1">IFERROR(__xludf.DUMMYFUNCTION("""COMPUTED_VALUE"""),"1440")</f>
        <v>1440</v>
      </c>
      <c r="BW5" s="10"/>
      <c r="BY5" s="18" t="str">
        <f ca="1">IFERROR(__xludf.DUMMYFUNCTION("""COMPUTED_VALUE"""),"scenes_occ_aux")</f>
        <v>scenes_occ_aux</v>
      </c>
      <c r="BZ5" s="18" t="str">
        <f ca="1">IFERROR(__xludf.DUMMYFUNCTION("""COMPUTED_VALUE"""),"0x0005")</f>
        <v>0x0005</v>
      </c>
      <c r="CA5" s="18" t="str">
        <f ca="1">IFERROR(__xludf.DUMMYFUNCTION("""COMPUTED_VALUE"""),"0xF001")</f>
        <v>0xF001</v>
      </c>
      <c r="CB5" s="18" t="str">
        <f ca="1">IFERROR(__xludf.DUMMYFUNCTION("""COMPUTED_VALUE"""),"0")</f>
        <v>0</v>
      </c>
      <c r="CC5" s="18" t="str">
        <f ca="1">IFERROR(__xludf.DUMMYFUNCTION("""COMPUTED_VALUE"""),"3600")</f>
        <v>3600</v>
      </c>
      <c r="CD5" s="18" t="str">
        <f ca="1">IFERROR(__xludf.DUMMYFUNCTION("""COMPUTED_VALUE"""),"0")</f>
        <v>0</v>
      </c>
      <c r="CF5" s="10"/>
      <c r="CH5" s="18" t="str">
        <f ca="1">IFERROR(__xludf.DUMMYFUNCTION("""COMPUTED_VALUE"""),"scenes_unocc_delay")</f>
        <v>scenes_unocc_delay</v>
      </c>
      <c r="CI5" s="18" t="str">
        <f ca="1">IFERROR(__xludf.DUMMYFUNCTION("""COMPUTED_VALUE"""),"0x0005")</f>
        <v>0x0005</v>
      </c>
      <c r="CJ5" s="18" t="str">
        <f ca="1">IFERROR(__xludf.DUMMYFUNCTION("""COMPUTED_VALUE"""),"0xF002")</f>
        <v>0xF002</v>
      </c>
      <c r="CK5" s="18" t="str">
        <f ca="1">IFERROR(__xludf.DUMMYFUNCTION("""COMPUTED_VALUE"""),"86400")</f>
        <v>86400</v>
      </c>
      <c r="CM5" s="10"/>
      <c r="CO5" s="18" t="str">
        <f ca="1">IFERROR(__xludf.DUMMYFUNCTION("""COMPUTED_VALUE"""),"cool_setpoint")</f>
        <v>cool_setpoint</v>
      </c>
      <c r="CP5" s="18" t="str">
        <f ca="1"/>
        <v>0x0201</v>
      </c>
      <c r="CQ5" s="18" t="str">
        <f ca="1"/>
        <v>0x0011</v>
      </c>
      <c r="CR5" s="18" t="str">
        <f ca="1"/>
        <v>0</v>
      </c>
      <c r="CS5" s="18" t="str">
        <f ca="1"/>
        <v>3600</v>
      </c>
      <c r="CT5" s="18" t="str">
        <f ca="1"/>
        <v>0</v>
      </c>
      <c r="CV5" s="10"/>
      <c r="CX5" s="18" t="str">
        <f ca="1">IFERROR(__xludf.DUMMYFUNCTION("""COMPUTED_VALUE"""),"scenes_unocc_aux_delay")</f>
        <v>scenes_unocc_aux_delay</v>
      </c>
      <c r="CY5" s="18" t="str">
        <f ca="1"/>
        <v>0x0005</v>
      </c>
      <c r="CZ5" s="18" t="str">
        <f ca="1"/>
        <v>0xF003</v>
      </c>
      <c r="DA5" s="18" t="str">
        <f ca="1"/>
        <v>86400</v>
      </c>
      <c r="DC5" s="10"/>
      <c r="DE5" s="18" t="str">
        <f ca="1">IFERROR(__xludf.DUMMYFUNCTION("""COMPUTED_VALUE"""),"system_mode")</f>
        <v>system_mode</v>
      </c>
      <c r="DF5" s="18" t="str">
        <f ca="1">IFERROR(__xludf.DUMMYFUNCTION("""COMPUTED_VALUE"""),"0x0201")</f>
        <v>0x0201</v>
      </c>
      <c r="DG5" s="18" t="str">
        <f ca="1">IFERROR(__xludf.DUMMYFUNCTION("""COMPUTED_VALUE"""),"0x001C")</f>
        <v>0x001C</v>
      </c>
      <c r="DH5" s="18" t="str">
        <f ca="1">IFERROR(__xludf.DUMMYFUNCTION("""COMPUTED_VALUE"""),"""off""")</f>
        <v>"off"</v>
      </c>
      <c r="DI5" s="18" t="str">
        <f ca="1">IFERROR(__xludf.DUMMYFUNCTION("""COMPUTED_VALUE"""),"""cool""")</f>
        <v>"cool"</v>
      </c>
      <c r="DJ5" s="18" t="str">
        <f ca="1">IFERROR(__xludf.DUMMYFUNCTION("""COMPUTED_VALUE"""),"""heat""")</f>
        <v>"heat"</v>
      </c>
      <c r="DK5" s="18" t="str">
        <f ca="1">IFERROR(__xludf.DUMMYFUNCTION("""COMPUTED_VALUE"""),"""auto""")</f>
        <v>"auto"</v>
      </c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</row>
    <row r="6" spans="1:174" ht="15.75" customHeight="1" x14ac:dyDescent="0.25">
      <c r="A6" s="15" t="s">
        <v>33</v>
      </c>
      <c r="B6" s="15"/>
      <c r="C6" s="15" t="s">
        <v>34</v>
      </c>
      <c r="D6" s="16"/>
      <c r="E6" s="15"/>
      <c r="F6" s="15"/>
      <c r="G6" s="15"/>
      <c r="H6" s="17" t="str">
        <f ca="1">IFERROR(__xludf.DUMMYFUNCTION("""COMPUTED_VALUE"""),"")</f>
        <v/>
      </c>
      <c r="I6" s="15" t="s">
        <v>29</v>
      </c>
      <c r="J6" s="15" t="s">
        <v>29</v>
      </c>
      <c r="K6" s="15" t="s">
        <v>29</v>
      </c>
      <c r="L6" s="15" t="s">
        <v>29</v>
      </c>
      <c r="M6" s="15" t="s">
        <v>29</v>
      </c>
      <c r="N6" s="16"/>
      <c r="O6" s="18" t="s">
        <v>35</v>
      </c>
      <c r="P6" s="19"/>
      <c r="Q6" s="18" t="str">
        <f ca="1">IFERROR(__xludf.DUMMYFUNCTION("""COMPUTED_VALUE"""),"")</f>
        <v/>
      </c>
      <c r="R6" s="19"/>
      <c r="S6" s="20" t="str">
        <f ca="1">IFERROR(__xludf.DUMMYFUNCTION("""COMPUTED_VALUE"""),"analog_output_setting_2,10,260,513,61858,32,,,,,86400")</f>
        <v>analog_output_setting_2,10,260,513,61858,32,,,,,86400</v>
      </c>
      <c r="U6" s="18" t="str">
        <f ca="1">IFERROR(__xludf.DUMMYFUNCTION("""COMPUTED_VALUE"""),"ip_address")</f>
        <v>ip_address</v>
      </c>
      <c r="X6" s="18" t="str">
        <f ca="1">IFERROR(__xludf.DUMMYFUNCTION("""COMPUTED_VALUE"""),"analog_output_setting_1")</f>
        <v>analog_output_setting_1</v>
      </c>
      <c r="BL6" s="18" t="str">
        <f ca="1">IFERROR(__xludf.DUMMYFUNCTION("""COMPUTED_VALUE"""),"scenes_occ_aux")</f>
        <v>scenes_occ_aux</v>
      </c>
      <c r="BM6" s="18" t="str">
        <f ca="1">IFERROR(__xludf.DUMMYFUNCTION("""COMPUTED_VALUE"""),"0x0005")</f>
        <v>0x0005</v>
      </c>
      <c r="BN6" s="18" t="str">
        <f ca="1">IFERROR(__xludf.DUMMYFUNCTION("""COMPUTED_VALUE"""),"0xF001")</f>
        <v>0xF001</v>
      </c>
      <c r="BP6" s="10"/>
      <c r="BR6" s="18" t="str">
        <f ca="1">IFERROR(__xludf.DUMMYFUNCTION("""COMPUTED_VALUE"""),"local_time_of_day")</f>
        <v>local_time_of_day</v>
      </c>
      <c r="BS6" s="18" t="str">
        <f ca="1">IFERROR(__xludf.DUMMYFUNCTION("""COMPUTED_VALUE"""),"0x000A")</f>
        <v>0x000A</v>
      </c>
      <c r="BT6" s="18" t="str">
        <f ca="1">IFERROR(__xludf.DUMMYFUNCTION("""COMPUTED_VALUE"""),"0xF000")</f>
        <v>0xF000</v>
      </c>
      <c r="BU6" s="18" t="str">
        <f ca="1">IFERROR(__xludf.DUMMYFUNCTION("""COMPUTED_VALUE"""),"N/A")</f>
        <v>N/A</v>
      </c>
      <c r="BW6" s="10"/>
      <c r="BY6" s="18" t="str">
        <f ca="1">IFERROR(__xludf.DUMMYFUNCTION("""COMPUTED_VALUE"""),"system_temp")</f>
        <v>system_temp</v>
      </c>
      <c r="BZ6" s="18" t="str">
        <f ca="1">IFERROR(__xludf.DUMMYFUNCTION("""COMPUTED_VALUE"""),"0x0201")</f>
        <v>0x0201</v>
      </c>
      <c r="CA6" s="18" t="str">
        <f ca="1">IFERROR(__xludf.DUMMYFUNCTION("""COMPUTED_VALUE"""),"0x0000")</f>
        <v>0x0000</v>
      </c>
      <c r="CB6" s="18" t="str">
        <f ca="1">IFERROR(__xludf.DUMMYFUNCTION("""COMPUTED_VALUE"""),"0")</f>
        <v>0</v>
      </c>
      <c r="CC6" s="18" t="str">
        <f ca="1">IFERROR(__xludf.DUMMYFUNCTION("""COMPUTED_VALUE"""),"3600")</f>
        <v>3600</v>
      </c>
      <c r="CD6" s="18" t="str">
        <f ca="1">IFERROR(__xludf.DUMMYFUNCTION("""COMPUTED_VALUE"""),"0.5")</f>
        <v>0.5</v>
      </c>
      <c r="CF6" s="10"/>
      <c r="CH6" s="18" t="str">
        <f ca="1">IFERROR(__xludf.DUMMYFUNCTION("""COMPUTED_VALUE"""),"scenes_unocc_aux_delay")</f>
        <v>scenes_unocc_aux_delay</v>
      </c>
      <c r="CI6" s="18" t="str">
        <f ca="1">IFERROR(__xludf.DUMMYFUNCTION("""COMPUTED_VALUE"""),"0x0005")</f>
        <v>0x0005</v>
      </c>
      <c r="CJ6" s="18" t="str">
        <f ca="1">IFERROR(__xludf.DUMMYFUNCTION("""COMPUTED_VALUE"""),"0xF003")</f>
        <v>0xF003</v>
      </c>
      <c r="CK6" s="18" t="str">
        <f ca="1">IFERROR(__xludf.DUMMYFUNCTION("""COMPUTED_VALUE"""),"86400")</f>
        <v>86400</v>
      </c>
      <c r="CM6" s="10"/>
      <c r="CO6" s="18" t="str">
        <f ca="1">IFERROR(__xludf.DUMMYFUNCTION("""COMPUTED_VALUE"""),"heat_setpoint")</f>
        <v>heat_setpoint</v>
      </c>
      <c r="CP6" s="18" t="str">
        <f ca="1"/>
        <v>0x0201</v>
      </c>
      <c r="CQ6" s="18" t="str">
        <f ca="1"/>
        <v>0x0012</v>
      </c>
      <c r="CR6" s="18" t="str">
        <f ca="1"/>
        <v>0</v>
      </c>
      <c r="CS6" s="18" t="str">
        <f ca="1"/>
        <v>3600</v>
      </c>
      <c r="CT6" s="18" t="str">
        <f ca="1"/>
        <v>0</v>
      </c>
      <c r="CV6" s="10"/>
      <c r="CX6" s="18" t="str">
        <f ca="1">IFERROR(__xludf.DUMMYFUNCTION("""COMPUTED_VALUE"""),"heat_setpoint_min")</f>
        <v>heat_setpoint_min</v>
      </c>
      <c r="CY6" s="18" t="str">
        <f ca="1"/>
        <v>0x0201</v>
      </c>
      <c r="CZ6" s="18" t="str">
        <f ca="1"/>
        <v>0x0015</v>
      </c>
      <c r="DA6" s="18" t="str">
        <f ca="1"/>
        <v>86400</v>
      </c>
      <c r="DC6" s="10"/>
      <c r="DE6" s="18" t="str">
        <f ca="1">IFERROR(__xludf.DUMMYFUNCTION("""COMPUTED_VALUE"""),"running_mode")</f>
        <v>running_mode</v>
      </c>
      <c r="DF6" s="18" t="str">
        <f ca="1">IFERROR(__xludf.DUMMYFUNCTION("""COMPUTED_VALUE"""),"0x0201")</f>
        <v>0x0201</v>
      </c>
      <c r="DG6" s="18" t="str">
        <f ca="1">IFERROR(__xludf.DUMMYFUNCTION("""COMPUTED_VALUE"""),"0x001E")</f>
        <v>0x001E</v>
      </c>
      <c r="DH6" s="18" t="str">
        <f ca="1">IFERROR(__xludf.DUMMYFUNCTION("""COMPUTED_VALUE"""),"""off""")</f>
        <v>"off"</v>
      </c>
      <c r="DI6" s="18" t="str">
        <f ca="1">IFERROR(__xludf.DUMMYFUNCTION("""COMPUTED_VALUE"""),"""cool""")</f>
        <v>"cool"</v>
      </c>
      <c r="DJ6" s="18" t="str">
        <f ca="1">IFERROR(__xludf.DUMMYFUNCTION("""COMPUTED_VALUE"""),"""heat""")</f>
        <v>"heat"</v>
      </c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</row>
    <row r="7" spans="1:174" ht="15.75" customHeight="1" x14ac:dyDescent="0.25">
      <c r="A7" s="15" t="s">
        <v>36</v>
      </c>
      <c r="B7" s="15"/>
      <c r="C7" s="15"/>
      <c r="D7" s="16"/>
      <c r="E7" s="15"/>
      <c r="F7" s="15"/>
      <c r="G7" s="15"/>
      <c r="H7" s="17" t="str">
        <f ca="1">IFERROR(__xludf.DUMMYFUNCTION("""COMPUTED_VALUE"""),"")</f>
        <v/>
      </c>
      <c r="I7" s="15" t="s">
        <v>29</v>
      </c>
      <c r="J7" s="15" t="s">
        <v>29</v>
      </c>
      <c r="K7" s="15" t="s">
        <v>29</v>
      </c>
      <c r="L7" s="15" t="s">
        <v>29</v>
      </c>
      <c r="M7" s="15" t="s">
        <v>29</v>
      </c>
      <c r="N7" s="16"/>
      <c r="O7" s="18" t="str">
        <f ca="1">IFERROR(__xludf.DUMMYFUNCTION("IF(A7="""","""",A7
&amp;"",""
&amp;HEX2DEC(VLOOKUP(A7,{'Data Model Parser'!$C$4:$C1626,'Data Model Parser'!$U$4:$U1626},2,0))
&amp;"",""
&amp;HEX2DEC(VLOOKUP(A7,{'Data Model Parser'!$C$4:$C1626,'Data Model Parser'!$V$4:$V1626},2,0))
&amp;"",""
&amp;HEX2DEC(VLOOKUP(A7,{'Data Mode"&amp;"l Parser'!$C$4:$C1626,'Data Model Parser'!$W$4:$W1626},2,0))
&amp;"",""
&amp;HEX2DEC(VLOOKUP(A7,{'Data Model Parser'!$C$4:$C1626,'Data Model Parser'!$T$4:$T1626},2,0))
&amp;"",""
&amp;HEX2DEC(VLOOKUP(A7,{'Data Model Parser'!$C$4:$C1626,'Data Model Parser'!$X$4:$X1626},2,"&amp;"0))
&amp;"",""
&amp;IFS(B7="""","""",REGEXREPLACE(B7,CHAR(34),"""")=""fahrenheit"",""1"",REGEXREPLACE(B7,CHAR(34),"""")=""celsius"",""0"")
&amp;"",""
&amp;IF(VLOOKUP(A7,{'Data Model Parser'!$C$4:$C1626,'Data Model Parser'!$G$4:$G1626},2,0)=""polled"","",,,""&amp;VLOOKUP(A7,{"&amp;"'Data Model Parser'!$C$4:$C1626,'Data Model Parser'!$H$4:$H1626},2,0),
IF(VLOOKUP(A7,{'Data Model Parser'!$C$4:$C1626,'Data Model Parser'!$G$4:$G1626},2,0)=""reported"",
IFS(E7&lt;&gt;"""",E7&amp;"","",
E7="""",VLOOKUP(A7,{'Data Model Parser'!$C$4:$C1626,'Data Mode"&amp;"l Parser'!$J$4:$J1626},2,0)&amp;"","")
&amp;IFS(F7&lt;&gt;"""",F7&amp;"","",
F7="""",VLOOKUP(A7,{'Data Model Parser'!$C$4:$C1626,'Data Model Parser'!$I$4:$I1626},2,0)&amp;"","")
&amp;IFS(G7&lt;&gt;"""",G7,
G7="""",IF(VLOOKUP(A7,{'Data Model Parser'!$C$4:$C1626,'Data Model Parser'!$K$4:$"&amp;"K1626},2,0)=""N/A"",""0"",VLOOKUP(A7,{'Data Model Parser'!$C$4:$C1626,'Data Model Parser'!$K$4:$K1626},2,0))))))"),"display_temp_units,10,260,513,61471,48,,0,3600,0")</f>
        <v>display_temp_units,10,260,513,61471,48,,0,3600,0</v>
      </c>
      <c r="P7" s="19"/>
      <c r="Q7" s="18" t="str">
        <f ca="1">IFERROR(__xludf.DUMMYFUNCTION("""COMPUTED_VALUE"""),"")</f>
        <v/>
      </c>
      <c r="R7" s="19"/>
      <c r="S7" s="20" t="str">
        <f ca="1">IFERROR(__xludf.DUMMYFUNCTION("""COMPUTED_VALUE"""),"analog_output_setting_3,10,260,513,61859,32,,,,,86400")</f>
        <v>analog_output_setting_3,10,260,513,61859,32,,,,,86400</v>
      </c>
      <c r="U7" s="18" t="str">
        <f ca="1">IFERROR(__xludf.DUMMYFUNCTION("""COMPUTED_VALUE"""),"mqtt_server")</f>
        <v>mqtt_server</v>
      </c>
      <c r="X7" s="18" t="str">
        <f ca="1">IFERROR(__xludf.DUMMYFUNCTION("""COMPUTED_VALUE"""),"analog_output_setting_2")</f>
        <v>analog_output_setting_2</v>
      </c>
      <c r="Y7" s="18" t="str">
        <f ca="1">IFERROR(__xludf.DUMMYFUNCTION("UNIQUE(FILTER({$DE$4:$DE1626,$DH$4:$ES1626}, $DE$4:$DE1626=A7))"),"display_temp_units")</f>
        <v>display_temp_units</v>
      </c>
      <c r="Z7" s="18" t="str">
        <f ca="1">IFERROR(__xludf.DUMMYFUNCTION("""COMPUTED_VALUE"""),"""fahrenheit""")</f>
        <v>"fahrenheit"</v>
      </c>
      <c r="AA7" s="18" t="str">
        <f ca="1">IFERROR(__xludf.DUMMYFUNCTION("""COMPUTED_VALUE"""),"""celsius""")</f>
        <v>"celsius"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 t="str">
        <f ca="1">IFERROR(__xludf.DUMMYFUNCTION("""COMPUTED_VALUE"""),"system_temp")</f>
        <v>system_temp</v>
      </c>
      <c r="BM7" s="18" t="str">
        <f ca="1">IFERROR(__xludf.DUMMYFUNCTION("""COMPUTED_VALUE"""),"0x0201")</f>
        <v>0x0201</v>
      </c>
      <c r="BN7" s="18" t="str">
        <f ca="1">IFERROR(__xludf.DUMMYFUNCTION("""COMPUTED_VALUE"""),"0x0000")</f>
        <v>0x0000</v>
      </c>
      <c r="BP7" s="10"/>
      <c r="BR7" s="18" t="str">
        <f ca="1">IFERROR(__xludf.DUMMYFUNCTION("""COMPUTED_VALUE"""),"day_of_week")</f>
        <v>day_of_week</v>
      </c>
      <c r="BS7" s="18" t="str">
        <f ca="1">IFERROR(__xludf.DUMMYFUNCTION("""COMPUTED_VALUE"""),"0x000A")</f>
        <v>0x000A</v>
      </c>
      <c r="BT7" s="18" t="str">
        <f ca="1">IFERROR(__xludf.DUMMYFUNCTION("""COMPUTED_VALUE"""),"0xF001")</f>
        <v>0xF001</v>
      </c>
      <c r="BU7" s="18" t="str">
        <f ca="1">IFERROR(__xludf.DUMMYFUNCTION("""COMPUTED_VALUE"""),"N/A")</f>
        <v>N/A</v>
      </c>
      <c r="BW7" s="10"/>
      <c r="BY7" s="18" t="str">
        <f ca="1">IFERROR(__xludf.DUMMYFUNCTION("""COMPUTED_VALUE"""),"system_occ")</f>
        <v>system_occ</v>
      </c>
      <c r="BZ7" s="18" t="str">
        <f ca="1">IFERROR(__xludf.DUMMYFUNCTION("""COMPUTED_VALUE"""),"0x0201")</f>
        <v>0x0201</v>
      </c>
      <c r="CA7" s="18" t="str">
        <f ca="1">IFERROR(__xludf.DUMMYFUNCTION("""COMPUTED_VALUE"""),"0x0002")</f>
        <v>0x0002</v>
      </c>
      <c r="CB7" s="18" t="str">
        <f ca="1">IFERROR(__xludf.DUMMYFUNCTION("""COMPUTED_VALUE"""),"0")</f>
        <v>0</v>
      </c>
      <c r="CC7" s="18" t="str">
        <f ca="1">IFERROR(__xludf.DUMMYFUNCTION("""COMPUTED_VALUE"""),"3600")</f>
        <v>3600</v>
      </c>
      <c r="CD7" s="18" t="str">
        <f ca="1">IFERROR(__xludf.DUMMYFUNCTION("""COMPUTED_VALUE"""),"0")</f>
        <v>0</v>
      </c>
      <c r="CF7" s="10"/>
      <c r="CH7" s="18" t="str">
        <f ca="1">IFERROR(__xludf.DUMMYFUNCTION("""COMPUTED_VALUE"""),"heat_setpoint_min")</f>
        <v>heat_setpoint_min</v>
      </c>
      <c r="CI7" s="18" t="str">
        <f ca="1">IFERROR(__xludf.DUMMYFUNCTION("""COMPUTED_VALUE"""),"0x0201")</f>
        <v>0x0201</v>
      </c>
      <c r="CJ7" s="18" t="str">
        <f ca="1">IFERROR(__xludf.DUMMYFUNCTION("""COMPUTED_VALUE"""),"0x0015")</f>
        <v>0x0015</v>
      </c>
      <c r="CK7" s="18" t="str">
        <f ca="1">IFERROR(__xludf.DUMMYFUNCTION("""COMPUTED_VALUE"""),"86400")</f>
        <v>86400</v>
      </c>
      <c r="CM7" s="10"/>
      <c r="CO7" s="18" t="str">
        <f ca="1">IFERROR(__xludf.DUMMYFUNCTION("""COMPUTED_VALUE"""),"system_mode")</f>
        <v>system_mode</v>
      </c>
      <c r="CP7" s="18" t="str">
        <f ca="1"/>
        <v>0x0201</v>
      </c>
      <c r="CQ7" s="18" t="str">
        <f ca="1"/>
        <v>0x001C</v>
      </c>
      <c r="CR7" s="18" t="str">
        <f ca="1"/>
        <v>0</v>
      </c>
      <c r="CS7" s="18" t="str">
        <f ca="1"/>
        <v>3600</v>
      </c>
      <c r="CT7" s="18" t="str">
        <f ca="1"/>
        <v>0</v>
      </c>
      <c r="CV7" s="10"/>
      <c r="CX7" s="18" t="str">
        <f ca="1">IFERROR(__xludf.DUMMYFUNCTION("""COMPUTED_VALUE"""),"heat_setpoint_max")</f>
        <v>heat_setpoint_max</v>
      </c>
      <c r="CY7" s="18" t="str">
        <f ca="1"/>
        <v>0x0201</v>
      </c>
      <c r="CZ7" s="18" t="str">
        <f ca="1"/>
        <v>0x0016</v>
      </c>
      <c r="DA7" s="18" t="str">
        <f ca="1"/>
        <v>86400</v>
      </c>
      <c r="DC7" s="10"/>
      <c r="DE7" s="18" t="str">
        <f ca="1">IFERROR(__xludf.DUMMYFUNCTION("""COMPUTED_VALUE"""),"fan_state")</f>
        <v>fan_state</v>
      </c>
      <c r="DF7" s="18" t="str">
        <f ca="1">IFERROR(__xludf.DUMMYFUNCTION("""COMPUTED_VALUE"""),"0x0201")</f>
        <v>0x0201</v>
      </c>
      <c r="DG7" s="18" t="str">
        <f ca="1">IFERROR(__xludf.DUMMYFUNCTION("""COMPUTED_VALUE"""),"0xF000")</f>
        <v>0xF000</v>
      </c>
      <c r="DH7" s="18" t="str">
        <f ca="1">IFERROR(__xludf.DUMMYFUNCTION("""COMPUTED_VALUE"""),"""off""")</f>
        <v>"off"</v>
      </c>
      <c r="DI7" s="18" t="str">
        <f ca="1">IFERROR(__xludf.DUMMYFUNCTION("""COMPUTED_VALUE"""),"""low""")</f>
        <v>"low"</v>
      </c>
      <c r="DJ7" s="18" t="str">
        <f ca="1">IFERROR(__xludf.DUMMYFUNCTION("""COMPUTED_VALUE"""),"""medium""")</f>
        <v>"medium"</v>
      </c>
      <c r="DK7" s="18" t="str">
        <f ca="1">IFERROR(__xludf.DUMMYFUNCTION("""COMPUTED_VALUE"""),"""high""")</f>
        <v>"high"</v>
      </c>
      <c r="DL7" s="18" t="str">
        <f ca="1">IFERROR(__xludf.DUMMYFUNCTION("""COMPUTED_VALUE"""),"""on""")</f>
        <v>"on"</v>
      </c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</row>
    <row r="8" spans="1:174" ht="15.75" customHeight="1" x14ac:dyDescent="0.25">
      <c r="A8" s="15" t="s">
        <v>37</v>
      </c>
      <c r="B8" s="15"/>
      <c r="C8" s="15"/>
      <c r="D8" s="16"/>
      <c r="E8" s="15"/>
      <c r="F8" s="15"/>
      <c r="G8" s="15"/>
      <c r="H8" s="17" t="str">
        <f ca="1">IFERROR(__xludf.DUMMYFUNCTION("""COMPUTED_VALUE"""),"")</f>
        <v/>
      </c>
      <c r="I8" s="15" t="s">
        <v>29</v>
      </c>
      <c r="J8" s="15" t="s">
        <v>29</v>
      </c>
      <c r="K8" s="15" t="s">
        <v>29</v>
      </c>
      <c r="L8" s="15" t="s">
        <v>29</v>
      </c>
      <c r="M8" s="15" t="s">
        <v>29</v>
      </c>
      <c r="N8" s="16"/>
      <c r="O8" s="18" t="str">
        <f ca="1">IFERROR(__xludf.DUMMYFUNCTION("IF(A8="""","""",A8
&amp;"",""
&amp;HEX2DEC(VLOOKUP(A8,{'Data Model Parser'!$C$4:$C1626,'Data Model Parser'!$U$4:$U1626},2,0))
&amp;"",""
&amp;HEX2DEC(VLOOKUP(A8,{'Data Model Parser'!$C$4:$C1626,'Data Model Parser'!$V$4:$V1626},2,0))
&amp;"",""
&amp;HEX2DEC(VLOOKUP(A8,{'Data Mode"&amp;"l Parser'!$C$4:$C1626,'Data Model Parser'!$W$4:$W1626},2,0))
&amp;"",""
&amp;HEX2DEC(VLOOKUP(A8,{'Data Model Parser'!$C$4:$C1626,'Data Model Parser'!$T$4:$T1626},2,0))
&amp;"",""
&amp;HEX2DEC(VLOOKUP(A8,{'Data Model Parser'!$C$4:$C1626,'Data Model Parser'!$X$4:$X1626},2,"&amp;"0))
&amp;"",""
&amp;IFS(B8="""","""",REGEXREPLACE(B8,CHAR(34),"""")=""RH"",""0"",REGEXREPLACE(B8,CHAR(34),"""")=""dew_point"",""1"")
&amp;"",""
&amp;IF(VLOOKUP(A8,{'Data Model Parser'!$C$4:$C1626,'Data Model Parser'!$G$4:$G1626},2,0)=""polled"","",,,""&amp;VLOOKUP(A8,{'Data "&amp;"Model Parser'!$C$4:$C1626,'Data Model Parser'!$H$4:$H1626},2,0),
IF(VLOOKUP(A8,{'Data Model Parser'!$C$4:$C1626,'Data Model Parser'!$G$4:$G1626},2,0)=""reported"",
IFS(E8&lt;&gt;"""",E8&amp;"","",
E8="""",VLOOKUP(A8,{'Data Model Parser'!$C$4:$C1626,'Data Model Pars"&amp;"er'!$J$4:$J1626},2,0)&amp;"","")
&amp;IFS(F8&lt;&gt;"""",F8&amp;"","",
F8="""",VLOOKUP(A8,{'Data Model Parser'!$C$4:$C1626,'Data Model Parser'!$I$4:$I1626},2,0)&amp;"","")
&amp;IFS(G8&lt;&gt;"""",G8,
G8="""",IF(VLOOKUP(A8,{'Data Model Parser'!$C$4:$C1626,'Data Model Parser'!$K$4:$K1626}"&amp;",2,0)=""N/A"",""0"",VLOOKUP(A8,{'Data Model Parser'!$C$4:$C1626,'Data Model Parser'!$K$4:$K1626},2,0))))))"),"humidity_units,10,260,513,61547,48,,,,,86400")</f>
        <v>humidity_units,10,260,513,61547,48,,,,,86400</v>
      </c>
      <c r="P8" s="19"/>
      <c r="Q8" s="18" t="str">
        <f ca="1">IFERROR(__xludf.DUMMYFUNCTION("""COMPUTED_VALUE"""),"")</f>
        <v/>
      </c>
      <c r="R8" s="19"/>
      <c r="S8" s="20" t="str">
        <f ca="1">IFERROR(__xludf.DUMMYFUNCTION("""COMPUTED_VALUE"""),"analog_output_setting_4,10,260,513,61860,32,,,,,86400")</f>
        <v>analog_output_setting_4,10,260,513,61860,32,,,,,86400</v>
      </c>
      <c r="U8" s="18" t="str">
        <f ca="1">IFERROR(__xludf.DUMMYFUNCTION("""COMPUTED_VALUE"""),"host_filesystem_directory")</f>
        <v>host_filesystem_directory</v>
      </c>
      <c r="X8" s="18" t="str">
        <f ca="1">IFERROR(__xludf.DUMMYFUNCTION("""COMPUTED_VALUE"""),"analog_output_setting_3")</f>
        <v>analog_output_setting_3</v>
      </c>
      <c r="Y8" s="18" t="str">
        <f ca="1">IFERROR(__xludf.DUMMYFUNCTION("UNIQUE(FILTER({$DE$4:$DE1626,$DH$4:$ES1626}, $DE$4:$DE1626=A8))"),"humidity_units")</f>
        <v>humidity_units</v>
      </c>
      <c r="Z8" s="18" t="str">
        <f ca="1">IFERROR(__xludf.DUMMYFUNCTION("""COMPUTED_VALUE"""),"""RH""")</f>
        <v>"RH"</v>
      </c>
      <c r="AA8" s="18" t="str">
        <f ca="1">IFERROR(__xludf.DUMMYFUNCTION("""COMPUTED_VALUE"""),"""dew_point""")</f>
        <v>"dew_point"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 t="str">
        <f ca="1">IFERROR(__xludf.DUMMYFUNCTION("""COMPUTED_VALUE"""),"system_occ")</f>
        <v>system_occ</v>
      </c>
      <c r="BM8" s="18" t="str">
        <f ca="1">IFERROR(__xludf.DUMMYFUNCTION("""COMPUTED_VALUE"""),"0x0201")</f>
        <v>0x0201</v>
      </c>
      <c r="BN8" s="18" t="str">
        <f ca="1">IFERROR(__xludf.DUMMYFUNCTION("""COMPUTED_VALUE"""),"0x0002")</f>
        <v>0x0002</v>
      </c>
      <c r="BP8" s="10"/>
      <c r="BR8" s="18" t="str">
        <f ca="1">IFERROR(__xludf.DUMMYFUNCTION("""COMPUTED_VALUE"""),"local_temp_calibration")</f>
        <v>local_temp_calibration</v>
      </c>
      <c r="BS8" s="18" t="str">
        <f ca="1">IFERROR(__xludf.DUMMYFUNCTION("""COMPUTED_VALUE"""),"0x0201")</f>
        <v>0x0201</v>
      </c>
      <c r="BT8" s="18" t="str">
        <f ca="1">IFERROR(__xludf.DUMMYFUNCTION("""COMPUTED_VALUE"""),"0x0010")</f>
        <v>0x0010</v>
      </c>
      <c r="BU8" s="18" t="str">
        <f ca="1">IFERROR(__xludf.DUMMYFUNCTION("""COMPUTED_VALUE"""),"null")</f>
        <v>null</v>
      </c>
      <c r="BW8" s="10"/>
      <c r="BY8" s="18" t="str">
        <f ca="1">IFERROR(__xludf.DUMMYFUNCTION("""COMPUTED_VALUE"""),"local_temp_calibration")</f>
        <v>local_temp_calibration</v>
      </c>
      <c r="BZ8" s="18" t="str">
        <f ca="1">IFERROR(__xludf.DUMMYFUNCTION("""COMPUTED_VALUE"""),"0x0201")</f>
        <v>0x0201</v>
      </c>
      <c r="CA8" s="18" t="str">
        <f ca="1">IFERROR(__xludf.DUMMYFUNCTION("""COMPUTED_VALUE"""),"0x0010")</f>
        <v>0x0010</v>
      </c>
      <c r="CB8" s="18" t="str">
        <f ca="1">IFERROR(__xludf.DUMMYFUNCTION("""COMPUTED_VALUE"""),"0")</f>
        <v>0</v>
      </c>
      <c r="CC8" s="18" t="str">
        <f ca="1">IFERROR(__xludf.DUMMYFUNCTION("""COMPUTED_VALUE"""),"3600")</f>
        <v>3600</v>
      </c>
      <c r="CD8" s="18" t="str">
        <f ca="1">IFERROR(__xludf.DUMMYFUNCTION("""COMPUTED_VALUE"""),"0")</f>
        <v>0</v>
      </c>
      <c r="CF8" s="10"/>
      <c r="CH8" s="18" t="str">
        <f ca="1">IFERROR(__xludf.DUMMYFUNCTION("""COMPUTED_VALUE"""),"heat_setpoint_max")</f>
        <v>heat_setpoint_max</v>
      </c>
      <c r="CI8" s="18" t="str">
        <f ca="1">IFERROR(__xludf.DUMMYFUNCTION("""COMPUTED_VALUE"""),"0x0201")</f>
        <v>0x0201</v>
      </c>
      <c r="CJ8" s="18" t="str">
        <f ca="1">IFERROR(__xludf.DUMMYFUNCTION("""COMPUTED_VALUE"""),"0x0016")</f>
        <v>0x0016</v>
      </c>
      <c r="CK8" s="18" t="str">
        <f ca="1">IFERROR(__xludf.DUMMYFUNCTION("""COMPUTED_VALUE"""),"86400")</f>
        <v>86400</v>
      </c>
      <c r="CM8" s="10"/>
      <c r="CO8" s="18" t="str">
        <f ca="1">IFERROR(__xludf.DUMMYFUNCTION("""COMPUTED_VALUE"""),"display_temp_units")</f>
        <v>display_temp_units</v>
      </c>
      <c r="CP8" s="18" t="str">
        <f ca="1"/>
        <v>0x0201</v>
      </c>
      <c r="CQ8" s="18" t="str">
        <f ca="1"/>
        <v>0xF01F</v>
      </c>
      <c r="CR8" s="18" t="str">
        <f ca="1"/>
        <v>0</v>
      </c>
      <c r="CS8" s="18" t="str">
        <f ca="1"/>
        <v>3600</v>
      </c>
      <c r="CT8" s="18" t="str">
        <f ca="1"/>
        <v>0</v>
      </c>
      <c r="CV8" s="10"/>
      <c r="CX8" s="18" t="str">
        <f ca="1">IFERROR(__xludf.DUMMYFUNCTION("""COMPUTED_VALUE"""),"cool_setpoint_min")</f>
        <v>cool_setpoint_min</v>
      </c>
      <c r="CY8" s="18" t="str">
        <f ca="1"/>
        <v>0x0201</v>
      </c>
      <c r="CZ8" s="18" t="str">
        <f ca="1"/>
        <v>0x0017</v>
      </c>
      <c r="DA8" s="18" t="str">
        <f ca="1"/>
        <v>86400</v>
      </c>
      <c r="DC8" s="10"/>
      <c r="DE8" s="18" t="str">
        <f ca="1">IFERROR(__xludf.DUMMYFUNCTION("""COMPUTED_VALUE"""),"system_modes_available")</f>
        <v>system_modes_available</v>
      </c>
      <c r="DF8" s="18" t="str">
        <f ca="1">IFERROR(__xludf.DUMMYFUNCTION("""COMPUTED_VALUE"""),"0x0201")</f>
        <v>0x0201</v>
      </c>
      <c r="DG8" s="18" t="str">
        <f ca="1">IFERROR(__xludf.DUMMYFUNCTION("""COMPUTED_VALUE"""),"0xF01B")</f>
        <v>0xF01B</v>
      </c>
      <c r="DH8" s="18" t="str">
        <f ca="1">IFERROR(__xludf.DUMMYFUNCTION("""COMPUTED_VALUE"""),"N/A")</f>
        <v>N/A</v>
      </c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</row>
    <row r="9" spans="1:174" ht="15.75" customHeight="1" x14ac:dyDescent="0.25">
      <c r="A9" s="15" t="s">
        <v>38</v>
      </c>
      <c r="B9" s="15"/>
      <c r="C9" s="15" t="s">
        <v>39</v>
      </c>
      <c r="D9" s="16"/>
      <c r="E9" s="15"/>
      <c r="F9" s="15"/>
      <c r="G9" s="15"/>
      <c r="H9" s="17" t="str">
        <f ca="1">IFERROR(__xludf.DUMMYFUNCTION("""COMPUTED_VALUE"""),"")</f>
        <v/>
      </c>
      <c r="I9" s="15" t="s">
        <v>29</v>
      </c>
      <c r="J9" s="15" t="s">
        <v>29</v>
      </c>
      <c r="K9" s="15" t="s">
        <v>29</v>
      </c>
      <c r="L9" s="15" t="s">
        <v>29</v>
      </c>
      <c r="M9" s="15" t="s">
        <v>29</v>
      </c>
      <c r="N9" s="16"/>
      <c r="O9" s="18" t="s">
        <v>40</v>
      </c>
      <c r="P9" s="19"/>
      <c r="Q9" s="18" t="str">
        <f ca="1">IFERROR(__xludf.DUMMYFUNCTION("""COMPUTED_VALUE"""),"")</f>
        <v/>
      </c>
      <c r="R9" s="19"/>
      <c r="S9" s="20" t="str">
        <f ca="1">IFERROR(__xludf.DUMMYFUNCTION("""COMPUTED_VALUE"""),"analog_output_setting_5,10,260,513,61861,32,,,,,86400")</f>
        <v>analog_output_setting_5,10,260,513,61861,32,,,,,86400</v>
      </c>
      <c r="U9" s="18" t="str">
        <f ca="1">IFERROR(__xludf.DUMMYFUNCTION("""COMPUTED_VALUE"""),"esp_boot_count")</f>
        <v>esp_boot_count</v>
      </c>
      <c r="X9" s="18" t="str">
        <f ca="1">IFERROR(__xludf.DUMMYFUNCTION("""COMPUTED_VALUE"""),"analog_output_setting_4")</f>
        <v>analog_output_setting_4</v>
      </c>
      <c r="BL9" s="18" t="str">
        <f ca="1">IFERROR(__xludf.DUMMYFUNCTION("""COMPUTED_VALUE"""),"cool_setpoint_unocc")</f>
        <v>cool_setpoint_unocc</v>
      </c>
      <c r="BM9" s="18" t="str">
        <f ca="1">IFERROR(__xludf.DUMMYFUNCTION("""COMPUTED_VALUE"""),"0x0201")</f>
        <v>0x0201</v>
      </c>
      <c r="BN9" s="18" t="str">
        <f ca="1">IFERROR(__xludf.DUMMYFUNCTION("""COMPUTED_VALUE"""),"0x0013")</f>
        <v>0x0013</v>
      </c>
      <c r="BP9" s="10"/>
      <c r="BR9" s="18" t="str">
        <f ca="1">IFERROR(__xludf.DUMMYFUNCTION("""COMPUTED_VALUE"""),"cool_setpoint")</f>
        <v>cool_setpoint</v>
      </c>
      <c r="BS9" s="18" t="str">
        <f ca="1">IFERROR(__xludf.DUMMYFUNCTION("""COMPUTED_VALUE"""),"0x0201")</f>
        <v>0x0201</v>
      </c>
      <c r="BT9" s="18" t="str">
        <f ca="1">IFERROR(__xludf.DUMMYFUNCTION("""COMPUTED_VALUE"""),"0x0011")</f>
        <v>0x0011</v>
      </c>
      <c r="BU9" s="18" t="str">
        <f ca="1">IFERROR(__xludf.DUMMYFUNCTION("""COMPUTED_VALUE"""),"null")</f>
        <v>null</v>
      </c>
      <c r="BW9" s="10"/>
      <c r="BY9" s="18" t="str">
        <f ca="1">IFERROR(__xludf.DUMMYFUNCTION("""COMPUTED_VALUE"""),"cool_setpoint")</f>
        <v>cool_setpoint</v>
      </c>
      <c r="BZ9" s="18" t="str">
        <f ca="1">IFERROR(__xludf.DUMMYFUNCTION("""COMPUTED_VALUE"""),"0x0201")</f>
        <v>0x0201</v>
      </c>
      <c r="CA9" s="18" t="str">
        <f ca="1">IFERROR(__xludf.DUMMYFUNCTION("""COMPUTED_VALUE"""),"0x0011")</f>
        <v>0x0011</v>
      </c>
      <c r="CB9" s="18" t="str">
        <f ca="1">IFERROR(__xludf.DUMMYFUNCTION("""COMPUTED_VALUE"""),"0")</f>
        <v>0</v>
      </c>
      <c r="CC9" s="18" t="str">
        <f ca="1">IFERROR(__xludf.DUMMYFUNCTION("""COMPUTED_VALUE"""),"3600")</f>
        <v>3600</v>
      </c>
      <c r="CD9" s="18" t="str">
        <f ca="1">IFERROR(__xludf.DUMMYFUNCTION("""COMPUTED_VALUE"""),"0")</f>
        <v>0</v>
      </c>
      <c r="CF9" s="10"/>
      <c r="CH9" s="18" t="str">
        <f ca="1">IFERROR(__xludf.DUMMYFUNCTION("""COMPUTED_VALUE"""),"cool_setpoint_min")</f>
        <v>cool_setpoint_min</v>
      </c>
      <c r="CI9" s="18" t="str">
        <f ca="1">IFERROR(__xludf.DUMMYFUNCTION("""COMPUTED_VALUE"""),"0x0201")</f>
        <v>0x0201</v>
      </c>
      <c r="CJ9" s="18" t="str">
        <f ca="1">IFERROR(__xludf.DUMMYFUNCTION("""COMPUTED_VALUE"""),"0x0017")</f>
        <v>0x0017</v>
      </c>
      <c r="CK9" s="18" t="str">
        <f ca="1">IFERROR(__xludf.DUMMYFUNCTION("""COMPUTED_VALUE"""),"86400")</f>
        <v>86400</v>
      </c>
      <c r="CM9" s="10"/>
      <c r="CO9" s="18" t="str">
        <f ca="1">IFERROR(__xludf.DUMMYFUNCTION("""COMPUTED_VALUE"""),"display_setpoint")</f>
        <v>display_setpoint</v>
      </c>
      <c r="CP9" s="18" t="str">
        <f ca="1"/>
        <v>0x0201</v>
      </c>
      <c r="CQ9" s="18" t="str">
        <f ca="1"/>
        <v>0xF047</v>
      </c>
      <c r="CR9" s="18" t="str">
        <f ca="1"/>
        <v>0</v>
      </c>
      <c r="CS9" s="18" t="str">
        <f ca="1"/>
        <v>3600</v>
      </c>
      <c r="CT9" s="18" t="str">
        <f ca="1"/>
        <v>0</v>
      </c>
      <c r="CV9" s="10"/>
      <c r="CX9" s="18" t="str">
        <f ca="1">IFERROR(__xludf.DUMMYFUNCTION("""COMPUTED_VALUE"""),"cool_setpoint_max")</f>
        <v>cool_setpoint_max</v>
      </c>
      <c r="CY9" s="18" t="str">
        <f ca="1"/>
        <v>0x0201</v>
      </c>
      <c r="CZ9" s="18" t="str">
        <f ca="1"/>
        <v>0x0018</v>
      </c>
      <c r="DA9" s="18" t="str">
        <f ca="1"/>
        <v>86400</v>
      </c>
      <c r="DC9" s="10"/>
      <c r="DE9" s="18" t="str">
        <f ca="1">IFERROR(__xludf.DUMMYFUNCTION("""COMPUTED_VALUE"""),"display_temp_units")</f>
        <v>display_temp_units</v>
      </c>
      <c r="DF9" s="18" t="str">
        <f ca="1">IFERROR(__xludf.DUMMYFUNCTION("""COMPUTED_VALUE"""),"0x0201")</f>
        <v>0x0201</v>
      </c>
      <c r="DG9" s="18" t="str">
        <f ca="1">IFERROR(__xludf.DUMMYFUNCTION("""COMPUTED_VALUE"""),"0xF01F")</f>
        <v>0xF01F</v>
      </c>
      <c r="DH9" s="18" t="str">
        <f ca="1">IFERROR(__xludf.DUMMYFUNCTION("""COMPUTED_VALUE"""),"""fahrenheit""")</f>
        <v>"fahrenheit"</v>
      </c>
      <c r="DI9" s="18" t="str">
        <f ca="1">IFERROR(__xludf.DUMMYFUNCTION("""COMPUTED_VALUE"""),"""celsius""")</f>
        <v>"celsius"</v>
      </c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</row>
    <row r="10" spans="1:174" ht="15.75" customHeight="1" x14ac:dyDescent="0.25">
      <c r="A10" s="15" t="s">
        <v>41</v>
      </c>
      <c r="B10" s="15">
        <v>3</v>
      </c>
      <c r="C10" s="15" t="s">
        <v>39</v>
      </c>
      <c r="D10" s="16"/>
      <c r="E10" s="15"/>
      <c r="F10" s="15"/>
      <c r="G10" s="15"/>
      <c r="H10" s="17" t="str">
        <f ca="1">IFERROR(__xludf.DUMMYFUNCTION("""COMPUTED_VALUE"""),"x")</f>
        <v>x</v>
      </c>
      <c r="I10" s="15" t="s">
        <v>29</v>
      </c>
      <c r="J10" s="15" t="s">
        <v>29</v>
      </c>
      <c r="K10" s="15" t="s">
        <v>29</v>
      </c>
      <c r="L10" s="15" t="s">
        <v>29</v>
      </c>
      <c r="M10" s="15" t="s">
        <v>29</v>
      </c>
      <c r="N10" s="16"/>
      <c r="O10" s="18" t="s">
        <v>42</v>
      </c>
      <c r="P10" s="19"/>
      <c r="Q10" s="18" t="str">
        <f ca="1">IFERROR(__xludf.DUMMYFUNCTION("""COMPUTED_VALUE"""),"zb -a 0x0201 0xF0E8 167")</f>
        <v>zb -a 0x0201 0xF0E8 167</v>
      </c>
      <c r="R10" s="19"/>
      <c r="S10" s="20" t="str">
        <f ca="1">IFERROR(__xludf.DUMMYFUNCTION("""COMPUTED_VALUE"""),"analog_output_setting_6,10,260,513,61862,32,,,,,86400")</f>
        <v>analog_output_setting_6,10,260,513,61862,32,,,,,86400</v>
      </c>
      <c r="U10" s="18" t="str">
        <f ca="1">IFERROR(__xludf.DUMMYFUNCTION("""COMPUTED_VALUE"""),"esp_boot_count_power")</f>
        <v>esp_boot_count_power</v>
      </c>
      <c r="X10" s="18" t="str">
        <f ca="1">IFERROR(__xludf.DUMMYFUNCTION("""COMPUTED_VALUE"""),"analog_output_setting_5")</f>
        <v>analog_output_setting_5</v>
      </c>
      <c r="BL10" s="18" t="str">
        <f ca="1">IFERROR(__xludf.DUMMYFUNCTION("""COMPUTED_VALUE"""),"heat_setpoint_unocc")</f>
        <v>heat_setpoint_unocc</v>
      </c>
      <c r="BM10" s="18" t="str">
        <f ca="1">IFERROR(__xludf.DUMMYFUNCTION("""COMPUTED_VALUE"""),"0x0201")</f>
        <v>0x0201</v>
      </c>
      <c r="BN10" s="18" t="str">
        <f ca="1">IFERROR(__xludf.DUMMYFUNCTION("""COMPUTED_VALUE"""),"0x0014")</f>
        <v>0x0014</v>
      </c>
      <c r="BP10" s="10"/>
      <c r="BR10" s="18" t="str">
        <f ca="1">IFERROR(__xludf.DUMMYFUNCTION("""COMPUTED_VALUE"""),"heat_setpoint")</f>
        <v>heat_setpoint</v>
      </c>
      <c r="BS10" s="18" t="str">
        <f ca="1">IFERROR(__xludf.DUMMYFUNCTION("""COMPUTED_VALUE"""),"0x0201")</f>
        <v>0x0201</v>
      </c>
      <c r="BT10" s="18" t="str">
        <f ca="1">IFERROR(__xludf.DUMMYFUNCTION("""COMPUTED_VALUE"""),"0x0012")</f>
        <v>0x0012</v>
      </c>
      <c r="BU10" s="18" t="str">
        <f ca="1">IFERROR(__xludf.DUMMYFUNCTION("""COMPUTED_VALUE"""),"null")</f>
        <v>null</v>
      </c>
      <c r="BW10" s="10"/>
      <c r="BY10" s="18" t="str">
        <f ca="1">IFERROR(__xludf.DUMMYFUNCTION("""COMPUTED_VALUE"""),"heat_setpoint")</f>
        <v>heat_setpoint</v>
      </c>
      <c r="BZ10" s="18" t="str">
        <f ca="1">IFERROR(__xludf.DUMMYFUNCTION("""COMPUTED_VALUE"""),"0x0201")</f>
        <v>0x0201</v>
      </c>
      <c r="CA10" s="18" t="str">
        <f ca="1">IFERROR(__xludf.DUMMYFUNCTION("""COMPUTED_VALUE"""),"0x0012")</f>
        <v>0x0012</v>
      </c>
      <c r="CB10" s="18" t="str">
        <f ca="1">IFERROR(__xludf.DUMMYFUNCTION("""COMPUTED_VALUE"""),"0")</f>
        <v>0</v>
      </c>
      <c r="CC10" s="18" t="str">
        <f ca="1">IFERROR(__xludf.DUMMYFUNCTION("""COMPUTED_VALUE"""),"3600")</f>
        <v>3600</v>
      </c>
      <c r="CD10" s="18" t="str">
        <f ca="1">IFERROR(__xludf.DUMMYFUNCTION("""COMPUTED_VALUE"""),"0")</f>
        <v>0</v>
      </c>
      <c r="CF10" s="10"/>
      <c r="CH10" s="18" t="str">
        <f ca="1">IFERROR(__xludf.DUMMYFUNCTION("""COMPUTED_VALUE"""),"cool_setpoint_max")</f>
        <v>cool_setpoint_max</v>
      </c>
      <c r="CI10" s="18" t="str">
        <f ca="1">IFERROR(__xludf.DUMMYFUNCTION("""COMPUTED_VALUE"""),"0x0201")</f>
        <v>0x0201</v>
      </c>
      <c r="CJ10" s="18" t="str">
        <f ca="1">IFERROR(__xludf.DUMMYFUNCTION("""COMPUTED_VALUE"""),"0x0018")</f>
        <v>0x0018</v>
      </c>
      <c r="CK10" s="18" t="str">
        <f ca="1">IFERROR(__xludf.DUMMYFUNCTION("""COMPUTED_VALUE"""),"86400")</f>
        <v>86400</v>
      </c>
      <c r="CM10" s="10"/>
      <c r="CO10" s="18" t="str">
        <f ca="1">IFERROR(__xludf.DUMMYFUNCTION("""COMPUTED_VALUE"""),"state_variable_0")</f>
        <v>state_variable_0</v>
      </c>
      <c r="CP10" s="18" t="str">
        <f ca="1"/>
        <v>0x0201</v>
      </c>
      <c r="CQ10" s="18" t="str">
        <f ca="1"/>
        <v>0xF06E</v>
      </c>
      <c r="CR10" s="18" t="str">
        <f ca="1"/>
        <v>0</v>
      </c>
      <c r="CS10" s="18" t="str">
        <f ca="1"/>
        <v>900</v>
      </c>
      <c r="CT10" s="18" t="str">
        <f ca="1"/>
        <v>0</v>
      </c>
      <c r="CV10" s="10"/>
      <c r="CX10" s="18" t="str">
        <f ca="1">IFERROR(__xludf.DUMMYFUNCTION("""COMPUTED_VALUE"""),"modes_available")</f>
        <v>modes_available</v>
      </c>
      <c r="CY10" s="18" t="str">
        <f ca="1"/>
        <v>0x0201</v>
      </c>
      <c r="CZ10" s="18" t="str">
        <f ca="1"/>
        <v>0xF040</v>
      </c>
      <c r="DA10" s="18" t="str">
        <f ca="1"/>
        <v>86400</v>
      </c>
      <c r="DC10" s="10"/>
      <c r="DE10" s="18" t="str">
        <f ca="1">IFERROR(__xludf.DUMMYFUNCTION("""COMPUTED_VALUE"""),"modes_available")</f>
        <v>modes_available</v>
      </c>
      <c r="DF10" s="18" t="str">
        <f ca="1">IFERROR(__xludf.DUMMYFUNCTION("""COMPUTED_VALUE"""),"0x0201")</f>
        <v>0x0201</v>
      </c>
      <c r="DG10" s="18" t="str">
        <f ca="1">IFERROR(__xludf.DUMMYFUNCTION("""COMPUTED_VALUE"""),"0xF040")</f>
        <v>0xF040</v>
      </c>
      <c r="DH10" s="18" t="str">
        <f ca="1">IFERROR(__xludf.DUMMYFUNCTION("""COMPUTED_VALUE"""),"""cool_only""")</f>
        <v>"cool_only"</v>
      </c>
      <c r="DI10" s="18" t="str">
        <f ca="1">IFERROR(__xludf.DUMMYFUNCTION("""COMPUTED_VALUE"""),"""heat_only""")</f>
        <v>"heat_only"</v>
      </c>
      <c r="DJ10" s="18" t="str">
        <f ca="1">IFERROR(__xludf.DUMMYFUNCTION("""COMPUTED_VALUE"""),"""cool+heat""")</f>
        <v>"cool+heat"</v>
      </c>
      <c r="DK10" s="18" t="str">
        <f ca="1">IFERROR(__xludf.DUMMYFUNCTION("""COMPUTED_VALUE"""),"""auto""")</f>
        <v>"auto"</v>
      </c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</row>
    <row r="11" spans="1:174" ht="15.75" customHeight="1" x14ac:dyDescent="0.25">
      <c r="A11" s="15" t="s">
        <v>43</v>
      </c>
      <c r="B11" s="15"/>
      <c r="C11" s="15"/>
      <c r="D11" s="16"/>
      <c r="E11" s="15"/>
      <c r="F11" s="15"/>
      <c r="G11" s="15"/>
      <c r="H11" s="17" t="str">
        <f ca="1">IFERROR(__xludf.DUMMYFUNCTION("""COMPUTED_VALUE"""),"")</f>
        <v/>
      </c>
      <c r="I11" s="15" t="s">
        <v>29</v>
      </c>
      <c r="J11" s="15" t="s">
        <v>29</v>
      </c>
      <c r="K11" s="15" t="s">
        <v>29</v>
      </c>
      <c r="L11" s="15" t="s">
        <v>29</v>
      </c>
      <c r="M11" s="15" t="s">
        <v>29</v>
      </c>
      <c r="N11" s="16"/>
      <c r="O11" s="18" t="str">
        <f ca="1">IFERROR(__xludf.DUMMYFUNCTION("IF(A11="""","""",A11
&amp;"",""
&amp;HEX2DEC(VLOOKUP(A11,{'Data Model Parser'!$C$4:$C1626,'Data Model Parser'!$U$4:$U1626},2,0))
&amp;"",""
&amp;HEX2DEC(VLOOKUP(A11,{'Data Model Parser'!$C$4:$C1626,'Data Model Parser'!$V$4:$V1626},2,0))
&amp;"",""
&amp;HEX2DEC(VLOOKUP(A11,{'Data"&amp;" Model Parser'!$C$4:$C1626,'Data Model Parser'!$W$4:$W1626},2,0))
&amp;"",""
&amp;HEX2DEC(VLOOKUP(A11,{'Data Model Parser'!$C$4:$C1626,'Data Model Parser'!$T$4:$T1626},2,0))
&amp;"",""
&amp;HEX2DEC(VLOOKUP(A11,{'Data Model Parser'!$C$4:$C1626,'Data Model Parser'!$X$4:$X1"&amp;"626},2,0))
&amp;"",""
&amp;IFS(B11="""","""",REGEXREPLACE(B11,CHAR(34),"""")=""off"",""0"",REGEXREPLACE(B11,CHAR(34),"""")=""auto"",""1"",REGEXREPLACE(B11,CHAR(34),"""")=""cool"",""3"",REGEXREPLACE(B11,CHAR(34),"""")=""heat"",""4"")
&amp;"",""
&amp;IF(VLOOKUP(A11,{'Data "&amp;"Model Parser'!$C$4:$C1626,'Data Model Parser'!$G$4:$G1626},2,0)=""polled"","",,,""&amp;VLOOKUP(A11,{'Data Model Parser'!$C$4:$C1626,'Data Model Parser'!$H$4:$H1626},2,0),
IF(VLOOKUP(A11,{'Data Model Parser'!$C$4:$C1626,'Data Model Parser'!$G$4:$G1626},2,0)="""&amp;"reported"",
IFS(E11&lt;&gt;"""",E11&amp;"","",
E11="""",VLOOKUP(A11,{'Data Model Parser'!$C$4:$C1626,'Data Model Parser'!$J$4:$J1626},2,0)&amp;"","")
&amp;IFS(F11&lt;&gt;"""",F11&amp;"","",
F11="""",VLOOKUP(A11,{'Data Model Parser'!$C$4:$C1626,'Data Model Parser'!$I$4:$I1626},2,0)&amp;"&amp;""","")
&amp;IFS(G11&lt;&gt;"""",G11,
G11="""",IF(VLOOKUP(A11,{'Data Model Parser'!$C$4:$C1626,'Data Model Parser'!$K$4:$K1626},2,0)=""N/A"",""0"",VLOOKUP(A11,{'Data Model Parser'!$C$4:$C1626,'Data Model Parser'!$K$4:$K1626},2,0))))))"),"system_mode,10,260,513,28,48,,0,3600,0")</f>
        <v>system_mode,10,260,513,28,48,,0,3600,0</v>
      </c>
      <c r="P11" s="19"/>
      <c r="Q11" s="18" t="str">
        <f ca="1">IFERROR(__xludf.DUMMYFUNCTION("""COMPUTED_VALUE"""),"")</f>
        <v/>
      </c>
      <c r="R11" s="19"/>
      <c r="S11" s="20" t="str">
        <f ca="1">IFERROR(__xludf.DUMMYFUNCTION("""COMPUTED_VALUE"""),"analog_output_setting_7,10,260,513,61863,32,,,,,86400")</f>
        <v>analog_output_setting_7,10,260,513,61863,32,,,,,86400</v>
      </c>
      <c r="U11" s="18" t="str">
        <f ca="1">IFERROR(__xludf.DUMMYFUNCTION("""COMPUTED_VALUE"""),"esp_boot_count_brownout")</f>
        <v>esp_boot_count_brownout</v>
      </c>
      <c r="X11" s="18" t="str">
        <f ca="1">IFERROR(__xludf.DUMMYFUNCTION("""COMPUTED_VALUE"""),"analog_output_setting_6")</f>
        <v>analog_output_setting_6</v>
      </c>
      <c r="Y11" s="18" t="str">
        <f ca="1">IFERROR(__xludf.DUMMYFUNCTION("UNIQUE(FILTER({$DE$4:$DE1626,$DH$4:$ES1626}, $DE$4:$DE1626=A11))"),"system_mode")</f>
        <v>system_mode</v>
      </c>
      <c r="Z11" s="18" t="str">
        <f ca="1">IFERROR(__xludf.DUMMYFUNCTION("""COMPUTED_VALUE"""),"""off""")</f>
        <v>"off"</v>
      </c>
      <c r="AA11" s="18" t="str">
        <f ca="1">IFERROR(__xludf.DUMMYFUNCTION("""COMPUTED_VALUE"""),"""cool""")</f>
        <v>"cool"</v>
      </c>
      <c r="AB11" s="18" t="str">
        <f ca="1">IFERROR(__xludf.DUMMYFUNCTION("""COMPUTED_VALUE"""),"""heat""")</f>
        <v>"heat"</v>
      </c>
      <c r="AC11" s="18" t="str">
        <f ca="1">IFERROR(__xludf.DUMMYFUNCTION("""COMPUTED_VALUE"""),"""auto""")</f>
        <v>"auto"</v>
      </c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 t="str">
        <f ca="1">IFERROR(__xludf.DUMMYFUNCTION("""COMPUTED_VALUE"""),"running_mode")</f>
        <v>running_mode</v>
      </c>
      <c r="BM11" s="18" t="str">
        <f ca="1">IFERROR(__xludf.DUMMYFUNCTION("""COMPUTED_VALUE"""),"0x0201")</f>
        <v>0x0201</v>
      </c>
      <c r="BN11" s="18" t="str">
        <f ca="1">IFERROR(__xludf.DUMMYFUNCTION("""COMPUTED_VALUE"""),"0x001E")</f>
        <v>0x001E</v>
      </c>
      <c r="BP11" s="10"/>
      <c r="BR11" s="18" t="str">
        <f ca="1">IFERROR(__xludf.DUMMYFUNCTION("""COMPUTED_VALUE"""),"heat_setpoint_min")</f>
        <v>heat_setpoint_min</v>
      </c>
      <c r="BS11" s="18" t="str">
        <f ca="1">IFERROR(__xludf.DUMMYFUNCTION("""COMPUTED_VALUE"""),"0x0201")</f>
        <v>0x0201</v>
      </c>
      <c r="BT11" s="18" t="str">
        <f ca="1">IFERROR(__xludf.DUMMYFUNCTION("""COMPUTED_VALUE"""),"0x0015")</f>
        <v>0x0015</v>
      </c>
      <c r="BU11" s="18" t="str">
        <f ca="1">IFERROR(__xludf.DUMMYFUNCTION("""COMPUTED_VALUE"""),"15.56")</f>
        <v>15.56</v>
      </c>
      <c r="BW11" s="10"/>
      <c r="BY11" s="18" t="str">
        <f ca="1">IFERROR(__xludf.DUMMYFUNCTION("""COMPUTED_VALUE"""),"cool_setpoint_unocc")</f>
        <v>cool_setpoint_unocc</v>
      </c>
      <c r="BZ11" s="18" t="str">
        <f ca="1">IFERROR(__xludf.DUMMYFUNCTION("""COMPUTED_VALUE"""),"0x0201")</f>
        <v>0x0201</v>
      </c>
      <c r="CA11" s="18" t="str">
        <f ca="1">IFERROR(__xludf.DUMMYFUNCTION("""COMPUTED_VALUE"""),"0x0013")</f>
        <v>0x0013</v>
      </c>
      <c r="CB11" s="18" t="str">
        <f ca="1">IFERROR(__xludf.DUMMYFUNCTION("""COMPUTED_VALUE"""),"0")</f>
        <v>0</v>
      </c>
      <c r="CC11" s="18" t="str">
        <f ca="1">IFERROR(__xludf.DUMMYFUNCTION("""COMPUTED_VALUE"""),"3600")</f>
        <v>3600</v>
      </c>
      <c r="CD11" s="18" t="str">
        <f ca="1">IFERROR(__xludf.DUMMYFUNCTION("""COMPUTED_VALUE"""),"0")</f>
        <v>0</v>
      </c>
      <c r="CF11" s="10"/>
      <c r="CH11" s="18" t="str">
        <f ca="1">IFERROR(__xludf.DUMMYFUNCTION("""COMPUTED_VALUE"""),"modes_available")</f>
        <v>modes_available</v>
      </c>
      <c r="CI11" s="18" t="str">
        <f ca="1">IFERROR(__xludf.DUMMYFUNCTION("""COMPUTED_VALUE"""),"0x0201")</f>
        <v>0x0201</v>
      </c>
      <c r="CJ11" s="18" t="str">
        <f ca="1">IFERROR(__xludf.DUMMYFUNCTION("""COMPUTED_VALUE"""),"0xF040")</f>
        <v>0xF040</v>
      </c>
      <c r="CK11" s="18" t="str">
        <f ca="1">IFERROR(__xludf.DUMMYFUNCTION("""COMPUTED_VALUE"""),"86400")</f>
        <v>86400</v>
      </c>
      <c r="CM11" s="10"/>
      <c r="CO11" s="18" t="str">
        <f ca="1">IFERROR(__xludf.DUMMYFUNCTION("""COMPUTED_VALUE"""),"state_variable_1")</f>
        <v>state_variable_1</v>
      </c>
      <c r="CP11" s="18" t="str">
        <f ca="1"/>
        <v>0x0201</v>
      </c>
      <c r="CQ11" s="18" t="str">
        <f ca="1"/>
        <v>0xF06F</v>
      </c>
      <c r="CR11" s="18" t="str">
        <f ca="1"/>
        <v>0</v>
      </c>
      <c r="CS11" s="18" t="str">
        <f ca="1"/>
        <v>900</v>
      </c>
      <c r="CT11" s="18" t="str">
        <f ca="1"/>
        <v>0</v>
      </c>
      <c r="CV11" s="10"/>
      <c r="CX11" s="18" t="str">
        <f ca="1">IFERROR(__xludf.DUMMYFUNCTION("""COMPUTED_VALUE"""),"cool_drive_min")</f>
        <v>cool_drive_min</v>
      </c>
      <c r="CY11" s="18" t="str">
        <f ca="1"/>
        <v>0x0201</v>
      </c>
      <c r="CZ11" s="18" t="str">
        <f ca="1"/>
        <v>0xF041</v>
      </c>
      <c r="DA11" s="18" t="str">
        <f ca="1"/>
        <v>86400</v>
      </c>
      <c r="DC11" s="10"/>
      <c r="DE11" s="18" t="str">
        <f ca="1">IFERROR(__xludf.DUMMYFUNCTION("""COMPUTED_VALUE"""),"thermo_speed_override")</f>
        <v>thermo_speed_override</v>
      </c>
      <c r="DF11" s="18" t="str">
        <f ca="1">IFERROR(__xludf.DUMMYFUNCTION("""COMPUTED_VALUE"""),"0x0201")</f>
        <v>0x0201</v>
      </c>
      <c r="DG11" s="18" t="str">
        <f ca="1">IFERROR(__xludf.DUMMYFUNCTION("""COMPUTED_VALUE"""),"0xF04A")</f>
        <v>0xF04A</v>
      </c>
      <c r="DH11" s="18" t="str">
        <f ca="1">IFERROR(__xludf.DUMMYFUNCTION("""COMPUTED_VALUE"""),"""normal""")</f>
        <v>"normal"</v>
      </c>
      <c r="DI11" s="18" t="str">
        <f ca="1">IFERROR(__xludf.DUMMYFUNCTION("""COMPUTED_VALUE"""),"""low""")</f>
        <v>"low"</v>
      </c>
      <c r="DJ11" s="18" t="str">
        <f ca="1">IFERROR(__xludf.DUMMYFUNCTION("""COMPUTED_VALUE"""),"""medium""")</f>
        <v>"medium"</v>
      </c>
      <c r="DK11" s="18" t="str">
        <f ca="1">IFERROR(__xludf.DUMMYFUNCTION("""COMPUTED_VALUE"""),"""high""")</f>
        <v>"high"</v>
      </c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</row>
    <row r="12" spans="1:174" ht="15.75" customHeight="1" x14ac:dyDescent="0.25">
      <c r="A12" s="15" t="s">
        <v>44</v>
      </c>
      <c r="B12" s="15">
        <v>30</v>
      </c>
      <c r="C12" s="15" t="s">
        <v>45</v>
      </c>
      <c r="D12" s="16"/>
      <c r="E12" s="15"/>
      <c r="F12" s="15"/>
      <c r="G12" s="15"/>
      <c r="H12" s="17" t="str">
        <f ca="1">IFERROR(__xludf.DUMMYFUNCTION("""COMPUTED_VALUE"""),"x")</f>
        <v>x</v>
      </c>
      <c r="I12" s="15" t="s">
        <v>29</v>
      </c>
      <c r="J12" s="15" t="s">
        <v>29</v>
      </c>
      <c r="K12" s="15" t="s">
        <v>29</v>
      </c>
      <c r="L12" s="15" t="s">
        <v>29</v>
      </c>
      <c r="M12" s="15" t="s">
        <v>29</v>
      </c>
      <c r="N12" s="16"/>
      <c r="O12" s="18" t="s">
        <v>46</v>
      </c>
      <c r="P12" s="19"/>
      <c r="Q12" s="18" t="str">
        <f ca="1">IFERROR(__xludf.DUMMYFUNCTION("""COMPUTED_VALUE"""),"zb -a 0x0201 0xF04B 30")</f>
        <v>zb -a 0x0201 0xF04B 30</v>
      </c>
      <c r="R12" s="19"/>
      <c r="S12" s="20" t="str">
        <f ca="1">IFERROR(__xludf.DUMMYFUNCTION("""COMPUTED_VALUE"""),"aquastat_applied_mode,10,260,513,61610,48,,0,3600,0")</f>
        <v>aquastat_applied_mode,10,260,513,61610,48,,0,3600,0</v>
      </c>
      <c r="U12" s="18" t="str">
        <f ca="1">IFERROR(__xludf.DUMMYFUNCTION("""COMPUTED_VALUE"""),"esp_boot_count_watchdog")</f>
        <v>esp_boot_count_watchdog</v>
      </c>
      <c r="X12" s="18" t="str">
        <f ca="1">IFERROR(__xludf.DUMMYFUNCTION("""COMPUTED_VALUE"""),"analog_output_setting_7")</f>
        <v>analog_output_setting_7</v>
      </c>
      <c r="BL12" s="18" t="str">
        <f ca="1">IFERROR(__xludf.DUMMYFUNCTION("""COMPUTED_VALUE"""),"fan_state")</f>
        <v>fan_state</v>
      </c>
      <c r="BM12" s="18" t="str">
        <f ca="1">IFERROR(__xludf.DUMMYFUNCTION("""COMPUTED_VALUE"""),"0x0201")</f>
        <v>0x0201</v>
      </c>
      <c r="BN12" s="18" t="str">
        <f ca="1">IFERROR(__xludf.DUMMYFUNCTION("""COMPUTED_VALUE"""),"0xF000")</f>
        <v>0xF000</v>
      </c>
      <c r="BP12" s="10"/>
      <c r="BR12" s="18" t="str">
        <f ca="1">IFERROR(__xludf.DUMMYFUNCTION("""COMPUTED_VALUE"""),"heat_setpoint_max")</f>
        <v>heat_setpoint_max</v>
      </c>
      <c r="BS12" s="18" t="str">
        <f ca="1">IFERROR(__xludf.DUMMYFUNCTION("""COMPUTED_VALUE"""),"0x0201")</f>
        <v>0x0201</v>
      </c>
      <c r="BT12" s="18" t="str">
        <f ca="1">IFERROR(__xludf.DUMMYFUNCTION("""COMPUTED_VALUE"""),"0x0016")</f>
        <v>0x0016</v>
      </c>
      <c r="BU12" s="18" t="str">
        <f ca="1">IFERROR(__xludf.DUMMYFUNCTION("""COMPUTED_VALUE"""),"26.67")</f>
        <v>26.67</v>
      </c>
      <c r="BW12" s="10"/>
      <c r="BY12" s="18" t="str">
        <f ca="1">IFERROR(__xludf.DUMMYFUNCTION("""COMPUTED_VALUE"""),"heat_setpoint_unocc")</f>
        <v>heat_setpoint_unocc</v>
      </c>
      <c r="BZ12" s="18" t="str">
        <f ca="1">IFERROR(__xludf.DUMMYFUNCTION("""COMPUTED_VALUE"""),"0x0201")</f>
        <v>0x0201</v>
      </c>
      <c r="CA12" s="18" t="str">
        <f ca="1">IFERROR(__xludf.DUMMYFUNCTION("""COMPUTED_VALUE"""),"0x0014")</f>
        <v>0x0014</v>
      </c>
      <c r="CB12" s="18" t="str">
        <f ca="1">IFERROR(__xludf.DUMMYFUNCTION("""COMPUTED_VALUE"""),"0")</f>
        <v>0</v>
      </c>
      <c r="CC12" s="18" t="str">
        <f ca="1">IFERROR(__xludf.DUMMYFUNCTION("""COMPUTED_VALUE"""),"3600")</f>
        <v>3600</v>
      </c>
      <c r="CD12" s="18" t="str">
        <f ca="1">IFERROR(__xludf.DUMMYFUNCTION("""COMPUTED_VALUE"""),"0")</f>
        <v>0</v>
      </c>
      <c r="CF12" s="10"/>
      <c r="CH12" s="18" t="str">
        <f ca="1">IFERROR(__xludf.DUMMYFUNCTION("""COMPUTED_VALUE"""),"cool_drive_min")</f>
        <v>cool_drive_min</v>
      </c>
      <c r="CI12" s="18" t="str">
        <f ca="1">IFERROR(__xludf.DUMMYFUNCTION("""COMPUTED_VALUE"""),"0x0201")</f>
        <v>0x0201</v>
      </c>
      <c r="CJ12" s="18" t="str">
        <f ca="1">IFERROR(__xludf.DUMMYFUNCTION("""COMPUTED_VALUE"""),"0xF041")</f>
        <v>0xF041</v>
      </c>
      <c r="CK12" s="18" t="str">
        <f ca="1">IFERROR(__xludf.DUMMYFUNCTION("""COMPUTED_VALUE"""),"86400")</f>
        <v>86400</v>
      </c>
      <c r="CM12" s="10"/>
      <c r="CO12" s="18" t="str">
        <f ca="1">IFERROR(__xludf.DUMMYFUNCTION("""COMPUTED_VALUE"""),"state_variable_2")</f>
        <v>state_variable_2</v>
      </c>
      <c r="CP12" s="18" t="str">
        <f ca="1"/>
        <v>0x0201</v>
      </c>
      <c r="CQ12" s="18" t="str">
        <f ca="1"/>
        <v>0xF070</v>
      </c>
      <c r="CR12" s="18" t="str">
        <f ca="1"/>
        <v>0</v>
      </c>
      <c r="CS12" s="18" t="str">
        <f ca="1"/>
        <v>900</v>
      </c>
      <c r="CT12" s="18" t="str">
        <f ca="1"/>
        <v>0</v>
      </c>
      <c r="CV12" s="10"/>
      <c r="CX12" s="18" t="str">
        <f ca="1">IFERROR(__xludf.DUMMYFUNCTION("""COMPUTED_VALUE"""),"heat_drive_max")</f>
        <v>heat_drive_max</v>
      </c>
      <c r="CY12" s="18" t="str">
        <f ca="1"/>
        <v>0x0201</v>
      </c>
      <c r="CZ12" s="18" t="str">
        <f ca="1"/>
        <v>0xF042</v>
      </c>
      <c r="DA12" s="18" t="str">
        <f ca="1"/>
        <v>86400</v>
      </c>
      <c r="DC12" s="10"/>
      <c r="DE12" s="18" t="str">
        <f ca="1">IFERROR(__xludf.DUMMYFUNCTION("""COMPUTED_VALUE"""),"primary_temp_sensor")</f>
        <v>primary_temp_sensor</v>
      </c>
      <c r="DF12" s="18" t="str">
        <f ca="1">IFERROR(__xludf.DUMMYFUNCTION("""COMPUTED_VALUE"""),"0x0201")</f>
        <v>0x0201</v>
      </c>
      <c r="DG12" s="18" t="str">
        <f ca="1">IFERROR(__xludf.DUMMYFUNCTION("""COMPUTED_VALUE"""),"0xF04F")</f>
        <v>0xF04F</v>
      </c>
      <c r="DH12" s="18" t="str">
        <f ca="1">IFERROR(__xludf.DUMMYFUNCTION("""COMPUTED_VALUE"""),"""remote_device_0""")</f>
        <v>"remote_device_0"</v>
      </c>
      <c r="DI12" s="18" t="str">
        <f ca="1">IFERROR(__xludf.DUMMYFUNCTION("""COMPUTED_VALUE"""),"""remote_device_1""")</f>
        <v>"remote_device_1"</v>
      </c>
      <c r="DJ12" s="18" t="str">
        <f ca="1">IFERROR(__xludf.DUMMYFUNCTION("""COMPUTED_VALUE"""),"""remote_device_2""")</f>
        <v>"remote_device_2"</v>
      </c>
      <c r="DK12" s="18" t="str">
        <f ca="1">IFERROR(__xludf.DUMMYFUNCTION("""COMPUTED_VALUE"""),"""remote_device_3""")</f>
        <v>"remote_device_3"</v>
      </c>
      <c r="DL12" s="18" t="str">
        <f ca="1">IFERROR(__xludf.DUMMYFUNCTION("""COMPUTED_VALUE"""),"""remote_device_4""")</f>
        <v>"remote_device_4"</v>
      </c>
      <c r="DM12" s="18" t="str">
        <f ca="1">IFERROR(__xludf.DUMMYFUNCTION("""COMPUTED_VALUE"""),"""remote_device_5""")</f>
        <v>"remote_device_5"</v>
      </c>
      <c r="DN12" s="18" t="str">
        <f ca="1">IFERROR(__xludf.DUMMYFUNCTION("""COMPUTED_VALUE"""),"""remote_device_6""")</f>
        <v>"remote_device_6"</v>
      </c>
      <c r="DO12" s="18" t="str">
        <f ca="1">IFERROR(__xludf.DUMMYFUNCTION("""COMPUTED_VALUE"""),"""remote_device_7""")</f>
        <v>"remote_device_7"</v>
      </c>
      <c r="DP12" s="18" t="str">
        <f ca="1">IFERROR(__xludf.DUMMYFUNCTION("""COMPUTED_VALUE"""),"""remote_device_8""")</f>
        <v>"remote_device_8"</v>
      </c>
      <c r="DQ12" s="18" t="str">
        <f ca="1">IFERROR(__xludf.DUMMYFUNCTION("""COMPUTED_VALUE"""),"""remote_device_9""")</f>
        <v>"remote_device_9"</v>
      </c>
      <c r="DR12" s="18" t="str">
        <f ca="1">IFERROR(__xludf.DUMMYFUNCTION("""COMPUTED_VALUE"""),"""remote_device_10""")</f>
        <v>"remote_device_10"</v>
      </c>
      <c r="DS12" s="18" t="str">
        <f ca="1">IFERROR(__xludf.DUMMYFUNCTION("""COMPUTED_VALUE"""),"""remote_device_11""")</f>
        <v>"remote_device_11"</v>
      </c>
      <c r="DT12" s="18" t="str">
        <f ca="1">IFERROR(__xludf.DUMMYFUNCTION("""COMPUTED_VALUE"""),"""remote_device_12""")</f>
        <v>"remote_device_12"</v>
      </c>
      <c r="DU12" s="18" t="str">
        <f ca="1">IFERROR(__xludf.DUMMYFUNCTION("""COMPUTED_VALUE"""),"""remote_device_13""")</f>
        <v>"remote_device_13"</v>
      </c>
      <c r="DV12" s="18" t="str">
        <f ca="1">IFERROR(__xludf.DUMMYFUNCTION("""COMPUTED_VALUE"""),"""remote_device_14""")</f>
        <v>"remote_device_14"</v>
      </c>
      <c r="DW12" s="18" t="str">
        <f ca="1">IFERROR(__xludf.DUMMYFUNCTION("""COMPUTED_VALUE"""),"""remote_device_15""")</f>
        <v>"remote_device_15"</v>
      </c>
      <c r="DX12" s="18" t="str">
        <f ca="1">IFERROR(__xludf.DUMMYFUNCTION("""COMPUTED_VALUE"""),"""remote_device_16""")</f>
        <v>"remote_device_16"</v>
      </c>
      <c r="DY12" s="18" t="str">
        <f ca="1">IFERROR(__xludf.DUMMYFUNCTION("""COMPUTED_VALUE"""),"""remote_device_17""")</f>
        <v>"remote_device_17"</v>
      </c>
      <c r="DZ12" s="18" t="str">
        <f ca="1">IFERROR(__xludf.DUMMYFUNCTION("""COMPUTED_VALUE"""),"""remote_device_18""")</f>
        <v>"remote_device_18"</v>
      </c>
      <c r="EA12" s="18" t="str">
        <f ca="1">IFERROR(__xludf.DUMMYFUNCTION("""COMPUTED_VALUE"""),"""remote_device_19""")</f>
        <v>"remote_device_19"</v>
      </c>
      <c r="EB12" s="18" t="str">
        <f ca="1">IFERROR(__xludf.DUMMYFUNCTION("""COMPUTED_VALUE"""),"""remote_device_20""")</f>
        <v>"remote_device_20"</v>
      </c>
      <c r="EC12" s="18" t="str">
        <f ca="1">IFERROR(__xludf.DUMMYFUNCTION("""COMPUTED_VALUE"""),"""remote_device_21""")</f>
        <v>"remote_device_21"</v>
      </c>
      <c r="ED12" s="18" t="str">
        <f ca="1">IFERROR(__xludf.DUMMYFUNCTION("""COMPUTED_VALUE"""),"""remote_device_22""")</f>
        <v>"remote_device_22"</v>
      </c>
      <c r="EE12" s="18" t="str">
        <f ca="1">IFERROR(__xludf.DUMMYFUNCTION("""COMPUTED_VALUE"""),"""remote_device_23""")</f>
        <v>"remote_device_23"</v>
      </c>
      <c r="EF12" s="18" t="str">
        <f ca="1">IFERROR(__xludf.DUMMYFUNCTION("""COMPUTED_VALUE"""),"""remote_device_24""")</f>
        <v>"remote_device_24"</v>
      </c>
      <c r="EG12" s="18" t="str">
        <f ca="1">IFERROR(__xludf.DUMMYFUNCTION("""COMPUTED_VALUE"""),"""remote_device_25""")</f>
        <v>"remote_device_25"</v>
      </c>
      <c r="EH12" s="18" t="str">
        <f ca="1">IFERROR(__xludf.DUMMYFUNCTION("""COMPUTED_VALUE"""),"""remote_device_26""")</f>
        <v>"remote_device_26"</v>
      </c>
      <c r="EI12" s="18" t="str">
        <f ca="1">IFERROR(__xludf.DUMMYFUNCTION("""COMPUTED_VALUE"""),"""remote_device_27""")</f>
        <v>"remote_device_27"</v>
      </c>
      <c r="EJ12" s="18" t="str">
        <f ca="1">IFERROR(__xludf.DUMMYFUNCTION("""COMPUTED_VALUE"""),"""remote_device_28""")</f>
        <v>"remote_device_28"</v>
      </c>
      <c r="EK12" s="18" t="str">
        <f ca="1">IFERROR(__xludf.DUMMYFUNCTION("""COMPUTED_VALUE"""),"""remote_device_29""")</f>
        <v>"remote_device_29"</v>
      </c>
      <c r="EL12" s="18" t="str">
        <f ca="1">IFERROR(__xludf.DUMMYFUNCTION("""COMPUTED_VALUE"""),"""remote_device_30""")</f>
        <v>"remote_device_30"</v>
      </c>
      <c r="EM12" s="18" t="str">
        <f ca="1">IFERROR(__xludf.DUMMYFUNCTION("""COMPUTED_VALUE"""),"""remote_device_31""")</f>
        <v>"remote_device_31"</v>
      </c>
      <c r="EN12" s="18" t="str">
        <f ca="1">IFERROR(__xludf.DUMMYFUNCTION("""COMPUTED_VALUE"""),"""local_internal_sensor""")</f>
        <v>"local_internal_sensor"</v>
      </c>
      <c r="EO12" s="18" t="str">
        <f ca="1">IFERROR(__xludf.DUMMYFUNCTION("""COMPUTED_VALUE"""),"""local_external_sensor_1""")</f>
        <v>"local_external_sensor_1"</v>
      </c>
      <c r="EP12" s="18" t="str">
        <f ca="1">IFERROR(__xludf.DUMMYFUNCTION("""COMPUTED_VALUE"""),"""local_external_sensor_2""")</f>
        <v>"local_external_sensor_2"</v>
      </c>
      <c r="EQ12" s="18" t="str">
        <f ca="1">IFERROR(__xludf.DUMMYFUNCTION("""COMPUTED_VALUE"""),"""local_external_sensor_3""")</f>
        <v>"local_external_sensor_3"</v>
      </c>
      <c r="ER12" s="18" t="str">
        <f ca="1">IFERROR(__xludf.DUMMYFUNCTION("""COMPUTED_VALUE"""),"""local_external_sensor_4""")</f>
        <v>"local_external_sensor_4"</v>
      </c>
      <c r="ES12" s="18" t="str">
        <f ca="1">IFERROR(__xludf.DUMMYFUNCTION("""COMPUTED_VALUE"""),"""none""")</f>
        <v>"none"</v>
      </c>
    </row>
    <row r="13" spans="1:174" ht="15.75" customHeight="1" x14ac:dyDescent="0.25">
      <c r="A13" s="15" t="s">
        <v>47</v>
      </c>
      <c r="B13" s="15">
        <v>65535</v>
      </c>
      <c r="C13" s="15" t="s">
        <v>45</v>
      </c>
      <c r="D13" s="16"/>
      <c r="E13" s="15"/>
      <c r="F13" s="15"/>
      <c r="G13" s="15"/>
      <c r="H13" s="17" t="str">
        <f ca="1">IFERROR(__xludf.DUMMYFUNCTION("""COMPUTED_VALUE"""),"x")</f>
        <v>x</v>
      </c>
      <c r="I13" s="15" t="s">
        <v>29</v>
      </c>
      <c r="J13" s="15" t="s">
        <v>29</v>
      </c>
      <c r="K13" s="15" t="s">
        <v>29</v>
      </c>
      <c r="L13" s="15" t="s">
        <v>29</v>
      </c>
      <c r="M13" s="15" t="s">
        <v>29</v>
      </c>
      <c r="N13" s="16"/>
      <c r="O13" s="18" t="s">
        <v>48</v>
      </c>
      <c r="P13" s="19"/>
      <c r="Q13" s="18" t="str">
        <f ca="1">IFERROR(__xludf.DUMMYFUNCTION("""COMPUTED_VALUE"""),"zb -a 0x0201 0xF100 65535")</f>
        <v>zb -a 0x0201 0xF100 65535</v>
      </c>
      <c r="R13" s="19"/>
      <c r="S13" s="20" t="str">
        <f ca="1">IFERROR(__xludf.DUMMYFUNCTION("""COMPUTED_VALUE"""),"aquastat_changeover_min_period,10,260,513,61604,33,240,,,,86400")</f>
        <v>aquastat_changeover_min_period,10,260,513,61604,33,240,,,,86400</v>
      </c>
      <c r="U13" s="18" t="str">
        <f ca="1">IFERROR(__xludf.DUMMYFUNCTION("""COMPUTED_VALUE"""),"esp_boot_count_wifi")</f>
        <v>esp_boot_count_wifi</v>
      </c>
      <c r="X13" s="18" t="str">
        <f ca="1">IFERROR(__xludf.DUMMYFUNCTION("""COMPUTED_VALUE"""),"aquastat_applied_mode")</f>
        <v>aquastat_applied_mode</v>
      </c>
      <c r="BL13" s="18" t="str">
        <f ca="1">IFERROR(__xludf.DUMMYFUNCTION("""COMPUTED_VALUE"""),"system_modes_available")</f>
        <v>system_modes_available</v>
      </c>
      <c r="BM13" s="18" t="str">
        <f ca="1">IFERROR(__xludf.DUMMYFUNCTION("""COMPUTED_VALUE"""),"0x0201")</f>
        <v>0x0201</v>
      </c>
      <c r="BN13" s="18" t="str">
        <f ca="1">IFERROR(__xludf.DUMMYFUNCTION("""COMPUTED_VALUE"""),"0xF01B")</f>
        <v>0xF01B</v>
      </c>
      <c r="BP13" s="10"/>
      <c r="BR13" s="18" t="str">
        <f ca="1">IFERROR(__xludf.DUMMYFUNCTION("""COMPUTED_VALUE"""),"cool_setpoint_min")</f>
        <v>cool_setpoint_min</v>
      </c>
      <c r="BS13" s="18" t="str">
        <f ca="1">IFERROR(__xludf.DUMMYFUNCTION("""COMPUTED_VALUE"""),"0x0201")</f>
        <v>0x0201</v>
      </c>
      <c r="BT13" s="18" t="str">
        <f ca="1">IFERROR(__xludf.DUMMYFUNCTION("""COMPUTED_VALUE"""),"0x0017")</f>
        <v>0x0017</v>
      </c>
      <c r="BU13" s="18" t="str">
        <f ca="1">IFERROR(__xludf.DUMMYFUNCTION("""COMPUTED_VALUE"""),"21.11")</f>
        <v>21.11</v>
      </c>
      <c r="BW13" s="10"/>
      <c r="BY13" s="18" t="str">
        <f ca="1">IFERROR(__xludf.DUMMYFUNCTION("""COMPUTED_VALUE"""),"system_mode")</f>
        <v>system_mode</v>
      </c>
      <c r="BZ13" s="18" t="str">
        <f ca="1">IFERROR(__xludf.DUMMYFUNCTION("""COMPUTED_VALUE"""),"0x0201")</f>
        <v>0x0201</v>
      </c>
      <c r="CA13" s="18" t="str">
        <f ca="1">IFERROR(__xludf.DUMMYFUNCTION("""COMPUTED_VALUE"""),"0x001C")</f>
        <v>0x001C</v>
      </c>
      <c r="CB13" s="18" t="str">
        <f ca="1">IFERROR(__xludf.DUMMYFUNCTION("""COMPUTED_VALUE"""),"0")</f>
        <v>0</v>
      </c>
      <c r="CC13" s="18" t="str">
        <f ca="1">IFERROR(__xludf.DUMMYFUNCTION("""COMPUTED_VALUE"""),"3600")</f>
        <v>3600</v>
      </c>
      <c r="CD13" s="18" t="str">
        <f ca="1">IFERROR(__xludf.DUMMYFUNCTION("""COMPUTED_VALUE"""),"0")</f>
        <v>0</v>
      </c>
      <c r="CF13" s="10"/>
      <c r="CH13" s="18" t="str">
        <f ca="1">IFERROR(__xludf.DUMMYFUNCTION("""COMPUTED_VALUE"""),"heat_drive_max")</f>
        <v>heat_drive_max</v>
      </c>
      <c r="CI13" s="18" t="str">
        <f ca="1">IFERROR(__xludf.DUMMYFUNCTION("""COMPUTED_VALUE"""),"0x0201")</f>
        <v>0x0201</v>
      </c>
      <c r="CJ13" s="18" t="str">
        <f ca="1">IFERROR(__xludf.DUMMYFUNCTION("""COMPUTED_VALUE"""),"0xF042")</f>
        <v>0xF042</v>
      </c>
      <c r="CK13" s="18" t="str">
        <f ca="1">IFERROR(__xludf.DUMMYFUNCTION("""COMPUTED_VALUE"""),"86400")</f>
        <v>86400</v>
      </c>
      <c r="CM13" s="10"/>
      <c r="CO13" s="18" t="str">
        <f ca="1">IFERROR(__xludf.DUMMYFUNCTION("""COMPUTED_VALUE"""),"state_variable_3")</f>
        <v>state_variable_3</v>
      </c>
      <c r="CP13" s="18" t="str">
        <f ca="1"/>
        <v>0x0201</v>
      </c>
      <c r="CQ13" s="18" t="str">
        <f ca="1"/>
        <v>0xF071</v>
      </c>
      <c r="CR13" s="18" t="str">
        <f ca="1"/>
        <v>0</v>
      </c>
      <c r="CS13" s="18" t="str">
        <f ca="1"/>
        <v>900</v>
      </c>
      <c r="CT13" s="18" t="str">
        <f ca="1"/>
        <v>0</v>
      </c>
      <c r="CV13" s="10"/>
      <c r="CX13" s="18" t="str">
        <f ca="1">IFERROR(__xludf.DUMMYFUNCTION("""COMPUTED_VALUE"""),"setback_min")</f>
        <v>setback_min</v>
      </c>
      <c r="CY13" s="18" t="str">
        <f ca="1"/>
        <v>0x0201</v>
      </c>
      <c r="CZ13" s="18" t="str">
        <f ca="1"/>
        <v>0xF043</v>
      </c>
      <c r="DA13" s="18" t="str">
        <f ca="1"/>
        <v>86400</v>
      </c>
      <c r="DC13" s="10"/>
      <c r="DE13" s="18" t="str">
        <f ca="1">IFERROR(__xludf.DUMMYFUNCTION("""COMPUTED_VALUE"""),"thermo_speed")</f>
        <v>thermo_speed</v>
      </c>
      <c r="DF13" s="18" t="str">
        <f ca="1">IFERROR(__xludf.DUMMYFUNCTION("""COMPUTED_VALUE"""),"0x0201")</f>
        <v>0x0201</v>
      </c>
      <c r="DG13" s="18" t="str">
        <f ca="1">IFERROR(__xludf.DUMMYFUNCTION("""COMPUTED_VALUE"""),"0xF055")</f>
        <v>0xF055</v>
      </c>
      <c r="DH13" s="18" t="str">
        <f ca="1">IFERROR(__xludf.DUMMYFUNCTION("""COMPUTED_VALUE"""),"""off""")</f>
        <v>"off"</v>
      </c>
      <c r="DI13" s="18" t="str">
        <f ca="1">IFERROR(__xludf.DUMMYFUNCTION("""COMPUTED_VALUE"""),"""low""")</f>
        <v>"low"</v>
      </c>
      <c r="DJ13" s="18" t="str">
        <f ca="1">IFERROR(__xludf.DUMMYFUNCTION("""COMPUTED_VALUE"""),"""medium""")</f>
        <v>"medium"</v>
      </c>
      <c r="DK13" s="18" t="str">
        <f ca="1">IFERROR(__xludf.DUMMYFUNCTION("""COMPUTED_VALUE"""),"""high""")</f>
        <v>"high"</v>
      </c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</row>
    <row r="14" spans="1:174" ht="15.75" customHeight="1" x14ac:dyDescent="0.25">
      <c r="A14" s="15" t="s">
        <v>49</v>
      </c>
      <c r="B14" s="15"/>
      <c r="C14" s="15" t="s">
        <v>45</v>
      </c>
      <c r="D14" s="16"/>
      <c r="E14" s="15"/>
      <c r="F14" s="15"/>
      <c r="G14" s="15"/>
      <c r="H14" s="17" t="str">
        <f ca="1">IFERROR(__xludf.DUMMYFUNCTION("""COMPUTED_VALUE"""),"")</f>
        <v/>
      </c>
      <c r="I14" s="15" t="s">
        <v>29</v>
      </c>
      <c r="J14" s="15" t="s">
        <v>29</v>
      </c>
      <c r="K14" s="15" t="s">
        <v>29</v>
      </c>
      <c r="L14" s="15" t="s">
        <v>29</v>
      </c>
      <c r="M14" s="15" t="s">
        <v>29</v>
      </c>
      <c r="N14" s="16"/>
      <c r="O14" s="18" t="s">
        <v>50</v>
      </c>
      <c r="P14" s="19"/>
      <c r="Q14" s="18" t="str">
        <f ca="1">IFERROR(__xludf.DUMMYFUNCTION("""COMPUTED_VALUE"""),"")</f>
        <v/>
      </c>
      <c r="R14" s="19"/>
      <c r="S14" s="20" t="str">
        <f ca="1">IFERROR(__xludf.DUMMYFUNCTION("""COMPUTED_VALUE"""),"aquastat_chilled_changeover_mode,10,260,513,61607,48,,,,,86400")</f>
        <v>aquastat_chilled_changeover_mode,10,260,513,61607,48,,,,,86400</v>
      </c>
      <c r="X14" s="18" t="str">
        <f ca="1">IFERROR(__xludf.DUMMYFUNCTION("""COMPUTED_VALUE"""),"aquastat_changeover_min_period")</f>
        <v>aquastat_changeover_min_period</v>
      </c>
      <c r="BL14" s="18" t="str">
        <f ca="1">IFERROR(__xludf.DUMMYFUNCTION("""COMPUTED_VALUE"""),"temp_sensors_online")</f>
        <v>temp_sensors_online</v>
      </c>
      <c r="BM14" s="18" t="str">
        <f ca="1">IFERROR(__xludf.DUMMYFUNCTION("""COMPUTED_VALUE"""),"0x0201")</f>
        <v>0x0201</v>
      </c>
      <c r="BN14" s="18" t="str">
        <f ca="1">IFERROR(__xludf.DUMMYFUNCTION("""COMPUTED_VALUE"""),"0xF052")</f>
        <v>0xF052</v>
      </c>
      <c r="BP14" s="10"/>
      <c r="BR14" s="18" t="str">
        <f ca="1">IFERROR(__xludf.DUMMYFUNCTION("""COMPUTED_VALUE"""),"cool_setpoint_max")</f>
        <v>cool_setpoint_max</v>
      </c>
      <c r="BS14" s="18" t="str">
        <f ca="1">IFERROR(__xludf.DUMMYFUNCTION("""COMPUTED_VALUE"""),"0x0201")</f>
        <v>0x0201</v>
      </c>
      <c r="BT14" s="18" t="str">
        <f ca="1">IFERROR(__xludf.DUMMYFUNCTION("""COMPUTED_VALUE"""),"0x0018")</f>
        <v>0x0018</v>
      </c>
      <c r="BU14" s="18" t="str">
        <f ca="1">IFERROR(__xludf.DUMMYFUNCTION("""COMPUTED_VALUE"""),"26.67")</f>
        <v>26.67</v>
      </c>
      <c r="BW14" s="10"/>
      <c r="BY14" s="18" t="str">
        <f ca="1">IFERROR(__xludf.DUMMYFUNCTION("""COMPUTED_VALUE"""),"running_mode")</f>
        <v>running_mode</v>
      </c>
      <c r="BZ14" s="18" t="str">
        <f ca="1">IFERROR(__xludf.DUMMYFUNCTION("""COMPUTED_VALUE"""),"0x0201")</f>
        <v>0x0201</v>
      </c>
      <c r="CA14" s="18" t="str">
        <f ca="1">IFERROR(__xludf.DUMMYFUNCTION("""COMPUTED_VALUE"""),"0x001E")</f>
        <v>0x001E</v>
      </c>
      <c r="CB14" s="18" t="str">
        <f ca="1">IFERROR(__xludf.DUMMYFUNCTION("""COMPUTED_VALUE"""),"0")</f>
        <v>0</v>
      </c>
      <c r="CC14" s="18" t="str">
        <f ca="1">IFERROR(__xludf.DUMMYFUNCTION("""COMPUTED_VALUE"""),"3600")</f>
        <v>3600</v>
      </c>
      <c r="CD14" s="18" t="str">
        <f ca="1">IFERROR(__xludf.DUMMYFUNCTION("""COMPUTED_VALUE"""),"0")</f>
        <v>0</v>
      </c>
      <c r="CF14" s="10"/>
      <c r="CH14" s="18" t="str">
        <f ca="1">IFERROR(__xludf.DUMMYFUNCTION("""COMPUTED_VALUE"""),"setback_min")</f>
        <v>setback_min</v>
      </c>
      <c r="CI14" s="18" t="str">
        <f ca="1">IFERROR(__xludf.DUMMYFUNCTION("""COMPUTED_VALUE"""),"0x0201")</f>
        <v>0x0201</v>
      </c>
      <c r="CJ14" s="18" t="str">
        <f ca="1">IFERROR(__xludf.DUMMYFUNCTION("""COMPUTED_VALUE"""),"0xF043")</f>
        <v>0xF043</v>
      </c>
      <c r="CK14" s="18" t="str">
        <f ca="1">IFERROR(__xludf.DUMMYFUNCTION("""COMPUTED_VALUE"""),"86400")</f>
        <v>86400</v>
      </c>
      <c r="CM14" s="10"/>
      <c r="CO14" s="18" t="str">
        <f ca="1">IFERROR(__xludf.DUMMYFUNCTION("""COMPUTED_VALUE"""),"force_deep_setback_mode")</f>
        <v>force_deep_setback_mode</v>
      </c>
      <c r="CP14" s="18" t="str">
        <f ca="1"/>
        <v>0x0201</v>
      </c>
      <c r="CQ14" s="18" t="str">
        <f ca="1"/>
        <v>0xF0E6</v>
      </c>
      <c r="CR14" s="18" t="str">
        <f ca="1"/>
        <v>0</v>
      </c>
      <c r="CS14" s="18" t="str">
        <f ca="1"/>
        <v>3600</v>
      </c>
      <c r="CT14" s="18" t="str">
        <f ca="1"/>
        <v>0</v>
      </c>
      <c r="CV14" s="10"/>
      <c r="CX14" s="18" t="str">
        <f ca="1">IFERROR(__xludf.DUMMYFUNCTION("""COMPUTED_VALUE"""),"setback_max")</f>
        <v>setback_max</v>
      </c>
      <c r="CY14" s="18" t="str">
        <f ca="1"/>
        <v>0x0201</v>
      </c>
      <c r="CZ14" s="18" t="str">
        <f ca="1"/>
        <v>0xF044</v>
      </c>
      <c r="DA14" s="18" t="str">
        <f ca="1"/>
        <v>86400</v>
      </c>
      <c r="DC14" s="10"/>
      <c r="DE14" s="18" t="str">
        <f ca="1">IFERROR(__xludf.DUMMYFUNCTION("""COMPUTED_VALUE"""),"last_driving_mode")</f>
        <v>last_driving_mode</v>
      </c>
      <c r="DF14" s="18" t="str">
        <f ca="1">IFERROR(__xludf.DUMMYFUNCTION("""COMPUTED_VALUE"""),"0x0201")</f>
        <v>0x0201</v>
      </c>
      <c r="DG14" s="18" t="str">
        <f ca="1">IFERROR(__xludf.DUMMYFUNCTION("""COMPUTED_VALUE"""),"0xF058")</f>
        <v>0xF058</v>
      </c>
      <c r="DH14" s="18" t="str">
        <f ca="1">IFERROR(__xludf.DUMMYFUNCTION("""COMPUTED_VALUE"""),"""none""")</f>
        <v>"none"</v>
      </c>
      <c r="DI14" s="18" t="str">
        <f ca="1">IFERROR(__xludf.DUMMYFUNCTION("""COMPUTED_VALUE"""),"""cool""")</f>
        <v>"cool"</v>
      </c>
      <c r="DJ14" s="18" t="str">
        <f ca="1">IFERROR(__xludf.DUMMYFUNCTION("""COMPUTED_VALUE"""),"""heat""")</f>
        <v>"heat"</v>
      </c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</row>
    <row r="15" spans="1:174" ht="15.75" customHeight="1" x14ac:dyDescent="0.25">
      <c r="A15" s="15" t="s">
        <v>51</v>
      </c>
      <c r="B15" s="15" t="b">
        <v>1</v>
      </c>
      <c r="C15" s="15" t="s">
        <v>52</v>
      </c>
      <c r="D15" s="16"/>
      <c r="E15" s="15"/>
      <c r="F15" s="15"/>
      <c r="G15" s="15"/>
      <c r="H15" s="17" t="str">
        <f ca="1">IFERROR(__xludf.DUMMYFUNCTION("""COMPUTED_VALUE"""),"x")</f>
        <v>x</v>
      </c>
      <c r="I15" s="15" t="s">
        <v>29</v>
      </c>
      <c r="J15" s="15" t="s">
        <v>29</v>
      </c>
      <c r="K15" s="15" t="s">
        <v>29</v>
      </c>
      <c r="L15" s="15" t="s">
        <v>29</v>
      </c>
      <c r="M15" s="15" t="s">
        <v>29</v>
      </c>
      <c r="N15" s="16"/>
      <c r="O15" s="18" t="s">
        <v>53</v>
      </c>
      <c r="P15" s="19"/>
      <c r="Q15" s="18" t="str">
        <f ca="1">IFERROR(__xludf.DUMMYFUNCTION("""COMPUTED_VALUE"""),"zb -a 0x0201 0xF090 1")</f>
        <v>zb -a 0x0201 0xF090 1</v>
      </c>
      <c r="R15" s="19"/>
      <c r="S15" s="20" t="str">
        <f ca="1">IFERROR(__xludf.DUMMYFUNCTION("""COMPUTED_VALUE"""),"aquastat_chilled_modes_available,10,260,513,61605,24,,,,,86400")</f>
        <v>aquastat_chilled_modes_available,10,260,513,61605,24,,,,,86400</v>
      </c>
      <c r="X15" s="18" t="str">
        <f ca="1">IFERROR(__xludf.DUMMYFUNCTION("""COMPUTED_VALUE"""),"aquastat_chilled_changeover_mode")</f>
        <v>aquastat_chilled_changeover_mode</v>
      </c>
      <c r="BL15" s="18" t="str">
        <f ca="1">IFERROR(__xludf.DUMMYFUNCTION("""COMPUTED_VALUE"""),"thermo_speed")</f>
        <v>thermo_speed</v>
      </c>
      <c r="BM15" s="18" t="str">
        <f ca="1">IFERROR(__xludf.DUMMYFUNCTION("""COMPUTED_VALUE"""),"0x0201")</f>
        <v>0x0201</v>
      </c>
      <c r="BN15" s="18" t="str">
        <f ca="1">IFERROR(__xludf.DUMMYFUNCTION("""COMPUTED_VALUE"""),"0xF055")</f>
        <v>0xF055</v>
      </c>
      <c r="BP15" s="10"/>
      <c r="BR15" s="18" t="str">
        <f ca="1">IFERROR(__xludf.DUMMYFUNCTION("""COMPUTED_VALUE"""),"system_mode")</f>
        <v>system_mode</v>
      </c>
      <c r="BS15" s="18" t="str">
        <f ca="1">IFERROR(__xludf.DUMMYFUNCTION("""COMPUTED_VALUE"""),"0x0201")</f>
        <v>0x0201</v>
      </c>
      <c r="BT15" s="18" t="str">
        <f ca="1">IFERROR(__xludf.DUMMYFUNCTION("""COMPUTED_VALUE"""),"0x001C")</f>
        <v>0x001C</v>
      </c>
      <c r="BU15" s="18" t="str">
        <f ca="1">IFERROR(__xludf.DUMMYFUNCTION("""COMPUTED_VALUE"""),"null")</f>
        <v>null</v>
      </c>
      <c r="BW15" s="10"/>
      <c r="BY15" s="18" t="str">
        <f ca="1">IFERROR(__xludf.DUMMYFUNCTION("""COMPUTED_VALUE"""),"fan_state")</f>
        <v>fan_state</v>
      </c>
      <c r="BZ15" s="18" t="str">
        <f ca="1">IFERROR(__xludf.DUMMYFUNCTION("""COMPUTED_VALUE"""),"0x0201")</f>
        <v>0x0201</v>
      </c>
      <c r="CA15" s="18" t="str">
        <f ca="1">IFERROR(__xludf.DUMMYFUNCTION("""COMPUTED_VALUE"""),"0xF000")</f>
        <v>0xF000</v>
      </c>
      <c r="CB15" s="18" t="str">
        <f ca="1">IFERROR(__xludf.DUMMYFUNCTION("""COMPUTED_VALUE"""),"0")</f>
        <v>0</v>
      </c>
      <c r="CC15" s="18" t="str">
        <f ca="1">IFERROR(__xludf.DUMMYFUNCTION("""COMPUTED_VALUE"""),"3600")</f>
        <v>3600</v>
      </c>
      <c r="CD15" s="18" t="str">
        <f ca="1">IFERROR(__xludf.DUMMYFUNCTION("""COMPUTED_VALUE"""),"0")</f>
        <v>0</v>
      </c>
      <c r="CF15" s="10"/>
      <c r="CH15" s="18" t="str">
        <f ca="1">IFERROR(__xludf.DUMMYFUNCTION("""COMPUTED_VALUE"""),"setback_max")</f>
        <v>setback_max</v>
      </c>
      <c r="CI15" s="18" t="str">
        <f ca="1">IFERROR(__xludf.DUMMYFUNCTION("""COMPUTED_VALUE"""),"0x0201")</f>
        <v>0x0201</v>
      </c>
      <c r="CJ15" s="18" t="str">
        <f ca="1">IFERROR(__xludf.DUMMYFUNCTION("""COMPUTED_VALUE"""),"0xF044")</f>
        <v>0xF044</v>
      </c>
      <c r="CK15" s="18" t="str">
        <f ca="1">IFERROR(__xludf.DUMMYFUNCTION("""COMPUTED_VALUE"""),"86400")</f>
        <v>86400</v>
      </c>
      <c r="CM15" s="10"/>
      <c r="CO15" s="18" t="str">
        <f ca="1">IFERROR(__xludf.DUMMYFUNCTION("""COMPUTED_VALUE"""),"force_occ")</f>
        <v>force_occ</v>
      </c>
      <c r="CP15" s="18" t="str">
        <f ca="1"/>
        <v>0x0201</v>
      </c>
      <c r="CQ15" s="18" t="str">
        <f ca="1"/>
        <v>0xF100</v>
      </c>
      <c r="CR15" s="18" t="str">
        <f ca="1"/>
        <v>0</v>
      </c>
      <c r="CS15" s="18" t="str">
        <f ca="1"/>
        <v>3600</v>
      </c>
      <c r="CT15" s="18" t="str">
        <f ca="1"/>
        <v>15</v>
      </c>
      <c r="CV15" s="10"/>
      <c r="CX15" s="18" t="str">
        <f ca="1">IFERROR(__xludf.DUMMYFUNCTION("""COMPUTED_VALUE"""),"deep_setback_min")</f>
        <v>deep_setback_min</v>
      </c>
      <c r="CY15" s="18" t="str">
        <f ca="1"/>
        <v>0x0201</v>
      </c>
      <c r="CZ15" s="18" t="str">
        <f ca="1"/>
        <v>0xF045</v>
      </c>
      <c r="DA15" s="18" t="str">
        <f ca="1"/>
        <v>86400</v>
      </c>
      <c r="DC15" s="10"/>
      <c r="DE15" s="18" t="str">
        <f ca="1">IFERROR(__xludf.DUMMYFUNCTION("""COMPUTED_VALUE"""),"temp_protection_enable")</f>
        <v>temp_protection_enable</v>
      </c>
      <c r="DF15" s="18" t="str">
        <f ca="1">IFERROR(__xludf.DUMMYFUNCTION("""COMPUTED_VALUE"""),"0x0201")</f>
        <v>0x0201</v>
      </c>
      <c r="DG15" s="18" t="str">
        <f ca="1">IFERROR(__xludf.DUMMYFUNCTION("""COMPUTED_VALUE"""),"0xF062")</f>
        <v>0xF062</v>
      </c>
      <c r="DH15" s="18" t="str">
        <f ca="1">IFERROR(__xludf.DUMMYFUNCTION("""COMPUTED_VALUE"""),"""none""")</f>
        <v>"none"</v>
      </c>
      <c r="DI15" s="18" t="str">
        <f ca="1">IFERROR(__xludf.DUMMYFUNCTION("""COMPUTED_VALUE"""),"""low""")</f>
        <v>"low"</v>
      </c>
      <c r="DJ15" s="18" t="str">
        <f ca="1">IFERROR(__xludf.DUMMYFUNCTION("""COMPUTED_VALUE"""),"""high""")</f>
        <v>"high"</v>
      </c>
      <c r="DK15" s="18" t="str">
        <f ca="1">IFERROR(__xludf.DUMMYFUNCTION("""COMPUTED_VALUE"""),"""low+high""")</f>
        <v>"low+high"</v>
      </c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</row>
    <row r="16" spans="1:174" ht="15.75" customHeight="1" x14ac:dyDescent="0.25">
      <c r="A16" s="15" t="s">
        <v>54</v>
      </c>
      <c r="B16" s="15" t="b">
        <v>0</v>
      </c>
      <c r="C16" s="15" t="s">
        <v>52</v>
      </c>
      <c r="D16" s="16"/>
      <c r="E16" s="15"/>
      <c r="F16" s="15"/>
      <c r="G16" s="15"/>
      <c r="H16" s="17" t="str">
        <f ca="1">IFERROR(__xludf.DUMMYFUNCTION("""COMPUTED_VALUE"""),"x")</f>
        <v>x</v>
      </c>
      <c r="I16" s="15" t="s">
        <v>29</v>
      </c>
      <c r="J16" s="15" t="s">
        <v>29</v>
      </c>
      <c r="K16" s="15" t="s">
        <v>29</v>
      </c>
      <c r="L16" s="15" t="s">
        <v>29</v>
      </c>
      <c r="M16" s="15" t="s">
        <v>29</v>
      </c>
      <c r="N16" s="16"/>
      <c r="O16" s="18" t="s">
        <v>55</v>
      </c>
      <c r="P16" s="19"/>
      <c r="Q16" s="18" t="str">
        <f ca="1">IFERROR(__xludf.DUMMYFUNCTION("""COMPUTED_VALUE"""),"zb -a 0x0201 0xF0E6 0")</f>
        <v>zb -a 0x0201 0xF0E6 0</v>
      </c>
      <c r="R16" s="19"/>
      <c r="S16" s="20" t="str">
        <f ca="1">IFERROR(__xludf.DUMMYFUNCTION("""COMPUTED_VALUE"""),"aquastat_enabled,10,260,513,61600,16,0,,,,86400")</f>
        <v>aquastat_enabled,10,260,513,61600,16,0,,,,86400</v>
      </c>
      <c r="X16" s="18" t="str">
        <f ca="1">IFERROR(__xludf.DUMMYFUNCTION("""COMPUTED_VALUE"""),"aquastat_chilled_modes_available")</f>
        <v>aquastat_chilled_modes_available</v>
      </c>
      <c r="BL16" s="18" t="str">
        <f ca="1">IFERROR(__xludf.DUMMYFUNCTION("""COMPUTED_VALUE"""),"drive_to_cool")</f>
        <v>drive_to_cool</v>
      </c>
      <c r="BM16" s="18" t="str">
        <f ca="1">IFERROR(__xludf.DUMMYFUNCTION("""COMPUTED_VALUE"""),"0x0201")</f>
        <v>0x0201</v>
      </c>
      <c r="BN16" s="18" t="str">
        <f ca="1">IFERROR(__xludf.DUMMYFUNCTION("""COMPUTED_VALUE"""),"0xF056")</f>
        <v>0xF056</v>
      </c>
      <c r="BP16" s="10"/>
      <c r="BR16" s="18" t="str">
        <f ca="1">IFERROR(__xludf.DUMMYFUNCTION("""COMPUTED_VALUE"""),"display_temp_units")</f>
        <v>display_temp_units</v>
      </c>
      <c r="BS16" s="18" t="str">
        <f ca="1">IFERROR(__xludf.DUMMYFUNCTION("""COMPUTED_VALUE"""),"0x0201")</f>
        <v>0x0201</v>
      </c>
      <c r="BT16" s="18" t="str">
        <f ca="1">IFERROR(__xludf.DUMMYFUNCTION("""COMPUTED_VALUE"""),"0xF01F")</f>
        <v>0xF01F</v>
      </c>
      <c r="BU16" s="18" t="str">
        <f ca="1">IFERROR(__xludf.DUMMYFUNCTION("""COMPUTED_VALUE"""),"null")</f>
        <v>null</v>
      </c>
      <c r="BW16" s="10"/>
      <c r="BY16" s="18" t="str">
        <f ca="1">IFERROR(__xludf.DUMMYFUNCTION("""COMPUTED_VALUE"""),"system_modes_available")</f>
        <v>system_modes_available</v>
      </c>
      <c r="BZ16" s="18" t="str">
        <f ca="1">IFERROR(__xludf.DUMMYFUNCTION("""COMPUTED_VALUE"""),"0x0201")</f>
        <v>0x0201</v>
      </c>
      <c r="CA16" s="18" t="str">
        <f ca="1">IFERROR(__xludf.DUMMYFUNCTION("""COMPUTED_VALUE"""),"0xF01B")</f>
        <v>0xF01B</v>
      </c>
      <c r="CB16" s="18" t="str">
        <f ca="1">IFERROR(__xludf.DUMMYFUNCTION("""COMPUTED_VALUE"""),"0")</f>
        <v>0</v>
      </c>
      <c r="CC16" s="18" t="str">
        <f ca="1">IFERROR(__xludf.DUMMYFUNCTION("""COMPUTED_VALUE"""),"3600")</f>
        <v>3600</v>
      </c>
      <c r="CD16" s="18" t="str">
        <f ca="1">IFERROR(__xludf.DUMMYFUNCTION("""COMPUTED_VALUE"""),"0")</f>
        <v>0</v>
      </c>
      <c r="CF16" s="10"/>
      <c r="CH16" s="18" t="str">
        <f ca="1">IFERROR(__xludf.DUMMYFUNCTION("""COMPUTED_VALUE"""),"deep_setback_min")</f>
        <v>deep_setback_min</v>
      </c>
      <c r="CI16" s="18" t="str">
        <f ca="1">IFERROR(__xludf.DUMMYFUNCTION("""COMPUTED_VALUE"""),"0x0201")</f>
        <v>0x0201</v>
      </c>
      <c r="CJ16" s="18" t="str">
        <f ca="1">IFERROR(__xludf.DUMMYFUNCTION("""COMPUTED_VALUE"""),"0xF045")</f>
        <v>0xF045</v>
      </c>
      <c r="CK16" s="18" t="str">
        <f ca="1">IFERROR(__xludf.DUMMYFUNCTION("""COMPUTED_VALUE"""),"86400")</f>
        <v>86400</v>
      </c>
      <c r="CM16" s="10"/>
      <c r="CO16" s="18" t="str">
        <f ca="1">IFERROR(__xludf.DUMMYFUNCTION("""COMPUTED_VALUE"""),"force_unocc")</f>
        <v>force_unocc</v>
      </c>
      <c r="CP16" s="18" t="str">
        <f ca="1"/>
        <v>0x0201</v>
      </c>
      <c r="CQ16" s="18" t="str">
        <f ca="1"/>
        <v>0xF101</v>
      </c>
      <c r="CR16" s="18" t="str">
        <f ca="1"/>
        <v>0</v>
      </c>
      <c r="CS16" s="18" t="str">
        <f ca="1"/>
        <v>3600</v>
      </c>
      <c r="CT16" s="18" t="str">
        <f ca="1"/>
        <v>15</v>
      </c>
      <c r="CV16" s="10"/>
      <c r="CX16" s="18" t="str">
        <f ca="1">IFERROR(__xludf.DUMMYFUNCTION("""COMPUTED_VALUE"""),"deep_setback_max")</f>
        <v>deep_setback_max</v>
      </c>
      <c r="CY16" s="18" t="str">
        <f ca="1"/>
        <v>0x0201</v>
      </c>
      <c r="CZ16" s="18" t="str">
        <f ca="1"/>
        <v>0xF046</v>
      </c>
      <c r="DA16" s="18" t="str">
        <f ca="1"/>
        <v>86400</v>
      </c>
      <c r="DC16" s="10"/>
      <c r="DE16" s="18" t="str">
        <f ca="1">IFERROR(__xludf.DUMMYFUNCTION("""COMPUTED_VALUE"""),"temp_protection_active")</f>
        <v>temp_protection_active</v>
      </c>
      <c r="DF16" s="18" t="str">
        <f ca="1">IFERROR(__xludf.DUMMYFUNCTION("""COMPUTED_VALUE"""),"0x0201")</f>
        <v>0x0201</v>
      </c>
      <c r="DG16" s="18" t="str">
        <f ca="1">IFERROR(__xludf.DUMMYFUNCTION("""COMPUTED_VALUE"""),"0xF065")</f>
        <v>0xF065</v>
      </c>
      <c r="DH16" s="18" t="str">
        <f ca="1">IFERROR(__xludf.DUMMYFUNCTION("""COMPUTED_VALUE"""),"""none""")</f>
        <v>"none"</v>
      </c>
      <c r="DI16" s="18" t="str">
        <f ca="1">IFERROR(__xludf.DUMMYFUNCTION("""COMPUTED_VALUE"""),"""heat""")</f>
        <v>"heat"</v>
      </c>
      <c r="DJ16" s="18" t="str">
        <f ca="1">IFERROR(__xludf.DUMMYFUNCTION("""COMPUTED_VALUE"""),"""cool""")</f>
        <v>"cool"</v>
      </c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</row>
    <row r="17" spans="1:149" ht="15.75" customHeight="1" x14ac:dyDescent="0.25">
      <c r="A17" s="15" t="s">
        <v>56</v>
      </c>
      <c r="B17" s="15" t="b">
        <v>0</v>
      </c>
      <c r="C17" s="15" t="s">
        <v>52</v>
      </c>
      <c r="D17" s="16"/>
      <c r="E17" s="15"/>
      <c r="F17" s="15"/>
      <c r="G17" s="15"/>
      <c r="H17" s="17" t="str">
        <f ca="1">IFERROR(__xludf.DUMMYFUNCTION("""COMPUTED_VALUE"""),"x")</f>
        <v>x</v>
      </c>
      <c r="I17" s="15" t="s">
        <v>29</v>
      </c>
      <c r="J17" s="15" t="s">
        <v>29</v>
      </c>
      <c r="K17" s="15" t="s">
        <v>29</v>
      </c>
      <c r="L17" s="15" t="s">
        <v>29</v>
      </c>
      <c r="M17" s="15" t="s">
        <v>29</v>
      </c>
      <c r="N17" s="16"/>
      <c r="O17" s="18" t="s">
        <v>57</v>
      </c>
      <c r="P17" s="19"/>
      <c r="Q17" s="18" t="str">
        <f ca="1">IFERROR(__xludf.DUMMYFUNCTION("""COMPUTED_VALUE"""),"zb -a 0x0201 0xF111 0")</f>
        <v>zb -a 0x0201 0xF111 0</v>
      </c>
      <c r="R17" s="19"/>
      <c r="S17" s="20" t="str">
        <f ca="1">IFERROR(__xludf.DUMMYFUNCTION("""COMPUTED_VALUE"""),"aquastat_heated_changeover_mode,10,260,513,61608,48,,,,,86400")</f>
        <v>aquastat_heated_changeover_mode,10,260,513,61608,48,,,,,86400</v>
      </c>
      <c r="X17" s="18" t="str">
        <f ca="1">IFERROR(__xludf.DUMMYFUNCTION("""COMPUTED_VALUE"""),"aquastat_enabled")</f>
        <v>aquastat_enabled</v>
      </c>
      <c r="BL17" s="18" t="str">
        <f ca="1">IFERROR(__xludf.DUMMYFUNCTION("""COMPUTED_VALUE"""),"drive_to_heat")</f>
        <v>drive_to_heat</v>
      </c>
      <c r="BM17" s="18" t="str">
        <f ca="1">IFERROR(__xludf.DUMMYFUNCTION("""COMPUTED_VALUE"""),"0x0201")</f>
        <v>0x0201</v>
      </c>
      <c r="BN17" s="18" t="str">
        <f ca="1">IFERROR(__xludf.DUMMYFUNCTION("""COMPUTED_VALUE"""),"0xF057")</f>
        <v>0xF057</v>
      </c>
      <c r="BP17" s="10"/>
      <c r="BR17" s="18" t="str">
        <f ca="1">IFERROR(__xludf.DUMMYFUNCTION("""COMPUTED_VALUE"""),"modes_available")</f>
        <v>modes_available</v>
      </c>
      <c r="BS17" s="18" t="str">
        <f ca="1">IFERROR(__xludf.DUMMYFUNCTION("""COMPUTED_VALUE"""),"0x0201")</f>
        <v>0x0201</v>
      </c>
      <c r="BT17" s="18" t="str">
        <f ca="1">IFERROR(__xludf.DUMMYFUNCTION("""COMPUTED_VALUE"""),"0xF040")</f>
        <v>0xF040</v>
      </c>
      <c r="BU17" s="18" t="str">
        <f ca="1">IFERROR(__xludf.DUMMYFUNCTION("""COMPUTED_VALUE"""),"""cool+heat""")</f>
        <v>"cool+heat"</v>
      </c>
      <c r="BW17" s="10"/>
      <c r="BY17" s="18" t="str">
        <f ca="1">IFERROR(__xludf.DUMMYFUNCTION("""COMPUTED_VALUE"""),"display_temp_units")</f>
        <v>display_temp_units</v>
      </c>
      <c r="BZ17" s="18" t="str">
        <f ca="1">IFERROR(__xludf.DUMMYFUNCTION("""COMPUTED_VALUE"""),"0x0201")</f>
        <v>0x0201</v>
      </c>
      <c r="CA17" s="18" t="str">
        <f ca="1">IFERROR(__xludf.DUMMYFUNCTION("""COMPUTED_VALUE"""),"0xF01F")</f>
        <v>0xF01F</v>
      </c>
      <c r="CB17" s="18" t="str">
        <f ca="1">IFERROR(__xludf.DUMMYFUNCTION("""COMPUTED_VALUE"""),"0")</f>
        <v>0</v>
      </c>
      <c r="CC17" s="18" t="str">
        <f ca="1">IFERROR(__xludf.DUMMYFUNCTION("""COMPUTED_VALUE"""),"3600")</f>
        <v>3600</v>
      </c>
      <c r="CD17" s="18" t="str">
        <f ca="1">IFERROR(__xludf.DUMMYFUNCTION("""COMPUTED_VALUE"""),"0")</f>
        <v>0</v>
      </c>
      <c r="CF17" s="10"/>
      <c r="CH17" s="18" t="str">
        <f ca="1">IFERROR(__xludf.DUMMYFUNCTION("""COMPUTED_VALUE"""),"deep_setback_max")</f>
        <v>deep_setback_max</v>
      </c>
      <c r="CI17" s="18" t="str">
        <f ca="1">IFERROR(__xludf.DUMMYFUNCTION("""COMPUTED_VALUE"""),"0x0201")</f>
        <v>0x0201</v>
      </c>
      <c r="CJ17" s="18" t="str">
        <f ca="1">IFERROR(__xludf.DUMMYFUNCTION("""COMPUTED_VALUE"""),"0xF046")</f>
        <v>0xF046</v>
      </c>
      <c r="CK17" s="18" t="str">
        <f ca="1">IFERROR(__xludf.DUMMYFUNCTION("""COMPUTED_VALUE"""),"86400")</f>
        <v>86400</v>
      </c>
      <c r="CM17" s="10"/>
      <c r="CO17" s="18" t="str">
        <f ca="1">IFERROR(__xludf.DUMMYFUNCTION("""COMPUTED_VALUE"""),"heating_tau")</f>
        <v>heating_tau</v>
      </c>
      <c r="CP17" s="18" t="str">
        <f ca="1"/>
        <v>0x0201</v>
      </c>
      <c r="CQ17" s="18" t="str">
        <f ca="1"/>
        <v>0xF104</v>
      </c>
      <c r="CR17" s="18" t="str">
        <f ca="1"/>
        <v>0</v>
      </c>
      <c r="CS17" s="18" t="str">
        <f ca="1"/>
        <v>3600</v>
      </c>
      <c r="CT17" s="18" t="str">
        <f ca="1"/>
        <v>0</v>
      </c>
      <c r="CV17" s="10"/>
      <c r="CX17" s="18" t="str">
        <f ca="1">IFERROR(__xludf.DUMMYFUNCTION("""COMPUTED_VALUE"""),"changeover_hysteresis")</f>
        <v>changeover_hysteresis</v>
      </c>
      <c r="CY17" s="18" t="str">
        <f ca="1"/>
        <v>0x0201</v>
      </c>
      <c r="CZ17" s="18" t="str">
        <f ca="1"/>
        <v>0xF048</v>
      </c>
      <c r="DA17" s="18" t="str">
        <f ca="1"/>
        <v>86400</v>
      </c>
      <c r="DC17" s="10"/>
      <c r="DE17" s="18" t="str">
        <f ca="1">IFERROR(__xludf.DUMMYFUNCTION("""COMPUTED_VALUE"""),"temp_protection_return_mode")</f>
        <v>temp_protection_return_mode</v>
      </c>
      <c r="DF17" s="18" t="str">
        <f ca="1">IFERROR(__xludf.DUMMYFUNCTION("""COMPUTED_VALUE"""),"0x0201")</f>
        <v>0x0201</v>
      </c>
      <c r="DG17" s="18" t="str">
        <f ca="1">IFERROR(__xludf.DUMMYFUNCTION("""COMPUTED_VALUE"""),"0xF066")</f>
        <v>0xF066</v>
      </c>
      <c r="DH17" s="18" t="str">
        <f ca="1">IFERROR(__xludf.DUMMYFUNCTION("""COMPUTED_VALUE"""),"""off""")</f>
        <v>"off"</v>
      </c>
      <c r="DI17" s="18" t="str">
        <f ca="1">IFERROR(__xludf.DUMMYFUNCTION("""COMPUTED_VALUE"""),"""auto""")</f>
        <v>"auto"</v>
      </c>
      <c r="DJ17" s="18" t="str">
        <f ca="1">IFERROR(__xludf.DUMMYFUNCTION("""COMPUTED_VALUE"""),"""cool""")</f>
        <v>"cool"</v>
      </c>
      <c r="DK17" s="18" t="str">
        <f ca="1">IFERROR(__xludf.DUMMYFUNCTION("""COMPUTED_VALUE"""),"""heat""")</f>
        <v>"heat"</v>
      </c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</row>
    <row r="18" spans="1:149" ht="15.75" customHeight="1" x14ac:dyDescent="0.25">
      <c r="A18" s="15" t="s">
        <v>58</v>
      </c>
      <c r="B18" s="15"/>
      <c r="C18" s="15"/>
      <c r="D18" s="16"/>
      <c r="E18" s="15"/>
      <c r="F18" s="15"/>
      <c r="G18" s="15"/>
      <c r="H18" s="17" t="str">
        <f ca="1">IFERROR(__xludf.DUMMYFUNCTION("""COMPUTED_VALUE"""),"")</f>
        <v/>
      </c>
      <c r="I18" s="15" t="s">
        <v>29</v>
      </c>
      <c r="J18" s="15" t="s">
        <v>29</v>
      </c>
      <c r="K18" s="15" t="s">
        <v>29</v>
      </c>
      <c r="L18" s="15" t="s">
        <v>29</v>
      </c>
      <c r="M18" s="15" t="s">
        <v>29</v>
      </c>
      <c r="N18" s="16"/>
      <c r="O18" s="18" t="str">
        <f ca="1">IFERROR(__xludf.DUMMYFUNCTION("IF(A18="""","""",A18
&amp;"",""
&amp;HEX2DEC(VLOOKUP(A18,{'Data Model Parser'!$C$4:$C1626,'Data Model Parser'!$U$4:$U1626},2,0))
&amp;"",""
&amp;HEX2DEC(VLOOKUP(A18,{'Data Model Parser'!$C$4:$C1626,'Data Model Parser'!$V$4:$V1626},2,0))
&amp;"",""
&amp;HEX2DEC(VLOOKUP(A18,{'Data"&amp;" Model Parser'!$C$4:$C1626,'Data Model Parser'!$W$4:$W1626},2,0))
&amp;"",""
&amp;HEX2DEC(VLOOKUP(A18,{'Data Model Parser'!$C$4:$C1626,'Data Model Parser'!$T$4:$T1626},2,0))
&amp;"",""
&amp;HEX2DEC(VLOOKUP(A18,{'Data Model Parser'!$C$4:$C1626,'Data Model Parser'!$X$4:$X1"&amp;"626},2,0))
&amp;"",""
&amp;IFS(B18="""","""",REGEXREPLACE(B18,CHAR(34),"""")=""low"",""1"",REGEXREPLACE(B18,CHAR(34),"""")=""medium"",""2"",REGEXREPLACE(B18,CHAR(34),"""")=""high"",""3"",REGEXREPLACE(B18,CHAR(34),"""")=""on"",""4"",REGEXREPLACE(B18,CHAR(34),"""")"&amp;"=""auto"",""5"")
&amp;"",""
&amp;IF(VLOOKUP(A18,{'Data Model Parser'!$C$4:$C1626,'Data Model Parser'!$G$4:$G1626},2,0)=""polled"","",,,""&amp;VLOOKUP(A18,{'Data Model Parser'!$C$4:$C1626,'Data Model Parser'!$H$4:$H1626},2,0),
IF(VLOOKUP(A18,{'Data Model Parser'!$C$4:"&amp;"$C1626,'Data Model Parser'!$G$4:$G1626},2,0)=""reported"",
IFS(E18&lt;&gt;"""",E18&amp;"","",
E18="""",VLOOKUP(A18,{'Data Model Parser'!$C$4:$C1626,'Data Model Parser'!$J$4:$J1626},2,0)&amp;"","")
&amp;IFS(F18&lt;&gt;"""",F18&amp;"","",
F18="""",VLOOKUP(A18,{'Data Model Parser'!$C$4"&amp;":$C1626,'Data Model Parser'!$I$4:$I1626},2,0)&amp;"","")
&amp;IFS(G18&lt;&gt;"""",G18,
G18="""",IF(VLOOKUP(A18,{'Data Model Parser'!$C$4:$C1626,'Data Model Parser'!$K$4:$K1626},2,0)=""N/A"",""0"",VLOOKUP(A18,{'Data Model Parser'!$C$4:$C1626,'Data Model Parser'!$K$4:$K1"&amp;"626},2,0))))))"),"fan_mode,10,260,514,0,48,,0,3600,0")</f>
        <v>fan_mode,10,260,514,0,48,,0,3600,0</v>
      </c>
      <c r="P18" s="19"/>
      <c r="Q18" s="18" t="str">
        <f ca="1">IFERROR(__xludf.DUMMYFUNCTION("""COMPUTED_VALUE"""),"")</f>
        <v/>
      </c>
      <c r="R18" s="19"/>
      <c r="S18" s="20" t="str">
        <f ca="1">IFERROR(__xludf.DUMMYFUNCTION("""COMPUTED_VALUE"""),"aquastat_heated_modes_available,10,260,513,61606,24,,,,,86400")</f>
        <v>aquastat_heated_modes_available,10,260,513,61606,24,,,,,86400</v>
      </c>
      <c r="X18" s="18" t="str">
        <f ca="1">IFERROR(__xludf.DUMMYFUNCTION("""COMPUTED_VALUE"""),"aquastat_heated_changeover_mode")</f>
        <v>aquastat_heated_changeover_mode</v>
      </c>
      <c r="Y18" s="18" t="str">
        <f ca="1">IFERROR(__xludf.DUMMYFUNCTION("UNIQUE(FILTER({$DE$4:$DE1626,$DH$4:$ES1626}, $DE$4:$DE1626=A18))"),"fan_mode")</f>
        <v>fan_mode</v>
      </c>
      <c r="Z18" s="18" t="str">
        <f ca="1">IFERROR(__xludf.DUMMYFUNCTION("""COMPUTED_VALUE"""),"""auto""")</f>
        <v>"auto"</v>
      </c>
      <c r="AA18" s="18" t="str">
        <f ca="1">IFERROR(__xludf.DUMMYFUNCTION("""COMPUTED_VALUE"""),"""on""")</f>
        <v>"on"</v>
      </c>
      <c r="AB18" s="18" t="str">
        <f ca="1">IFERROR(__xludf.DUMMYFUNCTION("""COMPUTED_VALUE"""),"""low""")</f>
        <v>"low"</v>
      </c>
      <c r="AC18" s="18" t="str">
        <f ca="1">IFERROR(__xludf.DUMMYFUNCTION("""COMPUTED_VALUE"""),"""medium""")</f>
        <v>"medium"</v>
      </c>
      <c r="AD18" s="18" t="str">
        <f ca="1">IFERROR(__xludf.DUMMYFUNCTION("""COMPUTED_VALUE"""),"""high""")</f>
        <v>"high"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 t="str">
        <f ca="1">IFERROR(__xludf.DUMMYFUNCTION("""COMPUTED_VALUE"""),"temp_protection_active")</f>
        <v>temp_protection_active</v>
      </c>
      <c r="BM18" s="18" t="str">
        <f ca="1">IFERROR(__xludf.DUMMYFUNCTION("""COMPUTED_VALUE"""),"0x0201")</f>
        <v>0x0201</v>
      </c>
      <c r="BN18" s="18" t="str">
        <f ca="1">IFERROR(__xludf.DUMMYFUNCTION("""COMPUTED_VALUE"""),"0xF065")</f>
        <v>0xF065</v>
      </c>
      <c r="BP18" s="10"/>
      <c r="BR18" s="18" t="str">
        <f ca="1">IFERROR(__xludf.DUMMYFUNCTION("""COMPUTED_VALUE"""),"cool_drive_min")</f>
        <v>cool_drive_min</v>
      </c>
      <c r="BS18" s="18" t="str">
        <f ca="1">IFERROR(__xludf.DUMMYFUNCTION("""COMPUTED_VALUE"""),"0x0201")</f>
        <v>0x0201</v>
      </c>
      <c r="BT18" s="18" t="str">
        <f ca="1">IFERROR(__xludf.DUMMYFUNCTION("""COMPUTED_VALUE"""),"0xF041")</f>
        <v>0xF041</v>
      </c>
      <c r="BU18" s="18" t="str">
        <f ca="1">IFERROR(__xludf.DUMMYFUNCTION("""COMPUTED_VALUE"""),"10")</f>
        <v>10</v>
      </c>
      <c r="BW18" s="10"/>
      <c r="BY18" s="18" t="str">
        <f ca="1">IFERROR(__xludf.DUMMYFUNCTION("""COMPUTED_VALUE"""),"display_setpoint")</f>
        <v>display_setpoint</v>
      </c>
      <c r="BZ18" s="18" t="str">
        <f ca="1">IFERROR(__xludf.DUMMYFUNCTION("""COMPUTED_VALUE"""),"0x0201")</f>
        <v>0x0201</v>
      </c>
      <c r="CA18" s="18" t="str">
        <f ca="1">IFERROR(__xludf.DUMMYFUNCTION("""COMPUTED_VALUE"""),"0xF047")</f>
        <v>0xF047</v>
      </c>
      <c r="CB18" s="18" t="str">
        <f ca="1">IFERROR(__xludf.DUMMYFUNCTION("""COMPUTED_VALUE"""),"0")</f>
        <v>0</v>
      </c>
      <c r="CC18" s="18" t="str">
        <f ca="1">IFERROR(__xludf.DUMMYFUNCTION("""COMPUTED_VALUE"""),"3600")</f>
        <v>3600</v>
      </c>
      <c r="CD18" s="18" t="str">
        <f ca="1">IFERROR(__xludf.DUMMYFUNCTION("""COMPUTED_VALUE"""),"0")</f>
        <v>0</v>
      </c>
      <c r="CF18" s="10"/>
      <c r="CH18" s="18" t="str">
        <f ca="1">IFERROR(__xludf.DUMMYFUNCTION("""COMPUTED_VALUE"""),"changeover_hysteresis")</f>
        <v>changeover_hysteresis</v>
      </c>
      <c r="CI18" s="18" t="str">
        <f ca="1">IFERROR(__xludf.DUMMYFUNCTION("""COMPUTED_VALUE"""),"0x0201")</f>
        <v>0x0201</v>
      </c>
      <c r="CJ18" s="18" t="str">
        <f ca="1">IFERROR(__xludf.DUMMYFUNCTION("""COMPUTED_VALUE"""),"0xF048")</f>
        <v>0xF048</v>
      </c>
      <c r="CK18" s="18" t="str">
        <f ca="1">IFERROR(__xludf.DUMMYFUNCTION("""COMPUTED_VALUE"""),"86400")</f>
        <v>86400</v>
      </c>
      <c r="CM18" s="10"/>
      <c r="CO18" s="18" t="str">
        <f ca="1">IFERROR(__xludf.DUMMYFUNCTION("""COMPUTED_VALUE"""),"cooling_tau")</f>
        <v>cooling_tau</v>
      </c>
      <c r="CP18" s="18" t="str">
        <f ca="1"/>
        <v>0x0201</v>
      </c>
      <c r="CQ18" s="18" t="str">
        <f ca="1"/>
        <v>0xF106</v>
      </c>
      <c r="CR18" s="18" t="str">
        <f ca="1"/>
        <v>0</v>
      </c>
      <c r="CS18" s="18" t="str">
        <f ca="1"/>
        <v>3600</v>
      </c>
      <c r="CT18" s="18" t="str">
        <f ca="1"/>
        <v>0</v>
      </c>
      <c r="CV18" s="10"/>
      <c r="CX18" s="18" t="str">
        <f ca="1">IFERROR(__xludf.DUMMYFUNCTION("""COMPUTED_VALUE"""),"hvac_test_mode_timeout")</f>
        <v>hvac_test_mode_timeout</v>
      </c>
      <c r="CY18" s="18" t="str">
        <f ca="1"/>
        <v>0x0201</v>
      </c>
      <c r="CZ18" s="18" t="str">
        <f ca="1"/>
        <v>0xF04B</v>
      </c>
      <c r="DA18" s="18" t="str">
        <f ca="1"/>
        <v>86400</v>
      </c>
      <c r="DC18" s="10"/>
      <c r="DE18" s="18" t="str">
        <f ca="1">IFERROR(__xludf.DUMMYFUNCTION("""COMPUTED_VALUE"""),"dehumidification_option")</f>
        <v>dehumidification_option</v>
      </c>
      <c r="DF18" s="18" t="str">
        <f ca="1">IFERROR(__xludf.DUMMYFUNCTION("""COMPUTED_VALUE"""),"0x0201")</f>
        <v>0x0201</v>
      </c>
      <c r="DG18" s="18" t="str">
        <f ca="1">IFERROR(__xludf.DUMMYFUNCTION("""COMPUTED_VALUE"""),"0xF067")</f>
        <v>0xF067</v>
      </c>
      <c r="DH18" s="18" t="str">
        <f ca="1">IFERROR(__xludf.DUMMYFUNCTION("""COMPUTED_VALUE"""),"""none""")</f>
        <v>"none"</v>
      </c>
      <c r="DI18" s="18" t="str">
        <f ca="1">IFERROR(__xludf.DUMMYFUNCTION("""COMPUTED_VALUE"""),"""simple""")</f>
        <v>"simple"</v>
      </c>
      <c r="DJ18" s="18" t="str">
        <f ca="1">IFERROR(__xludf.DUMMYFUNCTION("""COMPUTED_VALUE"""),"""staged""")</f>
        <v>"staged"</v>
      </c>
      <c r="DK18" s="18" t="str">
        <f ca="1">IFERROR(__xludf.DUMMYFUNCTION("""COMPUTED_VALUE"""),"""dynamic""")</f>
        <v>"dynamic"</v>
      </c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</row>
    <row r="19" spans="1:149" ht="15.75" customHeight="1" x14ac:dyDescent="0.25">
      <c r="A19" s="15"/>
      <c r="B19" s="15"/>
      <c r="C19" s="15"/>
      <c r="D19" s="16"/>
      <c r="E19" s="15"/>
      <c r="F19" s="15"/>
      <c r="G19" s="15"/>
      <c r="H19" s="17" t="str">
        <f ca="1">IFERROR(__xludf.DUMMYFUNCTION("""COMPUTED_VALUE"""),"")</f>
        <v/>
      </c>
      <c r="I19" s="15" t="s">
        <v>29</v>
      </c>
      <c r="J19" s="15" t="s">
        <v>29</v>
      </c>
      <c r="K19" s="15" t="s">
        <v>29</v>
      </c>
      <c r="L19" s="15" t="s">
        <v>29</v>
      </c>
      <c r="M19" s="15" t="s">
        <v>29</v>
      </c>
      <c r="N19" s="16"/>
      <c r="P19" s="19"/>
      <c r="Q19" s="18" t="str">
        <f ca="1">IFERROR(__xludf.DUMMYFUNCTION("""COMPUTED_VALUE"""),"")</f>
        <v/>
      </c>
      <c r="R19" s="19"/>
      <c r="S19" s="20" t="str">
        <f ca="1">IFERROR(__xludf.DUMMYFUNCTION("""COMPUTED_VALUE"""),"aquastat_high_temp_threshold,10,260,513,61602,41,,,,,86400")</f>
        <v>aquastat_high_temp_threshold,10,260,513,61602,41,,,,,86400</v>
      </c>
      <c r="X19" s="18" t="str">
        <f ca="1">IFERROR(__xludf.DUMMYFUNCTION("""COMPUTED_VALUE"""),"aquastat_heated_modes_available")</f>
        <v>aquastat_heated_modes_available</v>
      </c>
      <c r="BL19" s="18" t="str">
        <f ca="1">IFERROR(__xludf.DUMMYFUNCTION("""COMPUTED_VALUE"""),"dehumidification_stage")</f>
        <v>dehumidification_stage</v>
      </c>
      <c r="BM19" s="18" t="str">
        <f ca="1">IFERROR(__xludf.DUMMYFUNCTION("""COMPUTED_VALUE"""),"0x0201")</f>
        <v>0x0201</v>
      </c>
      <c r="BN19" s="18" t="str">
        <f ca="1">IFERROR(__xludf.DUMMYFUNCTION("""COMPUTED_VALUE"""),"0xF076")</f>
        <v>0xF076</v>
      </c>
      <c r="BP19" s="10"/>
      <c r="BR19" s="18" t="str">
        <f ca="1">IFERROR(__xludf.DUMMYFUNCTION("""COMPUTED_VALUE"""),"heat_drive_max")</f>
        <v>heat_drive_max</v>
      </c>
      <c r="BS19" s="18" t="str">
        <f ca="1">IFERROR(__xludf.DUMMYFUNCTION("""COMPUTED_VALUE"""),"0x0201")</f>
        <v>0x0201</v>
      </c>
      <c r="BT19" s="18" t="str">
        <f ca="1">IFERROR(__xludf.DUMMYFUNCTION("""COMPUTED_VALUE"""),"0xF042")</f>
        <v>0xF042</v>
      </c>
      <c r="BU19" s="18" t="str">
        <f ca="1">IFERROR(__xludf.DUMMYFUNCTION("""COMPUTED_VALUE"""),"32")</f>
        <v>32</v>
      </c>
      <c r="BW19" s="10"/>
      <c r="BY19" s="18" t="str">
        <f ca="1">IFERROR(__xludf.DUMMYFUNCTION("""COMPUTED_VALUE"""),"temp_sensors_online")</f>
        <v>temp_sensors_online</v>
      </c>
      <c r="BZ19" s="18" t="str">
        <f ca="1">IFERROR(__xludf.DUMMYFUNCTION("""COMPUTED_VALUE"""),"0x0201")</f>
        <v>0x0201</v>
      </c>
      <c r="CA19" s="18" t="str">
        <f ca="1">IFERROR(__xludf.DUMMYFUNCTION("""COMPUTED_VALUE"""),"0xF052")</f>
        <v>0xF052</v>
      </c>
      <c r="CB19" s="18" t="str">
        <f ca="1">IFERROR(__xludf.DUMMYFUNCTION("""COMPUTED_VALUE"""),"0")</f>
        <v>0</v>
      </c>
      <c r="CC19" s="18" t="str">
        <f ca="1">IFERROR(__xludf.DUMMYFUNCTION("""COMPUTED_VALUE"""),"3600")</f>
        <v>3600</v>
      </c>
      <c r="CD19" s="18" t="str">
        <f ca="1">IFERROR(__xludf.DUMMYFUNCTION("""COMPUTED_VALUE"""),"0")</f>
        <v>0</v>
      </c>
      <c r="CF19" s="10"/>
      <c r="CH19" s="18" t="str">
        <f ca="1">IFERROR(__xludf.DUMMYFUNCTION("""COMPUTED_VALUE"""),"hvac_test_mode_timeout")</f>
        <v>hvac_test_mode_timeout</v>
      </c>
      <c r="CI19" s="18" t="str">
        <f ca="1">IFERROR(__xludf.DUMMYFUNCTION("""COMPUTED_VALUE"""),"0x0201")</f>
        <v>0x0201</v>
      </c>
      <c r="CJ19" s="18" t="str">
        <f ca="1">IFERROR(__xludf.DUMMYFUNCTION("""COMPUTED_VALUE"""),"0xF04B")</f>
        <v>0xF04B</v>
      </c>
      <c r="CK19" s="18" t="str">
        <f ca="1">IFERROR(__xludf.DUMMYFUNCTION("""COMPUTED_VALUE"""),"86400")</f>
        <v>86400</v>
      </c>
      <c r="CM19" s="10"/>
      <c r="CO19" s="18" t="str">
        <f ca="1">IFERROR(__xludf.DUMMYFUNCTION("""COMPUTED_VALUE"""),"schedule_paused")</f>
        <v>schedule_paused</v>
      </c>
      <c r="CP19" s="18" t="str">
        <f ca="1"/>
        <v>0x0201</v>
      </c>
      <c r="CQ19" s="18" t="str">
        <f ca="1"/>
        <v>0xF111</v>
      </c>
      <c r="CR19" s="18" t="str">
        <f ca="1"/>
        <v>0</v>
      </c>
      <c r="CS19" s="18" t="str">
        <f ca="1"/>
        <v>3600</v>
      </c>
      <c r="CT19" s="18" t="str">
        <f ca="1"/>
        <v>0</v>
      </c>
      <c r="CV19" s="10"/>
      <c r="CX19" s="18" t="str">
        <f ca="1">IFERROR(__xludf.DUMMYFUNCTION("""COMPUTED_VALUE"""),"primary_temp_sensor")</f>
        <v>primary_temp_sensor</v>
      </c>
      <c r="CY19" s="18" t="str">
        <f ca="1"/>
        <v>0x0201</v>
      </c>
      <c r="CZ19" s="18" t="str">
        <f ca="1"/>
        <v>0xF04F</v>
      </c>
      <c r="DA19" s="18" t="str">
        <f ca="1"/>
        <v>86400</v>
      </c>
      <c r="DC19" s="10"/>
      <c r="DE19" s="18" t="str">
        <f ca="1">IFERROR(__xludf.DUMMYFUNCTION("""COMPUTED_VALUE"""),"humidity_units")</f>
        <v>humidity_units</v>
      </c>
      <c r="DF19" s="18" t="str">
        <f ca="1">IFERROR(__xludf.DUMMYFUNCTION("""COMPUTED_VALUE"""),"0x0201")</f>
        <v>0x0201</v>
      </c>
      <c r="DG19" s="18" t="str">
        <f ca="1">IFERROR(__xludf.DUMMYFUNCTION("""COMPUTED_VALUE"""),"0xF06B")</f>
        <v>0xF06B</v>
      </c>
      <c r="DH19" s="18" t="str">
        <f ca="1">IFERROR(__xludf.DUMMYFUNCTION("""COMPUTED_VALUE"""),"""RH""")</f>
        <v>"RH"</v>
      </c>
      <c r="DI19" s="18" t="str">
        <f ca="1">IFERROR(__xludf.DUMMYFUNCTION("""COMPUTED_VALUE"""),"""dew_point""")</f>
        <v>"dew_point"</v>
      </c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</row>
    <row r="20" spans="1:149" ht="15.75" customHeight="1" x14ac:dyDescent="0.25">
      <c r="A20" s="9" t="s">
        <v>59</v>
      </c>
      <c r="B20" s="9"/>
      <c r="C20" s="9"/>
      <c r="D20" s="9"/>
      <c r="E20" s="9"/>
      <c r="F20" s="9"/>
      <c r="G20" s="9"/>
      <c r="H20" s="3" t="str">
        <f ca="1">IFERROR(__xludf.DUMMYFUNCTION("""COMPUTED_VALUE"""),"")</f>
        <v/>
      </c>
      <c r="I20" s="9" t="s">
        <v>29</v>
      </c>
      <c r="J20" s="9" t="s">
        <v>29</v>
      </c>
      <c r="K20" s="9" t="s">
        <v>29</v>
      </c>
      <c r="L20" s="9" t="s">
        <v>29</v>
      </c>
      <c r="M20" s="9" t="s">
        <v>29</v>
      </c>
      <c r="N20" s="9"/>
      <c r="O20" s="10"/>
      <c r="P20" s="19"/>
      <c r="Q20" s="10" t="str">
        <f ca="1">IFERROR(__xludf.DUMMYFUNCTION("""COMPUTED_VALUE"""),"")</f>
        <v/>
      </c>
      <c r="R20" s="19"/>
      <c r="S20" s="20" t="str">
        <f ca="1">IFERROR(__xludf.DUMMYFUNCTION("""COMPUTED_VALUE"""),"aquastat_hysteresis_time,10,260,513,61603,32,5,,,,86400")</f>
        <v>aquastat_hysteresis_time,10,260,513,61603,32,5,,,,86400</v>
      </c>
      <c r="X20" s="18" t="str">
        <f ca="1">IFERROR(__xludf.DUMMYFUNCTION("""COMPUTED_VALUE"""),"aquastat_high_temp_threshold")</f>
        <v>aquastat_high_temp_threshold</v>
      </c>
      <c r="BL20" s="18" t="str">
        <f ca="1">IFERROR(__xludf.DUMMYFUNCTION("""COMPUTED_VALUE"""),"remote_controller_error_code")</f>
        <v>remote_controller_error_code</v>
      </c>
      <c r="BM20" s="18" t="str">
        <f ca="1">IFERROR(__xludf.DUMMYFUNCTION("""COMPUTED_VALUE"""),"0x0201")</f>
        <v>0x0201</v>
      </c>
      <c r="BN20" s="18" t="str">
        <f ca="1">IFERROR(__xludf.DUMMYFUNCTION("""COMPUTED_VALUE"""),"0xF07A")</f>
        <v>0xF07A</v>
      </c>
      <c r="BP20" s="10"/>
      <c r="BR20" s="18" t="str">
        <f ca="1">IFERROR(__xludf.DUMMYFUNCTION("""COMPUTED_VALUE"""),"setback_min")</f>
        <v>setback_min</v>
      </c>
      <c r="BS20" s="18" t="str">
        <f ca="1">IFERROR(__xludf.DUMMYFUNCTION("""COMPUTED_VALUE"""),"0x0201")</f>
        <v>0x0201</v>
      </c>
      <c r="BT20" s="18" t="str">
        <f ca="1">IFERROR(__xludf.DUMMYFUNCTION("""COMPUTED_VALUE"""),"0xF043")</f>
        <v>0xF043</v>
      </c>
      <c r="BU20" s="18" t="str">
        <f ca="1">IFERROR(__xludf.DUMMYFUNCTION("""COMPUTED_VALUE"""),"15.56")</f>
        <v>15.56</v>
      </c>
      <c r="BW20" s="10"/>
      <c r="BY20" s="18" t="str">
        <f ca="1">IFERROR(__xludf.DUMMYFUNCTION("""COMPUTED_VALUE"""),"thermo_speed")</f>
        <v>thermo_speed</v>
      </c>
      <c r="BZ20" s="18" t="str">
        <f ca="1">IFERROR(__xludf.DUMMYFUNCTION("""COMPUTED_VALUE"""),"0x0201")</f>
        <v>0x0201</v>
      </c>
      <c r="CA20" s="18" t="str">
        <f ca="1">IFERROR(__xludf.DUMMYFUNCTION("""COMPUTED_VALUE"""),"0xF055")</f>
        <v>0xF055</v>
      </c>
      <c r="CB20" s="18" t="str">
        <f ca="1">IFERROR(__xludf.DUMMYFUNCTION("""COMPUTED_VALUE"""),"0")</f>
        <v>0</v>
      </c>
      <c r="CC20" s="18" t="str">
        <f ca="1">IFERROR(__xludf.DUMMYFUNCTION("""COMPUTED_VALUE"""),"3600")</f>
        <v>3600</v>
      </c>
      <c r="CD20" s="18" t="str">
        <f ca="1">IFERROR(__xludf.DUMMYFUNCTION("""COMPUTED_VALUE"""),"0")</f>
        <v>0</v>
      </c>
      <c r="CF20" s="10"/>
      <c r="CH20" s="18" t="str">
        <f ca="1">IFERROR(__xludf.DUMMYFUNCTION("""COMPUTED_VALUE"""),"primary_temp_sensor")</f>
        <v>primary_temp_sensor</v>
      </c>
      <c r="CI20" s="18" t="str">
        <f ca="1">IFERROR(__xludf.DUMMYFUNCTION("""COMPUTED_VALUE"""),"0x0201")</f>
        <v>0x0201</v>
      </c>
      <c r="CJ20" s="18" t="str">
        <f ca="1">IFERROR(__xludf.DUMMYFUNCTION("""COMPUTED_VALUE"""),"0xF04F")</f>
        <v>0xF04F</v>
      </c>
      <c r="CK20" s="18" t="str">
        <f ca="1">IFERROR(__xludf.DUMMYFUNCTION("""COMPUTED_VALUE"""),"86400")</f>
        <v>86400</v>
      </c>
      <c r="CM20" s="10"/>
      <c r="CO20" s="18" t="str">
        <f ca="1">IFERROR(__xludf.DUMMYFUNCTION("""COMPUTED_VALUE"""),"dew_point_target")</f>
        <v>dew_point_target</v>
      </c>
      <c r="CP20" s="18" t="str">
        <f ca="1"/>
        <v>0x0201</v>
      </c>
      <c r="CQ20" s="18" t="str">
        <f ca="1"/>
        <v>0xF158</v>
      </c>
      <c r="CR20" s="18" t="str">
        <f ca="1"/>
        <v>0</v>
      </c>
      <c r="CS20" s="18" t="str">
        <f ca="1"/>
        <v>3600</v>
      </c>
      <c r="CT20" s="18" t="str">
        <f ca="1"/>
        <v>0</v>
      </c>
      <c r="CV20" s="10"/>
      <c r="CX20" s="18" t="str">
        <f ca="1">IFERROR(__xludf.DUMMYFUNCTION("""COMPUTED_VALUE"""),"local_secondary_temp_sensors")</f>
        <v>local_secondary_temp_sensors</v>
      </c>
      <c r="CY20" s="18" t="str">
        <f ca="1"/>
        <v>0x0201</v>
      </c>
      <c r="CZ20" s="18" t="str">
        <f ca="1"/>
        <v>0xF050</v>
      </c>
      <c r="DA20" s="18" t="str">
        <f ca="1"/>
        <v>86400</v>
      </c>
      <c r="DC20" s="10"/>
      <c r="DE20" s="18" t="str">
        <f ca="1">IFERROR(__xludf.DUMMYFUNCTION("""COMPUTED_VALUE"""),"dehumidification_stage")</f>
        <v>dehumidification_stage</v>
      </c>
      <c r="DF20" s="18" t="str">
        <f ca="1">IFERROR(__xludf.DUMMYFUNCTION("""COMPUTED_VALUE"""),"0x0201")</f>
        <v>0x0201</v>
      </c>
      <c r="DG20" s="18" t="str">
        <f ca="1">IFERROR(__xludf.DUMMYFUNCTION("""COMPUTED_VALUE"""),"0xF076")</f>
        <v>0xF076</v>
      </c>
      <c r="DH20" s="18" t="str">
        <f ca="1">IFERROR(__xludf.DUMMYFUNCTION("""COMPUTED_VALUE"""),"""off""")</f>
        <v>"off"</v>
      </c>
      <c r="DI20" s="18" t="str">
        <f ca="1">IFERROR(__xludf.DUMMYFUNCTION("""COMPUTED_VALUE"""),"""overdrive""")</f>
        <v>"overdrive"</v>
      </c>
      <c r="DJ20" s="18" t="str">
        <f ca="1">IFERROR(__xludf.DUMMYFUNCTION("""COMPUTED_VALUE"""),"""stage_1""")</f>
        <v>"stage_1"</v>
      </c>
      <c r="DK20" s="18" t="str">
        <f ca="1">IFERROR(__xludf.DUMMYFUNCTION("""COMPUTED_VALUE"""),"""stage_2""")</f>
        <v>"stage_2"</v>
      </c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</row>
    <row r="21" spans="1:149" ht="15.75" customHeight="1" x14ac:dyDescent="0.25">
      <c r="A21" s="15" t="s">
        <v>60</v>
      </c>
      <c r="B21" s="15">
        <v>65535</v>
      </c>
      <c r="C21" s="15" t="s">
        <v>45</v>
      </c>
      <c r="D21" s="16"/>
      <c r="E21" s="15"/>
      <c r="F21" s="15"/>
      <c r="G21" s="15"/>
      <c r="H21" s="17" t="str">
        <f ca="1">IFERROR(__xludf.DUMMYFUNCTION("""COMPUTED_VALUE"""),"x")</f>
        <v>x</v>
      </c>
      <c r="I21" s="15" t="s">
        <v>29</v>
      </c>
      <c r="J21" s="15" t="s">
        <v>29</v>
      </c>
      <c r="K21" s="15" t="s">
        <v>29</v>
      </c>
      <c r="L21" s="15" t="s">
        <v>29</v>
      </c>
      <c r="M21" s="15" t="s">
        <v>29</v>
      </c>
      <c r="N21" s="16"/>
      <c r="O21" s="18" t="s">
        <v>61</v>
      </c>
      <c r="P21" s="19"/>
      <c r="Q21" s="18" t="str">
        <f ca="1">IFERROR(__xludf.DUMMYFUNCTION("""COMPUTED_VALUE"""),"zb -a 0x0201 0xF069 65535")</f>
        <v>zb -a 0x0201 0xF069 65535</v>
      </c>
      <c r="R21" s="19"/>
      <c r="S21" s="20" t="str">
        <f ca="1">IFERROR(__xludf.DUMMYFUNCTION("""COMPUTED_VALUE"""),"aquastat_low_temp_threshold,10,260,513,61601,41,,,,,86400")</f>
        <v>aquastat_low_temp_threshold,10,260,513,61601,41,,,,,86400</v>
      </c>
      <c r="X21" s="18" t="str">
        <f ca="1">IFERROR(__xludf.DUMMYFUNCTION("""COMPUTED_VALUE"""),"aquastat_hysteresis_time")</f>
        <v>aquastat_hysteresis_time</v>
      </c>
      <c r="BL21" s="18" t="str">
        <f ca="1">IFERROR(__xludf.DUMMYFUNCTION("""COMPUTED_VALUE"""),"output_state")</f>
        <v>output_state</v>
      </c>
      <c r="BM21" s="18" t="str">
        <f ca="1">IFERROR(__xludf.DUMMYFUNCTION("""COMPUTED_VALUE"""),"0x0201")</f>
        <v>0x0201</v>
      </c>
      <c r="BN21" s="18" t="str">
        <f ca="1">IFERROR(__xludf.DUMMYFUNCTION("""COMPUTED_VALUE"""),"0xF082")</f>
        <v>0xF082</v>
      </c>
      <c r="BP21" s="10"/>
      <c r="BR21" s="18" t="str">
        <f ca="1">IFERROR(__xludf.DUMMYFUNCTION("""COMPUTED_VALUE"""),"setback_max")</f>
        <v>setback_max</v>
      </c>
      <c r="BS21" s="18" t="str">
        <f ca="1">IFERROR(__xludf.DUMMYFUNCTION("""COMPUTED_VALUE"""),"0x0201")</f>
        <v>0x0201</v>
      </c>
      <c r="BT21" s="18" t="str">
        <f ca="1">IFERROR(__xludf.DUMMYFUNCTION("""COMPUTED_VALUE"""),"0xF044")</f>
        <v>0xF044</v>
      </c>
      <c r="BU21" s="18" t="str">
        <f ca="1">IFERROR(__xludf.DUMMYFUNCTION("""COMPUTED_VALUE"""),"27.78")</f>
        <v>27.78</v>
      </c>
      <c r="BW21" s="10"/>
      <c r="BY21" s="18" t="str">
        <f ca="1">IFERROR(__xludf.DUMMYFUNCTION("""COMPUTED_VALUE"""),"drive_to_cool")</f>
        <v>drive_to_cool</v>
      </c>
      <c r="BZ21" s="18" t="str">
        <f ca="1">IFERROR(__xludf.DUMMYFUNCTION("""COMPUTED_VALUE"""),"0x0201")</f>
        <v>0x0201</v>
      </c>
      <c r="CA21" s="18" t="str">
        <f ca="1">IFERROR(__xludf.DUMMYFUNCTION("""COMPUTED_VALUE"""),"0xF056")</f>
        <v>0xF056</v>
      </c>
      <c r="CB21" s="18" t="str">
        <f ca="1">IFERROR(__xludf.DUMMYFUNCTION("""COMPUTED_VALUE"""),"0")</f>
        <v>0</v>
      </c>
      <c r="CC21" s="18" t="str">
        <f ca="1">IFERROR(__xludf.DUMMYFUNCTION("""COMPUTED_VALUE"""),"3600")</f>
        <v>3600</v>
      </c>
      <c r="CD21" s="18" t="str">
        <f ca="1">IFERROR(__xludf.DUMMYFUNCTION("""COMPUTED_VALUE"""),"0")</f>
        <v>0</v>
      </c>
      <c r="CF21" s="10"/>
      <c r="CH21" s="18" t="str">
        <f ca="1">IFERROR(__xludf.DUMMYFUNCTION("""COMPUTED_VALUE"""),"local_secondary_temp_sensors")</f>
        <v>local_secondary_temp_sensors</v>
      </c>
      <c r="CI21" s="18" t="str">
        <f ca="1">IFERROR(__xludf.DUMMYFUNCTION("""COMPUTED_VALUE"""),"0x0201")</f>
        <v>0x0201</v>
      </c>
      <c r="CJ21" s="18" t="str">
        <f ca="1">IFERROR(__xludf.DUMMYFUNCTION("""COMPUTED_VALUE"""),"0xF050")</f>
        <v>0xF050</v>
      </c>
      <c r="CK21" s="18" t="str">
        <f ca="1">IFERROR(__xludf.DUMMYFUNCTION("""COMPUTED_VALUE"""),"86400")</f>
        <v>86400</v>
      </c>
      <c r="CM21" s="10"/>
      <c r="CO21" s="18" t="str">
        <f ca="1">IFERROR(__xludf.DUMMYFUNCTION("""COMPUTED_VALUE"""),"fan_mode")</f>
        <v>fan_mode</v>
      </c>
      <c r="CP21" s="18" t="str">
        <f ca="1"/>
        <v>0x0202</v>
      </c>
      <c r="CQ21" s="18" t="str">
        <f ca="1"/>
        <v>0x0000</v>
      </c>
      <c r="CR21" s="18" t="str">
        <f ca="1"/>
        <v>0</v>
      </c>
      <c r="CS21" s="18" t="str">
        <f ca="1"/>
        <v>3600</v>
      </c>
      <c r="CT21" s="18" t="str">
        <f ca="1"/>
        <v>0</v>
      </c>
      <c r="CV21" s="10"/>
      <c r="CX21" s="18" t="str">
        <f ca="1">IFERROR(__xludf.DUMMYFUNCTION("""COMPUTED_VALUE"""),"remote_secondary_temp_sensors")</f>
        <v>remote_secondary_temp_sensors</v>
      </c>
      <c r="CY21" s="18" t="str">
        <f ca="1"/>
        <v>0x0201</v>
      </c>
      <c r="CZ21" s="18" t="str">
        <f ca="1"/>
        <v>0xF051</v>
      </c>
      <c r="DA21" s="18" t="str">
        <f ca="1"/>
        <v>86400</v>
      </c>
      <c r="DC21" s="10"/>
      <c r="DE21" s="18" t="str">
        <f ca="1">IFERROR(__xludf.DUMMYFUNCTION("""COMPUTED_VALUE"""),"active_remote_controller")</f>
        <v>active_remote_controller</v>
      </c>
      <c r="DF21" s="18" t="str">
        <f ca="1">IFERROR(__xludf.DUMMYFUNCTION("""COMPUTED_VALUE"""),"0x0201")</f>
        <v>0x0201</v>
      </c>
      <c r="DG21" s="18" t="str">
        <f ca="1">IFERROR(__xludf.DUMMYFUNCTION("""COMPUTED_VALUE"""),"0xF078")</f>
        <v>0xF078</v>
      </c>
      <c r="DH21" s="18" t="str">
        <f ca="1">IFERROR(__xludf.DUMMYFUNCTION("""COMPUTED_VALUE"""),"""none""")</f>
        <v>"none"</v>
      </c>
      <c r="DI21" s="18" t="str">
        <f ca="1">IFERROR(__xludf.DUMMYFUNCTION("""COMPUTED_VALUE"""),"""Intesis""")</f>
        <v>"Intesis"</v>
      </c>
      <c r="DJ21" s="18" t="str">
        <f ca="1">IFERROR(__xludf.DUMMYFUNCTION("""COMPUTED_VALUE"""),"""Mitsubishi""")</f>
        <v>"Mitsubishi"</v>
      </c>
      <c r="DK21" s="18" t="str">
        <f ca="1">IFERROR(__xludf.DUMMYFUNCTION("""COMPUTED_VALUE"""),"""LGModbus""")</f>
        <v>"LGModbus"</v>
      </c>
      <c r="DL21" s="18" t="str">
        <f ca="1">IFERROR(__xludf.DUMMYFUNCTION("""COMPUTED_VALUE"""),"""LGZigbee""")</f>
        <v>"LGZigbee"</v>
      </c>
      <c r="DM21" s="18" t="str">
        <f ca="1">IFERROR(__xludf.DUMMYFUNCTION("""COMPUTED_VALUE"""),"""IRGateway""")</f>
        <v>"IRGateway"</v>
      </c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</row>
    <row r="22" spans="1:149" ht="15.75" customHeight="1" x14ac:dyDescent="0.25">
      <c r="A22" s="15"/>
      <c r="B22" s="15"/>
      <c r="C22" s="15"/>
      <c r="D22" s="16"/>
      <c r="E22" s="15"/>
      <c r="F22" s="15"/>
      <c r="G22" s="15"/>
      <c r="H22" s="17" t="str">
        <f ca="1">IFERROR(__xludf.DUMMYFUNCTION("""COMPUTED_VALUE"""),"")</f>
        <v/>
      </c>
      <c r="I22" s="15" t="s">
        <v>29</v>
      </c>
      <c r="J22" s="15" t="s">
        <v>29</v>
      </c>
      <c r="K22" s="15" t="s">
        <v>29</v>
      </c>
      <c r="L22" s="15" t="s">
        <v>29</v>
      </c>
      <c r="M22" s="15" t="s">
        <v>29</v>
      </c>
      <c r="N22" s="16"/>
      <c r="P22" s="19"/>
      <c r="Q22" s="18" t="str">
        <f ca="1">IFERROR(__xludf.DUMMYFUNCTION("""COMPUTED_VALUE"""),"")</f>
        <v/>
      </c>
      <c r="R22" s="19"/>
      <c r="S22" s="20" t="str">
        <f ca="1">IFERROR(__xludf.DUMMYFUNCTION("""COMPUTED_VALUE"""),"aquastat_required_mode,10,260,513,61609,48,,0,3600,0")</f>
        <v>aquastat_required_mode,10,260,513,61609,48,,0,3600,0</v>
      </c>
      <c r="X22" s="18" t="str">
        <f ca="1">IFERROR(__xludf.DUMMYFUNCTION("""COMPUTED_VALUE"""),"aquastat_low_temp_threshold")</f>
        <v>aquastat_low_temp_threshold</v>
      </c>
      <c r="BL22" s="18" t="str">
        <f ca="1">IFERROR(__xludf.DUMMYFUNCTION("""COMPUTED_VALUE"""),"relay_state")</f>
        <v>relay_state</v>
      </c>
      <c r="BM22" s="18" t="str">
        <f ca="1">IFERROR(__xludf.DUMMYFUNCTION("""COMPUTED_VALUE"""),"0x0201")</f>
        <v>0x0201</v>
      </c>
      <c r="BN22" s="18" t="str">
        <f ca="1">IFERROR(__xludf.DUMMYFUNCTION("""COMPUTED_VALUE"""),"0xF091")</f>
        <v>0xF091</v>
      </c>
      <c r="BP22" s="10"/>
      <c r="BR22" s="18" t="str">
        <f ca="1">IFERROR(__xludf.DUMMYFUNCTION("""COMPUTED_VALUE"""),"deep_setback_min")</f>
        <v>deep_setback_min</v>
      </c>
      <c r="BS22" s="18" t="str">
        <f ca="1">IFERROR(__xludf.DUMMYFUNCTION("""COMPUTED_VALUE"""),"0x0201")</f>
        <v>0x0201</v>
      </c>
      <c r="BT22" s="18" t="str">
        <f ca="1">IFERROR(__xludf.DUMMYFUNCTION("""COMPUTED_VALUE"""),"0xF045")</f>
        <v>0xF045</v>
      </c>
      <c r="BU22" s="18" t="str">
        <f ca="1">IFERROR(__xludf.DUMMYFUNCTION("""COMPUTED_VALUE"""),"15.56")</f>
        <v>15.56</v>
      </c>
      <c r="BW22" s="10"/>
      <c r="BY22" s="18" t="str">
        <f ca="1">IFERROR(__xludf.DUMMYFUNCTION("""COMPUTED_VALUE"""),"drive_to_heat")</f>
        <v>drive_to_heat</v>
      </c>
      <c r="BZ22" s="18" t="str">
        <f ca="1">IFERROR(__xludf.DUMMYFUNCTION("""COMPUTED_VALUE"""),"0x0201")</f>
        <v>0x0201</v>
      </c>
      <c r="CA22" s="18" t="str">
        <f ca="1">IFERROR(__xludf.DUMMYFUNCTION("""COMPUTED_VALUE"""),"0xF057")</f>
        <v>0xF057</v>
      </c>
      <c r="CB22" s="18" t="str">
        <f ca="1">IFERROR(__xludf.DUMMYFUNCTION("""COMPUTED_VALUE"""),"0")</f>
        <v>0</v>
      </c>
      <c r="CC22" s="18" t="str">
        <f ca="1">IFERROR(__xludf.DUMMYFUNCTION("""COMPUTED_VALUE"""),"3600")</f>
        <v>3600</v>
      </c>
      <c r="CD22" s="18" t="str">
        <f ca="1">IFERROR(__xludf.DUMMYFUNCTION("""COMPUTED_VALUE"""),"0")</f>
        <v>0</v>
      </c>
      <c r="CF22" s="10"/>
      <c r="CH22" s="18" t="str">
        <f ca="1">IFERROR(__xludf.DUMMYFUNCTION("""COMPUTED_VALUE"""),"remote_secondary_temp_sensors")</f>
        <v>remote_secondary_temp_sensors</v>
      </c>
      <c r="CI22" s="18" t="str">
        <f ca="1">IFERROR(__xludf.DUMMYFUNCTION("""COMPUTED_VALUE"""),"0x0201")</f>
        <v>0x0201</v>
      </c>
      <c r="CJ22" s="18" t="str">
        <f ca="1">IFERROR(__xludf.DUMMYFUNCTION("""COMPUTED_VALUE"""),"0xF051")</f>
        <v>0xF051</v>
      </c>
      <c r="CK22" s="18" t="str">
        <f ca="1">IFERROR(__xludf.DUMMYFUNCTION("""COMPUTED_VALUE"""),"86400")</f>
        <v>86400</v>
      </c>
      <c r="CM22" s="10"/>
      <c r="CO22" s="18" t="str">
        <f ca="1">IFERROR(__xludf.DUMMYFUNCTION("""COMPUTED_VALUE"""),"do_not_disturb")</f>
        <v>do_not_disturb</v>
      </c>
      <c r="CP22" s="18" t="str">
        <f ca="1"/>
        <v>0xFC07</v>
      </c>
      <c r="CQ22" s="18" t="str">
        <f ca="1"/>
        <v>0x0001</v>
      </c>
      <c r="CR22" s="18" t="str">
        <f ca="1"/>
        <v>0</v>
      </c>
      <c r="CS22" s="18" t="str">
        <f ca="1"/>
        <v>3600</v>
      </c>
      <c r="CT22" s="18" t="str">
        <f ca="1"/>
        <v>0</v>
      </c>
      <c r="CV22" s="10"/>
      <c r="CX22" s="18" t="str">
        <f ca="1">IFERROR(__xludf.DUMMYFUNCTION("""COMPUTED_VALUE"""),"dehumidification_overdrive_temp_max")</f>
        <v>dehumidification_overdrive_temp_max</v>
      </c>
      <c r="CY22" s="18" t="str">
        <f ca="1"/>
        <v>0x0201</v>
      </c>
      <c r="CZ22" s="18" t="str">
        <f ca="1"/>
        <v>0xF05C</v>
      </c>
      <c r="DA22" s="18" t="str">
        <f ca="1"/>
        <v>86400</v>
      </c>
      <c r="DC22" s="10"/>
      <c r="DE22" s="18" t="str">
        <f ca="1">IFERROR(__xludf.DUMMYFUNCTION("""COMPUTED_VALUE"""),"output_state")</f>
        <v>output_state</v>
      </c>
      <c r="DF22" s="18" t="str">
        <f ca="1">IFERROR(__xludf.DUMMYFUNCTION("""COMPUTED_VALUE"""),"0x0201")</f>
        <v>0x0201</v>
      </c>
      <c r="DG22" s="18" t="str">
        <f ca="1">IFERROR(__xludf.DUMMYFUNCTION("""COMPUTED_VALUE"""),"0xF082")</f>
        <v>0xF082</v>
      </c>
      <c r="DH22" s="18" t="str">
        <f ca="1">IFERROR(__xludf.DUMMYFUNCTION("""COMPUTED_VALUE"""),"""idle""")</f>
        <v>"idle"</v>
      </c>
      <c r="DI22" s="18" t="str">
        <f ca="1">IFERROR(__xludf.DUMMYFUNCTION("""COMPUTED_VALUE"""),"""pre_cool""")</f>
        <v>"pre_cool"</v>
      </c>
      <c r="DJ22" s="18" t="str">
        <f ca="1">IFERROR(__xludf.DUMMYFUNCTION("""COMPUTED_VALUE"""),"""cool_low""")</f>
        <v>"cool_low"</v>
      </c>
      <c r="DK22" s="18" t="str">
        <f ca="1">IFERROR(__xludf.DUMMYFUNCTION("""COMPUTED_VALUE"""),"""cool_med""")</f>
        <v>"cool_med"</v>
      </c>
      <c r="DL22" s="18" t="str">
        <f ca="1">IFERROR(__xludf.DUMMYFUNCTION("""COMPUTED_VALUE"""),"""cool_high""")</f>
        <v>"cool_high"</v>
      </c>
      <c r="DM22" s="18" t="str">
        <f ca="1">IFERROR(__xludf.DUMMYFUNCTION("""COMPUTED_VALUE"""),"""post_cool""")</f>
        <v>"post_cool"</v>
      </c>
      <c r="DN22" s="18" t="str">
        <f ca="1">IFERROR(__xludf.DUMMYFUNCTION("""COMPUTED_VALUE"""),"""refresh_cool""")</f>
        <v>"refresh_cool"</v>
      </c>
      <c r="DO22" s="18" t="str">
        <f ca="1">IFERROR(__xludf.DUMMYFUNCTION("""COMPUTED_VALUE"""),"""dehum_cool""")</f>
        <v>"dehum_cool"</v>
      </c>
      <c r="DP22" s="18" t="str">
        <f ca="1">IFERROR(__xludf.DUMMYFUNCTION("""COMPUTED_VALUE"""),"""pre_heat""")</f>
        <v>"pre_heat"</v>
      </c>
      <c r="DQ22" s="18" t="str">
        <f ca="1">IFERROR(__xludf.DUMMYFUNCTION("""COMPUTED_VALUE"""),"""heat_low""")</f>
        <v>"heat_low"</v>
      </c>
      <c r="DR22" s="18" t="str">
        <f ca="1">IFERROR(__xludf.DUMMYFUNCTION("""COMPUTED_VALUE"""),"""heat_med""")</f>
        <v>"heat_med"</v>
      </c>
      <c r="DS22" s="18" t="str">
        <f ca="1">IFERROR(__xludf.DUMMYFUNCTION("""COMPUTED_VALUE"""),"""heat_high""")</f>
        <v>"heat_high"</v>
      </c>
      <c r="DT22" s="18" t="str">
        <f ca="1">IFERROR(__xludf.DUMMYFUNCTION("""COMPUTED_VALUE"""),"""post_heat""")</f>
        <v>"post_heat"</v>
      </c>
      <c r="DU22" s="18" t="str">
        <f ca="1">IFERROR(__xludf.DUMMYFUNCTION("""COMPUTED_VALUE"""),"""refresh_heat""")</f>
        <v>"refresh_heat"</v>
      </c>
      <c r="DV22" s="18" t="str">
        <f ca="1">IFERROR(__xludf.DUMMYFUNCTION("""COMPUTED_VALUE"""),"""dehum_heat""")</f>
        <v>"dehum_heat"</v>
      </c>
      <c r="DW22" s="18" t="str">
        <f ca="1">IFERROR(__xludf.DUMMYFUNCTION("""COMPUTED_VALUE"""),"""dehum_cool_2""")</f>
        <v>"dehum_cool_2"</v>
      </c>
      <c r="DX22" s="18" t="str">
        <f ca="1">IFERROR(__xludf.DUMMYFUNCTION("""COMPUTED_VALUE"""),"""dehum_heat_2""")</f>
        <v>"dehum_heat_2"</v>
      </c>
      <c r="DY22" s="18" t="str">
        <f ca="1">IFERROR(__xludf.DUMMYFUNCTION("""COMPUTED_VALUE"""),"""manual_fan_1""")</f>
        <v>"manual_fan_1"</v>
      </c>
      <c r="DZ22" s="18" t="str">
        <f ca="1">IFERROR(__xludf.DUMMYFUNCTION("""COMPUTED_VALUE"""),"""manual_fan_2""")</f>
        <v>"manual_fan_2"</v>
      </c>
      <c r="EA22" s="18" t="str">
        <f ca="1">IFERROR(__xludf.DUMMYFUNCTION("""COMPUTED_VALUE"""),"""manual_fan_3""")</f>
        <v>"manual_fan_3"</v>
      </c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</row>
    <row r="23" spans="1:149" ht="15.75" customHeight="1" x14ac:dyDescent="0.25">
      <c r="A23" s="9" t="s">
        <v>62</v>
      </c>
      <c r="B23" s="9"/>
      <c r="C23" s="9"/>
      <c r="D23" s="9"/>
      <c r="E23" s="9"/>
      <c r="F23" s="9"/>
      <c r="G23" s="9"/>
      <c r="H23" s="3" t="str">
        <f ca="1">IFERROR(__xludf.DUMMYFUNCTION("""COMPUTED_VALUE"""),"")</f>
        <v/>
      </c>
      <c r="I23" s="9" t="s">
        <v>29</v>
      </c>
      <c r="J23" s="9" t="s">
        <v>29</v>
      </c>
      <c r="K23" s="9" t="s">
        <v>29</v>
      </c>
      <c r="L23" s="9" t="s">
        <v>29</v>
      </c>
      <c r="M23" s="9" t="s">
        <v>29</v>
      </c>
      <c r="N23" s="16"/>
      <c r="O23" s="10"/>
      <c r="P23" s="19"/>
      <c r="Q23" s="10" t="str">
        <f ca="1">IFERROR(__xludf.DUMMYFUNCTION("""COMPUTED_VALUE"""),"")</f>
        <v/>
      </c>
      <c r="R23" s="19"/>
      <c r="S23" s="20" t="str">
        <f ca="1">IFERROR(__xludf.DUMMYFUNCTION("""COMPUTED_VALUE"""),"bacnet_oid,10,260,64517,39,35,,,,,86400")</f>
        <v>bacnet_oid,10,260,64517,39,35,,,,,86400</v>
      </c>
      <c r="X23" s="18" t="str">
        <f ca="1">IFERROR(__xludf.DUMMYFUNCTION("""COMPUTED_VALUE"""),"aquastat_required_mode")</f>
        <v>aquastat_required_mode</v>
      </c>
      <c r="BL23" s="18" t="str">
        <f ca="1">IFERROR(__xludf.DUMMYFUNCTION("""COMPUTED_VALUE"""),"relay_polarity")</f>
        <v>relay_polarity</v>
      </c>
      <c r="BM23" s="18" t="str">
        <f ca="1">IFERROR(__xludf.DUMMYFUNCTION("""COMPUTED_VALUE"""),"0x0201")</f>
        <v>0x0201</v>
      </c>
      <c r="BN23" s="18" t="str">
        <f ca="1">IFERROR(__xludf.DUMMYFUNCTION("""COMPUTED_VALUE"""),"0xF09D")</f>
        <v>0xF09D</v>
      </c>
      <c r="BP23" s="10"/>
      <c r="BR23" s="18" t="str">
        <f ca="1">IFERROR(__xludf.DUMMYFUNCTION("""COMPUTED_VALUE"""),"deep_setback_max")</f>
        <v>deep_setback_max</v>
      </c>
      <c r="BS23" s="18" t="str">
        <f ca="1">IFERROR(__xludf.DUMMYFUNCTION("""COMPUTED_VALUE"""),"0x0201")</f>
        <v>0x0201</v>
      </c>
      <c r="BT23" s="18" t="str">
        <f ca="1">IFERROR(__xludf.DUMMYFUNCTION("""COMPUTED_VALUE"""),"0xF046")</f>
        <v>0xF046</v>
      </c>
      <c r="BU23" s="18" t="str">
        <f ca="1">IFERROR(__xludf.DUMMYFUNCTION("""COMPUTED_VALUE"""),"27.78")</f>
        <v>27.78</v>
      </c>
      <c r="BW23" s="10"/>
      <c r="BY23" s="18" t="str">
        <f ca="1">IFERROR(__xludf.DUMMYFUNCTION("""COMPUTED_VALUE"""),"temp_protection_active")</f>
        <v>temp_protection_active</v>
      </c>
      <c r="BZ23" s="18" t="str">
        <f ca="1">IFERROR(__xludf.DUMMYFUNCTION("""COMPUTED_VALUE"""),"0x0201")</f>
        <v>0x0201</v>
      </c>
      <c r="CA23" s="18" t="str">
        <f ca="1">IFERROR(__xludf.DUMMYFUNCTION("""COMPUTED_VALUE"""),"0xF065")</f>
        <v>0xF065</v>
      </c>
      <c r="CB23" s="18" t="str">
        <f ca="1">IFERROR(__xludf.DUMMYFUNCTION("""COMPUTED_VALUE"""),"0")</f>
        <v>0</v>
      </c>
      <c r="CC23" s="18" t="str">
        <f ca="1">IFERROR(__xludf.DUMMYFUNCTION("""COMPUTED_VALUE"""),"3600")</f>
        <v>3600</v>
      </c>
      <c r="CD23" s="18" t="str">
        <f ca="1">IFERROR(__xludf.DUMMYFUNCTION("""COMPUTED_VALUE"""),"0")</f>
        <v>0</v>
      </c>
      <c r="CF23" s="10"/>
      <c r="CH23" s="18" t="str">
        <f ca="1">IFERROR(__xludf.DUMMYFUNCTION("""COMPUTED_VALUE"""),"dehumidification_overdrive_temp_max")</f>
        <v>dehumidification_overdrive_temp_max</v>
      </c>
      <c r="CI23" s="18" t="str">
        <f ca="1">IFERROR(__xludf.DUMMYFUNCTION("""COMPUTED_VALUE"""),"0x0201")</f>
        <v>0x0201</v>
      </c>
      <c r="CJ23" s="18" t="str">
        <f ca="1">IFERROR(__xludf.DUMMYFUNCTION("""COMPUTED_VALUE"""),"0xF05C")</f>
        <v>0xF05C</v>
      </c>
      <c r="CK23" s="18" t="str">
        <f ca="1">IFERROR(__xludf.DUMMYFUNCTION("""COMPUTED_VALUE"""),"86400")</f>
        <v>86400</v>
      </c>
      <c r="CM23" s="10"/>
      <c r="CO23" s="18" t="str">
        <f ca="1">IFERROR(__xludf.DUMMYFUNCTION("""COMPUTED_VALUE"""),"make_up_room")</f>
        <v>make_up_room</v>
      </c>
      <c r="CP23" s="18" t="str">
        <f ca="1"/>
        <v>0xFC07</v>
      </c>
      <c r="CQ23" s="18" t="str">
        <f ca="1"/>
        <v>0x0002</v>
      </c>
      <c r="CR23" s="18" t="str">
        <f ca="1"/>
        <v>0</v>
      </c>
      <c r="CS23" s="18" t="str">
        <f ca="1"/>
        <v>3600</v>
      </c>
      <c r="CT23" s="18" t="str">
        <f ca="1"/>
        <v>0</v>
      </c>
      <c r="CV23" s="10"/>
      <c r="CX23" s="18" t="str">
        <f ca="1">IFERROR(__xludf.DUMMYFUNCTION("""COMPUTED_VALUE"""),"dehumidification_second_stage_threshold")</f>
        <v>dehumidification_second_stage_threshold</v>
      </c>
      <c r="CY23" s="18" t="str">
        <f ca="1"/>
        <v>0x0201</v>
      </c>
      <c r="CZ23" s="18" t="str">
        <f ca="1"/>
        <v>0xF05D</v>
      </c>
      <c r="DA23" s="18" t="str">
        <f ca="1"/>
        <v>86400</v>
      </c>
      <c r="DC23" s="10"/>
      <c r="DE23" s="18" t="str">
        <f ca="1">IFERROR(__xludf.DUMMYFUNCTION("""COMPUTED_VALUE"""),"output_driving_state")</f>
        <v>output_driving_state</v>
      </c>
      <c r="DF23" s="18" t="str">
        <f ca="1">IFERROR(__xludf.DUMMYFUNCTION("""COMPUTED_VALUE"""),"0x0201")</f>
        <v>0x0201</v>
      </c>
      <c r="DG23" s="18" t="str">
        <f ca="1">IFERROR(__xludf.DUMMYFUNCTION("""COMPUTED_VALUE"""),"0xF083")</f>
        <v>0xF083</v>
      </c>
      <c r="DH23" s="18" t="str">
        <f ca="1">IFERROR(__xludf.DUMMYFUNCTION("""COMPUTED_VALUE"""),"""off""")</f>
        <v>"off"</v>
      </c>
      <c r="DI23" s="18" t="str">
        <f ca="1">IFERROR(__xludf.DUMMYFUNCTION("""COMPUTED_VALUE"""),"""cool""")</f>
        <v>"cool"</v>
      </c>
      <c r="DJ23" s="18" t="str">
        <f ca="1">IFERROR(__xludf.DUMMYFUNCTION("""COMPUTED_VALUE"""),"""heat""")</f>
        <v>"heat"</v>
      </c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</row>
    <row r="24" spans="1:149" ht="15.75" customHeight="1" x14ac:dyDescent="0.25">
      <c r="A24" s="15" t="s">
        <v>63</v>
      </c>
      <c r="B24" s="15" t="s">
        <v>64</v>
      </c>
      <c r="C24" s="15"/>
      <c r="D24" s="16"/>
      <c r="E24" s="15"/>
      <c r="F24" s="15"/>
      <c r="G24" s="15"/>
      <c r="H24" s="17" t="str">
        <f ca="1">IFERROR(__xludf.DUMMYFUNCTION("""COMPUTED_VALUE"""),"x")</f>
        <v>x</v>
      </c>
      <c r="I24" s="15" t="s">
        <v>29</v>
      </c>
      <c r="J24" s="15" t="s">
        <v>29</v>
      </c>
      <c r="K24" s="15" t="s">
        <v>29</v>
      </c>
      <c r="L24" s="15" t="s">
        <v>29</v>
      </c>
      <c r="M24" s="15" t="s">
        <v>29</v>
      </c>
      <c r="N24" s="16"/>
      <c r="O24" s="18" t="str">
        <f ca="1">IFERROR(__xludf.DUMMYFUNCTION("IF(A24="""","""",A24
&amp;"",""
&amp;HEX2DEC(VLOOKUP(A24,{'Data Model Parser'!$C$4:$C1626,'Data Model Parser'!$U$4:$U1626},2,0))
&amp;"",""
&amp;HEX2DEC(VLOOKUP(A24,{'Data Model Parser'!$C$4:$C1626,'Data Model Parser'!$V$4:$V1626},2,0))
&amp;"",""
&amp;HEX2DEC(VLOOKUP(A24,{'Data"&amp;" Model Parser'!$C$4:$C1626,'Data Model Parser'!$W$4:$W1626},2,0))
&amp;"",""
&amp;HEX2DEC(VLOOKUP(A24,{'Data Model Parser'!$C$4:$C1626,'Data Model Parser'!$T$4:$T1626},2,0))
&amp;"",""
&amp;HEX2DEC(VLOOKUP(A24,{'Data Model Parser'!$C$4:$C1626,'Data Model Parser'!$X$4:$X1"&amp;"626},2,0))
&amp;"",""
&amp;IFS(B24="""","""",REGEXREPLACE(B24,CHAR(34),"""")=""cool_only"",""1"",REGEXREPLACE(B24,CHAR(34),"""")=""heat_only"",""2"",REGEXREPLACE(B24,CHAR(34),"""")=""cool+heat"",""3"",REGEXREPLACE(B24,CHAR(34),"""")=""auto"",""4"")
&amp;"",""
&amp;IF(VLO"&amp;"OKUP(A24,{'Data Model Parser'!$C$4:$C1626,'Data Model Parser'!$G$4:$G1626},2,0)=""polled"","",,,""&amp;VLOOKUP(A24,{'Data Model Parser'!$C$4:$C1626,'Data Model Parser'!$H$4:$H1626},2,0),
IF(VLOOKUP(A24,{'Data Model Parser'!$C$4:$C1626,'Data Model Parser'!$G$4"&amp;":$G1626},2,0)=""reported"",
IFS(E24&lt;&gt;"""",E24&amp;"","",
E24="""",VLOOKUP(A24,{'Data Model Parser'!$C$4:$C1626,'Data Model Parser'!$J$4:$J1626},2,0)&amp;"","")
&amp;IFS(F24&lt;&gt;"""",F24&amp;"","",
F24="""",VLOOKUP(A24,{'Data Model Parser'!$C$4:$C1626,'Data Model Parser'!$I$"&amp;"4:$I1626},2,0)&amp;"","")
&amp;IFS(G24&lt;&gt;"""",G24,
G24="""",VLOOKUP(A24,{'Data Model Parser'!$C$4:$C1626,'Data Model Parser'!$K$4:$K1626},2,0)))))"),"modes_available,10,260,513,61504,24,2,,,,86400")</f>
        <v>modes_available,10,260,513,61504,24,2,,,,86400</v>
      </c>
      <c r="P24" s="19"/>
      <c r="Q24" s="18" t="str">
        <f ca="1">IFERROR(__xludf.DUMMYFUNCTION("""COMPUTED_VALUE"""),"zb -a 0x0201 0xF040 2")</f>
        <v>zb -a 0x0201 0xF040 2</v>
      </c>
      <c r="R24" s="19"/>
      <c r="S24" s="20" t="str">
        <f ca="1">IFERROR(__xludf.DUMMYFUNCTION("""COMPUTED_VALUE"""),"changeover_hysteresis,10,260,513,61512,33,167,,,,86400")</f>
        <v>changeover_hysteresis,10,260,513,61512,33,167,,,,86400</v>
      </c>
      <c r="X24" s="18" t="str">
        <f ca="1">IFERROR(__xludf.DUMMYFUNCTION("""COMPUTED_VALUE"""),"bacnet_oid")</f>
        <v>bacnet_oid</v>
      </c>
      <c r="Y24" s="18" t="str">
        <f ca="1">IFERROR(__xludf.DUMMYFUNCTION("UNIQUE(FILTER({$DE$4:$DE1626,$DH$4:$ES1626}, $DE$4:$DE1626=A24))"),"modes_available")</f>
        <v>modes_available</v>
      </c>
      <c r="Z24" s="18" t="str">
        <f ca="1">IFERROR(__xludf.DUMMYFUNCTION("""COMPUTED_VALUE"""),"""cool_only""")</f>
        <v>"cool_only"</v>
      </c>
      <c r="AA24" s="18" t="str">
        <f ca="1">IFERROR(__xludf.DUMMYFUNCTION("""COMPUTED_VALUE"""),"""heat_only""")</f>
        <v>"heat_only"</v>
      </c>
      <c r="AB24" s="18" t="str">
        <f ca="1">IFERROR(__xludf.DUMMYFUNCTION("""COMPUTED_VALUE"""),"""cool+heat""")</f>
        <v>"cool+heat"</v>
      </c>
      <c r="AC24" s="18" t="str">
        <f ca="1">IFERROR(__xludf.DUMMYFUNCTION("""COMPUTED_VALUE"""),"""auto""")</f>
        <v>"auto"</v>
      </c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 t="str">
        <f ca="1">IFERROR(__xludf.DUMMYFUNCTION("""COMPUTED_VALUE"""),"aquastat_required_mode")</f>
        <v>aquastat_required_mode</v>
      </c>
      <c r="BM24" s="18" t="str">
        <f ca="1">IFERROR(__xludf.DUMMYFUNCTION("""COMPUTED_VALUE"""),"0x0201")</f>
        <v>0x0201</v>
      </c>
      <c r="BN24" s="18" t="str">
        <f ca="1">IFERROR(__xludf.DUMMYFUNCTION("""COMPUTED_VALUE"""),"0xF0A9")</f>
        <v>0xF0A9</v>
      </c>
      <c r="BP24" s="10"/>
      <c r="BR24" s="18" t="str">
        <f ca="1">IFERROR(__xludf.DUMMYFUNCTION("""COMPUTED_VALUE"""),"display_setpoint")</f>
        <v>display_setpoint</v>
      </c>
      <c r="BS24" s="18" t="str">
        <f ca="1">IFERROR(__xludf.DUMMYFUNCTION("""COMPUTED_VALUE"""),"0x0201")</f>
        <v>0x0201</v>
      </c>
      <c r="BT24" s="18" t="str">
        <f ca="1">IFERROR(__xludf.DUMMYFUNCTION("""COMPUTED_VALUE"""),"0xF047")</f>
        <v>0xF047</v>
      </c>
      <c r="BU24" s="18" t="str">
        <f ca="1">IFERROR(__xludf.DUMMYFUNCTION("""COMPUTED_VALUE"""),"null")</f>
        <v>null</v>
      </c>
      <c r="BW24" s="10"/>
      <c r="BY24" s="18" t="str">
        <f ca="1">IFERROR(__xludf.DUMMYFUNCTION("""COMPUTED_VALUE"""),"state_variable_0")</f>
        <v>state_variable_0</v>
      </c>
      <c r="BZ24" s="18" t="str">
        <f ca="1">IFERROR(__xludf.DUMMYFUNCTION("""COMPUTED_VALUE"""),"0x0201")</f>
        <v>0x0201</v>
      </c>
      <c r="CA24" s="18" t="str">
        <f ca="1">IFERROR(__xludf.DUMMYFUNCTION("""COMPUTED_VALUE"""),"0xF06E")</f>
        <v>0xF06E</v>
      </c>
      <c r="CB24" s="18" t="str">
        <f ca="1">IFERROR(__xludf.DUMMYFUNCTION("""COMPUTED_VALUE"""),"0")</f>
        <v>0</v>
      </c>
      <c r="CC24" s="18" t="str">
        <f ca="1">IFERROR(__xludf.DUMMYFUNCTION("""COMPUTED_VALUE"""),"900")</f>
        <v>900</v>
      </c>
      <c r="CD24" s="18" t="str">
        <f ca="1">IFERROR(__xludf.DUMMYFUNCTION("""COMPUTED_VALUE"""),"0")</f>
        <v>0</v>
      </c>
      <c r="CF24" s="10"/>
      <c r="CH24" s="18" t="str">
        <f ca="1">IFERROR(__xludf.DUMMYFUNCTION("""COMPUTED_VALUE"""),"dehumidification_second_stage_threshold")</f>
        <v>dehumidification_second_stage_threshold</v>
      </c>
      <c r="CI24" s="18" t="str">
        <f ca="1">IFERROR(__xludf.DUMMYFUNCTION("""COMPUTED_VALUE"""),"0x0201")</f>
        <v>0x0201</v>
      </c>
      <c r="CJ24" s="18" t="str">
        <f ca="1">IFERROR(__xludf.DUMMYFUNCTION("""COMPUTED_VALUE"""),"0xF05D")</f>
        <v>0xF05D</v>
      </c>
      <c r="CK24" s="18" t="str">
        <f ca="1">IFERROR(__xludf.DUMMYFUNCTION("""COMPUTED_VALUE"""),"86400")</f>
        <v>86400</v>
      </c>
      <c r="CM24" s="10"/>
      <c r="CO24" s="18" t="str">
        <f ca="1">IFERROR(__xludf.DUMMYFUNCTION("""COMPUTED_VALUE"""),"green_mode_active")</f>
        <v>green_mode_active</v>
      </c>
      <c r="CP24" s="18" t="str">
        <f ca="1"/>
        <v>0xFC07</v>
      </c>
      <c r="CQ24" s="18" t="str">
        <f ca="1"/>
        <v>0x0007</v>
      </c>
      <c r="CR24" s="18" t="str">
        <f ca="1"/>
        <v>0</v>
      </c>
      <c r="CS24" s="18" t="str">
        <f ca="1"/>
        <v>3600</v>
      </c>
      <c r="CT24" s="18" t="str">
        <f ca="1"/>
        <v>0</v>
      </c>
      <c r="CV24" s="10"/>
      <c r="CX24" s="18" t="str">
        <f ca="1">IFERROR(__xludf.DUMMYFUNCTION("""COMPUTED_VALUE"""),"dehumidification_min_cycle_time")</f>
        <v>dehumidification_min_cycle_time</v>
      </c>
      <c r="CY24" s="18" t="str">
        <f ca="1"/>
        <v>0x0201</v>
      </c>
      <c r="CZ24" s="18" t="str">
        <f ca="1"/>
        <v>0xF05E</v>
      </c>
      <c r="DA24" s="18" t="str">
        <f ca="1"/>
        <v>86400</v>
      </c>
      <c r="DC24" s="10"/>
      <c r="DE24" s="18" t="str">
        <f ca="1">IFERROR(__xludf.DUMMYFUNCTION("""COMPUTED_VALUE"""),"aquastat_chilled_modes_available")</f>
        <v>aquastat_chilled_modes_available</v>
      </c>
      <c r="DF24" s="18" t="str">
        <f ca="1">IFERROR(__xludf.DUMMYFUNCTION("""COMPUTED_VALUE"""),"0x0201")</f>
        <v>0x0201</v>
      </c>
      <c r="DG24" s="18" t="str">
        <f ca="1">IFERROR(__xludf.DUMMYFUNCTION("""COMPUTED_VALUE"""),"0xF0A5")</f>
        <v>0xF0A5</v>
      </c>
      <c r="DH24" s="18" t="str">
        <f ca="1">IFERROR(__xludf.DUMMYFUNCTION("""COMPUTED_VALUE"""),"""cool_only""")</f>
        <v>"cool_only"</v>
      </c>
      <c r="DI24" s="18" t="str">
        <f ca="1">IFERROR(__xludf.DUMMYFUNCTION("""COMPUTED_VALUE"""),"""heat_only""")</f>
        <v>"heat_only"</v>
      </c>
      <c r="DJ24" s="18" t="str">
        <f ca="1">IFERROR(__xludf.DUMMYFUNCTION("""COMPUTED_VALUE"""),"""cool+heat""")</f>
        <v>"cool+heat"</v>
      </c>
      <c r="DK24" s="18" t="str">
        <f ca="1">IFERROR(__xludf.DUMMYFUNCTION("""COMPUTED_VALUE"""),"""auto""")</f>
        <v>"auto"</v>
      </c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</row>
    <row r="25" spans="1:149" ht="15.75" customHeight="1" x14ac:dyDescent="0.25">
      <c r="A25" s="15" t="s">
        <v>65</v>
      </c>
      <c r="B25" s="15">
        <v>3</v>
      </c>
      <c r="C25" s="15" t="s">
        <v>39</v>
      </c>
      <c r="D25" s="16"/>
      <c r="E25" s="15"/>
      <c r="F25" s="15"/>
      <c r="G25" s="15"/>
      <c r="H25" s="17" t="str">
        <f ca="1">IFERROR(__xludf.DUMMYFUNCTION("""COMPUTED_VALUE"""),"x")</f>
        <v>x</v>
      </c>
      <c r="I25" s="15" t="s">
        <v>29</v>
      </c>
      <c r="J25" s="15" t="s">
        <v>29</v>
      </c>
      <c r="K25" s="15" t="s">
        <v>29</v>
      </c>
      <c r="L25" s="15" t="s">
        <v>29</v>
      </c>
      <c r="M25" s="15" t="s">
        <v>29</v>
      </c>
      <c r="N25" s="16"/>
      <c r="O25" s="18" t="s">
        <v>66</v>
      </c>
      <c r="P25" s="19"/>
      <c r="Q25" s="18" t="str">
        <f ca="1">IFERROR(__xludf.DUMMYFUNCTION("""COMPUTED_VALUE"""),"zb -a 0x0201 0xF048 167")</f>
        <v>zb -a 0x0201 0xF048 167</v>
      </c>
      <c r="R25" s="19"/>
      <c r="S25" s="20" t="str">
        <f ca="1">IFERROR(__xludf.DUMMYFUNCTION("""COMPUTED_VALUE"""),"changeover_relay_inverted,10,260,513,61584,16,1,,,,86400")</f>
        <v>changeover_relay_inverted,10,260,513,61584,16,1,,,,86400</v>
      </c>
      <c r="X25" s="18" t="str">
        <f ca="1">IFERROR(__xludf.DUMMYFUNCTION("""COMPUTED_VALUE"""),"changeover_hysteresis")</f>
        <v>changeover_hysteresis</v>
      </c>
      <c r="BL25" s="18" t="str">
        <f ca="1">IFERROR(__xludf.DUMMYFUNCTION("""COMPUTED_VALUE"""),"aquastat_applied_mode")</f>
        <v>aquastat_applied_mode</v>
      </c>
      <c r="BM25" s="18" t="str">
        <f ca="1">IFERROR(__xludf.DUMMYFUNCTION("""COMPUTED_VALUE"""),"0x0201")</f>
        <v>0x0201</v>
      </c>
      <c r="BN25" s="18" t="str">
        <f ca="1">IFERROR(__xludf.DUMMYFUNCTION("""COMPUTED_VALUE"""),"0xF0AA")</f>
        <v>0xF0AA</v>
      </c>
      <c r="BP25" s="10"/>
      <c r="BR25" s="18" t="str">
        <f ca="1">IFERROR(__xludf.DUMMYFUNCTION("""COMPUTED_VALUE"""),"changeover_hysteresis")</f>
        <v>changeover_hysteresis</v>
      </c>
      <c r="BS25" s="18" t="str">
        <f ca="1">IFERROR(__xludf.DUMMYFUNCTION("""COMPUTED_VALUE"""),"0x0201")</f>
        <v>0x0201</v>
      </c>
      <c r="BT25" s="18" t="str">
        <f ca="1">IFERROR(__xludf.DUMMYFUNCTION("""COMPUTED_VALUE"""),"0xF048")</f>
        <v>0xF048</v>
      </c>
      <c r="BU25" s="18" t="str">
        <f ca="1">IFERROR(__xludf.DUMMYFUNCTION("""COMPUTED_VALUE"""),"2")</f>
        <v>2</v>
      </c>
      <c r="BW25" s="10"/>
      <c r="BY25" s="18" t="str">
        <f ca="1">IFERROR(__xludf.DUMMYFUNCTION("""COMPUTED_VALUE"""),"state_variable_1")</f>
        <v>state_variable_1</v>
      </c>
      <c r="BZ25" s="18" t="str">
        <f ca="1">IFERROR(__xludf.DUMMYFUNCTION("""COMPUTED_VALUE"""),"0x0201")</f>
        <v>0x0201</v>
      </c>
      <c r="CA25" s="18" t="str">
        <f ca="1">IFERROR(__xludf.DUMMYFUNCTION("""COMPUTED_VALUE"""),"0xF06F")</f>
        <v>0xF06F</v>
      </c>
      <c r="CB25" s="18" t="str">
        <f ca="1">IFERROR(__xludf.DUMMYFUNCTION("""COMPUTED_VALUE"""),"0")</f>
        <v>0</v>
      </c>
      <c r="CC25" s="18" t="str">
        <f ca="1">IFERROR(__xludf.DUMMYFUNCTION("""COMPUTED_VALUE"""),"900")</f>
        <v>900</v>
      </c>
      <c r="CD25" s="18" t="str">
        <f ca="1">IFERROR(__xludf.DUMMYFUNCTION("""COMPUTED_VALUE"""),"0")</f>
        <v>0</v>
      </c>
      <c r="CF25" s="10"/>
      <c r="CH25" s="18" t="str">
        <f ca="1">IFERROR(__xludf.DUMMYFUNCTION("""COMPUTED_VALUE"""),"dehumidification_min_cycle_time")</f>
        <v>dehumidification_min_cycle_time</v>
      </c>
      <c r="CI25" s="18" t="str">
        <f ca="1">IFERROR(__xludf.DUMMYFUNCTION("""COMPUTED_VALUE"""),"0x0201")</f>
        <v>0x0201</v>
      </c>
      <c r="CJ25" s="18" t="str">
        <f ca="1">IFERROR(__xludf.DUMMYFUNCTION("""COMPUTED_VALUE"""),"0xF05E")</f>
        <v>0xF05E</v>
      </c>
      <c r="CK25" s="18" t="str">
        <f ca="1">IFERROR(__xludf.DUMMYFUNCTION("""COMPUTED_VALUE"""),"86400")</f>
        <v>86400</v>
      </c>
      <c r="CM25" s="10"/>
      <c r="CP25" s="18" t="str">
        <f ca="1"/>
        <v/>
      </c>
      <c r="CQ25" s="18" t="str">
        <f ca="1"/>
        <v/>
      </c>
      <c r="CR25" s="18" t="str">
        <f ca="1"/>
        <v/>
      </c>
      <c r="CS25" s="18" t="str">
        <f ca="1"/>
        <v/>
      </c>
      <c r="CT25" s="18" t="str">
        <f ca="1"/>
        <v/>
      </c>
      <c r="CV25" s="10"/>
      <c r="CX25" s="18" t="str">
        <f ca="1">IFERROR(__xludf.DUMMYFUNCTION("""COMPUTED_VALUE"""),"refresh_delay")</f>
        <v>refresh_delay</v>
      </c>
      <c r="CY25" s="18" t="str">
        <f ca="1"/>
        <v>0x0201</v>
      </c>
      <c r="CZ25" s="18" t="str">
        <f ca="1"/>
        <v>0xF05F</v>
      </c>
      <c r="DA25" s="18" t="str">
        <f ca="1"/>
        <v>86400</v>
      </c>
      <c r="DC25" s="10"/>
      <c r="DE25" s="18" t="str">
        <f ca="1">IFERROR(__xludf.DUMMYFUNCTION("""COMPUTED_VALUE"""),"aquastat_heated_modes_available")</f>
        <v>aquastat_heated_modes_available</v>
      </c>
      <c r="DF25" s="18" t="str">
        <f ca="1">IFERROR(__xludf.DUMMYFUNCTION("""COMPUTED_VALUE"""),"0x0201")</f>
        <v>0x0201</v>
      </c>
      <c r="DG25" s="18" t="str">
        <f ca="1">IFERROR(__xludf.DUMMYFUNCTION("""COMPUTED_VALUE"""),"0xF0A6")</f>
        <v>0xF0A6</v>
      </c>
      <c r="DH25" s="18" t="str">
        <f ca="1">IFERROR(__xludf.DUMMYFUNCTION("""COMPUTED_VALUE"""),"""cool_only""")</f>
        <v>"cool_only"</v>
      </c>
      <c r="DI25" s="18" t="str">
        <f ca="1">IFERROR(__xludf.DUMMYFUNCTION("""COMPUTED_VALUE"""),"""heat_only""")</f>
        <v>"heat_only"</v>
      </c>
      <c r="DJ25" s="18" t="str">
        <f ca="1">IFERROR(__xludf.DUMMYFUNCTION("""COMPUTED_VALUE"""),"""cool+heat""")</f>
        <v>"cool+heat"</v>
      </c>
      <c r="DK25" s="18" t="str">
        <f ca="1">IFERROR(__xludf.DUMMYFUNCTION("""COMPUTED_VALUE"""),"""auto""")</f>
        <v>"auto"</v>
      </c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</row>
    <row r="26" spans="1:149" ht="15.75" customHeight="1" x14ac:dyDescent="0.25">
      <c r="A26" s="15"/>
      <c r="B26" s="15"/>
      <c r="C26" s="15"/>
      <c r="D26" s="16"/>
      <c r="E26" s="15"/>
      <c r="F26" s="15"/>
      <c r="G26" s="15"/>
      <c r="H26" s="17" t="str">
        <f ca="1">IFERROR(__xludf.DUMMYFUNCTION("""COMPUTED_VALUE"""),"")</f>
        <v/>
      </c>
      <c r="I26" s="15" t="s">
        <v>29</v>
      </c>
      <c r="J26" s="15" t="s">
        <v>29</v>
      </c>
      <c r="K26" s="15" t="s">
        <v>29</v>
      </c>
      <c r="L26" s="15" t="s">
        <v>29</v>
      </c>
      <c r="M26" s="15" t="s">
        <v>29</v>
      </c>
      <c r="N26" s="16"/>
      <c r="P26" s="19"/>
      <c r="Q26" s="18" t="str">
        <f ca="1">IFERROR(__xludf.DUMMYFUNCTION("""COMPUTED_VALUE"""),"")</f>
        <v/>
      </c>
      <c r="R26" s="19"/>
      <c r="S26" s="20" t="str">
        <f ca="1">IFERROR(__xludf.DUMMYFUNCTION("""COMPUTED_VALUE"""),"comfort_zone,10,260,513,61672,33,167,,,,86400")</f>
        <v>comfort_zone,10,260,513,61672,33,167,,,,86400</v>
      </c>
      <c r="X26" s="18" t="str">
        <f ca="1">IFERROR(__xludf.DUMMYFUNCTION("""COMPUTED_VALUE"""),"changeover_relay_inverted")</f>
        <v>changeover_relay_inverted</v>
      </c>
      <c r="BL26" s="18" t="str">
        <f ca="1">IFERROR(__xludf.DUMMYFUNCTION("""COMPUTED_VALUE"""),"lanai_online")</f>
        <v>lanai_online</v>
      </c>
      <c r="BM26" s="18" t="str">
        <f ca="1">IFERROR(__xludf.DUMMYFUNCTION("""COMPUTED_VALUE"""),"0x0201")</f>
        <v>0x0201</v>
      </c>
      <c r="BN26" s="18" t="str">
        <f ca="1">IFERROR(__xludf.DUMMYFUNCTION("""COMPUTED_VALUE"""),"0xF0B3")</f>
        <v>0xF0B3</v>
      </c>
      <c r="BP26" s="10"/>
      <c r="BR26" s="18" t="str">
        <f ca="1">IFERROR(__xludf.DUMMYFUNCTION("""COMPUTED_VALUE"""),"thermo_speed_override")</f>
        <v>thermo_speed_override</v>
      </c>
      <c r="BS26" s="18" t="str">
        <f ca="1">IFERROR(__xludf.DUMMYFUNCTION("""COMPUTED_VALUE"""),"0x0201")</f>
        <v>0x0201</v>
      </c>
      <c r="BT26" s="18" t="str">
        <f ca="1">IFERROR(__xludf.DUMMYFUNCTION("""COMPUTED_VALUE"""),"0xF04A")</f>
        <v>0xF04A</v>
      </c>
      <c r="BU26" s="18" t="str">
        <f ca="1">IFERROR(__xludf.DUMMYFUNCTION("""COMPUTED_VALUE"""),"null")</f>
        <v>null</v>
      </c>
      <c r="BW26" s="10"/>
      <c r="BY26" s="18" t="str">
        <f ca="1">IFERROR(__xludf.DUMMYFUNCTION("""COMPUTED_VALUE"""),"state_variable_2")</f>
        <v>state_variable_2</v>
      </c>
      <c r="BZ26" s="18" t="str">
        <f ca="1">IFERROR(__xludf.DUMMYFUNCTION("""COMPUTED_VALUE"""),"0x0201")</f>
        <v>0x0201</v>
      </c>
      <c r="CA26" s="18" t="str">
        <f ca="1">IFERROR(__xludf.DUMMYFUNCTION("""COMPUTED_VALUE"""),"0xF070")</f>
        <v>0xF070</v>
      </c>
      <c r="CB26" s="18" t="str">
        <f ca="1">IFERROR(__xludf.DUMMYFUNCTION("""COMPUTED_VALUE"""),"0")</f>
        <v>0</v>
      </c>
      <c r="CC26" s="18" t="str">
        <f ca="1">IFERROR(__xludf.DUMMYFUNCTION("""COMPUTED_VALUE"""),"900")</f>
        <v>900</v>
      </c>
      <c r="CD26" s="18" t="str">
        <f ca="1">IFERROR(__xludf.DUMMYFUNCTION("""COMPUTED_VALUE"""),"0")</f>
        <v>0</v>
      </c>
      <c r="CF26" s="10"/>
      <c r="CH26" s="18" t="str">
        <f ca="1">IFERROR(__xludf.DUMMYFUNCTION("""COMPUTED_VALUE"""),"refresh_delay")</f>
        <v>refresh_delay</v>
      </c>
      <c r="CI26" s="18" t="str">
        <f ca="1">IFERROR(__xludf.DUMMYFUNCTION("""COMPUTED_VALUE"""),"0x0201")</f>
        <v>0x0201</v>
      </c>
      <c r="CJ26" s="18" t="str">
        <f ca="1">IFERROR(__xludf.DUMMYFUNCTION("""COMPUTED_VALUE"""),"0xF05F")</f>
        <v>0xF05F</v>
      </c>
      <c r="CK26" s="18" t="str">
        <f ca="1">IFERROR(__xludf.DUMMYFUNCTION("""COMPUTED_VALUE"""),"86400")</f>
        <v>86400</v>
      </c>
      <c r="CM26" s="10"/>
      <c r="CP26" s="18" t="str">
        <f ca="1"/>
        <v/>
      </c>
      <c r="CQ26" s="18" t="str">
        <f ca="1"/>
        <v/>
      </c>
      <c r="CR26" s="18" t="str">
        <f ca="1"/>
        <v/>
      </c>
      <c r="CS26" s="18" t="str">
        <f ca="1"/>
        <v/>
      </c>
      <c r="CT26" s="18" t="str">
        <f ca="1"/>
        <v/>
      </c>
      <c r="CV26" s="10"/>
      <c r="CX26" s="18" t="str">
        <f ca="1">IFERROR(__xludf.DUMMYFUNCTION("""COMPUTED_VALUE"""),"refresh_duration")</f>
        <v>refresh_duration</v>
      </c>
      <c r="CY26" s="18" t="str">
        <f ca="1"/>
        <v>0x0201</v>
      </c>
      <c r="CZ26" s="18" t="str">
        <f ca="1"/>
        <v>0xF060</v>
      </c>
      <c r="DA26" s="18" t="str">
        <f ca="1"/>
        <v>86400</v>
      </c>
      <c r="DC26" s="10"/>
      <c r="DE26" s="18" t="str">
        <f ca="1">IFERROR(__xludf.DUMMYFUNCTION("""COMPUTED_VALUE"""),"aquastat_chilled_changeover_mode")</f>
        <v>aquastat_chilled_changeover_mode</v>
      </c>
      <c r="DF26" s="18" t="str">
        <f ca="1">IFERROR(__xludf.DUMMYFUNCTION("""COMPUTED_VALUE"""),"0x0201")</f>
        <v>0x0201</v>
      </c>
      <c r="DG26" s="18" t="str">
        <f ca="1">IFERROR(__xludf.DUMMYFUNCTION("""COMPUTED_VALUE"""),"0xF0A7")</f>
        <v>0xF0A7</v>
      </c>
      <c r="DH26" s="18" t="str">
        <f ca="1">IFERROR(__xludf.DUMMYFUNCTION("""COMPUTED_VALUE"""),"""off""")</f>
        <v>"off"</v>
      </c>
      <c r="DI26" s="18" t="str">
        <f ca="1">IFERROR(__xludf.DUMMYFUNCTION("""COMPUTED_VALUE"""),"""cool""")</f>
        <v>"cool"</v>
      </c>
      <c r="DJ26" s="18" t="str">
        <f ca="1">IFERROR(__xludf.DUMMYFUNCTION("""COMPUTED_VALUE"""),"""heat""")</f>
        <v>"heat"</v>
      </c>
      <c r="DK26" s="18" t="str">
        <f ca="1">IFERROR(__xludf.DUMMYFUNCTION("""COMPUTED_VALUE"""),"""auto""")</f>
        <v>"auto"</v>
      </c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</row>
    <row r="27" spans="1:149" ht="15.75" customHeight="1" x14ac:dyDescent="0.25">
      <c r="A27" s="9" t="s">
        <v>67</v>
      </c>
      <c r="B27" s="21"/>
      <c r="C27" s="21"/>
      <c r="D27" s="21"/>
      <c r="E27" s="21"/>
      <c r="F27" s="21"/>
      <c r="G27" s="21"/>
      <c r="H27" s="8" t="str">
        <f ca="1">IFERROR(__xludf.DUMMYFUNCTION("""COMPUTED_VALUE"""),"")</f>
        <v/>
      </c>
      <c r="I27" s="21" t="s">
        <v>29</v>
      </c>
      <c r="J27" s="21" t="s">
        <v>29</v>
      </c>
      <c r="K27" s="21" t="s">
        <v>29</v>
      </c>
      <c r="L27" s="21" t="s">
        <v>29</v>
      </c>
      <c r="M27" s="21" t="s">
        <v>29</v>
      </c>
      <c r="N27" s="16"/>
      <c r="O27" s="10"/>
      <c r="P27" s="19"/>
      <c r="Q27" s="10" t="str">
        <f ca="1">IFERROR(__xludf.DUMMYFUNCTION("""COMPUTED_VALUE"""),"")</f>
        <v/>
      </c>
      <c r="R27" s="19"/>
      <c r="S27" s="20" t="str">
        <f ca="1">IFERROR(__xludf.DUMMYFUNCTION("""COMPUTED_VALUE"""),"config_menu_password,10,260,64517,0,33,48805,,,,86400")</f>
        <v>config_menu_password,10,260,64517,0,33,48805,,,,86400</v>
      </c>
      <c r="X27" s="18" t="str">
        <f ca="1">IFERROR(__xludf.DUMMYFUNCTION("""COMPUTED_VALUE"""),"comfort_zone")</f>
        <v>comfort_zone</v>
      </c>
      <c r="BL27" s="18" t="str">
        <f ca="1">IFERROR(__xludf.DUMMYFUNCTION("""COMPUTED_VALUE"""),"lanai_open")</f>
        <v>lanai_open</v>
      </c>
      <c r="BM27" s="18" t="str">
        <f ca="1">IFERROR(__xludf.DUMMYFUNCTION("""COMPUTED_VALUE"""),"0x0201")</f>
        <v>0x0201</v>
      </c>
      <c r="BN27" s="18" t="str">
        <f ca="1">IFERROR(__xludf.DUMMYFUNCTION("""COMPUTED_VALUE"""),"0xF0B4")</f>
        <v>0xF0B4</v>
      </c>
      <c r="BP27" s="10"/>
      <c r="BR27" s="18" t="str">
        <f ca="1">IFERROR(__xludf.DUMMYFUNCTION("""COMPUTED_VALUE"""),"hvac_test_mode_timeout")</f>
        <v>hvac_test_mode_timeout</v>
      </c>
      <c r="BS27" s="18" t="str">
        <f ca="1">IFERROR(__xludf.DUMMYFUNCTION("""COMPUTED_VALUE"""),"0x0201")</f>
        <v>0x0201</v>
      </c>
      <c r="BT27" s="18" t="str">
        <f ca="1">IFERROR(__xludf.DUMMYFUNCTION("""COMPUTED_VALUE"""),"0xF04B")</f>
        <v>0xF04B</v>
      </c>
      <c r="BU27" s="18" t="str">
        <f ca="1">IFERROR(__xludf.DUMMYFUNCTION("""COMPUTED_VALUE"""),"30")</f>
        <v>30</v>
      </c>
      <c r="BW27" s="10"/>
      <c r="BY27" s="18" t="str">
        <f ca="1">IFERROR(__xludf.DUMMYFUNCTION("""COMPUTED_VALUE"""),"state_variable_3")</f>
        <v>state_variable_3</v>
      </c>
      <c r="BZ27" s="18" t="str">
        <f ca="1">IFERROR(__xludf.DUMMYFUNCTION("""COMPUTED_VALUE"""),"0x0201")</f>
        <v>0x0201</v>
      </c>
      <c r="CA27" s="18" t="str">
        <f ca="1">IFERROR(__xludf.DUMMYFUNCTION("""COMPUTED_VALUE"""),"0xF071")</f>
        <v>0xF071</v>
      </c>
      <c r="CB27" s="18" t="str">
        <f ca="1">IFERROR(__xludf.DUMMYFUNCTION("""COMPUTED_VALUE"""),"0")</f>
        <v>0</v>
      </c>
      <c r="CC27" s="18" t="str">
        <f ca="1">IFERROR(__xludf.DUMMYFUNCTION("""COMPUTED_VALUE"""),"900")</f>
        <v>900</v>
      </c>
      <c r="CD27" s="18" t="str">
        <f ca="1">IFERROR(__xludf.DUMMYFUNCTION("""COMPUTED_VALUE"""),"0")</f>
        <v>0</v>
      </c>
      <c r="CF27" s="10"/>
      <c r="CH27" s="18" t="str">
        <f ca="1">IFERROR(__xludf.DUMMYFUNCTION("""COMPUTED_VALUE"""),"refresh_duration")</f>
        <v>refresh_duration</v>
      </c>
      <c r="CI27" s="18" t="str">
        <f ca="1">IFERROR(__xludf.DUMMYFUNCTION("""COMPUTED_VALUE"""),"0x0201")</f>
        <v>0x0201</v>
      </c>
      <c r="CJ27" s="18" t="str">
        <f ca="1">IFERROR(__xludf.DUMMYFUNCTION("""COMPUTED_VALUE"""),"0xF060")</f>
        <v>0xF060</v>
      </c>
      <c r="CK27" s="18" t="str">
        <f ca="1">IFERROR(__xludf.DUMMYFUNCTION("""COMPUTED_VALUE"""),"86400")</f>
        <v>86400</v>
      </c>
      <c r="CM27" s="10"/>
      <c r="CP27" s="18" t="str">
        <f ca="1"/>
        <v/>
      </c>
      <c r="CQ27" s="18" t="str">
        <f ca="1"/>
        <v/>
      </c>
      <c r="CR27" s="18" t="str">
        <f ca="1"/>
        <v/>
      </c>
      <c r="CS27" s="18" t="str">
        <f ca="1"/>
        <v/>
      </c>
      <c r="CT27" s="18" t="str">
        <f ca="1"/>
        <v/>
      </c>
      <c r="CV27" s="10"/>
      <c r="CX27" s="18" t="str">
        <f ca="1">IFERROR(__xludf.DUMMYFUNCTION("""COMPUTED_VALUE"""),"temp_protection_enable")</f>
        <v>temp_protection_enable</v>
      </c>
      <c r="CY27" s="18" t="str">
        <f ca="1"/>
        <v>0x0201</v>
      </c>
      <c r="CZ27" s="18" t="str">
        <f ca="1"/>
        <v>0xF062</v>
      </c>
      <c r="DA27" s="18" t="str">
        <f ca="1"/>
        <v>86400</v>
      </c>
      <c r="DC27" s="10"/>
      <c r="DE27" s="18" t="str">
        <f ca="1">IFERROR(__xludf.DUMMYFUNCTION("""COMPUTED_VALUE"""),"aquastat_heated_changeover_mode")</f>
        <v>aquastat_heated_changeover_mode</v>
      </c>
      <c r="DF27" s="18" t="str">
        <f ca="1">IFERROR(__xludf.DUMMYFUNCTION("""COMPUTED_VALUE"""),"0x0201")</f>
        <v>0x0201</v>
      </c>
      <c r="DG27" s="18" t="str">
        <f ca="1">IFERROR(__xludf.DUMMYFUNCTION("""COMPUTED_VALUE"""),"0xF0A8")</f>
        <v>0xF0A8</v>
      </c>
      <c r="DH27" s="18" t="str">
        <f ca="1">IFERROR(__xludf.DUMMYFUNCTION("""COMPUTED_VALUE"""),"""off""")</f>
        <v>"off"</v>
      </c>
      <c r="DI27" s="18" t="str">
        <f ca="1">IFERROR(__xludf.DUMMYFUNCTION("""COMPUTED_VALUE"""),"""cool""")</f>
        <v>"cool"</v>
      </c>
      <c r="DJ27" s="18" t="str">
        <f ca="1">IFERROR(__xludf.DUMMYFUNCTION("""COMPUTED_VALUE"""),"""heat""")</f>
        <v>"heat"</v>
      </c>
      <c r="DK27" s="18" t="str">
        <f ca="1">IFERROR(__xludf.DUMMYFUNCTION("""COMPUTED_VALUE"""),"""auto""")</f>
        <v>"auto"</v>
      </c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</row>
    <row r="28" spans="1:149" ht="15.75" customHeight="1" x14ac:dyDescent="0.25">
      <c r="A28" s="15" t="s">
        <v>68</v>
      </c>
      <c r="B28" s="15">
        <v>64</v>
      </c>
      <c r="C28" s="15" t="s">
        <v>28</v>
      </c>
      <c r="D28" s="16"/>
      <c r="E28" s="15"/>
      <c r="F28" s="15"/>
      <c r="G28" s="15"/>
      <c r="H28" s="17" t="str">
        <f ca="1">IFERROR(__xludf.DUMMYFUNCTION("""COMPUTED_VALUE"""),"x")</f>
        <v>x</v>
      </c>
      <c r="I28" s="15" t="s">
        <v>29</v>
      </c>
      <c r="J28" s="15" t="s">
        <v>29</v>
      </c>
      <c r="K28" s="15" t="s">
        <v>29</v>
      </c>
      <c r="L28" s="15" t="s">
        <v>29</v>
      </c>
      <c r="M28" s="15" t="s">
        <v>29</v>
      </c>
      <c r="N28" s="16"/>
      <c r="O28" s="18" t="s">
        <v>69</v>
      </c>
      <c r="P28" s="19"/>
      <c r="Q28" s="18" t="str">
        <f ca="1">IFERROR(__xludf.DUMMYFUNCTION("""COMPUTED_VALUE"""),"zb -a 0x0201 0x0015 1778")</f>
        <v>zb -a 0x0201 0x0015 1778</v>
      </c>
      <c r="R28" s="19"/>
      <c r="S28" s="20" t="str">
        <f ca="1">IFERROR(__xludf.DUMMYFUNCTION("""COMPUTED_VALUE"""),"contact_config_0,10,260,513,61952,35,1217,,,,86400")</f>
        <v>contact_config_0,10,260,513,61952,35,1217,,,,86400</v>
      </c>
      <c r="X28" s="18" t="str">
        <f ca="1">IFERROR(__xludf.DUMMYFUNCTION("""COMPUTED_VALUE"""),"config_menu_password")</f>
        <v>config_menu_password</v>
      </c>
      <c r="BL28" s="18" t="str">
        <f ca="1">IFERROR(__xludf.DUMMYFUNCTION("""COMPUTED_VALUE"""),"lanai_activated")</f>
        <v>lanai_activated</v>
      </c>
      <c r="BM28" s="18" t="str">
        <f ca="1">IFERROR(__xludf.DUMMYFUNCTION("""COMPUTED_VALUE"""),"0x0201")</f>
        <v>0x0201</v>
      </c>
      <c r="BN28" s="18" t="str">
        <f ca="1">IFERROR(__xludf.DUMMYFUNCTION("""COMPUTED_VALUE"""),"0xF0B6")</f>
        <v>0xF0B6</v>
      </c>
      <c r="BP28" s="10"/>
      <c r="BR28" s="18" t="str">
        <f ca="1">IFERROR(__xludf.DUMMYFUNCTION("""COMPUTED_VALUE"""),"hvac_test_mode_enable")</f>
        <v>hvac_test_mode_enable</v>
      </c>
      <c r="BS28" s="18" t="str">
        <f ca="1">IFERROR(__xludf.DUMMYFUNCTION("""COMPUTED_VALUE"""),"0x0201")</f>
        <v>0x0201</v>
      </c>
      <c r="BT28" s="18" t="str">
        <f ca="1">IFERROR(__xludf.DUMMYFUNCTION("""COMPUTED_VALUE"""),"0xF04C")</f>
        <v>0xF04C</v>
      </c>
      <c r="BU28" s="18" t="str">
        <f ca="1">IFERROR(__xludf.DUMMYFUNCTION("""COMPUTED_VALUE"""),"N/A")</f>
        <v>N/A</v>
      </c>
      <c r="BW28" s="10"/>
      <c r="BY28" s="18" t="str">
        <f ca="1">IFERROR(__xludf.DUMMYFUNCTION("""COMPUTED_VALUE"""),"dehumidification_stage")</f>
        <v>dehumidification_stage</v>
      </c>
      <c r="BZ28" s="18" t="str">
        <f ca="1">IFERROR(__xludf.DUMMYFUNCTION("""COMPUTED_VALUE"""),"0x0201")</f>
        <v>0x0201</v>
      </c>
      <c r="CA28" s="18" t="str">
        <f ca="1">IFERROR(__xludf.DUMMYFUNCTION("""COMPUTED_VALUE"""),"0xF076")</f>
        <v>0xF076</v>
      </c>
      <c r="CB28" s="18" t="str">
        <f ca="1">IFERROR(__xludf.DUMMYFUNCTION("""COMPUTED_VALUE"""),"0")</f>
        <v>0</v>
      </c>
      <c r="CC28" s="18" t="str">
        <f ca="1">IFERROR(__xludf.DUMMYFUNCTION("""COMPUTED_VALUE"""),"3600")</f>
        <v>3600</v>
      </c>
      <c r="CD28" s="18" t="str">
        <f ca="1">IFERROR(__xludf.DUMMYFUNCTION("""COMPUTED_VALUE"""),"0")</f>
        <v>0</v>
      </c>
      <c r="CF28" s="10"/>
      <c r="CH28" s="18" t="str">
        <f ca="1">IFERROR(__xludf.DUMMYFUNCTION("""COMPUTED_VALUE"""),"temp_protection_enable")</f>
        <v>temp_protection_enable</v>
      </c>
      <c r="CI28" s="18" t="str">
        <f ca="1">IFERROR(__xludf.DUMMYFUNCTION("""COMPUTED_VALUE"""),"0x0201")</f>
        <v>0x0201</v>
      </c>
      <c r="CJ28" s="18" t="str">
        <f ca="1">IFERROR(__xludf.DUMMYFUNCTION("""COMPUTED_VALUE"""),"0xF062")</f>
        <v>0xF062</v>
      </c>
      <c r="CK28" s="18" t="str">
        <f ca="1">IFERROR(__xludf.DUMMYFUNCTION("""COMPUTED_VALUE"""),"86400")</f>
        <v>86400</v>
      </c>
      <c r="CM28" s="10"/>
      <c r="CP28" s="18" t="str">
        <f ca="1"/>
        <v/>
      </c>
      <c r="CQ28" s="18" t="str">
        <f ca="1"/>
        <v/>
      </c>
      <c r="CR28" s="18" t="str">
        <f ca="1"/>
        <v/>
      </c>
      <c r="CS28" s="18" t="str">
        <f ca="1"/>
        <v/>
      </c>
      <c r="CT28" s="18" t="str">
        <f ca="1"/>
        <v/>
      </c>
      <c r="CV28" s="10"/>
      <c r="CX28" s="18" t="str">
        <f ca="1">IFERROR(__xludf.DUMMYFUNCTION("""COMPUTED_VALUE"""),"temp_protection_low_limit")</f>
        <v>temp_protection_low_limit</v>
      </c>
      <c r="CY28" s="18" t="str">
        <f ca="1"/>
        <v>0x0201</v>
      </c>
      <c r="CZ28" s="18" t="str">
        <f ca="1"/>
        <v>0xF063</v>
      </c>
      <c r="DA28" s="18" t="str">
        <f ca="1"/>
        <v>86400</v>
      </c>
      <c r="DC28" s="10"/>
      <c r="DE28" s="18" t="str">
        <f ca="1">IFERROR(__xludf.DUMMYFUNCTION("""COMPUTED_VALUE"""),"aquastat_required_mode")</f>
        <v>aquastat_required_mode</v>
      </c>
      <c r="DF28" s="18" t="str">
        <f ca="1">IFERROR(__xludf.DUMMYFUNCTION("""COMPUTED_VALUE"""),"0x0201")</f>
        <v>0x0201</v>
      </c>
      <c r="DG28" s="18" t="str">
        <f ca="1">IFERROR(__xludf.DUMMYFUNCTION("""COMPUTED_VALUE"""),"0xF0A9")</f>
        <v>0xF0A9</v>
      </c>
      <c r="DH28" s="18" t="str">
        <f ca="1">IFERROR(__xludf.DUMMYFUNCTION("""COMPUTED_VALUE"""),"""none""")</f>
        <v>"none"</v>
      </c>
      <c r="DI28" s="18" t="str">
        <f ca="1">IFERROR(__xludf.DUMMYFUNCTION("""COMPUTED_VALUE"""),"""chilled""")</f>
        <v>"chilled"</v>
      </c>
      <c r="DJ28" s="18" t="str">
        <f ca="1">IFERROR(__xludf.DUMMYFUNCTION("""COMPUTED_VALUE"""),"""heated""")</f>
        <v>"heated"</v>
      </c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</row>
    <row r="29" spans="1:149" ht="15.75" customHeight="1" x14ac:dyDescent="0.25">
      <c r="A29" s="15" t="s">
        <v>70</v>
      </c>
      <c r="B29" s="15">
        <v>80</v>
      </c>
      <c r="C29" s="15" t="s">
        <v>28</v>
      </c>
      <c r="D29" s="16"/>
      <c r="E29" s="15"/>
      <c r="F29" s="15"/>
      <c r="G29" s="15"/>
      <c r="H29" s="17" t="str">
        <f ca="1">IFERROR(__xludf.DUMMYFUNCTION("""COMPUTED_VALUE"""),"x")</f>
        <v>x</v>
      </c>
      <c r="I29" s="15" t="s">
        <v>29</v>
      </c>
      <c r="J29" s="15" t="s">
        <v>29</v>
      </c>
      <c r="K29" s="15" t="s">
        <v>29</v>
      </c>
      <c r="L29" s="15" t="s">
        <v>29</v>
      </c>
      <c r="M29" s="15" t="s">
        <v>29</v>
      </c>
      <c r="N29" s="16"/>
      <c r="O29" s="18" t="s">
        <v>71</v>
      </c>
      <c r="P29" s="19"/>
      <c r="Q29" s="18" t="str">
        <f ca="1">IFERROR(__xludf.DUMMYFUNCTION("""COMPUTED_VALUE"""),"zb -a 0x0201 0x0016 2667")</f>
        <v>zb -a 0x0201 0x0016 2667</v>
      </c>
      <c r="R29" s="19"/>
      <c r="S29" s="20" t="str">
        <f ca="1">IFERROR(__xludf.DUMMYFUNCTION("""COMPUTED_VALUE"""),"contact_config_1,10,260,513,61953,35,2048,,,,86400")</f>
        <v>contact_config_1,10,260,513,61953,35,2048,,,,86400</v>
      </c>
      <c r="X29" s="18" t="str">
        <f ca="1">IFERROR(__xludf.DUMMYFUNCTION("""COMPUTED_VALUE"""),"contact_config_0")</f>
        <v>contact_config_0</v>
      </c>
      <c r="BL29" s="18" t="str">
        <f ca="1">IFERROR(__xludf.DUMMYFUNCTION("""COMPUTED_VALUE"""),"entry_online")</f>
        <v>entry_online</v>
      </c>
      <c r="BM29" s="18" t="str">
        <f ca="1">IFERROR(__xludf.DUMMYFUNCTION("""COMPUTED_VALUE"""),"0x0201")</f>
        <v>0x0201</v>
      </c>
      <c r="BN29" s="18" t="str">
        <f ca="1">IFERROR(__xludf.DUMMYFUNCTION("""COMPUTED_VALUE"""),"0xF0B9")</f>
        <v>0xF0B9</v>
      </c>
      <c r="BP29" s="10"/>
      <c r="BR29" s="18" t="str">
        <f ca="1">IFERROR(__xludf.DUMMYFUNCTION("""COMPUTED_VALUE"""),"primary_temp_sensor")</f>
        <v>primary_temp_sensor</v>
      </c>
      <c r="BS29" s="18" t="str">
        <f ca="1">IFERROR(__xludf.DUMMYFUNCTION("""COMPUTED_VALUE"""),"0x0201")</f>
        <v>0x0201</v>
      </c>
      <c r="BT29" s="18" t="str">
        <f ca="1">IFERROR(__xludf.DUMMYFUNCTION("""COMPUTED_VALUE"""),"0xF04F")</f>
        <v>0xF04F</v>
      </c>
      <c r="BU29" s="18" t="str">
        <f ca="1">IFERROR(__xludf.DUMMYFUNCTION("""COMPUTED_VALUE"""),"""local_internal_sensor""")</f>
        <v>"local_internal_sensor"</v>
      </c>
      <c r="BW29" s="10"/>
      <c r="BY29" s="18" t="str">
        <f ca="1">IFERROR(__xludf.DUMMYFUNCTION("""COMPUTED_VALUE"""),"remote_controller_error_code")</f>
        <v>remote_controller_error_code</v>
      </c>
      <c r="BZ29" s="18" t="str">
        <f ca="1">IFERROR(__xludf.DUMMYFUNCTION("""COMPUTED_VALUE"""),"0x0201")</f>
        <v>0x0201</v>
      </c>
      <c r="CA29" s="18" t="str">
        <f ca="1">IFERROR(__xludf.DUMMYFUNCTION("""COMPUTED_VALUE"""),"0xF07A")</f>
        <v>0xF07A</v>
      </c>
      <c r="CB29" s="18" t="str">
        <f ca="1">IFERROR(__xludf.DUMMYFUNCTION("""COMPUTED_VALUE"""),"0")</f>
        <v>0</v>
      </c>
      <c r="CC29" s="18" t="str">
        <f ca="1">IFERROR(__xludf.DUMMYFUNCTION("""COMPUTED_VALUE"""),"3600")</f>
        <v>3600</v>
      </c>
      <c r="CD29" s="18" t="str">
        <f ca="1">IFERROR(__xludf.DUMMYFUNCTION("""COMPUTED_VALUE"""),"0")</f>
        <v>0</v>
      </c>
      <c r="CF29" s="10"/>
      <c r="CH29" s="18" t="str">
        <f ca="1">IFERROR(__xludf.DUMMYFUNCTION("""COMPUTED_VALUE"""),"temp_protection_low_limit")</f>
        <v>temp_protection_low_limit</v>
      </c>
      <c r="CI29" s="18" t="str">
        <f ca="1">IFERROR(__xludf.DUMMYFUNCTION("""COMPUTED_VALUE"""),"0x0201")</f>
        <v>0x0201</v>
      </c>
      <c r="CJ29" s="18" t="str">
        <f ca="1">IFERROR(__xludf.DUMMYFUNCTION("""COMPUTED_VALUE"""),"0xF063")</f>
        <v>0xF063</v>
      </c>
      <c r="CK29" s="18" t="str">
        <f ca="1">IFERROR(__xludf.DUMMYFUNCTION("""COMPUTED_VALUE"""),"86400")</f>
        <v>86400</v>
      </c>
      <c r="CM29" s="10"/>
      <c r="CP29" s="18" t="str">
        <f ca="1"/>
        <v/>
      </c>
      <c r="CQ29" s="18" t="str">
        <f ca="1"/>
        <v/>
      </c>
      <c r="CR29" s="18" t="str">
        <f ca="1"/>
        <v/>
      </c>
      <c r="CS29" s="18" t="str">
        <f ca="1"/>
        <v/>
      </c>
      <c r="CT29" s="18" t="str">
        <f ca="1"/>
        <v/>
      </c>
      <c r="CV29" s="10"/>
      <c r="CX29" s="18" t="str">
        <f ca="1">IFERROR(__xludf.DUMMYFUNCTION("""COMPUTED_VALUE"""),"temp_protection_high_limit")</f>
        <v>temp_protection_high_limit</v>
      </c>
      <c r="CY29" s="18" t="str">
        <f ca="1"/>
        <v>0x0201</v>
      </c>
      <c r="CZ29" s="18" t="str">
        <f ca="1"/>
        <v>0xF064</v>
      </c>
      <c r="DA29" s="18" t="str">
        <f ca="1"/>
        <v>86400</v>
      </c>
      <c r="DC29" s="10"/>
      <c r="DE29" s="18" t="str">
        <f ca="1">IFERROR(__xludf.DUMMYFUNCTION("""COMPUTED_VALUE"""),"aquastat_applied_mode")</f>
        <v>aquastat_applied_mode</v>
      </c>
      <c r="DF29" s="18" t="str">
        <f ca="1">IFERROR(__xludf.DUMMYFUNCTION("""COMPUTED_VALUE"""),"0x0201")</f>
        <v>0x0201</v>
      </c>
      <c r="DG29" s="18" t="str">
        <f ca="1">IFERROR(__xludf.DUMMYFUNCTION("""COMPUTED_VALUE"""),"0xF0AA")</f>
        <v>0xF0AA</v>
      </c>
      <c r="DH29" s="18" t="str">
        <f ca="1">IFERROR(__xludf.DUMMYFUNCTION("""COMPUTED_VALUE"""),"""none""")</f>
        <v>"none"</v>
      </c>
      <c r="DI29" s="18" t="str">
        <f ca="1">IFERROR(__xludf.DUMMYFUNCTION("""COMPUTED_VALUE"""),"""chilled""")</f>
        <v>"chilled"</v>
      </c>
      <c r="DJ29" s="18" t="str">
        <f ca="1">IFERROR(__xludf.DUMMYFUNCTION("""COMPUTED_VALUE"""),"""heated""")</f>
        <v>"heated"</v>
      </c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</row>
    <row r="30" spans="1:149" ht="15.75" customHeight="1" x14ac:dyDescent="0.25">
      <c r="A30" s="15" t="s">
        <v>72</v>
      </c>
      <c r="B30" s="15">
        <v>64</v>
      </c>
      <c r="C30" s="15" t="s">
        <v>28</v>
      </c>
      <c r="D30" s="16"/>
      <c r="E30" s="15"/>
      <c r="F30" s="15"/>
      <c r="G30" s="15"/>
      <c r="H30" s="17" t="str">
        <f ca="1">IFERROR(__xludf.DUMMYFUNCTION("""COMPUTED_VALUE"""),"x")</f>
        <v>x</v>
      </c>
      <c r="I30" s="15" t="s">
        <v>29</v>
      </c>
      <c r="J30" s="15" t="s">
        <v>29</v>
      </c>
      <c r="K30" s="15" t="s">
        <v>29</v>
      </c>
      <c r="L30" s="15" t="s">
        <v>29</v>
      </c>
      <c r="M30" s="15" t="s">
        <v>29</v>
      </c>
      <c r="N30" s="16"/>
      <c r="O30" s="18" t="s">
        <v>73</v>
      </c>
      <c r="P30" s="19"/>
      <c r="Q30" s="18" t="str">
        <f ca="1">IFERROR(__xludf.DUMMYFUNCTION("""COMPUTED_VALUE"""),"zb -a 0x0201 0x0017 1778")</f>
        <v>zb -a 0x0201 0x0017 1778</v>
      </c>
      <c r="R30" s="19"/>
      <c r="S30" s="20" t="str">
        <f ca="1">IFERROR(__xludf.DUMMYFUNCTION("""COMPUTED_VALUE"""),"contact_config_2,10,260,513,61954,35,2624,,,,86400")</f>
        <v>contact_config_2,10,260,513,61954,35,2624,,,,86400</v>
      </c>
      <c r="X30" s="18" t="str">
        <f ca="1">IFERROR(__xludf.DUMMYFUNCTION("""COMPUTED_VALUE"""),"contact_config_1")</f>
        <v>contact_config_1</v>
      </c>
      <c r="BL30" s="18" t="str">
        <f ca="1">IFERROR(__xludf.DUMMYFUNCTION("""COMPUTED_VALUE"""),"entry_open")</f>
        <v>entry_open</v>
      </c>
      <c r="BM30" s="18" t="str">
        <f ca="1">IFERROR(__xludf.DUMMYFUNCTION("""COMPUTED_VALUE"""),"0x0201")</f>
        <v>0x0201</v>
      </c>
      <c r="BN30" s="18" t="str">
        <f ca="1">IFERROR(__xludf.DUMMYFUNCTION("""COMPUTED_VALUE"""),"0xF0BA")</f>
        <v>0xF0BA</v>
      </c>
      <c r="BP30" s="10"/>
      <c r="BR30" s="18" t="str">
        <f ca="1">IFERROR(__xludf.DUMMYFUNCTION("""COMPUTED_VALUE"""),"local_secondary_temp_sensors")</f>
        <v>local_secondary_temp_sensors</v>
      </c>
      <c r="BS30" s="18" t="str">
        <f ca="1">IFERROR(__xludf.DUMMYFUNCTION("""COMPUTED_VALUE"""),"0x0201")</f>
        <v>0x0201</v>
      </c>
      <c r="BT30" s="18" t="str">
        <f ca="1">IFERROR(__xludf.DUMMYFUNCTION("""COMPUTED_VALUE"""),"0xF050")</f>
        <v>0xF050</v>
      </c>
      <c r="BU30" s="18" t="str">
        <f ca="1">IFERROR(__xludf.DUMMYFUNCTION("""COMPUTED_VALUE"""),"0")</f>
        <v>0</v>
      </c>
      <c r="BW30" s="10"/>
      <c r="BY30" s="18" t="str">
        <f ca="1">IFERROR(__xludf.DUMMYFUNCTION("""COMPUTED_VALUE"""),"output_state")</f>
        <v>output_state</v>
      </c>
      <c r="BZ30" s="18" t="str">
        <f ca="1">IFERROR(__xludf.DUMMYFUNCTION("""COMPUTED_VALUE"""),"0x0201")</f>
        <v>0x0201</v>
      </c>
      <c r="CA30" s="18" t="str">
        <f ca="1">IFERROR(__xludf.DUMMYFUNCTION("""COMPUTED_VALUE"""),"0xF082")</f>
        <v>0xF082</v>
      </c>
      <c r="CB30" s="18" t="str">
        <f ca="1">IFERROR(__xludf.DUMMYFUNCTION("""COMPUTED_VALUE"""),"0")</f>
        <v>0</v>
      </c>
      <c r="CC30" s="18" t="str">
        <f ca="1">IFERROR(__xludf.DUMMYFUNCTION("""COMPUTED_VALUE"""),"3600")</f>
        <v>3600</v>
      </c>
      <c r="CD30" s="18" t="str">
        <f ca="1">IFERROR(__xludf.DUMMYFUNCTION("""COMPUTED_VALUE"""),"0")</f>
        <v>0</v>
      </c>
      <c r="CF30" s="10"/>
      <c r="CH30" s="18" t="str">
        <f ca="1">IFERROR(__xludf.DUMMYFUNCTION("""COMPUTED_VALUE"""),"temp_protection_high_limit")</f>
        <v>temp_protection_high_limit</v>
      </c>
      <c r="CI30" s="18" t="str">
        <f ca="1">IFERROR(__xludf.DUMMYFUNCTION("""COMPUTED_VALUE"""),"0x0201")</f>
        <v>0x0201</v>
      </c>
      <c r="CJ30" s="18" t="str">
        <f ca="1">IFERROR(__xludf.DUMMYFUNCTION("""COMPUTED_VALUE"""),"0xF064")</f>
        <v>0xF064</v>
      </c>
      <c r="CK30" s="18" t="str">
        <f ca="1">IFERROR(__xludf.DUMMYFUNCTION("""COMPUTED_VALUE"""),"86400")</f>
        <v>86400</v>
      </c>
      <c r="CM30" s="10"/>
      <c r="CP30" s="18" t="str">
        <f ca="1"/>
        <v/>
      </c>
      <c r="CQ30" s="18" t="str">
        <f ca="1"/>
        <v/>
      </c>
      <c r="CR30" s="18" t="str">
        <f ca="1"/>
        <v/>
      </c>
      <c r="CS30" s="18" t="str">
        <f ca="1"/>
        <v/>
      </c>
      <c r="CT30" s="18" t="str">
        <f ca="1"/>
        <v/>
      </c>
      <c r="CV30" s="10"/>
      <c r="CX30" s="18" t="str">
        <f ca="1">IFERROR(__xludf.DUMMYFUNCTION("""COMPUTED_VALUE"""),"dehumidification_option")</f>
        <v>dehumidification_option</v>
      </c>
      <c r="CY30" s="18" t="str">
        <f ca="1"/>
        <v>0x0201</v>
      </c>
      <c r="CZ30" s="18" t="str">
        <f ca="1"/>
        <v>0xF067</v>
      </c>
      <c r="DA30" s="18" t="str">
        <f ca="1"/>
        <v>86400</v>
      </c>
      <c r="DC30" s="10"/>
      <c r="DE30" s="18" t="str">
        <f ca="1">IFERROR(__xludf.DUMMYFUNCTION("""COMPUTED_VALUE"""),"setback_mode")</f>
        <v>setback_mode</v>
      </c>
      <c r="DF30" s="18" t="str">
        <f ca="1">IFERROR(__xludf.DUMMYFUNCTION("""COMPUTED_VALUE"""),"0x0201")</f>
        <v>0x0201</v>
      </c>
      <c r="DG30" s="18" t="str">
        <f ca="1">IFERROR(__xludf.DUMMYFUNCTION("""COMPUTED_VALUE"""),"0xF0E4")</f>
        <v>0xF0E4</v>
      </c>
      <c r="DH30" s="18" t="str">
        <f ca="1">IFERROR(__xludf.DUMMYFUNCTION("""COMPUTED_VALUE"""),"""none""")</f>
        <v>"none"</v>
      </c>
      <c r="DI30" s="18" t="str">
        <f ca="1">IFERROR(__xludf.DUMMYFUNCTION("""COMPUTED_VALUE"""),"""recovery_time""")</f>
        <v>"recovery_time"</v>
      </c>
      <c r="DJ30" s="18" t="str">
        <f ca="1">IFERROR(__xludf.DUMMYFUNCTION("""COMPUTED_VALUE"""),"""fixed""")</f>
        <v>"fixed"</v>
      </c>
      <c r="DK30" s="18" t="str">
        <f ca="1">IFERROR(__xludf.DUMMYFUNCTION("""COMPUTED_VALUE"""),"""delta""")</f>
        <v>"delta"</v>
      </c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</row>
    <row r="31" spans="1:149" ht="15.75" customHeight="1" x14ac:dyDescent="0.25">
      <c r="A31" s="15" t="s">
        <v>74</v>
      </c>
      <c r="B31" s="15">
        <v>80</v>
      </c>
      <c r="C31" s="15" t="s">
        <v>28</v>
      </c>
      <c r="D31" s="16"/>
      <c r="E31" s="15"/>
      <c r="F31" s="15"/>
      <c r="G31" s="15"/>
      <c r="H31" s="17" t="str">
        <f ca="1">IFERROR(__xludf.DUMMYFUNCTION("""COMPUTED_VALUE"""),"x")</f>
        <v>x</v>
      </c>
      <c r="I31" s="15" t="s">
        <v>29</v>
      </c>
      <c r="J31" s="15" t="s">
        <v>29</v>
      </c>
      <c r="K31" s="15" t="s">
        <v>29</v>
      </c>
      <c r="L31" s="15" t="s">
        <v>29</v>
      </c>
      <c r="M31" s="15" t="s">
        <v>29</v>
      </c>
      <c r="N31" s="16"/>
      <c r="O31" s="18" t="s">
        <v>75</v>
      </c>
      <c r="P31" s="19"/>
      <c r="Q31" s="18" t="str">
        <f ca="1">IFERROR(__xludf.DUMMYFUNCTION("""COMPUTED_VALUE"""),"zb -a 0x0201 0x0018 2667")</f>
        <v>zb -a 0x0201 0x0018 2667</v>
      </c>
      <c r="R31" s="19"/>
      <c r="S31" s="20" t="str">
        <f ca="1">IFERROR(__xludf.DUMMYFUNCTION("""COMPUTED_VALUE"""),"contact_config_3,10,260,513,61955,35,16384,,,,86400")</f>
        <v>contact_config_3,10,260,513,61955,35,16384,,,,86400</v>
      </c>
      <c r="X31" s="18" t="str">
        <f ca="1">IFERROR(__xludf.DUMMYFUNCTION("""COMPUTED_VALUE"""),"contact_config_2")</f>
        <v>contact_config_2</v>
      </c>
      <c r="BL31" s="18" t="str">
        <f ca="1">IFERROR(__xludf.DUMMYFUNCTION("""COMPUTED_VALUE"""),"entry_door_not_changing")</f>
        <v>entry_door_not_changing</v>
      </c>
      <c r="BM31" s="18" t="str">
        <f ca="1">IFERROR(__xludf.DUMMYFUNCTION("""COMPUTED_VALUE"""),"0x0201")</f>
        <v>0x0201</v>
      </c>
      <c r="BN31" s="18" t="str">
        <f ca="1">IFERROR(__xludf.DUMMYFUNCTION("""COMPUTED_VALUE"""),"0xF0BD")</f>
        <v>0xF0BD</v>
      </c>
      <c r="BP31" s="10"/>
      <c r="BR31" s="18" t="str">
        <f ca="1">IFERROR(__xludf.DUMMYFUNCTION("""COMPUTED_VALUE"""),"remote_secondary_temp_sensors")</f>
        <v>remote_secondary_temp_sensors</v>
      </c>
      <c r="BS31" s="18" t="str">
        <f ca="1">IFERROR(__xludf.DUMMYFUNCTION("""COMPUTED_VALUE"""),"0x0201")</f>
        <v>0x0201</v>
      </c>
      <c r="BT31" s="18" t="str">
        <f ca="1">IFERROR(__xludf.DUMMYFUNCTION("""COMPUTED_VALUE"""),"0xF051")</f>
        <v>0xF051</v>
      </c>
      <c r="BU31" s="18" t="str">
        <f ca="1">IFERROR(__xludf.DUMMYFUNCTION("""COMPUTED_VALUE"""),"0")</f>
        <v>0</v>
      </c>
      <c r="BW31" s="10"/>
      <c r="BY31" s="18" t="str">
        <f ca="1">IFERROR(__xludf.DUMMYFUNCTION("""COMPUTED_VALUE"""),"relay_state")</f>
        <v>relay_state</v>
      </c>
      <c r="BZ31" s="18" t="str">
        <f ca="1">IFERROR(__xludf.DUMMYFUNCTION("""COMPUTED_VALUE"""),"0x0201")</f>
        <v>0x0201</v>
      </c>
      <c r="CA31" s="18" t="str">
        <f ca="1">IFERROR(__xludf.DUMMYFUNCTION("""COMPUTED_VALUE"""),"0xF091")</f>
        <v>0xF091</v>
      </c>
      <c r="CB31" s="18" t="str">
        <f ca="1">IFERROR(__xludf.DUMMYFUNCTION("""COMPUTED_VALUE"""),"0")</f>
        <v>0</v>
      </c>
      <c r="CC31" s="18" t="str">
        <f ca="1">IFERROR(__xludf.DUMMYFUNCTION("""COMPUTED_VALUE"""),"3600")</f>
        <v>3600</v>
      </c>
      <c r="CD31" s="18" t="str">
        <f ca="1">IFERROR(__xludf.DUMMYFUNCTION("""COMPUTED_VALUE"""),"0")</f>
        <v>0</v>
      </c>
      <c r="CF31" s="10"/>
      <c r="CH31" s="18" t="str">
        <f ca="1">IFERROR(__xludf.DUMMYFUNCTION("""COMPUTED_VALUE"""),"dehumidification_option")</f>
        <v>dehumidification_option</v>
      </c>
      <c r="CI31" s="18" t="str">
        <f ca="1">IFERROR(__xludf.DUMMYFUNCTION("""COMPUTED_VALUE"""),"0x0201")</f>
        <v>0x0201</v>
      </c>
      <c r="CJ31" s="18" t="str">
        <f ca="1">IFERROR(__xludf.DUMMYFUNCTION("""COMPUTED_VALUE"""),"0xF067")</f>
        <v>0xF067</v>
      </c>
      <c r="CK31" s="18" t="str">
        <f ca="1">IFERROR(__xludf.DUMMYFUNCTION("""COMPUTED_VALUE"""),"86400")</f>
        <v>86400</v>
      </c>
      <c r="CM31" s="10"/>
      <c r="CP31" s="18" t="str">
        <f ca="1"/>
        <v/>
      </c>
      <c r="CQ31" s="18" t="str">
        <f ca="1"/>
        <v/>
      </c>
      <c r="CR31" s="18" t="str">
        <f ca="1"/>
        <v/>
      </c>
      <c r="CS31" s="18" t="str">
        <f ca="1"/>
        <v/>
      </c>
      <c r="CT31" s="18" t="str">
        <f ca="1"/>
        <v/>
      </c>
      <c r="CV31" s="10"/>
      <c r="CX31" s="18" t="str">
        <f ca="1">IFERROR(__xludf.DUMMYFUNCTION("""COMPUTED_VALUE"""),"manual_fan_max_time")</f>
        <v>manual_fan_max_time</v>
      </c>
      <c r="CY31" s="18" t="str">
        <f ca="1"/>
        <v>0x0201</v>
      </c>
      <c r="CZ31" s="18" t="str">
        <f ca="1"/>
        <v>0xF069</v>
      </c>
      <c r="DA31" s="18" t="str">
        <f ca="1"/>
        <v>86400</v>
      </c>
      <c r="DC31" s="10"/>
      <c r="DE31" s="18" t="str">
        <f ca="1">IFERROR(__xludf.DUMMYFUNCTION("""COMPUTED_VALUE"""),"unocc_delay_based_on_schedule")</f>
        <v>unocc_delay_based_on_schedule</v>
      </c>
      <c r="DF31" s="18" t="str">
        <f ca="1">IFERROR(__xludf.DUMMYFUNCTION("""COMPUTED_VALUE"""),"0x0201")</f>
        <v>0x0201</v>
      </c>
      <c r="DG31" s="18" t="str">
        <f ca="1">IFERROR(__xludf.DUMMYFUNCTION("""COMPUTED_VALUE"""),"0xF0FA")</f>
        <v>0xF0FA</v>
      </c>
      <c r="DH31" s="18" t="str">
        <f ca="1">IFERROR(__xludf.DUMMYFUNCTION("""COMPUTED_VALUE"""),"""day_night""")</f>
        <v>"day_night"</v>
      </c>
      <c r="DI31" s="18" t="str">
        <f ca="1">IFERROR(__xludf.DUMMYFUNCTION("""COMPUTED_VALUE"""),"""schedule""")</f>
        <v>"schedule"</v>
      </c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</row>
    <row r="32" spans="1:149" ht="15.75" customHeight="1" x14ac:dyDescent="0.25">
      <c r="A32" s="15" t="s">
        <v>76</v>
      </c>
      <c r="B32" s="15">
        <v>50</v>
      </c>
      <c r="C32" s="15" t="s">
        <v>28</v>
      </c>
      <c r="D32" s="16"/>
      <c r="E32" s="15"/>
      <c r="F32" s="15"/>
      <c r="G32" s="15"/>
      <c r="H32" s="17" t="str">
        <f ca="1">IFERROR(__xludf.DUMMYFUNCTION("""COMPUTED_VALUE"""),"x")</f>
        <v>x</v>
      </c>
      <c r="I32" s="15" t="s">
        <v>29</v>
      </c>
      <c r="J32" s="15" t="s">
        <v>29</v>
      </c>
      <c r="K32" s="15" t="s">
        <v>29</v>
      </c>
      <c r="L32" s="15" t="s">
        <v>29</v>
      </c>
      <c r="M32" s="15" t="s">
        <v>29</v>
      </c>
      <c r="N32" s="16"/>
      <c r="O32" s="18" t="s">
        <v>77</v>
      </c>
      <c r="P32" s="19"/>
      <c r="Q32" s="18" t="str">
        <f ca="1">IFERROR(__xludf.DUMMYFUNCTION("""COMPUTED_VALUE"""),"zb -a 0x0201 0xF041 1000")</f>
        <v>zb -a 0x0201 0xF041 1000</v>
      </c>
      <c r="R32" s="19"/>
      <c r="S32" s="20" t="str">
        <f ca="1">IFERROR(__xludf.DUMMYFUNCTION("""COMPUTED_VALUE"""),"contact_config_4,10,260,513,61956,35,,,,,86400")</f>
        <v>contact_config_4,10,260,513,61956,35,,,,,86400</v>
      </c>
      <c r="X32" s="18" t="str">
        <f ca="1">IFERROR(__xludf.DUMMYFUNCTION("""COMPUTED_VALUE"""),"contact_config_3")</f>
        <v>contact_config_3</v>
      </c>
      <c r="BL32" s="18" t="str">
        <f ca="1">IFERROR(__xludf.DUMMYFUNCTION("""COMPUTED_VALUE"""),"door_occ_locked")</f>
        <v>door_occ_locked</v>
      </c>
      <c r="BM32" s="18" t="str">
        <f ca="1">IFERROR(__xludf.DUMMYFUNCTION("""COMPUTED_VALUE"""),"0x0201")</f>
        <v>0x0201</v>
      </c>
      <c r="BN32" s="18" t="str">
        <f ca="1">IFERROR(__xludf.DUMMYFUNCTION("""COMPUTED_VALUE"""),"0xF0D4")</f>
        <v>0xF0D4</v>
      </c>
      <c r="BP32" s="10"/>
      <c r="BR32" s="18" t="str">
        <f ca="1">IFERROR(__xludf.DUMMYFUNCTION("""COMPUTED_VALUE"""),"dehumidification_overdrive_temp_max")</f>
        <v>dehumidification_overdrive_temp_max</v>
      </c>
      <c r="BS32" s="18" t="str">
        <f ca="1">IFERROR(__xludf.DUMMYFUNCTION("""COMPUTED_VALUE"""),"0x0201")</f>
        <v>0x0201</v>
      </c>
      <c r="BT32" s="18" t="str">
        <f ca="1">IFERROR(__xludf.DUMMYFUNCTION("""COMPUTED_VALUE"""),"0xF05C")</f>
        <v>0xF05C</v>
      </c>
      <c r="BU32" s="18" t="str">
        <f ca="1">IFERROR(__xludf.DUMMYFUNCTION("""COMPUTED_VALUE"""),"2")</f>
        <v>2</v>
      </c>
      <c r="BW32" s="10"/>
      <c r="BY32" s="18" t="str">
        <f ca="1">IFERROR(__xludf.DUMMYFUNCTION("""COMPUTED_VALUE"""),"aquastat_required_mode")</f>
        <v>aquastat_required_mode</v>
      </c>
      <c r="BZ32" s="18" t="str">
        <f ca="1">IFERROR(__xludf.DUMMYFUNCTION("""COMPUTED_VALUE"""),"0x0201")</f>
        <v>0x0201</v>
      </c>
      <c r="CA32" s="18" t="str">
        <f ca="1">IFERROR(__xludf.DUMMYFUNCTION("""COMPUTED_VALUE"""),"0xF0A9")</f>
        <v>0xF0A9</v>
      </c>
      <c r="CB32" s="18" t="str">
        <f ca="1">IFERROR(__xludf.DUMMYFUNCTION("""COMPUTED_VALUE"""),"0")</f>
        <v>0</v>
      </c>
      <c r="CC32" s="18" t="str">
        <f ca="1">IFERROR(__xludf.DUMMYFUNCTION("""COMPUTED_VALUE"""),"3600")</f>
        <v>3600</v>
      </c>
      <c r="CD32" s="18" t="str">
        <f ca="1">IFERROR(__xludf.DUMMYFUNCTION("""COMPUTED_VALUE"""),"0")</f>
        <v>0</v>
      </c>
      <c r="CF32" s="10"/>
      <c r="CH32" s="18" t="str">
        <f ca="1">IFERROR(__xludf.DUMMYFUNCTION("""COMPUTED_VALUE"""),"manual_fan_max_time")</f>
        <v>manual_fan_max_time</v>
      </c>
      <c r="CI32" s="18" t="str">
        <f ca="1">IFERROR(__xludf.DUMMYFUNCTION("""COMPUTED_VALUE"""),"0x0201")</f>
        <v>0x0201</v>
      </c>
      <c r="CJ32" s="18" t="str">
        <f ca="1">IFERROR(__xludf.DUMMYFUNCTION("""COMPUTED_VALUE"""),"0xF069")</f>
        <v>0xF069</v>
      </c>
      <c r="CK32" s="18" t="str">
        <f ca="1">IFERROR(__xludf.DUMMYFUNCTION("""COMPUTED_VALUE"""),"86400")</f>
        <v>86400</v>
      </c>
      <c r="CM32" s="10"/>
      <c r="CP32" s="18" t="str">
        <f ca="1"/>
        <v/>
      </c>
      <c r="CQ32" s="18" t="str">
        <f ca="1"/>
        <v/>
      </c>
      <c r="CR32" s="18" t="str">
        <f ca="1"/>
        <v/>
      </c>
      <c r="CS32" s="18" t="str">
        <f ca="1"/>
        <v/>
      </c>
      <c r="CT32" s="18" t="str">
        <f ca="1"/>
        <v/>
      </c>
      <c r="CV32" s="10"/>
      <c r="CX32" s="18" t="str">
        <f ca="1">IFERROR(__xludf.DUMMYFUNCTION("""COMPUTED_VALUE"""),"humidity_units")</f>
        <v>humidity_units</v>
      </c>
      <c r="CY32" s="18" t="str">
        <f ca="1"/>
        <v>0x0201</v>
      </c>
      <c r="CZ32" s="18" t="str">
        <f ca="1"/>
        <v>0xF06B</v>
      </c>
      <c r="DA32" s="18" t="str">
        <f ca="1"/>
        <v>86400</v>
      </c>
      <c r="DC32" s="10"/>
      <c r="DE32" s="18" t="str">
        <f ca="1">IFERROR(__xludf.DUMMYFUNCTION("""COMPUTED_VALUE"""),"ventilation_option")</f>
        <v>ventilation_option</v>
      </c>
      <c r="DF32" s="18" t="str">
        <f ca="1">IFERROR(__xludf.DUMMYFUNCTION("""COMPUTED_VALUE"""),"0x0201")</f>
        <v>0x0201</v>
      </c>
      <c r="DG32" s="18" t="str">
        <f ca="1">IFERROR(__xludf.DUMMYFUNCTION("""COMPUTED_VALUE"""),"0xF140")</f>
        <v>0xF140</v>
      </c>
      <c r="DH32" s="18" t="str">
        <f ca="1">IFERROR(__xludf.DUMMYFUNCTION("""COMPUTED_VALUE"""),"""none""")</f>
        <v>"none"</v>
      </c>
      <c r="DI32" s="18" t="str">
        <f ca="1">IFERROR(__xludf.DUMMYFUNCTION("""COMPUTED_VALUE"""),"""standard""")</f>
        <v>"standard"</v>
      </c>
      <c r="DJ32" s="18" t="str">
        <f ca="1">IFERROR(__xludf.DUMMYFUNCTION("""COMPUTED_VALUE"""),"""smart""")</f>
        <v>"smart"</v>
      </c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</row>
    <row r="33" spans="1:149" ht="15.75" customHeight="1" x14ac:dyDescent="0.25">
      <c r="A33" s="15" t="s">
        <v>78</v>
      </c>
      <c r="B33" s="15">
        <v>90</v>
      </c>
      <c r="C33" s="15" t="s">
        <v>28</v>
      </c>
      <c r="D33" s="16"/>
      <c r="E33" s="15"/>
      <c r="F33" s="15"/>
      <c r="G33" s="15"/>
      <c r="H33" s="17" t="str">
        <f ca="1">IFERROR(__xludf.DUMMYFUNCTION("""COMPUTED_VALUE"""),"x")</f>
        <v>x</v>
      </c>
      <c r="I33" s="15" t="s">
        <v>29</v>
      </c>
      <c r="J33" s="15" t="s">
        <v>29</v>
      </c>
      <c r="K33" s="15" t="s">
        <v>29</v>
      </c>
      <c r="L33" s="15" t="s">
        <v>29</v>
      </c>
      <c r="M33" s="15" t="s">
        <v>29</v>
      </c>
      <c r="N33" s="16"/>
      <c r="O33" s="18" t="s">
        <v>79</v>
      </c>
      <c r="P33" s="19"/>
      <c r="Q33" s="18" t="str">
        <f ca="1">IFERROR(__xludf.DUMMYFUNCTION("""COMPUTED_VALUE"""),"zb -a 0x0201 0xF042 3222")</f>
        <v>zb -a 0x0201 0xF042 3222</v>
      </c>
      <c r="R33" s="19"/>
      <c r="S33" s="20" t="str">
        <f ca="1">IFERROR(__xludf.DUMMYFUNCTION("""COMPUTED_VALUE"""),"contact_config_5,10,260,513,61957,35,,,,,86400")</f>
        <v>contact_config_5,10,260,513,61957,35,,,,,86400</v>
      </c>
      <c r="X33" s="18" t="str">
        <f ca="1">IFERROR(__xludf.DUMMYFUNCTION("""COMPUTED_VALUE"""),"contact_config_4")</f>
        <v>contact_config_4</v>
      </c>
      <c r="BL33" s="18" t="str">
        <f ca="1">IFERROR(__xludf.DUMMYFUNCTION("""COMPUTED_VALUE"""),"occupancy_sensor_state")</f>
        <v>occupancy_sensor_state</v>
      </c>
      <c r="BM33" s="18" t="str">
        <f ca="1">IFERROR(__xludf.DUMMYFUNCTION("""COMPUTED_VALUE"""),"0x0201")</f>
        <v>0x0201</v>
      </c>
      <c r="BN33" s="18" t="str">
        <f ca="1">IFERROR(__xludf.DUMMYFUNCTION("""COMPUTED_VALUE"""),"0xF0E1")</f>
        <v>0xF0E1</v>
      </c>
      <c r="BP33" s="10"/>
      <c r="BR33" s="18" t="str">
        <f ca="1">IFERROR(__xludf.DUMMYFUNCTION("""COMPUTED_VALUE"""),"dehumidification_second_stage_threshold")</f>
        <v>dehumidification_second_stage_threshold</v>
      </c>
      <c r="BS33" s="18" t="str">
        <f ca="1">IFERROR(__xludf.DUMMYFUNCTION("""COMPUTED_VALUE"""),"0x0201")</f>
        <v>0x0201</v>
      </c>
      <c r="BT33" s="18" t="str">
        <f ca="1">IFERROR(__xludf.DUMMYFUNCTION("""COMPUTED_VALUE"""),"0xF05D")</f>
        <v>0xF05D</v>
      </c>
      <c r="BU33" s="18" t="str">
        <f ca="1">IFERROR(__xludf.DUMMYFUNCTION("""COMPUTED_VALUE"""),"1")</f>
        <v>1</v>
      </c>
      <c r="BW33" s="10"/>
      <c r="BY33" s="18" t="str">
        <f ca="1">IFERROR(__xludf.DUMMYFUNCTION("""COMPUTED_VALUE"""),"aquastat_applied_mode")</f>
        <v>aquastat_applied_mode</v>
      </c>
      <c r="BZ33" s="18" t="str">
        <f ca="1">IFERROR(__xludf.DUMMYFUNCTION("""COMPUTED_VALUE"""),"0x0201")</f>
        <v>0x0201</v>
      </c>
      <c r="CA33" s="18" t="str">
        <f ca="1">IFERROR(__xludf.DUMMYFUNCTION("""COMPUTED_VALUE"""),"0xF0AA")</f>
        <v>0xF0AA</v>
      </c>
      <c r="CB33" s="18" t="str">
        <f ca="1">IFERROR(__xludf.DUMMYFUNCTION("""COMPUTED_VALUE"""),"0")</f>
        <v>0</v>
      </c>
      <c r="CC33" s="18" t="str">
        <f ca="1">IFERROR(__xludf.DUMMYFUNCTION("""COMPUTED_VALUE"""),"3600")</f>
        <v>3600</v>
      </c>
      <c r="CD33" s="18" t="str">
        <f ca="1">IFERROR(__xludf.DUMMYFUNCTION("""COMPUTED_VALUE"""),"0")</f>
        <v>0</v>
      </c>
      <c r="CF33" s="10"/>
      <c r="CH33" s="18" t="str">
        <f ca="1">IFERROR(__xludf.DUMMYFUNCTION("""COMPUTED_VALUE"""),"humidity_units")</f>
        <v>humidity_units</v>
      </c>
      <c r="CI33" s="18" t="str">
        <f ca="1">IFERROR(__xludf.DUMMYFUNCTION("""COMPUTED_VALUE"""),"0x0201")</f>
        <v>0x0201</v>
      </c>
      <c r="CJ33" s="18" t="str">
        <f ca="1">IFERROR(__xludf.DUMMYFUNCTION("""COMPUTED_VALUE"""),"0xF06B")</f>
        <v>0xF06B</v>
      </c>
      <c r="CK33" s="18" t="str">
        <f ca="1">IFERROR(__xludf.DUMMYFUNCTION("""COMPUTED_VALUE"""),"86400")</f>
        <v>86400</v>
      </c>
      <c r="CM33" s="10"/>
      <c r="CP33" s="18" t="str">
        <f ca="1"/>
        <v/>
      </c>
      <c r="CQ33" s="18" t="str">
        <f ca="1"/>
        <v/>
      </c>
      <c r="CR33" s="18" t="str">
        <f ca="1"/>
        <v/>
      </c>
      <c r="CS33" s="18" t="str">
        <f ca="1"/>
        <v/>
      </c>
      <c r="CT33" s="18" t="str">
        <f ca="1"/>
        <v/>
      </c>
      <c r="CV33" s="10"/>
      <c r="CX33" s="18" t="str">
        <f ca="1">IFERROR(__xludf.DUMMYFUNCTION("""COMPUTED_VALUE"""),"dehumidification_first_stage_threshold")</f>
        <v>dehumidification_first_stage_threshold</v>
      </c>
      <c r="CY33" s="18" t="str">
        <f ca="1"/>
        <v>0x0201</v>
      </c>
      <c r="CZ33" s="18" t="str">
        <f ca="1"/>
        <v>0xF073</v>
      </c>
      <c r="DA33" s="18" t="str">
        <f ca="1"/>
        <v>86400</v>
      </c>
      <c r="DC33" s="10"/>
      <c r="DE33" s="18" t="str">
        <f ca="1">IFERROR(__xludf.DUMMYFUNCTION("""COMPUTED_VALUE"""),"manual_ventilation_setting")</f>
        <v>manual_ventilation_setting</v>
      </c>
      <c r="DF33" s="18" t="str">
        <f ca="1">IFERROR(__xludf.DUMMYFUNCTION("""COMPUTED_VALUE"""),"0x0201")</f>
        <v>0x0201</v>
      </c>
      <c r="DG33" s="18" t="str">
        <f ca="1">IFERROR(__xludf.DUMMYFUNCTION("""COMPUTED_VALUE"""),"0xF14A")</f>
        <v>0xF14A</v>
      </c>
      <c r="DH33" s="18" t="str">
        <f ca="1">IFERROR(__xludf.DUMMYFUNCTION("""COMPUTED_VALUE"""),"""auto""")</f>
        <v>"auto"</v>
      </c>
      <c r="DI33" s="18" t="str">
        <f ca="1">IFERROR(__xludf.DUMMYFUNCTION("""COMPUTED_VALUE"""),"""1_hour""")</f>
        <v>"1_hour"</v>
      </c>
      <c r="DJ33" s="18" t="str">
        <f ca="1">IFERROR(__xludf.DUMMYFUNCTION("""COMPUTED_VALUE"""),"""2_hours""")</f>
        <v>"2_hours"</v>
      </c>
      <c r="DK33" s="18" t="str">
        <f ca="1">IFERROR(__xludf.DUMMYFUNCTION("""COMPUTED_VALUE"""),"""4_hours""")</f>
        <v>"4_hours"</v>
      </c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</row>
    <row r="34" spans="1:149" ht="15.75" customHeight="1" x14ac:dyDescent="0.25">
      <c r="A34" s="15"/>
      <c r="B34" s="15"/>
      <c r="C34" s="15"/>
      <c r="D34" s="16"/>
      <c r="E34" s="15"/>
      <c r="F34" s="15"/>
      <c r="G34" s="15"/>
      <c r="H34" s="17" t="str">
        <f ca="1">IFERROR(__xludf.DUMMYFUNCTION("""COMPUTED_VALUE"""),"")</f>
        <v/>
      </c>
      <c r="I34" s="15" t="s">
        <v>29</v>
      </c>
      <c r="J34" s="15" t="s">
        <v>29</v>
      </c>
      <c r="K34" s="15" t="s">
        <v>29</v>
      </c>
      <c r="L34" s="15" t="s">
        <v>29</v>
      </c>
      <c r="M34" s="15" t="s">
        <v>29</v>
      </c>
      <c r="N34" s="16"/>
      <c r="P34" s="19"/>
      <c r="Q34" s="18" t="str">
        <f ca="1">IFERROR(__xludf.DUMMYFUNCTION("""COMPUTED_VALUE"""),"")</f>
        <v/>
      </c>
      <c r="R34" s="19"/>
      <c r="S34" s="20" t="str">
        <f ca="1">IFERROR(__xludf.DUMMYFUNCTION("""COMPUTED_VALUE"""),"contact_config_6,10,260,513,61958,35,,,,,86400")</f>
        <v>contact_config_6,10,260,513,61958,35,,,,,86400</v>
      </c>
      <c r="X34" s="18" t="str">
        <f ca="1">IFERROR(__xludf.DUMMYFUNCTION("""COMPUTED_VALUE"""),"contact_config_5")</f>
        <v>contact_config_5</v>
      </c>
      <c r="BL34" s="18" t="str">
        <f ca="1">IFERROR(__xludf.DUMMYFUNCTION("""COMPUTED_VALUE"""),"occupancy_sensor_offline")</f>
        <v>occupancy_sensor_offline</v>
      </c>
      <c r="BM34" s="18" t="str">
        <f ca="1">IFERROR(__xludf.DUMMYFUNCTION("""COMPUTED_VALUE"""),"0x0201")</f>
        <v>0x0201</v>
      </c>
      <c r="BN34" s="18" t="str">
        <f ca="1">IFERROR(__xludf.DUMMYFUNCTION("""COMPUTED_VALUE"""),"0xF0E2")</f>
        <v>0xF0E2</v>
      </c>
      <c r="BP34" s="10"/>
      <c r="BR34" s="18" t="str">
        <f ca="1">IFERROR(__xludf.DUMMYFUNCTION("""COMPUTED_VALUE"""),"dehumidification_min_cycle_time")</f>
        <v>dehumidification_min_cycle_time</v>
      </c>
      <c r="BS34" s="18" t="str">
        <f ca="1">IFERROR(__xludf.DUMMYFUNCTION("""COMPUTED_VALUE"""),"0x0201")</f>
        <v>0x0201</v>
      </c>
      <c r="BT34" s="18" t="str">
        <f ca="1">IFERROR(__xludf.DUMMYFUNCTION("""COMPUTED_VALUE"""),"0xF05E")</f>
        <v>0xF05E</v>
      </c>
      <c r="BU34" s="18" t="str">
        <f ca="1">IFERROR(__xludf.DUMMYFUNCTION("""COMPUTED_VALUE"""),"10")</f>
        <v>10</v>
      </c>
      <c r="BW34" s="10"/>
      <c r="BY34" s="18" t="str">
        <f ca="1">IFERROR(__xludf.DUMMYFUNCTION("""COMPUTED_VALUE"""),"lanai_online")</f>
        <v>lanai_online</v>
      </c>
      <c r="BZ34" s="18" t="str">
        <f ca="1">IFERROR(__xludf.DUMMYFUNCTION("""COMPUTED_VALUE"""),"0x0201")</f>
        <v>0x0201</v>
      </c>
      <c r="CA34" s="18" t="str">
        <f ca="1">IFERROR(__xludf.DUMMYFUNCTION("""COMPUTED_VALUE"""),"0xF0B3")</f>
        <v>0xF0B3</v>
      </c>
      <c r="CB34" s="18" t="str">
        <f ca="1">IFERROR(__xludf.DUMMYFUNCTION("""COMPUTED_VALUE"""),"0")</f>
        <v>0</v>
      </c>
      <c r="CC34" s="18" t="str">
        <f ca="1">IFERROR(__xludf.DUMMYFUNCTION("""COMPUTED_VALUE"""),"3600")</f>
        <v>3600</v>
      </c>
      <c r="CD34" s="18" t="str">
        <f ca="1">IFERROR(__xludf.DUMMYFUNCTION("""COMPUTED_VALUE"""),"0")</f>
        <v>0</v>
      </c>
      <c r="CF34" s="10"/>
      <c r="CH34" s="18" t="str">
        <f ca="1">IFERROR(__xludf.DUMMYFUNCTION("""COMPUTED_VALUE"""),"dehumidification_first_stage_threshold")</f>
        <v>dehumidification_first_stage_threshold</v>
      </c>
      <c r="CI34" s="18" t="str">
        <f ca="1">IFERROR(__xludf.DUMMYFUNCTION("""COMPUTED_VALUE"""),"0x0201")</f>
        <v>0x0201</v>
      </c>
      <c r="CJ34" s="18" t="str">
        <f ca="1">IFERROR(__xludf.DUMMYFUNCTION("""COMPUTED_VALUE"""),"0xF073")</f>
        <v>0xF073</v>
      </c>
      <c r="CK34" s="18" t="str">
        <f ca="1">IFERROR(__xludf.DUMMYFUNCTION("""COMPUTED_VALUE"""),"86400")</f>
        <v>86400</v>
      </c>
      <c r="CM34" s="10"/>
      <c r="CP34" s="18" t="str">
        <f ca="1"/>
        <v/>
      </c>
      <c r="CQ34" s="18" t="str">
        <f ca="1"/>
        <v/>
      </c>
      <c r="CR34" s="18" t="str">
        <f ca="1"/>
        <v/>
      </c>
      <c r="CS34" s="18" t="str">
        <f ca="1"/>
        <v/>
      </c>
      <c r="CT34" s="18" t="str">
        <f ca="1"/>
        <v/>
      </c>
      <c r="CV34" s="10"/>
      <c r="CX34" s="18" t="str">
        <f ca="1">IFERROR(__xludf.DUMMYFUNCTION("""COMPUTED_VALUE"""),"dehumidification_first_stage_timeout")</f>
        <v>dehumidification_first_stage_timeout</v>
      </c>
      <c r="CY34" s="18" t="str">
        <f ca="1"/>
        <v>0x0201</v>
      </c>
      <c r="CZ34" s="18" t="str">
        <f ca="1"/>
        <v>0xF074</v>
      </c>
      <c r="DA34" s="18" t="str">
        <f ca="1"/>
        <v>86400</v>
      </c>
      <c r="DC34" s="10"/>
      <c r="DE34" s="18" t="str">
        <f ca="1">IFERROR(__xludf.DUMMYFUNCTION("""COMPUTED_VALUE"""),"setpoint_reset_enable")</f>
        <v>setpoint_reset_enable</v>
      </c>
      <c r="DF34" s="18" t="str">
        <f ca="1">IFERROR(__xludf.DUMMYFUNCTION("""COMPUTED_VALUE"""),"0x0201")</f>
        <v>0x0201</v>
      </c>
      <c r="DG34" s="18" t="str">
        <f ca="1">IFERROR(__xludf.DUMMYFUNCTION("""COMPUTED_VALUE"""),"0xF170")</f>
        <v>0xF170</v>
      </c>
      <c r="DH34" s="18" t="str">
        <f ca="1">IFERROR(__xludf.DUMMYFUNCTION("""COMPUTED_VALUE"""),"""disabled""")</f>
        <v>"disabled"</v>
      </c>
      <c r="DI34" s="18" t="str">
        <f ca="1">IFERROR(__xludf.DUMMYFUNCTION("""COMPUTED_VALUE"""),"""setpoint_only""")</f>
        <v>"setpoint_only"</v>
      </c>
      <c r="DJ34" s="18" t="str">
        <f ca="1">IFERROR(__xludf.DUMMYFUNCTION("""COMPUTED_VALUE"""),"""setpoint_and_mode""")</f>
        <v>"setpoint_and_mode"</v>
      </c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</row>
    <row r="35" spans="1:149" ht="15.75" customHeight="1" x14ac:dyDescent="0.25">
      <c r="A35" s="9" t="s">
        <v>80</v>
      </c>
      <c r="B35" s="22"/>
      <c r="C35" s="22"/>
      <c r="D35" s="22"/>
      <c r="E35" s="22"/>
      <c r="F35" s="22"/>
      <c r="G35" s="22"/>
      <c r="H35" s="17" t="str">
        <f ca="1">IFERROR(__xludf.DUMMYFUNCTION("""COMPUTED_VALUE"""),"")</f>
        <v/>
      </c>
      <c r="I35" s="22" t="s">
        <v>29</v>
      </c>
      <c r="J35" s="22" t="s">
        <v>29</v>
      </c>
      <c r="K35" s="22" t="s">
        <v>29</v>
      </c>
      <c r="L35" s="22" t="s">
        <v>29</v>
      </c>
      <c r="M35" s="22" t="s">
        <v>29</v>
      </c>
      <c r="N35" s="16"/>
      <c r="O35" s="10"/>
      <c r="P35" s="19"/>
      <c r="Q35" s="10" t="str">
        <f ca="1">IFERROR(__xludf.DUMMYFUNCTION("""COMPUTED_VALUE"""),"")</f>
        <v/>
      </c>
      <c r="R35" s="19"/>
      <c r="S35" s="20" t="str">
        <f ca="1">IFERROR(__xludf.DUMMYFUNCTION("""COMPUTED_VALUE"""),"contact_config_7,10,260,513,61959,35,,,,,86400")</f>
        <v>contact_config_7,10,260,513,61959,35,,,,,86400</v>
      </c>
      <c r="X35" s="18" t="str">
        <f ca="1">IFERROR(__xludf.DUMMYFUNCTION("""COMPUTED_VALUE"""),"contact_config_6")</f>
        <v>contact_config_6</v>
      </c>
      <c r="BL35" s="18" t="str">
        <f ca="1">IFERROR(__xludf.DUMMYFUNCTION("""COMPUTED_VALUE"""),"deep_setback_active")</f>
        <v>deep_setback_active</v>
      </c>
      <c r="BM35" s="18" t="str">
        <f ca="1">IFERROR(__xludf.DUMMYFUNCTION("""COMPUTED_VALUE"""),"0x0201")</f>
        <v>0x0201</v>
      </c>
      <c r="BN35" s="18" t="str">
        <f ca="1">IFERROR(__xludf.DUMMYFUNCTION("""COMPUTED_VALUE"""),"0xF0E5")</f>
        <v>0xF0E5</v>
      </c>
      <c r="BP35" s="10"/>
      <c r="BR35" s="18" t="str">
        <f ca="1">IFERROR(__xludf.DUMMYFUNCTION("""COMPUTED_VALUE"""),"refresh_delay")</f>
        <v>refresh_delay</v>
      </c>
      <c r="BS35" s="18" t="str">
        <f ca="1">IFERROR(__xludf.DUMMYFUNCTION("""COMPUTED_VALUE"""),"0x0201")</f>
        <v>0x0201</v>
      </c>
      <c r="BT35" s="18" t="str">
        <f ca="1">IFERROR(__xludf.DUMMYFUNCTION("""COMPUTED_VALUE"""),"0xF05F")</f>
        <v>0xF05F</v>
      </c>
      <c r="BU35" s="18" t="str">
        <f ca="1">IFERROR(__xludf.DUMMYFUNCTION("""COMPUTED_VALUE"""),"0")</f>
        <v>0</v>
      </c>
      <c r="BW35" s="10"/>
      <c r="BY35" s="18" t="str">
        <f ca="1">IFERROR(__xludf.DUMMYFUNCTION("""COMPUTED_VALUE"""),"lanai_open")</f>
        <v>lanai_open</v>
      </c>
      <c r="BZ35" s="18" t="str">
        <f ca="1">IFERROR(__xludf.DUMMYFUNCTION("""COMPUTED_VALUE"""),"0x0201")</f>
        <v>0x0201</v>
      </c>
      <c r="CA35" s="18" t="str">
        <f ca="1">IFERROR(__xludf.DUMMYFUNCTION("""COMPUTED_VALUE"""),"0xF0B4")</f>
        <v>0xF0B4</v>
      </c>
      <c r="CB35" s="18" t="str">
        <f ca="1">IFERROR(__xludf.DUMMYFUNCTION("""COMPUTED_VALUE"""),"0")</f>
        <v>0</v>
      </c>
      <c r="CC35" s="18" t="str">
        <f ca="1">IFERROR(__xludf.DUMMYFUNCTION("""COMPUTED_VALUE"""),"3600")</f>
        <v>3600</v>
      </c>
      <c r="CD35" s="18" t="str">
        <f ca="1">IFERROR(__xludf.DUMMYFUNCTION("""COMPUTED_VALUE"""),"0")</f>
        <v>0</v>
      </c>
      <c r="CF35" s="10"/>
      <c r="CH35" s="18" t="str">
        <f ca="1">IFERROR(__xludf.DUMMYFUNCTION("""COMPUTED_VALUE"""),"dehumidification_first_stage_timeout")</f>
        <v>dehumidification_first_stage_timeout</v>
      </c>
      <c r="CI35" s="18" t="str">
        <f ca="1">IFERROR(__xludf.DUMMYFUNCTION("""COMPUTED_VALUE"""),"0x0201")</f>
        <v>0x0201</v>
      </c>
      <c r="CJ35" s="18" t="str">
        <f ca="1">IFERROR(__xludf.DUMMYFUNCTION("""COMPUTED_VALUE"""),"0xF074")</f>
        <v>0xF074</v>
      </c>
      <c r="CK35" s="18" t="str">
        <f ca="1">IFERROR(__xludf.DUMMYFUNCTION("""COMPUTED_VALUE"""),"86400")</f>
        <v>86400</v>
      </c>
      <c r="CM35" s="10"/>
      <c r="CP35" s="18" t="str">
        <f ca="1"/>
        <v/>
      </c>
      <c r="CQ35" s="18" t="str">
        <f ca="1"/>
        <v/>
      </c>
      <c r="CR35" s="18" t="str">
        <f ca="1"/>
        <v/>
      </c>
      <c r="CS35" s="18" t="str">
        <f ca="1"/>
        <v/>
      </c>
      <c r="CT35" s="18" t="str">
        <f ca="1"/>
        <v/>
      </c>
      <c r="CV35" s="10"/>
      <c r="CX35" s="18" t="str">
        <f ca="1">IFERROR(__xludf.DUMMYFUNCTION("""COMPUTED_VALUE"""),"dehumidification_second_stage_timeout")</f>
        <v>dehumidification_second_stage_timeout</v>
      </c>
      <c r="CY35" s="18" t="str">
        <f ca="1"/>
        <v>0x0201</v>
      </c>
      <c r="CZ35" s="18" t="str">
        <f ca="1"/>
        <v>0xF075</v>
      </c>
      <c r="DA35" s="18" t="str">
        <f ca="1"/>
        <v>86400</v>
      </c>
      <c r="DC35" s="10"/>
      <c r="DE35" s="18" t="str">
        <f ca="1">IFERROR(__xludf.DUMMYFUNCTION("""COMPUTED_VALUE"""),"setpoint_reset_hvac_mode")</f>
        <v>setpoint_reset_hvac_mode</v>
      </c>
      <c r="DF35" s="18" t="str">
        <f ca="1">IFERROR(__xludf.DUMMYFUNCTION("""COMPUTED_VALUE"""),"0x0201")</f>
        <v>0x0201</v>
      </c>
      <c r="DG35" s="18" t="str">
        <f ca="1">IFERROR(__xludf.DUMMYFUNCTION("""COMPUTED_VALUE"""),"0xF172")</f>
        <v>0xF172</v>
      </c>
      <c r="DH35" s="18" t="str">
        <f ca="1">IFERROR(__xludf.DUMMYFUNCTION("""COMPUTED_VALUE"""),"""off""")</f>
        <v>"off"</v>
      </c>
      <c r="DI35" s="18" t="str">
        <f ca="1">IFERROR(__xludf.DUMMYFUNCTION("""COMPUTED_VALUE"""),"""cool""")</f>
        <v>"cool"</v>
      </c>
      <c r="DJ35" s="18" t="str">
        <f ca="1">IFERROR(__xludf.DUMMYFUNCTION("""COMPUTED_VALUE"""),"""heat""")</f>
        <v>"heat"</v>
      </c>
      <c r="DK35" s="18" t="str">
        <f ca="1">IFERROR(__xludf.DUMMYFUNCTION("""COMPUTED_VALUE"""),"""auto""")</f>
        <v>"auto"</v>
      </c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</row>
    <row r="36" spans="1:149" ht="15.75" customHeight="1" x14ac:dyDescent="0.25">
      <c r="A36" s="15" t="s">
        <v>81</v>
      </c>
      <c r="B36" s="15" t="s">
        <v>82</v>
      </c>
      <c r="C36" s="15"/>
      <c r="D36" s="16"/>
      <c r="E36" s="15"/>
      <c r="F36" s="15"/>
      <c r="G36" s="15"/>
      <c r="H36" s="17" t="str">
        <f ca="1">IFERROR(__xludf.DUMMYFUNCTION("""COMPUTED_VALUE"""),"x")</f>
        <v>x</v>
      </c>
      <c r="I36" s="15" t="s">
        <v>29</v>
      </c>
      <c r="J36" s="15" t="s">
        <v>29</v>
      </c>
      <c r="K36" s="15" t="s">
        <v>29</v>
      </c>
      <c r="L36" s="15" t="s">
        <v>29</v>
      </c>
      <c r="M36" s="15" t="s">
        <v>29</v>
      </c>
      <c r="N36" s="16"/>
      <c r="O36" s="18" t="str">
        <f ca="1">IFERROR(__xludf.DUMMYFUNCTION("IF(A36="""","""",A36
&amp;"",""
&amp;HEX2DEC(VLOOKUP(A36,{'Data Model Parser'!$C$4:$C1626,'Data Model Parser'!$U$4:$U1626},2,0))
&amp;"",""
&amp;HEX2DEC(VLOOKUP(A36,{'Data Model Parser'!$C$4:$C1626,'Data Model Parser'!$V$4:$V1626},2,0))
&amp;"",""
&amp;HEX2DEC(VLOOKUP(A36,{'Data"&amp;" Model Parser'!$C$4:$C1626,'Data Model Parser'!$W$4:$W1626},2,0))
&amp;"",""
&amp;HEX2DEC(VLOOKUP(A36,{'Data Model Parser'!$C$4:$C1626,'Data Model Parser'!$T$4:$T1626},2,0))
&amp;"",""
&amp;HEX2DEC(VLOOKUP(A36,{'Data Model Parser'!$C$4:$C1626,'Data Model Parser'!$X$4:$X1"&amp;"626},2,0))
&amp;"",""
&amp;IFS(B36="""",""0"",REGEXREPLACE(B36,CHAR(34),"""")=""none"",""0"",REGEXREPLACE(B36,CHAR(34),"""")=""low"",""1"",REGEXREPLACE(B36,CHAR(34),"""")=""high"",""2"",REGEXREPLACE(B36,CHAR(34),"""")=""low+high"",""3"")
&amp;"",""
&amp;IF(VLOOKUP(A36,{'"&amp;"Data Model Parser'!$C$4:$C1626,'Data Model Parser'!$G$4:$G1626},2,0)=""polled"","",,,""&amp;VLOOKUP(A36,{'Data Model Parser'!$C$4:$C1626,'Data Model Parser'!$H$4:$H1626},2,0),
IF(VLOOKUP(A36,{'Data Model Parser'!$C$4:$C1626,'Data Model Parser'!$G$4:$G1626},2,"&amp;"0)=""reported"",
IFS(E36&lt;&gt;"""",E36&amp;"","",
E36="""",VLOOKUP(A36,{'Data Model Parser'!$C$4:$C1626,'Data Model Parser'!$J$4:$J1626},2,0)&amp;"","")
&amp;IFS(F36&lt;&gt;"""",F36&amp;"","",
F36="""",VLOOKUP(A36,{'Data Model Parser'!$C$4:$C1626,'Data Model Parser'!$I$4:$I1626},2"&amp;",0)&amp;"","")
&amp;IFS(G36&lt;&gt;"""",G36,
G36="""",VLOOKUP(A36,{'Data Model Parser'!$C$4:$C1626,'Data Model Parser'!$K$4:$K1626},2,0)))))"),"temp_protection_enable,10,260,513,61538,24,1,,,,86400")</f>
        <v>temp_protection_enable,10,260,513,61538,24,1,,,,86400</v>
      </c>
      <c r="P36" s="19"/>
      <c r="Q36" s="18" t="str">
        <f ca="1">IFERROR(__xludf.DUMMYFUNCTION("""COMPUTED_VALUE"""),"zb -a 0x0201 0xF062 1")</f>
        <v>zb -a 0x0201 0xF062 1</v>
      </c>
      <c r="R36" s="19"/>
      <c r="S36" s="20" t="str">
        <f ca="1">IFERROR(__xludf.DUMMYFUNCTION("""COMPUTED_VALUE"""),"cool_drive_min,10,260,513,61505,41,1000,,,,86400")</f>
        <v>cool_drive_min,10,260,513,61505,41,1000,,,,86400</v>
      </c>
      <c r="X36" s="18" t="str">
        <f ca="1">IFERROR(__xludf.DUMMYFUNCTION("""COMPUTED_VALUE"""),"contact_config_7")</f>
        <v>contact_config_7</v>
      </c>
      <c r="Y36" s="18" t="str">
        <f ca="1">IFERROR(__xludf.DUMMYFUNCTION("UNIQUE(FILTER({$DE$4:$DE1626,$DH$4:$ES1626}, $DE$4:$DE1626=A36))"),"temp_protection_enable")</f>
        <v>temp_protection_enable</v>
      </c>
      <c r="Z36" s="18" t="str">
        <f ca="1">IFERROR(__xludf.DUMMYFUNCTION("""COMPUTED_VALUE"""),"""none""")</f>
        <v>"none"</v>
      </c>
      <c r="AA36" s="18" t="str">
        <f ca="1">IFERROR(__xludf.DUMMYFUNCTION("""COMPUTED_VALUE"""),"""low""")</f>
        <v>"low"</v>
      </c>
      <c r="AB36" s="18" t="str">
        <f ca="1">IFERROR(__xludf.DUMMYFUNCTION("""COMPUTED_VALUE"""),"""high""")</f>
        <v>"high"</v>
      </c>
      <c r="AC36" s="18" t="str">
        <f ca="1">IFERROR(__xludf.DUMMYFUNCTION("""COMPUTED_VALUE"""),"""low+high""")</f>
        <v>"low+high"</v>
      </c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 t="str">
        <f ca="1">IFERROR(__xludf.DUMMYFUNCTION("""COMPUTED_VALUE"""),"night_state")</f>
        <v>night_state</v>
      </c>
      <c r="BM36" s="18" t="str">
        <f ca="1">IFERROR(__xludf.DUMMYFUNCTION("""COMPUTED_VALUE"""),"0x0201")</f>
        <v>0x0201</v>
      </c>
      <c r="BN36" s="18" t="str">
        <f ca="1">IFERROR(__xludf.DUMMYFUNCTION("""COMPUTED_VALUE"""),"0xF0FB")</f>
        <v>0xF0FB</v>
      </c>
      <c r="BP36" s="10"/>
      <c r="BR36" s="18" t="str">
        <f ca="1">IFERROR(__xludf.DUMMYFUNCTION("""COMPUTED_VALUE"""),"refresh_duration")</f>
        <v>refresh_duration</v>
      </c>
      <c r="BS36" s="18" t="str">
        <f ca="1">IFERROR(__xludf.DUMMYFUNCTION("""COMPUTED_VALUE"""),"0x0201")</f>
        <v>0x0201</v>
      </c>
      <c r="BT36" s="18" t="str">
        <f ca="1">IFERROR(__xludf.DUMMYFUNCTION("""COMPUTED_VALUE"""),"0xF060")</f>
        <v>0xF060</v>
      </c>
      <c r="BU36" s="18" t="str">
        <f ca="1">IFERROR(__xludf.DUMMYFUNCTION("""COMPUTED_VALUE"""),"5")</f>
        <v>5</v>
      </c>
      <c r="BW36" s="10"/>
      <c r="BY36" s="18" t="str">
        <f ca="1">IFERROR(__xludf.DUMMYFUNCTION("""COMPUTED_VALUE"""),"lanai_activated")</f>
        <v>lanai_activated</v>
      </c>
      <c r="BZ36" s="18" t="str">
        <f ca="1">IFERROR(__xludf.DUMMYFUNCTION("""COMPUTED_VALUE"""),"0x0201")</f>
        <v>0x0201</v>
      </c>
      <c r="CA36" s="18" t="str">
        <f ca="1">IFERROR(__xludf.DUMMYFUNCTION("""COMPUTED_VALUE"""),"0xF0B6")</f>
        <v>0xF0B6</v>
      </c>
      <c r="CB36" s="18" t="str">
        <f ca="1">IFERROR(__xludf.DUMMYFUNCTION("""COMPUTED_VALUE"""),"0")</f>
        <v>0</v>
      </c>
      <c r="CC36" s="18" t="str">
        <f ca="1">IFERROR(__xludf.DUMMYFUNCTION("""COMPUTED_VALUE"""),"3600")</f>
        <v>3600</v>
      </c>
      <c r="CD36" s="18" t="str">
        <f ca="1">IFERROR(__xludf.DUMMYFUNCTION("""COMPUTED_VALUE"""),"0")</f>
        <v>0</v>
      </c>
      <c r="CF36" s="10"/>
      <c r="CH36" s="18" t="str">
        <f ca="1">IFERROR(__xludf.DUMMYFUNCTION("""COMPUTED_VALUE"""),"dehumidification_second_stage_timeout")</f>
        <v>dehumidification_second_stage_timeout</v>
      </c>
      <c r="CI36" s="18" t="str">
        <f ca="1">IFERROR(__xludf.DUMMYFUNCTION("""COMPUTED_VALUE"""),"0x0201")</f>
        <v>0x0201</v>
      </c>
      <c r="CJ36" s="18" t="str">
        <f ca="1">IFERROR(__xludf.DUMMYFUNCTION("""COMPUTED_VALUE"""),"0xF075")</f>
        <v>0xF075</v>
      </c>
      <c r="CK36" s="18" t="str">
        <f ca="1">IFERROR(__xludf.DUMMYFUNCTION("""COMPUTED_VALUE"""),"86400")</f>
        <v>86400</v>
      </c>
      <c r="CM36" s="10"/>
      <c r="CP36" s="18" t="str">
        <f ca="1"/>
        <v/>
      </c>
      <c r="CQ36" s="18" t="str">
        <f ca="1"/>
        <v/>
      </c>
      <c r="CR36" s="18" t="str">
        <f ca="1"/>
        <v/>
      </c>
      <c r="CS36" s="18" t="str">
        <f ca="1"/>
        <v/>
      </c>
      <c r="CT36" s="18" t="str">
        <f ca="1"/>
        <v/>
      </c>
      <c r="CV36" s="10"/>
      <c r="CX36" s="18" t="str">
        <f ca="1">IFERROR(__xludf.DUMMYFUNCTION("""COMPUTED_VALUE"""),"dehumidification_max_cycle_time")</f>
        <v>dehumidification_max_cycle_time</v>
      </c>
      <c r="CY36" s="18" t="str">
        <f ca="1"/>
        <v>0x0201</v>
      </c>
      <c r="CZ36" s="18" t="str">
        <f ca="1"/>
        <v>0xF077</v>
      </c>
      <c r="DA36" s="18" t="str">
        <f ca="1"/>
        <v>86400</v>
      </c>
      <c r="DC36" s="10"/>
      <c r="DE36" s="18" t="str">
        <f ca="1">IFERROR(__xludf.DUMMYFUNCTION("""COMPUTED_VALUE"""),"fan_mode")</f>
        <v>fan_mode</v>
      </c>
      <c r="DF36" s="18" t="str">
        <f ca="1">IFERROR(__xludf.DUMMYFUNCTION("""COMPUTED_VALUE"""),"0x0202")</f>
        <v>0x0202</v>
      </c>
      <c r="DG36" s="18" t="str">
        <f ca="1">IFERROR(__xludf.DUMMYFUNCTION("""COMPUTED_VALUE"""),"0x0000")</f>
        <v>0x0000</v>
      </c>
      <c r="DH36" s="18" t="str">
        <f ca="1">IFERROR(__xludf.DUMMYFUNCTION("""COMPUTED_VALUE"""),"""auto""")</f>
        <v>"auto"</v>
      </c>
      <c r="DI36" s="18" t="str">
        <f ca="1">IFERROR(__xludf.DUMMYFUNCTION("""COMPUTED_VALUE"""),"""on""")</f>
        <v>"on"</v>
      </c>
      <c r="DJ36" s="18" t="str">
        <f ca="1">IFERROR(__xludf.DUMMYFUNCTION("""COMPUTED_VALUE"""),"""low""")</f>
        <v>"low"</v>
      </c>
      <c r="DK36" s="18" t="str">
        <f ca="1">IFERROR(__xludf.DUMMYFUNCTION("""COMPUTED_VALUE"""),"""medium""")</f>
        <v>"medium"</v>
      </c>
      <c r="DL36" s="18" t="str">
        <f ca="1">IFERROR(__xludf.DUMMYFUNCTION("""COMPUTED_VALUE"""),"""high""")</f>
        <v>"high"</v>
      </c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</row>
    <row r="37" spans="1:149" ht="15.75" customHeight="1" x14ac:dyDescent="0.25">
      <c r="A37" s="15" t="s">
        <v>83</v>
      </c>
      <c r="B37" s="15">
        <v>45</v>
      </c>
      <c r="C37" s="15" t="s">
        <v>28</v>
      </c>
      <c r="D37" s="16"/>
      <c r="E37" s="15"/>
      <c r="F37" s="15"/>
      <c r="G37" s="15"/>
      <c r="H37" s="17" t="str">
        <f ca="1">IFERROR(__xludf.DUMMYFUNCTION("""COMPUTED_VALUE"""),"x")</f>
        <v>x</v>
      </c>
      <c r="I37" s="15" t="s">
        <v>29</v>
      </c>
      <c r="J37" s="15" t="s">
        <v>29</v>
      </c>
      <c r="K37" s="15" t="s">
        <v>29</v>
      </c>
      <c r="L37" s="15" t="s">
        <v>29</v>
      </c>
      <c r="M37" s="15" t="s">
        <v>29</v>
      </c>
      <c r="N37" s="16"/>
      <c r="O37" s="18" t="s">
        <v>84</v>
      </c>
      <c r="P37" s="19"/>
      <c r="Q37" s="18" t="str">
        <f ca="1">IFERROR(__xludf.DUMMYFUNCTION("""COMPUTED_VALUE"""),"zb -a 0x0201 0xF063 722")</f>
        <v>zb -a 0x0201 0xF063 722</v>
      </c>
      <c r="R37" s="19"/>
      <c r="S37" s="20" t="str">
        <f ca="1">IFERROR(__xludf.DUMMYFUNCTION("""COMPUTED_VALUE"""),"cool_setpoint_max,10,260,513,24,41,2667,,,,86400")</f>
        <v>cool_setpoint_max,10,260,513,24,41,2667,,,,86400</v>
      </c>
      <c r="X37" s="18" t="str">
        <f ca="1">IFERROR(__xludf.DUMMYFUNCTION("""COMPUTED_VALUE"""),"cool_drive_min")</f>
        <v>cool_drive_min</v>
      </c>
      <c r="BL37" s="18" t="str">
        <f ca="1">IFERROR(__xludf.DUMMYFUNCTION("""COMPUTED_VALUE"""),"heating_final_value")</f>
        <v>heating_final_value</v>
      </c>
      <c r="BM37" s="18" t="str">
        <f ca="1">IFERROR(__xludf.DUMMYFUNCTION("""COMPUTED_VALUE"""),"0x0201")</f>
        <v>0x0201</v>
      </c>
      <c r="BN37" s="18" t="str">
        <f ca="1">IFERROR(__xludf.DUMMYFUNCTION("""COMPUTED_VALUE"""),"0xF105")</f>
        <v>0xF105</v>
      </c>
      <c r="BP37" s="10"/>
      <c r="BR37" s="18" t="str">
        <f ca="1">IFERROR(__xludf.DUMMYFUNCTION("""COMPUTED_VALUE"""),"temp_protection_enable")</f>
        <v>temp_protection_enable</v>
      </c>
      <c r="BS37" s="18" t="str">
        <f ca="1">IFERROR(__xludf.DUMMYFUNCTION("""COMPUTED_VALUE"""),"0x0201")</f>
        <v>0x0201</v>
      </c>
      <c r="BT37" s="18" t="str">
        <f ca="1">IFERROR(__xludf.DUMMYFUNCTION("""COMPUTED_VALUE"""),"0xF062")</f>
        <v>0xF062</v>
      </c>
      <c r="BU37" s="18" t="str">
        <f ca="1">IFERROR(__xludf.DUMMYFUNCTION("""COMPUTED_VALUE"""),"""none""")</f>
        <v>"none"</v>
      </c>
      <c r="BW37" s="10"/>
      <c r="BY37" s="18" t="str">
        <f ca="1">IFERROR(__xludf.DUMMYFUNCTION("""COMPUTED_VALUE"""),"entry_online")</f>
        <v>entry_online</v>
      </c>
      <c r="BZ37" s="18" t="str">
        <f ca="1">IFERROR(__xludf.DUMMYFUNCTION("""COMPUTED_VALUE"""),"0x0201")</f>
        <v>0x0201</v>
      </c>
      <c r="CA37" s="18" t="str">
        <f ca="1">IFERROR(__xludf.DUMMYFUNCTION("""COMPUTED_VALUE"""),"0xF0B9")</f>
        <v>0xF0B9</v>
      </c>
      <c r="CB37" s="18" t="str">
        <f ca="1">IFERROR(__xludf.DUMMYFUNCTION("""COMPUTED_VALUE"""),"0")</f>
        <v>0</v>
      </c>
      <c r="CC37" s="18" t="str">
        <f ca="1">IFERROR(__xludf.DUMMYFUNCTION("""COMPUTED_VALUE"""),"3600")</f>
        <v>3600</v>
      </c>
      <c r="CD37" s="18" t="str">
        <f ca="1">IFERROR(__xludf.DUMMYFUNCTION("""COMPUTED_VALUE"""),"0")</f>
        <v>0</v>
      </c>
      <c r="CF37" s="10"/>
      <c r="CH37" s="18" t="str">
        <f ca="1">IFERROR(__xludf.DUMMYFUNCTION("""COMPUTED_VALUE"""),"dehumidification_max_cycle_time")</f>
        <v>dehumidification_max_cycle_time</v>
      </c>
      <c r="CI37" s="18" t="str">
        <f ca="1">IFERROR(__xludf.DUMMYFUNCTION("""COMPUTED_VALUE"""),"0x0201")</f>
        <v>0x0201</v>
      </c>
      <c r="CJ37" s="18" t="str">
        <f ca="1">IFERROR(__xludf.DUMMYFUNCTION("""COMPUTED_VALUE"""),"0xF077")</f>
        <v>0xF077</v>
      </c>
      <c r="CK37" s="18" t="str">
        <f ca="1">IFERROR(__xludf.DUMMYFUNCTION("""COMPUTED_VALUE"""),"86400")</f>
        <v>86400</v>
      </c>
      <c r="CM37" s="10"/>
      <c r="CP37" s="18" t="str">
        <f ca="1"/>
        <v/>
      </c>
      <c r="CQ37" s="18" t="str">
        <f ca="1"/>
        <v/>
      </c>
      <c r="CR37" s="18" t="str">
        <f ca="1"/>
        <v/>
      </c>
      <c r="CS37" s="18" t="str">
        <f ca="1"/>
        <v/>
      </c>
      <c r="CT37" s="18" t="str">
        <f ca="1"/>
        <v/>
      </c>
      <c r="CV37" s="10"/>
      <c r="CX37" s="18" t="str">
        <f ca="1">IFERROR(__xludf.DUMMYFUNCTION("""COMPUTED_VALUE"""),"active_remote_controller")</f>
        <v>active_remote_controller</v>
      </c>
      <c r="CY37" s="18" t="str">
        <f ca="1"/>
        <v>0x0201</v>
      </c>
      <c r="CZ37" s="18" t="str">
        <f ca="1"/>
        <v>0xF078</v>
      </c>
      <c r="DA37" s="18" t="str">
        <f ca="1"/>
        <v>86400</v>
      </c>
      <c r="DC37" s="10"/>
      <c r="DE37" s="18" t="str">
        <f ca="1">IFERROR(__xludf.DUMMYFUNCTION("""COMPUTED_VALUE"""),"fan_modes_available")</f>
        <v>fan_modes_available</v>
      </c>
      <c r="DF37" s="18" t="str">
        <f ca="1">IFERROR(__xludf.DUMMYFUNCTION("""COMPUTED_VALUE"""),"0x0202")</f>
        <v>0x0202</v>
      </c>
      <c r="DG37" s="18" t="str">
        <f ca="1">IFERROR(__xludf.DUMMYFUNCTION("""COMPUTED_VALUE"""),"0x0001")</f>
        <v>0x0001</v>
      </c>
      <c r="DH37" s="18" t="str">
        <f ca="1">IFERROR(__xludf.DUMMYFUNCTION("""COMPUTED_VALUE"""),"N/A")</f>
        <v>N/A</v>
      </c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</row>
    <row r="38" spans="1:149" ht="15.75" customHeight="1" x14ac:dyDescent="0.25">
      <c r="A38" s="15" t="s">
        <v>85</v>
      </c>
      <c r="B38" s="15">
        <v>86</v>
      </c>
      <c r="C38" s="15" t="s">
        <v>28</v>
      </c>
      <c r="D38" s="16"/>
      <c r="E38" s="15"/>
      <c r="F38" s="15"/>
      <c r="G38" s="15"/>
      <c r="H38" s="17" t="str">
        <f ca="1">IFERROR(__xludf.DUMMYFUNCTION("""COMPUTED_VALUE"""),"x")</f>
        <v>x</v>
      </c>
      <c r="I38" s="15" t="s">
        <v>29</v>
      </c>
      <c r="J38" s="15" t="s">
        <v>29</v>
      </c>
      <c r="K38" s="15" t="s">
        <v>29</v>
      </c>
      <c r="L38" s="15" t="s">
        <v>29</v>
      </c>
      <c r="M38" s="15" t="s">
        <v>29</v>
      </c>
      <c r="N38" s="16"/>
      <c r="O38" s="18" t="s">
        <v>86</v>
      </c>
      <c r="P38" s="19"/>
      <c r="Q38" s="18" t="str">
        <f ca="1">IFERROR(__xludf.DUMMYFUNCTION("""COMPUTED_VALUE"""),"zb -a 0x0201 0xF064 3000")</f>
        <v>zb -a 0x0201 0xF064 3000</v>
      </c>
      <c r="R38" s="19"/>
      <c r="S38" s="20" t="str">
        <f ca="1">IFERROR(__xludf.DUMMYFUNCTION("""COMPUTED_VALUE"""),"cool_setpoint_min,10,260,513,23,41,1778,,,,86400")</f>
        <v>cool_setpoint_min,10,260,513,23,41,1778,,,,86400</v>
      </c>
      <c r="X38" s="18" t="str">
        <f ca="1">IFERROR(__xludf.DUMMYFUNCTION("""COMPUTED_VALUE"""),"cool_setpoint")</f>
        <v>cool_setpoint</v>
      </c>
      <c r="BL38" s="18" t="str">
        <f ca="1">IFERROR(__xludf.DUMMYFUNCTION("""COMPUTED_VALUE"""),"cooling_final_value")</f>
        <v>cooling_final_value</v>
      </c>
      <c r="BM38" s="18" t="str">
        <f ca="1">IFERROR(__xludf.DUMMYFUNCTION("""COMPUTED_VALUE"""),"0x0201")</f>
        <v>0x0201</v>
      </c>
      <c r="BN38" s="18" t="str">
        <f ca="1">IFERROR(__xludf.DUMMYFUNCTION("""COMPUTED_VALUE"""),"0xF107")</f>
        <v>0xF107</v>
      </c>
      <c r="BP38" s="10"/>
      <c r="BR38" s="18" t="str">
        <f ca="1">IFERROR(__xludf.DUMMYFUNCTION("""COMPUTED_VALUE"""),"temp_protection_low_limit")</f>
        <v>temp_protection_low_limit</v>
      </c>
      <c r="BS38" s="18" t="str">
        <f ca="1">IFERROR(__xludf.DUMMYFUNCTION("""COMPUTED_VALUE"""),"0x0201")</f>
        <v>0x0201</v>
      </c>
      <c r="BT38" s="18" t="str">
        <f ca="1">IFERROR(__xludf.DUMMYFUNCTION("""COMPUTED_VALUE"""),"0xF063")</f>
        <v>0xF063</v>
      </c>
      <c r="BU38" s="18" t="str">
        <f ca="1">IFERROR(__xludf.DUMMYFUNCTION("""COMPUTED_VALUE"""),"10")</f>
        <v>10</v>
      </c>
      <c r="BW38" s="10"/>
      <c r="BY38" s="18" t="str">
        <f ca="1">IFERROR(__xludf.DUMMYFUNCTION("""COMPUTED_VALUE"""),"entry_open")</f>
        <v>entry_open</v>
      </c>
      <c r="BZ38" s="18" t="str">
        <f ca="1">IFERROR(__xludf.DUMMYFUNCTION("""COMPUTED_VALUE"""),"0x0201")</f>
        <v>0x0201</v>
      </c>
      <c r="CA38" s="18" t="str">
        <f ca="1">IFERROR(__xludf.DUMMYFUNCTION("""COMPUTED_VALUE"""),"0xF0BA")</f>
        <v>0xF0BA</v>
      </c>
      <c r="CB38" s="18" t="str">
        <f ca="1">IFERROR(__xludf.DUMMYFUNCTION("""COMPUTED_VALUE"""),"0")</f>
        <v>0</v>
      </c>
      <c r="CC38" s="18" t="str">
        <f ca="1">IFERROR(__xludf.DUMMYFUNCTION("""COMPUTED_VALUE"""),"3600")</f>
        <v>3600</v>
      </c>
      <c r="CD38" s="18" t="str">
        <f ca="1">IFERROR(__xludf.DUMMYFUNCTION("""COMPUTED_VALUE"""),"0")</f>
        <v>0</v>
      </c>
      <c r="CF38" s="10"/>
      <c r="CH38" s="18" t="str">
        <f ca="1">IFERROR(__xludf.DUMMYFUNCTION("""COMPUTED_VALUE"""),"active_remote_controller")</f>
        <v>active_remote_controller</v>
      </c>
      <c r="CI38" s="18" t="str">
        <f ca="1">IFERROR(__xludf.DUMMYFUNCTION("""COMPUTED_VALUE"""),"0x0201")</f>
        <v>0x0201</v>
      </c>
      <c r="CJ38" s="18" t="str">
        <f ca="1">IFERROR(__xludf.DUMMYFUNCTION("""COMPUTED_VALUE"""),"0xF078")</f>
        <v>0xF078</v>
      </c>
      <c r="CK38" s="18" t="str">
        <f ca="1">IFERROR(__xludf.DUMMYFUNCTION("""COMPUTED_VALUE"""),"86400")</f>
        <v>86400</v>
      </c>
      <c r="CM38" s="10"/>
      <c r="CP38" s="18" t="str">
        <f ca="1"/>
        <v/>
      </c>
      <c r="CQ38" s="18" t="str">
        <f ca="1"/>
        <v/>
      </c>
      <c r="CR38" s="18" t="str">
        <f ca="1"/>
        <v/>
      </c>
      <c r="CS38" s="18" t="str">
        <f ca="1"/>
        <v/>
      </c>
      <c r="CT38" s="18" t="str">
        <f ca="1"/>
        <v/>
      </c>
      <c r="CV38" s="10"/>
      <c r="CX38" s="18" t="str">
        <f ca="1">IFERROR(__xludf.DUMMYFUNCTION("""COMPUTED_VALUE"""),"remote_controller_auto_fan_disable")</f>
        <v>remote_controller_auto_fan_disable</v>
      </c>
      <c r="CY38" s="18" t="str">
        <f ca="1"/>
        <v>0x0201</v>
      </c>
      <c r="CZ38" s="18" t="str">
        <f ca="1"/>
        <v>0xF079</v>
      </c>
      <c r="DA38" s="18" t="str">
        <f ca="1"/>
        <v>86400</v>
      </c>
      <c r="DC38" s="10"/>
      <c r="DE38" s="18" t="str">
        <f ca="1">IFERROR(__xludf.DUMMYFUNCTION("""COMPUTED_VALUE"""),"ui_keypad_lockout")</f>
        <v>ui_keypad_lockout</v>
      </c>
      <c r="DF38" s="18" t="str">
        <f ca="1">IFERROR(__xludf.DUMMYFUNCTION("""COMPUTED_VALUE"""),"0x0204")</f>
        <v>0x0204</v>
      </c>
      <c r="DG38" s="18" t="str">
        <f ca="1">IFERROR(__xludf.DUMMYFUNCTION("""COMPUTED_VALUE"""),"0x0001")</f>
        <v>0x0001</v>
      </c>
      <c r="DH38" s="18" t="str">
        <f ca="1">IFERROR(__xludf.DUMMYFUNCTION("""COMPUTED_VALUE"""),"""none""")</f>
        <v>"none"</v>
      </c>
      <c r="DI38" s="18" t="str">
        <f ca="1">IFERROR(__xludf.DUMMYFUNCTION("""COMPUTED_VALUE"""),"""mode""")</f>
        <v>"mode"</v>
      </c>
      <c r="DJ38" s="18" t="str">
        <f ca="1">IFERROR(__xludf.DUMMYFUNCTION("""COMPUTED_VALUE"""),"""mode_fan""")</f>
        <v>"mode_fan"</v>
      </c>
      <c r="DK38" s="18" t="str">
        <f ca="1">IFERROR(__xludf.DUMMYFUNCTION("""COMPUTED_VALUE"""),"""all""")</f>
        <v>"all"</v>
      </c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</row>
    <row r="39" spans="1:149" ht="15.75" customHeight="1" x14ac:dyDescent="0.25">
      <c r="A39" s="15"/>
      <c r="B39" s="15"/>
      <c r="C39" s="15"/>
      <c r="D39" s="16"/>
      <c r="E39" s="15"/>
      <c r="F39" s="15"/>
      <c r="G39" s="15"/>
      <c r="H39" s="17" t="str">
        <f ca="1">IFERROR(__xludf.DUMMYFUNCTION("""COMPUTED_VALUE"""),"")</f>
        <v/>
      </c>
      <c r="I39" s="15" t="s">
        <v>29</v>
      </c>
      <c r="J39" s="15" t="s">
        <v>29</v>
      </c>
      <c r="K39" s="15" t="s">
        <v>29</v>
      </c>
      <c r="L39" s="15" t="s">
        <v>29</v>
      </c>
      <c r="M39" s="15" t="s">
        <v>29</v>
      </c>
      <c r="N39" s="16"/>
      <c r="P39" s="19"/>
      <c r="Q39" s="18" t="str">
        <f ca="1">IFERROR(__xludf.DUMMYFUNCTION("""COMPUTED_VALUE"""),"")</f>
        <v/>
      </c>
      <c r="R39" s="19"/>
      <c r="S39" s="20" t="str">
        <f ca="1">IFERROR(__xludf.DUMMYFUNCTION("""COMPUTED_VALUE"""),"cool_setpoint_unocc,10,260,513,19,41,,0,3600,0")</f>
        <v>cool_setpoint_unocc,10,260,513,19,41,,0,3600,0</v>
      </c>
      <c r="X39" s="18" t="str">
        <f ca="1">IFERROR(__xludf.DUMMYFUNCTION("""COMPUTED_VALUE"""),"cool_setpoint_max")</f>
        <v>cool_setpoint_max</v>
      </c>
      <c r="BL39" s="18" t="str">
        <f ca="1">IFERROR(__xludf.DUMMYFUNCTION("""COMPUTED_VALUE"""),"savings_in_effect")</f>
        <v>savings_in_effect</v>
      </c>
      <c r="BM39" s="18" t="str">
        <f ca="1">IFERROR(__xludf.DUMMYFUNCTION("""COMPUTED_VALUE"""),"0x0201")</f>
        <v>0x0201</v>
      </c>
      <c r="BN39" s="18" t="str">
        <f ca="1">IFERROR(__xludf.DUMMYFUNCTION("""COMPUTED_VALUE"""),"0xF109")</f>
        <v>0xF109</v>
      </c>
      <c r="BP39" s="10"/>
      <c r="BR39" s="18" t="str">
        <f ca="1">IFERROR(__xludf.DUMMYFUNCTION("""COMPUTED_VALUE"""),"temp_protection_high_limit")</f>
        <v>temp_protection_high_limit</v>
      </c>
      <c r="BS39" s="18" t="str">
        <f ca="1">IFERROR(__xludf.DUMMYFUNCTION("""COMPUTED_VALUE"""),"0x0201")</f>
        <v>0x0201</v>
      </c>
      <c r="BT39" s="18" t="str">
        <f ca="1">IFERROR(__xludf.DUMMYFUNCTION("""COMPUTED_VALUE"""),"0xF064")</f>
        <v>0xF064</v>
      </c>
      <c r="BU39" s="18" t="str">
        <f ca="1">IFERROR(__xludf.DUMMYFUNCTION("""COMPUTED_VALUE"""),"30")</f>
        <v>30</v>
      </c>
      <c r="BW39" s="10"/>
      <c r="BY39" s="18" t="str">
        <f ca="1">IFERROR(__xludf.DUMMYFUNCTION("""COMPUTED_VALUE"""),"entry_door_not_changing")</f>
        <v>entry_door_not_changing</v>
      </c>
      <c r="BZ39" s="18" t="str">
        <f ca="1">IFERROR(__xludf.DUMMYFUNCTION("""COMPUTED_VALUE"""),"0x0201")</f>
        <v>0x0201</v>
      </c>
      <c r="CA39" s="18" t="str">
        <f ca="1">IFERROR(__xludf.DUMMYFUNCTION("""COMPUTED_VALUE"""),"0xF0BD")</f>
        <v>0xF0BD</v>
      </c>
      <c r="CB39" s="18" t="str">
        <f ca="1">IFERROR(__xludf.DUMMYFUNCTION("""COMPUTED_VALUE"""),"0")</f>
        <v>0</v>
      </c>
      <c r="CC39" s="18" t="str">
        <f ca="1">IFERROR(__xludf.DUMMYFUNCTION("""COMPUTED_VALUE"""),"3600")</f>
        <v>3600</v>
      </c>
      <c r="CD39" s="18" t="str">
        <f ca="1">IFERROR(__xludf.DUMMYFUNCTION("""COMPUTED_VALUE"""),"0")</f>
        <v>0</v>
      </c>
      <c r="CF39" s="10"/>
      <c r="CH39" s="18" t="str">
        <f ca="1">IFERROR(__xludf.DUMMYFUNCTION("""COMPUTED_VALUE"""),"remote_controller_auto_fan_disable")</f>
        <v>remote_controller_auto_fan_disable</v>
      </c>
      <c r="CI39" s="18" t="str">
        <f ca="1">IFERROR(__xludf.DUMMYFUNCTION("""COMPUTED_VALUE"""),"0x0201")</f>
        <v>0x0201</v>
      </c>
      <c r="CJ39" s="18" t="str">
        <f ca="1">IFERROR(__xludf.DUMMYFUNCTION("""COMPUTED_VALUE"""),"0xF079")</f>
        <v>0xF079</v>
      </c>
      <c r="CK39" s="18" t="str">
        <f ca="1">IFERROR(__xludf.DUMMYFUNCTION("""COMPUTED_VALUE"""),"86400")</f>
        <v>86400</v>
      </c>
      <c r="CM39" s="10"/>
      <c r="CP39" s="18" t="str">
        <f ca="1"/>
        <v/>
      </c>
      <c r="CQ39" s="18" t="str">
        <f ca="1"/>
        <v/>
      </c>
      <c r="CR39" s="18" t="str">
        <f ca="1"/>
        <v/>
      </c>
      <c r="CS39" s="18" t="str">
        <f ca="1"/>
        <v/>
      </c>
      <c r="CT39" s="18" t="str">
        <f ca="1"/>
        <v/>
      </c>
      <c r="CV39" s="10"/>
      <c r="CX39" s="18" t="str">
        <f ca="1">IFERROR(__xludf.DUMMYFUNCTION("""COMPUTED_VALUE"""),"relay_0_pulse_length")</f>
        <v>relay_0_pulse_length</v>
      </c>
      <c r="CY39" s="18" t="str">
        <f ca="1"/>
        <v>0x0201</v>
      </c>
      <c r="CZ39" s="18" t="str">
        <f ca="1"/>
        <v>0xF088</v>
      </c>
      <c r="DA39" s="18" t="str">
        <f ca="1"/>
        <v>86400</v>
      </c>
      <c r="DC39" s="10"/>
      <c r="DE39" s="18" t="str">
        <f ca="1">IFERROR(__xludf.DUMMYFUNCTION("""COMPUTED_VALUE"""),"local_sensor_occupied")</f>
        <v>local_sensor_occupied</v>
      </c>
      <c r="DF39" s="18" t="str">
        <f ca="1">IFERROR(__xludf.DUMMYFUNCTION("""COMPUTED_VALUE"""),"0x0406")</f>
        <v>0x0406</v>
      </c>
      <c r="DG39" s="18" t="str">
        <f ca="1">IFERROR(__xludf.DUMMYFUNCTION("""COMPUTED_VALUE"""),"0x0000")</f>
        <v>0x0000</v>
      </c>
      <c r="DH39" s="18" t="str">
        <f ca="1">IFERROR(__xludf.DUMMYFUNCTION("""COMPUTED_VALUE"""),"""occupied""")</f>
        <v>"occupied"</v>
      </c>
      <c r="DI39" s="18" t="str">
        <f ca="1">IFERROR(__xludf.DUMMYFUNCTION("""COMPUTED_VALUE"""),"""unoccupied""")</f>
        <v>"unoccupied"</v>
      </c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</row>
    <row r="40" spans="1:149" ht="15.75" customHeight="1" x14ac:dyDescent="0.25">
      <c r="A40" s="9" t="s">
        <v>87</v>
      </c>
      <c r="B40" s="22"/>
      <c r="C40" s="22"/>
      <c r="D40" s="22"/>
      <c r="E40" s="22"/>
      <c r="F40" s="22"/>
      <c r="G40" s="22"/>
      <c r="H40" s="17" t="str">
        <f ca="1">IFERROR(__xludf.DUMMYFUNCTION("""COMPUTED_VALUE"""),"")</f>
        <v/>
      </c>
      <c r="I40" s="22" t="s">
        <v>29</v>
      </c>
      <c r="J40" s="22" t="s">
        <v>29</v>
      </c>
      <c r="K40" s="22" t="s">
        <v>29</v>
      </c>
      <c r="L40" s="22" t="s">
        <v>29</v>
      </c>
      <c r="M40" s="22" t="s">
        <v>29</v>
      </c>
      <c r="N40" s="16"/>
      <c r="O40" s="10"/>
      <c r="P40" s="19"/>
      <c r="Q40" s="10" t="str">
        <f ca="1">IFERROR(__xludf.DUMMYFUNCTION("""COMPUTED_VALUE"""),"")</f>
        <v/>
      </c>
      <c r="R40" s="19"/>
      <c r="S40" s="20" t="str">
        <f ca="1">IFERROR(__xludf.DUMMYFUNCTION("""COMPUTED_VALUE"""),"cool_setpoint,10,260,513,17,41,,0,3600,0")</f>
        <v>cool_setpoint,10,260,513,17,41,,0,3600,0</v>
      </c>
      <c r="X40" s="18" t="str">
        <f ca="1">IFERROR(__xludf.DUMMYFUNCTION("""COMPUTED_VALUE"""),"cool_setpoint_min")</f>
        <v>cool_setpoint_min</v>
      </c>
      <c r="BL40" s="18" t="str">
        <f ca="1">IFERROR(__xludf.DUMMYFUNCTION("""COMPUTED_VALUE"""),"motion_sensor_contacts")</f>
        <v>motion_sensor_contacts</v>
      </c>
      <c r="BM40" s="18" t="str">
        <f ca="1">IFERROR(__xludf.DUMMYFUNCTION("""COMPUTED_VALUE"""),"0x0201")</f>
        <v>0x0201</v>
      </c>
      <c r="BN40" s="18" t="str">
        <f ca="1">IFERROR(__xludf.DUMMYFUNCTION("""COMPUTED_VALUE"""),"0xF10A")</f>
        <v>0xF10A</v>
      </c>
      <c r="BP40" s="10"/>
      <c r="BR40" s="18" t="str">
        <f ca="1">IFERROR(__xludf.DUMMYFUNCTION("""COMPUTED_VALUE"""),"dehumidification_option")</f>
        <v>dehumidification_option</v>
      </c>
      <c r="BS40" s="18" t="str">
        <f ca="1">IFERROR(__xludf.DUMMYFUNCTION("""COMPUTED_VALUE"""),"0x0201")</f>
        <v>0x0201</v>
      </c>
      <c r="BT40" s="18" t="str">
        <f ca="1">IFERROR(__xludf.DUMMYFUNCTION("""COMPUTED_VALUE"""),"0xF067")</f>
        <v>0xF067</v>
      </c>
      <c r="BU40" s="18" t="str">
        <f ca="1">IFERROR(__xludf.DUMMYFUNCTION("""COMPUTED_VALUE"""),"""none""")</f>
        <v>"none"</v>
      </c>
      <c r="BW40" s="10"/>
      <c r="BY40" s="18" t="str">
        <f ca="1">IFERROR(__xludf.DUMMYFUNCTION("""COMPUTED_VALUE"""),"door_occ_locked")</f>
        <v>door_occ_locked</v>
      </c>
      <c r="BZ40" s="18" t="str">
        <f ca="1">IFERROR(__xludf.DUMMYFUNCTION("""COMPUTED_VALUE"""),"0x0201")</f>
        <v>0x0201</v>
      </c>
      <c r="CA40" s="18" t="str">
        <f ca="1">IFERROR(__xludf.DUMMYFUNCTION("""COMPUTED_VALUE"""),"0xF0D4")</f>
        <v>0xF0D4</v>
      </c>
      <c r="CB40" s="18" t="str">
        <f ca="1">IFERROR(__xludf.DUMMYFUNCTION("""COMPUTED_VALUE"""),"0")</f>
        <v>0</v>
      </c>
      <c r="CC40" s="18" t="str">
        <f ca="1">IFERROR(__xludf.DUMMYFUNCTION("""COMPUTED_VALUE"""),"3600")</f>
        <v>3600</v>
      </c>
      <c r="CD40" s="18" t="str">
        <f ca="1">IFERROR(__xludf.DUMMYFUNCTION("""COMPUTED_VALUE"""),"0")</f>
        <v>0</v>
      </c>
      <c r="CF40" s="10"/>
      <c r="CH40" s="18" t="str">
        <f ca="1">IFERROR(__xludf.DUMMYFUNCTION("""COMPUTED_VALUE"""),"relay_0_pulse_length")</f>
        <v>relay_0_pulse_length</v>
      </c>
      <c r="CI40" s="18" t="str">
        <f ca="1">IFERROR(__xludf.DUMMYFUNCTION("""COMPUTED_VALUE"""),"0x0201")</f>
        <v>0x0201</v>
      </c>
      <c r="CJ40" s="18" t="str">
        <f ca="1">IFERROR(__xludf.DUMMYFUNCTION("""COMPUTED_VALUE"""),"0xF088")</f>
        <v>0xF088</v>
      </c>
      <c r="CK40" s="18" t="str">
        <f ca="1">IFERROR(__xludf.DUMMYFUNCTION("""COMPUTED_VALUE"""),"86400")</f>
        <v>86400</v>
      </c>
      <c r="CM40" s="10"/>
      <c r="CP40" s="18" t="str">
        <f ca="1"/>
        <v/>
      </c>
      <c r="CQ40" s="18" t="str">
        <f ca="1"/>
        <v/>
      </c>
      <c r="CR40" s="18" t="str">
        <f ca="1"/>
        <v/>
      </c>
      <c r="CS40" s="18" t="str">
        <f ca="1"/>
        <v/>
      </c>
      <c r="CT40" s="18" t="str">
        <f ca="1"/>
        <v/>
      </c>
      <c r="CV40" s="10"/>
      <c r="CX40" s="18" t="str">
        <f ca="1">IFERROR(__xludf.DUMMYFUNCTION("""COMPUTED_VALUE"""),"relay_1_pulse_length")</f>
        <v>relay_1_pulse_length</v>
      </c>
      <c r="CY40" s="18" t="str">
        <f ca="1"/>
        <v>0x0201</v>
      </c>
      <c r="CZ40" s="18" t="str">
        <f ca="1"/>
        <v>0xF089</v>
      </c>
      <c r="DA40" s="18" t="str">
        <f ca="1"/>
        <v>86400</v>
      </c>
      <c r="DC40" s="10"/>
      <c r="DE40" s="18" t="str">
        <f ca="1">IFERROR(__xludf.DUMMYFUNCTION("""COMPUTED_VALUE"""),"dry_contact")</f>
        <v>dry_contact</v>
      </c>
      <c r="DF40" s="18" t="str">
        <f ca="1">IFERROR(__xludf.DUMMYFUNCTION("""COMPUTED_VALUE"""),"0x0500")</f>
        <v>0x0500</v>
      </c>
      <c r="DG40" s="18" t="str">
        <f ca="1">IFERROR(__xludf.DUMMYFUNCTION("""COMPUTED_VALUE"""),"0x0002")</f>
        <v>0x0002</v>
      </c>
      <c r="DH40" s="18" t="str">
        <f ca="1">IFERROR(__xludf.DUMMYFUNCTION("""COMPUTED_VALUE"""),"""opened""")</f>
        <v>"opened"</v>
      </c>
      <c r="DI40" s="18" t="str">
        <f ca="1">IFERROR(__xludf.DUMMYFUNCTION("""COMPUTED_VALUE"""),"""closed""")</f>
        <v>"closed"</v>
      </c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</row>
    <row r="41" spans="1:149" ht="15.75" customHeight="1" x14ac:dyDescent="0.25">
      <c r="A41" s="23" t="s">
        <v>88</v>
      </c>
      <c r="B41" s="15" t="s">
        <v>89</v>
      </c>
      <c r="C41" s="15"/>
      <c r="D41" s="16"/>
      <c r="E41" s="15"/>
      <c r="F41" s="15"/>
      <c r="G41" s="15"/>
      <c r="H41" s="17" t="str">
        <f ca="1">IFERROR(__xludf.DUMMYFUNCTION("""COMPUTED_VALUE"""),"x")</f>
        <v>x</v>
      </c>
      <c r="I41" s="15" t="s">
        <v>29</v>
      </c>
      <c r="J41" s="15" t="s">
        <v>29</v>
      </c>
      <c r="K41" s="15" t="s">
        <v>29</v>
      </c>
      <c r="L41" s="15" t="s">
        <v>29</v>
      </c>
      <c r="M41" s="15" t="s">
        <v>29</v>
      </c>
      <c r="N41" s="16"/>
      <c r="O41" s="18" t="str">
        <f ca="1">IFERROR(__xludf.DUMMYFUNCTION("IF(A41="""","""",A41
&amp;"",""
&amp;HEX2DEC(VLOOKUP(A41,{'Data Model Parser'!$C$4:$C1626,'Data Model Parser'!$U$4:$U1626},2,0))
&amp;"",""
&amp;HEX2DEC(VLOOKUP(A41,{'Data Model Parser'!$C$4:$C1626,'Data Model Parser'!$V$4:$V1626},2,0))
&amp;"",""
&amp;HEX2DEC(VLOOKUP(A41,{'Data"&amp;" Model Parser'!$C$4:$C1626,'Data Model Parser'!$W$4:$W1626},2,0))
&amp;"",""
&amp;HEX2DEC(VLOOKUP(A41,{'Data Model Parser'!$C$4:$C1626,'Data Model Parser'!$T$4:$T1626},2,0))
&amp;"",""
&amp;HEX2DEC(VLOOKUP(A41,{'Data Model Parser'!$C$4:$C1626,'Data Model Parser'!$X$4:$X1"&amp;"626},2,0))
&amp;"",""
&amp;IFS(B41="""","""",REGEXREPLACE(B41,CHAR(34),"""")=""none"",""0"",REGEXREPLACE(B41,CHAR(34),"""")=""recovery_time"",""1"",REGEXREPLACE(B41,CHAR(34),"""")=""fixed"",""2"",REGEXREPLACE(B41,CHAR(34),"""")=""delta"",""3"")
&amp;"",""
&amp;IF(VLOOKUP"&amp;"(A41,{'Data Model Parser'!$C$4:$C1626,'Data Model Parser'!$G$4:$G1626},2,0)=""polled"","",,,""&amp;VLOOKUP(A41,{'Data Model Parser'!$C$4:$C1626,'Data Model Parser'!$H$4:$H1626},2,0),
IF(VLOOKUP(A41,{'Data Model Parser'!$C$4:$C1626,'Data Model Parser'!$G$4:$G1"&amp;"626},2,0)=""reported"",
IFS(E41&lt;&gt;"""",E41&amp;"","",
E41="""",VLOOKUP(A41,{'Data Model Parser'!$C$4:$C1626,'Data Model Parser'!$J$4:$J1626},2,0)&amp;"","")
&amp;IFS(F41&lt;&gt;"""",F41&amp;"","",
F41="""",VLOOKUP(A41,{'Data Model Parser'!$C$4:$C1626,'Data Model Parser'!$I$4:$I"&amp;"1626},2,0)&amp;"","")
&amp;IFS(G41&lt;&gt;"""",G41,
G41="""",VLOOKUP(A41,{'Data Model Parser'!$C$4:$C1626,'Data Model Parser'!$K$4:$K1626},2,0)))))"),"setback_mode,10,260,513,61668,48,0,,,,86400")</f>
        <v>setback_mode,10,260,513,61668,48,0,,,,86400</v>
      </c>
      <c r="P41" s="19"/>
      <c r="Q41" s="18" t="str">
        <f ca="1">IFERROR(__xludf.DUMMYFUNCTION("""COMPUTED_VALUE"""),"zb -a 0x0201 0xF0E4 0")</f>
        <v>zb -a 0x0201 0xF0E4 0</v>
      </c>
      <c r="R41" s="19"/>
      <c r="S41" s="20" t="str">
        <f ca="1">IFERROR(__xludf.DUMMYFUNCTION("""COMPUTED_VALUE"""),"cooling_final_value,10,260,513,61703,41,,0,3600,0")</f>
        <v>cooling_final_value,10,260,513,61703,41,,0,3600,0</v>
      </c>
      <c r="X41" s="18" t="str">
        <f ca="1">IFERROR(__xludf.DUMMYFUNCTION("""COMPUTED_VALUE"""),"cool_setpoint_unocc")</f>
        <v>cool_setpoint_unocc</v>
      </c>
      <c r="Y41" s="18" t="str">
        <f ca="1">IFERROR(__xludf.DUMMYFUNCTION("UNIQUE(FILTER({$DE$4:$DE1626,$DH$4:$ES1626}, $DE$4:$DE1626=A41))"),"setback_mode")</f>
        <v>setback_mode</v>
      </c>
      <c r="Z41" s="18" t="str">
        <f ca="1">IFERROR(__xludf.DUMMYFUNCTION("""COMPUTED_VALUE"""),"""none""")</f>
        <v>"none"</v>
      </c>
      <c r="AA41" s="18" t="str">
        <f ca="1">IFERROR(__xludf.DUMMYFUNCTION("""COMPUTED_VALUE"""),"""recovery_time""")</f>
        <v>"recovery_time"</v>
      </c>
      <c r="AB41" s="18" t="str">
        <f ca="1">IFERROR(__xludf.DUMMYFUNCTION("""COMPUTED_VALUE"""),"""fixed""")</f>
        <v>"fixed"</v>
      </c>
      <c r="AC41" s="18" t="str">
        <f ca="1">IFERROR(__xludf.DUMMYFUNCTION("""COMPUTED_VALUE"""),"""delta""")</f>
        <v>"delta"</v>
      </c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 t="str">
        <f ca="1">IFERROR(__xludf.DUMMYFUNCTION("""COMPUTED_VALUE"""),"motion_sensor_contacts_active")</f>
        <v>motion_sensor_contacts_active</v>
      </c>
      <c r="BM41" s="18" t="str">
        <f ca="1">IFERROR(__xludf.DUMMYFUNCTION("""COMPUTED_VALUE"""),"0x0201")</f>
        <v>0x0201</v>
      </c>
      <c r="BN41" s="18" t="str">
        <f ca="1">IFERROR(__xludf.DUMMYFUNCTION("""COMPUTED_VALUE"""),"0xF10B")</f>
        <v>0xF10B</v>
      </c>
      <c r="BP41" s="10"/>
      <c r="BR41" s="18" t="str">
        <f ca="1">IFERROR(__xludf.DUMMYFUNCTION("""COMPUTED_VALUE"""),"manual_fan_max_time")</f>
        <v>manual_fan_max_time</v>
      </c>
      <c r="BS41" s="18" t="str">
        <f ca="1">IFERROR(__xludf.DUMMYFUNCTION("""COMPUTED_VALUE"""),"0x0201")</f>
        <v>0x0201</v>
      </c>
      <c r="BT41" s="18" t="str">
        <f ca="1">IFERROR(__xludf.DUMMYFUNCTION("""COMPUTED_VALUE"""),"0xF069")</f>
        <v>0xF069</v>
      </c>
      <c r="BU41" s="18" t="str">
        <f ca="1">IFERROR(__xludf.DUMMYFUNCTION("""COMPUTED_VALUE"""),"65535")</f>
        <v>65535</v>
      </c>
      <c r="BW41" s="10"/>
      <c r="BY41" s="18" t="str">
        <f ca="1">IFERROR(__xludf.DUMMYFUNCTION("""COMPUTED_VALUE"""),"occupancy_sensor_state")</f>
        <v>occupancy_sensor_state</v>
      </c>
      <c r="BZ41" s="18" t="str">
        <f ca="1">IFERROR(__xludf.DUMMYFUNCTION("""COMPUTED_VALUE"""),"0x0201")</f>
        <v>0x0201</v>
      </c>
      <c r="CA41" s="18" t="str">
        <f ca="1">IFERROR(__xludf.DUMMYFUNCTION("""COMPUTED_VALUE"""),"0xF0E1")</f>
        <v>0xF0E1</v>
      </c>
      <c r="CB41" s="18" t="str">
        <f ca="1">IFERROR(__xludf.DUMMYFUNCTION("""COMPUTED_VALUE"""),"0")</f>
        <v>0</v>
      </c>
      <c r="CC41" s="18" t="str">
        <f ca="1">IFERROR(__xludf.DUMMYFUNCTION("""COMPUTED_VALUE"""),"3600")</f>
        <v>3600</v>
      </c>
      <c r="CD41" s="18" t="str">
        <f ca="1">IFERROR(__xludf.DUMMYFUNCTION("""COMPUTED_VALUE"""),"0")</f>
        <v>0</v>
      </c>
      <c r="CF41" s="10"/>
      <c r="CH41" s="18" t="str">
        <f ca="1">IFERROR(__xludf.DUMMYFUNCTION("""COMPUTED_VALUE"""),"relay_1_pulse_length")</f>
        <v>relay_1_pulse_length</v>
      </c>
      <c r="CI41" s="18" t="str">
        <f ca="1">IFERROR(__xludf.DUMMYFUNCTION("""COMPUTED_VALUE"""),"0x0201")</f>
        <v>0x0201</v>
      </c>
      <c r="CJ41" s="18" t="str">
        <f ca="1">IFERROR(__xludf.DUMMYFUNCTION("""COMPUTED_VALUE"""),"0xF089")</f>
        <v>0xF089</v>
      </c>
      <c r="CK41" s="18" t="str">
        <f ca="1">IFERROR(__xludf.DUMMYFUNCTION("""COMPUTED_VALUE"""),"86400")</f>
        <v>86400</v>
      </c>
      <c r="CM41" s="10"/>
      <c r="CP41" s="18" t="str">
        <f ca="1"/>
        <v/>
      </c>
      <c r="CQ41" s="18" t="str">
        <f ca="1"/>
        <v/>
      </c>
      <c r="CR41" s="18" t="str">
        <f ca="1"/>
        <v/>
      </c>
      <c r="CS41" s="18" t="str">
        <f ca="1"/>
        <v/>
      </c>
      <c r="CT41" s="18" t="str">
        <f ca="1"/>
        <v/>
      </c>
      <c r="CV41" s="10"/>
      <c r="CX41" s="18" t="str">
        <f ca="1">IFERROR(__xludf.DUMMYFUNCTION("""COMPUTED_VALUE"""),"relay_2_pulse_length")</f>
        <v>relay_2_pulse_length</v>
      </c>
      <c r="CY41" s="18" t="str">
        <f ca="1"/>
        <v>0x0201</v>
      </c>
      <c r="CZ41" s="18" t="str">
        <f ca="1"/>
        <v>0xF08A</v>
      </c>
      <c r="DA41" s="18" t="str">
        <f ca="1"/>
        <v>86400</v>
      </c>
      <c r="DC41" s="10"/>
      <c r="DE41" s="18" t="str">
        <f ca="1">IFERROR(__xludf.DUMMYFUNCTION("""COMPUTED_VALUE"""),"device_type")</f>
        <v>device_type</v>
      </c>
      <c r="DF41" s="18" t="str">
        <f ca="1">IFERROR(__xludf.DUMMYFUNCTION("""COMPUTED_VALUE"""),"0xFC00")</f>
        <v>0xFC00</v>
      </c>
      <c r="DG41" s="18" t="str">
        <f ca="1">IFERROR(__xludf.DUMMYFUNCTION("""COMPUTED_VALUE"""),"0x0000")</f>
        <v>0x0000</v>
      </c>
      <c r="DH41" s="18" t="str">
        <f ca="1">IFERROR(__xludf.DUMMYFUNCTION("""COMPUTED_VALUE"""),"""touchflex""")</f>
        <v>"touchflex"</v>
      </c>
      <c r="DI41" s="18" t="str">
        <f ca="1">IFERROR(__xludf.DUMMYFUNCTION("""COMPUTED_VALUE"""),"""touchcombo""")</f>
        <v>"touchcombo"</v>
      </c>
      <c r="DJ41" s="18" t="str">
        <f ca="1">IFERROR(__xludf.DUMMYFUNCTION("""COMPUTED_VALUE"""),"""aida""")</f>
        <v>"aida"</v>
      </c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</row>
    <row r="42" spans="1:149" ht="15.75" customHeight="1" x14ac:dyDescent="0.25">
      <c r="A42" s="18" t="s">
        <v>90</v>
      </c>
      <c r="B42" s="24" t="s">
        <v>91</v>
      </c>
      <c r="C42" s="25"/>
      <c r="D42" s="26"/>
      <c r="E42" s="25"/>
      <c r="F42" s="25"/>
      <c r="G42" s="25"/>
      <c r="H42" s="26" t="str">
        <f ca="1">IFERROR(__xludf.DUMMYFUNCTION("""COMPUTED_VALUE"""),"x")</f>
        <v>x</v>
      </c>
      <c r="I42" s="27" t="s">
        <v>29</v>
      </c>
      <c r="J42" s="25" t="s">
        <v>29</v>
      </c>
      <c r="K42" s="25" t="s">
        <v>29</v>
      </c>
      <c r="L42" s="25" t="s">
        <v>29</v>
      </c>
      <c r="M42" s="28" t="s">
        <v>29</v>
      </c>
      <c r="N42" s="26"/>
      <c r="O42" s="25" t="str">
        <f ca="1">IFERROR(__xludf.DUMMYFUNCTION("IF(A42="""","""",A42
&amp;"",""
&amp;HEX2DEC(VLOOKUP(A42,{'Data Model Parser'!$C$4:$C1626,'Data Model Parser'!$U$4:$U1626},2,0))
&amp;"",""
&amp;HEX2DEC(VLOOKUP(A42,{'Data Model Parser'!$C$4:$C1626,'Data Model Parser'!$V$4:$V1626},2,0))
&amp;"",""
&amp;HEX2DEC(VLOOKUP(A42,{'Data"&amp;" Model Parser'!$C$4:$C1626,'Data Model Parser'!$W$4:$W1626},2,0))
&amp;"",""
&amp;HEX2DEC(VLOOKUP(A42,{'Data Model Parser'!$C$4:$C1626,'Data Model Parser'!$T$4:$T1626},2,0))
&amp;"",""
&amp;HEX2DEC(VLOOKUP(A42,{'Data Model Parser'!$C$4:$C1626,'Data Model Parser'!$X$4:$X1"&amp;"626},2,0))
&amp;"",""
&amp;
IFS(B42="""",""0"",
REGEXREPLACE(B42,CHAR(34),"""")=""smart_away"",""0"",
REGEXREPLACE(B42,CHAR(34),"""")=""green_mode"",""1"")
&amp;"",""
&amp;IF(VLOOKUP(A42,{'Data Model Parser'!$C$4:$C1626,'Data Model Parser'!$G$4:$G1626},2,0)=""polled"","""&amp;",,,""&amp;VLOOKUP(A42,{'Data Model Parser'!$C$4:$C1626,'Data Model Parser'!$H$4:$H1626},2,0),
IF(VLOOKUP(A42,{'Data Model Parser'!$C$4:$C1626,'Data Model Parser'!$G$4:$G1626},2,0)=""reported"",
IFS(E42&lt;&gt;"""",E42&amp;"","",
E42="""",VLOOKUP(A42,{'Data Model Parser"&amp;"'!$C$4:$C1626,'Data Model Parser'!$J$4:$J1626},2,0)&amp;"","")
&amp;IFS(F42&lt;&gt;"""",F42&amp;"","",
F42="""",VLOOKUP(A42,{'Data Model Parser'!$C$4:$C1626,'Data Model Parser'!$I$4:$I1626},2,0)&amp;"","")
&amp;IFS(G42&lt;&gt;"""",G42,
G42="""",VLOOKUP(A42,{'Data Model Parser'!$C$4:$C16"&amp;"26,'Data Model Parser'!$K$4:$K1626},2,0)))))"),"leaf_button_function,10,260,64517,49,48,0,,,,86400")</f>
        <v>leaf_button_function,10,260,64517,49,48,0,,,,86400</v>
      </c>
      <c r="P42" s="19"/>
      <c r="Q42" s="18" t="str">
        <f ca="1">IFERROR(__xludf.DUMMYFUNCTION("""COMPUTED_VALUE"""),"zb -a 0xFC05 0x0031 0")</f>
        <v>zb -a 0xFC05 0x0031 0</v>
      </c>
      <c r="R42" s="19"/>
      <c r="S42" s="20" t="str">
        <f ca="1">IFERROR(__xludf.DUMMYFUNCTION("""COMPUTED_VALUE"""),"cooling_tau,10,260,513,61702,33,,0,3600,0")</f>
        <v>cooling_tau,10,260,513,61702,33,,0,3600,0</v>
      </c>
      <c r="X42" s="18" t="str">
        <f ca="1">IFERROR(__xludf.DUMMYFUNCTION("""COMPUTED_VALUE"""),"cooling_final_value")</f>
        <v>cooling_final_value</v>
      </c>
      <c r="Y42" s="18" t="str">
        <f ca="1">IFERROR(__xludf.DUMMYFUNCTION("UNIQUE(FILTER({$DE$4:$DE1626,$DH$4:$ES1626}, $DE$4:$DE1626=A42))"),"leaf_button_function")</f>
        <v>leaf_button_function</v>
      </c>
      <c r="Z42" s="18" t="str">
        <f ca="1">IFERROR(__xludf.DUMMYFUNCTION("""COMPUTED_VALUE"""),"""smart_away""")</f>
        <v>"smart_away"</v>
      </c>
      <c r="AA42" s="18" t="str">
        <f ca="1">IFERROR(__xludf.DUMMYFUNCTION("""COMPUTED_VALUE"""),"""green_mode""")</f>
        <v>"green_mode"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 t="str">
        <f ca="1">IFERROR(__xludf.DUMMYFUNCTION("""COMPUTED_VALUE"""),"schedule_configured")</f>
        <v>schedule_configured</v>
      </c>
      <c r="BM42" s="18" t="str">
        <f ca="1">IFERROR(__xludf.DUMMYFUNCTION("""COMPUTED_VALUE"""),"0x0201")</f>
        <v>0x0201</v>
      </c>
      <c r="BN42" s="18" t="str">
        <f ca="1">IFERROR(__xludf.DUMMYFUNCTION("""COMPUTED_VALUE"""),"0xF110")</f>
        <v>0xF110</v>
      </c>
      <c r="BP42" s="10"/>
      <c r="BR42" s="18" t="str">
        <f ca="1">IFERROR(__xludf.DUMMYFUNCTION("""COMPUTED_VALUE"""),"humidity_units")</f>
        <v>humidity_units</v>
      </c>
      <c r="BS42" s="18" t="str">
        <f ca="1">IFERROR(__xludf.DUMMYFUNCTION("""COMPUTED_VALUE"""),"0x0201")</f>
        <v>0x0201</v>
      </c>
      <c r="BT42" s="18" t="str">
        <f ca="1">IFERROR(__xludf.DUMMYFUNCTION("""COMPUTED_VALUE"""),"0xF06B")</f>
        <v>0xF06B</v>
      </c>
      <c r="BU42" s="18" t="str">
        <f ca="1">IFERROR(__xludf.DUMMYFUNCTION("""COMPUTED_VALUE"""),"N/A")</f>
        <v>N/A</v>
      </c>
      <c r="BW42" s="10"/>
      <c r="BY42" s="18" t="str">
        <f ca="1">IFERROR(__xludf.DUMMYFUNCTION("""COMPUTED_VALUE"""),"occupancy_sensor_offline")</f>
        <v>occupancy_sensor_offline</v>
      </c>
      <c r="BZ42" s="18" t="str">
        <f ca="1">IFERROR(__xludf.DUMMYFUNCTION("""COMPUTED_VALUE"""),"0x0201")</f>
        <v>0x0201</v>
      </c>
      <c r="CA42" s="18" t="str">
        <f ca="1">IFERROR(__xludf.DUMMYFUNCTION("""COMPUTED_VALUE"""),"0xF0E2")</f>
        <v>0xF0E2</v>
      </c>
      <c r="CB42" s="18" t="str">
        <f ca="1">IFERROR(__xludf.DUMMYFUNCTION("""COMPUTED_VALUE"""),"0")</f>
        <v>0</v>
      </c>
      <c r="CC42" s="18" t="str">
        <f ca="1">IFERROR(__xludf.DUMMYFUNCTION("""COMPUTED_VALUE"""),"3600")</f>
        <v>3600</v>
      </c>
      <c r="CD42" s="18" t="str">
        <f ca="1">IFERROR(__xludf.DUMMYFUNCTION("""COMPUTED_VALUE"""),"0")</f>
        <v>0</v>
      </c>
      <c r="CF42" s="10"/>
      <c r="CH42" s="18" t="str">
        <f ca="1">IFERROR(__xludf.DUMMYFUNCTION("""COMPUTED_VALUE"""),"relay_2_pulse_length")</f>
        <v>relay_2_pulse_length</v>
      </c>
      <c r="CI42" s="18" t="str">
        <f ca="1">IFERROR(__xludf.DUMMYFUNCTION("""COMPUTED_VALUE"""),"0x0201")</f>
        <v>0x0201</v>
      </c>
      <c r="CJ42" s="18" t="str">
        <f ca="1">IFERROR(__xludf.DUMMYFUNCTION("""COMPUTED_VALUE"""),"0xF08A")</f>
        <v>0xF08A</v>
      </c>
      <c r="CK42" s="18" t="str">
        <f ca="1">IFERROR(__xludf.DUMMYFUNCTION("""COMPUTED_VALUE"""),"86400")</f>
        <v>86400</v>
      </c>
      <c r="CM42" s="10"/>
      <c r="CP42" s="18" t="str">
        <f ca="1"/>
        <v/>
      </c>
      <c r="CQ42" s="18" t="str">
        <f ca="1"/>
        <v/>
      </c>
      <c r="CR42" s="18" t="str">
        <f ca="1"/>
        <v/>
      </c>
      <c r="CS42" s="18" t="str">
        <f ca="1"/>
        <v/>
      </c>
      <c r="CT42" s="18" t="str">
        <f ca="1"/>
        <v/>
      </c>
      <c r="CV42" s="10"/>
      <c r="CX42" s="18" t="str">
        <f ca="1">IFERROR(__xludf.DUMMYFUNCTION("""COMPUTED_VALUE"""),"relay_3_pulse_length")</f>
        <v>relay_3_pulse_length</v>
      </c>
      <c r="CY42" s="18" t="str">
        <f ca="1"/>
        <v>0x0201</v>
      </c>
      <c r="CZ42" s="18" t="str">
        <f ca="1"/>
        <v>0xF08B</v>
      </c>
      <c r="DA42" s="18" t="str">
        <f ca="1"/>
        <v>86400</v>
      </c>
      <c r="DC42" s="10"/>
      <c r="DE42" s="18" t="str">
        <f ca="1">IFERROR(__xludf.DUMMYFUNCTION("""COMPUTED_VALUE"""),"display_home_detailed")</f>
        <v>display_home_detailed</v>
      </c>
      <c r="DF42" s="18" t="str">
        <f ca="1">IFERROR(__xludf.DUMMYFUNCTION("""COMPUTED_VALUE"""),"0xFC05")</f>
        <v>0xFC05</v>
      </c>
      <c r="DG42" s="18" t="str">
        <f ca="1">IFERROR(__xludf.DUMMYFUNCTION("""COMPUTED_VALUE"""),"0x0005")</f>
        <v>0x0005</v>
      </c>
      <c r="DH42" s="18" t="str">
        <f ca="1">IFERROR(__xludf.DUMMYFUNCTION("""COMPUTED_VALUE"""),"""minimal""")</f>
        <v>"minimal"</v>
      </c>
      <c r="DI42" s="18" t="str">
        <f ca="1">IFERROR(__xludf.DUMMYFUNCTION("""COMPUTED_VALUE"""),"""medium""")</f>
        <v>"medium"</v>
      </c>
      <c r="DJ42" s="18" t="str">
        <f ca="1">IFERROR(__xludf.DUMMYFUNCTION("""COMPUTED_VALUE"""),"""maximal""")</f>
        <v>"maximal"</v>
      </c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</row>
    <row r="43" spans="1:149" ht="15.75" customHeight="1" x14ac:dyDescent="0.25">
      <c r="A43" s="23" t="s">
        <v>92</v>
      </c>
      <c r="B43" s="15">
        <v>64</v>
      </c>
      <c r="C43" s="15" t="s">
        <v>28</v>
      </c>
      <c r="D43" s="16"/>
      <c r="E43" s="15"/>
      <c r="F43" s="15"/>
      <c r="G43" s="15"/>
      <c r="H43" s="17" t="str">
        <f ca="1">IFERROR(__xludf.DUMMYFUNCTION("""COMPUTED_VALUE"""),"x")</f>
        <v>x</v>
      </c>
      <c r="I43" s="15" t="s">
        <v>29</v>
      </c>
      <c r="J43" s="15" t="s">
        <v>29</v>
      </c>
      <c r="K43" s="15" t="s">
        <v>29</v>
      </c>
      <c r="L43" s="15" t="s">
        <v>29</v>
      </c>
      <c r="M43" s="15" t="s">
        <v>29</v>
      </c>
      <c r="N43" s="16"/>
      <c r="O43" s="18" t="s">
        <v>93</v>
      </c>
      <c r="P43" s="19"/>
      <c r="Q43" s="18" t="str">
        <f ca="1">IFERROR(__xludf.DUMMYFUNCTION("""COMPUTED_VALUE"""),"zb -a 0x0201 0xF043 1778")</f>
        <v>zb -a 0x0201 0xF043 1778</v>
      </c>
      <c r="R43" s="19"/>
      <c r="S43" s="20" t="str">
        <f ca="1">IFERROR(__xludf.DUMMYFUNCTION("""COMPUTED_VALUE"""),"day_start_time,10,260,513,61687,33,540,,,,86400")</f>
        <v>day_start_time,10,260,513,61687,33,540,,,,86400</v>
      </c>
      <c r="X43" s="18" t="str">
        <f ca="1">IFERROR(__xludf.DUMMYFUNCTION("""COMPUTED_VALUE"""),"cooling_tau")</f>
        <v>cooling_tau</v>
      </c>
      <c r="BL43" s="18" t="str">
        <f ca="1">IFERROR(__xludf.DUMMYFUNCTION("""COMPUTED_VALUE"""),"schedule_serial_number")</f>
        <v>schedule_serial_number</v>
      </c>
      <c r="BM43" s="18" t="str">
        <f ca="1">IFERROR(__xludf.DUMMYFUNCTION("""COMPUTED_VALUE"""),"0x0201")</f>
        <v>0x0201</v>
      </c>
      <c r="BN43" s="18" t="str">
        <f ca="1">IFERROR(__xludf.DUMMYFUNCTION("""COMPUTED_VALUE"""),"0xF112")</f>
        <v>0xF112</v>
      </c>
      <c r="BP43" s="10"/>
      <c r="BR43" s="18" t="str">
        <f ca="1">IFERROR(__xludf.DUMMYFUNCTION("""COMPUTED_VALUE"""),"state_variable_0")</f>
        <v>state_variable_0</v>
      </c>
      <c r="BS43" s="18" t="str">
        <f ca="1">IFERROR(__xludf.DUMMYFUNCTION("""COMPUTED_VALUE"""),"0x0201")</f>
        <v>0x0201</v>
      </c>
      <c r="BT43" s="18" t="str">
        <f ca="1">IFERROR(__xludf.DUMMYFUNCTION("""COMPUTED_VALUE"""),"0xF06E")</f>
        <v>0xF06E</v>
      </c>
      <c r="BU43" s="18" t="str">
        <f ca="1">IFERROR(__xludf.DUMMYFUNCTION("""COMPUTED_VALUE"""),"0")</f>
        <v>0</v>
      </c>
      <c r="BW43" s="10"/>
      <c r="BY43" s="18" t="str">
        <f ca="1">IFERROR(__xludf.DUMMYFUNCTION("""COMPUTED_VALUE"""),"deep_setback_active")</f>
        <v>deep_setback_active</v>
      </c>
      <c r="BZ43" s="18" t="str">
        <f ca="1">IFERROR(__xludf.DUMMYFUNCTION("""COMPUTED_VALUE"""),"0x0201")</f>
        <v>0x0201</v>
      </c>
      <c r="CA43" s="18" t="str">
        <f ca="1">IFERROR(__xludf.DUMMYFUNCTION("""COMPUTED_VALUE"""),"0xF0E5")</f>
        <v>0xF0E5</v>
      </c>
      <c r="CB43" s="18" t="str">
        <f ca="1">IFERROR(__xludf.DUMMYFUNCTION("""COMPUTED_VALUE"""),"0")</f>
        <v>0</v>
      </c>
      <c r="CC43" s="18" t="str">
        <f ca="1">IFERROR(__xludf.DUMMYFUNCTION("""COMPUTED_VALUE"""),"3600")</f>
        <v>3600</v>
      </c>
      <c r="CD43" s="18" t="str">
        <f ca="1">IFERROR(__xludf.DUMMYFUNCTION("""COMPUTED_VALUE"""),"0")</f>
        <v>0</v>
      </c>
      <c r="CF43" s="10"/>
      <c r="CH43" s="18" t="str">
        <f ca="1">IFERROR(__xludf.DUMMYFUNCTION("""COMPUTED_VALUE"""),"relay_3_pulse_length")</f>
        <v>relay_3_pulse_length</v>
      </c>
      <c r="CI43" s="18" t="str">
        <f ca="1">IFERROR(__xludf.DUMMYFUNCTION("""COMPUTED_VALUE"""),"0x0201")</f>
        <v>0x0201</v>
      </c>
      <c r="CJ43" s="18" t="str">
        <f ca="1">IFERROR(__xludf.DUMMYFUNCTION("""COMPUTED_VALUE"""),"0xF08B")</f>
        <v>0xF08B</v>
      </c>
      <c r="CK43" s="18" t="str">
        <f ca="1">IFERROR(__xludf.DUMMYFUNCTION("""COMPUTED_VALUE"""),"86400")</f>
        <v>86400</v>
      </c>
      <c r="CM43" s="10"/>
      <c r="CP43" s="18" t="str">
        <f ca="1"/>
        <v/>
      </c>
      <c r="CQ43" s="18" t="str">
        <f ca="1"/>
        <v/>
      </c>
      <c r="CR43" s="18" t="str">
        <f ca="1"/>
        <v/>
      </c>
      <c r="CS43" s="18" t="str">
        <f ca="1"/>
        <v/>
      </c>
      <c r="CT43" s="18" t="str">
        <f ca="1"/>
        <v/>
      </c>
      <c r="CV43" s="10"/>
      <c r="CX43" s="18" t="str">
        <f ca="1">IFERROR(__xludf.DUMMYFUNCTION("""COMPUTED_VALUE"""),"relay_4_pulse_length")</f>
        <v>relay_4_pulse_length</v>
      </c>
      <c r="CY43" s="18" t="str">
        <f ca="1"/>
        <v>0x0201</v>
      </c>
      <c r="CZ43" s="18" t="str">
        <f ca="1"/>
        <v>0xF08C</v>
      </c>
      <c r="DA43" s="18" t="str">
        <f ca="1"/>
        <v>86400</v>
      </c>
      <c r="DC43" s="10"/>
      <c r="DE43" s="18" t="str">
        <f ca="1">IFERROR(__xludf.DUMMYFUNCTION("""COMPUTED_VALUE"""),"haptic_enabled")</f>
        <v>haptic_enabled</v>
      </c>
      <c r="DF43" s="18" t="str">
        <f ca="1">IFERROR(__xludf.DUMMYFUNCTION("""COMPUTED_VALUE"""),"0xFC05")</f>
        <v>0xFC05</v>
      </c>
      <c r="DG43" s="18" t="str">
        <f ca="1">IFERROR(__xludf.DUMMYFUNCTION("""COMPUTED_VALUE"""),"0x0009")</f>
        <v>0x0009</v>
      </c>
      <c r="DH43" s="18" t="str">
        <f ca="1">IFERROR(__xludf.DUMMYFUNCTION("""COMPUTED_VALUE"""),"""off""")</f>
        <v>"off"</v>
      </c>
      <c r="DI43" s="18" t="str">
        <f ca="1">IFERROR(__xludf.DUMMYFUNCTION("""COMPUTED_VALUE"""),"""on""")</f>
        <v>"on"</v>
      </c>
      <c r="DJ43" s="18" t="str">
        <f ca="1">IFERROR(__xludf.DUMMYFUNCTION("""COMPUTED_VALUE"""),"""line_powered""")</f>
        <v>"line_powered"</v>
      </c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</row>
    <row r="44" spans="1:149" ht="15.75" customHeight="1" x14ac:dyDescent="0.25">
      <c r="A44" s="23" t="s">
        <v>94</v>
      </c>
      <c r="B44" s="15">
        <v>80</v>
      </c>
      <c r="C44" s="15" t="s">
        <v>28</v>
      </c>
      <c r="D44" s="16"/>
      <c r="E44" s="15"/>
      <c r="F44" s="15"/>
      <c r="G44" s="15"/>
      <c r="H44" s="17" t="str">
        <f ca="1">IFERROR(__xludf.DUMMYFUNCTION("""COMPUTED_VALUE"""),"x")</f>
        <v>x</v>
      </c>
      <c r="I44" s="15" t="s">
        <v>29</v>
      </c>
      <c r="J44" s="15" t="s">
        <v>29</v>
      </c>
      <c r="K44" s="15" t="s">
        <v>29</v>
      </c>
      <c r="L44" s="15" t="s">
        <v>29</v>
      </c>
      <c r="M44" s="15" t="s">
        <v>29</v>
      </c>
      <c r="N44" s="16"/>
      <c r="O44" s="18" t="s">
        <v>95</v>
      </c>
      <c r="P44" s="19"/>
      <c r="Q44" s="18" t="str">
        <f ca="1">IFERROR(__xludf.DUMMYFUNCTION("""COMPUTED_VALUE"""),"zb -a 0x0201 0xF044 2667")</f>
        <v>zb -a 0x0201 0xF044 2667</v>
      </c>
      <c r="R44" s="19"/>
      <c r="S44" s="20" t="str">
        <f ca="1">IFERROR(__xludf.DUMMYFUNCTION("""COMPUTED_VALUE"""),"deep_cool_setback,10,260,513,61684,41,2944,,,,86400")</f>
        <v>deep_cool_setback,10,260,513,61684,41,2944,,,,86400</v>
      </c>
      <c r="X44" s="18" t="str">
        <f ca="1">IFERROR(__xludf.DUMMYFUNCTION("""COMPUTED_VALUE"""),"day_start_time")</f>
        <v>day_start_time</v>
      </c>
      <c r="BL44" s="18" t="str">
        <f ca="1">IFERROR(__xludf.DUMMYFUNCTION("""COMPUTED_VALUE"""),"smart_ventilation_required_fan_size")</f>
        <v>smart_ventilation_required_fan_size</v>
      </c>
      <c r="BM44" s="18" t="str">
        <f ca="1">IFERROR(__xludf.DUMMYFUNCTION("""COMPUTED_VALUE"""),"0x0201")</f>
        <v>0x0201</v>
      </c>
      <c r="BN44" s="18" t="str">
        <f ca="1">IFERROR(__xludf.DUMMYFUNCTION("""COMPUTED_VALUE"""),"0xF144")</f>
        <v>0xF144</v>
      </c>
      <c r="BP44" s="10"/>
      <c r="BR44" s="18" t="str">
        <f ca="1">IFERROR(__xludf.DUMMYFUNCTION("""COMPUTED_VALUE"""),"state_variable_1")</f>
        <v>state_variable_1</v>
      </c>
      <c r="BS44" s="18" t="str">
        <f ca="1">IFERROR(__xludf.DUMMYFUNCTION("""COMPUTED_VALUE"""),"0x0201")</f>
        <v>0x0201</v>
      </c>
      <c r="BT44" s="18" t="str">
        <f ca="1">IFERROR(__xludf.DUMMYFUNCTION("""COMPUTED_VALUE"""),"0xF06F")</f>
        <v>0xF06F</v>
      </c>
      <c r="BU44" s="18" t="str">
        <f ca="1">IFERROR(__xludf.DUMMYFUNCTION("""COMPUTED_VALUE"""),"0")</f>
        <v>0</v>
      </c>
      <c r="BW44" s="10"/>
      <c r="BY44" s="18" t="str">
        <f ca="1">IFERROR(__xludf.DUMMYFUNCTION("""COMPUTED_VALUE"""),"force_deep_setback_mode")</f>
        <v>force_deep_setback_mode</v>
      </c>
      <c r="BZ44" s="18" t="str">
        <f ca="1">IFERROR(__xludf.DUMMYFUNCTION("""COMPUTED_VALUE"""),"0x0201")</f>
        <v>0x0201</v>
      </c>
      <c r="CA44" s="18" t="str">
        <f ca="1">IFERROR(__xludf.DUMMYFUNCTION("""COMPUTED_VALUE"""),"0xF0E6")</f>
        <v>0xF0E6</v>
      </c>
      <c r="CB44" s="18" t="str">
        <f ca="1">IFERROR(__xludf.DUMMYFUNCTION("""COMPUTED_VALUE"""),"0")</f>
        <v>0</v>
      </c>
      <c r="CC44" s="18" t="str">
        <f ca="1">IFERROR(__xludf.DUMMYFUNCTION("""COMPUTED_VALUE"""),"3600")</f>
        <v>3600</v>
      </c>
      <c r="CD44" s="18" t="str">
        <f ca="1">IFERROR(__xludf.DUMMYFUNCTION("""COMPUTED_VALUE"""),"0")</f>
        <v>0</v>
      </c>
      <c r="CF44" s="10"/>
      <c r="CH44" s="18" t="str">
        <f ca="1">IFERROR(__xludf.DUMMYFUNCTION("""COMPUTED_VALUE"""),"relay_4_pulse_length")</f>
        <v>relay_4_pulse_length</v>
      </c>
      <c r="CI44" s="18" t="str">
        <f ca="1">IFERROR(__xludf.DUMMYFUNCTION("""COMPUTED_VALUE"""),"0x0201")</f>
        <v>0x0201</v>
      </c>
      <c r="CJ44" s="18" t="str">
        <f ca="1">IFERROR(__xludf.DUMMYFUNCTION("""COMPUTED_VALUE"""),"0xF08C")</f>
        <v>0xF08C</v>
      </c>
      <c r="CK44" s="18" t="str">
        <f ca="1">IFERROR(__xludf.DUMMYFUNCTION("""COMPUTED_VALUE"""),"86400")</f>
        <v>86400</v>
      </c>
      <c r="CM44" s="10"/>
      <c r="CP44" s="18" t="str">
        <f ca="1"/>
        <v/>
      </c>
      <c r="CQ44" s="18" t="str">
        <f ca="1"/>
        <v/>
      </c>
      <c r="CR44" s="18" t="str">
        <f ca="1"/>
        <v/>
      </c>
      <c r="CS44" s="18" t="str">
        <f ca="1"/>
        <v/>
      </c>
      <c r="CT44" s="18" t="str">
        <f ca="1"/>
        <v/>
      </c>
      <c r="CV44" s="10"/>
      <c r="CX44" s="18" t="str">
        <f ca="1">IFERROR(__xludf.DUMMYFUNCTION("""COMPUTED_VALUE"""),"relay_5_pulse_length")</f>
        <v>relay_5_pulse_length</v>
      </c>
      <c r="CY44" s="18" t="str">
        <f ca="1"/>
        <v>0x0201</v>
      </c>
      <c r="CZ44" s="18" t="str">
        <f ca="1"/>
        <v>0xF08D</v>
      </c>
      <c r="DA44" s="18" t="str">
        <f ca="1"/>
        <v>86400</v>
      </c>
      <c r="DC44" s="10"/>
      <c r="DE44" s="18" t="str">
        <f ca="1">IFERROR(__xludf.DUMMYFUNCTION("""COMPUTED_VALUE"""),"reporting_type")</f>
        <v>reporting_type</v>
      </c>
      <c r="DF44" s="18" t="str">
        <f ca="1">IFERROR(__xludf.DUMMYFUNCTION("""COMPUTED_VALUE"""),"0xFC05")</f>
        <v>0xFC05</v>
      </c>
      <c r="DG44" s="18" t="str">
        <f ca="1">IFERROR(__xludf.DUMMYFUNCTION("""COMPUTED_VALUE"""),"0x0018")</f>
        <v>0x0018</v>
      </c>
      <c r="DH44" s="18" t="str">
        <f ca="1">IFERROR(__xludf.DUMMYFUNCTION("""COMPUTED_VALUE"""),"""forwarding""")</f>
        <v>"forwarding"</v>
      </c>
      <c r="DI44" s="18" t="str">
        <f ca="1">IFERROR(__xludf.DUMMYFUNCTION("""COMPUTED_VALUE"""),"""wifi""")</f>
        <v>"wifi"</v>
      </c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</row>
    <row r="45" spans="1:149" ht="15.75" customHeight="1" x14ac:dyDescent="0.25">
      <c r="A45" s="23" t="s">
        <v>96</v>
      </c>
      <c r="B45" s="15">
        <v>55</v>
      </c>
      <c r="C45" s="15" t="s">
        <v>28</v>
      </c>
      <c r="D45" s="16"/>
      <c r="E45" s="15"/>
      <c r="F45" s="15"/>
      <c r="G45" s="15"/>
      <c r="H45" s="17" t="str">
        <f ca="1">IFERROR(__xludf.DUMMYFUNCTION("""COMPUTED_VALUE"""),"x")</f>
        <v>x</v>
      </c>
      <c r="I45" s="15" t="s">
        <v>29</v>
      </c>
      <c r="J45" s="15" t="s">
        <v>29</v>
      </c>
      <c r="K45" s="15" t="s">
        <v>29</v>
      </c>
      <c r="L45" s="15" t="s">
        <v>29</v>
      </c>
      <c r="M45" s="15" t="s">
        <v>29</v>
      </c>
      <c r="N45" s="16"/>
      <c r="O45" s="18" t="s">
        <v>97</v>
      </c>
      <c r="P45" s="19"/>
      <c r="Q45" s="18" t="str">
        <f ca="1">IFERROR(__xludf.DUMMYFUNCTION("""COMPUTED_VALUE"""),"zb -a 0x0201 0xF045 1278")</f>
        <v>zb -a 0x0201 0xF045 1278</v>
      </c>
      <c r="R45" s="19"/>
      <c r="S45" s="20" t="str">
        <f ca="1">IFERROR(__xludf.DUMMYFUNCTION("""COMPUTED_VALUE"""),"deep_delta_setback,10,260,513,61685,33,278,,,,86400")</f>
        <v>deep_delta_setback,10,260,513,61685,33,278,,,,86400</v>
      </c>
      <c r="X45" s="18" t="str">
        <f ca="1">IFERROR(__xludf.DUMMYFUNCTION("""COMPUTED_VALUE"""),"deep_cool_setback")</f>
        <v>deep_cool_setback</v>
      </c>
      <c r="BL45" s="18" t="str">
        <f ca="1">IFERROR(__xludf.DUMMYFUNCTION("""COMPUTED_VALUE"""),"ventilation_duty_cycle")</f>
        <v>ventilation_duty_cycle</v>
      </c>
      <c r="BM45" s="18" t="str">
        <f ca="1">IFERROR(__xludf.DUMMYFUNCTION("""COMPUTED_VALUE"""),"0x0201")</f>
        <v>0x0201</v>
      </c>
      <c r="BN45" s="18" t="str">
        <f ca="1">IFERROR(__xludf.DUMMYFUNCTION("""COMPUTED_VALUE"""),"0xF146")</f>
        <v>0xF146</v>
      </c>
      <c r="BP45" s="10"/>
      <c r="BR45" s="18" t="str">
        <f ca="1">IFERROR(__xludf.DUMMYFUNCTION("""COMPUTED_VALUE"""),"state_variable_2")</f>
        <v>state_variable_2</v>
      </c>
      <c r="BS45" s="18" t="str">
        <f ca="1">IFERROR(__xludf.DUMMYFUNCTION("""COMPUTED_VALUE"""),"0x0201")</f>
        <v>0x0201</v>
      </c>
      <c r="BT45" s="18" t="str">
        <f ca="1">IFERROR(__xludf.DUMMYFUNCTION("""COMPUTED_VALUE"""),"0xF070")</f>
        <v>0xF070</v>
      </c>
      <c r="BU45" s="18" t="str">
        <f ca="1">IFERROR(__xludf.DUMMYFUNCTION("""COMPUTED_VALUE"""),"0")</f>
        <v>0</v>
      </c>
      <c r="BW45" s="10"/>
      <c r="BY45" s="18" t="str">
        <f ca="1">IFERROR(__xludf.DUMMYFUNCTION("""COMPUTED_VALUE"""),"night_state")</f>
        <v>night_state</v>
      </c>
      <c r="BZ45" s="18" t="str">
        <f ca="1">IFERROR(__xludf.DUMMYFUNCTION("""COMPUTED_VALUE"""),"0x0201")</f>
        <v>0x0201</v>
      </c>
      <c r="CA45" s="18" t="str">
        <f ca="1">IFERROR(__xludf.DUMMYFUNCTION("""COMPUTED_VALUE"""),"0xF0FB")</f>
        <v>0xF0FB</v>
      </c>
      <c r="CB45" s="18" t="str">
        <f ca="1">IFERROR(__xludf.DUMMYFUNCTION("""COMPUTED_VALUE"""),"0")</f>
        <v>0</v>
      </c>
      <c r="CC45" s="18" t="str">
        <f ca="1">IFERROR(__xludf.DUMMYFUNCTION("""COMPUTED_VALUE"""),"3600")</f>
        <v>3600</v>
      </c>
      <c r="CD45" s="18" t="str">
        <f ca="1">IFERROR(__xludf.DUMMYFUNCTION("""COMPUTED_VALUE"""),"0")</f>
        <v>0</v>
      </c>
      <c r="CF45" s="10"/>
      <c r="CH45" s="18" t="str">
        <f ca="1">IFERROR(__xludf.DUMMYFUNCTION("""COMPUTED_VALUE"""),"relay_5_pulse_length")</f>
        <v>relay_5_pulse_length</v>
      </c>
      <c r="CI45" s="18" t="str">
        <f ca="1">IFERROR(__xludf.DUMMYFUNCTION("""COMPUTED_VALUE"""),"0x0201")</f>
        <v>0x0201</v>
      </c>
      <c r="CJ45" s="18" t="str">
        <f ca="1">IFERROR(__xludf.DUMMYFUNCTION("""COMPUTED_VALUE"""),"0xF08D")</f>
        <v>0xF08D</v>
      </c>
      <c r="CK45" s="18" t="str">
        <f ca="1">IFERROR(__xludf.DUMMYFUNCTION("""COMPUTED_VALUE"""),"86400")</f>
        <v>86400</v>
      </c>
      <c r="CM45" s="10"/>
      <c r="CP45" s="18" t="str">
        <f ca="1"/>
        <v/>
      </c>
      <c r="CQ45" s="18" t="str">
        <f ca="1"/>
        <v/>
      </c>
      <c r="CR45" s="18" t="str">
        <f ca="1"/>
        <v/>
      </c>
      <c r="CS45" s="18" t="str">
        <f ca="1"/>
        <v/>
      </c>
      <c r="CT45" s="18" t="str">
        <f ca="1"/>
        <v/>
      </c>
      <c r="CV45" s="10"/>
      <c r="CX45" s="18" t="str">
        <f ca="1">IFERROR(__xludf.DUMMYFUNCTION("""COMPUTED_VALUE"""),"changeover_relay_inverted")</f>
        <v>changeover_relay_inverted</v>
      </c>
      <c r="CY45" s="18" t="str">
        <f ca="1"/>
        <v>0x0201</v>
      </c>
      <c r="CZ45" s="18" t="str">
        <f ca="1"/>
        <v>0xF090</v>
      </c>
      <c r="DA45" s="18" t="str">
        <f ca="1"/>
        <v>86400</v>
      </c>
      <c r="DC45" s="10"/>
      <c r="DE45" s="18" t="str">
        <f ca="1">IFERROR(__xludf.DUMMYFUNCTION("""COMPUTED_VALUE"""),"zigbee_node_type")</f>
        <v>zigbee_node_type</v>
      </c>
      <c r="DF45" s="18" t="str">
        <f ca="1">IFERROR(__xludf.DUMMYFUNCTION("""COMPUTED_VALUE"""),"0xFC05")</f>
        <v>0xFC05</v>
      </c>
      <c r="DG45" s="18" t="str">
        <f ca="1">IFERROR(__xludf.DUMMYFUNCTION("""COMPUTED_VALUE"""),"0x001C")</f>
        <v>0x001C</v>
      </c>
      <c r="DH45" s="18" t="str">
        <f ca="1">IFERROR(__xludf.DUMMYFUNCTION("""COMPUTED_VALUE"""),"""coordinator""")</f>
        <v>"coordinator"</v>
      </c>
      <c r="DI45" s="18" t="str">
        <f ca="1">IFERROR(__xludf.DUMMYFUNCTION("""COMPUTED_VALUE"""),"""router""")</f>
        <v>"router"</v>
      </c>
      <c r="DJ45" s="18" t="str">
        <f ca="1">IFERROR(__xludf.DUMMYFUNCTION("""COMPUTED_VALUE"""),"""end_device""")</f>
        <v>"end_device"</v>
      </c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</row>
    <row r="46" spans="1:149" ht="15.75" customHeight="1" x14ac:dyDescent="0.25">
      <c r="A46" s="23" t="s">
        <v>98</v>
      </c>
      <c r="B46" s="15">
        <v>85</v>
      </c>
      <c r="C46" s="15" t="s">
        <v>28</v>
      </c>
      <c r="D46" s="16"/>
      <c r="E46" s="15"/>
      <c r="F46" s="15"/>
      <c r="G46" s="15"/>
      <c r="H46" s="17" t="str">
        <f ca="1">IFERROR(__xludf.DUMMYFUNCTION("""COMPUTED_VALUE"""),"x")</f>
        <v>x</v>
      </c>
      <c r="I46" s="15" t="s">
        <v>29</v>
      </c>
      <c r="J46" s="15" t="s">
        <v>29</v>
      </c>
      <c r="K46" s="15" t="s">
        <v>29</v>
      </c>
      <c r="L46" s="15" t="s">
        <v>29</v>
      </c>
      <c r="M46" s="15" t="s">
        <v>29</v>
      </c>
      <c r="N46" s="16"/>
      <c r="O46" s="18" t="s">
        <v>99</v>
      </c>
      <c r="P46" s="19"/>
      <c r="Q46" s="18" t="str">
        <f ca="1">IFERROR(__xludf.DUMMYFUNCTION("""COMPUTED_VALUE"""),"zb -a 0x0201 0xF046 2944")</f>
        <v>zb -a 0x0201 0xF046 2944</v>
      </c>
      <c r="R46" s="19"/>
      <c r="S46" s="20" t="str">
        <f ca="1">IFERROR(__xludf.DUMMYFUNCTION("""COMPUTED_VALUE"""),"deep_heat_setback,10,260,513,61683,41,1278,,,,86400")</f>
        <v>deep_heat_setback,10,260,513,61683,41,1278,,,,86400</v>
      </c>
      <c r="X46" s="18" t="str">
        <f ca="1">IFERROR(__xludf.DUMMYFUNCTION("""COMPUTED_VALUE"""),"deep_delta_setback")</f>
        <v>deep_delta_setback</v>
      </c>
      <c r="BL46" s="18" t="str">
        <f ca="1">IFERROR(__xludf.DUMMYFUNCTION("""COMPUTED_VALUE"""),"ventilation_engaged")</f>
        <v>ventilation_engaged</v>
      </c>
      <c r="BM46" s="18" t="str">
        <f ca="1">IFERROR(__xludf.DUMMYFUNCTION("""COMPUTED_VALUE"""),"0x0201")</f>
        <v>0x0201</v>
      </c>
      <c r="BN46" s="18" t="str">
        <f ca="1">IFERROR(__xludf.DUMMYFUNCTION("""COMPUTED_VALUE"""),"0xF149")</f>
        <v>0xF149</v>
      </c>
      <c r="BP46" s="10"/>
      <c r="BR46" s="18" t="str">
        <f ca="1">IFERROR(__xludf.DUMMYFUNCTION("""COMPUTED_VALUE"""),"state_variable_3")</f>
        <v>state_variable_3</v>
      </c>
      <c r="BS46" s="18" t="str">
        <f ca="1">IFERROR(__xludf.DUMMYFUNCTION("""COMPUTED_VALUE"""),"0x0201")</f>
        <v>0x0201</v>
      </c>
      <c r="BT46" s="18" t="str">
        <f ca="1">IFERROR(__xludf.DUMMYFUNCTION("""COMPUTED_VALUE"""),"0xF071")</f>
        <v>0xF071</v>
      </c>
      <c r="BU46" s="18" t="str">
        <f ca="1">IFERROR(__xludf.DUMMYFUNCTION("""COMPUTED_VALUE"""),"0")</f>
        <v>0</v>
      </c>
      <c r="BW46" s="10"/>
      <c r="BY46" s="18" t="str">
        <f ca="1">IFERROR(__xludf.DUMMYFUNCTION("""COMPUTED_VALUE"""),"force_occ")</f>
        <v>force_occ</v>
      </c>
      <c r="BZ46" s="18" t="str">
        <f ca="1">IFERROR(__xludf.DUMMYFUNCTION("""COMPUTED_VALUE"""),"0x0201")</f>
        <v>0x0201</v>
      </c>
      <c r="CA46" s="18" t="str">
        <f ca="1">IFERROR(__xludf.DUMMYFUNCTION("""COMPUTED_VALUE"""),"0xF100")</f>
        <v>0xF100</v>
      </c>
      <c r="CB46" s="18" t="str">
        <f ca="1">IFERROR(__xludf.DUMMYFUNCTION("""COMPUTED_VALUE"""),"0")</f>
        <v>0</v>
      </c>
      <c r="CC46" s="18" t="str">
        <f ca="1">IFERROR(__xludf.DUMMYFUNCTION("""COMPUTED_VALUE"""),"3600")</f>
        <v>3600</v>
      </c>
      <c r="CD46" s="18" t="str">
        <f ca="1">IFERROR(__xludf.DUMMYFUNCTION("""COMPUTED_VALUE"""),"15")</f>
        <v>15</v>
      </c>
      <c r="CF46" s="10"/>
      <c r="CH46" s="18" t="str">
        <f ca="1">IFERROR(__xludf.DUMMYFUNCTION("""COMPUTED_VALUE"""),"changeover_relay_inverted")</f>
        <v>changeover_relay_inverted</v>
      </c>
      <c r="CI46" s="18" t="str">
        <f ca="1">IFERROR(__xludf.DUMMYFUNCTION("""COMPUTED_VALUE"""),"0x0201")</f>
        <v>0x0201</v>
      </c>
      <c r="CJ46" s="18" t="str">
        <f ca="1">IFERROR(__xludf.DUMMYFUNCTION("""COMPUTED_VALUE"""),"0xF090")</f>
        <v>0xF090</v>
      </c>
      <c r="CK46" s="18" t="str">
        <f ca="1">IFERROR(__xludf.DUMMYFUNCTION("""COMPUTED_VALUE"""),"86400")</f>
        <v>86400</v>
      </c>
      <c r="CM46" s="10"/>
      <c r="CP46" s="18" t="str">
        <f ca="1"/>
        <v/>
      </c>
      <c r="CQ46" s="18" t="str">
        <f ca="1"/>
        <v/>
      </c>
      <c r="CR46" s="18" t="str">
        <f ca="1"/>
        <v/>
      </c>
      <c r="CS46" s="18" t="str">
        <f ca="1"/>
        <v/>
      </c>
      <c r="CT46" s="18" t="str">
        <f ca="1"/>
        <v/>
      </c>
      <c r="CV46" s="10"/>
      <c r="CX46" s="18" t="str">
        <f ca="1">IFERROR(__xludf.DUMMYFUNCTION("""COMPUTED_VALUE"""),"invert_relays")</f>
        <v>invert_relays</v>
      </c>
      <c r="CY46" s="18" t="str">
        <f ca="1"/>
        <v>0x0201</v>
      </c>
      <c r="CZ46" s="18" t="str">
        <f ca="1"/>
        <v>0xF09C</v>
      </c>
      <c r="DA46" s="18" t="str">
        <f ca="1"/>
        <v>86400</v>
      </c>
      <c r="DC46" s="10"/>
      <c r="DE46" s="18" t="str">
        <f ca="1">IFERROR(__xludf.DUMMYFUNCTION("""COMPUTED_VALUE"""),"display_wifi_menu")</f>
        <v>display_wifi_menu</v>
      </c>
      <c r="DF46" s="18" t="str">
        <f ca="1">IFERROR(__xludf.DUMMYFUNCTION("""COMPUTED_VALUE"""),"0xFC05")</f>
        <v>0xFC05</v>
      </c>
      <c r="DG46" s="18" t="str">
        <f ca="1">IFERROR(__xludf.DUMMYFUNCTION("""COMPUTED_VALUE"""),"0x001F")</f>
        <v>0x001F</v>
      </c>
      <c r="DH46" s="18" t="str">
        <f ca="1">IFERROR(__xludf.DUMMYFUNCTION("""COMPUTED_VALUE"""),"""off""")</f>
        <v>"off"</v>
      </c>
      <c r="DI46" s="18" t="str">
        <f ca="1">IFERROR(__xludf.DUMMYFUNCTION("""COMPUTED_VALUE"""),"""claim""")</f>
        <v>"claim"</v>
      </c>
      <c r="DJ46" s="18" t="str">
        <f ca="1">IFERROR(__xludf.DUMMYFUNCTION("""COMPUTED_VALUE"""),"""wifi+claim""")</f>
        <v>"wifi+claim"</v>
      </c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</row>
    <row r="47" spans="1:149" ht="15.75" customHeight="1" x14ac:dyDescent="0.25">
      <c r="A47" s="23" t="s">
        <v>100</v>
      </c>
      <c r="B47" s="15">
        <v>64</v>
      </c>
      <c r="C47" s="15" t="s">
        <v>28</v>
      </c>
      <c r="D47" s="16"/>
      <c r="E47" s="15"/>
      <c r="F47" s="15"/>
      <c r="G47" s="15"/>
      <c r="H47" s="17" t="str">
        <f ca="1">IFERROR(__xludf.DUMMYFUNCTION("""COMPUTED_VALUE"""),"x")</f>
        <v>x</v>
      </c>
      <c r="I47" s="15" t="s">
        <v>29</v>
      </c>
      <c r="J47" s="15" t="s">
        <v>29</v>
      </c>
      <c r="K47" s="15" t="s">
        <v>29</v>
      </c>
      <c r="L47" s="15" t="s">
        <v>29</v>
      </c>
      <c r="M47" s="15" t="s">
        <v>29</v>
      </c>
      <c r="N47" s="16"/>
      <c r="O47" s="18" t="s">
        <v>101</v>
      </c>
      <c r="P47" s="19"/>
      <c r="Q47" s="18" t="str">
        <f ca="1">IFERROR(__xludf.DUMMYFUNCTION("""COMPUTED_VALUE"""),"zb -a 0x0201 0xF0EF 1778")</f>
        <v>zb -a 0x0201 0xF0EF 1778</v>
      </c>
      <c r="R47" s="19"/>
      <c r="S47" s="20" t="str">
        <f ca="1">IFERROR(__xludf.DUMMYFUNCTION("""COMPUTED_VALUE"""),"deep_setback_active,10,260,513,61669,16,,0,3600,0")</f>
        <v>deep_setback_active,10,260,513,61669,16,,0,3600,0</v>
      </c>
      <c r="X47" s="18" t="str">
        <f ca="1">IFERROR(__xludf.DUMMYFUNCTION("""COMPUTED_VALUE"""),"deep_heat_setback")</f>
        <v>deep_heat_setback</v>
      </c>
      <c r="BL47" s="18" t="str">
        <f ca="1">IFERROR(__xludf.DUMMYFUNCTION("""COMPUTED_VALUE"""),"extended_deep_setback_active")</f>
        <v>extended_deep_setback_active</v>
      </c>
      <c r="BM47" s="18" t="str">
        <f ca="1">IFERROR(__xludf.DUMMYFUNCTION("""COMPUTED_VALUE"""),"0x0201")</f>
        <v>0x0201</v>
      </c>
      <c r="BN47" s="18" t="str">
        <f ca="1">IFERROR(__xludf.DUMMYFUNCTION("""COMPUTED_VALUE"""),"0xF166")</f>
        <v>0xF166</v>
      </c>
      <c r="BP47" s="10"/>
      <c r="BR47" s="18" t="str">
        <f ca="1">IFERROR(__xludf.DUMMYFUNCTION("""COMPUTED_VALUE"""),"dehumidification_first_stage_threshold")</f>
        <v>dehumidification_first_stage_threshold</v>
      </c>
      <c r="BS47" s="18" t="str">
        <f ca="1">IFERROR(__xludf.DUMMYFUNCTION("""COMPUTED_VALUE"""),"0x0201")</f>
        <v>0x0201</v>
      </c>
      <c r="BT47" s="18" t="str">
        <f ca="1">IFERROR(__xludf.DUMMYFUNCTION("""COMPUTED_VALUE"""),"0xF073")</f>
        <v>0xF073</v>
      </c>
      <c r="BU47" s="18" t="str">
        <f ca="1">IFERROR(__xludf.DUMMYFUNCTION("""COMPUTED_VALUE"""),"0")</f>
        <v>0</v>
      </c>
      <c r="BW47" s="10"/>
      <c r="BY47" s="18" t="str">
        <f ca="1">IFERROR(__xludf.DUMMYFUNCTION("""COMPUTED_VALUE"""),"force_unocc")</f>
        <v>force_unocc</v>
      </c>
      <c r="BZ47" s="18" t="str">
        <f ca="1">IFERROR(__xludf.DUMMYFUNCTION("""COMPUTED_VALUE"""),"0x0201")</f>
        <v>0x0201</v>
      </c>
      <c r="CA47" s="18" t="str">
        <f ca="1">IFERROR(__xludf.DUMMYFUNCTION("""COMPUTED_VALUE"""),"0xF101")</f>
        <v>0xF101</v>
      </c>
      <c r="CB47" s="18" t="str">
        <f ca="1">IFERROR(__xludf.DUMMYFUNCTION("""COMPUTED_VALUE"""),"0")</f>
        <v>0</v>
      </c>
      <c r="CC47" s="18" t="str">
        <f ca="1">IFERROR(__xludf.DUMMYFUNCTION("""COMPUTED_VALUE"""),"3600")</f>
        <v>3600</v>
      </c>
      <c r="CD47" s="18" t="str">
        <f ca="1">IFERROR(__xludf.DUMMYFUNCTION("""COMPUTED_VALUE"""),"15")</f>
        <v>15</v>
      </c>
      <c r="CF47" s="10"/>
      <c r="CH47" s="18" t="str">
        <f ca="1">IFERROR(__xludf.DUMMYFUNCTION("""COMPUTED_VALUE"""),"invert_relays")</f>
        <v>invert_relays</v>
      </c>
      <c r="CI47" s="18" t="str">
        <f ca="1">IFERROR(__xludf.DUMMYFUNCTION("""COMPUTED_VALUE"""),"0x0201")</f>
        <v>0x0201</v>
      </c>
      <c r="CJ47" s="18" t="str">
        <f ca="1">IFERROR(__xludf.DUMMYFUNCTION("""COMPUTED_VALUE"""),"0xF09C")</f>
        <v>0xF09C</v>
      </c>
      <c r="CK47" s="18" t="str">
        <f ca="1">IFERROR(__xludf.DUMMYFUNCTION("""COMPUTED_VALUE"""),"86400")</f>
        <v>86400</v>
      </c>
      <c r="CM47" s="10"/>
      <c r="CP47" s="18" t="str">
        <f ca="1"/>
        <v/>
      </c>
      <c r="CQ47" s="18" t="str">
        <f ca="1"/>
        <v/>
      </c>
      <c r="CR47" s="18" t="str">
        <f ca="1"/>
        <v/>
      </c>
      <c r="CS47" s="18" t="str">
        <f ca="1"/>
        <v/>
      </c>
      <c r="CT47" s="18" t="str">
        <f ca="1"/>
        <v/>
      </c>
      <c r="CV47" s="10"/>
      <c r="CX47" s="18" t="str">
        <f ca="1">IFERROR(__xludf.DUMMYFUNCTION("""COMPUTED_VALUE"""),"aquastat_enabled")</f>
        <v>aquastat_enabled</v>
      </c>
      <c r="CY47" s="18" t="str">
        <f ca="1"/>
        <v>0x0201</v>
      </c>
      <c r="CZ47" s="18" t="str">
        <f ca="1"/>
        <v>0xF0A0</v>
      </c>
      <c r="DA47" s="18" t="str">
        <f ca="1"/>
        <v>86400</v>
      </c>
      <c r="DC47" s="10"/>
      <c r="DE47" s="18" t="str">
        <f ca="1">IFERROR(__xludf.DUMMYFUNCTION("""COMPUTED_VALUE"""),"oem_brand")</f>
        <v>oem_brand</v>
      </c>
      <c r="DF47" s="18" t="str">
        <f ca="1">IFERROR(__xludf.DUMMYFUNCTION("""COMPUTED_VALUE"""),"0xFC05")</f>
        <v>0xFC05</v>
      </c>
      <c r="DG47" s="18" t="str">
        <f ca="1">IFERROR(__xludf.DUMMYFUNCTION("""COMPUTED_VALUE"""),"0x0022")</f>
        <v>0x0022</v>
      </c>
      <c r="DH47" s="18" t="str">
        <f ca="1">IFERROR(__xludf.DUMMYFUNCTION("""COMPUTED_VALUE"""),"""none""")</f>
        <v>"none"</v>
      </c>
      <c r="DI47" s="18" t="str">
        <f ca="1">IFERROR(__xludf.DUMMYFUNCTION("""COMPUTED_VALUE"""),"""vda""")</f>
        <v>"vda"</v>
      </c>
      <c r="DJ47" s="18" t="str">
        <f ca="1">IFERROR(__xludf.DUMMYFUNCTION("""COMPUTED_VALUE"""),"""trane""")</f>
        <v>"trane"</v>
      </c>
      <c r="DK47" s="18" t="str">
        <f ca="1">IFERROR(__xludf.DUMMYFUNCTION("""COMPUTED_VALUE"""),"""santa_fe""")</f>
        <v>"santa_fe"</v>
      </c>
      <c r="DL47" s="18" t="str">
        <f ca="1">IFERROR(__xludf.DUMMYFUNCTION("""COMPUTED_VALUE"""),"""renew_aire""")</f>
        <v>"renew_aire"</v>
      </c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</row>
    <row r="48" spans="1:149" ht="15.75" customHeight="1" x14ac:dyDescent="0.25">
      <c r="A48" s="23" t="s">
        <v>102</v>
      </c>
      <c r="B48" s="15">
        <v>80</v>
      </c>
      <c r="C48" s="15" t="s">
        <v>28</v>
      </c>
      <c r="D48" s="16"/>
      <c r="E48" s="15"/>
      <c r="F48" s="15"/>
      <c r="G48" s="15"/>
      <c r="H48" s="17" t="str">
        <f ca="1">IFERROR(__xludf.DUMMYFUNCTION("""COMPUTED_VALUE"""),"x")</f>
        <v>x</v>
      </c>
      <c r="I48" s="15" t="s">
        <v>29</v>
      </c>
      <c r="J48" s="15" t="s">
        <v>29</v>
      </c>
      <c r="K48" s="15" t="s">
        <v>29</v>
      </c>
      <c r="L48" s="15" t="s">
        <v>29</v>
      </c>
      <c r="M48" s="15" t="s">
        <v>29</v>
      </c>
      <c r="N48" s="16"/>
      <c r="O48" s="18" t="s">
        <v>103</v>
      </c>
      <c r="P48" s="19"/>
      <c r="Q48" s="18" t="str">
        <f ca="1">IFERROR(__xludf.DUMMYFUNCTION("""COMPUTED_VALUE"""),"zb -a 0x0201 0xF0F0 2667")</f>
        <v>zb -a 0x0201 0xF0F0 2667</v>
      </c>
      <c r="R48" s="19"/>
      <c r="S48" s="20" t="str">
        <f ca="1">IFERROR(__xludf.DUMMYFUNCTION("""COMPUTED_VALUE"""),"deep_setback_max,10,260,513,61510,41,2944,,,,86400")</f>
        <v>deep_setback_max,10,260,513,61510,41,2944,,,,86400</v>
      </c>
      <c r="X48" s="18" t="str">
        <f ca="1">IFERROR(__xludf.DUMMYFUNCTION("""COMPUTED_VALUE"""),"deep_setback_active")</f>
        <v>deep_setback_active</v>
      </c>
      <c r="BL48" s="18" t="str">
        <f ca="1">IFERROR(__xludf.DUMMYFUNCTION("""COMPUTED_VALUE"""),"fan_modes_available")</f>
        <v>fan_modes_available</v>
      </c>
      <c r="BM48" s="18" t="str">
        <f ca="1">IFERROR(__xludf.DUMMYFUNCTION("""COMPUTED_VALUE"""),"0x0202")</f>
        <v>0x0202</v>
      </c>
      <c r="BN48" s="18" t="str">
        <f ca="1">IFERROR(__xludf.DUMMYFUNCTION("""COMPUTED_VALUE"""),"0x0001")</f>
        <v>0x0001</v>
      </c>
      <c r="BP48" s="10"/>
      <c r="BR48" s="18" t="str">
        <f ca="1">IFERROR(__xludf.DUMMYFUNCTION("""COMPUTED_VALUE"""),"dehumidification_first_stage_timeout")</f>
        <v>dehumidification_first_stage_timeout</v>
      </c>
      <c r="BS48" s="18" t="str">
        <f ca="1">IFERROR(__xludf.DUMMYFUNCTION("""COMPUTED_VALUE"""),"0x0201")</f>
        <v>0x0201</v>
      </c>
      <c r="BT48" s="18" t="str">
        <f ca="1">IFERROR(__xludf.DUMMYFUNCTION("""COMPUTED_VALUE"""),"0xF074")</f>
        <v>0xF074</v>
      </c>
      <c r="BU48" s="18" t="str">
        <f ca="1">IFERROR(__xludf.DUMMYFUNCTION("""COMPUTED_VALUE"""),"0")</f>
        <v>0</v>
      </c>
      <c r="BW48" s="10"/>
      <c r="BY48" s="18" t="str">
        <f ca="1">IFERROR(__xludf.DUMMYFUNCTION("""COMPUTED_VALUE"""),"heating_tau")</f>
        <v>heating_tau</v>
      </c>
      <c r="BZ48" s="18" t="str">
        <f ca="1">IFERROR(__xludf.DUMMYFUNCTION("""COMPUTED_VALUE"""),"0x0201")</f>
        <v>0x0201</v>
      </c>
      <c r="CA48" s="18" t="str">
        <f ca="1">IFERROR(__xludf.DUMMYFUNCTION("""COMPUTED_VALUE"""),"0xF104")</f>
        <v>0xF104</v>
      </c>
      <c r="CB48" s="18" t="str">
        <f ca="1">IFERROR(__xludf.DUMMYFUNCTION("""COMPUTED_VALUE"""),"0")</f>
        <v>0</v>
      </c>
      <c r="CC48" s="18" t="str">
        <f ca="1">IFERROR(__xludf.DUMMYFUNCTION("""COMPUTED_VALUE"""),"3600")</f>
        <v>3600</v>
      </c>
      <c r="CD48" s="18" t="str">
        <f ca="1">IFERROR(__xludf.DUMMYFUNCTION("""COMPUTED_VALUE"""),"0")</f>
        <v>0</v>
      </c>
      <c r="CF48" s="10"/>
      <c r="CH48" s="18" t="str">
        <f ca="1">IFERROR(__xludf.DUMMYFUNCTION("""COMPUTED_VALUE"""),"relay_polarity")</f>
        <v>relay_polarity</v>
      </c>
      <c r="CI48" s="18" t="str">
        <f ca="1">IFERROR(__xludf.DUMMYFUNCTION("""COMPUTED_VALUE"""),"0x0201")</f>
        <v>0x0201</v>
      </c>
      <c r="CJ48" s="18" t="str">
        <f ca="1">IFERROR(__xludf.DUMMYFUNCTION("""COMPUTED_VALUE"""),"0xF09D")</f>
        <v>0xF09D</v>
      </c>
      <c r="CK48" s="18" t="str">
        <f ca="1">IFERROR(__xludf.DUMMYFUNCTION("""COMPUTED_VALUE"""),"86400")</f>
        <v>86400</v>
      </c>
      <c r="CM48" s="10"/>
      <c r="CP48" s="18" t="str">
        <f ca="1"/>
        <v/>
      </c>
      <c r="CQ48" s="18" t="str">
        <f ca="1"/>
        <v/>
      </c>
      <c r="CR48" s="18" t="str">
        <f ca="1"/>
        <v/>
      </c>
      <c r="CS48" s="18" t="str">
        <f ca="1"/>
        <v/>
      </c>
      <c r="CT48" s="18" t="str">
        <f ca="1"/>
        <v/>
      </c>
      <c r="CV48" s="10"/>
      <c r="CX48" s="18" t="str">
        <f ca="1">IFERROR(__xludf.DUMMYFUNCTION("""COMPUTED_VALUE"""),"aquastat_low_temp_threshold")</f>
        <v>aquastat_low_temp_threshold</v>
      </c>
      <c r="CY48" s="18" t="str">
        <f ca="1"/>
        <v>0x0201</v>
      </c>
      <c r="CZ48" s="18" t="str">
        <f ca="1"/>
        <v>0xF0A1</v>
      </c>
      <c r="DA48" s="18" t="str">
        <f ca="1"/>
        <v>86400</v>
      </c>
      <c r="DC48" s="10"/>
      <c r="DE48" s="18" t="str">
        <f ca="1">IFERROR(__xludf.DUMMYFUNCTION("""COMPUTED_VALUE"""),"startup_screen")</f>
        <v>startup_screen</v>
      </c>
      <c r="DF48" s="18" t="str">
        <f ca="1">IFERROR(__xludf.DUMMYFUNCTION("""COMPUTED_VALUE"""),"0xFC05")</f>
        <v>0xFC05</v>
      </c>
      <c r="DG48" s="18" t="str">
        <f ca="1">IFERROR(__xludf.DUMMYFUNCTION("""COMPUTED_VALUE"""),"0x0024")</f>
        <v>0x0024</v>
      </c>
      <c r="DH48" s="18" t="str">
        <f ca="1">IFERROR(__xludf.DUMMYFUNCTION("""COMPUTED_VALUE"""),"""none""")</f>
        <v>"none"</v>
      </c>
      <c r="DI48" s="18" t="str">
        <f ca="1">IFERROR(__xludf.DUMMYFUNCTION("""COMPUTED_VALUE"""),"""select_device_type""")</f>
        <v>"select_device_type"</v>
      </c>
      <c r="DJ48" s="18" t="str">
        <f ca="1">IFERROR(__xludf.DUMMYFUNCTION("""COMPUTED_VALUE"""),"""select_preset""")</f>
        <v>"select_preset"</v>
      </c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</row>
    <row r="49" spans="1:149" ht="15.75" customHeight="1" x14ac:dyDescent="0.25">
      <c r="A49" s="23" t="s">
        <v>104</v>
      </c>
      <c r="B49" s="15">
        <v>55</v>
      </c>
      <c r="C49" s="15" t="s">
        <v>28</v>
      </c>
      <c r="D49" s="16"/>
      <c r="E49" s="15"/>
      <c r="F49" s="15"/>
      <c r="G49" s="15"/>
      <c r="H49" s="17" t="str">
        <f ca="1">IFERROR(__xludf.DUMMYFUNCTION("""COMPUTED_VALUE"""),"x")</f>
        <v>x</v>
      </c>
      <c r="I49" s="15" t="s">
        <v>29</v>
      </c>
      <c r="J49" s="15" t="s">
        <v>29</v>
      </c>
      <c r="K49" s="15" t="s">
        <v>29</v>
      </c>
      <c r="L49" s="15" t="s">
        <v>29</v>
      </c>
      <c r="M49" s="15" t="s">
        <v>29</v>
      </c>
      <c r="N49" s="16"/>
      <c r="O49" s="18" t="s">
        <v>105</v>
      </c>
      <c r="P49" s="19"/>
      <c r="Q49" s="18" t="str">
        <f ca="1">IFERROR(__xludf.DUMMYFUNCTION("""COMPUTED_VALUE"""),"zb -a 0x0201 0xF0F3 1278")</f>
        <v>zb -a 0x0201 0xF0F3 1278</v>
      </c>
      <c r="R49" s="19"/>
      <c r="S49" s="20" t="str">
        <f ca="1">IFERROR(__xludf.DUMMYFUNCTION("""COMPUTED_VALUE"""),"deep_setback_min,10,260,513,61509,41,1278,,,,86400")</f>
        <v>deep_setback_min,10,260,513,61509,41,1278,,,,86400</v>
      </c>
      <c r="X49" s="18" t="str">
        <f ca="1">IFERROR(__xludf.DUMMYFUNCTION("""COMPUTED_VALUE"""),"deep_setback_max")</f>
        <v>deep_setback_max</v>
      </c>
      <c r="BL49" s="18" t="str">
        <f ca="1">IFERROR(__xludf.DUMMYFUNCTION("""COMPUTED_VALUE"""),"humidity")</f>
        <v>humidity</v>
      </c>
      <c r="BM49" s="18" t="str">
        <f ca="1">IFERROR(__xludf.DUMMYFUNCTION("""COMPUTED_VALUE"""),"0x0203")</f>
        <v>0x0203</v>
      </c>
      <c r="BN49" s="18" t="str">
        <f ca="1">IFERROR(__xludf.DUMMYFUNCTION("""COMPUTED_VALUE"""),"0x0000")</f>
        <v>0x0000</v>
      </c>
      <c r="BP49" s="10"/>
      <c r="BR49" s="18" t="str">
        <f ca="1">IFERROR(__xludf.DUMMYFUNCTION("""COMPUTED_VALUE"""),"dehumidification_second_stage_timeout")</f>
        <v>dehumidification_second_stage_timeout</v>
      </c>
      <c r="BS49" s="18" t="str">
        <f ca="1">IFERROR(__xludf.DUMMYFUNCTION("""COMPUTED_VALUE"""),"0x0201")</f>
        <v>0x0201</v>
      </c>
      <c r="BT49" s="18" t="str">
        <f ca="1">IFERROR(__xludf.DUMMYFUNCTION("""COMPUTED_VALUE"""),"0xF075")</f>
        <v>0xF075</v>
      </c>
      <c r="BU49" s="18" t="str">
        <f ca="1">IFERROR(__xludf.DUMMYFUNCTION("""COMPUTED_VALUE"""),"0")</f>
        <v>0</v>
      </c>
      <c r="BW49" s="10"/>
      <c r="BY49" s="18" t="str">
        <f ca="1">IFERROR(__xludf.DUMMYFUNCTION("""COMPUTED_VALUE"""),"heating_final_value")</f>
        <v>heating_final_value</v>
      </c>
      <c r="BZ49" s="18" t="str">
        <f ca="1">IFERROR(__xludf.DUMMYFUNCTION("""COMPUTED_VALUE"""),"0x0201")</f>
        <v>0x0201</v>
      </c>
      <c r="CA49" s="18" t="str">
        <f ca="1">IFERROR(__xludf.DUMMYFUNCTION("""COMPUTED_VALUE"""),"0xF105")</f>
        <v>0xF105</v>
      </c>
      <c r="CB49" s="18" t="str">
        <f ca="1">IFERROR(__xludf.DUMMYFUNCTION("""COMPUTED_VALUE"""),"0")</f>
        <v>0</v>
      </c>
      <c r="CC49" s="18" t="str">
        <f ca="1">IFERROR(__xludf.DUMMYFUNCTION("""COMPUTED_VALUE"""),"3600")</f>
        <v>3600</v>
      </c>
      <c r="CD49" s="18" t="str">
        <f ca="1">IFERROR(__xludf.DUMMYFUNCTION("""COMPUTED_VALUE"""),"0")</f>
        <v>0</v>
      </c>
      <c r="CF49" s="10"/>
      <c r="CH49" s="18" t="str">
        <f ca="1">IFERROR(__xludf.DUMMYFUNCTION("""COMPUTED_VALUE"""),"aquastat_enabled")</f>
        <v>aquastat_enabled</v>
      </c>
      <c r="CI49" s="18" t="str">
        <f ca="1">IFERROR(__xludf.DUMMYFUNCTION("""COMPUTED_VALUE"""),"0x0201")</f>
        <v>0x0201</v>
      </c>
      <c r="CJ49" s="18" t="str">
        <f ca="1">IFERROR(__xludf.DUMMYFUNCTION("""COMPUTED_VALUE"""),"0xF0A0")</f>
        <v>0xF0A0</v>
      </c>
      <c r="CK49" s="18" t="str">
        <f ca="1">IFERROR(__xludf.DUMMYFUNCTION("""COMPUTED_VALUE"""),"86400")</f>
        <v>86400</v>
      </c>
      <c r="CM49" s="10"/>
      <c r="CP49" s="18" t="str">
        <f ca="1"/>
        <v/>
      </c>
      <c r="CQ49" s="18" t="str">
        <f ca="1"/>
        <v/>
      </c>
      <c r="CR49" s="18" t="str">
        <f ca="1"/>
        <v/>
      </c>
      <c r="CS49" s="18" t="str">
        <f ca="1"/>
        <v/>
      </c>
      <c r="CT49" s="18" t="str">
        <f ca="1"/>
        <v/>
      </c>
      <c r="CV49" s="10"/>
      <c r="CX49" s="18" t="str">
        <f ca="1">IFERROR(__xludf.DUMMYFUNCTION("""COMPUTED_VALUE"""),"aquastat_high_temp_threshold")</f>
        <v>aquastat_high_temp_threshold</v>
      </c>
      <c r="CY49" s="18" t="str">
        <f ca="1"/>
        <v>0x0201</v>
      </c>
      <c r="CZ49" s="18" t="str">
        <f ca="1"/>
        <v>0xF0A2</v>
      </c>
      <c r="DA49" s="18" t="str">
        <f ca="1"/>
        <v>86400</v>
      </c>
      <c r="DC49" s="10"/>
      <c r="DE49" s="18" t="str">
        <f ca="1">IFERROR(__xludf.DUMMYFUNCTION("""COMPUTED_VALUE"""),"push_button_config_key_1")</f>
        <v>push_button_config_key_1</v>
      </c>
      <c r="DF49" s="18" t="str">
        <f ca="1">IFERROR(__xludf.DUMMYFUNCTION("""COMPUTED_VALUE"""),"0xFC05")</f>
        <v>0xFC05</v>
      </c>
      <c r="DG49" s="18" t="str">
        <f ca="1">IFERROR(__xludf.DUMMYFUNCTION("""COMPUTED_VALUE"""),"0x0028")</f>
        <v>0x0028</v>
      </c>
      <c r="DH49" s="18" t="str">
        <f ca="1">IFERROR(__xludf.DUMMYFUNCTION("""COMPUTED_VALUE"""),"""none""")</f>
        <v>"none"</v>
      </c>
      <c r="DI49" s="18" t="str">
        <f ca="1">IFERROR(__xludf.DUMMYFUNCTION("""COMPUTED_VALUE"""),"""up_arrow""")</f>
        <v>"up_arrow"</v>
      </c>
      <c r="DJ49" s="18" t="str">
        <f ca="1">IFERROR(__xludf.DUMMYFUNCTION("""COMPUTED_VALUE"""),"""down_arrow""")</f>
        <v>"down_arrow"</v>
      </c>
      <c r="DK49" s="18" t="str">
        <f ca="1">IFERROR(__xludf.DUMMYFUNCTION("""COMPUTED_VALUE"""),"""on_off""")</f>
        <v>"on_off"</v>
      </c>
      <c r="DL49" s="18" t="str">
        <f ca="1">IFERROR(__xludf.DUMMYFUNCTION("""COMPUTED_VALUE"""),"""cycle_modes""")</f>
        <v>"cycle_modes"</v>
      </c>
      <c r="DM49" s="18" t="str">
        <f ca="1">IFERROR(__xludf.DUMMYFUNCTION("""COMPUTED_VALUE"""),"""heat""")</f>
        <v>"heat"</v>
      </c>
      <c r="DN49" s="18" t="str">
        <f ca="1">IFERROR(__xludf.DUMMYFUNCTION("""COMPUTED_VALUE"""),"""cool""")</f>
        <v>"cool"</v>
      </c>
      <c r="DO49" s="18" t="str">
        <f ca="1">IFERROR(__xludf.DUMMYFUNCTION("""COMPUTED_VALUE"""),"""auto""")</f>
        <v>"auto"</v>
      </c>
      <c r="DP49" s="18" t="str">
        <f ca="1">IFERROR(__xludf.DUMMYFUNCTION("""COMPUTED_VALUE"""),"""cycle_fan""")</f>
        <v>"cycle_fan"</v>
      </c>
      <c r="DQ49" s="18" t="str">
        <f ca="1">IFERROR(__xludf.DUMMYFUNCTION("""COMPUTED_VALUE"""),"""fan_up""")</f>
        <v>"fan_up"</v>
      </c>
      <c r="DR49" s="18" t="str">
        <f ca="1">IFERROR(__xludf.DUMMYFUNCTION("""COMPUTED_VALUE"""),"""fan_down""")</f>
        <v>"fan_down"</v>
      </c>
      <c r="DS49" s="18" t="str">
        <f ca="1">IFERROR(__xludf.DUMMYFUNCTION("""COMPUTED_VALUE"""),"""change_temp_units""")</f>
        <v>"change_temp_units"</v>
      </c>
      <c r="DT49" s="18" t="str">
        <f ca="1">IFERROR(__xludf.DUMMYFUNCTION("""COMPUTED_VALUE"""),"""leaf""")</f>
        <v>"leaf"</v>
      </c>
      <c r="DU49" s="18" t="str">
        <f ca="1">IFERROR(__xludf.DUMMYFUNCTION("""COMPUTED_VALUE"""),"""backlight""")</f>
        <v>"backlight"</v>
      </c>
      <c r="DV49" s="18" t="str">
        <f ca="1">IFERROR(__xludf.DUMMYFUNCTION("""COMPUTED_VALUE"""),"""DND""")</f>
        <v>"DND"</v>
      </c>
      <c r="DW49" s="18" t="str">
        <f ca="1">IFERROR(__xludf.DUMMYFUNCTION("""COMPUTED_VALUE"""),"""MUR""")</f>
        <v>"MUR"</v>
      </c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</row>
    <row r="50" spans="1:149" ht="15.75" customHeight="1" x14ac:dyDescent="0.25">
      <c r="A50" s="23" t="s">
        <v>106</v>
      </c>
      <c r="B50" s="15">
        <v>85</v>
      </c>
      <c r="C50" s="15" t="s">
        <v>28</v>
      </c>
      <c r="D50" s="16"/>
      <c r="E50" s="15"/>
      <c r="F50" s="15"/>
      <c r="G50" s="15"/>
      <c r="H50" s="17" t="str">
        <f ca="1">IFERROR(__xludf.DUMMYFUNCTION("""COMPUTED_VALUE"""),"x")</f>
        <v>x</v>
      </c>
      <c r="I50" s="15" t="s">
        <v>29</v>
      </c>
      <c r="J50" s="15" t="s">
        <v>29</v>
      </c>
      <c r="K50" s="15" t="s">
        <v>29</v>
      </c>
      <c r="L50" s="15" t="s">
        <v>29</v>
      </c>
      <c r="M50" s="15" t="s">
        <v>29</v>
      </c>
      <c r="N50" s="16"/>
      <c r="O50" s="18" t="s">
        <v>107</v>
      </c>
      <c r="P50" s="19"/>
      <c r="Q50" s="18" t="str">
        <f ca="1">IFERROR(__xludf.DUMMYFUNCTION("""COMPUTED_VALUE"""),"zb -a 0x0201 0xF0F4 2944")</f>
        <v>zb -a 0x0201 0xF0F4 2944</v>
      </c>
      <c r="R50" s="19"/>
      <c r="S50" s="20" t="str">
        <f ca="1">IFERROR(__xludf.DUMMYFUNCTION("""COMPUTED_VALUE"""),"dehumidification_first_stage_threshold,10,260,513,61555,33,1,,,,86400")</f>
        <v>dehumidification_first_stage_threshold,10,260,513,61555,33,1,,,,86400</v>
      </c>
      <c r="X50" s="18" t="str">
        <f ca="1">IFERROR(__xludf.DUMMYFUNCTION("""COMPUTED_VALUE"""),"deep_setback_min")</f>
        <v>deep_setback_min</v>
      </c>
      <c r="BL50" s="18" t="str">
        <f ca="1">IFERROR(__xludf.DUMMYFUNCTION("""COMPUTED_VALUE"""),"dew_point_measured_value")</f>
        <v>dew_point_measured_value</v>
      </c>
      <c r="BM50" s="18" t="str">
        <f ca="1">IFERROR(__xludf.DUMMYFUNCTION("""COMPUTED_VALUE"""),"0x0203")</f>
        <v>0x0203</v>
      </c>
      <c r="BN50" s="18" t="str">
        <f ca="1">IFERROR(__xludf.DUMMYFUNCTION("""COMPUTED_VALUE"""),"0xF000")</f>
        <v>0xF000</v>
      </c>
      <c r="BP50" s="10"/>
      <c r="BR50" s="18" t="str">
        <f ca="1">IFERROR(__xludf.DUMMYFUNCTION("""COMPUTED_VALUE"""),"dehumidification_max_cycle_time")</f>
        <v>dehumidification_max_cycle_time</v>
      </c>
      <c r="BS50" s="18" t="str">
        <f ca="1">IFERROR(__xludf.DUMMYFUNCTION("""COMPUTED_VALUE"""),"0x0201")</f>
        <v>0x0201</v>
      </c>
      <c r="BT50" s="18" t="str">
        <f ca="1">IFERROR(__xludf.DUMMYFUNCTION("""COMPUTED_VALUE"""),"0xF077")</f>
        <v>0xF077</v>
      </c>
      <c r="BU50" s="18" t="str">
        <f ca="1">IFERROR(__xludf.DUMMYFUNCTION("""COMPUTED_VALUE"""),"0")</f>
        <v>0</v>
      </c>
      <c r="BW50" s="10"/>
      <c r="BY50" s="18" t="str">
        <f ca="1">IFERROR(__xludf.DUMMYFUNCTION("""COMPUTED_VALUE"""),"cooling_tau")</f>
        <v>cooling_tau</v>
      </c>
      <c r="BZ50" s="18" t="str">
        <f ca="1">IFERROR(__xludf.DUMMYFUNCTION("""COMPUTED_VALUE"""),"0x0201")</f>
        <v>0x0201</v>
      </c>
      <c r="CA50" s="18" t="str">
        <f ca="1">IFERROR(__xludf.DUMMYFUNCTION("""COMPUTED_VALUE"""),"0xF106")</f>
        <v>0xF106</v>
      </c>
      <c r="CB50" s="18" t="str">
        <f ca="1">IFERROR(__xludf.DUMMYFUNCTION("""COMPUTED_VALUE"""),"0")</f>
        <v>0</v>
      </c>
      <c r="CC50" s="18" t="str">
        <f ca="1">IFERROR(__xludf.DUMMYFUNCTION("""COMPUTED_VALUE"""),"3600")</f>
        <v>3600</v>
      </c>
      <c r="CD50" s="18" t="str">
        <f ca="1">IFERROR(__xludf.DUMMYFUNCTION("""COMPUTED_VALUE"""),"0")</f>
        <v>0</v>
      </c>
      <c r="CF50" s="10"/>
      <c r="CH50" s="18" t="str">
        <f ca="1">IFERROR(__xludf.DUMMYFUNCTION("""COMPUTED_VALUE"""),"aquastat_low_temp_threshold")</f>
        <v>aquastat_low_temp_threshold</v>
      </c>
      <c r="CI50" s="18" t="str">
        <f ca="1">IFERROR(__xludf.DUMMYFUNCTION("""COMPUTED_VALUE"""),"0x0201")</f>
        <v>0x0201</v>
      </c>
      <c r="CJ50" s="18" t="str">
        <f ca="1">IFERROR(__xludf.DUMMYFUNCTION("""COMPUTED_VALUE"""),"0xF0A1")</f>
        <v>0xF0A1</v>
      </c>
      <c r="CK50" s="18" t="str">
        <f ca="1">IFERROR(__xludf.DUMMYFUNCTION("""COMPUTED_VALUE"""),"86400")</f>
        <v>86400</v>
      </c>
      <c r="CM50" s="10"/>
      <c r="CP50" s="18" t="str">
        <f ca="1"/>
        <v/>
      </c>
      <c r="CQ50" s="18" t="str">
        <f ca="1"/>
        <v/>
      </c>
      <c r="CR50" s="18" t="str">
        <f ca="1"/>
        <v/>
      </c>
      <c r="CS50" s="18" t="str">
        <f ca="1"/>
        <v/>
      </c>
      <c r="CT50" s="18" t="str">
        <f ca="1"/>
        <v/>
      </c>
      <c r="CV50" s="10"/>
      <c r="CX50" s="18" t="str">
        <f ca="1">IFERROR(__xludf.DUMMYFUNCTION("""COMPUTED_VALUE"""),"aquastat_hysteresis_time")</f>
        <v>aquastat_hysteresis_time</v>
      </c>
      <c r="CY50" s="18" t="str">
        <f ca="1"/>
        <v>0x0201</v>
      </c>
      <c r="CZ50" s="18" t="str">
        <f ca="1"/>
        <v>0xF0A3</v>
      </c>
      <c r="DA50" s="18" t="str">
        <f ca="1"/>
        <v>86400</v>
      </c>
      <c r="DC50" s="10"/>
      <c r="DE50" s="18" t="str">
        <f ca="1">IFERROR(__xludf.DUMMYFUNCTION("""COMPUTED_VALUE"""),"push_button_config_key_2")</f>
        <v>push_button_config_key_2</v>
      </c>
      <c r="DF50" s="18" t="str">
        <f ca="1">IFERROR(__xludf.DUMMYFUNCTION("""COMPUTED_VALUE"""),"0xFC05")</f>
        <v>0xFC05</v>
      </c>
      <c r="DG50" s="18" t="str">
        <f ca="1">IFERROR(__xludf.DUMMYFUNCTION("""COMPUTED_VALUE"""),"0x0029")</f>
        <v>0x0029</v>
      </c>
      <c r="DH50" s="18" t="str">
        <f ca="1">IFERROR(__xludf.DUMMYFUNCTION("""COMPUTED_VALUE"""),"""none""")</f>
        <v>"none"</v>
      </c>
      <c r="DI50" s="18" t="str">
        <f ca="1">IFERROR(__xludf.DUMMYFUNCTION("""COMPUTED_VALUE"""),"""up_arrow""")</f>
        <v>"up_arrow"</v>
      </c>
      <c r="DJ50" s="18" t="str">
        <f ca="1">IFERROR(__xludf.DUMMYFUNCTION("""COMPUTED_VALUE"""),"""down_arrow""")</f>
        <v>"down_arrow"</v>
      </c>
      <c r="DK50" s="18" t="str">
        <f ca="1">IFERROR(__xludf.DUMMYFUNCTION("""COMPUTED_VALUE"""),"""on_off""")</f>
        <v>"on_off"</v>
      </c>
      <c r="DL50" s="18" t="str">
        <f ca="1">IFERROR(__xludf.DUMMYFUNCTION("""COMPUTED_VALUE"""),"""cycle_modes""")</f>
        <v>"cycle_modes"</v>
      </c>
      <c r="DM50" s="18" t="str">
        <f ca="1">IFERROR(__xludf.DUMMYFUNCTION("""COMPUTED_VALUE"""),"""heat""")</f>
        <v>"heat"</v>
      </c>
      <c r="DN50" s="18" t="str">
        <f ca="1">IFERROR(__xludf.DUMMYFUNCTION("""COMPUTED_VALUE"""),"""cool""")</f>
        <v>"cool"</v>
      </c>
      <c r="DO50" s="18" t="str">
        <f ca="1">IFERROR(__xludf.DUMMYFUNCTION("""COMPUTED_VALUE"""),"""auto""")</f>
        <v>"auto"</v>
      </c>
      <c r="DP50" s="18" t="str">
        <f ca="1">IFERROR(__xludf.DUMMYFUNCTION("""COMPUTED_VALUE"""),"""cycle_fan""")</f>
        <v>"cycle_fan"</v>
      </c>
      <c r="DQ50" s="18" t="str">
        <f ca="1">IFERROR(__xludf.DUMMYFUNCTION("""COMPUTED_VALUE"""),"""fan_up""")</f>
        <v>"fan_up"</v>
      </c>
      <c r="DR50" s="18" t="str">
        <f ca="1">IFERROR(__xludf.DUMMYFUNCTION("""COMPUTED_VALUE"""),"""fan_down""")</f>
        <v>"fan_down"</v>
      </c>
      <c r="DS50" s="18" t="str">
        <f ca="1">IFERROR(__xludf.DUMMYFUNCTION("""COMPUTED_VALUE"""),"""change_temp_units""")</f>
        <v>"change_temp_units"</v>
      </c>
      <c r="DT50" s="18" t="str">
        <f ca="1">IFERROR(__xludf.DUMMYFUNCTION("""COMPUTED_VALUE"""),"""leaf""")</f>
        <v>"leaf"</v>
      </c>
      <c r="DU50" s="18" t="str">
        <f ca="1">IFERROR(__xludf.DUMMYFUNCTION("""COMPUTED_VALUE"""),"""backlight""")</f>
        <v>"backlight"</v>
      </c>
      <c r="DV50" s="18" t="str">
        <f ca="1">IFERROR(__xludf.DUMMYFUNCTION("""COMPUTED_VALUE"""),"""DND""")</f>
        <v>"DND"</v>
      </c>
      <c r="DW50" s="18" t="str">
        <f ca="1">IFERROR(__xludf.DUMMYFUNCTION("""COMPUTED_VALUE"""),"""MUR""")</f>
        <v>"MUR"</v>
      </c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</row>
    <row r="51" spans="1:149" ht="15.75" customHeight="1" x14ac:dyDescent="0.25">
      <c r="A51" s="23" t="s">
        <v>108</v>
      </c>
      <c r="B51" s="15">
        <v>3</v>
      </c>
      <c r="C51" s="15" t="s">
        <v>39</v>
      </c>
      <c r="D51" s="16"/>
      <c r="E51" s="15"/>
      <c r="F51" s="15"/>
      <c r="G51" s="15"/>
      <c r="H51" s="17" t="str">
        <f ca="1">IFERROR(__xludf.DUMMYFUNCTION("""COMPUTED_VALUE"""),"x")</f>
        <v>x</v>
      </c>
      <c r="I51" s="15" t="s">
        <v>29</v>
      </c>
      <c r="J51" s="15" t="s">
        <v>29</v>
      </c>
      <c r="K51" s="15" t="s">
        <v>29</v>
      </c>
      <c r="L51" s="15" t="s">
        <v>29</v>
      </c>
      <c r="M51" s="15" t="s">
        <v>29</v>
      </c>
      <c r="N51" s="16"/>
      <c r="O51" s="18" t="s">
        <v>109</v>
      </c>
      <c r="P51" s="19"/>
      <c r="Q51" s="18" t="str">
        <f ca="1">IFERROR(__xludf.DUMMYFUNCTION("""COMPUTED_VALUE"""),"zb -a 0x0201 0xF0F1 167")</f>
        <v>zb -a 0x0201 0xF0F1 167</v>
      </c>
      <c r="R51" s="19"/>
      <c r="S51" s="20" t="str">
        <f ca="1">IFERROR(__xludf.DUMMYFUNCTION("""COMPUTED_VALUE"""),"dehumidification_first_stage_timeout,10,260,513,61556,32,0,,,,86400")</f>
        <v>dehumidification_first_stage_timeout,10,260,513,61556,32,0,,,,86400</v>
      </c>
      <c r="X51" s="18" t="str">
        <f ca="1">IFERROR(__xludf.DUMMYFUNCTION("""COMPUTED_VALUE"""),"dehumidification_first_stage_threshold")</f>
        <v>dehumidification_first_stage_threshold</v>
      </c>
      <c r="BL51" s="18" t="str">
        <f ca="1">IFERROR(__xludf.DUMMYFUNCTION("""COMPUTED_VALUE"""),"illuminance_measurement")</f>
        <v>illuminance_measurement</v>
      </c>
      <c r="BM51" s="18" t="str">
        <f ca="1">IFERROR(__xludf.DUMMYFUNCTION("""COMPUTED_VALUE"""),"0x0400")</f>
        <v>0x0400</v>
      </c>
      <c r="BN51" s="18" t="str">
        <f ca="1">IFERROR(__xludf.DUMMYFUNCTION("""COMPUTED_VALUE"""),"0x0000")</f>
        <v>0x0000</v>
      </c>
      <c r="BP51" s="10"/>
      <c r="BR51" s="18" t="str">
        <f ca="1">IFERROR(__xludf.DUMMYFUNCTION("""COMPUTED_VALUE"""),"active_remote_controller")</f>
        <v>active_remote_controller</v>
      </c>
      <c r="BS51" s="18" t="str">
        <f ca="1">IFERROR(__xludf.DUMMYFUNCTION("""COMPUTED_VALUE"""),"0x0201")</f>
        <v>0x0201</v>
      </c>
      <c r="BT51" s="18" t="str">
        <f ca="1">IFERROR(__xludf.DUMMYFUNCTION("""COMPUTED_VALUE"""),"0xF078")</f>
        <v>0xF078</v>
      </c>
      <c r="BU51" s="18" t="str">
        <f ca="1">IFERROR(__xludf.DUMMYFUNCTION("""COMPUTED_VALUE"""),"""none""")</f>
        <v>"none"</v>
      </c>
      <c r="BW51" s="10"/>
      <c r="BY51" s="18" t="str">
        <f ca="1">IFERROR(__xludf.DUMMYFUNCTION("""COMPUTED_VALUE"""),"cooling_final_value")</f>
        <v>cooling_final_value</v>
      </c>
      <c r="BZ51" s="18" t="str">
        <f ca="1">IFERROR(__xludf.DUMMYFUNCTION("""COMPUTED_VALUE"""),"0x0201")</f>
        <v>0x0201</v>
      </c>
      <c r="CA51" s="18" t="str">
        <f ca="1">IFERROR(__xludf.DUMMYFUNCTION("""COMPUTED_VALUE"""),"0xF107")</f>
        <v>0xF107</v>
      </c>
      <c r="CB51" s="18" t="str">
        <f ca="1">IFERROR(__xludf.DUMMYFUNCTION("""COMPUTED_VALUE"""),"0")</f>
        <v>0</v>
      </c>
      <c r="CC51" s="18" t="str">
        <f ca="1">IFERROR(__xludf.DUMMYFUNCTION("""COMPUTED_VALUE"""),"3600")</f>
        <v>3600</v>
      </c>
      <c r="CD51" s="18" t="str">
        <f ca="1">IFERROR(__xludf.DUMMYFUNCTION("""COMPUTED_VALUE"""),"0")</f>
        <v>0</v>
      </c>
      <c r="CF51" s="10"/>
      <c r="CH51" s="18" t="str">
        <f ca="1">IFERROR(__xludf.DUMMYFUNCTION("""COMPUTED_VALUE"""),"aquastat_high_temp_threshold")</f>
        <v>aquastat_high_temp_threshold</v>
      </c>
      <c r="CI51" s="18" t="str">
        <f ca="1">IFERROR(__xludf.DUMMYFUNCTION("""COMPUTED_VALUE"""),"0x0201")</f>
        <v>0x0201</v>
      </c>
      <c r="CJ51" s="18" t="str">
        <f ca="1">IFERROR(__xludf.DUMMYFUNCTION("""COMPUTED_VALUE"""),"0xF0A2")</f>
        <v>0xF0A2</v>
      </c>
      <c r="CK51" s="18" t="str">
        <f ca="1">IFERROR(__xludf.DUMMYFUNCTION("""COMPUTED_VALUE"""),"86400")</f>
        <v>86400</v>
      </c>
      <c r="CM51" s="10"/>
      <c r="CP51" s="18" t="str">
        <f ca="1"/>
        <v/>
      </c>
      <c r="CQ51" s="18" t="str">
        <f ca="1"/>
        <v/>
      </c>
      <c r="CR51" s="18" t="str">
        <f ca="1"/>
        <v/>
      </c>
      <c r="CS51" s="18" t="str">
        <f ca="1"/>
        <v/>
      </c>
      <c r="CT51" s="18" t="str">
        <f ca="1"/>
        <v/>
      </c>
      <c r="CV51" s="10"/>
      <c r="CX51" s="18" t="str">
        <f ca="1">IFERROR(__xludf.DUMMYFUNCTION("""COMPUTED_VALUE"""),"aquastat_changeover_min_period")</f>
        <v>aquastat_changeover_min_period</v>
      </c>
      <c r="CY51" s="18" t="str">
        <f ca="1"/>
        <v>0x0201</v>
      </c>
      <c r="CZ51" s="18" t="str">
        <f ca="1"/>
        <v>0xF0A4</v>
      </c>
      <c r="DA51" s="18" t="str">
        <f ca="1"/>
        <v>86400</v>
      </c>
      <c r="DC51" s="10"/>
      <c r="DE51" s="18" t="str">
        <f ca="1">IFERROR(__xludf.DUMMYFUNCTION("""COMPUTED_VALUE"""),"push_button_config_key_3")</f>
        <v>push_button_config_key_3</v>
      </c>
      <c r="DF51" s="18" t="str">
        <f ca="1">IFERROR(__xludf.DUMMYFUNCTION("""COMPUTED_VALUE"""),"0xFC05")</f>
        <v>0xFC05</v>
      </c>
      <c r="DG51" s="18" t="str">
        <f ca="1">IFERROR(__xludf.DUMMYFUNCTION("""COMPUTED_VALUE"""),"0x002A")</f>
        <v>0x002A</v>
      </c>
      <c r="DH51" s="18" t="str">
        <f ca="1">IFERROR(__xludf.DUMMYFUNCTION("""COMPUTED_VALUE"""),"""none""")</f>
        <v>"none"</v>
      </c>
      <c r="DI51" s="18" t="str">
        <f ca="1">IFERROR(__xludf.DUMMYFUNCTION("""COMPUTED_VALUE"""),"""up_arrow""")</f>
        <v>"up_arrow"</v>
      </c>
      <c r="DJ51" s="18" t="str">
        <f ca="1">IFERROR(__xludf.DUMMYFUNCTION("""COMPUTED_VALUE"""),"""down_arrow""")</f>
        <v>"down_arrow"</v>
      </c>
      <c r="DK51" s="18" t="str">
        <f ca="1">IFERROR(__xludf.DUMMYFUNCTION("""COMPUTED_VALUE"""),"""on_off""")</f>
        <v>"on_off"</v>
      </c>
      <c r="DL51" s="18" t="str">
        <f ca="1">IFERROR(__xludf.DUMMYFUNCTION("""COMPUTED_VALUE"""),"""cycle_modes""")</f>
        <v>"cycle_modes"</v>
      </c>
      <c r="DM51" s="18" t="str">
        <f ca="1">IFERROR(__xludf.DUMMYFUNCTION("""COMPUTED_VALUE"""),"""heat""")</f>
        <v>"heat"</v>
      </c>
      <c r="DN51" s="18" t="str">
        <f ca="1">IFERROR(__xludf.DUMMYFUNCTION("""COMPUTED_VALUE"""),"""cool""")</f>
        <v>"cool"</v>
      </c>
      <c r="DO51" s="18" t="str">
        <f ca="1">IFERROR(__xludf.DUMMYFUNCTION("""COMPUTED_VALUE"""),"""auto""")</f>
        <v>"auto"</v>
      </c>
      <c r="DP51" s="18" t="str">
        <f ca="1">IFERROR(__xludf.DUMMYFUNCTION("""COMPUTED_VALUE"""),"""cycle_fan""")</f>
        <v>"cycle_fan"</v>
      </c>
      <c r="DQ51" s="18" t="str">
        <f ca="1">IFERROR(__xludf.DUMMYFUNCTION("""COMPUTED_VALUE"""),"""fan_up""")</f>
        <v>"fan_up"</v>
      </c>
      <c r="DR51" s="18" t="str">
        <f ca="1">IFERROR(__xludf.DUMMYFUNCTION("""COMPUTED_VALUE"""),"""fan_down""")</f>
        <v>"fan_down"</v>
      </c>
      <c r="DS51" s="18" t="str">
        <f ca="1">IFERROR(__xludf.DUMMYFUNCTION("""COMPUTED_VALUE"""),"""change_temp_units""")</f>
        <v>"change_temp_units"</v>
      </c>
      <c r="DT51" s="18" t="str">
        <f ca="1">IFERROR(__xludf.DUMMYFUNCTION("""COMPUTED_VALUE"""),"""leaf""")</f>
        <v>"leaf"</v>
      </c>
      <c r="DU51" s="18" t="str">
        <f ca="1">IFERROR(__xludf.DUMMYFUNCTION("""COMPUTED_VALUE"""),"""backlight""")</f>
        <v>"backlight"</v>
      </c>
      <c r="DV51" s="18" t="str">
        <f ca="1">IFERROR(__xludf.DUMMYFUNCTION("""COMPUTED_VALUE"""),"""DND""")</f>
        <v>"DND"</v>
      </c>
      <c r="DW51" s="18" t="str">
        <f ca="1">IFERROR(__xludf.DUMMYFUNCTION("""COMPUTED_VALUE"""),"""MUR""")</f>
        <v>"MUR"</v>
      </c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</row>
    <row r="52" spans="1:149" ht="15.75" customHeight="1" x14ac:dyDescent="0.25">
      <c r="A52" s="23" t="s">
        <v>110</v>
      </c>
      <c r="B52" s="15">
        <v>5</v>
      </c>
      <c r="C52" s="15" t="s">
        <v>39</v>
      </c>
      <c r="D52" s="16"/>
      <c r="E52" s="15"/>
      <c r="F52" s="15"/>
      <c r="G52" s="15"/>
      <c r="H52" s="17" t="str">
        <f ca="1">IFERROR(__xludf.DUMMYFUNCTION("""COMPUTED_VALUE"""),"x")</f>
        <v>x</v>
      </c>
      <c r="I52" s="15" t="s">
        <v>29</v>
      </c>
      <c r="J52" s="15" t="s">
        <v>29</v>
      </c>
      <c r="K52" s="15" t="s">
        <v>29</v>
      </c>
      <c r="L52" s="15" t="s">
        <v>29</v>
      </c>
      <c r="M52" s="15" t="s">
        <v>29</v>
      </c>
      <c r="N52" s="16"/>
      <c r="O52" s="18" t="s">
        <v>111</v>
      </c>
      <c r="P52" s="19"/>
      <c r="Q52" s="18" t="str">
        <f ca="1">IFERROR(__xludf.DUMMYFUNCTION("""COMPUTED_VALUE"""),"zb -a 0x0201 0xF0F5 278")</f>
        <v>zb -a 0x0201 0xF0F5 278</v>
      </c>
      <c r="R52" s="19"/>
      <c r="S52" s="20" t="str">
        <f ca="1">IFERROR(__xludf.DUMMYFUNCTION("""COMPUTED_VALUE"""),"dehumidification_max_cycle_time,10,260,513,61559,32,60,,,,86400")</f>
        <v>dehumidification_max_cycle_time,10,260,513,61559,32,60,,,,86400</v>
      </c>
      <c r="X52" s="18" t="str">
        <f ca="1">IFERROR(__xludf.DUMMYFUNCTION("""COMPUTED_VALUE"""),"dehumidification_first_stage_timeout")</f>
        <v>dehumidification_first_stage_timeout</v>
      </c>
      <c r="BL52" s="18" t="str">
        <f ca="1">IFERROR(__xludf.DUMMYFUNCTION("""COMPUTED_VALUE"""),"local_sensor_occupied")</f>
        <v>local_sensor_occupied</v>
      </c>
      <c r="BM52" s="18" t="str">
        <f ca="1">IFERROR(__xludf.DUMMYFUNCTION("""COMPUTED_VALUE"""),"0x0406")</f>
        <v>0x0406</v>
      </c>
      <c r="BN52" s="18" t="str">
        <f ca="1">IFERROR(__xludf.DUMMYFUNCTION("""COMPUTED_VALUE"""),"0x0000")</f>
        <v>0x0000</v>
      </c>
      <c r="BP52" s="10"/>
      <c r="BR52" s="18" t="str">
        <f ca="1">IFERROR(__xludf.DUMMYFUNCTION("""COMPUTED_VALUE"""),"remote_controller_auto_fan_disable")</f>
        <v>remote_controller_auto_fan_disable</v>
      </c>
      <c r="BS52" s="18" t="str">
        <f ca="1">IFERROR(__xludf.DUMMYFUNCTION("""COMPUTED_VALUE"""),"0x0201")</f>
        <v>0x0201</v>
      </c>
      <c r="BT52" s="18" t="str">
        <f ca="1">IFERROR(__xludf.DUMMYFUNCTION("""COMPUTED_VALUE"""),"0xF079")</f>
        <v>0xF079</v>
      </c>
      <c r="BU52" s="18" t="str">
        <f ca="1">IFERROR(__xludf.DUMMYFUNCTION("""COMPUTED_VALUE"""),"false")</f>
        <v>false</v>
      </c>
      <c r="BW52" s="10"/>
      <c r="BY52" s="18" t="str">
        <f ca="1">IFERROR(__xludf.DUMMYFUNCTION("""COMPUTED_VALUE"""),"savings_in_effect")</f>
        <v>savings_in_effect</v>
      </c>
      <c r="BZ52" s="18" t="str">
        <f ca="1">IFERROR(__xludf.DUMMYFUNCTION("""COMPUTED_VALUE"""),"0x0201")</f>
        <v>0x0201</v>
      </c>
      <c r="CA52" s="18" t="str">
        <f ca="1">IFERROR(__xludf.DUMMYFUNCTION("""COMPUTED_VALUE"""),"0xF109")</f>
        <v>0xF109</v>
      </c>
      <c r="CB52" s="18" t="str">
        <f ca="1">IFERROR(__xludf.DUMMYFUNCTION("""COMPUTED_VALUE"""),"0")</f>
        <v>0</v>
      </c>
      <c r="CC52" s="18" t="str">
        <f ca="1">IFERROR(__xludf.DUMMYFUNCTION("""COMPUTED_VALUE"""),"3600")</f>
        <v>3600</v>
      </c>
      <c r="CD52" s="18" t="str">
        <f ca="1">IFERROR(__xludf.DUMMYFUNCTION("""COMPUTED_VALUE"""),"0")</f>
        <v>0</v>
      </c>
      <c r="CF52" s="10"/>
      <c r="CH52" s="18" t="str">
        <f ca="1">IFERROR(__xludf.DUMMYFUNCTION("""COMPUTED_VALUE"""),"aquastat_hysteresis_time")</f>
        <v>aquastat_hysteresis_time</v>
      </c>
      <c r="CI52" s="18" t="str">
        <f ca="1">IFERROR(__xludf.DUMMYFUNCTION("""COMPUTED_VALUE"""),"0x0201")</f>
        <v>0x0201</v>
      </c>
      <c r="CJ52" s="18" t="str">
        <f ca="1">IFERROR(__xludf.DUMMYFUNCTION("""COMPUTED_VALUE"""),"0xF0A3")</f>
        <v>0xF0A3</v>
      </c>
      <c r="CK52" s="18" t="str">
        <f ca="1">IFERROR(__xludf.DUMMYFUNCTION("""COMPUTED_VALUE"""),"86400")</f>
        <v>86400</v>
      </c>
      <c r="CM52" s="10"/>
      <c r="CP52" s="18" t="str">
        <f ca="1"/>
        <v/>
      </c>
      <c r="CQ52" s="18" t="str">
        <f ca="1"/>
        <v/>
      </c>
      <c r="CR52" s="18" t="str">
        <f ca="1"/>
        <v/>
      </c>
      <c r="CS52" s="18" t="str">
        <f ca="1"/>
        <v/>
      </c>
      <c r="CT52" s="18" t="str">
        <f ca="1"/>
        <v/>
      </c>
      <c r="CV52" s="10"/>
      <c r="CX52" s="18" t="str">
        <f ca="1">IFERROR(__xludf.DUMMYFUNCTION("""COMPUTED_VALUE"""),"aquastat_chilled_modes_available")</f>
        <v>aquastat_chilled_modes_available</v>
      </c>
      <c r="CY52" s="18" t="str">
        <f ca="1"/>
        <v>0x0201</v>
      </c>
      <c r="CZ52" s="18" t="str">
        <f ca="1"/>
        <v>0xF0A5</v>
      </c>
      <c r="DA52" s="18" t="str">
        <f ca="1"/>
        <v>86400</v>
      </c>
      <c r="DC52" s="10"/>
      <c r="DE52" s="18" t="str">
        <f ca="1">IFERROR(__xludf.DUMMYFUNCTION("""COMPUTED_VALUE"""),"push_button_config_key_4")</f>
        <v>push_button_config_key_4</v>
      </c>
      <c r="DF52" s="18" t="str">
        <f ca="1">IFERROR(__xludf.DUMMYFUNCTION("""COMPUTED_VALUE"""),"0xFC05")</f>
        <v>0xFC05</v>
      </c>
      <c r="DG52" s="18" t="str">
        <f ca="1">IFERROR(__xludf.DUMMYFUNCTION("""COMPUTED_VALUE"""),"0x002B")</f>
        <v>0x002B</v>
      </c>
      <c r="DH52" s="18" t="str">
        <f ca="1">IFERROR(__xludf.DUMMYFUNCTION("""COMPUTED_VALUE"""),"""none""")</f>
        <v>"none"</v>
      </c>
      <c r="DI52" s="18" t="str">
        <f ca="1">IFERROR(__xludf.DUMMYFUNCTION("""COMPUTED_VALUE"""),"""up_arrow""")</f>
        <v>"up_arrow"</v>
      </c>
      <c r="DJ52" s="18" t="str">
        <f ca="1">IFERROR(__xludf.DUMMYFUNCTION("""COMPUTED_VALUE"""),"""down_arrow""")</f>
        <v>"down_arrow"</v>
      </c>
      <c r="DK52" s="18" t="str">
        <f ca="1">IFERROR(__xludf.DUMMYFUNCTION("""COMPUTED_VALUE"""),"""on_off""")</f>
        <v>"on_off"</v>
      </c>
      <c r="DL52" s="18" t="str">
        <f ca="1">IFERROR(__xludf.DUMMYFUNCTION("""COMPUTED_VALUE"""),"""cycle_modes""")</f>
        <v>"cycle_modes"</v>
      </c>
      <c r="DM52" s="18" t="str">
        <f ca="1">IFERROR(__xludf.DUMMYFUNCTION("""COMPUTED_VALUE"""),"""heat""")</f>
        <v>"heat"</v>
      </c>
      <c r="DN52" s="18" t="str">
        <f ca="1">IFERROR(__xludf.DUMMYFUNCTION("""COMPUTED_VALUE"""),"""cool""")</f>
        <v>"cool"</v>
      </c>
      <c r="DO52" s="18" t="str">
        <f ca="1">IFERROR(__xludf.DUMMYFUNCTION("""COMPUTED_VALUE"""),"""auto""")</f>
        <v>"auto"</v>
      </c>
      <c r="DP52" s="18" t="str">
        <f ca="1">IFERROR(__xludf.DUMMYFUNCTION("""COMPUTED_VALUE"""),"""cycle_fan""")</f>
        <v>"cycle_fan"</v>
      </c>
      <c r="DQ52" s="18" t="str">
        <f ca="1">IFERROR(__xludf.DUMMYFUNCTION("""COMPUTED_VALUE"""),"""fan_up""")</f>
        <v>"fan_up"</v>
      </c>
      <c r="DR52" s="18" t="str">
        <f ca="1">IFERROR(__xludf.DUMMYFUNCTION("""COMPUTED_VALUE"""),"""fan_down""")</f>
        <v>"fan_down"</v>
      </c>
      <c r="DS52" s="18" t="str">
        <f ca="1">IFERROR(__xludf.DUMMYFUNCTION("""COMPUTED_VALUE"""),"""change_temp_units""")</f>
        <v>"change_temp_units"</v>
      </c>
      <c r="DT52" s="18" t="str">
        <f ca="1">IFERROR(__xludf.DUMMYFUNCTION("""COMPUTED_VALUE"""),"""leaf""")</f>
        <v>"leaf"</v>
      </c>
      <c r="DU52" s="18" t="str">
        <f ca="1">IFERROR(__xludf.DUMMYFUNCTION("""COMPUTED_VALUE"""),"""backlight""")</f>
        <v>"backlight"</v>
      </c>
      <c r="DV52" s="18" t="str">
        <f ca="1">IFERROR(__xludf.DUMMYFUNCTION("""COMPUTED_VALUE"""),"""DND""")</f>
        <v>"DND"</v>
      </c>
      <c r="DW52" s="18" t="str">
        <f ca="1">IFERROR(__xludf.DUMMYFUNCTION("""COMPUTED_VALUE"""),"""MUR""")</f>
        <v>"MUR"</v>
      </c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</row>
    <row r="53" spans="1:149" ht="15.75" customHeight="1" x14ac:dyDescent="0.25">
      <c r="A53" s="23" t="s">
        <v>112</v>
      </c>
      <c r="B53" s="15">
        <v>12</v>
      </c>
      <c r="C53" s="15" t="s">
        <v>45</v>
      </c>
      <c r="D53" s="16"/>
      <c r="E53" s="15"/>
      <c r="F53" s="15"/>
      <c r="G53" s="15"/>
      <c r="H53" s="17" t="str">
        <f ca="1">IFERROR(__xludf.DUMMYFUNCTION("""COMPUTED_VALUE"""),"x")</f>
        <v>x</v>
      </c>
      <c r="I53" s="15" t="s">
        <v>29</v>
      </c>
      <c r="J53" s="15" t="s">
        <v>29</v>
      </c>
      <c r="K53" s="15" t="s">
        <v>29</v>
      </c>
      <c r="L53" s="15" t="s">
        <v>29</v>
      </c>
      <c r="M53" s="15" t="s">
        <v>29</v>
      </c>
      <c r="N53" s="16"/>
      <c r="O53" s="18" t="s">
        <v>113</v>
      </c>
      <c r="P53" s="19"/>
      <c r="Q53" s="18" t="str">
        <f ca="1">IFERROR(__xludf.DUMMYFUNCTION("""COMPUTED_VALUE"""),"zb -a 0x0201 0xF0E7 12")</f>
        <v>zb -a 0x0201 0xF0E7 12</v>
      </c>
      <c r="R53" s="19"/>
      <c r="S53" s="20" t="str">
        <f ca="1">IFERROR(__xludf.DUMMYFUNCTION("""COMPUTED_VALUE"""),"dehumidification_min_cycle_time,10,260,513,61534,32,10,,,,86400")</f>
        <v>dehumidification_min_cycle_time,10,260,513,61534,32,10,,,,86400</v>
      </c>
      <c r="X53" s="18" t="str">
        <f ca="1">IFERROR(__xludf.DUMMYFUNCTION("""COMPUTED_VALUE"""),"dehumidification_max_cycle_time")</f>
        <v>dehumidification_max_cycle_time</v>
      </c>
      <c r="BL53" s="18" t="str">
        <f ca="1">IFERROR(__xludf.DUMMYFUNCTION("""COMPUTED_VALUE"""),"dry_contact")</f>
        <v>dry_contact</v>
      </c>
      <c r="BM53" s="18" t="str">
        <f ca="1">IFERROR(__xludf.DUMMYFUNCTION("""COMPUTED_VALUE"""),"0x0500")</f>
        <v>0x0500</v>
      </c>
      <c r="BN53" s="18" t="str">
        <f ca="1">IFERROR(__xludf.DUMMYFUNCTION("""COMPUTED_VALUE"""),"0x0002")</f>
        <v>0x0002</v>
      </c>
      <c r="BP53" s="10"/>
      <c r="BR53" s="18" t="str">
        <f ca="1">IFERROR(__xludf.DUMMYFUNCTION("""COMPUTED_VALUE"""),"relay_0_pulse_length")</f>
        <v>relay_0_pulse_length</v>
      </c>
      <c r="BS53" s="18" t="str">
        <f ca="1">IFERROR(__xludf.DUMMYFUNCTION("""COMPUTED_VALUE"""),"0x0201")</f>
        <v>0x0201</v>
      </c>
      <c r="BT53" s="18" t="str">
        <f ca="1">IFERROR(__xludf.DUMMYFUNCTION("""COMPUTED_VALUE"""),"0xF088")</f>
        <v>0xF088</v>
      </c>
      <c r="BU53" s="18" t="str">
        <f ca="1">IFERROR(__xludf.DUMMYFUNCTION("""COMPUTED_VALUE"""),"N/A")</f>
        <v>N/A</v>
      </c>
      <c r="BW53" s="10"/>
      <c r="BY53" s="18" t="str">
        <f ca="1">IFERROR(__xludf.DUMMYFUNCTION("""COMPUTED_VALUE"""),"schedule_configured")</f>
        <v>schedule_configured</v>
      </c>
      <c r="BZ53" s="18" t="str">
        <f ca="1">IFERROR(__xludf.DUMMYFUNCTION("""COMPUTED_VALUE"""),"0x0201")</f>
        <v>0x0201</v>
      </c>
      <c r="CA53" s="18" t="str">
        <f ca="1">IFERROR(__xludf.DUMMYFUNCTION("""COMPUTED_VALUE"""),"0xF110")</f>
        <v>0xF110</v>
      </c>
      <c r="CB53" s="18" t="str">
        <f ca="1">IFERROR(__xludf.DUMMYFUNCTION("""COMPUTED_VALUE"""),"0")</f>
        <v>0</v>
      </c>
      <c r="CC53" s="18" t="str">
        <f ca="1">IFERROR(__xludf.DUMMYFUNCTION("""COMPUTED_VALUE"""),"3600")</f>
        <v>3600</v>
      </c>
      <c r="CD53" s="18" t="str">
        <f ca="1">IFERROR(__xludf.DUMMYFUNCTION("""COMPUTED_VALUE"""),"0")</f>
        <v>0</v>
      </c>
      <c r="CF53" s="10"/>
      <c r="CH53" s="18" t="str">
        <f ca="1">IFERROR(__xludf.DUMMYFUNCTION("""COMPUTED_VALUE"""),"aquastat_changeover_min_period")</f>
        <v>aquastat_changeover_min_period</v>
      </c>
      <c r="CI53" s="18" t="str">
        <f ca="1">IFERROR(__xludf.DUMMYFUNCTION("""COMPUTED_VALUE"""),"0x0201")</f>
        <v>0x0201</v>
      </c>
      <c r="CJ53" s="18" t="str">
        <f ca="1">IFERROR(__xludf.DUMMYFUNCTION("""COMPUTED_VALUE"""),"0xF0A4")</f>
        <v>0xF0A4</v>
      </c>
      <c r="CK53" s="18" t="str">
        <f ca="1">IFERROR(__xludf.DUMMYFUNCTION("""COMPUTED_VALUE"""),"86400")</f>
        <v>86400</v>
      </c>
      <c r="CM53" s="10"/>
      <c r="CP53" s="18" t="str">
        <f ca="1"/>
        <v/>
      </c>
      <c r="CQ53" s="18" t="str">
        <f ca="1"/>
        <v/>
      </c>
      <c r="CR53" s="18" t="str">
        <f ca="1"/>
        <v/>
      </c>
      <c r="CS53" s="18" t="str">
        <f ca="1"/>
        <v/>
      </c>
      <c r="CT53" s="18" t="str">
        <f ca="1"/>
        <v/>
      </c>
      <c r="CV53" s="10"/>
      <c r="CX53" s="18" t="str">
        <f ca="1">IFERROR(__xludf.DUMMYFUNCTION("""COMPUTED_VALUE"""),"aquastat_heated_modes_available")</f>
        <v>aquastat_heated_modes_available</v>
      </c>
      <c r="CY53" s="18" t="str">
        <f ca="1"/>
        <v>0x0201</v>
      </c>
      <c r="CZ53" s="18" t="str">
        <f ca="1"/>
        <v>0xF0A6</v>
      </c>
      <c r="DA53" s="18" t="str">
        <f ca="1"/>
        <v>86400</v>
      </c>
      <c r="DC53" s="10"/>
      <c r="DE53" s="18" t="str">
        <f ca="1">IFERROR(__xludf.DUMMYFUNCTION("""COMPUTED_VALUE"""),"push_button_config_key_5")</f>
        <v>push_button_config_key_5</v>
      </c>
      <c r="DF53" s="18" t="str">
        <f ca="1">IFERROR(__xludf.DUMMYFUNCTION("""COMPUTED_VALUE"""),"0xFC05")</f>
        <v>0xFC05</v>
      </c>
      <c r="DG53" s="18" t="str">
        <f ca="1">IFERROR(__xludf.DUMMYFUNCTION("""COMPUTED_VALUE"""),"0x002C")</f>
        <v>0x002C</v>
      </c>
      <c r="DH53" s="18" t="str">
        <f ca="1">IFERROR(__xludf.DUMMYFUNCTION("""COMPUTED_VALUE"""),"""none""")</f>
        <v>"none"</v>
      </c>
      <c r="DI53" s="18" t="str">
        <f ca="1">IFERROR(__xludf.DUMMYFUNCTION("""COMPUTED_VALUE"""),"""up_arrow""")</f>
        <v>"up_arrow"</v>
      </c>
      <c r="DJ53" s="18" t="str">
        <f ca="1">IFERROR(__xludf.DUMMYFUNCTION("""COMPUTED_VALUE"""),"""down_arrow""")</f>
        <v>"down_arrow"</v>
      </c>
      <c r="DK53" s="18" t="str">
        <f ca="1">IFERROR(__xludf.DUMMYFUNCTION("""COMPUTED_VALUE"""),"""on_off""")</f>
        <v>"on_off"</v>
      </c>
      <c r="DL53" s="18" t="str">
        <f ca="1">IFERROR(__xludf.DUMMYFUNCTION("""COMPUTED_VALUE"""),"""cycle_modes""")</f>
        <v>"cycle_modes"</v>
      </c>
      <c r="DM53" s="18" t="str">
        <f ca="1">IFERROR(__xludf.DUMMYFUNCTION("""COMPUTED_VALUE"""),"""heat""")</f>
        <v>"heat"</v>
      </c>
      <c r="DN53" s="18" t="str">
        <f ca="1">IFERROR(__xludf.DUMMYFUNCTION("""COMPUTED_VALUE"""),"""cool""")</f>
        <v>"cool"</v>
      </c>
      <c r="DO53" s="18" t="str">
        <f ca="1">IFERROR(__xludf.DUMMYFUNCTION("""COMPUTED_VALUE"""),"""auto""")</f>
        <v>"auto"</v>
      </c>
      <c r="DP53" s="18" t="str">
        <f ca="1">IFERROR(__xludf.DUMMYFUNCTION("""COMPUTED_VALUE"""),"""cycle_fan""")</f>
        <v>"cycle_fan"</v>
      </c>
      <c r="DQ53" s="18" t="str">
        <f ca="1">IFERROR(__xludf.DUMMYFUNCTION("""COMPUTED_VALUE"""),"""fan_up""")</f>
        <v>"fan_up"</v>
      </c>
      <c r="DR53" s="18" t="str">
        <f ca="1">IFERROR(__xludf.DUMMYFUNCTION("""COMPUTED_VALUE"""),"""fan_down""")</f>
        <v>"fan_down"</v>
      </c>
      <c r="DS53" s="18" t="str">
        <f ca="1">IFERROR(__xludf.DUMMYFUNCTION("""COMPUTED_VALUE"""),"""change_temp_units""")</f>
        <v>"change_temp_units"</v>
      </c>
      <c r="DT53" s="18" t="str">
        <f ca="1">IFERROR(__xludf.DUMMYFUNCTION("""COMPUTED_VALUE"""),"""leaf""")</f>
        <v>"leaf"</v>
      </c>
      <c r="DU53" s="18" t="str">
        <f ca="1">IFERROR(__xludf.DUMMYFUNCTION("""COMPUTED_VALUE"""),"""backlight""")</f>
        <v>"backlight"</v>
      </c>
      <c r="DV53" s="18" t="str">
        <f ca="1">IFERROR(__xludf.DUMMYFUNCTION("""COMPUTED_VALUE"""),"""DND""")</f>
        <v>"DND"</v>
      </c>
      <c r="DW53" s="18" t="str">
        <f ca="1">IFERROR(__xludf.DUMMYFUNCTION("""COMPUTED_VALUE"""),"""MUR""")</f>
        <v>"MUR"</v>
      </c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</row>
    <row r="54" spans="1:149" ht="15.75" customHeight="1" x14ac:dyDescent="0.25">
      <c r="A54" s="15" t="s">
        <v>114</v>
      </c>
      <c r="B54" s="15" t="b">
        <v>1</v>
      </c>
      <c r="C54" s="15"/>
      <c r="D54" s="16"/>
      <c r="E54" s="15"/>
      <c r="F54" s="15"/>
      <c r="G54" s="15"/>
      <c r="H54" s="17" t="str">
        <f ca="1">IFERROR(__xludf.DUMMYFUNCTION("""COMPUTED_VALUE"""),"x")</f>
        <v>x</v>
      </c>
      <c r="I54" s="15" t="s">
        <v>29</v>
      </c>
      <c r="J54" s="15" t="s">
        <v>29</v>
      </c>
      <c r="K54" s="15" t="s">
        <v>29</v>
      </c>
      <c r="L54" s="15" t="s">
        <v>29</v>
      </c>
      <c r="M54" s="15" t="s">
        <v>29</v>
      </c>
      <c r="N54" s="16"/>
      <c r="O54" s="18" t="s">
        <v>115</v>
      </c>
      <c r="P54" s="19"/>
      <c r="Q54" s="18" t="str">
        <f ca="1">IFERROR(__xludf.DUMMYFUNCTION("""COMPUTED_VALUE"""),"zb -a 0x0201 0xF0F9 1")</f>
        <v>zb -a 0x0201 0xF0F9 1</v>
      </c>
      <c r="R54" s="19"/>
      <c r="S54" s="20" t="str">
        <f ca="1">IFERROR(__xludf.DUMMYFUNCTION("""COMPUTED_VALUE"""),"dehumidification_option,10,260,513,61543,48,0,,,,86400")</f>
        <v>dehumidification_option,10,260,513,61543,48,0,,,,86400</v>
      </c>
      <c r="X54" s="18" t="str">
        <f ca="1">IFERROR(__xludf.DUMMYFUNCTION("""COMPUTED_VALUE"""),"dehumidification_min_cycle_time")</f>
        <v>dehumidification_min_cycle_time</v>
      </c>
      <c r="BL54" s="18" t="str">
        <f ca="1">IFERROR(__xludf.DUMMYFUNCTION("""COMPUTED_VALUE"""),"device_type")</f>
        <v>device_type</v>
      </c>
      <c r="BM54" s="18" t="str">
        <f ca="1">IFERROR(__xludf.DUMMYFUNCTION("""COMPUTED_VALUE"""),"0xFC00")</f>
        <v>0xFC00</v>
      </c>
      <c r="BN54" s="18" t="str">
        <f ca="1">IFERROR(__xludf.DUMMYFUNCTION("""COMPUTED_VALUE"""),"0x0000")</f>
        <v>0x0000</v>
      </c>
      <c r="BP54" s="10"/>
      <c r="BR54" s="18" t="str">
        <f ca="1">IFERROR(__xludf.DUMMYFUNCTION("""COMPUTED_VALUE"""),"relay_1_pulse_length")</f>
        <v>relay_1_pulse_length</v>
      </c>
      <c r="BS54" s="18" t="str">
        <f ca="1">IFERROR(__xludf.DUMMYFUNCTION("""COMPUTED_VALUE"""),"0x0201")</f>
        <v>0x0201</v>
      </c>
      <c r="BT54" s="18" t="str">
        <f ca="1">IFERROR(__xludf.DUMMYFUNCTION("""COMPUTED_VALUE"""),"0xF089")</f>
        <v>0xF089</v>
      </c>
      <c r="BU54" s="18" t="str">
        <f ca="1">IFERROR(__xludf.DUMMYFUNCTION("""COMPUTED_VALUE"""),"N/A")</f>
        <v>N/A</v>
      </c>
      <c r="BW54" s="10"/>
      <c r="BY54" s="18" t="str">
        <f ca="1">IFERROR(__xludf.DUMMYFUNCTION("""COMPUTED_VALUE"""),"schedule_paused")</f>
        <v>schedule_paused</v>
      </c>
      <c r="BZ54" s="18" t="str">
        <f ca="1">IFERROR(__xludf.DUMMYFUNCTION("""COMPUTED_VALUE"""),"0x0201")</f>
        <v>0x0201</v>
      </c>
      <c r="CA54" s="18" t="str">
        <f ca="1">IFERROR(__xludf.DUMMYFUNCTION("""COMPUTED_VALUE"""),"0xF111")</f>
        <v>0xF111</v>
      </c>
      <c r="CB54" s="18" t="str">
        <f ca="1">IFERROR(__xludf.DUMMYFUNCTION("""COMPUTED_VALUE"""),"0")</f>
        <v>0</v>
      </c>
      <c r="CC54" s="18" t="str">
        <f ca="1">IFERROR(__xludf.DUMMYFUNCTION("""COMPUTED_VALUE"""),"3600")</f>
        <v>3600</v>
      </c>
      <c r="CD54" s="18" t="str">
        <f ca="1">IFERROR(__xludf.DUMMYFUNCTION("""COMPUTED_VALUE"""),"0")</f>
        <v>0</v>
      </c>
      <c r="CF54" s="10"/>
      <c r="CH54" s="18" t="str">
        <f ca="1">IFERROR(__xludf.DUMMYFUNCTION("""COMPUTED_VALUE"""),"aquastat_chilled_modes_available")</f>
        <v>aquastat_chilled_modes_available</v>
      </c>
      <c r="CI54" s="18" t="str">
        <f ca="1">IFERROR(__xludf.DUMMYFUNCTION("""COMPUTED_VALUE"""),"0x0201")</f>
        <v>0x0201</v>
      </c>
      <c r="CJ54" s="18" t="str">
        <f ca="1">IFERROR(__xludf.DUMMYFUNCTION("""COMPUTED_VALUE"""),"0xF0A5")</f>
        <v>0xF0A5</v>
      </c>
      <c r="CK54" s="18" t="str">
        <f ca="1">IFERROR(__xludf.DUMMYFUNCTION("""COMPUTED_VALUE"""),"86400")</f>
        <v>86400</v>
      </c>
      <c r="CM54" s="10"/>
      <c r="CP54" s="18" t="str">
        <f ca="1"/>
        <v/>
      </c>
      <c r="CQ54" s="18" t="str">
        <f ca="1"/>
        <v/>
      </c>
      <c r="CR54" s="18" t="str">
        <f ca="1"/>
        <v/>
      </c>
      <c r="CS54" s="18" t="str">
        <f ca="1"/>
        <v/>
      </c>
      <c r="CT54" s="18" t="str">
        <f ca="1"/>
        <v/>
      </c>
      <c r="CV54" s="10"/>
      <c r="CX54" s="18" t="str">
        <f ca="1">IFERROR(__xludf.DUMMYFUNCTION("""COMPUTED_VALUE"""),"aquastat_chilled_changeover_mode")</f>
        <v>aquastat_chilled_changeover_mode</v>
      </c>
      <c r="CY54" s="18" t="str">
        <f ca="1"/>
        <v>0x0201</v>
      </c>
      <c r="CZ54" s="18" t="str">
        <f ca="1"/>
        <v>0xF0A7</v>
      </c>
      <c r="DA54" s="18" t="str">
        <f ca="1"/>
        <v>86400</v>
      </c>
      <c r="DC54" s="10"/>
      <c r="DE54" s="18" t="str">
        <f ca="1">IFERROR(__xludf.DUMMYFUNCTION("""COMPUTED_VALUE"""),"push_button_config_key_6")</f>
        <v>push_button_config_key_6</v>
      </c>
      <c r="DF54" s="18" t="str">
        <f ca="1">IFERROR(__xludf.DUMMYFUNCTION("""COMPUTED_VALUE"""),"0xFC05")</f>
        <v>0xFC05</v>
      </c>
      <c r="DG54" s="18" t="str">
        <f ca="1">IFERROR(__xludf.DUMMYFUNCTION("""COMPUTED_VALUE"""),"0x002D")</f>
        <v>0x002D</v>
      </c>
      <c r="DH54" s="18" t="str">
        <f ca="1">IFERROR(__xludf.DUMMYFUNCTION("""COMPUTED_VALUE"""),"""none""")</f>
        <v>"none"</v>
      </c>
      <c r="DI54" s="18" t="str">
        <f ca="1">IFERROR(__xludf.DUMMYFUNCTION("""COMPUTED_VALUE"""),"""up_arrow""")</f>
        <v>"up_arrow"</v>
      </c>
      <c r="DJ54" s="18" t="str">
        <f ca="1">IFERROR(__xludf.DUMMYFUNCTION("""COMPUTED_VALUE"""),"""down_arrow""")</f>
        <v>"down_arrow"</v>
      </c>
      <c r="DK54" s="18" t="str">
        <f ca="1">IFERROR(__xludf.DUMMYFUNCTION("""COMPUTED_VALUE"""),"""on_off""")</f>
        <v>"on_off"</v>
      </c>
      <c r="DL54" s="18" t="str">
        <f ca="1">IFERROR(__xludf.DUMMYFUNCTION("""COMPUTED_VALUE"""),"""cycle_modes""")</f>
        <v>"cycle_modes"</v>
      </c>
      <c r="DM54" s="18" t="str">
        <f ca="1">IFERROR(__xludf.DUMMYFUNCTION("""COMPUTED_VALUE"""),"""heat""")</f>
        <v>"heat"</v>
      </c>
      <c r="DN54" s="18" t="str">
        <f ca="1">IFERROR(__xludf.DUMMYFUNCTION("""COMPUTED_VALUE"""),"""cool""")</f>
        <v>"cool"</v>
      </c>
      <c r="DO54" s="18" t="str">
        <f ca="1">IFERROR(__xludf.DUMMYFUNCTION("""COMPUTED_VALUE"""),"""auto""")</f>
        <v>"auto"</v>
      </c>
      <c r="DP54" s="18" t="str">
        <f ca="1">IFERROR(__xludf.DUMMYFUNCTION("""COMPUTED_VALUE"""),"""cycle_fan""")</f>
        <v>"cycle_fan"</v>
      </c>
      <c r="DQ54" s="18" t="str">
        <f ca="1">IFERROR(__xludf.DUMMYFUNCTION("""COMPUTED_VALUE"""),"""fan_up""")</f>
        <v>"fan_up"</v>
      </c>
      <c r="DR54" s="18" t="str">
        <f ca="1">IFERROR(__xludf.DUMMYFUNCTION("""COMPUTED_VALUE"""),"""fan_down""")</f>
        <v>"fan_down"</v>
      </c>
      <c r="DS54" s="18" t="str">
        <f ca="1">IFERROR(__xludf.DUMMYFUNCTION("""COMPUTED_VALUE"""),"""change_temp_units""")</f>
        <v>"change_temp_units"</v>
      </c>
      <c r="DT54" s="18" t="str">
        <f ca="1">IFERROR(__xludf.DUMMYFUNCTION("""COMPUTED_VALUE"""),"""leaf""")</f>
        <v>"leaf"</v>
      </c>
      <c r="DU54" s="18" t="str">
        <f ca="1">IFERROR(__xludf.DUMMYFUNCTION("""COMPUTED_VALUE"""),"""backlight""")</f>
        <v>"backlight"</v>
      </c>
      <c r="DV54" s="18" t="str">
        <f ca="1">IFERROR(__xludf.DUMMYFUNCTION("""COMPUTED_VALUE"""),"""DND""")</f>
        <v>"DND"</v>
      </c>
      <c r="DW54" s="18" t="str">
        <f ca="1">IFERROR(__xludf.DUMMYFUNCTION("""COMPUTED_VALUE"""),"""MUR""")</f>
        <v>"MUR"</v>
      </c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</row>
    <row r="55" spans="1:149" ht="15.75" customHeight="1" x14ac:dyDescent="0.25">
      <c r="A55" s="15" t="s">
        <v>116</v>
      </c>
      <c r="B55" s="29">
        <v>0.375</v>
      </c>
      <c r="C55" s="15"/>
      <c r="D55" s="16"/>
      <c r="E55" s="15"/>
      <c r="F55" s="15"/>
      <c r="G55" s="15"/>
      <c r="H55" s="17" t="str">
        <f ca="1">IFERROR(__xludf.DUMMYFUNCTION("""COMPUTED_VALUE"""),"x")</f>
        <v>x</v>
      </c>
      <c r="I55" s="15" t="s">
        <v>29</v>
      </c>
      <c r="J55" s="15" t="s">
        <v>29</v>
      </c>
      <c r="K55" s="15" t="s">
        <v>29</v>
      </c>
      <c r="L55" s="15" t="s">
        <v>29</v>
      </c>
      <c r="M55" s="15" t="s">
        <v>29</v>
      </c>
      <c r="N55" s="16"/>
      <c r="O55" s="18" t="s">
        <v>117</v>
      </c>
      <c r="P55" s="19"/>
      <c r="Q55" s="18" t="str">
        <f ca="1">IFERROR(__xludf.DUMMYFUNCTION("""COMPUTED_VALUE"""),"zb -a 0x0201 0xF0F7 540")</f>
        <v>zb -a 0x0201 0xF0F7 540</v>
      </c>
      <c r="R55" s="19"/>
      <c r="S55" s="20" t="str">
        <f ca="1">IFERROR(__xludf.DUMMYFUNCTION("""COMPUTED_VALUE"""),"dehumidification_overdrive_temp_max,10,260,513,61532,33,56,,,,86400")</f>
        <v>dehumidification_overdrive_temp_max,10,260,513,61532,33,56,,,,86400</v>
      </c>
      <c r="X55" s="18" t="str">
        <f ca="1">IFERROR(__xludf.DUMMYFUNCTION("""COMPUTED_VALUE"""),"dehumidification_option")</f>
        <v>dehumidification_option</v>
      </c>
      <c r="BL55" s="18" t="str">
        <f ca="1">IFERROR(__xludf.DUMMYFUNCTION("""COMPUTED_VALUE"""),"device_subtype")</f>
        <v>device_subtype</v>
      </c>
      <c r="BM55" s="18" t="str">
        <f ca="1">IFERROR(__xludf.DUMMYFUNCTION("""COMPUTED_VALUE"""),"0xFC00")</f>
        <v>0xFC00</v>
      </c>
      <c r="BN55" s="18" t="str">
        <f ca="1">IFERROR(__xludf.DUMMYFUNCTION("""COMPUTED_VALUE"""),"0x0001")</f>
        <v>0x0001</v>
      </c>
      <c r="BP55" s="10"/>
      <c r="BR55" s="18" t="str">
        <f ca="1">IFERROR(__xludf.DUMMYFUNCTION("""COMPUTED_VALUE"""),"relay_2_pulse_length")</f>
        <v>relay_2_pulse_length</v>
      </c>
      <c r="BS55" s="18" t="str">
        <f ca="1">IFERROR(__xludf.DUMMYFUNCTION("""COMPUTED_VALUE"""),"0x0201")</f>
        <v>0x0201</v>
      </c>
      <c r="BT55" s="18" t="str">
        <f ca="1">IFERROR(__xludf.DUMMYFUNCTION("""COMPUTED_VALUE"""),"0xF08A")</f>
        <v>0xF08A</v>
      </c>
      <c r="BU55" s="18" t="str">
        <f ca="1">IFERROR(__xludf.DUMMYFUNCTION("""COMPUTED_VALUE"""),"N/A")</f>
        <v>N/A</v>
      </c>
      <c r="BW55" s="10"/>
      <c r="BY55" s="18" t="str">
        <f ca="1">IFERROR(__xludf.DUMMYFUNCTION("""COMPUTED_VALUE"""),"schedule_serial_number")</f>
        <v>schedule_serial_number</v>
      </c>
      <c r="BZ55" s="18" t="str">
        <f ca="1">IFERROR(__xludf.DUMMYFUNCTION("""COMPUTED_VALUE"""),"0x0201")</f>
        <v>0x0201</v>
      </c>
      <c r="CA55" s="18" t="str">
        <f ca="1">IFERROR(__xludf.DUMMYFUNCTION("""COMPUTED_VALUE"""),"0xF112")</f>
        <v>0xF112</v>
      </c>
      <c r="CB55" s="18" t="str">
        <f ca="1">IFERROR(__xludf.DUMMYFUNCTION("""COMPUTED_VALUE"""),"0")</f>
        <v>0</v>
      </c>
      <c r="CC55" s="18" t="str">
        <f ca="1">IFERROR(__xludf.DUMMYFUNCTION("""COMPUTED_VALUE"""),"3600")</f>
        <v>3600</v>
      </c>
      <c r="CD55" s="18" t="str">
        <f ca="1">IFERROR(__xludf.DUMMYFUNCTION("""COMPUTED_VALUE"""),"0")</f>
        <v>0</v>
      </c>
      <c r="CF55" s="10"/>
      <c r="CH55" s="18" t="str">
        <f ca="1">IFERROR(__xludf.DUMMYFUNCTION("""COMPUTED_VALUE"""),"aquastat_heated_modes_available")</f>
        <v>aquastat_heated_modes_available</v>
      </c>
      <c r="CI55" s="18" t="str">
        <f ca="1">IFERROR(__xludf.DUMMYFUNCTION("""COMPUTED_VALUE"""),"0x0201")</f>
        <v>0x0201</v>
      </c>
      <c r="CJ55" s="18" t="str">
        <f ca="1">IFERROR(__xludf.DUMMYFUNCTION("""COMPUTED_VALUE"""),"0xF0A6")</f>
        <v>0xF0A6</v>
      </c>
      <c r="CK55" s="18" t="str">
        <f ca="1">IFERROR(__xludf.DUMMYFUNCTION("""COMPUTED_VALUE"""),"86400")</f>
        <v>86400</v>
      </c>
      <c r="CM55" s="10"/>
      <c r="CP55" s="18" t="str">
        <f ca="1"/>
        <v/>
      </c>
      <c r="CQ55" s="18" t="str">
        <f ca="1"/>
        <v/>
      </c>
      <c r="CR55" s="18" t="str">
        <f ca="1"/>
        <v/>
      </c>
      <c r="CS55" s="18" t="str">
        <f ca="1"/>
        <v/>
      </c>
      <c r="CT55" s="18" t="str">
        <f ca="1"/>
        <v/>
      </c>
      <c r="CV55" s="10"/>
      <c r="CX55" s="18" t="str">
        <f ca="1">IFERROR(__xludf.DUMMYFUNCTION("""COMPUTED_VALUE"""),"aquastat_heated_changeover_mode")</f>
        <v>aquastat_heated_changeover_mode</v>
      </c>
      <c r="CY55" s="18" t="str">
        <f ca="1"/>
        <v>0x0201</v>
      </c>
      <c r="CZ55" s="18" t="str">
        <f ca="1"/>
        <v>0xF0A8</v>
      </c>
      <c r="DA55" s="18" t="str">
        <f ca="1"/>
        <v>86400</v>
      </c>
      <c r="DC55" s="10"/>
      <c r="DE55" s="18" t="str">
        <f ca="1">IFERROR(__xludf.DUMMYFUNCTION("""COMPUTED_VALUE"""),"leaf_button_function")</f>
        <v>leaf_button_function</v>
      </c>
      <c r="DF55" s="18" t="str">
        <f ca="1">IFERROR(__xludf.DUMMYFUNCTION("""COMPUTED_VALUE"""),"0xFC05")</f>
        <v>0xFC05</v>
      </c>
      <c r="DG55" s="18" t="str">
        <f ca="1">IFERROR(__xludf.DUMMYFUNCTION("""COMPUTED_VALUE"""),"0x0031")</f>
        <v>0x0031</v>
      </c>
      <c r="DH55" s="18" t="str">
        <f ca="1">IFERROR(__xludf.DUMMYFUNCTION("""COMPUTED_VALUE"""),"""smart_away""")</f>
        <v>"smart_away"</v>
      </c>
      <c r="DI55" s="18" t="str">
        <f ca="1">IFERROR(__xludf.DUMMYFUNCTION("""COMPUTED_VALUE"""),"""green_mode""")</f>
        <v>"green_mode"</v>
      </c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</row>
    <row r="56" spans="1:149" ht="15.75" customHeight="1" x14ac:dyDescent="0.25">
      <c r="A56" s="15" t="s">
        <v>118</v>
      </c>
      <c r="B56" s="30">
        <v>0.83333333333333337</v>
      </c>
      <c r="C56" s="15"/>
      <c r="D56" s="16"/>
      <c r="E56" s="15"/>
      <c r="F56" s="15"/>
      <c r="G56" s="15"/>
      <c r="H56" s="17" t="str">
        <f ca="1">IFERROR(__xludf.DUMMYFUNCTION("""COMPUTED_VALUE"""),"x")</f>
        <v>x</v>
      </c>
      <c r="I56" s="15" t="s">
        <v>29</v>
      </c>
      <c r="J56" s="15" t="s">
        <v>29</v>
      </c>
      <c r="K56" s="15" t="s">
        <v>29</v>
      </c>
      <c r="L56" s="15" t="s">
        <v>29</v>
      </c>
      <c r="M56" s="15" t="s">
        <v>29</v>
      </c>
      <c r="N56" s="16"/>
      <c r="O56" s="18" t="s">
        <v>119</v>
      </c>
      <c r="P56" s="19"/>
      <c r="Q56" s="18" t="str">
        <f ca="1">IFERROR(__xludf.DUMMYFUNCTION("""COMPUTED_VALUE"""),"zb -a 0x0201 0xF0F8 1200")</f>
        <v>zb -a 0x0201 0xF0F8 1200</v>
      </c>
      <c r="R56" s="19"/>
      <c r="S56" s="20" t="str">
        <f ca="1">IFERROR(__xludf.DUMMYFUNCTION("""COMPUTED_VALUE"""),"dehumidification_second_stage_threshold,10,260,513,61533,33,0,,,,86400")</f>
        <v>dehumidification_second_stage_threshold,10,260,513,61533,33,0,,,,86400</v>
      </c>
      <c r="X56" s="18" t="str">
        <f ca="1">IFERROR(__xludf.DUMMYFUNCTION("""COMPUTED_VALUE"""),"dehumidification_overdrive_temp_max")</f>
        <v>dehumidification_overdrive_temp_max</v>
      </c>
      <c r="BL56" s="18" t="str">
        <f ca="1">IFERROR(__xludf.DUMMYFUNCTION("""COMPUTED_VALUE"""),"serial_number")</f>
        <v>serial_number</v>
      </c>
      <c r="BM56" s="18" t="str">
        <f ca="1">IFERROR(__xludf.DUMMYFUNCTION("""COMPUTED_VALUE"""),"0xFC04")</f>
        <v>0xFC04</v>
      </c>
      <c r="BN56" s="18" t="str">
        <f ca="1">IFERROR(__xludf.DUMMYFUNCTION("""COMPUTED_VALUE"""),"0x0002")</f>
        <v>0x0002</v>
      </c>
      <c r="BP56" s="10"/>
      <c r="BR56" s="18" t="str">
        <f ca="1">IFERROR(__xludf.DUMMYFUNCTION("""COMPUTED_VALUE"""),"relay_3_pulse_length")</f>
        <v>relay_3_pulse_length</v>
      </c>
      <c r="BS56" s="18" t="str">
        <f ca="1">IFERROR(__xludf.DUMMYFUNCTION("""COMPUTED_VALUE"""),"0x0201")</f>
        <v>0x0201</v>
      </c>
      <c r="BT56" s="18" t="str">
        <f ca="1">IFERROR(__xludf.DUMMYFUNCTION("""COMPUTED_VALUE"""),"0xF08B")</f>
        <v>0xF08B</v>
      </c>
      <c r="BU56" s="18" t="str">
        <f ca="1">IFERROR(__xludf.DUMMYFUNCTION("""COMPUTED_VALUE"""),"N/A")</f>
        <v>N/A</v>
      </c>
      <c r="BW56" s="10"/>
      <c r="BY56" s="18" t="str">
        <f ca="1">IFERROR(__xludf.DUMMYFUNCTION("""COMPUTED_VALUE"""),"ventilation_engaged")</f>
        <v>ventilation_engaged</v>
      </c>
      <c r="BZ56" s="18" t="str">
        <f ca="1">IFERROR(__xludf.DUMMYFUNCTION("""COMPUTED_VALUE"""),"0x0201")</f>
        <v>0x0201</v>
      </c>
      <c r="CA56" s="18" t="str">
        <f ca="1">IFERROR(__xludf.DUMMYFUNCTION("""COMPUTED_VALUE"""),"0xF149")</f>
        <v>0xF149</v>
      </c>
      <c r="CB56" s="18" t="str">
        <f ca="1">IFERROR(__xludf.DUMMYFUNCTION("""COMPUTED_VALUE"""),"0")</f>
        <v>0</v>
      </c>
      <c r="CC56" s="18" t="str">
        <f ca="1">IFERROR(__xludf.DUMMYFUNCTION("""COMPUTED_VALUE"""),"3600")</f>
        <v>3600</v>
      </c>
      <c r="CD56" s="18" t="str">
        <f ca="1">IFERROR(__xludf.DUMMYFUNCTION("""COMPUTED_VALUE"""),"0")</f>
        <v>0</v>
      </c>
      <c r="CF56" s="10"/>
      <c r="CH56" s="18" t="str">
        <f ca="1">IFERROR(__xludf.DUMMYFUNCTION("""COMPUTED_VALUE"""),"aquastat_chilled_changeover_mode")</f>
        <v>aquastat_chilled_changeover_mode</v>
      </c>
      <c r="CI56" s="18" t="str">
        <f ca="1">IFERROR(__xludf.DUMMYFUNCTION("""COMPUTED_VALUE"""),"0x0201")</f>
        <v>0x0201</v>
      </c>
      <c r="CJ56" s="18" t="str">
        <f ca="1">IFERROR(__xludf.DUMMYFUNCTION("""COMPUTED_VALUE"""),"0xF0A7")</f>
        <v>0xF0A7</v>
      </c>
      <c r="CK56" s="18" t="str">
        <f ca="1">IFERROR(__xludf.DUMMYFUNCTION("""COMPUTED_VALUE"""),"86400")</f>
        <v>86400</v>
      </c>
      <c r="CM56" s="10"/>
      <c r="CP56" s="18" t="str">
        <f ca="1"/>
        <v/>
      </c>
      <c r="CQ56" s="18" t="str">
        <f ca="1"/>
        <v/>
      </c>
      <c r="CR56" s="18" t="str">
        <f ca="1"/>
        <v/>
      </c>
      <c r="CS56" s="18" t="str">
        <f ca="1"/>
        <v/>
      </c>
      <c r="CT56" s="18" t="str">
        <f ca="1"/>
        <v/>
      </c>
      <c r="CV56" s="10"/>
      <c r="CX56" s="18" t="str">
        <f ca="1">IFERROR(__xludf.DUMMYFUNCTION("""COMPUTED_VALUE"""),"lanai_enabled")</f>
        <v>lanai_enabled</v>
      </c>
      <c r="CY56" s="18" t="str">
        <f ca="1"/>
        <v>0x0201</v>
      </c>
      <c r="CZ56" s="18" t="str">
        <f ca="1"/>
        <v>0xF0B0</v>
      </c>
      <c r="DA56" s="18" t="str">
        <f ca="1"/>
        <v>86400</v>
      </c>
      <c r="DC56" s="10"/>
    </row>
    <row r="57" spans="1:149" ht="15.75" customHeight="1" x14ac:dyDescent="0.25">
      <c r="A57" s="15" t="s">
        <v>120</v>
      </c>
      <c r="B57" s="15" t="b">
        <v>0</v>
      </c>
      <c r="C57" s="15"/>
      <c r="D57" s="16"/>
      <c r="E57" s="15"/>
      <c r="F57" s="15"/>
      <c r="G57" s="15"/>
      <c r="H57" s="17" t="str">
        <f ca="1">IFERROR(__xludf.DUMMYFUNCTION("""COMPUTED_VALUE"""),"x")</f>
        <v>x</v>
      </c>
      <c r="I57" s="15" t="s">
        <v>29</v>
      </c>
      <c r="J57" s="15" t="s">
        <v>29</v>
      </c>
      <c r="K57" s="15" t="s">
        <v>29</v>
      </c>
      <c r="L57" s="15" t="s">
        <v>29</v>
      </c>
      <c r="M57" s="15" t="s">
        <v>29</v>
      </c>
      <c r="N57" s="16"/>
      <c r="O57" s="18" t="s">
        <v>121</v>
      </c>
      <c r="P57" s="19"/>
      <c r="Q57" s="18" t="str">
        <f ca="1">IFERROR(__xludf.DUMMYFUNCTION("""COMPUTED_VALUE"""),"zb -a 0x0201 0xF0FA 0")</f>
        <v>zb -a 0x0201 0xF0FA 0</v>
      </c>
      <c r="R57" s="19"/>
      <c r="S57" s="20" t="str">
        <f ca="1">IFERROR(__xludf.DUMMYFUNCTION("""COMPUTED_VALUE"""),"dehumidification_second_stage_timeout,10,260,513,61557,32,20,,,,86400")</f>
        <v>dehumidification_second_stage_timeout,10,260,513,61557,32,20,,,,86400</v>
      </c>
      <c r="X57" s="18" t="str">
        <f ca="1">IFERROR(__xludf.DUMMYFUNCTION("""COMPUTED_VALUE"""),"dehumidification_second_stage_threshold")</f>
        <v>dehumidification_second_stage_threshold</v>
      </c>
      <c r="BL57" s="18" t="str">
        <f ca="1">IFERROR(__xludf.DUMMYFUNCTION("""COMPUTED_VALUE"""),"timedout_devices")</f>
        <v>timedout_devices</v>
      </c>
      <c r="BM57" s="18" t="str">
        <f ca="1">IFERROR(__xludf.DUMMYFUNCTION("""COMPUTED_VALUE"""),"0xFC12")</f>
        <v>0xFC12</v>
      </c>
      <c r="BN57" s="18" t="str">
        <f ca="1">IFERROR(__xludf.DUMMYFUNCTION("""COMPUTED_VALUE"""),"0xF000")</f>
        <v>0xF000</v>
      </c>
      <c r="BP57" s="10"/>
      <c r="BR57" s="18" t="str">
        <f ca="1">IFERROR(__xludf.DUMMYFUNCTION("""COMPUTED_VALUE"""),"relay_4_pulse_length")</f>
        <v>relay_4_pulse_length</v>
      </c>
      <c r="BS57" s="18" t="str">
        <f ca="1">IFERROR(__xludf.DUMMYFUNCTION("""COMPUTED_VALUE"""),"0x0201")</f>
        <v>0x0201</v>
      </c>
      <c r="BT57" s="18" t="str">
        <f ca="1">IFERROR(__xludf.DUMMYFUNCTION("""COMPUTED_VALUE"""),"0xF08C")</f>
        <v>0xF08C</v>
      </c>
      <c r="BU57" s="18" t="str">
        <f ca="1">IFERROR(__xludf.DUMMYFUNCTION("""COMPUTED_VALUE"""),"N/A")</f>
        <v>N/A</v>
      </c>
      <c r="BW57" s="10"/>
      <c r="BY57" s="18" t="str">
        <f ca="1">IFERROR(__xludf.DUMMYFUNCTION("""COMPUTED_VALUE"""),"dew_point_target")</f>
        <v>dew_point_target</v>
      </c>
      <c r="BZ57" s="18" t="str">
        <f ca="1">IFERROR(__xludf.DUMMYFUNCTION("""COMPUTED_VALUE"""),"0x0201")</f>
        <v>0x0201</v>
      </c>
      <c r="CA57" s="18" t="str">
        <f ca="1">IFERROR(__xludf.DUMMYFUNCTION("""COMPUTED_VALUE"""),"0xF158")</f>
        <v>0xF158</v>
      </c>
      <c r="CB57" s="18" t="str">
        <f ca="1">IFERROR(__xludf.DUMMYFUNCTION("""COMPUTED_VALUE"""),"0")</f>
        <v>0</v>
      </c>
      <c r="CC57" s="18" t="str">
        <f ca="1">IFERROR(__xludf.DUMMYFUNCTION("""COMPUTED_VALUE"""),"3600")</f>
        <v>3600</v>
      </c>
      <c r="CD57" s="18" t="str">
        <f ca="1">IFERROR(__xludf.DUMMYFUNCTION("""COMPUTED_VALUE"""),"0")</f>
        <v>0</v>
      </c>
      <c r="CF57" s="10"/>
      <c r="CH57" s="18" t="str">
        <f ca="1">IFERROR(__xludf.DUMMYFUNCTION("""COMPUTED_VALUE"""),"aquastat_heated_changeover_mode")</f>
        <v>aquastat_heated_changeover_mode</v>
      </c>
      <c r="CI57" s="18" t="str">
        <f ca="1">IFERROR(__xludf.DUMMYFUNCTION("""COMPUTED_VALUE"""),"0x0201")</f>
        <v>0x0201</v>
      </c>
      <c r="CJ57" s="18" t="str">
        <f ca="1">IFERROR(__xludf.DUMMYFUNCTION("""COMPUTED_VALUE"""),"0xF0A8")</f>
        <v>0xF0A8</v>
      </c>
      <c r="CK57" s="18" t="str">
        <f ca="1">IFERROR(__xludf.DUMMYFUNCTION("""COMPUTED_VALUE"""),"86400")</f>
        <v>86400</v>
      </c>
      <c r="CM57" s="10"/>
      <c r="CP57" s="18" t="str">
        <f ca="1"/>
        <v/>
      </c>
      <c r="CQ57" s="18" t="str">
        <f ca="1"/>
        <v/>
      </c>
      <c r="CR57" s="18" t="str">
        <f ca="1"/>
        <v/>
      </c>
      <c r="CS57" s="18" t="str">
        <f ca="1"/>
        <v/>
      </c>
      <c r="CT57" s="18" t="str">
        <f ca="1"/>
        <v/>
      </c>
      <c r="CV57" s="10"/>
      <c r="CX57" s="18" t="str">
        <f ca="1">IFERROR(__xludf.DUMMYFUNCTION("""COMPUTED_VALUE"""),"lanai_delay_time")</f>
        <v>lanai_delay_time</v>
      </c>
      <c r="CY57" s="18" t="str">
        <f ca="1"/>
        <v>0x0201</v>
      </c>
      <c r="CZ57" s="18" t="str">
        <f ca="1"/>
        <v>0xF0B1</v>
      </c>
      <c r="DA57" s="18" t="str">
        <f ca="1"/>
        <v>86400</v>
      </c>
      <c r="DC57" s="10"/>
    </row>
    <row r="58" spans="1:149" ht="15.75" customHeight="1" x14ac:dyDescent="0.25">
      <c r="A58" s="15" t="s">
        <v>122</v>
      </c>
      <c r="B58" s="15">
        <v>30</v>
      </c>
      <c r="C58" s="15" t="s">
        <v>45</v>
      </c>
      <c r="D58" s="16"/>
      <c r="E58" s="15"/>
      <c r="F58" s="15"/>
      <c r="G58" s="15"/>
      <c r="H58" s="17" t="str">
        <f ca="1">IFERROR(__xludf.DUMMYFUNCTION("""COMPUTED_VALUE"""),"x")</f>
        <v>x</v>
      </c>
      <c r="I58" s="15" t="s">
        <v>29</v>
      </c>
      <c r="J58" s="15" t="s">
        <v>29</v>
      </c>
      <c r="K58" s="15" t="s">
        <v>29</v>
      </c>
      <c r="L58" s="15" t="s">
        <v>29</v>
      </c>
      <c r="M58" s="15" t="s">
        <v>29</v>
      </c>
      <c r="N58" s="16"/>
      <c r="O58" s="18" t="s">
        <v>123</v>
      </c>
      <c r="P58" s="19"/>
      <c r="Q58" s="18" t="str">
        <f ca="1">IFERROR(__xludf.DUMMYFUNCTION("""COMPUTED_VALUE"""),"zb -a 0x0201 0xF0FC 30")</f>
        <v>zb -a 0x0201 0xF0FC 30</v>
      </c>
      <c r="R58" s="19"/>
      <c r="S58" s="20" t="str">
        <f ca="1">IFERROR(__xludf.DUMMYFUNCTION("""COMPUTED_VALUE"""),"dehumidification_setpoint,10,260,515,16,32,65,,,,86400")</f>
        <v>dehumidification_setpoint,10,260,515,16,32,65,,,,86400</v>
      </c>
      <c r="X58" s="18" t="str">
        <f ca="1">IFERROR(__xludf.DUMMYFUNCTION("""COMPUTED_VALUE"""),"dehumidification_second_stage_timeout")</f>
        <v>dehumidification_second_stage_timeout</v>
      </c>
      <c r="BL58" s="18" t="str">
        <f ca="1">IFERROR(__xludf.DUMMYFUNCTION("""COMPUTED_VALUE"""),"gp_data_ver")</f>
        <v>gp_data_ver</v>
      </c>
      <c r="BM58" s="18" t="str">
        <f ca="1">IFERROR(__xludf.DUMMYFUNCTION("""COMPUTED_VALUE"""),"0xFC20")</f>
        <v>0xFC20</v>
      </c>
      <c r="BN58" s="18" t="str">
        <f ca="1">IFERROR(__xludf.DUMMYFUNCTION("""COMPUTED_VALUE"""),"0x0002")</f>
        <v>0x0002</v>
      </c>
      <c r="BP58" s="10"/>
      <c r="BR58" s="18" t="str">
        <f ca="1">IFERROR(__xludf.DUMMYFUNCTION("""COMPUTED_VALUE"""),"relay_5_pulse_length")</f>
        <v>relay_5_pulse_length</v>
      </c>
      <c r="BS58" s="18" t="str">
        <f ca="1">IFERROR(__xludf.DUMMYFUNCTION("""COMPUTED_VALUE"""),"0x0201")</f>
        <v>0x0201</v>
      </c>
      <c r="BT58" s="18" t="str">
        <f ca="1">IFERROR(__xludf.DUMMYFUNCTION("""COMPUTED_VALUE"""),"0xF08D")</f>
        <v>0xF08D</v>
      </c>
      <c r="BU58" s="18" t="str">
        <f ca="1">IFERROR(__xludf.DUMMYFUNCTION("""COMPUTED_VALUE"""),"N/A")</f>
        <v>N/A</v>
      </c>
      <c r="BW58" s="10"/>
      <c r="BY58" s="18" t="str">
        <f ca="1">IFERROR(__xludf.DUMMYFUNCTION("""COMPUTED_VALUE"""),"extended_deep_setback_active")</f>
        <v>extended_deep_setback_active</v>
      </c>
      <c r="BZ58" s="18" t="str">
        <f ca="1">IFERROR(__xludf.DUMMYFUNCTION("""COMPUTED_VALUE"""),"0x0201")</f>
        <v>0x0201</v>
      </c>
      <c r="CA58" s="18" t="str">
        <f ca="1">IFERROR(__xludf.DUMMYFUNCTION("""COMPUTED_VALUE"""),"0xF166")</f>
        <v>0xF166</v>
      </c>
      <c r="CB58" s="18" t="str">
        <f ca="1">IFERROR(__xludf.DUMMYFUNCTION("""COMPUTED_VALUE"""),"0")</f>
        <v>0</v>
      </c>
      <c r="CC58" s="18" t="str">
        <f ca="1">IFERROR(__xludf.DUMMYFUNCTION("""COMPUTED_VALUE"""),"3600")</f>
        <v>3600</v>
      </c>
      <c r="CD58" s="18" t="str">
        <f ca="1">IFERROR(__xludf.DUMMYFUNCTION("""COMPUTED_VALUE"""),"0")</f>
        <v>0</v>
      </c>
      <c r="CF58" s="10"/>
      <c r="CH58" s="18" t="str">
        <f ca="1">IFERROR(__xludf.DUMMYFUNCTION("""COMPUTED_VALUE"""),"lanai_enabled")</f>
        <v>lanai_enabled</v>
      </c>
      <c r="CI58" s="18" t="str">
        <f ca="1">IFERROR(__xludf.DUMMYFUNCTION("""COMPUTED_VALUE"""),"0x0201")</f>
        <v>0x0201</v>
      </c>
      <c r="CJ58" s="18" t="str">
        <f ca="1">IFERROR(__xludf.DUMMYFUNCTION("""COMPUTED_VALUE"""),"0xF0B0")</f>
        <v>0xF0B0</v>
      </c>
      <c r="CK58" s="18" t="str">
        <f ca="1">IFERROR(__xludf.DUMMYFUNCTION("""COMPUTED_VALUE"""),"86400")</f>
        <v>86400</v>
      </c>
      <c r="CM58" s="10"/>
      <c r="CP58" s="18" t="str">
        <f ca="1"/>
        <v/>
      </c>
      <c r="CQ58" s="18" t="str">
        <f ca="1"/>
        <v/>
      </c>
      <c r="CR58" s="18" t="str">
        <f ca="1"/>
        <v/>
      </c>
      <c r="CS58" s="18" t="str">
        <f ca="1"/>
        <v/>
      </c>
      <c r="CT58" s="18" t="str">
        <f ca="1"/>
        <v/>
      </c>
      <c r="CV58" s="10"/>
      <c r="CX58" s="18" t="str">
        <f ca="1">IFERROR(__xludf.DUMMYFUNCTION("""COMPUTED_VALUE"""),"lanai_entry_offline_time")</f>
        <v>lanai_entry_offline_time</v>
      </c>
      <c r="CY58" s="18" t="str">
        <f ca="1"/>
        <v>0x0201</v>
      </c>
      <c r="CZ58" s="18" t="str">
        <f ca="1"/>
        <v>0xF0B2</v>
      </c>
      <c r="DA58" s="18" t="str">
        <f ca="1"/>
        <v>86400</v>
      </c>
      <c r="DC58" s="10"/>
    </row>
    <row r="59" spans="1:149" ht="15.75" customHeight="1" x14ac:dyDescent="0.25">
      <c r="A59" s="15" t="s">
        <v>124</v>
      </c>
      <c r="B59" s="15">
        <v>480</v>
      </c>
      <c r="C59" s="15" t="s">
        <v>45</v>
      </c>
      <c r="D59" s="16"/>
      <c r="E59" s="15"/>
      <c r="F59" s="15"/>
      <c r="G59" s="15"/>
      <c r="H59" s="17" t="str">
        <f ca="1">IFERROR(__xludf.DUMMYFUNCTION("""COMPUTED_VALUE"""),"x")</f>
        <v>x</v>
      </c>
      <c r="I59" s="15" t="s">
        <v>29</v>
      </c>
      <c r="J59" s="15" t="s">
        <v>29</v>
      </c>
      <c r="K59" s="15" t="s">
        <v>29</v>
      </c>
      <c r="L59" s="15" t="s">
        <v>29</v>
      </c>
      <c r="M59" s="15" t="s">
        <v>29</v>
      </c>
      <c r="N59" s="16"/>
      <c r="O59" s="18" t="s">
        <v>125</v>
      </c>
      <c r="P59" s="19"/>
      <c r="Q59" s="18" t="str">
        <f ca="1">IFERROR(__xludf.DUMMYFUNCTION("""COMPUTED_VALUE"""),"zb -a 0x0201 0xF0FD 480")</f>
        <v>zb -a 0x0201 0xF0FD 480</v>
      </c>
      <c r="R59" s="19"/>
      <c r="S59" s="20" t="str">
        <f ca="1">IFERROR(__xludf.DUMMYFUNCTION("""COMPUTED_VALUE"""),"dehumidification_stage,10,260,513,61558,48,,0,3600,0")</f>
        <v>dehumidification_stage,10,260,513,61558,48,,0,3600,0</v>
      </c>
      <c r="X59" s="18" t="str">
        <f ca="1">IFERROR(__xludf.DUMMYFUNCTION("""COMPUTED_VALUE"""),"dehumidification_setpoint")</f>
        <v>dehumidification_setpoint</v>
      </c>
      <c r="BL59" s="18" t="str">
        <f ca="1">IFERROR(__xludf.DUMMYFUNCTION("""COMPUTED_VALUE"""),"fw_ver")</f>
        <v>fw_ver</v>
      </c>
      <c r="BM59" s="18" t="str">
        <f ca="1">IFERROR(__xludf.DUMMYFUNCTION("""COMPUTED_VALUE"""),"0xFC20")</f>
        <v>0xFC20</v>
      </c>
      <c r="BN59" s="18" t="str">
        <f ca="1">IFERROR(__xludf.DUMMYFUNCTION("""COMPUTED_VALUE"""),"0x0004")</f>
        <v>0x0004</v>
      </c>
      <c r="BP59" s="10"/>
      <c r="BR59" s="18" t="str">
        <f ca="1">IFERROR(__xludf.DUMMYFUNCTION("""COMPUTED_VALUE"""),"changeover_relay_inverted")</f>
        <v>changeover_relay_inverted</v>
      </c>
      <c r="BS59" s="18" t="str">
        <f ca="1">IFERROR(__xludf.DUMMYFUNCTION("""COMPUTED_VALUE"""),"0x0201")</f>
        <v>0x0201</v>
      </c>
      <c r="BT59" s="18" t="str">
        <f ca="1">IFERROR(__xludf.DUMMYFUNCTION("""COMPUTED_VALUE"""),"0xF090")</f>
        <v>0xF090</v>
      </c>
      <c r="BU59" s="18" t="str">
        <f ca="1">IFERROR(__xludf.DUMMYFUNCTION("""COMPUTED_VALUE"""),"false")</f>
        <v>false</v>
      </c>
      <c r="BW59" s="10"/>
      <c r="BY59" s="18" t="str">
        <f ca="1">IFERROR(__xludf.DUMMYFUNCTION("""COMPUTED_VALUE"""),"fan_mode")</f>
        <v>fan_mode</v>
      </c>
      <c r="BZ59" s="18" t="str">
        <f ca="1">IFERROR(__xludf.DUMMYFUNCTION("""COMPUTED_VALUE"""),"0x0202")</f>
        <v>0x0202</v>
      </c>
      <c r="CA59" s="18" t="str">
        <f ca="1">IFERROR(__xludf.DUMMYFUNCTION("""COMPUTED_VALUE"""),"0x0000")</f>
        <v>0x0000</v>
      </c>
      <c r="CB59" s="18" t="str">
        <f ca="1">IFERROR(__xludf.DUMMYFUNCTION("""COMPUTED_VALUE"""),"0")</f>
        <v>0</v>
      </c>
      <c r="CC59" s="18" t="str">
        <f ca="1">IFERROR(__xludf.DUMMYFUNCTION("""COMPUTED_VALUE"""),"3600")</f>
        <v>3600</v>
      </c>
      <c r="CD59" s="18" t="str">
        <f ca="1">IFERROR(__xludf.DUMMYFUNCTION("""COMPUTED_VALUE"""),"0")</f>
        <v>0</v>
      </c>
      <c r="CF59" s="10"/>
      <c r="CH59" s="18" t="str">
        <f ca="1">IFERROR(__xludf.DUMMYFUNCTION("""COMPUTED_VALUE"""),"lanai_delay_time")</f>
        <v>lanai_delay_time</v>
      </c>
      <c r="CI59" s="18" t="str">
        <f ca="1">IFERROR(__xludf.DUMMYFUNCTION("""COMPUTED_VALUE"""),"0x0201")</f>
        <v>0x0201</v>
      </c>
      <c r="CJ59" s="18" t="str">
        <f ca="1">IFERROR(__xludf.DUMMYFUNCTION("""COMPUTED_VALUE"""),"0xF0B1")</f>
        <v>0xF0B1</v>
      </c>
      <c r="CK59" s="18" t="str">
        <f ca="1">IFERROR(__xludf.DUMMYFUNCTION("""COMPUTED_VALUE"""),"86400")</f>
        <v>86400</v>
      </c>
      <c r="CM59" s="10"/>
      <c r="CP59" s="18" t="str">
        <f ca="1"/>
        <v/>
      </c>
      <c r="CQ59" s="18" t="str">
        <f ca="1"/>
        <v/>
      </c>
      <c r="CR59" s="18" t="str">
        <f ca="1"/>
        <v/>
      </c>
      <c r="CS59" s="18" t="str">
        <f ca="1"/>
        <v/>
      </c>
      <c r="CT59" s="18" t="str">
        <f ca="1"/>
        <v/>
      </c>
      <c r="CV59" s="10"/>
      <c r="CX59" s="18" t="str">
        <f ca="1">IFERROR(__xludf.DUMMYFUNCTION("""COMPUTED_VALUE"""),"entry_unchanged_timeout")</f>
        <v>entry_unchanged_timeout</v>
      </c>
      <c r="CY59" s="18" t="str">
        <f ca="1"/>
        <v>0x0201</v>
      </c>
      <c r="CZ59" s="18" t="str">
        <f ca="1"/>
        <v>0xF0BC</v>
      </c>
      <c r="DA59" s="18" t="str">
        <f ca="1"/>
        <v>86400</v>
      </c>
      <c r="DC59" s="10"/>
    </row>
    <row r="60" spans="1:149" x14ac:dyDescent="0.25">
      <c r="A60" s="15" t="s">
        <v>126</v>
      </c>
      <c r="B60" s="15">
        <v>1440</v>
      </c>
      <c r="C60" s="15" t="s">
        <v>45</v>
      </c>
      <c r="D60" s="16"/>
      <c r="E60" s="15"/>
      <c r="F60" s="15"/>
      <c r="G60" s="15"/>
      <c r="H60" s="17" t="str">
        <f ca="1">IFERROR(__xludf.DUMMYFUNCTION("""COMPUTED_VALUE"""),"x")</f>
        <v>x</v>
      </c>
      <c r="I60" s="15" t="s">
        <v>29</v>
      </c>
      <c r="J60" s="15" t="s">
        <v>29</v>
      </c>
      <c r="K60" s="15" t="s">
        <v>29</v>
      </c>
      <c r="L60" s="15" t="s">
        <v>29</v>
      </c>
      <c r="M60" s="15" t="s">
        <v>29</v>
      </c>
      <c r="N60" s="16"/>
      <c r="O60" s="18" t="s">
        <v>127</v>
      </c>
      <c r="P60" s="19"/>
      <c r="Q60" s="18" t="str">
        <f ca="1">IFERROR(__xludf.DUMMYFUNCTION("""COMPUTED_VALUE"""),"zb -a 0x0201 0xF0FE 1440")</f>
        <v>zb -a 0x0201 0xF0FE 1440</v>
      </c>
      <c r="R60" s="19"/>
      <c r="S60" s="20" t="str">
        <f ca="1">IFERROR(__xludf.DUMMYFUNCTION("""COMPUTED_VALUE"""),"delta_setback,10,260,513,61681,33,167,,,,86400")</f>
        <v>delta_setback,10,260,513,61681,33,167,,,,86400</v>
      </c>
      <c r="X60" s="18" t="str">
        <f ca="1">IFERROR(__xludf.DUMMYFUNCTION("""COMPUTED_VALUE"""),"dehumidification_stage")</f>
        <v>dehumidification_stage</v>
      </c>
      <c r="BL60" s="18" t="str">
        <f ca="1">IFERROR(__xludf.DUMMYFUNCTION("""COMPUTED_VALUE"""),"ui_ver")</f>
        <v>ui_ver</v>
      </c>
      <c r="BM60" s="18" t="str">
        <f ca="1">IFERROR(__xludf.DUMMYFUNCTION("""COMPUTED_VALUE"""),"0xFC20")</f>
        <v>0xFC20</v>
      </c>
      <c r="BN60" s="18" t="str">
        <f ca="1">IFERROR(__xludf.DUMMYFUNCTION("""COMPUTED_VALUE"""),"0x0005")</f>
        <v>0x0005</v>
      </c>
      <c r="BP60" s="10"/>
      <c r="BR60" s="18" t="str">
        <f ca="1">IFERROR(__xludf.DUMMYFUNCTION("""COMPUTED_VALUE"""),"invert_relays")</f>
        <v>invert_relays</v>
      </c>
      <c r="BS60" s="18" t="str">
        <f ca="1">IFERROR(__xludf.DUMMYFUNCTION("""COMPUTED_VALUE"""),"0x0201")</f>
        <v>0x0201</v>
      </c>
      <c r="BT60" s="18" t="str">
        <f ca="1">IFERROR(__xludf.DUMMYFUNCTION("""COMPUTED_VALUE"""),"0xF09C")</f>
        <v>0xF09C</v>
      </c>
      <c r="BU60" s="18" t="str">
        <f ca="1">IFERROR(__xludf.DUMMYFUNCTION("""COMPUTED_VALUE"""),"0")</f>
        <v>0</v>
      </c>
      <c r="BW60" s="10"/>
      <c r="BY60" s="18" t="str">
        <f ca="1">IFERROR(__xludf.DUMMYFUNCTION("""COMPUTED_VALUE"""),"fan_modes_available")</f>
        <v>fan_modes_available</v>
      </c>
      <c r="BZ60" s="18" t="str">
        <f ca="1">IFERROR(__xludf.DUMMYFUNCTION("""COMPUTED_VALUE"""),"0x0202")</f>
        <v>0x0202</v>
      </c>
      <c r="CA60" s="18" t="str">
        <f ca="1">IFERROR(__xludf.DUMMYFUNCTION("""COMPUTED_VALUE"""),"0x0001")</f>
        <v>0x0001</v>
      </c>
      <c r="CB60" s="18" t="str">
        <f ca="1">IFERROR(__xludf.DUMMYFUNCTION("""COMPUTED_VALUE"""),"0")</f>
        <v>0</v>
      </c>
      <c r="CC60" s="18" t="str">
        <f ca="1">IFERROR(__xludf.DUMMYFUNCTION("""COMPUTED_VALUE"""),"3600")</f>
        <v>3600</v>
      </c>
      <c r="CD60" s="18" t="str">
        <f ca="1">IFERROR(__xludf.DUMMYFUNCTION("""COMPUTED_VALUE"""),"0")</f>
        <v>0</v>
      </c>
      <c r="CF60" s="10"/>
      <c r="CH60" s="18" t="str">
        <f ca="1">IFERROR(__xludf.DUMMYFUNCTION("""COMPUTED_VALUE"""),"lanai_entry_offline_time")</f>
        <v>lanai_entry_offline_time</v>
      </c>
      <c r="CI60" s="18" t="str">
        <f ca="1">IFERROR(__xludf.DUMMYFUNCTION("""COMPUTED_VALUE"""),"0x0201")</f>
        <v>0x0201</v>
      </c>
      <c r="CJ60" s="18" t="str">
        <f ca="1">IFERROR(__xludf.DUMMYFUNCTION("""COMPUTED_VALUE"""),"0xF0B2")</f>
        <v>0xF0B2</v>
      </c>
      <c r="CK60" s="18" t="str">
        <f ca="1">IFERROR(__xludf.DUMMYFUNCTION("""COMPUTED_VALUE"""),"86400")</f>
        <v>86400</v>
      </c>
      <c r="CM60" s="10"/>
      <c r="CP60" s="18" t="str">
        <f ca="1"/>
        <v/>
      </c>
      <c r="CQ60" s="18" t="str">
        <f ca="1"/>
        <v/>
      </c>
      <c r="CR60" s="18" t="str">
        <f ca="1"/>
        <v/>
      </c>
      <c r="CS60" s="18" t="str">
        <f ca="1"/>
        <v/>
      </c>
      <c r="CT60" s="18" t="str">
        <f ca="1"/>
        <v/>
      </c>
      <c r="CV60" s="10"/>
      <c r="CX60" s="18" t="str">
        <f ca="1">IFERROR(__xludf.DUMMYFUNCTION("""COMPUTED_VALUE"""),"ntc_beta_sensor_0")</f>
        <v>ntc_beta_sensor_0</v>
      </c>
      <c r="CY60" s="18" t="str">
        <f ca="1"/>
        <v>0x0201</v>
      </c>
      <c r="CZ60" s="18" t="str">
        <f ca="1"/>
        <v>0xF0C0</v>
      </c>
      <c r="DA60" s="18" t="str">
        <f ca="1"/>
        <v>86400</v>
      </c>
      <c r="DC60" s="10"/>
    </row>
    <row r="61" spans="1:149" x14ac:dyDescent="0.25">
      <c r="A61" s="15"/>
      <c r="B61" s="15"/>
      <c r="C61" s="15"/>
      <c r="D61" s="16"/>
      <c r="E61" s="15"/>
      <c r="F61" s="15"/>
      <c r="G61" s="15"/>
      <c r="H61" s="17" t="str">
        <f ca="1">IFERROR(__xludf.DUMMYFUNCTION("""COMPUTED_VALUE"""),"")</f>
        <v/>
      </c>
      <c r="I61" s="15" t="s">
        <v>29</v>
      </c>
      <c r="J61" s="15" t="s">
        <v>29</v>
      </c>
      <c r="K61" s="15" t="s">
        <v>29</v>
      </c>
      <c r="L61" s="15" t="s">
        <v>29</v>
      </c>
      <c r="M61" s="15" t="s">
        <v>29</v>
      </c>
      <c r="N61" s="16"/>
      <c r="P61" s="19"/>
      <c r="Q61" s="18" t="str">
        <f ca="1">IFERROR(__xludf.DUMMYFUNCTION("""COMPUTED_VALUE"""),"")</f>
        <v/>
      </c>
      <c r="R61" s="19"/>
      <c r="S61" s="20" t="str">
        <f ca="1">IFERROR(__xludf.DUMMYFUNCTION("""COMPUTED_VALUE"""),"device_subtype,10,260,64512,1,48,,,,,86400")</f>
        <v>device_subtype,10,260,64512,1,48,,,,,86400</v>
      </c>
      <c r="X61" s="18" t="str">
        <f ca="1">IFERROR(__xludf.DUMMYFUNCTION("""COMPUTED_VALUE"""),"delta_setback")</f>
        <v>delta_setback</v>
      </c>
      <c r="BL61" s="18" t="str">
        <f ca="1">IFERROR(__xludf.DUMMYFUNCTION("""COMPUTED_VALUE"""),"esp_ver")</f>
        <v>esp_ver</v>
      </c>
      <c r="BM61" s="18" t="str">
        <f ca="1">IFERROR(__xludf.DUMMYFUNCTION("""COMPUTED_VALUE"""),"N/A")</f>
        <v>N/A</v>
      </c>
      <c r="BN61" s="18" t="str">
        <f ca="1">IFERROR(__xludf.DUMMYFUNCTION("""COMPUTED_VALUE"""),"N/A")</f>
        <v>N/A</v>
      </c>
      <c r="BP61" s="10"/>
      <c r="BR61" s="18" t="str">
        <f ca="1">IFERROR(__xludf.DUMMYFUNCTION("""COMPUTED_VALUE"""),"aquastat_enabled")</f>
        <v>aquastat_enabled</v>
      </c>
      <c r="BS61" s="18" t="str">
        <f ca="1">IFERROR(__xludf.DUMMYFUNCTION("""COMPUTED_VALUE"""),"0x0201")</f>
        <v>0x0201</v>
      </c>
      <c r="BT61" s="18" t="str">
        <f ca="1">IFERROR(__xludf.DUMMYFUNCTION("""COMPUTED_VALUE"""),"0xF0A0")</f>
        <v>0xF0A0</v>
      </c>
      <c r="BU61" s="18" t="str">
        <f ca="1">IFERROR(__xludf.DUMMYFUNCTION("""COMPUTED_VALUE"""),"false")</f>
        <v>false</v>
      </c>
      <c r="BW61" s="10"/>
      <c r="BY61" s="18" t="str">
        <f ca="1">IFERROR(__xludf.DUMMYFUNCTION("""COMPUTED_VALUE"""),"humidity")</f>
        <v>humidity</v>
      </c>
      <c r="BZ61" s="18" t="str">
        <f ca="1">IFERROR(__xludf.DUMMYFUNCTION("""COMPUTED_VALUE"""),"0x0203")</f>
        <v>0x0203</v>
      </c>
      <c r="CA61" s="18" t="str">
        <f ca="1">IFERROR(__xludf.DUMMYFUNCTION("""COMPUTED_VALUE"""),"0x0000")</f>
        <v>0x0000</v>
      </c>
      <c r="CB61" s="18" t="str">
        <f ca="1">IFERROR(__xludf.DUMMYFUNCTION("""COMPUTED_VALUE"""),"0")</f>
        <v>0</v>
      </c>
      <c r="CC61" s="18" t="str">
        <f ca="1">IFERROR(__xludf.DUMMYFUNCTION("""COMPUTED_VALUE"""),"3600")</f>
        <v>3600</v>
      </c>
      <c r="CD61" s="18" t="str">
        <f ca="1">IFERROR(__xludf.DUMMYFUNCTION("""COMPUTED_VALUE"""),"5")</f>
        <v>5</v>
      </c>
      <c r="CF61" s="10"/>
      <c r="CH61" s="18" t="str">
        <f ca="1">IFERROR(__xludf.DUMMYFUNCTION("""COMPUTED_VALUE"""),"entry_unchanged_timeout")</f>
        <v>entry_unchanged_timeout</v>
      </c>
      <c r="CI61" s="18" t="str">
        <f ca="1">IFERROR(__xludf.DUMMYFUNCTION("""COMPUTED_VALUE"""),"0x0201")</f>
        <v>0x0201</v>
      </c>
      <c r="CJ61" s="18" t="str">
        <f ca="1">IFERROR(__xludf.DUMMYFUNCTION("""COMPUTED_VALUE"""),"0xF0BC")</f>
        <v>0xF0BC</v>
      </c>
      <c r="CK61" s="18" t="str">
        <f ca="1">IFERROR(__xludf.DUMMYFUNCTION("""COMPUTED_VALUE"""),"86400")</f>
        <v>86400</v>
      </c>
      <c r="CM61" s="10"/>
      <c r="CP61" s="18" t="str">
        <f ca="1"/>
        <v/>
      </c>
      <c r="CQ61" s="18" t="str">
        <f ca="1"/>
        <v/>
      </c>
      <c r="CR61" s="18" t="str">
        <f ca="1"/>
        <v/>
      </c>
      <c r="CS61" s="18" t="str">
        <f ca="1"/>
        <v/>
      </c>
      <c r="CT61" s="18" t="str">
        <f ca="1"/>
        <v/>
      </c>
      <c r="CV61" s="10"/>
      <c r="CX61" s="18" t="str">
        <f ca="1">IFERROR(__xludf.DUMMYFUNCTION("""COMPUTED_VALUE"""),"ntc_beta_sensor_1")</f>
        <v>ntc_beta_sensor_1</v>
      </c>
      <c r="CY61" s="18" t="str">
        <f ca="1"/>
        <v>0x0201</v>
      </c>
      <c r="CZ61" s="18" t="str">
        <f ca="1"/>
        <v>0xF0C1</v>
      </c>
      <c r="DA61" s="18" t="str">
        <f ca="1"/>
        <v>86400</v>
      </c>
      <c r="DC61" s="10"/>
    </row>
    <row r="62" spans="1:149" x14ac:dyDescent="0.25">
      <c r="A62" s="31" t="s">
        <v>128</v>
      </c>
      <c r="B62" s="32"/>
      <c r="C62" s="32"/>
      <c r="D62" s="16"/>
      <c r="E62" s="32"/>
      <c r="F62" s="32"/>
      <c r="G62" s="32"/>
      <c r="H62" s="17" t="str">
        <f ca="1">IFERROR(__xludf.DUMMYFUNCTION("""COMPUTED_VALUE"""),"")</f>
        <v/>
      </c>
      <c r="I62" s="32" t="s">
        <v>29</v>
      </c>
      <c r="J62" s="32" t="s">
        <v>29</v>
      </c>
      <c r="K62" s="32" t="s">
        <v>29</v>
      </c>
      <c r="L62" s="32" t="s">
        <v>29</v>
      </c>
      <c r="M62" s="32" t="s">
        <v>29</v>
      </c>
      <c r="N62" s="16"/>
      <c r="O62" s="10"/>
      <c r="P62" s="19"/>
      <c r="Q62" s="10" t="str">
        <f ca="1">IFERROR(__xludf.DUMMYFUNCTION("""COMPUTED_VALUE"""),"")</f>
        <v/>
      </c>
      <c r="R62" s="19"/>
      <c r="S62" s="20" t="str">
        <f ca="1">IFERROR(__xludf.DUMMYFUNCTION("""COMPUTED_VALUE"""),"device_table_slot_1,10,260,64530,257,240,,,,,86400")</f>
        <v>device_table_slot_1,10,260,64530,257,240,,,,,86400</v>
      </c>
      <c r="X62" s="18" t="str">
        <f ca="1">IFERROR(__xludf.DUMMYFUNCTION("""COMPUTED_VALUE"""),"device_subtype")</f>
        <v>device_subtype</v>
      </c>
      <c r="BL62" s="18" t="str">
        <f ca="1">IFERROR(__xludf.DUMMYFUNCTION("""COMPUTED_VALUE"""),"mac_address")</f>
        <v>mac_address</v>
      </c>
      <c r="BM62" s="18" t="str">
        <f ca="1">IFERROR(__xludf.DUMMYFUNCTION("""COMPUTED_VALUE"""),"N/A")</f>
        <v>N/A</v>
      </c>
      <c r="BN62" s="18" t="str">
        <f ca="1">IFERROR(__xludf.DUMMYFUNCTION("""COMPUTED_VALUE"""),"N/A")</f>
        <v>N/A</v>
      </c>
      <c r="BP62" s="10"/>
      <c r="BR62" s="18" t="str">
        <f ca="1">IFERROR(__xludf.DUMMYFUNCTION("""COMPUTED_VALUE"""),"aquastat_low_temp_threshold")</f>
        <v>aquastat_low_temp_threshold</v>
      </c>
      <c r="BS62" s="18" t="str">
        <f ca="1">IFERROR(__xludf.DUMMYFUNCTION("""COMPUTED_VALUE"""),"0x0201")</f>
        <v>0x0201</v>
      </c>
      <c r="BT62" s="18" t="str">
        <f ca="1">IFERROR(__xludf.DUMMYFUNCTION("""COMPUTED_VALUE"""),"0xF0A1")</f>
        <v>0xF0A1</v>
      </c>
      <c r="BU62" s="18" t="str">
        <f ca="1">IFERROR(__xludf.DUMMYFUNCTION("""COMPUTED_VALUE"""),"0")</f>
        <v>0</v>
      </c>
      <c r="BW62" s="10"/>
      <c r="BY62" s="18" t="str">
        <f ca="1">IFERROR(__xludf.DUMMYFUNCTION("""COMPUTED_VALUE"""),"dew_point_measured_value")</f>
        <v>dew_point_measured_value</v>
      </c>
      <c r="BZ62" s="18" t="str">
        <f ca="1">IFERROR(__xludf.DUMMYFUNCTION("""COMPUTED_VALUE"""),"0x0203")</f>
        <v>0x0203</v>
      </c>
      <c r="CA62" s="18" t="str">
        <f ca="1">IFERROR(__xludf.DUMMYFUNCTION("""COMPUTED_VALUE"""),"0xF000")</f>
        <v>0xF000</v>
      </c>
      <c r="CB62" s="18" t="str">
        <f ca="1">IFERROR(__xludf.DUMMYFUNCTION("""COMPUTED_VALUE"""),"0")</f>
        <v>0</v>
      </c>
      <c r="CC62" s="18" t="str">
        <f ca="1">IFERROR(__xludf.DUMMYFUNCTION("""COMPUTED_VALUE"""),"3600")</f>
        <v>3600</v>
      </c>
      <c r="CD62" s="18" t="str">
        <f ca="1">IFERROR(__xludf.DUMMYFUNCTION("""COMPUTED_VALUE"""),"56")</f>
        <v>56</v>
      </c>
      <c r="CF62" s="10"/>
      <c r="CH62" s="18" t="str">
        <f ca="1">IFERROR(__xludf.DUMMYFUNCTION("""COMPUTED_VALUE"""),"ntc_beta_sensor_0")</f>
        <v>ntc_beta_sensor_0</v>
      </c>
      <c r="CI62" s="18" t="str">
        <f ca="1">IFERROR(__xludf.DUMMYFUNCTION("""COMPUTED_VALUE"""),"0x0201")</f>
        <v>0x0201</v>
      </c>
      <c r="CJ62" s="18" t="str">
        <f ca="1">IFERROR(__xludf.DUMMYFUNCTION("""COMPUTED_VALUE"""),"0xF0C0")</f>
        <v>0xF0C0</v>
      </c>
      <c r="CK62" s="18" t="str">
        <f ca="1">IFERROR(__xludf.DUMMYFUNCTION("""COMPUTED_VALUE"""),"86400")</f>
        <v>86400</v>
      </c>
      <c r="CM62" s="10"/>
      <c r="CP62" s="18" t="str">
        <f ca="1"/>
        <v/>
      </c>
      <c r="CQ62" s="18" t="str">
        <f ca="1"/>
        <v/>
      </c>
      <c r="CR62" s="18" t="str">
        <f ca="1"/>
        <v/>
      </c>
      <c r="CS62" s="18" t="str">
        <f ca="1"/>
        <v/>
      </c>
      <c r="CT62" s="18" t="str">
        <f ca="1"/>
        <v/>
      </c>
      <c r="CV62" s="10"/>
      <c r="CX62" s="18" t="str">
        <f ca="1">IFERROR(__xludf.DUMMYFUNCTION("""COMPUTED_VALUE"""),"ntc_beta_sensor_2")</f>
        <v>ntc_beta_sensor_2</v>
      </c>
      <c r="CY62" s="18" t="str">
        <f ca="1"/>
        <v>0x0201</v>
      </c>
      <c r="CZ62" s="18" t="str">
        <f ca="1"/>
        <v>0xF0C2</v>
      </c>
      <c r="DA62" s="18" t="str">
        <f ca="1"/>
        <v>86400</v>
      </c>
      <c r="DC62" s="10"/>
    </row>
    <row r="63" spans="1:149" x14ac:dyDescent="0.25">
      <c r="A63" s="15" t="s">
        <v>129</v>
      </c>
      <c r="B63" s="15">
        <v>0</v>
      </c>
      <c r="C63" s="15" t="s">
        <v>45</v>
      </c>
      <c r="D63" s="16"/>
      <c r="E63" s="15"/>
      <c r="F63" s="15"/>
      <c r="G63" s="15"/>
      <c r="H63" s="17" t="str">
        <f ca="1">IFERROR(__xludf.DUMMYFUNCTION("""COMPUTED_VALUE"""),"x")</f>
        <v>x</v>
      </c>
      <c r="I63" s="15" t="s">
        <v>29</v>
      </c>
      <c r="J63" s="15" t="s">
        <v>29</v>
      </c>
      <c r="K63" s="15" t="s">
        <v>29</v>
      </c>
      <c r="L63" s="15" t="s">
        <v>29</v>
      </c>
      <c r="M63" s="15" t="s">
        <v>29</v>
      </c>
      <c r="N63" s="16"/>
      <c r="O63" s="18" t="s">
        <v>130</v>
      </c>
      <c r="P63" s="19"/>
      <c r="Q63" s="18" t="str">
        <f ca="1">IFERROR(__xludf.DUMMYFUNCTION("""COMPUTED_VALUE"""),"zb -a 0x0201 0xF160 0")</f>
        <v>zb -a 0x0201 0xF160 0</v>
      </c>
      <c r="R63" s="19"/>
      <c r="S63" s="20" t="str">
        <f ca="1">IFERROR(__xludf.DUMMYFUNCTION("""COMPUTED_VALUE"""),"device_table_slot_10,10,260,64530,266,240,,,,,86400")</f>
        <v>device_table_slot_10,10,260,64530,266,240,,,,,86400</v>
      </c>
      <c r="X63" s="18" t="str">
        <f ca="1">IFERROR(__xludf.DUMMYFUNCTION("""COMPUTED_VALUE"""),"device_table_slot_1")</f>
        <v>device_table_slot_1</v>
      </c>
      <c r="BL63" s="18" t="str">
        <f ca="1">IFERROR(__xludf.DUMMYFUNCTION("""COMPUTED_VALUE"""),"ip_address")</f>
        <v>ip_address</v>
      </c>
      <c r="BM63" s="18" t="str">
        <f ca="1">IFERROR(__xludf.DUMMYFUNCTION("""COMPUTED_VALUE"""),"N/A")</f>
        <v>N/A</v>
      </c>
      <c r="BN63" s="18" t="str">
        <f ca="1">IFERROR(__xludf.DUMMYFUNCTION("""COMPUTED_VALUE"""),"N/A")</f>
        <v>N/A</v>
      </c>
      <c r="BP63" s="10"/>
      <c r="BR63" s="18" t="str">
        <f ca="1">IFERROR(__xludf.DUMMYFUNCTION("""COMPUTED_VALUE"""),"aquastat_high_temp_threshold")</f>
        <v>aquastat_high_temp_threshold</v>
      </c>
      <c r="BS63" s="18" t="str">
        <f ca="1">IFERROR(__xludf.DUMMYFUNCTION("""COMPUTED_VALUE"""),"0x0201")</f>
        <v>0x0201</v>
      </c>
      <c r="BT63" s="18" t="str">
        <f ca="1">IFERROR(__xludf.DUMMYFUNCTION("""COMPUTED_VALUE"""),"0xF0A2")</f>
        <v>0xF0A2</v>
      </c>
      <c r="BU63" s="18" t="str">
        <f ca="1">IFERROR(__xludf.DUMMYFUNCTION("""COMPUTED_VALUE"""),"0")</f>
        <v>0</v>
      </c>
      <c r="BW63" s="10"/>
      <c r="BY63" s="18" t="str">
        <f ca="1">IFERROR(__xludf.DUMMYFUNCTION("""COMPUTED_VALUE"""),"illuminance_measurement")</f>
        <v>illuminance_measurement</v>
      </c>
      <c r="BZ63" s="18" t="str">
        <f ca="1">IFERROR(__xludf.DUMMYFUNCTION("""COMPUTED_VALUE"""),"0x0400")</f>
        <v>0x0400</v>
      </c>
      <c r="CA63" s="18" t="str">
        <f ca="1">IFERROR(__xludf.DUMMYFUNCTION("""COMPUTED_VALUE"""),"0x0000")</f>
        <v>0x0000</v>
      </c>
      <c r="CB63" s="18" t="str">
        <f ca="1">IFERROR(__xludf.DUMMYFUNCTION("""COMPUTED_VALUE"""),"0")</f>
        <v>0</v>
      </c>
      <c r="CC63" s="18" t="str">
        <f ca="1">IFERROR(__xludf.DUMMYFUNCTION("""COMPUTED_VALUE"""),"3600")</f>
        <v>3600</v>
      </c>
      <c r="CD63" s="18" t="str">
        <f ca="1">IFERROR(__xludf.DUMMYFUNCTION("""COMPUTED_VALUE"""),"25")</f>
        <v>25</v>
      </c>
      <c r="CF63" s="10"/>
      <c r="CH63" s="18" t="str">
        <f ca="1">IFERROR(__xludf.DUMMYFUNCTION("""COMPUTED_VALUE"""),"ntc_beta_sensor_1")</f>
        <v>ntc_beta_sensor_1</v>
      </c>
      <c r="CI63" s="18" t="str">
        <f ca="1">IFERROR(__xludf.DUMMYFUNCTION("""COMPUTED_VALUE"""),"0x0201")</f>
        <v>0x0201</v>
      </c>
      <c r="CJ63" s="18" t="str">
        <f ca="1">IFERROR(__xludf.DUMMYFUNCTION("""COMPUTED_VALUE"""),"0xF0C1")</f>
        <v>0xF0C1</v>
      </c>
      <c r="CK63" s="18" t="str">
        <f ca="1">IFERROR(__xludf.DUMMYFUNCTION("""COMPUTED_VALUE"""),"86400")</f>
        <v>86400</v>
      </c>
      <c r="CM63" s="10"/>
      <c r="CP63" s="18" t="str">
        <f ca="1"/>
        <v/>
      </c>
      <c r="CQ63" s="18" t="str">
        <f ca="1"/>
        <v/>
      </c>
      <c r="CR63" s="18" t="str">
        <f ca="1"/>
        <v/>
      </c>
      <c r="CS63" s="18" t="str">
        <f ca="1"/>
        <v/>
      </c>
      <c r="CT63" s="18" t="str">
        <f ca="1"/>
        <v/>
      </c>
      <c r="CV63" s="10"/>
      <c r="CX63" s="18" t="str">
        <f ca="1">IFERROR(__xludf.DUMMYFUNCTION("""COMPUTED_VALUE"""),"door_occ_lock_enabled")</f>
        <v>door_occ_lock_enabled</v>
      </c>
      <c r="CY63" s="18" t="str">
        <f ca="1"/>
        <v>0x0201</v>
      </c>
      <c r="CZ63" s="18" t="str">
        <f ca="1"/>
        <v>0xF0D0</v>
      </c>
      <c r="DA63" s="18" t="str">
        <f ca="1"/>
        <v>86400</v>
      </c>
      <c r="DC63" s="10"/>
    </row>
    <row r="64" spans="1:149" x14ac:dyDescent="0.25">
      <c r="A64" s="15" t="s">
        <v>131</v>
      </c>
      <c r="B64" s="15">
        <v>55</v>
      </c>
      <c r="C64" s="15" t="s">
        <v>28</v>
      </c>
      <c r="D64" s="16"/>
      <c r="E64" s="15"/>
      <c r="F64" s="15"/>
      <c r="G64" s="15"/>
      <c r="H64" s="17" t="str">
        <f ca="1">IFERROR(__xludf.DUMMYFUNCTION("""COMPUTED_VALUE"""),"x")</f>
        <v>x</v>
      </c>
      <c r="I64" s="15" t="s">
        <v>29</v>
      </c>
      <c r="J64" s="15" t="s">
        <v>29</v>
      </c>
      <c r="K64" s="15" t="s">
        <v>29</v>
      </c>
      <c r="L64" s="15" t="s">
        <v>29</v>
      </c>
      <c r="M64" s="15" t="s">
        <v>29</v>
      </c>
      <c r="N64" s="16"/>
      <c r="O64" s="18" t="s">
        <v>132</v>
      </c>
      <c r="P64" s="19"/>
      <c r="Q64" s="18" t="str">
        <f ca="1">IFERROR(__xludf.DUMMYFUNCTION("""COMPUTED_VALUE"""),"zb -a 0x0201 0xF164 1278")</f>
        <v>zb -a 0x0201 0xF164 1278</v>
      </c>
      <c r="R64" s="19"/>
      <c r="S64" s="20" t="str">
        <f ca="1">IFERROR(__xludf.DUMMYFUNCTION("""COMPUTED_VALUE"""),"device_table_slot_11,10,260,64530,267,240,,,,,86400")</f>
        <v>device_table_slot_11,10,260,64530,267,240,,,,,86400</v>
      </c>
      <c r="X64" s="18" t="str">
        <f ca="1">IFERROR(__xludf.DUMMYFUNCTION("""COMPUTED_VALUE"""),"device_table_slot_10")</f>
        <v>device_table_slot_10</v>
      </c>
      <c r="BL64" s="18" t="str">
        <f ca="1">IFERROR(__xludf.DUMMYFUNCTION("""COMPUTED_VALUE"""),"mqtt_server")</f>
        <v>mqtt_server</v>
      </c>
      <c r="BM64" s="18" t="str">
        <f ca="1">IFERROR(__xludf.DUMMYFUNCTION("""COMPUTED_VALUE"""),"N/A")</f>
        <v>N/A</v>
      </c>
      <c r="BN64" s="18" t="str">
        <f ca="1">IFERROR(__xludf.DUMMYFUNCTION("""COMPUTED_VALUE"""),"N/A")</f>
        <v>N/A</v>
      </c>
      <c r="BP64" s="10"/>
      <c r="BR64" s="18" t="str">
        <f ca="1">IFERROR(__xludf.DUMMYFUNCTION("""COMPUTED_VALUE"""),"aquastat_hysteresis_time")</f>
        <v>aquastat_hysteresis_time</v>
      </c>
      <c r="BS64" s="18" t="str">
        <f ca="1">IFERROR(__xludf.DUMMYFUNCTION("""COMPUTED_VALUE"""),"0x0201")</f>
        <v>0x0201</v>
      </c>
      <c r="BT64" s="18" t="str">
        <f ca="1">IFERROR(__xludf.DUMMYFUNCTION("""COMPUTED_VALUE"""),"0xF0A3")</f>
        <v>0xF0A3</v>
      </c>
      <c r="BU64" s="18" t="str">
        <f ca="1">IFERROR(__xludf.DUMMYFUNCTION("""COMPUTED_VALUE"""),"5")</f>
        <v>5</v>
      </c>
      <c r="BW64" s="10"/>
      <c r="BY64" s="18" t="str">
        <f ca="1">IFERROR(__xludf.DUMMYFUNCTION("""COMPUTED_VALUE"""),"local_sensor_occupied")</f>
        <v>local_sensor_occupied</v>
      </c>
      <c r="BZ64" s="18" t="str">
        <f ca="1">IFERROR(__xludf.DUMMYFUNCTION("""COMPUTED_VALUE"""),"0x0406")</f>
        <v>0x0406</v>
      </c>
      <c r="CA64" s="18" t="str">
        <f ca="1">IFERROR(__xludf.DUMMYFUNCTION("""COMPUTED_VALUE"""),"0x0000")</f>
        <v>0x0000</v>
      </c>
      <c r="CB64" s="18" t="str">
        <f ca="1">IFERROR(__xludf.DUMMYFUNCTION("""COMPUTED_VALUE"""),"0")</f>
        <v>0</v>
      </c>
      <c r="CC64" s="18" t="str">
        <f ca="1">IFERROR(__xludf.DUMMYFUNCTION("""COMPUTED_VALUE"""),"3600")</f>
        <v>3600</v>
      </c>
      <c r="CD64" s="18" t="str">
        <f ca="1">IFERROR(__xludf.DUMMYFUNCTION("""COMPUTED_VALUE"""),"0")</f>
        <v>0</v>
      </c>
      <c r="CF64" s="10"/>
      <c r="CH64" s="18" t="str">
        <f ca="1">IFERROR(__xludf.DUMMYFUNCTION("""COMPUTED_VALUE"""),"ntc_beta_sensor_2")</f>
        <v>ntc_beta_sensor_2</v>
      </c>
      <c r="CI64" s="18" t="str">
        <f ca="1">IFERROR(__xludf.DUMMYFUNCTION("""COMPUTED_VALUE"""),"0x0201")</f>
        <v>0x0201</v>
      </c>
      <c r="CJ64" s="18" t="str">
        <f ca="1">IFERROR(__xludf.DUMMYFUNCTION("""COMPUTED_VALUE"""),"0xF0C2")</f>
        <v>0xF0C2</v>
      </c>
      <c r="CK64" s="18" t="str">
        <f ca="1">IFERROR(__xludf.DUMMYFUNCTION("""COMPUTED_VALUE"""),"86400")</f>
        <v>86400</v>
      </c>
      <c r="CM64" s="10"/>
      <c r="CP64" s="18" t="str">
        <f ca="1"/>
        <v/>
      </c>
      <c r="CQ64" s="18" t="str">
        <f ca="1"/>
        <v/>
      </c>
      <c r="CR64" s="18" t="str">
        <f ca="1"/>
        <v/>
      </c>
      <c r="CS64" s="18" t="str">
        <f ca="1"/>
        <v/>
      </c>
      <c r="CT64" s="18" t="str">
        <f ca="1"/>
        <v/>
      </c>
      <c r="CV64" s="10"/>
      <c r="CX64" s="18" t="str">
        <f ca="1">IFERROR(__xludf.DUMMYFUNCTION("""COMPUTED_VALUE"""),"local_door_occ_lock_delay")</f>
        <v>local_door_occ_lock_delay</v>
      </c>
      <c r="CY64" s="18" t="str">
        <f ca="1"/>
        <v>0x0201</v>
      </c>
      <c r="CZ64" s="18" t="str">
        <f ca="1"/>
        <v>0xF0D1</v>
      </c>
      <c r="DA64" s="18" t="str">
        <f ca="1"/>
        <v>86400</v>
      </c>
      <c r="DC64" s="10"/>
    </row>
    <row r="65" spans="1:107" x14ac:dyDescent="0.25">
      <c r="A65" s="15" t="s">
        <v>133</v>
      </c>
      <c r="B65" s="15">
        <v>85</v>
      </c>
      <c r="C65" s="15" t="s">
        <v>28</v>
      </c>
      <c r="D65" s="16"/>
      <c r="E65" s="15"/>
      <c r="F65" s="15"/>
      <c r="G65" s="15"/>
      <c r="H65" s="17" t="str">
        <f ca="1">IFERROR(__xludf.DUMMYFUNCTION("""COMPUTED_VALUE"""),"x")</f>
        <v>x</v>
      </c>
      <c r="I65" s="15" t="s">
        <v>29</v>
      </c>
      <c r="J65" s="15" t="s">
        <v>29</v>
      </c>
      <c r="K65" s="15" t="s">
        <v>29</v>
      </c>
      <c r="L65" s="15" t="s">
        <v>29</v>
      </c>
      <c r="M65" s="15" t="s">
        <v>29</v>
      </c>
      <c r="N65" s="16"/>
      <c r="O65" s="18" t="s">
        <v>134</v>
      </c>
      <c r="P65" s="19"/>
      <c r="Q65" s="18" t="str">
        <f ca="1">IFERROR(__xludf.DUMMYFUNCTION("""COMPUTED_VALUE"""),"zb -a 0x0201 0xF165 2944")</f>
        <v>zb -a 0x0201 0xF165 2944</v>
      </c>
      <c r="R65" s="19"/>
      <c r="S65" s="20" t="str">
        <f ca="1">IFERROR(__xludf.DUMMYFUNCTION("""COMPUTED_VALUE"""),"device_table_slot_12,10,260,64530,268,240,,,,,86400")</f>
        <v>device_table_slot_12,10,260,64530,268,240,,,,,86400</v>
      </c>
      <c r="X65" s="18" t="str">
        <f ca="1">IFERROR(__xludf.DUMMYFUNCTION("""COMPUTED_VALUE"""),"device_table_slot_11")</f>
        <v>device_table_slot_11</v>
      </c>
      <c r="BL65" s="18" t="str">
        <f ca="1">IFERROR(__xludf.DUMMYFUNCTION("""COMPUTED_VALUE"""),"host_filesystem_directory")</f>
        <v>host_filesystem_directory</v>
      </c>
      <c r="BM65" s="18" t="str">
        <f ca="1">IFERROR(__xludf.DUMMYFUNCTION("""COMPUTED_VALUE"""),"N/A")</f>
        <v>N/A</v>
      </c>
      <c r="BN65" s="18" t="str">
        <f ca="1">IFERROR(__xludf.DUMMYFUNCTION("""COMPUTED_VALUE"""),"N/A")</f>
        <v>N/A</v>
      </c>
      <c r="BP65" s="10"/>
      <c r="BR65" s="18" t="str">
        <f ca="1">IFERROR(__xludf.DUMMYFUNCTION("""COMPUTED_VALUE"""),"aquastat_changeover_min_period")</f>
        <v>aquastat_changeover_min_period</v>
      </c>
      <c r="BS65" s="18" t="str">
        <f ca="1">IFERROR(__xludf.DUMMYFUNCTION("""COMPUTED_VALUE"""),"0x0201")</f>
        <v>0x0201</v>
      </c>
      <c r="BT65" s="18" t="str">
        <f ca="1">IFERROR(__xludf.DUMMYFUNCTION("""COMPUTED_VALUE"""),"0xF0A4")</f>
        <v>0xF0A4</v>
      </c>
      <c r="BU65" s="18" t="str">
        <f ca="1">IFERROR(__xludf.DUMMYFUNCTION("""COMPUTED_VALUE"""),"240")</f>
        <v>240</v>
      </c>
      <c r="BW65" s="10"/>
      <c r="BY65" s="18" t="str">
        <f ca="1">IFERROR(__xludf.DUMMYFUNCTION("""COMPUTED_VALUE"""),"dry_contact")</f>
        <v>dry_contact</v>
      </c>
      <c r="BZ65" s="18" t="str">
        <f ca="1">IFERROR(__xludf.DUMMYFUNCTION("""COMPUTED_VALUE"""),"0x0500")</f>
        <v>0x0500</v>
      </c>
      <c r="CA65" s="18" t="str">
        <f ca="1">IFERROR(__xludf.DUMMYFUNCTION("""COMPUTED_VALUE"""),"0x0002")</f>
        <v>0x0002</v>
      </c>
      <c r="CB65" s="18" t="str">
        <f ca="1">IFERROR(__xludf.DUMMYFUNCTION("""COMPUTED_VALUE"""),"0")</f>
        <v>0</v>
      </c>
      <c r="CC65" s="18" t="str">
        <f ca="1">IFERROR(__xludf.DUMMYFUNCTION("""COMPUTED_VALUE"""),"3600")</f>
        <v>3600</v>
      </c>
      <c r="CD65" s="18" t="str">
        <f ca="1">IFERROR(__xludf.DUMMYFUNCTION("""COMPUTED_VALUE"""),"0")</f>
        <v>0</v>
      </c>
      <c r="CF65" s="10"/>
      <c r="CH65" s="18" t="str">
        <f ca="1">IFERROR(__xludf.DUMMYFUNCTION("""COMPUTED_VALUE"""),"door_occ_lock_enabled")</f>
        <v>door_occ_lock_enabled</v>
      </c>
      <c r="CI65" s="18" t="str">
        <f ca="1">IFERROR(__xludf.DUMMYFUNCTION("""COMPUTED_VALUE"""),"0x0201")</f>
        <v>0x0201</v>
      </c>
      <c r="CJ65" s="18" t="str">
        <f ca="1">IFERROR(__xludf.DUMMYFUNCTION("""COMPUTED_VALUE"""),"0xF0D0")</f>
        <v>0xF0D0</v>
      </c>
      <c r="CK65" s="18" t="str">
        <f ca="1">IFERROR(__xludf.DUMMYFUNCTION("""COMPUTED_VALUE"""),"86400")</f>
        <v>86400</v>
      </c>
      <c r="CM65" s="10"/>
      <c r="CP65" s="18" t="str">
        <f ca="1"/>
        <v/>
      </c>
      <c r="CQ65" s="18" t="str">
        <f ca="1"/>
        <v/>
      </c>
      <c r="CR65" s="18" t="str">
        <f ca="1"/>
        <v/>
      </c>
      <c r="CS65" s="18" t="str">
        <f ca="1"/>
        <v/>
      </c>
      <c r="CT65" s="18" t="str">
        <f ca="1"/>
        <v/>
      </c>
      <c r="CV65" s="10"/>
      <c r="CX65" s="18" t="str">
        <f ca="1">IFERROR(__xludf.DUMMYFUNCTION("""COMPUTED_VALUE"""),"remote_door_occ_lock_delay")</f>
        <v>remote_door_occ_lock_delay</v>
      </c>
      <c r="CY65" s="18" t="str">
        <f ca="1"/>
        <v>0x0201</v>
      </c>
      <c r="CZ65" s="18" t="str">
        <f ca="1"/>
        <v>0xF0D2</v>
      </c>
      <c r="DA65" s="18" t="str">
        <f ca="1"/>
        <v>86400</v>
      </c>
      <c r="DC65" s="10"/>
    </row>
    <row r="66" spans="1:107" x14ac:dyDescent="0.25">
      <c r="A66" s="15" t="s">
        <v>135</v>
      </c>
      <c r="B66" s="15">
        <v>55</v>
      </c>
      <c r="C66" s="15" t="s">
        <v>28</v>
      </c>
      <c r="D66" s="16"/>
      <c r="E66" s="15"/>
      <c r="F66" s="15"/>
      <c r="G66" s="15"/>
      <c r="H66" s="17" t="str">
        <f ca="1">IFERROR(__xludf.DUMMYFUNCTION("""COMPUTED_VALUE"""),"x")</f>
        <v>x</v>
      </c>
      <c r="I66" s="15" t="s">
        <v>29</v>
      </c>
      <c r="J66" s="15" t="s">
        <v>29</v>
      </c>
      <c r="K66" s="15" t="s">
        <v>29</v>
      </c>
      <c r="L66" s="15" t="s">
        <v>29</v>
      </c>
      <c r="M66" s="15" t="s">
        <v>29</v>
      </c>
      <c r="N66" s="16"/>
      <c r="O66" s="18" t="s">
        <v>136</v>
      </c>
      <c r="P66" s="19"/>
      <c r="Q66" s="18" t="str">
        <f ca="1">IFERROR(__xludf.DUMMYFUNCTION("""COMPUTED_VALUE"""),"zb -a 0x0201 0xF161 1278")</f>
        <v>zb -a 0x0201 0xF161 1278</v>
      </c>
      <c r="R66" s="19"/>
      <c r="S66" s="20" t="str">
        <f ca="1">IFERROR(__xludf.DUMMYFUNCTION("""COMPUTED_VALUE"""),"device_table_slot_13,10,260,64530,269,240,,,,,86400")</f>
        <v>device_table_slot_13,10,260,64530,269,240,,,,,86400</v>
      </c>
      <c r="X66" s="18" t="str">
        <f ca="1">IFERROR(__xludf.DUMMYFUNCTION("""COMPUTED_VALUE"""),"device_table_slot_12")</f>
        <v>device_table_slot_12</v>
      </c>
      <c r="BL66" s="18" t="str">
        <f ca="1">IFERROR(__xludf.DUMMYFUNCTION("""COMPUTED_VALUE"""),"esp_boot_count")</f>
        <v>esp_boot_count</v>
      </c>
      <c r="BM66" s="18" t="str">
        <f ca="1">IFERROR(__xludf.DUMMYFUNCTION("""COMPUTED_VALUE"""),"N/A")</f>
        <v>N/A</v>
      </c>
      <c r="BN66" s="18" t="str">
        <f ca="1">IFERROR(__xludf.DUMMYFUNCTION("""COMPUTED_VALUE"""),"N/A")</f>
        <v>N/A</v>
      </c>
      <c r="BP66" s="10"/>
      <c r="BR66" s="18" t="str">
        <f ca="1">IFERROR(__xludf.DUMMYFUNCTION("""COMPUTED_VALUE"""),"aquastat_chilled_modes_available")</f>
        <v>aquastat_chilled_modes_available</v>
      </c>
      <c r="BS66" s="18" t="str">
        <f ca="1">IFERROR(__xludf.DUMMYFUNCTION("""COMPUTED_VALUE"""),"0x0201")</f>
        <v>0x0201</v>
      </c>
      <c r="BT66" s="18" t="str">
        <f ca="1">IFERROR(__xludf.DUMMYFUNCTION("""COMPUTED_VALUE"""),"0xF0A5")</f>
        <v>0xF0A5</v>
      </c>
      <c r="BU66" s="18" t="str">
        <f ca="1">IFERROR(__xludf.DUMMYFUNCTION("""COMPUTED_VALUE"""),"""cool_only""")</f>
        <v>"cool_only"</v>
      </c>
      <c r="BW66" s="10"/>
      <c r="BY66" s="18" t="str">
        <f ca="1">IFERROR(__xludf.DUMMYFUNCTION("""COMPUTED_VALUE"""),"do_not_disturb")</f>
        <v>do_not_disturb</v>
      </c>
      <c r="BZ66" s="18" t="str">
        <f ca="1">IFERROR(__xludf.DUMMYFUNCTION("""COMPUTED_VALUE"""),"0xFC07")</f>
        <v>0xFC07</v>
      </c>
      <c r="CA66" s="18" t="str">
        <f ca="1">IFERROR(__xludf.DUMMYFUNCTION("""COMPUTED_VALUE"""),"0x0001")</f>
        <v>0x0001</v>
      </c>
      <c r="CB66" s="18" t="str">
        <f ca="1">IFERROR(__xludf.DUMMYFUNCTION("""COMPUTED_VALUE"""),"0")</f>
        <v>0</v>
      </c>
      <c r="CC66" s="18" t="str">
        <f ca="1">IFERROR(__xludf.DUMMYFUNCTION("""COMPUTED_VALUE"""),"3600")</f>
        <v>3600</v>
      </c>
      <c r="CD66" s="18" t="str">
        <f ca="1">IFERROR(__xludf.DUMMYFUNCTION("""COMPUTED_VALUE"""),"0")</f>
        <v>0</v>
      </c>
      <c r="CF66" s="10"/>
      <c r="CH66" s="18" t="str">
        <f ca="1">IFERROR(__xludf.DUMMYFUNCTION("""COMPUTED_VALUE"""),"local_door_occ_lock_delay")</f>
        <v>local_door_occ_lock_delay</v>
      </c>
      <c r="CI66" s="18" t="str">
        <f ca="1">IFERROR(__xludf.DUMMYFUNCTION("""COMPUTED_VALUE"""),"0x0201")</f>
        <v>0x0201</v>
      </c>
      <c r="CJ66" s="18" t="str">
        <f ca="1">IFERROR(__xludf.DUMMYFUNCTION("""COMPUTED_VALUE"""),"0xF0D1")</f>
        <v>0xF0D1</v>
      </c>
      <c r="CK66" s="18" t="str">
        <f ca="1">IFERROR(__xludf.DUMMYFUNCTION("""COMPUTED_VALUE"""),"86400")</f>
        <v>86400</v>
      </c>
      <c r="CM66" s="10"/>
      <c r="CP66" s="18" t="str">
        <f ca="1"/>
        <v/>
      </c>
      <c r="CQ66" s="18" t="str">
        <f ca="1"/>
        <v/>
      </c>
      <c r="CR66" s="18" t="str">
        <f ca="1"/>
        <v/>
      </c>
      <c r="CS66" s="18" t="str">
        <f ca="1"/>
        <v/>
      </c>
      <c r="CT66" s="18" t="str">
        <f ca="1"/>
        <v/>
      </c>
      <c r="CV66" s="10"/>
      <c r="CX66" s="18" t="str">
        <f ca="1">IFERROR(__xludf.DUMMYFUNCTION("""COMPUTED_VALUE"""),"door_occ_lock_max_duration")</f>
        <v>door_occ_lock_max_duration</v>
      </c>
      <c r="CY66" s="18" t="str">
        <f ca="1"/>
        <v>0x0201</v>
      </c>
      <c r="CZ66" s="18" t="str">
        <f ca="1"/>
        <v>0xF0D3</v>
      </c>
      <c r="DA66" s="18" t="str">
        <f ca="1"/>
        <v>86400</v>
      </c>
      <c r="DC66" s="10"/>
    </row>
    <row r="67" spans="1:107" x14ac:dyDescent="0.25">
      <c r="A67" s="15" t="s">
        <v>137</v>
      </c>
      <c r="B67" s="15">
        <v>85</v>
      </c>
      <c r="C67" s="15" t="s">
        <v>28</v>
      </c>
      <c r="D67" s="16"/>
      <c r="E67" s="15"/>
      <c r="F67" s="15"/>
      <c r="G67" s="15"/>
      <c r="H67" s="17" t="str">
        <f ca="1">IFERROR(__xludf.DUMMYFUNCTION("""COMPUTED_VALUE"""),"x")</f>
        <v>x</v>
      </c>
      <c r="I67" s="15" t="s">
        <v>29</v>
      </c>
      <c r="J67" s="15" t="s">
        <v>29</v>
      </c>
      <c r="K67" s="15" t="s">
        <v>29</v>
      </c>
      <c r="L67" s="15" t="s">
        <v>29</v>
      </c>
      <c r="M67" s="15" t="s">
        <v>29</v>
      </c>
      <c r="N67" s="16"/>
      <c r="O67" s="18" t="s">
        <v>138</v>
      </c>
      <c r="P67" s="19"/>
      <c r="Q67" s="18" t="str">
        <f ca="1">IFERROR(__xludf.DUMMYFUNCTION("""COMPUTED_VALUE"""),"zb -a 0x0201 0xF162 2944")</f>
        <v>zb -a 0x0201 0xF162 2944</v>
      </c>
      <c r="R67" s="19"/>
      <c r="S67" s="20" t="str">
        <f ca="1">IFERROR(__xludf.DUMMYFUNCTION("""COMPUTED_VALUE"""),"device_table_slot_14,10,260,64530,270,240,,,,,86400")</f>
        <v>device_table_slot_14,10,260,64530,270,240,,,,,86400</v>
      </c>
      <c r="X67" s="18" t="str">
        <f ca="1">IFERROR(__xludf.DUMMYFUNCTION("""COMPUTED_VALUE"""),"device_table_slot_13")</f>
        <v>device_table_slot_13</v>
      </c>
      <c r="BL67" s="18" t="str">
        <f ca="1">IFERROR(__xludf.DUMMYFUNCTION("""COMPUTED_VALUE"""),"esp_boot_count_power")</f>
        <v>esp_boot_count_power</v>
      </c>
      <c r="BM67" s="18" t="str">
        <f ca="1">IFERROR(__xludf.DUMMYFUNCTION("""COMPUTED_VALUE"""),"N/A")</f>
        <v>N/A</v>
      </c>
      <c r="BN67" s="18" t="str">
        <f ca="1">IFERROR(__xludf.DUMMYFUNCTION("""COMPUTED_VALUE"""),"N/A")</f>
        <v>N/A</v>
      </c>
      <c r="BP67" s="10"/>
      <c r="BR67" s="18" t="str">
        <f ca="1">IFERROR(__xludf.DUMMYFUNCTION("""COMPUTED_VALUE"""),"aquastat_heated_modes_available")</f>
        <v>aquastat_heated_modes_available</v>
      </c>
      <c r="BS67" s="18" t="str">
        <f ca="1">IFERROR(__xludf.DUMMYFUNCTION("""COMPUTED_VALUE"""),"0x0201")</f>
        <v>0x0201</v>
      </c>
      <c r="BT67" s="18" t="str">
        <f ca="1">IFERROR(__xludf.DUMMYFUNCTION("""COMPUTED_VALUE"""),"0xF0A6")</f>
        <v>0xF0A6</v>
      </c>
      <c r="BU67" s="18" t="str">
        <f ca="1">IFERROR(__xludf.DUMMYFUNCTION("""COMPUTED_VALUE"""),"""heat_only""")</f>
        <v>"heat_only"</v>
      </c>
      <c r="BW67" s="10"/>
      <c r="BY67" s="18" t="str">
        <f ca="1">IFERROR(__xludf.DUMMYFUNCTION("""COMPUTED_VALUE"""),"make_up_room")</f>
        <v>make_up_room</v>
      </c>
      <c r="BZ67" s="18" t="str">
        <f ca="1">IFERROR(__xludf.DUMMYFUNCTION("""COMPUTED_VALUE"""),"0xFC07")</f>
        <v>0xFC07</v>
      </c>
      <c r="CA67" s="18" t="str">
        <f ca="1">IFERROR(__xludf.DUMMYFUNCTION("""COMPUTED_VALUE"""),"0x0002")</f>
        <v>0x0002</v>
      </c>
      <c r="CB67" s="18" t="str">
        <f ca="1">IFERROR(__xludf.DUMMYFUNCTION("""COMPUTED_VALUE"""),"0")</f>
        <v>0</v>
      </c>
      <c r="CC67" s="18" t="str">
        <f ca="1">IFERROR(__xludf.DUMMYFUNCTION("""COMPUTED_VALUE"""),"3600")</f>
        <v>3600</v>
      </c>
      <c r="CD67" s="18" t="str">
        <f ca="1">IFERROR(__xludf.DUMMYFUNCTION("""COMPUTED_VALUE"""),"0")</f>
        <v>0</v>
      </c>
      <c r="CF67" s="10"/>
      <c r="CH67" s="18" t="str">
        <f ca="1">IFERROR(__xludf.DUMMYFUNCTION("""COMPUTED_VALUE"""),"remote_door_occ_lock_delay")</f>
        <v>remote_door_occ_lock_delay</v>
      </c>
      <c r="CI67" s="18" t="str">
        <f ca="1">IFERROR(__xludf.DUMMYFUNCTION("""COMPUTED_VALUE"""),"0x0201")</f>
        <v>0x0201</v>
      </c>
      <c r="CJ67" s="18" t="str">
        <f ca="1">IFERROR(__xludf.DUMMYFUNCTION("""COMPUTED_VALUE"""),"0xF0D2")</f>
        <v>0xF0D2</v>
      </c>
      <c r="CK67" s="18" t="str">
        <f ca="1">IFERROR(__xludf.DUMMYFUNCTION("""COMPUTED_VALUE"""),"86400")</f>
        <v>86400</v>
      </c>
      <c r="CM67" s="10"/>
      <c r="CP67" s="18" t="str">
        <f ca="1"/>
        <v/>
      </c>
      <c r="CQ67" s="18" t="str">
        <f ca="1"/>
        <v/>
      </c>
      <c r="CR67" s="18" t="str">
        <f ca="1"/>
        <v/>
      </c>
      <c r="CS67" s="18" t="str">
        <f ca="1"/>
        <v/>
      </c>
      <c r="CT67" s="18" t="str">
        <f ca="1"/>
        <v/>
      </c>
      <c r="CV67" s="10"/>
      <c r="CX67" s="18" t="str">
        <f ca="1">IFERROR(__xludf.DUMMYFUNCTION("""COMPUTED_VALUE"""),"occupancy_devices")</f>
        <v>occupancy_devices</v>
      </c>
      <c r="CY67" s="18" t="str">
        <f ca="1"/>
        <v>0x0201</v>
      </c>
      <c r="CZ67" s="18" t="str">
        <f ca="1"/>
        <v>0xF0E0</v>
      </c>
      <c r="DA67" s="18" t="str">
        <f ca="1"/>
        <v>86400</v>
      </c>
      <c r="DC67" s="10"/>
    </row>
    <row r="68" spans="1:107" x14ac:dyDescent="0.25">
      <c r="A68" s="15" t="s">
        <v>139</v>
      </c>
      <c r="B68" s="15">
        <v>8</v>
      </c>
      <c r="C68" s="15" t="s">
        <v>39</v>
      </c>
      <c r="D68" s="16"/>
      <c r="E68" s="15"/>
      <c r="F68" s="15"/>
      <c r="G68" s="15"/>
      <c r="H68" s="17" t="str">
        <f ca="1">IFERROR(__xludf.DUMMYFUNCTION("""COMPUTED_VALUE"""),"x")</f>
        <v>x</v>
      </c>
      <c r="I68" s="15" t="s">
        <v>29</v>
      </c>
      <c r="J68" s="15" t="s">
        <v>29</v>
      </c>
      <c r="K68" s="15" t="s">
        <v>29</v>
      </c>
      <c r="L68" s="15" t="s">
        <v>29</v>
      </c>
      <c r="M68" s="15" t="s">
        <v>29</v>
      </c>
      <c r="N68" s="16"/>
      <c r="O68" s="18" t="s">
        <v>140</v>
      </c>
      <c r="P68" s="19"/>
      <c r="Q68" s="18" t="str">
        <f ca="1">IFERROR(__xludf.DUMMYFUNCTION("""COMPUTED_VALUE"""),"zb -a 0x0201 0xF163 444")</f>
        <v>zb -a 0x0201 0xF163 444</v>
      </c>
      <c r="R68" s="19"/>
      <c r="S68" s="20" t="str">
        <f ca="1">IFERROR(__xludf.DUMMYFUNCTION("""COMPUTED_VALUE"""),"device_table_slot_15,10,260,64530,271,240,,,,,86400")</f>
        <v>device_table_slot_15,10,260,64530,271,240,,,,,86400</v>
      </c>
      <c r="X68" s="18" t="str">
        <f ca="1">IFERROR(__xludf.DUMMYFUNCTION("""COMPUTED_VALUE"""),"device_table_slot_14")</f>
        <v>device_table_slot_14</v>
      </c>
      <c r="BL68" s="18" t="str">
        <f ca="1">IFERROR(__xludf.DUMMYFUNCTION("""COMPUTED_VALUE"""),"esp_boot_count_brownout")</f>
        <v>esp_boot_count_brownout</v>
      </c>
      <c r="BM68" s="18" t="str">
        <f ca="1">IFERROR(__xludf.DUMMYFUNCTION("""COMPUTED_VALUE"""),"N/A")</f>
        <v>N/A</v>
      </c>
      <c r="BN68" s="18" t="str">
        <f ca="1">IFERROR(__xludf.DUMMYFUNCTION("""COMPUTED_VALUE"""),"N/A")</f>
        <v>N/A</v>
      </c>
      <c r="BP68" s="10"/>
      <c r="BR68" s="18" t="str">
        <f ca="1">IFERROR(__xludf.DUMMYFUNCTION("""COMPUTED_VALUE"""),"aquastat_chilled_changeover_mode")</f>
        <v>aquastat_chilled_changeover_mode</v>
      </c>
      <c r="BS68" s="18" t="str">
        <f ca="1">IFERROR(__xludf.DUMMYFUNCTION("""COMPUTED_VALUE"""),"0x0201")</f>
        <v>0x0201</v>
      </c>
      <c r="BT68" s="18" t="str">
        <f ca="1">IFERROR(__xludf.DUMMYFUNCTION("""COMPUTED_VALUE"""),"0xF0A7")</f>
        <v>0xF0A7</v>
      </c>
      <c r="BU68" s="18" t="str">
        <f ca="1">IFERROR(__xludf.DUMMYFUNCTION("""COMPUTED_VALUE"""),"""cool""")</f>
        <v>"cool"</v>
      </c>
      <c r="BW68" s="10"/>
      <c r="BY68" s="18" t="str">
        <f ca="1">IFERROR(__xludf.DUMMYFUNCTION("""COMPUTED_VALUE"""),"green_mode_active")</f>
        <v>green_mode_active</v>
      </c>
      <c r="BZ68" s="18" t="str">
        <f ca="1">IFERROR(__xludf.DUMMYFUNCTION("""COMPUTED_VALUE"""),"0xFC07")</f>
        <v>0xFC07</v>
      </c>
      <c r="CA68" s="18" t="str">
        <f ca="1">IFERROR(__xludf.DUMMYFUNCTION("""COMPUTED_VALUE"""),"0x0007")</f>
        <v>0x0007</v>
      </c>
      <c r="CB68" s="18" t="str">
        <f ca="1">IFERROR(__xludf.DUMMYFUNCTION("""COMPUTED_VALUE"""),"0")</f>
        <v>0</v>
      </c>
      <c r="CC68" s="18" t="str">
        <f ca="1">IFERROR(__xludf.DUMMYFUNCTION("""COMPUTED_VALUE"""),"3600")</f>
        <v>3600</v>
      </c>
      <c r="CD68" s="18" t="str">
        <f ca="1">IFERROR(__xludf.DUMMYFUNCTION("""COMPUTED_VALUE"""),"0")</f>
        <v>0</v>
      </c>
      <c r="CF68" s="10"/>
      <c r="CH68" s="18" t="str">
        <f ca="1">IFERROR(__xludf.DUMMYFUNCTION("""COMPUTED_VALUE"""),"door_occ_lock_max_duration")</f>
        <v>door_occ_lock_max_duration</v>
      </c>
      <c r="CI68" s="18" t="str">
        <f ca="1">IFERROR(__xludf.DUMMYFUNCTION("""COMPUTED_VALUE"""),"0x0201")</f>
        <v>0x0201</v>
      </c>
      <c r="CJ68" s="18" t="str">
        <f ca="1">IFERROR(__xludf.DUMMYFUNCTION("""COMPUTED_VALUE"""),"0xF0D3")</f>
        <v>0xF0D3</v>
      </c>
      <c r="CK68" s="18" t="str">
        <f ca="1">IFERROR(__xludf.DUMMYFUNCTION("""COMPUTED_VALUE"""),"86400")</f>
        <v>86400</v>
      </c>
      <c r="CM68" s="10"/>
      <c r="CP68" s="18" t="str">
        <f ca="1"/>
        <v/>
      </c>
      <c r="CQ68" s="18" t="str">
        <f ca="1"/>
        <v/>
      </c>
      <c r="CR68" s="18" t="str">
        <f ca="1"/>
        <v/>
      </c>
      <c r="CS68" s="18" t="str">
        <f ca="1"/>
        <v/>
      </c>
      <c r="CT68" s="18" t="str">
        <f ca="1"/>
        <v/>
      </c>
      <c r="CV68" s="10"/>
      <c r="CX68" s="18" t="str">
        <f ca="1">IFERROR(__xludf.DUMMYFUNCTION("""COMPUTED_VALUE"""),"setback_mode")</f>
        <v>setback_mode</v>
      </c>
      <c r="CY68" s="18" t="str">
        <f ca="1"/>
        <v>0x0201</v>
      </c>
      <c r="CZ68" s="18" t="str">
        <f ca="1"/>
        <v>0xF0E4</v>
      </c>
      <c r="DA68" s="18" t="str">
        <f ca="1"/>
        <v>86400</v>
      </c>
      <c r="DC68" s="10"/>
    </row>
    <row r="69" spans="1:107" x14ac:dyDescent="0.25">
      <c r="A69" s="15"/>
      <c r="B69" s="15"/>
      <c r="C69" s="15"/>
      <c r="D69" s="16"/>
      <c r="E69" s="15"/>
      <c r="F69" s="15"/>
      <c r="G69" s="15"/>
      <c r="H69" s="17" t="str">
        <f ca="1">IFERROR(__xludf.DUMMYFUNCTION("""COMPUTED_VALUE"""),"")</f>
        <v/>
      </c>
      <c r="I69" s="15" t="s">
        <v>29</v>
      </c>
      <c r="J69" s="15" t="s">
        <v>29</v>
      </c>
      <c r="K69" s="15" t="s">
        <v>29</v>
      </c>
      <c r="L69" s="15" t="s">
        <v>29</v>
      </c>
      <c r="M69" s="15" t="s">
        <v>29</v>
      </c>
      <c r="N69" s="16"/>
      <c r="P69" s="19"/>
      <c r="Q69" s="18" t="str">
        <f ca="1">IFERROR(__xludf.DUMMYFUNCTION("""COMPUTED_VALUE"""),"")</f>
        <v/>
      </c>
      <c r="R69" s="19"/>
      <c r="S69" s="20" t="str">
        <f ca="1">IFERROR(__xludf.DUMMYFUNCTION("""COMPUTED_VALUE"""),"device_table_slot_16,10,260,64530,272,240,,,,,86400")</f>
        <v>device_table_slot_16,10,260,64530,272,240,,,,,86400</v>
      </c>
      <c r="X69" s="18" t="str">
        <f ca="1">IFERROR(__xludf.DUMMYFUNCTION("""COMPUTED_VALUE"""),"device_table_slot_15")</f>
        <v>device_table_slot_15</v>
      </c>
      <c r="BL69" s="18" t="str">
        <f ca="1">IFERROR(__xludf.DUMMYFUNCTION("""COMPUTED_VALUE"""),"esp_boot_count_watchdog")</f>
        <v>esp_boot_count_watchdog</v>
      </c>
      <c r="BM69" s="18" t="str">
        <f ca="1">IFERROR(__xludf.DUMMYFUNCTION("""COMPUTED_VALUE"""),"N/A")</f>
        <v>N/A</v>
      </c>
      <c r="BN69" s="18" t="str">
        <f ca="1">IFERROR(__xludf.DUMMYFUNCTION("""COMPUTED_VALUE"""),"N/A")</f>
        <v>N/A</v>
      </c>
      <c r="BP69" s="10"/>
      <c r="BR69" s="18" t="str">
        <f ca="1">IFERROR(__xludf.DUMMYFUNCTION("""COMPUTED_VALUE"""),"aquastat_heated_changeover_mode")</f>
        <v>aquastat_heated_changeover_mode</v>
      </c>
      <c r="BS69" s="18" t="str">
        <f ca="1">IFERROR(__xludf.DUMMYFUNCTION("""COMPUTED_VALUE"""),"0x0201")</f>
        <v>0x0201</v>
      </c>
      <c r="BT69" s="18" t="str">
        <f ca="1">IFERROR(__xludf.DUMMYFUNCTION("""COMPUTED_VALUE"""),"0xF0A8")</f>
        <v>0xF0A8</v>
      </c>
      <c r="BU69" s="18" t="str">
        <f ca="1">IFERROR(__xludf.DUMMYFUNCTION("""COMPUTED_VALUE"""),"""heat""")</f>
        <v>"heat"</v>
      </c>
      <c r="BW69" s="10"/>
      <c r="BY69" s="18" t="str">
        <f ca="1">IFERROR(__xludf.DUMMYFUNCTION("""COMPUTED_VALUE"""),"timedout_devices")</f>
        <v>timedout_devices</v>
      </c>
      <c r="BZ69" s="18" t="str">
        <f ca="1">IFERROR(__xludf.DUMMYFUNCTION("""COMPUTED_VALUE"""),"0xFC12")</f>
        <v>0xFC12</v>
      </c>
      <c r="CA69" s="18" t="str">
        <f ca="1">IFERROR(__xludf.DUMMYFUNCTION("""COMPUTED_VALUE"""),"0xF000")</f>
        <v>0xF000</v>
      </c>
      <c r="CB69" s="18" t="str">
        <f ca="1">IFERROR(__xludf.DUMMYFUNCTION("""COMPUTED_VALUE"""),"0")</f>
        <v>0</v>
      </c>
      <c r="CC69" s="18" t="str">
        <f ca="1">IFERROR(__xludf.DUMMYFUNCTION("""COMPUTED_VALUE"""),"3600")</f>
        <v>3600</v>
      </c>
      <c r="CD69" s="18" t="str">
        <f ca="1">IFERROR(__xludf.DUMMYFUNCTION("""COMPUTED_VALUE"""),"0")</f>
        <v>0</v>
      </c>
      <c r="CF69" s="10"/>
      <c r="CH69" s="18" t="str">
        <f ca="1">IFERROR(__xludf.DUMMYFUNCTION("""COMPUTED_VALUE"""),"occupancy_devices")</f>
        <v>occupancy_devices</v>
      </c>
      <c r="CI69" s="18" t="str">
        <f ca="1">IFERROR(__xludf.DUMMYFUNCTION("""COMPUTED_VALUE"""),"0x0201")</f>
        <v>0x0201</v>
      </c>
      <c r="CJ69" s="18" t="str">
        <f ca="1">IFERROR(__xludf.DUMMYFUNCTION("""COMPUTED_VALUE"""),"0xF0E0")</f>
        <v>0xF0E0</v>
      </c>
      <c r="CK69" s="18" t="str">
        <f ca="1">IFERROR(__xludf.DUMMYFUNCTION("""COMPUTED_VALUE"""),"86400")</f>
        <v>86400</v>
      </c>
      <c r="CM69" s="10"/>
      <c r="CP69" s="18" t="str">
        <f ca="1"/>
        <v/>
      </c>
      <c r="CQ69" s="18" t="str">
        <f ca="1"/>
        <v/>
      </c>
      <c r="CR69" s="18" t="str">
        <f ca="1"/>
        <v/>
      </c>
      <c r="CS69" s="18" t="str">
        <f ca="1"/>
        <v/>
      </c>
      <c r="CT69" s="18" t="str">
        <f ca="1"/>
        <v/>
      </c>
      <c r="CV69" s="10"/>
      <c r="CX69" s="18" t="str">
        <f ca="1">IFERROR(__xludf.DUMMYFUNCTION("""COMPUTED_VALUE"""),"recovery_time")</f>
        <v>recovery_time</v>
      </c>
      <c r="CY69" s="18" t="str">
        <f ca="1"/>
        <v>0x0201</v>
      </c>
      <c r="CZ69" s="18" t="str">
        <f ca="1"/>
        <v>0xF0E7</v>
      </c>
      <c r="DA69" s="18" t="str">
        <f ca="1"/>
        <v>86400</v>
      </c>
      <c r="DC69" s="10"/>
    </row>
    <row r="70" spans="1:107" x14ac:dyDescent="0.25">
      <c r="A70" s="31" t="s">
        <v>141</v>
      </c>
      <c r="B70" s="33"/>
      <c r="C70" s="33"/>
      <c r="D70" s="22"/>
      <c r="E70" s="33"/>
      <c r="F70" s="33"/>
      <c r="G70" s="33"/>
      <c r="H70" s="22" t="str">
        <f ca="1">IFERROR(__xludf.DUMMYFUNCTION("""COMPUTED_VALUE"""),"")</f>
        <v/>
      </c>
      <c r="I70" s="33" t="s">
        <v>29</v>
      </c>
      <c r="J70" s="33" t="s">
        <v>29</v>
      </c>
      <c r="K70" s="33" t="s">
        <v>29</v>
      </c>
      <c r="L70" s="33" t="s">
        <v>29</v>
      </c>
      <c r="M70" s="33" t="s">
        <v>29</v>
      </c>
      <c r="N70" s="22"/>
      <c r="O70" s="34"/>
      <c r="P70" s="35"/>
      <c r="Q70" s="34" t="str">
        <f ca="1">IFERROR(__xludf.DUMMYFUNCTION("""COMPUTED_VALUE"""),"")</f>
        <v/>
      </c>
      <c r="R70" s="35"/>
      <c r="S70" s="20" t="str">
        <f ca="1">IFERROR(__xludf.DUMMYFUNCTION("""COMPUTED_VALUE"""),"device_table_slot_2,10,260,64530,258,240,,,,,86400")</f>
        <v>device_table_slot_2,10,260,64530,258,240,,,,,86400</v>
      </c>
      <c r="X70" s="18" t="str">
        <f ca="1">IFERROR(__xludf.DUMMYFUNCTION("""COMPUTED_VALUE"""),"device_table_slot_16")</f>
        <v>device_table_slot_16</v>
      </c>
      <c r="BL70" s="18" t="str">
        <f ca="1">IFERROR(__xludf.DUMMYFUNCTION("""COMPUTED_VALUE"""),"esp_boot_count_wifi")</f>
        <v>esp_boot_count_wifi</v>
      </c>
      <c r="BM70" s="18" t="str">
        <f ca="1">IFERROR(__xludf.DUMMYFUNCTION("""COMPUTED_VALUE"""),"N/A")</f>
        <v>N/A</v>
      </c>
      <c r="BN70" s="18" t="str">
        <f ca="1">IFERROR(__xludf.DUMMYFUNCTION("""COMPUTED_VALUE"""),"N/A")</f>
        <v>N/A</v>
      </c>
      <c r="BP70" s="10"/>
      <c r="BR70" s="18" t="str">
        <f ca="1">IFERROR(__xludf.DUMMYFUNCTION("""COMPUTED_VALUE"""),"lanai_enabled")</f>
        <v>lanai_enabled</v>
      </c>
      <c r="BS70" s="18" t="str">
        <f ca="1">IFERROR(__xludf.DUMMYFUNCTION("""COMPUTED_VALUE"""),"0x0201")</f>
        <v>0x0201</v>
      </c>
      <c r="BT70" s="18" t="str">
        <f ca="1">IFERROR(__xludf.DUMMYFUNCTION("""COMPUTED_VALUE"""),"0xF0B0")</f>
        <v>0xF0B0</v>
      </c>
      <c r="BU70" s="18" t="str">
        <f ca="1">IFERROR(__xludf.DUMMYFUNCTION("""COMPUTED_VALUE"""),"false")</f>
        <v>false</v>
      </c>
      <c r="BW70" s="10"/>
      <c r="CF70" s="10"/>
      <c r="CH70" s="18" t="str">
        <f ca="1">IFERROR(__xludf.DUMMYFUNCTION("""COMPUTED_VALUE"""),"setback_mode")</f>
        <v>setback_mode</v>
      </c>
      <c r="CI70" s="18" t="str">
        <f ca="1">IFERROR(__xludf.DUMMYFUNCTION("""COMPUTED_VALUE"""),"0x0201")</f>
        <v>0x0201</v>
      </c>
      <c r="CJ70" s="18" t="str">
        <f ca="1">IFERROR(__xludf.DUMMYFUNCTION("""COMPUTED_VALUE"""),"0xF0E4")</f>
        <v>0xF0E4</v>
      </c>
      <c r="CK70" s="18" t="str">
        <f ca="1">IFERROR(__xludf.DUMMYFUNCTION("""COMPUTED_VALUE"""),"86400")</f>
        <v>86400</v>
      </c>
      <c r="CM70" s="10"/>
      <c r="CP70" s="18" t="str">
        <f ca="1"/>
        <v/>
      </c>
      <c r="CQ70" s="18" t="str">
        <f ca="1"/>
        <v/>
      </c>
      <c r="CR70" s="18" t="str">
        <f ca="1"/>
        <v/>
      </c>
      <c r="CS70" s="18" t="str">
        <f ca="1"/>
        <v/>
      </c>
      <c r="CT70" s="18" t="str">
        <f ca="1"/>
        <v/>
      </c>
      <c r="CV70" s="10"/>
      <c r="CX70" s="18" t="str">
        <f ca="1">IFERROR(__xludf.DUMMYFUNCTION("""COMPUTED_VALUE"""),"comfort_zone")</f>
        <v>comfort_zone</v>
      </c>
      <c r="CY70" s="18" t="str">
        <f ca="1"/>
        <v>0x0201</v>
      </c>
      <c r="CZ70" s="18" t="str">
        <f ca="1"/>
        <v>0xF0E8</v>
      </c>
      <c r="DA70" s="18" t="str">
        <f ca="1"/>
        <v>86400</v>
      </c>
      <c r="DC70" s="10"/>
    </row>
    <row r="71" spans="1:107" x14ac:dyDescent="0.25">
      <c r="A71" s="15" t="s">
        <v>142</v>
      </c>
      <c r="B71" s="15" t="s">
        <v>143</v>
      </c>
      <c r="C71" s="15"/>
      <c r="D71" s="16"/>
      <c r="E71" s="15"/>
      <c r="F71" s="15"/>
      <c r="G71" s="15"/>
      <c r="H71" s="17" t="str">
        <f ca="1">IFERROR(__xludf.DUMMYFUNCTION("""COMPUTED_VALUE"""),"x")</f>
        <v>x</v>
      </c>
      <c r="I71" s="15" t="s">
        <v>29</v>
      </c>
      <c r="J71" s="15" t="s">
        <v>29</v>
      </c>
      <c r="K71" s="15" t="s">
        <v>29</v>
      </c>
      <c r="L71" s="15" t="s">
        <v>29</v>
      </c>
      <c r="M71" s="15" t="s">
        <v>29</v>
      </c>
      <c r="N71" s="16"/>
      <c r="O71" s="18" t="str">
        <f ca="1">IFERROR(__xludf.DUMMYFUNCTION("IF(A71="""","""",A71
&amp;"",""
&amp;HEX2DEC(VLOOKUP(A71,{'Data Model Parser'!$C$4:$C1626,'Data Model Parser'!$U$4:$U1626},2,0))
&amp;"",""
&amp;HEX2DEC(VLOOKUP(A71,{'Data Model Parser'!$C$4:$C1626,'Data Model Parser'!$V$4:$V1626},2,0))
&amp;"",""
&amp;HEX2DEC(VLOOKUP(A71,{'Data"&amp;" Model Parser'!$C$4:$C1626,'Data Model Parser'!$W$4:$W1626},2,0))
&amp;"",""
&amp;HEX2DEC(VLOOKUP(A71,{'Data Model Parser'!$C$4:$C1626,'Data Model Parser'!$T$4:$T1626},2,0))
&amp;"",""
&amp;HEX2DEC(VLOOKUP(A71,{'Data Model Parser'!$C$4:$C1626,'Data Model Parser'!$X$4:$X1"&amp;"626},2,0))
&amp;"",""
&amp;IFS(
B71="""","""",
REGEXREPLACE(B71,CHAR(34),"""")=""disabled"",""0"",
REGEXREPLACE(B71,CHAR(34),"""")=""setpoint_only"",""1"",
REGEXREPLACE(B71,CHAR(34),"""")=""setpoint_and_mode"",""2"")
&amp;"",""
&amp;IF(VLOOKUP(A71,{'Data Model Parser'!$C"&amp;"$4:$C1626,'Data Model Parser'!$G$4:$G1626},2,0)=""polled"","",,,""&amp;VLOOKUP(A71,{'Data Model Parser'!$C$4:$C1626,'Data Model Parser'!$H$4:$H1626},2,0),
IF(VLOOKUP(A71,{'Data Model Parser'!$C$4:$C1626,'Data Model Parser'!$G$4:$G1626},2,0)=""reported"",
IFS("&amp;"E71&lt;&gt;"""",E71&amp;"","",
E71="""",VLOOKUP(A71,{'Data Model Parser'!$C$4:$C1626,'Data Model Parser'!$J$4:$J1626},2,0)&amp;"","")
&amp;IFS(F71&lt;&gt;"""",F71&amp;"","",
F71="""",VLOOKUP(A71,{'Data Model Parser'!$C$4:$C1626,'Data Model Parser'!$I$4:$I1626},2,0)&amp;"","")
&amp;IFS(G71&lt;&gt;"&amp;""""",G71,
G71="""",VLOOKUP(A71,{'Data Model Parser'!$C$4:$C1626,'Data Model Parser'!$K$4:$K1626},2,0)))))"),"setpoint_reset_enable,10,260,513,61808,48,0,,,,86400")</f>
        <v>setpoint_reset_enable,10,260,513,61808,48,0,,,,86400</v>
      </c>
      <c r="P71" s="19"/>
      <c r="Q71" s="18" t="str">
        <f ca="1">IFERROR(__xludf.DUMMYFUNCTION("""COMPUTED_VALUE"""),"zb -a 0x0201 0xF170 0")</f>
        <v>zb -a 0x0201 0xF170 0</v>
      </c>
      <c r="R71" s="19"/>
      <c r="S71" s="20" t="str">
        <f ca="1">IFERROR(__xludf.DUMMYFUNCTION("""COMPUTED_VALUE"""),"device_table_slot_3,10,260,64530,259,240,,,,,86400")</f>
        <v>device_table_slot_3,10,260,64530,259,240,,,,,86400</v>
      </c>
      <c r="X71" s="18" t="str">
        <f ca="1">IFERROR(__xludf.DUMMYFUNCTION("""COMPUTED_VALUE"""),"device_table_slot_2")</f>
        <v>device_table_slot_2</v>
      </c>
      <c r="Y71" s="18" t="str">
        <f ca="1">IFERROR(__xludf.DUMMYFUNCTION("UNIQUE(FILTER({$DE$4:$DE1626,$DH$4:$ES1626}, $DE$4:$DE1626=A71))"),"setpoint_reset_enable")</f>
        <v>setpoint_reset_enable</v>
      </c>
      <c r="Z71" s="18" t="str">
        <f ca="1">IFERROR(__xludf.DUMMYFUNCTION("""COMPUTED_VALUE"""),"""disabled""")</f>
        <v>"disabled"</v>
      </c>
      <c r="AA71" s="18" t="str">
        <f ca="1">IFERROR(__xludf.DUMMYFUNCTION("""COMPUTED_VALUE"""),"""setpoint_only""")</f>
        <v>"setpoint_only"</v>
      </c>
      <c r="AB71" s="18" t="str">
        <f ca="1">IFERROR(__xludf.DUMMYFUNCTION("""COMPUTED_VALUE"""),"""setpoint_and_mode""")</f>
        <v>"setpoint_and_mode"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P71" s="10"/>
      <c r="BR71" s="18" t="str">
        <f ca="1">IFERROR(__xludf.DUMMYFUNCTION("""COMPUTED_VALUE"""),"lanai_delay_time")</f>
        <v>lanai_delay_time</v>
      </c>
      <c r="BS71" s="18" t="str">
        <f ca="1">IFERROR(__xludf.DUMMYFUNCTION("""COMPUTED_VALUE"""),"0x0201")</f>
        <v>0x0201</v>
      </c>
      <c r="BT71" s="18" t="str">
        <f ca="1">IFERROR(__xludf.DUMMYFUNCTION("""COMPUTED_VALUE"""),"0xF0B1")</f>
        <v>0xF0B1</v>
      </c>
      <c r="BU71" s="18" t="str">
        <f ca="1">IFERROR(__xludf.DUMMYFUNCTION("""COMPUTED_VALUE"""),"60")</f>
        <v>60</v>
      </c>
      <c r="BW71" s="10"/>
      <c r="CF71" s="10"/>
      <c r="CH71" s="18" t="str">
        <f ca="1">IFERROR(__xludf.DUMMYFUNCTION("""COMPUTED_VALUE"""),"recovery_time")</f>
        <v>recovery_time</v>
      </c>
      <c r="CI71" s="18" t="str">
        <f ca="1">IFERROR(__xludf.DUMMYFUNCTION("""COMPUTED_VALUE"""),"0x0201")</f>
        <v>0x0201</v>
      </c>
      <c r="CJ71" s="18" t="str">
        <f ca="1">IFERROR(__xludf.DUMMYFUNCTION("""COMPUTED_VALUE"""),"0xF0E7")</f>
        <v>0xF0E7</v>
      </c>
      <c r="CK71" s="18" t="str">
        <f ca="1">IFERROR(__xludf.DUMMYFUNCTION("""COMPUTED_VALUE"""),"86400")</f>
        <v>86400</v>
      </c>
      <c r="CM71" s="10"/>
      <c r="CP71" s="18" t="str">
        <f ca="1"/>
        <v/>
      </c>
      <c r="CQ71" s="18" t="str">
        <f ca="1"/>
        <v/>
      </c>
      <c r="CR71" s="18" t="str">
        <f ca="1"/>
        <v/>
      </c>
      <c r="CS71" s="18" t="str">
        <f ca="1"/>
        <v/>
      </c>
      <c r="CT71" s="18" t="str">
        <f ca="1"/>
        <v/>
      </c>
      <c r="CV71" s="10"/>
      <c r="CX71" s="18" t="str">
        <f ca="1">IFERROR(__xludf.DUMMYFUNCTION("""COMPUTED_VALUE"""),"second_stage_heat_delta_c")</f>
        <v>second_stage_heat_delta_c</v>
      </c>
      <c r="CY71" s="18" t="str">
        <f ca="1"/>
        <v>0x0201</v>
      </c>
      <c r="CZ71" s="18" t="str">
        <f ca="1"/>
        <v>0xF0E9</v>
      </c>
      <c r="DA71" s="18" t="str">
        <f ca="1"/>
        <v>86400</v>
      </c>
      <c r="DC71" s="10"/>
    </row>
    <row r="72" spans="1:107" x14ac:dyDescent="0.25">
      <c r="A72" s="15" t="s">
        <v>144</v>
      </c>
      <c r="B72" s="15">
        <v>480</v>
      </c>
      <c r="C72" s="15" t="s">
        <v>45</v>
      </c>
      <c r="D72" s="16"/>
      <c r="E72" s="15"/>
      <c r="F72" s="15"/>
      <c r="G72" s="15"/>
      <c r="H72" s="17" t="str">
        <f ca="1">IFERROR(__xludf.DUMMYFUNCTION("""COMPUTED_VALUE"""),"x")</f>
        <v>x</v>
      </c>
      <c r="I72" s="15" t="s">
        <v>29</v>
      </c>
      <c r="J72" s="15" t="s">
        <v>29</v>
      </c>
      <c r="K72" s="15" t="s">
        <v>29</v>
      </c>
      <c r="L72" s="15" t="s">
        <v>29</v>
      </c>
      <c r="M72" s="15" t="s">
        <v>29</v>
      </c>
      <c r="N72" s="16"/>
      <c r="O72" s="18" t="s">
        <v>145</v>
      </c>
      <c r="P72" s="19"/>
      <c r="Q72" s="18" t="str">
        <f ca="1">IFERROR(__xludf.DUMMYFUNCTION("""COMPUTED_VALUE"""),"zb -a 0x0201 0xF171 480")</f>
        <v>zb -a 0x0201 0xF171 480</v>
      </c>
      <c r="R72" s="19"/>
      <c r="S72" s="20" t="str">
        <f ca="1">IFERROR(__xludf.DUMMYFUNCTION("""COMPUTED_VALUE"""),"device_table_slot_4,10,260,64530,260,240,,,,,86400")</f>
        <v>device_table_slot_4,10,260,64530,260,240,,,,,86400</v>
      </c>
      <c r="X72" s="18" t="str">
        <f ca="1">IFERROR(__xludf.DUMMYFUNCTION("""COMPUTED_VALUE"""),"device_table_slot_3")</f>
        <v>device_table_slot_3</v>
      </c>
      <c r="BP72" s="10"/>
      <c r="BR72" s="18" t="str">
        <f ca="1">IFERROR(__xludf.DUMMYFUNCTION("""COMPUTED_VALUE"""),"lanai_entry_offline_time")</f>
        <v>lanai_entry_offline_time</v>
      </c>
      <c r="BS72" s="18" t="str">
        <f ca="1">IFERROR(__xludf.DUMMYFUNCTION("""COMPUTED_VALUE"""),"0x0201")</f>
        <v>0x0201</v>
      </c>
      <c r="BT72" s="18" t="str">
        <f ca="1">IFERROR(__xludf.DUMMYFUNCTION("""COMPUTED_VALUE"""),"0xF0B2")</f>
        <v>0xF0B2</v>
      </c>
      <c r="BU72" s="18" t="str">
        <f ca="1">IFERROR(__xludf.DUMMYFUNCTION("""COMPUTED_VALUE"""),"16")</f>
        <v>16</v>
      </c>
      <c r="BW72" s="10"/>
      <c r="CF72" s="10"/>
      <c r="CH72" s="18" t="str">
        <f ca="1">IFERROR(__xludf.DUMMYFUNCTION("""COMPUTED_VALUE"""),"comfort_zone")</f>
        <v>comfort_zone</v>
      </c>
      <c r="CI72" s="18" t="str">
        <f ca="1">IFERROR(__xludf.DUMMYFUNCTION("""COMPUTED_VALUE"""),"0x0201")</f>
        <v>0x0201</v>
      </c>
      <c r="CJ72" s="18" t="str">
        <f ca="1">IFERROR(__xludf.DUMMYFUNCTION("""COMPUTED_VALUE"""),"0xF0E8")</f>
        <v>0xF0E8</v>
      </c>
      <c r="CK72" s="18" t="str">
        <f ca="1">IFERROR(__xludf.DUMMYFUNCTION("""COMPUTED_VALUE"""),"86400")</f>
        <v>86400</v>
      </c>
      <c r="CM72" s="10"/>
      <c r="CP72" s="18" t="str">
        <f ca="1"/>
        <v/>
      </c>
      <c r="CQ72" s="18" t="str">
        <f ca="1"/>
        <v/>
      </c>
      <c r="CR72" s="18" t="str">
        <f ca="1"/>
        <v/>
      </c>
      <c r="CS72" s="18" t="str">
        <f ca="1"/>
        <v/>
      </c>
      <c r="CT72" s="18" t="str">
        <f ca="1"/>
        <v/>
      </c>
      <c r="CV72" s="10"/>
      <c r="CX72" s="18" t="str">
        <f ca="1">IFERROR(__xludf.DUMMYFUNCTION("""COMPUTED_VALUE"""),"third_stage_heat_delta_c")</f>
        <v>third_stage_heat_delta_c</v>
      </c>
      <c r="CY72" s="18" t="str">
        <f ca="1"/>
        <v>0x0201</v>
      </c>
      <c r="CZ72" s="18" t="str">
        <f ca="1"/>
        <v>0xF0EA</v>
      </c>
      <c r="DA72" s="18" t="str">
        <f ca="1"/>
        <v>86400</v>
      </c>
      <c r="DC72" s="10"/>
    </row>
    <row r="73" spans="1:107" x14ac:dyDescent="0.25">
      <c r="A73" s="15" t="s">
        <v>146</v>
      </c>
      <c r="B73" s="15" t="s">
        <v>147</v>
      </c>
      <c r="C73" s="15"/>
      <c r="D73" s="16"/>
      <c r="E73" s="15"/>
      <c r="F73" s="15"/>
      <c r="G73" s="15"/>
      <c r="H73" s="17" t="str">
        <f ca="1">IFERROR(__xludf.DUMMYFUNCTION("""COMPUTED_VALUE"""),"x")</f>
        <v>x</v>
      </c>
      <c r="I73" s="15" t="s">
        <v>29</v>
      </c>
      <c r="J73" s="15" t="s">
        <v>29</v>
      </c>
      <c r="K73" s="15" t="s">
        <v>29</v>
      </c>
      <c r="L73" s="15" t="s">
        <v>29</v>
      </c>
      <c r="M73" s="15" t="s">
        <v>29</v>
      </c>
      <c r="N73" s="16"/>
      <c r="O73" s="18" t="str">
        <f ca="1">IFERROR(__xludf.DUMMYFUNCTION("IF(A73="""","""",A73
&amp;"",""
&amp;HEX2DEC(VLOOKUP(A73,{'Data Model Parser'!$C$4:$C1626,'Data Model Parser'!$U$4:$U1626},2,0))
&amp;"",""
&amp;HEX2DEC(VLOOKUP(A73,{'Data Model Parser'!$C$4:$C1626,'Data Model Parser'!$V$4:$V1626},2,0))
&amp;"",""
&amp;HEX2DEC(VLOOKUP(A73,{'Data"&amp;" Model Parser'!$C$4:$C1626,'Data Model Parser'!$W$4:$W1626},2,0))
&amp;"",""
&amp;HEX2DEC(VLOOKUP(A73,{'Data Model Parser'!$C$4:$C1626,'Data Model Parser'!$T$4:$T1626},2,0))
&amp;"",""
&amp;HEX2DEC(VLOOKUP(A73,{'Data Model Parser'!$C$4:$C1626,'Data Model Parser'!$X$4:$X1"&amp;"626},2,0))
&amp;"",""
&amp;IFS(
B73="""","""",
REGEXREPLACE(B73,CHAR(34),"""")=""off"",""0"",
REGEXREPLACE(B73,CHAR(34),"""")=""auto"",""1"",
REGEXREPLACE(B73,CHAR(34),"""")=""cool"",""3"",
REGEXREPLACE(B73,CHAR(34),"""")=""heat"",""4"")
&amp;"",""
&amp;IF(VLOOKUP(A73,{'"&amp;"Data Model Parser'!$C$4:$C1626,'Data Model Parser'!$G$4:$G1626},2,0)=""polled"","",,,""&amp;VLOOKUP(A73,{'Data Model Parser'!$C$4:$C1626,'Data Model Parser'!$H$4:$H1626},2,0),
IF(VLOOKUP(A73,{'Data Model Parser'!$C$4:$C1626,'Data Model Parser'!$G$4:$G1626},2,"&amp;"0)=""reported"",
IFS(E73&lt;&gt;"""",E73&amp;"","",
E73="""",VLOOKUP(A73,{'Data Model Parser'!$C$4:$C1626,'Data Model Parser'!$J$4:$J1626},2,0)&amp;"","")
&amp;IFS(F73&lt;&gt;"""",F73&amp;"","",
F73="""",VLOOKUP(A73,{'Data Model Parser'!$C$4:$C1626,'Data Model Parser'!$I$4:$I1626},2"&amp;",0)&amp;"","")
&amp;IFS(G73&lt;&gt;"""",G73,
G73="""",VLOOKUP(A73,{'Data Model Parser'!$C$4:$C1626,'Data Model Parser'!$K$4:$K1626},2,0)))))"),"setpoint_reset_hvac_mode,10,260,513,61810,48,0,,,,86400")</f>
        <v>setpoint_reset_hvac_mode,10,260,513,61810,48,0,,,,86400</v>
      </c>
      <c r="P73" s="19"/>
      <c r="Q73" s="18" t="str">
        <f ca="1">IFERROR(__xludf.DUMMYFUNCTION("""COMPUTED_VALUE"""),"zb -a 0x0201 0xF172 0")</f>
        <v>zb -a 0x0201 0xF172 0</v>
      </c>
      <c r="R73" s="19"/>
      <c r="S73" s="20" t="str">
        <f ca="1">IFERROR(__xludf.DUMMYFUNCTION("""COMPUTED_VALUE"""),"device_table_slot_5,10,260,64530,261,240,,,,,86400")</f>
        <v>device_table_slot_5,10,260,64530,261,240,,,,,86400</v>
      </c>
      <c r="X73" s="18" t="str">
        <f ca="1">IFERROR(__xludf.DUMMYFUNCTION("""COMPUTED_VALUE"""),"device_table_slot_4")</f>
        <v>device_table_slot_4</v>
      </c>
      <c r="Y73" s="18" t="str">
        <f ca="1">IFERROR(__xludf.DUMMYFUNCTION("UNIQUE(FILTER({$DE$4:$DE1626,$DH$4:$ES1626}, $DE$4:$DE1626=A73))"),"setpoint_reset_hvac_mode")</f>
        <v>setpoint_reset_hvac_mode</v>
      </c>
      <c r="Z73" s="18" t="str">
        <f ca="1">IFERROR(__xludf.DUMMYFUNCTION("""COMPUTED_VALUE"""),"""off""")</f>
        <v>"off"</v>
      </c>
      <c r="AA73" s="18" t="str">
        <f ca="1">IFERROR(__xludf.DUMMYFUNCTION("""COMPUTED_VALUE"""),"""cool""")</f>
        <v>"cool"</v>
      </c>
      <c r="AB73" s="18" t="str">
        <f ca="1">IFERROR(__xludf.DUMMYFUNCTION("""COMPUTED_VALUE"""),"""heat""")</f>
        <v>"heat"</v>
      </c>
      <c r="AC73" s="18" t="str">
        <f ca="1">IFERROR(__xludf.DUMMYFUNCTION("""COMPUTED_VALUE"""),"""auto""")</f>
        <v>"auto"</v>
      </c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P73" s="10"/>
      <c r="BR73" s="18" t="str">
        <f ca="1">IFERROR(__xludf.DUMMYFUNCTION("""COMPUTED_VALUE"""),"entry_unchanged_timeout")</f>
        <v>entry_unchanged_timeout</v>
      </c>
      <c r="BS73" s="18" t="str">
        <f ca="1">IFERROR(__xludf.DUMMYFUNCTION("""COMPUTED_VALUE"""),"0x0201")</f>
        <v>0x0201</v>
      </c>
      <c r="BT73" s="18" t="str">
        <f ca="1">IFERROR(__xludf.DUMMYFUNCTION("""COMPUTED_VALUE"""),"0xF0BC")</f>
        <v>0xF0BC</v>
      </c>
      <c r="BU73" s="18" t="str">
        <f ca="1">IFERROR(__xludf.DUMMYFUNCTION("""COMPUTED_VALUE"""),"16")</f>
        <v>16</v>
      </c>
      <c r="BW73" s="10"/>
      <c r="CF73" s="10"/>
      <c r="CH73" s="18" t="str">
        <f ca="1">IFERROR(__xludf.DUMMYFUNCTION("""COMPUTED_VALUE"""),"second_stage_heat_delta_c")</f>
        <v>second_stage_heat_delta_c</v>
      </c>
      <c r="CI73" s="18" t="str">
        <f ca="1">IFERROR(__xludf.DUMMYFUNCTION("""COMPUTED_VALUE"""),"0x0201")</f>
        <v>0x0201</v>
      </c>
      <c r="CJ73" s="18" t="str">
        <f ca="1">IFERROR(__xludf.DUMMYFUNCTION("""COMPUTED_VALUE"""),"0xF0E9")</f>
        <v>0xF0E9</v>
      </c>
      <c r="CK73" s="18" t="str">
        <f ca="1">IFERROR(__xludf.DUMMYFUNCTION("""COMPUTED_VALUE"""),"86400")</f>
        <v>86400</v>
      </c>
      <c r="CM73" s="10"/>
      <c r="CP73" s="18" t="str">
        <f ca="1"/>
        <v/>
      </c>
      <c r="CQ73" s="18" t="str">
        <f ca="1"/>
        <v/>
      </c>
      <c r="CR73" s="18" t="str">
        <f ca="1"/>
        <v/>
      </c>
      <c r="CS73" s="18" t="str">
        <f ca="1"/>
        <v/>
      </c>
      <c r="CT73" s="18" t="str">
        <f ca="1"/>
        <v/>
      </c>
      <c r="CV73" s="10"/>
      <c r="CX73" s="18" t="str">
        <f ca="1">IFERROR(__xludf.DUMMYFUNCTION("""COMPUTED_VALUE"""),"second_stage_cool_delta_c")</f>
        <v>second_stage_cool_delta_c</v>
      </c>
      <c r="CY73" s="18" t="str">
        <f ca="1"/>
        <v>0x0201</v>
      </c>
      <c r="CZ73" s="18" t="str">
        <f ca="1"/>
        <v>0xF0EB</v>
      </c>
      <c r="DA73" s="18" t="str">
        <f ca="1"/>
        <v>86400</v>
      </c>
      <c r="DC73" s="10"/>
    </row>
    <row r="74" spans="1:107" x14ac:dyDescent="0.25">
      <c r="A74" s="15" t="s">
        <v>148</v>
      </c>
      <c r="B74" s="15">
        <v>68</v>
      </c>
      <c r="C74" s="15" t="s">
        <v>28</v>
      </c>
      <c r="D74" s="16"/>
      <c r="E74" s="15"/>
      <c r="F74" s="15"/>
      <c r="G74" s="15"/>
      <c r="H74" s="17" t="str">
        <f ca="1">IFERROR(__xludf.DUMMYFUNCTION("""COMPUTED_VALUE"""),"x")</f>
        <v>x</v>
      </c>
      <c r="I74" s="15" t="s">
        <v>29</v>
      </c>
      <c r="J74" s="15" t="s">
        <v>29</v>
      </c>
      <c r="K74" s="15" t="s">
        <v>29</v>
      </c>
      <c r="L74" s="15" t="s">
        <v>29</v>
      </c>
      <c r="M74" s="15" t="s">
        <v>29</v>
      </c>
      <c r="N74" s="16"/>
      <c r="O74" s="18" t="s">
        <v>149</v>
      </c>
      <c r="P74" s="19"/>
      <c r="Q74" s="18" t="str">
        <f ca="1">IFERROR(__xludf.DUMMYFUNCTION("""COMPUTED_VALUE"""),"zb -a 0x0201 0xF173 2000")</f>
        <v>zb -a 0x0201 0xF173 2000</v>
      </c>
      <c r="R74" s="19"/>
      <c r="S74" s="20" t="str">
        <f ca="1">IFERROR(__xludf.DUMMYFUNCTION("""COMPUTED_VALUE"""),"device_table_slot_6,10,260,64530,262,240,,,,,86400")</f>
        <v>device_table_slot_6,10,260,64530,262,240,,,,,86400</v>
      </c>
      <c r="X74" s="18" t="str">
        <f ca="1">IFERROR(__xludf.DUMMYFUNCTION("""COMPUTED_VALUE"""),"device_table_slot_5")</f>
        <v>device_table_slot_5</v>
      </c>
      <c r="BP74" s="10"/>
      <c r="BR74" s="18" t="str">
        <f ca="1">IFERROR(__xludf.DUMMYFUNCTION("""COMPUTED_VALUE"""),"ntc_beta_sensor_0")</f>
        <v>ntc_beta_sensor_0</v>
      </c>
      <c r="BS74" s="18" t="str">
        <f ca="1">IFERROR(__xludf.DUMMYFUNCTION("""COMPUTED_VALUE"""),"0x0201")</f>
        <v>0x0201</v>
      </c>
      <c r="BT74" s="18" t="str">
        <f ca="1">IFERROR(__xludf.DUMMYFUNCTION("""COMPUTED_VALUE"""),"0xF0C0")</f>
        <v>0xF0C0</v>
      </c>
      <c r="BU74" s="18" t="str">
        <f ca="1">IFERROR(__xludf.DUMMYFUNCTION("""COMPUTED_VALUE"""),"N/A")</f>
        <v>N/A</v>
      </c>
      <c r="BW74" s="10"/>
      <c r="CF74" s="10"/>
      <c r="CH74" s="18" t="str">
        <f ca="1">IFERROR(__xludf.DUMMYFUNCTION("""COMPUTED_VALUE"""),"third_stage_heat_delta_c")</f>
        <v>third_stage_heat_delta_c</v>
      </c>
      <c r="CI74" s="18" t="str">
        <f ca="1">IFERROR(__xludf.DUMMYFUNCTION("""COMPUTED_VALUE"""),"0x0201")</f>
        <v>0x0201</v>
      </c>
      <c r="CJ74" s="18" t="str">
        <f ca="1">IFERROR(__xludf.DUMMYFUNCTION("""COMPUTED_VALUE"""),"0xF0EA")</f>
        <v>0xF0EA</v>
      </c>
      <c r="CK74" s="18" t="str">
        <f ca="1">IFERROR(__xludf.DUMMYFUNCTION("""COMPUTED_VALUE"""),"86400")</f>
        <v>86400</v>
      </c>
      <c r="CM74" s="10"/>
      <c r="CP74" s="18" t="str">
        <f ca="1"/>
        <v/>
      </c>
      <c r="CQ74" s="18" t="str">
        <f ca="1"/>
        <v/>
      </c>
      <c r="CR74" s="18" t="str">
        <f ca="1"/>
        <v/>
      </c>
      <c r="CS74" s="18" t="str">
        <f ca="1"/>
        <v/>
      </c>
      <c r="CT74" s="18" t="str">
        <f ca="1"/>
        <v/>
      </c>
      <c r="CV74" s="10"/>
      <c r="CX74" s="18" t="str">
        <f ca="1">IFERROR(__xludf.DUMMYFUNCTION("""COMPUTED_VALUE"""),"third_stage_cool_delta_c")</f>
        <v>third_stage_cool_delta_c</v>
      </c>
      <c r="CY74" s="18" t="str">
        <f ca="1"/>
        <v>0x0201</v>
      </c>
      <c r="CZ74" s="18" t="str">
        <f ca="1"/>
        <v>0xF0EC</v>
      </c>
      <c r="DA74" s="18" t="str">
        <f ca="1"/>
        <v>86400</v>
      </c>
      <c r="DC74" s="10"/>
    </row>
    <row r="75" spans="1:107" x14ac:dyDescent="0.25">
      <c r="A75" s="15" t="s">
        <v>150</v>
      </c>
      <c r="B75" s="15">
        <v>68</v>
      </c>
      <c r="C75" s="15" t="s">
        <v>28</v>
      </c>
      <c r="D75" s="16"/>
      <c r="E75" s="15"/>
      <c r="F75" s="15"/>
      <c r="G75" s="15"/>
      <c r="H75" s="17" t="str">
        <f ca="1">IFERROR(__xludf.DUMMYFUNCTION("""COMPUTED_VALUE"""),"x")</f>
        <v>x</v>
      </c>
      <c r="I75" s="15" t="s">
        <v>29</v>
      </c>
      <c r="J75" s="15" t="s">
        <v>29</v>
      </c>
      <c r="K75" s="15" t="s">
        <v>29</v>
      </c>
      <c r="L75" s="15" t="s">
        <v>29</v>
      </c>
      <c r="M75" s="15" t="s">
        <v>29</v>
      </c>
      <c r="N75" s="16"/>
      <c r="O75" s="18" t="s">
        <v>151</v>
      </c>
      <c r="P75" s="19"/>
      <c r="Q75" s="18" t="str">
        <f ca="1">IFERROR(__xludf.DUMMYFUNCTION("""COMPUTED_VALUE"""),"zb -a 0x0201 0xF174 2000")</f>
        <v>zb -a 0x0201 0xF174 2000</v>
      </c>
      <c r="R75" s="19"/>
      <c r="S75" s="20" t="str">
        <f ca="1">IFERROR(__xludf.DUMMYFUNCTION("""COMPUTED_VALUE"""),"device_table_slot_7,10,260,64530,263,240,,,,,86400")</f>
        <v>device_table_slot_7,10,260,64530,263,240,,,,,86400</v>
      </c>
      <c r="X75" s="18" t="str">
        <f ca="1">IFERROR(__xludf.DUMMYFUNCTION("""COMPUTED_VALUE"""),"device_table_slot_6")</f>
        <v>device_table_slot_6</v>
      </c>
      <c r="BP75" s="10"/>
      <c r="BR75" s="18" t="str">
        <f ca="1">IFERROR(__xludf.DUMMYFUNCTION("""COMPUTED_VALUE"""),"ntc_beta_sensor_1")</f>
        <v>ntc_beta_sensor_1</v>
      </c>
      <c r="BS75" s="18" t="str">
        <f ca="1">IFERROR(__xludf.DUMMYFUNCTION("""COMPUTED_VALUE"""),"0x0201")</f>
        <v>0x0201</v>
      </c>
      <c r="BT75" s="18" t="str">
        <f ca="1">IFERROR(__xludf.DUMMYFUNCTION("""COMPUTED_VALUE"""),"0xF0C1")</f>
        <v>0xF0C1</v>
      </c>
      <c r="BU75" s="18" t="str">
        <f ca="1">IFERROR(__xludf.DUMMYFUNCTION("""COMPUTED_VALUE"""),"N/A")</f>
        <v>N/A</v>
      </c>
      <c r="BW75" s="10"/>
      <c r="CF75" s="10"/>
      <c r="CH75" s="18" t="str">
        <f ca="1">IFERROR(__xludf.DUMMYFUNCTION("""COMPUTED_VALUE"""),"second_stage_cool_delta_c")</f>
        <v>second_stage_cool_delta_c</v>
      </c>
      <c r="CI75" s="18" t="str">
        <f ca="1">IFERROR(__xludf.DUMMYFUNCTION("""COMPUTED_VALUE"""),"0x0201")</f>
        <v>0x0201</v>
      </c>
      <c r="CJ75" s="18" t="str">
        <f ca="1">IFERROR(__xludf.DUMMYFUNCTION("""COMPUTED_VALUE"""),"0xF0EB")</f>
        <v>0xF0EB</v>
      </c>
      <c r="CK75" s="18" t="str">
        <f ca="1">IFERROR(__xludf.DUMMYFUNCTION("""COMPUTED_VALUE"""),"86400")</f>
        <v>86400</v>
      </c>
      <c r="CM75" s="10"/>
      <c r="CP75" s="18" t="str">
        <f ca="1"/>
        <v/>
      </c>
      <c r="CQ75" s="18" t="str">
        <f ca="1"/>
        <v/>
      </c>
      <c r="CR75" s="18" t="str">
        <f ca="1"/>
        <v/>
      </c>
      <c r="CS75" s="18" t="str">
        <f ca="1"/>
        <v/>
      </c>
      <c r="CT75" s="18" t="str">
        <f ca="1"/>
        <v/>
      </c>
      <c r="CV75" s="10"/>
      <c r="CX75" s="18" t="str">
        <f ca="1">IFERROR(__xludf.DUMMYFUNCTION("""COMPUTED_VALUE"""),"tau_smoothing_alpha")</f>
        <v>tau_smoothing_alpha</v>
      </c>
      <c r="CY75" s="18" t="str">
        <f ca="1"/>
        <v>0x0201</v>
      </c>
      <c r="CZ75" s="18" t="str">
        <f ca="1"/>
        <v>0xF0ED</v>
      </c>
      <c r="DA75" s="18" t="str">
        <f ca="1"/>
        <v>86400</v>
      </c>
      <c r="DC75" s="10"/>
    </row>
    <row r="76" spans="1:107" x14ac:dyDescent="0.25">
      <c r="A76" s="15"/>
      <c r="B76" s="15"/>
      <c r="C76" s="15"/>
      <c r="D76" s="16"/>
      <c r="E76" s="15"/>
      <c r="F76" s="15"/>
      <c r="G76" s="15"/>
      <c r="H76" s="17" t="str">
        <f ca="1">IFERROR(__xludf.DUMMYFUNCTION("""COMPUTED_VALUE"""),"")</f>
        <v/>
      </c>
      <c r="I76" s="15" t="s">
        <v>29</v>
      </c>
      <c r="J76" s="15" t="s">
        <v>29</v>
      </c>
      <c r="K76" s="15" t="s">
        <v>29</v>
      </c>
      <c r="L76" s="15" t="s">
        <v>29</v>
      </c>
      <c r="M76" s="15" t="s">
        <v>29</v>
      </c>
      <c r="N76" s="16"/>
      <c r="P76" s="19"/>
      <c r="Q76" s="18" t="str">
        <f ca="1">IFERROR(__xludf.DUMMYFUNCTION("""COMPUTED_VALUE"""),"")</f>
        <v/>
      </c>
      <c r="R76" s="19"/>
      <c r="S76" s="20" t="str">
        <f ca="1">IFERROR(__xludf.DUMMYFUNCTION("""COMPUTED_VALUE"""),"device_table_slot_8,10,260,64530,264,240,,,,,86400")</f>
        <v>device_table_slot_8,10,260,64530,264,240,,,,,86400</v>
      </c>
      <c r="X76" s="18" t="str">
        <f ca="1">IFERROR(__xludf.DUMMYFUNCTION("""COMPUTED_VALUE"""),"device_table_slot_7")</f>
        <v>device_table_slot_7</v>
      </c>
      <c r="BP76" s="10"/>
      <c r="BR76" s="18" t="str">
        <f ca="1">IFERROR(__xludf.DUMMYFUNCTION("""COMPUTED_VALUE"""),"ntc_beta_sensor_2")</f>
        <v>ntc_beta_sensor_2</v>
      </c>
      <c r="BS76" s="18" t="str">
        <f ca="1">IFERROR(__xludf.DUMMYFUNCTION("""COMPUTED_VALUE"""),"0x0201")</f>
        <v>0x0201</v>
      </c>
      <c r="BT76" s="18" t="str">
        <f ca="1">IFERROR(__xludf.DUMMYFUNCTION("""COMPUTED_VALUE"""),"0xF0C2")</f>
        <v>0xF0C2</v>
      </c>
      <c r="BU76" s="18" t="str">
        <f ca="1">IFERROR(__xludf.DUMMYFUNCTION("""COMPUTED_VALUE"""),"N/A")</f>
        <v>N/A</v>
      </c>
      <c r="BW76" s="10"/>
      <c r="CF76" s="10"/>
      <c r="CH76" s="18" t="str">
        <f ca="1">IFERROR(__xludf.DUMMYFUNCTION("""COMPUTED_VALUE"""),"third_stage_cool_delta_c")</f>
        <v>third_stage_cool_delta_c</v>
      </c>
      <c r="CI76" s="18" t="str">
        <f ca="1">IFERROR(__xludf.DUMMYFUNCTION("""COMPUTED_VALUE"""),"0x0201")</f>
        <v>0x0201</v>
      </c>
      <c r="CJ76" s="18" t="str">
        <f ca="1">IFERROR(__xludf.DUMMYFUNCTION("""COMPUTED_VALUE"""),"0xF0EC")</f>
        <v>0xF0EC</v>
      </c>
      <c r="CK76" s="18" t="str">
        <f ca="1">IFERROR(__xludf.DUMMYFUNCTION("""COMPUTED_VALUE"""),"86400")</f>
        <v>86400</v>
      </c>
      <c r="CM76" s="10"/>
      <c r="CP76" s="18" t="str">
        <f ca="1"/>
        <v/>
      </c>
      <c r="CQ76" s="18" t="str">
        <f ca="1"/>
        <v/>
      </c>
      <c r="CR76" s="18" t="str">
        <f ca="1"/>
        <v/>
      </c>
      <c r="CS76" s="18" t="str">
        <f ca="1"/>
        <v/>
      </c>
      <c r="CT76" s="18" t="str">
        <f ca="1"/>
        <v/>
      </c>
      <c r="CV76" s="10"/>
      <c r="CX76" s="18" t="str">
        <f ca="1">IFERROR(__xludf.DUMMYFUNCTION("""COMPUTED_VALUE"""),"fixed_heat_setback")</f>
        <v>fixed_heat_setback</v>
      </c>
      <c r="CY76" s="18" t="str">
        <f ca="1"/>
        <v>0x0201</v>
      </c>
      <c r="CZ76" s="18" t="str">
        <f ca="1"/>
        <v>0xF0EF</v>
      </c>
      <c r="DA76" s="18" t="str">
        <f ca="1"/>
        <v>86400</v>
      </c>
      <c r="DC76" s="10"/>
    </row>
    <row r="77" spans="1:107" x14ac:dyDescent="0.25">
      <c r="A77" s="9" t="s">
        <v>152</v>
      </c>
      <c r="B77" s="16"/>
      <c r="C77" s="16"/>
      <c r="D77" s="16"/>
      <c r="E77" s="16"/>
      <c r="F77" s="16"/>
      <c r="G77" s="16"/>
      <c r="H77" s="17" t="str">
        <f ca="1">IFERROR(__xludf.DUMMYFUNCTION("""COMPUTED_VALUE"""),"")</f>
        <v/>
      </c>
      <c r="I77" s="16" t="s">
        <v>29</v>
      </c>
      <c r="J77" s="16" t="s">
        <v>29</v>
      </c>
      <c r="K77" s="16" t="s">
        <v>29</v>
      </c>
      <c r="L77" s="16" t="s">
        <v>29</v>
      </c>
      <c r="M77" s="16" t="s">
        <v>29</v>
      </c>
      <c r="N77" s="16"/>
      <c r="O77" s="10"/>
      <c r="P77" s="19"/>
      <c r="Q77" s="10" t="str">
        <f ca="1">IFERROR(__xludf.DUMMYFUNCTION("""COMPUTED_VALUE"""),"")</f>
        <v/>
      </c>
      <c r="R77" s="19"/>
      <c r="S77" s="20" t="str">
        <f ca="1">IFERROR(__xludf.DUMMYFUNCTION("""COMPUTED_VALUE"""),"device_table_slot_9,10,260,64530,265,240,,,,,86400")</f>
        <v>device_table_slot_9,10,260,64530,265,240,,,,,86400</v>
      </c>
      <c r="X77" s="18" t="str">
        <f ca="1">IFERROR(__xludf.DUMMYFUNCTION("""COMPUTED_VALUE"""),"device_table_slot_8")</f>
        <v>device_table_slot_8</v>
      </c>
      <c r="BP77" s="10"/>
      <c r="BR77" s="18" t="str">
        <f ca="1">IFERROR(__xludf.DUMMYFUNCTION("""COMPUTED_VALUE"""),"door_occ_lock_enabled")</f>
        <v>door_occ_lock_enabled</v>
      </c>
      <c r="BS77" s="18" t="str">
        <f ca="1">IFERROR(__xludf.DUMMYFUNCTION("""COMPUTED_VALUE"""),"0x0201")</f>
        <v>0x0201</v>
      </c>
      <c r="BT77" s="18" t="str">
        <f ca="1">IFERROR(__xludf.DUMMYFUNCTION("""COMPUTED_VALUE"""),"0xF0D0")</f>
        <v>0xF0D0</v>
      </c>
      <c r="BU77" s="18" t="str">
        <f ca="1">IFERROR(__xludf.DUMMYFUNCTION("""COMPUTED_VALUE"""),"0")</f>
        <v>0</v>
      </c>
      <c r="BW77" s="10"/>
      <c r="CF77" s="10"/>
      <c r="CH77" s="18" t="str">
        <f ca="1">IFERROR(__xludf.DUMMYFUNCTION("""COMPUTED_VALUE"""),"tau_smoothing_alpha")</f>
        <v>tau_smoothing_alpha</v>
      </c>
      <c r="CI77" s="18" t="str">
        <f ca="1">IFERROR(__xludf.DUMMYFUNCTION("""COMPUTED_VALUE"""),"0x0201")</f>
        <v>0x0201</v>
      </c>
      <c r="CJ77" s="18" t="str">
        <f ca="1">IFERROR(__xludf.DUMMYFUNCTION("""COMPUTED_VALUE"""),"0xF0ED")</f>
        <v>0xF0ED</v>
      </c>
      <c r="CK77" s="18" t="str">
        <f ca="1">IFERROR(__xludf.DUMMYFUNCTION("""COMPUTED_VALUE"""),"86400")</f>
        <v>86400</v>
      </c>
      <c r="CM77" s="10"/>
      <c r="CP77" s="18" t="str">
        <f ca="1"/>
        <v/>
      </c>
      <c r="CQ77" s="18" t="str">
        <f ca="1"/>
        <v/>
      </c>
      <c r="CR77" s="18" t="str">
        <f ca="1"/>
        <v/>
      </c>
      <c r="CS77" s="18" t="str">
        <f ca="1"/>
        <v/>
      </c>
      <c r="CT77" s="18" t="str">
        <f ca="1"/>
        <v/>
      </c>
      <c r="CV77" s="10"/>
      <c r="CX77" s="18" t="str">
        <f ca="1">IFERROR(__xludf.DUMMYFUNCTION("""COMPUTED_VALUE"""),"fixed_cool_setback")</f>
        <v>fixed_cool_setback</v>
      </c>
      <c r="CY77" s="18" t="str">
        <f ca="1"/>
        <v>0x0201</v>
      </c>
      <c r="CZ77" s="18" t="str">
        <f ca="1"/>
        <v>0xF0F0</v>
      </c>
      <c r="DA77" s="18" t="str">
        <f ca="1"/>
        <v>86400</v>
      </c>
      <c r="DC77" s="10"/>
    </row>
    <row r="78" spans="1:107" x14ac:dyDescent="0.25">
      <c r="A78" s="15" t="s">
        <v>153</v>
      </c>
      <c r="B78" s="15" t="s">
        <v>89</v>
      </c>
      <c r="C78" s="15"/>
      <c r="D78" s="16"/>
      <c r="E78" s="15"/>
      <c r="F78" s="15"/>
      <c r="G78" s="15"/>
      <c r="H78" s="17" t="str">
        <f ca="1">IFERROR(__xludf.DUMMYFUNCTION("""COMPUTED_VALUE"""),"x")</f>
        <v>x</v>
      </c>
      <c r="I78" s="15" t="s">
        <v>29</v>
      </c>
      <c r="J78" s="15" t="s">
        <v>29</v>
      </c>
      <c r="K78" s="15" t="s">
        <v>29</v>
      </c>
      <c r="L78" s="15" t="s">
        <v>29</v>
      </c>
      <c r="M78" s="15" t="s">
        <v>29</v>
      </c>
      <c r="N78" s="16"/>
      <c r="O78" s="18" t="str">
        <f ca="1">IFERROR(__xludf.DUMMYFUNCTION("IF(A78="""","""",A78
&amp;"",""
&amp;HEX2DEC(VLOOKUP(A78,{'Data Model Parser'!$C$4:$C1626,'Data Model Parser'!$U$4:$U1626},2,0))
&amp;"",""
&amp;HEX2DEC(VLOOKUP(A78,{'Data Model Parser'!$C$4:$C1626,'Data Model Parser'!$V$4:$V1626},2,0))
&amp;"",""
&amp;HEX2DEC(VLOOKUP(A78,{'Data"&amp;" Model Parser'!$C$4:$C1626,'Data Model Parser'!$W$4:$W1626},2,0))
&amp;"",""
&amp;HEX2DEC(VLOOKUP(A78,{'Data Model Parser'!$C$4:$C1626,'Data Model Parser'!$T$4:$T1626},2,0))
&amp;"",""
&amp;HEX2DEC(VLOOKUP(A78,{'Data Model Parser'!$C$4:$C1626,'Data Model Parser'!$X$4:$X1"&amp;"626},2,0))
&amp;"",""
&amp;IFS(B78="""",""0"",REGEXREPLACE(B78,CHAR(34),"""")=""none"",""0"",REGEXREPLACE(B78,CHAR(34),"""")=""simple"",""1"",REGEXREPLACE(B78,CHAR(34),"""")=""staged"",""2"",REGEXREPLACE(B78,CHAR(34),"""")=""dynamic"",""3"")
&amp;"",""
&amp;IF(VLOOKUP(A7"&amp;"8,{'Data Model Parser'!$C$4:$C1626,'Data Model Parser'!$G$4:$G1626},2,0)=""polled"","",,,""&amp;VLOOKUP(A78,{'Data Model Parser'!$C$4:$C1626,'Data Model Parser'!$H$4:$H1626},2,0),
IF(VLOOKUP(A78,{'Data Model Parser'!$C$4:$C1626,'Data Model Parser'!$G$4:$G1626"&amp;"},2,0)=""reported"",
IFS(E78&lt;&gt;"""",E78&amp;"","",
E78="""",VLOOKUP(A78,{'Data Model Parser'!$C$4:$C1626,'Data Model Parser'!$J$4:$J1626},2,0)&amp;"","")
&amp;IFS(F78&lt;&gt;"""",F78&amp;"","",
F78="""",VLOOKUP(A78,{'Data Model Parser'!$C$4:$C1626,'Data Model Parser'!$I$4:$I162"&amp;"6},2,0)&amp;"","")
&amp;IFS(G78&lt;&gt;"""",G78,
G78="""",VLOOKUP(A78,{'Data Model Parser'!$C$4:$C1626,'Data Model Parser'!$K$4:$K1626},2,0)))))"),"dehumidification_option,10,260,513,61543,48,0,,,,86400")</f>
        <v>dehumidification_option,10,260,513,61543,48,0,,,,86400</v>
      </c>
      <c r="P78" s="19"/>
      <c r="Q78" s="18" t="str">
        <f ca="1">IFERROR(__xludf.DUMMYFUNCTION("""COMPUTED_VALUE"""),"zb -a 0x0201 0xF067 0")</f>
        <v>zb -a 0x0201 0xF067 0</v>
      </c>
      <c r="R78" s="19"/>
      <c r="S78" s="20" t="str">
        <f ca="1">IFERROR(__xludf.DUMMYFUNCTION("""COMPUTED_VALUE"""),"device_type,10,260,64512,0,48,,,,,86400")</f>
        <v>device_type,10,260,64512,0,48,,,,,86400</v>
      </c>
      <c r="X78" s="18" t="str">
        <f ca="1">IFERROR(__xludf.DUMMYFUNCTION("""COMPUTED_VALUE"""),"device_table_slot_9")</f>
        <v>device_table_slot_9</v>
      </c>
      <c r="Y78" s="18" t="str">
        <f ca="1">IFERROR(__xludf.DUMMYFUNCTION("UNIQUE(FILTER({$DE$4:$DE1626,$DH$4:$ES1626}, $DE$4:$DE1626=A78))"),"dehumidification_option")</f>
        <v>dehumidification_option</v>
      </c>
      <c r="Z78" s="18" t="str">
        <f ca="1">IFERROR(__xludf.DUMMYFUNCTION("""COMPUTED_VALUE"""),"""none""")</f>
        <v>"none"</v>
      </c>
      <c r="AA78" s="18" t="str">
        <f ca="1">IFERROR(__xludf.DUMMYFUNCTION("""COMPUTED_VALUE"""),"""simple""")</f>
        <v>"simple"</v>
      </c>
      <c r="AB78" s="18" t="str">
        <f ca="1">IFERROR(__xludf.DUMMYFUNCTION("""COMPUTED_VALUE"""),"""staged""")</f>
        <v>"staged"</v>
      </c>
      <c r="AC78" s="18" t="str">
        <f ca="1">IFERROR(__xludf.DUMMYFUNCTION("""COMPUTED_VALUE"""),"""dynamic""")</f>
        <v>"dynamic"</v>
      </c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P78" s="10"/>
      <c r="BR78" s="18" t="str">
        <f ca="1">IFERROR(__xludf.DUMMYFUNCTION("""COMPUTED_VALUE"""),"local_door_occ_lock_delay")</f>
        <v>local_door_occ_lock_delay</v>
      </c>
      <c r="BS78" s="18" t="str">
        <f ca="1">IFERROR(__xludf.DUMMYFUNCTION("""COMPUTED_VALUE"""),"0x0201")</f>
        <v>0x0201</v>
      </c>
      <c r="BT78" s="18" t="str">
        <f ca="1">IFERROR(__xludf.DUMMYFUNCTION("""COMPUTED_VALUE"""),"0xF0D1")</f>
        <v>0xF0D1</v>
      </c>
      <c r="BU78" s="18" t="str">
        <f ca="1">IFERROR(__xludf.DUMMYFUNCTION("""COMPUTED_VALUE"""),"10")</f>
        <v>10</v>
      </c>
      <c r="BW78" s="10"/>
      <c r="CF78" s="10"/>
      <c r="CH78" s="18" t="str">
        <f ca="1">IFERROR(__xludf.DUMMYFUNCTION("""COMPUTED_VALUE"""),"fixed_heat_setback")</f>
        <v>fixed_heat_setback</v>
      </c>
      <c r="CI78" s="18" t="str">
        <f ca="1">IFERROR(__xludf.DUMMYFUNCTION("""COMPUTED_VALUE"""),"0x0201")</f>
        <v>0x0201</v>
      </c>
      <c r="CJ78" s="18" t="str">
        <f ca="1">IFERROR(__xludf.DUMMYFUNCTION("""COMPUTED_VALUE"""),"0xF0EF")</f>
        <v>0xF0EF</v>
      </c>
      <c r="CK78" s="18" t="str">
        <f ca="1">IFERROR(__xludf.DUMMYFUNCTION("""COMPUTED_VALUE"""),"86400")</f>
        <v>86400</v>
      </c>
      <c r="CM78" s="10"/>
      <c r="CP78" s="18" t="str">
        <f ca="1"/>
        <v/>
      </c>
      <c r="CQ78" s="18" t="str">
        <f ca="1"/>
        <v/>
      </c>
      <c r="CR78" s="18" t="str">
        <f ca="1"/>
        <v/>
      </c>
      <c r="CS78" s="18" t="str">
        <f ca="1"/>
        <v/>
      </c>
      <c r="CT78" s="18" t="str">
        <f ca="1"/>
        <v/>
      </c>
      <c r="CV78" s="10"/>
      <c r="CX78" s="18" t="str">
        <f ca="1">IFERROR(__xludf.DUMMYFUNCTION("""COMPUTED_VALUE"""),"delta_setback")</f>
        <v>delta_setback</v>
      </c>
      <c r="CY78" s="18" t="str">
        <f ca="1"/>
        <v>0x0201</v>
      </c>
      <c r="CZ78" s="18" t="str">
        <f ca="1"/>
        <v>0xF0F1</v>
      </c>
      <c r="DA78" s="18" t="str">
        <f ca="1"/>
        <v>86400</v>
      </c>
      <c r="DC78" s="10"/>
    </row>
    <row r="79" spans="1:107" x14ac:dyDescent="0.25">
      <c r="A79" s="15" t="s">
        <v>154</v>
      </c>
      <c r="B79" s="15">
        <v>65</v>
      </c>
      <c r="C79" s="15" t="s">
        <v>155</v>
      </c>
      <c r="D79" s="16"/>
      <c r="E79" s="15"/>
      <c r="F79" s="15"/>
      <c r="G79" s="15"/>
      <c r="H79" s="17" t="str">
        <f ca="1">IFERROR(__xludf.DUMMYFUNCTION("""COMPUTED_VALUE"""),"x")</f>
        <v>x</v>
      </c>
      <c r="I79" s="15" t="s">
        <v>29</v>
      </c>
      <c r="J79" s="15" t="s">
        <v>29</v>
      </c>
      <c r="K79" s="15" t="s">
        <v>29</v>
      </c>
      <c r="L79" s="15" t="s">
        <v>29</v>
      </c>
      <c r="M79" s="15" t="s">
        <v>29</v>
      </c>
      <c r="N79" s="16"/>
      <c r="O79" s="18" t="s">
        <v>156</v>
      </c>
      <c r="P79" s="19"/>
      <c r="Q79" s="18" t="str">
        <f ca="1">IFERROR(__xludf.DUMMYFUNCTION("""COMPUTED_VALUE"""),"zb -a 0x0203 0x0010 65")</f>
        <v>zb -a 0x0203 0x0010 65</v>
      </c>
      <c r="R79" s="19"/>
      <c r="S79" s="20" t="str">
        <f ca="1">IFERROR(__xludf.DUMMYFUNCTION("""COMPUTED_VALUE"""),"dew_point_measured_value,10,260,515,61440,41,,0,3600,111")</f>
        <v>dew_point_measured_value,10,260,515,61440,41,,0,3600,111</v>
      </c>
      <c r="X79" s="18" t="str">
        <f ca="1">IFERROR(__xludf.DUMMYFUNCTION("""COMPUTED_VALUE"""),"device_type")</f>
        <v>device_type</v>
      </c>
      <c r="BP79" s="10"/>
      <c r="BR79" s="18" t="str">
        <f ca="1">IFERROR(__xludf.DUMMYFUNCTION("""COMPUTED_VALUE"""),"remote_door_occ_lock_delay")</f>
        <v>remote_door_occ_lock_delay</v>
      </c>
      <c r="BS79" s="18" t="str">
        <f ca="1">IFERROR(__xludf.DUMMYFUNCTION("""COMPUTED_VALUE"""),"0x0201")</f>
        <v>0x0201</v>
      </c>
      <c r="BT79" s="18" t="str">
        <f ca="1">IFERROR(__xludf.DUMMYFUNCTION("""COMPUTED_VALUE"""),"0xF0D2")</f>
        <v>0xF0D2</v>
      </c>
      <c r="BU79" s="18" t="str">
        <f ca="1">IFERROR(__xludf.DUMMYFUNCTION("""COMPUTED_VALUE"""),"900")</f>
        <v>900</v>
      </c>
      <c r="BW79" s="10"/>
      <c r="CF79" s="10"/>
      <c r="CH79" s="18" t="str">
        <f ca="1">IFERROR(__xludf.DUMMYFUNCTION("""COMPUTED_VALUE"""),"fixed_cool_setback")</f>
        <v>fixed_cool_setback</v>
      </c>
      <c r="CI79" s="18" t="str">
        <f ca="1">IFERROR(__xludf.DUMMYFUNCTION("""COMPUTED_VALUE"""),"0x0201")</f>
        <v>0x0201</v>
      </c>
      <c r="CJ79" s="18" t="str">
        <f ca="1">IFERROR(__xludf.DUMMYFUNCTION("""COMPUTED_VALUE"""),"0xF0F0")</f>
        <v>0xF0F0</v>
      </c>
      <c r="CK79" s="18" t="str">
        <f ca="1">IFERROR(__xludf.DUMMYFUNCTION("""COMPUTED_VALUE"""),"86400")</f>
        <v>86400</v>
      </c>
      <c r="CM79" s="10"/>
      <c r="CP79" s="18" t="str">
        <f ca="1"/>
        <v/>
      </c>
      <c r="CQ79" s="18" t="str">
        <f ca="1"/>
        <v/>
      </c>
      <c r="CR79" s="18" t="str">
        <f ca="1"/>
        <v/>
      </c>
      <c r="CS79" s="18" t="str">
        <f ca="1"/>
        <v/>
      </c>
      <c r="CT79" s="18" t="str">
        <f ca="1"/>
        <v/>
      </c>
      <c r="CV79" s="10"/>
      <c r="CX79" s="18" t="str">
        <f ca="1">IFERROR(__xludf.DUMMYFUNCTION("""COMPUTED_VALUE"""),"deep_heat_setback")</f>
        <v>deep_heat_setback</v>
      </c>
      <c r="CY79" s="18" t="str">
        <f ca="1"/>
        <v>0x0201</v>
      </c>
      <c r="CZ79" s="18" t="str">
        <f ca="1"/>
        <v>0xF0F3</v>
      </c>
      <c r="DA79" s="18" t="str">
        <f ca="1"/>
        <v>86400</v>
      </c>
      <c r="DC79" s="10"/>
    </row>
    <row r="80" spans="1:107" x14ac:dyDescent="0.25">
      <c r="A80" s="15" t="s">
        <v>157</v>
      </c>
      <c r="B80" s="15" t="b">
        <v>0</v>
      </c>
      <c r="C80" s="15"/>
      <c r="D80" s="16"/>
      <c r="E80" s="15"/>
      <c r="F80" s="15"/>
      <c r="G80" s="15"/>
      <c r="H80" s="17" t="str">
        <f ca="1">IFERROR(__xludf.DUMMYFUNCTION("""COMPUTED_VALUE"""),"x")</f>
        <v>x</v>
      </c>
      <c r="I80" s="15" t="s">
        <v>29</v>
      </c>
      <c r="J80" s="15" t="s">
        <v>29</v>
      </c>
      <c r="K80" s="15" t="s">
        <v>29</v>
      </c>
      <c r="L80" s="15" t="s">
        <v>29</v>
      </c>
      <c r="M80" s="15" t="s">
        <v>29</v>
      </c>
      <c r="N80" s="16"/>
      <c r="O80" s="18" t="s">
        <v>158</v>
      </c>
      <c r="P80" s="19"/>
      <c r="Q80" s="18" t="str">
        <f ca="1">IFERROR(__xludf.DUMMYFUNCTION("""COMPUTED_VALUE"""),"zb -a 0x0201 0xF150 0")</f>
        <v>zb -a 0x0201 0xF150 0</v>
      </c>
      <c r="R80" s="19"/>
      <c r="S80" s="20" t="str">
        <f ca="1">IFERROR(__xludf.DUMMYFUNCTION("""COMPUTED_VALUE"""),"dew_point_target_limit,10,260,513,61787,41,444,,,,86400")</f>
        <v>dew_point_target_limit,10,260,513,61787,41,444,,,,86400</v>
      </c>
      <c r="X80" s="18" t="str">
        <f ca="1">IFERROR(__xludf.DUMMYFUNCTION("""COMPUTED_VALUE"""),"dew_point_measured_value")</f>
        <v>dew_point_measured_value</v>
      </c>
      <c r="BP80" s="10"/>
      <c r="BR80" s="18" t="str">
        <f ca="1">IFERROR(__xludf.DUMMYFUNCTION("""COMPUTED_VALUE"""),"door_occ_lock_max_duration")</f>
        <v>door_occ_lock_max_duration</v>
      </c>
      <c r="BS80" s="18" t="str">
        <f ca="1">IFERROR(__xludf.DUMMYFUNCTION("""COMPUTED_VALUE"""),"0x0201")</f>
        <v>0x0201</v>
      </c>
      <c r="BT80" s="18" t="str">
        <f ca="1">IFERROR(__xludf.DUMMYFUNCTION("""COMPUTED_VALUE"""),"0xF0D3")</f>
        <v>0xF0D3</v>
      </c>
      <c r="BU80" s="18" t="str">
        <f ca="1">IFERROR(__xludf.DUMMYFUNCTION("""COMPUTED_VALUE"""),"10")</f>
        <v>10</v>
      </c>
      <c r="BW80" s="10"/>
      <c r="CF80" s="10"/>
      <c r="CH80" s="18" t="str">
        <f ca="1">IFERROR(__xludf.DUMMYFUNCTION("""COMPUTED_VALUE"""),"delta_setback")</f>
        <v>delta_setback</v>
      </c>
      <c r="CI80" s="18" t="str">
        <f ca="1">IFERROR(__xludf.DUMMYFUNCTION("""COMPUTED_VALUE"""),"0x0201")</f>
        <v>0x0201</v>
      </c>
      <c r="CJ80" s="18" t="str">
        <f ca="1">IFERROR(__xludf.DUMMYFUNCTION("""COMPUTED_VALUE"""),"0xF0F1")</f>
        <v>0xF0F1</v>
      </c>
      <c r="CK80" s="18" t="str">
        <f ca="1">IFERROR(__xludf.DUMMYFUNCTION("""COMPUTED_VALUE"""),"86400")</f>
        <v>86400</v>
      </c>
      <c r="CM80" s="10"/>
      <c r="CP80" s="18" t="str">
        <f ca="1"/>
        <v/>
      </c>
      <c r="CQ80" s="18" t="str">
        <f ca="1"/>
        <v/>
      </c>
      <c r="CR80" s="18" t="str">
        <f ca="1"/>
        <v/>
      </c>
      <c r="CS80" s="18" t="str">
        <f ca="1"/>
        <v/>
      </c>
      <c r="CT80" s="18" t="str">
        <f ca="1"/>
        <v/>
      </c>
      <c r="CV80" s="10"/>
      <c r="CX80" s="18" t="str">
        <f ca="1">IFERROR(__xludf.DUMMYFUNCTION("""COMPUTED_VALUE"""),"deep_cool_setback")</f>
        <v>deep_cool_setback</v>
      </c>
      <c r="CY80" s="18" t="str">
        <f ca="1"/>
        <v>0x0201</v>
      </c>
      <c r="CZ80" s="18" t="str">
        <f ca="1"/>
        <v>0xF0F4</v>
      </c>
      <c r="DA80" s="18" t="str">
        <f ca="1"/>
        <v>86400</v>
      </c>
      <c r="DC80" s="10"/>
    </row>
    <row r="81" spans="1:107" x14ac:dyDescent="0.25">
      <c r="A81" s="15" t="s">
        <v>159</v>
      </c>
      <c r="B81" s="15"/>
      <c r="C81" s="15" t="s">
        <v>155</v>
      </c>
      <c r="D81" s="16"/>
      <c r="E81" s="15"/>
      <c r="F81" s="15"/>
      <c r="G81" s="15"/>
      <c r="H81" s="17" t="str">
        <f ca="1">IFERROR(__xludf.DUMMYFUNCTION("""COMPUTED_VALUE"""),"x")</f>
        <v>x</v>
      </c>
      <c r="I81" s="15" t="s">
        <v>29</v>
      </c>
      <c r="J81" s="15" t="s">
        <v>29</v>
      </c>
      <c r="K81" s="15" t="s">
        <v>29</v>
      </c>
      <c r="L81" s="15" t="s">
        <v>29</v>
      </c>
      <c r="M81" s="15" t="s">
        <v>29</v>
      </c>
      <c r="N81" s="16"/>
      <c r="O81" s="18" t="s">
        <v>160</v>
      </c>
      <c r="P81" s="19"/>
      <c r="Q81" s="18" t="str">
        <f ca="1">IFERROR(__xludf.DUMMYFUNCTION("""COMPUTED_VALUE"""),"zb -a 0x0201 0xF151 50")</f>
        <v>zb -a 0x0201 0xF151 50</v>
      </c>
      <c r="R81" s="19"/>
      <c r="S81" s="20" t="str">
        <f ca="1">IFERROR(__xludf.DUMMYFUNCTION("""COMPUTED_VALUE"""),"dew_point_target,10,260,513,61784,41,1556,0,3600,0")</f>
        <v>dew_point_target,10,260,513,61784,41,1556,0,3600,0</v>
      </c>
      <c r="X81" s="18" t="str">
        <f ca="1">IFERROR(__xludf.DUMMYFUNCTION("""COMPUTED_VALUE"""),"dew_point_target")</f>
        <v>dew_point_target</v>
      </c>
      <c r="BP81" s="10"/>
      <c r="BR81" s="18" t="str">
        <f ca="1">IFERROR(__xludf.DUMMYFUNCTION("""COMPUTED_VALUE"""),"occupancy_devices")</f>
        <v>occupancy_devices</v>
      </c>
      <c r="BS81" s="18" t="str">
        <f ca="1">IFERROR(__xludf.DUMMYFUNCTION("""COMPUTED_VALUE"""),"0x0201")</f>
        <v>0x0201</v>
      </c>
      <c r="BT81" s="18" t="str">
        <f ca="1">IFERROR(__xludf.DUMMYFUNCTION("""COMPUTED_VALUE"""),"0xF0E0")</f>
        <v>0xF0E0</v>
      </c>
      <c r="BU81" s="18" t="str">
        <f ca="1">IFERROR(__xludf.DUMMYFUNCTION("""COMPUTED_VALUE"""),"0")</f>
        <v>0</v>
      </c>
      <c r="BW81" s="10"/>
      <c r="CF81" s="10"/>
      <c r="CH81" s="18" t="str">
        <f ca="1">IFERROR(__xludf.DUMMYFUNCTION("""COMPUTED_VALUE"""),"deep_heat_setback")</f>
        <v>deep_heat_setback</v>
      </c>
      <c r="CI81" s="18" t="str">
        <f ca="1">IFERROR(__xludf.DUMMYFUNCTION("""COMPUTED_VALUE"""),"0x0201")</f>
        <v>0x0201</v>
      </c>
      <c r="CJ81" s="18" t="str">
        <f ca="1">IFERROR(__xludf.DUMMYFUNCTION("""COMPUTED_VALUE"""),"0xF0F3")</f>
        <v>0xF0F3</v>
      </c>
      <c r="CK81" s="18" t="str">
        <f ca="1">IFERROR(__xludf.DUMMYFUNCTION("""COMPUTED_VALUE"""),"86400")</f>
        <v>86400</v>
      </c>
      <c r="CM81" s="10"/>
      <c r="CP81" s="18" t="str">
        <f ca="1"/>
        <v/>
      </c>
      <c r="CQ81" s="18" t="str">
        <f ca="1"/>
        <v/>
      </c>
      <c r="CR81" s="18" t="str">
        <f ca="1"/>
        <v/>
      </c>
      <c r="CS81" s="18" t="str">
        <f ca="1"/>
        <v/>
      </c>
      <c r="CT81" s="18" t="str">
        <f ca="1"/>
        <v/>
      </c>
      <c r="CV81" s="10"/>
      <c r="CX81" s="18" t="str">
        <f ca="1">IFERROR(__xludf.DUMMYFUNCTION("""COMPUTED_VALUE"""),"deep_delta_setback")</f>
        <v>deep_delta_setback</v>
      </c>
      <c r="CY81" s="18" t="str">
        <f ca="1"/>
        <v>0x0201</v>
      </c>
      <c r="CZ81" s="18" t="str">
        <f ca="1"/>
        <v>0xF0F5</v>
      </c>
      <c r="DA81" s="18" t="str">
        <f ca="1"/>
        <v>86400</v>
      </c>
      <c r="DC81" s="10"/>
    </row>
    <row r="82" spans="1:107" x14ac:dyDescent="0.25">
      <c r="A82" s="15" t="s">
        <v>161</v>
      </c>
      <c r="B82" s="15"/>
      <c r="C82" s="15" t="s">
        <v>155</v>
      </c>
      <c r="D82" s="16"/>
      <c r="E82" s="15"/>
      <c r="F82" s="15"/>
      <c r="G82" s="15"/>
      <c r="H82" s="17" t="str">
        <f ca="1">IFERROR(__xludf.DUMMYFUNCTION("""COMPUTED_VALUE"""),"x")</f>
        <v>x</v>
      </c>
      <c r="I82" s="15" t="s">
        <v>29</v>
      </c>
      <c r="J82" s="15" t="s">
        <v>29</v>
      </c>
      <c r="K82" s="15" t="s">
        <v>29</v>
      </c>
      <c r="L82" s="15" t="s">
        <v>29</v>
      </c>
      <c r="M82" s="15" t="s">
        <v>29</v>
      </c>
      <c r="N82" s="16"/>
      <c r="O82" s="18" t="s">
        <v>162</v>
      </c>
      <c r="P82" s="19"/>
      <c r="Q82" s="18" t="str">
        <f ca="1">IFERROR(__xludf.DUMMYFUNCTION("""COMPUTED_VALUE"""),"zb -a 0x0201 0xF152 75")</f>
        <v>zb -a 0x0201 0xF152 75</v>
      </c>
      <c r="R82" s="19"/>
      <c r="S82" s="20" t="str">
        <f ca="1">IFERROR(__xludf.DUMMYFUNCTION("""COMPUTED_VALUE"""),"display_brightness_high_light,10,260,64517,13,33,32000,,,,86400")</f>
        <v>display_brightness_high_light,10,260,64517,13,33,32000,,,,86400</v>
      </c>
      <c r="X82" s="18" t="str">
        <f ca="1">IFERROR(__xludf.DUMMYFUNCTION("""COMPUTED_VALUE"""),"dew_point_target_limit")</f>
        <v>dew_point_target_limit</v>
      </c>
      <c r="BP82" s="10"/>
      <c r="BR82" s="18" t="str">
        <f ca="1">IFERROR(__xludf.DUMMYFUNCTION("""COMPUTED_VALUE"""),"setback_mode")</f>
        <v>setback_mode</v>
      </c>
      <c r="BS82" s="18" t="str">
        <f ca="1">IFERROR(__xludf.DUMMYFUNCTION("""COMPUTED_VALUE"""),"0x0201")</f>
        <v>0x0201</v>
      </c>
      <c r="BT82" s="18" t="str">
        <f ca="1">IFERROR(__xludf.DUMMYFUNCTION("""COMPUTED_VALUE"""),"0xF0E4")</f>
        <v>0xF0E4</v>
      </c>
      <c r="BU82" s="18" t="str">
        <f ca="1">IFERROR(__xludf.DUMMYFUNCTION("""COMPUTED_VALUE"""),"""none""")</f>
        <v>"none"</v>
      </c>
      <c r="BW82" s="10"/>
      <c r="CF82" s="10"/>
      <c r="CH82" s="18" t="str">
        <f ca="1">IFERROR(__xludf.DUMMYFUNCTION("""COMPUTED_VALUE"""),"deep_cool_setback")</f>
        <v>deep_cool_setback</v>
      </c>
      <c r="CI82" s="18" t="str">
        <f ca="1">IFERROR(__xludf.DUMMYFUNCTION("""COMPUTED_VALUE"""),"0x0201")</f>
        <v>0x0201</v>
      </c>
      <c r="CJ82" s="18" t="str">
        <f ca="1">IFERROR(__xludf.DUMMYFUNCTION("""COMPUTED_VALUE"""),"0xF0F4")</f>
        <v>0xF0F4</v>
      </c>
      <c r="CK82" s="18" t="str">
        <f ca="1">IFERROR(__xludf.DUMMYFUNCTION("""COMPUTED_VALUE"""),"86400")</f>
        <v>86400</v>
      </c>
      <c r="CM82" s="10"/>
      <c r="CP82" s="18" t="str">
        <f ca="1"/>
        <v/>
      </c>
      <c r="CQ82" s="18" t="str">
        <f ca="1"/>
        <v/>
      </c>
      <c r="CR82" s="18" t="str">
        <f ca="1"/>
        <v/>
      </c>
      <c r="CS82" s="18" t="str">
        <f ca="1"/>
        <v/>
      </c>
      <c r="CT82" s="18" t="str">
        <f ca="1"/>
        <v/>
      </c>
      <c r="CV82" s="10"/>
      <c r="CX82" s="18" t="str">
        <f ca="1">IFERROR(__xludf.DUMMYFUNCTION("""COMPUTED_VALUE"""),"day_start_time")</f>
        <v>day_start_time</v>
      </c>
      <c r="CY82" s="18" t="str">
        <f ca="1"/>
        <v>0x0201</v>
      </c>
      <c r="CZ82" s="18" t="str">
        <f ca="1"/>
        <v>0xF0F7</v>
      </c>
      <c r="DA82" s="18" t="str">
        <f ca="1"/>
        <v>86400</v>
      </c>
      <c r="DC82" s="10"/>
    </row>
    <row r="83" spans="1:107" x14ac:dyDescent="0.25">
      <c r="A83" s="15" t="s">
        <v>163</v>
      </c>
      <c r="B83" s="15">
        <v>1</v>
      </c>
      <c r="C83" s="15" t="s">
        <v>155</v>
      </c>
      <c r="D83" s="16"/>
      <c r="E83" s="15"/>
      <c r="F83" s="15"/>
      <c r="G83" s="15"/>
      <c r="H83" s="17" t="str">
        <f ca="1">IFERROR(__xludf.DUMMYFUNCTION("""COMPUTED_VALUE"""),"x")</f>
        <v>x</v>
      </c>
      <c r="I83" s="15" t="s">
        <v>29</v>
      </c>
      <c r="J83" s="15" t="s">
        <v>29</v>
      </c>
      <c r="K83" s="15" t="s">
        <v>29</v>
      </c>
      <c r="L83" s="15" t="s">
        <v>29</v>
      </c>
      <c r="M83" s="15" t="s">
        <v>29</v>
      </c>
      <c r="N83" s="16"/>
      <c r="O83" s="18" t="s">
        <v>164</v>
      </c>
      <c r="P83" s="19"/>
      <c r="Q83" s="18" t="str">
        <f ca="1">IFERROR(__xludf.DUMMYFUNCTION("""COMPUTED_VALUE"""),"zb -a 0x0201 0xF153 50")</f>
        <v>zb -a 0x0201 0xF153 50</v>
      </c>
      <c r="R83" s="19"/>
      <c r="S83" s="20" t="str">
        <f ca="1">IFERROR(__xludf.DUMMYFUNCTION("""COMPUTED_VALUE"""),"display_brightness_low_light,10,260,64517,14,33,400,,,,86400")</f>
        <v>display_brightness_low_light,10,260,64517,14,33,400,,,,86400</v>
      </c>
      <c r="X83" s="18" t="str">
        <f ca="1">IFERROR(__xludf.DUMMYFUNCTION("""COMPUTED_VALUE"""),"display_brightness_high_light")</f>
        <v>display_brightness_high_light</v>
      </c>
      <c r="BP83" s="10"/>
      <c r="BR83" s="18" t="str">
        <f ca="1">IFERROR(__xludf.DUMMYFUNCTION("""COMPUTED_VALUE"""),"force_deep_setback_mode")</f>
        <v>force_deep_setback_mode</v>
      </c>
      <c r="BS83" s="18" t="str">
        <f ca="1">IFERROR(__xludf.DUMMYFUNCTION("""COMPUTED_VALUE"""),"0x0201")</f>
        <v>0x0201</v>
      </c>
      <c r="BT83" s="18" t="str">
        <f ca="1">IFERROR(__xludf.DUMMYFUNCTION("""COMPUTED_VALUE"""),"0xF0E6")</f>
        <v>0xF0E6</v>
      </c>
      <c r="BU83" s="18" t="str">
        <f ca="1">IFERROR(__xludf.DUMMYFUNCTION("""COMPUTED_VALUE"""),"null")</f>
        <v>null</v>
      </c>
      <c r="BW83" s="10"/>
      <c r="CF83" s="10"/>
      <c r="CH83" s="18" t="str">
        <f ca="1">IFERROR(__xludf.DUMMYFUNCTION("""COMPUTED_VALUE"""),"deep_delta_setback")</f>
        <v>deep_delta_setback</v>
      </c>
      <c r="CI83" s="18" t="str">
        <f ca="1">IFERROR(__xludf.DUMMYFUNCTION("""COMPUTED_VALUE"""),"0x0201")</f>
        <v>0x0201</v>
      </c>
      <c r="CJ83" s="18" t="str">
        <f ca="1">IFERROR(__xludf.DUMMYFUNCTION("""COMPUTED_VALUE"""),"0xF0F5")</f>
        <v>0xF0F5</v>
      </c>
      <c r="CK83" s="18" t="str">
        <f ca="1">IFERROR(__xludf.DUMMYFUNCTION("""COMPUTED_VALUE"""),"86400")</f>
        <v>86400</v>
      </c>
      <c r="CM83" s="10"/>
      <c r="CP83" s="18" t="str">
        <f ca="1"/>
        <v/>
      </c>
      <c r="CQ83" s="18" t="str">
        <f ca="1"/>
        <v/>
      </c>
      <c r="CR83" s="18" t="str">
        <f ca="1"/>
        <v/>
      </c>
      <c r="CS83" s="18" t="str">
        <f ca="1"/>
        <v/>
      </c>
      <c r="CT83" s="18" t="str">
        <f ca="1"/>
        <v/>
      </c>
      <c r="CV83" s="10"/>
      <c r="CX83" s="18" t="str">
        <f ca="1">IFERROR(__xludf.DUMMYFUNCTION("""COMPUTED_VALUE"""),"night_start_time")</f>
        <v>night_start_time</v>
      </c>
      <c r="CY83" s="18" t="str">
        <f ca="1"/>
        <v>0x0201</v>
      </c>
      <c r="CZ83" s="18" t="str">
        <f ca="1"/>
        <v>0xF0F8</v>
      </c>
      <c r="DA83" s="18" t="str">
        <f ca="1"/>
        <v>86400</v>
      </c>
      <c r="DC83" s="10"/>
    </row>
    <row r="84" spans="1:107" x14ac:dyDescent="0.25">
      <c r="A84" s="15" t="s">
        <v>165</v>
      </c>
      <c r="C84" s="15" t="s">
        <v>39</v>
      </c>
      <c r="D84" s="16"/>
      <c r="E84" s="15"/>
      <c r="F84" s="15"/>
      <c r="G84" s="15"/>
      <c r="H84" s="17" t="str">
        <f ca="1">IFERROR(__xludf.DUMMYFUNCTION("""COMPUTED_VALUE"""),"x")</f>
        <v>x</v>
      </c>
      <c r="I84" s="15" t="s">
        <v>29</v>
      </c>
      <c r="J84" s="15" t="s">
        <v>29</v>
      </c>
      <c r="K84" s="15" t="s">
        <v>29</v>
      </c>
      <c r="L84" s="15" t="s">
        <v>29</v>
      </c>
      <c r="M84" s="15" t="s">
        <v>29</v>
      </c>
      <c r="N84" s="16"/>
      <c r="O84" s="18" t="s">
        <v>166</v>
      </c>
      <c r="P84" s="19"/>
      <c r="Q84" s="18" t="str">
        <f ca="1">IFERROR(__xludf.DUMMYFUNCTION("""COMPUTED_VALUE"""),"zb -a 0x0201 0xF05C 56")</f>
        <v>zb -a 0x0201 0xF05C 56</v>
      </c>
      <c r="R84" s="19"/>
      <c r="S84" s="20" t="str">
        <f ca="1">IFERROR(__xludf.DUMMYFUNCTION("""COMPUTED_VALUE"""),"display_home_detailed,10,260,64517,5,48,1,,,,86400")</f>
        <v>display_home_detailed,10,260,64517,5,48,1,,,,86400</v>
      </c>
      <c r="X84" s="18" t="str">
        <f ca="1">IFERROR(__xludf.DUMMYFUNCTION("""COMPUTED_VALUE"""),"display_brightness_low_light")</f>
        <v>display_brightness_low_light</v>
      </c>
      <c r="BP84" s="10"/>
      <c r="BR84" s="18" t="str">
        <f ca="1">IFERROR(__xludf.DUMMYFUNCTION("""COMPUTED_VALUE"""),"recovery_time")</f>
        <v>recovery_time</v>
      </c>
      <c r="BS84" s="18" t="str">
        <f ca="1">IFERROR(__xludf.DUMMYFUNCTION("""COMPUTED_VALUE"""),"0x0201")</f>
        <v>0x0201</v>
      </c>
      <c r="BT84" s="18" t="str">
        <f ca="1">IFERROR(__xludf.DUMMYFUNCTION("""COMPUTED_VALUE"""),"0xF0E7")</f>
        <v>0xF0E7</v>
      </c>
      <c r="BU84" s="18" t="str">
        <f ca="1">IFERROR(__xludf.DUMMYFUNCTION("""COMPUTED_VALUE"""),"10")</f>
        <v>10</v>
      </c>
      <c r="BW84" s="10"/>
      <c r="CF84" s="10"/>
      <c r="CH84" s="18" t="str">
        <f ca="1">IFERROR(__xludf.DUMMYFUNCTION("""COMPUTED_VALUE"""),"day_start_time")</f>
        <v>day_start_time</v>
      </c>
      <c r="CI84" s="18" t="str">
        <f ca="1">IFERROR(__xludf.DUMMYFUNCTION("""COMPUTED_VALUE"""),"0x0201")</f>
        <v>0x0201</v>
      </c>
      <c r="CJ84" s="18" t="str">
        <f ca="1">IFERROR(__xludf.DUMMYFUNCTION("""COMPUTED_VALUE"""),"0xF0F7")</f>
        <v>0xF0F7</v>
      </c>
      <c r="CK84" s="18" t="str">
        <f ca="1">IFERROR(__xludf.DUMMYFUNCTION("""COMPUTED_VALUE"""),"86400")</f>
        <v>86400</v>
      </c>
      <c r="CM84" s="10"/>
      <c r="CP84" s="18" t="str">
        <f ca="1"/>
        <v/>
      </c>
      <c r="CQ84" s="18" t="str">
        <f ca="1"/>
        <v/>
      </c>
      <c r="CR84" s="18" t="str">
        <f ca="1"/>
        <v/>
      </c>
      <c r="CS84" s="18" t="str">
        <f ca="1"/>
        <v/>
      </c>
      <c r="CT84" s="18" t="str">
        <f ca="1"/>
        <v/>
      </c>
      <c r="CV84" s="10"/>
      <c r="CX84" s="18" t="str">
        <f ca="1">IFERROR(__xludf.DUMMYFUNCTION("""COMPUTED_VALUE"""),"night_lock")</f>
        <v>night_lock</v>
      </c>
      <c r="CY84" s="18" t="str">
        <f ca="1"/>
        <v>0x0201</v>
      </c>
      <c r="CZ84" s="18" t="str">
        <f ca="1"/>
        <v>0xF0F9</v>
      </c>
      <c r="DA84" s="18" t="str">
        <f ca="1"/>
        <v>86400</v>
      </c>
      <c r="DC84" s="10"/>
    </row>
    <row r="85" spans="1:107" x14ac:dyDescent="0.25">
      <c r="A85" s="15" t="s">
        <v>167</v>
      </c>
      <c r="B85" s="15">
        <v>10</v>
      </c>
      <c r="C85" s="15" t="s">
        <v>45</v>
      </c>
      <c r="D85" s="16"/>
      <c r="E85" s="15"/>
      <c r="F85" s="15"/>
      <c r="G85" s="15"/>
      <c r="H85" s="17" t="str">
        <f ca="1">IFERROR(__xludf.DUMMYFUNCTION("""COMPUTED_VALUE"""),"x")</f>
        <v>x</v>
      </c>
      <c r="I85" s="15" t="s">
        <v>29</v>
      </c>
      <c r="J85" s="15" t="s">
        <v>29</v>
      </c>
      <c r="K85" s="15" t="s">
        <v>29</v>
      </c>
      <c r="L85" s="15" t="s">
        <v>29</v>
      </c>
      <c r="M85" s="15" t="s">
        <v>29</v>
      </c>
      <c r="N85" s="16"/>
      <c r="O85" s="18" t="s">
        <v>168</v>
      </c>
      <c r="P85" s="19"/>
      <c r="Q85" s="18" t="str">
        <f ca="1">IFERROR(__xludf.DUMMYFUNCTION("""COMPUTED_VALUE"""),"zb -a 0x0201 0xF05E 10")</f>
        <v>zb -a 0x0201 0xF05E 10</v>
      </c>
      <c r="R85" s="19"/>
      <c r="S85" s="20" t="str">
        <f ca="1">IFERROR(__xludf.DUMMYFUNCTION("""COMPUTED_VALUE"""),"display_leaf_button_disabled,10,260,64517,33,16,1,,,,86400")</f>
        <v>display_leaf_button_disabled,10,260,64517,33,16,1,,,,86400</v>
      </c>
      <c r="X85" s="18" t="str">
        <f ca="1">IFERROR(__xludf.DUMMYFUNCTION("""COMPUTED_VALUE"""),"display_home_detailed")</f>
        <v>display_home_detailed</v>
      </c>
      <c r="BP85" s="10"/>
      <c r="BR85" s="18" t="str">
        <f ca="1">IFERROR(__xludf.DUMMYFUNCTION("""COMPUTED_VALUE"""),"comfort_zone")</f>
        <v>comfort_zone</v>
      </c>
      <c r="BS85" s="18" t="str">
        <f ca="1">IFERROR(__xludf.DUMMYFUNCTION("""COMPUTED_VALUE"""),"0x0201")</f>
        <v>0x0201</v>
      </c>
      <c r="BT85" s="18" t="str">
        <f ca="1">IFERROR(__xludf.DUMMYFUNCTION("""COMPUTED_VALUE"""),"0xF0E8")</f>
        <v>0xF0E8</v>
      </c>
      <c r="BU85" s="18" t="str">
        <f ca="1">IFERROR(__xludf.DUMMYFUNCTION("""COMPUTED_VALUE"""),"1")</f>
        <v>1</v>
      </c>
      <c r="BW85" s="10"/>
      <c r="CF85" s="10"/>
      <c r="CH85" s="18" t="str">
        <f ca="1">IFERROR(__xludf.DUMMYFUNCTION("""COMPUTED_VALUE"""),"night_start_time")</f>
        <v>night_start_time</v>
      </c>
      <c r="CI85" s="18" t="str">
        <f ca="1">IFERROR(__xludf.DUMMYFUNCTION("""COMPUTED_VALUE"""),"0x0201")</f>
        <v>0x0201</v>
      </c>
      <c r="CJ85" s="18" t="str">
        <f ca="1">IFERROR(__xludf.DUMMYFUNCTION("""COMPUTED_VALUE"""),"0xF0F8")</f>
        <v>0xF0F8</v>
      </c>
      <c r="CK85" s="18" t="str">
        <f ca="1">IFERROR(__xludf.DUMMYFUNCTION("""COMPUTED_VALUE"""),"86400")</f>
        <v>86400</v>
      </c>
      <c r="CM85" s="10"/>
      <c r="CP85" s="18" t="str">
        <f ca="1"/>
        <v/>
      </c>
      <c r="CQ85" s="18" t="str">
        <f ca="1"/>
        <v/>
      </c>
      <c r="CR85" s="18" t="str">
        <f ca="1"/>
        <v/>
      </c>
      <c r="CS85" s="18" t="str">
        <f ca="1"/>
        <v/>
      </c>
      <c r="CT85" s="18" t="str">
        <f ca="1"/>
        <v/>
      </c>
      <c r="CV85" s="10"/>
      <c r="CX85" s="18" t="str">
        <f ca="1">IFERROR(__xludf.DUMMYFUNCTION("""COMPUTED_VALUE"""),"unocc_delay_based_on_schedule")</f>
        <v>unocc_delay_based_on_schedule</v>
      </c>
      <c r="CY85" s="18" t="str">
        <f ca="1"/>
        <v>0x0201</v>
      </c>
      <c r="CZ85" s="18" t="str">
        <f ca="1"/>
        <v>0xF0FA</v>
      </c>
      <c r="DA85" s="18" t="str">
        <f ca="1"/>
        <v>86400</v>
      </c>
      <c r="DC85" s="10"/>
    </row>
    <row r="86" spans="1:107" x14ac:dyDescent="0.25">
      <c r="A86" s="15" t="s">
        <v>169</v>
      </c>
      <c r="B86" s="15">
        <v>60</v>
      </c>
      <c r="C86" s="15" t="s">
        <v>45</v>
      </c>
      <c r="D86" s="16"/>
      <c r="E86" s="15"/>
      <c r="F86" s="15"/>
      <c r="G86" s="15"/>
      <c r="H86" s="17" t="str">
        <f ca="1">IFERROR(__xludf.DUMMYFUNCTION("""COMPUTED_VALUE"""),"x")</f>
        <v>x</v>
      </c>
      <c r="I86" s="15" t="s">
        <v>29</v>
      </c>
      <c r="J86" s="15" t="s">
        <v>29</v>
      </c>
      <c r="K86" s="15" t="s">
        <v>29</v>
      </c>
      <c r="L86" s="15" t="s">
        <v>29</v>
      </c>
      <c r="M86" s="15" t="s">
        <v>29</v>
      </c>
      <c r="N86" s="16"/>
      <c r="O86" s="18" t="s">
        <v>170</v>
      </c>
      <c r="P86" s="19"/>
      <c r="Q86" s="18" t="str">
        <f ca="1">IFERROR(__xludf.DUMMYFUNCTION("""COMPUTED_VALUE"""),"zb -a 0x0201 0xF077 60")</f>
        <v>zb -a 0x0201 0xF077 60</v>
      </c>
      <c r="R86" s="19"/>
      <c r="S86" s="20" t="str">
        <f ca="1">IFERROR(__xludf.DUMMYFUNCTION("""COMPUTED_VALUE"""),"display_more_button_disabled,10,260,64517,25,16,0,,,,86400")</f>
        <v>display_more_button_disabled,10,260,64517,25,16,0,,,,86400</v>
      </c>
      <c r="X86" s="18" t="str">
        <f ca="1">IFERROR(__xludf.DUMMYFUNCTION("""COMPUTED_VALUE"""),"display_leaf_button_disabled")</f>
        <v>display_leaf_button_disabled</v>
      </c>
      <c r="BP86" s="10"/>
      <c r="BR86" s="18" t="str">
        <f ca="1">IFERROR(__xludf.DUMMYFUNCTION("""COMPUTED_VALUE"""),"second_stage_heat_delta_c")</f>
        <v>second_stage_heat_delta_c</v>
      </c>
      <c r="BS86" s="18" t="str">
        <f ca="1">IFERROR(__xludf.DUMMYFUNCTION("""COMPUTED_VALUE"""),"0x0201")</f>
        <v>0x0201</v>
      </c>
      <c r="BT86" s="18" t="str">
        <f ca="1">IFERROR(__xludf.DUMMYFUNCTION("""COMPUTED_VALUE"""),"0xF0E9")</f>
        <v>0xF0E9</v>
      </c>
      <c r="BU86" s="18" t="str">
        <f ca="1">IFERROR(__xludf.DUMMYFUNCTION("""COMPUTED_VALUE"""),"0")</f>
        <v>0</v>
      </c>
      <c r="BW86" s="10"/>
      <c r="CF86" s="10"/>
      <c r="CH86" s="18" t="str">
        <f ca="1">IFERROR(__xludf.DUMMYFUNCTION("""COMPUTED_VALUE"""),"night_lock")</f>
        <v>night_lock</v>
      </c>
      <c r="CI86" s="18" t="str">
        <f ca="1">IFERROR(__xludf.DUMMYFUNCTION("""COMPUTED_VALUE"""),"0x0201")</f>
        <v>0x0201</v>
      </c>
      <c r="CJ86" s="18" t="str">
        <f ca="1">IFERROR(__xludf.DUMMYFUNCTION("""COMPUTED_VALUE"""),"0xF0F9")</f>
        <v>0xF0F9</v>
      </c>
      <c r="CK86" s="18" t="str">
        <f ca="1">IFERROR(__xludf.DUMMYFUNCTION("""COMPUTED_VALUE"""),"86400")</f>
        <v>86400</v>
      </c>
      <c r="CM86" s="10"/>
      <c r="CP86" s="18" t="str">
        <f ca="1"/>
        <v/>
      </c>
      <c r="CQ86" s="18" t="str">
        <f ca="1"/>
        <v/>
      </c>
      <c r="CR86" s="18" t="str">
        <f ca="1"/>
        <v/>
      </c>
      <c r="CS86" s="18" t="str">
        <f ca="1"/>
        <v/>
      </c>
      <c r="CT86" s="18" t="str">
        <f ca="1"/>
        <v/>
      </c>
      <c r="CV86" s="10"/>
      <c r="CX86" s="18" t="str">
        <f ca="1">IFERROR(__xludf.DUMMYFUNCTION("""COMPUTED_VALUE"""),"unocc_delay_day_or_no_schedule")</f>
        <v>unocc_delay_day_or_no_schedule</v>
      </c>
      <c r="CY86" s="18" t="str">
        <f ca="1"/>
        <v>0x0201</v>
      </c>
      <c r="CZ86" s="18" t="str">
        <f ca="1"/>
        <v>0xF0FC</v>
      </c>
      <c r="DA86" s="18" t="str">
        <f ca="1"/>
        <v>86400</v>
      </c>
      <c r="DC86" s="10"/>
    </row>
    <row r="87" spans="1:107" x14ac:dyDescent="0.25">
      <c r="A87" s="15" t="s">
        <v>171</v>
      </c>
      <c r="B87" s="15">
        <v>0</v>
      </c>
      <c r="C87" s="15" t="s">
        <v>45</v>
      </c>
      <c r="D87" s="16"/>
      <c r="E87" s="15"/>
      <c r="F87" s="15"/>
      <c r="G87" s="15"/>
      <c r="H87" s="17" t="str">
        <f ca="1">IFERROR(__xludf.DUMMYFUNCTION("""COMPUTED_VALUE"""),"x")</f>
        <v>x</v>
      </c>
      <c r="I87" s="15" t="s">
        <v>29</v>
      </c>
      <c r="J87" s="15" t="s">
        <v>29</v>
      </c>
      <c r="K87" s="15" t="s">
        <v>29</v>
      </c>
      <c r="L87" s="15" t="s">
        <v>29</v>
      </c>
      <c r="M87" s="15" t="s">
        <v>29</v>
      </c>
      <c r="N87" s="16"/>
      <c r="O87" s="18" t="s">
        <v>172</v>
      </c>
      <c r="P87" s="19"/>
      <c r="Q87" s="18" t="str">
        <f ca="1">IFERROR(__xludf.DUMMYFUNCTION("""COMPUTED_VALUE"""),"zb -a 0x0201 0xF074 0")</f>
        <v>zb -a 0x0201 0xF074 0</v>
      </c>
      <c r="R87" s="19"/>
      <c r="S87" s="20" t="str">
        <f ca="1">IFERROR(__xludf.DUMMYFUNCTION("""COMPUTED_VALUE"""),"display_schedule_menu_enabled,10,260,64517,29,16,0,,,,86400")</f>
        <v>display_schedule_menu_enabled,10,260,64517,29,16,0,,,,86400</v>
      </c>
      <c r="X87" s="18" t="str">
        <f ca="1">IFERROR(__xludf.DUMMYFUNCTION("""COMPUTED_VALUE"""),"display_more_button_disabled")</f>
        <v>display_more_button_disabled</v>
      </c>
      <c r="BP87" s="10"/>
      <c r="BR87" s="18" t="str">
        <f ca="1">IFERROR(__xludf.DUMMYFUNCTION("""COMPUTED_VALUE"""),"third_stage_heat_delta_c")</f>
        <v>third_stage_heat_delta_c</v>
      </c>
      <c r="BS87" s="18" t="str">
        <f ca="1">IFERROR(__xludf.DUMMYFUNCTION("""COMPUTED_VALUE"""),"0x0201")</f>
        <v>0x0201</v>
      </c>
      <c r="BT87" s="18" t="str">
        <f ca="1">IFERROR(__xludf.DUMMYFUNCTION("""COMPUTED_VALUE"""),"0xF0EA")</f>
        <v>0xF0EA</v>
      </c>
      <c r="BU87" s="18" t="str">
        <f ca="1">IFERROR(__xludf.DUMMYFUNCTION("""COMPUTED_VALUE"""),"0")</f>
        <v>0</v>
      </c>
      <c r="BW87" s="10"/>
      <c r="CF87" s="10"/>
      <c r="CH87" s="18" t="str">
        <f ca="1">IFERROR(__xludf.DUMMYFUNCTION("""COMPUTED_VALUE"""),"unocc_delay_based_on_schedule")</f>
        <v>unocc_delay_based_on_schedule</v>
      </c>
      <c r="CI87" s="18" t="str">
        <f ca="1">IFERROR(__xludf.DUMMYFUNCTION("""COMPUTED_VALUE"""),"0x0201")</f>
        <v>0x0201</v>
      </c>
      <c r="CJ87" s="18" t="str">
        <f ca="1">IFERROR(__xludf.DUMMYFUNCTION("""COMPUTED_VALUE"""),"0xF0FA")</f>
        <v>0xF0FA</v>
      </c>
      <c r="CK87" s="18" t="str">
        <f ca="1">IFERROR(__xludf.DUMMYFUNCTION("""COMPUTED_VALUE"""),"86400")</f>
        <v>86400</v>
      </c>
      <c r="CM87" s="10"/>
      <c r="CP87" s="18" t="str">
        <f ca="1"/>
        <v/>
      </c>
      <c r="CQ87" s="18" t="str">
        <f ca="1"/>
        <v/>
      </c>
      <c r="CR87" s="18" t="str">
        <f ca="1"/>
        <v/>
      </c>
      <c r="CS87" s="18" t="str">
        <f ca="1"/>
        <v/>
      </c>
      <c r="CT87" s="18" t="str">
        <f ca="1"/>
        <v/>
      </c>
      <c r="CV87" s="10"/>
      <c r="CX87" s="18" t="str">
        <f ca="1">IFERROR(__xludf.DUMMYFUNCTION("""COMPUTED_VALUE"""),"unocc_delay_night_or_schedule")</f>
        <v>unocc_delay_night_or_schedule</v>
      </c>
      <c r="CY87" s="18" t="str">
        <f ca="1"/>
        <v>0x0201</v>
      </c>
      <c r="CZ87" s="18" t="str">
        <f ca="1"/>
        <v>0xF0FD</v>
      </c>
      <c r="DA87" s="18" t="str">
        <f ca="1"/>
        <v>86400</v>
      </c>
      <c r="DC87" s="10"/>
    </row>
    <row r="88" spans="1:107" x14ac:dyDescent="0.25">
      <c r="A88" s="15" t="s">
        <v>173</v>
      </c>
      <c r="B88" s="15">
        <v>20</v>
      </c>
      <c r="C88" s="15" t="s">
        <v>45</v>
      </c>
      <c r="D88" s="16"/>
      <c r="E88" s="15"/>
      <c r="F88" s="15"/>
      <c r="G88" s="15"/>
      <c r="H88" s="17" t="str">
        <f ca="1">IFERROR(__xludf.DUMMYFUNCTION("""COMPUTED_VALUE"""),"x")</f>
        <v>x</v>
      </c>
      <c r="I88" s="15" t="s">
        <v>29</v>
      </c>
      <c r="J88" s="15" t="s">
        <v>29</v>
      </c>
      <c r="K88" s="15" t="s">
        <v>29</v>
      </c>
      <c r="L88" s="15" t="s">
        <v>29</v>
      </c>
      <c r="M88" s="15" t="s">
        <v>29</v>
      </c>
      <c r="N88" s="16"/>
      <c r="O88" s="18" t="s">
        <v>174</v>
      </c>
      <c r="P88" s="19"/>
      <c r="Q88" s="18" t="str">
        <f ca="1">IFERROR(__xludf.DUMMYFUNCTION("""COMPUTED_VALUE"""),"zb -a 0x0201 0xF075 20")</f>
        <v>zb -a 0x0201 0xF075 20</v>
      </c>
      <c r="R88" s="19"/>
      <c r="S88" s="20" t="str">
        <f ca="1">IFERROR(__xludf.DUMMYFUNCTION("""COMPUTED_VALUE"""),"display_set_time_reminder,10,260,64517,35,16,0,,,,86400")</f>
        <v>display_set_time_reminder,10,260,64517,35,16,0,,,,86400</v>
      </c>
      <c r="X88" s="18" t="str">
        <f ca="1">IFERROR(__xludf.DUMMYFUNCTION("""COMPUTED_VALUE"""),"display_schedule_menu_enabled")</f>
        <v>display_schedule_menu_enabled</v>
      </c>
      <c r="BP88" s="10"/>
      <c r="BR88" s="18" t="str">
        <f ca="1">IFERROR(__xludf.DUMMYFUNCTION("""COMPUTED_VALUE"""),"second_stage_cool_delta_c")</f>
        <v>second_stage_cool_delta_c</v>
      </c>
      <c r="BS88" s="18" t="str">
        <f ca="1">IFERROR(__xludf.DUMMYFUNCTION("""COMPUTED_VALUE"""),"0x0201")</f>
        <v>0x0201</v>
      </c>
      <c r="BT88" s="18" t="str">
        <f ca="1">IFERROR(__xludf.DUMMYFUNCTION("""COMPUTED_VALUE"""),"0xF0EB")</f>
        <v>0xF0EB</v>
      </c>
      <c r="BU88" s="18" t="str">
        <f ca="1">IFERROR(__xludf.DUMMYFUNCTION("""COMPUTED_VALUE"""),"0")</f>
        <v>0</v>
      </c>
      <c r="BW88" s="10"/>
      <c r="CF88" s="10"/>
      <c r="CH88" s="18" t="str">
        <f ca="1">IFERROR(__xludf.DUMMYFUNCTION("""COMPUTED_VALUE"""),"unocc_delay_day_or_no_schedule")</f>
        <v>unocc_delay_day_or_no_schedule</v>
      </c>
      <c r="CI88" s="18" t="str">
        <f ca="1">IFERROR(__xludf.DUMMYFUNCTION("""COMPUTED_VALUE"""),"0x0201")</f>
        <v>0x0201</v>
      </c>
      <c r="CJ88" s="18" t="str">
        <f ca="1">IFERROR(__xludf.DUMMYFUNCTION("""COMPUTED_VALUE"""),"0xF0FC")</f>
        <v>0xF0FC</v>
      </c>
      <c r="CK88" s="18" t="str">
        <f ca="1">IFERROR(__xludf.DUMMYFUNCTION("""COMPUTED_VALUE"""),"86400")</f>
        <v>86400</v>
      </c>
      <c r="CM88" s="10"/>
      <c r="CP88" s="18" t="str">
        <f ca="1"/>
        <v/>
      </c>
      <c r="CQ88" s="18" t="str">
        <f ca="1"/>
        <v/>
      </c>
      <c r="CR88" s="18" t="str">
        <f ca="1"/>
        <v/>
      </c>
      <c r="CS88" s="18" t="str">
        <f ca="1"/>
        <v/>
      </c>
      <c r="CT88" s="18" t="str">
        <f ca="1"/>
        <v/>
      </c>
      <c r="CV88" s="10"/>
      <c r="CX88" s="18" t="str">
        <f ca="1">IFERROR(__xludf.DUMMYFUNCTION("""COMPUTED_VALUE"""),"unocc_delay_deep_setback")</f>
        <v>unocc_delay_deep_setback</v>
      </c>
      <c r="CY88" s="18" t="str">
        <f ca="1"/>
        <v>0x0201</v>
      </c>
      <c r="CZ88" s="18" t="str">
        <f ca="1"/>
        <v>0xF0FE</v>
      </c>
      <c r="DA88" s="18" t="str">
        <f ca="1"/>
        <v>86400</v>
      </c>
      <c r="DC88" s="10"/>
    </row>
    <row r="89" spans="1:107" x14ac:dyDescent="0.25">
      <c r="A89" s="15" t="s">
        <v>175</v>
      </c>
      <c r="B89" s="15">
        <v>0.01</v>
      </c>
      <c r="C89" s="15" t="s">
        <v>39</v>
      </c>
      <c r="D89" s="16"/>
      <c r="E89" s="15"/>
      <c r="F89" s="15"/>
      <c r="G89" s="15"/>
      <c r="H89" s="17" t="str">
        <f ca="1">IFERROR(__xludf.DUMMYFUNCTION("""COMPUTED_VALUE"""),"x")</f>
        <v>x</v>
      </c>
      <c r="I89" s="15" t="s">
        <v>29</v>
      </c>
      <c r="J89" s="15" t="s">
        <v>29</v>
      </c>
      <c r="K89" s="15" t="s">
        <v>29</v>
      </c>
      <c r="L89" s="15" t="s">
        <v>29</v>
      </c>
      <c r="M89" s="15" t="s">
        <v>29</v>
      </c>
      <c r="N89" s="16"/>
      <c r="O89" s="18" t="s">
        <v>176</v>
      </c>
      <c r="P89" s="19"/>
      <c r="Q89" s="18" t="str">
        <f ca="1">IFERROR(__xludf.DUMMYFUNCTION("""COMPUTED_VALUE"""),"zb -a 0x0201 0xF073 1")</f>
        <v>zb -a 0x0201 0xF073 1</v>
      </c>
      <c r="R89" s="19"/>
      <c r="S89" s="20" t="str">
        <f ca="1">IFERROR(__xludf.DUMMYFUNCTION("""COMPUTED_VALUE"""),"display_setpoint,10,260,513,61511,41,,0,3600,0")</f>
        <v>display_setpoint,10,260,513,61511,41,,0,3600,0</v>
      </c>
      <c r="X89" s="18" t="str">
        <f ca="1">IFERROR(__xludf.DUMMYFUNCTION("""COMPUTED_VALUE"""),"display_set_time_reminder")</f>
        <v>display_set_time_reminder</v>
      </c>
      <c r="BP89" s="10"/>
      <c r="BR89" s="18" t="str">
        <f ca="1">IFERROR(__xludf.DUMMYFUNCTION("""COMPUTED_VALUE"""),"third_stage_cool_delta_c")</f>
        <v>third_stage_cool_delta_c</v>
      </c>
      <c r="BS89" s="18" t="str">
        <f ca="1">IFERROR(__xludf.DUMMYFUNCTION("""COMPUTED_VALUE"""),"0x0201")</f>
        <v>0x0201</v>
      </c>
      <c r="BT89" s="18" t="str">
        <f ca="1">IFERROR(__xludf.DUMMYFUNCTION("""COMPUTED_VALUE"""),"0xF0EC")</f>
        <v>0xF0EC</v>
      </c>
      <c r="BU89" s="18" t="str">
        <f ca="1">IFERROR(__xludf.DUMMYFUNCTION("""COMPUTED_VALUE"""),"0")</f>
        <v>0</v>
      </c>
      <c r="BW89" s="10"/>
      <c r="CF89" s="10"/>
      <c r="CH89" s="18" t="str">
        <f ca="1">IFERROR(__xludf.DUMMYFUNCTION("""COMPUTED_VALUE"""),"unocc_delay_night_or_schedule")</f>
        <v>unocc_delay_night_or_schedule</v>
      </c>
      <c r="CI89" s="18" t="str">
        <f ca="1">IFERROR(__xludf.DUMMYFUNCTION("""COMPUTED_VALUE"""),"0x0201")</f>
        <v>0x0201</v>
      </c>
      <c r="CJ89" s="18" t="str">
        <f ca="1">IFERROR(__xludf.DUMMYFUNCTION("""COMPUTED_VALUE"""),"0xF0FD")</f>
        <v>0xF0FD</v>
      </c>
      <c r="CK89" s="18" t="str">
        <f ca="1">IFERROR(__xludf.DUMMYFUNCTION("""COMPUTED_VALUE"""),"86400")</f>
        <v>86400</v>
      </c>
      <c r="CM89" s="10"/>
      <c r="CP89" s="18" t="str">
        <f ca="1"/>
        <v/>
      </c>
      <c r="CQ89" s="18" t="str">
        <f ca="1"/>
        <v/>
      </c>
      <c r="CR89" s="18" t="str">
        <f ca="1"/>
        <v/>
      </c>
      <c r="CS89" s="18" t="str">
        <f ca="1"/>
        <v/>
      </c>
      <c r="CT89" s="18" t="str">
        <f ca="1"/>
        <v/>
      </c>
      <c r="CV89" s="10"/>
      <c r="CX89" s="18" t="str">
        <f ca="1">IFERROR(__xludf.DUMMYFUNCTION("""COMPUTED_VALUE"""),"unocc_delay_exit_event")</f>
        <v>unocc_delay_exit_event</v>
      </c>
      <c r="CY89" s="18" t="str">
        <f ca="1"/>
        <v>0x0201</v>
      </c>
      <c r="CZ89" s="18" t="str">
        <f ca="1"/>
        <v>0xF108</v>
      </c>
      <c r="DA89" s="18" t="str">
        <f ca="1"/>
        <v>86400</v>
      </c>
      <c r="DC89" s="10"/>
    </row>
    <row r="90" spans="1:107" x14ac:dyDescent="0.25">
      <c r="A90" s="15" t="s">
        <v>177</v>
      </c>
      <c r="B90" s="15">
        <v>0</v>
      </c>
      <c r="C90" s="15" t="s">
        <v>39</v>
      </c>
      <c r="D90" s="16"/>
      <c r="E90" s="15"/>
      <c r="F90" s="15"/>
      <c r="G90" s="15"/>
      <c r="H90" s="17" t="str">
        <f ca="1">IFERROR(__xludf.DUMMYFUNCTION("""COMPUTED_VALUE"""),"x")</f>
        <v>x</v>
      </c>
      <c r="I90" s="15" t="s">
        <v>29</v>
      </c>
      <c r="J90" s="15" t="s">
        <v>29</v>
      </c>
      <c r="K90" s="15" t="s">
        <v>29</v>
      </c>
      <c r="L90" s="15" t="s">
        <v>29</v>
      </c>
      <c r="M90" s="15" t="s">
        <v>29</v>
      </c>
      <c r="N90" s="16"/>
      <c r="O90" s="18" t="s">
        <v>178</v>
      </c>
      <c r="P90" s="19"/>
      <c r="Q90" s="18" t="str">
        <f ca="1">IFERROR(__xludf.DUMMYFUNCTION("""COMPUTED_VALUE"""),"zb -a 0x0201 0xF05D 0")</f>
        <v>zb -a 0x0201 0xF05D 0</v>
      </c>
      <c r="R90" s="19"/>
      <c r="S90" s="20" t="str">
        <f ca="1">IFERROR(__xludf.DUMMYFUNCTION("""COMPUTED_VALUE"""),"display_settings_menu_enabled,10,260,64517,30,16,1,,,,86400")</f>
        <v>display_settings_menu_enabled,10,260,64517,30,16,1,,,,86400</v>
      </c>
      <c r="X90" s="18" t="str">
        <f ca="1">IFERROR(__xludf.DUMMYFUNCTION("""COMPUTED_VALUE"""),"display_setpoint")</f>
        <v>display_setpoint</v>
      </c>
      <c r="BP90" s="10"/>
      <c r="BR90" s="18" t="str">
        <f ca="1">IFERROR(__xludf.DUMMYFUNCTION("""COMPUTED_VALUE"""),"tau_smoothing_alpha")</f>
        <v>tau_smoothing_alpha</v>
      </c>
      <c r="BS90" s="18" t="str">
        <f ca="1">IFERROR(__xludf.DUMMYFUNCTION("""COMPUTED_VALUE"""),"0x0201")</f>
        <v>0x0201</v>
      </c>
      <c r="BT90" s="18" t="str">
        <f ca="1">IFERROR(__xludf.DUMMYFUNCTION("""COMPUTED_VALUE"""),"0xF0ED")</f>
        <v>0xF0ED</v>
      </c>
      <c r="BU90" s="18" t="str">
        <f ca="1">IFERROR(__xludf.DUMMYFUNCTION("""COMPUTED_VALUE"""),"25")</f>
        <v>25</v>
      </c>
      <c r="BW90" s="10"/>
      <c r="CF90" s="10"/>
      <c r="CH90" s="18" t="str">
        <f ca="1">IFERROR(__xludf.DUMMYFUNCTION("""COMPUTED_VALUE"""),"unocc_delay_deep_setback")</f>
        <v>unocc_delay_deep_setback</v>
      </c>
      <c r="CI90" s="18" t="str">
        <f ca="1">IFERROR(__xludf.DUMMYFUNCTION("""COMPUTED_VALUE"""),"0x0201")</f>
        <v>0x0201</v>
      </c>
      <c r="CJ90" s="18" t="str">
        <f ca="1">IFERROR(__xludf.DUMMYFUNCTION("""COMPUTED_VALUE"""),"0xF0FE")</f>
        <v>0xF0FE</v>
      </c>
      <c r="CK90" s="18" t="str">
        <f ca="1">IFERROR(__xludf.DUMMYFUNCTION("""COMPUTED_VALUE"""),"86400")</f>
        <v>86400</v>
      </c>
      <c r="CM90" s="10"/>
      <c r="CP90" s="18" t="str">
        <f ca="1"/>
        <v/>
      </c>
      <c r="CQ90" s="18" t="str">
        <f ca="1"/>
        <v/>
      </c>
      <c r="CR90" s="18" t="str">
        <f ca="1"/>
        <v/>
      </c>
      <c r="CS90" s="18" t="str">
        <f ca="1"/>
        <v/>
      </c>
      <c r="CT90" s="18" t="str">
        <f ca="1"/>
        <v/>
      </c>
      <c r="CV90" s="10"/>
      <c r="CX90" s="18" t="str">
        <f ca="1">IFERROR(__xludf.DUMMYFUNCTION("""COMPUTED_VALUE"""),"ventilation_option")</f>
        <v>ventilation_option</v>
      </c>
      <c r="CY90" s="18" t="str">
        <f ca="1"/>
        <v>0x0201</v>
      </c>
      <c r="CZ90" s="18" t="str">
        <f ca="1"/>
        <v>0xF140</v>
      </c>
      <c r="DA90" s="18" t="str">
        <f ca="1"/>
        <v>86400</v>
      </c>
      <c r="DC90" s="10"/>
    </row>
    <row r="91" spans="1:107" x14ac:dyDescent="0.25">
      <c r="A91" s="15" t="s">
        <v>179</v>
      </c>
      <c r="B91" s="15">
        <v>1</v>
      </c>
      <c r="C91" s="15"/>
      <c r="D91" s="16"/>
      <c r="E91" s="15"/>
      <c r="F91" s="15"/>
      <c r="G91" s="15"/>
      <c r="H91" s="17" t="str">
        <f ca="1">IFERROR(__xludf.DUMMYFUNCTION("""COMPUTED_VALUE"""),"x")</f>
        <v>x</v>
      </c>
      <c r="I91" s="15" t="s">
        <v>29</v>
      </c>
      <c r="J91" s="15" t="s">
        <v>29</v>
      </c>
      <c r="K91" s="15" t="s">
        <v>29</v>
      </c>
      <c r="L91" s="15" t="s">
        <v>29</v>
      </c>
      <c r="M91" s="15" t="s">
        <v>29</v>
      </c>
      <c r="N91" s="16"/>
      <c r="O91" s="18" t="s">
        <v>180</v>
      </c>
      <c r="P91" s="19"/>
      <c r="Q91" s="18" t="str">
        <f ca="1">IFERROR(__xludf.DUMMYFUNCTION("""COMPUTED_VALUE"""),"zb -a 0x0201 0xF156 1")</f>
        <v>zb -a 0x0201 0xF156 1</v>
      </c>
      <c r="R91" s="19"/>
      <c r="S91" s="20" t="str">
        <f ca="1">IFERROR(__xludf.DUMMYFUNCTION("""COMPUTED_VALUE"""),"display_temp_units,10,260,513,61471,48,,0,3600,0")</f>
        <v>display_temp_units,10,260,513,61471,48,,0,3600,0</v>
      </c>
      <c r="X91" s="18" t="str">
        <f ca="1">IFERROR(__xludf.DUMMYFUNCTION("""COMPUTED_VALUE"""),"display_settings_menu_enabled")</f>
        <v>display_settings_menu_enabled</v>
      </c>
      <c r="BP91" s="10"/>
      <c r="BR91" s="18" t="str">
        <f ca="1">IFERROR(__xludf.DUMMYFUNCTION("""COMPUTED_VALUE"""),"fixed_heat_setback")</f>
        <v>fixed_heat_setback</v>
      </c>
      <c r="BS91" s="18" t="str">
        <f ca="1">IFERROR(__xludf.DUMMYFUNCTION("""COMPUTED_VALUE"""),"0x0201")</f>
        <v>0x0201</v>
      </c>
      <c r="BT91" s="18" t="str">
        <f ca="1">IFERROR(__xludf.DUMMYFUNCTION("""COMPUTED_VALUE"""),"0xF0EF")</f>
        <v>0xF0EF</v>
      </c>
      <c r="BU91" s="18" t="str">
        <f ca="1">IFERROR(__xludf.DUMMYFUNCTION("""COMPUTED_VALUE"""),"18.33")</f>
        <v>18.33</v>
      </c>
      <c r="BW91" s="10"/>
      <c r="CF91" s="10"/>
      <c r="CH91" s="18" t="str">
        <f ca="1">IFERROR(__xludf.DUMMYFUNCTION("""COMPUTED_VALUE"""),"unocc_delay_exit_event")</f>
        <v>unocc_delay_exit_event</v>
      </c>
      <c r="CI91" s="18" t="str">
        <f ca="1">IFERROR(__xludf.DUMMYFUNCTION("""COMPUTED_VALUE"""),"0x0201")</f>
        <v>0x0201</v>
      </c>
      <c r="CJ91" s="18" t="str">
        <f ca="1">IFERROR(__xludf.DUMMYFUNCTION("""COMPUTED_VALUE"""),"0xF108")</f>
        <v>0xF108</v>
      </c>
      <c r="CK91" s="18" t="str">
        <f ca="1">IFERROR(__xludf.DUMMYFUNCTION("""COMPUTED_VALUE"""),"86400")</f>
        <v>86400</v>
      </c>
      <c r="CM91" s="10"/>
      <c r="CP91" s="18" t="str">
        <f ca="1"/>
        <v/>
      </c>
      <c r="CQ91" s="18" t="str">
        <f ca="1"/>
        <v/>
      </c>
      <c r="CR91" s="18" t="str">
        <f ca="1"/>
        <v/>
      </c>
      <c r="CS91" s="18" t="str">
        <f ca="1"/>
        <v/>
      </c>
      <c r="CT91" s="18" t="str">
        <f ca="1"/>
        <v/>
      </c>
      <c r="CV91" s="10"/>
      <c r="CX91" s="18" t="str">
        <f ca="1">IFERROR(__xludf.DUMMYFUNCTION("""COMPUTED_VALUE"""),"standard_ventilation_duty_cycle")</f>
        <v>standard_ventilation_duty_cycle</v>
      </c>
      <c r="CY91" s="18" t="str">
        <f ca="1"/>
        <v>0x0201</v>
      </c>
      <c r="CZ91" s="18" t="str">
        <f ca="1"/>
        <v>0xF141</v>
      </c>
      <c r="DA91" s="18" t="str">
        <f ca="1"/>
        <v>86400</v>
      </c>
      <c r="DC91" s="10"/>
    </row>
    <row r="92" spans="1:107" x14ac:dyDescent="0.25">
      <c r="A92" s="15" t="s">
        <v>181</v>
      </c>
      <c r="B92" s="15">
        <v>5</v>
      </c>
      <c r="C92" s="15" t="s">
        <v>45</v>
      </c>
      <c r="D92" s="16"/>
      <c r="E92" s="15"/>
      <c r="F92" s="15"/>
      <c r="G92" s="15"/>
      <c r="H92" s="17" t="str">
        <f ca="1">IFERROR(__xludf.DUMMYFUNCTION("""COMPUTED_VALUE"""),"x")</f>
        <v>x</v>
      </c>
      <c r="I92" s="15" t="s">
        <v>29</v>
      </c>
      <c r="J92" s="15" t="s">
        <v>29</v>
      </c>
      <c r="K92" s="15" t="s">
        <v>29</v>
      </c>
      <c r="L92" s="15" t="s">
        <v>29</v>
      </c>
      <c r="M92" s="15" t="s">
        <v>29</v>
      </c>
      <c r="N92" s="16"/>
      <c r="O92" s="18" t="s">
        <v>182</v>
      </c>
      <c r="P92" s="19"/>
      <c r="Q92" s="18" t="str">
        <f ca="1">IFERROR(__xludf.DUMMYFUNCTION("""COMPUTED_VALUE"""),"zb -a 0x0201 0xF154 5")</f>
        <v>zb -a 0x0201 0xF154 5</v>
      </c>
      <c r="R92" s="19"/>
      <c r="S92" s="20" t="str">
        <f ca="1">IFERROR(__xludf.DUMMYFUNCTION("""COMPUTED_VALUE"""),"display_thermostat_menu_enabled,10,260,64517,27,16,0,,,,86400")</f>
        <v>display_thermostat_menu_enabled,10,260,64517,27,16,0,,,,86400</v>
      </c>
      <c r="X92" s="18" t="str">
        <f ca="1">IFERROR(__xludf.DUMMYFUNCTION("""COMPUTED_VALUE"""),"display_temp_units")</f>
        <v>display_temp_units</v>
      </c>
      <c r="BP92" s="10"/>
      <c r="BR92" s="18" t="str">
        <f ca="1">IFERROR(__xludf.DUMMYFUNCTION("""COMPUTED_VALUE"""),"fixed_cool_setback")</f>
        <v>fixed_cool_setback</v>
      </c>
      <c r="BS92" s="18" t="str">
        <f ca="1">IFERROR(__xludf.DUMMYFUNCTION("""COMPUTED_VALUE"""),"0x0201")</f>
        <v>0x0201</v>
      </c>
      <c r="BT92" s="18" t="str">
        <f ca="1">IFERROR(__xludf.DUMMYFUNCTION("""COMPUTED_VALUE"""),"0xF0F0")</f>
        <v>0xF0F0</v>
      </c>
      <c r="BU92" s="18" t="str">
        <f ca="1">IFERROR(__xludf.DUMMYFUNCTION("""COMPUTED_VALUE"""),"27.78")</f>
        <v>27.78</v>
      </c>
      <c r="BW92" s="10"/>
      <c r="CF92" s="10"/>
      <c r="CH92" s="18" t="str">
        <f ca="1">IFERROR(__xludf.DUMMYFUNCTION("""COMPUTED_VALUE"""),"motion_sensor_contacts")</f>
        <v>motion_sensor_contacts</v>
      </c>
      <c r="CI92" s="18" t="str">
        <f ca="1">IFERROR(__xludf.DUMMYFUNCTION("""COMPUTED_VALUE"""),"0x0201")</f>
        <v>0x0201</v>
      </c>
      <c r="CJ92" s="18" t="str">
        <f ca="1">IFERROR(__xludf.DUMMYFUNCTION("""COMPUTED_VALUE"""),"0xF10A")</f>
        <v>0xF10A</v>
      </c>
      <c r="CK92" s="18" t="str">
        <f ca="1">IFERROR(__xludf.DUMMYFUNCTION("""COMPUTED_VALUE"""),"86400")</f>
        <v>86400</v>
      </c>
      <c r="CM92" s="10"/>
      <c r="CP92" s="18" t="str">
        <f ca="1"/>
        <v/>
      </c>
      <c r="CQ92" s="18" t="str">
        <f ca="1"/>
        <v/>
      </c>
      <c r="CR92" s="18" t="str">
        <f ca="1"/>
        <v/>
      </c>
      <c r="CS92" s="18" t="str">
        <f ca="1"/>
        <v/>
      </c>
      <c r="CT92" s="18" t="str">
        <f ca="1"/>
        <v/>
      </c>
      <c r="CV92" s="10"/>
      <c r="CX92" s="18" t="str">
        <f ca="1">IFERROR(__xludf.DUMMYFUNCTION("""COMPUTED_VALUE"""),"smart_ventilation_home_size")</f>
        <v>smart_ventilation_home_size</v>
      </c>
      <c r="CY92" s="18" t="str">
        <f ca="1"/>
        <v>0x0201</v>
      </c>
      <c r="CZ92" s="18" t="str">
        <f ca="1"/>
        <v>0xF142</v>
      </c>
      <c r="DA92" s="18" t="str">
        <f ca="1"/>
        <v>86400</v>
      </c>
      <c r="DC92" s="10"/>
    </row>
    <row r="93" spans="1:107" x14ac:dyDescent="0.25">
      <c r="A93" s="15" t="s">
        <v>183</v>
      </c>
      <c r="B93" s="15">
        <v>5</v>
      </c>
      <c r="C93" s="15" t="s">
        <v>45</v>
      </c>
      <c r="D93" s="16"/>
      <c r="E93" s="15"/>
      <c r="F93" s="15"/>
      <c r="G93" s="15"/>
      <c r="H93" s="17" t="str">
        <f ca="1">IFERROR(__xludf.DUMMYFUNCTION("""COMPUTED_VALUE"""),"x")</f>
        <v>x</v>
      </c>
      <c r="I93" s="15" t="s">
        <v>29</v>
      </c>
      <c r="J93" s="15" t="s">
        <v>29</v>
      </c>
      <c r="K93" s="15" t="s">
        <v>29</v>
      </c>
      <c r="L93" s="15" t="s">
        <v>29</v>
      </c>
      <c r="M93" s="15" t="s">
        <v>29</v>
      </c>
      <c r="N93" s="16"/>
      <c r="O93" s="18" t="s">
        <v>184</v>
      </c>
      <c r="P93" s="19"/>
      <c r="Q93" s="18" t="str">
        <f ca="1">IFERROR(__xludf.DUMMYFUNCTION("""COMPUTED_VALUE"""),"zb -a 0x0201 0xF155 5")</f>
        <v>zb -a 0x0201 0xF155 5</v>
      </c>
      <c r="R93" s="19"/>
      <c r="S93" s="20" t="str">
        <f ca="1">IFERROR(__xludf.DUMMYFUNCTION("""COMPUTED_VALUE"""),"display_wifi_menu,10,260,64517,31,48,2,,,,86400")</f>
        <v>display_wifi_menu,10,260,64517,31,48,2,,,,86400</v>
      </c>
      <c r="X93" s="18" t="str">
        <f ca="1">IFERROR(__xludf.DUMMYFUNCTION("""COMPUTED_VALUE"""),"display_thermostat_menu_enabled")</f>
        <v>display_thermostat_menu_enabled</v>
      </c>
      <c r="BP93" s="10"/>
      <c r="BR93" s="18" t="str">
        <f ca="1">IFERROR(__xludf.DUMMYFUNCTION("""COMPUTED_VALUE"""),"delta_setback")</f>
        <v>delta_setback</v>
      </c>
      <c r="BS93" s="18" t="str">
        <f ca="1">IFERROR(__xludf.DUMMYFUNCTION("""COMPUTED_VALUE"""),"0x0201")</f>
        <v>0x0201</v>
      </c>
      <c r="BT93" s="18" t="str">
        <f ca="1">IFERROR(__xludf.DUMMYFUNCTION("""COMPUTED_VALUE"""),"0xF0F1")</f>
        <v>0xF0F1</v>
      </c>
      <c r="BU93" s="18" t="str">
        <f ca="1">IFERROR(__xludf.DUMMYFUNCTION("""COMPUTED_VALUE"""),"3")</f>
        <v>3</v>
      </c>
      <c r="BW93" s="10"/>
      <c r="CF93" s="10"/>
      <c r="CH93" s="18" t="str">
        <f ca="1">IFERROR(__xludf.DUMMYFUNCTION("""COMPUTED_VALUE"""),"motion_sensor_contacts_active")</f>
        <v>motion_sensor_contacts_active</v>
      </c>
      <c r="CI93" s="18" t="str">
        <f ca="1">IFERROR(__xludf.DUMMYFUNCTION("""COMPUTED_VALUE"""),"0x0201")</f>
        <v>0x0201</v>
      </c>
      <c r="CJ93" s="18" t="str">
        <f ca="1">IFERROR(__xludf.DUMMYFUNCTION("""COMPUTED_VALUE"""),"0xF10B")</f>
        <v>0xF10B</v>
      </c>
      <c r="CK93" s="18" t="str">
        <f ca="1">IFERROR(__xludf.DUMMYFUNCTION("""COMPUTED_VALUE"""),"86400")</f>
        <v>86400</v>
      </c>
      <c r="CM93" s="10"/>
      <c r="CP93" s="18" t="str">
        <f ca="1"/>
        <v/>
      </c>
      <c r="CQ93" s="18" t="str">
        <f ca="1"/>
        <v/>
      </c>
      <c r="CR93" s="18" t="str">
        <f ca="1"/>
        <v/>
      </c>
      <c r="CS93" s="18" t="str">
        <f ca="1"/>
        <v/>
      </c>
      <c r="CT93" s="18" t="str">
        <f ca="1"/>
        <v/>
      </c>
      <c r="CV93" s="10"/>
      <c r="CX93" s="18" t="str">
        <f ca="1">IFERROR(__xludf.DUMMYFUNCTION("""COMPUTED_VALUE"""),"smart_ventilation_number_of_bedrooms")</f>
        <v>smart_ventilation_number_of_bedrooms</v>
      </c>
      <c r="CY93" s="18" t="str">
        <f ca="1"/>
        <v>0x0201</v>
      </c>
      <c r="CZ93" s="18" t="str">
        <f ca="1"/>
        <v>0xF143</v>
      </c>
      <c r="DA93" s="18" t="str">
        <f ca="1"/>
        <v>86400</v>
      </c>
      <c r="DC93" s="10"/>
    </row>
    <row r="94" spans="1:107" x14ac:dyDescent="0.25">
      <c r="A94" s="15" t="s">
        <v>185</v>
      </c>
      <c r="B94" s="15">
        <v>10</v>
      </c>
      <c r="C94" s="15" t="s">
        <v>45</v>
      </c>
      <c r="D94" s="16"/>
      <c r="E94" s="15"/>
      <c r="F94" s="15"/>
      <c r="G94" s="15"/>
      <c r="H94" s="17" t="str">
        <f ca="1">IFERROR(__xludf.DUMMYFUNCTION("""COMPUTED_VALUE"""),"x")</f>
        <v>x</v>
      </c>
      <c r="I94" s="15" t="s">
        <v>29</v>
      </c>
      <c r="J94" s="15" t="s">
        <v>29</v>
      </c>
      <c r="K94" s="15" t="s">
        <v>29</v>
      </c>
      <c r="L94" s="15" t="s">
        <v>29</v>
      </c>
      <c r="M94" s="15" t="s">
        <v>29</v>
      </c>
      <c r="N94" s="16"/>
      <c r="O94" s="18" t="s">
        <v>186</v>
      </c>
      <c r="P94" s="19"/>
      <c r="Q94" s="18" t="str">
        <f ca="1">IFERROR(__xludf.DUMMYFUNCTION("""COMPUTED_VALUE"""),"zb -a 0x0201 0xF157 10")</f>
        <v>zb -a 0x0201 0xF157 10</v>
      </c>
      <c r="R94" s="19"/>
      <c r="S94" s="20" t="str">
        <f ca="1">IFERROR(__xludf.DUMMYFUNCTION("""COMPUTED_VALUE"""),"do_not_disturb,10,260,64519,1,16,,0,3600,0")</f>
        <v>do_not_disturb,10,260,64519,1,16,,0,3600,0</v>
      </c>
      <c r="X94" s="18" t="str">
        <f ca="1">IFERROR(__xludf.DUMMYFUNCTION("""COMPUTED_VALUE"""),"display_wifi_menu")</f>
        <v>display_wifi_menu</v>
      </c>
      <c r="BP94" s="10"/>
      <c r="BR94" s="18" t="str">
        <f ca="1">IFERROR(__xludf.DUMMYFUNCTION("""COMPUTED_VALUE"""),"deep_heat_setback")</f>
        <v>deep_heat_setback</v>
      </c>
      <c r="BS94" s="18" t="str">
        <f ca="1">IFERROR(__xludf.DUMMYFUNCTION("""COMPUTED_VALUE"""),"0x0201")</f>
        <v>0x0201</v>
      </c>
      <c r="BT94" s="18" t="str">
        <f ca="1">IFERROR(__xludf.DUMMYFUNCTION("""COMPUTED_VALUE"""),"0xF0F3")</f>
        <v>0xF0F3</v>
      </c>
      <c r="BU94" s="18" t="str">
        <f ca="1">IFERROR(__xludf.DUMMYFUNCTION("""COMPUTED_VALUE"""),"16.67")</f>
        <v>16.67</v>
      </c>
      <c r="BW94" s="10"/>
      <c r="CF94" s="10"/>
      <c r="CH94" s="18" t="str">
        <f ca="1">IFERROR(__xludf.DUMMYFUNCTION("""COMPUTED_VALUE"""),"ventilation_option")</f>
        <v>ventilation_option</v>
      </c>
      <c r="CI94" s="18" t="str">
        <f ca="1">IFERROR(__xludf.DUMMYFUNCTION("""COMPUTED_VALUE"""),"0x0201")</f>
        <v>0x0201</v>
      </c>
      <c r="CJ94" s="18" t="str">
        <f ca="1">IFERROR(__xludf.DUMMYFUNCTION("""COMPUTED_VALUE"""),"0xF140")</f>
        <v>0xF140</v>
      </c>
      <c r="CK94" s="18" t="str">
        <f ca="1">IFERROR(__xludf.DUMMYFUNCTION("""COMPUTED_VALUE"""),"86400")</f>
        <v>86400</v>
      </c>
      <c r="CM94" s="10"/>
      <c r="CP94" s="18" t="str">
        <f ca="1"/>
        <v/>
      </c>
      <c r="CQ94" s="18" t="str">
        <f ca="1"/>
        <v/>
      </c>
      <c r="CR94" s="18" t="str">
        <f ca="1"/>
        <v/>
      </c>
      <c r="CS94" s="18" t="str">
        <f ca="1"/>
        <v/>
      </c>
      <c r="CT94" s="18" t="str">
        <f ca="1"/>
        <v/>
      </c>
      <c r="CV94" s="10"/>
      <c r="CX94" s="18" t="str">
        <f ca="1">IFERROR(__xludf.DUMMYFUNCTION("""COMPUTED_VALUE"""),"smart_ventilation_fan_size")</f>
        <v>smart_ventilation_fan_size</v>
      </c>
      <c r="CY94" s="18" t="str">
        <f ca="1"/>
        <v>0x0201</v>
      </c>
      <c r="CZ94" s="18" t="str">
        <f ca="1"/>
        <v>0xF145</v>
      </c>
      <c r="DA94" s="18" t="str">
        <f ca="1"/>
        <v>86400</v>
      </c>
      <c r="DC94" s="10"/>
    </row>
    <row r="95" spans="1:107" x14ac:dyDescent="0.25">
      <c r="A95" s="15" t="s">
        <v>187</v>
      </c>
      <c r="B95" s="15">
        <v>60</v>
      </c>
      <c r="C95" s="15" t="s">
        <v>28</v>
      </c>
      <c r="D95" s="16"/>
      <c r="E95" s="15"/>
      <c r="F95" s="15"/>
      <c r="G95" s="15"/>
      <c r="H95" s="17" t="str">
        <f ca="1">IFERROR(__xludf.DUMMYFUNCTION("""COMPUTED_VALUE"""),"x")</f>
        <v>x</v>
      </c>
      <c r="I95" s="15" t="s">
        <v>29</v>
      </c>
      <c r="J95" s="15" t="s">
        <v>29</v>
      </c>
      <c r="K95" s="15" t="s">
        <v>29</v>
      </c>
      <c r="L95" s="15" t="s">
        <v>29</v>
      </c>
      <c r="M95" s="15" t="s">
        <v>29</v>
      </c>
      <c r="N95" s="16"/>
      <c r="O95" s="18" t="s">
        <v>188</v>
      </c>
      <c r="P95" s="19"/>
      <c r="Q95" s="18" t="str">
        <f ca="1">IFERROR(__xludf.DUMMYFUNCTION("""COMPUTED_VALUE"""),"zb -a 0x0201 0xF158 1556")</f>
        <v>zb -a 0x0201 0xF158 1556</v>
      </c>
      <c r="R95" s="19"/>
      <c r="S95" s="20" t="str">
        <f ca="1">IFERROR(__xludf.DUMMYFUNCTION("""COMPUTED_VALUE"""),"door_occ_lock_enabled,10,260,513,61648,24,0,,,,86400")</f>
        <v>door_occ_lock_enabled,10,260,513,61648,24,0,,,,86400</v>
      </c>
      <c r="X95" s="18" t="str">
        <f ca="1">IFERROR(__xludf.DUMMYFUNCTION("""COMPUTED_VALUE"""),"do_not_disturb")</f>
        <v>do_not_disturb</v>
      </c>
      <c r="BP95" s="10"/>
      <c r="BR95" s="18" t="str">
        <f ca="1">IFERROR(__xludf.DUMMYFUNCTION("""COMPUTED_VALUE"""),"deep_cool_setback")</f>
        <v>deep_cool_setback</v>
      </c>
      <c r="BS95" s="18" t="str">
        <f ca="1">IFERROR(__xludf.DUMMYFUNCTION("""COMPUTED_VALUE"""),"0x0201")</f>
        <v>0x0201</v>
      </c>
      <c r="BT95" s="18" t="str">
        <f ca="1">IFERROR(__xludf.DUMMYFUNCTION("""COMPUTED_VALUE"""),"0xF0F4")</f>
        <v>0xF0F4</v>
      </c>
      <c r="BU95" s="18" t="str">
        <f ca="1">IFERROR(__xludf.DUMMYFUNCTION("""COMPUTED_VALUE"""),"29.44")</f>
        <v>29.44</v>
      </c>
      <c r="BW95" s="10"/>
      <c r="CF95" s="10"/>
      <c r="CH95" s="18" t="str">
        <f ca="1">IFERROR(__xludf.DUMMYFUNCTION("""COMPUTED_VALUE"""),"standard_ventilation_duty_cycle")</f>
        <v>standard_ventilation_duty_cycle</v>
      </c>
      <c r="CI95" s="18" t="str">
        <f ca="1">IFERROR(__xludf.DUMMYFUNCTION("""COMPUTED_VALUE"""),"0x0201")</f>
        <v>0x0201</v>
      </c>
      <c r="CJ95" s="18" t="str">
        <f ca="1">IFERROR(__xludf.DUMMYFUNCTION("""COMPUTED_VALUE"""),"0xF141")</f>
        <v>0xF141</v>
      </c>
      <c r="CK95" s="18" t="str">
        <f ca="1">IFERROR(__xludf.DUMMYFUNCTION("""COMPUTED_VALUE"""),"86400")</f>
        <v>86400</v>
      </c>
      <c r="CM95" s="10"/>
      <c r="CP95" s="18" t="str">
        <f ca="1"/>
        <v/>
      </c>
      <c r="CQ95" s="18" t="str">
        <f ca="1"/>
        <v/>
      </c>
      <c r="CR95" s="18" t="str">
        <f ca="1"/>
        <v/>
      </c>
      <c r="CS95" s="18" t="str">
        <f ca="1"/>
        <v/>
      </c>
      <c r="CT95" s="18" t="str">
        <f ca="1"/>
        <v/>
      </c>
      <c r="CV95" s="10"/>
      <c r="CX95" s="18" t="str">
        <f ca="1">IFERROR(__xludf.DUMMYFUNCTION("""COMPUTED_VALUE"""),"manual_ventilation_setting")</f>
        <v>manual_ventilation_setting</v>
      </c>
      <c r="CY95" s="18" t="str">
        <f ca="1"/>
        <v>0x0201</v>
      </c>
      <c r="CZ95" s="18" t="str">
        <f ca="1"/>
        <v>0xF14A</v>
      </c>
      <c r="DA95" s="18" t="str">
        <f ca="1"/>
        <v>86400</v>
      </c>
      <c r="DC95" s="10"/>
    </row>
    <row r="96" spans="1:107" x14ac:dyDescent="0.25">
      <c r="A96" s="15" t="s">
        <v>189</v>
      </c>
      <c r="B96" s="15">
        <v>40</v>
      </c>
      <c r="C96" s="15" t="s">
        <v>28</v>
      </c>
      <c r="D96" s="16"/>
      <c r="E96" s="15"/>
      <c r="F96" s="15"/>
      <c r="G96" s="15"/>
      <c r="H96" s="17" t="str">
        <f ca="1">IFERROR(__xludf.DUMMYFUNCTION("""COMPUTED_VALUE"""),"x")</f>
        <v>x</v>
      </c>
      <c r="I96" s="15" t="s">
        <v>29</v>
      </c>
      <c r="J96" s="15" t="s">
        <v>29</v>
      </c>
      <c r="K96" s="15" t="s">
        <v>29</v>
      </c>
      <c r="L96" s="15" t="s">
        <v>29</v>
      </c>
      <c r="M96" s="15" t="s">
        <v>29</v>
      </c>
      <c r="N96" s="16"/>
      <c r="O96" s="18" t="s">
        <v>190</v>
      </c>
      <c r="P96" s="19"/>
      <c r="Q96" s="18" t="str">
        <f ca="1">IFERROR(__xludf.DUMMYFUNCTION("""COMPUTED_VALUE"""),"zb -a 0x0201 0xF159 444")</f>
        <v>zb -a 0x0201 0xF159 444</v>
      </c>
      <c r="R96" s="19"/>
      <c r="S96" s="20" t="str">
        <f ca="1">IFERROR(__xludf.DUMMYFUNCTION("""COMPUTED_VALUE"""),"door_occ_lock_max_duration,10,260,513,61651,32,10,,,,86400")</f>
        <v>door_occ_lock_max_duration,10,260,513,61651,32,10,,,,86400</v>
      </c>
      <c r="X96" s="18" t="str">
        <f ca="1">IFERROR(__xludf.DUMMYFUNCTION("""COMPUTED_VALUE"""),"door_occ_lock_enabled")</f>
        <v>door_occ_lock_enabled</v>
      </c>
      <c r="BP96" s="10"/>
      <c r="BR96" s="18" t="str">
        <f ca="1">IFERROR(__xludf.DUMMYFUNCTION("""COMPUTED_VALUE"""),"deep_delta_setback")</f>
        <v>deep_delta_setback</v>
      </c>
      <c r="BS96" s="18" t="str">
        <f ca="1">IFERROR(__xludf.DUMMYFUNCTION("""COMPUTED_VALUE"""),"0x0201")</f>
        <v>0x0201</v>
      </c>
      <c r="BT96" s="18" t="str">
        <f ca="1">IFERROR(__xludf.DUMMYFUNCTION("""COMPUTED_VALUE"""),"0xF0F5")</f>
        <v>0xF0F5</v>
      </c>
      <c r="BU96" s="18" t="str">
        <f ca="1">IFERROR(__xludf.DUMMYFUNCTION("""COMPUTED_VALUE"""),"5")</f>
        <v>5</v>
      </c>
      <c r="BW96" s="10"/>
      <c r="CF96" s="10"/>
      <c r="CH96" s="18" t="str">
        <f ca="1">IFERROR(__xludf.DUMMYFUNCTION("""COMPUTED_VALUE"""),"smart_ventilation_home_size")</f>
        <v>smart_ventilation_home_size</v>
      </c>
      <c r="CI96" s="18" t="str">
        <f ca="1">IFERROR(__xludf.DUMMYFUNCTION("""COMPUTED_VALUE"""),"0x0201")</f>
        <v>0x0201</v>
      </c>
      <c r="CJ96" s="18" t="str">
        <f ca="1">IFERROR(__xludf.DUMMYFUNCTION("""COMPUTED_VALUE"""),"0xF142")</f>
        <v>0xF142</v>
      </c>
      <c r="CK96" s="18" t="str">
        <f ca="1">IFERROR(__xludf.DUMMYFUNCTION("""COMPUTED_VALUE"""),"86400")</f>
        <v>86400</v>
      </c>
      <c r="CM96" s="10"/>
      <c r="CP96" s="18" t="str">
        <f ca="1"/>
        <v/>
      </c>
      <c r="CQ96" s="18" t="str">
        <f ca="1"/>
        <v/>
      </c>
      <c r="CR96" s="18" t="str">
        <f ca="1"/>
        <v/>
      </c>
      <c r="CS96" s="18" t="str">
        <f ca="1"/>
        <v/>
      </c>
      <c r="CT96" s="18" t="str">
        <f ca="1"/>
        <v/>
      </c>
      <c r="CV96" s="10"/>
      <c r="CX96" s="18" t="str">
        <f ca="1">IFERROR(__xludf.DUMMYFUNCTION("""COMPUTED_VALUE"""),"user_rh_target_editing_enabled")</f>
        <v>user_rh_target_editing_enabled</v>
      </c>
      <c r="CY96" s="18" t="str">
        <f ca="1"/>
        <v>0x0201</v>
      </c>
      <c r="CZ96" s="18" t="str">
        <f ca="1"/>
        <v>0xF150</v>
      </c>
      <c r="DA96" s="18" t="str">
        <f ca="1"/>
        <v>86400</v>
      </c>
      <c r="DC96" s="10"/>
    </row>
    <row r="97" spans="1:107" x14ac:dyDescent="0.25">
      <c r="A97" s="15" t="s">
        <v>191</v>
      </c>
      <c r="B97" s="15">
        <v>70</v>
      </c>
      <c r="C97" s="15" t="s">
        <v>28</v>
      </c>
      <c r="D97" s="16"/>
      <c r="E97" s="15"/>
      <c r="F97" s="15"/>
      <c r="G97" s="15"/>
      <c r="H97" s="17" t="str">
        <f ca="1">IFERROR(__xludf.DUMMYFUNCTION("""COMPUTED_VALUE"""),"x")</f>
        <v>x</v>
      </c>
      <c r="I97" s="15" t="s">
        <v>29</v>
      </c>
      <c r="J97" s="15" t="s">
        <v>29</v>
      </c>
      <c r="K97" s="15" t="s">
        <v>29</v>
      </c>
      <c r="L97" s="15" t="s">
        <v>29</v>
      </c>
      <c r="M97" s="15" t="s">
        <v>29</v>
      </c>
      <c r="N97" s="16"/>
      <c r="O97" s="18" t="s">
        <v>192</v>
      </c>
      <c r="P97" s="19"/>
      <c r="Q97" s="18" t="str">
        <f ca="1">IFERROR(__xludf.DUMMYFUNCTION("""COMPUTED_VALUE"""),"zb -a 0x0201 0xF15A 2111")</f>
        <v>zb -a 0x0201 0xF15A 2111</v>
      </c>
      <c r="R97" s="19"/>
      <c r="S97" s="20" t="str">
        <f ca="1">IFERROR(__xludf.DUMMYFUNCTION("""COMPUTED_VALUE"""),"door_occ_locked,10,260,513,61652,16,,0,3600,0")</f>
        <v>door_occ_locked,10,260,513,61652,16,,0,3600,0</v>
      </c>
      <c r="X97" s="18" t="str">
        <f ca="1">IFERROR(__xludf.DUMMYFUNCTION("""COMPUTED_VALUE"""),"door_occ_lock_max_duration")</f>
        <v>door_occ_lock_max_duration</v>
      </c>
      <c r="BP97" s="10"/>
      <c r="BR97" s="18" t="str">
        <f ca="1">IFERROR(__xludf.DUMMYFUNCTION("""COMPUTED_VALUE"""),"day_start_time")</f>
        <v>day_start_time</v>
      </c>
      <c r="BS97" s="18" t="str">
        <f ca="1">IFERROR(__xludf.DUMMYFUNCTION("""COMPUTED_VALUE"""),"0x0201")</f>
        <v>0x0201</v>
      </c>
      <c r="BT97" s="18" t="str">
        <f ca="1">IFERROR(__xludf.DUMMYFUNCTION("""COMPUTED_VALUE"""),"0xF0F7")</f>
        <v>0xF0F7</v>
      </c>
      <c r="BU97" s="18" t="str">
        <f ca="1">IFERROR(__xludf.DUMMYFUNCTION("""COMPUTED_VALUE"""),"360")</f>
        <v>360</v>
      </c>
      <c r="BW97" s="10"/>
      <c r="CF97" s="10"/>
      <c r="CH97" s="18" t="str">
        <f ca="1">IFERROR(__xludf.DUMMYFUNCTION("""COMPUTED_VALUE"""),"smart_ventilation_number_of_bedrooms")</f>
        <v>smart_ventilation_number_of_bedrooms</v>
      </c>
      <c r="CI97" s="18" t="str">
        <f ca="1">IFERROR(__xludf.DUMMYFUNCTION("""COMPUTED_VALUE"""),"0x0201")</f>
        <v>0x0201</v>
      </c>
      <c r="CJ97" s="18" t="str">
        <f ca="1">IFERROR(__xludf.DUMMYFUNCTION("""COMPUTED_VALUE"""),"0xF143")</f>
        <v>0xF143</v>
      </c>
      <c r="CK97" s="18" t="str">
        <f ca="1">IFERROR(__xludf.DUMMYFUNCTION("""COMPUTED_VALUE"""),"86400")</f>
        <v>86400</v>
      </c>
      <c r="CM97" s="10"/>
      <c r="CP97" s="18" t="str">
        <f ca="1"/>
        <v/>
      </c>
      <c r="CQ97" s="18" t="str">
        <f ca="1"/>
        <v/>
      </c>
      <c r="CR97" s="18" t="str">
        <f ca="1"/>
        <v/>
      </c>
      <c r="CS97" s="18" t="str">
        <f ca="1"/>
        <v/>
      </c>
      <c r="CT97" s="18" t="str">
        <f ca="1"/>
        <v/>
      </c>
      <c r="CV97" s="10"/>
      <c r="CX97" s="18" t="str">
        <f ca="1">IFERROR(__xludf.DUMMYFUNCTION("""COMPUTED_VALUE"""),"user_rh_target_min")</f>
        <v>user_rh_target_min</v>
      </c>
      <c r="CY97" s="18" t="str">
        <f ca="1"/>
        <v>0x0201</v>
      </c>
      <c r="CZ97" s="18" t="str">
        <f ca="1"/>
        <v>0xF151</v>
      </c>
      <c r="DA97" s="18" t="str">
        <f ca="1"/>
        <v>86400</v>
      </c>
      <c r="DC97" s="10"/>
    </row>
    <row r="98" spans="1:107" x14ac:dyDescent="0.25">
      <c r="A98" s="15" t="s">
        <v>193</v>
      </c>
      <c r="B98" s="15">
        <v>40</v>
      </c>
      <c r="C98" s="15" t="s">
        <v>28</v>
      </c>
      <c r="D98" s="16"/>
      <c r="E98" s="15"/>
      <c r="F98" s="15"/>
      <c r="G98" s="15"/>
      <c r="H98" s="17" t="str">
        <f ca="1">IFERROR(__xludf.DUMMYFUNCTION("""COMPUTED_VALUE"""),"x")</f>
        <v>x</v>
      </c>
      <c r="I98" s="15" t="s">
        <v>29</v>
      </c>
      <c r="J98" s="15" t="s">
        <v>29</v>
      </c>
      <c r="K98" s="15" t="s">
        <v>29</v>
      </c>
      <c r="L98" s="15" t="s">
        <v>29</v>
      </c>
      <c r="M98" s="15" t="s">
        <v>29</v>
      </c>
      <c r="N98" s="16"/>
      <c r="O98" s="18" t="s">
        <v>194</v>
      </c>
      <c r="P98" s="19"/>
      <c r="Q98" s="18" t="str">
        <f ca="1">IFERROR(__xludf.DUMMYFUNCTION("""COMPUTED_VALUE"""),"zb -a 0x0201 0xF15B 444")</f>
        <v>zb -a 0x0201 0xF15B 444</v>
      </c>
      <c r="R98" s="19"/>
      <c r="S98" s="20" t="str">
        <f ca="1">IFERROR(__xludf.DUMMYFUNCTION("""COMPUTED_VALUE"""),"drive_to_cool,10,260,513,61526,41,,0,3600,0")</f>
        <v>drive_to_cool,10,260,513,61526,41,,0,3600,0</v>
      </c>
      <c r="X98" s="18" t="str">
        <f ca="1">IFERROR(__xludf.DUMMYFUNCTION("""COMPUTED_VALUE"""),"door_occ_locked")</f>
        <v>door_occ_locked</v>
      </c>
      <c r="BP98" s="10"/>
      <c r="BR98" s="18" t="str">
        <f ca="1">IFERROR(__xludf.DUMMYFUNCTION("""COMPUTED_VALUE"""),"night_start_time")</f>
        <v>night_start_time</v>
      </c>
      <c r="BS98" s="18" t="str">
        <f ca="1">IFERROR(__xludf.DUMMYFUNCTION("""COMPUTED_VALUE"""),"0x0201")</f>
        <v>0x0201</v>
      </c>
      <c r="BT98" s="18" t="str">
        <f ca="1">IFERROR(__xludf.DUMMYFUNCTION("""COMPUTED_VALUE"""),"0xF0F8")</f>
        <v>0xF0F8</v>
      </c>
      <c r="BU98" s="18" t="str">
        <f ca="1">IFERROR(__xludf.DUMMYFUNCTION("""COMPUTED_VALUE"""),"1200")</f>
        <v>1200</v>
      </c>
      <c r="BW98" s="10"/>
      <c r="CF98" s="10"/>
      <c r="CH98" s="18" t="str">
        <f ca="1">IFERROR(__xludf.DUMMYFUNCTION("""COMPUTED_VALUE"""),"smart_ventilation_required_fan_size")</f>
        <v>smart_ventilation_required_fan_size</v>
      </c>
      <c r="CI98" s="18" t="str">
        <f ca="1">IFERROR(__xludf.DUMMYFUNCTION("""COMPUTED_VALUE"""),"0x0201")</f>
        <v>0x0201</v>
      </c>
      <c r="CJ98" s="18" t="str">
        <f ca="1">IFERROR(__xludf.DUMMYFUNCTION("""COMPUTED_VALUE"""),"0xF144")</f>
        <v>0xF144</v>
      </c>
      <c r="CK98" s="18" t="str">
        <f ca="1">IFERROR(__xludf.DUMMYFUNCTION("""COMPUTED_VALUE"""),"86400")</f>
        <v>86400</v>
      </c>
      <c r="CM98" s="10"/>
      <c r="CP98" s="18" t="str">
        <f ca="1"/>
        <v/>
      </c>
      <c r="CQ98" s="18" t="str">
        <f ca="1"/>
        <v/>
      </c>
      <c r="CR98" s="18" t="str">
        <f ca="1"/>
        <v/>
      </c>
      <c r="CS98" s="18" t="str">
        <f ca="1"/>
        <v/>
      </c>
      <c r="CT98" s="18" t="str">
        <f ca="1"/>
        <v/>
      </c>
      <c r="CV98" s="10"/>
      <c r="CX98" s="18" t="str">
        <f ca="1">IFERROR(__xludf.DUMMYFUNCTION("""COMPUTED_VALUE"""),"user_rh_target_max")</f>
        <v>user_rh_target_max</v>
      </c>
      <c r="CY98" s="18" t="str">
        <f ca="1"/>
        <v>0x0201</v>
      </c>
      <c r="CZ98" s="18" t="str">
        <f ca="1"/>
        <v>0xF152</v>
      </c>
      <c r="DA98" s="18" t="str">
        <f ca="1"/>
        <v>86400</v>
      </c>
      <c r="DC98" s="10"/>
    </row>
    <row r="99" spans="1:107" x14ac:dyDescent="0.25">
      <c r="A99" s="15"/>
      <c r="B99" s="15"/>
      <c r="C99" s="15"/>
      <c r="D99" s="16"/>
      <c r="E99" s="15"/>
      <c r="F99" s="15"/>
      <c r="G99" s="15"/>
      <c r="H99" s="17" t="str">
        <f ca="1">IFERROR(__xludf.DUMMYFUNCTION("""COMPUTED_VALUE"""),"")</f>
        <v/>
      </c>
      <c r="I99" s="15" t="s">
        <v>29</v>
      </c>
      <c r="J99" s="15" t="s">
        <v>29</v>
      </c>
      <c r="K99" s="15" t="s">
        <v>29</v>
      </c>
      <c r="L99" s="15" t="s">
        <v>29</v>
      </c>
      <c r="M99" s="15" t="s">
        <v>29</v>
      </c>
      <c r="N99" s="16"/>
      <c r="P99" s="19"/>
      <c r="Q99" s="18" t="str">
        <f ca="1">IFERROR(__xludf.DUMMYFUNCTION("""COMPUTED_VALUE"""),"")</f>
        <v/>
      </c>
      <c r="R99" s="19"/>
      <c r="S99" s="20" t="str">
        <f ca="1">IFERROR(__xludf.DUMMYFUNCTION("""COMPUTED_VALUE"""),"drive_to_heat,10,260,513,61527,41,,0,3600,0")</f>
        <v>drive_to_heat,10,260,513,61527,41,,0,3600,0</v>
      </c>
      <c r="X99" s="18" t="str">
        <f ca="1">IFERROR(__xludf.DUMMYFUNCTION("""COMPUTED_VALUE"""),"drive_to_cool")</f>
        <v>drive_to_cool</v>
      </c>
      <c r="BP99" s="10"/>
      <c r="BR99" s="18" t="str">
        <f ca="1">IFERROR(__xludf.DUMMYFUNCTION("""COMPUTED_VALUE"""),"night_lock")</f>
        <v>night_lock</v>
      </c>
      <c r="BS99" s="18" t="str">
        <f ca="1">IFERROR(__xludf.DUMMYFUNCTION("""COMPUTED_VALUE"""),"0x0201")</f>
        <v>0x0201</v>
      </c>
      <c r="BT99" s="18" t="str">
        <f ca="1">IFERROR(__xludf.DUMMYFUNCTION("""COMPUTED_VALUE"""),"0xF0F9")</f>
        <v>0xF0F9</v>
      </c>
      <c r="BU99" s="18" t="str">
        <f ca="1">IFERROR(__xludf.DUMMYFUNCTION("""COMPUTED_VALUE"""),"false")</f>
        <v>false</v>
      </c>
      <c r="BW99" s="10"/>
      <c r="CF99" s="10"/>
      <c r="CH99" s="18" t="str">
        <f ca="1">IFERROR(__xludf.DUMMYFUNCTION("""COMPUTED_VALUE"""),"smart_ventilation_fan_size")</f>
        <v>smart_ventilation_fan_size</v>
      </c>
      <c r="CI99" s="18" t="str">
        <f ca="1">IFERROR(__xludf.DUMMYFUNCTION("""COMPUTED_VALUE"""),"0x0201")</f>
        <v>0x0201</v>
      </c>
      <c r="CJ99" s="18" t="str">
        <f ca="1">IFERROR(__xludf.DUMMYFUNCTION("""COMPUTED_VALUE"""),"0xF145")</f>
        <v>0xF145</v>
      </c>
      <c r="CK99" s="18" t="str">
        <f ca="1">IFERROR(__xludf.DUMMYFUNCTION("""COMPUTED_VALUE"""),"86400")</f>
        <v>86400</v>
      </c>
      <c r="CM99" s="10"/>
      <c r="CP99" s="18" t="str">
        <f ca="1"/>
        <v/>
      </c>
      <c r="CQ99" s="18" t="str">
        <f ca="1"/>
        <v/>
      </c>
      <c r="CR99" s="18" t="str">
        <f ca="1"/>
        <v/>
      </c>
      <c r="CS99" s="18" t="str">
        <f ca="1"/>
        <v/>
      </c>
      <c r="CT99" s="18" t="str">
        <f ca="1"/>
        <v/>
      </c>
      <c r="CV99" s="10"/>
      <c r="CX99" s="18" t="str">
        <f ca="1">IFERROR(__xludf.DUMMYFUNCTION("""COMPUTED_VALUE"""),"rh_target_limit")</f>
        <v>rh_target_limit</v>
      </c>
      <c r="CY99" s="18" t="str">
        <f ca="1"/>
        <v>0x0201</v>
      </c>
      <c r="CZ99" s="18" t="str">
        <f ca="1"/>
        <v>0xF153</v>
      </c>
      <c r="DA99" s="18" t="str">
        <f ca="1"/>
        <v>86400</v>
      </c>
      <c r="DC99" s="10"/>
    </row>
    <row r="100" spans="1:107" x14ac:dyDescent="0.25">
      <c r="A100" s="9" t="s">
        <v>195</v>
      </c>
      <c r="B100" s="9"/>
      <c r="C100" s="9"/>
      <c r="D100" s="9"/>
      <c r="E100" s="9"/>
      <c r="F100" s="9"/>
      <c r="G100" s="9"/>
      <c r="H100" s="3" t="str">
        <f ca="1">IFERROR(__xludf.DUMMYFUNCTION("""COMPUTED_VALUE"""),"")</f>
        <v/>
      </c>
      <c r="I100" s="9" t="s">
        <v>29</v>
      </c>
      <c r="J100" s="9" t="s">
        <v>29</v>
      </c>
      <c r="K100" s="9" t="s">
        <v>29</v>
      </c>
      <c r="L100" s="9" t="s">
        <v>29</v>
      </c>
      <c r="M100" s="9" t="s">
        <v>29</v>
      </c>
      <c r="N100" s="9"/>
      <c r="O100" s="10"/>
      <c r="P100" s="19"/>
      <c r="Q100" s="10" t="str">
        <f ca="1">IFERROR(__xludf.DUMMYFUNCTION("""COMPUTED_VALUE"""),"")</f>
        <v/>
      </c>
      <c r="R100" s="19"/>
      <c r="S100" s="20" t="str">
        <f ca="1">IFERROR(__xludf.DUMMYFUNCTION("""COMPUTED_VALUE"""),"dry_contact,10,260,1280,2,25,,0,3600,0")</f>
        <v>dry_contact,10,260,1280,2,25,,0,3600,0</v>
      </c>
      <c r="X100" s="18" t="str">
        <f ca="1">IFERROR(__xludf.DUMMYFUNCTION("""COMPUTED_VALUE"""),"drive_to_heat")</f>
        <v>drive_to_heat</v>
      </c>
      <c r="BP100" s="10"/>
      <c r="BR100" s="18" t="str">
        <f ca="1">IFERROR(__xludf.DUMMYFUNCTION("""COMPUTED_VALUE"""),"unocc_delay_based_on_schedule")</f>
        <v>unocc_delay_based_on_schedule</v>
      </c>
      <c r="BS100" s="18" t="str">
        <f ca="1">IFERROR(__xludf.DUMMYFUNCTION("""COMPUTED_VALUE"""),"0x0201")</f>
        <v>0x0201</v>
      </c>
      <c r="BT100" s="18" t="str">
        <f ca="1">IFERROR(__xludf.DUMMYFUNCTION("""COMPUTED_VALUE"""),"0xF0FA")</f>
        <v>0xF0FA</v>
      </c>
      <c r="BU100" s="18" t="str">
        <f ca="1">IFERROR(__xludf.DUMMYFUNCTION("""COMPUTED_VALUE"""),"""day_night""")</f>
        <v>"day_night"</v>
      </c>
      <c r="BW100" s="10"/>
      <c r="CF100" s="10"/>
      <c r="CH100" s="18" t="str">
        <f ca="1">IFERROR(__xludf.DUMMYFUNCTION("""COMPUTED_VALUE"""),"ventilation_duty_cycle")</f>
        <v>ventilation_duty_cycle</v>
      </c>
      <c r="CI100" s="18" t="str">
        <f ca="1">IFERROR(__xludf.DUMMYFUNCTION("""COMPUTED_VALUE"""),"0x0201")</f>
        <v>0x0201</v>
      </c>
      <c r="CJ100" s="18" t="str">
        <f ca="1">IFERROR(__xludf.DUMMYFUNCTION("""COMPUTED_VALUE"""),"0xF146")</f>
        <v>0xF146</v>
      </c>
      <c r="CK100" s="18" t="str">
        <f ca="1">IFERROR(__xludf.DUMMYFUNCTION("""COMPUTED_VALUE"""),"86400")</f>
        <v>86400</v>
      </c>
      <c r="CM100" s="10"/>
      <c r="CP100" s="18" t="str">
        <f ca="1"/>
        <v/>
      </c>
      <c r="CQ100" s="18" t="str">
        <f ca="1"/>
        <v/>
      </c>
      <c r="CR100" s="18" t="str">
        <f ca="1"/>
        <v/>
      </c>
      <c r="CS100" s="18" t="str">
        <f ca="1"/>
        <v/>
      </c>
      <c r="CT100" s="18" t="str">
        <f ca="1"/>
        <v/>
      </c>
      <c r="CV100" s="10"/>
      <c r="CX100" s="18" t="str">
        <f ca="1">IFERROR(__xludf.DUMMYFUNCTION("""COMPUTED_VALUE"""),"humidistat_min_off_time")</f>
        <v>humidistat_min_off_time</v>
      </c>
      <c r="CY100" s="18" t="str">
        <f ca="1"/>
        <v>0x0201</v>
      </c>
      <c r="CZ100" s="18" t="str">
        <f ca="1"/>
        <v>0xF154</v>
      </c>
      <c r="DA100" s="18" t="str">
        <f ca="1"/>
        <v>86400</v>
      </c>
      <c r="DC100" s="10"/>
    </row>
    <row r="101" spans="1:107" x14ac:dyDescent="0.25">
      <c r="A101" s="15" t="s">
        <v>196</v>
      </c>
      <c r="B101" s="15">
        <v>0</v>
      </c>
      <c r="C101" s="15" t="s">
        <v>197</v>
      </c>
      <c r="D101" s="16"/>
      <c r="E101" s="15"/>
      <c r="F101" s="15"/>
      <c r="G101" s="15"/>
      <c r="H101" s="17" t="str">
        <f ca="1">IFERROR(__xludf.DUMMYFUNCTION("""COMPUTED_VALUE"""),"x")</f>
        <v>x</v>
      </c>
      <c r="I101" s="15" t="s">
        <v>29</v>
      </c>
      <c r="J101" s="15" t="s">
        <v>29</v>
      </c>
      <c r="K101" s="15" t="s">
        <v>29</v>
      </c>
      <c r="L101" s="15" t="s">
        <v>29</v>
      </c>
      <c r="M101" s="15" t="s">
        <v>29</v>
      </c>
      <c r="N101" s="16"/>
      <c r="O101" s="18" t="s">
        <v>198</v>
      </c>
      <c r="P101" s="19"/>
      <c r="Q101" s="18" t="str">
        <f ca="1">IFERROR(__xludf.DUMMYFUNCTION("""COMPUTED_VALUE"""),"zb -a 0x0201 0xF05F 0")</f>
        <v>zb -a 0x0201 0xF05F 0</v>
      </c>
      <c r="R101" s="19"/>
      <c r="S101" s="20" t="str">
        <f ca="1">IFERROR(__xludf.DUMMYFUNCTION("""COMPUTED_VALUE"""),"entry_door_not_changing,10,260,513,61629,24,,0,3600,0")</f>
        <v>entry_door_not_changing,10,260,513,61629,24,,0,3600,0</v>
      </c>
      <c r="X101" s="18" t="str">
        <f ca="1">IFERROR(__xludf.DUMMYFUNCTION("""COMPUTED_VALUE"""),"dry_contact")</f>
        <v>dry_contact</v>
      </c>
      <c r="BP101" s="10"/>
      <c r="BR101" s="18" t="str">
        <f ca="1">IFERROR(__xludf.DUMMYFUNCTION("""COMPUTED_VALUE"""),"unocc_delay_day_or_no_schedule")</f>
        <v>unocc_delay_day_or_no_schedule</v>
      </c>
      <c r="BS101" s="18" t="str">
        <f ca="1">IFERROR(__xludf.DUMMYFUNCTION("""COMPUTED_VALUE"""),"0x0201")</f>
        <v>0x0201</v>
      </c>
      <c r="BT101" s="18" t="str">
        <f ca="1">IFERROR(__xludf.DUMMYFUNCTION("""COMPUTED_VALUE"""),"0xF0FC")</f>
        <v>0xF0FC</v>
      </c>
      <c r="BU101" s="18" t="str">
        <f ca="1">IFERROR(__xludf.DUMMYFUNCTION("""COMPUTED_VALUE"""),"360")</f>
        <v>360</v>
      </c>
      <c r="BW101" s="10"/>
      <c r="CF101" s="10"/>
      <c r="CH101" s="18" t="str">
        <f ca="1">IFERROR(__xludf.DUMMYFUNCTION("""COMPUTED_VALUE"""),"manual_ventilation_setting")</f>
        <v>manual_ventilation_setting</v>
      </c>
      <c r="CI101" s="18" t="str">
        <f ca="1">IFERROR(__xludf.DUMMYFUNCTION("""COMPUTED_VALUE"""),"0x0201")</f>
        <v>0x0201</v>
      </c>
      <c r="CJ101" s="18" t="str">
        <f ca="1">IFERROR(__xludf.DUMMYFUNCTION("""COMPUTED_VALUE"""),"0xF14A")</f>
        <v>0xF14A</v>
      </c>
      <c r="CK101" s="18" t="str">
        <f ca="1">IFERROR(__xludf.DUMMYFUNCTION("""COMPUTED_VALUE"""),"86400")</f>
        <v>86400</v>
      </c>
      <c r="CM101" s="10"/>
      <c r="CP101" s="18" t="str">
        <f ca="1"/>
        <v/>
      </c>
      <c r="CQ101" s="18" t="str">
        <f ca="1"/>
        <v/>
      </c>
      <c r="CR101" s="18" t="str">
        <f ca="1"/>
        <v/>
      </c>
      <c r="CS101" s="18" t="str">
        <f ca="1"/>
        <v/>
      </c>
      <c r="CT101" s="18" t="str">
        <f ca="1"/>
        <v/>
      </c>
      <c r="CV101" s="10"/>
      <c r="CX101" s="18" t="str">
        <f ca="1">IFERROR(__xludf.DUMMYFUNCTION("""COMPUTED_VALUE"""),"humidistat_min_on_time")</f>
        <v>humidistat_min_on_time</v>
      </c>
      <c r="CY101" s="18" t="str">
        <f ca="1"/>
        <v>0x0201</v>
      </c>
      <c r="CZ101" s="18" t="str">
        <f ca="1"/>
        <v>0xF155</v>
      </c>
      <c r="DA101" s="18" t="str">
        <f ca="1"/>
        <v>86400</v>
      </c>
      <c r="DC101" s="10"/>
    </row>
    <row r="102" spans="1:107" x14ac:dyDescent="0.25">
      <c r="A102" s="15" t="s">
        <v>199</v>
      </c>
      <c r="B102" s="15">
        <v>10</v>
      </c>
      <c r="C102" s="15" t="s">
        <v>45</v>
      </c>
      <c r="D102" s="16"/>
      <c r="E102" s="15"/>
      <c r="F102" s="15"/>
      <c r="G102" s="15"/>
      <c r="H102" s="17" t="str">
        <f ca="1">IFERROR(__xludf.DUMMYFUNCTION("""COMPUTED_VALUE"""),"x")</f>
        <v>x</v>
      </c>
      <c r="I102" s="15" t="s">
        <v>29</v>
      </c>
      <c r="J102" s="15" t="s">
        <v>29</v>
      </c>
      <c r="K102" s="15" t="s">
        <v>29</v>
      </c>
      <c r="L102" s="15" t="s">
        <v>29</v>
      </c>
      <c r="M102" s="15" t="s">
        <v>29</v>
      </c>
      <c r="N102" s="16"/>
      <c r="O102" s="18" t="s">
        <v>200</v>
      </c>
      <c r="P102" s="19"/>
      <c r="Q102" s="18" t="str">
        <f ca="1">IFERROR(__xludf.DUMMYFUNCTION("""COMPUTED_VALUE"""),"zb -a 0x0201 0xF060 10")</f>
        <v>zb -a 0x0201 0xF060 10</v>
      </c>
      <c r="R102" s="19"/>
      <c r="S102" s="20" t="str">
        <f ca="1">IFERROR(__xludf.DUMMYFUNCTION("""COMPUTED_VALUE"""),"entry_online,10,260,513,61625,24,,0,3600,0")</f>
        <v>entry_online,10,260,513,61625,24,,0,3600,0</v>
      </c>
      <c r="X102" s="18" t="str">
        <f ca="1">IFERROR(__xludf.DUMMYFUNCTION("""COMPUTED_VALUE"""),"entry_door_not_changing")</f>
        <v>entry_door_not_changing</v>
      </c>
      <c r="BP102" s="10"/>
      <c r="BR102" s="18" t="str">
        <f ca="1">IFERROR(__xludf.DUMMYFUNCTION("""COMPUTED_VALUE"""),"unocc_delay_night_or_schedule")</f>
        <v>unocc_delay_night_or_schedule</v>
      </c>
      <c r="BS102" s="18" t="str">
        <f ca="1">IFERROR(__xludf.DUMMYFUNCTION("""COMPUTED_VALUE"""),"0x0201")</f>
        <v>0x0201</v>
      </c>
      <c r="BT102" s="18" t="str">
        <f ca="1">IFERROR(__xludf.DUMMYFUNCTION("""COMPUTED_VALUE"""),"0xF0FD")</f>
        <v>0xF0FD</v>
      </c>
      <c r="BU102" s="18" t="str">
        <f ca="1">IFERROR(__xludf.DUMMYFUNCTION("""COMPUTED_VALUE"""),"1440")</f>
        <v>1440</v>
      </c>
      <c r="BW102" s="10"/>
      <c r="CF102" s="10"/>
      <c r="CH102" s="18" t="str">
        <f ca="1">IFERROR(__xludf.DUMMYFUNCTION("""COMPUTED_VALUE"""),"user_rh_target_editing_enabled")</f>
        <v>user_rh_target_editing_enabled</v>
      </c>
      <c r="CI102" s="18" t="str">
        <f ca="1">IFERROR(__xludf.DUMMYFUNCTION("""COMPUTED_VALUE"""),"0x0201")</f>
        <v>0x0201</v>
      </c>
      <c r="CJ102" s="18" t="str">
        <f ca="1">IFERROR(__xludf.DUMMYFUNCTION("""COMPUTED_VALUE"""),"0xF150")</f>
        <v>0xF150</v>
      </c>
      <c r="CK102" s="18" t="str">
        <f ca="1">IFERROR(__xludf.DUMMYFUNCTION("""COMPUTED_VALUE"""),"86400")</f>
        <v>86400</v>
      </c>
      <c r="CM102" s="10"/>
      <c r="CP102" s="18" t="str">
        <f ca="1"/>
        <v/>
      </c>
      <c r="CQ102" s="18" t="str">
        <f ca="1"/>
        <v/>
      </c>
      <c r="CR102" s="18" t="str">
        <f ca="1"/>
        <v/>
      </c>
      <c r="CS102" s="18" t="str">
        <f ca="1"/>
        <v/>
      </c>
      <c r="CT102" s="18" t="str">
        <f ca="1"/>
        <v/>
      </c>
      <c r="CV102" s="10"/>
      <c r="CX102" s="18" t="str">
        <f ca="1">IFERROR(__xludf.DUMMYFUNCTION("""COMPUTED_VALUE"""),"humidistat_stages")</f>
        <v>humidistat_stages</v>
      </c>
      <c r="CY102" s="18" t="str">
        <f ca="1"/>
        <v>0x0201</v>
      </c>
      <c r="CZ102" s="18" t="str">
        <f ca="1"/>
        <v>0xF156</v>
      </c>
      <c r="DA102" s="18" t="str">
        <f ca="1"/>
        <v>86400</v>
      </c>
      <c r="DC102" s="10"/>
    </row>
    <row r="103" spans="1:107" x14ac:dyDescent="0.25">
      <c r="A103" s="15"/>
      <c r="B103" s="15"/>
      <c r="C103" s="15"/>
      <c r="D103" s="16"/>
      <c r="E103" s="15"/>
      <c r="F103" s="15"/>
      <c r="G103" s="15"/>
      <c r="H103" s="17" t="str">
        <f ca="1">IFERROR(__xludf.DUMMYFUNCTION("""COMPUTED_VALUE"""),"")</f>
        <v/>
      </c>
      <c r="I103" s="15" t="s">
        <v>29</v>
      </c>
      <c r="J103" s="15" t="s">
        <v>29</v>
      </c>
      <c r="K103" s="15" t="s">
        <v>29</v>
      </c>
      <c r="L103" s="15" t="s">
        <v>29</v>
      </c>
      <c r="M103" s="15" t="s">
        <v>29</v>
      </c>
      <c r="N103" s="16"/>
      <c r="P103" s="19"/>
      <c r="Q103" s="18" t="str">
        <f ca="1">IFERROR(__xludf.DUMMYFUNCTION("""COMPUTED_VALUE"""),"")</f>
        <v/>
      </c>
      <c r="R103" s="19"/>
      <c r="S103" s="20" t="str">
        <f ca="1">IFERROR(__xludf.DUMMYFUNCTION("""COMPUTED_VALUE"""),"entry_open,10,260,513,61626,24,,0,3600,0")</f>
        <v>entry_open,10,260,513,61626,24,,0,3600,0</v>
      </c>
      <c r="X103" s="18" t="str">
        <f ca="1">IFERROR(__xludf.DUMMYFUNCTION("""COMPUTED_VALUE"""),"entry_online")</f>
        <v>entry_online</v>
      </c>
      <c r="BP103" s="10"/>
      <c r="BR103" s="18" t="str">
        <f ca="1">IFERROR(__xludf.DUMMYFUNCTION("""COMPUTED_VALUE"""),"unocc_delay_deep_setback")</f>
        <v>unocc_delay_deep_setback</v>
      </c>
      <c r="BS103" s="18" t="str">
        <f ca="1">IFERROR(__xludf.DUMMYFUNCTION("""COMPUTED_VALUE"""),"0x0201")</f>
        <v>0x0201</v>
      </c>
      <c r="BT103" s="18" t="str">
        <f ca="1">IFERROR(__xludf.DUMMYFUNCTION("""COMPUTED_VALUE"""),"0xF0FE")</f>
        <v>0xF0FE</v>
      </c>
      <c r="BU103" s="18" t="str">
        <f ca="1">IFERROR(__xludf.DUMMYFUNCTION("""COMPUTED_VALUE"""),"1440")</f>
        <v>1440</v>
      </c>
      <c r="BW103" s="10"/>
      <c r="CF103" s="10"/>
      <c r="CH103" s="18" t="str">
        <f ca="1">IFERROR(__xludf.DUMMYFUNCTION("""COMPUTED_VALUE"""),"user_rh_target_min")</f>
        <v>user_rh_target_min</v>
      </c>
      <c r="CI103" s="18" t="str">
        <f ca="1">IFERROR(__xludf.DUMMYFUNCTION("""COMPUTED_VALUE"""),"0x0201")</f>
        <v>0x0201</v>
      </c>
      <c r="CJ103" s="18" t="str">
        <f ca="1">IFERROR(__xludf.DUMMYFUNCTION("""COMPUTED_VALUE"""),"0xF151")</f>
        <v>0xF151</v>
      </c>
      <c r="CK103" s="18" t="str">
        <f ca="1">IFERROR(__xludf.DUMMYFUNCTION("""COMPUTED_VALUE"""),"86400")</f>
        <v>86400</v>
      </c>
      <c r="CM103" s="10"/>
      <c r="CP103" s="18" t="str">
        <f ca="1"/>
        <v/>
      </c>
      <c r="CQ103" s="18" t="str">
        <f ca="1"/>
        <v/>
      </c>
      <c r="CR103" s="18" t="str">
        <f ca="1"/>
        <v/>
      </c>
      <c r="CS103" s="18" t="str">
        <f ca="1"/>
        <v/>
      </c>
      <c r="CT103" s="18" t="str">
        <f ca="1"/>
        <v/>
      </c>
      <c r="CV103" s="10"/>
      <c r="CX103" s="18" t="str">
        <f ca="1">IFERROR(__xludf.DUMMYFUNCTION("""COMPUTED_VALUE"""),"humidistat_stage_threshold_time")</f>
        <v>humidistat_stage_threshold_time</v>
      </c>
      <c r="CY103" s="18" t="str">
        <f ca="1"/>
        <v>0x0201</v>
      </c>
      <c r="CZ103" s="18" t="str">
        <f ca="1"/>
        <v>0xF157</v>
      </c>
      <c r="DA103" s="18" t="str">
        <f ca="1"/>
        <v>86400</v>
      </c>
      <c r="DC103" s="10"/>
    </row>
    <row r="104" spans="1:107" x14ac:dyDescent="0.25">
      <c r="A104" s="9" t="s">
        <v>201</v>
      </c>
      <c r="B104" s="9"/>
      <c r="C104" s="9"/>
      <c r="D104" s="9"/>
      <c r="E104" s="9"/>
      <c r="F104" s="9"/>
      <c r="G104" s="9"/>
      <c r="H104" s="3" t="str">
        <f ca="1">IFERROR(__xludf.DUMMYFUNCTION("""COMPUTED_VALUE"""),"")</f>
        <v/>
      </c>
      <c r="I104" s="9" t="s">
        <v>29</v>
      </c>
      <c r="J104" s="9" t="s">
        <v>29</v>
      </c>
      <c r="K104" s="9" t="s">
        <v>29</v>
      </c>
      <c r="L104" s="9" t="s">
        <v>29</v>
      </c>
      <c r="M104" s="9" t="s">
        <v>29</v>
      </c>
      <c r="N104" s="16"/>
      <c r="O104" s="10"/>
      <c r="P104" s="19"/>
      <c r="Q104" s="10" t="str">
        <f ca="1">IFERROR(__xludf.DUMMYFUNCTION("""COMPUTED_VALUE"""),"")</f>
        <v/>
      </c>
      <c r="R104" s="19"/>
      <c r="S104" s="20" t="str">
        <f ca="1">IFERROR(__xludf.DUMMYFUNCTION("""COMPUTED_VALUE"""),"entry_unchanged_timeout,10,260,513,61628,32,72,,,,86400")</f>
        <v>entry_unchanged_timeout,10,260,513,61628,32,72,,,,86400</v>
      </c>
      <c r="X104" s="18" t="str">
        <f ca="1">IFERROR(__xludf.DUMMYFUNCTION("""COMPUTED_VALUE"""),"entry_open")</f>
        <v>entry_open</v>
      </c>
      <c r="BP104" s="10"/>
      <c r="BR104" s="18" t="str">
        <f ca="1">IFERROR(__xludf.DUMMYFUNCTION("""COMPUTED_VALUE"""),"force_occ")</f>
        <v>force_occ</v>
      </c>
      <c r="BS104" s="18" t="str">
        <f ca="1">IFERROR(__xludf.DUMMYFUNCTION("""COMPUTED_VALUE"""),"0x0201")</f>
        <v>0x0201</v>
      </c>
      <c r="BT104" s="18" t="str">
        <f ca="1">IFERROR(__xludf.DUMMYFUNCTION("""COMPUTED_VALUE"""),"0xF100")</f>
        <v>0xF100</v>
      </c>
      <c r="BU104" s="18" t="str">
        <f ca="1">IFERROR(__xludf.DUMMYFUNCTION("""COMPUTED_VALUE"""),"null")</f>
        <v>null</v>
      </c>
      <c r="BW104" s="10"/>
      <c r="CF104" s="10"/>
      <c r="CH104" s="18" t="str">
        <f ca="1">IFERROR(__xludf.DUMMYFUNCTION("""COMPUTED_VALUE"""),"user_rh_target_max")</f>
        <v>user_rh_target_max</v>
      </c>
      <c r="CI104" s="18" t="str">
        <f ca="1">IFERROR(__xludf.DUMMYFUNCTION("""COMPUTED_VALUE"""),"0x0201")</f>
        <v>0x0201</v>
      </c>
      <c r="CJ104" s="18" t="str">
        <f ca="1">IFERROR(__xludf.DUMMYFUNCTION("""COMPUTED_VALUE"""),"0xF152")</f>
        <v>0xF152</v>
      </c>
      <c r="CK104" s="18" t="str">
        <f ca="1">IFERROR(__xludf.DUMMYFUNCTION("""COMPUTED_VALUE"""),"86400")</f>
        <v>86400</v>
      </c>
      <c r="CM104" s="10"/>
      <c r="CP104" s="18" t="str">
        <f ca="1"/>
        <v/>
      </c>
      <c r="CQ104" s="18" t="str">
        <f ca="1"/>
        <v/>
      </c>
      <c r="CR104" s="18" t="str">
        <f ca="1"/>
        <v/>
      </c>
      <c r="CS104" s="18" t="str">
        <f ca="1"/>
        <v/>
      </c>
      <c r="CT104" s="18" t="str">
        <f ca="1"/>
        <v/>
      </c>
      <c r="CV104" s="10"/>
      <c r="CX104" s="18" t="str">
        <f ca="1">IFERROR(__xludf.DUMMYFUNCTION("""COMPUTED_VALUE"""),"user_dew_point_target_min")</f>
        <v>user_dew_point_target_min</v>
      </c>
      <c r="CY104" s="18" t="str">
        <f ca="1"/>
        <v>0x0201</v>
      </c>
      <c r="CZ104" s="18" t="str">
        <f ca="1"/>
        <v>0xF159</v>
      </c>
      <c r="DA104" s="18" t="str">
        <f ca="1"/>
        <v>86400</v>
      </c>
      <c r="DC104" s="10"/>
    </row>
    <row r="105" spans="1:107" x14ac:dyDescent="0.25">
      <c r="A105" s="15" t="s">
        <v>202</v>
      </c>
      <c r="B105" s="15" t="s">
        <v>203</v>
      </c>
      <c r="C105" s="15"/>
      <c r="D105" s="16"/>
      <c r="E105" s="15"/>
      <c r="F105" s="15"/>
      <c r="G105" s="15"/>
      <c r="H105" s="17" t="str">
        <f ca="1">IFERROR(__xludf.DUMMYFUNCTION("""COMPUTED_VALUE"""),"x")</f>
        <v>x</v>
      </c>
      <c r="I105" s="15" t="s">
        <v>29</v>
      </c>
      <c r="J105" s="15" t="s">
        <v>29</v>
      </c>
      <c r="K105" s="15" t="s">
        <v>29</v>
      </c>
      <c r="L105" s="15" t="s">
        <v>29</v>
      </c>
      <c r="M105" s="15" t="s">
        <v>29</v>
      </c>
      <c r="N105" s="16"/>
      <c r="O105" s="18" t="str">
        <f ca="1">IFERROR(__xludf.DUMMYFUNCTION("IF(A105="""","""",A105
&amp;"",""
&amp;HEX2DEC(VLOOKUP(A105,{'Data Model Parser'!$C$4:$C1626,'Data Model Parser'!$U$4:$U1626},2,0))
&amp;"",""
&amp;HEX2DEC(VLOOKUP(A105,{'Data Model Parser'!$C$4:$C1626,'Data Model Parser'!$V$4:$V1626},2,0))
&amp;"",""
&amp;HEX2DEC(VLOOKUP(A105,{"&amp;"'Data Model Parser'!$C$4:$C1626,'Data Model Parser'!$W$4:$W1626},2,0))
&amp;"",""
&amp;HEX2DEC(VLOOKUP(A105,{'Data Model Parser'!$C$4:$C1626,'Data Model Parser'!$T$4:$T1626},2,0))
&amp;"",""
&amp;HEX2DEC(VLOOKUP(A105,{'Data Model Parser'!$C$4:$C1626,'Data Model Parser'!$"&amp;"X$4:$X1626},2,0))
&amp;"",""
&amp;IFS(B105="""",""1"",REGEXREPLACE(B105,CHAR(34),"""")=""minimal"",""0"",REGEXREPLACE(B105,CHAR(34),"""")=""medium"",""1"",REGEXREPLACE(B105,CHAR(34),"""")=""maximal"",""2"")
&amp;"",""
&amp;IF(VLOOKUP(A105,{'Data Model Parser'!$C$4:$C1626"&amp;",'Data Model Parser'!$G$4:$G1626},2,0)=""polled"","",,,""&amp;VLOOKUP(A105,{'Data Model Parser'!$C$4:$C1626,'Data Model Parser'!$H$4:$H1626},2,0),
IF(VLOOKUP(A105,{'Data Model Parser'!$C$4:$C1626,'Data Model Parser'!$G$4:$G1626},2,0)=""reported"",
IFS(E105&lt;&gt;"&amp;""""",E105&amp;"","",
E105="""",VLOOKUP(A105,{'Data Model Parser'!$C$4:$C1626,'Data Model Parser'!$J$4:$J1626},2,0)&amp;"","")
&amp;IFS(F105&lt;&gt;"""",F105&amp;"","",
F105="""",VLOOKUP(A105,{'Data Model Parser'!$C$4:$C1626,'Data Model Parser'!$I$4:$I1626},2,0)&amp;"","")
&amp;IFS(G10"&amp;"5&lt;&gt;"""",G105,
G105="""",VLOOKUP(A105,{'Data Model Parser'!$C$4:$C1626,'Data Model Parser'!$K$4:$K1626},2,0)))))"),"display_home_detailed,10,260,64517,5,48,1,,,,86400")</f>
        <v>display_home_detailed,10,260,64517,5,48,1,,,,86400</v>
      </c>
      <c r="P105" s="19"/>
      <c r="Q105" s="18" t="str">
        <f ca="1">IFERROR(__xludf.DUMMYFUNCTION("""COMPUTED_VALUE"""),"zb -a 0xFC05 0x0005 1")</f>
        <v>zb -a 0xFC05 0x0005 1</v>
      </c>
      <c r="R105" s="19"/>
      <c r="S105" s="20" t="str">
        <f ca="1">IFERROR(__xludf.DUMMYFUNCTION("""COMPUTED_VALUE"""),"extended_deep_cool_setback,10,260,513,61794,41,2944,,,,86400")</f>
        <v>extended_deep_cool_setback,10,260,513,61794,41,2944,,,,86400</v>
      </c>
      <c r="X105" s="18" t="str">
        <f ca="1">IFERROR(__xludf.DUMMYFUNCTION("""COMPUTED_VALUE"""),"entry_unchanged_timeout")</f>
        <v>entry_unchanged_timeout</v>
      </c>
      <c r="Y105" s="18" t="str">
        <f ca="1">IFERROR(__xludf.DUMMYFUNCTION("UNIQUE(FILTER({$DE$4:$DE1626,$DH$4:$ES1626}, $DE$4:$DE1626=A105))"),"display_home_detailed")</f>
        <v>display_home_detailed</v>
      </c>
      <c r="Z105" s="18" t="str">
        <f ca="1">IFERROR(__xludf.DUMMYFUNCTION("""COMPUTED_VALUE"""),"""minimal""")</f>
        <v>"minimal"</v>
      </c>
      <c r="AA105" s="18" t="str">
        <f ca="1">IFERROR(__xludf.DUMMYFUNCTION("""COMPUTED_VALUE"""),"""medium""")</f>
        <v>"medium"</v>
      </c>
      <c r="AB105" s="18" t="str">
        <f ca="1">IFERROR(__xludf.DUMMYFUNCTION("""COMPUTED_VALUE"""),"""maximal""")</f>
        <v>"maximal"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P105" s="10"/>
      <c r="BR105" s="18" t="str">
        <f ca="1">IFERROR(__xludf.DUMMYFUNCTION("""COMPUTED_VALUE"""),"force_unocc")</f>
        <v>force_unocc</v>
      </c>
      <c r="BS105" s="18" t="str">
        <f ca="1">IFERROR(__xludf.DUMMYFUNCTION("""COMPUTED_VALUE"""),"0x0201")</f>
        <v>0x0201</v>
      </c>
      <c r="BT105" s="18" t="str">
        <f ca="1">IFERROR(__xludf.DUMMYFUNCTION("""COMPUTED_VALUE"""),"0xF101")</f>
        <v>0xF101</v>
      </c>
      <c r="BU105" s="18" t="str">
        <f ca="1">IFERROR(__xludf.DUMMYFUNCTION("""COMPUTED_VALUE"""),"null")</f>
        <v>null</v>
      </c>
      <c r="BW105" s="10"/>
      <c r="CF105" s="10"/>
      <c r="CH105" s="18" t="str">
        <f ca="1">IFERROR(__xludf.DUMMYFUNCTION("""COMPUTED_VALUE"""),"rh_target_limit")</f>
        <v>rh_target_limit</v>
      </c>
      <c r="CI105" s="18" t="str">
        <f ca="1">IFERROR(__xludf.DUMMYFUNCTION("""COMPUTED_VALUE"""),"0x0201")</f>
        <v>0x0201</v>
      </c>
      <c r="CJ105" s="18" t="str">
        <f ca="1">IFERROR(__xludf.DUMMYFUNCTION("""COMPUTED_VALUE"""),"0xF153")</f>
        <v>0xF153</v>
      </c>
      <c r="CK105" s="18" t="str">
        <f ca="1">IFERROR(__xludf.DUMMYFUNCTION("""COMPUTED_VALUE"""),"86400")</f>
        <v>86400</v>
      </c>
      <c r="CM105" s="10"/>
      <c r="CP105" s="18" t="str">
        <f ca="1"/>
        <v/>
      </c>
      <c r="CQ105" s="18" t="str">
        <f ca="1"/>
        <v/>
      </c>
      <c r="CR105" s="18" t="str">
        <f ca="1"/>
        <v/>
      </c>
      <c r="CS105" s="18" t="str">
        <f ca="1"/>
        <v/>
      </c>
      <c r="CT105" s="18" t="str">
        <f ca="1"/>
        <v/>
      </c>
      <c r="CV105" s="10"/>
      <c r="CX105" s="18" t="str">
        <f ca="1">IFERROR(__xludf.DUMMYFUNCTION("""COMPUTED_VALUE"""),"user_dew_point_target_max")</f>
        <v>user_dew_point_target_max</v>
      </c>
      <c r="CY105" s="18" t="str">
        <f ca="1"/>
        <v>0x0201</v>
      </c>
      <c r="CZ105" s="18" t="str">
        <f ca="1"/>
        <v>0xF15A</v>
      </c>
      <c r="DA105" s="18" t="str">
        <f ca="1"/>
        <v>86400</v>
      </c>
      <c r="DC105" s="10"/>
    </row>
    <row r="106" spans="1:107" x14ac:dyDescent="0.25">
      <c r="A106" s="15" t="s">
        <v>204</v>
      </c>
      <c r="B106" s="15" t="s">
        <v>205</v>
      </c>
      <c r="C106" s="15"/>
      <c r="D106" s="16"/>
      <c r="E106" s="15"/>
      <c r="F106" s="15"/>
      <c r="G106" s="15"/>
      <c r="H106" s="17" t="str">
        <f ca="1">IFERROR(__xludf.DUMMYFUNCTION("""COMPUTED_VALUE"""),"x")</f>
        <v>x</v>
      </c>
      <c r="I106" s="15" t="s">
        <v>29</v>
      </c>
      <c r="J106" s="15" t="s">
        <v>29</v>
      </c>
      <c r="K106" s="15" t="s">
        <v>29</v>
      </c>
      <c r="L106" s="15" t="s">
        <v>29</v>
      </c>
      <c r="M106" s="15" t="s">
        <v>29</v>
      </c>
      <c r="N106" s="16"/>
      <c r="O106" s="18" t="str">
        <f ca="1">IFERROR(__xludf.DUMMYFUNCTION("IF(A106="""","""",A106
&amp;"",""
&amp;HEX2DEC(VLOOKUP(A106,{'Data Model Parser'!$C$4:$C1626,'Data Model Parser'!$U$4:$U1626},2,0))
&amp;"",""
&amp;HEX2DEC(VLOOKUP(A106,{'Data Model Parser'!$C$4:$C1626,'Data Model Parser'!$V$4:$V1626},2,0))
&amp;"",""
&amp;HEX2DEC(VLOOKUP(A106,{"&amp;"'Data Model Parser'!$C$4:$C1626,'Data Model Parser'!$W$4:$W1626},2,0))
&amp;"",""
&amp;HEX2DEC(VLOOKUP(A106,{'Data Model Parser'!$C$4:$C1626,'Data Model Parser'!$T$4:$T1626},2,0))
&amp;"",""
&amp;HEX2DEC(VLOOKUP(A106,{'Data Model Parser'!$C$4:$C1626,'Data Model Parser'!$"&amp;"X$4:$X1626},2,0))
&amp;"",""
&amp;IFS(B106="""",""2"",REGEXREPLACE(B106,CHAR(34),"""")=""off"",""0"",REGEXREPLACE(B106,CHAR(34),"""")=""on"",""1"",REGEXREPLACE(B106,CHAR(34),"""")=""line_powered"",""2"")
&amp;"",""
&amp;IF(VLOOKUP(A106,{'Data Model Parser'!$C$4:$C1626,'D"&amp;"ata Model Parser'!$G$4:$G1626},2,0)=""polled"","",,,""&amp;VLOOKUP(A106,{'Data Model Parser'!$C$4:$C1626,'Data Model Parser'!$H$4:$H1626},2,0),
IF(VLOOKUP(A106,{'Data Model Parser'!$C$4:$C1626,'Data Model Parser'!$G$4:$G1626},2,0)=""reported"",
IFS(E106&lt;&gt;"""""&amp;",E106&amp;"","",
E106="""",VLOOKUP(A106,{'Data Model Parser'!$C$4:$C1626,'Data Model Parser'!$J$4:$J1626},2,0)&amp;"","")
&amp;IFS(F106&lt;&gt;"""",F106&amp;"","",
F106="""",VLOOKUP(A106,{'Data Model Parser'!$C$4:$C1626,'Data Model Parser'!$I$4:$I1626},2,0)&amp;"","")
&amp;IFS(G106&lt;&gt;"&amp;""""",G106,
G106="""",VLOOKUP(A106,{'Data Model Parser'!$C$4:$C1626,'Data Model Parser'!$K$4:$K1626},2,0)))))"),"haptic_enabled,10,260,64517,9,48,1,,,,86400")</f>
        <v>haptic_enabled,10,260,64517,9,48,1,,,,86400</v>
      </c>
      <c r="P106" s="19"/>
      <c r="Q106" s="18" t="str">
        <f ca="1">IFERROR(__xludf.DUMMYFUNCTION("""COMPUTED_VALUE"""),"zb -a 0xFC05 0x0009 1")</f>
        <v>zb -a 0xFC05 0x0009 1</v>
      </c>
      <c r="R106" s="19"/>
      <c r="S106" s="20" t="str">
        <f ca="1">IFERROR(__xludf.DUMMYFUNCTION("""COMPUTED_VALUE"""),"extended_deep_delta_setback,10,260,513,61795,33,444,,,,86400")</f>
        <v>extended_deep_delta_setback,10,260,513,61795,33,444,,,,86400</v>
      </c>
      <c r="X106" s="18" t="str">
        <f ca="1">IFERROR(__xludf.DUMMYFUNCTION("""COMPUTED_VALUE"""),"extended_deep_cool_setback")</f>
        <v>extended_deep_cool_setback</v>
      </c>
      <c r="Y106" s="18" t="str">
        <f ca="1">IFERROR(__xludf.DUMMYFUNCTION("UNIQUE(FILTER({$DE$4:$DE1626,$DH$4:$ES1626}, $DE$4:$DE1626=A106))"),"haptic_enabled")</f>
        <v>haptic_enabled</v>
      </c>
      <c r="Z106" s="18" t="str">
        <f ca="1">IFERROR(__xludf.DUMMYFUNCTION("""COMPUTED_VALUE"""),"""off""")</f>
        <v>"off"</v>
      </c>
      <c r="AA106" s="18" t="str">
        <f ca="1">IFERROR(__xludf.DUMMYFUNCTION("""COMPUTED_VALUE"""),"""on""")</f>
        <v>"on"</v>
      </c>
      <c r="AB106" s="18" t="str">
        <f ca="1">IFERROR(__xludf.DUMMYFUNCTION("""COMPUTED_VALUE"""),"""line_powered""")</f>
        <v>"line_powered"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P106" s="10"/>
      <c r="BR106" s="18" t="str">
        <f ca="1">IFERROR(__xludf.DUMMYFUNCTION("""COMPUTED_VALUE"""),"heating_tau")</f>
        <v>heating_tau</v>
      </c>
      <c r="BS106" s="18" t="str">
        <f ca="1">IFERROR(__xludf.DUMMYFUNCTION("""COMPUTED_VALUE"""),"0x0201")</f>
        <v>0x0201</v>
      </c>
      <c r="BT106" s="18" t="str">
        <f ca="1">IFERROR(__xludf.DUMMYFUNCTION("""COMPUTED_VALUE"""),"0xF104")</f>
        <v>0xF104</v>
      </c>
      <c r="BU106" s="18" t="str">
        <f ca="1">IFERROR(__xludf.DUMMYFUNCTION("""COMPUTED_VALUE"""),"null")</f>
        <v>null</v>
      </c>
      <c r="BW106" s="10"/>
      <c r="CF106" s="10"/>
      <c r="CH106" s="18" t="str">
        <f ca="1">IFERROR(__xludf.DUMMYFUNCTION("""COMPUTED_VALUE"""),"humidistat_min_off_time")</f>
        <v>humidistat_min_off_time</v>
      </c>
      <c r="CI106" s="18" t="str">
        <f ca="1">IFERROR(__xludf.DUMMYFUNCTION("""COMPUTED_VALUE"""),"0x0201")</f>
        <v>0x0201</v>
      </c>
      <c r="CJ106" s="18" t="str">
        <f ca="1">IFERROR(__xludf.DUMMYFUNCTION("""COMPUTED_VALUE"""),"0xF154")</f>
        <v>0xF154</v>
      </c>
      <c r="CK106" s="18" t="str">
        <f ca="1">IFERROR(__xludf.DUMMYFUNCTION("""COMPUTED_VALUE"""),"86400")</f>
        <v>86400</v>
      </c>
      <c r="CM106" s="10"/>
      <c r="CP106" s="18" t="str">
        <f ca="1"/>
        <v/>
      </c>
      <c r="CQ106" s="18" t="str">
        <f ca="1"/>
        <v/>
      </c>
      <c r="CR106" s="18" t="str">
        <f ca="1"/>
        <v/>
      </c>
      <c r="CS106" s="18" t="str">
        <f ca="1"/>
        <v/>
      </c>
      <c r="CT106" s="18" t="str">
        <f ca="1"/>
        <v/>
      </c>
      <c r="CV106" s="10"/>
      <c r="CX106" s="18" t="str">
        <f ca="1">IFERROR(__xludf.DUMMYFUNCTION("""COMPUTED_VALUE"""),"dew_point_target_limit")</f>
        <v>dew_point_target_limit</v>
      </c>
      <c r="CY106" s="18" t="str">
        <f ca="1"/>
        <v>0x0201</v>
      </c>
      <c r="CZ106" s="18" t="str">
        <f ca="1"/>
        <v>0xF15B</v>
      </c>
      <c r="DA106" s="18" t="str">
        <f ca="1"/>
        <v>86400</v>
      </c>
      <c r="DC106" s="10"/>
    </row>
    <row r="107" spans="1:107" x14ac:dyDescent="0.25">
      <c r="A107" s="15" t="s">
        <v>206</v>
      </c>
      <c r="B107" s="15" t="b">
        <v>1</v>
      </c>
      <c r="C107" s="15"/>
      <c r="D107" s="16"/>
      <c r="E107" s="15"/>
      <c r="F107" s="15"/>
      <c r="G107" s="15"/>
      <c r="H107" s="17" t="str">
        <f ca="1">IFERROR(__xludf.DUMMYFUNCTION("""COMPUTED_VALUE"""),"x")</f>
        <v>x</v>
      </c>
      <c r="I107" s="15" t="s">
        <v>29</v>
      </c>
      <c r="J107" s="15" t="s">
        <v>29</v>
      </c>
      <c r="K107" s="15" t="s">
        <v>29</v>
      </c>
      <c r="L107" s="15" t="s">
        <v>29</v>
      </c>
      <c r="M107" s="15" t="s">
        <v>29</v>
      </c>
      <c r="N107" s="16"/>
      <c r="O107" s="18" t="s">
        <v>207</v>
      </c>
      <c r="P107" s="19"/>
      <c r="Q107" s="18" t="str">
        <f ca="1">IFERROR(__xludf.DUMMYFUNCTION("""COMPUTED_VALUE"""),"zb -a 0xFC05 0x0015 1")</f>
        <v>zb -a 0xFC05 0x0015 1</v>
      </c>
      <c r="R107" s="19"/>
      <c r="S107" s="20" t="str">
        <f ca="1">IFERROR(__xludf.DUMMYFUNCTION("""COMPUTED_VALUE"""),"extended_deep_heat_setback,10,260,513,61793,41,1278,,,,86400")</f>
        <v>extended_deep_heat_setback,10,260,513,61793,41,1278,,,,86400</v>
      </c>
      <c r="X107" s="18" t="str">
        <f ca="1">IFERROR(__xludf.DUMMYFUNCTION("""COMPUTED_VALUE"""),"extended_deep_delta_setback")</f>
        <v>extended_deep_delta_setback</v>
      </c>
      <c r="BP107" s="10"/>
      <c r="BR107" s="18" t="str">
        <f ca="1">IFERROR(__xludf.DUMMYFUNCTION("""COMPUTED_VALUE"""),"cooling_tau")</f>
        <v>cooling_tau</v>
      </c>
      <c r="BS107" s="18" t="str">
        <f ca="1">IFERROR(__xludf.DUMMYFUNCTION("""COMPUTED_VALUE"""),"0x0201")</f>
        <v>0x0201</v>
      </c>
      <c r="BT107" s="18" t="str">
        <f ca="1">IFERROR(__xludf.DUMMYFUNCTION("""COMPUTED_VALUE"""),"0xF106")</f>
        <v>0xF106</v>
      </c>
      <c r="BU107" s="18" t="str">
        <f ca="1">IFERROR(__xludf.DUMMYFUNCTION("""COMPUTED_VALUE"""),"null")</f>
        <v>null</v>
      </c>
      <c r="BW107" s="10"/>
      <c r="CF107" s="10"/>
      <c r="CH107" s="18" t="str">
        <f ca="1">IFERROR(__xludf.DUMMYFUNCTION("""COMPUTED_VALUE"""),"humidistat_min_on_time")</f>
        <v>humidistat_min_on_time</v>
      </c>
      <c r="CI107" s="18" t="str">
        <f ca="1">IFERROR(__xludf.DUMMYFUNCTION("""COMPUTED_VALUE"""),"0x0201")</f>
        <v>0x0201</v>
      </c>
      <c r="CJ107" s="18" t="str">
        <f ca="1">IFERROR(__xludf.DUMMYFUNCTION("""COMPUTED_VALUE"""),"0xF155")</f>
        <v>0xF155</v>
      </c>
      <c r="CK107" s="18" t="str">
        <f ca="1">IFERROR(__xludf.DUMMYFUNCTION("""COMPUTED_VALUE"""),"86400")</f>
        <v>86400</v>
      </c>
      <c r="CM107" s="10"/>
      <c r="CP107" s="18" t="str">
        <f ca="1"/>
        <v/>
      </c>
      <c r="CQ107" s="18" t="str">
        <f ca="1"/>
        <v/>
      </c>
      <c r="CR107" s="18" t="str">
        <f ca="1"/>
        <v/>
      </c>
      <c r="CS107" s="18" t="str">
        <f ca="1"/>
        <v/>
      </c>
      <c r="CT107" s="18" t="str">
        <f ca="1"/>
        <v/>
      </c>
      <c r="CV107" s="10"/>
      <c r="CX107" s="18" t="str">
        <f ca="1">IFERROR(__xludf.DUMMYFUNCTION("""COMPUTED_VALUE"""),"unocc_delay_extended_deep_setback")</f>
        <v>unocc_delay_extended_deep_setback</v>
      </c>
      <c r="CY107" s="18" t="str">
        <f ca="1"/>
        <v>0x0201</v>
      </c>
      <c r="CZ107" s="18" t="str">
        <f ca="1"/>
        <v>0xF160</v>
      </c>
      <c r="DA107" s="18" t="str">
        <f ca="1"/>
        <v>86400</v>
      </c>
      <c r="DC107" s="10"/>
    </row>
    <row r="108" spans="1:107" x14ac:dyDescent="0.25">
      <c r="A108" s="15" t="s">
        <v>208</v>
      </c>
      <c r="B108" s="15" t="b">
        <v>0</v>
      </c>
      <c r="C108" s="15"/>
      <c r="D108" s="16"/>
      <c r="E108" s="15"/>
      <c r="F108" s="15"/>
      <c r="G108" s="15"/>
      <c r="H108" s="17" t="str">
        <f ca="1">IFERROR(__xludf.DUMMYFUNCTION("""COMPUTED_VALUE"""),"x")</f>
        <v>x</v>
      </c>
      <c r="I108" s="15" t="s">
        <v>29</v>
      </c>
      <c r="J108" s="15" t="s">
        <v>29</v>
      </c>
      <c r="K108" s="15" t="s">
        <v>29</v>
      </c>
      <c r="L108" s="15" t="s">
        <v>29</v>
      </c>
      <c r="M108" s="15" t="s">
        <v>29</v>
      </c>
      <c r="N108" s="16"/>
      <c r="O108" s="18" t="s">
        <v>209</v>
      </c>
      <c r="P108" s="19"/>
      <c r="Q108" s="18" t="str">
        <f ca="1">IFERROR(__xludf.DUMMYFUNCTION("""COMPUTED_VALUE"""),"zb -a 0xFC05 0x0017 0")</f>
        <v>zb -a 0xFC05 0x0017 0</v>
      </c>
      <c r="R108" s="19"/>
      <c r="S108" s="20" t="str">
        <f ca="1">IFERROR(__xludf.DUMMYFUNCTION("""COMPUTED_VALUE"""),"extended_deep_setback_active,10,260,513,61798,16,,0,3600,0")</f>
        <v>extended_deep_setback_active,10,260,513,61798,16,,0,3600,0</v>
      </c>
      <c r="X108" s="18" t="str">
        <f ca="1">IFERROR(__xludf.DUMMYFUNCTION("""COMPUTED_VALUE"""),"extended_deep_heat_setback")</f>
        <v>extended_deep_heat_setback</v>
      </c>
      <c r="BP108" s="10"/>
      <c r="BR108" s="18" t="str">
        <f ca="1">IFERROR(__xludf.DUMMYFUNCTION("""COMPUTED_VALUE"""),"unocc_delay_exit_event")</f>
        <v>unocc_delay_exit_event</v>
      </c>
      <c r="BS108" s="18" t="str">
        <f ca="1">IFERROR(__xludf.DUMMYFUNCTION("""COMPUTED_VALUE"""),"0x0201")</f>
        <v>0x0201</v>
      </c>
      <c r="BT108" s="18" t="str">
        <f ca="1">IFERROR(__xludf.DUMMYFUNCTION("""COMPUTED_VALUE"""),"0xF108")</f>
        <v>0xF108</v>
      </c>
      <c r="BU108" s="18" t="str">
        <f ca="1">IFERROR(__xludf.DUMMYFUNCTION("""COMPUTED_VALUE"""),"5")</f>
        <v>5</v>
      </c>
      <c r="BW108" s="10"/>
      <c r="CF108" s="10"/>
      <c r="CH108" s="18" t="str">
        <f ca="1">IFERROR(__xludf.DUMMYFUNCTION("""COMPUTED_VALUE"""),"humidistat_stages")</f>
        <v>humidistat_stages</v>
      </c>
      <c r="CI108" s="18" t="str">
        <f ca="1">IFERROR(__xludf.DUMMYFUNCTION("""COMPUTED_VALUE"""),"0x0201")</f>
        <v>0x0201</v>
      </c>
      <c r="CJ108" s="18" t="str">
        <f ca="1">IFERROR(__xludf.DUMMYFUNCTION("""COMPUTED_VALUE"""),"0xF156")</f>
        <v>0xF156</v>
      </c>
      <c r="CK108" s="18" t="str">
        <f ca="1">IFERROR(__xludf.DUMMYFUNCTION("""COMPUTED_VALUE"""),"86400")</f>
        <v>86400</v>
      </c>
      <c r="CM108" s="10"/>
      <c r="CP108" s="18" t="str">
        <f ca="1"/>
        <v/>
      </c>
      <c r="CQ108" s="18" t="str">
        <f ca="1"/>
        <v/>
      </c>
      <c r="CR108" s="18" t="str">
        <f ca="1"/>
        <v/>
      </c>
      <c r="CS108" s="18" t="str">
        <f ca="1"/>
        <v/>
      </c>
      <c r="CT108" s="18" t="str">
        <f ca="1"/>
        <v/>
      </c>
      <c r="CV108" s="10"/>
      <c r="CX108" s="18" t="str">
        <f ca="1">IFERROR(__xludf.DUMMYFUNCTION("""COMPUTED_VALUE"""),"extended_deep_heat_setback")</f>
        <v>extended_deep_heat_setback</v>
      </c>
      <c r="CY108" s="18" t="str">
        <f ca="1"/>
        <v>0x0201</v>
      </c>
      <c r="CZ108" s="18" t="str">
        <f ca="1"/>
        <v>0xF161</v>
      </c>
      <c r="DA108" s="18" t="str">
        <f ca="1"/>
        <v>86400</v>
      </c>
      <c r="DC108" s="10"/>
    </row>
    <row r="109" spans="1:107" x14ac:dyDescent="0.25">
      <c r="A109" s="15" t="s">
        <v>210</v>
      </c>
      <c r="B109" s="15" t="b">
        <v>0</v>
      </c>
      <c r="C109" s="15"/>
      <c r="D109" s="16"/>
      <c r="E109" s="15"/>
      <c r="F109" s="15"/>
      <c r="G109" s="15"/>
      <c r="H109" s="17" t="str">
        <f ca="1">IFERROR(__xludf.DUMMYFUNCTION("""COMPUTED_VALUE"""),"x")</f>
        <v>x</v>
      </c>
      <c r="I109" s="15" t="s">
        <v>29</v>
      </c>
      <c r="J109" s="15" t="s">
        <v>29</v>
      </c>
      <c r="K109" s="15" t="s">
        <v>29</v>
      </c>
      <c r="L109" s="15" t="s">
        <v>29</v>
      </c>
      <c r="M109" s="15" t="s">
        <v>29</v>
      </c>
      <c r="N109" s="16"/>
      <c r="O109" s="18" t="s">
        <v>211</v>
      </c>
      <c r="P109" s="19"/>
      <c r="Q109" s="18" t="str">
        <f ca="1">IFERROR(__xludf.DUMMYFUNCTION("""COMPUTED_VALUE"""),"zb -a 0xFC05 0x0019 0")</f>
        <v>zb -a 0xFC05 0x0019 0</v>
      </c>
      <c r="R109" s="19"/>
      <c r="S109" s="20" t="str">
        <f ca="1">IFERROR(__xludf.DUMMYFUNCTION("""COMPUTED_VALUE"""),"extended_deep_setback_max,10,260,513,61797,41,2944,,,,86400")</f>
        <v>extended_deep_setback_max,10,260,513,61797,41,2944,,,,86400</v>
      </c>
      <c r="X109" s="18" t="str">
        <f ca="1">IFERROR(__xludf.DUMMYFUNCTION("""COMPUTED_VALUE"""),"extended_deep_setback_active")</f>
        <v>extended_deep_setback_active</v>
      </c>
      <c r="BP109" s="10"/>
      <c r="BR109" s="18" t="str">
        <f ca="1">IFERROR(__xludf.DUMMYFUNCTION("""COMPUTED_VALUE"""),"schedule_paused")</f>
        <v>schedule_paused</v>
      </c>
      <c r="BS109" s="18" t="str">
        <f ca="1">IFERROR(__xludf.DUMMYFUNCTION("""COMPUTED_VALUE"""),"0x0201")</f>
        <v>0x0201</v>
      </c>
      <c r="BT109" s="18" t="str">
        <f ca="1">IFERROR(__xludf.DUMMYFUNCTION("""COMPUTED_VALUE"""),"0xF111")</f>
        <v>0xF111</v>
      </c>
      <c r="BU109" s="18" t="str">
        <f ca="1">IFERROR(__xludf.DUMMYFUNCTION("""COMPUTED_VALUE"""),"null")</f>
        <v>null</v>
      </c>
      <c r="BW109" s="10"/>
      <c r="CF109" s="10"/>
      <c r="CH109" s="18" t="str">
        <f ca="1">IFERROR(__xludf.DUMMYFUNCTION("""COMPUTED_VALUE"""),"humidistat_stage_threshold_time")</f>
        <v>humidistat_stage_threshold_time</v>
      </c>
      <c r="CI109" s="18" t="str">
        <f ca="1">IFERROR(__xludf.DUMMYFUNCTION("""COMPUTED_VALUE"""),"0x0201")</f>
        <v>0x0201</v>
      </c>
      <c r="CJ109" s="18" t="str">
        <f ca="1">IFERROR(__xludf.DUMMYFUNCTION("""COMPUTED_VALUE"""),"0xF157")</f>
        <v>0xF157</v>
      </c>
      <c r="CK109" s="18" t="str">
        <f ca="1">IFERROR(__xludf.DUMMYFUNCTION("""COMPUTED_VALUE"""),"86400")</f>
        <v>86400</v>
      </c>
      <c r="CM109" s="10"/>
      <c r="CP109" s="18" t="str">
        <f ca="1"/>
        <v/>
      </c>
      <c r="CQ109" s="18" t="str">
        <f ca="1"/>
        <v/>
      </c>
      <c r="CR109" s="18" t="str">
        <f ca="1"/>
        <v/>
      </c>
      <c r="CS109" s="18" t="str">
        <f ca="1"/>
        <v/>
      </c>
      <c r="CT109" s="18" t="str">
        <f ca="1"/>
        <v/>
      </c>
      <c r="CV109" s="10"/>
      <c r="CX109" s="18" t="str">
        <f ca="1">IFERROR(__xludf.DUMMYFUNCTION("""COMPUTED_VALUE"""),"extended_deep_cool_setback")</f>
        <v>extended_deep_cool_setback</v>
      </c>
      <c r="CY109" s="18" t="str">
        <f ca="1"/>
        <v>0x0201</v>
      </c>
      <c r="CZ109" s="18" t="str">
        <f ca="1"/>
        <v>0xF162</v>
      </c>
      <c r="DA109" s="18" t="str">
        <f ca="1"/>
        <v>86400</v>
      </c>
      <c r="DC109" s="10"/>
    </row>
    <row r="110" spans="1:107" x14ac:dyDescent="0.25">
      <c r="A110" s="15" t="s">
        <v>212</v>
      </c>
      <c r="B110" s="15" t="b">
        <v>0</v>
      </c>
      <c r="C110" s="15"/>
      <c r="D110" s="16"/>
      <c r="E110" s="15"/>
      <c r="F110" s="15"/>
      <c r="G110" s="15"/>
      <c r="H110" s="17" t="str">
        <f ca="1">IFERROR(__xludf.DUMMYFUNCTION("""COMPUTED_VALUE"""),"x")</f>
        <v>x</v>
      </c>
      <c r="I110" s="15" t="s">
        <v>29</v>
      </c>
      <c r="J110" s="15" t="s">
        <v>29</v>
      </c>
      <c r="K110" s="15" t="s">
        <v>29</v>
      </c>
      <c r="L110" s="15" t="s">
        <v>29</v>
      </c>
      <c r="M110" s="15" t="s">
        <v>29</v>
      </c>
      <c r="N110" s="16"/>
      <c r="O110" s="18" t="s">
        <v>213</v>
      </c>
      <c r="P110" s="19"/>
      <c r="Q110" s="18" t="str">
        <f ca="1">IFERROR(__xludf.DUMMYFUNCTION("""COMPUTED_VALUE"""),"zb -a 0xFC05 0x001D 0")</f>
        <v>zb -a 0xFC05 0x001D 0</v>
      </c>
      <c r="R110" s="19"/>
      <c r="S110" s="20" t="str">
        <f ca="1">IFERROR(__xludf.DUMMYFUNCTION("""COMPUTED_VALUE"""),"extended_deep_setback_min,10,260,513,61796,41,1278,,,,86400")</f>
        <v>extended_deep_setback_min,10,260,513,61796,41,1278,,,,86400</v>
      </c>
      <c r="X110" s="18" t="str">
        <f ca="1">IFERROR(__xludf.DUMMYFUNCTION("""COMPUTED_VALUE"""),"extended_deep_setback_max")</f>
        <v>extended_deep_setback_max</v>
      </c>
      <c r="BP110" s="10"/>
      <c r="BR110" s="18" t="str">
        <f ca="1">IFERROR(__xludf.DUMMYFUNCTION("""COMPUTED_VALUE"""),"ventilation_option")</f>
        <v>ventilation_option</v>
      </c>
      <c r="BS110" s="18" t="str">
        <f ca="1">IFERROR(__xludf.DUMMYFUNCTION("""COMPUTED_VALUE"""),"0x0201")</f>
        <v>0x0201</v>
      </c>
      <c r="BT110" s="18" t="str">
        <f ca="1">IFERROR(__xludf.DUMMYFUNCTION("""COMPUTED_VALUE"""),"0xF140")</f>
        <v>0xF140</v>
      </c>
      <c r="BU110" s="18" t="str">
        <f ca="1">IFERROR(__xludf.DUMMYFUNCTION("""COMPUTED_VALUE"""),"""none""")</f>
        <v>"none"</v>
      </c>
      <c r="BW110" s="10"/>
      <c r="CF110" s="10"/>
      <c r="CH110" s="18" t="str">
        <f ca="1">IFERROR(__xludf.DUMMYFUNCTION("""COMPUTED_VALUE"""),"user_dew_point_target_min")</f>
        <v>user_dew_point_target_min</v>
      </c>
      <c r="CI110" s="18" t="str">
        <f ca="1">IFERROR(__xludf.DUMMYFUNCTION("""COMPUTED_VALUE"""),"0x0201")</f>
        <v>0x0201</v>
      </c>
      <c r="CJ110" s="18" t="str">
        <f ca="1">IFERROR(__xludf.DUMMYFUNCTION("""COMPUTED_VALUE"""),"0xF159")</f>
        <v>0xF159</v>
      </c>
      <c r="CK110" s="18" t="str">
        <f ca="1">IFERROR(__xludf.DUMMYFUNCTION("""COMPUTED_VALUE"""),"86400")</f>
        <v>86400</v>
      </c>
      <c r="CM110" s="10"/>
      <c r="CP110" s="18" t="str">
        <f ca="1"/>
        <v/>
      </c>
      <c r="CQ110" s="18" t="str">
        <f ca="1"/>
        <v/>
      </c>
      <c r="CR110" s="18" t="str">
        <f ca="1"/>
        <v/>
      </c>
      <c r="CS110" s="18" t="str">
        <f ca="1"/>
        <v/>
      </c>
      <c r="CT110" s="18" t="str">
        <f ca="1"/>
        <v/>
      </c>
      <c r="CV110" s="10"/>
      <c r="CX110" s="18" t="str">
        <f ca="1">IFERROR(__xludf.DUMMYFUNCTION("""COMPUTED_VALUE"""),"extended_deep_delta_setback")</f>
        <v>extended_deep_delta_setback</v>
      </c>
      <c r="CY110" s="18" t="str">
        <f ca="1"/>
        <v>0x0201</v>
      </c>
      <c r="CZ110" s="18" t="str">
        <f ca="1"/>
        <v>0xF163</v>
      </c>
      <c r="DA110" s="18" t="str">
        <f ca="1"/>
        <v>86400</v>
      </c>
      <c r="DC110" s="10"/>
    </row>
    <row r="111" spans="1:107" x14ac:dyDescent="0.25">
      <c r="A111" s="15" t="s">
        <v>214</v>
      </c>
      <c r="B111" s="15" t="b">
        <v>1</v>
      </c>
      <c r="C111" s="15"/>
      <c r="D111" s="16"/>
      <c r="E111" s="15"/>
      <c r="F111" s="15"/>
      <c r="G111" s="15"/>
      <c r="H111" s="17" t="str">
        <f ca="1">IFERROR(__xludf.DUMMYFUNCTION("""COMPUTED_VALUE"""),"x")</f>
        <v>x</v>
      </c>
      <c r="I111" s="15" t="s">
        <v>29</v>
      </c>
      <c r="J111" s="15" t="s">
        <v>29</v>
      </c>
      <c r="K111" s="15" t="s">
        <v>29</v>
      </c>
      <c r="L111" s="15" t="s">
        <v>29</v>
      </c>
      <c r="M111" s="15" t="s">
        <v>29</v>
      </c>
      <c r="N111" s="16"/>
      <c r="O111" s="18" t="s">
        <v>215</v>
      </c>
      <c r="P111" s="19"/>
      <c r="Q111" s="18" t="str">
        <f ca="1">IFERROR(__xludf.DUMMYFUNCTION("""COMPUTED_VALUE"""),"zb -a 0xFC05 0x001E 1")</f>
        <v>zb -a 0xFC05 0x001E 1</v>
      </c>
      <c r="R111" s="19"/>
      <c r="S111" s="20" t="str">
        <f ca="1">IFERROR(__xludf.DUMMYFUNCTION("""COMPUTED_VALUE"""),"fan_mode,10,260,514,0,48,,0,3600,0")</f>
        <v>fan_mode,10,260,514,0,48,,0,3600,0</v>
      </c>
      <c r="X111" s="18" t="str">
        <f ca="1">IFERROR(__xludf.DUMMYFUNCTION("""COMPUTED_VALUE"""),"extended_deep_setback_min")</f>
        <v>extended_deep_setback_min</v>
      </c>
      <c r="BP111" s="10"/>
      <c r="BR111" s="18" t="str">
        <f ca="1">IFERROR(__xludf.DUMMYFUNCTION("""COMPUTED_VALUE"""),"standard_ventilation_duty_cycle")</f>
        <v>standard_ventilation_duty_cycle</v>
      </c>
      <c r="BS111" s="18" t="str">
        <f ca="1">IFERROR(__xludf.DUMMYFUNCTION("""COMPUTED_VALUE"""),"0x0201")</f>
        <v>0x0201</v>
      </c>
      <c r="BT111" s="18" t="str">
        <f ca="1">IFERROR(__xludf.DUMMYFUNCTION("""COMPUTED_VALUE"""),"0xF141")</f>
        <v>0xF141</v>
      </c>
      <c r="BU111" s="18" t="str">
        <f ca="1">IFERROR(__xludf.DUMMYFUNCTION("""COMPUTED_VALUE"""),"15")</f>
        <v>15</v>
      </c>
      <c r="BW111" s="10"/>
      <c r="CF111" s="10"/>
      <c r="CH111" s="18" t="str">
        <f ca="1">IFERROR(__xludf.DUMMYFUNCTION("""COMPUTED_VALUE"""),"user_dew_point_target_max")</f>
        <v>user_dew_point_target_max</v>
      </c>
      <c r="CI111" s="18" t="str">
        <f ca="1">IFERROR(__xludf.DUMMYFUNCTION("""COMPUTED_VALUE"""),"0x0201")</f>
        <v>0x0201</v>
      </c>
      <c r="CJ111" s="18" t="str">
        <f ca="1">IFERROR(__xludf.DUMMYFUNCTION("""COMPUTED_VALUE"""),"0xF15A")</f>
        <v>0xF15A</v>
      </c>
      <c r="CK111" s="18" t="str">
        <f ca="1">IFERROR(__xludf.DUMMYFUNCTION("""COMPUTED_VALUE"""),"86400")</f>
        <v>86400</v>
      </c>
      <c r="CM111" s="10"/>
      <c r="CP111" s="18" t="str">
        <f ca="1"/>
        <v/>
      </c>
      <c r="CQ111" s="18" t="str">
        <f ca="1"/>
        <v/>
      </c>
      <c r="CR111" s="18" t="str">
        <f ca="1"/>
        <v/>
      </c>
      <c r="CS111" s="18" t="str">
        <f ca="1"/>
        <v/>
      </c>
      <c r="CT111" s="18" t="str">
        <f ca="1"/>
        <v/>
      </c>
      <c r="CV111" s="10"/>
      <c r="CX111" s="18" t="str">
        <f ca="1">IFERROR(__xludf.DUMMYFUNCTION("""COMPUTED_VALUE"""),"extended_deep_setback_min")</f>
        <v>extended_deep_setback_min</v>
      </c>
      <c r="CY111" s="18" t="str">
        <f ca="1"/>
        <v>0x0201</v>
      </c>
      <c r="CZ111" s="18" t="str">
        <f ca="1"/>
        <v>0xF164</v>
      </c>
      <c r="DA111" s="18" t="str">
        <f ca="1"/>
        <v>86400</v>
      </c>
      <c r="DC111" s="10"/>
    </row>
    <row r="112" spans="1:107" x14ac:dyDescent="0.25">
      <c r="A112" s="15" t="s">
        <v>216</v>
      </c>
      <c r="B112" s="15" t="b">
        <v>0</v>
      </c>
      <c r="C112" s="15"/>
      <c r="D112" s="16"/>
      <c r="E112" s="15"/>
      <c r="F112" s="15"/>
      <c r="G112" s="15"/>
      <c r="H112" s="17" t="str">
        <f ca="1">IFERROR(__xludf.DUMMYFUNCTION("""COMPUTED_VALUE"""),"x")</f>
        <v>x</v>
      </c>
      <c r="I112" s="15" t="s">
        <v>29</v>
      </c>
      <c r="J112" s="15" t="s">
        <v>29</v>
      </c>
      <c r="K112" s="15" t="s">
        <v>29</v>
      </c>
      <c r="L112" s="15" t="s">
        <v>29</v>
      </c>
      <c r="M112" s="15" t="s">
        <v>29</v>
      </c>
      <c r="N112" s="16"/>
      <c r="O112" s="18" t="s">
        <v>217</v>
      </c>
      <c r="P112" s="19"/>
      <c r="Q112" s="18" t="str">
        <f ca="1">IFERROR(__xludf.DUMMYFUNCTION("""COMPUTED_VALUE"""),"zb -a 0xFC05 0x001B 0")</f>
        <v>zb -a 0xFC05 0x001B 0</v>
      </c>
      <c r="R112" s="19"/>
      <c r="S112" s="20" t="str">
        <f ca="1">IFERROR(__xludf.DUMMYFUNCTION("""COMPUTED_VALUE"""),"fan_modes_available,10,260,514,1,48,,0,3600,0")</f>
        <v>fan_modes_available,10,260,514,1,48,,0,3600,0</v>
      </c>
      <c r="X112" s="18" t="str">
        <f ca="1">IFERROR(__xludf.DUMMYFUNCTION("""COMPUTED_VALUE"""),"fan_mode")</f>
        <v>fan_mode</v>
      </c>
      <c r="BP112" s="10"/>
      <c r="BR112" s="18" t="str">
        <f ca="1">IFERROR(__xludf.DUMMYFUNCTION("""COMPUTED_VALUE"""),"smart_ventilation_home_size")</f>
        <v>smart_ventilation_home_size</v>
      </c>
      <c r="BS112" s="18" t="str">
        <f ca="1">IFERROR(__xludf.DUMMYFUNCTION("""COMPUTED_VALUE"""),"0x0201")</f>
        <v>0x0201</v>
      </c>
      <c r="BT112" s="18" t="str">
        <f ca="1">IFERROR(__xludf.DUMMYFUNCTION("""COMPUTED_VALUE"""),"0xF142")</f>
        <v>0xF142</v>
      </c>
      <c r="BU112" s="18" t="str">
        <f ca="1">IFERROR(__xludf.DUMMYFUNCTION("""COMPUTED_VALUE"""),"2250")</f>
        <v>2250</v>
      </c>
      <c r="BW112" s="10"/>
      <c r="CF112" s="10"/>
      <c r="CH112" s="18" t="str">
        <f ca="1">IFERROR(__xludf.DUMMYFUNCTION("""COMPUTED_VALUE"""),"dew_point_target_limit")</f>
        <v>dew_point_target_limit</v>
      </c>
      <c r="CI112" s="18" t="str">
        <f ca="1">IFERROR(__xludf.DUMMYFUNCTION("""COMPUTED_VALUE"""),"0x0201")</f>
        <v>0x0201</v>
      </c>
      <c r="CJ112" s="18" t="str">
        <f ca="1">IFERROR(__xludf.DUMMYFUNCTION("""COMPUTED_VALUE"""),"0xF15B")</f>
        <v>0xF15B</v>
      </c>
      <c r="CK112" s="18" t="str">
        <f ca="1">IFERROR(__xludf.DUMMYFUNCTION("""COMPUTED_VALUE"""),"86400")</f>
        <v>86400</v>
      </c>
      <c r="CM112" s="10"/>
      <c r="CP112" s="18" t="str">
        <f ca="1"/>
        <v/>
      </c>
      <c r="CQ112" s="18" t="str">
        <f ca="1"/>
        <v/>
      </c>
      <c r="CR112" s="18" t="str">
        <f ca="1"/>
        <v/>
      </c>
      <c r="CS112" s="18" t="str">
        <f ca="1"/>
        <v/>
      </c>
      <c r="CT112" s="18" t="str">
        <f ca="1"/>
        <v/>
      </c>
      <c r="CV112" s="10"/>
      <c r="CX112" s="18" t="str">
        <f ca="1">IFERROR(__xludf.DUMMYFUNCTION("""COMPUTED_VALUE"""),"extended_deep_setback_max")</f>
        <v>extended_deep_setback_max</v>
      </c>
      <c r="CY112" s="18" t="str">
        <f ca="1"/>
        <v>0x0201</v>
      </c>
      <c r="CZ112" s="18" t="str">
        <f ca="1"/>
        <v>0xF165</v>
      </c>
      <c r="DA112" s="18" t="str">
        <f ca="1"/>
        <v>86400</v>
      </c>
      <c r="DC112" s="10"/>
    </row>
    <row r="113" spans="1:107" x14ac:dyDescent="0.25">
      <c r="A113" s="15" t="s">
        <v>218</v>
      </c>
      <c r="B113" s="15" t="s">
        <v>219</v>
      </c>
      <c r="C113" s="15"/>
      <c r="D113" s="16"/>
      <c r="E113" s="15"/>
      <c r="F113" s="15"/>
      <c r="G113" s="15"/>
      <c r="H113" s="17" t="str">
        <f ca="1">IFERROR(__xludf.DUMMYFUNCTION("""COMPUTED_VALUE"""),"x")</f>
        <v>x</v>
      </c>
      <c r="I113" s="15" t="s">
        <v>29</v>
      </c>
      <c r="J113" s="15" t="s">
        <v>29</v>
      </c>
      <c r="K113" s="15" t="s">
        <v>29</v>
      </c>
      <c r="L113" s="15" t="s">
        <v>29</v>
      </c>
      <c r="M113" s="15" t="s">
        <v>29</v>
      </c>
      <c r="N113" s="16"/>
      <c r="O113" s="18" t="str">
        <f ca="1">IFERROR(__xludf.DUMMYFUNCTION("IF(A113="""","""",A113
&amp;"",""
&amp;HEX2DEC(VLOOKUP(A113,{'Data Model Parser'!$C$4:$C1626,'Data Model Parser'!$U$4:$U1626},2,0))
&amp;"",""
&amp;HEX2DEC(VLOOKUP(A113,{'Data Model Parser'!$C$4:$C1626,'Data Model Parser'!$V$4:$V1626},2,0))
&amp;"",""
&amp;HEX2DEC(VLOOKUP(A113,{"&amp;"'Data Model Parser'!$C$4:$C1626,'Data Model Parser'!$W$4:$W1626},2,0))
&amp;"",""
&amp;HEX2DEC(VLOOKUP(A113,{'Data Model Parser'!$C$4:$C1626,'Data Model Parser'!$T$4:$T1626},2,0))
&amp;"",""
&amp;HEX2DEC(VLOOKUP(A113,{'Data Model Parser'!$C$4:$C1626,'Data Model Parser'!$"&amp;"X$4:$X1626},2,0))
&amp;"",""
&amp;IFS(B113="""",""0"",REGEXREPLACE(B113,CHAR(34),"""")=""off"",""0"",REGEXREPLACE(B113,CHAR(34),"""")=""claim"",""1"",REGEXREPLACE(B113,CHAR(34),"""")=""wifi+claim"",""2"")
&amp;"",""
&amp;IF(VLOOKUP(A113,{'Data Model Parser'!$C$4:$C1626,'"&amp;"Data Model Parser'!$G$4:$G1626},2,0)=""polled"","",,,""&amp;VLOOKUP(A113,{'Data Model Parser'!$C$4:$C1626,'Data Model Parser'!$H$4:$H1626},2,0),
IF(VLOOKUP(A113,{'Data Model Parser'!$C$4:$C1626,'Data Model Parser'!$G$4:$G1626},2,0)=""reported"",
IFS(E113&lt;&gt;"""&amp;""",E113&amp;"","",
E113="""",VLOOKUP(A113,{'Data Model Parser'!$C$4:$C1626,'Data Model Parser'!$J$4:$J1626},2,0)&amp;"","")
&amp;IFS(F113&lt;&gt;"""",F113&amp;"","",
F113="""",VLOOKUP(A113,{'Data Model Parser'!$C$4:$C1626,'Data Model Parser'!$I$4:$I1626},2,0)&amp;"","")
&amp;IFS(G113&lt;"&amp;"&gt;"""",G113,
G113="""",VLOOKUP(A113,{'Data Model Parser'!$C$4:$C1626,'Data Model Parser'!$K$4:$K1626},2,0)))))"),"display_wifi_menu,10,260,64517,31,48,2,,,,86400")</f>
        <v>display_wifi_menu,10,260,64517,31,48,2,,,,86400</v>
      </c>
      <c r="P113" s="19"/>
      <c r="Q113" s="18" t="str">
        <f ca="1">IFERROR(__xludf.DUMMYFUNCTION("""COMPUTED_VALUE"""),"zb -a 0xFC05 0x001F 2")</f>
        <v>zb -a 0xFC05 0x001F 2</v>
      </c>
      <c r="R113" s="19"/>
      <c r="S113" s="20" t="str">
        <f ca="1">IFERROR(__xludf.DUMMYFUNCTION("""COMPUTED_VALUE"""),"fan_state,10,260,513,61440,48,,0,3600,0")</f>
        <v>fan_state,10,260,513,61440,48,,0,3600,0</v>
      </c>
      <c r="X113" s="18" t="str">
        <f ca="1">IFERROR(__xludf.DUMMYFUNCTION("""COMPUTED_VALUE"""),"fan_modes_available")</f>
        <v>fan_modes_available</v>
      </c>
      <c r="Y113" s="18" t="str">
        <f ca="1">IFERROR(__xludf.DUMMYFUNCTION("UNIQUE(FILTER({$DE$4:$DE1626,$DH$4:$ES1626}, $DE$4:$DE1626=A113))"),"display_wifi_menu")</f>
        <v>display_wifi_menu</v>
      </c>
      <c r="Z113" s="18" t="str">
        <f ca="1">IFERROR(__xludf.DUMMYFUNCTION("""COMPUTED_VALUE"""),"""off""")</f>
        <v>"off"</v>
      </c>
      <c r="AA113" s="18" t="str">
        <f ca="1">IFERROR(__xludf.DUMMYFUNCTION("""COMPUTED_VALUE"""),"""claim""")</f>
        <v>"claim"</v>
      </c>
      <c r="AB113" s="18" t="str">
        <f ca="1">IFERROR(__xludf.DUMMYFUNCTION("""COMPUTED_VALUE"""),"""wifi+claim""")</f>
        <v>"wifi+claim"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P113" s="10"/>
      <c r="BR113" s="18" t="str">
        <f ca="1">IFERROR(__xludf.DUMMYFUNCTION("""COMPUTED_VALUE"""),"smart_ventilation_number_of_bedrooms")</f>
        <v>smart_ventilation_number_of_bedrooms</v>
      </c>
      <c r="BS113" s="18" t="str">
        <f ca="1">IFERROR(__xludf.DUMMYFUNCTION("""COMPUTED_VALUE"""),"0x0201")</f>
        <v>0x0201</v>
      </c>
      <c r="BT113" s="18" t="str">
        <f ca="1">IFERROR(__xludf.DUMMYFUNCTION("""COMPUTED_VALUE"""),"0xF143")</f>
        <v>0xF143</v>
      </c>
      <c r="BU113" s="18" t="str">
        <f ca="1">IFERROR(__xludf.DUMMYFUNCTION("""COMPUTED_VALUE"""),"15")</f>
        <v>15</v>
      </c>
      <c r="BW113" s="10"/>
      <c r="CF113" s="10"/>
      <c r="CH113" s="18" t="str">
        <f ca="1">IFERROR(__xludf.DUMMYFUNCTION("""COMPUTED_VALUE"""),"unocc_delay_extended_deep_setback")</f>
        <v>unocc_delay_extended_deep_setback</v>
      </c>
      <c r="CI113" s="18" t="str">
        <f ca="1">IFERROR(__xludf.DUMMYFUNCTION("""COMPUTED_VALUE"""),"0x0201")</f>
        <v>0x0201</v>
      </c>
      <c r="CJ113" s="18" t="str">
        <f ca="1">IFERROR(__xludf.DUMMYFUNCTION("""COMPUTED_VALUE"""),"0xF160")</f>
        <v>0xF160</v>
      </c>
      <c r="CK113" s="18" t="str">
        <f ca="1">IFERROR(__xludf.DUMMYFUNCTION("""COMPUTED_VALUE"""),"86400")</f>
        <v>86400</v>
      </c>
      <c r="CM113" s="10"/>
      <c r="CP113" s="18" t="str">
        <f ca="1"/>
        <v/>
      </c>
      <c r="CQ113" s="18" t="str">
        <f ca="1"/>
        <v/>
      </c>
      <c r="CR113" s="18" t="str">
        <f ca="1"/>
        <v/>
      </c>
      <c r="CS113" s="18" t="str">
        <f ca="1"/>
        <v/>
      </c>
      <c r="CT113" s="18" t="str">
        <f ca="1"/>
        <v/>
      </c>
      <c r="CV113" s="10"/>
      <c r="CX113" s="18" t="str">
        <f ca="1">IFERROR(__xludf.DUMMYFUNCTION("""COMPUTED_VALUE"""),"setpoint_reset_enable")</f>
        <v>setpoint_reset_enable</v>
      </c>
      <c r="CY113" s="18" t="str">
        <f ca="1"/>
        <v>0x0201</v>
      </c>
      <c r="CZ113" s="18" t="str">
        <f ca="1"/>
        <v>0xF170</v>
      </c>
      <c r="DA113" s="18" t="str">
        <f ca="1"/>
        <v>86400</v>
      </c>
      <c r="DC113" s="10"/>
    </row>
    <row r="114" spans="1:107" x14ac:dyDescent="0.25">
      <c r="A114" s="15" t="s">
        <v>220</v>
      </c>
      <c r="B114" s="15" t="b">
        <v>1</v>
      </c>
      <c r="C114" s="15"/>
      <c r="D114" s="16"/>
      <c r="E114" s="15"/>
      <c r="F114" s="15"/>
      <c r="G114" s="15"/>
      <c r="H114" s="17" t="str">
        <f ca="1">IFERROR(__xludf.DUMMYFUNCTION("""COMPUTED_VALUE"""),"x")</f>
        <v>x</v>
      </c>
      <c r="I114" s="15" t="s">
        <v>29</v>
      </c>
      <c r="J114" s="15" t="s">
        <v>29</v>
      </c>
      <c r="K114" s="15" t="s">
        <v>29</v>
      </c>
      <c r="L114" s="15" t="s">
        <v>29</v>
      </c>
      <c r="M114" s="15" t="s">
        <v>29</v>
      </c>
      <c r="N114" s="16"/>
      <c r="O114" s="18" t="s">
        <v>221</v>
      </c>
      <c r="P114" s="19"/>
      <c r="Q114" s="18" t="str">
        <f ca="1">IFERROR(__xludf.DUMMYFUNCTION("""COMPUTED_VALUE"""),"zb -a 0xFC05 0x0021 1")</f>
        <v>zb -a 0xFC05 0x0021 1</v>
      </c>
      <c r="R114" s="19"/>
      <c r="S114" s="20" t="str">
        <f ca="1">IFERROR(__xludf.DUMMYFUNCTION("""COMPUTED_VALUE"""),"fixed_cool_setback,10,260,513,61680,41,2667,,,,86400")</f>
        <v>fixed_cool_setback,10,260,513,61680,41,2667,,,,86400</v>
      </c>
      <c r="X114" s="18" t="str">
        <f ca="1">IFERROR(__xludf.DUMMYFUNCTION("""COMPUTED_VALUE"""),"fan_state")</f>
        <v>fan_state</v>
      </c>
      <c r="BP114" s="10"/>
      <c r="BR114" s="18" t="str">
        <f ca="1">IFERROR(__xludf.DUMMYFUNCTION("""COMPUTED_VALUE"""),"smart_ventilation_fan_size")</f>
        <v>smart_ventilation_fan_size</v>
      </c>
      <c r="BS114" s="18" t="str">
        <f ca="1">IFERROR(__xludf.DUMMYFUNCTION("""COMPUTED_VALUE"""),"0x0201")</f>
        <v>0x0201</v>
      </c>
      <c r="BT114" s="18" t="str">
        <f ca="1">IFERROR(__xludf.DUMMYFUNCTION("""COMPUTED_VALUE"""),"0xF145")</f>
        <v>0xF145</v>
      </c>
      <c r="BU114" s="18" t="str">
        <f ca="1">IFERROR(__xludf.DUMMYFUNCTION("""COMPUTED_VALUE"""),"600")</f>
        <v>600</v>
      </c>
      <c r="BW114" s="10"/>
      <c r="CF114" s="10"/>
      <c r="CH114" s="18" t="str">
        <f ca="1">IFERROR(__xludf.DUMMYFUNCTION("""COMPUTED_VALUE"""),"extended_deep_heat_setback")</f>
        <v>extended_deep_heat_setback</v>
      </c>
      <c r="CI114" s="18" t="str">
        <f ca="1">IFERROR(__xludf.DUMMYFUNCTION("""COMPUTED_VALUE"""),"0x0201")</f>
        <v>0x0201</v>
      </c>
      <c r="CJ114" s="18" t="str">
        <f ca="1">IFERROR(__xludf.DUMMYFUNCTION("""COMPUTED_VALUE"""),"0xF161")</f>
        <v>0xF161</v>
      </c>
      <c r="CK114" s="18" t="str">
        <f ca="1">IFERROR(__xludf.DUMMYFUNCTION("""COMPUTED_VALUE"""),"86400")</f>
        <v>86400</v>
      </c>
      <c r="CM114" s="10"/>
      <c r="CP114" s="18" t="str">
        <f ca="1"/>
        <v/>
      </c>
      <c r="CQ114" s="18" t="str">
        <f ca="1"/>
        <v/>
      </c>
      <c r="CR114" s="18" t="str">
        <f ca="1"/>
        <v/>
      </c>
      <c r="CS114" s="18" t="str">
        <f ca="1"/>
        <v/>
      </c>
      <c r="CT114" s="18" t="str">
        <f ca="1"/>
        <v/>
      </c>
      <c r="CV114" s="10"/>
      <c r="CX114" s="18" t="str">
        <f ca="1">IFERROR(__xludf.DUMMYFUNCTION("""COMPUTED_VALUE"""),"setpoint_reset_timeout")</f>
        <v>setpoint_reset_timeout</v>
      </c>
      <c r="CY114" s="18" t="str">
        <f ca="1"/>
        <v>0x0201</v>
      </c>
      <c r="CZ114" s="18" t="str">
        <f ca="1"/>
        <v>0xF171</v>
      </c>
      <c r="DA114" s="18" t="str">
        <f ca="1"/>
        <v>86400</v>
      </c>
      <c r="DC114" s="10"/>
    </row>
    <row r="115" spans="1:107" x14ac:dyDescent="0.25">
      <c r="A115" s="15" t="s">
        <v>222</v>
      </c>
      <c r="B115" s="15" t="b">
        <v>0</v>
      </c>
      <c r="C115" s="15"/>
      <c r="D115" s="16"/>
      <c r="E115" s="15"/>
      <c r="F115" s="15"/>
      <c r="G115" s="15"/>
      <c r="H115" s="17" t="str">
        <f ca="1">IFERROR(__xludf.DUMMYFUNCTION("""COMPUTED_VALUE"""),"x")</f>
        <v>x</v>
      </c>
      <c r="I115" s="15" t="s">
        <v>29</v>
      </c>
      <c r="J115" s="15" t="s">
        <v>29</v>
      </c>
      <c r="K115" s="15" t="s">
        <v>29</v>
      </c>
      <c r="L115" s="15" t="s">
        <v>29</v>
      </c>
      <c r="M115" s="15" t="s">
        <v>29</v>
      </c>
      <c r="N115" s="16"/>
      <c r="O115" s="18" t="s">
        <v>223</v>
      </c>
      <c r="P115" s="19"/>
      <c r="Q115" s="18" t="str">
        <f ca="1">IFERROR(__xludf.DUMMYFUNCTION("""COMPUTED_VALUE"""),"zb -a 0xFC05 0x0023 0")</f>
        <v>zb -a 0xFC05 0x0023 0</v>
      </c>
      <c r="R115" s="19"/>
      <c r="S115" s="20" t="str">
        <f ca="1">IFERROR(__xludf.DUMMYFUNCTION("""COMPUTED_VALUE"""),"fixed_heat_setback,10,260,513,61679,41,1778,,,,86400")</f>
        <v>fixed_heat_setback,10,260,513,61679,41,1778,,,,86400</v>
      </c>
      <c r="X115" s="18" t="str">
        <f ca="1">IFERROR(__xludf.DUMMYFUNCTION("""COMPUTED_VALUE"""),"fixed_cool_setback")</f>
        <v>fixed_cool_setback</v>
      </c>
      <c r="BP115" s="10"/>
      <c r="BR115" s="18" t="str">
        <f ca="1">IFERROR(__xludf.DUMMYFUNCTION("""COMPUTED_VALUE"""),"manual_ventilation_setting")</f>
        <v>manual_ventilation_setting</v>
      </c>
      <c r="BS115" s="18" t="str">
        <f ca="1">IFERROR(__xludf.DUMMYFUNCTION("""COMPUTED_VALUE"""),"0x0201")</f>
        <v>0x0201</v>
      </c>
      <c r="BT115" s="18" t="str">
        <f ca="1">IFERROR(__xludf.DUMMYFUNCTION("""COMPUTED_VALUE"""),"0xF14A")</f>
        <v>0xF14A</v>
      </c>
      <c r="BU115" s="18" t="str">
        <f ca="1">IFERROR(__xludf.DUMMYFUNCTION("""COMPUTED_VALUE"""),"""auto""")</f>
        <v>"auto"</v>
      </c>
      <c r="BW115" s="10"/>
      <c r="CF115" s="10"/>
      <c r="CH115" s="18" t="str">
        <f ca="1">IFERROR(__xludf.DUMMYFUNCTION("""COMPUTED_VALUE"""),"extended_deep_cool_setback")</f>
        <v>extended_deep_cool_setback</v>
      </c>
      <c r="CI115" s="18" t="str">
        <f ca="1">IFERROR(__xludf.DUMMYFUNCTION("""COMPUTED_VALUE"""),"0x0201")</f>
        <v>0x0201</v>
      </c>
      <c r="CJ115" s="18" t="str">
        <f ca="1">IFERROR(__xludf.DUMMYFUNCTION("""COMPUTED_VALUE"""),"0xF162")</f>
        <v>0xF162</v>
      </c>
      <c r="CK115" s="18" t="str">
        <f ca="1">IFERROR(__xludf.DUMMYFUNCTION("""COMPUTED_VALUE"""),"86400")</f>
        <v>86400</v>
      </c>
      <c r="CM115" s="10"/>
      <c r="CP115" s="18" t="str">
        <f ca="1"/>
        <v/>
      </c>
      <c r="CQ115" s="18" t="str">
        <f ca="1"/>
        <v/>
      </c>
      <c r="CR115" s="18" t="str">
        <f ca="1"/>
        <v/>
      </c>
      <c r="CS115" s="18" t="str">
        <f ca="1"/>
        <v/>
      </c>
      <c r="CT115" s="18" t="str">
        <f ca="1"/>
        <v/>
      </c>
      <c r="CV115" s="10"/>
      <c r="CX115" s="18" t="str">
        <f ca="1">IFERROR(__xludf.DUMMYFUNCTION("""COMPUTED_VALUE"""),"setpoint_reset_hvac_mode")</f>
        <v>setpoint_reset_hvac_mode</v>
      </c>
      <c r="CY115" s="18" t="str">
        <f ca="1"/>
        <v>0x0201</v>
      </c>
      <c r="CZ115" s="18" t="str">
        <f ca="1"/>
        <v>0xF172</v>
      </c>
      <c r="DA115" s="18" t="str">
        <f ca="1"/>
        <v>86400</v>
      </c>
      <c r="DC115" s="10"/>
    </row>
    <row r="116" spans="1:107" x14ac:dyDescent="0.25">
      <c r="A116" s="15" t="s">
        <v>224</v>
      </c>
      <c r="B116" s="15"/>
      <c r="C116" s="15"/>
      <c r="D116" s="16"/>
      <c r="E116" s="15"/>
      <c r="F116" s="15"/>
      <c r="G116" s="15"/>
      <c r="H116" s="17" t="str">
        <f ca="1">IFERROR(__xludf.DUMMYFUNCTION("""COMPUTED_VALUE"""),"x")</f>
        <v>x</v>
      </c>
      <c r="I116" s="15" t="s">
        <v>29</v>
      </c>
      <c r="J116" s="15" t="s">
        <v>29</v>
      </c>
      <c r="K116" s="15" t="s">
        <v>29</v>
      </c>
      <c r="L116" s="15" t="s">
        <v>29</v>
      </c>
      <c r="M116" s="15" t="s">
        <v>29</v>
      </c>
      <c r="N116" s="16"/>
      <c r="O116" s="18" t="str">
        <f ca="1">IFERROR(__xludf.DUMMYFUNCTION("IF(A116="""","""",A116
&amp;"",""
&amp;HEX2DEC(VLOOKUP(A116,{'Data Model Parser'!$C$4:$C1626,'Data Model Parser'!$U$4:$U1626},2,0))
&amp;"",""
&amp;HEX2DEC(VLOOKUP(A116,{'Data Model Parser'!$C$4:$C1626,'Data Model Parser'!$V$4:$V1626},2,0))
&amp;"",""
&amp;HEX2DEC(VLOOKUP(A116,{"&amp;"'Data Model Parser'!$C$4:$C1626,'Data Model Parser'!$W$4:$W1626},2,0))
&amp;"",""
&amp;HEX2DEC(VLOOKUP(A116,{'Data Model Parser'!$C$4:$C1626,'Data Model Parser'!$T$4:$T1626},2,0))
&amp;"",""
&amp;HEX2DEC(VLOOKUP(A116,{'Data Model Parser'!$C$4:$C1626,'Data Model Parser'!$"&amp;"X$4:$X1626},2,0))
&amp;"",""
&amp;IFS(B116="""",""0"",
REGEXREPLACE(B116,CHAR(34),"""")=""none"",""0"",
REGEXREPLACE(B116,CHAR(34),"""")=""vda"",""1"",
REGEXREPLACE(B116,CHAR(34),"""")=""trane"",""2"",
REGEXREPLACE(B116,CHAR(34),"""")=""santa_fe"",""3"",
REGEXREP"&amp;"LACE(B116,CHAR(34),"""")=""renew_aire"",""4"")
&amp;"",""
&amp;IF(VLOOKUP(A116,{'Data Model Parser'!$C$4:$C1626,'Data Model Parser'!$G$4:$G1626},2,0)=""polled"","",,,""&amp;VLOOKUP(A116,{'Data Model Parser'!$C$4:$C1626,'Data Model Parser'!$H$4:$H1626},2,0),
IF(VLOOKU"&amp;"P(A116,{'Data Model Parser'!$C$4:$C1626,'Data Model Parser'!$G$4:$G1626},2,0)=""reported"",
IFS(E116&lt;&gt;"""",E116&amp;"","",
E116="""",VLOOKUP(A116,{'Data Model Parser'!$C$4:$C1626,'Data Model Parser'!$J$4:$J1626},2,0)&amp;"","")
&amp;IFS(F116&lt;&gt;"""",F116&amp;"","",
F116="""&amp;""",VLOOKUP(A116,{'Data Model Parser'!$C$4:$C1626,'Data Model Parser'!$I$4:$I1626},2,0)&amp;"","")
&amp;IFS(G116&lt;&gt;"""",G116,
G116="""",VLOOKUP(A116,{'Data Model Parser'!$C$4:$C1626,'Data Model Parser'!$K$4:$K1626},2,0)))))"),"oem_brand,10,260,64517,34,48,0,,,,86400")</f>
        <v>oem_brand,10,260,64517,34,48,0,,,,86400</v>
      </c>
      <c r="P116" s="19"/>
      <c r="Q116" s="18" t="str">
        <f ca="1">IFERROR(__xludf.DUMMYFUNCTION("""COMPUTED_VALUE"""),"zb -a 0xFC05 0x0022 0")</f>
        <v>zb -a 0xFC05 0x0022 0</v>
      </c>
      <c r="R116" s="19"/>
      <c r="S116" s="20" t="str">
        <f ca="1">IFERROR(__xludf.DUMMYFUNCTION("""COMPUTED_VALUE"""),"force_deep_setback_mode,10,260,513,61670,16,0,0,3600,0")</f>
        <v>force_deep_setback_mode,10,260,513,61670,16,0,0,3600,0</v>
      </c>
      <c r="X116" s="18" t="str">
        <f ca="1">IFERROR(__xludf.DUMMYFUNCTION("""COMPUTED_VALUE"""),"fixed_heat_setback")</f>
        <v>fixed_heat_setback</v>
      </c>
      <c r="Y116" s="18" t="str">
        <f ca="1">IFERROR(__xludf.DUMMYFUNCTION("UNIQUE(FILTER({$DE$4:$DE1626,$DH$4:$ES1626}, $DE$4:$DE1626=A116))"),"oem_brand")</f>
        <v>oem_brand</v>
      </c>
      <c r="Z116" s="18" t="str">
        <f ca="1">IFERROR(__xludf.DUMMYFUNCTION("""COMPUTED_VALUE"""),"""none""")</f>
        <v>"none"</v>
      </c>
      <c r="AA116" s="18" t="str">
        <f ca="1">IFERROR(__xludf.DUMMYFUNCTION("""COMPUTED_VALUE"""),"""vda""")</f>
        <v>"vda"</v>
      </c>
      <c r="AB116" s="18" t="str">
        <f ca="1">IFERROR(__xludf.DUMMYFUNCTION("""COMPUTED_VALUE"""),"""trane""")</f>
        <v>"trane"</v>
      </c>
      <c r="AC116" s="18" t="str">
        <f ca="1">IFERROR(__xludf.DUMMYFUNCTION("""COMPUTED_VALUE"""),"""santa_fe""")</f>
        <v>"santa_fe"</v>
      </c>
      <c r="AD116" s="18" t="str">
        <f ca="1">IFERROR(__xludf.DUMMYFUNCTION("""COMPUTED_VALUE"""),"""renew_aire""")</f>
        <v>"renew_aire"</v>
      </c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P116" s="10"/>
      <c r="BR116" s="18" t="str">
        <f ca="1">IFERROR(__xludf.DUMMYFUNCTION("""COMPUTED_VALUE"""),"user_rh_target_editing_enabled")</f>
        <v>user_rh_target_editing_enabled</v>
      </c>
      <c r="BS116" s="18" t="str">
        <f ca="1">IFERROR(__xludf.DUMMYFUNCTION("""COMPUTED_VALUE"""),"0x0201")</f>
        <v>0x0201</v>
      </c>
      <c r="BT116" s="18" t="str">
        <f ca="1">IFERROR(__xludf.DUMMYFUNCTION("""COMPUTED_VALUE"""),"0xF150")</f>
        <v>0xF150</v>
      </c>
      <c r="BU116" s="18" t="str">
        <f ca="1">IFERROR(__xludf.DUMMYFUNCTION("""COMPUTED_VALUE"""),"false")</f>
        <v>false</v>
      </c>
      <c r="BW116" s="10"/>
      <c r="CF116" s="10"/>
      <c r="CH116" s="18" t="str">
        <f ca="1">IFERROR(__xludf.DUMMYFUNCTION("""COMPUTED_VALUE"""),"extended_deep_delta_setback")</f>
        <v>extended_deep_delta_setback</v>
      </c>
      <c r="CI116" s="18" t="str">
        <f ca="1">IFERROR(__xludf.DUMMYFUNCTION("""COMPUTED_VALUE"""),"0x0201")</f>
        <v>0x0201</v>
      </c>
      <c r="CJ116" s="18" t="str">
        <f ca="1">IFERROR(__xludf.DUMMYFUNCTION("""COMPUTED_VALUE"""),"0xF163")</f>
        <v>0xF163</v>
      </c>
      <c r="CK116" s="18" t="str">
        <f ca="1">IFERROR(__xludf.DUMMYFUNCTION("""COMPUTED_VALUE"""),"86400")</f>
        <v>86400</v>
      </c>
      <c r="CM116" s="10"/>
      <c r="CP116" s="18" t="str">
        <f ca="1"/>
        <v/>
      </c>
      <c r="CQ116" s="18" t="str">
        <f ca="1"/>
        <v/>
      </c>
      <c r="CR116" s="18" t="str">
        <f ca="1"/>
        <v/>
      </c>
      <c r="CS116" s="18" t="str">
        <f ca="1"/>
        <v/>
      </c>
      <c r="CT116" s="18" t="str">
        <f ca="1"/>
        <v/>
      </c>
      <c r="CV116" s="10"/>
      <c r="CX116" s="18" t="str">
        <f ca="1">IFERROR(__xludf.DUMMYFUNCTION("""COMPUTED_VALUE"""),"setpoint_reset_cool_setpoint")</f>
        <v>setpoint_reset_cool_setpoint</v>
      </c>
      <c r="CY116" s="18" t="str">
        <f ca="1"/>
        <v>0x0201</v>
      </c>
      <c r="CZ116" s="18" t="str">
        <f ca="1"/>
        <v>0xF173</v>
      </c>
      <c r="DA116" s="18" t="str">
        <f ca="1"/>
        <v>86400</v>
      </c>
      <c r="DC116" s="10"/>
    </row>
    <row r="117" spans="1:107" x14ac:dyDescent="0.25">
      <c r="A117" s="15" t="s">
        <v>225</v>
      </c>
      <c r="B117" s="15" t="s">
        <v>226</v>
      </c>
      <c r="C117" s="15"/>
      <c r="D117" s="16"/>
      <c r="E117" s="15"/>
      <c r="F117" s="15"/>
      <c r="G117" s="15"/>
      <c r="H117" s="17" t="str">
        <f ca="1">IFERROR(__xludf.DUMMYFUNCTION("""COMPUTED_VALUE"""),"x")</f>
        <v>x</v>
      </c>
      <c r="I117" s="15" t="s">
        <v>29</v>
      </c>
      <c r="J117" s="15" t="s">
        <v>29</v>
      </c>
      <c r="K117" s="15" t="s">
        <v>29</v>
      </c>
      <c r="L117" s="15" t="s">
        <v>29</v>
      </c>
      <c r="M117" s="15" t="s">
        <v>29</v>
      </c>
      <c r="N117" s="16"/>
      <c r="O117" s="18" t="str">
        <f ca="1">IFERROR(__xludf.DUMMYFUNCTION("IF(A117="""","""",A117
&amp;"",""
&amp;HEX2DEC(VLOOKUP(A117,{'Data Model Parser'!$C$4:$C1626,'Data Model Parser'!$U$4:$U1626},2,0))
&amp;"",""
&amp;HEX2DEC(VLOOKUP(A117,{'Data Model Parser'!$C$4:$C1626,'Data Model Parser'!$V$4:$V1626},2,0))
&amp;"",""
&amp;HEX2DEC(VLOOKUP(A117,{"&amp;"'Data Model Parser'!$C$4:$C1626,'Data Model Parser'!$W$4:$W1626},2,0))
&amp;"",""
&amp;HEX2DEC(VLOOKUP(A117,{'Data Model Parser'!$C$4:$C1626,'Data Model Parser'!$T$4:$T1626},2,0))
&amp;"",""
&amp;HEX2DEC(VLOOKUP(A117,{'Data Model Parser'!$C$4:$C1626,'Data Model Parser'!$"&amp;"X$4:$X1626},2,0))
&amp;"",""
&amp;
IFS(B117="""",""0"",
REGEXREPLACE(B117,CHAR(34),"""")=""none"",""0"",
REGEXREPLACE(B117,CHAR(34),"""")=""select_device_type"",""1"",
REGEXREPLACE(B117,CHAR(34),"""")=""select_preset"",""2"")
&amp;"",""
&amp;IF(VLOOKUP(A117,{'Data Model "&amp;"Parser'!$C$4:$C1626,'Data Model Parser'!$G$4:$G1626},2,0)=""polled"","",,,""&amp;VLOOKUP(A117,{'Data Model Parser'!$C$4:$C1626,'Data Model Parser'!$H$4:$H1626},2,0),
IF(VLOOKUP(A117,{'Data Model Parser'!$C$4:$C1626,'Data Model Parser'!$G$4:$G1626},2,0)=""repo"&amp;"rted"",
IFS(E117&lt;&gt;"""",E117&amp;"","",
E117="""",VLOOKUP(A117,{'Data Model Parser'!$C$4:$C1626,'Data Model Parser'!$J$4:$J1626},2,0)&amp;"","")
&amp;IFS(F117&lt;&gt;"""",F117&amp;"","",
F117="""",VLOOKUP(A117,{'Data Model Parser'!$C$4:$C1626,'Data Model Parser'!$I$4:$I1626},2,"&amp;"0)&amp;"","")
&amp;IFS(G117&lt;&gt;"""",G117,
G117="""",VLOOKUP(A117,{'Data Model Parser'!$C$4:$C1626,'Data Model Parser'!$K$4:$K1626},2,0)))))"),"startup_screen,10,260,64517,36,48,2,,,,86400")</f>
        <v>startup_screen,10,260,64517,36,48,2,,,,86400</v>
      </c>
      <c r="P117" s="19"/>
      <c r="Q117" s="18" t="str">
        <f ca="1">IFERROR(__xludf.DUMMYFUNCTION("""COMPUTED_VALUE"""),"zb -a 0xFC05 0x0024 2")</f>
        <v>zb -a 0xFC05 0x0024 2</v>
      </c>
      <c r="R117" s="19"/>
      <c r="S117" s="20" t="str">
        <f ca="1">IFERROR(__xludf.DUMMYFUNCTION("""COMPUTED_VALUE"""),"force_occ,10,260,513,61696,33,65535,0,3600,15")</f>
        <v>force_occ,10,260,513,61696,33,65535,0,3600,15</v>
      </c>
      <c r="X117" s="18" t="str">
        <f ca="1">IFERROR(__xludf.DUMMYFUNCTION("""COMPUTED_VALUE"""),"force_deep_setback_mode")</f>
        <v>force_deep_setback_mode</v>
      </c>
      <c r="Y117" s="18" t="str">
        <f ca="1">IFERROR(__xludf.DUMMYFUNCTION("UNIQUE(FILTER({$DE$4:$DE1626,$DH$4:$ES1626}, $DE$4:$DE1626=A117))"),"startup_screen")</f>
        <v>startup_screen</v>
      </c>
      <c r="Z117" s="18" t="str">
        <f ca="1">IFERROR(__xludf.DUMMYFUNCTION("""COMPUTED_VALUE"""),"""none""")</f>
        <v>"none"</v>
      </c>
      <c r="AA117" s="18" t="str">
        <f ca="1">IFERROR(__xludf.DUMMYFUNCTION("""COMPUTED_VALUE"""),"""select_device_type""")</f>
        <v>"select_device_type"</v>
      </c>
      <c r="AB117" s="18" t="str">
        <f ca="1">IFERROR(__xludf.DUMMYFUNCTION("""COMPUTED_VALUE"""),"""select_preset""")</f>
        <v>"select_preset"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P117" s="10"/>
      <c r="BR117" s="18" t="str">
        <f ca="1">IFERROR(__xludf.DUMMYFUNCTION("""COMPUTED_VALUE"""),"user_rh_target_min")</f>
        <v>user_rh_target_min</v>
      </c>
      <c r="BS117" s="18" t="str">
        <f ca="1">IFERROR(__xludf.DUMMYFUNCTION("""COMPUTED_VALUE"""),"0x0201")</f>
        <v>0x0201</v>
      </c>
      <c r="BT117" s="18" t="str">
        <f ca="1">IFERROR(__xludf.DUMMYFUNCTION("""COMPUTED_VALUE"""),"0xF151")</f>
        <v>0xF151</v>
      </c>
      <c r="BU117" s="18" t="str">
        <f ca="1">IFERROR(__xludf.DUMMYFUNCTION("""COMPUTED_VALUE"""),"50")</f>
        <v>50</v>
      </c>
      <c r="BW117" s="10"/>
      <c r="CF117" s="10"/>
      <c r="CH117" s="18" t="str">
        <f ca="1">IFERROR(__xludf.DUMMYFUNCTION("""COMPUTED_VALUE"""),"extended_deep_setback_min")</f>
        <v>extended_deep_setback_min</v>
      </c>
      <c r="CI117" s="18" t="str">
        <f ca="1">IFERROR(__xludf.DUMMYFUNCTION("""COMPUTED_VALUE"""),"0x0201")</f>
        <v>0x0201</v>
      </c>
      <c r="CJ117" s="18" t="str">
        <f ca="1">IFERROR(__xludf.DUMMYFUNCTION("""COMPUTED_VALUE"""),"0xF164")</f>
        <v>0xF164</v>
      </c>
      <c r="CK117" s="18" t="str">
        <f ca="1">IFERROR(__xludf.DUMMYFUNCTION("""COMPUTED_VALUE"""),"86400")</f>
        <v>86400</v>
      </c>
      <c r="CM117" s="10"/>
      <c r="CP117" s="18" t="str">
        <f ca="1"/>
        <v/>
      </c>
      <c r="CQ117" s="18" t="str">
        <f ca="1"/>
        <v/>
      </c>
      <c r="CR117" s="18" t="str">
        <f ca="1"/>
        <v/>
      </c>
      <c r="CS117" s="18" t="str">
        <f ca="1"/>
        <v/>
      </c>
      <c r="CT117" s="18" t="str">
        <f ca="1"/>
        <v/>
      </c>
      <c r="CV117" s="10"/>
      <c r="CX117" s="18" t="str">
        <f ca="1">IFERROR(__xludf.DUMMYFUNCTION("""COMPUTED_VALUE"""),"setpoint_reset_heat_setpoint")</f>
        <v>setpoint_reset_heat_setpoint</v>
      </c>
      <c r="CY117" s="18" t="str">
        <f ca="1"/>
        <v>0x0201</v>
      </c>
      <c r="CZ117" s="18" t="str">
        <f ca="1"/>
        <v>0xF174</v>
      </c>
      <c r="DA117" s="18" t="str">
        <f ca="1"/>
        <v>86400</v>
      </c>
      <c r="DC117" s="10"/>
    </row>
    <row r="118" spans="1:107" x14ac:dyDescent="0.25">
      <c r="A118" s="18" t="s">
        <v>227</v>
      </c>
      <c r="B118" s="15" t="s">
        <v>89</v>
      </c>
      <c r="C118" s="15"/>
      <c r="D118" s="16"/>
      <c r="E118" s="15"/>
      <c r="F118" s="15"/>
      <c r="G118" s="15"/>
      <c r="H118" s="17" t="str">
        <f ca="1">IFERROR(__xludf.DUMMYFUNCTION("""COMPUTED_VALUE"""),"x")</f>
        <v>x</v>
      </c>
      <c r="I118" s="15" t="s">
        <v>29</v>
      </c>
      <c r="J118" s="15" t="s">
        <v>29</v>
      </c>
      <c r="K118" s="15" t="s">
        <v>29</v>
      </c>
      <c r="L118" s="15" t="s">
        <v>29</v>
      </c>
      <c r="M118" s="15" t="s">
        <v>29</v>
      </c>
      <c r="N118" s="16"/>
      <c r="O118" s="18" t="str">
        <f ca="1">IFERROR(__xludf.DUMMYFUNCTION("IF(A118="""","""",A118
&amp;"",""
&amp;HEX2DEC(VLOOKUP(A118,{'Data Model Parser'!$C$4:$C1626,'Data Model Parser'!$U$4:$U1626},2,0))
&amp;"",""
&amp;HEX2DEC(VLOOKUP(A118,{'Data Model Parser'!$C$4:$C1626,'Data Model Parser'!$V$4:$V1626},2,0))
&amp;"",""
&amp;HEX2DEC(VLOOKUP(A118,{"&amp;"'Data Model Parser'!$C$4:$C1626,'Data Model Parser'!$W$4:$W1626},2,0))
&amp;"",""
&amp;HEX2DEC(VLOOKUP(A118,{'Data Model Parser'!$C$4:$C1626,'Data Model Parser'!$T$4:$T1626},2,0))
&amp;"",""
&amp;HEX2DEC(VLOOKUP(A118,{'Data Model Parser'!$C$4:$C1626,'Data Model Parser'!$"&amp;"X$4:$X1626},2,0))
&amp;"",""
&amp;IFS(B118="""",""0"",
REGEXREPLACE(B118,CHAR(34),"""")=""none"",""0"",
REGEXREPLACE(B118,CHAR(34),"""")=""mode"",""1"",
REGEXREPLACE(B118,CHAR(34),"""")=""mode_fan"",""2"",
REGEXREPLACE(B118,CHAR(34),"""")=""all"",""3"")
&amp;"",""
&amp;I"&amp;"F(VLOOKUP(A118,{'Data Model Parser'!$C$4:$C1626,'Data Model Parser'!$G$4:$G1626},2,0)=""polled"","",,,""&amp;VLOOKUP(A118,{'Data Model Parser'!$C$4:$C1626,'Data Model Parser'!$H$4:$H1626},2,0),
IF(VLOOKUP(A118,{'Data Model Parser'!$C$4:$C1626,'Data Model Pars"&amp;"er'!$G$4:$G1626},2,0)=""reported"",
IFS(E118&lt;&gt;"""",E118&amp;"","",
E118="""",VLOOKUP(A118,{'Data Model Parser'!$C$4:$C1626,'Data Model Parser'!$J$4:$J1626},2,0)&amp;"","")
&amp;IFS(F118&lt;&gt;"""",F118&amp;"","",
F118="""",VLOOKUP(A118,{'Data Model Parser'!$C$4:$C1626,'Data M"&amp;"odel Parser'!$I$4:$I1626},2,0)&amp;"","")
&amp;IFS(G118&lt;&gt;"""",G118,
G118="""",VLOOKUP(A118,{'Data Model Parser'!$C$4:$C1626,'Data Model Parser'!$K$4:$K1626},2,0)))))"),"ui_keypad_lockout,10,260,516,1,48,0,,,,86400")</f>
        <v>ui_keypad_lockout,10,260,516,1,48,0,,,,86400</v>
      </c>
      <c r="P118" s="19"/>
      <c r="Q118" s="18" t="str">
        <f ca="1">IFERROR(__xludf.DUMMYFUNCTION("""COMPUTED_VALUE"""),"zb -a 0x0204 0x0001 0")</f>
        <v>zb -a 0x0204 0x0001 0</v>
      </c>
      <c r="R118" s="19"/>
      <c r="S118" s="20" t="str">
        <f ca="1">IFERROR(__xludf.DUMMYFUNCTION("""COMPUTED_VALUE"""),"force_unocc,10,260,513,61697,33,,0,3600,15")</f>
        <v>force_unocc,10,260,513,61697,33,,0,3600,15</v>
      </c>
      <c r="X118" s="18" t="str">
        <f ca="1">IFERROR(__xludf.DUMMYFUNCTION("""COMPUTED_VALUE"""),"force_occ")</f>
        <v>force_occ</v>
      </c>
      <c r="Y118" s="18" t="str">
        <f ca="1">IFERROR(__xludf.DUMMYFUNCTION("UNIQUE(FILTER({$DE$4:$DE1626,$DH$4:$ES1626}, $DE$4:$DE1626=A118))"),"ui_keypad_lockout")</f>
        <v>ui_keypad_lockout</v>
      </c>
      <c r="Z118" s="18" t="str">
        <f ca="1">IFERROR(__xludf.DUMMYFUNCTION("""COMPUTED_VALUE"""),"""none""")</f>
        <v>"none"</v>
      </c>
      <c r="AA118" s="18" t="str">
        <f ca="1">IFERROR(__xludf.DUMMYFUNCTION("""COMPUTED_VALUE"""),"""mode""")</f>
        <v>"mode"</v>
      </c>
      <c r="AB118" s="18" t="str">
        <f ca="1">IFERROR(__xludf.DUMMYFUNCTION("""COMPUTED_VALUE"""),"""mode_fan""")</f>
        <v>"mode_fan"</v>
      </c>
      <c r="AC118" s="18" t="str">
        <f ca="1">IFERROR(__xludf.DUMMYFUNCTION("""COMPUTED_VALUE"""),"""all""")</f>
        <v>"all"</v>
      </c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P118" s="10"/>
      <c r="BR118" s="18" t="str">
        <f ca="1">IFERROR(__xludf.DUMMYFUNCTION("""COMPUTED_VALUE"""),"user_rh_target_max")</f>
        <v>user_rh_target_max</v>
      </c>
      <c r="BS118" s="18" t="str">
        <f ca="1">IFERROR(__xludf.DUMMYFUNCTION("""COMPUTED_VALUE"""),"0x0201")</f>
        <v>0x0201</v>
      </c>
      <c r="BT118" s="18" t="str">
        <f ca="1">IFERROR(__xludf.DUMMYFUNCTION("""COMPUTED_VALUE"""),"0xF152")</f>
        <v>0xF152</v>
      </c>
      <c r="BU118" s="18" t="str">
        <f ca="1">IFERROR(__xludf.DUMMYFUNCTION("""COMPUTED_VALUE"""),"75")</f>
        <v>75</v>
      </c>
      <c r="BW118" s="10"/>
      <c r="CF118" s="10"/>
      <c r="CH118" s="18" t="str">
        <f ca="1">IFERROR(__xludf.DUMMYFUNCTION("""COMPUTED_VALUE"""),"extended_deep_setback_max")</f>
        <v>extended_deep_setback_max</v>
      </c>
      <c r="CI118" s="18" t="str">
        <f ca="1">IFERROR(__xludf.DUMMYFUNCTION("""COMPUTED_VALUE"""),"0x0201")</f>
        <v>0x0201</v>
      </c>
      <c r="CJ118" s="18" t="str">
        <f ca="1">IFERROR(__xludf.DUMMYFUNCTION("""COMPUTED_VALUE"""),"0xF165")</f>
        <v>0xF165</v>
      </c>
      <c r="CK118" s="18" t="str">
        <f ca="1">IFERROR(__xludf.DUMMYFUNCTION("""COMPUTED_VALUE"""),"86400")</f>
        <v>86400</v>
      </c>
      <c r="CM118" s="10"/>
      <c r="CP118" s="18" t="str">
        <f ca="1"/>
        <v/>
      </c>
      <c r="CQ118" s="18" t="str">
        <f ca="1"/>
        <v/>
      </c>
      <c r="CR118" s="18" t="str">
        <f ca="1"/>
        <v/>
      </c>
      <c r="CS118" s="18" t="str">
        <f ca="1"/>
        <v/>
      </c>
      <c r="CT118" s="18" t="str">
        <f ca="1"/>
        <v/>
      </c>
      <c r="CV118" s="10"/>
      <c r="CX118" s="18" t="str">
        <f ca="1">IFERROR(__xludf.DUMMYFUNCTION("""COMPUTED_VALUE"""),"relay_0_load_temperature_compensation")</f>
        <v>relay_0_load_temperature_compensation</v>
      </c>
      <c r="CY118" s="18" t="str">
        <f ca="1"/>
        <v>0x0201</v>
      </c>
      <c r="CZ118" s="18" t="str">
        <f ca="1"/>
        <v>0xF180</v>
      </c>
      <c r="DA118" s="18" t="str">
        <f ca="1"/>
        <v>86400</v>
      </c>
      <c r="DC118" s="10"/>
    </row>
    <row r="119" spans="1:107" x14ac:dyDescent="0.25">
      <c r="A119" s="15"/>
      <c r="B119" s="15"/>
      <c r="C119" s="15"/>
      <c r="D119" s="16"/>
      <c r="E119" s="15"/>
      <c r="F119" s="15"/>
      <c r="G119" s="15"/>
      <c r="H119" s="17" t="str">
        <f ca="1">IFERROR(__xludf.DUMMYFUNCTION("""COMPUTED_VALUE"""),"")</f>
        <v/>
      </c>
      <c r="I119" s="15" t="s">
        <v>29</v>
      </c>
      <c r="J119" s="15" t="s">
        <v>29</v>
      </c>
      <c r="K119" s="15" t="s">
        <v>29</v>
      </c>
      <c r="L119" s="15" t="s">
        <v>29</v>
      </c>
      <c r="M119" s="15" t="s">
        <v>29</v>
      </c>
      <c r="N119" s="16"/>
      <c r="P119" s="19"/>
      <c r="Q119" s="18" t="str">
        <f ca="1">IFERROR(__xludf.DUMMYFUNCTION("""COMPUTED_VALUE"""),"")</f>
        <v/>
      </c>
      <c r="R119" s="19"/>
      <c r="S119" s="20" t="str">
        <f ca="1">IFERROR(__xludf.DUMMYFUNCTION("""COMPUTED_VALUE"""),"fw_ver,10,260,64544,4,35,,,,,86400")</f>
        <v>fw_ver,10,260,64544,4,35,,,,,86400</v>
      </c>
      <c r="X119" s="18" t="str">
        <f ca="1">IFERROR(__xludf.DUMMYFUNCTION("""COMPUTED_VALUE"""),"force_unocc")</f>
        <v>force_unocc</v>
      </c>
      <c r="BP119" s="10"/>
      <c r="BR119" s="18" t="str">
        <f ca="1">IFERROR(__xludf.DUMMYFUNCTION("""COMPUTED_VALUE"""),"rh_target_limit")</f>
        <v>rh_target_limit</v>
      </c>
      <c r="BS119" s="18" t="str">
        <f ca="1">IFERROR(__xludf.DUMMYFUNCTION("""COMPUTED_VALUE"""),"0x0201")</f>
        <v>0x0201</v>
      </c>
      <c r="BT119" s="18" t="str">
        <f ca="1">IFERROR(__xludf.DUMMYFUNCTION("""COMPUTED_VALUE"""),"0xF153")</f>
        <v>0xF153</v>
      </c>
      <c r="BU119" s="18" t="str">
        <f ca="1">IFERROR(__xludf.DUMMYFUNCTION("""COMPUTED_VALUE"""),"50")</f>
        <v>50</v>
      </c>
      <c r="BW119" s="10"/>
      <c r="CF119" s="10"/>
      <c r="CH119" s="18" t="str">
        <f ca="1">IFERROR(__xludf.DUMMYFUNCTION("""COMPUTED_VALUE"""),"setpoint_reset_enable")</f>
        <v>setpoint_reset_enable</v>
      </c>
      <c r="CI119" s="18" t="str">
        <f ca="1">IFERROR(__xludf.DUMMYFUNCTION("""COMPUTED_VALUE"""),"0x0201")</f>
        <v>0x0201</v>
      </c>
      <c r="CJ119" s="18" t="str">
        <f ca="1">IFERROR(__xludf.DUMMYFUNCTION("""COMPUTED_VALUE"""),"0xF170")</f>
        <v>0xF170</v>
      </c>
      <c r="CK119" s="18" t="str">
        <f ca="1">IFERROR(__xludf.DUMMYFUNCTION("""COMPUTED_VALUE"""),"86400")</f>
        <v>86400</v>
      </c>
      <c r="CM119" s="10"/>
      <c r="CP119" s="18" t="str">
        <f ca="1"/>
        <v/>
      </c>
      <c r="CQ119" s="18" t="str">
        <f ca="1"/>
        <v/>
      </c>
      <c r="CR119" s="18" t="str">
        <f ca="1"/>
        <v/>
      </c>
      <c r="CS119" s="18" t="str">
        <f ca="1"/>
        <v/>
      </c>
      <c r="CT119" s="18" t="str">
        <f ca="1"/>
        <v/>
      </c>
      <c r="CV119" s="10"/>
      <c r="CX119" s="18" t="str">
        <f ca="1">IFERROR(__xludf.DUMMYFUNCTION("""COMPUTED_VALUE"""),"relay_1_load_temperature_compensation")</f>
        <v>relay_1_load_temperature_compensation</v>
      </c>
      <c r="CY119" s="18" t="str">
        <f ca="1"/>
        <v>0x0201</v>
      </c>
      <c r="CZ119" s="18" t="str">
        <f ca="1"/>
        <v>0xF181</v>
      </c>
      <c r="DA119" s="18" t="str">
        <f ca="1"/>
        <v>86400</v>
      </c>
      <c r="DC119" s="10"/>
    </row>
    <row r="120" spans="1:107" x14ac:dyDescent="0.25">
      <c r="A120" s="9" t="s">
        <v>228</v>
      </c>
      <c r="B120" s="36"/>
      <c r="C120" s="36"/>
      <c r="D120" s="36"/>
      <c r="E120" s="36"/>
      <c r="F120" s="36"/>
      <c r="G120" s="36"/>
      <c r="H120" s="37" t="str">
        <f ca="1">IFERROR(__xludf.DUMMYFUNCTION("""COMPUTED_VALUE"""),"")</f>
        <v/>
      </c>
      <c r="I120" s="36" t="s">
        <v>29</v>
      </c>
      <c r="J120" s="36" t="s">
        <v>29</v>
      </c>
      <c r="K120" s="36" t="s">
        <v>29</v>
      </c>
      <c r="L120" s="36" t="s">
        <v>29</v>
      </c>
      <c r="M120" s="36" t="s">
        <v>29</v>
      </c>
      <c r="N120" s="16"/>
      <c r="O120" s="10"/>
      <c r="P120" s="19"/>
      <c r="Q120" s="10" t="str">
        <f ca="1">IFERROR(__xludf.DUMMYFUNCTION("""COMPUTED_VALUE"""),"")</f>
        <v/>
      </c>
      <c r="R120" s="19"/>
      <c r="S120" s="20" t="str">
        <f ca="1">IFERROR(__xludf.DUMMYFUNCTION("""COMPUTED_VALUE"""),"gp_data_ver,10,260,64544,2,33,,,,,86400")</f>
        <v>gp_data_ver,10,260,64544,2,33,,,,,86400</v>
      </c>
      <c r="X120" s="18" t="str">
        <f ca="1">IFERROR(__xludf.DUMMYFUNCTION("""COMPUTED_VALUE"""),"fw_ver")</f>
        <v>fw_ver</v>
      </c>
      <c r="BP120" s="10"/>
      <c r="BR120" s="18" t="str">
        <f ca="1">IFERROR(__xludf.DUMMYFUNCTION("""COMPUTED_VALUE"""),"humidistat_min_off_time")</f>
        <v>humidistat_min_off_time</v>
      </c>
      <c r="BS120" s="18" t="str">
        <f ca="1">IFERROR(__xludf.DUMMYFUNCTION("""COMPUTED_VALUE"""),"0x0201")</f>
        <v>0x0201</v>
      </c>
      <c r="BT120" s="18" t="str">
        <f ca="1">IFERROR(__xludf.DUMMYFUNCTION("""COMPUTED_VALUE"""),"0xF154")</f>
        <v>0xF154</v>
      </c>
      <c r="BU120" s="18" t="str">
        <f ca="1">IFERROR(__xludf.DUMMYFUNCTION("""COMPUTED_VALUE"""),"15")</f>
        <v>15</v>
      </c>
      <c r="BW120" s="10"/>
      <c r="CF120" s="10"/>
      <c r="CH120" s="18" t="str">
        <f ca="1">IFERROR(__xludf.DUMMYFUNCTION("""COMPUTED_VALUE"""),"setpoint_reset_timeout")</f>
        <v>setpoint_reset_timeout</v>
      </c>
      <c r="CI120" s="18" t="str">
        <f ca="1">IFERROR(__xludf.DUMMYFUNCTION("""COMPUTED_VALUE"""),"0x0201")</f>
        <v>0x0201</v>
      </c>
      <c r="CJ120" s="18" t="str">
        <f ca="1">IFERROR(__xludf.DUMMYFUNCTION("""COMPUTED_VALUE"""),"0xF171")</f>
        <v>0xF171</v>
      </c>
      <c r="CK120" s="18" t="str">
        <f ca="1">IFERROR(__xludf.DUMMYFUNCTION("""COMPUTED_VALUE"""),"86400")</f>
        <v>86400</v>
      </c>
      <c r="CM120" s="10"/>
      <c r="CP120" s="18" t="str">
        <f ca="1"/>
        <v/>
      </c>
      <c r="CQ120" s="18" t="str">
        <f ca="1"/>
        <v/>
      </c>
      <c r="CR120" s="18" t="str">
        <f ca="1"/>
        <v/>
      </c>
      <c r="CS120" s="18" t="str">
        <f ca="1"/>
        <v/>
      </c>
      <c r="CT120" s="18" t="str">
        <f ca="1"/>
        <v/>
      </c>
      <c r="CV120" s="10"/>
      <c r="CX120" s="18" t="str">
        <f ca="1">IFERROR(__xludf.DUMMYFUNCTION("""COMPUTED_VALUE"""),"relay_2_load_temperature_compensation")</f>
        <v>relay_2_load_temperature_compensation</v>
      </c>
      <c r="CY120" s="18" t="str">
        <f ca="1"/>
        <v>0x0201</v>
      </c>
      <c r="CZ120" s="18" t="str">
        <f ca="1"/>
        <v>0xF182</v>
      </c>
      <c r="DA120" s="18" t="str">
        <f ca="1"/>
        <v>86400</v>
      </c>
      <c r="DC120" s="10"/>
    </row>
    <row r="121" spans="1:107" x14ac:dyDescent="0.25">
      <c r="A121" s="15" t="s">
        <v>229</v>
      </c>
      <c r="B121" s="15" t="s">
        <v>230</v>
      </c>
      <c r="C121" s="15" t="s">
        <v>231</v>
      </c>
      <c r="D121" s="16"/>
      <c r="E121" s="15"/>
      <c r="F121" s="15"/>
      <c r="G121" s="15"/>
      <c r="H121" s="17" t="str">
        <f ca="1">IFERROR(__xludf.DUMMYFUNCTION("""COMPUTED_VALUE"""),"x")</f>
        <v>x</v>
      </c>
      <c r="I121" s="15" t="s">
        <v>29</v>
      </c>
      <c r="J121" s="15" t="s">
        <v>29</v>
      </c>
      <c r="K121" s="15" t="s">
        <v>29</v>
      </c>
      <c r="L121" s="15" t="s">
        <v>29</v>
      </c>
      <c r="M121" s="15" t="s">
        <v>29</v>
      </c>
      <c r="N121" s="16"/>
      <c r="O121" s="18" t="s">
        <v>232</v>
      </c>
      <c r="P121" s="19"/>
      <c r="Q121" s="18" t="str">
        <f ca="1">IFERROR(__xludf.DUMMYFUNCTION("""COMPUTED_VALUE"""),"zb -a 0xFC05 0x0000 48805")</f>
        <v>zb -a 0xFC05 0x0000 48805</v>
      </c>
      <c r="R121" s="19"/>
      <c r="S121" s="20" t="str">
        <f ca="1">IFERROR(__xludf.DUMMYFUNCTION("""COMPUTED_VALUE"""),"green_mode_active,10,260,64519,7,16,,0,3600,0")</f>
        <v>green_mode_active,10,260,64519,7,16,,0,3600,0</v>
      </c>
      <c r="X121" s="18" t="str">
        <f ca="1">IFERROR(__xludf.DUMMYFUNCTION("""COMPUTED_VALUE"""),"gp_data_ver")</f>
        <v>gp_data_ver</v>
      </c>
      <c r="BP121" s="10"/>
      <c r="BR121" s="18" t="str">
        <f ca="1">IFERROR(__xludf.DUMMYFUNCTION("""COMPUTED_VALUE"""),"humidistat_min_on_time")</f>
        <v>humidistat_min_on_time</v>
      </c>
      <c r="BS121" s="18" t="str">
        <f ca="1">IFERROR(__xludf.DUMMYFUNCTION("""COMPUTED_VALUE"""),"0x0201")</f>
        <v>0x0201</v>
      </c>
      <c r="BT121" s="18" t="str">
        <f ca="1">IFERROR(__xludf.DUMMYFUNCTION("""COMPUTED_VALUE"""),"0xF155")</f>
        <v>0xF155</v>
      </c>
      <c r="BU121" s="18" t="str">
        <f ca="1">IFERROR(__xludf.DUMMYFUNCTION("""COMPUTED_VALUE"""),"15")</f>
        <v>15</v>
      </c>
      <c r="BW121" s="10"/>
      <c r="CF121" s="10"/>
      <c r="CH121" s="18" t="str">
        <f ca="1">IFERROR(__xludf.DUMMYFUNCTION("""COMPUTED_VALUE"""),"setpoint_reset_hvac_mode")</f>
        <v>setpoint_reset_hvac_mode</v>
      </c>
      <c r="CI121" s="18" t="str">
        <f ca="1">IFERROR(__xludf.DUMMYFUNCTION("""COMPUTED_VALUE"""),"0x0201")</f>
        <v>0x0201</v>
      </c>
      <c r="CJ121" s="18" t="str">
        <f ca="1">IFERROR(__xludf.DUMMYFUNCTION("""COMPUTED_VALUE"""),"0xF172")</f>
        <v>0xF172</v>
      </c>
      <c r="CK121" s="18" t="str">
        <f ca="1">IFERROR(__xludf.DUMMYFUNCTION("""COMPUTED_VALUE"""),"86400")</f>
        <v>86400</v>
      </c>
      <c r="CM121" s="10"/>
      <c r="CP121" s="18" t="str">
        <f ca="1"/>
        <v/>
      </c>
      <c r="CQ121" s="18" t="str">
        <f ca="1"/>
        <v/>
      </c>
      <c r="CR121" s="18" t="str">
        <f ca="1"/>
        <v/>
      </c>
      <c r="CS121" s="18" t="str">
        <f ca="1"/>
        <v/>
      </c>
      <c r="CT121" s="18" t="str">
        <f ca="1"/>
        <v/>
      </c>
      <c r="CV121" s="10"/>
      <c r="CX121" s="18" t="str">
        <f ca="1">IFERROR(__xludf.DUMMYFUNCTION("""COMPUTED_VALUE"""),"relay_3_load_temperature_compensation")</f>
        <v>relay_3_load_temperature_compensation</v>
      </c>
      <c r="CY121" s="18" t="str">
        <f ca="1"/>
        <v>0x0201</v>
      </c>
      <c r="CZ121" s="18" t="str">
        <f ca="1"/>
        <v>0xF183</v>
      </c>
      <c r="DA121" s="18" t="str">
        <f ca="1"/>
        <v>86400</v>
      </c>
      <c r="DC121" s="10"/>
    </row>
    <row r="122" spans="1:107" x14ac:dyDescent="0.25">
      <c r="A122" s="15" t="s">
        <v>233</v>
      </c>
      <c r="B122" s="15" t="s">
        <v>234</v>
      </c>
      <c r="C122" s="15" t="s">
        <v>231</v>
      </c>
      <c r="D122" s="16"/>
      <c r="E122" s="15"/>
      <c r="F122" s="15"/>
      <c r="G122" s="15"/>
      <c r="H122" s="17" t="str">
        <f ca="1">IFERROR(__xludf.DUMMYFUNCTION("""COMPUTED_VALUE"""),"x")</f>
        <v>x</v>
      </c>
      <c r="I122" s="15" t="s">
        <v>29</v>
      </c>
      <c r="J122" s="15" t="s">
        <v>29</v>
      </c>
      <c r="K122" s="15" t="s">
        <v>29</v>
      </c>
      <c r="L122" s="15" t="s">
        <v>29</v>
      </c>
      <c r="M122" s="15" t="s">
        <v>29</v>
      </c>
      <c r="N122" s="16"/>
      <c r="O122" s="18" t="s">
        <v>235</v>
      </c>
      <c r="P122" s="19"/>
      <c r="Q122" s="18" t="str">
        <f ca="1">IFERROR(__xludf.DUMMYFUNCTION("""COMPUTED_VALUE"""),"zb -a 0xFC05 0x0025 7855")</f>
        <v>zb -a 0xFC05 0x0025 7855</v>
      </c>
      <c r="R122" s="19"/>
      <c r="S122" s="20" t="str">
        <f ca="1">IFERROR(__xludf.DUMMYFUNCTION("""COMPUTED_VALUE"""),"haptic_enabled,10,260,64517,9,48,1,,,,86400")</f>
        <v>haptic_enabled,10,260,64517,9,48,1,,,,86400</v>
      </c>
      <c r="X122" s="18" t="str">
        <f ca="1">IFERROR(__xludf.DUMMYFUNCTION("""COMPUTED_VALUE"""),"green_mode_active")</f>
        <v>green_mode_active</v>
      </c>
      <c r="BP122" s="10"/>
      <c r="BR122" s="18" t="str">
        <f ca="1">IFERROR(__xludf.DUMMYFUNCTION("""COMPUTED_VALUE"""),"humidistat_stages")</f>
        <v>humidistat_stages</v>
      </c>
      <c r="BS122" s="18" t="str">
        <f ca="1">IFERROR(__xludf.DUMMYFUNCTION("""COMPUTED_VALUE"""),"0x0201")</f>
        <v>0x0201</v>
      </c>
      <c r="BT122" s="18" t="str">
        <f ca="1">IFERROR(__xludf.DUMMYFUNCTION("""COMPUTED_VALUE"""),"0xF156")</f>
        <v>0xF156</v>
      </c>
      <c r="BU122" s="18" t="str">
        <f ca="1">IFERROR(__xludf.DUMMYFUNCTION("""COMPUTED_VALUE"""),"1")</f>
        <v>1</v>
      </c>
      <c r="BW122" s="10"/>
      <c r="CF122" s="10"/>
      <c r="CH122" s="18" t="str">
        <f ca="1">IFERROR(__xludf.DUMMYFUNCTION("""COMPUTED_VALUE"""),"setpoint_reset_cool_setpoint")</f>
        <v>setpoint_reset_cool_setpoint</v>
      </c>
      <c r="CI122" s="18" t="str">
        <f ca="1">IFERROR(__xludf.DUMMYFUNCTION("""COMPUTED_VALUE"""),"0x0201")</f>
        <v>0x0201</v>
      </c>
      <c r="CJ122" s="18" t="str">
        <f ca="1">IFERROR(__xludf.DUMMYFUNCTION("""COMPUTED_VALUE"""),"0xF173")</f>
        <v>0xF173</v>
      </c>
      <c r="CK122" s="18" t="str">
        <f ca="1">IFERROR(__xludf.DUMMYFUNCTION("""COMPUTED_VALUE"""),"86400")</f>
        <v>86400</v>
      </c>
      <c r="CM122" s="10"/>
      <c r="CP122" s="18" t="str">
        <f ca="1"/>
        <v/>
      </c>
      <c r="CQ122" s="18" t="str">
        <f ca="1"/>
        <v/>
      </c>
      <c r="CR122" s="18" t="str">
        <f ca="1"/>
        <v/>
      </c>
      <c r="CS122" s="18" t="str">
        <f ca="1"/>
        <v/>
      </c>
      <c r="CT122" s="18" t="str">
        <f ca="1"/>
        <v/>
      </c>
      <c r="CV122" s="10"/>
      <c r="CX122" s="18" t="str">
        <f ca="1">IFERROR(__xludf.DUMMYFUNCTION("""COMPUTED_VALUE"""),"relay_4_load_temperature_compensation")</f>
        <v>relay_4_load_temperature_compensation</v>
      </c>
      <c r="CY122" s="18" t="str">
        <f ca="1"/>
        <v>0x0201</v>
      </c>
      <c r="CZ122" s="18" t="str">
        <f ca="1"/>
        <v>0xF184</v>
      </c>
      <c r="DA122" s="18" t="str">
        <f ca="1"/>
        <v>86400</v>
      </c>
      <c r="DC122" s="10"/>
    </row>
    <row r="123" spans="1:107" x14ac:dyDescent="0.25">
      <c r="A123" s="15" t="s">
        <v>236</v>
      </c>
      <c r="B123" s="15" t="s">
        <v>237</v>
      </c>
      <c r="C123" s="15" t="s">
        <v>231</v>
      </c>
      <c r="D123" s="16"/>
      <c r="E123" s="15"/>
      <c r="F123" s="15"/>
      <c r="G123" s="15"/>
      <c r="H123" s="17" t="str">
        <f ca="1">IFERROR(__xludf.DUMMYFUNCTION("""COMPUTED_VALUE"""),"x")</f>
        <v>x</v>
      </c>
      <c r="I123" s="15" t="s">
        <v>29</v>
      </c>
      <c r="J123" s="15" t="s">
        <v>29</v>
      </c>
      <c r="K123" s="15" t="s">
        <v>29</v>
      </c>
      <c r="L123" s="15" t="s">
        <v>29</v>
      </c>
      <c r="M123" s="15" t="s">
        <v>29</v>
      </c>
      <c r="N123" s="16"/>
      <c r="O123" s="18" t="s">
        <v>238</v>
      </c>
      <c r="P123" s="19"/>
      <c r="Q123" s="18" t="str">
        <f ca="1">IFERROR(__xludf.DUMMYFUNCTION("""COMPUTED_VALUE"""),"zb -a 0xFC05 0x0026 50554")</f>
        <v>zb -a 0xFC05 0x0026 50554</v>
      </c>
      <c r="R123" s="19"/>
      <c r="S123" s="20" t="str">
        <f ca="1">IFERROR(__xludf.DUMMYFUNCTION("""COMPUTED_VALUE"""),"heat_drive_max,10,260,513,61506,41,3222,,,,86400")</f>
        <v>heat_drive_max,10,260,513,61506,41,3222,,,,86400</v>
      </c>
      <c r="X123" s="18" t="str">
        <f ca="1">IFERROR(__xludf.DUMMYFUNCTION("""COMPUTED_VALUE"""),"haptic_enabled")</f>
        <v>haptic_enabled</v>
      </c>
      <c r="BP123" s="10"/>
      <c r="BR123" s="18" t="str">
        <f ca="1">IFERROR(__xludf.DUMMYFUNCTION("""COMPUTED_VALUE"""),"humidistat_stage_threshold_time")</f>
        <v>humidistat_stage_threshold_time</v>
      </c>
      <c r="BS123" s="18" t="str">
        <f ca="1">IFERROR(__xludf.DUMMYFUNCTION("""COMPUTED_VALUE"""),"0x0201")</f>
        <v>0x0201</v>
      </c>
      <c r="BT123" s="18" t="str">
        <f ca="1">IFERROR(__xludf.DUMMYFUNCTION("""COMPUTED_VALUE"""),"0xF157")</f>
        <v>0xF157</v>
      </c>
      <c r="BU123" s="18" t="str">
        <f ca="1">IFERROR(__xludf.DUMMYFUNCTION("""COMPUTED_VALUE"""),"10")</f>
        <v>10</v>
      </c>
      <c r="BW123" s="10"/>
      <c r="CF123" s="10"/>
      <c r="CH123" s="18" t="str">
        <f ca="1">IFERROR(__xludf.DUMMYFUNCTION("""COMPUTED_VALUE"""),"setpoint_reset_heat_setpoint")</f>
        <v>setpoint_reset_heat_setpoint</v>
      </c>
      <c r="CI123" s="18" t="str">
        <f ca="1">IFERROR(__xludf.DUMMYFUNCTION("""COMPUTED_VALUE"""),"0x0201")</f>
        <v>0x0201</v>
      </c>
      <c r="CJ123" s="18" t="str">
        <f ca="1">IFERROR(__xludf.DUMMYFUNCTION("""COMPUTED_VALUE"""),"0xF174")</f>
        <v>0xF174</v>
      </c>
      <c r="CK123" s="18" t="str">
        <f ca="1">IFERROR(__xludf.DUMMYFUNCTION("""COMPUTED_VALUE"""),"86400")</f>
        <v>86400</v>
      </c>
      <c r="CM123" s="10"/>
      <c r="CP123" s="18" t="str">
        <f ca="1"/>
        <v/>
      </c>
      <c r="CQ123" s="18" t="str">
        <f ca="1"/>
        <v/>
      </c>
      <c r="CR123" s="18" t="str">
        <f ca="1"/>
        <v/>
      </c>
      <c r="CS123" s="18" t="str">
        <f ca="1"/>
        <v/>
      </c>
      <c r="CT123" s="18" t="str">
        <f ca="1"/>
        <v/>
      </c>
      <c r="CV123" s="10"/>
      <c r="CX123" s="18" t="str">
        <f ca="1">IFERROR(__xludf.DUMMYFUNCTION("""COMPUTED_VALUE"""),"relay_5_load_temperature_compensation")</f>
        <v>relay_5_load_temperature_compensation</v>
      </c>
      <c r="CY123" s="18" t="str">
        <f ca="1"/>
        <v>0x0201</v>
      </c>
      <c r="CZ123" s="18" t="str">
        <f ca="1"/>
        <v>0xF185</v>
      </c>
      <c r="DA123" s="18" t="str">
        <f ca="1"/>
        <v>86400</v>
      </c>
      <c r="DC123" s="10"/>
    </row>
    <row r="124" spans="1:107" x14ac:dyDescent="0.25">
      <c r="A124" s="15"/>
      <c r="B124" s="15"/>
      <c r="C124" s="15"/>
      <c r="D124" s="16"/>
      <c r="E124" s="15"/>
      <c r="F124" s="15"/>
      <c r="G124" s="15"/>
      <c r="H124" s="17" t="str">
        <f ca="1">IFERROR(__xludf.DUMMYFUNCTION("""COMPUTED_VALUE"""),"")</f>
        <v/>
      </c>
      <c r="I124" s="15" t="s">
        <v>29</v>
      </c>
      <c r="J124" s="15" t="s">
        <v>29</v>
      </c>
      <c r="K124" s="15" t="s">
        <v>29</v>
      </c>
      <c r="L124" s="15" t="s">
        <v>29</v>
      </c>
      <c r="M124" s="15" t="s">
        <v>29</v>
      </c>
      <c r="N124" s="16"/>
      <c r="P124" s="19"/>
      <c r="Q124" s="18" t="str">
        <f ca="1">IFERROR(__xludf.DUMMYFUNCTION("""COMPUTED_VALUE"""),"")</f>
        <v/>
      </c>
      <c r="R124" s="19"/>
      <c r="S124" s="20" t="str">
        <f ca="1">IFERROR(__xludf.DUMMYFUNCTION("""COMPUTED_VALUE"""),"heat_setpoint_max,10,260,513,22,41,2667,,,,86400")</f>
        <v>heat_setpoint_max,10,260,513,22,41,2667,,,,86400</v>
      </c>
      <c r="X124" s="18" t="str">
        <f ca="1">IFERROR(__xludf.DUMMYFUNCTION("""COMPUTED_VALUE"""),"heat_drive_max")</f>
        <v>heat_drive_max</v>
      </c>
      <c r="BP124" s="10"/>
      <c r="BR124" s="18" t="str">
        <f ca="1">IFERROR(__xludf.DUMMYFUNCTION("""COMPUTED_VALUE"""),"dew_point_target")</f>
        <v>dew_point_target</v>
      </c>
      <c r="BS124" s="18" t="str">
        <f ca="1">IFERROR(__xludf.DUMMYFUNCTION("""COMPUTED_VALUE"""),"0x0201")</f>
        <v>0x0201</v>
      </c>
      <c r="BT124" s="18" t="str">
        <f ca="1">IFERROR(__xludf.DUMMYFUNCTION("""COMPUTED_VALUE"""),"0xF158")</f>
        <v>0xF158</v>
      </c>
      <c r="BU124" s="18" t="str">
        <f ca="1">IFERROR(__xludf.DUMMYFUNCTION("""COMPUTED_VALUE"""),"null")</f>
        <v>null</v>
      </c>
      <c r="BW124" s="10"/>
      <c r="CF124" s="10"/>
      <c r="CH124" s="18" t="str">
        <f ca="1">IFERROR(__xludf.DUMMYFUNCTION("""COMPUTED_VALUE"""),"relay_0_load_temperature_compensation")</f>
        <v>relay_0_load_temperature_compensation</v>
      </c>
      <c r="CI124" s="18" t="str">
        <f ca="1">IFERROR(__xludf.DUMMYFUNCTION("""COMPUTED_VALUE"""),"0x0201")</f>
        <v>0x0201</v>
      </c>
      <c r="CJ124" s="18" t="str">
        <f ca="1">IFERROR(__xludf.DUMMYFUNCTION("""COMPUTED_VALUE"""),"0xF180")</f>
        <v>0xF180</v>
      </c>
      <c r="CK124" s="18" t="str">
        <f ca="1">IFERROR(__xludf.DUMMYFUNCTION("""COMPUTED_VALUE"""),"86400")</f>
        <v>86400</v>
      </c>
      <c r="CM124" s="10"/>
      <c r="CP124" s="18" t="str">
        <f ca="1"/>
        <v/>
      </c>
      <c r="CQ124" s="18" t="str">
        <f ca="1"/>
        <v/>
      </c>
      <c r="CR124" s="18" t="str">
        <f ca="1"/>
        <v/>
      </c>
      <c r="CS124" s="18" t="str">
        <f ca="1"/>
        <v/>
      </c>
      <c r="CT124" s="18" t="str">
        <f ca="1"/>
        <v/>
      </c>
      <c r="CV124" s="10"/>
      <c r="CX124" s="18" t="str">
        <f ca="1">IFERROR(__xludf.DUMMYFUNCTION("""COMPUTED_VALUE"""),"relay_6_load_temperature_compensation")</f>
        <v>relay_6_load_temperature_compensation</v>
      </c>
      <c r="CY124" s="18" t="str">
        <f ca="1"/>
        <v>0x0201</v>
      </c>
      <c r="CZ124" s="18" t="str">
        <f ca="1"/>
        <v>0xF186</v>
      </c>
      <c r="DA124" s="18" t="str">
        <f ca="1"/>
        <v>86400</v>
      </c>
      <c r="DC124" s="10"/>
    </row>
    <row r="125" spans="1:107" x14ac:dyDescent="0.25">
      <c r="A125" s="9" t="s">
        <v>239</v>
      </c>
      <c r="B125" s="16"/>
      <c r="C125" s="16"/>
      <c r="D125" s="16"/>
      <c r="E125" s="16"/>
      <c r="F125" s="16"/>
      <c r="G125" s="16"/>
      <c r="H125" s="17" t="str">
        <f ca="1">IFERROR(__xludf.DUMMYFUNCTION("""COMPUTED_VALUE"""),"")</f>
        <v/>
      </c>
      <c r="I125" s="16" t="s">
        <v>29</v>
      </c>
      <c r="J125" s="16" t="s">
        <v>29</v>
      </c>
      <c r="K125" s="16" t="s">
        <v>29</v>
      </c>
      <c r="L125" s="16" t="s">
        <v>29</v>
      </c>
      <c r="M125" s="16" t="s">
        <v>29</v>
      </c>
      <c r="N125" s="16"/>
      <c r="O125" s="10"/>
      <c r="P125" s="19"/>
      <c r="Q125" s="10" t="str">
        <f ca="1">IFERROR(__xludf.DUMMYFUNCTION("""COMPUTED_VALUE"""),"")</f>
        <v/>
      </c>
      <c r="R125" s="19"/>
      <c r="S125" s="20" t="str">
        <f ca="1">IFERROR(__xludf.DUMMYFUNCTION("""COMPUTED_VALUE"""),"heat_setpoint_min,10,260,513,21,41,1778,,,,86400")</f>
        <v>heat_setpoint_min,10,260,513,21,41,1778,,,,86400</v>
      </c>
      <c r="X125" s="18" t="str">
        <f ca="1">IFERROR(__xludf.DUMMYFUNCTION("""COMPUTED_VALUE"""),"heat_setpoint")</f>
        <v>heat_setpoint</v>
      </c>
      <c r="BP125" s="10"/>
      <c r="BR125" s="18" t="str">
        <f ca="1">IFERROR(__xludf.DUMMYFUNCTION("""COMPUTED_VALUE"""),"user_dew_point_target_min")</f>
        <v>user_dew_point_target_min</v>
      </c>
      <c r="BS125" s="18" t="str">
        <f ca="1">IFERROR(__xludf.DUMMYFUNCTION("""COMPUTED_VALUE"""),"0x0201")</f>
        <v>0x0201</v>
      </c>
      <c r="BT125" s="18" t="str">
        <f ca="1">IFERROR(__xludf.DUMMYFUNCTION("""COMPUTED_VALUE"""),"0xF159")</f>
        <v>0xF159</v>
      </c>
      <c r="BU125" s="18" t="str">
        <f ca="1">IFERROR(__xludf.DUMMYFUNCTION("""COMPUTED_VALUE"""),"4.44")</f>
        <v>4.44</v>
      </c>
      <c r="BW125" s="10"/>
      <c r="CF125" s="10"/>
      <c r="CH125" s="18" t="str">
        <f ca="1">IFERROR(__xludf.DUMMYFUNCTION("""COMPUTED_VALUE"""),"relay_1_load_temperature_compensation")</f>
        <v>relay_1_load_temperature_compensation</v>
      </c>
      <c r="CI125" s="18" t="str">
        <f ca="1">IFERROR(__xludf.DUMMYFUNCTION("""COMPUTED_VALUE"""),"0x0201")</f>
        <v>0x0201</v>
      </c>
      <c r="CJ125" s="18" t="str">
        <f ca="1">IFERROR(__xludf.DUMMYFUNCTION("""COMPUTED_VALUE"""),"0xF181")</f>
        <v>0xF181</v>
      </c>
      <c r="CK125" s="18" t="str">
        <f ca="1">IFERROR(__xludf.DUMMYFUNCTION("""COMPUTED_VALUE"""),"86400")</f>
        <v>86400</v>
      </c>
      <c r="CM125" s="10"/>
      <c r="CP125" s="18" t="str">
        <f ca="1"/>
        <v/>
      </c>
      <c r="CQ125" s="18" t="str">
        <f ca="1"/>
        <v/>
      </c>
      <c r="CR125" s="18" t="str">
        <f ca="1"/>
        <v/>
      </c>
      <c r="CS125" s="18" t="str">
        <f ca="1"/>
        <v/>
      </c>
      <c r="CT125" s="18" t="str">
        <f ca="1"/>
        <v/>
      </c>
      <c r="CV125" s="10"/>
      <c r="CX125" s="18" t="str">
        <f ca="1">IFERROR(__xludf.DUMMYFUNCTION("""COMPUTED_VALUE"""),"relay_7_load_temperature_compensation")</f>
        <v>relay_7_load_temperature_compensation</v>
      </c>
      <c r="CY125" s="18" t="str">
        <f ca="1"/>
        <v>0x0201</v>
      </c>
      <c r="CZ125" s="18" t="str">
        <f ca="1"/>
        <v>0xF187</v>
      </c>
      <c r="DA125" s="18" t="str">
        <f ca="1"/>
        <v>86400</v>
      </c>
      <c r="DC125" s="10"/>
    </row>
    <row r="126" spans="1:107" x14ac:dyDescent="0.25">
      <c r="A126" s="15" t="s">
        <v>240</v>
      </c>
      <c r="B126" s="15" t="b">
        <v>1</v>
      </c>
      <c r="C126" s="15"/>
      <c r="D126" s="16"/>
      <c r="E126" s="15"/>
      <c r="F126" s="15"/>
      <c r="G126" s="15"/>
      <c r="H126" s="17" t="str">
        <f ca="1">IFERROR(__xludf.DUMMYFUNCTION("""COMPUTED_VALUE"""),"x")</f>
        <v>x</v>
      </c>
      <c r="I126" s="15" t="s">
        <v>29</v>
      </c>
      <c r="J126" s="15" t="s">
        <v>29</v>
      </c>
      <c r="K126" s="15" t="s">
        <v>29</v>
      </c>
      <c r="L126" s="15" t="s">
        <v>29</v>
      </c>
      <c r="M126" s="15" t="s">
        <v>29</v>
      </c>
      <c r="N126" s="16"/>
      <c r="O126" s="18" t="s">
        <v>241</v>
      </c>
      <c r="P126" s="19"/>
      <c r="Q126" s="18" t="str">
        <f ca="1">IFERROR(__xludf.DUMMYFUNCTION("""COMPUTED_VALUE"""),"zb -a 0xFC05 0x0016 1")</f>
        <v>zb -a 0xFC05 0x0016 1</v>
      </c>
      <c r="R126" s="19"/>
      <c r="S126" s="20" t="str">
        <f ca="1">IFERROR(__xludf.DUMMYFUNCTION("""COMPUTED_VALUE"""),"heat_setpoint_unocc,10,260,513,20,41,,0,3600,0")</f>
        <v>heat_setpoint_unocc,10,260,513,20,41,,0,3600,0</v>
      </c>
      <c r="X126" s="18" t="str">
        <f ca="1">IFERROR(__xludf.DUMMYFUNCTION("""COMPUTED_VALUE"""),"heat_setpoint_max")</f>
        <v>heat_setpoint_max</v>
      </c>
      <c r="BP126" s="10"/>
      <c r="BR126" s="18" t="str">
        <f ca="1">IFERROR(__xludf.DUMMYFUNCTION("""COMPUTED_VALUE"""),"user_dew_point_target_max")</f>
        <v>user_dew_point_target_max</v>
      </c>
      <c r="BS126" s="18" t="str">
        <f ca="1">IFERROR(__xludf.DUMMYFUNCTION("""COMPUTED_VALUE"""),"0x0201")</f>
        <v>0x0201</v>
      </c>
      <c r="BT126" s="18" t="str">
        <f ca="1">IFERROR(__xludf.DUMMYFUNCTION("""COMPUTED_VALUE"""),"0xF15A")</f>
        <v>0xF15A</v>
      </c>
      <c r="BU126" s="18" t="str">
        <f ca="1">IFERROR(__xludf.DUMMYFUNCTION("""COMPUTED_VALUE"""),"21.11")</f>
        <v>21.11</v>
      </c>
      <c r="BW126" s="10"/>
      <c r="CF126" s="10"/>
      <c r="CH126" s="18" t="str">
        <f ca="1">IFERROR(__xludf.DUMMYFUNCTION("""COMPUTED_VALUE"""),"relay_2_load_temperature_compensation")</f>
        <v>relay_2_load_temperature_compensation</v>
      </c>
      <c r="CI126" s="18" t="str">
        <f ca="1">IFERROR(__xludf.DUMMYFUNCTION("""COMPUTED_VALUE"""),"0x0201")</f>
        <v>0x0201</v>
      </c>
      <c r="CJ126" s="18" t="str">
        <f ca="1">IFERROR(__xludf.DUMMYFUNCTION("""COMPUTED_VALUE"""),"0xF182")</f>
        <v>0xF182</v>
      </c>
      <c r="CK126" s="18" t="str">
        <f ca="1">IFERROR(__xludf.DUMMYFUNCTION("""COMPUTED_VALUE"""),"86400")</f>
        <v>86400</v>
      </c>
      <c r="CM126" s="10"/>
      <c r="CP126" s="18" t="str">
        <f ca="1"/>
        <v/>
      </c>
      <c r="CQ126" s="18" t="str">
        <f ca="1"/>
        <v/>
      </c>
      <c r="CR126" s="18" t="str">
        <f ca="1"/>
        <v/>
      </c>
      <c r="CS126" s="18" t="str">
        <f ca="1"/>
        <v/>
      </c>
      <c r="CT126" s="18" t="str">
        <f ca="1"/>
        <v/>
      </c>
      <c r="CV126" s="10"/>
      <c r="CX126" s="18" t="str">
        <f ca="1">IFERROR(__xludf.DUMMYFUNCTION("""COMPUTED_VALUE"""),"analog_output_setting_0")</f>
        <v>analog_output_setting_0</v>
      </c>
      <c r="CY126" s="18" t="str">
        <f ca="1"/>
        <v>0x0201</v>
      </c>
      <c r="CZ126" s="18" t="str">
        <f ca="1"/>
        <v>0xF1A0</v>
      </c>
      <c r="DA126" s="18" t="str">
        <f ca="1"/>
        <v>86400</v>
      </c>
      <c r="DC126" s="10"/>
    </row>
    <row r="127" spans="1:107" x14ac:dyDescent="0.25">
      <c r="A127" s="15"/>
      <c r="B127" s="15"/>
      <c r="C127" s="15"/>
      <c r="D127" s="16"/>
      <c r="E127" s="15"/>
      <c r="F127" s="15"/>
      <c r="G127" s="15"/>
      <c r="H127" s="17" t="str">
        <f ca="1">IFERROR(__xludf.DUMMYFUNCTION("""COMPUTED_VALUE"""),"")</f>
        <v/>
      </c>
      <c r="I127" s="15" t="s">
        <v>29</v>
      </c>
      <c r="J127" s="15" t="s">
        <v>29</v>
      </c>
      <c r="K127" s="15" t="s">
        <v>29</v>
      </c>
      <c r="L127" s="15" t="s">
        <v>29</v>
      </c>
      <c r="M127" s="15" t="s">
        <v>29</v>
      </c>
      <c r="N127" s="16"/>
      <c r="P127" s="19"/>
      <c r="Q127" s="18" t="str">
        <f ca="1">IFERROR(__xludf.DUMMYFUNCTION("""COMPUTED_VALUE"""),"")</f>
        <v/>
      </c>
      <c r="R127" s="19"/>
      <c r="S127" s="20" t="str">
        <f ca="1">IFERROR(__xludf.DUMMYFUNCTION("""COMPUTED_VALUE"""),"heat_setpoint,10,260,513,18,41,,0,3600,0")</f>
        <v>heat_setpoint,10,260,513,18,41,,0,3600,0</v>
      </c>
      <c r="X127" s="18" t="str">
        <f ca="1">IFERROR(__xludf.DUMMYFUNCTION("""COMPUTED_VALUE"""),"heat_setpoint_min")</f>
        <v>heat_setpoint_min</v>
      </c>
      <c r="BP127" s="10"/>
      <c r="BR127" s="18" t="str">
        <f ca="1">IFERROR(__xludf.DUMMYFUNCTION("""COMPUTED_VALUE"""),"dew_point_target_limit")</f>
        <v>dew_point_target_limit</v>
      </c>
      <c r="BS127" s="18" t="str">
        <f ca="1">IFERROR(__xludf.DUMMYFUNCTION("""COMPUTED_VALUE"""),"0x0201")</f>
        <v>0x0201</v>
      </c>
      <c r="BT127" s="18" t="str">
        <f ca="1">IFERROR(__xludf.DUMMYFUNCTION("""COMPUTED_VALUE"""),"0xF15B")</f>
        <v>0xF15B</v>
      </c>
      <c r="BU127" s="18" t="str">
        <f ca="1">IFERROR(__xludf.DUMMYFUNCTION("""COMPUTED_VALUE"""),"4.44")</f>
        <v>4.44</v>
      </c>
      <c r="BW127" s="10"/>
      <c r="CF127" s="10"/>
      <c r="CH127" s="18" t="str">
        <f ca="1">IFERROR(__xludf.DUMMYFUNCTION("""COMPUTED_VALUE"""),"relay_3_load_temperature_compensation")</f>
        <v>relay_3_load_temperature_compensation</v>
      </c>
      <c r="CI127" s="18" t="str">
        <f ca="1">IFERROR(__xludf.DUMMYFUNCTION("""COMPUTED_VALUE"""),"0x0201")</f>
        <v>0x0201</v>
      </c>
      <c r="CJ127" s="18" t="str">
        <f ca="1">IFERROR(__xludf.DUMMYFUNCTION("""COMPUTED_VALUE"""),"0xF183")</f>
        <v>0xF183</v>
      </c>
      <c r="CK127" s="18" t="str">
        <f ca="1">IFERROR(__xludf.DUMMYFUNCTION("""COMPUTED_VALUE"""),"86400")</f>
        <v>86400</v>
      </c>
      <c r="CM127" s="10"/>
      <c r="CP127" s="18" t="str">
        <f ca="1"/>
        <v/>
      </c>
      <c r="CQ127" s="18" t="str">
        <f ca="1"/>
        <v/>
      </c>
      <c r="CR127" s="18" t="str">
        <f ca="1"/>
        <v/>
      </c>
      <c r="CS127" s="18" t="str">
        <f ca="1"/>
        <v/>
      </c>
      <c r="CT127" s="18" t="str">
        <f ca="1"/>
        <v/>
      </c>
      <c r="CV127" s="10"/>
      <c r="CX127" s="18" t="str">
        <f ca="1">IFERROR(__xludf.DUMMYFUNCTION("""COMPUTED_VALUE"""),"analog_output_setting_1")</f>
        <v>analog_output_setting_1</v>
      </c>
      <c r="CY127" s="18" t="str">
        <f ca="1"/>
        <v>0x0201</v>
      </c>
      <c r="CZ127" s="18" t="str">
        <f ca="1"/>
        <v>0xF1A1</v>
      </c>
      <c r="DA127" s="18" t="str">
        <f ca="1"/>
        <v>86400</v>
      </c>
      <c r="DC127" s="10"/>
    </row>
    <row r="128" spans="1:107" x14ac:dyDescent="0.25">
      <c r="A128" s="31" t="s">
        <v>242</v>
      </c>
      <c r="B128" s="31"/>
      <c r="C128" s="31"/>
      <c r="D128" s="9"/>
      <c r="E128" s="31"/>
      <c r="F128" s="31"/>
      <c r="G128" s="31"/>
      <c r="H128" s="3" t="str">
        <f ca="1">IFERROR(__xludf.DUMMYFUNCTION("""COMPUTED_VALUE"""),"")</f>
        <v/>
      </c>
      <c r="I128" s="31" t="s">
        <v>29</v>
      </c>
      <c r="J128" s="31" t="s">
        <v>29</v>
      </c>
      <c r="K128" s="31" t="s">
        <v>29</v>
      </c>
      <c r="L128" s="31" t="s">
        <v>29</v>
      </c>
      <c r="M128" s="31" t="s">
        <v>29</v>
      </c>
      <c r="N128" s="16"/>
      <c r="O128" s="10"/>
      <c r="P128" s="19"/>
      <c r="Q128" s="10" t="str">
        <f ca="1">IFERROR(__xludf.DUMMYFUNCTION("""COMPUTED_VALUE"""),"")</f>
        <v/>
      </c>
      <c r="R128" s="19"/>
      <c r="S128" s="20" t="str">
        <f ca="1">IFERROR(__xludf.DUMMYFUNCTION("""COMPUTED_VALUE"""),"heating_final_value,10,260,513,61701,41,,0,3600,0")</f>
        <v>heating_final_value,10,260,513,61701,41,,0,3600,0</v>
      </c>
      <c r="X128" s="18" t="str">
        <f ca="1">IFERROR(__xludf.DUMMYFUNCTION("""COMPUTED_VALUE"""),"heat_setpoint_unocc")</f>
        <v>heat_setpoint_unocc</v>
      </c>
      <c r="BP128" s="10"/>
      <c r="BR128" s="18" t="str">
        <f ca="1">IFERROR(__xludf.DUMMYFUNCTION("""COMPUTED_VALUE"""),"unocc_delay_extended_deep_setback")</f>
        <v>unocc_delay_extended_deep_setback</v>
      </c>
      <c r="BS128" s="18" t="str">
        <f ca="1">IFERROR(__xludf.DUMMYFUNCTION("""COMPUTED_VALUE"""),"0x0201")</f>
        <v>0x0201</v>
      </c>
      <c r="BT128" s="18" t="str">
        <f ca="1">IFERROR(__xludf.DUMMYFUNCTION("""COMPUTED_VALUE"""),"0xF160")</f>
        <v>0xF160</v>
      </c>
      <c r="BU128" s="18" t="str">
        <f ca="1">IFERROR(__xludf.DUMMYFUNCTION("""COMPUTED_VALUE"""),"false")</f>
        <v>false</v>
      </c>
      <c r="BW128" s="10"/>
      <c r="CF128" s="10"/>
      <c r="CH128" s="18" t="str">
        <f ca="1">IFERROR(__xludf.DUMMYFUNCTION("""COMPUTED_VALUE"""),"relay_4_load_temperature_compensation")</f>
        <v>relay_4_load_temperature_compensation</v>
      </c>
      <c r="CI128" s="18" t="str">
        <f ca="1">IFERROR(__xludf.DUMMYFUNCTION("""COMPUTED_VALUE"""),"0x0201")</f>
        <v>0x0201</v>
      </c>
      <c r="CJ128" s="18" t="str">
        <f ca="1">IFERROR(__xludf.DUMMYFUNCTION("""COMPUTED_VALUE"""),"0xF184")</f>
        <v>0xF184</v>
      </c>
      <c r="CK128" s="18" t="str">
        <f ca="1">IFERROR(__xludf.DUMMYFUNCTION("""COMPUTED_VALUE"""),"86400")</f>
        <v>86400</v>
      </c>
      <c r="CM128" s="10"/>
      <c r="CP128" s="18" t="str">
        <f ca="1"/>
        <v/>
      </c>
      <c r="CQ128" s="18" t="str">
        <f ca="1"/>
        <v/>
      </c>
      <c r="CR128" s="18" t="str">
        <f ca="1"/>
        <v/>
      </c>
      <c r="CS128" s="18" t="str">
        <f ca="1"/>
        <v/>
      </c>
      <c r="CT128" s="18" t="str">
        <f ca="1"/>
        <v/>
      </c>
      <c r="CV128" s="10"/>
      <c r="CX128" s="18" t="str">
        <f ca="1">IFERROR(__xludf.DUMMYFUNCTION("""COMPUTED_VALUE"""),"analog_output_setting_2")</f>
        <v>analog_output_setting_2</v>
      </c>
      <c r="CY128" s="18" t="str">
        <f ca="1"/>
        <v>0x0201</v>
      </c>
      <c r="CZ128" s="18" t="str">
        <f ca="1"/>
        <v>0xF1A2</v>
      </c>
      <c r="DA128" s="18" t="str">
        <f ca="1"/>
        <v>86400</v>
      </c>
      <c r="DC128" s="10"/>
    </row>
    <row r="129" spans="1:107" x14ac:dyDescent="0.25">
      <c r="A129" s="15" t="s">
        <v>243</v>
      </c>
      <c r="B129" s="15"/>
      <c r="C129" s="15" t="s">
        <v>244</v>
      </c>
      <c r="D129" s="16"/>
      <c r="E129" s="15"/>
      <c r="F129" s="15"/>
      <c r="G129" s="15"/>
      <c r="H129" s="17" t="str">
        <f ca="1">IFERROR(__xludf.DUMMYFUNCTION("""COMPUTED_VALUE"""),"x")</f>
        <v>x</v>
      </c>
      <c r="I129" s="15" t="s">
        <v>29</v>
      </c>
      <c r="J129" s="15" t="s">
        <v>29</v>
      </c>
      <c r="K129" s="15" t="s">
        <v>29</v>
      </c>
      <c r="L129" s="15" t="s">
        <v>29</v>
      </c>
      <c r="M129" s="15" t="s">
        <v>29</v>
      </c>
      <c r="N129" s="16"/>
      <c r="O129" s="18" t="s">
        <v>245</v>
      </c>
      <c r="P129" s="19"/>
      <c r="Q129" s="18" t="str">
        <f ca="1">IFERROR(__xludf.DUMMYFUNCTION("""COMPUTED_VALUE"""),"zb -a 0xFC05 0x000D 32000")</f>
        <v>zb -a 0xFC05 0x000D 32000</v>
      </c>
      <c r="R129" s="19"/>
      <c r="S129" s="20" t="str">
        <f ca="1">IFERROR(__xludf.DUMMYFUNCTION("""COMPUTED_VALUE"""),"heating_tau,10,260,513,61700,33,,0,3600,0")</f>
        <v>heating_tau,10,260,513,61700,33,,0,3600,0</v>
      </c>
      <c r="X129" s="18" t="str">
        <f ca="1">IFERROR(__xludf.DUMMYFUNCTION("""COMPUTED_VALUE"""),"heating_final_value")</f>
        <v>heating_final_value</v>
      </c>
      <c r="BP129" s="10"/>
      <c r="BR129" s="18" t="str">
        <f ca="1">IFERROR(__xludf.DUMMYFUNCTION("""COMPUTED_VALUE"""),"extended_deep_heat_setback")</f>
        <v>extended_deep_heat_setback</v>
      </c>
      <c r="BS129" s="18" t="str">
        <f ca="1">IFERROR(__xludf.DUMMYFUNCTION("""COMPUTED_VALUE"""),"0x0201")</f>
        <v>0x0201</v>
      </c>
      <c r="BT129" s="18" t="str">
        <f ca="1">IFERROR(__xludf.DUMMYFUNCTION("""COMPUTED_VALUE"""),"0xF161")</f>
        <v>0xF161</v>
      </c>
      <c r="BU129" s="18" t="str">
        <f ca="1">IFERROR(__xludf.DUMMYFUNCTION("""COMPUTED_VALUE"""),"16.67")</f>
        <v>16.67</v>
      </c>
      <c r="BW129" s="10"/>
      <c r="CF129" s="10"/>
      <c r="CH129" s="18" t="str">
        <f ca="1">IFERROR(__xludf.DUMMYFUNCTION("""COMPUTED_VALUE"""),"relay_5_load_temperature_compensation")</f>
        <v>relay_5_load_temperature_compensation</v>
      </c>
      <c r="CI129" s="18" t="str">
        <f ca="1">IFERROR(__xludf.DUMMYFUNCTION("""COMPUTED_VALUE"""),"0x0201")</f>
        <v>0x0201</v>
      </c>
      <c r="CJ129" s="18" t="str">
        <f ca="1">IFERROR(__xludf.DUMMYFUNCTION("""COMPUTED_VALUE"""),"0xF185")</f>
        <v>0xF185</v>
      </c>
      <c r="CK129" s="18" t="str">
        <f ca="1">IFERROR(__xludf.DUMMYFUNCTION("""COMPUTED_VALUE"""),"86400")</f>
        <v>86400</v>
      </c>
      <c r="CM129" s="10"/>
      <c r="CP129" s="18" t="str">
        <f ca="1"/>
        <v/>
      </c>
      <c r="CQ129" s="18" t="str">
        <f ca="1"/>
        <v/>
      </c>
      <c r="CR129" s="18" t="str">
        <f ca="1"/>
        <v/>
      </c>
      <c r="CS129" s="18" t="str">
        <f ca="1"/>
        <v/>
      </c>
      <c r="CT129" s="18" t="str">
        <f ca="1"/>
        <v/>
      </c>
      <c r="CV129" s="10"/>
      <c r="CX129" s="18" t="str">
        <f ca="1">IFERROR(__xludf.DUMMYFUNCTION("""COMPUTED_VALUE"""),"analog_output_setting_3")</f>
        <v>analog_output_setting_3</v>
      </c>
      <c r="CY129" s="18" t="str">
        <f ca="1"/>
        <v>0x0201</v>
      </c>
      <c r="CZ129" s="18" t="str">
        <f ca="1"/>
        <v>0xF1A3</v>
      </c>
      <c r="DA129" s="18" t="str">
        <f ca="1"/>
        <v>86400</v>
      </c>
      <c r="DC129" s="10"/>
    </row>
    <row r="130" spans="1:107" x14ac:dyDescent="0.25">
      <c r="A130" s="15" t="s">
        <v>246</v>
      </c>
      <c r="B130" s="15"/>
      <c r="C130" s="15" t="s">
        <v>244</v>
      </c>
      <c r="D130" s="16"/>
      <c r="E130" s="15"/>
      <c r="F130" s="15"/>
      <c r="G130" s="15"/>
      <c r="H130" s="17" t="str">
        <f ca="1">IFERROR(__xludf.DUMMYFUNCTION("""COMPUTED_VALUE"""),"x")</f>
        <v>x</v>
      </c>
      <c r="I130" s="15" t="s">
        <v>29</v>
      </c>
      <c r="J130" s="15" t="s">
        <v>29</v>
      </c>
      <c r="K130" s="15" t="s">
        <v>29</v>
      </c>
      <c r="L130" s="15" t="s">
        <v>29</v>
      </c>
      <c r="M130" s="15" t="s">
        <v>29</v>
      </c>
      <c r="N130" s="16"/>
      <c r="O130" s="18" t="s">
        <v>247</v>
      </c>
      <c r="P130" s="19"/>
      <c r="Q130" s="18" t="str">
        <f ca="1">IFERROR(__xludf.DUMMYFUNCTION("""COMPUTED_VALUE"""),"zb -a 0xFC05 0x000E 400")</f>
        <v>zb -a 0xFC05 0x000E 400</v>
      </c>
      <c r="R130" s="19"/>
      <c r="S130" s="20" t="str">
        <f ca="1">IFERROR(__xludf.DUMMYFUNCTION("""COMPUTED_VALUE"""),"hidden_ap_enabled,10,260,64517,22,16,1,,,,86400")</f>
        <v>hidden_ap_enabled,10,260,64517,22,16,1,,,,86400</v>
      </c>
      <c r="X130" s="18" t="str">
        <f ca="1">IFERROR(__xludf.DUMMYFUNCTION("""COMPUTED_VALUE"""),"heating_tau")</f>
        <v>heating_tau</v>
      </c>
      <c r="BP130" s="10"/>
      <c r="BR130" s="18" t="str">
        <f ca="1">IFERROR(__xludf.DUMMYFUNCTION("""COMPUTED_VALUE"""),"extended_deep_cool_setback")</f>
        <v>extended_deep_cool_setback</v>
      </c>
      <c r="BS130" s="18" t="str">
        <f ca="1">IFERROR(__xludf.DUMMYFUNCTION("""COMPUTED_VALUE"""),"0x0201")</f>
        <v>0x0201</v>
      </c>
      <c r="BT130" s="18" t="str">
        <f ca="1">IFERROR(__xludf.DUMMYFUNCTION("""COMPUTED_VALUE"""),"0xF162")</f>
        <v>0xF162</v>
      </c>
      <c r="BU130" s="18" t="str">
        <f ca="1">IFERROR(__xludf.DUMMYFUNCTION("""COMPUTED_VALUE"""),"29.44")</f>
        <v>29.44</v>
      </c>
      <c r="BW130" s="10"/>
      <c r="CF130" s="10"/>
      <c r="CH130" s="18" t="str">
        <f ca="1">IFERROR(__xludf.DUMMYFUNCTION("""COMPUTED_VALUE"""),"relay_6_load_temperature_compensation")</f>
        <v>relay_6_load_temperature_compensation</v>
      </c>
      <c r="CI130" s="18" t="str">
        <f ca="1">IFERROR(__xludf.DUMMYFUNCTION("""COMPUTED_VALUE"""),"0x0201")</f>
        <v>0x0201</v>
      </c>
      <c r="CJ130" s="18" t="str">
        <f ca="1">IFERROR(__xludf.DUMMYFUNCTION("""COMPUTED_VALUE"""),"0xF186")</f>
        <v>0xF186</v>
      </c>
      <c r="CK130" s="18" t="str">
        <f ca="1">IFERROR(__xludf.DUMMYFUNCTION("""COMPUTED_VALUE"""),"86400")</f>
        <v>86400</v>
      </c>
      <c r="CM130" s="10"/>
      <c r="CP130" s="18" t="str">
        <f ca="1"/>
        <v/>
      </c>
      <c r="CQ130" s="18" t="str">
        <f ca="1"/>
        <v/>
      </c>
      <c r="CR130" s="18" t="str">
        <f ca="1"/>
        <v/>
      </c>
      <c r="CS130" s="18" t="str">
        <f ca="1"/>
        <v/>
      </c>
      <c r="CT130" s="18" t="str">
        <f ca="1"/>
        <v/>
      </c>
      <c r="CV130" s="10"/>
      <c r="CX130" s="18" t="str">
        <f ca="1">IFERROR(__xludf.DUMMYFUNCTION("""COMPUTED_VALUE"""),"analog_output_setting_4")</f>
        <v>analog_output_setting_4</v>
      </c>
      <c r="CY130" s="18" t="str">
        <f ca="1"/>
        <v>0x0201</v>
      </c>
      <c r="CZ130" s="18" t="str">
        <f ca="1"/>
        <v>0xF1A4</v>
      </c>
      <c r="DA130" s="18" t="str">
        <f ca="1"/>
        <v>86400</v>
      </c>
      <c r="DC130" s="10"/>
    </row>
    <row r="131" spans="1:107" x14ac:dyDescent="0.25">
      <c r="A131" s="15" t="s">
        <v>248</v>
      </c>
      <c r="B131" s="15"/>
      <c r="C131" s="15" t="s">
        <v>244</v>
      </c>
      <c r="D131" s="16"/>
      <c r="E131" s="15"/>
      <c r="F131" s="15"/>
      <c r="G131" s="15"/>
      <c r="H131" s="17" t="str">
        <f ca="1">IFERROR(__xludf.DUMMYFUNCTION("""COMPUTED_VALUE"""),"x")</f>
        <v>x</v>
      </c>
      <c r="I131" s="15" t="s">
        <v>29</v>
      </c>
      <c r="J131" s="15" t="s">
        <v>29</v>
      </c>
      <c r="K131" s="15" t="s">
        <v>29</v>
      </c>
      <c r="L131" s="15" t="s">
        <v>29</v>
      </c>
      <c r="M131" s="15" t="s">
        <v>29</v>
      </c>
      <c r="N131" s="16"/>
      <c r="O131" s="18" t="s">
        <v>249</v>
      </c>
      <c r="P131" s="19"/>
      <c r="Q131" s="18" t="str">
        <f ca="1">IFERROR(__xludf.DUMMYFUNCTION("""COMPUTED_VALUE"""),"zb -a 0xFC05 0x000F 4000")</f>
        <v>zb -a 0xFC05 0x000F 4000</v>
      </c>
      <c r="R131" s="19"/>
      <c r="S131" s="20" t="str">
        <f ca="1">IFERROR(__xludf.DUMMYFUNCTION("""COMPUTED_VALUE"""),"humidistat_min_off_time,10,260,513,61780,32,5,,,,86400")</f>
        <v>humidistat_min_off_time,10,260,513,61780,32,5,,,,86400</v>
      </c>
      <c r="X131" s="18" t="str">
        <f ca="1">IFERROR(__xludf.DUMMYFUNCTION("""COMPUTED_VALUE"""),"hidden_ap_enabled")</f>
        <v>hidden_ap_enabled</v>
      </c>
      <c r="BP131" s="10"/>
      <c r="BR131" s="18" t="str">
        <f ca="1">IFERROR(__xludf.DUMMYFUNCTION("""COMPUTED_VALUE"""),"extended_deep_delta_setback")</f>
        <v>extended_deep_delta_setback</v>
      </c>
      <c r="BS131" s="18" t="str">
        <f ca="1">IFERROR(__xludf.DUMMYFUNCTION("""COMPUTED_VALUE"""),"0x0201")</f>
        <v>0x0201</v>
      </c>
      <c r="BT131" s="18" t="str">
        <f ca="1">IFERROR(__xludf.DUMMYFUNCTION("""COMPUTED_VALUE"""),"0xF163")</f>
        <v>0xF163</v>
      </c>
      <c r="BU131" s="18" t="str">
        <f ca="1">IFERROR(__xludf.DUMMYFUNCTION("""COMPUTED_VALUE"""),"5")</f>
        <v>5</v>
      </c>
      <c r="BW131" s="10"/>
      <c r="CF131" s="10"/>
      <c r="CH131" s="18" t="str">
        <f ca="1">IFERROR(__xludf.DUMMYFUNCTION("""COMPUTED_VALUE"""),"relay_7_load_temperature_compensation")</f>
        <v>relay_7_load_temperature_compensation</v>
      </c>
      <c r="CI131" s="18" t="str">
        <f ca="1">IFERROR(__xludf.DUMMYFUNCTION("""COMPUTED_VALUE"""),"0x0201")</f>
        <v>0x0201</v>
      </c>
      <c r="CJ131" s="18" t="str">
        <f ca="1">IFERROR(__xludf.DUMMYFUNCTION("""COMPUTED_VALUE"""),"0xF187")</f>
        <v>0xF187</v>
      </c>
      <c r="CK131" s="18" t="str">
        <f ca="1">IFERROR(__xludf.DUMMYFUNCTION("""COMPUTED_VALUE"""),"86400")</f>
        <v>86400</v>
      </c>
      <c r="CM131" s="10"/>
      <c r="CP131" s="18" t="str">
        <f ca="1"/>
        <v/>
      </c>
      <c r="CQ131" s="18" t="str">
        <f ca="1"/>
        <v/>
      </c>
      <c r="CR131" s="18" t="str">
        <f ca="1"/>
        <v/>
      </c>
      <c r="CS131" s="18" t="str">
        <f ca="1"/>
        <v/>
      </c>
      <c r="CT131" s="18" t="str">
        <f ca="1"/>
        <v/>
      </c>
      <c r="CV131" s="10"/>
      <c r="CX131" s="18" t="str">
        <f ca="1">IFERROR(__xludf.DUMMYFUNCTION("""COMPUTED_VALUE"""),"analog_output_setting_5")</f>
        <v>analog_output_setting_5</v>
      </c>
      <c r="CY131" s="18" t="str">
        <f ca="1"/>
        <v>0x0201</v>
      </c>
      <c r="CZ131" s="18" t="str">
        <f ca="1"/>
        <v>0xF1A5</v>
      </c>
      <c r="DA131" s="18" t="str">
        <f ca="1"/>
        <v>86400</v>
      </c>
      <c r="DC131" s="10"/>
    </row>
    <row r="132" spans="1:107" x14ac:dyDescent="0.25">
      <c r="A132" s="15"/>
      <c r="B132" s="15"/>
      <c r="C132" s="15"/>
      <c r="D132" s="16"/>
      <c r="E132" s="15"/>
      <c r="F132" s="15"/>
      <c r="G132" s="15"/>
      <c r="H132" s="17" t="str">
        <f ca="1">IFERROR(__xludf.DUMMYFUNCTION("""COMPUTED_VALUE"""),"")</f>
        <v/>
      </c>
      <c r="I132" s="15" t="s">
        <v>29</v>
      </c>
      <c r="J132" s="15" t="s">
        <v>29</v>
      </c>
      <c r="K132" s="15" t="s">
        <v>29</v>
      </c>
      <c r="L132" s="15" t="s">
        <v>29</v>
      </c>
      <c r="M132" s="15" t="s">
        <v>29</v>
      </c>
      <c r="N132" s="16"/>
      <c r="P132" s="19"/>
      <c r="Q132" s="18" t="str">
        <f ca="1">IFERROR(__xludf.DUMMYFUNCTION("""COMPUTED_VALUE"""),"")</f>
        <v/>
      </c>
      <c r="R132" s="19"/>
      <c r="S132" s="20" t="str">
        <f ca="1">IFERROR(__xludf.DUMMYFUNCTION("""COMPUTED_VALUE"""),"humidistat_min_on_time,10,260,513,61781,32,5,,,,86400")</f>
        <v>humidistat_min_on_time,10,260,513,61781,32,5,,,,86400</v>
      </c>
      <c r="X132" s="18" t="str">
        <f ca="1">IFERROR(__xludf.DUMMYFUNCTION("""COMPUTED_VALUE"""),"humidistat_min_off_time")</f>
        <v>humidistat_min_off_time</v>
      </c>
      <c r="BP132" s="10"/>
      <c r="BR132" s="18" t="str">
        <f ca="1">IFERROR(__xludf.DUMMYFUNCTION("""COMPUTED_VALUE"""),"extended_deep_setback_min")</f>
        <v>extended_deep_setback_min</v>
      </c>
      <c r="BS132" s="18" t="str">
        <f ca="1">IFERROR(__xludf.DUMMYFUNCTION("""COMPUTED_VALUE"""),"0x0201")</f>
        <v>0x0201</v>
      </c>
      <c r="BT132" s="18" t="str">
        <f ca="1">IFERROR(__xludf.DUMMYFUNCTION("""COMPUTED_VALUE"""),"0xF164")</f>
        <v>0xF164</v>
      </c>
      <c r="BU132" s="18" t="str">
        <f ca="1">IFERROR(__xludf.DUMMYFUNCTION("""COMPUTED_VALUE"""),"16.67")</f>
        <v>16.67</v>
      </c>
      <c r="BW132" s="10"/>
      <c r="CF132" s="10"/>
      <c r="CH132" s="18" t="str">
        <f ca="1">IFERROR(__xludf.DUMMYFUNCTION("""COMPUTED_VALUE"""),"analog_output_setting_0")</f>
        <v>analog_output_setting_0</v>
      </c>
      <c r="CI132" s="18" t="str">
        <f ca="1">IFERROR(__xludf.DUMMYFUNCTION("""COMPUTED_VALUE"""),"0x0201")</f>
        <v>0x0201</v>
      </c>
      <c r="CJ132" s="18" t="str">
        <f ca="1">IFERROR(__xludf.DUMMYFUNCTION("""COMPUTED_VALUE"""),"0xF1A0")</f>
        <v>0xF1A0</v>
      </c>
      <c r="CK132" s="18" t="str">
        <f ca="1">IFERROR(__xludf.DUMMYFUNCTION("""COMPUTED_VALUE"""),"86400")</f>
        <v>86400</v>
      </c>
      <c r="CM132" s="10"/>
      <c r="CP132" s="18" t="str">
        <f ca="1"/>
        <v/>
      </c>
      <c r="CQ132" s="18" t="str">
        <f ca="1"/>
        <v/>
      </c>
      <c r="CR132" s="18" t="str">
        <f ca="1"/>
        <v/>
      </c>
      <c r="CS132" s="18" t="str">
        <f ca="1"/>
        <v/>
      </c>
      <c r="CT132" s="18" t="str">
        <f ca="1"/>
        <v/>
      </c>
      <c r="CV132" s="10"/>
      <c r="CX132" s="18" t="str">
        <f ca="1">IFERROR(__xludf.DUMMYFUNCTION("""COMPUTED_VALUE"""),"analog_output_setting_6")</f>
        <v>analog_output_setting_6</v>
      </c>
      <c r="CY132" s="18" t="str">
        <f ca="1"/>
        <v>0x0201</v>
      </c>
      <c r="CZ132" s="18" t="str">
        <f ca="1"/>
        <v>0xF1A6</v>
      </c>
      <c r="DA132" s="18" t="str">
        <f ca="1"/>
        <v>86400</v>
      </c>
      <c r="DC132" s="10"/>
    </row>
    <row r="133" spans="1:107" x14ac:dyDescent="0.25">
      <c r="A133" s="31" t="s">
        <v>250</v>
      </c>
      <c r="B133" s="31"/>
      <c r="C133" s="31"/>
      <c r="D133" s="9"/>
      <c r="E133" s="31"/>
      <c r="F133" s="31"/>
      <c r="G133" s="31"/>
      <c r="H133" s="3" t="str">
        <f ca="1">IFERROR(__xludf.DUMMYFUNCTION("""COMPUTED_VALUE"""),"")</f>
        <v/>
      </c>
      <c r="I133" s="31" t="s">
        <v>29</v>
      </c>
      <c r="J133" s="31" t="s">
        <v>29</v>
      </c>
      <c r="K133" s="31" t="s">
        <v>29</v>
      </c>
      <c r="L133" s="31" t="s">
        <v>29</v>
      </c>
      <c r="M133" s="31" t="s">
        <v>29</v>
      </c>
      <c r="N133" s="16"/>
      <c r="O133" s="10"/>
      <c r="P133" s="19"/>
      <c r="Q133" s="10" t="str">
        <f ca="1">IFERROR(__xludf.DUMMYFUNCTION("""COMPUTED_VALUE"""),"")</f>
        <v/>
      </c>
      <c r="R133" s="19"/>
      <c r="S133" s="20" t="str">
        <f ca="1">IFERROR(__xludf.DUMMYFUNCTION("""COMPUTED_VALUE"""),"humidistat_stage_threshold_time,10,260,513,61783,32,10,,,,86400")</f>
        <v>humidistat_stage_threshold_time,10,260,513,61783,32,10,,,,86400</v>
      </c>
      <c r="X133" s="18" t="str">
        <f ca="1">IFERROR(__xludf.DUMMYFUNCTION("""COMPUTED_VALUE"""),"humidistat_min_on_time")</f>
        <v>humidistat_min_on_time</v>
      </c>
      <c r="BP133" s="10"/>
      <c r="BR133" s="18" t="str">
        <f ca="1">IFERROR(__xludf.DUMMYFUNCTION("""COMPUTED_VALUE"""),"extended_deep_setback_max")</f>
        <v>extended_deep_setback_max</v>
      </c>
      <c r="BS133" s="18" t="str">
        <f ca="1">IFERROR(__xludf.DUMMYFUNCTION("""COMPUTED_VALUE"""),"0x0201")</f>
        <v>0x0201</v>
      </c>
      <c r="BT133" s="18" t="str">
        <f ca="1">IFERROR(__xludf.DUMMYFUNCTION("""COMPUTED_VALUE"""),"0xF165")</f>
        <v>0xF165</v>
      </c>
      <c r="BU133" s="18" t="str">
        <f ca="1">IFERROR(__xludf.DUMMYFUNCTION("""COMPUTED_VALUE"""),"16.67")</f>
        <v>16.67</v>
      </c>
      <c r="BW133" s="10"/>
      <c r="CF133" s="10"/>
      <c r="CH133" s="18" t="str">
        <f ca="1">IFERROR(__xludf.DUMMYFUNCTION("""COMPUTED_VALUE"""),"analog_output_setting_1")</f>
        <v>analog_output_setting_1</v>
      </c>
      <c r="CI133" s="18" t="str">
        <f ca="1">IFERROR(__xludf.DUMMYFUNCTION("""COMPUTED_VALUE"""),"0x0201")</f>
        <v>0x0201</v>
      </c>
      <c r="CJ133" s="18" t="str">
        <f ca="1">IFERROR(__xludf.DUMMYFUNCTION("""COMPUTED_VALUE"""),"0xF1A1")</f>
        <v>0xF1A1</v>
      </c>
      <c r="CK133" s="18" t="str">
        <f ca="1">IFERROR(__xludf.DUMMYFUNCTION("""COMPUTED_VALUE"""),"86400")</f>
        <v>86400</v>
      </c>
      <c r="CM133" s="10"/>
      <c r="CP133" s="18" t="str">
        <f ca="1"/>
        <v/>
      </c>
      <c r="CQ133" s="18" t="str">
        <f ca="1"/>
        <v/>
      </c>
      <c r="CR133" s="18" t="str">
        <f ca="1"/>
        <v/>
      </c>
      <c r="CS133" s="18" t="str">
        <f ca="1"/>
        <v/>
      </c>
      <c r="CT133" s="18" t="str">
        <f ca="1"/>
        <v/>
      </c>
      <c r="CV133" s="10"/>
      <c r="CX133" s="18" t="str">
        <f ca="1">IFERROR(__xludf.DUMMYFUNCTION("""COMPUTED_VALUE"""),"analog_output_setting_7")</f>
        <v>analog_output_setting_7</v>
      </c>
      <c r="CY133" s="18" t="str">
        <f ca="1"/>
        <v>0x0201</v>
      </c>
      <c r="CZ133" s="18" t="str">
        <f ca="1"/>
        <v>0xF1A7</v>
      </c>
      <c r="DA133" s="18" t="str">
        <f ca="1"/>
        <v>86400</v>
      </c>
      <c r="DC133" s="10"/>
    </row>
    <row r="134" spans="1:107" x14ac:dyDescent="0.25">
      <c r="A134" s="15" t="s">
        <v>251</v>
      </c>
      <c r="B134" s="15" t="b">
        <v>0</v>
      </c>
      <c r="C134" s="15"/>
      <c r="D134" s="16"/>
      <c r="E134" s="15"/>
      <c r="F134" s="15"/>
      <c r="G134" s="15"/>
      <c r="H134" s="17" t="str">
        <f ca="1">IFERROR(__xludf.DUMMYFUNCTION("""COMPUTED_VALUE"""),"x")</f>
        <v>x</v>
      </c>
      <c r="I134" s="15" t="s">
        <v>29</v>
      </c>
      <c r="J134" s="15" t="s">
        <v>29</v>
      </c>
      <c r="K134" s="15" t="s">
        <v>29</v>
      </c>
      <c r="L134" s="15" t="s">
        <v>29</v>
      </c>
      <c r="M134" s="15" t="s">
        <v>29</v>
      </c>
      <c r="N134" s="16"/>
      <c r="O134" s="18" t="s">
        <v>252</v>
      </c>
      <c r="P134" s="19"/>
      <c r="Q134" s="18" t="str">
        <f ca="1">IFERROR(__xludf.DUMMYFUNCTION("""COMPUTED_VALUE"""),"zb -a 0x0201 0xF0B0 0")</f>
        <v>zb -a 0x0201 0xF0B0 0</v>
      </c>
      <c r="R134" s="19"/>
      <c r="S134" s="20" t="str">
        <f ca="1">IFERROR(__xludf.DUMMYFUNCTION("""COMPUTED_VALUE"""),"humidistat_stages,10,260,513,61782,32,1,,,,86400")</f>
        <v>humidistat_stages,10,260,513,61782,32,1,,,,86400</v>
      </c>
      <c r="X134" s="18" t="str">
        <f ca="1">IFERROR(__xludf.DUMMYFUNCTION("""COMPUTED_VALUE"""),"humidistat_stage_threshold_time")</f>
        <v>humidistat_stage_threshold_time</v>
      </c>
      <c r="BP134" s="10"/>
      <c r="BR134" s="18" t="str">
        <f ca="1">IFERROR(__xludf.DUMMYFUNCTION("""COMPUTED_VALUE"""),"setpoint_reset_enable")</f>
        <v>setpoint_reset_enable</v>
      </c>
      <c r="BS134" s="18" t="str">
        <f ca="1">IFERROR(__xludf.DUMMYFUNCTION("""COMPUTED_VALUE"""),"0x0201")</f>
        <v>0x0201</v>
      </c>
      <c r="BT134" s="18" t="str">
        <f ca="1">IFERROR(__xludf.DUMMYFUNCTION("""COMPUTED_VALUE"""),"0xF170")</f>
        <v>0xF170</v>
      </c>
      <c r="BU134" s="18" t="str">
        <f ca="1">IFERROR(__xludf.DUMMYFUNCTION("""COMPUTED_VALUE"""),"false")</f>
        <v>false</v>
      </c>
      <c r="BW134" s="10"/>
      <c r="CF134" s="10"/>
      <c r="CH134" s="18" t="str">
        <f ca="1">IFERROR(__xludf.DUMMYFUNCTION("""COMPUTED_VALUE"""),"analog_output_setting_2")</f>
        <v>analog_output_setting_2</v>
      </c>
      <c r="CI134" s="18" t="str">
        <f ca="1">IFERROR(__xludf.DUMMYFUNCTION("""COMPUTED_VALUE"""),"0x0201")</f>
        <v>0x0201</v>
      </c>
      <c r="CJ134" s="18" t="str">
        <f ca="1">IFERROR(__xludf.DUMMYFUNCTION("""COMPUTED_VALUE"""),"0xF1A2")</f>
        <v>0xF1A2</v>
      </c>
      <c r="CK134" s="18" t="str">
        <f ca="1">IFERROR(__xludf.DUMMYFUNCTION("""COMPUTED_VALUE"""),"86400")</f>
        <v>86400</v>
      </c>
      <c r="CM134" s="10"/>
      <c r="CP134" s="18" t="str">
        <f ca="1"/>
        <v/>
      </c>
      <c r="CQ134" s="18" t="str">
        <f ca="1"/>
        <v/>
      </c>
      <c r="CR134" s="18" t="str">
        <f ca="1"/>
        <v/>
      </c>
      <c r="CS134" s="18" t="str">
        <f ca="1"/>
        <v/>
      </c>
      <c r="CT134" s="18" t="str">
        <f ca="1"/>
        <v/>
      </c>
      <c r="CV134" s="10"/>
      <c r="CX134" s="18" t="str">
        <f ca="1">IFERROR(__xludf.DUMMYFUNCTION("""COMPUTED_VALUE"""),"contact_config_0")</f>
        <v>contact_config_0</v>
      </c>
      <c r="CY134" s="18" t="str">
        <f ca="1"/>
        <v>0x0201</v>
      </c>
      <c r="CZ134" s="18" t="str">
        <f ca="1"/>
        <v>0xF200</v>
      </c>
      <c r="DA134" s="18" t="str">
        <f ca="1"/>
        <v>86400</v>
      </c>
      <c r="DC134" s="10"/>
    </row>
    <row r="135" spans="1:107" x14ac:dyDescent="0.25">
      <c r="A135" s="15" t="s">
        <v>253</v>
      </c>
      <c r="B135" s="15">
        <v>30</v>
      </c>
      <c r="C135" s="15" t="s">
        <v>254</v>
      </c>
      <c r="D135" s="16"/>
      <c r="E135" s="15"/>
      <c r="F135" s="15"/>
      <c r="G135" s="15"/>
      <c r="H135" s="17" t="str">
        <f ca="1">IFERROR(__xludf.DUMMYFUNCTION("""COMPUTED_VALUE"""),"x")</f>
        <v>x</v>
      </c>
      <c r="I135" s="15" t="s">
        <v>29</v>
      </c>
      <c r="J135" s="15" t="s">
        <v>29</v>
      </c>
      <c r="K135" s="15" t="s">
        <v>29</v>
      </c>
      <c r="L135" s="15" t="s">
        <v>29</v>
      </c>
      <c r="M135" s="15" t="s">
        <v>29</v>
      </c>
      <c r="N135" s="16"/>
      <c r="O135" s="18" t="s">
        <v>255</v>
      </c>
      <c r="P135" s="19"/>
      <c r="Q135" s="18" t="str">
        <f ca="1">IFERROR(__xludf.DUMMYFUNCTION("""COMPUTED_VALUE"""),"zb -a 0x0201 0xF0B1 30")</f>
        <v>zb -a 0x0201 0xF0B1 30</v>
      </c>
      <c r="R135" s="19"/>
      <c r="S135" s="20" t="str">
        <f ca="1">IFERROR(__xludf.DUMMYFUNCTION("""COMPUTED_VALUE"""),"humidity_units,10,260,513,61547,48,,,,,86400")</f>
        <v>humidity_units,10,260,513,61547,48,,,,,86400</v>
      </c>
      <c r="X135" s="18" t="str">
        <f ca="1">IFERROR(__xludf.DUMMYFUNCTION("""COMPUTED_VALUE"""),"humidistat_stages")</f>
        <v>humidistat_stages</v>
      </c>
      <c r="BP135" s="10"/>
      <c r="BR135" s="18" t="str">
        <f ca="1">IFERROR(__xludf.DUMMYFUNCTION("""COMPUTED_VALUE"""),"setpoint_reset_timeout")</f>
        <v>setpoint_reset_timeout</v>
      </c>
      <c r="BS135" s="18" t="str">
        <f ca="1">IFERROR(__xludf.DUMMYFUNCTION("""COMPUTED_VALUE"""),"0x0201")</f>
        <v>0x0201</v>
      </c>
      <c r="BT135" s="18" t="str">
        <f ca="1">IFERROR(__xludf.DUMMYFUNCTION("""COMPUTED_VALUE"""),"0xF171")</f>
        <v>0xF171</v>
      </c>
      <c r="BU135" s="18" t="str">
        <f ca="1">IFERROR(__xludf.DUMMYFUNCTION("""COMPUTED_VALUE"""),"false")</f>
        <v>false</v>
      </c>
      <c r="BW135" s="10"/>
      <c r="CF135" s="10"/>
      <c r="CH135" s="18" t="str">
        <f ca="1">IFERROR(__xludf.DUMMYFUNCTION("""COMPUTED_VALUE"""),"analog_output_setting_3")</f>
        <v>analog_output_setting_3</v>
      </c>
      <c r="CI135" s="18" t="str">
        <f ca="1">IFERROR(__xludf.DUMMYFUNCTION("""COMPUTED_VALUE"""),"0x0201")</f>
        <v>0x0201</v>
      </c>
      <c r="CJ135" s="18" t="str">
        <f ca="1">IFERROR(__xludf.DUMMYFUNCTION("""COMPUTED_VALUE"""),"0xF1A3")</f>
        <v>0xF1A3</v>
      </c>
      <c r="CK135" s="18" t="str">
        <f ca="1">IFERROR(__xludf.DUMMYFUNCTION("""COMPUTED_VALUE"""),"86400")</f>
        <v>86400</v>
      </c>
      <c r="CM135" s="10"/>
      <c r="CP135" s="18" t="str">
        <f ca="1"/>
        <v/>
      </c>
      <c r="CQ135" s="18" t="str">
        <f ca="1"/>
        <v/>
      </c>
      <c r="CR135" s="18" t="str">
        <f ca="1"/>
        <v/>
      </c>
      <c r="CS135" s="18" t="str">
        <f ca="1"/>
        <v/>
      </c>
      <c r="CT135" s="18" t="str">
        <f ca="1"/>
        <v/>
      </c>
      <c r="CV135" s="10"/>
      <c r="CX135" s="18" t="str">
        <f ca="1">IFERROR(__xludf.DUMMYFUNCTION("""COMPUTED_VALUE"""),"contact_config_1")</f>
        <v>contact_config_1</v>
      </c>
      <c r="CY135" s="18" t="str">
        <f ca="1"/>
        <v>0x0201</v>
      </c>
      <c r="CZ135" s="18" t="str">
        <f ca="1"/>
        <v>0xF201</v>
      </c>
      <c r="DA135" s="18" t="str">
        <f ca="1"/>
        <v>86400</v>
      </c>
      <c r="DC135" s="10"/>
    </row>
    <row r="136" spans="1:107" x14ac:dyDescent="0.25">
      <c r="A136" s="15" t="s">
        <v>256</v>
      </c>
      <c r="B136" s="15">
        <v>16</v>
      </c>
      <c r="C136" s="15" t="s">
        <v>45</v>
      </c>
      <c r="D136" s="16"/>
      <c r="E136" s="15"/>
      <c r="F136" s="15"/>
      <c r="G136" s="15"/>
      <c r="H136" s="17" t="str">
        <f ca="1">IFERROR(__xludf.DUMMYFUNCTION("""COMPUTED_VALUE"""),"x")</f>
        <v>x</v>
      </c>
      <c r="I136" s="15" t="s">
        <v>29</v>
      </c>
      <c r="J136" s="15" t="s">
        <v>29</v>
      </c>
      <c r="K136" s="15" t="s">
        <v>29</v>
      </c>
      <c r="L136" s="15" t="s">
        <v>29</v>
      </c>
      <c r="M136" s="15" t="s">
        <v>29</v>
      </c>
      <c r="N136" s="16"/>
      <c r="O136" s="18" t="s">
        <v>257</v>
      </c>
      <c r="P136" s="19"/>
      <c r="Q136" s="18" t="str">
        <f ca="1">IFERROR(__xludf.DUMMYFUNCTION("""COMPUTED_VALUE"""),"zb -a 0x0201 0xF0B2 16")</f>
        <v>zb -a 0x0201 0xF0B2 16</v>
      </c>
      <c r="R136" s="19"/>
      <c r="S136" s="20" t="str">
        <f ca="1">IFERROR(__xludf.DUMMYFUNCTION("""COMPUTED_VALUE"""),"humidity,10,260,515,0,32,,0,3600,5")</f>
        <v>humidity,10,260,515,0,32,,0,3600,5</v>
      </c>
      <c r="X136" s="18" t="str">
        <f ca="1">IFERROR(__xludf.DUMMYFUNCTION("""COMPUTED_VALUE"""),"humidity")</f>
        <v>humidity</v>
      </c>
      <c r="BP136" s="10"/>
      <c r="BR136" s="18" t="str">
        <f ca="1">IFERROR(__xludf.DUMMYFUNCTION("""COMPUTED_VALUE"""),"setpoint_reset_hvac_mode")</f>
        <v>setpoint_reset_hvac_mode</v>
      </c>
      <c r="BS136" s="18" t="str">
        <f ca="1">IFERROR(__xludf.DUMMYFUNCTION("""COMPUTED_VALUE"""),"0x0201")</f>
        <v>0x0201</v>
      </c>
      <c r="BT136" s="18" t="str">
        <f ca="1">IFERROR(__xludf.DUMMYFUNCTION("""COMPUTED_VALUE"""),"0xF172")</f>
        <v>0xF172</v>
      </c>
      <c r="BU136" s="18" t="str">
        <f ca="1">IFERROR(__xludf.DUMMYFUNCTION("""COMPUTED_VALUE"""),"""off""")</f>
        <v>"off"</v>
      </c>
      <c r="BW136" s="10"/>
      <c r="CF136" s="10"/>
      <c r="CH136" s="18" t="str">
        <f ca="1">IFERROR(__xludf.DUMMYFUNCTION("""COMPUTED_VALUE"""),"analog_output_setting_4")</f>
        <v>analog_output_setting_4</v>
      </c>
      <c r="CI136" s="18" t="str">
        <f ca="1">IFERROR(__xludf.DUMMYFUNCTION("""COMPUTED_VALUE"""),"0x0201")</f>
        <v>0x0201</v>
      </c>
      <c r="CJ136" s="18" t="str">
        <f ca="1">IFERROR(__xludf.DUMMYFUNCTION("""COMPUTED_VALUE"""),"0xF1A4")</f>
        <v>0xF1A4</v>
      </c>
      <c r="CK136" s="18" t="str">
        <f ca="1">IFERROR(__xludf.DUMMYFUNCTION("""COMPUTED_VALUE"""),"86400")</f>
        <v>86400</v>
      </c>
      <c r="CM136" s="10"/>
      <c r="CP136" s="18" t="str">
        <f ca="1"/>
        <v/>
      </c>
      <c r="CQ136" s="18" t="str">
        <f ca="1"/>
        <v/>
      </c>
      <c r="CR136" s="18" t="str">
        <f ca="1"/>
        <v/>
      </c>
      <c r="CS136" s="18" t="str">
        <f ca="1"/>
        <v/>
      </c>
      <c r="CT136" s="18" t="str">
        <f ca="1"/>
        <v/>
      </c>
      <c r="CV136" s="10"/>
      <c r="CX136" s="18" t="str">
        <f ca="1">IFERROR(__xludf.DUMMYFUNCTION("""COMPUTED_VALUE"""),"contact_config_2")</f>
        <v>contact_config_2</v>
      </c>
      <c r="CY136" s="18" t="str">
        <f ca="1"/>
        <v>0x0201</v>
      </c>
      <c r="CZ136" s="18" t="str">
        <f ca="1"/>
        <v>0xF202</v>
      </c>
      <c r="DA136" s="18" t="str">
        <f ca="1"/>
        <v>86400</v>
      </c>
      <c r="DC136" s="10"/>
    </row>
    <row r="137" spans="1:107" x14ac:dyDescent="0.25">
      <c r="A137" s="15" t="s">
        <v>258</v>
      </c>
      <c r="B137" s="15">
        <v>72</v>
      </c>
      <c r="C137" s="15" t="s">
        <v>197</v>
      </c>
      <c r="D137" s="16"/>
      <c r="E137" s="15"/>
      <c r="F137" s="15"/>
      <c r="G137" s="15"/>
      <c r="H137" s="17" t="str">
        <f ca="1">IFERROR(__xludf.DUMMYFUNCTION("""COMPUTED_VALUE"""),"x")</f>
        <v>x</v>
      </c>
      <c r="I137" s="15" t="s">
        <v>29</v>
      </c>
      <c r="J137" s="15" t="s">
        <v>29</v>
      </c>
      <c r="K137" s="15" t="s">
        <v>29</v>
      </c>
      <c r="L137" s="15" t="s">
        <v>29</v>
      </c>
      <c r="M137" s="15" t="s">
        <v>29</v>
      </c>
      <c r="N137" s="16"/>
      <c r="O137" s="18" t="s">
        <v>259</v>
      </c>
      <c r="P137" s="19"/>
      <c r="Q137" s="18" t="str">
        <f ca="1">IFERROR(__xludf.DUMMYFUNCTION("""COMPUTED_VALUE"""),"zb -a 0x0201 0xF0BC 72")</f>
        <v>zb -a 0x0201 0xF0BC 72</v>
      </c>
      <c r="R137" s="19"/>
      <c r="S137" s="20" t="str">
        <f ca="1">IFERROR(__xludf.DUMMYFUNCTION("""COMPUTED_VALUE"""),"hvac_test_mode_timeout,10,260,513,61515,33,30,,,,86400")</f>
        <v>hvac_test_mode_timeout,10,260,513,61515,33,30,,,,86400</v>
      </c>
      <c r="X137" s="18" t="str">
        <f ca="1">IFERROR(__xludf.DUMMYFUNCTION("""COMPUTED_VALUE"""),"humidity_units")</f>
        <v>humidity_units</v>
      </c>
      <c r="BP137" s="10"/>
      <c r="BR137" s="18" t="str">
        <f ca="1">IFERROR(__xludf.DUMMYFUNCTION("""COMPUTED_VALUE"""),"setpoint_reset_cool_setpoint")</f>
        <v>setpoint_reset_cool_setpoint</v>
      </c>
      <c r="BS137" s="18" t="str">
        <f ca="1">IFERROR(__xludf.DUMMYFUNCTION("""COMPUTED_VALUE"""),"0x0201")</f>
        <v>0x0201</v>
      </c>
      <c r="BT137" s="18" t="str">
        <f ca="1">IFERROR(__xludf.DUMMYFUNCTION("""COMPUTED_VALUE"""),"0xF173")</f>
        <v>0xF173</v>
      </c>
      <c r="BU137" s="18" t="str">
        <f ca="1">IFERROR(__xludf.DUMMYFUNCTION("""COMPUTED_VALUE"""),"26.67")</f>
        <v>26.67</v>
      </c>
      <c r="BW137" s="10"/>
      <c r="CF137" s="10"/>
      <c r="CH137" s="18" t="str">
        <f ca="1">IFERROR(__xludf.DUMMYFUNCTION("""COMPUTED_VALUE"""),"analog_output_setting_5")</f>
        <v>analog_output_setting_5</v>
      </c>
      <c r="CI137" s="18" t="str">
        <f ca="1">IFERROR(__xludf.DUMMYFUNCTION("""COMPUTED_VALUE"""),"0x0201")</f>
        <v>0x0201</v>
      </c>
      <c r="CJ137" s="18" t="str">
        <f ca="1">IFERROR(__xludf.DUMMYFUNCTION("""COMPUTED_VALUE"""),"0xF1A5")</f>
        <v>0xF1A5</v>
      </c>
      <c r="CK137" s="18" t="str">
        <f ca="1">IFERROR(__xludf.DUMMYFUNCTION("""COMPUTED_VALUE"""),"86400")</f>
        <v>86400</v>
      </c>
      <c r="CM137" s="10"/>
      <c r="CP137" s="18" t="str">
        <f ca="1"/>
        <v/>
      </c>
      <c r="CQ137" s="18" t="str">
        <f ca="1"/>
        <v/>
      </c>
      <c r="CR137" s="18" t="str">
        <f ca="1"/>
        <v/>
      </c>
      <c r="CS137" s="18" t="str">
        <f ca="1"/>
        <v/>
      </c>
      <c r="CT137" s="18" t="str">
        <f ca="1"/>
        <v/>
      </c>
      <c r="CV137" s="10"/>
      <c r="CX137" s="18" t="str">
        <f ca="1">IFERROR(__xludf.DUMMYFUNCTION("""COMPUTED_VALUE"""),"contact_config_3")</f>
        <v>contact_config_3</v>
      </c>
      <c r="CY137" s="18" t="str">
        <f ca="1"/>
        <v>0x0201</v>
      </c>
      <c r="CZ137" s="18" t="str">
        <f ca="1"/>
        <v>0xF203</v>
      </c>
      <c r="DA137" s="18" t="str">
        <f ca="1"/>
        <v>86400</v>
      </c>
      <c r="DC137" s="10"/>
    </row>
    <row r="138" spans="1:107" x14ac:dyDescent="0.25">
      <c r="A138" s="15" t="s">
        <v>260</v>
      </c>
      <c r="B138" s="15" t="b">
        <v>0</v>
      </c>
      <c r="C138" s="15"/>
      <c r="D138" s="16"/>
      <c r="E138" s="15"/>
      <c r="F138" s="15"/>
      <c r="G138" s="15"/>
      <c r="H138" s="17" t="str">
        <f ca="1">IFERROR(__xludf.DUMMYFUNCTION("""COMPUTED_VALUE"""),"x")</f>
        <v>x</v>
      </c>
      <c r="I138" s="15" t="s">
        <v>29</v>
      </c>
      <c r="J138" s="15" t="s">
        <v>29</v>
      </c>
      <c r="K138" s="15" t="s">
        <v>29</v>
      </c>
      <c r="L138" s="15" t="s">
        <v>29</v>
      </c>
      <c r="M138" s="15" t="s">
        <v>29</v>
      </c>
      <c r="N138" s="16"/>
      <c r="O138" s="18" t="s">
        <v>261</v>
      </c>
      <c r="P138" s="19"/>
      <c r="Q138" s="18" t="str">
        <f ca="1">IFERROR(__xludf.DUMMYFUNCTION("""COMPUTED_VALUE"""),"zb -a 0x0201 0xF0D0 0")</f>
        <v>zb -a 0x0201 0xF0D0 0</v>
      </c>
      <c r="R138" s="19"/>
      <c r="S138" s="20" t="str">
        <f ca="1">IFERROR(__xludf.DUMMYFUNCTION("""COMPUTED_VALUE"""),"illuminance_measurement,10,260,1024,0,33,,0,3600,75")</f>
        <v>illuminance_measurement,10,260,1024,0,33,,0,3600,75</v>
      </c>
      <c r="X138" s="18" t="str">
        <f ca="1">IFERROR(__xludf.DUMMYFUNCTION("""COMPUTED_VALUE"""),"hvac_test_mode_timeout")</f>
        <v>hvac_test_mode_timeout</v>
      </c>
      <c r="BP138" s="10"/>
      <c r="BR138" s="18" t="str">
        <f ca="1">IFERROR(__xludf.DUMMYFUNCTION("""COMPUTED_VALUE"""),"setpoint_reset_heat_setpoint")</f>
        <v>setpoint_reset_heat_setpoint</v>
      </c>
      <c r="BS138" s="18" t="str">
        <f ca="1">IFERROR(__xludf.DUMMYFUNCTION("""COMPUTED_VALUE"""),"0x0201")</f>
        <v>0x0201</v>
      </c>
      <c r="BT138" s="18" t="str">
        <f ca="1">IFERROR(__xludf.DUMMYFUNCTION("""COMPUTED_VALUE"""),"0xF174")</f>
        <v>0xF174</v>
      </c>
      <c r="BU138" s="18" t="str">
        <f ca="1">IFERROR(__xludf.DUMMYFUNCTION("""COMPUTED_VALUE"""),"15.56")</f>
        <v>15.56</v>
      </c>
      <c r="BW138" s="10"/>
      <c r="CF138" s="10"/>
      <c r="CH138" s="18" t="str">
        <f ca="1">IFERROR(__xludf.DUMMYFUNCTION("""COMPUTED_VALUE"""),"analog_output_setting_6")</f>
        <v>analog_output_setting_6</v>
      </c>
      <c r="CI138" s="18" t="str">
        <f ca="1">IFERROR(__xludf.DUMMYFUNCTION("""COMPUTED_VALUE"""),"0x0201")</f>
        <v>0x0201</v>
      </c>
      <c r="CJ138" s="18" t="str">
        <f ca="1">IFERROR(__xludf.DUMMYFUNCTION("""COMPUTED_VALUE"""),"0xF1A6")</f>
        <v>0xF1A6</v>
      </c>
      <c r="CK138" s="18" t="str">
        <f ca="1">IFERROR(__xludf.DUMMYFUNCTION("""COMPUTED_VALUE"""),"86400")</f>
        <v>86400</v>
      </c>
      <c r="CM138" s="10"/>
      <c r="CP138" s="18" t="str">
        <f ca="1"/>
        <v/>
      </c>
      <c r="CQ138" s="18" t="str">
        <f ca="1"/>
        <v/>
      </c>
      <c r="CR138" s="18" t="str">
        <f ca="1"/>
        <v/>
      </c>
      <c r="CS138" s="18" t="str">
        <f ca="1"/>
        <v/>
      </c>
      <c r="CT138" s="18" t="str">
        <f ca="1"/>
        <v/>
      </c>
      <c r="CV138" s="10"/>
      <c r="CX138" s="18" t="str">
        <f ca="1">IFERROR(__xludf.DUMMYFUNCTION("""COMPUTED_VALUE"""),"contact_config_4")</f>
        <v>contact_config_4</v>
      </c>
      <c r="CY138" s="18" t="str">
        <f ca="1"/>
        <v>0x0201</v>
      </c>
      <c r="CZ138" s="18" t="str">
        <f ca="1"/>
        <v>0xF204</v>
      </c>
      <c r="DA138" s="18" t="str">
        <f ca="1"/>
        <v>86400</v>
      </c>
      <c r="DC138" s="10"/>
    </row>
    <row r="139" spans="1:107" x14ac:dyDescent="0.25">
      <c r="A139" s="15" t="s">
        <v>262</v>
      </c>
      <c r="B139" s="15">
        <v>10</v>
      </c>
      <c r="C139" s="15" t="s">
        <v>254</v>
      </c>
      <c r="D139" s="16"/>
      <c r="E139" s="15"/>
      <c r="F139" s="15"/>
      <c r="G139" s="15"/>
      <c r="H139" s="17" t="str">
        <f ca="1">IFERROR(__xludf.DUMMYFUNCTION("""COMPUTED_VALUE"""),"x")</f>
        <v>x</v>
      </c>
      <c r="I139" s="15" t="s">
        <v>29</v>
      </c>
      <c r="J139" s="15" t="s">
        <v>29</v>
      </c>
      <c r="K139" s="15" t="s">
        <v>29</v>
      </c>
      <c r="L139" s="15" t="s">
        <v>29</v>
      </c>
      <c r="M139" s="15" t="s">
        <v>29</v>
      </c>
      <c r="N139" s="16"/>
      <c r="O139" s="18" t="s">
        <v>263</v>
      </c>
      <c r="P139" s="19"/>
      <c r="Q139" s="18" t="str">
        <f ca="1">IFERROR(__xludf.DUMMYFUNCTION("""COMPUTED_VALUE"""),"zb -a 0x0201 0xF0D1 10")</f>
        <v>zb -a 0x0201 0xF0D1 10</v>
      </c>
      <c r="R139" s="19"/>
      <c r="S139" s="20" t="str">
        <f ca="1">IFERROR(__xludf.DUMMYFUNCTION("""COMPUTED_VALUE"""),"invert_relays,10,260,513,61596,24,0,,,,86400")</f>
        <v>invert_relays,10,260,513,61596,24,0,,,,86400</v>
      </c>
      <c r="X139" s="18" t="str">
        <f ca="1">IFERROR(__xludf.DUMMYFUNCTION("""COMPUTED_VALUE"""),"illuminance_measurement")</f>
        <v>illuminance_measurement</v>
      </c>
      <c r="BP139" s="10"/>
      <c r="BR139" s="18" t="str">
        <f ca="1">IFERROR(__xludf.DUMMYFUNCTION("""COMPUTED_VALUE"""),"relay_0_load_temperature_compensation")</f>
        <v>relay_0_load_temperature_compensation</v>
      </c>
      <c r="BS139" s="18" t="str">
        <f ca="1">IFERROR(__xludf.DUMMYFUNCTION("""COMPUTED_VALUE"""),"0x0201")</f>
        <v>0x0201</v>
      </c>
      <c r="BT139" s="18" t="str">
        <f ca="1">IFERROR(__xludf.DUMMYFUNCTION("""COMPUTED_VALUE"""),"0xF180")</f>
        <v>0xF180</v>
      </c>
      <c r="BU139" s="18" t="str">
        <f ca="1">IFERROR(__xludf.DUMMYFUNCTION("""COMPUTED_VALUE"""),"0")</f>
        <v>0</v>
      </c>
      <c r="BW139" s="10"/>
      <c r="CF139" s="10"/>
      <c r="CH139" s="18" t="str">
        <f ca="1">IFERROR(__xludf.DUMMYFUNCTION("""COMPUTED_VALUE"""),"analog_output_setting_7")</f>
        <v>analog_output_setting_7</v>
      </c>
      <c r="CI139" s="18" t="str">
        <f ca="1">IFERROR(__xludf.DUMMYFUNCTION("""COMPUTED_VALUE"""),"0x0201")</f>
        <v>0x0201</v>
      </c>
      <c r="CJ139" s="18" t="str">
        <f ca="1">IFERROR(__xludf.DUMMYFUNCTION("""COMPUTED_VALUE"""),"0xF1A7")</f>
        <v>0xF1A7</v>
      </c>
      <c r="CK139" s="18" t="str">
        <f ca="1">IFERROR(__xludf.DUMMYFUNCTION("""COMPUTED_VALUE"""),"86400")</f>
        <v>86400</v>
      </c>
      <c r="CM139" s="10"/>
      <c r="CP139" s="18" t="str">
        <f ca="1"/>
        <v/>
      </c>
      <c r="CQ139" s="18" t="str">
        <f ca="1"/>
        <v/>
      </c>
      <c r="CR139" s="18" t="str">
        <f ca="1"/>
        <v/>
      </c>
      <c r="CS139" s="18" t="str">
        <f ca="1"/>
        <v/>
      </c>
      <c r="CT139" s="18" t="str">
        <f ca="1"/>
        <v/>
      </c>
      <c r="CV139" s="10"/>
      <c r="CX139" s="18" t="str">
        <f ca="1">IFERROR(__xludf.DUMMYFUNCTION("""COMPUTED_VALUE"""),"contact_config_5")</f>
        <v>contact_config_5</v>
      </c>
      <c r="CY139" s="18" t="str">
        <f ca="1"/>
        <v>0x0201</v>
      </c>
      <c r="CZ139" s="18" t="str">
        <f ca="1"/>
        <v>0xF205</v>
      </c>
      <c r="DA139" s="18" t="str">
        <f ca="1"/>
        <v>86400</v>
      </c>
      <c r="DC139" s="10"/>
    </row>
    <row r="140" spans="1:107" x14ac:dyDescent="0.25">
      <c r="A140" s="15" t="s">
        <v>264</v>
      </c>
      <c r="B140" s="15">
        <v>900</v>
      </c>
      <c r="C140" s="15" t="s">
        <v>254</v>
      </c>
      <c r="D140" s="16"/>
      <c r="E140" s="15"/>
      <c r="F140" s="15"/>
      <c r="G140" s="15"/>
      <c r="H140" s="17" t="str">
        <f ca="1">IFERROR(__xludf.DUMMYFUNCTION("""COMPUTED_VALUE"""),"x")</f>
        <v>x</v>
      </c>
      <c r="I140" s="15" t="s">
        <v>29</v>
      </c>
      <c r="J140" s="15" t="s">
        <v>29</v>
      </c>
      <c r="K140" s="15" t="s">
        <v>29</v>
      </c>
      <c r="L140" s="15" t="s">
        <v>29</v>
      </c>
      <c r="M140" s="15" t="s">
        <v>29</v>
      </c>
      <c r="N140" s="16"/>
      <c r="O140" s="18" t="s">
        <v>265</v>
      </c>
      <c r="P140" s="19"/>
      <c r="Q140" s="18" t="str">
        <f ca="1">IFERROR(__xludf.DUMMYFUNCTION("""COMPUTED_VALUE"""),"zb -a 0x0201 0xF0D2 900")</f>
        <v>zb -a 0x0201 0xF0D2 900</v>
      </c>
      <c r="R140" s="19"/>
      <c r="S140" s="20" t="str">
        <f ca="1">IFERROR(__xludf.DUMMYFUNCTION("""COMPUTED_VALUE"""),"lanai_activated,10,260,513,61622,16,,0,3600,0")</f>
        <v>lanai_activated,10,260,513,61622,16,,0,3600,0</v>
      </c>
      <c r="X140" s="18" t="str">
        <f ca="1">IFERROR(__xludf.DUMMYFUNCTION("""COMPUTED_VALUE"""),"invert_relays")</f>
        <v>invert_relays</v>
      </c>
      <c r="BP140" s="10"/>
      <c r="BR140" s="18" t="str">
        <f ca="1">IFERROR(__xludf.DUMMYFUNCTION("""COMPUTED_VALUE"""),"relay_1_load_temperature_compensation")</f>
        <v>relay_1_load_temperature_compensation</v>
      </c>
      <c r="BS140" s="18" t="str">
        <f ca="1">IFERROR(__xludf.DUMMYFUNCTION("""COMPUTED_VALUE"""),"0x0201")</f>
        <v>0x0201</v>
      </c>
      <c r="BT140" s="18" t="str">
        <f ca="1">IFERROR(__xludf.DUMMYFUNCTION("""COMPUTED_VALUE"""),"0xF181")</f>
        <v>0xF181</v>
      </c>
      <c r="BU140" s="18" t="str">
        <f ca="1">IFERROR(__xludf.DUMMYFUNCTION("""COMPUTED_VALUE"""),"0")</f>
        <v>0</v>
      </c>
      <c r="BW140" s="10"/>
      <c r="CF140" s="10"/>
      <c r="CH140" s="18" t="str">
        <f ca="1">IFERROR(__xludf.DUMMYFUNCTION("""COMPUTED_VALUE"""),"contact_config_0")</f>
        <v>contact_config_0</v>
      </c>
      <c r="CI140" s="18" t="str">
        <f ca="1">IFERROR(__xludf.DUMMYFUNCTION("""COMPUTED_VALUE"""),"0x0201")</f>
        <v>0x0201</v>
      </c>
      <c r="CJ140" s="18" t="str">
        <f ca="1">IFERROR(__xludf.DUMMYFUNCTION("""COMPUTED_VALUE"""),"0xF200")</f>
        <v>0xF200</v>
      </c>
      <c r="CK140" s="18" t="str">
        <f ca="1">IFERROR(__xludf.DUMMYFUNCTION("""COMPUTED_VALUE"""),"86400")</f>
        <v>86400</v>
      </c>
      <c r="CM140" s="10"/>
      <c r="CP140" s="18" t="str">
        <f ca="1"/>
        <v/>
      </c>
      <c r="CQ140" s="18" t="str">
        <f ca="1"/>
        <v/>
      </c>
      <c r="CR140" s="18" t="str">
        <f ca="1"/>
        <v/>
      </c>
      <c r="CS140" s="18" t="str">
        <f ca="1"/>
        <v/>
      </c>
      <c r="CT140" s="18" t="str">
        <f ca="1"/>
        <v/>
      </c>
      <c r="CV140" s="10"/>
      <c r="CX140" s="18" t="str">
        <f ca="1">IFERROR(__xludf.DUMMYFUNCTION("""COMPUTED_VALUE"""),"contact_config_6")</f>
        <v>contact_config_6</v>
      </c>
      <c r="CY140" s="18" t="str">
        <f ca="1"/>
        <v>0x0201</v>
      </c>
      <c r="CZ140" s="18" t="str">
        <f ca="1"/>
        <v>0xF206</v>
      </c>
      <c r="DA140" s="18" t="str">
        <f ca="1"/>
        <v>86400</v>
      </c>
      <c r="DC140" s="10"/>
    </row>
    <row r="141" spans="1:107" x14ac:dyDescent="0.25">
      <c r="A141" s="15" t="s">
        <v>266</v>
      </c>
      <c r="B141" s="15">
        <v>10</v>
      </c>
      <c r="C141" s="15" t="s">
        <v>197</v>
      </c>
      <c r="D141" s="16"/>
      <c r="E141" s="15"/>
      <c r="F141" s="15"/>
      <c r="G141" s="15"/>
      <c r="H141" s="17" t="str">
        <f ca="1">IFERROR(__xludf.DUMMYFUNCTION("""COMPUTED_VALUE"""),"x")</f>
        <v>x</v>
      </c>
      <c r="I141" s="15" t="s">
        <v>29</v>
      </c>
      <c r="J141" s="15" t="s">
        <v>29</v>
      </c>
      <c r="K141" s="15" t="s">
        <v>29</v>
      </c>
      <c r="L141" s="15" t="s">
        <v>29</v>
      </c>
      <c r="M141" s="15" t="s">
        <v>29</v>
      </c>
      <c r="N141" s="16"/>
      <c r="O141" s="18" t="s">
        <v>267</v>
      </c>
      <c r="P141" s="19"/>
      <c r="Q141" s="18" t="str">
        <f ca="1">IFERROR(__xludf.DUMMYFUNCTION("""COMPUTED_VALUE"""),"zb -a 0x0201 0xF0D3 10")</f>
        <v>zb -a 0x0201 0xF0D3 10</v>
      </c>
      <c r="R141" s="19"/>
      <c r="S141" s="20" t="str">
        <f ca="1">IFERROR(__xludf.DUMMYFUNCTION("""COMPUTED_VALUE"""),"lanai_delay_time,10,260,513,61617,33,30,,,,86400")</f>
        <v>lanai_delay_time,10,260,513,61617,33,30,,,,86400</v>
      </c>
      <c r="X141" s="18" t="str">
        <f ca="1">IFERROR(__xludf.DUMMYFUNCTION("""COMPUTED_VALUE"""),"lanai_activated")</f>
        <v>lanai_activated</v>
      </c>
      <c r="BP141" s="10"/>
      <c r="BR141" s="18" t="str">
        <f ca="1">IFERROR(__xludf.DUMMYFUNCTION("""COMPUTED_VALUE"""),"relay_2_load_temperature_compensation")</f>
        <v>relay_2_load_temperature_compensation</v>
      </c>
      <c r="BS141" s="18" t="str">
        <f ca="1">IFERROR(__xludf.DUMMYFUNCTION("""COMPUTED_VALUE"""),"0x0201")</f>
        <v>0x0201</v>
      </c>
      <c r="BT141" s="18" t="str">
        <f ca="1">IFERROR(__xludf.DUMMYFUNCTION("""COMPUTED_VALUE"""),"0xF182")</f>
        <v>0xF182</v>
      </c>
      <c r="BU141" s="18" t="str">
        <f ca="1">IFERROR(__xludf.DUMMYFUNCTION("""COMPUTED_VALUE"""),"0")</f>
        <v>0</v>
      </c>
      <c r="BW141" s="10"/>
      <c r="CF141" s="10"/>
      <c r="CH141" s="18" t="str">
        <f ca="1">IFERROR(__xludf.DUMMYFUNCTION("""COMPUTED_VALUE"""),"contact_config_1")</f>
        <v>contact_config_1</v>
      </c>
      <c r="CI141" s="18" t="str">
        <f ca="1">IFERROR(__xludf.DUMMYFUNCTION("""COMPUTED_VALUE"""),"0x0201")</f>
        <v>0x0201</v>
      </c>
      <c r="CJ141" s="18" t="str">
        <f ca="1">IFERROR(__xludf.DUMMYFUNCTION("""COMPUTED_VALUE"""),"0xF201")</f>
        <v>0xF201</v>
      </c>
      <c r="CK141" s="18" t="str">
        <f ca="1">IFERROR(__xludf.DUMMYFUNCTION("""COMPUTED_VALUE"""),"86400")</f>
        <v>86400</v>
      </c>
      <c r="CM141" s="10"/>
      <c r="CP141" s="18" t="str">
        <f ca="1"/>
        <v/>
      </c>
      <c r="CQ141" s="18" t="str">
        <f ca="1"/>
        <v/>
      </c>
      <c r="CR141" s="18" t="str">
        <f ca="1"/>
        <v/>
      </c>
      <c r="CS141" s="18" t="str">
        <f ca="1"/>
        <v/>
      </c>
      <c r="CT141" s="18" t="str">
        <f ca="1"/>
        <v/>
      </c>
      <c r="CV141" s="10"/>
      <c r="CX141" s="18" t="str">
        <f ca="1">IFERROR(__xludf.DUMMYFUNCTION("""COMPUTED_VALUE"""),"contact_config_7")</f>
        <v>contact_config_7</v>
      </c>
      <c r="CY141" s="18" t="str">
        <f ca="1"/>
        <v>0x0201</v>
      </c>
      <c r="CZ141" s="18" t="str">
        <f ca="1"/>
        <v>0xF207</v>
      </c>
      <c r="DA141" s="18" t="str">
        <f ca="1"/>
        <v>86400</v>
      </c>
      <c r="DC141" s="10"/>
    </row>
    <row r="142" spans="1:107" x14ac:dyDescent="0.25">
      <c r="A142" s="15" t="s">
        <v>268</v>
      </c>
      <c r="B142" s="15">
        <v>5</v>
      </c>
      <c r="C142" s="15" t="s">
        <v>45</v>
      </c>
      <c r="D142" s="16"/>
      <c r="E142" s="15"/>
      <c r="F142" s="15"/>
      <c r="G142" s="15"/>
      <c r="H142" s="17" t="str">
        <f ca="1">IFERROR(__xludf.DUMMYFUNCTION("""COMPUTED_VALUE"""),"x")</f>
        <v>x</v>
      </c>
      <c r="I142" s="15" t="s">
        <v>29</v>
      </c>
      <c r="J142" s="15" t="s">
        <v>29</v>
      </c>
      <c r="K142" s="15" t="s">
        <v>29</v>
      </c>
      <c r="L142" s="15" t="s">
        <v>29</v>
      </c>
      <c r="M142" s="15" t="s">
        <v>29</v>
      </c>
      <c r="N142" s="16"/>
      <c r="O142" s="18" t="s">
        <v>269</v>
      </c>
      <c r="P142" s="19"/>
      <c r="Q142" s="18" t="str">
        <f ca="1">IFERROR(__xludf.DUMMYFUNCTION("""COMPUTED_VALUE"""),"zb -a 0x0201 0xF108 5")</f>
        <v>zb -a 0x0201 0xF108 5</v>
      </c>
      <c r="R142" s="19"/>
      <c r="S142" s="20" t="str">
        <f ca="1">IFERROR(__xludf.DUMMYFUNCTION("""COMPUTED_VALUE"""),"lanai_enabled,10,260,513,61616,16,0,,,,86400")</f>
        <v>lanai_enabled,10,260,513,61616,16,0,,,,86400</v>
      </c>
      <c r="X142" s="18" t="str">
        <f ca="1">IFERROR(__xludf.DUMMYFUNCTION("""COMPUTED_VALUE"""),"lanai_delay_time")</f>
        <v>lanai_delay_time</v>
      </c>
      <c r="BP142" s="10"/>
      <c r="BR142" s="18" t="str">
        <f ca="1">IFERROR(__xludf.DUMMYFUNCTION("""COMPUTED_VALUE"""),"relay_3_load_temperature_compensation")</f>
        <v>relay_3_load_temperature_compensation</v>
      </c>
      <c r="BS142" s="18" t="str">
        <f ca="1">IFERROR(__xludf.DUMMYFUNCTION("""COMPUTED_VALUE"""),"0x0201")</f>
        <v>0x0201</v>
      </c>
      <c r="BT142" s="18" t="str">
        <f ca="1">IFERROR(__xludf.DUMMYFUNCTION("""COMPUTED_VALUE"""),"0xF183")</f>
        <v>0xF183</v>
      </c>
      <c r="BU142" s="18" t="str">
        <f ca="1">IFERROR(__xludf.DUMMYFUNCTION("""COMPUTED_VALUE"""),"0")</f>
        <v>0</v>
      </c>
      <c r="BW142" s="10"/>
      <c r="CF142" s="10"/>
      <c r="CH142" s="18" t="str">
        <f ca="1">IFERROR(__xludf.DUMMYFUNCTION("""COMPUTED_VALUE"""),"contact_config_2")</f>
        <v>contact_config_2</v>
      </c>
      <c r="CI142" s="18" t="str">
        <f ca="1">IFERROR(__xludf.DUMMYFUNCTION("""COMPUTED_VALUE"""),"0x0201")</f>
        <v>0x0201</v>
      </c>
      <c r="CJ142" s="18" t="str">
        <f ca="1">IFERROR(__xludf.DUMMYFUNCTION("""COMPUTED_VALUE"""),"0xF202")</f>
        <v>0xF202</v>
      </c>
      <c r="CK142" s="18" t="str">
        <f ca="1">IFERROR(__xludf.DUMMYFUNCTION("""COMPUTED_VALUE"""),"86400")</f>
        <v>86400</v>
      </c>
      <c r="CM142" s="10"/>
      <c r="CP142" s="18" t="str">
        <f ca="1"/>
        <v/>
      </c>
      <c r="CQ142" s="18" t="str">
        <f ca="1"/>
        <v/>
      </c>
      <c r="CR142" s="18" t="str">
        <f ca="1"/>
        <v/>
      </c>
      <c r="CS142" s="18" t="str">
        <f ca="1"/>
        <v/>
      </c>
      <c r="CT142" s="18" t="str">
        <f ca="1"/>
        <v/>
      </c>
      <c r="CV142" s="10"/>
      <c r="CX142" s="18" t="str">
        <f ca="1">IFERROR(__xludf.DUMMYFUNCTION("""COMPUTED_VALUE"""),"dehumidification_setpoint")</f>
        <v>dehumidification_setpoint</v>
      </c>
      <c r="CY142" s="18" t="str">
        <f ca="1"/>
        <v>0x0203</v>
      </c>
      <c r="CZ142" s="18" t="str">
        <f ca="1"/>
        <v>0x0010</v>
      </c>
      <c r="DA142" s="18" t="str">
        <f ca="1"/>
        <v>86400</v>
      </c>
      <c r="DC142" s="10"/>
    </row>
    <row r="143" spans="1:107" x14ac:dyDescent="0.25">
      <c r="A143" s="15" t="s">
        <v>270</v>
      </c>
      <c r="B143" s="15"/>
      <c r="C143" s="15"/>
      <c r="D143" s="16"/>
      <c r="E143" s="15"/>
      <c r="F143" s="15"/>
      <c r="G143" s="15"/>
      <c r="H143" s="17" t="str">
        <f ca="1">IFERROR(__xludf.DUMMYFUNCTION("""COMPUTED_VALUE"""),"")</f>
        <v/>
      </c>
      <c r="I143" s="15" t="s">
        <v>29</v>
      </c>
      <c r="J143" s="15" t="s">
        <v>29</v>
      </c>
      <c r="K143" s="15" t="s">
        <v>29</v>
      </c>
      <c r="L143" s="15" t="s">
        <v>29</v>
      </c>
      <c r="M143" s="15" t="s">
        <v>29</v>
      </c>
      <c r="N143" s="16"/>
      <c r="O143" s="18" t="s">
        <v>271</v>
      </c>
      <c r="P143" s="19"/>
      <c r="Q143" s="18" t="str">
        <f ca="1">IFERROR(__xludf.DUMMYFUNCTION("""COMPUTED_VALUE"""),"")</f>
        <v/>
      </c>
      <c r="R143" s="19"/>
      <c r="S143" s="20" t="str">
        <f ca="1">IFERROR(__xludf.DUMMYFUNCTION("""COMPUTED_VALUE"""),"lanai_entry_offline_time,10,260,513,61618,32,16,,,,86400")</f>
        <v>lanai_entry_offline_time,10,260,513,61618,32,16,,,,86400</v>
      </c>
      <c r="X143" s="18" t="str">
        <f ca="1">IFERROR(__xludf.DUMMYFUNCTION("""COMPUTED_VALUE"""),"lanai_enabled")</f>
        <v>lanai_enabled</v>
      </c>
      <c r="BP143" s="10"/>
      <c r="BR143" s="18" t="str">
        <f ca="1">IFERROR(__xludf.DUMMYFUNCTION("""COMPUTED_VALUE"""),"relay_4_load_temperature_compensation")</f>
        <v>relay_4_load_temperature_compensation</v>
      </c>
      <c r="BS143" s="18" t="str">
        <f ca="1">IFERROR(__xludf.DUMMYFUNCTION("""COMPUTED_VALUE"""),"0x0201")</f>
        <v>0x0201</v>
      </c>
      <c r="BT143" s="18" t="str">
        <f ca="1">IFERROR(__xludf.DUMMYFUNCTION("""COMPUTED_VALUE"""),"0xF184")</f>
        <v>0xF184</v>
      </c>
      <c r="BU143" s="18" t="str">
        <f ca="1">IFERROR(__xludf.DUMMYFUNCTION("""COMPUTED_VALUE"""),"0")</f>
        <v>0</v>
      </c>
      <c r="BW143" s="10"/>
      <c r="CF143" s="10"/>
      <c r="CH143" s="18" t="str">
        <f ca="1">IFERROR(__xludf.DUMMYFUNCTION("""COMPUTED_VALUE"""),"contact_config_3")</f>
        <v>contact_config_3</v>
      </c>
      <c r="CI143" s="18" t="str">
        <f ca="1">IFERROR(__xludf.DUMMYFUNCTION("""COMPUTED_VALUE"""),"0x0201")</f>
        <v>0x0201</v>
      </c>
      <c r="CJ143" s="18" t="str">
        <f ca="1">IFERROR(__xludf.DUMMYFUNCTION("""COMPUTED_VALUE"""),"0xF203")</f>
        <v>0xF203</v>
      </c>
      <c r="CK143" s="18" t="str">
        <f ca="1">IFERROR(__xludf.DUMMYFUNCTION("""COMPUTED_VALUE"""),"86400")</f>
        <v>86400</v>
      </c>
      <c r="CM143" s="10"/>
      <c r="CP143" s="18" t="str">
        <f ca="1"/>
        <v/>
      </c>
      <c r="CQ143" s="18" t="str">
        <f ca="1"/>
        <v/>
      </c>
      <c r="CR143" s="18" t="str">
        <f ca="1"/>
        <v/>
      </c>
      <c r="CS143" s="18" t="str">
        <f ca="1"/>
        <v/>
      </c>
      <c r="CT143" s="18" t="str">
        <f ca="1"/>
        <v/>
      </c>
      <c r="CV143" s="10"/>
      <c r="CX143" s="18" t="str">
        <f ca="1">IFERROR(__xludf.DUMMYFUNCTION("""COMPUTED_VALUE"""),"ui_keypad_lockout")</f>
        <v>ui_keypad_lockout</v>
      </c>
      <c r="CY143" s="18" t="str">
        <f ca="1"/>
        <v>0x0204</v>
      </c>
      <c r="CZ143" s="18" t="str">
        <f ca="1"/>
        <v>0x0001</v>
      </c>
      <c r="DA143" s="18" t="str">
        <f ca="1"/>
        <v>86400</v>
      </c>
      <c r="DC143" s="10"/>
    </row>
    <row r="144" spans="1:107" x14ac:dyDescent="0.25">
      <c r="A144" s="15" t="s">
        <v>272</v>
      </c>
      <c r="B144" s="15">
        <v>600</v>
      </c>
      <c r="C144" s="15" t="s">
        <v>254</v>
      </c>
      <c r="D144" s="16"/>
      <c r="E144" s="15"/>
      <c r="F144" s="15"/>
      <c r="G144" s="15"/>
      <c r="H144" s="17" t="str">
        <f ca="1">IFERROR(__xludf.DUMMYFUNCTION("""COMPUTED_VALUE"""),"x")</f>
        <v>x</v>
      </c>
      <c r="I144" s="15" t="s">
        <v>29</v>
      </c>
      <c r="J144" s="15" t="s">
        <v>29</v>
      </c>
      <c r="K144" s="15" t="s">
        <v>29</v>
      </c>
      <c r="L144" s="15" t="s">
        <v>29</v>
      </c>
      <c r="M144" s="15" t="s">
        <v>29</v>
      </c>
      <c r="N144" s="16"/>
      <c r="O144" s="18" t="s">
        <v>273</v>
      </c>
      <c r="P144" s="19"/>
      <c r="Q144" s="18" t="str">
        <f ca="1">IFERROR(__xludf.DUMMYFUNCTION("""COMPUTED_VALUE"""),"zb -a 0x0406 0x0010 600")</f>
        <v>zb -a 0x0406 0x0010 600</v>
      </c>
      <c r="R144" s="19"/>
      <c r="S144" s="20" t="str">
        <f ca="1">IFERROR(__xludf.DUMMYFUNCTION("""COMPUTED_VALUE"""),"lanai_online,10,260,513,61619,24,,0,3600,0")</f>
        <v>lanai_online,10,260,513,61619,24,,0,3600,0</v>
      </c>
      <c r="X144" s="18" t="str">
        <f ca="1">IFERROR(__xludf.DUMMYFUNCTION("""COMPUTED_VALUE"""),"lanai_entry_offline_time")</f>
        <v>lanai_entry_offline_time</v>
      </c>
      <c r="BP144" s="10"/>
      <c r="BR144" s="18" t="str">
        <f ca="1">IFERROR(__xludf.DUMMYFUNCTION("""COMPUTED_VALUE"""),"relay_5_load_temperature_compensation")</f>
        <v>relay_5_load_temperature_compensation</v>
      </c>
      <c r="BS144" s="18" t="str">
        <f ca="1">IFERROR(__xludf.DUMMYFUNCTION("""COMPUTED_VALUE"""),"0x0201")</f>
        <v>0x0201</v>
      </c>
      <c r="BT144" s="18" t="str">
        <f ca="1">IFERROR(__xludf.DUMMYFUNCTION("""COMPUTED_VALUE"""),"0xF185")</f>
        <v>0xF185</v>
      </c>
      <c r="BU144" s="18" t="str">
        <f ca="1">IFERROR(__xludf.DUMMYFUNCTION("""COMPUTED_VALUE"""),"0")</f>
        <v>0</v>
      </c>
      <c r="BW144" s="10"/>
      <c r="CF144" s="10"/>
      <c r="CH144" s="18" t="str">
        <f ca="1">IFERROR(__xludf.DUMMYFUNCTION("""COMPUTED_VALUE"""),"contact_config_4")</f>
        <v>contact_config_4</v>
      </c>
      <c r="CI144" s="18" t="str">
        <f ca="1">IFERROR(__xludf.DUMMYFUNCTION("""COMPUTED_VALUE"""),"0x0201")</f>
        <v>0x0201</v>
      </c>
      <c r="CJ144" s="18" t="str">
        <f ca="1">IFERROR(__xludf.DUMMYFUNCTION("""COMPUTED_VALUE"""),"0xF204")</f>
        <v>0xF204</v>
      </c>
      <c r="CK144" s="18" t="str">
        <f ca="1">IFERROR(__xludf.DUMMYFUNCTION("""COMPUTED_VALUE"""),"86400")</f>
        <v>86400</v>
      </c>
      <c r="CM144" s="10"/>
      <c r="CP144" s="18" t="str">
        <f ca="1"/>
        <v/>
      </c>
      <c r="CQ144" s="18" t="str">
        <f ca="1"/>
        <v/>
      </c>
      <c r="CR144" s="18" t="str">
        <f ca="1"/>
        <v/>
      </c>
      <c r="CS144" s="18" t="str">
        <f ca="1"/>
        <v/>
      </c>
      <c r="CT144" s="18" t="str">
        <f ca="1"/>
        <v/>
      </c>
      <c r="CV144" s="10"/>
      <c r="CX144" s="18" t="str">
        <f ca="1">IFERROR(__xludf.DUMMYFUNCTION("""COMPUTED_VALUE"""),"pir_unocc_delay")</f>
        <v>pir_unocc_delay</v>
      </c>
      <c r="CY144" s="18" t="str">
        <f ca="1"/>
        <v>0x0406</v>
      </c>
      <c r="CZ144" s="18" t="str">
        <f ca="1"/>
        <v>0x0010</v>
      </c>
      <c r="DA144" s="18" t="str">
        <f ca="1"/>
        <v>86400</v>
      </c>
      <c r="DC144" s="10"/>
    </row>
    <row r="145" spans="1:107" x14ac:dyDescent="0.25">
      <c r="A145" s="15" t="s">
        <v>274</v>
      </c>
      <c r="B145" s="15">
        <v>12</v>
      </c>
      <c r="C145" s="15" t="s">
        <v>275</v>
      </c>
      <c r="D145" s="16"/>
      <c r="E145" s="15"/>
      <c r="F145" s="15"/>
      <c r="G145" s="15"/>
      <c r="H145" s="17" t="str">
        <f ca="1">IFERROR(__xludf.DUMMYFUNCTION("""COMPUTED_VALUE"""),"x")</f>
        <v>x</v>
      </c>
      <c r="I145" s="15" t="s">
        <v>29</v>
      </c>
      <c r="J145" s="15" t="s">
        <v>29</v>
      </c>
      <c r="K145" s="15" t="s">
        <v>29</v>
      </c>
      <c r="L145" s="15" t="s">
        <v>29</v>
      </c>
      <c r="M145" s="15" t="s">
        <v>29</v>
      </c>
      <c r="N145" s="16"/>
      <c r="O145" s="18" t="s">
        <v>276</v>
      </c>
      <c r="P145" s="19"/>
      <c r="Q145" s="18" t="str">
        <f ca="1">IFERROR(__xludf.DUMMYFUNCTION("""COMPUTED_VALUE"""),"zb -a 0x0406 0xF001 12")</f>
        <v>zb -a 0x0406 0xF001 12</v>
      </c>
      <c r="R145" s="19"/>
      <c r="S145" s="20" t="str">
        <f ca="1">IFERROR(__xludf.DUMMYFUNCTION("""COMPUTED_VALUE"""),"lanai_open,10,260,513,61620,24,,0,3600,0")</f>
        <v>lanai_open,10,260,513,61620,24,,0,3600,0</v>
      </c>
      <c r="X145" s="18" t="str">
        <f ca="1">IFERROR(__xludf.DUMMYFUNCTION("""COMPUTED_VALUE"""),"lanai_online")</f>
        <v>lanai_online</v>
      </c>
      <c r="BP145" s="10"/>
      <c r="BR145" s="18" t="str">
        <f ca="1">IFERROR(__xludf.DUMMYFUNCTION("""COMPUTED_VALUE"""),"relay_6_load_temperature_compensation")</f>
        <v>relay_6_load_temperature_compensation</v>
      </c>
      <c r="BS145" s="18" t="str">
        <f ca="1">IFERROR(__xludf.DUMMYFUNCTION("""COMPUTED_VALUE"""),"0x0201")</f>
        <v>0x0201</v>
      </c>
      <c r="BT145" s="18" t="str">
        <f ca="1">IFERROR(__xludf.DUMMYFUNCTION("""COMPUTED_VALUE"""),"0xF186")</f>
        <v>0xF186</v>
      </c>
      <c r="BU145" s="18" t="str">
        <f ca="1">IFERROR(__xludf.DUMMYFUNCTION("""COMPUTED_VALUE"""),"0")</f>
        <v>0</v>
      </c>
      <c r="BW145" s="10"/>
      <c r="CF145" s="10"/>
      <c r="CH145" s="18" t="str">
        <f ca="1">IFERROR(__xludf.DUMMYFUNCTION("""COMPUTED_VALUE"""),"contact_config_5")</f>
        <v>contact_config_5</v>
      </c>
      <c r="CI145" s="18" t="str">
        <f ca="1">IFERROR(__xludf.DUMMYFUNCTION("""COMPUTED_VALUE"""),"0x0201")</f>
        <v>0x0201</v>
      </c>
      <c r="CJ145" s="18" t="str">
        <f ca="1">IFERROR(__xludf.DUMMYFUNCTION("""COMPUTED_VALUE"""),"0xF205")</f>
        <v>0xF205</v>
      </c>
      <c r="CK145" s="18" t="str">
        <f ca="1">IFERROR(__xludf.DUMMYFUNCTION("""COMPUTED_VALUE"""),"86400")</f>
        <v>86400</v>
      </c>
      <c r="CM145" s="10"/>
      <c r="CP145" s="18" t="str">
        <f ca="1"/>
        <v/>
      </c>
      <c r="CQ145" s="18" t="str">
        <f ca="1"/>
        <v/>
      </c>
      <c r="CR145" s="18" t="str">
        <f ca="1"/>
        <v/>
      </c>
      <c r="CS145" s="18" t="str">
        <f ca="1"/>
        <v/>
      </c>
      <c r="CT145" s="18" t="str">
        <f ca="1"/>
        <v/>
      </c>
      <c r="CV145" s="10"/>
      <c r="CX145" s="18" t="str">
        <f ca="1">IFERROR(__xludf.DUMMYFUNCTION("""COMPUTED_VALUE"""),"pir_sensor_threshold")</f>
        <v>pir_sensor_threshold</v>
      </c>
      <c r="CY145" s="18" t="str">
        <f ca="1"/>
        <v>0x0406</v>
      </c>
      <c r="CZ145" s="18" t="str">
        <f ca="1"/>
        <v>0xF001</v>
      </c>
      <c r="DA145" s="18" t="str">
        <f ca="1"/>
        <v>86400</v>
      </c>
      <c r="DC145" s="10"/>
    </row>
    <row r="146" spans="1:107" x14ac:dyDescent="0.25">
      <c r="A146" s="15" t="s">
        <v>277</v>
      </c>
      <c r="B146" s="15">
        <v>480</v>
      </c>
      <c r="C146" s="15" t="s">
        <v>45</v>
      </c>
      <c r="D146" s="16"/>
      <c r="E146" s="15"/>
      <c r="F146" s="15"/>
      <c r="G146" s="15"/>
      <c r="H146" s="17" t="str">
        <f ca="1">IFERROR(__xludf.DUMMYFUNCTION("""COMPUTED_VALUE"""),"x")</f>
        <v>x</v>
      </c>
      <c r="I146" s="15" t="s">
        <v>29</v>
      </c>
      <c r="J146" s="15" t="s">
        <v>29</v>
      </c>
      <c r="K146" s="15" t="s">
        <v>29</v>
      </c>
      <c r="L146" s="15" t="s">
        <v>29</v>
      </c>
      <c r="M146" s="15" t="s">
        <v>29</v>
      </c>
      <c r="N146" s="16"/>
      <c r="O146" s="18" t="s">
        <v>278</v>
      </c>
      <c r="P146" s="19"/>
      <c r="Q146" s="18" t="str">
        <f ca="1">IFERROR(__xludf.DUMMYFUNCTION("""COMPUTED_VALUE"""),"zb -a 0x0005 0xF002 480")</f>
        <v>zb -a 0x0005 0xF002 480</v>
      </c>
      <c r="R146" s="19"/>
      <c r="S146" s="20" t="str">
        <f ca="1">IFERROR(__xludf.DUMMYFUNCTION("""COMPUTED_VALUE"""),"last_preset_applied,10,260,64517,46,32,,,,,86400")</f>
        <v>last_preset_applied,10,260,64517,46,32,,,,,86400</v>
      </c>
      <c r="X146" s="18" t="str">
        <f ca="1">IFERROR(__xludf.DUMMYFUNCTION("""COMPUTED_VALUE"""),"lanai_open")</f>
        <v>lanai_open</v>
      </c>
      <c r="BP146" s="10"/>
      <c r="BR146" s="18" t="str">
        <f ca="1">IFERROR(__xludf.DUMMYFUNCTION("""COMPUTED_VALUE"""),"relay_7_load_temperature_compensation")</f>
        <v>relay_7_load_temperature_compensation</v>
      </c>
      <c r="BS146" s="18" t="str">
        <f ca="1">IFERROR(__xludf.DUMMYFUNCTION("""COMPUTED_VALUE"""),"0x0201")</f>
        <v>0x0201</v>
      </c>
      <c r="BT146" s="18" t="str">
        <f ca="1">IFERROR(__xludf.DUMMYFUNCTION("""COMPUTED_VALUE"""),"0xF187")</f>
        <v>0xF187</v>
      </c>
      <c r="BU146" s="18" t="str">
        <f ca="1">IFERROR(__xludf.DUMMYFUNCTION("""COMPUTED_VALUE"""),"0")</f>
        <v>0</v>
      </c>
      <c r="BW146" s="10"/>
      <c r="CF146" s="10"/>
      <c r="CH146" s="18" t="str">
        <f ca="1">IFERROR(__xludf.DUMMYFUNCTION("""COMPUTED_VALUE"""),"contact_config_6")</f>
        <v>contact_config_6</v>
      </c>
      <c r="CI146" s="18" t="str">
        <f ca="1">IFERROR(__xludf.DUMMYFUNCTION("""COMPUTED_VALUE"""),"0x0201")</f>
        <v>0x0201</v>
      </c>
      <c r="CJ146" s="18" t="str">
        <f ca="1">IFERROR(__xludf.DUMMYFUNCTION("""COMPUTED_VALUE"""),"0xF206")</f>
        <v>0xF206</v>
      </c>
      <c r="CK146" s="18" t="str">
        <f ca="1">IFERROR(__xludf.DUMMYFUNCTION("""COMPUTED_VALUE"""),"86400")</f>
        <v>86400</v>
      </c>
      <c r="CM146" s="10"/>
      <c r="CP146" s="18" t="str">
        <f ca="1"/>
        <v/>
      </c>
      <c r="CQ146" s="18" t="str">
        <f ca="1"/>
        <v/>
      </c>
      <c r="CR146" s="18" t="str">
        <f ca="1"/>
        <v/>
      </c>
      <c r="CS146" s="18" t="str">
        <f ca="1"/>
        <v/>
      </c>
      <c r="CT146" s="18" t="str">
        <f ca="1"/>
        <v/>
      </c>
      <c r="CV146" s="10"/>
      <c r="CX146" s="18" t="str">
        <f ca="1">IFERROR(__xludf.DUMMYFUNCTION("""COMPUTED_VALUE"""),"config_menu_password")</f>
        <v>config_menu_password</v>
      </c>
      <c r="CY146" s="18" t="str">
        <f ca="1"/>
        <v>0xFC05</v>
      </c>
      <c r="CZ146" s="18" t="str">
        <f ca="1"/>
        <v>0x0000</v>
      </c>
      <c r="DA146" s="18" t="str">
        <f ca="1"/>
        <v>86400</v>
      </c>
      <c r="DC146" s="10"/>
    </row>
    <row r="147" spans="1:107" x14ac:dyDescent="0.25">
      <c r="A147" s="15" t="s">
        <v>279</v>
      </c>
      <c r="B147" s="15">
        <v>1440</v>
      </c>
      <c r="C147" s="15" t="s">
        <v>45</v>
      </c>
      <c r="D147" s="16"/>
      <c r="E147" s="15"/>
      <c r="F147" s="15"/>
      <c r="G147" s="15"/>
      <c r="H147" s="17" t="str">
        <f ca="1">IFERROR(__xludf.DUMMYFUNCTION("""COMPUTED_VALUE"""),"x")</f>
        <v>x</v>
      </c>
      <c r="I147" s="15" t="s">
        <v>29</v>
      </c>
      <c r="J147" s="15" t="s">
        <v>29</v>
      </c>
      <c r="K147" s="15" t="s">
        <v>29</v>
      </c>
      <c r="L147" s="15" t="s">
        <v>29</v>
      </c>
      <c r="M147" s="15" t="s">
        <v>29</v>
      </c>
      <c r="N147" s="16"/>
      <c r="O147" s="18" t="s">
        <v>280</v>
      </c>
      <c r="P147" s="19"/>
      <c r="Q147" s="18" t="str">
        <f ca="1">IFERROR(__xludf.DUMMYFUNCTION("""COMPUTED_VALUE"""),"zb -a 0x0005 0xF003 1440")</f>
        <v>zb -a 0x0005 0xF003 1440</v>
      </c>
      <c r="R147" s="19"/>
      <c r="S147" s="20" t="str">
        <f ca="1">IFERROR(__xludf.DUMMYFUNCTION("""COMPUTED_VALUE"""),"lcd_revision,10,260,64517,55,32,,,,,86400")</f>
        <v>lcd_revision,10,260,64517,55,32,,,,,86400</v>
      </c>
      <c r="X147" s="18" t="str">
        <f ca="1">IFERROR(__xludf.DUMMYFUNCTION("""COMPUTED_VALUE"""),"last_preset_applied")</f>
        <v>last_preset_applied</v>
      </c>
      <c r="BP147" s="10"/>
      <c r="BR147" s="18" t="str">
        <f ca="1">IFERROR(__xludf.DUMMYFUNCTION("""COMPUTED_VALUE"""),"analog_output_setting_0")</f>
        <v>analog_output_setting_0</v>
      </c>
      <c r="BS147" s="18" t="str">
        <f ca="1">IFERROR(__xludf.DUMMYFUNCTION("""COMPUTED_VALUE"""),"0x0201")</f>
        <v>0x0201</v>
      </c>
      <c r="BT147" s="18" t="str">
        <f ca="1">IFERROR(__xludf.DUMMYFUNCTION("""COMPUTED_VALUE"""),"0xF1A0")</f>
        <v>0xF1A0</v>
      </c>
      <c r="BU147" s="18" t="str">
        <f ca="1">IFERROR(__xludf.DUMMYFUNCTION("""COMPUTED_VALUE"""),"0")</f>
        <v>0</v>
      </c>
      <c r="BW147" s="10"/>
      <c r="CF147" s="10"/>
      <c r="CH147" s="18" t="str">
        <f ca="1">IFERROR(__xludf.DUMMYFUNCTION("""COMPUTED_VALUE"""),"contact_config_7")</f>
        <v>contact_config_7</v>
      </c>
      <c r="CI147" s="18" t="str">
        <f ca="1">IFERROR(__xludf.DUMMYFUNCTION("""COMPUTED_VALUE"""),"0x0201")</f>
        <v>0x0201</v>
      </c>
      <c r="CJ147" s="18" t="str">
        <f ca="1">IFERROR(__xludf.DUMMYFUNCTION("""COMPUTED_VALUE"""),"0xF207")</f>
        <v>0xF207</v>
      </c>
      <c r="CK147" s="18" t="str">
        <f ca="1">IFERROR(__xludf.DUMMYFUNCTION("""COMPUTED_VALUE"""),"86400")</f>
        <v>86400</v>
      </c>
      <c r="CM147" s="10"/>
      <c r="CP147" s="18" t="str">
        <f ca="1"/>
        <v/>
      </c>
      <c r="CQ147" s="18" t="str">
        <f ca="1"/>
        <v/>
      </c>
      <c r="CR147" s="18" t="str">
        <f ca="1"/>
        <v/>
      </c>
      <c r="CS147" s="18" t="str">
        <f ca="1"/>
        <v/>
      </c>
      <c r="CT147" s="18" t="str">
        <f ca="1"/>
        <v/>
      </c>
      <c r="CV147" s="10"/>
      <c r="CX147" s="18" t="str">
        <f ca="1">IFERROR(__xludf.DUMMYFUNCTION("""COMPUTED_VALUE"""),"display_home_detailed")</f>
        <v>display_home_detailed</v>
      </c>
      <c r="CY147" s="18" t="str">
        <f ca="1"/>
        <v>0xFC05</v>
      </c>
      <c r="CZ147" s="18" t="str">
        <f ca="1"/>
        <v>0x0005</v>
      </c>
      <c r="DA147" s="18" t="str">
        <f ca="1"/>
        <v>86400</v>
      </c>
      <c r="DC147" s="10"/>
    </row>
    <row r="148" spans="1:107" x14ac:dyDescent="0.25">
      <c r="A148" s="15"/>
      <c r="B148" s="15"/>
      <c r="C148" s="15"/>
      <c r="D148" s="16"/>
      <c r="E148" s="15"/>
      <c r="F148" s="15"/>
      <c r="G148" s="15"/>
      <c r="H148" s="17" t="str">
        <f ca="1">IFERROR(__xludf.DUMMYFUNCTION("""COMPUTED_VALUE"""),"")</f>
        <v/>
      </c>
      <c r="I148" s="15" t="s">
        <v>29</v>
      </c>
      <c r="J148" s="15" t="s">
        <v>29</v>
      </c>
      <c r="K148" s="15" t="s">
        <v>29</v>
      </c>
      <c r="L148" s="15" t="s">
        <v>29</v>
      </c>
      <c r="M148" s="15" t="s">
        <v>29</v>
      </c>
      <c r="N148" s="16"/>
      <c r="P148" s="19"/>
      <c r="Q148" s="18" t="str">
        <f ca="1">IFERROR(__xludf.DUMMYFUNCTION("""COMPUTED_VALUE"""),"")</f>
        <v/>
      </c>
      <c r="R148" s="19"/>
      <c r="S148" s="20" t="str">
        <f ca="1">IFERROR(__xludf.DUMMYFUNCTION("""COMPUTED_VALUE"""),"leaf_button_function,10,260,64517,49,48,0,,,,86400")</f>
        <v>leaf_button_function,10,260,64517,49,48,0,,,,86400</v>
      </c>
      <c r="X148" s="18" t="str">
        <f ca="1">IFERROR(__xludf.DUMMYFUNCTION("""COMPUTED_VALUE"""),"lcd_revision")</f>
        <v>lcd_revision</v>
      </c>
      <c r="BP148" s="10"/>
      <c r="BR148" s="18" t="str">
        <f ca="1">IFERROR(__xludf.DUMMYFUNCTION("""COMPUTED_VALUE"""),"analog_output_setting_1")</f>
        <v>analog_output_setting_1</v>
      </c>
      <c r="BS148" s="18" t="str">
        <f ca="1">IFERROR(__xludf.DUMMYFUNCTION("""COMPUTED_VALUE"""),"0x0201")</f>
        <v>0x0201</v>
      </c>
      <c r="BT148" s="18" t="str">
        <f ca="1">IFERROR(__xludf.DUMMYFUNCTION("""COMPUTED_VALUE"""),"0xF1A1")</f>
        <v>0xF1A1</v>
      </c>
      <c r="BU148" s="18" t="str">
        <f ca="1">IFERROR(__xludf.DUMMYFUNCTION("""COMPUTED_VALUE"""),"0")</f>
        <v>0</v>
      </c>
      <c r="BW148" s="10"/>
      <c r="CF148" s="10"/>
      <c r="CH148" s="18" t="str">
        <f ca="1">IFERROR(__xludf.DUMMYFUNCTION("""COMPUTED_VALUE"""),"dehumidification_setpoint")</f>
        <v>dehumidification_setpoint</v>
      </c>
      <c r="CI148" s="18" t="str">
        <f ca="1">IFERROR(__xludf.DUMMYFUNCTION("""COMPUTED_VALUE"""),"0x0203")</f>
        <v>0x0203</v>
      </c>
      <c r="CJ148" s="18" t="str">
        <f ca="1">IFERROR(__xludf.DUMMYFUNCTION("""COMPUTED_VALUE"""),"0x0010")</f>
        <v>0x0010</v>
      </c>
      <c r="CK148" s="18" t="str">
        <f ca="1">IFERROR(__xludf.DUMMYFUNCTION("""COMPUTED_VALUE"""),"86400")</f>
        <v>86400</v>
      </c>
      <c r="CM148" s="10"/>
      <c r="CP148" s="18" t="str">
        <f ca="1"/>
        <v/>
      </c>
      <c r="CQ148" s="18" t="str">
        <f ca="1"/>
        <v/>
      </c>
      <c r="CR148" s="18" t="str">
        <f ca="1"/>
        <v/>
      </c>
      <c r="CS148" s="18" t="str">
        <f ca="1"/>
        <v/>
      </c>
      <c r="CT148" s="18" t="str">
        <f ca="1"/>
        <v/>
      </c>
      <c r="CV148" s="10"/>
      <c r="CX148" s="18" t="str">
        <f ca="1">IFERROR(__xludf.DUMMYFUNCTION("""COMPUTED_VALUE"""),"haptic_enabled")</f>
        <v>haptic_enabled</v>
      </c>
      <c r="CY148" s="18" t="str">
        <f ca="1"/>
        <v>0xFC05</v>
      </c>
      <c r="CZ148" s="18" t="str">
        <f ca="1"/>
        <v>0x0009</v>
      </c>
      <c r="DA148" s="18" t="str">
        <f ca="1"/>
        <v>86400</v>
      </c>
      <c r="DC148" s="10"/>
    </row>
    <row r="149" spans="1:107" x14ac:dyDescent="0.25">
      <c r="A149" s="9" t="s">
        <v>281</v>
      </c>
      <c r="B149" s="9"/>
      <c r="C149" s="9"/>
      <c r="D149" s="9"/>
      <c r="E149" s="9"/>
      <c r="F149" s="9"/>
      <c r="G149" s="9"/>
      <c r="H149" s="3" t="str">
        <f ca="1">IFERROR(__xludf.DUMMYFUNCTION("""COMPUTED_VALUE"""),"")</f>
        <v/>
      </c>
      <c r="I149" s="9" t="s">
        <v>29</v>
      </c>
      <c r="J149" s="9" t="s">
        <v>29</v>
      </c>
      <c r="K149" s="9" t="s">
        <v>29</v>
      </c>
      <c r="L149" s="9" t="s">
        <v>29</v>
      </c>
      <c r="M149" s="9" t="s">
        <v>29</v>
      </c>
      <c r="N149" s="16"/>
      <c r="O149" s="10"/>
      <c r="P149" s="19"/>
      <c r="Q149" s="10" t="str">
        <f ca="1">IFERROR(__xludf.DUMMYFUNCTION("""COMPUTED_VALUE"""),"")</f>
        <v/>
      </c>
      <c r="R149" s="19"/>
      <c r="S149" s="20" t="str">
        <f ca="1">IFERROR(__xludf.DUMMYFUNCTION("""COMPUTED_VALUE"""),"light_sensor_dark_threshold,10,260,64517,15,33,4000,,,,86400")</f>
        <v>light_sensor_dark_threshold,10,260,64517,15,33,4000,,,,86400</v>
      </c>
      <c r="X149" s="18" t="str">
        <f ca="1">IFERROR(__xludf.DUMMYFUNCTION("""COMPUTED_VALUE"""),"leaf_button_function")</f>
        <v>leaf_button_function</v>
      </c>
      <c r="BP149" s="10"/>
      <c r="BR149" s="18" t="str">
        <f ca="1">IFERROR(__xludf.DUMMYFUNCTION("""COMPUTED_VALUE"""),"analog_output_setting_2")</f>
        <v>analog_output_setting_2</v>
      </c>
      <c r="BS149" s="18" t="str">
        <f ca="1">IFERROR(__xludf.DUMMYFUNCTION("""COMPUTED_VALUE"""),"0x0201")</f>
        <v>0x0201</v>
      </c>
      <c r="BT149" s="18" t="str">
        <f ca="1">IFERROR(__xludf.DUMMYFUNCTION("""COMPUTED_VALUE"""),"0xF1A2")</f>
        <v>0xF1A2</v>
      </c>
      <c r="BU149" s="18" t="str">
        <f ca="1">IFERROR(__xludf.DUMMYFUNCTION("""COMPUTED_VALUE"""),"0")</f>
        <v>0</v>
      </c>
      <c r="BW149" s="10"/>
      <c r="CF149" s="10"/>
      <c r="CH149" s="18" t="str">
        <f ca="1">IFERROR(__xludf.DUMMYFUNCTION("""COMPUTED_VALUE"""),"ui_keypad_lockout")</f>
        <v>ui_keypad_lockout</v>
      </c>
      <c r="CI149" s="18" t="str">
        <f ca="1">IFERROR(__xludf.DUMMYFUNCTION("""COMPUTED_VALUE"""),"0x0204")</f>
        <v>0x0204</v>
      </c>
      <c r="CJ149" s="18" t="str">
        <f ca="1">IFERROR(__xludf.DUMMYFUNCTION("""COMPUTED_VALUE"""),"0x0001")</f>
        <v>0x0001</v>
      </c>
      <c r="CK149" s="18" t="str">
        <f ca="1">IFERROR(__xludf.DUMMYFUNCTION("""COMPUTED_VALUE"""),"86400")</f>
        <v>86400</v>
      </c>
      <c r="CM149" s="10"/>
      <c r="CP149" s="18" t="str">
        <f ca="1"/>
        <v/>
      </c>
      <c r="CQ149" s="18" t="str">
        <f ca="1"/>
        <v/>
      </c>
      <c r="CR149" s="18" t="str">
        <f ca="1"/>
        <v/>
      </c>
      <c r="CS149" s="18" t="str">
        <f ca="1"/>
        <v/>
      </c>
      <c r="CT149" s="18" t="str">
        <f ca="1"/>
        <v/>
      </c>
      <c r="CV149" s="10"/>
      <c r="CX149" s="18" t="str">
        <f ca="1">IFERROR(__xludf.DUMMYFUNCTION("""COMPUTED_VALUE"""),"display_brightness_high_light")</f>
        <v>display_brightness_high_light</v>
      </c>
      <c r="CY149" s="18" t="str">
        <f ca="1"/>
        <v>0xFC05</v>
      </c>
      <c r="CZ149" s="18" t="str">
        <f ca="1"/>
        <v>0x000D</v>
      </c>
      <c r="DA149" s="18" t="str">
        <f ca="1"/>
        <v>86400</v>
      </c>
      <c r="DC149" s="10"/>
    </row>
    <row r="150" spans="1:107" x14ac:dyDescent="0.25">
      <c r="A150" s="15" t="s">
        <v>282</v>
      </c>
      <c r="B150" s="15"/>
      <c r="C150" s="15"/>
      <c r="D150" s="16"/>
      <c r="E150" s="15"/>
      <c r="F150" s="15"/>
      <c r="G150" s="15"/>
      <c r="H150" s="17" t="str">
        <f ca="1">IFERROR(__xludf.DUMMYFUNCTION("""COMPUTED_VALUE"""),"x")</f>
        <v>x</v>
      </c>
      <c r="I150" s="15" t="s">
        <v>29</v>
      </c>
      <c r="J150" s="15" t="s">
        <v>29</v>
      </c>
      <c r="K150" s="15" t="s">
        <v>29</v>
      </c>
      <c r="L150" s="15" t="s">
        <v>29</v>
      </c>
      <c r="M150" s="15" t="s">
        <v>29</v>
      </c>
      <c r="N150" s="16"/>
      <c r="O150" s="18" t="s">
        <v>283</v>
      </c>
      <c r="P150" s="19"/>
      <c r="Q150" s="18" t="str">
        <f ca="1">IFERROR(__xludf.DUMMYFUNCTION("""COMPUTED_VALUE"""),"zb -a 0x0201 0xF04F 32")</f>
        <v>zb -a 0x0201 0xF04F 32</v>
      </c>
      <c r="R150" s="19"/>
      <c r="S150" s="20" t="str">
        <f ca="1">IFERROR(__xludf.DUMMYFUNCTION("""COMPUTED_VALUE"""),"local_door_occ_lock_delay,10,260,513,61649,33,10,,,,86400")</f>
        <v>local_door_occ_lock_delay,10,260,513,61649,33,10,,,,86400</v>
      </c>
      <c r="X150" s="18" t="str">
        <f ca="1">IFERROR(__xludf.DUMMYFUNCTION("""COMPUTED_VALUE"""),"light_sensor_dark_threshold")</f>
        <v>light_sensor_dark_threshold</v>
      </c>
      <c r="BP150" s="10"/>
      <c r="BR150" s="18" t="str">
        <f ca="1">IFERROR(__xludf.DUMMYFUNCTION("""COMPUTED_VALUE"""),"analog_output_setting_3")</f>
        <v>analog_output_setting_3</v>
      </c>
      <c r="BS150" s="18" t="str">
        <f ca="1">IFERROR(__xludf.DUMMYFUNCTION("""COMPUTED_VALUE"""),"0x0201")</f>
        <v>0x0201</v>
      </c>
      <c r="BT150" s="18" t="str">
        <f ca="1">IFERROR(__xludf.DUMMYFUNCTION("""COMPUTED_VALUE"""),"0xF1A3")</f>
        <v>0xF1A3</v>
      </c>
      <c r="BU150" s="18" t="str">
        <f ca="1">IFERROR(__xludf.DUMMYFUNCTION("""COMPUTED_VALUE"""),"0")</f>
        <v>0</v>
      </c>
      <c r="BW150" s="10"/>
      <c r="CF150" s="10"/>
      <c r="CH150" s="18" t="str">
        <f ca="1">IFERROR(__xludf.DUMMYFUNCTION("""COMPUTED_VALUE"""),"pir_unocc_delay")</f>
        <v>pir_unocc_delay</v>
      </c>
      <c r="CI150" s="18" t="str">
        <f ca="1">IFERROR(__xludf.DUMMYFUNCTION("""COMPUTED_VALUE"""),"0x0406")</f>
        <v>0x0406</v>
      </c>
      <c r="CJ150" s="18" t="str">
        <f ca="1">IFERROR(__xludf.DUMMYFUNCTION("""COMPUTED_VALUE"""),"0x0010")</f>
        <v>0x0010</v>
      </c>
      <c r="CK150" s="18" t="str">
        <f ca="1">IFERROR(__xludf.DUMMYFUNCTION("""COMPUTED_VALUE"""),"86400")</f>
        <v>86400</v>
      </c>
      <c r="CM150" s="10"/>
      <c r="CP150" s="18" t="str">
        <f ca="1"/>
        <v/>
      </c>
      <c r="CQ150" s="18" t="str">
        <f ca="1"/>
        <v/>
      </c>
      <c r="CR150" s="18" t="str">
        <f ca="1"/>
        <v/>
      </c>
      <c r="CS150" s="18" t="str">
        <f ca="1"/>
        <v/>
      </c>
      <c r="CT150" s="18" t="str">
        <f ca="1"/>
        <v/>
      </c>
      <c r="CV150" s="10"/>
      <c r="CX150" s="18" t="str">
        <f ca="1">IFERROR(__xludf.DUMMYFUNCTION("""COMPUTED_VALUE"""),"display_brightness_low_light")</f>
        <v>display_brightness_low_light</v>
      </c>
      <c r="CY150" s="18" t="str">
        <f ca="1"/>
        <v>0xFC05</v>
      </c>
      <c r="CZ150" s="18" t="str">
        <f ca="1"/>
        <v>0x000E</v>
      </c>
      <c r="DA150" s="18" t="str">
        <f ca="1"/>
        <v>86400</v>
      </c>
      <c r="DC150" s="10"/>
    </row>
    <row r="151" spans="1:107" x14ac:dyDescent="0.25">
      <c r="A151" s="15" t="s">
        <v>284</v>
      </c>
      <c r="B151" s="15"/>
      <c r="C151" s="15"/>
      <c r="D151" s="16"/>
      <c r="E151" s="15"/>
      <c r="F151" s="15"/>
      <c r="G151" s="15"/>
      <c r="H151" s="17" t="str">
        <f ca="1">IFERROR(__xludf.DUMMYFUNCTION("""COMPUTED_VALUE"""),"x")</f>
        <v>x</v>
      </c>
      <c r="I151" s="15" t="s">
        <v>29</v>
      </c>
      <c r="J151" s="15" t="s">
        <v>29</v>
      </c>
      <c r="K151" s="15" t="s">
        <v>29</v>
      </c>
      <c r="L151" s="15" t="s">
        <v>29</v>
      </c>
      <c r="M151" s="15" t="s">
        <v>29</v>
      </c>
      <c r="N151" s="16"/>
      <c r="O151" s="18" t="s">
        <v>285</v>
      </c>
      <c r="P151" s="19"/>
      <c r="Q151" s="18" t="str">
        <f ca="1">IFERROR(__xludf.DUMMYFUNCTION("""COMPUTED_VALUE"""),"zb -a 0x0201 0xF050 0")</f>
        <v>zb -a 0x0201 0xF050 0</v>
      </c>
      <c r="R151" s="19"/>
      <c r="S151" s="20" t="str">
        <f ca="1">IFERROR(__xludf.DUMMYFUNCTION("""COMPUTED_VALUE"""),"local_secondary_temp_sensors,10,260,513,61520,24,0,,,,86400")</f>
        <v>local_secondary_temp_sensors,10,260,513,61520,24,0,,,,86400</v>
      </c>
      <c r="X151" s="18" t="str">
        <f ca="1">IFERROR(__xludf.DUMMYFUNCTION("""COMPUTED_VALUE"""),"local_door_occ_lock_delay")</f>
        <v>local_door_occ_lock_delay</v>
      </c>
      <c r="BP151" s="10"/>
      <c r="BR151" s="18" t="str">
        <f ca="1">IFERROR(__xludf.DUMMYFUNCTION("""COMPUTED_VALUE"""),"analog_output_setting_4")</f>
        <v>analog_output_setting_4</v>
      </c>
      <c r="BS151" s="18" t="str">
        <f ca="1">IFERROR(__xludf.DUMMYFUNCTION("""COMPUTED_VALUE"""),"0x0201")</f>
        <v>0x0201</v>
      </c>
      <c r="BT151" s="18" t="str">
        <f ca="1">IFERROR(__xludf.DUMMYFUNCTION("""COMPUTED_VALUE"""),"0xF1A4")</f>
        <v>0xF1A4</v>
      </c>
      <c r="BU151" s="18" t="str">
        <f ca="1">IFERROR(__xludf.DUMMYFUNCTION("""COMPUTED_VALUE"""),"0")</f>
        <v>0</v>
      </c>
      <c r="BW151" s="10"/>
      <c r="CF151" s="10"/>
      <c r="CH151" s="18" t="str">
        <f ca="1">IFERROR(__xludf.DUMMYFUNCTION("""COMPUTED_VALUE"""),"pir_sensor_threshold")</f>
        <v>pir_sensor_threshold</v>
      </c>
      <c r="CI151" s="18" t="str">
        <f ca="1">IFERROR(__xludf.DUMMYFUNCTION("""COMPUTED_VALUE"""),"0x0406")</f>
        <v>0x0406</v>
      </c>
      <c r="CJ151" s="18" t="str">
        <f ca="1">IFERROR(__xludf.DUMMYFUNCTION("""COMPUTED_VALUE"""),"0xF001")</f>
        <v>0xF001</v>
      </c>
      <c r="CK151" s="18" t="str">
        <f ca="1">IFERROR(__xludf.DUMMYFUNCTION("""COMPUTED_VALUE"""),"86400")</f>
        <v>86400</v>
      </c>
      <c r="CM151" s="10"/>
      <c r="CP151" s="18" t="str">
        <f ca="1"/>
        <v/>
      </c>
      <c r="CQ151" s="18" t="str">
        <f ca="1"/>
        <v/>
      </c>
      <c r="CR151" s="18" t="str">
        <f ca="1"/>
        <v/>
      </c>
      <c r="CS151" s="18" t="str">
        <f ca="1"/>
        <v/>
      </c>
      <c r="CT151" s="18" t="str">
        <f ca="1"/>
        <v/>
      </c>
      <c r="CV151" s="10"/>
      <c r="CX151" s="18" t="str">
        <f ca="1">IFERROR(__xludf.DUMMYFUNCTION("""COMPUTED_VALUE"""),"light_sensor_dark_threshold")</f>
        <v>light_sensor_dark_threshold</v>
      </c>
      <c r="CY151" s="18" t="str">
        <f ca="1"/>
        <v>0xFC05</v>
      </c>
      <c r="CZ151" s="18" t="str">
        <f ca="1"/>
        <v>0x000F</v>
      </c>
      <c r="DA151" s="18" t="str">
        <f ca="1"/>
        <v>86400</v>
      </c>
      <c r="DC151" s="10"/>
    </row>
    <row r="152" spans="1:107" x14ac:dyDescent="0.25">
      <c r="A152" s="15" t="s">
        <v>286</v>
      </c>
      <c r="B152" s="15"/>
      <c r="C152" s="15"/>
      <c r="D152" s="16"/>
      <c r="E152" s="15"/>
      <c r="F152" s="15"/>
      <c r="G152" s="15"/>
      <c r="H152" s="17" t="str">
        <f ca="1">IFERROR(__xludf.DUMMYFUNCTION("""COMPUTED_VALUE"""),"x")</f>
        <v>x</v>
      </c>
      <c r="I152" s="15" t="s">
        <v>29</v>
      </c>
      <c r="J152" s="15" t="s">
        <v>29</v>
      </c>
      <c r="K152" s="15" t="s">
        <v>29</v>
      </c>
      <c r="L152" s="15" t="s">
        <v>29</v>
      </c>
      <c r="M152" s="15" t="s">
        <v>29</v>
      </c>
      <c r="N152" s="16"/>
      <c r="O152" s="18" t="s">
        <v>287</v>
      </c>
      <c r="P152" s="19"/>
      <c r="Q152" s="18" t="str">
        <f ca="1">IFERROR(__xludf.DUMMYFUNCTION("""COMPUTED_VALUE"""),"zb -a 0x0201 0xF051 0")</f>
        <v>zb -a 0x0201 0xF051 0</v>
      </c>
      <c r="R152" s="19"/>
      <c r="S152" s="20" t="str">
        <f ca="1">IFERROR(__xludf.DUMMYFUNCTION("""COMPUTED_VALUE"""),"local_sensor_occupied,10,260,1030,0,24,,0,3600,0")</f>
        <v>local_sensor_occupied,10,260,1030,0,24,,0,3600,0</v>
      </c>
      <c r="X152" s="18" t="str">
        <f ca="1">IFERROR(__xludf.DUMMYFUNCTION("""COMPUTED_VALUE"""),"local_secondary_temp_sensors")</f>
        <v>local_secondary_temp_sensors</v>
      </c>
      <c r="BP152" s="10"/>
      <c r="BR152" s="18" t="str">
        <f ca="1">IFERROR(__xludf.DUMMYFUNCTION("""COMPUTED_VALUE"""),"analog_output_setting_5")</f>
        <v>analog_output_setting_5</v>
      </c>
      <c r="BS152" s="18" t="str">
        <f ca="1">IFERROR(__xludf.DUMMYFUNCTION("""COMPUTED_VALUE"""),"0x0201")</f>
        <v>0x0201</v>
      </c>
      <c r="BT152" s="18" t="str">
        <f ca="1">IFERROR(__xludf.DUMMYFUNCTION("""COMPUTED_VALUE"""),"0xF1A5")</f>
        <v>0xF1A5</v>
      </c>
      <c r="BU152" s="18" t="str">
        <f ca="1">IFERROR(__xludf.DUMMYFUNCTION("""COMPUTED_VALUE"""),"0")</f>
        <v>0</v>
      </c>
      <c r="BW152" s="10"/>
      <c r="CF152" s="10"/>
      <c r="CH152" s="18" t="str">
        <f ca="1">IFERROR(__xludf.DUMMYFUNCTION("""COMPUTED_VALUE"""),"device_type")</f>
        <v>device_type</v>
      </c>
      <c r="CI152" s="18" t="str">
        <f ca="1">IFERROR(__xludf.DUMMYFUNCTION("""COMPUTED_VALUE"""),"0xFC00")</f>
        <v>0xFC00</v>
      </c>
      <c r="CJ152" s="18" t="str">
        <f ca="1">IFERROR(__xludf.DUMMYFUNCTION("""COMPUTED_VALUE"""),"0x0000")</f>
        <v>0x0000</v>
      </c>
      <c r="CK152" s="18" t="str">
        <f ca="1">IFERROR(__xludf.DUMMYFUNCTION("""COMPUTED_VALUE"""),"86400")</f>
        <v>86400</v>
      </c>
      <c r="CM152" s="10"/>
      <c r="CP152" s="18" t="str">
        <f ca="1"/>
        <v/>
      </c>
      <c r="CQ152" s="18" t="str">
        <f ca="1"/>
        <v/>
      </c>
      <c r="CR152" s="18" t="str">
        <f ca="1"/>
        <v/>
      </c>
      <c r="CS152" s="18" t="str">
        <f ca="1"/>
        <v/>
      </c>
      <c r="CT152" s="18" t="str">
        <f ca="1"/>
        <v/>
      </c>
      <c r="CV152" s="10"/>
      <c r="CX152" s="18" t="str">
        <f ca="1">IFERROR(__xludf.DUMMYFUNCTION("""COMPUTED_VALUE"""),"show_available_modes")</f>
        <v>show_available_modes</v>
      </c>
      <c r="CY152" s="18" t="str">
        <f ca="1"/>
        <v>0xFC05</v>
      </c>
      <c r="CZ152" s="18" t="str">
        <f ca="1"/>
        <v>0x0015</v>
      </c>
      <c r="DA152" s="18" t="str">
        <f ca="1"/>
        <v>86400</v>
      </c>
      <c r="DC152" s="10"/>
    </row>
    <row r="153" spans="1:107" x14ac:dyDescent="0.25">
      <c r="A153" s="15" t="s">
        <v>288</v>
      </c>
      <c r="B153" s="15"/>
      <c r="C153" s="15"/>
      <c r="D153" s="16"/>
      <c r="E153" s="15"/>
      <c r="F153" s="15"/>
      <c r="G153" s="15"/>
      <c r="H153" s="17" t="str">
        <f ca="1">IFERROR(__xludf.DUMMYFUNCTION("""COMPUTED_VALUE"""),"")</f>
        <v/>
      </c>
      <c r="I153" s="15" t="s">
        <v>29</v>
      </c>
      <c r="J153" s="15" t="s">
        <v>29</v>
      </c>
      <c r="K153" s="15" t="s">
        <v>29</v>
      </c>
      <c r="L153" s="15" t="s">
        <v>29</v>
      </c>
      <c r="M153" s="15" t="s">
        <v>29</v>
      </c>
      <c r="N153" s="16"/>
      <c r="O153" s="18" t="s">
        <v>289</v>
      </c>
      <c r="P153" s="19"/>
      <c r="Q153" s="18" t="str">
        <f ca="1">IFERROR(__xludf.DUMMYFUNCTION("""COMPUTED_VALUE"""),"")</f>
        <v/>
      </c>
      <c r="R153" s="19"/>
      <c r="S153" s="20" t="str">
        <f ca="1">IFERROR(__xludf.DUMMYFUNCTION("""COMPUTED_VALUE"""),"local_temp_calibration,10,260,513,16,41,,0,3600,0")</f>
        <v>local_temp_calibration,10,260,513,16,41,,0,3600,0</v>
      </c>
      <c r="X153" s="18" t="str">
        <f ca="1">IFERROR(__xludf.DUMMYFUNCTION("""COMPUTED_VALUE"""),"local_sensor_occupied")</f>
        <v>local_sensor_occupied</v>
      </c>
      <c r="BP153" s="10"/>
      <c r="BR153" s="18" t="str">
        <f ca="1">IFERROR(__xludf.DUMMYFUNCTION("""COMPUTED_VALUE"""),"analog_output_setting_6")</f>
        <v>analog_output_setting_6</v>
      </c>
      <c r="BS153" s="18" t="str">
        <f ca="1">IFERROR(__xludf.DUMMYFUNCTION("""COMPUTED_VALUE"""),"0x0201")</f>
        <v>0x0201</v>
      </c>
      <c r="BT153" s="18" t="str">
        <f ca="1">IFERROR(__xludf.DUMMYFUNCTION("""COMPUTED_VALUE"""),"0xF1A6")</f>
        <v>0xF1A6</v>
      </c>
      <c r="BU153" s="18" t="str">
        <f ca="1">IFERROR(__xludf.DUMMYFUNCTION("""COMPUTED_VALUE"""),"0")</f>
        <v>0</v>
      </c>
      <c r="BW153" s="10"/>
      <c r="CF153" s="10"/>
      <c r="CH153" s="18" t="str">
        <f ca="1">IFERROR(__xludf.DUMMYFUNCTION("""COMPUTED_VALUE"""),"device_subtype")</f>
        <v>device_subtype</v>
      </c>
      <c r="CI153" s="18" t="str">
        <f ca="1">IFERROR(__xludf.DUMMYFUNCTION("""COMPUTED_VALUE"""),"0xFC00")</f>
        <v>0xFC00</v>
      </c>
      <c r="CJ153" s="18" t="str">
        <f ca="1">IFERROR(__xludf.DUMMYFUNCTION("""COMPUTED_VALUE"""),"0x0001")</f>
        <v>0x0001</v>
      </c>
      <c r="CK153" s="18" t="str">
        <f ca="1">IFERROR(__xludf.DUMMYFUNCTION("""COMPUTED_VALUE"""),"86400")</f>
        <v>86400</v>
      </c>
      <c r="CM153" s="10"/>
      <c r="CP153" s="18" t="str">
        <f ca="1"/>
        <v/>
      </c>
      <c r="CQ153" s="18" t="str">
        <f ca="1"/>
        <v/>
      </c>
      <c r="CR153" s="18" t="str">
        <f ca="1"/>
        <v/>
      </c>
      <c r="CS153" s="18" t="str">
        <f ca="1"/>
        <v/>
      </c>
      <c r="CT153" s="18" t="str">
        <f ca="1"/>
        <v/>
      </c>
      <c r="CV153" s="10"/>
      <c r="CX153" s="18" t="str">
        <f ca="1">IFERROR(__xludf.DUMMYFUNCTION("""COMPUTED_VALUE"""),"hidden_ap_enabled")</f>
        <v>hidden_ap_enabled</v>
      </c>
      <c r="CY153" s="18" t="str">
        <f ca="1"/>
        <v>0xFC05</v>
      </c>
      <c r="CZ153" s="18" t="str">
        <f ca="1"/>
        <v>0x0016</v>
      </c>
      <c r="DA153" s="18" t="str">
        <f ca="1"/>
        <v>86400</v>
      </c>
      <c r="DC153" s="10"/>
    </row>
    <row r="154" spans="1:107" x14ac:dyDescent="0.25">
      <c r="A154" s="15" t="s">
        <v>290</v>
      </c>
      <c r="B154" s="15"/>
      <c r="C154" s="15"/>
      <c r="D154" s="16"/>
      <c r="E154" s="15"/>
      <c r="F154" s="15"/>
      <c r="G154" s="15"/>
      <c r="H154" s="17" t="str">
        <f ca="1">IFERROR(__xludf.DUMMYFUNCTION("""COMPUTED_VALUE"""),"")</f>
        <v/>
      </c>
      <c r="I154" s="15" t="s">
        <v>29</v>
      </c>
      <c r="J154" s="15" t="s">
        <v>29</v>
      </c>
      <c r="K154" s="15" t="s">
        <v>29</v>
      </c>
      <c r="L154" s="15" t="s">
        <v>29</v>
      </c>
      <c r="M154" s="15" t="s">
        <v>29</v>
      </c>
      <c r="N154" s="16"/>
      <c r="O154" s="18" t="s">
        <v>291</v>
      </c>
      <c r="P154" s="19"/>
      <c r="Q154" s="18" t="str">
        <f ca="1">IFERROR(__xludf.DUMMYFUNCTION("""COMPUTED_VALUE"""),"")</f>
        <v/>
      </c>
      <c r="R154" s="19"/>
      <c r="S154" s="20" t="str">
        <f ca="1">IFERROR(__xludf.DUMMYFUNCTION("""COMPUTED_VALUE"""),"make_up_room,10,260,64519,2,16,,0,3600,0")</f>
        <v>make_up_room,10,260,64519,2,16,,0,3600,0</v>
      </c>
      <c r="X154" s="18" t="str">
        <f ca="1">IFERROR(__xludf.DUMMYFUNCTION("""COMPUTED_VALUE"""),"local_temp_calibration")</f>
        <v>local_temp_calibration</v>
      </c>
      <c r="BP154" s="10"/>
      <c r="BR154" s="18" t="str">
        <f ca="1">IFERROR(__xludf.DUMMYFUNCTION("""COMPUTED_VALUE"""),"analog_output_setting_7")</f>
        <v>analog_output_setting_7</v>
      </c>
      <c r="BS154" s="18" t="str">
        <f ca="1">IFERROR(__xludf.DUMMYFUNCTION("""COMPUTED_VALUE"""),"0x0201")</f>
        <v>0x0201</v>
      </c>
      <c r="BT154" s="18" t="str">
        <f ca="1">IFERROR(__xludf.DUMMYFUNCTION("""COMPUTED_VALUE"""),"0xF1A7")</f>
        <v>0xF1A7</v>
      </c>
      <c r="BU154" s="18" t="str">
        <f ca="1">IFERROR(__xludf.DUMMYFUNCTION("""COMPUTED_VALUE"""),"0")</f>
        <v>0</v>
      </c>
      <c r="BW154" s="10"/>
      <c r="CF154" s="10"/>
      <c r="CH154" s="18" t="str">
        <f ca="1">IFERROR(__xludf.DUMMYFUNCTION("""COMPUTED_VALUE"""),"serial_number")</f>
        <v>serial_number</v>
      </c>
      <c r="CI154" s="18" t="str">
        <f ca="1">IFERROR(__xludf.DUMMYFUNCTION("""COMPUTED_VALUE"""),"0xFC04")</f>
        <v>0xFC04</v>
      </c>
      <c r="CJ154" s="18" t="str">
        <f ca="1">IFERROR(__xludf.DUMMYFUNCTION("""COMPUTED_VALUE"""),"0x0002")</f>
        <v>0x0002</v>
      </c>
      <c r="CK154" s="18" t="str">
        <f ca="1">IFERROR(__xludf.DUMMYFUNCTION("""COMPUTED_VALUE"""),"86400")</f>
        <v>86400</v>
      </c>
      <c r="CM154" s="10"/>
      <c r="CP154" s="18" t="str">
        <f ca="1"/>
        <v/>
      </c>
      <c r="CQ154" s="18" t="str">
        <f ca="1"/>
        <v/>
      </c>
      <c r="CR154" s="18" t="str">
        <f ca="1"/>
        <v/>
      </c>
      <c r="CS154" s="18" t="str">
        <f ca="1"/>
        <v/>
      </c>
      <c r="CT154" s="18" t="str">
        <f ca="1"/>
        <v/>
      </c>
      <c r="CV154" s="10"/>
      <c r="CX154" s="18" t="str">
        <f ca="1">IFERROR(__xludf.DUMMYFUNCTION("""COMPUTED_VALUE"""),"show_mobile_app_notification")</f>
        <v>show_mobile_app_notification</v>
      </c>
      <c r="CY154" s="18" t="str">
        <f ca="1"/>
        <v>0xFC05</v>
      </c>
      <c r="CZ154" s="18" t="str">
        <f ca="1"/>
        <v>0x0017</v>
      </c>
      <c r="DA154" s="18" t="str">
        <f ca="1"/>
        <v>86400</v>
      </c>
      <c r="DC154" s="10"/>
    </row>
    <row r="155" spans="1:107" x14ac:dyDescent="0.25">
      <c r="A155" s="15" t="s">
        <v>292</v>
      </c>
      <c r="B155" s="15"/>
      <c r="C155" s="15"/>
      <c r="D155" s="16"/>
      <c r="E155" s="15"/>
      <c r="F155" s="15"/>
      <c r="G155" s="15"/>
      <c r="H155" s="17" t="str">
        <f ca="1">IFERROR(__xludf.DUMMYFUNCTION("""COMPUTED_VALUE"""),"")</f>
        <v/>
      </c>
      <c r="I155" s="15" t="s">
        <v>29</v>
      </c>
      <c r="J155" s="15" t="s">
        <v>29</v>
      </c>
      <c r="K155" s="15" t="s">
        <v>29</v>
      </c>
      <c r="L155" s="15" t="s">
        <v>29</v>
      </c>
      <c r="M155" s="15" t="s">
        <v>29</v>
      </c>
      <c r="N155" s="16"/>
      <c r="O155" s="18" t="s">
        <v>293</v>
      </c>
      <c r="P155" s="19"/>
      <c r="Q155" s="18" t="str">
        <f ca="1">IFERROR(__xludf.DUMMYFUNCTION("""COMPUTED_VALUE"""),"")</f>
        <v/>
      </c>
      <c r="R155" s="19"/>
      <c r="S155" s="20" t="str">
        <f ca="1">IFERROR(__xludf.DUMMYFUNCTION("""COMPUTED_VALUE"""),"manual_fan_max_time,10,260,513,61545,33,65535,,,,86400")</f>
        <v>manual_fan_max_time,10,260,513,61545,33,65535,,,,86400</v>
      </c>
      <c r="X155" s="18" t="str">
        <f ca="1">IFERROR(__xludf.DUMMYFUNCTION("""COMPUTED_VALUE"""),"make_up_room")</f>
        <v>make_up_room</v>
      </c>
      <c r="BP155" s="10"/>
      <c r="BR155" s="18" t="str">
        <f ca="1">IFERROR(__xludf.DUMMYFUNCTION("""COMPUTED_VALUE"""),"contact_config_0")</f>
        <v>contact_config_0</v>
      </c>
      <c r="BS155" s="18" t="str">
        <f ca="1">IFERROR(__xludf.DUMMYFUNCTION("""COMPUTED_VALUE"""),"0x0201")</f>
        <v>0x0201</v>
      </c>
      <c r="BT155" s="18" t="str">
        <f ca="1">IFERROR(__xludf.DUMMYFUNCTION("""COMPUTED_VALUE"""),"0xF200")</f>
        <v>0xF200</v>
      </c>
      <c r="BU155" s="18" t="str">
        <f ca="1">IFERROR(__xludf.DUMMYFUNCTION("""COMPUTED_VALUE"""),"null")</f>
        <v>null</v>
      </c>
      <c r="BW155" s="10"/>
      <c r="CF155" s="10"/>
      <c r="CH155" s="18" t="str">
        <f ca="1">IFERROR(__xludf.DUMMYFUNCTION("""COMPUTED_VALUE"""),"config_menu_password")</f>
        <v>config_menu_password</v>
      </c>
      <c r="CI155" s="18" t="str">
        <f ca="1">IFERROR(__xludf.DUMMYFUNCTION("""COMPUTED_VALUE"""),"0xFC05")</f>
        <v>0xFC05</v>
      </c>
      <c r="CJ155" s="18" t="str">
        <f ca="1">IFERROR(__xludf.DUMMYFUNCTION("""COMPUTED_VALUE"""),"0x0000")</f>
        <v>0x0000</v>
      </c>
      <c r="CK155" s="18" t="str">
        <f ca="1">IFERROR(__xludf.DUMMYFUNCTION("""COMPUTED_VALUE"""),"86400")</f>
        <v>86400</v>
      </c>
      <c r="CM155" s="10"/>
      <c r="CP155" s="18" t="str">
        <f ca="1"/>
        <v/>
      </c>
      <c r="CQ155" s="18" t="str">
        <f ca="1"/>
        <v/>
      </c>
      <c r="CR155" s="18" t="str">
        <f ca="1"/>
        <v/>
      </c>
      <c r="CS155" s="18" t="str">
        <f ca="1"/>
        <v/>
      </c>
      <c r="CT155" s="18" t="str">
        <f ca="1"/>
        <v/>
      </c>
      <c r="CV155" s="10"/>
      <c r="CX155" s="18" t="str">
        <f ca="1">IFERROR(__xludf.DUMMYFUNCTION("""COMPUTED_VALUE"""),"reporting_type")</f>
        <v>reporting_type</v>
      </c>
      <c r="CY155" s="18" t="str">
        <f ca="1"/>
        <v>0xFC05</v>
      </c>
      <c r="CZ155" s="18" t="str">
        <f ca="1"/>
        <v>0x0018</v>
      </c>
      <c r="DA155" s="18" t="str">
        <f ca="1"/>
        <v>86400</v>
      </c>
      <c r="DC155" s="10"/>
    </row>
    <row r="156" spans="1:107" x14ac:dyDescent="0.25">
      <c r="A156" s="15"/>
      <c r="B156" s="15"/>
      <c r="C156" s="15"/>
      <c r="D156" s="16"/>
      <c r="E156" s="15"/>
      <c r="F156" s="15"/>
      <c r="G156" s="15"/>
      <c r="H156" s="17" t="str">
        <f ca="1">IFERROR(__xludf.DUMMYFUNCTION("""COMPUTED_VALUE"""),"")</f>
        <v/>
      </c>
      <c r="I156" s="15" t="s">
        <v>29</v>
      </c>
      <c r="J156" s="15" t="s">
        <v>29</v>
      </c>
      <c r="K156" s="15" t="s">
        <v>29</v>
      </c>
      <c r="L156" s="15" t="s">
        <v>29</v>
      </c>
      <c r="M156" s="15" t="s">
        <v>29</v>
      </c>
      <c r="N156" s="16"/>
      <c r="P156" s="19"/>
      <c r="Q156" s="18" t="str">
        <f ca="1">IFERROR(__xludf.DUMMYFUNCTION("""COMPUTED_VALUE"""),"")</f>
        <v/>
      </c>
      <c r="R156" s="19"/>
      <c r="S156" s="20" t="str">
        <f ca="1">IFERROR(__xludf.DUMMYFUNCTION("""COMPUTED_VALUE"""),"manual_ventilation_setting,10,260,513,61770,48,5,,,,86400")</f>
        <v>manual_ventilation_setting,10,260,513,61770,48,5,,,,86400</v>
      </c>
      <c r="X156" s="18" t="str">
        <f ca="1">IFERROR(__xludf.DUMMYFUNCTION("""COMPUTED_VALUE"""),"manual_fan_max_time")</f>
        <v>manual_fan_max_time</v>
      </c>
      <c r="BP156" s="10"/>
      <c r="BR156" s="18" t="str">
        <f ca="1">IFERROR(__xludf.DUMMYFUNCTION("""COMPUTED_VALUE"""),"contact_config_1")</f>
        <v>contact_config_1</v>
      </c>
      <c r="BS156" s="18" t="str">
        <f ca="1">IFERROR(__xludf.DUMMYFUNCTION("""COMPUTED_VALUE"""),"0x0201")</f>
        <v>0x0201</v>
      </c>
      <c r="BT156" s="18" t="str">
        <f ca="1">IFERROR(__xludf.DUMMYFUNCTION("""COMPUTED_VALUE"""),"0xF201")</f>
        <v>0xF201</v>
      </c>
      <c r="BU156" s="18" t="str">
        <f ca="1">IFERROR(__xludf.DUMMYFUNCTION("""COMPUTED_VALUE"""),"null")</f>
        <v>null</v>
      </c>
      <c r="BW156" s="10"/>
      <c r="CF156" s="10"/>
      <c r="CH156" s="18" t="str">
        <f ca="1">IFERROR(__xludf.DUMMYFUNCTION("""COMPUTED_VALUE"""),"display_home_detailed")</f>
        <v>display_home_detailed</v>
      </c>
      <c r="CI156" s="18" t="str">
        <f ca="1">IFERROR(__xludf.DUMMYFUNCTION("""COMPUTED_VALUE"""),"0xFC05")</f>
        <v>0xFC05</v>
      </c>
      <c r="CJ156" s="18" t="str">
        <f ca="1">IFERROR(__xludf.DUMMYFUNCTION("""COMPUTED_VALUE"""),"0x0005")</f>
        <v>0x0005</v>
      </c>
      <c r="CK156" s="18" t="str">
        <f ca="1">IFERROR(__xludf.DUMMYFUNCTION("""COMPUTED_VALUE"""),"86400")</f>
        <v>86400</v>
      </c>
      <c r="CM156" s="10"/>
      <c r="CP156" s="18" t="str">
        <f ca="1"/>
        <v/>
      </c>
      <c r="CQ156" s="18" t="str">
        <f ca="1"/>
        <v/>
      </c>
      <c r="CR156" s="18" t="str">
        <f ca="1"/>
        <v/>
      </c>
      <c r="CS156" s="18" t="str">
        <f ca="1"/>
        <v/>
      </c>
      <c r="CT156" s="18" t="str">
        <f ca="1"/>
        <v/>
      </c>
      <c r="CV156" s="10"/>
      <c r="CX156" s="18" t="str">
        <f ca="1">IFERROR(__xludf.DUMMYFUNCTION("""COMPUTED_VALUE"""),"display_more_button_disabled")</f>
        <v>display_more_button_disabled</v>
      </c>
      <c r="CY156" s="18" t="str">
        <f ca="1"/>
        <v>0xFC05</v>
      </c>
      <c r="CZ156" s="18" t="str">
        <f ca="1"/>
        <v>0x0019</v>
      </c>
      <c r="DA156" s="18" t="str">
        <f ca="1"/>
        <v>86400</v>
      </c>
      <c r="DC156" s="10"/>
    </row>
    <row r="157" spans="1:107" x14ac:dyDescent="0.25">
      <c r="A157" s="9" t="s">
        <v>294</v>
      </c>
      <c r="B157" s="9"/>
      <c r="C157" s="9"/>
      <c r="D157" s="9"/>
      <c r="E157" s="9"/>
      <c r="F157" s="9"/>
      <c r="G157" s="9"/>
      <c r="H157" s="3" t="str">
        <f ca="1">IFERROR(__xludf.DUMMYFUNCTION("""COMPUTED_VALUE"""),"")</f>
        <v/>
      </c>
      <c r="I157" s="9" t="s">
        <v>29</v>
      </c>
      <c r="J157" s="9" t="s">
        <v>29</v>
      </c>
      <c r="K157" s="9" t="s">
        <v>29</v>
      </c>
      <c r="L157" s="9" t="s">
        <v>29</v>
      </c>
      <c r="M157" s="9" t="s">
        <v>29</v>
      </c>
      <c r="N157" s="9"/>
      <c r="O157" s="10"/>
      <c r="P157" s="19"/>
      <c r="Q157" s="10" t="str">
        <f ca="1">IFERROR(__xludf.DUMMYFUNCTION("""COMPUTED_VALUE"""),"")</f>
        <v/>
      </c>
      <c r="R157" s="19"/>
      <c r="S157" s="20" t="str">
        <f ca="1">IFERROR(__xludf.DUMMYFUNCTION("""COMPUTED_VALUE"""),"modes_available,10,260,513,61504,24,2,,,,86400")</f>
        <v>modes_available,10,260,513,61504,24,2,,,,86400</v>
      </c>
      <c r="X157" s="18" t="str">
        <f ca="1">IFERROR(__xludf.DUMMYFUNCTION("""COMPUTED_VALUE"""),"manual_ventilation_setting")</f>
        <v>manual_ventilation_setting</v>
      </c>
      <c r="BP157" s="10"/>
      <c r="BR157" s="18" t="str">
        <f ca="1">IFERROR(__xludf.DUMMYFUNCTION("""COMPUTED_VALUE"""),"contact_config_2")</f>
        <v>contact_config_2</v>
      </c>
      <c r="BS157" s="18" t="str">
        <f ca="1">IFERROR(__xludf.DUMMYFUNCTION("""COMPUTED_VALUE"""),"0x0201")</f>
        <v>0x0201</v>
      </c>
      <c r="BT157" s="18" t="str">
        <f ca="1">IFERROR(__xludf.DUMMYFUNCTION("""COMPUTED_VALUE"""),"0xF202")</f>
        <v>0xF202</v>
      </c>
      <c r="BU157" s="18" t="str">
        <f ca="1">IFERROR(__xludf.DUMMYFUNCTION("""COMPUTED_VALUE"""),"null")</f>
        <v>null</v>
      </c>
      <c r="BW157" s="10"/>
      <c r="CF157" s="10"/>
      <c r="CH157" s="18" t="str">
        <f ca="1">IFERROR(__xludf.DUMMYFUNCTION("""COMPUTED_VALUE"""),"haptic_enabled")</f>
        <v>haptic_enabled</v>
      </c>
      <c r="CI157" s="18" t="str">
        <f ca="1">IFERROR(__xludf.DUMMYFUNCTION("""COMPUTED_VALUE"""),"0xFC05")</f>
        <v>0xFC05</v>
      </c>
      <c r="CJ157" s="18" t="str">
        <f ca="1">IFERROR(__xludf.DUMMYFUNCTION("""COMPUTED_VALUE"""),"0x0009")</f>
        <v>0x0009</v>
      </c>
      <c r="CK157" s="18" t="str">
        <f ca="1">IFERROR(__xludf.DUMMYFUNCTION("""COMPUTED_VALUE"""),"86400")</f>
        <v>86400</v>
      </c>
      <c r="CM157" s="10"/>
      <c r="CP157" s="18" t="str">
        <f ca="1"/>
        <v/>
      </c>
      <c r="CQ157" s="18" t="str">
        <f ca="1"/>
        <v/>
      </c>
      <c r="CR157" s="18" t="str">
        <f ca="1"/>
        <v/>
      </c>
      <c r="CS157" s="18" t="str">
        <f ca="1"/>
        <v/>
      </c>
      <c r="CT157" s="18" t="str">
        <f ca="1"/>
        <v/>
      </c>
      <c r="CV157" s="10"/>
      <c r="CX157" s="18" t="str">
        <f ca="1">IFERROR(__xludf.DUMMYFUNCTION("""COMPUTED_VALUE"""),"display_thermostat_menu_enabled")</f>
        <v>display_thermostat_menu_enabled</v>
      </c>
      <c r="CY157" s="18" t="str">
        <f ca="1"/>
        <v>0xFC05</v>
      </c>
      <c r="CZ157" s="18" t="str">
        <f ca="1"/>
        <v>0x001B</v>
      </c>
      <c r="DA157" s="18" t="str">
        <f ca="1"/>
        <v>86400</v>
      </c>
      <c r="DC157" s="10"/>
    </row>
    <row r="158" spans="1:107" x14ac:dyDescent="0.25">
      <c r="A158" s="15" t="s">
        <v>295</v>
      </c>
      <c r="B158" s="15"/>
      <c r="C158" s="15"/>
      <c r="D158" s="16"/>
      <c r="E158" s="15"/>
      <c r="F158" s="15"/>
      <c r="G158" s="15"/>
      <c r="H158" s="17" t="str">
        <f ca="1">IFERROR(__xludf.DUMMYFUNCTION("""COMPUTED_VALUE"""),"x")</f>
        <v>x</v>
      </c>
      <c r="I158" s="15" t="s">
        <v>29</v>
      </c>
      <c r="J158" s="15" t="s">
        <v>29</v>
      </c>
      <c r="K158" s="15" t="s">
        <v>29</v>
      </c>
      <c r="L158" s="15" t="s">
        <v>29</v>
      </c>
      <c r="M158" s="15" t="s">
        <v>29</v>
      </c>
      <c r="N158" s="16"/>
      <c r="O158" s="18" t="str">
        <f ca="1">IFERROR(__xludf.DUMMYFUNCTION("IF(A158="""","""",A158
&amp;"",""
&amp;HEX2DEC(VLOOKUP(A158,{'Data Model Parser'!$C$4:$C1626,'Data Model Parser'!$U$4:$U1626},2,0))
&amp;"",""
&amp;HEX2DEC(VLOOKUP(A158,{'Data Model Parser'!$C$4:$C1626,'Data Model Parser'!$V$4:$V1626},2,0))
&amp;"",""
&amp;HEX2DEC(VLOOKUP(A158,{"&amp;"'Data Model Parser'!$C$4:$C1626,'Data Model Parser'!$W$4:$W1626},2,0))
&amp;"",""
&amp;HEX2DEC(VLOOKUP(A158,{'Data Model Parser'!$C$4:$C1626,'Data Model Parser'!$T$4:$T1626},2,0))
&amp;"",""
&amp;HEX2DEC(VLOOKUP(A158,{'Data Model Parser'!$C$4:$C1626,'Data Model Parser'!$"&amp;"X$4:$X1626},2,0))
&amp;"",""
&amp;IFS(B158="""",""0"",REGEXREPLACE(B158,CHAR(34),"""")=""none"",""0"",REGEXREPLACE(B158,CHAR(34),"""")=""standard"",""1"",REGEXREPLACE(B158,CHAR(34),"""")=""smart"",""2"")
&amp;"",""
&amp;IF(VLOOKUP(A158,{'Data Model Parser'!$C$4:$C1626,'D"&amp;"ata Model Parser'!$G$4:$G1626},2,0)=""polled"","",,,""&amp;VLOOKUP(A158,{'Data Model Parser'!$C$4:$C1626,'Data Model Parser'!$H$4:$H1626},2,0),
IF(VLOOKUP(A158,{'Data Model Parser'!$C$4:$C1626,'Data Model Parser'!$G$4:$G1626},2,0)=""reported"",
IFS(E158&lt;&gt;"""""&amp;",E158&amp;"","",
E158="""",VLOOKUP(A158,{'Data Model Parser'!$C$4:$C1626,'Data Model Parser'!$J$4:$J1626},2,0)&amp;"","")
&amp;IFS(F158&lt;&gt;"""",F158&amp;"","",
F158="""",VLOOKUP(A158,{'Data Model Parser'!$C$4:$C1626,'Data Model Parser'!$I$4:$I1626},2,0)&amp;"","")
&amp;IFS(G158&lt;&gt;"&amp;""""",G158,
G158="""",VLOOKUP(A158,{'Data Model Parser'!$C$4:$C1626,'Data Model Parser'!$K$4:$K1626},2,0)))))"),"ventilation_option,10,260,513,61760,48,0,,,,86400")</f>
        <v>ventilation_option,10,260,513,61760,48,0,,,,86400</v>
      </c>
      <c r="P158" s="19"/>
      <c r="Q158" s="18" t="str">
        <f ca="1">IFERROR(__xludf.DUMMYFUNCTION("""COMPUTED_VALUE"""),"zb -a 0x0201 0xF140 0")</f>
        <v>zb -a 0x0201 0xF140 0</v>
      </c>
      <c r="R158" s="19"/>
      <c r="S158" s="20" t="str">
        <f ca="1">IFERROR(__xludf.DUMMYFUNCTION("""COMPUTED_VALUE"""),"motion_sensor_contacts_active,10,260,513,61707,24,,,,,86400")</f>
        <v>motion_sensor_contacts_active,10,260,513,61707,24,,,,,86400</v>
      </c>
      <c r="X158" s="18" t="str">
        <f ca="1">IFERROR(__xludf.DUMMYFUNCTION("""COMPUTED_VALUE"""),"modes_available")</f>
        <v>modes_available</v>
      </c>
      <c r="Y158" s="18" t="str">
        <f ca="1">IFERROR(__xludf.DUMMYFUNCTION("UNIQUE(FILTER({$DE$4:$DE1626,$DH$4:$ES1626}, $DE$4:$DE1626=A158))"),"ventilation_option")</f>
        <v>ventilation_option</v>
      </c>
      <c r="Z158" s="18" t="str">
        <f ca="1">IFERROR(__xludf.DUMMYFUNCTION("""COMPUTED_VALUE"""),"""none""")</f>
        <v>"none"</v>
      </c>
      <c r="AA158" s="18" t="str">
        <f ca="1">IFERROR(__xludf.DUMMYFUNCTION("""COMPUTED_VALUE"""),"""standard""")</f>
        <v>"standard"</v>
      </c>
      <c r="AB158" s="18" t="str">
        <f ca="1">IFERROR(__xludf.DUMMYFUNCTION("""COMPUTED_VALUE"""),"""smart""")</f>
        <v>"smart"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P158" s="10"/>
      <c r="BR158" s="18" t="str">
        <f ca="1">IFERROR(__xludf.DUMMYFUNCTION("""COMPUTED_VALUE"""),"contact_config_3")</f>
        <v>contact_config_3</v>
      </c>
      <c r="BS158" s="18" t="str">
        <f ca="1">IFERROR(__xludf.DUMMYFUNCTION("""COMPUTED_VALUE"""),"0x0201")</f>
        <v>0x0201</v>
      </c>
      <c r="BT158" s="18" t="str">
        <f ca="1">IFERROR(__xludf.DUMMYFUNCTION("""COMPUTED_VALUE"""),"0xF203")</f>
        <v>0xF203</v>
      </c>
      <c r="BU158" s="18" t="str">
        <f ca="1">IFERROR(__xludf.DUMMYFUNCTION("""COMPUTED_VALUE"""),"null")</f>
        <v>null</v>
      </c>
      <c r="BW158" s="10"/>
      <c r="CF158" s="10"/>
      <c r="CH158" s="18" t="str">
        <f ca="1">IFERROR(__xludf.DUMMYFUNCTION("""COMPUTED_VALUE"""),"display_brightness_high_light")</f>
        <v>display_brightness_high_light</v>
      </c>
      <c r="CI158" s="18" t="str">
        <f ca="1">IFERROR(__xludf.DUMMYFUNCTION("""COMPUTED_VALUE"""),"0xFC05")</f>
        <v>0xFC05</v>
      </c>
      <c r="CJ158" s="18" t="str">
        <f ca="1">IFERROR(__xludf.DUMMYFUNCTION("""COMPUTED_VALUE"""),"0x000D")</f>
        <v>0x000D</v>
      </c>
      <c r="CK158" s="18" t="str">
        <f ca="1">IFERROR(__xludf.DUMMYFUNCTION("""COMPUTED_VALUE"""),"86400")</f>
        <v>86400</v>
      </c>
      <c r="CM158" s="10"/>
      <c r="CP158" s="18" t="str">
        <f ca="1"/>
        <v/>
      </c>
      <c r="CQ158" s="18" t="str">
        <f ca="1"/>
        <v/>
      </c>
      <c r="CR158" s="18" t="str">
        <f ca="1"/>
        <v/>
      </c>
      <c r="CS158" s="18" t="str">
        <f ca="1"/>
        <v/>
      </c>
      <c r="CT158" s="18" t="str">
        <f ca="1"/>
        <v/>
      </c>
      <c r="CV158" s="10"/>
      <c r="CX158" s="18" t="str">
        <f ca="1">IFERROR(__xludf.DUMMYFUNCTION("""COMPUTED_VALUE"""),"zigbee_node_type")</f>
        <v>zigbee_node_type</v>
      </c>
      <c r="CY158" s="18" t="str">
        <f ca="1"/>
        <v>0xFC05</v>
      </c>
      <c r="CZ158" s="18" t="str">
        <f ca="1"/>
        <v>0x001C</v>
      </c>
      <c r="DA158" s="18" t="str">
        <f ca="1"/>
        <v>86400</v>
      </c>
      <c r="DC158" s="10"/>
    </row>
    <row r="159" spans="1:107" x14ac:dyDescent="0.25">
      <c r="A159" s="15" t="s">
        <v>296</v>
      </c>
      <c r="B159" s="15">
        <v>15</v>
      </c>
      <c r="C159" s="15" t="s">
        <v>297</v>
      </c>
      <c r="D159" s="16"/>
      <c r="E159" s="15"/>
      <c r="F159" s="15"/>
      <c r="G159" s="15"/>
      <c r="H159" s="17" t="str">
        <f ca="1">IFERROR(__xludf.DUMMYFUNCTION("""COMPUTED_VALUE"""),"x")</f>
        <v>x</v>
      </c>
      <c r="I159" s="15" t="s">
        <v>29</v>
      </c>
      <c r="J159" s="15" t="s">
        <v>29</v>
      </c>
      <c r="K159" s="15" t="s">
        <v>29</v>
      </c>
      <c r="L159" s="15" t="s">
        <v>29</v>
      </c>
      <c r="M159" s="15" t="s">
        <v>29</v>
      </c>
      <c r="N159" s="16"/>
      <c r="O159" s="18" t="s">
        <v>298</v>
      </c>
      <c r="P159" s="19"/>
      <c r="Q159" s="18" t="str">
        <f ca="1">IFERROR(__xludf.DUMMYFUNCTION("""COMPUTED_VALUE"""),"zb -a 0x0201 0xF141 15")</f>
        <v>zb -a 0x0201 0xF141 15</v>
      </c>
      <c r="R159" s="19"/>
      <c r="S159" s="20" t="str">
        <f ca="1">IFERROR(__xludf.DUMMYFUNCTION("""COMPUTED_VALUE"""),"motion_sensor_contacts,10,260,513,61706,24,,,,,86400")</f>
        <v>motion_sensor_contacts,10,260,513,61706,24,,,,,86400</v>
      </c>
      <c r="X159" s="18" t="str">
        <f ca="1">IFERROR(__xludf.DUMMYFUNCTION("""COMPUTED_VALUE"""),"motion_sensor_contacts")</f>
        <v>motion_sensor_contacts</v>
      </c>
      <c r="BP159" s="10"/>
      <c r="BR159" s="18" t="str">
        <f ca="1">IFERROR(__xludf.DUMMYFUNCTION("""COMPUTED_VALUE"""),"contact_config_4")</f>
        <v>contact_config_4</v>
      </c>
      <c r="BS159" s="18" t="str">
        <f ca="1">IFERROR(__xludf.DUMMYFUNCTION("""COMPUTED_VALUE"""),"0x0201")</f>
        <v>0x0201</v>
      </c>
      <c r="BT159" s="18" t="str">
        <f ca="1">IFERROR(__xludf.DUMMYFUNCTION("""COMPUTED_VALUE"""),"0xF204")</f>
        <v>0xF204</v>
      </c>
      <c r="BU159" s="18" t="str">
        <f ca="1">IFERROR(__xludf.DUMMYFUNCTION("""COMPUTED_VALUE"""),"null")</f>
        <v>null</v>
      </c>
      <c r="BW159" s="10"/>
      <c r="CF159" s="10"/>
      <c r="CH159" s="18" t="str">
        <f ca="1">IFERROR(__xludf.DUMMYFUNCTION("""COMPUTED_VALUE"""),"display_brightness_low_light")</f>
        <v>display_brightness_low_light</v>
      </c>
      <c r="CI159" s="18" t="str">
        <f ca="1">IFERROR(__xludf.DUMMYFUNCTION("""COMPUTED_VALUE"""),"0xFC05")</f>
        <v>0xFC05</v>
      </c>
      <c r="CJ159" s="18" t="str">
        <f ca="1">IFERROR(__xludf.DUMMYFUNCTION("""COMPUTED_VALUE"""),"0x000E")</f>
        <v>0x000E</v>
      </c>
      <c r="CK159" s="18" t="str">
        <f ca="1">IFERROR(__xludf.DUMMYFUNCTION("""COMPUTED_VALUE"""),"86400")</f>
        <v>86400</v>
      </c>
      <c r="CM159" s="10"/>
      <c r="CP159" s="18" t="str">
        <f ca="1"/>
        <v/>
      </c>
      <c r="CQ159" s="18" t="str">
        <f ca="1"/>
        <v/>
      </c>
      <c r="CR159" s="18" t="str">
        <f ca="1"/>
        <v/>
      </c>
      <c r="CS159" s="18" t="str">
        <f ca="1"/>
        <v/>
      </c>
      <c r="CT159" s="18" t="str">
        <f ca="1"/>
        <v/>
      </c>
      <c r="CV159" s="10"/>
      <c r="CX159" s="18" t="str">
        <f ca="1">IFERROR(__xludf.DUMMYFUNCTION("""COMPUTED_VALUE"""),"display_schedule_menu_enabled")</f>
        <v>display_schedule_menu_enabled</v>
      </c>
      <c r="CY159" s="18" t="str">
        <f ca="1"/>
        <v>0xFC05</v>
      </c>
      <c r="CZ159" s="18" t="str">
        <f ca="1"/>
        <v>0x001D</v>
      </c>
      <c r="DA159" s="18" t="str">
        <f ca="1"/>
        <v>86400</v>
      </c>
      <c r="DC159" s="10"/>
    </row>
    <row r="160" spans="1:107" x14ac:dyDescent="0.25">
      <c r="A160" s="15" t="s">
        <v>299</v>
      </c>
      <c r="B160" s="15">
        <v>2500</v>
      </c>
      <c r="C160" s="15" t="s">
        <v>300</v>
      </c>
      <c r="D160" s="16"/>
      <c r="E160" s="15"/>
      <c r="F160" s="15"/>
      <c r="G160" s="15"/>
      <c r="H160" s="17" t="str">
        <f ca="1">IFERROR(__xludf.DUMMYFUNCTION("""COMPUTED_VALUE"""),"x")</f>
        <v>x</v>
      </c>
      <c r="I160" s="15" t="s">
        <v>29</v>
      </c>
      <c r="J160" s="15" t="s">
        <v>29</v>
      </c>
      <c r="K160" s="15" t="s">
        <v>29</v>
      </c>
      <c r="L160" s="15" t="s">
        <v>29</v>
      </c>
      <c r="M160" s="15" t="s">
        <v>29</v>
      </c>
      <c r="N160" s="16"/>
      <c r="O160" s="18" t="s">
        <v>301</v>
      </c>
      <c r="P160" s="19"/>
      <c r="Q160" s="18" t="str">
        <f ca="1">IFERROR(__xludf.DUMMYFUNCTION("""COMPUTED_VALUE"""),"zb -a 0x0201 0xF142 2500")</f>
        <v>zb -a 0x0201 0xF142 2500</v>
      </c>
      <c r="R160" s="19"/>
      <c r="S160" s="20" t="str">
        <f ca="1">IFERROR(__xludf.DUMMYFUNCTION("""COMPUTED_VALUE"""),"night_lock,10,260,513,61689,16,1,,,,86400")</f>
        <v>night_lock,10,260,513,61689,16,1,,,,86400</v>
      </c>
      <c r="X160" s="18" t="str">
        <f ca="1">IFERROR(__xludf.DUMMYFUNCTION("""COMPUTED_VALUE"""),"motion_sensor_contacts_active")</f>
        <v>motion_sensor_contacts_active</v>
      </c>
      <c r="BP160" s="10"/>
      <c r="BR160" s="18" t="str">
        <f ca="1">IFERROR(__xludf.DUMMYFUNCTION("""COMPUTED_VALUE"""),"contact_config_5")</f>
        <v>contact_config_5</v>
      </c>
      <c r="BS160" s="18" t="str">
        <f ca="1">IFERROR(__xludf.DUMMYFUNCTION("""COMPUTED_VALUE"""),"0x0201")</f>
        <v>0x0201</v>
      </c>
      <c r="BT160" s="18" t="str">
        <f ca="1">IFERROR(__xludf.DUMMYFUNCTION("""COMPUTED_VALUE"""),"0xF205")</f>
        <v>0xF205</v>
      </c>
      <c r="BU160" s="18" t="str">
        <f ca="1">IFERROR(__xludf.DUMMYFUNCTION("""COMPUTED_VALUE"""),"null")</f>
        <v>null</v>
      </c>
      <c r="BW160" s="10"/>
      <c r="CF160" s="10"/>
      <c r="CH160" s="18" t="str">
        <f ca="1">IFERROR(__xludf.DUMMYFUNCTION("""COMPUTED_VALUE"""),"light_sensor_dark_threshold")</f>
        <v>light_sensor_dark_threshold</v>
      </c>
      <c r="CI160" s="18" t="str">
        <f ca="1">IFERROR(__xludf.DUMMYFUNCTION("""COMPUTED_VALUE"""),"0xFC05")</f>
        <v>0xFC05</v>
      </c>
      <c r="CJ160" s="18" t="str">
        <f ca="1">IFERROR(__xludf.DUMMYFUNCTION("""COMPUTED_VALUE"""),"0x000F")</f>
        <v>0x000F</v>
      </c>
      <c r="CK160" s="18" t="str">
        <f ca="1">IFERROR(__xludf.DUMMYFUNCTION("""COMPUTED_VALUE"""),"86400")</f>
        <v>86400</v>
      </c>
      <c r="CM160" s="10"/>
      <c r="CP160" s="18" t="str">
        <f ca="1"/>
        <v/>
      </c>
      <c r="CQ160" s="18" t="str">
        <f ca="1"/>
        <v/>
      </c>
      <c r="CR160" s="18" t="str">
        <f ca="1"/>
        <v/>
      </c>
      <c r="CS160" s="18" t="str">
        <f ca="1"/>
        <v/>
      </c>
      <c r="CT160" s="18" t="str">
        <f ca="1"/>
        <v/>
      </c>
      <c r="CV160" s="10"/>
      <c r="CX160" s="18" t="str">
        <f ca="1">IFERROR(__xludf.DUMMYFUNCTION("""COMPUTED_VALUE"""),"display_settings_menu_enabled")</f>
        <v>display_settings_menu_enabled</v>
      </c>
      <c r="CY160" s="18" t="str">
        <f ca="1"/>
        <v>0xFC05</v>
      </c>
      <c r="CZ160" s="18" t="str">
        <f ca="1"/>
        <v>0x001E</v>
      </c>
      <c r="DA160" s="18" t="str">
        <f ca="1"/>
        <v>86400</v>
      </c>
      <c r="DC160" s="10"/>
    </row>
    <row r="161" spans="1:107" x14ac:dyDescent="0.25">
      <c r="A161" s="15" t="s">
        <v>302</v>
      </c>
      <c r="B161" s="15">
        <v>3</v>
      </c>
      <c r="C161" s="15"/>
      <c r="D161" s="16"/>
      <c r="E161" s="15"/>
      <c r="F161" s="15"/>
      <c r="G161" s="15"/>
      <c r="H161" s="17" t="str">
        <f ca="1">IFERROR(__xludf.DUMMYFUNCTION("""COMPUTED_VALUE"""),"x")</f>
        <v>x</v>
      </c>
      <c r="I161" s="15" t="s">
        <v>29</v>
      </c>
      <c r="J161" s="15" t="s">
        <v>29</v>
      </c>
      <c r="K161" s="15" t="s">
        <v>29</v>
      </c>
      <c r="L161" s="15" t="s">
        <v>29</v>
      </c>
      <c r="M161" s="15" t="s">
        <v>29</v>
      </c>
      <c r="N161" s="16"/>
      <c r="O161" s="18" t="s">
        <v>303</v>
      </c>
      <c r="P161" s="19"/>
      <c r="Q161" s="18" t="str">
        <f ca="1">IFERROR(__xludf.DUMMYFUNCTION("""COMPUTED_VALUE"""),"zb -a 0x0201 0xF143 3")</f>
        <v>zb -a 0x0201 0xF143 3</v>
      </c>
      <c r="R161" s="19"/>
      <c r="S161" s="20" t="str">
        <f ca="1">IFERROR(__xludf.DUMMYFUNCTION("""COMPUTED_VALUE"""),"night_start_time,10,260,513,61688,33,1200,,,,86400")</f>
        <v>night_start_time,10,260,513,61688,33,1200,,,,86400</v>
      </c>
      <c r="X161" s="18" t="str">
        <f ca="1">IFERROR(__xludf.DUMMYFUNCTION("""COMPUTED_VALUE"""),"night_lock")</f>
        <v>night_lock</v>
      </c>
      <c r="BP161" s="10"/>
      <c r="BR161" s="18" t="str">
        <f ca="1">IFERROR(__xludf.DUMMYFUNCTION("""COMPUTED_VALUE"""),"contact_config_6")</f>
        <v>contact_config_6</v>
      </c>
      <c r="BS161" s="18" t="str">
        <f ca="1">IFERROR(__xludf.DUMMYFUNCTION("""COMPUTED_VALUE"""),"0x0201")</f>
        <v>0x0201</v>
      </c>
      <c r="BT161" s="18" t="str">
        <f ca="1">IFERROR(__xludf.DUMMYFUNCTION("""COMPUTED_VALUE"""),"0xF206")</f>
        <v>0xF206</v>
      </c>
      <c r="BU161" s="18" t="str">
        <f ca="1">IFERROR(__xludf.DUMMYFUNCTION("""COMPUTED_VALUE"""),"null")</f>
        <v>null</v>
      </c>
      <c r="BW161" s="10"/>
      <c r="CF161" s="10"/>
      <c r="CH161" s="18" t="str">
        <f ca="1">IFERROR(__xludf.DUMMYFUNCTION("""COMPUTED_VALUE"""),"show_available_modes")</f>
        <v>show_available_modes</v>
      </c>
      <c r="CI161" s="18" t="str">
        <f ca="1">IFERROR(__xludf.DUMMYFUNCTION("""COMPUTED_VALUE"""),"0xFC05")</f>
        <v>0xFC05</v>
      </c>
      <c r="CJ161" s="18" t="str">
        <f ca="1">IFERROR(__xludf.DUMMYFUNCTION("""COMPUTED_VALUE"""),"0x0015")</f>
        <v>0x0015</v>
      </c>
      <c r="CK161" s="18" t="str">
        <f ca="1">IFERROR(__xludf.DUMMYFUNCTION("""COMPUTED_VALUE"""),"86400")</f>
        <v>86400</v>
      </c>
      <c r="CM161" s="10"/>
      <c r="CP161" s="18" t="str">
        <f ca="1"/>
        <v/>
      </c>
      <c r="CQ161" s="18" t="str">
        <f ca="1"/>
        <v/>
      </c>
      <c r="CR161" s="18" t="str">
        <f ca="1"/>
        <v/>
      </c>
      <c r="CS161" s="18" t="str">
        <f ca="1"/>
        <v/>
      </c>
      <c r="CT161" s="18" t="str">
        <f ca="1"/>
        <v/>
      </c>
      <c r="CV161" s="10"/>
      <c r="CX161" s="18" t="str">
        <f ca="1">IFERROR(__xludf.DUMMYFUNCTION("""COMPUTED_VALUE"""),"display_wifi_menu")</f>
        <v>display_wifi_menu</v>
      </c>
      <c r="CY161" s="18" t="str">
        <f ca="1"/>
        <v>0xFC05</v>
      </c>
      <c r="CZ161" s="18" t="str">
        <f ca="1"/>
        <v>0x001F</v>
      </c>
      <c r="DA161" s="18" t="str">
        <f ca="1"/>
        <v>86400</v>
      </c>
      <c r="DC161" s="10"/>
    </row>
    <row r="162" spans="1:107" x14ac:dyDescent="0.25">
      <c r="A162" s="15" t="s">
        <v>304</v>
      </c>
      <c r="B162" s="15">
        <v>750</v>
      </c>
      <c r="C162" s="15" t="s">
        <v>305</v>
      </c>
      <c r="D162" s="16"/>
      <c r="E162" s="15"/>
      <c r="F162" s="15"/>
      <c r="G162" s="15"/>
      <c r="H162" s="17" t="str">
        <f ca="1">IFERROR(__xludf.DUMMYFUNCTION("""COMPUTED_VALUE"""),"x")</f>
        <v>x</v>
      </c>
      <c r="I162" s="15" t="s">
        <v>29</v>
      </c>
      <c r="J162" s="15" t="s">
        <v>29</v>
      </c>
      <c r="K162" s="15" t="s">
        <v>29</v>
      </c>
      <c r="L162" s="15" t="s">
        <v>29</v>
      </c>
      <c r="M162" s="15" t="s">
        <v>29</v>
      </c>
      <c r="N162" s="16"/>
      <c r="O162" s="18" t="s">
        <v>306</v>
      </c>
      <c r="P162" s="19"/>
      <c r="Q162" s="18" t="str">
        <f ca="1">IFERROR(__xludf.DUMMYFUNCTION("""COMPUTED_VALUE"""),"zb -a 0x0201 0xF145 750")</f>
        <v>zb -a 0x0201 0xF145 750</v>
      </c>
      <c r="R162" s="19"/>
      <c r="S162" s="20" t="str">
        <f ca="1">IFERROR(__xludf.DUMMYFUNCTION("""COMPUTED_VALUE"""),"night_state,10,260,513,61691,16,,0,3600,0")</f>
        <v>night_state,10,260,513,61691,16,,0,3600,0</v>
      </c>
      <c r="X162" s="18" t="str">
        <f ca="1">IFERROR(__xludf.DUMMYFUNCTION("""COMPUTED_VALUE"""),"night_start_time")</f>
        <v>night_start_time</v>
      </c>
      <c r="BP162" s="10"/>
      <c r="BR162" s="18" t="str">
        <f ca="1">IFERROR(__xludf.DUMMYFUNCTION("""COMPUTED_VALUE"""),"contact_config_7")</f>
        <v>contact_config_7</v>
      </c>
      <c r="BS162" s="18" t="str">
        <f ca="1">IFERROR(__xludf.DUMMYFUNCTION("""COMPUTED_VALUE"""),"0x0201")</f>
        <v>0x0201</v>
      </c>
      <c r="BT162" s="18" t="str">
        <f ca="1">IFERROR(__xludf.DUMMYFUNCTION("""COMPUTED_VALUE"""),"0xF207")</f>
        <v>0xF207</v>
      </c>
      <c r="BU162" s="18" t="str">
        <f ca="1">IFERROR(__xludf.DUMMYFUNCTION("""COMPUTED_VALUE"""),"null")</f>
        <v>null</v>
      </c>
      <c r="BW162" s="10"/>
      <c r="CF162" s="10"/>
      <c r="CH162" s="18" t="str">
        <f ca="1">IFERROR(__xludf.DUMMYFUNCTION("""COMPUTED_VALUE"""),"hidden_ap_enabled")</f>
        <v>hidden_ap_enabled</v>
      </c>
      <c r="CI162" s="18" t="str">
        <f ca="1">IFERROR(__xludf.DUMMYFUNCTION("""COMPUTED_VALUE"""),"0xFC05")</f>
        <v>0xFC05</v>
      </c>
      <c r="CJ162" s="18" t="str">
        <f ca="1">IFERROR(__xludf.DUMMYFUNCTION("""COMPUTED_VALUE"""),"0x0016")</f>
        <v>0x0016</v>
      </c>
      <c r="CK162" s="18" t="str">
        <f ca="1">IFERROR(__xludf.DUMMYFUNCTION("""COMPUTED_VALUE"""),"86400")</f>
        <v>86400</v>
      </c>
      <c r="CM162" s="10"/>
      <c r="CP162" s="18" t="str">
        <f ca="1"/>
        <v/>
      </c>
      <c r="CQ162" s="18" t="str">
        <f ca="1"/>
        <v/>
      </c>
      <c r="CR162" s="18" t="str">
        <f ca="1"/>
        <v/>
      </c>
      <c r="CS162" s="18" t="str">
        <f ca="1"/>
        <v/>
      </c>
      <c r="CT162" s="18" t="str">
        <f ca="1"/>
        <v/>
      </c>
      <c r="CV162" s="10"/>
      <c r="CX162" s="18" t="str">
        <f ca="1">IFERROR(__xludf.DUMMYFUNCTION("""COMPUTED_VALUE"""),"display_leaf_button_disabled")</f>
        <v>display_leaf_button_disabled</v>
      </c>
      <c r="CY162" s="18" t="str">
        <f ca="1"/>
        <v>0xFC05</v>
      </c>
      <c r="CZ162" s="18" t="str">
        <f ca="1"/>
        <v>0x0021</v>
      </c>
      <c r="DA162" s="18" t="str">
        <f ca="1"/>
        <v>86400</v>
      </c>
      <c r="DC162" s="10"/>
    </row>
    <row r="163" spans="1:107" x14ac:dyDescent="0.25">
      <c r="A163" s="15" t="s">
        <v>307</v>
      </c>
      <c r="B163" s="15" t="s">
        <v>64</v>
      </c>
      <c r="C163" s="15"/>
      <c r="D163" s="16"/>
      <c r="E163" s="15"/>
      <c r="F163" s="15"/>
      <c r="G163" s="15"/>
      <c r="H163" s="17" t="str">
        <f ca="1">IFERROR(__xludf.DUMMYFUNCTION("""COMPUTED_VALUE"""),"x")</f>
        <v>x</v>
      </c>
      <c r="I163" s="15" t="s">
        <v>29</v>
      </c>
      <c r="J163" s="15" t="s">
        <v>29</v>
      </c>
      <c r="K163" s="15" t="s">
        <v>29</v>
      </c>
      <c r="L163" s="15" t="s">
        <v>29</v>
      </c>
      <c r="M163" s="15" t="s">
        <v>29</v>
      </c>
      <c r="N163" s="16"/>
      <c r="O163" s="18" t="str">
        <f ca="1">IFERROR(__xludf.DUMMYFUNCTION("IF(A163="""","""",A163
&amp;"",""
&amp;HEX2DEC(VLOOKUP(A163,{'Data Model Parser'!$C$4:$C1626,'Data Model Parser'!$U$4:$U1626},2,0))
&amp;"",""
&amp;HEX2DEC(VLOOKUP(A163,{'Data Model Parser'!$C$4:$C1626,'Data Model Parser'!$V$4:$V1626},2,0))
&amp;"",""
&amp;HEX2DEC(VLOOKUP(A163,{"&amp;"'Data Model Parser'!$C$4:$C1626,'Data Model Parser'!$W$4:$W1626},2,0))
&amp;"",""
&amp;HEX2DEC(VLOOKUP(A163,{'Data Model Parser'!$C$4:$C1626,'Data Model Parser'!$T$4:$T1626},2,0))
&amp;"",""
&amp;HEX2DEC(VLOOKUP(A163,{'Data Model Parser'!$C$4:$C1626,'Data Model Parser'!$"&amp;"X$4:$X1626},2,0))
&amp;"",""
&amp;IFS(B163="""",""5"",REGEXREPLACE(B163,CHAR(34),"""")=""1_hour"",""1"",REGEXREPLACE(B163,CHAR(34),"""")=""2_hours"",""2"",REGEXREPLACE(B163,CHAR(34),"""")=""4_hours"",""3"",REGEXREPLACE(B163,CHAR(34),"""")=""auto"",""5"")
&amp;"",""
&amp;"&amp;"IF(VLOOKUP(A163,{'Data Model Parser'!$C$4:$C1626,'Data Model Parser'!$G$4:$G1626},2,0)=""polled"","",,,""&amp;VLOOKUP(A163,{'Data Model Parser'!$C$4:$C1626,'Data Model Parser'!$H$4:$H1626},2,0),
IF(VLOOKUP(A163,{'Data Model Parser'!$C$4:$C1626,'Data Model Par"&amp;"ser'!$G$4:$G1626},2,0)=""reported"",
IFS(E163&lt;&gt;"""",E163&amp;"","",
E163="""",VLOOKUP(A163,{'Data Model Parser'!$C$4:$C1626,'Data Model Parser'!$J$4:$J1626},2,0)&amp;"","")
&amp;IFS(F163&lt;&gt;"""",F163&amp;"","",
F163="""",VLOOKUP(A163,{'Data Model Parser'!$C$4:$C1626,'Data "&amp;"Model Parser'!$I$4:$I1626},2,0)&amp;"","")
&amp;IFS(G163&lt;&gt;"""",G163,
G163="""",VLOOKUP(A163,{'Data Model Parser'!$C$4:$C1626,'Data Model Parser'!$K$4:$K1626},2,0)))))"),"manual_ventilation_setting,10,260,513,61770,48,5,,,,86400")</f>
        <v>manual_ventilation_setting,10,260,513,61770,48,5,,,,86400</v>
      </c>
      <c r="P163" s="19"/>
      <c r="Q163" s="18" t="str">
        <f ca="1">IFERROR(__xludf.DUMMYFUNCTION("""COMPUTED_VALUE"""),"zb -a 0x0201 0xF14A 5")</f>
        <v>zb -a 0x0201 0xF14A 5</v>
      </c>
      <c r="R163" s="19"/>
      <c r="S163" s="20" t="str">
        <f ca="1">IFERROR(__xludf.DUMMYFUNCTION("""COMPUTED_VALUE"""),"ntc_beta_sensor_0,10,260,513,61632,33,,,,,86400")</f>
        <v>ntc_beta_sensor_0,10,260,513,61632,33,,,,,86400</v>
      </c>
      <c r="X163" s="18" t="str">
        <f ca="1">IFERROR(__xludf.DUMMYFUNCTION("""COMPUTED_VALUE"""),"night_state")</f>
        <v>night_state</v>
      </c>
      <c r="Y163" s="18" t="str">
        <f ca="1">IFERROR(__xludf.DUMMYFUNCTION("UNIQUE(FILTER({$DE$4:$DE1626,$DH$4:$ES1626}, $DE$4:$DE1626=A163))"),"manual_ventilation_setting")</f>
        <v>manual_ventilation_setting</v>
      </c>
      <c r="Z163" s="18" t="str">
        <f ca="1">IFERROR(__xludf.DUMMYFUNCTION("""COMPUTED_VALUE"""),"""auto""")</f>
        <v>"auto"</v>
      </c>
      <c r="AA163" s="18" t="str">
        <f ca="1">IFERROR(__xludf.DUMMYFUNCTION("""COMPUTED_VALUE"""),"""1_hour""")</f>
        <v>"1_hour"</v>
      </c>
      <c r="AB163" s="18" t="str">
        <f ca="1">IFERROR(__xludf.DUMMYFUNCTION("""COMPUTED_VALUE"""),"""2_hours""")</f>
        <v>"2_hours"</v>
      </c>
      <c r="AC163" s="18" t="str">
        <f ca="1">IFERROR(__xludf.DUMMYFUNCTION("""COMPUTED_VALUE"""),"""4_hours""")</f>
        <v>"4_hours"</v>
      </c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P163" s="10"/>
      <c r="BR163" s="18" t="str">
        <f ca="1">IFERROR(__xludf.DUMMYFUNCTION("""COMPUTED_VALUE"""),"fan_mode")</f>
        <v>fan_mode</v>
      </c>
      <c r="BS163" s="18" t="str">
        <f ca="1">IFERROR(__xludf.DUMMYFUNCTION("""COMPUTED_VALUE"""),"0x0202")</f>
        <v>0x0202</v>
      </c>
      <c r="BT163" s="18" t="str">
        <f ca="1">IFERROR(__xludf.DUMMYFUNCTION("""COMPUTED_VALUE"""),"0x0000")</f>
        <v>0x0000</v>
      </c>
      <c r="BU163" s="18" t="str">
        <f ca="1">IFERROR(__xludf.DUMMYFUNCTION("""COMPUTED_VALUE"""),"null")</f>
        <v>null</v>
      </c>
      <c r="BW163" s="10"/>
      <c r="CF163" s="10"/>
      <c r="CH163" s="18" t="str">
        <f ca="1">IFERROR(__xludf.DUMMYFUNCTION("""COMPUTED_VALUE"""),"show_mobile_app_notification")</f>
        <v>show_mobile_app_notification</v>
      </c>
      <c r="CI163" s="18" t="str">
        <f ca="1">IFERROR(__xludf.DUMMYFUNCTION("""COMPUTED_VALUE"""),"0xFC05")</f>
        <v>0xFC05</v>
      </c>
      <c r="CJ163" s="18" t="str">
        <f ca="1">IFERROR(__xludf.DUMMYFUNCTION("""COMPUTED_VALUE"""),"0x0017")</f>
        <v>0x0017</v>
      </c>
      <c r="CK163" s="18" t="str">
        <f ca="1">IFERROR(__xludf.DUMMYFUNCTION("""COMPUTED_VALUE"""),"86400")</f>
        <v>86400</v>
      </c>
      <c r="CM163" s="10"/>
      <c r="CP163" s="18" t="str">
        <f ca="1"/>
        <v/>
      </c>
      <c r="CQ163" s="18" t="str">
        <f ca="1"/>
        <v/>
      </c>
      <c r="CR163" s="18" t="str">
        <f ca="1"/>
        <v/>
      </c>
      <c r="CS163" s="18" t="str">
        <f ca="1"/>
        <v/>
      </c>
      <c r="CT163" s="18" t="str">
        <f ca="1"/>
        <v/>
      </c>
      <c r="CV163" s="10"/>
      <c r="CX163" s="18" t="str">
        <f ca="1">IFERROR(__xludf.DUMMYFUNCTION("""COMPUTED_VALUE"""),"oem_brand")</f>
        <v>oem_brand</v>
      </c>
      <c r="CY163" s="18" t="str">
        <f ca="1"/>
        <v>0xFC05</v>
      </c>
      <c r="CZ163" s="18" t="str">
        <f ca="1"/>
        <v>0x0022</v>
      </c>
      <c r="DA163" s="18" t="str">
        <f ca="1"/>
        <v>86400</v>
      </c>
      <c r="DC163" s="10"/>
    </row>
    <row r="164" spans="1:107" x14ac:dyDescent="0.25">
      <c r="A164" s="15"/>
      <c r="B164" s="15"/>
      <c r="C164" s="15"/>
      <c r="D164" s="16"/>
      <c r="E164" s="15"/>
      <c r="F164" s="15"/>
      <c r="G164" s="15"/>
      <c r="H164" s="17" t="str">
        <f ca="1">IFERROR(__xludf.DUMMYFUNCTION("""COMPUTED_VALUE"""),"")</f>
        <v/>
      </c>
      <c r="I164" s="15" t="s">
        <v>29</v>
      </c>
      <c r="J164" s="15" t="s">
        <v>29</v>
      </c>
      <c r="K164" s="15" t="s">
        <v>29</v>
      </c>
      <c r="L164" s="15" t="s">
        <v>29</v>
      </c>
      <c r="M164" s="15" t="s">
        <v>29</v>
      </c>
      <c r="N164" s="16"/>
      <c r="P164" s="19"/>
      <c r="Q164" s="18" t="str">
        <f ca="1">IFERROR(__xludf.DUMMYFUNCTION("""COMPUTED_VALUE"""),"")</f>
        <v/>
      </c>
      <c r="R164" s="19"/>
      <c r="S164" s="20" t="str">
        <f ca="1">IFERROR(__xludf.DUMMYFUNCTION("""COMPUTED_VALUE"""),"ntc_beta_sensor_1,10,260,513,61633,33,,,,,86400")</f>
        <v>ntc_beta_sensor_1,10,260,513,61633,33,,,,,86400</v>
      </c>
      <c r="X164" s="18" t="str">
        <f ca="1">IFERROR(__xludf.DUMMYFUNCTION("""COMPUTED_VALUE"""),"ntc_beta_sensor_0")</f>
        <v>ntc_beta_sensor_0</v>
      </c>
      <c r="BP164" s="10"/>
      <c r="BR164" s="18" t="str">
        <f ca="1">IFERROR(__xludf.DUMMYFUNCTION("""COMPUTED_VALUE"""),"dehumidification_setpoint")</f>
        <v>dehumidification_setpoint</v>
      </c>
      <c r="BS164" s="18" t="str">
        <f ca="1">IFERROR(__xludf.DUMMYFUNCTION("""COMPUTED_VALUE"""),"0x0203")</f>
        <v>0x0203</v>
      </c>
      <c r="BT164" s="18" t="str">
        <f ca="1">IFERROR(__xludf.DUMMYFUNCTION("""COMPUTED_VALUE"""),"0x0010")</f>
        <v>0x0010</v>
      </c>
      <c r="BU164" s="18" t="str">
        <f ca="1">IFERROR(__xludf.DUMMYFUNCTION("""COMPUTED_VALUE"""),"null")</f>
        <v>null</v>
      </c>
      <c r="BW164" s="10"/>
      <c r="CF164" s="10"/>
      <c r="CH164" s="18" t="str">
        <f ca="1">IFERROR(__xludf.DUMMYFUNCTION("""COMPUTED_VALUE"""),"reporting_type")</f>
        <v>reporting_type</v>
      </c>
      <c r="CI164" s="18" t="str">
        <f ca="1">IFERROR(__xludf.DUMMYFUNCTION("""COMPUTED_VALUE"""),"0xFC05")</f>
        <v>0xFC05</v>
      </c>
      <c r="CJ164" s="18" t="str">
        <f ca="1">IFERROR(__xludf.DUMMYFUNCTION("""COMPUTED_VALUE"""),"0x0018")</f>
        <v>0x0018</v>
      </c>
      <c r="CK164" s="18" t="str">
        <f ca="1">IFERROR(__xludf.DUMMYFUNCTION("""COMPUTED_VALUE"""),"86400")</f>
        <v>86400</v>
      </c>
      <c r="CM164" s="10"/>
      <c r="CP164" s="18" t="str">
        <f ca="1"/>
        <v/>
      </c>
      <c r="CQ164" s="18" t="str">
        <f ca="1"/>
        <v/>
      </c>
      <c r="CR164" s="18" t="str">
        <f ca="1"/>
        <v/>
      </c>
      <c r="CS164" s="18" t="str">
        <f ca="1"/>
        <v/>
      </c>
      <c r="CT164" s="18" t="str">
        <f ca="1"/>
        <v/>
      </c>
      <c r="CV164" s="10"/>
      <c r="CX164" s="18" t="str">
        <f ca="1">IFERROR(__xludf.DUMMYFUNCTION("""COMPUTED_VALUE"""),"display_set_time_reminder")</f>
        <v>display_set_time_reminder</v>
      </c>
      <c r="CY164" s="18" t="str">
        <f ca="1"/>
        <v>0xFC05</v>
      </c>
      <c r="CZ164" s="18" t="str">
        <f ca="1"/>
        <v>0x0023</v>
      </c>
      <c r="DA164" s="18" t="str">
        <f ca="1"/>
        <v>86400</v>
      </c>
      <c r="DC164" s="10"/>
    </row>
    <row r="165" spans="1:107" x14ac:dyDescent="0.25">
      <c r="A165" s="9" t="s">
        <v>308</v>
      </c>
      <c r="B165" s="9"/>
      <c r="C165" s="9"/>
      <c r="D165" s="9"/>
      <c r="E165" s="9"/>
      <c r="F165" s="9"/>
      <c r="G165" s="9"/>
      <c r="H165" s="3" t="str">
        <f ca="1">IFERROR(__xludf.DUMMYFUNCTION("""COMPUTED_VALUE"""),"")</f>
        <v/>
      </c>
      <c r="I165" s="9" t="s">
        <v>29</v>
      </c>
      <c r="J165" s="9" t="s">
        <v>29</v>
      </c>
      <c r="K165" s="9" t="s">
        <v>29</v>
      </c>
      <c r="L165" s="9" t="s">
        <v>29</v>
      </c>
      <c r="M165" s="9" t="s">
        <v>29</v>
      </c>
      <c r="N165" s="16"/>
      <c r="O165" s="10"/>
      <c r="P165" s="19"/>
      <c r="Q165" s="10" t="str">
        <f ca="1">IFERROR(__xludf.DUMMYFUNCTION("""COMPUTED_VALUE"""),"")</f>
        <v/>
      </c>
      <c r="R165" s="19"/>
      <c r="S165" s="20" t="str">
        <f ca="1">IFERROR(__xludf.DUMMYFUNCTION("""COMPUTED_VALUE"""),"ntc_beta_sensor_2,10,260,513,61634,33,,,,,86400")</f>
        <v>ntc_beta_sensor_2,10,260,513,61634,33,,,,,86400</v>
      </c>
      <c r="X165" s="18" t="str">
        <f ca="1">IFERROR(__xludf.DUMMYFUNCTION("""COMPUTED_VALUE"""),"ntc_beta_sensor_1")</f>
        <v>ntc_beta_sensor_1</v>
      </c>
      <c r="BP165" s="10"/>
      <c r="BR165" s="18" t="str">
        <f ca="1">IFERROR(__xludf.DUMMYFUNCTION("""COMPUTED_VALUE"""),"ui_keypad_lockout")</f>
        <v>ui_keypad_lockout</v>
      </c>
      <c r="BS165" s="18" t="str">
        <f ca="1">IFERROR(__xludf.DUMMYFUNCTION("""COMPUTED_VALUE"""),"0x0204")</f>
        <v>0x0204</v>
      </c>
      <c r="BT165" s="18" t="str">
        <f ca="1">IFERROR(__xludf.DUMMYFUNCTION("""COMPUTED_VALUE"""),"0x0001")</f>
        <v>0x0001</v>
      </c>
      <c r="BU165" s="18" t="str">
        <f ca="1">IFERROR(__xludf.DUMMYFUNCTION("""COMPUTED_VALUE"""),"""none""")</f>
        <v>"none"</v>
      </c>
      <c r="BW165" s="10"/>
      <c r="CF165" s="10"/>
      <c r="CH165" s="18" t="str">
        <f ca="1">IFERROR(__xludf.DUMMYFUNCTION("""COMPUTED_VALUE"""),"display_more_button_disabled")</f>
        <v>display_more_button_disabled</v>
      </c>
      <c r="CI165" s="18" t="str">
        <f ca="1">IFERROR(__xludf.DUMMYFUNCTION("""COMPUTED_VALUE"""),"0xFC05")</f>
        <v>0xFC05</v>
      </c>
      <c r="CJ165" s="18" t="str">
        <f ca="1">IFERROR(__xludf.DUMMYFUNCTION("""COMPUTED_VALUE"""),"0x0019")</f>
        <v>0x0019</v>
      </c>
      <c r="CK165" s="18" t="str">
        <f ca="1">IFERROR(__xludf.DUMMYFUNCTION("""COMPUTED_VALUE"""),"86400")</f>
        <v>86400</v>
      </c>
      <c r="CM165" s="10"/>
      <c r="CP165" s="18" t="str">
        <f ca="1"/>
        <v/>
      </c>
      <c r="CQ165" s="18" t="str">
        <f ca="1"/>
        <v/>
      </c>
      <c r="CR165" s="18" t="str">
        <f ca="1"/>
        <v/>
      </c>
      <c r="CS165" s="18" t="str">
        <f ca="1"/>
        <v/>
      </c>
      <c r="CT165" s="18" t="str">
        <f ca="1"/>
        <v/>
      </c>
      <c r="CV165" s="10"/>
      <c r="CX165" s="18" t="str">
        <f ca="1">IFERROR(__xludf.DUMMYFUNCTION("""COMPUTED_VALUE"""),"startup_screen")</f>
        <v>startup_screen</v>
      </c>
      <c r="CY165" s="18" t="str">
        <f ca="1"/>
        <v>0xFC05</v>
      </c>
      <c r="CZ165" s="18" t="str">
        <f ca="1"/>
        <v>0x0024</v>
      </c>
      <c r="DA165" s="18" t="str">
        <f ca="1"/>
        <v>86400</v>
      </c>
      <c r="DC165" s="10"/>
    </row>
    <row r="166" spans="1:107" x14ac:dyDescent="0.25">
      <c r="A166" s="15" t="s">
        <v>309</v>
      </c>
      <c r="B166" s="15" t="b">
        <v>0</v>
      </c>
      <c r="C166" s="15"/>
      <c r="D166" s="16"/>
      <c r="E166" s="15"/>
      <c r="F166" s="15"/>
      <c r="G166" s="15"/>
      <c r="H166" s="17" t="str">
        <f ca="1">IFERROR(__xludf.DUMMYFUNCTION("""COMPUTED_VALUE"""),"x")</f>
        <v>x</v>
      </c>
      <c r="I166" s="15" t="s">
        <v>29</v>
      </c>
      <c r="J166" s="15" t="s">
        <v>29</v>
      </c>
      <c r="K166" s="15" t="s">
        <v>29</v>
      </c>
      <c r="L166" s="15" t="s">
        <v>29</v>
      </c>
      <c r="M166" s="15" t="s">
        <v>29</v>
      </c>
      <c r="N166" s="16"/>
      <c r="O166" s="18" t="s">
        <v>310</v>
      </c>
      <c r="P166" s="19"/>
      <c r="Q166" s="18" t="str">
        <f ca="1">IFERROR(__xludf.DUMMYFUNCTION("""COMPUTED_VALUE"""),"zb -a 0x0201 0xF0A0 0")</f>
        <v>zb -a 0x0201 0xF0A0 0</v>
      </c>
      <c r="R166" s="19"/>
      <c r="S166" s="20" t="str">
        <f ca="1">IFERROR(__xludf.DUMMYFUNCTION("""COMPUTED_VALUE"""),"occupancy_devices,10,260,513,61664,27,,,,,86400")</f>
        <v>occupancy_devices,10,260,513,61664,27,,,,,86400</v>
      </c>
      <c r="X166" s="18" t="str">
        <f ca="1">IFERROR(__xludf.DUMMYFUNCTION("""COMPUTED_VALUE"""),"ntc_beta_sensor_2")</f>
        <v>ntc_beta_sensor_2</v>
      </c>
      <c r="BP166" s="10"/>
      <c r="BR166" s="18" t="str">
        <f ca="1">IFERROR(__xludf.DUMMYFUNCTION("""COMPUTED_VALUE"""),"pir_unocc_delay")</f>
        <v>pir_unocc_delay</v>
      </c>
      <c r="BS166" s="18" t="str">
        <f ca="1">IFERROR(__xludf.DUMMYFUNCTION("""COMPUTED_VALUE"""),"0x0406")</f>
        <v>0x0406</v>
      </c>
      <c r="BT166" s="18" t="str">
        <f ca="1">IFERROR(__xludf.DUMMYFUNCTION("""COMPUTED_VALUE"""),"0x0010")</f>
        <v>0x0010</v>
      </c>
      <c r="BU166" s="18" t="str">
        <f ca="1">IFERROR(__xludf.DUMMYFUNCTION("""COMPUTED_VALUE"""),"600")</f>
        <v>600</v>
      </c>
      <c r="BW166" s="10"/>
      <c r="CF166" s="10"/>
      <c r="CH166" s="18" t="str">
        <f ca="1">IFERROR(__xludf.DUMMYFUNCTION("""COMPUTED_VALUE"""),"display_thermostat_menu_enabled")</f>
        <v>display_thermostat_menu_enabled</v>
      </c>
      <c r="CI166" s="18" t="str">
        <f ca="1">IFERROR(__xludf.DUMMYFUNCTION("""COMPUTED_VALUE"""),"0xFC05")</f>
        <v>0xFC05</v>
      </c>
      <c r="CJ166" s="18" t="str">
        <f ca="1">IFERROR(__xludf.DUMMYFUNCTION("""COMPUTED_VALUE"""),"0x001B")</f>
        <v>0x001B</v>
      </c>
      <c r="CK166" s="18" t="str">
        <f ca="1">IFERROR(__xludf.DUMMYFUNCTION("""COMPUTED_VALUE"""),"86400")</f>
        <v>86400</v>
      </c>
      <c r="CM166" s="10"/>
      <c r="CP166" s="18" t="str">
        <f ca="1"/>
        <v/>
      </c>
      <c r="CQ166" s="18" t="str">
        <f ca="1"/>
        <v/>
      </c>
      <c r="CR166" s="18" t="str">
        <f ca="1"/>
        <v/>
      </c>
      <c r="CS166" s="18" t="str">
        <f ca="1"/>
        <v/>
      </c>
      <c r="CT166" s="18" t="str">
        <f ca="1"/>
        <v/>
      </c>
      <c r="CV166" s="10"/>
      <c r="CX166" s="18" t="str">
        <f ca="1">IFERROR(__xludf.DUMMYFUNCTION("""COMPUTED_VALUE"""),"password_level_1")</f>
        <v>password_level_1</v>
      </c>
      <c r="CY166" s="18" t="str">
        <f ca="1"/>
        <v>0xFC05</v>
      </c>
      <c r="CZ166" s="18" t="str">
        <f ca="1"/>
        <v>0x0025</v>
      </c>
      <c r="DA166" s="18" t="str">
        <f ca="1"/>
        <v>86400</v>
      </c>
      <c r="DC166" s="10"/>
    </row>
    <row r="167" spans="1:107" x14ac:dyDescent="0.25">
      <c r="A167" s="15" t="s">
        <v>311</v>
      </c>
      <c r="B167" s="15"/>
      <c r="C167" s="15" t="s">
        <v>28</v>
      </c>
      <c r="D167" s="16"/>
      <c r="E167" s="15"/>
      <c r="F167" s="15"/>
      <c r="G167" s="15"/>
      <c r="H167" s="17" t="str">
        <f ca="1">IFERROR(__xludf.DUMMYFUNCTION("""COMPUTED_VALUE"""),"")</f>
        <v/>
      </c>
      <c r="I167" s="15" t="s">
        <v>29</v>
      </c>
      <c r="J167" s="15" t="s">
        <v>29</v>
      </c>
      <c r="K167" s="15" t="s">
        <v>29</v>
      </c>
      <c r="L167" s="15" t="s">
        <v>29</v>
      </c>
      <c r="M167" s="15" t="s">
        <v>29</v>
      </c>
      <c r="N167" s="16"/>
      <c r="O167" s="18" t="s">
        <v>312</v>
      </c>
      <c r="P167" s="19"/>
      <c r="Q167" s="18" t="str">
        <f ca="1">IFERROR(__xludf.DUMMYFUNCTION("""COMPUTED_VALUE"""),"")</f>
        <v/>
      </c>
      <c r="R167" s="19"/>
      <c r="S167" s="20" t="str">
        <f ca="1">IFERROR(__xludf.DUMMYFUNCTION("""COMPUTED_VALUE"""),"occupancy_sensor_offline,10,260,513,61666,27,,0,3600,0")</f>
        <v>occupancy_sensor_offline,10,260,513,61666,27,,0,3600,0</v>
      </c>
      <c r="X167" s="18" t="str">
        <f ca="1">IFERROR(__xludf.DUMMYFUNCTION("""COMPUTED_VALUE"""),"occupancy_devices")</f>
        <v>occupancy_devices</v>
      </c>
      <c r="BP167" s="10"/>
      <c r="BR167" s="18" t="str">
        <f ca="1">IFERROR(__xludf.DUMMYFUNCTION("""COMPUTED_VALUE"""),"pir_sensor_threshold")</f>
        <v>pir_sensor_threshold</v>
      </c>
      <c r="BS167" s="18" t="str">
        <f ca="1">IFERROR(__xludf.DUMMYFUNCTION("""COMPUTED_VALUE"""),"0x0406")</f>
        <v>0x0406</v>
      </c>
      <c r="BT167" s="18" t="str">
        <f ca="1">IFERROR(__xludf.DUMMYFUNCTION("""COMPUTED_VALUE"""),"0xF001")</f>
        <v>0xF001</v>
      </c>
      <c r="BU167" s="18" t="str">
        <f ca="1">IFERROR(__xludf.DUMMYFUNCTION("""COMPUTED_VALUE"""),"12")</f>
        <v>12</v>
      </c>
      <c r="BW167" s="10"/>
      <c r="CF167" s="10"/>
      <c r="CH167" s="18" t="str">
        <f ca="1">IFERROR(__xludf.DUMMYFUNCTION("""COMPUTED_VALUE"""),"zigbee_node_type")</f>
        <v>zigbee_node_type</v>
      </c>
      <c r="CI167" s="18" t="str">
        <f ca="1">IFERROR(__xludf.DUMMYFUNCTION("""COMPUTED_VALUE"""),"0xFC05")</f>
        <v>0xFC05</v>
      </c>
      <c r="CJ167" s="18" t="str">
        <f ca="1">IFERROR(__xludf.DUMMYFUNCTION("""COMPUTED_VALUE"""),"0x001C")</f>
        <v>0x001C</v>
      </c>
      <c r="CK167" s="18" t="str">
        <f ca="1">IFERROR(__xludf.DUMMYFUNCTION("""COMPUTED_VALUE"""),"86400")</f>
        <v>86400</v>
      </c>
      <c r="CM167" s="10"/>
      <c r="CP167" s="18" t="str">
        <f ca="1"/>
        <v/>
      </c>
      <c r="CQ167" s="18" t="str">
        <f ca="1"/>
        <v/>
      </c>
      <c r="CR167" s="18" t="str">
        <f ca="1"/>
        <v/>
      </c>
      <c r="CS167" s="18" t="str">
        <f ca="1"/>
        <v/>
      </c>
      <c r="CT167" s="18" t="str">
        <f ca="1"/>
        <v/>
      </c>
      <c r="CV167" s="10"/>
      <c r="CX167" s="18" t="str">
        <f ca="1">IFERROR(__xludf.DUMMYFUNCTION("""COMPUTED_VALUE"""),"password_level_2")</f>
        <v>password_level_2</v>
      </c>
      <c r="CY167" s="18" t="str">
        <f ca="1"/>
        <v>0xFC05</v>
      </c>
      <c r="CZ167" s="18" t="str">
        <f ca="1"/>
        <v>0x0026</v>
      </c>
      <c r="DA167" s="18" t="str">
        <f ca="1"/>
        <v>86400</v>
      </c>
      <c r="DC167" s="10"/>
    </row>
    <row r="168" spans="1:107" x14ac:dyDescent="0.25">
      <c r="A168" s="15" t="s">
        <v>313</v>
      </c>
      <c r="B168" s="15"/>
      <c r="C168" s="15" t="s">
        <v>28</v>
      </c>
      <c r="D168" s="16"/>
      <c r="E168" s="15"/>
      <c r="F168" s="15"/>
      <c r="G168" s="15"/>
      <c r="H168" s="17" t="str">
        <f ca="1">IFERROR(__xludf.DUMMYFUNCTION("""COMPUTED_VALUE"""),"")</f>
        <v/>
      </c>
      <c r="I168" s="15" t="s">
        <v>29</v>
      </c>
      <c r="J168" s="15" t="s">
        <v>29</v>
      </c>
      <c r="K168" s="15" t="s">
        <v>29</v>
      </c>
      <c r="L168" s="15" t="s">
        <v>29</v>
      </c>
      <c r="M168" s="15" t="s">
        <v>29</v>
      </c>
      <c r="N168" s="16"/>
      <c r="O168" s="18" t="s">
        <v>314</v>
      </c>
      <c r="P168" s="19"/>
      <c r="Q168" s="18" t="str">
        <f ca="1">IFERROR(__xludf.DUMMYFUNCTION("""COMPUTED_VALUE"""),"")</f>
        <v/>
      </c>
      <c r="R168" s="19"/>
      <c r="S168" s="20" t="str">
        <f ca="1">IFERROR(__xludf.DUMMYFUNCTION("""COMPUTED_VALUE"""),"occupancy_sensor_state,10,260,513,61665,27,,0,3600,0")</f>
        <v>occupancy_sensor_state,10,260,513,61665,27,,0,3600,0</v>
      </c>
      <c r="X168" s="18" t="str">
        <f ca="1">IFERROR(__xludf.DUMMYFUNCTION("""COMPUTED_VALUE"""),"occupancy_sensor_offline")</f>
        <v>occupancy_sensor_offline</v>
      </c>
      <c r="BP168" s="10"/>
      <c r="BR168" s="18" t="str">
        <f ca="1">IFERROR(__xludf.DUMMYFUNCTION("""COMPUTED_VALUE"""),"config_menu_password")</f>
        <v>config_menu_password</v>
      </c>
      <c r="BS168" s="18" t="str">
        <f ca="1">IFERROR(__xludf.DUMMYFUNCTION("""COMPUTED_VALUE"""),"0xFC05")</f>
        <v>0xFC05</v>
      </c>
      <c r="BT168" s="18" t="str">
        <f ca="1">IFERROR(__xludf.DUMMYFUNCTION("""COMPUTED_VALUE"""),"0x0000")</f>
        <v>0x0000</v>
      </c>
      <c r="BU168" s="18" t="str">
        <f ca="1">IFERROR(__xludf.DUMMYFUNCTION("""COMPUTED_VALUE"""),"50554")</f>
        <v>50554</v>
      </c>
      <c r="BW168" s="10"/>
      <c r="CF168" s="10"/>
      <c r="CH168" s="18" t="str">
        <f ca="1">IFERROR(__xludf.DUMMYFUNCTION("""COMPUTED_VALUE"""),"display_schedule_menu_enabled")</f>
        <v>display_schedule_menu_enabled</v>
      </c>
      <c r="CI168" s="18" t="str">
        <f ca="1">IFERROR(__xludf.DUMMYFUNCTION("""COMPUTED_VALUE"""),"0xFC05")</f>
        <v>0xFC05</v>
      </c>
      <c r="CJ168" s="18" t="str">
        <f ca="1">IFERROR(__xludf.DUMMYFUNCTION("""COMPUTED_VALUE"""),"0x001D")</f>
        <v>0x001D</v>
      </c>
      <c r="CK168" s="18" t="str">
        <f ca="1">IFERROR(__xludf.DUMMYFUNCTION("""COMPUTED_VALUE"""),"86400")</f>
        <v>86400</v>
      </c>
      <c r="CM168" s="10"/>
      <c r="CP168" s="18" t="str">
        <f ca="1"/>
        <v/>
      </c>
      <c r="CQ168" s="18" t="str">
        <f ca="1"/>
        <v/>
      </c>
      <c r="CR168" s="18" t="str">
        <f ca="1"/>
        <v/>
      </c>
      <c r="CS168" s="18" t="str">
        <f ca="1"/>
        <v/>
      </c>
      <c r="CT168" s="18" t="str">
        <f ca="1"/>
        <v/>
      </c>
      <c r="CV168" s="10"/>
      <c r="CX168" s="18" t="str">
        <f ca="1">IFERROR(__xludf.DUMMYFUNCTION("""COMPUTED_VALUE"""),"bacnet_oid")</f>
        <v>bacnet_oid</v>
      </c>
      <c r="CY168" s="18" t="str">
        <f ca="1"/>
        <v>0xFC05</v>
      </c>
      <c r="CZ168" s="18" t="str">
        <f ca="1"/>
        <v>0x0027</v>
      </c>
      <c r="DA168" s="18" t="str">
        <f ca="1"/>
        <v>86400</v>
      </c>
      <c r="DC168" s="10"/>
    </row>
    <row r="169" spans="1:107" x14ac:dyDescent="0.25">
      <c r="A169" s="15" t="s">
        <v>315</v>
      </c>
      <c r="B169" s="15"/>
      <c r="C169" s="15" t="s">
        <v>45</v>
      </c>
      <c r="D169" s="16"/>
      <c r="E169" s="15"/>
      <c r="F169" s="15"/>
      <c r="G169" s="15"/>
      <c r="H169" s="17" t="str">
        <f ca="1">IFERROR(__xludf.DUMMYFUNCTION("""COMPUTED_VALUE"""),"x")</f>
        <v>x</v>
      </c>
      <c r="I169" s="15" t="s">
        <v>29</v>
      </c>
      <c r="J169" s="15" t="s">
        <v>29</v>
      </c>
      <c r="K169" s="15" t="s">
        <v>29</v>
      </c>
      <c r="L169" s="15" t="s">
        <v>29</v>
      </c>
      <c r="M169" s="15" t="s">
        <v>29</v>
      </c>
      <c r="N169" s="16"/>
      <c r="O169" s="18" t="s">
        <v>316</v>
      </c>
      <c r="P169" s="19"/>
      <c r="Q169" s="18" t="str">
        <f ca="1">IFERROR(__xludf.DUMMYFUNCTION("""COMPUTED_VALUE"""),"zb -a 0x0201 0xF0A3 5")</f>
        <v>zb -a 0x0201 0xF0A3 5</v>
      </c>
      <c r="R169" s="19"/>
      <c r="S169" s="20" t="str">
        <f ca="1">IFERROR(__xludf.DUMMYFUNCTION("""COMPUTED_VALUE"""),"oem_brand,10,260,64517,34,48,0,,,,86400")</f>
        <v>oem_brand,10,260,64517,34,48,0,,,,86400</v>
      </c>
      <c r="X169" s="18" t="str">
        <f ca="1">IFERROR(__xludf.DUMMYFUNCTION("""COMPUTED_VALUE"""),"occupancy_sensor_state")</f>
        <v>occupancy_sensor_state</v>
      </c>
      <c r="BP169" s="10"/>
      <c r="BR169" s="18" t="str">
        <f ca="1">IFERROR(__xludf.DUMMYFUNCTION("""COMPUTED_VALUE"""),"display_home_detailed")</f>
        <v>display_home_detailed</v>
      </c>
      <c r="BS169" s="18" t="str">
        <f ca="1">IFERROR(__xludf.DUMMYFUNCTION("""COMPUTED_VALUE"""),"0xFC05")</f>
        <v>0xFC05</v>
      </c>
      <c r="BT169" s="18" t="str">
        <f ca="1">IFERROR(__xludf.DUMMYFUNCTION("""COMPUTED_VALUE"""),"0x0005")</f>
        <v>0x0005</v>
      </c>
      <c r="BU169" s="18" t="str">
        <f ca="1">IFERROR(__xludf.DUMMYFUNCTION("""COMPUTED_VALUE"""),"""medium""")</f>
        <v>"medium"</v>
      </c>
      <c r="BW169" s="10"/>
      <c r="CF169" s="10"/>
      <c r="CH169" s="18" t="str">
        <f ca="1">IFERROR(__xludf.DUMMYFUNCTION("""COMPUTED_VALUE"""),"display_settings_menu_enabled")</f>
        <v>display_settings_menu_enabled</v>
      </c>
      <c r="CI169" s="18" t="str">
        <f ca="1">IFERROR(__xludf.DUMMYFUNCTION("""COMPUTED_VALUE"""),"0xFC05")</f>
        <v>0xFC05</v>
      </c>
      <c r="CJ169" s="18" t="str">
        <f ca="1">IFERROR(__xludf.DUMMYFUNCTION("""COMPUTED_VALUE"""),"0x001E")</f>
        <v>0x001E</v>
      </c>
      <c r="CK169" s="18" t="str">
        <f ca="1">IFERROR(__xludf.DUMMYFUNCTION("""COMPUTED_VALUE"""),"86400")</f>
        <v>86400</v>
      </c>
      <c r="CM169" s="10"/>
      <c r="CP169" s="18" t="str">
        <f ca="1"/>
        <v/>
      </c>
      <c r="CQ169" s="18" t="str">
        <f ca="1"/>
        <v/>
      </c>
      <c r="CR169" s="18" t="str">
        <f ca="1"/>
        <v/>
      </c>
      <c r="CS169" s="18" t="str">
        <f ca="1"/>
        <v/>
      </c>
      <c r="CT169" s="18" t="str">
        <f ca="1"/>
        <v/>
      </c>
      <c r="CV169" s="10"/>
      <c r="CX169" s="18" t="str">
        <f ca="1">IFERROR(__xludf.DUMMYFUNCTION("""COMPUTED_VALUE"""),"push_button_config_key_1")</f>
        <v>push_button_config_key_1</v>
      </c>
      <c r="CY169" s="18" t="str">
        <f ca="1"/>
        <v>0xFC05</v>
      </c>
      <c r="CZ169" s="18" t="str">
        <f ca="1"/>
        <v>0x0028</v>
      </c>
      <c r="DA169" s="18" t="str">
        <f ca="1"/>
        <v>86400</v>
      </c>
      <c r="DC169" s="10"/>
    </row>
    <row r="170" spans="1:107" x14ac:dyDescent="0.25">
      <c r="A170" s="15" t="s">
        <v>317</v>
      </c>
      <c r="B170" s="15"/>
      <c r="C170" s="15" t="s">
        <v>45</v>
      </c>
      <c r="D170" s="16"/>
      <c r="E170" s="15"/>
      <c r="F170" s="15"/>
      <c r="G170" s="15"/>
      <c r="H170" s="17" t="str">
        <f ca="1">IFERROR(__xludf.DUMMYFUNCTION("""COMPUTED_VALUE"""),"x")</f>
        <v>x</v>
      </c>
      <c r="I170" s="15" t="s">
        <v>29</v>
      </c>
      <c r="J170" s="15" t="s">
        <v>29</v>
      </c>
      <c r="K170" s="15" t="s">
        <v>29</v>
      </c>
      <c r="L170" s="15" t="s">
        <v>29</v>
      </c>
      <c r="M170" s="15" t="s">
        <v>29</v>
      </c>
      <c r="N170" s="16"/>
      <c r="O170" s="18" t="s">
        <v>318</v>
      </c>
      <c r="P170" s="19"/>
      <c r="Q170" s="18" t="str">
        <f ca="1">IFERROR(__xludf.DUMMYFUNCTION("""COMPUTED_VALUE"""),"zb -a 0x0201 0xF0A4 240")</f>
        <v>zb -a 0x0201 0xF0A4 240</v>
      </c>
      <c r="R170" s="19"/>
      <c r="S170" s="20" t="str">
        <f ca="1">IFERROR(__xludf.DUMMYFUNCTION("""COMPUTED_VALUE"""),"output_state,10,260,513,61570,48,,0,3600,0")</f>
        <v>output_state,10,260,513,61570,48,,0,3600,0</v>
      </c>
      <c r="X170" s="18" t="str">
        <f ca="1">IFERROR(__xludf.DUMMYFUNCTION("""COMPUTED_VALUE"""),"oem_brand")</f>
        <v>oem_brand</v>
      </c>
      <c r="BP170" s="10"/>
      <c r="BR170" s="18" t="str">
        <f ca="1">IFERROR(__xludf.DUMMYFUNCTION("""COMPUTED_VALUE"""),"haptic_enabled")</f>
        <v>haptic_enabled</v>
      </c>
      <c r="BS170" s="18" t="str">
        <f ca="1">IFERROR(__xludf.DUMMYFUNCTION("""COMPUTED_VALUE"""),"0xFC05")</f>
        <v>0xFC05</v>
      </c>
      <c r="BT170" s="18" t="str">
        <f ca="1">IFERROR(__xludf.DUMMYFUNCTION("""COMPUTED_VALUE"""),"0x0009")</f>
        <v>0x0009</v>
      </c>
      <c r="BU170" s="18" t="str">
        <f ca="1">IFERROR(__xludf.DUMMYFUNCTION("""COMPUTED_VALUE"""),"""line_powered""")</f>
        <v>"line_powered"</v>
      </c>
      <c r="BW170" s="10"/>
      <c r="CF170" s="10"/>
      <c r="CH170" s="18" t="str">
        <f ca="1">IFERROR(__xludf.DUMMYFUNCTION("""COMPUTED_VALUE"""),"display_wifi_menu")</f>
        <v>display_wifi_menu</v>
      </c>
      <c r="CI170" s="18" t="str">
        <f ca="1">IFERROR(__xludf.DUMMYFUNCTION("""COMPUTED_VALUE"""),"0xFC05")</f>
        <v>0xFC05</v>
      </c>
      <c r="CJ170" s="18" t="str">
        <f ca="1">IFERROR(__xludf.DUMMYFUNCTION("""COMPUTED_VALUE"""),"0x001F")</f>
        <v>0x001F</v>
      </c>
      <c r="CK170" s="18" t="str">
        <f ca="1">IFERROR(__xludf.DUMMYFUNCTION("""COMPUTED_VALUE"""),"86400")</f>
        <v>86400</v>
      </c>
      <c r="CM170" s="10"/>
      <c r="CP170" s="18" t="str">
        <f ca="1"/>
        <v/>
      </c>
      <c r="CQ170" s="18" t="str">
        <f ca="1"/>
        <v/>
      </c>
      <c r="CR170" s="18" t="str">
        <f ca="1"/>
        <v/>
      </c>
      <c r="CS170" s="18" t="str">
        <f ca="1"/>
        <v/>
      </c>
      <c r="CT170" s="18" t="str">
        <f ca="1"/>
        <v/>
      </c>
      <c r="CV170" s="10"/>
      <c r="CX170" s="18" t="str">
        <f ca="1">IFERROR(__xludf.DUMMYFUNCTION("""COMPUTED_VALUE"""),"push_button_config_key_2")</f>
        <v>push_button_config_key_2</v>
      </c>
      <c r="CY170" s="18" t="str">
        <f ca="1"/>
        <v>0xFC05</v>
      </c>
      <c r="CZ170" s="18" t="str">
        <f ca="1"/>
        <v>0x0029</v>
      </c>
      <c r="DA170" s="18" t="str">
        <f ca="1"/>
        <v>86400</v>
      </c>
      <c r="DC170" s="10"/>
    </row>
    <row r="171" spans="1:107" x14ac:dyDescent="0.25">
      <c r="A171" s="15" t="s">
        <v>319</v>
      </c>
      <c r="B171" s="15"/>
      <c r="C171" s="15"/>
      <c r="D171" s="16"/>
      <c r="E171" s="15"/>
      <c r="F171" s="15"/>
      <c r="G171" s="15"/>
      <c r="H171" s="17" t="str">
        <f ca="1">IFERROR(__xludf.DUMMYFUNCTION("""COMPUTED_VALUE"""),"")</f>
        <v/>
      </c>
      <c r="I171" s="15" t="s">
        <v>29</v>
      </c>
      <c r="J171" s="15" t="s">
        <v>29</v>
      </c>
      <c r="K171" s="15" t="s">
        <v>29</v>
      </c>
      <c r="L171" s="15" t="s">
        <v>29</v>
      </c>
      <c r="M171" s="15" t="s">
        <v>29</v>
      </c>
      <c r="N171" s="16"/>
      <c r="O171" s="18" t="str">
        <f ca="1">IFERROR(__xludf.DUMMYFUNCTION("IF(A171="""","""",A171
&amp;"",""
&amp;HEX2DEC(VLOOKUP(A171,{'Data Model Parser'!$C$4:$C1626,'Data Model Parser'!$U$4:$U1626},2,0))
&amp;"",""
&amp;HEX2DEC(VLOOKUP(A171,{'Data Model Parser'!$C$4:$C1626,'Data Model Parser'!$V$4:$V1626},2,0))
&amp;"",""
&amp;HEX2DEC(VLOOKUP(A171,{"&amp;"'Data Model Parser'!$C$4:$C1626,'Data Model Parser'!$W$4:$W1626},2,0))
&amp;"",""
&amp;HEX2DEC(VLOOKUP(A171,{'Data Model Parser'!$C$4:$C1626,'Data Model Parser'!$T$4:$T1626},2,0))
&amp;"",""
&amp;HEX2DEC(VLOOKUP(A171,{'Data Model Parser'!$C$4:$C1626,'Data Model Parser'!$"&amp;"X$4:$X1626},2,0))
&amp;"",""
&amp;IFS(B171="""","""",REGEXREPLACE(B171,CHAR(34),"""")=""cool_only"",""1"",REGEXREPLACE(B171,CHAR(34),"""")=""heat_only"",""2"",REGEXREPLACE(B171,CHAR(34),"""")=""cool+heat"",""3"",REGEXREPLACE(B171,CHAR(34),"""")=""auto"",""4"")
&amp;"&amp;""",""
&amp;IF(VLOOKUP(A171,{'Data Model Parser'!$C$4:$C1626,'Data Model Parser'!$G$4:$G1626},2,0)=""polled"","",,,""&amp;VLOOKUP(A171,{'Data Model Parser'!$C$4:$C1626,'Data Model Parser'!$H$4:$H1626},2,0),
IF(VLOOKUP(A171,{'Data Model Parser'!$C$4:$C1626,'Data Mo"&amp;"del Parser'!$G$4:$G1626},2,0)=""reported"",
IFS(E171&lt;&gt;"""",E171&amp;"","",
E171="""",VLOOKUP(A171,{'Data Model Parser'!$C$4:$C1626,'Data Model Parser'!$J$4:$J1626},2,0)&amp;"","")
&amp;IFS(F171&lt;&gt;"""",F171&amp;"","",
F171="""",VLOOKUP(A171,{'Data Model Parser'!$C$4:$C1626"&amp;",'Data Model Parser'!$I$4:$I1626},2,0)&amp;"","")
&amp;IFS(G171&lt;&gt;"""",G171,
G171="""",VLOOKUP(A171,{'Data Model Parser'!$C$4:$C1626,'Data Model Parser'!$K$4:$K1626},2,0)))))"),"aquastat_chilled_modes_available,10,260,513,61605,24,,,,,86400")</f>
        <v>aquastat_chilled_modes_available,10,260,513,61605,24,,,,,86400</v>
      </c>
      <c r="P171" s="19"/>
      <c r="Q171" s="18" t="str">
        <f ca="1">IFERROR(__xludf.DUMMYFUNCTION("""COMPUTED_VALUE"""),"")</f>
        <v/>
      </c>
      <c r="R171" s="19"/>
      <c r="S171" s="20" t="str">
        <f ca="1">IFERROR(__xludf.DUMMYFUNCTION("""COMPUTED_VALUE"""),"password_level_1,10,260,64517,37,33,7855,,,,86400")</f>
        <v>password_level_1,10,260,64517,37,33,7855,,,,86400</v>
      </c>
      <c r="X171" s="18" t="str">
        <f ca="1">IFERROR(__xludf.DUMMYFUNCTION("""COMPUTED_VALUE"""),"output_state")</f>
        <v>output_state</v>
      </c>
      <c r="BP171" s="10"/>
      <c r="BR171" s="18" t="str">
        <f ca="1">IFERROR(__xludf.DUMMYFUNCTION("""COMPUTED_VALUE"""),"display_brightness_high_light")</f>
        <v>display_brightness_high_light</v>
      </c>
      <c r="BS171" s="18" t="str">
        <f ca="1">IFERROR(__xludf.DUMMYFUNCTION("""COMPUTED_VALUE"""),"0xFC05")</f>
        <v>0xFC05</v>
      </c>
      <c r="BT171" s="18" t="str">
        <f ca="1">IFERROR(__xludf.DUMMYFUNCTION("""COMPUTED_VALUE"""),"0x000D")</f>
        <v>0x000D</v>
      </c>
      <c r="BU171" s="18" t="str">
        <f ca="1">IFERROR(__xludf.DUMMYFUNCTION("""COMPUTED_VALUE"""),"32000")</f>
        <v>32000</v>
      </c>
      <c r="BW171" s="10"/>
      <c r="CF171" s="10"/>
      <c r="CH171" s="18" t="str">
        <f ca="1">IFERROR(__xludf.DUMMYFUNCTION("""COMPUTED_VALUE"""),"display_leaf_button_disabled")</f>
        <v>display_leaf_button_disabled</v>
      </c>
      <c r="CI171" s="18" t="str">
        <f ca="1">IFERROR(__xludf.DUMMYFUNCTION("""COMPUTED_VALUE"""),"0xFC05")</f>
        <v>0xFC05</v>
      </c>
      <c r="CJ171" s="18" t="str">
        <f ca="1">IFERROR(__xludf.DUMMYFUNCTION("""COMPUTED_VALUE"""),"0x0021")</f>
        <v>0x0021</v>
      </c>
      <c r="CK171" s="18" t="str">
        <f ca="1">IFERROR(__xludf.DUMMYFUNCTION("""COMPUTED_VALUE"""),"86400")</f>
        <v>86400</v>
      </c>
      <c r="CM171" s="10"/>
      <c r="CP171" s="18" t="str">
        <f ca="1"/>
        <v/>
      </c>
      <c r="CQ171" s="18" t="str">
        <f ca="1"/>
        <v/>
      </c>
      <c r="CR171" s="18" t="str">
        <f ca="1"/>
        <v/>
      </c>
      <c r="CS171" s="18" t="str">
        <f ca="1"/>
        <v/>
      </c>
      <c r="CT171" s="18" t="str">
        <f ca="1"/>
        <v/>
      </c>
      <c r="CV171" s="10"/>
      <c r="CX171" s="18" t="str">
        <f ca="1">IFERROR(__xludf.DUMMYFUNCTION("""COMPUTED_VALUE"""),"push_button_config_key_3")</f>
        <v>push_button_config_key_3</v>
      </c>
      <c r="CY171" s="18" t="str">
        <f ca="1"/>
        <v>0xFC05</v>
      </c>
      <c r="CZ171" s="18" t="str">
        <f ca="1"/>
        <v>0x002A</v>
      </c>
      <c r="DA171" s="18" t="str">
        <f ca="1"/>
        <v>86400</v>
      </c>
      <c r="DC171" s="10"/>
    </row>
    <row r="172" spans="1:107" x14ac:dyDescent="0.25">
      <c r="A172" s="15" t="s">
        <v>320</v>
      </c>
      <c r="B172" s="15"/>
      <c r="C172" s="15"/>
      <c r="D172" s="16"/>
      <c r="E172" s="15"/>
      <c r="F172" s="15"/>
      <c r="G172" s="15"/>
      <c r="H172" s="17" t="str">
        <f ca="1">IFERROR(__xludf.DUMMYFUNCTION("""COMPUTED_VALUE"""),"")</f>
        <v/>
      </c>
      <c r="I172" s="15" t="s">
        <v>29</v>
      </c>
      <c r="J172" s="15" t="s">
        <v>29</v>
      </c>
      <c r="K172" s="15" t="s">
        <v>29</v>
      </c>
      <c r="L172" s="15" t="s">
        <v>29</v>
      </c>
      <c r="M172" s="15" t="s">
        <v>29</v>
      </c>
      <c r="N172" s="16"/>
      <c r="O172" s="18" t="str">
        <f ca="1">IFERROR(__xludf.DUMMYFUNCTION("IF(A172="""","""",A172
&amp;"",""
&amp;HEX2DEC(VLOOKUP(A172,{'Data Model Parser'!$C$4:$C1626,'Data Model Parser'!$U$4:$U1626},2,0))
&amp;"",""
&amp;HEX2DEC(VLOOKUP(A172,{'Data Model Parser'!$C$4:$C1626,'Data Model Parser'!$V$4:$V1626},2,0))
&amp;"",""
&amp;HEX2DEC(VLOOKUP(A172,{"&amp;"'Data Model Parser'!$C$4:$C1626,'Data Model Parser'!$W$4:$W1626},2,0))
&amp;"",""
&amp;HEX2DEC(VLOOKUP(A172,{'Data Model Parser'!$C$4:$C1626,'Data Model Parser'!$T$4:$T1626},2,0))
&amp;"",""
&amp;HEX2DEC(VLOOKUP(A172,{'Data Model Parser'!$C$4:$C1626,'Data Model Parser'!$"&amp;"X$4:$X1626},2,0))
&amp;"",""
&amp;IFS(B172="""","""",REGEXREPLACE(B172,CHAR(34),"""")=""cool_only"",""1"",REGEXREPLACE(B172,CHAR(34),"""")=""heat_only"",""2"",REGEXREPLACE(B172,CHAR(34),"""")=""cool+heat"",""3"",REGEXREPLACE(B172,CHAR(34),"""")=""auto"",""4"")
&amp;"&amp;""",""
&amp;IF(VLOOKUP(A172,{'Data Model Parser'!$C$4:$C1626,'Data Model Parser'!$G$4:$G1626},2,0)=""polled"","",,,""&amp;VLOOKUP(A172,{'Data Model Parser'!$C$4:$C1626,'Data Model Parser'!$H$4:$H1626},2,0),
IF(VLOOKUP(A172,{'Data Model Parser'!$C$4:$C1626,'Data Mo"&amp;"del Parser'!$G$4:$G1626},2,0)=""reported"",
IFS(E172&lt;&gt;"""",E172&amp;"","",
E172="""",VLOOKUP(A172,{'Data Model Parser'!$C$4:$C1626,'Data Model Parser'!$J$4:$J1626},2,0)&amp;"","")
&amp;IFS(F172&lt;&gt;"""",F172&amp;"","",
F172="""",VLOOKUP(A172,{'Data Model Parser'!$C$4:$C1626"&amp;",'Data Model Parser'!$I$4:$I1626},2,0)&amp;"","")
&amp;IFS(G172&lt;&gt;"""",G172,
G172="""",VLOOKUP(A172,{'Data Model Parser'!$C$4:$C1626,'Data Model Parser'!$K$4:$K1626},2,0)))))"),"aquastat_heated_modes_available,10,260,513,61606,24,,,,,86400")</f>
        <v>aquastat_heated_modes_available,10,260,513,61606,24,,,,,86400</v>
      </c>
      <c r="P172" s="19"/>
      <c r="Q172" s="18" t="str">
        <f ca="1">IFERROR(__xludf.DUMMYFUNCTION("""COMPUTED_VALUE"""),"")</f>
        <v/>
      </c>
      <c r="R172" s="19"/>
      <c r="S172" s="20" t="str">
        <f ca="1">IFERROR(__xludf.DUMMYFUNCTION("""COMPUTED_VALUE"""),"password_level_2,10,260,64517,38,33,50554,,,,86400")</f>
        <v>password_level_2,10,260,64517,38,33,50554,,,,86400</v>
      </c>
      <c r="X172" s="18" t="str">
        <f ca="1">IFERROR(__xludf.DUMMYFUNCTION("""COMPUTED_VALUE"""),"password_level_1")</f>
        <v>password_level_1</v>
      </c>
      <c r="BP172" s="10"/>
      <c r="BR172" s="18" t="str">
        <f ca="1">IFERROR(__xludf.DUMMYFUNCTION("""COMPUTED_VALUE"""),"display_brightness_low_light")</f>
        <v>display_brightness_low_light</v>
      </c>
      <c r="BS172" s="18" t="str">
        <f ca="1">IFERROR(__xludf.DUMMYFUNCTION("""COMPUTED_VALUE"""),"0xFC05")</f>
        <v>0xFC05</v>
      </c>
      <c r="BT172" s="18" t="str">
        <f ca="1">IFERROR(__xludf.DUMMYFUNCTION("""COMPUTED_VALUE"""),"0x000E")</f>
        <v>0x000E</v>
      </c>
      <c r="BU172" s="18" t="str">
        <f ca="1">IFERROR(__xludf.DUMMYFUNCTION("""COMPUTED_VALUE"""),"400")</f>
        <v>400</v>
      </c>
      <c r="BW172" s="10"/>
      <c r="CF172" s="10"/>
      <c r="CH172" s="18" t="str">
        <f ca="1">IFERROR(__xludf.DUMMYFUNCTION("""COMPUTED_VALUE"""),"oem_brand")</f>
        <v>oem_brand</v>
      </c>
      <c r="CI172" s="18" t="str">
        <f ca="1">IFERROR(__xludf.DUMMYFUNCTION("""COMPUTED_VALUE"""),"0xFC05")</f>
        <v>0xFC05</v>
      </c>
      <c r="CJ172" s="18" t="str">
        <f ca="1">IFERROR(__xludf.DUMMYFUNCTION("""COMPUTED_VALUE"""),"0x0022")</f>
        <v>0x0022</v>
      </c>
      <c r="CK172" s="18" t="str">
        <f ca="1">IFERROR(__xludf.DUMMYFUNCTION("""COMPUTED_VALUE"""),"86400")</f>
        <v>86400</v>
      </c>
      <c r="CM172" s="10"/>
      <c r="CP172" s="18" t="str">
        <f ca="1"/>
        <v/>
      </c>
      <c r="CQ172" s="18" t="str">
        <f ca="1"/>
        <v/>
      </c>
      <c r="CR172" s="18" t="str">
        <f ca="1"/>
        <v/>
      </c>
      <c r="CS172" s="18" t="str">
        <f ca="1"/>
        <v/>
      </c>
      <c r="CT172" s="18" t="str">
        <f ca="1"/>
        <v/>
      </c>
      <c r="CV172" s="10"/>
      <c r="CX172" s="18" t="str">
        <f ca="1">IFERROR(__xludf.DUMMYFUNCTION("""COMPUTED_VALUE"""),"push_button_config_key_4")</f>
        <v>push_button_config_key_4</v>
      </c>
      <c r="CY172" s="18" t="str">
        <f ca="1"/>
        <v>0xFC05</v>
      </c>
      <c r="CZ172" s="18" t="str">
        <f ca="1"/>
        <v>0x002B</v>
      </c>
      <c r="DA172" s="18" t="str">
        <f ca="1"/>
        <v>86400</v>
      </c>
      <c r="DC172" s="10"/>
    </row>
    <row r="173" spans="1:107" x14ac:dyDescent="0.25">
      <c r="A173" s="15" t="s">
        <v>321</v>
      </c>
      <c r="B173" s="15"/>
      <c r="C173" s="15"/>
      <c r="D173" s="16"/>
      <c r="E173" s="15"/>
      <c r="F173" s="15"/>
      <c r="G173" s="15"/>
      <c r="H173" s="17" t="str">
        <f ca="1">IFERROR(__xludf.DUMMYFUNCTION("""COMPUTED_VALUE"""),"")</f>
        <v/>
      </c>
      <c r="I173" s="15" t="s">
        <v>29</v>
      </c>
      <c r="J173" s="15" t="s">
        <v>29</v>
      </c>
      <c r="K173" s="15" t="s">
        <v>29</v>
      </c>
      <c r="L173" s="15" t="s">
        <v>29</v>
      </c>
      <c r="M173" s="15" t="s">
        <v>29</v>
      </c>
      <c r="N173" s="16"/>
      <c r="O173" s="18" t="str">
        <f ca="1">IFERROR(__xludf.DUMMYFUNCTION("IF(A173="""","""",A173
&amp;"",""
&amp;HEX2DEC(VLOOKUP(A173,{'Data Model Parser'!$C$4:$C1626,'Data Model Parser'!$U$4:$U1626},2,0))
&amp;"",""
&amp;HEX2DEC(VLOOKUP(A173,{'Data Model Parser'!$C$4:$C1626,'Data Model Parser'!$V$4:$V1626},2,0))
&amp;"",""
&amp;HEX2DEC(VLOOKUP(A173,{"&amp;"'Data Model Parser'!$C$4:$C1626,'Data Model Parser'!$W$4:$W1626},2,0))
&amp;"",""
&amp;HEX2DEC(VLOOKUP(A173,{'Data Model Parser'!$C$4:$C1626,'Data Model Parser'!$T$4:$T1626},2,0))
&amp;"",""
&amp;HEX2DEC(VLOOKUP(A173,{'Data Model Parser'!$C$4:$C1626,'Data Model Parser'!$"&amp;"X$4:$X1626},2,0))
&amp;"",""
&amp;IFS(B173="""","""",REGEXREPLACE(B173,CHAR(34),"""")=""off"",""0"",REGEXREPLACE(B173,CHAR(34),"""")=""auto"",""1"",REGEXREPLACE(B173,CHAR(34),"""")=""cool"",""3"",REGEXREPLACE(B173,CHAR(34),"""")=""heat"",""4"")
&amp;"",""
&amp;IF(VLOOKUP"&amp;"(A173,{'Data Model Parser'!$C$4:$C1626,'Data Model Parser'!$G$4:$G1626},2,0)=""polled"","",,,""&amp;VLOOKUP(A173,{'Data Model Parser'!$C$4:$C1626,'Data Model Parser'!$H$4:$H1626},2,0),
IF(VLOOKUP(A173,{'Data Model Parser'!$C$4:$C1626,'Data Model Parser'!$G$4:"&amp;"$G1626},2,0)=""reported"",
IFS(E173&lt;&gt;"""",E173&amp;"","",
E173="""",VLOOKUP(A173,{'Data Model Parser'!$C$4:$C1626,'Data Model Parser'!$J$4:$J1626},2,0)&amp;"","")
&amp;IFS(F173&lt;&gt;"""",F173&amp;"","",
F173="""",VLOOKUP(A173,{'Data Model Parser'!$C$4:$C1626,'Data Model Pars"&amp;"er'!$I$4:$I1626},2,0)&amp;"","")
&amp;IFS(G173&lt;&gt;"""",G173,
G173="""",VLOOKUP(A173,{'Data Model Parser'!$C$4:$C1626,'Data Model Parser'!$K$4:$K1626},2,0)))))"),"aquastat_chilled_changeover_mode,10,260,513,61607,48,,,,,86400")</f>
        <v>aquastat_chilled_changeover_mode,10,260,513,61607,48,,,,,86400</v>
      </c>
      <c r="P173" s="19"/>
      <c r="Q173" s="18" t="str">
        <f ca="1">IFERROR(__xludf.DUMMYFUNCTION("""COMPUTED_VALUE"""),"")</f>
        <v/>
      </c>
      <c r="R173" s="19"/>
      <c r="S173" s="20" t="str">
        <f ca="1">IFERROR(__xludf.DUMMYFUNCTION("""COMPUTED_VALUE"""),"pir_sensor_threshold,10,260,1030,61441,32,12,,,,86400")</f>
        <v>pir_sensor_threshold,10,260,1030,61441,32,12,,,,86400</v>
      </c>
      <c r="X173" s="18" t="str">
        <f ca="1">IFERROR(__xludf.DUMMYFUNCTION("""COMPUTED_VALUE"""),"password_level_2")</f>
        <v>password_level_2</v>
      </c>
      <c r="Y173" s="18" t="str">
        <f ca="1">IFERROR(__xludf.DUMMYFUNCTION("UNIQUE(FILTER({$DE$4:$DE1626,$DH$4:$ES1626}, $DE$4:$DE1626=A173))"),"aquastat_chilled_changeover_mode")</f>
        <v>aquastat_chilled_changeover_mode</v>
      </c>
      <c r="Z173" s="18" t="str">
        <f ca="1">IFERROR(__xludf.DUMMYFUNCTION("""COMPUTED_VALUE"""),"""off""")</f>
        <v>"off"</v>
      </c>
      <c r="AA173" s="18" t="str">
        <f ca="1">IFERROR(__xludf.DUMMYFUNCTION("""COMPUTED_VALUE"""),"""cool""")</f>
        <v>"cool"</v>
      </c>
      <c r="AB173" s="18" t="str">
        <f ca="1">IFERROR(__xludf.DUMMYFUNCTION("""COMPUTED_VALUE"""),"""heat""")</f>
        <v>"heat"</v>
      </c>
      <c r="AC173" s="18" t="str">
        <f ca="1">IFERROR(__xludf.DUMMYFUNCTION("""COMPUTED_VALUE"""),"""auto""")</f>
        <v>"auto"</v>
      </c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P173" s="10"/>
      <c r="BR173" s="18" t="str">
        <f ca="1">IFERROR(__xludf.DUMMYFUNCTION("""COMPUTED_VALUE"""),"light_sensor_dark_threshold")</f>
        <v>light_sensor_dark_threshold</v>
      </c>
      <c r="BS173" s="18" t="str">
        <f ca="1">IFERROR(__xludf.DUMMYFUNCTION("""COMPUTED_VALUE"""),"0xFC05")</f>
        <v>0xFC05</v>
      </c>
      <c r="BT173" s="18" t="str">
        <f ca="1">IFERROR(__xludf.DUMMYFUNCTION("""COMPUTED_VALUE"""),"0x000F")</f>
        <v>0x000F</v>
      </c>
      <c r="BU173" s="18" t="str">
        <f ca="1">IFERROR(__xludf.DUMMYFUNCTION("""COMPUTED_VALUE"""),"4000")</f>
        <v>4000</v>
      </c>
      <c r="BW173" s="10"/>
      <c r="CF173" s="10"/>
      <c r="CH173" s="18" t="str">
        <f ca="1">IFERROR(__xludf.DUMMYFUNCTION("""COMPUTED_VALUE"""),"display_set_time_reminder")</f>
        <v>display_set_time_reminder</v>
      </c>
      <c r="CI173" s="18" t="str">
        <f ca="1">IFERROR(__xludf.DUMMYFUNCTION("""COMPUTED_VALUE"""),"0xFC05")</f>
        <v>0xFC05</v>
      </c>
      <c r="CJ173" s="18" t="str">
        <f ca="1">IFERROR(__xludf.DUMMYFUNCTION("""COMPUTED_VALUE"""),"0x0023")</f>
        <v>0x0023</v>
      </c>
      <c r="CK173" s="18" t="str">
        <f ca="1">IFERROR(__xludf.DUMMYFUNCTION("""COMPUTED_VALUE"""),"86400")</f>
        <v>86400</v>
      </c>
      <c r="CM173" s="10"/>
      <c r="CP173" s="18" t="str">
        <f ca="1"/>
        <v/>
      </c>
      <c r="CQ173" s="18" t="str">
        <f ca="1"/>
        <v/>
      </c>
      <c r="CR173" s="18" t="str">
        <f ca="1"/>
        <v/>
      </c>
      <c r="CS173" s="18" t="str">
        <f ca="1"/>
        <v/>
      </c>
      <c r="CT173" s="18" t="str">
        <f ca="1"/>
        <v/>
      </c>
      <c r="CV173" s="10"/>
      <c r="CX173" s="18" t="str">
        <f ca="1">IFERROR(__xludf.DUMMYFUNCTION("""COMPUTED_VALUE"""),"push_button_config_key_5")</f>
        <v>push_button_config_key_5</v>
      </c>
      <c r="CY173" s="18" t="str">
        <f ca="1"/>
        <v>0xFC05</v>
      </c>
      <c r="CZ173" s="18" t="str">
        <f ca="1"/>
        <v>0x002C</v>
      </c>
      <c r="DA173" s="18" t="str">
        <f ca="1"/>
        <v>86400</v>
      </c>
      <c r="DC173" s="10"/>
    </row>
    <row r="174" spans="1:107" x14ac:dyDescent="0.25">
      <c r="A174" s="15" t="s">
        <v>322</v>
      </c>
      <c r="B174" s="15"/>
      <c r="C174" s="15"/>
      <c r="D174" s="16"/>
      <c r="E174" s="15"/>
      <c r="F174" s="15"/>
      <c r="G174" s="15"/>
      <c r="H174" s="17" t="str">
        <f ca="1">IFERROR(__xludf.DUMMYFUNCTION("""COMPUTED_VALUE"""),"")</f>
        <v/>
      </c>
      <c r="I174" s="15" t="s">
        <v>29</v>
      </c>
      <c r="J174" s="15" t="s">
        <v>29</v>
      </c>
      <c r="K174" s="15" t="s">
        <v>29</v>
      </c>
      <c r="L174" s="15" t="s">
        <v>29</v>
      </c>
      <c r="M174" s="15" t="s">
        <v>29</v>
      </c>
      <c r="N174" s="16"/>
      <c r="O174" s="18" t="str">
        <f ca="1">IFERROR(__xludf.DUMMYFUNCTION("IF(A174="""","""",A174
&amp;"",""
&amp;HEX2DEC(VLOOKUP(A174,{'Data Model Parser'!$C$4:$C1626,'Data Model Parser'!$U$4:$U1626},2,0))
&amp;"",""
&amp;HEX2DEC(VLOOKUP(A174,{'Data Model Parser'!$C$4:$C1626,'Data Model Parser'!$V$4:$V1626},2,0))
&amp;"",""
&amp;HEX2DEC(VLOOKUP(A174,{"&amp;"'Data Model Parser'!$C$4:$C1626,'Data Model Parser'!$W$4:$W1626},2,0))
&amp;"",""
&amp;HEX2DEC(VLOOKUP(A174,{'Data Model Parser'!$C$4:$C1626,'Data Model Parser'!$T$4:$T1626},2,0))
&amp;"",""
&amp;HEX2DEC(VLOOKUP(A174,{'Data Model Parser'!$C$4:$C1626,'Data Model Parser'!$"&amp;"X$4:$X1626},2,0))
&amp;"",""
&amp;IFS(B174="""","""",REGEXREPLACE(B174,CHAR(34),"""")=""off"",""0"",REGEXREPLACE(B174,CHAR(34),"""")=""auto"",""1"",REGEXREPLACE(B174,CHAR(34),"""")=""cool"",""3"",REGEXREPLACE(B174,CHAR(34),"""")=""heat"",""4"")
&amp;"",""
&amp;IF(VLOOKUP"&amp;"(A174,{'Data Model Parser'!$C$4:$C1626,'Data Model Parser'!$G$4:$G1626},2,0)=""polled"","",,,""&amp;VLOOKUP(A174,{'Data Model Parser'!$C$4:$C1626,'Data Model Parser'!$H$4:$H1626},2,0),
IF(VLOOKUP(A174,{'Data Model Parser'!$C$4:$C1626,'Data Model Parser'!$G$4:"&amp;"$G1626},2,0)=""reported"",
IFS(E174&lt;&gt;"""",E174&amp;"","",
E174="""",VLOOKUP(A174,{'Data Model Parser'!$C$4:$C1626,'Data Model Parser'!$J$4:$J1626},2,0)&amp;"","")
&amp;IFS(F174&lt;&gt;"""",F174&amp;"","",
F174="""",VLOOKUP(A174,{'Data Model Parser'!$C$4:$C1626,'Data Model Pars"&amp;"er'!$I$4:$I1626},2,0)&amp;"","")
&amp;IFS(G174&lt;&gt;"""",G174,
G174="""",VLOOKUP(A174,{'Data Model Parser'!$C$4:$C1626,'Data Model Parser'!$K$4:$K1626},2,0)))))"),"aquastat_heated_changeover_mode,10,260,513,61608,48,,,,,86400")</f>
        <v>aquastat_heated_changeover_mode,10,260,513,61608,48,,,,,86400</v>
      </c>
      <c r="P174" s="19"/>
      <c r="Q174" s="18" t="str">
        <f ca="1">IFERROR(__xludf.DUMMYFUNCTION("""COMPUTED_VALUE"""),"")</f>
        <v/>
      </c>
      <c r="R174" s="19"/>
      <c r="S174" s="20" t="str">
        <f ca="1">IFERROR(__xludf.DUMMYFUNCTION("""COMPUTED_VALUE"""),"pir_unocc_delay,10,260,1030,16,33,600,,,,86400")</f>
        <v>pir_unocc_delay,10,260,1030,16,33,600,,,,86400</v>
      </c>
      <c r="X174" s="18" t="str">
        <f ca="1">IFERROR(__xludf.DUMMYFUNCTION("""COMPUTED_VALUE"""),"pir_sensor_threshold")</f>
        <v>pir_sensor_threshold</v>
      </c>
      <c r="BP174" s="10"/>
      <c r="BR174" s="18" t="str">
        <f ca="1">IFERROR(__xludf.DUMMYFUNCTION("""COMPUTED_VALUE"""),"show_available_modes")</f>
        <v>show_available_modes</v>
      </c>
      <c r="BS174" s="18" t="str">
        <f ca="1">IFERROR(__xludf.DUMMYFUNCTION("""COMPUTED_VALUE"""),"0xFC05")</f>
        <v>0xFC05</v>
      </c>
      <c r="BT174" s="18" t="str">
        <f ca="1">IFERROR(__xludf.DUMMYFUNCTION("""COMPUTED_VALUE"""),"0x0015")</f>
        <v>0x0015</v>
      </c>
      <c r="BU174" s="18" t="str">
        <f ca="1">IFERROR(__xludf.DUMMYFUNCTION("""COMPUTED_VALUE"""),"true")</f>
        <v>true</v>
      </c>
      <c r="BW174" s="10"/>
      <c r="CF174" s="10"/>
      <c r="CH174" s="18" t="str">
        <f ca="1">IFERROR(__xludf.DUMMYFUNCTION("""COMPUTED_VALUE"""),"startup_screen")</f>
        <v>startup_screen</v>
      </c>
      <c r="CI174" s="18" t="str">
        <f ca="1">IFERROR(__xludf.DUMMYFUNCTION("""COMPUTED_VALUE"""),"0xFC05")</f>
        <v>0xFC05</v>
      </c>
      <c r="CJ174" s="18" t="str">
        <f ca="1">IFERROR(__xludf.DUMMYFUNCTION("""COMPUTED_VALUE"""),"0x0024")</f>
        <v>0x0024</v>
      </c>
      <c r="CK174" s="18" t="str">
        <f ca="1">IFERROR(__xludf.DUMMYFUNCTION("""COMPUTED_VALUE"""),"86400")</f>
        <v>86400</v>
      </c>
      <c r="CM174" s="10"/>
      <c r="CP174" s="18" t="str">
        <f ca="1"/>
        <v/>
      </c>
      <c r="CQ174" s="18" t="str">
        <f ca="1"/>
        <v/>
      </c>
      <c r="CR174" s="18" t="str">
        <f ca="1"/>
        <v/>
      </c>
      <c r="CS174" s="18" t="str">
        <f ca="1"/>
        <v/>
      </c>
      <c r="CT174" s="18" t="str">
        <f ca="1"/>
        <v/>
      </c>
      <c r="CV174" s="10"/>
      <c r="CX174" s="18" t="str">
        <f ca="1">IFERROR(__xludf.DUMMYFUNCTION("""COMPUTED_VALUE"""),"push_button_config_key_6")</f>
        <v>push_button_config_key_6</v>
      </c>
      <c r="CY174" s="18" t="str">
        <f ca="1"/>
        <v>0xFC05</v>
      </c>
      <c r="CZ174" s="18" t="str">
        <f ca="1"/>
        <v>0x002D</v>
      </c>
      <c r="DA174" s="18" t="str">
        <f ca="1"/>
        <v>86400</v>
      </c>
      <c r="DC174" s="10"/>
    </row>
    <row r="175" spans="1:107" x14ac:dyDescent="0.25">
      <c r="A175" s="15"/>
      <c r="B175" s="15"/>
      <c r="C175" s="15"/>
      <c r="D175" s="16"/>
      <c r="E175" s="15"/>
      <c r="F175" s="15"/>
      <c r="G175" s="15"/>
      <c r="H175" s="17" t="str">
        <f ca="1">IFERROR(__xludf.DUMMYFUNCTION("""COMPUTED_VALUE"""),"")</f>
        <v/>
      </c>
      <c r="I175" s="15" t="s">
        <v>29</v>
      </c>
      <c r="J175" s="15" t="s">
        <v>29</v>
      </c>
      <c r="K175" s="15" t="s">
        <v>29</v>
      </c>
      <c r="L175" s="15" t="s">
        <v>29</v>
      </c>
      <c r="M175" s="15" t="s">
        <v>29</v>
      </c>
      <c r="N175" s="16"/>
      <c r="P175" s="19"/>
      <c r="Q175" s="18" t="str">
        <f ca="1">IFERROR(__xludf.DUMMYFUNCTION("""COMPUTED_VALUE"""),"")</f>
        <v/>
      </c>
      <c r="R175" s="19"/>
      <c r="S175" s="20" t="str">
        <f ca="1">IFERROR(__xludf.DUMMYFUNCTION("""COMPUTED_VALUE"""),"primary_temp_sensor,10,260,513,61519,48,32,,,,86400")</f>
        <v>primary_temp_sensor,10,260,513,61519,48,32,,,,86400</v>
      </c>
      <c r="X175" s="18" t="str">
        <f ca="1">IFERROR(__xludf.DUMMYFUNCTION("""COMPUTED_VALUE"""),"pir_unocc_delay")</f>
        <v>pir_unocc_delay</v>
      </c>
      <c r="BP175" s="10"/>
      <c r="BR175" s="18" t="str">
        <f ca="1">IFERROR(__xludf.DUMMYFUNCTION("""COMPUTED_VALUE"""),"hidden_ap_enabled")</f>
        <v>hidden_ap_enabled</v>
      </c>
      <c r="BS175" s="18" t="str">
        <f ca="1">IFERROR(__xludf.DUMMYFUNCTION("""COMPUTED_VALUE"""),"0xFC05")</f>
        <v>0xFC05</v>
      </c>
      <c r="BT175" s="18" t="str">
        <f ca="1">IFERROR(__xludf.DUMMYFUNCTION("""COMPUTED_VALUE"""),"0x0016")</f>
        <v>0x0016</v>
      </c>
      <c r="BU175" s="18" t="str">
        <f ca="1">IFERROR(__xludf.DUMMYFUNCTION("""COMPUTED_VALUE"""),"true")</f>
        <v>true</v>
      </c>
      <c r="BW175" s="10"/>
      <c r="CF175" s="10"/>
      <c r="CH175" s="18" t="str">
        <f ca="1">IFERROR(__xludf.DUMMYFUNCTION("""COMPUTED_VALUE"""),"password_level_1")</f>
        <v>password_level_1</v>
      </c>
      <c r="CI175" s="18" t="str">
        <f ca="1">IFERROR(__xludf.DUMMYFUNCTION("""COMPUTED_VALUE"""),"0xFC05")</f>
        <v>0xFC05</v>
      </c>
      <c r="CJ175" s="18" t="str">
        <f ca="1">IFERROR(__xludf.DUMMYFUNCTION("""COMPUTED_VALUE"""),"0x0025")</f>
        <v>0x0025</v>
      </c>
      <c r="CK175" s="18" t="str">
        <f ca="1">IFERROR(__xludf.DUMMYFUNCTION("""COMPUTED_VALUE"""),"86400")</f>
        <v>86400</v>
      </c>
      <c r="CM175" s="10"/>
      <c r="CP175" s="18" t="str">
        <f ca="1"/>
        <v/>
      </c>
      <c r="CQ175" s="18" t="str">
        <f ca="1"/>
        <v/>
      </c>
      <c r="CR175" s="18" t="str">
        <f ca="1"/>
        <v/>
      </c>
      <c r="CS175" s="18" t="str">
        <f ca="1"/>
        <v/>
      </c>
      <c r="CT175" s="18" t="str">
        <f ca="1"/>
        <v/>
      </c>
      <c r="CV175" s="10"/>
      <c r="CX175" s="18" t="str">
        <f ca="1">IFERROR(__xludf.DUMMYFUNCTION("""COMPUTED_VALUE"""),"last_preset_applied")</f>
        <v>last_preset_applied</v>
      </c>
      <c r="CY175" s="18" t="str">
        <f ca="1"/>
        <v>0xFC05</v>
      </c>
      <c r="CZ175" s="18" t="str">
        <f ca="1"/>
        <v>0x002E</v>
      </c>
      <c r="DA175" s="18" t="str">
        <f ca="1"/>
        <v>86400</v>
      </c>
      <c r="DC175" s="10"/>
    </row>
    <row r="176" spans="1:107" x14ac:dyDescent="0.25">
      <c r="A176" s="9" t="s">
        <v>323</v>
      </c>
      <c r="B176" s="9"/>
      <c r="C176" s="9"/>
      <c r="D176" s="9"/>
      <c r="E176" s="9"/>
      <c r="F176" s="9"/>
      <c r="G176" s="9"/>
      <c r="H176" s="3" t="str">
        <f ca="1">IFERROR(__xludf.DUMMYFUNCTION("""COMPUTED_VALUE"""),"")</f>
        <v/>
      </c>
      <c r="I176" s="9" t="s">
        <v>29</v>
      </c>
      <c r="J176" s="9" t="s">
        <v>29</v>
      </c>
      <c r="K176" s="9" t="s">
        <v>29</v>
      </c>
      <c r="L176" s="9" t="s">
        <v>29</v>
      </c>
      <c r="M176" s="9" t="s">
        <v>29</v>
      </c>
      <c r="N176" s="16"/>
      <c r="O176" s="10"/>
      <c r="P176" s="19"/>
      <c r="Q176" s="10" t="str">
        <f ca="1">IFERROR(__xludf.DUMMYFUNCTION("""COMPUTED_VALUE"""),"")</f>
        <v/>
      </c>
      <c r="R176" s="19"/>
      <c r="S176" s="20" t="str">
        <f ca="1">IFERROR(__xludf.DUMMYFUNCTION("""COMPUTED_VALUE"""),"push_button_config_key_1,10,260,64517,40,48,,,,,86400")</f>
        <v>push_button_config_key_1,10,260,64517,40,48,,,,,86400</v>
      </c>
      <c r="X176" s="18" t="str">
        <f ca="1">IFERROR(__xludf.DUMMYFUNCTION("""COMPUTED_VALUE"""),"primary_temp_sensor")</f>
        <v>primary_temp_sensor</v>
      </c>
      <c r="BP176" s="10"/>
      <c r="BR176" s="18" t="str">
        <f ca="1">IFERROR(__xludf.DUMMYFUNCTION("""COMPUTED_VALUE"""),"show_mobile_app_notification")</f>
        <v>show_mobile_app_notification</v>
      </c>
      <c r="BS176" s="18" t="str">
        <f ca="1">IFERROR(__xludf.DUMMYFUNCTION("""COMPUTED_VALUE"""),"0xFC05")</f>
        <v>0xFC05</v>
      </c>
      <c r="BT176" s="18" t="str">
        <f ca="1">IFERROR(__xludf.DUMMYFUNCTION("""COMPUTED_VALUE"""),"0x0017")</f>
        <v>0x0017</v>
      </c>
      <c r="BU176" s="18" t="str">
        <f ca="1">IFERROR(__xludf.DUMMYFUNCTION("""COMPUTED_VALUE"""),"true")</f>
        <v>true</v>
      </c>
      <c r="BW176" s="10"/>
      <c r="CF176" s="10"/>
      <c r="CH176" s="18" t="str">
        <f ca="1">IFERROR(__xludf.DUMMYFUNCTION("""COMPUTED_VALUE"""),"password_level_2")</f>
        <v>password_level_2</v>
      </c>
      <c r="CI176" s="18" t="str">
        <f ca="1">IFERROR(__xludf.DUMMYFUNCTION("""COMPUTED_VALUE"""),"0xFC05")</f>
        <v>0xFC05</v>
      </c>
      <c r="CJ176" s="18" t="str">
        <f ca="1">IFERROR(__xludf.DUMMYFUNCTION("""COMPUTED_VALUE"""),"0x0026")</f>
        <v>0x0026</v>
      </c>
      <c r="CK176" s="18" t="str">
        <f ca="1">IFERROR(__xludf.DUMMYFUNCTION("""COMPUTED_VALUE"""),"86400")</f>
        <v>86400</v>
      </c>
      <c r="CM176" s="10"/>
      <c r="CP176" s="18" t="str">
        <f ca="1"/>
        <v/>
      </c>
      <c r="CQ176" s="18" t="str">
        <f ca="1"/>
        <v/>
      </c>
      <c r="CR176" s="18" t="str">
        <f ca="1"/>
        <v/>
      </c>
      <c r="CS176" s="18" t="str">
        <f ca="1"/>
        <v/>
      </c>
      <c r="CT176" s="18" t="str">
        <f ca="1"/>
        <v/>
      </c>
      <c r="CV176" s="10"/>
      <c r="CX176" s="18" t="str">
        <f ca="1">IFERROR(__xludf.DUMMYFUNCTION("""COMPUTED_VALUE"""),"zigbee_nonsecure")</f>
        <v>zigbee_nonsecure</v>
      </c>
      <c r="CY176" s="18" t="str">
        <f ca="1"/>
        <v>0xFC05</v>
      </c>
      <c r="CZ176" s="18" t="str">
        <f ca="1"/>
        <v>0x002F</v>
      </c>
      <c r="DA176" s="18" t="str">
        <f ca="1"/>
        <v>86400</v>
      </c>
      <c r="DC176" s="10"/>
    </row>
    <row r="177" spans="1:107" x14ac:dyDescent="0.25">
      <c r="A177" s="15" t="s">
        <v>324</v>
      </c>
      <c r="B177" s="15"/>
      <c r="C177" s="15"/>
      <c r="D177" s="16"/>
      <c r="E177" s="15"/>
      <c r="F177" s="15"/>
      <c r="G177" s="15"/>
      <c r="H177" s="17" t="str">
        <f ca="1">IFERROR(__xludf.DUMMYFUNCTION("""COMPUTED_VALUE"""),"x")</f>
        <v>x</v>
      </c>
      <c r="I177" s="15" t="s">
        <v>29</v>
      </c>
      <c r="J177" s="15" t="s">
        <v>29</v>
      </c>
      <c r="K177" s="15" t="s">
        <v>29</v>
      </c>
      <c r="L177" s="15" t="s">
        <v>29</v>
      </c>
      <c r="M177" s="15" t="s">
        <v>29</v>
      </c>
      <c r="N177" s="16"/>
      <c r="O177" s="18" t="s">
        <v>325</v>
      </c>
      <c r="P177" s="19"/>
      <c r="Q177" s="18" t="str">
        <f ca="1">IFERROR(__xludf.DUMMYFUNCTION("""COMPUTED_VALUE"""),"zb -a 0x0201 0xF0E9 0")</f>
        <v>zb -a 0x0201 0xF0E9 0</v>
      </c>
      <c r="R177" s="19"/>
      <c r="S177" s="20" t="str">
        <f ca="1">IFERROR(__xludf.DUMMYFUNCTION("""COMPUTED_VALUE"""),"push_button_config_key_2,10,260,64517,41,48,,,,,86400")</f>
        <v>push_button_config_key_2,10,260,64517,41,48,,,,,86400</v>
      </c>
      <c r="X177" s="18" t="str">
        <f ca="1">IFERROR(__xludf.DUMMYFUNCTION("""COMPUTED_VALUE"""),"push_button_config_key_1")</f>
        <v>push_button_config_key_1</v>
      </c>
      <c r="BP177" s="10"/>
      <c r="BR177" s="18" t="str">
        <f ca="1">IFERROR(__xludf.DUMMYFUNCTION("""COMPUTED_VALUE"""),"reporting_type")</f>
        <v>reporting_type</v>
      </c>
      <c r="BS177" s="18" t="str">
        <f ca="1">IFERROR(__xludf.DUMMYFUNCTION("""COMPUTED_VALUE"""),"0xFC05")</f>
        <v>0xFC05</v>
      </c>
      <c r="BT177" s="18" t="str">
        <f ca="1">IFERROR(__xludf.DUMMYFUNCTION("""COMPUTED_VALUE"""),"0x0018")</f>
        <v>0x0018</v>
      </c>
      <c r="BU177" s="18" t="str">
        <f ca="1">IFERROR(__xludf.DUMMYFUNCTION("""COMPUTED_VALUE"""),"""wifi""")</f>
        <v>"wifi"</v>
      </c>
      <c r="BW177" s="10"/>
      <c r="CF177" s="10"/>
      <c r="CH177" s="18" t="str">
        <f ca="1">IFERROR(__xludf.DUMMYFUNCTION("""COMPUTED_VALUE"""),"bacnet_oid")</f>
        <v>bacnet_oid</v>
      </c>
      <c r="CI177" s="18" t="str">
        <f ca="1">IFERROR(__xludf.DUMMYFUNCTION("""COMPUTED_VALUE"""),"0xFC05")</f>
        <v>0xFC05</v>
      </c>
      <c r="CJ177" s="18" t="str">
        <f ca="1">IFERROR(__xludf.DUMMYFUNCTION("""COMPUTED_VALUE"""),"0x0027")</f>
        <v>0x0027</v>
      </c>
      <c r="CK177" s="18" t="str">
        <f ca="1">IFERROR(__xludf.DUMMYFUNCTION("""COMPUTED_VALUE"""),"86400")</f>
        <v>86400</v>
      </c>
      <c r="CM177" s="10"/>
      <c r="CP177" s="18" t="str">
        <f ca="1"/>
        <v/>
      </c>
      <c r="CQ177" s="18" t="str">
        <f ca="1"/>
        <v/>
      </c>
      <c r="CR177" s="18" t="str">
        <f ca="1"/>
        <v/>
      </c>
      <c r="CS177" s="18" t="str">
        <f ca="1"/>
        <v/>
      </c>
      <c r="CT177" s="18" t="str">
        <f ca="1"/>
        <v/>
      </c>
      <c r="CV177" s="10"/>
      <c r="CX177" s="18" t="str">
        <f ca="1">IFERROR(__xludf.DUMMYFUNCTION("""COMPUTED_VALUE"""),"ui_enhanced_icons")</f>
        <v>ui_enhanced_icons</v>
      </c>
      <c r="CY177" s="18" t="str">
        <f ca="1"/>
        <v>0xFC05</v>
      </c>
      <c r="CZ177" s="18" t="str">
        <f ca="1"/>
        <v>0x0030</v>
      </c>
      <c r="DA177" s="18" t="str">
        <f ca="1"/>
        <v>86400</v>
      </c>
      <c r="DC177" s="10"/>
    </row>
    <row r="178" spans="1:107" x14ac:dyDescent="0.25">
      <c r="A178" s="15" t="s">
        <v>326</v>
      </c>
      <c r="B178" s="15"/>
      <c r="C178" s="15"/>
      <c r="D178" s="16"/>
      <c r="E178" s="15"/>
      <c r="F178" s="15"/>
      <c r="G178" s="15"/>
      <c r="H178" s="17" t="str">
        <f ca="1">IFERROR(__xludf.DUMMYFUNCTION("""COMPUTED_VALUE"""),"x")</f>
        <v>x</v>
      </c>
      <c r="I178" s="15" t="s">
        <v>29</v>
      </c>
      <c r="J178" s="15" t="s">
        <v>29</v>
      </c>
      <c r="K178" s="15" t="s">
        <v>29</v>
      </c>
      <c r="L178" s="15" t="s">
        <v>29</v>
      </c>
      <c r="M178" s="15" t="s">
        <v>29</v>
      </c>
      <c r="N178" s="16"/>
      <c r="O178" s="18" t="s">
        <v>327</v>
      </c>
      <c r="P178" s="19"/>
      <c r="Q178" s="18" t="str">
        <f ca="1">IFERROR(__xludf.DUMMYFUNCTION("""COMPUTED_VALUE"""),"zb -a 0x0201 0xF0EA 0")</f>
        <v>zb -a 0x0201 0xF0EA 0</v>
      </c>
      <c r="R178" s="19"/>
      <c r="S178" s="20" t="str">
        <f ca="1">IFERROR(__xludf.DUMMYFUNCTION("""COMPUTED_VALUE"""),"push_button_config_key_3,10,260,64517,42,48,,,,,86400")</f>
        <v>push_button_config_key_3,10,260,64517,42,48,,,,,86400</v>
      </c>
      <c r="X178" s="18" t="str">
        <f ca="1">IFERROR(__xludf.DUMMYFUNCTION("""COMPUTED_VALUE"""),"push_button_config_key_2")</f>
        <v>push_button_config_key_2</v>
      </c>
      <c r="BP178" s="10"/>
      <c r="BR178" s="18" t="str">
        <f ca="1">IFERROR(__xludf.DUMMYFUNCTION("""COMPUTED_VALUE"""),"display_more_button_disabled")</f>
        <v>display_more_button_disabled</v>
      </c>
      <c r="BS178" s="18" t="str">
        <f ca="1">IFERROR(__xludf.DUMMYFUNCTION("""COMPUTED_VALUE"""),"0xFC05")</f>
        <v>0xFC05</v>
      </c>
      <c r="BT178" s="18" t="str">
        <f ca="1">IFERROR(__xludf.DUMMYFUNCTION("""COMPUTED_VALUE"""),"0x0019")</f>
        <v>0x0019</v>
      </c>
      <c r="BU178" s="18" t="str">
        <f ca="1">IFERROR(__xludf.DUMMYFUNCTION("""COMPUTED_VALUE"""),"false")</f>
        <v>false</v>
      </c>
      <c r="BW178" s="10"/>
      <c r="CF178" s="10"/>
      <c r="CH178" s="18" t="str">
        <f ca="1">IFERROR(__xludf.DUMMYFUNCTION("""COMPUTED_VALUE"""),"push_button_config_key_1")</f>
        <v>push_button_config_key_1</v>
      </c>
      <c r="CI178" s="18" t="str">
        <f ca="1">IFERROR(__xludf.DUMMYFUNCTION("""COMPUTED_VALUE"""),"0xFC05")</f>
        <v>0xFC05</v>
      </c>
      <c r="CJ178" s="18" t="str">
        <f ca="1">IFERROR(__xludf.DUMMYFUNCTION("""COMPUTED_VALUE"""),"0x0028")</f>
        <v>0x0028</v>
      </c>
      <c r="CK178" s="18" t="str">
        <f ca="1">IFERROR(__xludf.DUMMYFUNCTION("""COMPUTED_VALUE"""),"86400")</f>
        <v>86400</v>
      </c>
      <c r="CM178" s="10"/>
      <c r="CP178" s="18" t="str">
        <f ca="1"/>
        <v/>
      </c>
      <c r="CQ178" s="18" t="str">
        <f ca="1"/>
        <v/>
      </c>
      <c r="CR178" s="18" t="str">
        <f ca="1"/>
        <v/>
      </c>
      <c r="CS178" s="18" t="str">
        <f ca="1"/>
        <v/>
      </c>
      <c r="CT178" s="18" t="str">
        <f ca="1"/>
        <v/>
      </c>
      <c r="CV178" s="10"/>
      <c r="CX178" s="18" t="str">
        <f ca="1">IFERROR(__xludf.DUMMYFUNCTION("""COMPUTED_VALUE"""),"leaf_button_function")</f>
        <v>leaf_button_function</v>
      </c>
      <c r="CY178" s="18" t="str">
        <f ca="1"/>
        <v>0xFC05</v>
      </c>
      <c r="CZ178" s="18" t="str">
        <f ca="1"/>
        <v>0x0031</v>
      </c>
      <c r="DA178" s="18" t="str">
        <f ca="1"/>
        <v>86400</v>
      </c>
      <c r="DC178" s="10"/>
    </row>
    <row r="179" spans="1:107" x14ac:dyDescent="0.25">
      <c r="A179" s="15" t="s">
        <v>328</v>
      </c>
      <c r="B179" s="15"/>
      <c r="C179" s="15"/>
      <c r="D179" s="16"/>
      <c r="E179" s="15"/>
      <c r="F179" s="15"/>
      <c r="G179" s="15"/>
      <c r="H179" s="17" t="str">
        <f ca="1">IFERROR(__xludf.DUMMYFUNCTION("""COMPUTED_VALUE"""),"x")</f>
        <v>x</v>
      </c>
      <c r="I179" s="15" t="s">
        <v>29</v>
      </c>
      <c r="J179" s="15" t="s">
        <v>29</v>
      </c>
      <c r="K179" s="15" t="s">
        <v>29</v>
      </c>
      <c r="L179" s="15" t="s">
        <v>29</v>
      </c>
      <c r="M179" s="15" t="s">
        <v>29</v>
      </c>
      <c r="N179" s="16"/>
      <c r="O179" s="18" t="s">
        <v>329</v>
      </c>
      <c r="P179" s="19"/>
      <c r="Q179" s="18" t="str">
        <f ca="1">IFERROR(__xludf.DUMMYFUNCTION("""COMPUTED_VALUE"""),"zb -a 0x0201 0xF0EB 0")</f>
        <v>zb -a 0x0201 0xF0EB 0</v>
      </c>
      <c r="R179" s="19"/>
      <c r="S179" s="20" t="str">
        <f ca="1">IFERROR(__xludf.DUMMYFUNCTION("""COMPUTED_VALUE"""),"push_button_config_key_4,10,260,64517,43,48,,,,,86400")</f>
        <v>push_button_config_key_4,10,260,64517,43,48,,,,,86400</v>
      </c>
      <c r="X179" s="18" t="str">
        <f ca="1">IFERROR(__xludf.DUMMYFUNCTION("""COMPUTED_VALUE"""),"push_button_config_key_3")</f>
        <v>push_button_config_key_3</v>
      </c>
      <c r="BP179" s="10"/>
      <c r="BR179" s="18" t="str">
        <f ca="1">IFERROR(__xludf.DUMMYFUNCTION("""COMPUTED_VALUE"""),"display_thermostat_menu_enabled")</f>
        <v>display_thermostat_menu_enabled</v>
      </c>
      <c r="BS179" s="18" t="str">
        <f ca="1">IFERROR(__xludf.DUMMYFUNCTION("""COMPUTED_VALUE"""),"0xFC05")</f>
        <v>0xFC05</v>
      </c>
      <c r="BT179" s="18" t="str">
        <f ca="1">IFERROR(__xludf.DUMMYFUNCTION("""COMPUTED_VALUE"""),"0x001B")</f>
        <v>0x001B</v>
      </c>
      <c r="BU179" s="18" t="str">
        <f ca="1">IFERROR(__xludf.DUMMYFUNCTION("""COMPUTED_VALUE"""),"false")</f>
        <v>false</v>
      </c>
      <c r="BW179" s="10"/>
      <c r="CF179" s="10"/>
      <c r="CH179" s="18" t="str">
        <f ca="1">IFERROR(__xludf.DUMMYFUNCTION("""COMPUTED_VALUE"""),"push_button_config_key_2")</f>
        <v>push_button_config_key_2</v>
      </c>
      <c r="CI179" s="18" t="str">
        <f ca="1">IFERROR(__xludf.DUMMYFUNCTION("""COMPUTED_VALUE"""),"0xFC05")</f>
        <v>0xFC05</v>
      </c>
      <c r="CJ179" s="18" t="str">
        <f ca="1">IFERROR(__xludf.DUMMYFUNCTION("""COMPUTED_VALUE"""),"0x0029")</f>
        <v>0x0029</v>
      </c>
      <c r="CK179" s="18" t="str">
        <f ca="1">IFERROR(__xludf.DUMMYFUNCTION("""COMPUTED_VALUE"""),"86400")</f>
        <v>86400</v>
      </c>
      <c r="CM179" s="10"/>
      <c r="CP179" s="18" t="str">
        <f ca="1"/>
        <v/>
      </c>
      <c r="CQ179" s="18" t="str">
        <f ca="1"/>
        <v/>
      </c>
      <c r="CR179" s="18" t="str">
        <f ca="1"/>
        <v/>
      </c>
      <c r="CS179" s="18" t="str">
        <f ca="1"/>
        <v/>
      </c>
      <c r="CT179" s="18" t="str">
        <f ca="1"/>
        <v/>
      </c>
      <c r="CV179" s="10"/>
      <c r="CX179" s="18" t="str">
        <f ca="1">IFERROR(__xludf.DUMMYFUNCTION("""COMPUTED_VALUE"""),"rui_soft_button_config")</f>
        <v>rui_soft_button_config</v>
      </c>
      <c r="CY179" s="18" t="str">
        <f ca="1"/>
        <v>0xFC05</v>
      </c>
      <c r="CZ179" s="18" t="str">
        <f ca="1"/>
        <v>0x0033</v>
      </c>
      <c r="DA179" s="18" t="str">
        <f ca="1"/>
        <v>86400</v>
      </c>
      <c r="DC179" s="10"/>
    </row>
    <row r="180" spans="1:107" x14ac:dyDescent="0.25">
      <c r="A180" s="15" t="s">
        <v>330</v>
      </c>
      <c r="B180" s="15"/>
      <c r="C180" s="15"/>
      <c r="D180" s="16"/>
      <c r="E180" s="15"/>
      <c r="F180" s="15"/>
      <c r="G180" s="15"/>
      <c r="H180" s="17" t="str">
        <f ca="1">IFERROR(__xludf.DUMMYFUNCTION("""COMPUTED_VALUE"""),"x")</f>
        <v>x</v>
      </c>
      <c r="I180" s="15" t="s">
        <v>29</v>
      </c>
      <c r="J180" s="15" t="s">
        <v>29</v>
      </c>
      <c r="K180" s="15" t="s">
        <v>29</v>
      </c>
      <c r="L180" s="15" t="s">
        <v>29</v>
      </c>
      <c r="M180" s="15" t="s">
        <v>29</v>
      </c>
      <c r="N180" s="16"/>
      <c r="O180" s="18" t="s">
        <v>331</v>
      </c>
      <c r="P180" s="19"/>
      <c r="Q180" s="18" t="str">
        <f ca="1">IFERROR(__xludf.DUMMYFUNCTION("""COMPUTED_VALUE"""),"zb -a 0x0201 0xF0EC 0")</f>
        <v>zb -a 0x0201 0xF0EC 0</v>
      </c>
      <c r="R180" s="19"/>
      <c r="S180" s="20" t="str">
        <f ca="1">IFERROR(__xludf.DUMMYFUNCTION("""COMPUTED_VALUE"""),"push_button_config_key_5,10,260,64517,44,48,,,,,86400")</f>
        <v>push_button_config_key_5,10,260,64517,44,48,,,,,86400</v>
      </c>
      <c r="X180" s="18" t="str">
        <f ca="1">IFERROR(__xludf.DUMMYFUNCTION("""COMPUTED_VALUE"""),"push_button_config_key_4")</f>
        <v>push_button_config_key_4</v>
      </c>
      <c r="BP180" s="10"/>
      <c r="BR180" s="18" t="str">
        <f ca="1">IFERROR(__xludf.DUMMYFUNCTION("""COMPUTED_VALUE"""),"zigbee_node_type")</f>
        <v>zigbee_node_type</v>
      </c>
      <c r="BS180" s="18" t="str">
        <f ca="1">IFERROR(__xludf.DUMMYFUNCTION("""COMPUTED_VALUE"""),"0xFC05")</f>
        <v>0xFC05</v>
      </c>
      <c r="BT180" s="18" t="str">
        <f ca="1">IFERROR(__xludf.DUMMYFUNCTION("""COMPUTED_VALUE"""),"0x001C")</f>
        <v>0x001C</v>
      </c>
      <c r="BU180" s="18" t="str">
        <f ca="1">IFERROR(__xludf.DUMMYFUNCTION("""COMPUTED_VALUE"""),"""coordinator""")</f>
        <v>"coordinator"</v>
      </c>
      <c r="BW180" s="10"/>
      <c r="CF180" s="10"/>
      <c r="CH180" s="18" t="str">
        <f ca="1">IFERROR(__xludf.DUMMYFUNCTION("""COMPUTED_VALUE"""),"push_button_config_key_3")</f>
        <v>push_button_config_key_3</v>
      </c>
      <c r="CI180" s="18" t="str">
        <f ca="1">IFERROR(__xludf.DUMMYFUNCTION("""COMPUTED_VALUE"""),"0xFC05")</f>
        <v>0xFC05</v>
      </c>
      <c r="CJ180" s="18" t="str">
        <f ca="1">IFERROR(__xludf.DUMMYFUNCTION("""COMPUTED_VALUE"""),"0x002A")</f>
        <v>0x002A</v>
      </c>
      <c r="CK180" s="18" t="str">
        <f ca="1">IFERROR(__xludf.DUMMYFUNCTION("""COMPUTED_VALUE"""),"86400")</f>
        <v>86400</v>
      </c>
      <c r="CM180" s="10"/>
      <c r="CP180" s="18" t="str">
        <f ca="1"/>
        <v/>
      </c>
      <c r="CQ180" s="18" t="str">
        <f ca="1"/>
        <v/>
      </c>
      <c r="CR180" s="18" t="str">
        <f ca="1"/>
        <v/>
      </c>
      <c r="CS180" s="18" t="str">
        <f ca="1"/>
        <v/>
      </c>
      <c r="CT180" s="18" t="str">
        <f ca="1"/>
        <v/>
      </c>
      <c r="CV180" s="10"/>
      <c r="CX180" s="18" t="str">
        <f ca="1">IFERROR(__xludf.DUMMYFUNCTION("""COMPUTED_VALUE"""),"lcd_revision")</f>
        <v>lcd_revision</v>
      </c>
      <c r="CY180" s="18" t="str">
        <f ca="1"/>
        <v>0xFC05</v>
      </c>
      <c r="CZ180" s="18" t="str">
        <f ca="1"/>
        <v>0x0037</v>
      </c>
      <c r="DA180" s="18" t="str">
        <f ca="1"/>
        <v>86400</v>
      </c>
      <c r="DC180" s="10"/>
    </row>
    <row r="181" spans="1:107" x14ac:dyDescent="0.25">
      <c r="A181" s="15" t="s">
        <v>332</v>
      </c>
      <c r="B181" s="15"/>
      <c r="C181" s="15"/>
      <c r="D181" s="16"/>
      <c r="E181" s="15"/>
      <c r="F181" s="15"/>
      <c r="G181" s="15"/>
      <c r="H181" s="17" t="str">
        <f ca="1">IFERROR(__xludf.DUMMYFUNCTION("""COMPUTED_VALUE"""),"x")</f>
        <v>x</v>
      </c>
      <c r="I181" s="15" t="s">
        <v>29</v>
      </c>
      <c r="J181" s="15" t="s">
        <v>29</v>
      </c>
      <c r="K181" s="15" t="s">
        <v>29</v>
      </c>
      <c r="L181" s="15" t="s">
        <v>29</v>
      </c>
      <c r="M181" s="15" t="s">
        <v>29</v>
      </c>
      <c r="N181" s="16"/>
      <c r="O181" s="18" t="s">
        <v>333</v>
      </c>
      <c r="P181" s="19"/>
      <c r="Q181" s="18" t="str">
        <f ca="1">IFERROR(__xludf.DUMMYFUNCTION("""COMPUTED_VALUE"""),"zb -a 0x0201 0xF0ED 2500")</f>
        <v>zb -a 0x0201 0xF0ED 2500</v>
      </c>
      <c r="R181" s="19"/>
      <c r="S181" s="20" t="str">
        <f ca="1">IFERROR(__xludf.DUMMYFUNCTION("""COMPUTED_VALUE"""),"push_button_config_key_6,10,260,64517,45,48,,,,,86400")</f>
        <v>push_button_config_key_6,10,260,64517,45,48,,,,,86400</v>
      </c>
      <c r="X181" s="18" t="str">
        <f ca="1">IFERROR(__xludf.DUMMYFUNCTION("""COMPUTED_VALUE"""),"push_button_config_key_5")</f>
        <v>push_button_config_key_5</v>
      </c>
      <c r="BP181" s="10"/>
      <c r="BR181" s="18" t="str">
        <f ca="1">IFERROR(__xludf.DUMMYFUNCTION("""COMPUTED_VALUE"""),"display_schedule_menu_enabled")</f>
        <v>display_schedule_menu_enabled</v>
      </c>
      <c r="BS181" s="18" t="str">
        <f ca="1">IFERROR(__xludf.DUMMYFUNCTION("""COMPUTED_VALUE"""),"0xFC05")</f>
        <v>0xFC05</v>
      </c>
      <c r="BT181" s="18" t="str">
        <f ca="1">IFERROR(__xludf.DUMMYFUNCTION("""COMPUTED_VALUE"""),"0x001D")</f>
        <v>0x001D</v>
      </c>
      <c r="BU181" s="18" t="str">
        <f ca="1">IFERROR(__xludf.DUMMYFUNCTION("""COMPUTED_VALUE"""),"false")</f>
        <v>false</v>
      </c>
      <c r="BW181" s="10"/>
      <c r="CF181" s="10"/>
      <c r="CH181" s="18" t="str">
        <f ca="1">IFERROR(__xludf.DUMMYFUNCTION("""COMPUTED_VALUE"""),"push_button_config_key_4")</f>
        <v>push_button_config_key_4</v>
      </c>
      <c r="CI181" s="18" t="str">
        <f ca="1">IFERROR(__xludf.DUMMYFUNCTION("""COMPUTED_VALUE"""),"0xFC05")</f>
        <v>0xFC05</v>
      </c>
      <c r="CJ181" s="18" t="str">
        <f ca="1">IFERROR(__xludf.DUMMYFUNCTION("""COMPUTED_VALUE"""),"0x002B")</f>
        <v>0x002B</v>
      </c>
      <c r="CK181" s="18" t="str">
        <f ca="1">IFERROR(__xludf.DUMMYFUNCTION("""COMPUTED_VALUE"""),"86400")</f>
        <v>86400</v>
      </c>
      <c r="CM181" s="10"/>
      <c r="CP181" s="18" t="str">
        <f ca="1"/>
        <v/>
      </c>
      <c r="CQ181" s="18" t="str">
        <f ca="1"/>
        <v/>
      </c>
      <c r="CR181" s="18" t="str">
        <f ca="1"/>
        <v/>
      </c>
      <c r="CS181" s="18" t="str">
        <f ca="1"/>
        <v/>
      </c>
      <c r="CT181" s="18" t="str">
        <f ca="1"/>
        <v/>
      </c>
      <c r="CV181" s="10"/>
      <c r="CX181" s="18" t="str">
        <f ca="1">IFERROR(__xludf.DUMMYFUNCTION("""COMPUTED_VALUE"""),"device_table_slot_1")</f>
        <v>device_table_slot_1</v>
      </c>
      <c r="CY181" s="18" t="str">
        <f ca="1"/>
        <v>0xFC12</v>
      </c>
      <c r="CZ181" s="18" t="str">
        <f ca="1"/>
        <v>0x0101</v>
      </c>
      <c r="DA181" s="18" t="str">
        <f ca="1"/>
        <v>86400</v>
      </c>
      <c r="DC181" s="10"/>
    </row>
    <row r="182" spans="1:107" x14ac:dyDescent="0.25">
      <c r="A182" s="15" t="s">
        <v>334</v>
      </c>
      <c r="B182" s="15"/>
      <c r="C182" s="15"/>
      <c r="D182" s="16"/>
      <c r="E182" s="15"/>
      <c r="F182" s="15"/>
      <c r="G182" s="15"/>
      <c r="H182" s="17" t="str">
        <f ca="1">IFERROR(__xludf.DUMMYFUNCTION("""COMPUTED_VALUE"""),"")</f>
        <v/>
      </c>
      <c r="I182" s="15" t="s">
        <v>29</v>
      </c>
      <c r="J182" s="15" t="s">
        <v>29</v>
      </c>
      <c r="K182" s="15" t="s">
        <v>29</v>
      </c>
      <c r="L182" s="15" t="s">
        <v>29</v>
      </c>
      <c r="M182" s="15" t="s">
        <v>29</v>
      </c>
      <c r="N182" s="16"/>
      <c r="O182" s="18" t="s">
        <v>335</v>
      </c>
      <c r="P182" s="19"/>
      <c r="Q182" s="18" t="str">
        <f ca="1">IFERROR(__xludf.DUMMYFUNCTION("""COMPUTED_VALUE"""),"")</f>
        <v/>
      </c>
      <c r="R182" s="19"/>
      <c r="S182" s="20" t="str">
        <f ca="1">IFERROR(__xludf.DUMMYFUNCTION("""COMPUTED_VALUE"""),"recovery_time,10,260,513,61671,32,12,,,,86400")</f>
        <v>recovery_time,10,260,513,61671,32,12,,,,86400</v>
      </c>
      <c r="X182" s="18" t="str">
        <f ca="1">IFERROR(__xludf.DUMMYFUNCTION("""COMPUTED_VALUE"""),"push_button_config_key_6")</f>
        <v>push_button_config_key_6</v>
      </c>
      <c r="BP182" s="10"/>
      <c r="BR182" s="18" t="str">
        <f ca="1">IFERROR(__xludf.DUMMYFUNCTION("""COMPUTED_VALUE"""),"display_settings_menu_enabled")</f>
        <v>display_settings_menu_enabled</v>
      </c>
      <c r="BS182" s="18" t="str">
        <f ca="1">IFERROR(__xludf.DUMMYFUNCTION("""COMPUTED_VALUE"""),"0xFC05")</f>
        <v>0xFC05</v>
      </c>
      <c r="BT182" s="18" t="str">
        <f ca="1">IFERROR(__xludf.DUMMYFUNCTION("""COMPUTED_VALUE"""),"0x001E")</f>
        <v>0x001E</v>
      </c>
      <c r="BU182" s="18" t="str">
        <f ca="1">IFERROR(__xludf.DUMMYFUNCTION("""COMPUTED_VALUE"""),"false")</f>
        <v>false</v>
      </c>
      <c r="BW182" s="10"/>
      <c r="CF182" s="10"/>
      <c r="CH182" s="18" t="str">
        <f ca="1">IFERROR(__xludf.DUMMYFUNCTION("""COMPUTED_VALUE"""),"push_button_config_key_5")</f>
        <v>push_button_config_key_5</v>
      </c>
      <c r="CI182" s="18" t="str">
        <f ca="1">IFERROR(__xludf.DUMMYFUNCTION("""COMPUTED_VALUE"""),"0xFC05")</f>
        <v>0xFC05</v>
      </c>
      <c r="CJ182" s="18" t="str">
        <f ca="1">IFERROR(__xludf.DUMMYFUNCTION("""COMPUTED_VALUE"""),"0x002C")</f>
        <v>0x002C</v>
      </c>
      <c r="CK182" s="18" t="str">
        <f ca="1">IFERROR(__xludf.DUMMYFUNCTION("""COMPUTED_VALUE"""),"86400")</f>
        <v>86400</v>
      </c>
      <c r="CM182" s="10"/>
      <c r="CP182" s="18" t="str">
        <f ca="1"/>
        <v/>
      </c>
      <c r="CQ182" s="18" t="str">
        <f ca="1"/>
        <v/>
      </c>
      <c r="CR182" s="18" t="str">
        <f ca="1"/>
        <v/>
      </c>
      <c r="CS182" s="18" t="str">
        <f ca="1"/>
        <v/>
      </c>
      <c r="CT182" s="18" t="str">
        <f ca="1"/>
        <v/>
      </c>
      <c r="CV182" s="10"/>
      <c r="CX182" s="18" t="str">
        <f ca="1">IFERROR(__xludf.DUMMYFUNCTION("""COMPUTED_VALUE"""),"device_table_slot_2")</f>
        <v>device_table_slot_2</v>
      </c>
      <c r="CY182" s="18" t="str">
        <f ca="1"/>
        <v>0xFC12</v>
      </c>
      <c r="CZ182" s="18" t="str">
        <f ca="1"/>
        <v>0x0102</v>
      </c>
      <c r="DA182" s="18" t="str">
        <f ca="1"/>
        <v>86400</v>
      </c>
      <c r="DC182" s="10"/>
    </row>
    <row r="183" spans="1:107" x14ac:dyDescent="0.25">
      <c r="A183" s="15" t="s">
        <v>336</v>
      </c>
      <c r="B183" s="15"/>
      <c r="C183" s="15"/>
      <c r="D183" s="16"/>
      <c r="E183" s="15"/>
      <c r="F183" s="15"/>
      <c r="G183" s="15"/>
      <c r="H183" s="17" t="str">
        <f ca="1">IFERROR(__xludf.DUMMYFUNCTION("""COMPUTED_VALUE"""),"")</f>
        <v/>
      </c>
      <c r="I183" s="15" t="s">
        <v>29</v>
      </c>
      <c r="J183" s="15" t="s">
        <v>29</v>
      </c>
      <c r="K183" s="15" t="s">
        <v>29</v>
      </c>
      <c r="L183" s="15" t="s">
        <v>29</v>
      </c>
      <c r="M183" s="15" t="s">
        <v>29</v>
      </c>
      <c r="N183" s="16"/>
      <c r="O183" s="18" t="s">
        <v>337</v>
      </c>
      <c r="P183" s="19"/>
      <c r="Q183" s="18" t="str">
        <f ca="1">IFERROR(__xludf.DUMMYFUNCTION("""COMPUTED_VALUE"""),"")</f>
        <v/>
      </c>
      <c r="R183" s="19"/>
      <c r="S183" s="20" t="str">
        <f ca="1">IFERROR(__xludf.DUMMYFUNCTION("""COMPUTED_VALUE"""),"refresh_delay,10,260,513,61535,32,0,,,,86400")</f>
        <v>refresh_delay,10,260,513,61535,32,0,,,,86400</v>
      </c>
      <c r="X183" s="18" t="str">
        <f ca="1">IFERROR(__xludf.DUMMYFUNCTION("""COMPUTED_VALUE"""),"recovery_time")</f>
        <v>recovery_time</v>
      </c>
      <c r="BP183" s="10"/>
      <c r="BR183" s="18" t="str">
        <f ca="1">IFERROR(__xludf.DUMMYFUNCTION("""COMPUTED_VALUE"""),"display_wifi_menu")</f>
        <v>display_wifi_menu</v>
      </c>
      <c r="BS183" s="18" t="str">
        <f ca="1">IFERROR(__xludf.DUMMYFUNCTION("""COMPUTED_VALUE"""),"0xFC05")</f>
        <v>0xFC05</v>
      </c>
      <c r="BT183" s="18" t="str">
        <f ca="1">IFERROR(__xludf.DUMMYFUNCTION("""COMPUTED_VALUE"""),"0x001F")</f>
        <v>0x001F</v>
      </c>
      <c r="BU183" s="18" t="str">
        <f ca="1">IFERROR(__xludf.DUMMYFUNCTION("""COMPUTED_VALUE"""),"""off""")</f>
        <v>"off"</v>
      </c>
      <c r="BW183" s="10"/>
      <c r="CF183" s="10"/>
      <c r="CH183" s="18" t="str">
        <f ca="1">IFERROR(__xludf.DUMMYFUNCTION("""COMPUTED_VALUE"""),"push_button_config_key_6")</f>
        <v>push_button_config_key_6</v>
      </c>
      <c r="CI183" s="18" t="str">
        <f ca="1">IFERROR(__xludf.DUMMYFUNCTION("""COMPUTED_VALUE"""),"0xFC05")</f>
        <v>0xFC05</v>
      </c>
      <c r="CJ183" s="18" t="str">
        <f ca="1">IFERROR(__xludf.DUMMYFUNCTION("""COMPUTED_VALUE"""),"0x002D")</f>
        <v>0x002D</v>
      </c>
      <c r="CK183" s="18" t="str">
        <f ca="1">IFERROR(__xludf.DUMMYFUNCTION("""COMPUTED_VALUE"""),"86400")</f>
        <v>86400</v>
      </c>
      <c r="CM183" s="10"/>
      <c r="CP183" s="18" t="str">
        <f ca="1"/>
        <v/>
      </c>
      <c r="CQ183" s="18" t="str">
        <f ca="1"/>
        <v/>
      </c>
      <c r="CR183" s="18" t="str">
        <f ca="1"/>
        <v/>
      </c>
      <c r="CS183" s="18" t="str">
        <f ca="1"/>
        <v/>
      </c>
      <c r="CT183" s="18" t="str">
        <f ca="1"/>
        <v/>
      </c>
      <c r="CV183" s="10"/>
      <c r="CX183" s="18" t="str">
        <f ca="1">IFERROR(__xludf.DUMMYFUNCTION("""COMPUTED_VALUE"""),"device_table_slot_3")</f>
        <v>device_table_slot_3</v>
      </c>
      <c r="CY183" s="18" t="str">
        <f ca="1"/>
        <v>0xFC12</v>
      </c>
      <c r="CZ183" s="18" t="str">
        <f ca="1"/>
        <v>0x0103</v>
      </c>
      <c r="DA183" s="18" t="str">
        <f ca="1"/>
        <v>86400</v>
      </c>
      <c r="DC183" s="10"/>
    </row>
    <row r="184" spans="1:107" x14ac:dyDescent="0.25">
      <c r="A184" s="15"/>
      <c r="B184" s="15"/>
      <c r="C184" s="15"/>
      <c r="D184" s="16"/>
      <c r="E184" s="15"/>
      <c r="F184" s="15"/>
      <c r="G184" s="15"/>
      <c r="H184" s="17" t="str">
        <f ca="1">IFERROR(__xludf.DUMMYFUNCTION("""COMPUTED_VALUE"""),"")</f>
        <v/>
      </c>
      <c r="I184" s="15" t="s">
        <v>29</v>
      </c>
      <c r="J184" s="15" t="s">
        <v>29</v>
      </c>
      <c r="K184" s="15" t="s">
        <v>29</v>
      </c>
      <c r="L184" s="15" t="s">
        <v>29</v>
      </c>
      <c r="M184" s="15" t="s">
        <v>29</v>
      </c>
      <c r="N184" s="16"/>
      <c r="P184" s="19"/>
      <c r="Q184" s="18" t="str">
        <f ca="1">IFERROR(__xludf.DUMMYFUNCTION("""COMPUTED_VALUE"""),"")</f>
        <v/>
      </c>
      <c r="R184" s="19"/>
      <c r="S184" s="20" t="str">
        <f ca="1">IFERROR(__xludf.DUMMYFUNCTION("""COMPUTED_VALUE"""),"refresh_duration,10,260,513,61536,32,10,,,,86400")</f>
        <v>refresh_duration,10,260,513,61536,32,10,,,,86400</v>
      </c>
      <c r="X184" s="18" t="str">
        <f ca="1">IFERROR(__xludf.DUMMYFUNCTION("""COMPUTED_VALUE"""),"refresh_delay")</f>
        <v>refresh_delay</v>
      </c>
      <c r="BP184" s="10"/>
      <c r="BR184" s="18" t="str">
        <f ca="1">IFERROR(__xludf.DUMMYFUNCTION("""COMPUTED_VALUE"""),"display_leaf_button_disabled")</f>
        <v>display_leaf_button_disabled</v>
      </c>
      <c r="BS184" s="18" t="str">
        <f ca="1">IFERROR(__xludf.DUMMYFUNCTION("""COMPUTED_VALUE"""),"0xFC05")</f>
        <v>0xFC05</v>
      </c>
      <c r="BT184" s="18" t="str">
        <f ca="1">IFERROR(__xludf.DUMMYFUNCTION("""COMPUTED_VALUE"""),"0x0021")</f>
        <v>0x0021</v>
      </c>
      <c r="BU184" s="18" t="str">
        <f ca="1">IFERROR(__xludf.DUMMYFUNCTION("""COMPUTED_VALUE"""),"true")</f>
        <v>true</v>
      </c>
      <c r="BW184" s="10"/>
      <c r="CF184" s="10"/>
      <c r="CH184" s="18" t="str">
        <f ca="1">IFERROR(__xludf.DUMMYFUNCTION("""COMPUTED_VALUE"""),"last_preset_applied")</f>
        <v>last_preset_applied</v>
      </c>
      <c r="CI184" s="18" t="str">
        <f ca="1">IFERROR(__xludf.DUMMYFUNCTION("""COMPUTED_VALUE"""),"0xFC05")</f>
        <v>0xFC05</v>
      </c>
      <c r="CJ184" s="18" t="str">
        <f ca="1">IFERROR(__xludf.DUMMYFUNCTION("""COMPUTED_VALUE"""),"0x002E")</f>
        <v>0x002E</v>
      </c>
      <c r="CK184" s="18" t="str">
        <f ca="1">IFERROR(__xludf.DUMMYFUNCTION("""COMPUTED_VALUE"""),"86400")</f>
        <v>86400</v>
      </c>
      <c r="CM184" s="10"/>
      <c r="CP184" s="18" t="str">
        <f ca="1"/>
        <v/>
      </c>
      <c r="CQ184" s="18" t="str">
        <f ca="1"/>
        <v/>
      </c>
      <c r="CR184" s="18" t="str">
        <f ca="1"/>
        <v/>
      </c>
      <c r="CS184" s="18" t="str">
        <f ca="1"/>
        <v/>
      </c>
      <c r="CT184" s="18" t="str">
        <f ca="1"/>
        <v/>
      </c>
      <c r="CV184" s="10"/>
      <c r="CX184" s="18" t="str">
        <f ca="1">IFERROR(__xludf.DUMMYFUNCTION("""COMPUTED_VALUE"""),"device_table_slot_4")</f>
        <v>device_table_slot_4</v>
      </c>
      <c r="CY184" s="18" t="str">
        <f ca="1"/>
        <v>0xFC12</v>
      </c>
      <c r="CZ184" s="18" t="str">
        <f ca="1"/>
        <v>0x0104</v>
      </c>
      <c r="DA184" s="18" t="str">
        <f ca="1"/>
        <v>86400</v>
      </c>
      <c r="DC184" s="10"/>
    </row>
    <row r="185" spans="1:107" x14ac:dyDescent="0.25">
      <c r="A185" s="9" t="s">
        <v>338</v>
      </c>
      <c r="B185" s="9"/>
      <c r="C185" s="9"/>
      <c r="D185" s="9"/>
      <c r="E185" s="9"/>
      <c r="F185" s="9"/>
      <c r="G185" s="9"/>
      <c r="H185" s="3" t="str">
        <f ca="1">IFERROR(__xludf.DUMMYFUNCTION("""COMPUTED_VALUE"""),"")</f>
        <v/>
      </c>
      <c r="I185" s="9" t="s">
        <v>29</v>
      </c>
      <c r="J185" s="9" t="s">
        <v>29</v>
      </c>
      <c r="K185" s="9" t="s">
        <v>29</v>
      </c>
      <c r="L185" s="9" t="s">
        <v>29</v>
      </c>
      <c r="M185" s="9" t="s">
        <v>29</v>
      </c>
      <c r="N185" s="9"/>
      <c r="O185" s="10"/>
      <c r="P185" s="19"/>
      <c r="Q185" s="10" t="str">
        <f ca="1">IFERROR(__xludf.DUMMYFUNCTION("""COMPUTED_VALUE"""),"")</f>
        <v/>
      </c>
      <c r="R185" s="19"/>
      <c r="S185" s="20" t="str">
        <f ca="1">IFERROR(__xludf.DUMMYFUNCTION("""COMPUTED_VALUE"""),"relay_0_load_temperature_compensation,10,260,513,61824,33,,,,,86400")</f>
        <v>relay_0_load_temperature_compensation,10,260,513,61824,33,,,,,86400</v>
      </c>
      <c r="X185" s="18" t="str">
        <f ca="1">IFERROR(__xludf.DUMMYFUNCTION("""COMPUTED_VALUE"""),"refresh_duration")</f>
        <v>refresh_duration</v>
      </c>
      <c r="BP185" s="10"/>
      <c r="BR185" s="18" t="str">
        <f ca="1">IFERROR(__xludf.DUMMYFUNCTION("""COMPUTED_VALUE"""),"oem_brand")</f>
        <v>oem_brand</v>
      </c>
      <c r="BS185" s="18" t="str">
        <f ca="1">IFERROR(__xludf.DUMMYFUNCTION("""COMPUTED_VALUE"""),"0xFC05")</f>
        <v>0xFC05</v>
      </c>
      <c r="BT185" s="18" t="str">
        <f ca="1">IFERROR(__xludf.DUMMYFUNCTION("""COMPUTED_VALUE"""),"0x0022")</f>
        <v>0x0022</v>
      </c>
      <c r="BU185" s="18" t="str">
        <f ca="1">IFERROR(__xludf.DUMMYFUNCTION("""COMPUTED_VALUE"""),"""none""")</f>
        <v>"none"</v>
      </c>
      <c r="BW185" s="10"/>
      <c r="CF185" s="10"/>
      <c r="CH185" s="18" t="str">
        <f ca="1">IFERROR(__xludf.DUMMYFUNCTION("""COMPUTED_VALUE"""),"zigbee_nonsecure")</f>
        <v>zigbee_nonsecure</v>
      </c>
      <c r="CI185" s="18" t="str">
        <f ca="1">IFERROR(__xludf.DUMMYFUNCTION("""COMPUTED_VALUE"""),"0xFC05")</f>
        <v>0xFC05</v>
      </c>
      <c r="CJ185" s="18" t="str">
        <f ca="1">IFERROR(__xludf.DUMMYFUNCTION("""COMPUTED_VALUE"""),"0x002F")</f>
        <v>0x002F</v>
      </c>
      <c r="CK185" s="18" t="str">
        <f ca="1">IFERROR(__xludf.DUMMYFUNCTION("""COMPUTED_VALUE"""),"86400")</f>
        <v>86400</v>
      </c>
      <c r="CM185" s="10"/>
      <c r="CP185" s="18" t="str">
        <f ca="1"/>
        <v/>
      </c>
      <c r="CQ185" s="18" t="str">
        <f ca="1"/>
        <v/>
      </c>
      <c r="CR185" s="18" t="str">
        <f ca="1"/>
        <v/>
      </c>
      <c r="CS185" s="18" t="str">
        <f ca="1"/>
        <v/>
      </c>
      <c r="CT185" s="18" t="str">
        <f ca="1"/>
        <v/>
      </c>
      <c r="CV185" s="10"/>
      <c r="CX185" s="18" t="str">
        <f ca="1">IFERROR(__xludf.DUMMYFUNCTION("""COMPUTED_VALUE"""),"device_table_slot_5")</f>
        <v>device_table_slot_5</v>
      </c>
      <c r="CY185" s="18" t="str">
        <f ca="1"/>
        <v>0xFC12</v>
      </c>
      <c r="CZ185" s="18" t="str">
        <f ca="1"/>
        <v>0x0105</v>
      </c>
      <c r="DA185" s="18" t="str">
        <f ca="1"/>
        <v>86400</v>
      </c>
      <c r="DC185" s="10"/>
    </row>
    <row r="186" spans="1:107" x14ac:dyDescent="0.25">
      <c r="A186" s="15" t="s">
        <v>339</v>
      </c>
      <c r="B186" s="15" t="s">
        <v>1576</v>
      </c>
      <c r="C186" s="15"/>
      <c r="D186" s="16"/>
      <c r="E186" s="15"/>
      <c r="F186" s="15"/>
      <c r="G186" s="15"/>
      <c r="H186" s="17" t="str">
        <f ca="1">IFERROR(__xludf.DUMMYFUNCTION("""COMPUTED_VALUE"""),"x")</f>
        <v>x</v>
      </c>
      <c r="I186" s="15" t="s">
        <v>29</v>
      </c>
      <c r="J186" s="15" t="s">
        <v>29</v>
      </c>
      <c r="K186" s="15" t="s">
        <v>29</v>
      </c>
      <c r="L186" s="15" t="s">
        <v>29</v>
      </c>
      <c r="M186" s="15" t="s">
        <v>29</v>
      </c>
      <c r="N186" s="16"/>
      <c r="O186" s="18" t="str">
        <f ca="1">IFERROR(__xludf.DUMMYFUNCTION("IF(A186="""","""",A186
&amp;"",""
&amp;HEX2DEC(VLOOKUP(A186,{'Data Model Parser'!$C$4:$C1626,'Data Model Parser'!$U$4:$U1626},2,0))
&amp;"",""
&amp;HEX2DEC(VLOOKUP(A186,{'Data Model Parser'!$C$4:$C1626,'Data Model Parser'!$V$4:$V1626},2,0))
&amp;"",""
&amp;HEX2DEC(VLOOKUP(A186,{"&amp;"'Data Model Parser'!$C$4:$C1626,'Data Model Parser'!$W$4:$W1626},2,0))
&amp;"",""
&amp;HEX2DEC(VLOOKUP(A186,{'Data Model Parser'!$C$4:$C1626,'Data Model Parser'!$T$4:$T1626},2,0))
&amp;"",""
&amp;HEX2DEC(VLOOKUP(A186,{'Data Model Parser'!$C$4:$C1626,'Data Model Parser'!$"&amp;"X$4:$X1626},2,0))
&amp;"",""
&amp;IFS(B186="""","""",
REGEXREPLACE(B186,CHAR(34),"""")=""none"",""0"",
REGEXREPLACE(B186,CHAR(34),"""")=""LGZigbee"",""1"",
REGEXREPLACE(B186,CHAR(34),"""")=""Mitsubishi"",""2"",
REGEXREPLACE(B186,CHAR(34),"""")=""Intesis"",""4"",
"&amp;"REGEXREPLACE(B186,CHAR(34),"""")=""LGModbus"",""5"",
REGEXREPLACE(B186,CHAR(34),"""")=""IRGateway"",""6"")
&amp;"",""
&amp;IF(VLOOKUP(A186,{'Data Model Parser'!$C$4:$C1626,'Data Model Parser'!$G$4:$G1626},2,0)=""polled"","",,,""&amp;VLOOKUP(A186,{'Data Model Parser'!"&amp;"$C$4:$C1626,'Data Model Parser'!$H$4:$H1626},2,0),
IF(VLOOKUP(A186,{'Data Model Parser'!$C$4:$C1626,'Data Model Parser'!$G$4:$G1626},2,0)=""reported"",
IFS(E186&lt;&gt;"""",E186&amp;"","",
E186="""",VLOOKUP(A186,{'Data Model Parser'!$C$4:$C1626,'Data Model Parser'!"&amp;"$J$4:$J1626},2,0)&amp;"","")
&amp;IFS(F186&lt;&gt;"""",F186&amp;"","",
F186="""",VLOOKUP(A186,{'Data Model Parser'!$C$4:$C1626,'Data Model Parser'!$I$4:$I1626},2,0)&amp;"","")
&amp;IFS(G186&lt;&gt;"""",G186,
G186="""",VLOOKUP(A186,{'Data Model Parser'!$C$4:$C1626,'Data Model Parser'!$K$"&amp;"4:$K1626},2,0)))))"),"active_remote_controller,10,260,513,61560,48,5,,,,86400")</f>
        <v>active_remote_controller,10,260,513,61560,48,5,,,,86400</v>
      </c>
      <c r="P186" s="19"/>
      <c r="Q186" s="18" t="str">
        <f ca="1">IFERROR(__xludf.DUMMYFUNCTION("""COMPUTED_VALUE"""),"zb -a 0x0201 0xF078 5")</f>
        <v>zb -a 0x0201 0xF078 5</v>
      </c>
      <c r="R186" s="19"/>
      <c r="S186" s="20" t="str">
        <f ca="1">IFERROR(__xludf.DUMMYFUNCTION("""COMPUTED_VALUE"""),"relay_0_pulse_length,10,260,513,61576,33,,,,,86400")</f>
        <v>relay_0_pulse_length,10,260,513,61576,33,,,,,86400</v>
      </c>
      <c r="X186" s="18" t="str">
        <f ca="1">IFERROR(__xludf.DUMMYFUNCTION("""COMPUTED_VALUE"""),"relay_0_load_temperature_compensation")</f>
        <v>relay_0_load_temperature_compensation</v>
      </c>
      <c r="Y186" s="18" t="str">
        <f ca="1">IFERROR(__xludf.DUMMYFUNCTION("UNIQUE(FILTER({$DE$4:$DE1626,$DH$4:$ES1626}, $DE$4:$DE1626=A186))"),"active_remote_controller")</f>
        <v>active_remote_controller</v>
      </c>
      <c r="Z186" s="18" t="str">
        <f ca="1">IFERROR(__xludf.DUMMYFUNCTION("""COMPUTED_VALUE"""),"""none""")</f>
        <v>"none"</v>
      </c>
      <c r="AA186" s="18" t="str">
        <f ca="1">IFERROR(__xludf.DUMMYFUNCTION("""COMPUTED_VALUE"""),"""Intesis""")</f>
        <v>"Intesis"</v>
      </c>
      <c r="AB186" s="18" t="str">
        <f ca="1">IFERROR(__xludf.DUMMYFUNCTION("""COMPUTED_VALUE"""),"""Mitsubishi""")</f>
        <v>"Mitsubishi"</v>
      </c>
      <c r="AC186" s="18" t="str">
        <f ca="1">IFERROR(__xludf.DUMMYFUNCTION("""COMPUTED_VALUE"""),"""LGModbus""")</f>
        <v>"LGModbus"</v>
      </c>
      <c r="AD186" s="18" t="str">
        <f ca="1">IFERROR(__xludf.DUMMYFUNCTION("""COMPUTED_VALUE"""),"""LGZigbee""")</f>
        <v>"LGZigbee"</v>
      </c>
      <c r="AE186" s="18" t="str">
        <f ca="1">IFERROR(__xludf.DUMMYFUNCTION("""COMPUTED_VALUE"""),"""IRGateway""")</f>
        <v>"IRGateway"</v>
      </c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P186" s="10"/>
      <c r="BR186" s="18" t="str">
        <f ca="1">IFERROR(__xludf.DUMMYFUNCTION("""COMPUTED_VALUE"""),"display_set_time_reminder")</f>
        <v>display_set_time_reminder</v>
      </c>
      <c r="BS186" s="18" t="str">
        <f ca="1">IFERROR(__xludf.DUMMYFUNCTION("""COMPUTED_VALUE"""),"0xFC05")</f>
        <v>0xFC05</v>
      </c>
      <c r="BT186" s="18" t="str">
        <f ca="1">IFERROR(__xludf.DUMMYFUNCTION("""COMPUTED_VALUE"""),"0x0023")</f>
        <v>0x0023</v>
      </c>
      <c r="BU186" s="18" t="str">
        <f ca="1">IFERROR(__xludf.DUMMYFUNCTION("""COMPUTED_VALUE"""),"false")</f>
        <v>false</v>
      </c>
      <c r="BW186" s="10"/>
      <c r="CF186" s="10"/>
      <c r="CH186" s="18" t="str">
        <f ca="1">IFERROR(__xludf.DUMMYFUNCTION("""COMPUTED_VALUE"""),"ui_enhanced_icons")</f>
        <v>ui_enhanced_icons</v>
      </c>
      <c r="CI186" s="18" t="str">
        <f ca="1">IFERROR(__xludf.DUMMYFUNCTION("""COMPUTED_VALUE"""),"0xFC05")</f>
        <v>0xFC05</v>
      </c>
      <c r="CJ186" s="18" t="str">
        <f ca="1">IFERROR(__xludf.DUMMYFUNCTION("""COMPUTED_VALUE"""),"0x0030")</f>
        <v>0x0030</v>
      </c>
      <c r="CK186" s="18" t="str">
        <f ca="1">IFERROR(__xludf.DUMMYFUNCTION("""COMPUTED_VALUE"""),"86400")</f>
        <v>86400</v>
      </c>
      <c r="CM186" s="10"/>
      <c r="CP186" s="18" t="str">
        <f ca="1"/>
        <v/>
      </c>
      <c r="CQ186" s="18" t="str">
        <f ca="1"/>
        <v/>
      </c>
      <c r="CR186" s="18" t="str">
        <f ca="1"/>
        <v/>
      </c>
      <c r="CS186" s="18" t="str">
        <f ca="1"/>
        <v/>
      </c>
      <c r="CT186" s="18" t="str">
        <f ca="1"/>
        <v/>
      </c>
      <c r="CV186" s="10"/>
      <c r="CX186" s="18" t="str">
        <f ca="1">IFERROR(__xludf.DUMMYFUNCTION("""COMPUTED_VALUE"""),"device_table_slot_6")</f>
        <v>device_table_slot_6</v>
      </c>
      <c r="CY186" s="18" t="str">
        <f ca="1"/>
        <v>0xFC12</v>
      </c>
      <c r="CZ186" s="18" t="str">
        <f ca="1"/>
        <v>0x0106</v>
      </c>
      <c r="DA186" s="18" t="str">
        <f ca="1"/>
        <v>86400</v>
      </c>
      <c r="DC186" s="10"/>
    </row>
    <row r="187" spans="1:107" x14ac:dyDescent="0.25">
      <c r="A187" s="15" t="s">
        <v>340</v>
      </c>
      <c r="B187" s="15" t="b">
        <v>0</v>
      </c>
      <c r="C187" s="15"/>
      <c r="D187" s="16"/>
      <c r="E187" s="15"/>
      <c r="F187" s="15"/>
      <c r="G187" s="15"/>
      <c r="H187" s="17" t="str">
        <f ca="1">IFERROR(__xludf.DUMMYFUNCTION("""COMPUTED_VALUE"""),"x")</f>
        <v>x</v>
      </c>
      <c r="I187" s="15" t="s">
        <v>29</v>
      </c>
      <c r="J187" s="15" t="s">
        <v>29</v>
      </c>
      <c r="K187" s="15" t="s">
        <v>29</v>
      </c>
      <c r="L187" s="15" t="s">
        <v>29</v>
      </c>
      <c r="M187" s="15" t="s">
        <v>29</v>
      </c>
      <c r="N187" s="16"/>
      <c r="O187" s="18" t="s">
        <v>341</v>
      </c>
      <c r="P187" s="19"/>
      <c r="Q187" s="18" t="str">
        <f ca="1">IFERROR(__xludf.DUMMYFUNCTION("""COMPUTED_VALUE"""),"zb -a 0x0201 0xF079 0")</f>
        <v>zb -a 0x0201 0xF079 0</v>
      </c>
      <c r="R187" s="19"/>
      <c r="S187" s="20" t="str">
        <f ca="1">IFERROR(__xludf.DUMMYFUNCTION("""COMPUTED_VALUE"""),"relay_1_load_temperature_compensation,10,260,513,61825,33,,,,,86400")</f>
        <v>relay_1_load_temperature_compensation,10,260,513,61825,33,,,,,86400</v>
      </c>
      <c r="X187" s="18" t="str">
        <f ca="1">IFERROR(__xludf.DUMMYFUNCTION("""COMPUTED_VALUE"""),"relay_0_pulse_length")</f>
        <v>relay_0_pulse_length</v>
      </c>
      <c r="BP187" s="10"/>
      <c r="BR187" s="18" t="str">
        <f ca="1">IFERROR(__xludf.DUMMYFUNCTION("""COMPUTED_VALUE"""),"startup_screen")</f>
        <v>startup_screen</v>
      </c>
      <c r="BS187" s="18" t="str">
        <f ca="1">IFERROR(__xludf.DUMMYFUNCTION("""COMPUTED_VALUE"""),"0xFC05")</f>
        <v>0xFC05</v>
      </c>
      <c r="BT187" s="18" t="str">
        <f ca="1">IFERROR(__xludf.DUMMYFUNCTION("""COMPUTED_VALUE"""),"0x0024")</f>
        <v>0x0024</v>
      </c>
      <c r="BU187" s="18" t="str">
        <f ca="1">IFERROR(__xludf.DUMMYFUNCTION("""COMPUTED_VALUE"""),"""none""")</f>
        <v>"none"</v>
      </c>
      <c r="BW187" s="10"/>
      <c r="CF187" s="10"/>
      <c r="CH187" s="18" t="str">
        <f ca="1">IFERROR(__xludf.DUMMYFUNCTION("""COMPUTED_VALUE"""),"leaf_button_function")</f>
        <v>leaf_button_function</v>
      </c>
      <c r="CI187" s="18" t="str">
        <f ca="1">IFERROR(__xludf.DUMMYFUNCTION("""COMPUTED_VALUE"""),"0xFC05")</f>
        <v>0xFC05</v>
      </c>
      <c r="CJ187" s="18" t="str">
        <f ca="1">IFERROR(__xludf.DUMMYFUNCTION("""COMPUTED_VALUE"""),"0x0031")</f>
        <v>0x0031</v>
      </c>
      <c r="CK187" s="18" t="str">
        <f ca="1">IFERROR(__xludf.DUMMYFUNCTION("""COMPUTED_VALUE"""),"86400")</f>
        <v>86400</v>
      </c>
      <c r="CM187" s="10"/>
      <c r="CP187" s="18" t="str">
        <f ca="1"/>
        <v/>
      </c>
      <c r="CQ187" s="18" t="str">
        <f ca="1"/>
        <v/>
      </c>
      <c r="CR187" s="18" t="str">
        <f ca="1"/>
        <v/>
      </c>
      <c r="CS187" s="18" t="str">
        <f ca="1"/>
        <v/>
      </c>
      <c r="CT187" s="18" t="str">
        <f ca="1"/>
        <v/>
      </c>
      <c r="CV187" s="10"/>
      <c r="CX187" s="18" t="str">
        <f ca="1">IFERROR(__xludf.DUMMYFUNCTION("""COMPUTED_VALUE"""),"device_table_slot_7")</f>
        <v>device_table_slot_7</v>
      </c>
      <c r="CY187" s="18" t="str">
        <f ca="1"/>
        <v>0xFC12</v>
      </c>
      <c r="CZ187" s="18" t="str">
        <f ca="1"/>
        <v>0x0107</v>
      </c>
      <c r="DA187" s="18" t="str">
        <f ca="1"/>
        <v>86400</v>
      </c>
      <c r="DC187" s="10"/>
    </row>
    <row r="188" spans="1:107" x14ac:dyDescent="0.25">
      <c r="A188" s="15"/>
      <c r="B188" s="15"/>
      <c r="C188" s="15"/>
      <c r="D188" s="16"/>
      <c r="E188" s="15"/>
      <c r="F188" s="15"/>
      <c r="G188" s="15"/>
      <c r="H188" s="17" t="str">
        <f ca="1">IFERROR(__xludf.DUMMYFUNCTION("""COMPUTED_VALUE"""),"")</f>
        <v/>
      </c>
      <c r="I188" s="15" t="s">
        <v>29</v>
      </c>
      <c r="J188" s="15" t="s">
        <v>29</v>
      </c>
      <c r="K188" s="15" t="s">
        <v>29</v>
      </c>
      <c r="L188" s="15" t="s">
        <v>29</v>
      </c>
      <c r="M188" s="15" t="s">
        <v>29</v>
      </c>
      <c r="N188" s="16"/>
      <c r="P188" s="19"/>
      <c r="Q188" s="18" t="str">
        <f ca="1">IFERROR(__xludf.DUMMYFUNCTION("""COMPUTED_VALUE"""),"")</f>
        <v/>
      </c>
      <c r="R188" s="19"/>
      <c r="S188" s="20" t="str">
        <f ca="1">IFERROR(__xludf.DUMMYFUNCTION("""COMPUTED_VALUE"""),"relay_1_pulse_length,10,260,513,61577,33,,,,,86400")</f>
        <v>relay_1_pulse_length,10,260,513,61577,33,,,,,86400</v>
      </c>
      <c r="X188" s="18" t="str">
        <f ca="1">IFERROR(__xludf.DUMMYFUNCTION("""COMPUTED_VALUE"""),"relay_1_load_temperature_compensation")</f>
        <v>relay_1_load_temperature_compensation</v>
      </c>
      <c r="BP188" s="10"/>
      <c r="BR188" s="18" t="str">
        <f ca="1">IFERROR(__xludf.DUMMYFUNCTION("""COMPUTED_VALUE"""),"password_level_1")</f>
        <v>password_level_1</v>
      </c>
      <c r="BS188" s="18" t="str">
        <f ca="1">IFERROR(__xludf.DUMMYFUNCTION("""COMPUTED_VALUE"""),"0xFC05")</f>
        <v>0xFC05</v>
      </c>
      <c r="BT188" s="18" t="str">
        <f ca="1">IFERROR(__xludf.DUMMYFUNCTION("""COMPUTED_VALUE"""),"0x0025")</f>
        <v>0x0025</v>
      </c>
      <c r="BU188" s="18" t="str">
        <f ca="1">IFERROR(__xludf.DUMMYFUNCTION("""COMPUTED_VALUE"""),"65535")</f>
        <v>65535</v>
      </c>
      <c r="BW188" s="10"/>
      <c r="CF188" s="10"/>
      <c r="CH188" s="18" t="str">
        <f ca="1">IFERROR(__xludf.DUMMYFUNCTION("""COMPUTED_VALUE"""),"rui_soft_button_config")</f>
        <v>rui_soft_button_config</v>
      </c>
      <c r="CI188" s="18" t="str">
        <f ca="1">IFERROR(__xludf.DUMMYFUNCTION("""COMPUTED_VALUE"""),"0xFC05")</f>
        <v>0xFC05</v>
      </c>
      <c r="CJ188" s="18" t="str">
        <f ca="1">IFERROR(__xludf.DUMMYFUNCTION("""COMPUTED_VALUE"""),"0x0033")</f>
        <v>0x0033</v>
      </c>
      <c r="CK188" s="18" t="str">
        <f ca="1">IFERROR(__xludf.DUMMYFUNCTION("""COMPUTED_VALUE"""),"86400")</f>
        <v>86400</v>
      </c>
      <c r="CM188" s="10"/>
      <c r="CP188" s="18" t="str">
        <f ca="1"/>
        <v/>
      </c>
      <c r="CQ188" s="18" t="str">
        <f ca="1"/>
        <v/>
      </c>
      <c r="CR188" s="18" t="str">
        <f ca="1"/>
        <v/>
      </c>
      <c r="CS188" s="18" t="str">
        <f ca="1"/>
        <v/>
      </c>
      <c r="CT188" s="18" t="str">
        <f ca="1"/>
        <v/>
      </c>
      <c r="CV188" s="10"/>
      <c r="CX188" s="18" t="str">
        <f ca="1">IFERROR(__xludf.DUMMYFUNCTION("""COMPUTED_VALUE"""),"device_table_slot_8")</f>
        <v>device_table_slot_8</v>
      </c>
      <c r="CY188" s="18" t="str">
        <f ca="1"/>
        <v>0xFC12</v>
      </c>
      <c r="CZ188" s="18" t="str">
        <f ca="1"/>
        <v>0x0108</v>
      </c>
      <c r="DA188" s="18" t="str">
        <f ca="1"/>
        <v>86400</v>
      </c>
      <c r="DC188" s="10"/>
    </row>
    <row r="189" spans="1:107" x14ac:dyDescent="0.25">
      <c r="A189" s="9" t="s">
        <v>342</v>
      </c>
      <c r="B189" s="9"/>
      <c r="C189" s="9"/>
      <c r="D189" s="9"/>
      <c r="E189" s="9"/>
      <c r="F189" s="9"/>
      <c r="G189" s="9"/>
      <c r="H189" s="3" t="str">
        <f ca="1">IFERROR(__xludf.DUMMYFUNCTION("""COMPUTED_VALUE"""),"")</f>
        <v/>
      </c>
      <c r="I189" s="9" t="s">
        <v>29</v>
      </c>
      <c r="J189" s="9" t="s">
        <v>29</v>
      </c>
      <c r="K189" s="9" t="s">
        <v>29</v>
      </c>
      <c r="L189" s="9" t="s">
        <v>29</v>
      </c>
      <c r="M189" s="9" t="s">
        <v>29</v>
      </c>
      <c r="N189" s="9"/>
      <c r="O189" s="10"/>
      <c r="P189" s="19"/>
      <c r="Q189" s="10" t="str">
        <f ca="1">IFERROR(__xludf.DUMMYFUNCTION("""COMPUTED_VALUE"""),"")</f>
        <v/>
      </c>
      <c r="R189" s="19"/>
      <c r="S189" s="20" t="str">
        <f ca="1">IFERROR(__xludf.DUMMYFUNCTION("""COMPUTED_VALUE"""),"relay_2_load_temperature_compensation,10,260,513,61826,33,,,,,86400")</f>
        <v>relay_2_load_temperature_compensation,10,260,513,61826,33,,,,,86400</v>
      </c>
      <c r="X189" s="18" t="str">
        <f ca="1">IFERROR(__xludf.DUMMYFUNCTION("""COMPUTED_VALUE"""),"relay_1_pulse_length")</f>
        <v>relay_1_pulse_length</v>
      </c>
      <c r="BP189" s="10"/>
      <c r="BR189" s="18" t="str">
        <f ca="1">IFERROR(__xludf.DUMMYFUNCTION("""COMPUTED_VALUE"""),"password_level_2")</f>
        <v>password_level_2</v>
      </c>
      <c r="BS189" s="18" t="str">
        <f ca="1">IFERROR(__xludf.DUMMYFUNCTION("""COMPUTED_VALUE"""),"0xFC05")</f>
        <v>0xFC05</v>
      </c>
      <c r="BT189" s="18" t="str">
        <f ca="1">IFERROR(__xludf.DUMMYFUNCTION("""COMPUTED_VALUE"""),"0x0026")</f>
        <v>0x0026</v>
      </c>
      <c r="BU189" s="18" t="str">
        <f ca="1">IFERROR(__xludf.DUMMYFUNCTION("""COMPUTED_VALUE"""),"65535")</f>
        <v>65535</v>
      </c>
      <c r="BW189" s="10"/>
      <c r="CF189" s="10"/>
      <c r="CH189" s="18" t="str">
        <f ca="1">IFERROR(__xludf.DUMMYFUNCTION("""COMPUTED_VALUE"""),"lcd_revision")</f>
        <v>lcd_revision</v>
      </c>
      <c r="CI189" s="18" t="str">
        <f ca="1">IFERROR(__xludf.DUMMYFUNCTION("""COMPUTED_VALUE"""),"0xFC05")</f>
        <v>0xFC05</v>
      </c>
      <c r="CJ189" s="18" t="str">
        <f ca="1">IFERROR(__xludf.DUMMYFUNCTION("""COMPUTED_VALUE"""),"0x0037")</f>
        <v>0x0037</v>
      </c>
      <c r="CK189" s="18" t="str">
        <f ca="1">IFERROR(__xludf.DUMMYFUNCTION("""COMPUTED_VALUE"""),"86400")</f>
        <v>86400</v>
      </c>
      <c r="CM189" s="10"/>
      <c r="CP189" s="18" t="str">
        <f ca="1"/>
        <v/>
      </c>
      <c r="CQ189" s="18" t="str">
        <f ca="1"/>
        <v/>
      </c>
      <c r="CR189" s="18" t="str">
        <f ca="1"/>
        <v/>
      </c>
      <c r="CS189" s="18" t="str">
        <f ca="1"/>
        <v/>
      </c>
      <c r="CT189" s="18" t="str">
        <f ca="1"/>
        <v/>
      </c>
      <c r="CV189" s="10"/>
      <c r="CX189" s="18" t="str">
        <f ca="1">IFERROR(__xludf.DUMMYFUNCTION("""COMPUTED_VALUE"""),"device_table_slot_9")</f>
        <v>device_table_slot_9</v>
      </c>
      <c r="CY189" s="18" t="str">
        <f ca="1"/>
        <v>0xFC12</v>
      </c>
      <c r="CZ189" s="18" t="str">
        <f ca="1"/>
        <v>0x0109</v>
      </c>
      <c r="DA189" s="18" t="str">
        <f ca="1"/>
        <v>86400</v>
      </c>
      <c r="DC189" s="10"/>
    </row>
    <row r="190" spans="1:107" x14ac:dyDescent="0.25">
      <c r="A190" s="15" t="s">
        <v>343</v>
      </c>
      <c r="B190" s="15" t="s">
        <v>344</v>
      </c>
      <c r="C190" s="15"/>
      <c r="D190" s="16"/>
      <c r="E190" s="15"/>
      <c r="F190" s="15"/>
      <c r="G190" s="15"/>
      <c r="H190" s="17" t="str">
        <f ca="1">IFERROR(__xludf.DUMMYFUNCTION("""COMPUTED_VALUE"""),"x")</f>
        <v>x</v>
      </c>
      <c r="I190" s="15" t="s">
        <v>29</v>
      </c>
      <c r="J190" s="15" t="s">
        <v>29</v>
      </c>
      <c r="K190" s="15" t="s">
        <v>29</v>
      </c>
      <c r="L190" s="15" t="s">
        <v>29</v>
      </c>
      <c r="M190" s="15" t="s">
        <v>29</v>
      </c>
      <c r="N190" s="16"/>
      <c r="O190" s="18" t="str">
        <f ca="1">IFERROR(__xludf.DUMMYFUNCTION("IF(A190="""","""",A190
&amp;"",""
&amp;HEX2DEC(VLOOKUP(A190,{'Data Model Parser'!$C$4:$C1626,'Data Model Parser'!$U$4:$U1626},2,0))
&amp;"",""
&amp;HEX2DEC(VLOOKUP(A190,{'Data Model Parser'!$C$4:$C1626,'Data Model Parser'!$V$4:$V1626},2,0))
&amp;"",""
&amp;HEX2DEC(VLOOKUP(A190,{"&amp;"'Data Model Parser'!$C$4:$C1626,'Data Model Parser'!$W$4:$W1626},2,0))
&amp;"",""
&amp;HEX2DEC(VLOOKUP(A190,{'Data Model Parser'!$C$4:$C1626,'Data Model Parser'!$T$4:$T1626},2,0))
&amp;"",""
&amp;HEX2DEC(VLOOKUP(A190,{'Data Model Parser'!$C$4:$C1626,'Data Model Parser'!$"&amp;"X$4:$X1626},2,0))
&amp;"",""
&amp;IFS(B190="""","""",REGEXREPLACE(B190,CHAR(34),"""")=""forwarding"",""0"",REGEXREPLACE(B190,CHAR(34),"""")=""wifi"",""1"")
&amp;"",""
&amp;IF(VLOOKUP(A190,{'Data Model Parser'!$C$4:$C1626,'Data Model Parser'!$G$4:$G1626},2,0)=""polled"","&amp;""",,,""&amp;VLOOKUP(A190,{'Data Model Parser'!$C$4:$C1626,'Data Model Parser'!$H$4:$H1626},2,0),
IF(VLOOKUP(A190,{'Data Model Parser'!$C$4:$C1626,'Data Model Parser'!$G$4:$G1626},2,0)=""reported"",
IFS(E190&lt;&gt;"""",E190&amp;"","",
E190="""",VLOOKUP(A190,{'Data Mode"&amp;"l Parser'!$C$4:$C1626,'Data Model Parser'!$J$4:$J1626},2,0)&amp;"","")
&amp;IFS(F190&lt;&gt;"""",F190&amp;"","",
F190="""",VLOOKUP(A190,{'Data Model Parser'!$C$4:$C1626,'Data Model Parser'!$I$4:$I1626},2,0)&amp;"","")
&amp;IFS(G190&lt;&gt;"""",G190,
G190="""",VLOOKUP(A190,{'Data Model P"&amp;"arser'!$C$4:$C1626,'Data Model Parser'!$K$4:$K1626},2,0)))))"),"reporting_type,10,260,64517,24,32,1,,,,86400")</f>
        <v>reporting_type,10,260,64517,24,32,1,,,,86400</v>
      </c>
      <c r="P190" s="19"/>
      <c r="Q190" s="18" t="str">
        <f ca="1">IFERROR(__xludf.DUMMYFUNCTION("""COMPUTED_VALUE"""),"zb -a 0xFC05 0x0018 1")</f>
        <v>zb -a 0xFC05 0x0018 1</v>
      </c>
      <c r="R190" s="19"/>
      <c r="S190" s="20" t="str">
        <f ca="1">IFERROR(__xludf.DUMMYFUNCTION("""COMPUTED_VALUE"""),"relay_2_pulse_length,10,260,513,61578,33,,,,,86400")</f>
        <v>relay_2_pulse_length,10,260,513,61578,33,,,,,86400</v>
      </c>
      <c r="X190" s="18" t="str">
        <f ca="1">IFERROR(__xludf.DUMMYFUNCTION("""COMPUTED_VALUE"""),"relay_2_load_temperature_compensation")</f>
        <v>relay_2_load_temperature_compensation</v>
      </c>
      <c r="Y190" s="18" t="str">
        <f ca="1">IFERROR(__xludf.DUMMYFUNCTION("UNIQUE(FILTER({$DE$4:$DE1626,$DH$4:$ES1626}, $DE$4:$DE1626=A190))"),"reporting_type")</f>
        <v>reporting_type</v>
      </c>
      <c r="Z190" s="18" t="str">
        <f ca="1">IFERROR(__xludf.DUMMYFUNCTION("""COMPUTED_VALUE"""),"""forwarding""")</f>
        <v>"forwarding"</v>
      </c>
      <c r="AA190" s="18" t="str">
        <f ca="1">IFERROR(__xludf.DUMMYFUNCTION("""COMPUTED_VALUE"""),"""wifi""")</f>
        <v>"wifi"</v>
      </c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P190" s="10"/>
      <c r="BR190" s="18" t="str">
        <f ca="1">IFERROR(__xludf.DUMMYFUNCTION("""COMPUTED_VALUE"""),"bacnet_oid")</f>
        <v>bacnet_oid</v>
      </c>
      <c r="BS190" s="18" t="str">
        <f ca="1">IFERROR(__xludf.DUMMYFUNCTION("""COMPUTED_VALUE"""),"0xFC05")</f>
        <v>0xFC05</v>
      </c>
      <c r="BT190" s="18" t="str">
        <f ca="1">IFERROR(__xludf.DUMMYFUNCTION("""COMPUTED_VALUE"""),"0x0027")</f>
        <v>0x0027</v>
      </c>
      <c r="BU190" s="18" t="str">
        <f ca="1">IFERROR(__xludf.DUMMYFUNCTION("""COMPUTED_VALUE"""),"null")</f>
        <v>null</v>
      </c>
      <c r="BW190" s="10"/>
      <c r="CF190" s="10"/>
      <c r="CH190" s="18" t="str">
        <f ca="1">IFERROR(__xludf.DUMMYFUNCTION("""COMPUTED_VALUE"""),"device_table_slot_1")</f>
        <v>device_table_slot_1</v>
      </c>
      <c r="CI190" s="18" t="str">
        <f ca="1">IFERROR(__xludf.DUMMYFUNCTION("""COMPUTED_VALUE"""),"0xFC12")</f>
        <v>0xFC12</v>
      </c>
      <c r="CJ190" s="18" t="str">
        <f ca="1">IFERROR(__xludf.DUMMYFUNCTION("""COMPUTED_VALUE"""),"0x0101")</f>
        <v>0x0101</v>
      </c>
      <c r="CK190" s="18" t="str">
        <f ca="1">IFERROR(__xludf.DUMMYFUNCTION("""COMPUTED_VALUE"""),"86400")</f>
        <v>86400</v>
      </c>
      <c r="CM190" s="10"/>
      <c r="CP190" s="18" t="str">
        <f ca="1"/>
        <v/>
      </c>
      <c r="CQ190" s="18" t="str">
        <f ca="1"/>
        <v/>
      </c>
      <c r="CR190" s="18" t="str">
        <f ca="1"/>
        <v/>
      </c>
      <c r="CS190" s="18" t="str">
        <f ca="1"/>
        <v/>
      </c>
      <c r="CT190" s="18" t="str">
        <f ca="1"/>
        <v/>
      </c>
      <c r="CV190" s="10"/>
      <c r="CX190" s="18" t="str">
        <f ca="1">IFERROR(__xludf.DUMMYFUNCTION("""COMPUTED_VALUE"""),"device_table_slot_10")</f>
        <v>device_table_slot_10</v>
      </c>
      <c r="CY190" s="18" t="str">
        <f ca="1"/>
        <v>0xFC12</v>
      </c>
      <c r="CZ190" s="18" t="str">
        <f ca="1"/>
        <v>0x010A</v>
      </c>
      <c r="DA190" s="18" t="str">
        <f ca="1"/>
        <v>86400</v>
      </c>
      <c r="DC190" s="10"/>
    </row>
    <row r="191" spans="1:107" x14ac:dyDescent="0.25">
      <c r="A191" s="15" t="s">
        <v>345</v>
      </c>
      <c r="B191" s="15" t="s">
        <v>346</v>
      </c>
      <c r="C191" s="15"/>
      <c r="D191" s="16"/>
      <c r="E191" s="15"/>
      <c r="F191" s="15"/>
      <c r="G191" s="15"/>
      <c r="H191" s="17" t="str">
        <f ca="1">IFERROR(__xludf.DUMMYFUNCTION("""COMPUTED_VALUE"""),"x")</f>
        <v>x</v>
      </c>
      <c r="I191" s="15" t="s">
        <v>29</v>
      </c>
      <c r="J191" s="15" t="s">
        <v>29</v>
      </c>
      <c r="K191" s="15" t="s">
        <v>29</v>
      </c>
      <c r="L191" s="15" t="s">
        <v>29</v>
      </c>
      <c r="M191" s="15" t="s">
        <v>29</v>
      </c>
      <c r="N191" s="16"/>
      <c r="O191" s="18" t="str">
        <f ca="1">IFERROR(__xludf.DUMMYFUNCTION("IF(A191="""","""",A191
&amp;"",""
&amp;HEX2DEC(VLOOKUP(A191,{'Data Model Parser'!$C$4:$C1626,'Data Model Parser'!$U$4:$U1626},2,0))
&amp;"",""
&amp;HEX2DEC(VLOOKUP(A191,{'Data Model Parser'!$C$4:$C1626,'Data Model Parser'!$V$4:$V1626},2,0))
&amp;"",""
&amp;HEX2DEC(VLOOKUP(A191,{"&amp;"'Data Model Parser'!$C$4:$C1626,'Data Model Parser'!$W$4:$W1626},2,0))
&amp;"",""
&amp;HEX2DEC(VLOOKUP(A191,{'Data Model Parser'!$C$4:$C1626,'Data Model Parser'!$T$4:$T1626},2,0))
&amp;"",""
&amp;HEX2DEC(VLOOKUP(A191,{'Data Model Parser'!$C$4:$C1626,'Data Model Parser'!$"&amp;"X$4:$X1626},2,0))
&amp;"",""
&amp;IFS(B191="""","""",REGEXREPLACE(B191,CHAR(34),"""")=""coordinator"",""0"",REGEXREPLACE(B191,CHAR(34),"""")=""router"",""1"",REGEXREPLACE(B191,CHAR(34),"""")=""end_device"",""2"")
&amp;"",""
&amp;IF(VLOOKUP(A191,{'Data Model Parser'!$C$4:"&amp;"$C1626,'Data Model Parser'!$G$4:$G1626},2,0)=""polled"","",,,""&amp;VLOOKUP(A191,{'Data Model Parser'!$C$4:$C1626,'Data Model Parser'!$H$4:$H1626},2,0),
IF(VLOOKUP(A191,{'Data Model Parser'!$C$4:$C1626,'Data Model Parser'!$G$4:$G1626},2,0)=""reported"",
IFS(E"&amp;"191&lt;&gt;"""",E191&amp;"","",
E191="""",VLOOKUP(A191,{'Data Model Parser'!$C$4:$C1626,'Data Model Parser'!$J$4:$J1626},2,0)&amp;"","")
&amp;IFS(F191&lt;&gt;"""",F191&amp;"","",
F191="""",VLOOKUP(A191,{'Data Model Parser'!$C$4:$C1626,'Data Model Parser'!$I$4:$I1626},2,0)&amp;"","")
&amp;IF"&amp;"S(G191&lt;&gt;"""",G191,
G191="""",VLOOKUP(A191,{'Data Model Parser'!$C$4:$C1626,'Data Model Parser'!$K$4:$K1626},2,0)))))"),"zigbee_node_type,10,260,64517,28,48,0,,,,86400")</f>
        <v>zigbee_node_type,10,260,64517,28,48,0,,,,86400</v>
      </c>
      <c r="P191" s="19"/>
      <c r="Q191" s="18" t="str">
        <f ca="1">IFERROR(__xludf.DUMMYFUNCTION("""COMPUTED_VALUE"""),"zb -a 0xFC05 0x001C 0")</f>
        <v>zb -a 0xFC05 0x001C 0</v>
      </c>
      <c r="R191" s="19"/>
      <c r="S191" s="20" t="str">
        <f ca="1">IFERROR(__xludf.DUMMYFUNCTION("""COMPUTED_VALUE"""),"relay_3_load_temperature_compensation,10,260,513,61827,33,,,,,86400")</f>
        <v>relay_3_load_temperature_compensation,10,260,513,61827,33,,,,,86400</v>
      </c>
      <c r="X191" s="18" t="str">
        <f ca="1">IFERROR(__xludf.DUMMYFUNCTION("""COMPUTED_VALUE"""),"relay_2_pulse_length")</f>
        <v>relay_2_pulse_length</v>
      </c>
      <c r="Y191" s="18" t="str">
        <f ca="1">IFERROR(__xludf.DUMMYFUNCTION("UNIQUE(FILTER({$DE$4:$DE1626,$DH$4:$ES1626}, $DE$4:$DE1626=A191))"),"zigbee_node_type")</f>
        <v>zigbee_node_type</v>
      </c>
      <c r="Z191" s="18" t="str">
        <f ca="1">IFERROR(__xludf.DUMMYFUNCTION("""COMPUTED_VALUE"""),"""coordinator""")</f>
        <v>"coordinator"</v>
      </c>
      <c r="AA191" s="18" t="str">
        <f ca="1">IFERROR(__xludf.DUMMYFUNCTION("""COMPUTED_VALUE"""),"""router""")</f>
        <v>"router"</v>
      </c>
      <c r="AB191" s="18" t="str">
        <f ca="1">IFERROR(__xludf.DUMMYFUNCTION("""COMPUTED_VALUE"""),"""end_device""")</f>
        <v>"end_device"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P191" s="10"/>
      <c r="BR191" s="18" t="str">
        <f ca="1">IFERROR(__xludf.DUMMYFUNCTION("""COMPUTED_VALUE"""),"push_button_config_key_1")</f>
        <v>push_button_config_key_1</v>
      </c>
      <c r="BS191" s="18" t="str">
        <f ca="1">IFERROR(__xludf.DUMMYFUNCTION("""COMPUTED_VALUE"""),"0xFC05")</f>
        <v>0xFC05</v>
      </c>
      <c r="BT191" s="18" t="str">
        <f ca="1">IFERROR(__xludf.DUMMYFUNCTION("""COMPUTED_VALUE"""),"0x0028")</f>
        <v>0x0028</v>
      </c>
      <c r="BU191" s="18" t="str">
        <f ca="1">IFERROR(__xludf.DUMMYFUNCTION("""COMPUTED_VALUE"""),"""cycle_modes""")</f>
        <v>"cycle_modes"</v>
      </c>
      <c r="BW191" s="10"/>
      <c r="CF191" s="10"/>
      <c r="CH191" s="18" t="str">
        <f ca="1">IFERROR(__xludf.DUMMYFUNCTION("""COMPUTED_VALUE"""),"device_table_slot_2")</f>
        <v>device_table_slot_2</v>
      </c>
      <c r="CI191" s="18" t="str">
        <f ca="1">IFERROR(__xludf.DUMMYFUNCTION("""COMPUTED_VALUE"""),"0xFC12")</f>
        <v>0xFC12</v>
      </c>
      <c r="CJ191" s="18" t="str">
        <f ca="1">IFERROR(__xludf.DUMMYFUNCTION("""COMPUTED_VALUE"""),"0x0102")</f>
        <v>0x0102</v>
      </c>
      <c r="CK191" s="18" t="str">
        <f ca="1">IFERROR(__xludf.DUMMYFUNCTION("""COMPUTED_VALUE"""),"86400")</f>
        <v>86400</v>
      </c>
      <c r="CM191" s="10"/>
      <c r="CP191" s="18" t="str">
        <f ca="1"/>
        <v/>
      </c>
      <c r="CQ191" s="18" t="str">
        <f ca="1"/>
        <v/>
      </c>
      <c r="CR191" s="18" t="str">
        <f ca="1"/>
        <v/>
      </c>
      <c r="CS191" s="18" t="str">
        <f ca="1"/>
        <v/>
      </c>
      <c r="CT191" s="18" t="str">
        <f ca="1"/>
        <v/>
      </c>
      <c r="CV191" s="10"/>
      <c r="CX191" s="18" t="str">
        <f ca="1">IFERROR(__xludf.DUMMYFUNCTION("""COMPUTED_VALUE"""),"device_table_slot_11")</f>
        <v>device_table_slot_11</v>
      </c>
      <c r="CY191" s="18" t="str">
        <f ca="1"/>
        <v>0xFC12</v>
      </c>
      <c r="CZ191" s="18" t="str">
        <f ca="1"/>
        <v>0x010B</v>
      </c>
      <c r="DA191" s="18" t="str">
        <f ca="1"/>
        <v>86400</v>
      </c>
      <c r="DC191" s="10"/>
    </row>
    <row r="192" spans="1:107" x14ac:dyDescent="0.25">
      <c r="A192" s="15"/>
      <c r="B192" s="15"/>
      <c r="C192" s="15"/>
      <c r="D192" s="16"/>
      <c r="E192" s="15"/>
      <c r="F192" s="15"/>
      <c r="G192" s="15"/>
      <c r="H192" s="17" t="str">
        <f ca="1">IFERROR(__xludf.DUMMYFUNCTION("""COMPUTED_VALUE"""),"")</f>
        <v/>
      </c>
      <c r="I192" s="15" t="s">
        <v>29</v>
      </c>
      <c r="J192" s="15" t="s">
        <v>29</v>
      </c>
      <c r="K192" s="15" t="s">
        <v>29</v>
      </c>
      <c r="L192" s="15" t="s">
        <v>29</v>
      </c>
      <c r="M192" s="15" t="s">
        <v>29</v>
      </c>
      <c r="N192" s="16"/>
      <c r="P192" s="19"/>
      <c r="Q192" s="18" t="str">
        <f ca="1">IFERROR(__xludf.DUMMYFUNCTION("""COMPUTED_VALUE"""),"")</f>
        <v/>
      </c>
      <c r="R192" s="19"/>
      <c r="S192" s="20" t="str">
        <f ca="1">IFERROR(__xludf.DUMMYFUNCTION("""COMPUTED_VALUE"""),"relay_3_pulse_length,10,260,513,61579,33,,,,,86400")</f>
        <v>relay_3_pulse_length,10,260,513,61579,33,,,,,86400</v>
      </c>
      <c r="X192" s="18" t="str">
        <f ca="1">IFERROR(__xludf.DUMMYFUNCTION("""COMPUTED_VALUE"""),"relay_3_load_temperature_compensation")</f>
        <v>relay_3_load_temperature_compensation</v>
      </c>
      <c r="BP192" s="10"/>
      <c r="BR192" s="18" t="str">
        <f ca="1">IFERROR(__xludf.DUMMYFUNCTION("""COMPUTED_VALUE"""),"push_button_config_key_2")</f>
        <v>push_button_config_key_2</v>
      </c>
      <c r="BS192" s="18" t="str">
        <f ca="1">IFERROR(__xludf.DUMMYFUNCTION("""COMPUTED_VALUE"""),"0xFC05")</f>
        <v>0xFC05</v>
      </c>
      <c r="BT192" s="18" t="str">
        <f ca="1">IFERROR(__xludf.DUMMYFUNCTION("""COMPUTED_VALUE"""),"0x0029")</f>
        <v>0x0029</v>
      </c>
      <c r="BU192" s="18" t="str">
        <f ca="1">IFERROR(__xludf.DUMMYFUNCTION("""COMPUTED_VALUE"""),"""change_temp_units""")</f>
        <v>"change_temp_units"</v>
      </c>
      <c r="BW192" s="10"/>
      <c r="CF192" s="10"/>
      <c r="CH192" s="18" t="str">
        <f ca="1">IFERROR(__xludf.DUMMYFUNCTION("""COMPUTED_VALUE"""),"device_table_slot_3")</f>
        <v>device_table_slot_3</v>
      </c>
      <c r="CI192" s="18" t="str">
        <f ca="1">IFERROR(__xludf.DUMMYFUNCTION("""COMPUTED_VALUE"""),"0xFC12")</f>
        <v>0xFC12</v>
      </c>
      <c r="CJ192" s="18" t="str">
        <f ca="1">IFERROR(__xludf.DUMMYFUNCTION("""COMPUTED_VALUE"""),"0x0103")</f>
        <v>0x0103</v>
      </c>
      <c r="CK192" s="18" t="str">
        <f ca="1">IFERROR(__xludf.DUMMYFUNCTION("""COMPUTED_VALUE"""),"86400")</f>
        <v>86400</v>
      </c>
      <c r="CM192" s="10"/>
      <c r="CP192" s="18" t="str">
        <f ca="1"/>
        <v/>
      </c>
      <c r="CQ192" s="18" t="str">
        <f ca="1"/>
        <v/>
      </c>
      <c r="CR192" s="18" t="str">
        <f ca="1"/>
        <v/>
      </c>
      <c r="CS192" s="18" t="str">
        <f ca="1"/>
        <v/>
      </c>
      <c r="CT192" s="18" t="str">
        <f ca="1"/>
        <v/>
      </c>
      <c r="CV192" s="10"/>
      <c r="CX192" s="18" t="str">
        <f ca="1">IFERROR(__xludf.DUMMYFUNCTION("""COMPUTED_VALUE"""),"device_table_slot_12")</f>
        <v>device_table_slot_12</v>
      </c>
      <c r="CY192" s="18" t="str">
        <f ca="1"/>
        <v>0xFC12</v>
      </c>
      <c r="CZ192" s="18" t="str">
        <f ca="1"/>
        <v>0x010C</v>
      </c>
      <c r="DA192" s="18" t="str">
        <f ca="1"/>
        <v>86400</v>
      </c>
      <c r="DC192" s="10"/>
    </row>
    <row r="193" spans="1:107" x14ac:dyDescent="0.25">
      <c r="A193" s="31" t="s">
        <v>347</v>
      </c>
      <c r="B193" s="31"/>
      <c r="C193" s="31"/>
      <c r="D193" s="9"/>
      <c r="E193" s="31"/>
      <c r="F193" s="31"/>
      <c r="G193" s="31"/>
      <c r="H193" s="3" t="str">
        <f ca="1">IFERROR(__xludf.DUMMYFUNCTION("""COMPUTED_VALUE"""),"")</f>
        <v/>
      </c>
      <c r="I193" s="31" t="s">
        <v>29</v>
      </c>
      <c r="J193" s="31" t="s">
        <v>29</v>
      </c>
      <c r="K193" s="31" t="s">
        <v>29</v>
      </c>
      <c r="L193" s="31" t="s">
        <v>29</v>
      </c>
      <c r="M193" s="31" t="s">
        <v>29</v>
      </c>
      <c r="N193" s="16"/>
      <c r="O193" s="10"/>
      <c r="P193" s="19"/>
      <c r="Q193" s="10" t="str">
        <f ca="1">IFERROR(__xludf.DUMMYFUNCTION("""COMPUTED_VALUE"""),"")</f>
        <v/>
      </c>
      <c r="R193" s="19"/>
      <c r="S193" s="20" t="str">
        <f ca="1">IFERROR(__xludf.DUMMYFUNCTION("""COMPUTED_VALUE"""),"relay_4_load_temperature_compensation,10,260,513,61828,33,,,,,86400")</f>
        <v>relay_4_load_temperature_compensation,10,260,513,61828,33,,,,,86400</v>
      </c>
      <c r="X193" s="18" t="str">
        <f ca="1">IFERROR(__xludf.DUMMYFUNCTION("""COMPUTED_VALUE"""),"relay_3_pulse_length")</f>
        <v>relay_3_pulse_length</v>
      </c>
      <c r="BP193" s="10"/>
      <c r="BR193" s="18" t="str">
        <f ca="1">IFERROR(__xludf.DUMMYFUNCTION("""COMPUTED_VALUE"""),"push_button_config_key_3")</f>
        <v>push_button_config_key_3</v>
      </c>
      <c r="BS193" s="18" t="str">
        <f ca="1">IFERROR(__xludf.DUMMYFUNCTION("""COMPUTED_VALUE"""),"0xFC05")</f>
        <v>0xFC05</v>
      </c>
      <c r="BT193" s="18" t="str">
        <f ca="1">IFERROR(__xludf.DUMMYFUNCTION("""COMPUTED_VALUE"""),"0x002A")</f>
        <v>0x002A</v>
      </c>
      <c r="BU193" s="18" t="str">
        <f ca="1">IFERROR(__xludf.DUMMYFUNCTION("""COMPUTED_VALUE"""),"""cycle_fan""")</f>
        <v>"cycle_fan"</v>
      </c>
      <c r="BW193" s="10"/>
      <c r="CF193" s="10"/>
      <c r="CH193" s="18" t="str">
        <f ca="1">IFERROR(__xludf.DUMMYFUNCTION("""COMPUTED_VALUE"""),"device_table_slot_4")</f>
        <v>device_table_slot_4</v>
      </c>
      <c r="CI193" s="18" t="str">
        <f ca="1">IFERROR(__xludf.DUMMYFUNCTION("""COMPUTED_VALUE"""),"0xFC12")</f>
        <v>0xFC12</v>
      </c>
      <c r="CJ193" s="18" t="str">
        <f ca="1">IFERROR(__xludf.DUMMYFUNCTION("""COMPUTED_VALUE"""),"0x0104")</f>
        <v>0x0104</v>
      </c>
      <c r="CK193" s="18" t="str">
        <f ca="1">IFERROR(__xludf.DUMMYFUNCTION("""COMPUTED_VALUE"""),"86400")</f>
        <v>86400</v>
      </c>
      <c r="CM193" s="10"/>
      <c r="CP193" s="18" t="str">
        <f ca="1"/>
        <v/>
      </c>
      <c r="CQ193" s="18" t="str">
        <f ca="1"/>
        <v/>
      </c>
      <c r="CR193" s="18" t="str">
        <f ca="1"/>
        <v/>
      </c>
      <c r="CS193" s="18" t="str">
        <f ca="1"/>
        <v/>
      </c>
      <c r="CT193" s="18" t="str">
        <f ca="1"/>
        <v/>
      </c>
      <c r="CV193" s="10"/>
      <c r="CX193" s="18" t="str">
        <f ca="1">IFERROR(__xludf.DUMMYFUNCTION("""COMPUTED_VALUE"""),"device_table_slot_13")</f>
        <v>device_table_slot_13</v>
      </c>
      <c r="CY193" s="18" t="str">
        <f ca="1"/>
        <v>0xFC12</v>
      </c>
      <c r="CZ193" s="18" t="str">
        <f ca="1"/>
        <v>0x010D</v>
      </c>
      <c r="DA193" s="18" t="str">
        <f ca="1"/>
        <v>86400</v>
      </c>
      <c r="DC193" s="10"/>
    </row>
    <row r="194" spans="1:107" x14ac:dyDescent="0.25">
      <c r="A194" s="15" t="s">
        <v>348</v>
      </c>
      <c r="B194" s="15"/>
      <c r="C194" s="15"/>
      <c r="D194" s="16"/>
      <c r="E194" s="15"/>
      <c r="F194" s="15">
        <v>900</v>
      </c>
      <c r="G194" s="15"/>
      <c r="H194" s="17" t="str">
        <f ca="1">IFERROR(__xludf.DUMMYFUNCTION("""COMPUTED_VALUE"""),"")</f>
        <v/>
      </c>
      <c r="I194" s="15" t="s">
        <v>29</v>
      </c>
      <c r="J194" s="15" t="s">
        <v>29</v>
      </c>
      <c r="K194" s="15" t="s">
        <v>29</v>
      </c>
      <c r="L194" s="15" t="s">
        <v>29</v>
      </c>
      <c r="M194" s="15" t="s">
        <v>29</v>
      </c>
      <c r="N194" s="16"/>
      <c r="O194" s="18" t="s">
        <v>349</v>
      </c>
      <c r="P194" s="19"/>
      <c r="Q194" s="18" t="str">
        <f ca="1">IFERROR(__xludf.DUMMYFUNCTION("""COMPUTED_VALUE"""),"")</f>
        <v/>
      </c>
      <c r="R194" s="19"/>
      <c r="S194" s="20" t="str">
        <f ca="1">IFERROR(__xludf.DUMMYFUNCTION("""COMPUTED_VALUE"""),"relay_4_pulse_length,10,260,513,61580,33,,,,,86400")</f>
        <v>relay_4_pulse_length,10,260,513,61580,33,,,,,86400</v>
      </c>
      <c r="X194" s="18" t="str">
        <f ca="1">IFERROR(__xludf.DUMMYFUNCTION("""COMPUTED_VALUE"""),"relay_4_load_temperature_compensation")</f>
        <v>relay_4_load_temperature_compensation</v>
      </c>
      <c r="BP194" s="10"/>
      <c r="BR194" s="18" t="str">
        <f ca="1">IFERROR(__xludf.DUMMYFUNCTION("""COMPUTED_VALUE"""),"push_button_config_key_4")</f>
        <v>push_button_config_key_4</v>
      </c>
      <c r="BS194" s="18" t="str">
        <f ca="1">IFERROR(__xludf.DUMMYFUNCTION("""COMPUTED_VALUE"""),"0xFC05")</f>
        <v>0xFC05</v>
      </c>
      <c r="BT194" s="18" t="str">
        <f ca="1">IFERROR(__xludf.DUMMYFUNCTION("""COMPUTED_VALUE"""),"0x002B")</f>
        <v>0x002B</v>
      </c>
      <c r="BU194" s="18" t="str">
        <f ca="1">IFERROR(__xludf.DUMMYFUNCTION("""COMPUTED_VALUE"""),"""leaf""")</f>
        <v>"leaf"</v>
      </c>
      <c r="BW194" s="10"/>
      <c r="CF194" s="10"/>
      <c r="CH194" s="18" t="str">
        <f ca="1">IFERROR(__xludf.DUMMYFUNCTION("""COMPUTED_VALUE"""),"device_table_slot_5")</f>
        <v>device_table_slot_5</v>
      </c>
      <c r="CI194" s="18" t="str">
        <f ca="1">IFERROR(__xludf.DUMMYFUNCTION("""COMPUTED_VALUE"""),"0xFC12")</f>
        <v>0xFC12</v>
      </c>
      <c r="CJ194" s="18" t="str">
        <f ca="1">IFERROR(__xludf.DUMMYFUNCTION("""COMPUTED_VALUE"""),"0x0105")</f>
        <v>0x0105</v>
      </c>
      <c r="CK194" s="18" t="str">
        <f ca="1">IFERROR(__xludf.DUMMYFUNCTION("""COMPUTED_VALUE"""),"86400")</f>
        <v>86400</v>
      </c>
      <c r="CM194" s="10"/>
      <c r="CP194" s="18" t="str">
        <f ca="1"/>
        <v/>
      </c>
      <c r="CQ194" s="18" t="str">
        <f ca="1"/>
        <v/>
      </c>
      <c r="CR194" s="18" t="str">
        <f ca="1"/>
        <v/>
      </c>
      <c r="CS194" s="18" t="str">
        <f ca="1"/>
        <v/>
      </c>
      <c r="CT194" s="18" t="str">
        <f ca="1"/>
        <v/>
      </c>
      <c r="CV194" s="10"/>
      <c r="CX194" s="18" t="str">
        <f ca="1">IFERROR(__xludf.DUMMYFUNCTION("""COMPUTED_VALUE"""),"device_table_slot_14")</f>
        <v>device_table_slot_14</v>
      </c>
      <c r="CY194" s="18" t="str">
        <f ca="1"/>
        <v>0xFC12</v>
      </c>
      <c r="CZ194" s="18" t="str">
        <f ca="1"/>
        <v>0x010E</v>
      </c>
      <c r="DA194" s="18" t="str">
        <f ca="1"/>
        <v>86400</v>
      </c>
      <c r="DC194" s="10"/>
    </row>
    <row r="195" spans="1:107" x14ac:dyDescent="0.25">
      <c r="A195" s="15" t="s">
        <v>350</v>
      </c>
      <c r="B195" s="15"/>
      <c r="C195" s="15"/>
      <c r="D195" s="16"/>
      <c r="E195" s="15"/>
      <c r="F195" s="15">
        <v>900</v>
      </c>
      <c r="G195" s="15"/>
      <c r="H195" s="17" t="str">
        <f ca="1">IFERROR(__xludf.DUMMYFUNCTION("""COMPUTED_VALUE"""),"")</f>
        <v/>
      </c>
      <c r="I195" s="15" t="s">
        <v>29</v>
      </c>
      <c r="J195" s="15" t="s">
        <v>29</v>
      </c>
      <c r="K195" s="15" t="s">
        <v>29</v>
      </c>
      <c r="L195" s="15" t="s">
        <v>29</v>
      </c>
      <c r="M195" s="15" t="s">
        <v>29</v>
      </c>
      <c r="N195" s="16"/>
      <c r="O195" s="18" t="s">
        <v>351</v>
      </c>
      <c r="P195" s="19"/>
      <c r="Q195" s="18" t="str">
        <f ca="1">IFERROR(__xludf.DUMMYFUNCTION("""COMPUTED_VALUE"""),"")</f>
        <v/>
      </c>
      <c r="R195" s="19"/>
      <c r="S195" s="20" t="str">
        <f ca="1">IFERROR(__xludf.DUMMYFUNCTION("""COMPUTED_VALUE"""),"relay_5_load_temperature_compensation,10,260,513,61829,33,,,,,86400")</f>
        <v>relay_5_load_temperature_compensation,10,260,513,61829,33,,,,,86400</v>
      </c>
      <c r="X195" s="18" t="str">
        <f ca="1">IFERROR(__xludf.DUMMYFUNCTION("""COMPUTED_VALUE"""),"relay_4_pulse_length")</f>
        <v>relay_4_pulse_length</v>
      </c>
      <c r="BP195" s="10"/>
      <c r="BR195" s="18" t="str">
        <f ca="1">IFERROR(__xludf.DUMMYFUNCTION("""COMPUTED_VALUE"""),"push_button_config_key_5")</f>
        <v>push_button_config_key_5</v>
      </c>
      <c r="BS195" s="18" t="str">
        <f ca="1">IFERROR(__xludf.DUMMYFUNCTION("""COMPUTED_VALUE"""),"0xFC05")</f>
        <v>0xFC05</v>
      </c>
      <c r="BT195" s="18" t="str">
        <f ca="1">IFERROR(__xludf.DUMMYFUNCTION("""COMPUTED_VALUE"""),"0x002C")</f>
        <v>0x002C</v>
      </c>
      <c r="BU195" s="18" t="str">
        <f ca="1">IFERROR(__xludf.DUMMYFUNCTION("""COMPUTED_VALUE"""),"""up_arrow""")</f>
        <v>"up_arrow"</v>
      </c>
      <c r="BW195" s="10"/>
      <c r="CF195" s="10"/>
      <c r="CH195" s="18" t="str">
        <f ca="1">IFERROR(__xludf.DUMMYFUNCTION("""COMPUTED_VALUE"""),"device_table_slot_6")</f>
        <v>device_table_slot_6</v>
      </c>
      <c r="CI195" s="18" t="str">
        <f ca="1">IFERROR(__xludf.DUMMYFUNCTION("""COMPUTED_VALUE"""),"0xFC12")</f>
        <v>0xFC12</v>
      </c>
      <c r="CJ195" s="18" t="str">
        <f ca="1">IFERROR(__xludf.DUMMYFUNCTION("""COMPUTED_VALUE"""),"0x0106")</f>
        <v>0x0106</v>
      </c>
      <c r="CK195" s="18" t="str">
        <f ca="1">IFERROR(__xludf.DUMMYFUNCTION("""COMPUTED_VALUE"""),"86400")</f>
        <v>86400</v>
      </c>
      <c r="CM195" s="10"/>
      <c r="CP195" s="18" t="str">
        <f ca="1"/>
        <v/>
      </c>
      <c r="CQ195" s="18" t="str">
        <f ca="1"/>
        <v/>
      </c>
      <c r="CR195" s="18" t="str">
        <f ca="1"/>
        <v/>
      </c>
      <c r="CS195" s="18" t="str">
        <f ca="1"/>
        <v/>
      </c>
      <c r="CT195" s="18" t="str">
        <f ca="1"/>
        <v/>
      </c>
      <c r="CV195" s="10"/>
      <c r="CX195" s="18" t="str">
        <f ca="1">IFERROR(__xludf.DUMMYFUNCTION("""COMPUTED_VALUE"""),"device_table_slot_15")</f>
        <v>device_table_slot_15</v>
      </c>
      <c r="CY195" s="18" t="str">
        <f ca="1"/>
        <v>0xFC12</v>
      </c>
      <c r="CZ195" s="18" t="str">
        <f ca="1"/>
        <v>0x010F</v>
      </c>
      <c r="DA195" s="18" t="str">
        <f ca="1"/>
        <v>86400</v>
      </c>
      <c r="DC195" s="10"/>
    </row>
    <row r="196" spans="1:107" x14ac:dyDescent="0.25">
      <c r="A196" s="15" t="s">
        <v>352</v>
      </c>
      <c r="B196" s="15"/>
      <c r="C196" s="15"/>
      <c r="D196" s="16"/>
      <c r="E196" s="15"/>
      <c r="F196" s="15">
        <v>900</v>
      </c>
      <c r="G196" s="15"/>
      <c r="H196" s="17" t="str">
        <f ca="1">IFERROR(__xludf.DUMMYFUNCTION("""COMPUTED_VALUE"""),"")</f>
        <v/>
      </c>
      <c r="I196" s="15" t="s">
        <v>29</v>
      </c>
      <c r="J196" s="15" t="s">
        <v>29</v>
      </c>
      <c r="K196" s="15" t="s">
        <v>29</v>
      </c>
      <c r="L196" s="15" t="s">
        <v>29</v>
      </c>
      <c r="M196" s="15" t="s">
        <v>29</v>
      </c>
      <c r="N196" s="16"/>
      <c r="O196" s="18" t="s">
        <v>353</v>
      </c>
      <c r="P196" s="19"/>
      <c r="Q196" s="18" t="str">
        <f ca="1">IFERROR(__xludf.DUMMYFUNCTION("""COMPUTED_VALUE"""),"")</f>
        <v/>
      </c>
      <c r="R196" s="19"/>
      <c r="S196" s="20" t="str">
        <f ca="1">IFERROR(__xludf.DUMMYFUNCTION("""COMPUTED_VALUE"""),"relay_5_pulse_length,10,260,513,61581,33,,,,,86400")</f>
        <v>relay_5_pulse_length,10,260,513,61581,33,,,,,86400</v>
      </c>
      <c r="X196" s="18" t="str">
        <f ca="1">IFERROR(__xludf.DUMMYFUNCTION("""COMPUTED_VALUE"""),"relay_5_load_temperature_compensation")</f>
        <v>relay_5_load_temperature_compensation</v>
      </c>
      <c r="BP196" s="10"/>
      <c r="BR196" s="18" t="str">
        <f ca="1">IFERROR(__xludf.DUMMYFUNCTION("""COMPUTED_VALUE"""),"push_button_config_key_6")</f>
        <v>push_button_config_key_6</v>
      </c>
      <c r="BS196" s="18" t="str">
        <f ca="1">IFERROR(__xludf.DUMMYFUNCTION("""COMPUTED_VALUE"""),"0xFC05")</f>
        <v>0xFC05</v>
      </c>
      <c r="BT196" s="18" t="str">
        <f ca="1">IFERROR(__xludf.DUMMYFUNCTION("""COMPUTED_VALUE"""),"0x002D")</f>
        <v>0x002D</v>
      </c>
      <c r="BU196" s="18" t="str">
        <f ca="1">IFERROR(__xludf.DUMMYFUNCTION("""COMPUTED_VALUE"""),"""down_arrow""")</f>
        <v>"down_arrow"</v>
      </c>
      <c r="BW196" s="10"/>
      <c r="CF196" s="10"/>
      <c r="CH196" s="18" t="str">
        <f ca="1">IFERROR(__xludf.DUMMYFUNCTION("""COMPUTED_VALUE"""),"device_table_slot_7")</f>
        <v>device_table_slot_7</v>
      </c>
      <c r="CI196" s="18" t="str">
        <f ca="1">IFERROR(__xludf.DUMMYFUNCTION("""COMPUTED_VALUE"""),"0xFC12")</f>
        <v>0xFC12</v>
      </c>
      <c r="CJ196" s="18" t="str">
        <f ca="1">IFERROR(__xludf.DUMMYFUNCTION("""COMPUTED_VALUE"""),"0x0107")</f>
        <v>0x0107</v>
      </c>
      <c r="CK196" s="18" t="str">
        <f ca="1">IFERROR(__xludf.DUMMYFUNCTION("""COMPUTED_VALUE"""),"86400")</f>
        <v>86400</v>
      </c>
      <c r="CM196" s="10"/>
      <c r="CP196" s="18" t="str">
        <f ca="1"/>
        <v/>
      </c>
      <c r="CQ196" s="18" t="str">
        <f ca="1"/>
        <v/>
      </c>
      <c r="CR196" s="18" t="str">
        <f ca="1"/>
        <v/>
      </c>
      <c r="CS196" s="18" t="str">
        <f ca="1"/>
        <v/>
      </c>
      <c r="CT196" s="18" t="str">
        <f ca="1"/>
        <v/>
      </c>
      <c r="CV196" s="10"/>
      <c r="CX196" s="18" t="str">
        <f ca="1">IFERROR(__xludf.DUMMYFUNCTION("""COMPUTED_VALUE"""),"device_table_slot_16")</f>
        <v>device_table_slot_16</v>
      </c>
      <c r="CY196" s="18" t="str">
        <f ca="1"/>
        <v>0xFC12</v>
      </c>
      <c r="CZ196" s="18" t="str">
        <f ca="1"/>
        <v>0x0110</v>
      </c>
      <c r="DA196" s="18" t="str">
        <f ca="1"/>
        <v>86400</v>
      </c>
      <c r="DC196" s="10"/>
    </row>
    <row r="197" spans="1:107" x14ac:dyDescent="0.25">
      <c r="A197" s="15" t="s">
        <v>354</v>
      </c>
      <c r="B197" s="15">
        <v>1</v>
      </c>
      <c r="C197" s="15"/>
      <c r="D197" s="16"/>
      <c r="E197" s="15"/>
      <c r="F197" s="15">
        <v>900</v>
      </c>
      <c r="G197" s="15"/>
      <c r="H197" s="17" t="str">
        <f ca="1">IFERROR(__xludf.DUMMYFUNCTION("""COMPUTED_VALUE"""),"x")</f>
        <v>x</v>
      </c>
      <c r="I197" s="15" t="s">
        <v>29</v>
      </c>
      <c r="J197" s="15" t="s">
        <v>29</v>
      </c>
      <c r="K197" s="15" t="s">
        <v>29</v>
      </c>
      <c r="L197" s="15" t="s">
        <v>29</v>
      </c>
      <c r="M197" s="15" t="s">
        <v>29</v>
      </c>
      <c r="N197" s="16"/>
      <c r="O197" s="18" t="s">
        <v>355</v>
      </c>
      <c r="P197" s="19"/>
      <c r="Q197" s="18" t="str">
        <f ca="1">IFERROR(__xludf.DUMMYFUNCTION("""COMPUTED_VALUE"""),"zb -a 0x0201 0xF071 1")</f>
        <v>zb -a 0x0201 0xF071 1</v>
      </c>
      <c r="R197" s="19"/>
      <c r="S197" s="20" t="str">
        <f ca="1">IFERROR(__xludf.DUMMYFUNCTION("""COMPUTED_VALUE"""),"relay_6_load_temperature_compensation,10,260,513,61830,33,,,,,86400")</f>
        <v>relay_6_load_temperature_compensation,10,260,513,61830,33,,,,,86400</v>
      </c>
      <c r="X197" s="18" t="str">
        <f ca="1">IFERROR(__xludf.DUMMYFUNCTION("""COMPUTED_VALUE"""),"relay_5_pulse_length")</f>
        <v>relay_5_pulse_length</v>
      </c>
      <c r="BP197" s="10"/>
      <c r="BR197" s="18" t="str">
        <f ca="1">IFERROR(__xludf.DUMMYFUNCTION("""COMPUTED_VALUE"""),"last_preset_applied")</f>
        <v>last_preset_applied</v>
      </c>
      <c r="BS197" s="18" t="str">
        <f ca="1">IFERROR(__xludf.DUMMYFUNCTION("""COMPUTED_VALUE"""),"0xFC05")</f>
        <v>0xFC05</v>
      </c>
      <c r="BT197" s="18" t="str">
        <f ca="1">IFERROR(__xludf.DUMMYFUNCTION("""COMPUTED_VALUE"""),"0x002E")</f>
        <v>0x002E</v>
      </c>
      <c r="BU197" s="18" t="str">
        <f ca="1">IFERROR(__xludf.DUMMYFUNCTION("""COMPUTED_VALUE"""),"false")</f>
        <v>false</v>
      </c>
      <c r="BW197" s="10"/>
      <c r="CF197" s="10"/>
      <c r="CH197" s="18" t="str">
        <f ca="1">IFERROR(__xludf.DUMMYFUNCTION("""COMPUTED_VALUE"""),"device_table_slot_8")</f>
        <v>device_table_slot_8</v>
      </c>
      <c r="CI197" s="18" t="str">
        <f ca="1">IFERROR(__xludf.DUMMYFUNCTION("""COMPUTED_VALUE"""),"0xFC12")</f>
        <v>0xFC12</v>
      </c>
      <c r="CJ197" s="18" t="str">
        <f ca="1">IFERROR(__xludf.DUMMYFUNCTION("""COMPUTED_VALUE"""),"0x0108")</f>
        <v>0x0108</v>
      </c>
      <c r="CK197" s="18" t="str">
        <f ca="1">IFERROR(__xludf.DUMMYFUNCTION("""COMPUTED_VALUE"""),"86400")</f>
        <v>86400</v>
      </c>
      <c r="CM197" s="10"/>
      <c r="CP197" s="18" t="str">
        <f ca="1"/>
        <v/>
      </c>
      <c r="CQ197" s="18" t="str">
        <f ca="1"/>
        <v/>
      </c>
      <c r="CR197" s="18" t="str">
        <f ca="1"/>
        <v/>
      </c>
      <c r="CS197" s="18" t="str">
        <f ca="1"/>
        <v/>
      </c>
      <c r="CT197" s="18" t="str">
        <f ca="1"/>
        <v/>
      </c>
      <c r="CV197" s="10"/>
      <c r="CY197" s="18" t="str">
        <f ca="1"/>
        <v/>
      </c>
      <c r="CZ197" s="18" t="str">
        <f ca="1"/>
        <v/>
      </c>
      <c r="DA197" s="18" t="str">
        <f ca="1"/>
        <v/>
      </c>
      <c r="DC197" s="10"/>
    </row>
    <row r="198" spans="1:107" x14ac:dyDescent="0.25">
      <c r="A198" s="15" t="s">
        <v>356</v>
      </c>
      <c r="B198" s="15"/>
      <c r="C198" s="15"/>
      <c r="D198" s="16"/>
      <c r="E198" s="15"/>
      <c r="F198" s="15"/>
      <c r="G198" s="15"/>
      <c r="H198" s="17" t="str">
        <f ca="1">IFERROR(__xludf.DUMMYFUNCTION("""COMPUTED_VALUE"""),"")</f>
        <v/>
      </c>
      <c r="I198" s="15" t="s">
        <v>29</v>
      </c>
      <c r="J198" s="15" t="s">
        <v>29</v>
      </c>
      <c r="K198" s="15" t="s">
        <v>29</v>
      </c>
      <c r="L198" s="15" t="s">
        <v>29</v>
      </c>
      <c r="M198" s="15" t="s">
        <v>29</v>
      </c>
      <c r="N198" s="16"/>
      <c r="O198" s="18" t="s">
        <v>357</v>
      </c>
      <c r="P198" s="19"/>
      <c r="Q198" s="18" t="str">
        <f ca="1">IFERROR(__xludf.DUMMYFUNCTION("""COMPUTED_VALUE"""),"")</f>
        <v/>
      </c>
      <c r="R198" s="19"/>
      <c r="S198" s="20" t="str">
        <f ca="1">IFERROR(__xludf.DUMMYFUNCTION("""COMPUTED_VALUE"""),"relay_7_load_temperature_compensation,10,260,513,61831,33,,,,,86400")</f>
        <v>relay_7_load_temperature_compensation,10,260,513,61831,33,,,,,86400</v>
      </c>
      <c r="X198" s="18" t="str">
        <f ca="1">IFERROR(__xludf.DUMMYFUNCTION("""COMPUTED_VALUE"""),"relay_6_load_temperature_compensation")</f>
        <v>relay_6_load_temperature_compensation</v>
      </c>
      <c r="BP198" s="10"/>
      <c r="BR198" s="18" t="str">
        <f ca="1">IFERROR(__xludf.DUMMYFUNCTION("""COMPUTED_VALUE"""),"zigbee_nonsecure")</f>
        <v>zigbee_nonsecure</v>
      </c>
      <c r="BS198" s="18" t="str">
        <f ca="1">IFERROR(__xludf.DUMMYFUNCTION("""COMPUTED_VALUE"""),"0xFC05")</f>
        <v>0xFC05</v>
      </c>
      <c r="BT198" s="18" t="str">
        <f ca="1">IFERROR(__xludf.DUMMYFUNCTION("""COMPUTED_VALUE"""),"0x002F")</f>
        <v>0x002F</v>
      </c>
      <c r="BU198" s="18" t="str">
        <f ca="1">IFERROR(__xludf.DUMMYFUNCTION("""COMPUTED_VALUE"""),"false")</f>
        <v>false</v>
      </c>
      <c r="BW198" s="10"/>
      <c r="CF198" s="10"/>
      <c r="CH198" s="18" t="str">
        <f ca="1">IFERROR(__xludf.DUMMYFUNCTION("""COMPUTED_VALUE"""),"device_table_slot_9")</f>
        <v>device_table_slot_9</v>
      </c>
      <c r="CI198" s="18" t="str">
        <f ca="1">IFERROR(__xludf.DUMMYFUNCTION("""COMPUTED_VALUE"""),"0xFC12")</f>
        <v>0xFC12</v>
      </c>
      <c r="CJ198" s="18" t="str">
        <f ca="1">IFERROR(__xludf.DUMMYFUNCTION("""COMPUTED_VALUE"""),"0x0109")</f>
        <v>0x0109</v>
      </c>
      <c r="CK198" s="18" t="str">
        <f ca="1">IFERROR(__xludf.DUMMYFUNCTION("""COMPUTED_VALUE"""),"86400")</f>
        <v>86400</v>
      </c>
      <c r="CM198" s="10"/>
      <c r="CP198" s="18" t="str">
        <f ca="1"/>
        <v/>
      </c>
      <c r="CQ198" s="18" t="str">
        <f ca="1"/>
        <v/>
      </c>
      <c r="CR198" s="18" t="str">
        <f ca="1"/>
        <v/>
      </c>
      <c r="CS198" s="18" t="str">
        <f ca="1"/>
        <v/>
      </c>
      <c r="CT198" s="18" t="str">
        <f ca="1"/>
        <v/>
      </c>
      <c r="CV198" s="10"/>
      <c r="CY198" s="18" t="str">
        <f ca="1"/>
        <v/>
      </c>
      <c r="CZ198" s="18" t="str">
        <f ca="1"/>
        <v/>
      </c>
      <c r="DA198" s="18" t="str">
        <f ca="1"/>
        <v/>
      </c>
      <c r="DC198" s="10"/>
    </row>
    <row r="199" spans="1:107" x14ac:dyDescent="0.25">
      <c r="A199" s="15"/>
      <c r="B199" s="15"/>
      <c r="C199" s="15"/>
      <c r="D199" s="16"/>
      <c r="E199" s="15"/>
      <c r="F199" s="15"/>
      <c r="G199" s="15"/>
      <c r="H199" s="17" t="str">
        <f ca="1">IFERROR(__xludf.DUMMYFUNCTION("""COMPUTED_VALUE"""),"")</f>
        <v/>
      </c>
      <c r="I199" s="15" t="s">
        <v>29</v>
      </c>
      <c r="J199" s="15" t="s">
        <v>29</v>
      </c>
      <c r="K199" s="15" t="s">
        <v>29</v>
      </c>
      <c r="L199" s="15" t="s">
        <v>29</v>
      </c>
      <c r="M199" s="15" t="s">
        <v>29</v>
      </c>
      <c r="N199" s="16"/>
      <c r="P199" s="19"/>
      <c r="Q199" s="18" t="str">
        <f ca="1">IFERROR(__xludf.DUMMYFUNCTION("""COMPUTED_VALUE"""),"")</f>
        <v/>
      </c>
      <c r="R199" s="19"/>
      <c r="S199" s="20" t="str">
        <f ca="1">IFERROR(__xludf.DUMMYFUNCTION("""COMPUTED_VALUE"""),"relay_polarity,10,260,513,61597,24,,,,,86400")</f>
        <v>relay_polarity,10,260,513,61597,24,,,,,86400</v>
      </c>
      <c r="X199" s="18" t="str">
        <f ca="1">IFERROR(__xludf.DUMMYFUNCTION("""COMPUTED_VALUE"""),"relay_7_load_temperature_compensation")</f>
        <v>relay_7_load_temperature_compensation</v>
      </c>
      <c r="BP199" s="10"/>
      <c r="BR199" s="18" t="str">
        <f ca="1">IFERROR(__xludf.DUMMYFUNCTION("""COMPUTED_VALUE"""),"ui_enhanced_icons")</f>
        <v>ui_enhanced_icons</v>
      </c>
      <c r="BS199" s="18" t="str">
        <f ca="1">IFERROR(__xludf.DUMMYFUNCTION("""COMPUTED_VALUE"""),"0xFC05")</f>
        <v>0xFC05</v>
      </c>
      <c r="BT199" s="18" t="str">
        <f ca="1">IFERROR(__xludf.DUMMYFUNCTION("""COMPUTED_VALUE"""),"0x0030")</f>
        <v>0x0030</v>
      </c>
      <c r="BU199" s="18" t="str">
        <f ca="1">IFERROR(__xludf.DUMMYFUNCTION("""COMPUTED_VALUE"""),"false")</f>
        <v>false</v>
      </c>
      <c r="BW199" s="10"/>
      <c r="CF199" s="10"/>
      <c r="CH199" s="18" t="str">
        <f ca="1">IFERROR(__xludf.DUMMYFUNCTION("""COMPUTED_VALUE"""),"device_table_slot_10")</f>
        <v>device_table_slot_10</v>
      </c>
      <c r="CI199" s="18" t="str">
        <f ca="1">IFERROR(__xludf.DUMMYFUNCTION("""COMPUTED_VALUE"""),"0xFC12")</f>
        <v>0xFC12</v>
      </c>
      <c r="CJ199" s="18" t="str">
        <f ca="1">IFERROR(__xludf.DUMMYFUNCTION("""COMPUTED_VALUE"""),"0x010A")</f>
        <v>0x010A</v>
      </c>
      <c r="CK199" s="18" t="str">
        <f ca="1">IFERROR(__xludf.DUMMYFUNCTION("""COMPUTED_VALUE"""),"86400")</f>
        <v>86400</v>
      </c>
      <c r="CM199" s="10"/>
      <c r="CP199" s="18" t="str">
        <f ca="1"/>
        <v/>
      </c>
      <c r="CQ199" s="18" t="str">
        <f ca="1"/>
        <v/>
      </c>
      <c r="CR199" s="18" t="str">
        <f ca="1"/>
        <v/>
      </c>
      <c r="CS199" s="18" t="str">
        <f ca="1"/>
        <v/>
      </c>
      <c r="CT199" s="18" t="str">
        <f ca="1"/>
        <v/>
      </c>
      <c r="CV199" s="10"/>
      <c r="CY199" s="18" t="str">
        <f ca="1"/>
        <v/>
      </c>
      <c r="CZ199" s="18" t="str">
        <f ca="1"/>
        <v/>
      </c>
      <c r="DA199" s="18" t="str">
        <f ca="1"/>
        <v/>
      </c>
      <c r="DC199" s="10"/>
    </row>
    <row r="200" spans="1:107" x14ac:dyDescent="0.25">
      <c r="A200" s="31" t="s">
        <v>358</v>
      </c>
      <c r="B200" s="33" t="s">
        <v>359</v>
      </c>
      <c r="C200" s="32"/>
      <c r="D200" s="16"/>
      <c r="E200" s="32"/>
      <c r="F200" s="32"/>
      <c r="G200" s="32"/>
      <c r="H200" s="17" t="str">
        <f ca="1">IFERROR(__xludf.DUMMYFUNCTION("""COMPUTED_VALUE"""),"")</f>
        <v/>
      </c>
      <c r="I200" s="32" t="s">
        <v>29</v>
      </c>
      <c r="J200" s="32" t="s">
        <v>29</v>
      </c>
      <c r="K200" s="32" t="s">
        <v>29</v>
      </c>
      <c r="L200" s="32" t="s">
        <v>29</v>
      </c>
      <c r="M200" s="32" t="s">
        <v>29</v>
      </c>
      <c r="N200" s="16"/>
      <c r="O200" s="10"/>
      <c r="P200" s="19"/>
      <c r="Q200" s="10" t="str">
        <f ca="1">IFERROR(__xludf.DUMMYFUNCTION("""COMPUTED_VALUE"""),"")</f>
        <v/>
      </c>
      <c r="R200" s="19"/>
      <c r="S200" s="20" t="str">
        <f ca="1">IFERROR(__xludf.DUMMYFUNCTION("""COMPUTED_VALUE"""),"relay_state,10,260,513,61585,24,,0,3600,0")</f>
        <v>relay_state,10,260,513,61585,24,,0,3600,0</v>
      </c>
      <c r="X200" s="18" t="str">
        <f ca="1">IFERROR(__xludf.DUMMYFUNCTION("""COMPUTED_VALUE"""),"relay_polarity")</f>
        <v>relay_polarity</v>
      </c>
      <c r="BP200" s="10"/>
      <c r="BR200" s="18" t="str">
        <f ca="1">IFERROR(__xludf.DUMMYFUNCTION("""COMPUTED_VALUE"""),"leaf_button_function")</f>
        <v>leaf_button_function</v>
      </c>
      <c r="BS200" s="18" t="str">
        <f ca="1">IFERROR(__xludf.DUMMYFUNCTION("""COMPUTED_VALUE"""),"0xFC05")</f>
        <v>0xFC05</v>
      </c>
      <c r="BT200" s="18" t="str">
        <f ca="1">IFERROR(__xludf.DUMMYFUNCTION("""COMPUTED_VALUE"""),"0x0031")</f>
        <v>0x0031</v>
      </c>
      <c r="BU200" s="18" t="str">
        <f ca="1">IFERROR(__xludf.DUMMYFUNCTION("""COMPUTED_VALUE"""),"""smart_away""")</f>
        <v>"smart_away"</v>
      </c>
      <c r="BW200" s="10"/>
      <c r="CF200" s="10"/>
      <c r="CH200" s="18" t="str">
        <f ca="1">IFERROR(__xludf.DUMMYFUNCTION("""COMPUTED_VALUE"""),"device_table_slot_11")</f>
        <v>device_table_slot_11</v>
      </c>
      <c r="CI200" s="18" t="str">
        <f ca="1">IFERROR(__xludf.DUMMYFUNCTION("""COMPUTED_VALUE"""),"0xFC12")</f>
        <v>0xFC12</v>
      </c>
      <c r="CJ200" s="18" t="str">
        <f ca="1">IFERROR(__xludf.DUMMYFUNCTION("""COMPUTED_VALUE"""),"0x010B")</f>
        <v>0x010B</v>
      </c>
      <c r="CK200" s="18" t="str">
        <f ca="1">IFERROR(__xludf.DUMMYFUNCTION("""COMPUTED_VALUE"""),"86400")</f>
        <v>86400</v>
      </c>
      <c r="CM200" s="10"/>
      <c r="CP200" s="18" t="str">
        <f ca="1"/>
        <v/>
      </c>
      <c r="CQ200" s="18" t="str">
        <f ca="1"/>
        <v/>
      </c>
      <c r="CR200" s="18" t="str">
        <f ca="1"/>
        <v/>
      </c>
      <c r="CS200" s="18" t="str">
        <f ca="1"/>
        <v/>
      </c>
      <c r="CT200" s="18" t="str">
        <f ca="1"/>
        <v/>
      </c>
      <c r="CV200" s="10"/>
      <c r="CY200" s="18" t="str">
        <f ca="1"/>
        <v/>
      </c>
      <c r="CZ200" s="18" t="str">
        <f ca="1"/>
        <v/>
      </c>
      <c r="DA200" s="18" t="str">
        <f ca="1"/>
        <v/>
      </c>
      <c r="DC200" s="10"/>
    </row>
    <row r="201" spans="1:107" x14ac:dyDescent="0.25">
      <c r="A201" s="15" t="s">
        <v>360</v>
      </c>
      <c r="B201" s="15" t="e">
        <f>IF('[1]Contact Table'!H3="","",IF(HEX2DEC(RIGHT('[1]Contact Table'!H3,6))=0,"",HEX2DEC(RIGHT('[1]Contact Table'!H3,6))))</f>
        <v>#NAME?</v>
      </c>
      <c r="C201" s="15"/>
      <c r="D201" s="16"/>
      <c r="E201" s="15"/>
      <c r="F201" s="15"/>
      <c r="G201" s="15"/>
      <c r="H201" s="17" t="str">
        <f ca="1">IFERROR(__xludf.DUMMYFUNCTION("""COMPUTED_VALUE"""),"x")</f>
        <v>x</v>
      </c>
      <c r="I201" s="15" t="s">
        <v>29</v>
      </c>
      <c r="J201" s="15" t="s">
        <v>29</v>
      </c>
      <c r="K201" s="15" t="s">
        <v>29</v>
      </c>
      <c r="L201" s="15" t="s">
        <v>29</v>
      </c>
      <c r="M201" s="15" t="s">
        <v>29</v>
      </c>
      <c r="N201" s="16"/>
      <c r="O201" s="18" t="s">
        <v>361</v>
      </c>
      <c r="P201" s="19"/>
      <c r="Q201" s="18" t="str">
        <f ca="1">IFERROR(__xludf.DUMMYFUNCTION("""COMPUTED_VALUE"""),"zb -a 0x0201 0xF200 1217")</f>
        <v>zb -a 0x0201 0xF200 1217</v>
      </c>
      <c r="R201" s="19"/>
      <c r="S201" s="20" t="str">
        <f ca="1">IFERROR(__xludf.DUMMYFUNCTION("""COMPUTED_VALUE"""),"remote_controller_auto_fan_disable,10,260,513,61561,24,0,,,,86400")</f>
        <v>remote_controller_auto_fan_disable,10,260,513,61561,24,0,,,,86400</v>
      </c>
      <c r="X201" s="18" t="str">
        <f ca="1">IFERROR(__xludf.DUMMYFUNCTION("""COMPUTED_VALUE"""),"relay_state")</f>
        <v>relay_state</v>
      </c>
      <c r="BP201" s="10"/>
      <c r="BR201" s="18" t="str">
        <f ca="1">IFERROR(__xludf.DUMMYFUNCTION("""COMPUTED_VALUE"""),"rui_soft_button_config")</f>
        <v>rui_soft_button_config</v>
      </c>
      <c r="BS201" s="18" t="str">
        <f ca="1">IFERROR(__xludf.DUMMYFUNCTION("""COMPUTED_VALUE"""),"0xFC05")</f>
        <v>0xFC05</v>
      </c>
      <c r="BT201" s="18" t="str">
        <f ca="1">IFERROR(__xludf.DUMMYFUNCTION("""COMPUTED_VALUE"""),"0x0033")</f>
        <v>0x0033</v>
      </c>
      <c r="BU201" s="18" t="str">
        <f ca="1">IFERROR(__xludf.DUMMYFUNCTION("""COMPUTED_VALUE"""),"null")</f>
        <v>null</v>
      </c>
      <c r="BW201" s="10"/>
      <c r="CF201" s="10"/>
      <c r="CH201" s="18" t="str">
        <f ca="1">IFERROR(__xludf.DUMMYFUNCTION("""COMPUTED_VALUE"""),"device_table_slot_12")</f>
        <v>device_table_slot_12</v>
      </c>
      <c r="CI201" s="18" t="str">
        <f ca="1">IFERROR(__xludf.DUMMYFUNCTION("""COMPUTED_VALUE"""),"0xFC12")</f>
        <v>0xFC12</v>
      </c>
      <c r="CJ201" s="18" t="str">
        <f ca="1">IFERROR(__xludf.DUMMYFUNCTION("""COMPUTED_VALUE"""),"0x010C")</f>
        <v>0x010C</v>
      </c>
      <c r="CK201" s="18" t="str">
        <f ca="1">IFERROR(__xludf.DUMMYFUNCTION("""COMPUTED_VALUE"""),"86400")</f>
        <v>86400</v>
      </c>
      <c r="CM201" s="10"/>
      <c r="CP201" s="18" t="str">
        <f ca="1"/>
        <v/>
      </c>
      <c r="CQ201" s="18" t="str">
        <f ca="1"/>
        <v/>
      </c>
      <c r="CR201" s="18" t="str">
        <f ca="1"/>
        <v/>
      </c>
      <c r="CS201" s="18" t="str">
        <f ca="1"/>
        <v/>
      </c>
      <c r="CT201" s="18" t="str">
        <f ca="1"/>
        <v/>
      </c>
      <c r="CV201" s="10"/>
      <c r="CY201" s="18" t="str">
        <f ca="1"/>
        <v/>
      </c>
      <c r="CZ201" s="18" t="str">
        <f ca="1"/>
        <v/>
      </c>
      <c r="DA201" s="18" t="str">
        <f ca="1"/>
        <v/>
      </c>
      <c r="DC201" s="10"/>
    </row>
    <row r="202" spans="1:107" x14ac:dyDescent="0.25">
      <c r="A202" s="15" t="s">
        <v>362</v>
      </c>
      <c r="B202" s="15" t="e">
        <f>IF('[1]Contact Table'!H5="","",IF(HEX2DEC(RIGHT('[1]Contact Table'!H5,6))=0,"",HEX2DEC(RIGHT('[1]Contact Table'!H5,6))))</f>
        <v>#NAME?</v>
      </c>
      <c r="C202" s="15"/>
      <c r="D202" s="16"/>
      <c r="E202" s="15"/>
      <c r="F202" s="15"/>
      <c r="G202" s="15"/>
      <c r="H202" s="17" t="str">
        <f ca="1">IFERROR(__xludf.DUMMYFUNCTION("""COMPUTED_VALUE"""),"x")</f>
        <v>x</v>
      </c>
      <c r="I202" s="15" t="s">
        <v>29</v>
      </c>
      <c r="J202" s="15" t="s">
        <v>29</v>
      </c>
      <c r="K202" s="15" t="s">
        <v>29</v>
      </c>
      <c r="L202" s="15" t="s">
        <v>29</v>
      </c>
      <c r="M202" s="15" t="s">
        <v>29</v>
      </c>
      <c r="N202" s="16"/>
      <c r="O202" s="18" t="s">
        <v>363</v>
      </c>
      <c r="P202" s="19"/>
      <c r="Q202" s="18" t="str">
        <f ca="1">IFERROR(__xludf.DUMMYFUNCTION("""COMPUTED_VALUE"""),"zb -a 0x0201 0xF201 2048")</f>
        <v>zb -a 0x0201 0xF201 2048</v>
      </c>
      <c r="R202" s="19"/>
      <c r="S202" s="20" t="str">
        <f ca="1">IFERROR(__xludf.DUMMYFUNCTION("""COMPUTED_VALUE"""),"remote_controller_error_code,10,260,513,61562,49,,0,3600,0")</f>
        <v>remote_controller_error_code,10,260,513,61562,49,,0,3600,0</v>
      </c>
      <c r="X202" s="18" t="str">
        <f ca="1">IFERROR(__xludf.DUMMYFUNCTION("""COMPUTED_VALUE"""),"remote_controller_auto_fan_disable")</f>
        <v>remote_controller_auto_fan_disable</v>
      </c>
      <c r="BP202" s="10"/>
      <c r="BR202" s="18" t="str">
        <f ca="1">IFERROR(__xludf.DUMMYFUNCTION("""COMPUTED_VALUE"""),"lcd_revision")</f>
        <v>lcd_revision</v>
      </c>
      <c r="BS202" s="18" t="str">
        <f ca="1">IFERROR(__xludf.DUMMYFUNCTION("""COMPUTED_VALUE"""),"0xFC05")</f>
        <v>0xFC05</v>
      </c>
      <c r="BT202" s="18" t="str">
        <f ca="1">IFERROR(__xludf.DUMMYFUNCTION("""COMPUTED_VALUE"""),"0x0037")</f>
        <v>0x0037</v>
      </c>
      <c r="BU202" s="18" t="str">
        <f ca="1">IFERROR(__xludf.DUMMYFUNCTION("""COMPUTED_VALUE"""),"null")</f>
        <v>null</v>
      </c>
      <c r="BW202" s="10"/>
      <c r="CF202" s="10"/>
      <c r="CH202" s="18" t="str">
        <f ca="1">IFERROR(__xludf.DUMMYFUNCTION("""COMPUTED_VALUE"""),"device_table_slot_13")</f>
        <v>device_table_slot_13</v>
      </c>
      <c r="CI202" s="18" t="str">
        <f ca="1">IFERROR(__xludf.DUMMYFUNCTION("""COMPUTED_VALUE"""),"0xFC12")</f>
        <v>0xFC12</v>
      </c>
      <c r="CJ202" s="18" t="str">
        <f ca="1">IFERROR(__xludf.DUMMYFUNCTION("""COMPUTED_VALUE"""),"0x010D")</f>
        <v>0x010D</v>
      </c>
      <c r="CK202" s="18" t="str">
        <f ca="1">IFERROR(__xludf.DUMMYFUNCTION("""COMPUTED_VALUE"""),"86400")</f>
        <v>86400</v>
      </c>
      <c r="CM202" s="10"/>
      <c r="CP202" s="18" t="str">
        <f ca="1"/>
        <v/>
      </c>
      <c r="CQ202" s="18" t="str">
        <f ca="1"/>
        <v/>
      </c>
      <c r="CR202" s="18" t="str">
        <f ca="1"/>
        <v/>
      </c>
      <c r="CS202" s="18" t="str">
        <f ca="1"/>
        <v/>
      </c>
      <c r="CT202" s="18" t="str">
        <f ca="1"/>
        <v/>
      </c>
      <c r="CV202" s="10"/>
      <c r="CY202" s="18" t="str">
        <f ca="1"/>
        <v/>
      </c>
      <c r="CZ202" s="18" t="str">
        <f ca="1"/>
        <v/>
      </c>
      <c r="DA202" s="18" t="str">
        <f ca="1"/>
        <v/>
      </c>
      <c r="DC202" s="10"/>
    </row>
    <row r="203" spans="1:107" x14ac:dyDescent="0.25">
      <c r="A203" s="15" t="s">
        <v>364</v>
      </c>
      <c r="B203" s="15" t="e">
        <f>IF('[1]Contact Table'!H7="","",IF(HEX2DEC(RIGHT('[1]Contact Table'!H7,6))=0,"",HEX2DEC(RIGHT('[1]Contact Table'!H7,6))))</f>
        <v>#NAME?</v>
      </c>
      <c r="C203" s="15"/>
      <c r="D203" s="16"/>
      <c r="E203" s="15"/>
      <c r="F203" s="15"/>
      <c r="G203" s="15"/>
      <c r="H203" s="17" t="str">
        <f ca="1">IFERROR(__xludf.DUMMYFUNCTION("""COMPUTED_VALUE"""),"x")</f>
        <v>x</v>
      </c>
      <c r="I203" s="15" t="s">
        <v>29</v>
      </c>
      <c r="J203" s="15" t="s">
        <v>29</v>
      </c>
      <c r="K203" s="15" t="s">
        <v>29</v>
      </c>
      <c r="L203" s="15" t="s">
        <v>29</v>
      </c>
      <c r="M203" s="15" t="s">
        <v>29</v>
      </c>
      <c r="N203" s="16"/>
      <c r="O203" s="18" t="s">
        <v>365</v>
      </c>
      <c r="P203" s="19"/>
      <c r="Q203" s="18" t="str">
        <f ca="1">IFERROR(__xludf.DUMMYFUNCTION("""COMPUTED_VALUE"""),"zb -a 0x0201 0xF202 2624")</f>
        <v>zb -a 0x0201 0xF202 2624</v>
      </c>
      <c r="R203" s="19"/>
      <c r="S203" s="20" t="str">
        <f ca="1">IFERROR(__xludf.DUMMYFUNCTION("""COMPUTED_VALUE"""),"remote_door_occ_lock_delay,10,260,513,61650,33,900,,,,86400")</f>
        <v>remote_door_occ_lock_delay,10,260,513,61650,33,900,,,,86400</v>
      </c>
      <c r="X203" s="18" t="str">
        <f ca="1">IFERROR(__xludf.DUMMYFUNCTION("""COMPUTED_VALUE"""),"remote_controller_error_code")</f>
        <v>remote_controller_error_code</v>
      </c>
      <c r="BP203" s="10"/>
      <c r="BR203" s="18" t="str">
        <f ca="1">IFERROR(__xludf.DUMMYFUNCTION("""COMPUTED_VALUE"""),"do_not_disturb")</f>
        <v>do_not_disturb</v>
      </c>
      <c r="BS203" s="18" t="str">
        <f ca="1">IFERROR(__xludf.DUMMYFUNCTION("""COMPUTED_VALUE"""),"0xFC07")</f>
        <v>0xFC07</v>
      </c>
      <c r="BT203" s="18" t="str">
        <f ca="1">IFERROR(__xludf.DUMMYFUNCTION("""COMPUTED_VALUE"""),"0x0001")</f>
        <v>0x0001</v>
      </c>
      <c r="BU203" s="18" t="str">
        <f ca="1">IFERROR(__xludf.DUMMYFUNCTION("""COMPUTED_VALUE"""),"null")</f>
        <v>null</v>
      </c>
      <c r="BW203" s="10"/>
      <c r="CF203" s="10"/>
      <c r="CH203" s="18" t="str">
        <f ca="1">IFERROR(__xludf.DUMMYFUNCTION("""COMPUTED_VALUE"""),"device_table_slot_14")</f>
        <v>device_table_slot_14</v>
      </c>
      <c r="CI203" s="18" t="str">
        <f ca="1">IFERROR(__xludf.DUMMYFUNCTION("""COMPUTED_VALUE"""),"0xFC12")</f>
        <v>0xFC12</v>
      </c>
      <c r="CJ203" s="18" t="str">
        <f ca="1">IFERROR(__xludf.DUMMYFUNCTION("""COMPUTED_VALUE"""),"0x010E")</f>
        <v>0x010E</v>
      </c>
      <c r="CK203" s="18" t="str">
        <f ca="1">IFERROR(__xludf.DUMMYFUNCTION("""COMPUTED_VALUE"""),"86400")</f>
        <v>86400</v>
      </c>
      <c r="CM203" s="10"/>
      <c r="CP203" s="18" t="str">
        <f ca="1"/>
        <v/>
      </c>
      <c r="CQ203" s="18" t="str">
        <f ca="1"/>
        <v/>
      </c>
      <c r="CR203" s="18" t="str">
        <f ca="1"/>
        <v/>
      </c>
      <c r="CS203" s="18" t="str">
        <f ca="1"/>
        <v/>
      </c>
      <c r="CT203" s="18" t="str">
        <f ca="1"/>
        <v/>
      </c>
      <c r="CV203" s="10"/>
      <c r="CY203" s="18" t="str">
        <f ca="1"/>
        <v/>
      </c>
      <c r="CZ203" s="18" t="str">
        <f ca="1"/>
        <v/>
      </c>
      <c r="DA203" s="18" t="str">
        <f ca="1"/>
        <v/>
      </c>
      <c r="DC203" s="10"/>
    </row>
    <row r="204" spans="1:107" x14ac:dyDescent="0.25">
      <c r="A204" s="15" t="s">
        <v>366</v>
      </c>
      <c r="B204" s="15" t="e">
        <f>IF('[1]Contact Table'!H9="","",IF(HEX2DEC(RIGHT('[1]Contact Table'!H9,6))=0,"",HEX2DEC(RIGHT('[1]Contact Table'!H9,6))))</f>
        <v>#NAME?</v>
      </c>
      <c r="C204" s="15"/>
      <c r="D204" s="16"/>
      <c r="E204" s="15"/>
      <c r="F204" s="15"/>
      <c r="G204" s="15"/>
      <c r="H204" s="17" t="str">
        <f ca="1">IFERROR(__xludf.DUMMYFUNCTION("""COMPUTED_VALUE"""),"x")</f>
        <v>x</v>
      </c>
      <c r="I204" s="15" t="s">
        <v>29</v>
      </c>
      <c r="J204" s="15" t="s">
        <v>29</v>
      </c>
      <c r="K204" s="15" t="s">
        <v>29</v>
      </c>
      <c r="L204" s="15" t="s">
        <v>29</v>
      </c>
      <c r="M204" s="15" t="s">
        <v>29</v>
      </c>
      <c r="N204" s="16"/>
      <c r="O204" s="18" t="s">
        <v>367</v>
      </c>
      <c r="P204" s="19"/>
      <c r="Q204" s="18" t="str">
        <f ca="1">IFERROR(__xludf.DUMMYFUNCTION("""COMPUTED_VALUE"""),"zb -a 0x0201 0xF203 16384")</f>
        <v>zb -a 0x0201 0xF203 16384</v>
      </c>
      <c r="R204" s="19"/>
      <c r="S204" s="20" t="str">
        <f ca="1">IFERROR(__xludf.DUMMYFUNCTION("""COMPUTED_VALUE"""),"remote_secondary_temp_sensors,10,260,513,61521,27,0,,,,86400")</f>
        <v>remote_secondary_temp_sensors,10,260,513,61521,27,0,,,,86400</v>
      </c>
      <c r="X204" s="18" t="str">
        <f ca="1">IFERROR(__xludf.DUMMYFUNCTION("""COMPUTED_VALUE"""),"remote_door_occ_lock_delay")</f>
        <v>remote_door_occ_lock_delay</v>
      </c>
      <c r="BP204" s="10"/>
      <c r="BR204" s="18" t="str">
        <f ca="1">IFERROR(__xludf.DUMMYFUNCTION("""COMPUTED_VALUE"""),"make_up_room")</f>
        <v>make_up_room</v>
      </c>
      <c r="BS204" s="18" t="str">
        <f ca="1">IFERROR(__xludf.DUMMYFUNCTION("""COMPUTED_VALUE"""),"0xFC07")</f>
        <v>0xFC07</v>
      </c>
      <c r="BT204" s="18" t="str">
        <f ca="1">IFERROR(__xludf.DUMMYFUNCTION("""COMPUTED_VALUE"""),"0x0002")</f>
        <v>0x0002</v>
      </c>
      <c r="BU204" s="18" t="str">
        <f ca="1">IFERROR(__xludf.DUMMYFUNCTION("""COMPUTED_VALUE"""),"null")</f>
        <v>null</v>
      </c>
      <c r="BW204" s="10"/>
      <c r="CF204" s="10"/>
      <c r="CH204" s="18" t="str">
        <f ca="1">IFERROR(__xludf.DUMMYFUNCTION("""COMPUTED_VALUE"""),"device_table_slot_15")</f>
        <v>device_table_slot_15</v>
      </c>
      <c r="CI204" s="18" t="str">
        <f ca="1">IFERROR(__xludf.DUMMYFUNCTION("""COMPUTED_VALUE"""),"0xFC12")</f>
        <v>0xFC12</v>
      </c>
      <c r="CJ204" s="18" t="str">
        <f ca="1">IFERROR(__xludf.DUMMYFUNCTION("""COMPUTED_VALUE"""),"0x010F")</f>
        <v>0x010F</v>
      </c>
      <c r="CK204" s="18" t="str">
        <f ca="1">IFERROR(__xludf.DUMMYFUNCTION("""COMPUTED_VALUE"""),"86400")</f>
        <v>86400</v>
      </c>
      <c r="CM204" s="10"/>
      <c r="CP204" s="18" t="str">
        <f ca="1"/>
        <v/>
      </c>
      <c r="CQ204" s="18" t="str">
        <f ca="1"/>
        <v/>
      </c>
      <c r="CR204" s="18" t="str">
        <f ca="1"/>
        <v/>
      </c>
      <c r="CS204" s="18" t="str">
        <f ca="1"/>
        <v/>
      </c>
      <c r="CT204" s="18" t="str">
        <f ca="1"/>
        <v/>
      </c>
      <c r="CV204" s="10"/>
      <c r="CY204" s="18" t="str">
        <f ca="1"/>
        <v/>
      </c>
      <c r="CZ204" s="18" t="str">
        <f ca="1"/>
        <v/>
      </c>
      <c r="DA204" s="18" t="str">
        <f ca="1"/>
        <v/>
      </c>
      <c r="DC204" s="10"/>
    </row>
    <row r="205" spans="1:107" x14ac:dyDescent="0.25">
      <c r="A205" s="15" t="s">
        <v>368</v>
      </c>
      <c r="B205" s="15" t="e">
        <f>IF('[1]Contact Table'!H11="","",IF(HEX2DEC(RIGHT('[1]Contact Table'!H11,6))=0,"",HEX2DEC(RIGHT('[1]Contact Table'!H11,6))))</f>
        <v>#NAME?</v>
      </c>
      <c r="C205" s="15"/>
      <c r="D205" s="16"/>
      <c r="E205" s="15"/>
      <c r="F205" s="15"/>
      <c r="G205" s="15"/>
      <c r="H205" s="17" t="str">
        <f ca="1">IFERROR(__xludf.DUMMYFUNCTION("""COMPUTED_VALUE"""),"")</f>
        <v/>
      </c>
      <c r="I205" s="15" t="s">
        <v>29</v>
      </c>
      <c r="J205" s="15" t="s">
        <v>29</v>
      </c>
      <c r="K205" s="15" t="s">
        <v>29</v>
      </c>
      <c r="L205" s="15" t="s">
        <v>29</v>
      </c>
      <c r="M205" s="15" t="s">
        <v>29</v>
      </c>
      <c r="N205" s="16"/>
      <c r="O205" s="18" t="s">
        <v>369</v>
      </c>
      <c r="P205" s="19"/>
      <c r="Q205" s="18" t="str">
        <f ca="1">IFERROR(__xludf.DUMMYFUNCTION("""COMPUTED_VALUE"""),"")</f>
        <v/>
      </c>
      <c r="R205" s="19"/>
      <c r="S205" s="20" t="str">
        <f ca="1">IFERROR(__xludf.DUMMYFUNCTION("""COMPUTED_VALUE"""),"reporting_type,10,260,64517,24,32,1,,,,86400")</f>
        <v>reporting_type,10,260,64517,24,32,1,,,,86400</v>
      </c>
      <c r="X205" s="18" t="str">
        <f ca="1">IFERROR(__xludf.DUMMYFUNCTION("""COMPUTED_VALUE"""),"remote_secondary_temp_sensors")</f>
        <v>remote_secondary_temp_sensors</v>
      </c>
      <c r="BP205" s="10"/>
      <c r="BR205" s="18" t="str">
        <f ca="1">IFERROR(__xludf.DUMMYFUNCTION("""COMPUTED_VALUE"""),"green_mode_active")</f>
        <v>green_mode_active</v>
      </c>
      <c r="BS205" s="18" t="str">
        <f ca="1">IFERROR(__xludf.DUMMYFUNCTION("""COMPUTED_VALUE"""),"0xFC07")</f>
        <v>0xFC07</v>
      </c>
      <c r="BT205" s="18" t="str">
        <f ca="1">IFERROR(__xludf.DUMMYFUNCTION("""COMPUTED_VALUE"""),"0x0007")</f>
        <v>0x0007</v>
      </c>
      <c r="BU205" s="18" t="str">
        <f ca="1">IFERROR(__xludf.DUMMYFUNCTION("""COMPUTED_VALUE"""),"null")</f>
        <v>null</v>
      </c>
      <c r="BW205" s="10"/>
      <c r="CF205" s="10"/>
      <c r="CH205" s="18" t="str">
        <f ca="1">IFERROR(__xludf.DUMMYFUNCTION("""COMPUTED_VALUE"""),"device_table_slot_16")</f>
        <v>device_table_slot_16</v>
      </c>
      <c r="CI205" s="18" t="str">
        <f ca="1">IFERROR(__xludf.DUMMYFUNCTION("""COMPUTED_VALUE"""),"0xFC12")</f>
        <v>0xFC12</v>
      </c>
      <c r="CJ205" s="18" t="str">
        <f ca="1">IFERROR(__xludf.DUMMYFUNCTION("""COMPUTED_VALUE"""),"0x0110")</f>
        <v>0x0110</v>
      </c>
      <c r="CK205" s="18" t="str">
        <f ca="1">IFERROR(__xludf.DUMMYFUNCTION("""COMPUTED_VALUE"""),"86400")</f>
        <v>86400</v>
      </c>
      <c r="CM205" s="10"/>
      <c r="CP205" s="18" t="str">
        <f ca="1"/>
        <v/>
      </c>
      <c r="CQ205" s="18" t="str">
        <f ca="1"/>
        <v/>
      </c>
      <c r="CR205" s="18" t="str">
        <f ca="1"/>
        <v/>
      </c>
      <c r="CS205" s="18" t="str">
        <f ca="1"/>
        <v/>
      </c>
      <c r="CT205" s="18" t="str">
        <f ca="1"/>
        <v/>
      </c>
      <c r="CV205" s="10"/>
      <c r="CY205" s="18" t="str">
        <f ca="1"/>
        <v/>
      </c>
      <c r="CZ205" s="18" t="str">
        <f ca="1"/>
        <v/>
      </c>
      <c r="DA205" s="18" t="str">
        <f ca="1"/>
        <v/>
      </c>
      <c r="DC205" s="10"/>
    </row>
    <row r="206" spans="1:107" x14ac:dyDescent="0.25">
      <c r="A206" s="15" t="s">
        <v>370</v>
      </c>
      <c r="B206" s="15" t="e">
        <f>IF('[1]Contact Table'!H13="","",IF(HEX2DEC(RIGHT('[1]Contact Table'!H13,6))=0,"",HEX2DEC(RIGHT('[1]Contact Table'!H13,6))))</f>
        <v>#NAME?</v>
      </c>
      <c r="C206" s="15"/>
      <c r="D206" s="16"/>
      <c r="E206" s="15"/>
      <c r="F206" s="15"/>
      <c r="G206" s="15"/>
      <c r="H206" s="17" t="str">
        <f ca="1">IFERROR(__xludf.DUMMYFUNCTION("""COMPUTED_VALUE"""),"")</f>
        <v/>
      </c>
      <c r="I206" s="15" t="s">
        <v>29</v>
      </c>
      <c r="J206" s="15" t="s">
        <v>29</v>
      </c>
      <c r="K206" s="15" t="s">
        <v>29</v>
      </c>
      <c r="L206" s="15" t="s">
        <v>29</v>
      </c>
      <c r="M206" s="15" t="s">
        <v>29</v>
      </c>
      <c r="N206" s="16"/>
      <c r="O206" s="18" t="s">
        <v>371</v>
      </c>
      <c r="P206" s="19"/>
      <c r="Q206" s="18" t="str">
        <f ca="1">IFERROR(__xludf.DUMMYFUNCTION("""COMPUTED_VALUE"""),"")</f>
        <v/>
      </c>
      <c r="R206" s="19"/>
      <c r="S206" s="20" t="str">
        <f ca="1">IFERROR(__xludf.DUMMYFUNCTION("""COMPUTED_VALUE"""),"rh_target_limit,10,260,513,61779,32,50,,,,86400")</f>
        <v>rh_target_limit,10,260,513,61779,32,50,,,,86400</v>
      </c>
      <c r="X206" s="18" t="str">
        <f ca="1">IFERROR(__xludf.DUMMYFUNCTION("""COMPUTED_VALUE"""),"reporting_type")</f>
        <v>reporting_type</v>
      </c>
      <c r="BP206" s="10"/>
      <c r="BR206" s="18" t="str">
        <f ca="1">IFERROR(__xludf.DUMMYFUNCTION("""COMPUTED_VALUE"""),"device_table_slot_1")</f>
        <v>device_table_slot_1</v>
      </c>
      <c r="BS206" s="18" t="str">
        <f ca="1">IFERROR(__xludf.DUMMYFUNCTION("""COMPUTED_VALUE"""),"0xFC12")</f>
        <v>0xFC12</v>
      </c>
      <c r="BT206" s="18" t="str">
        <f ca="1">IFERROR(__xludf.DUMMYFUNCTION("""COMPUTED_VALUE"""),"0x0101")</f>
        <v>0x0101</v>
      </c>
      <c r="BU206" s="18" t="str">
        <f ca="1">IFERROR(__xludf.DUMMYFUNCTION("""COMPUTED_VALUE"""),"null")</f>
        <v>null</v>
      </c>
      <c r="BW206" s="10"/>
      <c r="CF206" s="10"/>
      <c r="CH206" s="18" t="str">
        <f ca="1">IFERROR(__xludf.DUMMYFUNCTION("""COMPUTED_VALUE"""),"gp_data_ver")</f>
        <v>gp_data_ver</v>
      </c>
      <c r="CI206" s="18" t="str">
        <f ca="1">IFERROR(__xludf.DUMMYFUNCTION("""COMPUTED_VALUE"""),"0xFC20")</f>
        <v>0xFC20</v>
      </c>
      <c r="CJ206" s="18" t="str">
        <f ca="1">IFERROR(__xludf.DUMMYFUNCTION("""COMPUTED_VALUE"""),"0x0002")</f>
        <v>0x0002</v>
      </c>
      <c r="CK206" s="18" t="str">
        <f ca="1">IFERROR(__xludf.DUMMYFUNCTION("""COMPUTED_VALUE"""),"86400")</f>
        <v>86400</v>
      </c>
      <c r="CM206" s="10"/>
      <c r="CP206" s="18" t="str">
        <f ca="1"/>
        <v/>
      </c>
      <c r="CQ206" s="18" t="str">
        <f ca="1"/>
        <v/>
      </c>
      <c r="CR206" s="18" t="str">
        <f ca="1"/>
        <v/>
      </c>
      <c r="CS206" s="18" t="str">
        <f ca="1"/>
        <v/>
      </c>
      <c r="CT206" s="18" t="str">
        <f ca="1"/>
        <v/>
      </c>
      <c r="CV206" s="10"/>
      <c r="CY206" s="18" t="str">
        <f ca="1"/>
        <v/>
      </c>
      <c r="CZ206" s="18" t="str">
        <f ca="1"/>
        <v/>
      </c>
      <c r="DA206" s="18" t="str">
        <f ca="1"/>
        <v/>
      </c>
      <c r="DC206" s="10"/>
    </row>
    <row r="207" spans="1:107" x14ac:dyDescent="0.25">
      <c r="A207" s="15" t="s">
        <v>372</v>
      </c>
      <c r="B207" s="15" t="e">
        <f>IF('[1]Contact Table'!H15="","",IF(HEX2DEC(RIGHT('[1]Contact Table'!H15,6))=0,"",HEX2DEC(RIGHT('[1]Contact Table'!H15,6))))</f>
        <v>#NAME?</v>
      </c>
      <c r="C207" s="15"/>
      <c r="D207" s="16"/>
      <c r="E207" s="15"/>
      <c r="F207" s="15"/>
      <c r="G207" s="15"/>
      <c r="H207" s="17" t="str">
        <f ca="1">IFERROR(__xludf.DUMMYFUNCTION("""COMPUTED_VALUE"""),"")</f>
        <v/>
      </c>
      <c r="I207" s="15" t="s">
        <v>29</v>
      </c>
      <c r="J207" s="15" t="s">
        <v>29</v>
      </c>
      <c r="K207" s="15" t="s">
        <v>29</v>
      </c>
      <c r="L207" s="15" t="s">
        <v>29</v>
      </c>
      <c r="M207" s="15" t="s">
        <v>29</v>
      </c>
      <c r="N207" s="16"/>
      <c r="O207" s="18" t="s">
        <v>373</v>
      </c>
      <c r="P207" s="19"/>
      <c r="Q207" s="18" t="str">
        <f ca="1">IFERROR(__xludf.DUMMYFUNCTION("""COMPUTED_VALUE"""),"")</f>
        <v/>
      </c>
      <c r="R207" s="19"/>
      <c r="S207" s="20" t="str">
        <f ca="1">IFERROR(__xludf.DUMMYFUNCTION("""COMPUTED_VALUE"""),"rui_soft_button_config,10,260,64517,51,33,,,,,86400")</f>
        <v>rui_soft_button_config,10,260,64517,51,33,,,,,86400</v>
      </c>
      <c r="X207" s="18" t="str">
        <f ca="1">IFERROR(__xludf.DUMMYFUNCTION("""COMPUTED_VALUE"""),"rh_target_limit")</f>
        <v>rh_target_limit</v>
      </c>
      <c r="BP207" s="10"/>
      <c r="BR207" s="18" t="str">
        <f ca="1">IFERROR(__xludf.DUMMYFUNCTION("""COMPUTED_VALUE"""),"device_table_slot_2")</f>
        <v>device_table_slot_2</v>
      </c>
      <c r="BS207" s="18" t="str">
        <f ca="1">IFERROR(__xludf.DUMMYFUNCTION("""COMPUTED_VALUE"""),"0xFC12")</f>
        <v>0xFC12</v>
      </c>
      <c r="BT207" s="18" t="str">
        <f ca="1">IFERROR(__xludf.DUMMYFUNCTION("""COMPUTED_VALUE"""),"0x0102")</f>
        <v>0x0102</v>
      </c>
      <c r="BU207" s="18" t="str">
        <f ca="1">IFERROR(__xludf.DUMMYFUNCTION("""COMPUTED_VALUE"""),"null")</f>
        <v>null</v>
      </c>
      <c r="BW207" s="10"/>
      <c r="CF207" s="10"/>
      <c r="CH207" s="18" t="str">
        <f ca="1">IFERROR(__xludf.DUMMYFUNCTION("""COMPUTED_VALUE"""),"fw_ver")</f>
        <v>fw_ver</v>
      </c>
      <c r="CI207" s="18" t="str">
        <f ca="1">IFERROR(__xludf.DUMMYFUNCTION("""COMPUTED_VALUE"""),"0xFC20")</f>
        <v>0xFC20</v>
      </c>
      <c r="CJ207" s="18" t="str">
        <f ca="1">IFERROR(__xludf.DUMMYFUNCTION("""COMPUTED_VALUE"""),"0x0004")</f>
        <v>0x0004</v>
      </c>
      <c r="CK207" s="18" t="str">
        <f ca="1">IFERROR(__xludf.DUMMYFUNCTION("""COMPUTED_VALUE"""),"86400")</f>
        <v>86400</v>
      </c>
      <c r="CM207" s="10"/>
      <c r="CP207" s="18" t="str">
        <f ca="1"/>
        <v/>
      </c>
      <c r="CQ207" s="18" t="str">
        <f ca="1"/>
        <v/>
      </c>
      <c r="CR207" s="18" t="str">
        <f ca="1"/>
        <v/>
      </c>
      <c r="CS207" s="18" t="str">
        <f ca="1"/>
        <v/>
      </c>
      <c r="CT207" s="18" t="str">
        <f ca="1"/>
        <v/>
      </c>
      <c r="CV207" s="10"/>
      <c r="CY207" s="18" t="str">
        <f ca="1"/>
        <v/>
      </c>
      <c r="CZ207" s="18" t="str">
        <f ca="1"/>
        <v/>
      </c>
      <c r="DA207" s="18" t="str">
        <f ca="1"/>
        <v/>
      </c>
      <c r="DC207" s="10"/>
    </row>
    <row r="208" spans="1:107" x14ac:dyDescent="0.25">
      <c r="A208" s="15" t="s">
        <v>374</v>
      </c>
      <c r="B208" s="15" t="e">
        <f>IF('[1]Contact Table'!H17="","",IF(HEX2DEC(RIGHT('[1]Contact Table'!H17,6))=0,"",HEX2DEC(RIGHT('[1]Contact Table'!H17,6))))</f>
        <v>#NAME?</v>
      </c>
      <c r="C208" s="15"/>
      <c r="D208" s="16"/>
      <c r="E208" s="15"/>
      <c r="F208" s="15"/>
      <c r="G208" s="15"/>
      <c r="H208" s="17" t="str">
        <f ca="1">IFERROR(__xludf.DUMMYFUNCTION("""COMPUTED_VALUE"""),"")</f>
        <v/>
      </c>
      <c r="I208" s="15" t="s">
        <v>29</v>
      </c>
      <c r="J208" s="15" t="s">
        <v>29</v>
      </c>
      <c r="K208" s="15" t="s">
        <v>29</v>
      </c>
      <c r="L208" s="15" t="s">
        <v>29</v>
      </c>
      <c r="M208" s="15" t="s">
        <v>29</v>
      </c>
      <c r="N208" s="16"/>
      <c r="O208" s="18" t="s">
        <v>375</v>
      </c>
      <c r="P208" s="19"/>
      <c r="Q208" s="18" t="str">
        <f ca="1">IFERROR(__xludf.DUMMYFUNCTION("""COMPUTED_VALUE"""),"")</f>
        <v/>
      </c>
      <c r="R208" s="19"/>
      <c r="S208" s="20" t="str">
        <f ca="1">IFERROR(__xludf.DUMMYFUNCTION("""COMPUTED_VALUE"""),"running_mode,10,260,513,30,48,,0,3600,0")</f>
        <v>running_mode,10,260,513,30,48,,0,3600,0</v>
      </c>
      <c r="X208" s="18" t="str">
        <f ca="1">IFERROR(__xludf.DUMMYFUNCTION("""COMPUTED_VALUE"""),"rui_soft_button_config")</f>
        <v>rui_soft_button_config</v>
      </c>
      <c r="BP208" s="10"/>
      <c r="BR208" s="18" t="str">
        <f ca="1">IFERROR(__xludf.DUMMYFUNCTION("""COMPUTED_VALUE"""),"device_table_slot_3")</f>
        <v>device_table_slot_3</v>
      </c>
      <c r="BS208" s="18" t="str">
        <f ca="1">IFERROR(__xludf.DUMMYFUNCTION("""COMPUTED_VALUE"""),"0xFC12")</f>
        <v>0xFC12</v>
      </c>
      <c r="BT208" s="18" t="str">
        <f ca="1">IFERROR(__xludf.DUMMYFUNCTION("""COMPUTED_VALUE"""),"0x0103")</f>
        <v>0x0103</v>
      </c>
      <c r="BU208" s="18" t="str">
        <f ca="1">IFERROR(__xludf.DUMMYFUNCTION("""COMPUTED_VALUE"""),"null")</f>
        <v>null</v>
      </c>
      <c r="BW208" s="10"/>
      <c r="CF208" s="10"/>
      <c r="CH208" s="18" t="str">
        <f ca="1">IFERROR(__xludf.DUMMYFUNCTION("""COMPUTED_VALUE"""),"ui_ver")</f>
        <v>ui_ver</v>
      </c>
      <c r="CI208" s="18" t="str">
        <f ca="1">IFERROR(__xludf.DUMMYFUNCTION("""COMPUTED_VALUE"""),"0xFC20")</f>
        <v>0xFC20</v>
      </c>
      <c r="CJ208" s="18" t="str">
        <f ca="1">IFERROR(__xludf.DUMMYFUNCTION("""COMPUTED_VALUE"""),"0x0005")</f>
        <v>0x0005</v>
      </c>
      <c r="CK208" s="18" t="str">
        <f ca="1">IFERROR(__xludf.DUMMYFUNCTION("""COMPUTED_VALUE"""),"86400")</f>
        <v>86400</v>
      </c>
      <c r="CM208" s="10"/>
      <c r="CP208" s="18" t="str">
        <f ca="1"/>
        <v/>
      </c>
      <c r="CQ208" s="18" t="str">
        <f ca="1"/>
        <v/>
      </c>
      <c r="CR208" s="18" t="str">
        <f ca="1"/>
        <v/>
      </c>
      <c r="CS208" s="18" t="str">
        <f ca="1"/>
        <v/>
      </c>
      <c r="CT208" s="18" t="str">
        <f ca="1"/>
        <v/>
      </c>
      <c r="CV208" s="10"/>
      <c r="CY208" s="18" t="str">
        <f ca="1"/>
        <v/>
      </c>
      <c r="CZ208" s="18" t="str">
        <f ca="1"/>
        <v/>
      </c>
      <c r="DA208" s="18" t="str">
        <f ca="1"/>
        <v/>
      </c>
      <c r="DC208" s="10"/>
    </row>
    <row r="209" spans="1:107" x14ac:dyDescent="0.25">
      <c r="A209" s="15"/>
      <c r="B209" s="15"/>
      <c r="C209" s="15"/>
      <c r="D209" s="16"/>
      <c r="E209" s="15"/>
      <c r="F209" s="15"/>
      <c r="G209" s="15"/>
      <c r="H209" s="17" t="str">
        <f ca="1">IFERROR(__xludf.DUMMYFUNCTION("""COMPUTED_VALUE"""),"")</f>
        <v/>
      </c>
      <c r="I209" s="15" t="s">
        <v>29</v>
      </c>
      <c r="J209" s="15" t="s">
        <v>29</v>
      </c>
      <c r="K209" s="15" t="s">
        <v>29</v>
      </c>
      <c r="L209" s="15" t="s">
        <v>29</v>
      </c>
      <c r="M209" s="15" t="s">
        <v>29</v>
      </c>
      <c r="N209" s="16"/>
      <c r="P209" s="19"/>
      <c r="Q209" s="18" t="str">
        <f ca="1">IFERROR(__xludf.DUMMYFUNCTION("""COMPUTED_VALUE"""),"")</f>
        <v/>
      </c>
      <c r="R209" s="19"/>
      <c r="S209" s="20" t="str">
        <f ca="1">IFERROR(__xludf.DUMMYFUNCTION("""COMPUTED_VALUE"""),"savings_in_effect,10,260,513,61705,16,,0,3600,0")</f>
        <v>savings_in_effect,10,260,513,61705,16,,0,3600,0</v>
      </c>
      <c r="X209" s="18" t="str">
        <f ca="1">IFERROR(__xludf.DUMMYFUNCTION("""COMPUTED_VALUE"""),"running_mode")</f>
        <v>running_mode</v>
      </c>
      <c r="BP209" s="10"/>
      <c r="BR209" s="18" t="str">
        <f ca="1">IFERROR(__xludf.DUMMYFUNCTION("""COMPUTED_VALUE"""),"device_table_slot_4")</f>
        <v>device_table_slot_4</v>
      </c>
      <c r="BS209" s="18" t="str">
        <f ca="1">IFERROR(__xludf.DUMMYFUNCTION("""COMPUTED_VALUE"""),"0xFC12")</f>
        <v>0xFC12</v>
      </c>
      <c r="BT209" s="18" t="str">
        <f ca="1">IFERROR(__xludf.DUMMYFUNCTION("""COMPUTED_VALUE"""),"0x0104")</f>
        <v>0x0104</v>
      </c>
      <c r="BU209" s="18" t="str">
        <f ca="1">IFERROR(__xludf.DUMMYFUNCTION("""COMPUTED_VALUE"""),"null")</f>
        <v>null</v>
      </c>
      <c r="BW209" s="10"/>
      <c r="CF209" s="10"/>
      <c r="CH209" s="18" t="str">
        <f ca="1">IFERROR(__xludf.DUMMYFUNCTION("""COMPUTED_VALUE"""),"esp_ver")</f>
        <v>esp_ver</v>
      </c>
      <c r="CI209" s="18" t="str">
        <f ca="1">IFERROR(__xludf.DUMMYFUNCTION("""COMPUTED_VALUE"""),"N/A")</f>
        <v>N/A</v>
      </c>
      <c r="CJ209" s="18" t="str">
        <f ca="1">IFERROR(__xludf.DUMMYFUNCTION("""COMPUTED_VALUE"""),"N/A")</f>
        <v>N/A</v>
      </c>
      <c r="CK209" s="18" t="str">
        <f ca="1">IFERROR(__xludf.DUMMYFUNCTION("""COMPUTED_VALUE"""),"86400")</f>
        <v>86400</v>
      </c>
      <c r="CM209" s="10"/>
      <c r="CP209" s="18" t="str">
        <f ca="1"/>
        <v/>
      </c>
      <c r="CQ209" s="18" t="str">
        <f ca="1"/>
        <v/>
      </c>
      <c r="CR209" s="18" t="str">
        <f ca="1"/>
        <v/>
      </c>
      <c r="CS209" s="18" t="str">
        <f ca="1"/>
        <v/>
      </c>
      <c r="CT209" s="18" t="str">
        <f ca="1"/>
        <v/>
      </c>
      <c r="CV209" s="10"/>
      <c r="CY209" s="18" t="str">
        <f ca="1"/>
        <v/>
      </c>
      <c r="CZ209" s="18" t="str">
        <f ca="1"/>
        <v/>
      </c>
      <c r="DA209" s="18" t="str">
        <f ca="1"/>
        <v/>
      </c>
      <c r="DC209" s="10"/>
    </row>
    <row r="210" spans="1:107" x14ac:dyDescent="0.25">
      <c r="A210" s="38" t="s">
        <v>376</v>
      </c>
      <c r="B210" s="32"/>
      <c r="C210" s="32"/>
      <c r="D210" s="16"/>
      <c r="E210" s="32"/>
      <c r="F210" s="32"/>
      <c r="G210" s="32"/>
      <c r="H210" s="17" t="str">
        <f ca="1">IFERROR(__xludf.DUMMYFUNCTION("""COMPUTED_VALUE"""),"")</f>
        <v/>
      </c>
      <c r="I210" s="32" t="s">
        <v>29</v>
      </c>
      <c r="J210" s="32" t="s">
        <v>29</v>
      </c>
      <c r="K210" s="32" t="s">
        <v>29</v>
      </c>
      <c r="L210" s="32" t="s">
        <v>29</v>
      </c>
      <c r="M210" s="32" t="s">
        <v>29</v>
      </c>
      <c r="N210" s="16"/>
      <c r="O210" s="10"/>
      <c r="P210" s="19"/>
      <c r="Q210" s="10" t="str">
        <f ca="1">IFERROR(__xludf.DUMMYFUNCTION("""COMPUTED_VALUE"""),"")</f>
        <v/>
      </c>
      <c r="R210" s="19"/>
      <c r="S210" s="20" t="str">
        <f ca="1">IFERROR(__xludf.DUMMYFUNCTION("""COMPUTED_VALUE"""),"scenes_occ_aux,10,260,5,61441,16,,0,3600,0")</f>
        <v>scenes_occ_aux,10,260,5,61441,16,,0,3600,0</v>
      </c>
      <c r="X210" s="18" t="str">
        <f ca="1">IFERROR(__xludf.DUMMYFUNCTION("""COMPUTED_VALUE"""),"savings_in_effect")</f>
        <v>savings_in_effect</v>
      </c>
      <c r="BP210" s="10"/>
      <c r="BR210" s="18" t="str">
        <f ca="1">IFERROR(__xludf.DUMMYFUNCTION("""COMPUTED_VALUE"""),"device_table_slot_5")</f>
        <v>device_table_slot_5</v>
      </c>
      <c r="BS210" s="18" t="str">
        <f ca="1">IFERROR(__xludf.DUMMYFUNCTION("""COMPUTED_VALUE"""),"0xFC12")</f>
        <v>0xFC12</v>
      </c>
      <c r="BT210" s="18" t="str">
        <f ca="1">IFERROR(__xludf.DUMMYFUNCTION("""COMPUTED_VALUE"""),"0x0105")</f>
        <v>0x0105</v>
      </c>
      <c r="BU210" s="18" t="str">
        <f ca="1">IFERROR(__xludf.DUMMYFUNCTION("""COMPUTED_VALUE"""),"null")</f>
        <v>null</v>
      </c>
      <c r="BW210" s="10"/>
      <c r="CF210" s="10"/>
      <c r="CH210" s="18" t="str">
        <f ca="1">IFERROR(__xludf.DUMMYFUNCTION("""COMPUTED_VALUE"""),"mac_address")</f>
        <v>mac_address</v>
      </c>
      <c r="CI210" s="18" t="str">
        <f ca="1">IFERROR(__xludf.DUMMYFUNCTION("""COMPUTED_VALUE"""),"N/A")</f>
        <v>N/A</v>
      </c>
      <c r="CJ210" s="18" t="str">
        <f ca="1">IFERROR(__xludf.DUMMYFUNCTION("""COMPUTED_VALUE"""),"N/A")</f>
        <v>N/A</v>
      </c>
      <c r="CK210" s="18" t="str">
        <f ca="1">IFERROR(__xludf.DUMMYFUNCTION("""COMPUTED_VALUE"""),"86400")</f>
        <v>86400</v>
      </c>
      <c r="CM210" s="10"/>
      <c r="CP210" s="18" t="str">
        <f ca="1"/>
        <v/>
      </c>
      <c r="CQ210" s="18" t="str">
        <f ca="1"/>
        <v/>
      </c>
      <c r="CR210" s="18" t="str">
        <f ca="1"/>
        <v/>
      </c>
      <c r="CS210" s="18" t="str">
        <f ca="1"/>
        <v/>
      </c>
      <c r="CT210" s="18" t="str">
        <f ca="1"/>
        <v/>
      </c>
      <c r="CV210" s="10"/>
      <c r="CY210" s="18" t="str">
        <f ca="1"/>
        <v/>
      </c>
      <c r="CZ210" s="18" t="str">
        <f ca="1"/>
        <v/>
      </c>
      <c r="DA210" s="18" t="str">
        <f ca="1"/>
        <v/>
      </c>
      <c r="DC210" s="10"/>
    </row>
    <row r="211" spans="1:107" x14ac:dyDescent="0.25">
      <c r="A211" s="15" t="s">
        <v>377</v>
      </c>
      <c r="B211" s="15">
        <v>5</v>
      </c>
      <c r="C211" s="15"/>
      <c r="D211" s="16"/>
      <c r="E211" s="15"/>
      <c r="F211" s="15"/>
      <c r="G211" s="15"/>
      <c r="H211" s="17" t="str">
        <f ca="1">IFERROR(__xludf.DUMMYFUNCTION("""COMPUTED_VALUE"""),"x")</f>
        <v>x</v>
      </c>
      <c r="I211" s="15" t="s">
        <v>29</v>
      </c>
      <c r="J211" s="15" t="s">
        <v>29</v>
      </c>
      <c r="K211" s="15" t="s">
        <v>29</v>
      </c>
      <c r="L211" s="15" t="s">
        <v>29</v>
      </c>
      <c r="M211" s="15" t="s">
        <v>29</v>
      </c>
      <c r="N211" s="16"/>
      <c r="O211" s="18" t="s">
        <v>378</v>
      </c>
      <c r="P211" s="19"/>
      <c r="Q211" s="18" t="str">
        <f ca="1">IFERROR(__xludf.DUMMYFUNCTION("""COMPUTED_VALUE"""),"zb -a 0x0201 0xF09C 0")</f>
        <v>zb -a 0x0201 0xF09C 0</v>
      </c>
      <c r="R211" s="19"/>
      <c r="S211" s="20" t="str">
        <f ca="1">IFERROR(__xludf.DUMMYFUNCTION("""COMPUTED_VALUE"""),"scenes_occ,10,260,5,61440,16,,0,3600,0")</f>
        <v>scenes_occ,10,260,5,61440,16,,0,3600,0</v>
      </c>
      <c r="X211" s="18" t="str">
        <f ca="1">IFERROR(__xludf.DUMMYFUNCTION("""COMPUTED_VALUE"""),"scenes_occ")</f>
        <v>scenes_occ</v>
      </c>
      <c r="BP211" s="10"/>
      <c r="BR211" s="18" t="str">
        <f ca="1">IFERROR(__xludf.DUMMYFUNCTION("""COMPUTED_VALUE"""),"device_table_slot_6")</f>
        <v>device_table_slot_6</v>
      </c>
      <c r="BS211" s="18" t="str">
        <f ca="1">IFERROR(__xludf.DUMMYFUNCTION("""COMPUTED_VALUE"""),"0xFC12")</f>
        <v>0xFC12</v>
      </c>
      <c r="BT211" s="18" t="str">
        <f ca="1">IFERROR(__xludf.DUMMYFUNCTION("""COMPUTED_VALUE"""),"0x0106")</f>
        <v>0x0106</v>
      </c>
      <c r="BU211" s="18" t="str">
        <f ca="1">IFERROR(__xludf.DUMMYFUNCTION("""COMPUTED_VALUE"""),"null")</f>
        <v>null</v>
      </c>
      <c r="BW211" s="10"/>
      <c r="CF211" s="10"/>
      <c r="CH211" s="18" t="str">
        <f ca="1">IFERROR(__xludf.DUMMYFUNCTION("""COMPUTED_VALUE"""),"ip_address")</f>
        <v>ip_address</v>
      </c>
      <c r="CI211" s="18" t="str">
        <f ca="1">IFERROR(__xludf.DUMMYFUNCTION("""COMPUTED_VALUE"""),"N/A")</f>
        <v>N/A</v>
      </c>
      <c r="CJ211" s="18" t="str">
        <f ca="1">IFERROR(__xludf.DUMMYFUNCTION("""COMPUTED_VALUE"""),"N/A")</f>
        <v>N/A</v>
      </c>
      <c r="CK211" s="18" t="str">
        <f ca="1">IFERROR(__xludf.DUMMYFUNCTION("""COMPUTED_VALUE"""),"86400")</f>
        <v>86400</v>
      </c>
      <c r="CM211" s="10"/>
      <c r="CP211" s="18" t="str">
        <f ca="1"/>
        <v/>
      </c>
      <c r="CQ211" s="18" t="str">
        <f ca="1"/>
        <v/>
      </c>
      <c r="CR211" s="18" t="str">
        <f ca="1"/>
        <v/>
      </c>
      <c r="CS211" s="18" t="str">
        <f ca="1"/>
        <v/>
      </c>
      <c r="CT211" s="18" t="str">
        <f ca="1"/>
        <v/>
      </c>
      <c r="CV211" s="10"/>
      <c r="CY211" s="18" t="str">
        <f ca="1"/>
        <v/>
      </c>
      <c r="CZ211" s="18" t="str">
        <f ca="1"/>
        <v/>
      </c>
      <c r="DA211" s="18" t="str">
        <f ca="1"/>
        <v/>
      </c>
      <c r="DC211" s="10"/>
    </row>
    <row r="212" spans="1:107" x14ac:dyDescent="0.25">
      <c r="A212" s="15" t="s">
        <v>379</v>
      </c>
      <c r="B212" s="15"/>
      <c r="C212" s="15"/>
      <c r="D212" s="16"/>
      <c r="E212" s="15"/>
      <c r="F212" s="15"/>
      <c r="G212" s="15"/>
      <c r="H212" s="17" t="str">
        <f ca="1">IFERROR(__xludf.DUMMYFUNCTION("""COMPUTED_VALUE"""),"")</f>
        <v/>
      </c>
      <c r="I212" s="15" t="s">
        <v>29</v>
      </c>
      <c r="J212" s="15" t="s">
        <v>29</v>
      </c>
      <c r="K212" s="15" t="s">
        <v>29</v>
      </c>
      <c r="L212" s="15" t="s">
        <v>29</v>
      </c>
      <c r="M212" s="15" t="s">
        <v>29</v>
      </c>
      <c r="N212" s="16"/>
      <c r="O212" s="18" t="s">
        <v>380</v>
      </c>
      <c r="P212" s="19"/>
      <c r="Q212" s="18" t="str">
        <f ca="1">IFERROR(__xludf.DUMMYFUNCTION("""COMPUTED_VALUE"""),"")</f>
        <v/>
      </c>
      <c r="R212" s="19"/>
      <c r="S212" s="20" t="str">
        <f ca="1">IFERROR(__xludf.DUMMYFUNCTION("""COMPUTED_VALUE"""),"scenes_unocc_aux_delay,10,260,5,61443,33,1440,,,,86400")</f>
        <v>scenes_unocc_aux_delay,10,260,5,61443,33,1440,,,,86400</v>
      </c>
      <c r="X212" s="18" t="str">
        <f ca="1">IFERROR(__xludf.DUMMYFUNCTION("""COMPUTED_VALUE"""),"scenes_occ_aux")</f>
        <v>scenes_occ_aux</v>
      </c>
      <c r="BP212" s="10"/>
      <c r="BR212" s="18" t="str">
        <f ca="1">IFERROR(__xludf.DUMMYFUNCTION("""COMPUTED_VALUE"""),"device_table_slot_7")</f>
        <v>device_table_slot_7</v>
      </c>
      <c r="BS212" s="18" t="str">
        <f ca="1">IFERROR(__xludf.DUMMYFUNCTION("""COMPUTED_VALUE"""),"0xFC12")</f>
        <v>0xFC12</v>
      </c>
      <c r="BT212" s="18" t="str">
        <f ca="1">IFERROR(__xludf.DUMMYFUNCTION("""COMPUTED_VALUE"""),"0x0107")</f>
        <v>0x0107</v>
      </c>
      <c r="BU212" s="18" t="str">
        <f ca="1">IFERROR(__xludf.DUMMYFUNCTION("""COMPUTED_VALUE"""),"null")</f>
        <v>null</v>
      </c>
      <c r="BW212" s="10"/>
      <c r="CF212" s="10"/>
      <c r="CH212" s="18" t="str">
        <f ca="1">IFERROR(__xludf.DUMMYFUNCTION("""COMPUTED_VALUE"""),"mqtt_server")</f>
        <v>mqtt_server</v>
      </c>
      <c r="CI212" s="18" t="str">
        <f ca="1">IFERROR(__xludf.DUMMYFUNCTION("""COMPUTED_VALUE"""),"N/A")</f>
        <v>N/A</v>
      </c>
      <c r="CJ212" s="18" t="str">
        <f ca="1">IFERROR(__xludf.DUMMYFUNCTION("""COMPUTED_VALUE"""),"N/A")</f>
        <v>N/A</v>
      </c>
      <c r="CK212" s="18" t="str">
        <f ca="1">IFERROR(__xludf.DUMMYFUNCTION("""COMPUTED_VALUE"""),"86400")</f>
        <v>86400</v>
      </c>
      <c r="CM212" s="10"/>
      <c r="CP212" s="18" t="str">
        <f ca="1"/>
        <v/>
      </c>
      <c r="CQ212" s="18" t="str">
        <f ca="1"/>
        <v/>
      </c>
      <c r="CR212" s="18" t="str">
        <f ca="1"/>
        <v/>
      </c>
      <c r="CS212" s="18" t="str">
        <f ca="1"/>
        <v/>
      </c>
      <c r="CT212" s="18" t="str">
        <f ca="1"/>
        <v/>
      </c>
      <c r="CV212" s="10"/>
      <c r="CY212" s="18" t="str">
        <f ca="1"/>
        <v/>
      </c>
      <c r="CZ212" s="18" t="str">
        <f ca="1"/>
        <v/>
      </c>
      <c r="DA212" s="18" t="str">
        <f ca="1"/>
        <v/>
      </c>
      <c r="DC212" s="10"/>
    </row>
    <row r="213" spans="1:107" x14ac:dyDescent="0.25">
      <c r="A213" s="15" t="s">
        <v>381</v>
      </c>
      <c r="B213" s="15"/>
      <c r="C213" s="15"/>
      <c r="D213" s="16"/>
      <c r="E213" s="15"/>
      <c r="F213" s="15"/>
      <c r="G213" s="15"/>
      <c r="H213" s="17" t="str">
        <f ca="1">IFERROR(__xludf.DUMMYFUNCTION("""COMPUTED_VALUE"""),"")</f>
        <v/>
      </c>
      <c r="I213" s="15" t="s">
        <v>29</v>
      </c>
      <c r="J213" s="15" t="s">
        <v>29</v>
      </c>
      <c r="K213" s="15" t="s">
        <v>29</v>
      </c>
      <c r="L213" s="15" t="s">
        <v>29</v>
      </c>
      <c r="M213" s="15" t="s">
        <v>29</v>
      </c>
      <c r="N213" s="16"/>
      <c r="O213" s="18" t="s">
        <v>382</v>
      </c>
      <c r="P213" s="19"/>
      <c r="Q213" s="18" t="str">
        <f ca="1">IFERROR(__xludf.DUMMYFUNCTION("""COMPUTED_VALUE"""),"")</f>
        <v/>
      </c>
      <c r="R213" s="19"/>
      <c r="S213" s="20" t="str">
        <f ca="1">IFERROR(__xludf.DUMMYFUNCTION("""COMPUTED_VALUE"""),"scenes_unocc_delay,10,260,5,61442,33,480,,,,86400")</f>
        <v>scenes_unocc_delay,10,260,5,61442,33,480,,,,86400</v>
      </c>
      <c r="X213" s="18" t="str">
        <f ca="1">IFERROR(__xludf.DUMMYFUNCTION("""COMPUTED_VALUE"""),"scenes_unocc_aux_delay")</f>
        <v>scenes_unocc_aux_delay</v>
      </c>
      <c r="BP213" s="10"/>
      <c r="BR213" s="18" t="str">
        <f ca="1">IFERROR(__xludf.DUMMYFUNCTION("""COMPUTED_VALUE"""),"device_table_slot_8")</f>
        <v>device_table_slot_8</v>
      </c>
      <c r="BS213" s="18" t="str">
        <f ca="1">IFERROR(__xludf.DUMMYFUNCTION("""COMPUTED_VALUE"""),"0xFC12")</f>
        <v>0xFC12</v>
      </c>
      <c r="BT213" s="18" t="str">
        <f ca="1">IFERROR(__xludf.DUMMYFUNCTION("""COMPUTED_VALUE"""),"0x0108")</f>
        <v>0x0108</v>
      </c>
      <c r="BU213" s="18" t="str">
        <f ca="1">IFERROR(__xludf.DUMMYFUNCTION("""COMPUTED_VALUE"""),"null")</f>
        <v>null</v>
      </c>
      <c r="BW213" s="10"/>
      <c r="CF213" s="10"/>
      <c r="CH213" s="18" t="str">
        <f ca="1">IFERROR(__xludf.DUMMYFUNCTION("""COMPUTED_VALUE"""),"host_filesystem_directory")</f>
        <v>host_filesystem_directory</v>
      </c>
      <c r="CI213" s="18" t="str">
        <f ca="1">IFERROR(__xludf.DUMMYFUNCTION("""COMPUTED_VALUE"""),"N/A")</f>
        <v>N/A</v>
      </c>
      <c r="CJ213" s="18" t="str">
        <f ca="1">IFERROR(__xludf.DUMMYFUNCTION("""COMPUTED_VALUE"""),"N/A")</f>
        <v>N/A</v>
      </c>
      <c r="CK213" s="18" t="str">
        <f ca="1">IFERROR(__xludf.DUMMYFUNCTION("""COMPUTED_VALUE"""),"86400")</f>
        <v>86400</v>
      </c>
      <c r="CM213" s="10"/>
      <c r="CP213" s="18" t="str">
        <f ca="1"/>
        <v/>
      </c>
      <c r="CQ213" s="18" t="str">
        <f ca="1"/>
        <v/>
      </c>
      <c r="CR213" s="18" t="str">
        <f ca="1"/>
        <v/>
      </c>
      <c r="CS213" s="18" t="str">
        <f ca="1"/>
        <v/>
      </c>
      <c r="CT213" s="18" t="str">
        <f ca="1"/>
        <v/>
      </c>
      <c r="CV213" s="10"/>
      <c r="CY213" s="18" t="str">
        <f ca="1"/>
        <v/>
      </c>
      <c r="CZ213" s="18" t="str">
        <f ca="1"/>
        <v/>
      </c>
      <c r="DA213" s="18" t="str">
        <f ca="1"/>
        <v/>
      </c>
      <c r="DC213" s="10"/>
    </row>
    <row r="214" spans="1:107" x14ac:dyDescent="0.25">
      <c r="A214" s="15" t="s">
        <v>383</v>
      </c>
      <c r="B214" s="15"/>
      <c r="C214" s="15"/>
      <c r="D214" s="16"/>
      <c r="E214" s="15"/>
      <c r="F214" s="15"/>
      <c r="G214" s="15"/>
      <c r="H214" s="17" t="str">
        <f ca="1">IFERROR(__xludf.DUMMYFUNCTION("""COMPUTED_VALUE"""),"")</f>
        <v/>
      </c>
      <c r="I214" s="15" t="s">
        <v>29</v>
      </c>
      <c r="J214" s="15" t="s">
        <v>29</v>
      </c>
      <c r="K214" s="15" t="s">
        <v>29</v>
      </c>
      <c r="L214" s="15" t="s">
        <v>29</v>
      </c>
      <c r="M214" s="15" t="s">
        <v>29</v>
      </c>
      <c r="N214" s="16"/>
      <c r="O214" s="18" t="s">
        <v>384</v>
      </c>
      <c r="P214" s="19"/>
      <c r="Q214" s="18" t="str">
        <f ca="1">IFERROR(__xludf.DUMMYFUNCTION("""COMPUTED_VALUE"""),"")</f>
        <v/>
      </c>
      <c r="R214" s="19"/>
      <c r="S214" s="20" t="str">
        <f ca="1">IFERROR(__xludf.DUMMYFUNCTION("""COMPUTED_VALUE"""),"schedule_configured,10,260,513,61712,16,,0,3600,0")</f>
        <v>schedule_configured,10,260,513,61712,16,,0,3600,0</v>
      </c>
      <c r="X214" s="18" t="str">
        <f ca="1">IFERROR(__xludf.DUMMYFUNCTION("""COMPUTED_VALUE"""),"scenes_unocc_delay")</f>
        <v>scenes_unocc_delay</v>
      </c>
      <c r="BP214" s="10"/>
      <c r="BR214" s="18" t="str">
        <f ca="1">IFERROR(__xludf.DUMMYFUNCTION("""COMPUTED_VALUE"""),"device_table_slot_9")</f>
        <v>device_table_slot_9</v>
      </c>
      <c r="BS214" s="18" t="str">
        <f ca="1">IFERROR(__xludf.DUMMYFUNCTION("""COMPUTED_VALUE"""),"0xFC12")</f>
        <v>0xFC12</v>
      </c>
      <c r="BT214" s="18" t="str">
        <f ca="1">IFERROR(__xludf.DUMMYFUNCTION("""COMPUTED_VALUE"""),"0x0109")</f>
        <v>0x0109</v>
      </c>
      <c r="BU214" s="18" t="str">
        <f ca="1">IFERROR(__xludf.DUMMYFUNCTION("""COMPUTED_VALUE"""),"null")</f>
        <v>null</v>
      </c>
      <c r="BW214" s="10"/>
      <c r="CF214" s="10"/>
      <c r="CH214" s="18" t="str">
        <f ca="1">IFERROR(__xludf.DUMMYFUNCTION("""COMPUTED_VALUE"""),"esp_boot_count")</f>
        <v>esp_boot_count</v>
      </c>
      <c r="CI214" s="18" t="str">
        <f ca="1">IFERROR(__xludf.DUMMYFUNCTION("""COMPUTED_VALUE"""),"N/A")</f>
        <v>N/A</v>
      </c>
      <c r="CJ214" s="18" t="str">
        <f ca="1">IFERROR(__xludf.DUMMYFUNCTION("""COMPUTED_VALUE"""),"N/A")</f>
        <v>N/A</v>
      </c>
      <c r="CK214" s="18" t="str">
        <f ca="1">IFERROR(__xludf.DUMMYFUNCTION("""COMPUTED_VALUE"""),"86400")</f>
        <v>86400</v>
      </c>
      <c r="CM214" s="10"/>
      <c r="CP214" s="18" t="str">
        <f ca="1"/>
        <v/>
      </c>
      <c r="CQ214" s="18" t="str">
        <f ca="1"/>
        <v/>
      </c>
      <c r="CR214" s="18" t="str">
        <f ca="1"/>
        <v/>
      </c>
      <c r="CS214" s="18" t="str">
        <f ca="1"/>
        <v/>
      </c>
      <c r="CT214" s="18" t="str">
        <f ca="1"/>
        <v/>
      </c>
      <c r="CV214" s="10"/>
      <c r="CY214" s="18" t="str">
        <f ca="1"/>
        <v/>
      </c>
      <c r="CZ214" s="18" t="str">
        <f ca="1"/>
        <v/>
      </c>
      <c r="DA214" s="18" t="str">
        <f ca="1"/>
        <v/>
      </c>
      <c r="DC214" s="10"/>
    </row>
    <row r="215" spans="1:107" x14ac:dyDescent="0.25">
      <c r="A215" s="15" t="s">
        <v>385</v>
      </c>
      <c r="B215" s="15"/>
      <c r="C215" s="15"/>
      <c r="D215" s="16"/>
      <c r="E215" s="15"/>
      <c r="F215" s="15"/>
      <c r="G215" s="15"/>
      <c r="H215" s="17" t="str">
        <f ca="1">IFERROR(__xludf.DUMMYFUNCTION("""COMPUTED_VALUE"""),"")</f>
        <v/>
      </c>
      <c r="I215" s="15" t="s">
        <v>29</v>
      </c>
      <c r="J215" s="15" t="s">
        <v>29</v>
      </c>
      <c r="K215" s="15" t="s">
        <v>29</v>
      </c>
      <c r="L215" s="15" t="s">
        <v>29</v>
      </c>
      <c r="M215" s="15" t="s">
        <v>29</v>
      </c>
      <c r="N215" s="16"/>
      <c r="O215" s="18" t="s">
        <v>386</v>
      </c>
      <c r="P215" s="19"/>
      <c r="Q215" s="18" t="str">
        <f ca="1">IFERROR(__xludf.DUMMYFUNCTION("""COMPUTED_VALUE"""),"")</f>
        <v/>
      </c>
      <c r="R215" s="19"/>
      <c r="S215" s="20" t="str">
        <f ca="1">IFERROR(__xludf.DUMMYFUNCTION("""COMPUTED_VALUE"""),"schedule_paused,10,260,513,61713,16,0,0,3600,0")</f>
        <v>schedule_paused,10,260,513,61713,16,0,0,3600,0</v>
      </c>
      <c r="X215" s="18" t="str">
        <f ca="1">IFERROR(__xludf.DUMMYFUNCTION("""COMPUTED_VALUE"""),"schedule_configured")</f>
        <v>schedule_configured</v>
      </c>
      <c r="BP215" s="10"/>
      <c r="BR215" s="18" t="str">
        <f ca="1">IFERROR(__xludf.DUMMYFUNCTION("""COMPUTED_VALUE"""),"device_table_slot_10")</f>
        <v>device_table_slot_10</v>
      </c>
      <c r="BS215" s="18" t="str">
        <f ca="1">IFERROR(__xludf.DUMMYFUNCTION("""COMPUTED_VALUE"""),"0xFC12")</f>
        <v>0xFC12</v>
      </c>
      <c r="BT215" s="18" t="str">
        <f ca="1">IFERROR(__xludf.DUMMYFUNCTION("""COMPUTED_VALUE"""),"0x010A")</f>
        <v>0x010A</v>
      </c>
      <c r="BU215" s="18" t="str">
        <f ca="1">IFERROR(__xludf.DUMMYFUNCTION("""COMPUTED_VALUE"""),"null")</f>
        <v>null</v>
      </c>
      <c r="BW215" s="10"/>
      <c r="CF215" s="10"/>
      <c r="CH215" s="18" t="str">
        <f ca="1">IFERROR(__xludf.DUMMYFUNCTION("""COMPUTED_VALUE"""),"esp_boot_count_power")</f>
        <v>esp_boot_count_power</v>
      </c>
      <c r="CI215" s="18" t="str">
        <f ca="1">IFERROR(__xludf.DUMMYFUNCTION("""COMPUTED_VALUE"""),"N/A")</f>
        <v>N/A</v>
      </c>
      <c r="CJ215" s="18" t="str">
        <f ca="1">IFERROR(__xludf.DUMMYFUNCTION("""COMPUTED_VALUE"""),"N/A")</f>
        <v>N/A</v>
      </c>
      <c r="CK215" s="18" t="str">
        <f ca="1">IFERROR(__xludf.DUMMYFUNCTION("""COMPUTED_VALUE"""),"86400")</f>
        <v>86400</v>
      </c>
      <c r="CM215" s="10"/>
      <c r="CP215" s="18" t="str">
        <f ca="1"/>
        <v/>
      </c>
      <c r="CQ215" s="18" t="str">
        <f ca="1"/>
        <v/>
      </c>
      <c r="CR215" s="18" t="str">
        <f ca="1"/>
        <v/>
      </c>
      <c r="CS215" s="18" t="str">
        <f ca="1"/>
        <v/>
      </c>
      <c r="CT215" s="18" t="str">
        <f ca="1"/>
        <v/>
      </c>
      <c r="CV215" s="10"/>
      <c r="CY215" s="18" t="str">
        <f ca="1"/>
        <v/>
      </c>
      <c r="CZ215" s="18" t="str">
        <f ca="1"/>
        <v/>
      </c>
      <c r="DA215" s="18" t="str">
        <f ca="1"/>
        <v/>
      </c>
      <c r="DC215" s="10"/>
    </row>
    <row r="216" spans="1:107" x14ac:dyDescent="0.25">
      <c r="A216" s="15" t="s">
        <v>387</v>
      </c>
      <c r="B216" s="15"/>
      <c r="C216" s="15"/>
      <c r="D216" s="16"/>
      <c r="E216" s="15"/>
      <c r="F216" s="15"/>
      <c r="G216" s="15"/>
      <c r="H216" s="17" t="str">
        <f ca="1">IFERROR(__xludf.DUMMYFUNCTION("""COMPUTED_VALUE"""),"")</f>
        <v/>
      </c>
      <c r="I216" s="15" t="s">
        <v>29</v>
      </c>
      <c r="J216" s="15" t="s">
        <v>29</v>
      </c>
      <c r="K216" s="15" t="s">
        <v>29</v>
      </c>
      <c r="L216" s="15" t="s">
        <v>29</v>
      </c>
      <c r="M216" s="15" t="s">
        <v>29</v>
      </c>
      <c r="N216" s="16"/>
      <c r="O216" s="18" t="s">
        <v>388</v>
      </c>
      <c r="P216" s="19"/>
      <c r="Q216" s="18" t="str">
        <f ca="1">IFERROR(__xludf.DUMMYFUNCTION("""COMPUTED_VALUE"""),"")</f>
        <v/>
      </c>
      <c r="R216" s="19"/>
      <c r="S216" s="20" t="str">
        <f ca="1">IFERROR(__xludf.DUMMYFUNCTION("""COMPUTED_VALUE"""),"schedule_serial_number,10,260,513,61714,32,,0,3600,0")</f>
        <v>schedule_serial_number,10,260,513,61714,32,,0,3600,0</v>
      </c>
      <c r="X216" s="18" t="str">
        <f ca="1">IFERROR(__xludf.DUMMYFUNCTION("""COMPUTED_VALUE"""),"schedule_paused")</f>
        <v>schedule_paused</v>
      </c>
      <c r="BP216" s="10"/>
      <c r="BR216" s="18" t="str">
        <f ca="1">IFERROR(__xludf.DUMMYFUNCTION("""COMPUTED_VALUE"""),"device_table_slot_11")</f>
        <v>device_table_slot_11</v>
      </c>
      <c r="BS216" s="18" t="str">
        <f ca="1">IFERROR(__xludf.DUMMYFUNCTION("""COMPUTED_VALUE"""),"0xFC12")</f>
        <v>0xFC12</v>
      </c>
      <c r="BT216" s="18" t="str">
        <f ca="1">IFERROR(__xludf.DUMMYFUNCTION("""COMPUTED_VALUE"""),"0x010B")</f>
        <v>0x010B</v>
      </c>
      <c r="BU216" s="18" t="str">
        <f ca="1">IFERROR(__xludf.DUMMYFUNCTION("""COMPUTED_VALUE"""),"null")</f>
        <v>null</v>
      </c>
      <c r="BW216" s="10"/>
      <c r="CF216" s="10"/>
      <c r="CH216" s="18" t="str">
        <f ca="1">IFERROR(__xludf.DUMMYFUNCTION("""COMPUTED_VALUE"""),"esp_boot_count_brownout")</f>
        <v>esp_boot_count_brownout</v>
      </c>
      <c r="CI216" s="18" t="str">
        <f ca="1">IFERROR(__xludf.DUMMYFUNCTION("""COMPUTED_VALUE"""),"N/A")</f>
        <v>N/A</v>
      </c>
      <c r="CJ216" s="18" t="str">
        <f ca="1">IFERROR(__xludf.DUMMYFUNCTION("""COMPUTED_VALUE"""),"N/A")</f>
        <v>N/A</v>
      </c>
      <c r="CK216" s="18" t="str">
        <f ca="1">IFERROR(__xludf.DUMMYFUNCTION("""COMPUTED_VALUE"""),"86400")</f>
        <v>86400</v>
      </c>
      <c r="CM216" s="10"/>
      <c r="CP216" s="18" t="str">
        <f ca="1"/>
        <v/>
      </c>
      <c r="CQ216" s="18" t="str">
        <f ca="1"/>
        <v/>
      </c>
      <c r="CR216" s="18" t="str">
        <f ca="1"/>
        <v/>
      </c>
      <c r="CS216" s="18" t="str">
        <f ca="1"/>
        <v/>
      </c>
      <c r="CT216" s="18" t="str">
        <f ca="1"/>
        <v/>
      </c>
      <c r="CV216" s="10"/>
      <c r="CY216" s="18" t="str">
        <f ca="1"/>
        <v/>
      </c>
      <c r="CZ216" s="18" t="str">
        <f ca="1"/>
        <v/>
      </c>
      <c r="DA216" s="18" t="str">
        <f ca="1"/>
        <v/>
      </c>
      <c r="DC216" s="10"/>
    </row>
    <row r="217" spans="1:107" x14ac:dyDescent="0.25">
      <c r="A217" s="15" t="s">
        <v>389</v>
      </c>
      <c r="B217" s="15"/>
      <c r="C217" s="15"/>
      <c r="D217" s="16"/>
      <c r="E217" s="15"/>
      <c r="F217" s="15"/>
      <c r="G217" s="15"/>
      <c r="H217" s="17" t="str">
        <f ca="1">IFERROR(__xludf.DUMMYFUNCTION("""COMPUTED_VALUE"""),"")</f>
        <v/>
      </c>
      <c r="I217" s="15" t="s">
        <v>29</v>
      </c>
      <c r="J217" s="15" t="s">
        <v>29</v>
      </c>
      <c r="K217" s="15" t="s">
        <v>29</v>
      </c>
      <c r="L217" s="15" t="s">
        <v>29</v>
      </c>
      <c r="M217" s="15" t="s">
        <v>29</v>
      </c>
      <c r="N217" s="16"/>
      <c r="O217" s="18" t="s">
        <v>390</v>
      </c>
      <c r="P217" s="19"/>
      <c r="Q217" s="18" t="str">
        <f ca="1">IFERROR(__xludf.DUMMYFUNCTION("""COMPUTED_VALUE"""),"")</f>
        <v/>
      </c>
      <c r="R217" s="19"/>
      <c r="S217" s="20" t="str">
        <f ca="1">IFERROR(__xludf.DUMMYFUNCTION("""COMPUTED_VALUE"""),"second_stage_cool_delta_c,10,260,513,61675,33,0,,,,86400")</f>
        <v>second_stage_cool_delta_c,10,260,513,61675,33,0,,,,86400</v>
      </c>
      <c r="X217" s="18" t="str">
        <f ca="1">IFERROR(__xludf.DUMMYFUNCTION("""COMPUTED_VALUE"""),"schedule_serial_number")</f>
        <v>schedule_serial_number</v>
      </c>
      <c r="BP217" s="10"/>
      <c r="BR217" s="18" t="str">
        <f ca="1">IFERROR(__xludf.DUMMYFUNCTION("""COMPUTED_VALUE"""),"device_table_slot_12")</f>
        <v>device_table_slot_12</v>
      </c>
      <c r="BS217" s="18" t="str">
        <f ca="1">IFERROR(__xludf.DUMMYFUNCTION("""COMPUTED_VALUE"""),"0xFC12")</f>
        <v>0xFC12</v>
      </c>
      <c r="BT217" s="18" t="str">
        <f ca="1">IFERROR(__xludf.DUMMYFUNCTION("""COMPUTED_VALUE"""),"0x010C")</f>
        <v>0x010C</v>
      </c>
      <c r="BU217" s="18" t="str">
        <f ca="1">IFERROR(__xludf.DUMMYFUNCTION("""COMPUTED_VALUE"""),"null")</f>
        <v>null</v>
      </c>
      <c r="BW217" s="10"/>
      <c r="CF217" s="10"/>
      <c r="CH217" s="18" t="str">
        <f ca="1">IFERROR(__xludf.DUMMYFUNCTION("""COMPUTED_VALUE"""),"esp_boot_count_watchdog")</f>
        <v>esp_boot_count_watchdog</v>
      </c>
      <c r="CI217" s="18" t="str">
        <f ca="1">IFERROR(__xludf.DUMMYFUNCTION("""COMPUTED_VALUE"""),"N/A")</f>
        <v>N/A</v>
      </c>
      <c r="CJ217" s="18" t="str">
        <f ca="1">IFERROR(__xludf.DUMMYFUNCTION("""COMPUTED_VALUE"""),"N/A")</f>
        <v>N/A</v>
      </c>
      <c r="CK217" s="18" t="str">
        <f ca="1">IFERROR(__xludf.DUMMYFUNCTION("""COMPUTED_VALUE"""),"86400")</f>
        <v>86400</v>
      </c>
      <c r="CM217" s="10"/>
      <c r="CP217" s="18" t="str">
        <f ca="1"/>
        <v/>
      </c>
      <c r="CQ217" s="18" t="str">
        <f ca="1"/>
        <v/>
      </c>
      <c r="CR217" s="18" t="str">
        <f ca="1"/>
        <v/>
      </c>
      <c r="CS217" s="18" t="str">
        <f ca="1"/>
        <v/>
      </c>
      <c r="CT217" s="18" t="str">
        <f ca="1"/>
        <v/>
      </c>
      <c r="CV217" s="10"/>
      <c r="CY217" s="18" t="str">
        <f ca="1"/>
        <v/>
      </c>
      <c r="CZ217" s="18" t="str">
        <f ca="1"/>
        <v/>
      </c>
      <c r="DA217" s="18" t="str">
        <f ca="1"/>
        <v/>
      </c>
      <c r="DC217" s="10"/>
    </row>
    <row r="218" spans="1:107" x14ac:dyDescent="0.25">
      <c r="A218" s="39" t="s">
        <v>391</v>
      </c>
      <c r="B218" s="15"/>
      <c r="C218" s="15"/>
      <c r="D218" s="16"/>
      <c r="E218" s="15"/>
      <c r="F218" s="15"/>
      <c r="G218" s="15"/>
      <c r="H218" s="17" t="str">
        <f ca="1">IFERROR(__xludf.DUMMYFUNCTION("""COMPUTED_VALUE"""),"")</f>
        <v/>
      </c>
      <c r="I218" s="15" t="s">
        <v>29</v>
      </c>
      <c r="J218" s="15" t="s">
        <v>29</v>
      </c>
      <c r="K218" s="15" t="s">
        <v>29</v>
      </c>
      <c r="L218" s="15" t="s">
        <v>29</v>
      </c>
      <c r="M218" s="15" t="s">
        <v>29</v>
      </c>
      <c r="N218" s="16"/>
      <c r="O218" s="18" t="s">
        <v>392</v>
      </c>
      <c r="P218" s="19"/>
      <c r="Q218" s="18" t="str">
        <f ca="1">IFERROR(__xludf.DUMMYFUNCTION("""COMPUTED_VALUE"""),"")</f>
        <v/>
      </c>
      <c r="R218" s="19"/>
      <c r="S218" s="20" t="str">
        <f ca="1">IFERROR(__xludf.DUMMYFUNCTION("""COMPUTED_VALUE"""),"second_stage_heat_delta_c,10,260,513,61673,33,0,,,,86400")</f>
        <v>second_stage_heat_delta_c,10,260,513,61673,33,0,,,,86400</v>
      </c>
      <c r="X218" s="18" t="str">
        <f ca="1">IFERROR(__xludf.DUMMYFUNCTION("""COMPUTED_VALUE"""),"second_stage_cool_delta_c")</f>
        <v>second_stage_cool_delta_c</v>
      </c>
      <c r="BP218" s="10"/>
      <c r="BR218" s="18" t="str">
        <f ca="1">IFERROR(__xludf.DUMMYFUNCTION("""COMPUTED_VALUE"""),"device_table_slot_13")</f>
        <v>device_table_slot_13</v>
      </c>
      <c r="BS218" s="18" t="str">
        <f ca="1">IFERROR(__xludf.DUMMYFUNCTION("""COMPUTED_VALUE"""),"0xFC12")</f>
        <v>0xFC12</v>
      </c>
      <c r="BT218" s="18" t="str">
        <f ca="1">IFERROR(__xludf.DUMMYFUNCTION("""COMPUTED_VALUE"""),"0x010D")</f>
        <v>0x010D</v>
      </c>
      <c r="BU218" s="18" t="str">
        <f ca="1">IFERROR(__xludf.DUMMYFUNCTION("""COMPUTED_VALUE"""),"null")</f>
        <v>null</v>
      </c>
      <c r="BW218" s="10"/>
      <c r="CF218" s="10"/>
      <c r="CH218" s="18" t="str">
        <f ca="1">IFERROR(__xludf.DUMMYFUNCTION("""COMPUTED_VALUE"""),"esp_boot_count_wifi")</f>
        <v>esp_boot_count_wifi</v>
      </c>
      <c r="CI218" s="18" t="str">
        <f ca="1">IFERROR(__xludf.DUMMYFUNCTION("""COMPUTED_VALUE"""),"N/A")</f>
        <v>N/A</v>
      </c>
      <c r="CJ218" s="18" t="str">
        <f ca="1">IFERROR(__xludf.DUMMYFUNCTION("""COMPUTED_VALUE"""),"N/A")</f>
        <v>N/A</v>
      </c>
      <c r="CK218" s="18" t="str">
        <f ca="1">IFERROR(__xludf.DUMMYFUNCTION("""COMPUTED_VALUE"""),"86400")</f>
        <v>86400</v>
      </c>
      <c r="CM218" s="10"/>
      <c r="CP218" s="18" t="str">
        <f ca="1"/>
        <v/>
      </c>
      <c r="CQ218" s="18" t="str">
        <f ca="1"/>
        <v/>
      </c>
      <c r="CR218" s="18" t="str">
        <f ca="1"/>
        <v/>
      </c>
      <c r="CS218" s="18" t="str">
        <f ca="1"/>
        <v/>
      </c>
      <c r="CT218" s="18" t="str">
        <f ca="1"/>
        <v/>
      </c>
      <c r="CV218" s="10"/>
      <c r="CY218" s="18" t="str">
        <f ca="1"/>
        <v/>
      </c>
      <c r="CZ218" s="18" t="str">
        <f ca="1"/>
        <v/>
      </c>
      <c r="DA218" s="18" t="str">
        <f ca="1"/>
        <v/>
      </c>
      <c r="DC218" s="10"/>
    </row>
    <row r="219" spans="1:107" x14ac:dyDescent="0.25">
      <c r="A219" s="39" t="s">
        <v>393</v>
      </c>
      <c r="B219" s="15"/>
      <c r="C219" s="15"/>
      <c r="D219" s="16"/>
      <c r="E219" s="15"/>
      <c r="F219" s="15"/>
      <c r="G219" s="15"/>
      <c r="H219" s="17" t="str">
        <f ca="1">IFERROR(__xludf.DUMMYFUNCTION("""COMPUTED_VALUE"""),"")</f>
        <v/>
      </c>
      <c r="I219" s="15" t="s">
        <v>29</v>
      </c>
      <c r="J219" s="15" t="s">
        <v>29</v>
      </c>
      <c r="K219" s="15" t="s">
        <v>29</v>
      </c>
      <c r="L219" s="15" t="s">
        <v>29</v>
      </c>
      <c r="M219" s="15" t="s">
        <v>29</v>
      </c>
      <c r="N219" s="16"/>
      <c r="O219" s="18" t="s">
        <v>394</v>
      </c>
      <c r="P219" s="19"/>
      <c r="Q219" s="18" t="str">
        <f ca="1">IFERROR(__xludf.DUMMYFUNCTION("""COMPUTED_VALUE"""),"")</f>
        <v/>
      </c>
      <c r="R219" s="19"/>
      <c r="S219" s="20" t="str">
        <f ca="1">IFERROR(__xludf.DUMMYFUNCTION("""COMPUTED_VALUE"""),"serial_number,10,260,64516,2,35,,,,,86400")</f>
        <v>serial_number,10,260,64516,2,35,,,,,86400</v>
      </c>
      <c r="X219" s="18" t="str">
        <f ca="1">IFERROR(__xludf.DUMMYFUNCTION("""COMPUTED_VALUE"""),"second_stage_heat_delta_c")</f>
        <v>second_stage_heat_delta_c</v>
      </c>
      <c r="BP219" s="10"/>
      <c r="BR219" s="18" t="str">
        <f ca="1">IFERROR(__xludf.DUMMYFUNCTION("""COMPUTED_VALUE"""),"device_table_slot_14")</f>
        <v>device_table_slot_14</v>
      </c>
      <c r="BS219" s="18" t="str">
        <f ca="1">IFERROR(__xludf.DUMMYFUNCTION("""COMPUTED_VALUE"""),"0xFC12")</f>
        <v>0xFC12</v>
      </c>
      <c r="BT219" s="18" t="str">
        <f ca="1">IFERROR(__xludf.DUMMYFUNCTION("""COMPUTED_VALUE"""),"0x010E")</f>
        <v>0x010E</v>
      </c>
      <c r="BU219" s="18" t="str">
        <f ca="1">IFERROR(__xludf.DUMMYFUNCTION("""COMPUTED_VALUE"""),"null")</f>
        <v>null</v>
      </c>
      <c r="BW219" s="10"/>
      <c r="CF219" s="10"/>
      <c r="CM219" s="10"/>
      <c r="CP219" s="18" t="str">
        <f ca="1"/>
        <v/>
      </c>
      <c r="CQ219" s="18" t="str">
        <f ca="1"/>
        <v/>
      </c>
      <c r="CR219" s="18" t="str">
        <f ca="1"/>
        <v/>
      </c>
      <c r="CS219" s="18" t="str">
        <f ca="1"/>
        <v/>
      </c>
      <c r="CT219" s="18" t="str">
        <f ca="1"/>
        <v/>
      </c>
      <c r="CV219" s="10"/>
      <c r="CY219" s="18" t="str">
        <f ca="1"/>
        <v/>
      </c>
      <c r="CZ219" s="18" t="str">
        <f ca="1"/>
        <v/>
      </c>
      <c r="DA219" s="18" t="str">
        <f ca="1"/>
        <v/>
      </c>
      <c r="DC219" s="10"/>
    </row>
    <row r="220" spans="1:107" x14ac:dyDescent="0.25">
      <c r="A220" s="15" t="s">
        <v>395</v>
      </c>
      <c r="B220" s="15"/>
      <c r="C220" s="15"/>
      <c r="D220" s="16"/>
      <c r="E220" s="15"/>
      <c r="F220" s="15"/>
      <c r="G220" s="15"/>
      <c r="H220" s="17" t="str">
        <f ca="1">IFERROR(__xludf.DUMMYFUNCTION("""COMPUTED_VALUE"""),"")</f>
        <v/>
      </c>
      <c r="I220" s="15" t="s">
        <v>29</v>
      </c>
      <c r="J220" s="15" t="s">
        <v>29</v>
      </c>
      <c r="K220" s="15" t="s">
        <v>29</v>
      </c>
      <c r="L220" s="15" t="s">
        <v>29</v>
      </c>
      <c r="M220" s="15" t="s">
        <v>29</v>
      </c>
      <c r="N220" s="16"/>
      <c r="O220" s="18" t="s">
        <v>396</v>
      </c>
      <c r="P220" s="19"/>
      <c r="Q220" s="18" t="str">
        <f ca="1">IFERROR(__xludf.DUMMYFUNCTION("""COMPUTED_VALUE"""),"")</f>
        <v/>
      </c>
      <c r="R220" s="19"/>
      <c r="S220" s="20" t="str">
        <f ca="1">IFERROR(__xludf.DUMMYFUNCTION("""COMPUTED_VALUE"""),"setback_max,10,260,513,61508,41,2667,,,,86400")</f>
        <v>setback_max,10,260,513,61508,41,2667,,,,86400</v>
      </c>
      <c r="X220" s="18" t="str">
        <f ca="1">IFERROR(__xludf.DUMMYFUNCTION("""COMPUTED_VALUE"""),"serial_number")</f>
        <v>serial_number</v>
      </c>
      <c r="BP220" s="10"/>
      <c r="BR220" s="18" t="str">
        <f ca="1">IFERROR(__xludf.DUMMYFUNCTION("""COMPUTED_VALUE"""),"device_table_slot_15")</f>
        <v>device_table_slot_15</v>
      </c>
      <c r="BS220" s="18" t="str">
        <f ca="1">IFERROR(__xludf.DUMMYFUNCTION("""COMPUTED_VALUE"""),"0xFC12")</f>
        <v>0xFC12</v>
      </c>
      <c r="BT220" s="18" t="str">
        <f ca="1">IFERROR(__xludf.DUMMYFUNCTION("""COMPUTED_VALUE"""),"0x010F")</f>
        <v>0x010F</v>
      </c>
      <c r="BU220" s="18" t="str">
        <f ca="1">IFERROR(__xludf.DUMMYFUNCTION("""COMPUTED_VALUE"""),"null")</f>
        <v>null</v>
      </c>
      <c r="BW220" s="10"/>
      <c r="CF220" s="10"/>
      <c r="CM220" s="10"/>
      <c r="CP220" s="18" t="str">
        <f ca="1"/>
        <v/>
      </c>
      <c r="CQ220" s="18" t="str">
        <f ca="1"/>
        <v/>
      </c>
      <c r="CR220" s="18" t="str">
        <f ca="1"/>
        <v/>
      </c>
      <c r="CS220" s="18" t="str">
        <f ca="1"/>
        <v/>
      </c>
      <c r="CT220" s="18" t="str">
        <f ca="1"/>
        <v/>
      </c>
      <c r="CV220" s="10"/>
      <c r="CY220" s="18" t="str">
        <f ca="1"/>
        <v/>
      </c>
      <c r="CZ220" s="18" t="str">
        <f ca="1"/>
        <v/>
      </c>
      <c r="DA220" s="18" t="str">
        <f ca="1"/>
        <v/>
      </c>
      <c r="DC220" s="10"/>
    </row>
    <row r="221" spans="1:107" x14ac:dyDescent="0.25">
      <c r="A221" s="15" t="s">
        <v>397</v>
      </c>
      <c r="B221" s="15"/>
      <c r="C221" s="15"/>
      <c r="D221" s="16"/>
      <c r="E221" s="15"/>
      <c r="F221" s="15"/>
      <c r="G221" s="15"/>
      <c r="H221" s="17" t="str">
        <f ca="1">IFERROR(__xludf.DUMMYFUNCTION("""COMPUTED_VALUE"""),"")</f>
        <v/>
      </c>
      <c r="I221" s="15" t="s">
        <v>29</v>
      </c>
      <c r="J221" s="15" t="s">
        <v>29</v>
      </c>
      <c r="K221" s="15" t="s">
        <v>29</v>
      </c>
      <c r="L221" s="15" t="s">
        <v>29</v>
      </c>
      <c r="M221" s="15" t="s">
        <v>29</v>
      </c>
      <c r="N221" s="16"/>
      <c r="O221" s="18" t="s">
        <v>398</v>
      </c>
      <c r="P221" s="19"/>
      <c r="Q221" s="18" t="str">
        <f ca="1">IFERROR(__xludf.DUMMYFUNCTION("""COMPUTED_VALUE"""),"")</f>
        <v/>
      </c>
      <c r="R221" s="19"/>
      <c r="S221" s="20" t="str">
        <f ca="1">IFERROR(__xludf.DUMMYFUNCTION("""COMPUTED_VALUE"""),"setback_min,10,260,513,61507,41,1778,,,,86400")</f>
        <v>setback_min,10,260,513,61507,41,1778,,,,86400</v>
      </c>
      <c r="X221" s="18" t="str">
        <f ca="1">IFERROR(__xludf.DUMMYFUNCTION("""COMPUTED_VALUE"""),"setback_max")</f>
        <v>setback_max</v>
      </c>
      <c r="BP221" s="10"/>
      <c r="BR221" s="18" t="str">
        <f ca="1">IFERROR(__xludf.DUMMYFUNCTION("""COMPUTED_VALUE"""),"device_table_slot_16")</f>
        <v>device_table_slot_16</v>
      </c>
      <c r="BS221" s="18" t="str">
        <f ca="1">IFERROR(__xludf.DUMMYFUNCTION("""COMPUTED_VALUE"""),"0xFC12")</f>
        <v>0xFC12</v>
      </c>
      <c r="BT221" s="18" t="str">
        <f ca="1">IFERROR(__xludf.DUMMYFUNCTION("""COMPUTED_VALUE"""),"0x0110")</f>
        <v>0x0110</v>
      </c>
      <c r="BU221" s="18" t="str">
        <f ca="1">IFERROR(__xludf.DUMMYFUNCTION("""COMPUTED_VALUE"""),"null")</f>
        <v>null</v>
      </c>
      <c r="BW221" s="10"/>
      <c r="CF221" s="10"/>
      <c r="CM221" s="10"/>
      <c r="CP221" s="18" t="str">
        <f ca="1"/>
        <v/>
      </c>
      <c r="CQ221" s="18" t="str">
        <f ca="1"/>
        <v/>
      </c>
      <c r="CR221" s="18" t="str">
        <f ca="1"/>
        <v/>
      </c>
      <c r="CS221" s="18" t="str">
        <f ca="1"/>
        <v/>
      </c>
      <c r="CT221" s="18" t="str">
        <f ca="1"/>
        <v/>
      </c>
      <c r="CV221" s="10"/>
      <c r="CY221" s="18" t="str">
        <f ca="1"/>
        <v/>
      </c>
      <c r="CZ221" s="18" t="str">
        <f ca="1"/>
        <v/>
      </c>
      <c r="DA221" s="18" t="str">
        <f ca="1"/>
        <v/>
      </c>
      <c r="DC221" s="10"/>
    </row>
    <row r="222" spans="1:107" x14ac:dyDescent="0.25">
      <c r="A222" s="15" t="s">
        <v>399</v>
      </c>
      <c r="B222" s="15"/>
      <c r="C222" s="15"/>
      <c r="D222" s="16"/>
      <c r="E222" s="15"/>
      <c r="F222" s="15"/>
      <c r="G222" s="15"/>
      <c r="H222" s="17" t="str">
        <f ca="1">IFERROR(__xludf.DUMMYFUNCTION("""COMPUTED_VALUE"""),"")</f>
        <v/>
      </c>
      <c r="I222" s="15" t="s">
        <v>29</v>
      </c>
      <c r="J222" s="15" t="s">
        <v>29</v>
      </c>
      <c r="K222" s="15" t="s">
        <v>29</v>
      </c>
      <c r="L222" s="15" t="s">
        <v>29</v>
      </c>
      <c r="M222" s="15" t="s">
        <v>29</v>
      </c>
      <c r="N222" s="16"/>
      <c r="O222" s="18" t="s">
        <v>400</v>
      </c>
      <c r="P222" s="19"/>
      <c r="Q222" s="18" t="str">
        <f ca="1">IFERROR(__xludf.DUMMYFUNCTION("""COMPUTED_VALUE"""),"")</f>
        <v/>
      </c>
      <c r="R222" s="19"/>
      <c r="S222" s="20" t="str">
        <f ca="1">IFERROR(__xludf.DUMMYFUNCTION("""COMPUTED_VALUE"""),"setback_mode,10,260,513,61668,48,0,,,,86400")</f>
        <v>setback_mode,10,260,513,61668,48,0,,,,86400</v>
      </c>
      <c r="X222" s="18" t="str">
        <f ca="1">IFERROR(__xludf.DUMMYFUNCTION("""COMPUTED_VALUE"""),"setback_min")</f>
        <v>setback_min</v>
      </c>
      <c r="BP222" s="10"/>
      <c r="BW222" s="10"/>
      <c r="CF222" s="10"/>
      <c r="CM222" s="10"/>
      <c r="CP222" s="18" t="str">
        <f ca="1"/>
        <v/>
      </c>
      <c r="CQ222" s="18" t="str">
        <f ca="1"/>
        <v/>
      </c>
      <c r="CR222" s="18" t="str">
        <f ca="1"/>
        <v/>
      </c>
      <c r="CS222" s="18" t="str">
        <f ca="1"/>
        <v/>
      </c>
      <c r="CT222" s="18" t="str">
        <f ca="1"/>
        <v/>
      </c>
      <c r="CV222" s="10"/>
      <c r="CY222" s="18" t="str">
        <f ca="1"/>
        <v/>
      </c>
      <c r="CZ222" s="18" t="str">
        <f ca="1"/>
        <v/>
      </c>
      <c r="DA222" s="18" t="str">
        <f ca="1"/>
        <v/>
      </c>
      <c r="DC222" s="10"/>
    </row>
    <row r="223" spans="1:107" x14ac:dyDescent="0.25">
      <c r="A223" s="15" t="s">
        <v>401</v>
      </c>
      <c r="B223" s="15"/>
      <c r="C223" s="15"/>
      <c r="D223" s="16"/>
      <c r="E223" s="15"/>
      <c r="F223" s="15"/>
      <c r="G223" s="15"/>
      <c r="H223" s="17" t="str">
        <f ca="1">IFERROR(__xludf.DUMMYFUNCTION("""COMPUTED_VALUE"""),"")</f>
        <v/>
      </c>
      <c r="I223" s="15" t="s">
        <v>29</v>
      </c>
      <c r="J223" s="15" t="s">
        <v>29</v>
      </c>
      <c r="K223" s="15" t="s">
        <v>29</v>
      </c>
      <c r="L223" s="15" t="s">
        <v>29</v>
      </c>
      <c r="M223" s="15" t="s">
        <v>29</v>
      </c>
      <c r="N223" s="16"/>
      <c r="O223" s="18" t="s">
        <v>402</v>
      </c>
      <c r="P223" s="19"/>
      <c r="Q223" s="18" t="str">
        <f ca="1">IFERROR(__xludf.DUMMYFUNCTION("""COMPUTED_VALUE"""),"")</f>
        <v/>
      </c>
      <c r="R223" s="19"/>
      <c r="S223" s="20" t="str">
        <f ca="1">IFERROR(__xludf.DUMMYFUNCTION("""COMPUTED_VALUE"""),"setpoint_reset_cool_setpoint,10,260,513,61811,41,2000,,,,86400")</f>
        <v>setpoint_reset_cool_setpoint,10,260,513,61811,41,2000,,,,86400</v>
      </c>
      <c r="X223" s="18" t="str">
        <f ca="1">IFERROR(__xludf.DUMMYFUNCTION("""COMPUTED_VALUE"""),"setback_mode")</f>
        <v>setback_mode</v>
      </c>
      <c r="BP223" s="10"/>
      <c r="BW223" s="10"/>
      <c r="CF223" s="10"/>
      <c r="CM223" s="10"/>
      <c r="CP223" s="18" t="str">
        <f ca="1"/>
        <v/>
      </c>
      <c r="CQ223" s="18" t="str">
        <f ca="1"/>
        <v/>
      </c>
      <c r="CR223" s="18" t="str">
        <f ca="1"/>
        <v/>
      </c>
      <c r="CS223" s="18" t="str">
        <f ca="1"/>
        <v/>
      </c>
      <c r="CT223" s="18" t="str">
        <f ca="1"/>
        <v/>
      </c>
      <c r="CV223" s="10"/>
      <c r="CY223" s="18" t="str">
        <f ca="1"/>
        <v/>
      </c>
      <c r="CZ223" s="18" t="str">
        <f ca="1"/>
        <v/>
      </c>
      <c r="DA223" s="18" t="str">
        <f ca="1"/>
        <v/>
      </c>
      <c r="DC223" s="10"/>
    </row>
    <row r="224" spans="1:107" x14ac:dyDescent="0.25">
      <c r="A224" s="15" t="s">
        <v>403</v>
      </c>
      <c r="B224" s="15"/>
      <c r="C224" s="15"/>
      <c r="D224" s="16"/>
      <c r="E224" s="15"/>
      <c r="F224" s="15"/>
      <c r="G224" s="15"/>
      <c r="H224" s="17" t="str">
        <f ca="1">IFERROR(__xludf.DUMMYFUNCTION("""COMPUTED_VALUE"""),"")</f>
        <v/>
      </c>
      <c r="I224" s="15" t="s">
        <v>29</v>
      </c>
      <c r="J224" s="15" t="s">
        <v>29</v>
      </c>
      <c r="K224" s="15" t="s">
        <v>29</v>
      </c>
      <c r="L224" s="15" t="s">
        <v>29</v>
      </c>
      <c r="M224" s="15" t="s">
        <v>29</v>
      </c>
      <c r="N224" s="16"/>
      <c r="O224" s="18" t="s">
        <v>404</v>
      </c>
      <c r="P224" s="19"/>
      <c r="Q224" s="18" t="str">
        <f ca="1">IFERROR(__xludf.DUMMYFUNCTION("""COMPUTED_VALUE"""),"")</f>
        <v/>
      </c>
      <c r="R224" s="19"/>
      <c r="S224" s="20" t="str">
        <f ca="1">IFERROR(__xludf.DUMMYFUNCTION("""COMPUTED_VALUE"""),"setpoint_reset_enable,10,260,513,61808,48,0,,,,86400")</f>
        <v>setpoint_reset_enable,10,260,513,61808,48,0,,,,86400</v>
      </c>
      <c r="X224" s="18" t="str">
        <f ca="1">IFERROR(__xludf.DUMMYFUNCTION("""COMPUTED_VALUE"""),"setpoint_reset_cool_setpoint")</f>
        <v>setpoint_reset_cool_setpoint</v>
      </c>
      <c r="BP224" s="10"/>
      <c r="BW224" s="10"/>
      <c r="CF224" s="10"/>
      <c r="CM224" s="10"/>
      <c r="CP224" s="18" t="str">
        <f ca="1"/>
        <v/>
      </c>
      <c r="CQ224" s="18" t="str">
        <f ca="1"/>
        <v/>
      </c>
      <c r="CR224" s="18" t="str">
        <f ca="1"/>
        <v/>
      </c>
      <c r="CS224" s="18" t="str">
        <f ca="1"/>
        <v/>
      </c>
      <c r="CT224" s="18" t="str">
        <f ca="1"/>
        <v/>
      </c>
      <c r="CV224" s="10"/>
      <c r="CY224" s="18" t="str">
        <f ca="1"/>
        <v/>
      </c>
      <c r="CZ224" s="18" t="str">
        <f ca="1"/>
        <v/>
      </c>
      <c r="DA224" s="18" t="str">
        <f ca="1"/>
        <v/>
      </c>
      <c r="DC224" s="10"/>
    </row>
    <row r="225" spans="1:107" x14ac:dyDescent="0.25">
      <c r="A225" s="15" t="s">
        <v>405</v>
      </c>
      <c r="B225" s="15"/>
      <c r="C225" s="15"/>
      <c r="D225" s="16"/>
      <c r="E225" s="15"/>
      <c r="F225" s="15"/>
      <c r="G225" s="15"/>
      <c r="H225" s="17" t="str">
        <f ca="1">IFERROR(__xludf.DUMMYFUNCTION("""COMPUTED_VALUE"""),"")</f>
        <v/>
      </c>
      <c r="I225" s="15" t="s">
        <v>29</v>
      </c>
      <c r="J225" s="15" t="s">
        <v>29</v>
      </c>
      <c r="K225" s="15" t="s">
        <v>29</v>
      </c>
      <c r="L225" s="15" t="s">
        <v>29</v>
      </c>
      <c r="M225" s="15" t="s">
        <v>29</v>
      </c>
      <c r="N225" s="16"/>
      <c r="O225" s="18" t="s">
        <v>406</v>
      </c>
      <c r="P225" s="19"/>
      <c r="Q225" s="18" t="str">
        <f ca="1">IFERROR(__xludf.DUMMYFUNCTION("""COMPUTED_VALUE"""),"")</f>
        <v/>
      </c>
      <c r="R225" s="19"/>
      <c r="S225" s="20" t="str">
        <f ca="1">IFERROR(__xludf.DUMMYFUNCTION("""COMPUTED_VALUE"""),"setpoint_reset_heat_setpoint,10,260,513,61812,41,2000,,,,86400")</f>
        <v>setpoint_reset_heat_setpoint,10,260,513,61812,41,2000,,,,86400</v>
      </c>
      <c r="X225" s="18" t="str">
        <f ca="1">IFERROR(__xludf.DUMMYFUNCTION("""COMPUTED_VALUE"""),"setpoint_reset_enable")</f>
        <v>setpoint_reset_enable</v>
      </c>
      <c r="BP225" s="10"/>
      <c r="BW225" s="10"/>
      <c r="CF225" s="10"/>
      <c r="CM225" s="10"/>
      <c r="CP225" s="18" t="str">
        <f ca="1"/>
        <v/>
      </c>
      <c r="CQ225" s="18" t="str">
        <f ca="1"/>
        <v/>
      </c>
      <c r="CR225" s="18" t="str">
        <f ca="1"/>
        <v/>
      </c>
      <c r="CS225" s="18" t="str">
        <f ca="1"/>
        <v/>
      </c>
      <c r="CT225" s="18" t="str">
        <f ca="1"/>
        <v/>
      </c>
      <c r="CV225" s="10"/>
      <c r="CY225" s="18" t="str">
        <f ca="1"/>
        <v/>
      </c>
      <c r="CZ225" s="18" t="str">
        <f ca="1"/>
        <v/>
      </c>
      <c r="DA225" s="18" t="str">
        <f ca="1"/>
        <v/>
      </c>
      <c r="DC225" s="10"/>
    </row>
    <row r="226" spans="1:107" x14ac:dyDescent="0.25">
      <c r="A226" s="39" t="s">
        <v>407</v>
      </c>
      <c r="B226" s="15"/>
      <c r="C226" s="15"/>
      <c r="D226" s="16"/>
      <c r="E226" s="15"/>
      <c r="F226" s="15"/>
      <c r="G226" s="15"/>
      <c r="H226" s="17" t="str">
        <f ca="1">IFERROR(__xludf.DUMMYFUNCTION("""COMPUTED_VALUE"""),"")</f>
        <v/>
      </c>
      <c r="I226" s="15" t="s">
        <v>29</v>
      </c>
      <c r="J226" s="15" t="s">
        <v>29</v>
      </c>
      <c r="K226" s="15" t="s">
        <v>29</v>
      </c>
      <c r="L226" s="15" t="s">
        <v>29</v>
      </c>
      <c r="M226" s="15" t="s">
        <v>29</v>
      </c>
      <c r="N226" s="16"/>
      <c r="O226" s="18" t="s">
        <v>408</v>
      </c>
      <c r="P226" s="19"/>
      <c r="Q226" s="18" t="str">
        <f ca="1">IFERROR(__xludf.DUMMYFUNCTION("""COMPUTED_VALUE"""),"")</f>
        <v/>
      </c>
      <c r="R226" s="19"/>
      <c r="S226" s="20" t="str">
        <f ca="1">IFERROR(__xludf.DUMMYFUNCTION("""COMPUTED_VALUE"""),"setpoint_reset_hvac_mode,10,260,513,61810,48,0,,,,86400")</f>
        <v>setpoint_reset_hvac_mode,10,260,513,61810,48,0,,,,86400</v>
      </c>
      <c r="X226" s="18" t="str">
        <f ca="1">IFERROR(__xludf.DUMMYFUNCTION("""COMPUTED_VALUE"""),"setpoint_reset_heat_setpoint")</f>
        <v>setpoint_reset_heat_setpoint</v>
      </c>
      <c r="BP226" s="10"/>
      <c r="BW226" s="10"/>
      <c r="CF226" s="10"/>
      <c r="CM226" s="10"/>
      <c r="CP226" s="18" t="str">
        <f ca="1"/>
        <v/>
      </c>
      <c r="CQ226" s="18" t="str">
        <f ca="1"/>
        <v/>
      </c>
      <c r="CR226" s="18" t="str">
        <f ca="1"/>
        <v/>
      </c>
      <c r="CS226" s="18" t="str">
        <f ca="1"/>
        <v/>
      </c>
      <c r="CT226" s="18" t="str">
        <f ca="1"/>
        <v/>
      </c>
      <c r="CV226" s="10"/>
      <c r="CY226" s="18" t="str">
        <f ca="1"/>
        <v/>
      </c>
      <c r="CZ226" s="18" t="str">
        <f ca="1"/>
        <v/>
      </c>
      <c r="DA226" s="18" t="str">
        <f ca="1"/>
        <v/>
      </c>
      <c r="DC226" s="10"/>
    </row>
    <row r="227" spans="1:107" x14ac:dyDescent="0.25">
      <c r="A227" s="39" t="s">
        <v>409</v>
      </c>
      <c r="B227" s="15"/>
      <c r="C227" s="15"/>
      <c r="D227" s="16"/>
      <c r="E227" s="15"/>
      <c r="F227" s="15"/>
      <c r="G227" s="15"/>
      <c r="H227" s="17" t="str">
        <f ca="1">IFERROR(__xludf.DUMMYFUNCTION("""COMPUTED_VALUE"""),"")</f>
        <v/>
      </c>
      <c r="I227" s="15" t="s">
        <v>29</v>
      </c>
      <c r="J227" s="15" t="s">
        <v>29</v>
      </c>
      <c r="K227" s="15" t="s">
        <v>29</v>
      </c>
      <c r="L227" s="15" t="s">
        <v>29</v>
      </c>
      <c r="M227" s="15" t="s">
        <v>29</v>
      </c>
      <c r="N227" s="16"/>
      <c r="O227" s="18" t="s">
        <v>410</v>
      </c>
      <c r="P227" s="19"/>
      <c r="Q227" s="18" t="str">
        <f ca="1">IFERROR(__xludf.DUMMYFUNCTION("""COMPUTED_VALUE"""),"")</f>
        <v/>
      </c>
      <c r="R227" s="19"/>
      <c r="S227" s="20" t="str">
        <f ca="1">IFERROR(__xludf.DUMMYFUNCTION("""COMPUTED_VALUE"""),"setpoint_reset_timeout,10,260,513,61809,33,480,,,,86400")</f>
        <v>setpoint_reset_timeout,10,260,513,61809,33,480,,,,86400</v>
      </c>
      <c r="X227" s="18" t="str">
        <f ca="1">IFERROR(__xludf.DUMMYFUNCTION("""COMPUTED_VALUE"""),"setpoint_reset_hvac_mode")</f>
        <v>setpoint_reset_hvac_mode</v>
      </c>
      <c r="BP227" s="10"/>
      <c r="BW227" s="10"/>
      <c r="CF227" s="10"/>
      <c r="CM227" s="10"/>
      <c r="CP227" s="18" t="str">
        <f ca="1"/>
        <v/>
      </c>
      <c r="CQ227" s="18" t="str">
        <f ca="1"/>
        <v/>
      </c>
      <c r="CR227" s="18" t="str">
        <f ca="1"/>
        <v/>
      </c>
      <c r="CS227" s="18" t="str">
        <f ca="1"/>
        <v/>
      </c>
      <c r="CT227" s="18" t="str">
        <f ca="1"/>
        <v/>
      </c>
      <c r="CV227" s="10"/>
      <c r="CY227" s="18" t="str">
        <f ca="1"/>
        <v/>
      </c>
      <c r="CZ227" s="18" t="str">
        <f ca="1"/>
        <v/>
      </c>
      <c r="DA227" s="18" t="str">
        <f ca="1"/>
        <v/>
      </c>
      <c r="DC227" s="10"/>
    </row>
    <row r="228" spans="1:107" x14ac:dyDescent="0.25">
      <c r="A228" s="39" t="s">
        <v>411</v>
      </c>
      <c r="B228" s="15"/>
      <c r="C228" s="15"/>
      <c r="D228" s="16"/>
      <c r="E228" s="15"/>
      <c r="F228" s="15"/>
      <c r="G228" s="15"/>
      <c r="H228" s="17" t="str">
        <f ca="1">IFERROR(__xludf.DUMMYFUNCTION("""COMPUTED_VALUE"""),"")</f>
        <v/>
      </c>
      <c r="I228" s="15" t="s">
        <v>29</v>
      </c>
      <c r="J228" s="15" t="s">
        <v>29</v>
      </c>
      <c r="K228" s="15" t="s">
        <v>29</v>
      </c>
      <c r="L228" s="15" t="s">
        <v>29</v>
      </c>
      <c r="M228" s="15" t="s">
        <v>29</v>
      </c>
      <c r="N228" s="16"/>
      <c r="O228" s="18" t="s">
        <v>412</v>
      </c>
      <c r="P228" s="19"/>
      <c r="Q228" s="18" t="str">
        <f ca="1">IFERROR(__xludf.DUMMYFUNCTION("""COMPUTED_VALUE"""),"")</f>
        <v/>
      </c>
      <c r="R228" s="19"/>
      <c r="S228" s="20" t="str">
        <f ca="1">IFERROR(__xludf.DUMMYFUNCTION("""COMPUTED_VALUE"""),"show_available_modes,10,260,64517,21,16,1,,,,86400")</f>
        <v>show_available_modes,10,260,64517,21,16,1,,,,86400</v>
      </c>
      <c r="X228" s="18" t="str">
        <f ca="1">IFERROR(__xludf.DUMMYFUNCTION("""COMPUTED_VALUE"""),"setpoint_reset_timeout")</f>
        <v>setpoint_reset_timeout</v>
      </c>
      <c r="BP228" s="10"/>
      <c r="BW228" s="10"/>
      <c r="CF228" s="10"/>
      <c r="CM228" s="10"/>
      <c r="CP228" s="18" t="str">
        <f ca="1"/>
        <v/>
      </c>
      <c r="CQ228" s="18" t="str">
        <f ca="1"/>
        <v/>
      </c>
      <c r="CR228" s="18" t="str">
        <f ca="1"/>
        <v/>
      </c>
      <c r="CS228" s="18" t="str">
        <f ca="1"/>
        <v/>
      </c>
      <c r="CT228" s="18" t="str">
        <f ca="1"/>
        <v/>
      </c>
      <c r="CV228" s="10"/>
      <c r="CY228" s="18" t="str">
        <f ca="1"/>
        <v/>
      </c>
      <c r="CZ228" s="18" t="str">
        <f ca="1"/>
        <v/>
      </c>
      <c r="DA228" s="18" t="str">
        <f ca="1"/>
        <v/>
      </c>
      <c r="DC228" s="10"/>
    </row>
    <row r="229" spans="1:107" x14ac:dyDescent="0.25">
      <c r="A229" s="39" t="s">
        <v>413</v>
      </c>
      <c r="B229" s="15"/>
      <c r="C229" s="15"/>
      <c r="D229" s="16"/>
      <c r="E229" s="15"/>
      <c r="F229" s="15"/>
      <c r="G229" s="15"/>
      <c r="H229" s="17" t="str">
        <f ca="1">IFERROR(__xludf.DUMMYFUNCTION("""COMPUTED_VALUE"""),"")</f>
        <v/>
      </c>
      <c r="I229" s="15" t="s">
        <v>29</v>
      </c>
      <c r="J229" s="15" t="s">
        <v>29</v>
      </c>
      <c r="K229" s="15" t="s">
        <v>29</v>
      </c>
      <c r="L229" s="15" t="s">
        <v>29</v>
      </c>
      <c r="M229" s="15" t="s">
        <v>29</v>
      </c>
      <c r="N229" s="16"/>
      <c r="O229" s="18" t="s">
        <v>414</v>
      </c>
      <c r="P229" s="19"/>
      <c r="Q229" s="18" t="str">
        <f ca="1">IFERROR(__xludf.DUMMYFUNCTION("""COMPUTED_VALUE"""),"")</f>
        <v/>
      </c>
      <c r="R229" s="19"/>
      <c r="S229" s="20" t="str">
        <f ca="1">IFERROR(__xludf.DUMMYFUNCTION("""COMPUTED_VALUE"""),"show_mobile_app_notification,10,260,64517,23,16,0,,,,86400")</f>
        <v>show_mobile_app_notification,10,260,64517,23,16,0,,,,86400</v>
      </c>
      <c r="X229" s="18" t="str">
        <f ca="1">IFERROR(__xludf.DUMMYFUNCTION("""COMPUTED_VALUE"""),"show_available_modes")</f>
        <v>show_available_modes</v>
      </c>
      <c r="BP229" s="10"/>
      <c r="BW229" s="10"/>
      <c r="CF229" s="10"/>
      <c r="CM229" s="10"/>
      <c r="CP229" s="18" t="str">
        <f ca="1"/>
        <v/>
      </c>
      <c r="CQ229" s="18" t="str">
        <f ca="1"/>
        <v/>
      </c>
      <c r="CR229" s="18" t="str">
        <f ca="1"/>
        <v/>
      </c>
      <c r="CS229" s="18" t="str">
        <f ca="1"/>
        <v/>
      </c>
      <c r="CT229" s="18" t="str">
        <f ca="1"/>
        <v/>
      </c>
      <c r="CV229" s="10"/>
      <c r="CY229" s="18" t="str">
        <f ca="1"/>
        <v/>
      </c>
      <c r="CZ229" s="18" t="str">
        <f ca="1"/>
        <v/>
      </c>
      <c r="DA229" s="18" t="str">
        <f ca="1"/>
        <v/>
      </c>
      <c r="DC229" s="10"/>
    </row>
    <row r="230" spans="1:107" x14ac:dyDescent="0.25">
      <c r="A230" s="39" t="s">
        <v>415</v>
      </c>
      <c r="B230" s="15"/>
      <c r="C230" s="15"/>
      <c r="D230" s="16"/>
      <c r="E230" s="15"/>
      <c r="F230" s="15"/>
      <c r="G230" s="15"/>
      <c r="H230" s="17" t="str">
        <f ca="1">IFERROR(__xludf.DUMMYFUNCTION("""COMPUTED_VALUE"""),"")</f>
        <v/>
      </c>
      <c r="I230" s="15" t="s">
        <v>29</v>
      </c>
      <c r="J230" s="15" t="s">
        <v>29</v>
      </c>
      <c r="K230" s="15" t="s">
        <v>29</v>
      </c>
      <c r="L230" s="15" t="s">
        <v>29</v>
      </c>
      <c r="M230" s="15" t="s">
        <v>29</v>
      </c>
      <c r="N230" s="16"/>
      <c r="O230" s="18" t="s">
        <v>416</v>
      </c>
      <c r="P230" s="19"/>
      <c r="Q230" s="18" t="str">
        <f ca="1">IFERROR(__xludf.DUMMYFUNCTION("""COMPUTED_VALUE"""),"")</f>
        <v/>
      </c>
      <c r="R230" s="19"/>
      <c r="S230" s="20" t="str">
        <f ca="1">IFERROR(__xludf.DUMMYFUNCTION("""COMPUTED_VALUE"""),"smart_ventilation_fan_size,10,260,513,61765,33,750,,,,86400")</f>
        <v>smart_ventilation_fan_size,10,260,513,61765,33,750,,,,86400</v>
      </c>
      <c r="X230" s="18" t="str">
        <f ca="1">IFERROR(__xludf.DUMMYFUNCTION("""COMPUTED_VALUE"""),"show_mobile_app_notification")</f>
        <v>show_mobile_app_notification</v>
      </c>
      <c r="BP230" s="10"/>
      <c r="BW230" s="10"/>
      <c r="CF230" s="10"/>
      <c r="CM230" s="10"/>
      <c r="CP230" s="18" t="str">
        <f ca="1"/>
        <v/>
      </c>
      <c r="CQ230" s="18" t="str">
        <f ca="1"/>
        <v/>
      </c>
      <c r="CR230" s="18" t="str">
        <f ca="1"/>
        <v/>
      </c>
      <c r="CS230" s="18" t="str">
        <f ca="1"/>
        <v/>
      </c>
      <c r="CT230" s="18" t="str">
        <f ca="1"/>
        <v/>
      </c>
      <c r="CV230" s="10"/>
      <c r="CY230" s="18" t="str">
        <f ca="1"/>
        <v/>
      </c>
      <c r="CZ230" s="18" t="str">
        <f ca="1"/>
        <v/>
      </c>
      <c r="DA230" s="18" t="str">
        <f ca="1"/>
        <v/>
      </c>
      <c r="DC230" s="10"/>
    </row>
    <row r="231" spans="1:107" x14ac:dyDescent="0.25">
      <c r="A231" s="39" t="s">
        <v>417</v>
      </c>
      <c r="B231" s="15"/>
      <c r="C231" s="15"/>
      <c r="D231" s="16"/>
      <c r="E231" s="15"/>
      <c r="F231" s="15"/>
      <c r="G231" s="15"/>
      <c r="H231" s="17" t="str">
        <f ca="1">IFERROR(__xludf.DUMMYFUNCTION("""COMPUTED_VALUE"""),"")</f>
        <v/>
      </c>
      <c r="I231" s="15" t="s">
        <v>29</v>
      </c>
      <c r="J231" s="15" t="s">
        <v>29</v>
      </c>
      <c r="K231" s="15" t="s">
        <v>29</v>
      </c>
      <c r="L231" s="15" t="s">
        <v>29</v>
      </c>
      <c r="M231" s="15" t="s">
        <v>29</v>
      </c>
      <c r="N231" s="16"/>
      <c r="O231" s="18" t="s">
        <v>418</v>
      </c>
      <c r="P231" s="19"/>
      <c r="Q231" s="18" t="str">
        <f ca="1">IFERROR(__xludf.DUMMYFUNCTION("""COMPUTED_VALUE"""),"")</f>
        <v/>
      </c>
      <c r="R231" s="19"/>
      <c r="S231" s="20" t="str">
        <f ca="1">IFERROR(__xludf.DUMMYFUNCTION("""COMPUTED_VALUE"""),"smart_ventilation_home_size,10,260,513,61762,33,2500,,,,86400")</f>
        <v>smart_ventilation_home_size,10,260,513,61762,33,2500,,,,86400</v>
      </c>
      <c r="X231" s="18" t="str">
        <f ca="1">IFERROR(__xludf.DUMMYFUNCTION("""COMPUTED_VALUE"""),"smart_ventilation_fan_size")</f>
        <v>smart_ventilation_fan_size</v>
      </c>
      <c r="BP231" s="10"/>
      <c r="BW231" s="10"/>
      <c r="CF231" s="10"/>
      <c r="CM231" s="10"/>
      <c r="CP231" s="18" t="str">
        <f ca="1"/>
        <v/>
      </c>
      <c r="CQ231" s="18" t="str">
        <f ca="1"/>
        <v/>
      </c>
      <c r="CR231" s="18" t="str">
        <f ca="1"/>
        <v/>
      </c>
      <c r="CS231" s="18" t="str">
        <f ca="1"/>
        <v/>
      </c>
      <c r="CT231" s="18" t="str">
        <f ca="1"/>
        <v/>
      </c>
      <c r="CV231" s="10"/>
      <c r="CY231" s="18" t="str">
        <f ca="1"/>
        <v/>
      </c>
      <c r="CZ231" s="18" t="str">
        <f ca="1"/>
        <v/>
      </c>
      <c r="DA231" s="18" t="str">
        <f ca="1"/>
        <v/>
      </c>
      <c r="DC231" s="10"/>
    </row>
    <row r="232" spans="1:107" x14ac:dyDescent="0.25">
      <c r="A232" s="39" t="s">
        <v>419</v>
      </c>
      <c r="B232" s="15"/>
      <c r="C232" s="15"/>
      <c r="D232" s="16"/>
      <c r="E232" s="15"/>
      <c r="F232" s="15"/>
      <c r="G232" s="15"/>
      <c r="H232" s="17" t="str">
        <f ca="1">IFERROR(__xludf.DUMMYFUNCTION("""COMPUTED_VALUE"""),"")</f>
        <v/>
      </c>
      <c r="I232" s="15" t="s">
        <v>29</v>
      </c>
      <c r="J232" s="15" t="s">
        <v>29</v>
      </c>
      <c r="K232" s="15" t="s">
        <v>29</v>
      </c>
      <c r="L232" s="15" t="s">
        <v>29</v>
      </c>
      <c r="M232" s="15" t="s">
        <v>29</v>
      </c>
      <c r="N232" s="16"/>
      <c r="O232" s="18" t="s">
        <v>420</v>
      </c>
      <c r="P232" s="19"/>
      <c r="Q232" s="18" t="str">
        <f ca="1">IFERROR(__xludf.DUMMYFUNCTION("""COMPUTED_VALUE"""),"")</f>
        <v/>
      </c>
      <c r="R232" s="19"/>
      <c r="S232" s="20" t="str">
        <f ca="1">IFERROR(__xludf.DUMMYFUNCTION("""COMPUTED_VALUE"""),"smart_ventilation_number_of_bedrooms,10,260,513,61763,32,3,,,,86400")</f>
        <v>smart_ventilation_number_of_bedrooms,10,260,513,61763,32,3,,,,86400</v>
      </c>
      <c r="X232" s="18" t="str">
        <f ca="1">IFERROR(__xludf.DUMMYFUNCTION("""COMPUTED_VALUE"""),"smart_ventilation_home_size")</f>
        <v>smart_ventilation_home_size</v>
      </c>
      <c r="BP232" s="10"/>
      <c r="BW232" s="10"/>
      <c r="CF232" s="10"/>
      <c r="CM232" s="10"/>
      <c r="CP232" s="18" t="str">
        <f ca="1"/>
        <v/>
      </c>
      <c r="CQ232" s="18" t="str">
        <f ca="1"/>
        <v/>
      </c>
      <c r="CR232" s="18" t="str">
        <f ca="1"/>
        <v/>
      </c>
      <c r="CS232" s="18" t="str">
        <f ca="1"/>
        <v/>
      </c>
      <c r="CT232" s="18" t="str">
        <f ca="1"/>
        <v/>
      </c>
      <c r="CV232" s="10"/>
      <c r="CY232" s="18" t="str">
        <f ca="1"/>
        <v/>
      </c>
      <c r="CZ232" s="18" t="str">
        <f ca="1"/>
        <v/>
      </c>
      <c r="DA232" s="18" t="str">
        <f ca="1"/>
        <v/>
      </c>
      <c r="DC232" s="10"/>
    </row>
    <row r="233" spans="1:107" x14ac:dyDescent="0.25">
      <c r="A233" s="39" t="s">
        <v>421</v>
      </c>
      <c r="B233" s="15"/>
      <c r="C233" s="15"/>
      <c r="D233" s="16"/>
      <c r="E233" s="15"/>
      <c r="F233" s="15"/>
      <c r="G233" s="15"/>
      <c r="H233" s="17" t="str">
        <f ca="1">IFERROR(__xludf.DUMMYFUNCTION("""COMPUTED_VALUE"""),"")</f>
        <v/>
      </c>
      <c r="I233" s="15" t="s">
        <v>29</v>
      </c>
      <c r="J233" s="15" t="s">
        <v>29</v>
      </c>
      <c r="K233" s="15" t="s">
        <v>29</v>
      </c>
      <c r="L233" s="15" t="s">
        <v>29</v>
      </c>
      <c r="M233" s="15" t="s">
        <v>29</v>
      </c>
      <c r="N233" s="16"/>
      <c r="O233" s="18" t="s">
        <v>422</v>
      </c>
      <c r="P233" s="19"/>
      <c r="Q233" s="18" t="str">
        <f ca="1">IFERROR(__xludf.DUMMYFUNCTION("""COMPUTED_VALUE"""),"")</f>
        <v/>
      </c>
      <c r="R233" s="19"/>
      <c r="S233" s="20" t="str">
        <f ca="1">IFERROR(__xludf.DUMMYFUNCTION("""COMPUTED_VALUE"""),"smart_ventilation_required_fan_size,10,260,513,61764,33,,,,,86400")</f>
        <v>smart_ventilation_required_fan_size,10,260,513,61764,33,,,,,86400</v>
      </c>
      <c r="X233" s="18" t="str">
        <f ca="1">IFERROR(__xludf.DUMMYFUNCTION("""COMPUTED_VALUE"""),"smart_ventilation_number_of_bedrooms")</f>
        <v>smart_ventilation_number_of_bedrooms</v>
      </c>
      <c r="BP233" s="10"/>
      <c r="BW233" s="10"/>
      <c r="CF233" s="10"/>
      <c r="CM233" s="10"/>
      <c r="CP233" s="18" t="str">
        <f ca="1"/>
        <v/>
      </c>
      <c r="CQ233" s="18" t="str">
        <f ca="1"/>
        <v/>
      </c>
      <c r="CR233" s="18" t="str">
        <f ca="1"/>
        <v/>
      </c>
      <c r="CS233" s="18" t="str">
        <f ca="1"/>
        <v/>
      </c>
      <c r="CT233" s="18" t="str">
        <f ca="1"/>
        <v/>
      </c>
      <c r="CV233" s="10"/>
      <c r="CY233" s="18" t="str">
        <f ca="1"/>
        <v/>
      </c>
      <c r="CZ233" s="18" t="str">
        <f ca="1"/>
        <v/>
      </c>
      <c r="DA233" s="18" t="str">
        <f ca="1"/>
        <v/>
      </c>
      <c r="DC233" s="10"/>
    </row>
    <row r="234" spans="1:107" x14ac:dyDescent="0.25">
      <c r="A234" s="15"/>
      <c r="B234" s="15"/>
      <c r="C234" s="15"/>
      <c r="D234" s="16"/>
      <c r="E234" s="15"/>
      <c r="F234" s="15"/>
      <c r="G234" s="15"/>
      <c r="H234" s="17" t="str">
        <f ca="1">IFERROR(__xludf.DUMMYFUNCTION("""COMPUTED_VALUE"""),"")</f>
        <v/>
      </c>
      <c r="I234" s="15" t="s">
        <v>29</v>
      </c>
      <c r="J234" s="15" t="s">
        <v>29</v>
      </c>
      <c r="K234" s="15" t="s">
        <v>29</v>
      </c>
      <c r="L234" s="15" t="s">
        <v>29</v>
      </c>
      <c r="M234" s="15" t="s">
        <v>29</v>
      </c>
      <c r="N234" s="16"/>
      <c r="P234" s="19"/>
      <c r="Q234" s="18" t="str">
        <f ca="1">IFERROR(__xludf.DUMMYFUNCTION("""COMPUTED_VALUE"""),"")</f>
        <v/>
      </c>
      <c r="R234" s="19"/>
      <c r="S234" s="20" t="str">
        <f ca="1">IFERROR(__xludf.DUMMYFUNCTION("""COMPUTED_VALUE"""),"standard_ventilation_duty_cycle,10,260,513,61761,32,15,,,,86400")</f>
        <v>standard_ventilation_duty_cycle,10,260,513,61761,32,15,,,,86400</v>
      </c>
      <c r="X234" s="18" t="str">
        <f ca="1">IFERROR(__xludf.DUMMYFUNCTION("""COMPUTED_VALUE"""),"smart_ventilation_required_fan_size")</f>
        <v>smart_ventilation_required_fan_size</v>
      </c>
      <c r="BP234" s="10"/>
      <c r="BW234" s="10"/>
      <c r="CF234" s="10"/>
      <c r="CM234" s="10"/>
      <c r="CP234" s="18" t="str">
        <f ca="1"/>
        <v/>
      </c>
      <c r="CQ234" s="18" t="str">
        <f ca="1"/>
        <v/>
      </c>
      <c r="CR234" s="18" t="str">
        <f ca="1"/>
        <v/>
      </c>
      <c r="CS234" s="18" t="str">
        <f ca="1"/>
        <v/>
      </c>
      <c r="CT234" s="18" t="str">
        <f ca="1"/>
        <v/>
      </c>
      <c r="CV234" s="10"/>
      <c r="CY234" s="18" t="str">
        <f ca="1"/>
        <v/>
      </c>
      <c r="CZ234" s="18" t="str">
        <f ca="1"/>
        <v/>
      </c>
      <c r="DA234" s="18" t="str">
        <f ca="1"/>
        <v/>
      </c>
      <c r="DC234" s="10"/>
    </row>
    <row r="235" spans="1:107" x14ac:dyDescent="0.25">
      <c r="A235" s="9" t="s">
        <v>423</v>
      </c>
      <c r="B235" s="16"/>
      <c r="C235" s="16"/>
      <c r="D235" s="16"/>
      <c r="E235" s="16"/>
      <c r="F235" s="16"/>
      <c r="G235" s="16"/>
      <c r="H235" s="17" t="str">
        <f ca="1">IFERROR(__xludf.DUMMYFUNCTION("""COMPUTED_VALUE"""),"")</f>
        <v/>
      </c>
      <c r="I235" s="16" t="s">
        <v>29</v>
      </c>
      <c r="J235" s="16" t="s">
        <v>29</v>
      </c>
      <c r="K235" s="16" t="s">
        <v>29</v>
      </c>
      <c r="L235" s="16" t="s">
        <v>29</v>
      </c>
      <c r="M235" s="16" t="s">
        <v>29</v>
      </c>
      <c r="N235" s="16"/>
      <c r="O235" s="19"/>
      <c r="P235" s="19"/>
      <c r="Q235" s="19" t="str">
        <f ca="1">IFERROR(__xludf.DUMMYFUNCTION("""COMPUTED_VALUE"""),"")</f>
        <v/>
      </c>
      <c r="R235" s="19"/>
      <c r="S235" s="20" t="str">
        <f ca="1">IFERROR(__xludf.DUMMYFUNCTION("""COMPUTED_VALUE"""),"startup_screen,10,260,64517,36,48,2,,,,86400")</f>
        <v>startup_screen,10,260,64517,36,48,2,,,,86400</v>
      </c>
      <c r="X235" s="18" t="str">
        <f ca="1">IFERROR(__xludf.DUMMYFUNCTION("""COMPUTED_VALUE"""),"standard_ventilation_duty_cycle")</f>
        <v>standard_ventilation_duty_cycle</v>
      </c>
      <c r="BP235" s="10"/>
      <c r="BW235" s="10"/>
      <c r="CF235" s="10"/>
      <c r="CM235" s="10"/>
      <c r="CP235" s="18" t="str">
        <f ca="1"/>
        <v/>
      </c>
      <c r="CQ235" s="18" t="str">
        <f ca="1"/>
        <v/>
      </c>
      <c r="CR235" s="18" t="str">
        <f ca="1"/>
        <v/>
      </c>
      <c r="CS235" s="18" t="str">
        <f ca="1"/>
        <v/>
      </c>
      <c r="CT235" s="18" t="str">
        <f ca="1"/>
        <v/>
      </c>
      <c r="CV235" s="10"/>
      <c r="CY235" s="18" t="str">
        <f ca="1"/>
        <v/>
      </c>
      <c r="CZ235" s="18" t="str">
        <f ca="1"/>
        <v/>
      </c>
      <c r="DA235" s="18" t="str">
        <f ca="1"/>
        <v/>
      </c>
      <c r="DC235" s="10"/>
    </row>
    <row r="236" spans="1:107" x14ac:dyDescent="0.25">
      <c r="A236" s="15" t="s">
        <v>424</v>
      </c>
      <c r="B236" s="15"/>
      <c r="C236" s="15"/>
      <c r="D236" s="16"/>
      <c r="E236" s="15"/>
      <c r="F236" s="15"/>
      <c r="G236" s="15"/>
      <c r="H236" s="17" t="str">
        <f ca="1">IFERROR(__xludf.DUMMYFUNCTION("""COMPUTED_VALUE"""),"")</f>
        <v/>
      </c>
      <c r="I236" s="15" t="s">
        <v>29</v>
      </c>
      <c r="J236" s="15" t="s">
        <v>29</v>
      </c>
      <c r="K236" s="15" t="s">
        <v>29</v>
      </c>
      <c r="L236" s="15" t="s">
        <v>29</v>
      </c>
      <c r="M236" s="15" t="s">
        <v>29</v>
      </c>
      <c r="N236" s="16"/>
      <c r="O236" s="18" t="str">
        <f ca="1">IFERROR(__xludf.DUMMYFUNCTION("IF(A236="""","""",A236
&amp;"",""
&amp;HEX2DEC(VLOOKUP(A236,{'Data Model Parser'!$C$4:$C1626,'Data Model Parser'!$U$4:$U1626},2,0))
&amp;"",""
&amp;HEX2DEC(VLOOKUP(A236,{'Data Model Parser'!$C$4:$C1626,'Data Model Parser'!$V$4:$V1626},2,0))
&amp;"",""
&amp;HEX2DEC(VLOOKUP(A236,{"&amp;"'Data Model Parser'!$C$4:$C1626,'Data Model Parser'!$W$4:$W1626},2,0))
&amp;"",""
&amp;HEX2DEC(VLOOKUP(A236,{'Data Model Parser'!$C$4:$C1626,'Data Model Parser'!$T$4:$T1626},2,0))
&amp;"",""
&amp;HEX2DEC(VLOOKUP(A236,{'Data Model Parser'!$C$4:$C1626,'Data Model Parser'!$"&amp;"X$4:$X1626},2,0))
&amp;"",""
&amp;IFS(
B236="""","""",
REGEXREPLACE(B236,CHAR(34),"""")=""none"",""0"",
REGEXREPLACE(B236,CHAR(34),"""")=""up_arrow"",""1"",
REGEXREPLACE(B236,CHAR(34),"""")=""down_arrow"",""2"",
REGEXREPLACE(B236,CHAR(34),"""")=""on_off"",""3"",
"&amp;"REGEXREPLACE(B236,CHAR(34),"""")=""cycle_modes"",""4"",
REGEXREPLACE(B236,CHAR(34),"""")=""heat"",""5"",
REGEXREPLACE(B236,CHAR(34),"""")=""cool"",""6"",
REGEXREPLACE(B236,CHAR(34),"""")=""auto"",""7"",
REGEXREPLACE(B236,CHAR(34),"""")=""cycle_fan"",""8"""&amp;",
REGEXREPLACE(B236,CHAR(34),"""")=""fan_up"",""9"",
REGEXREPLACE(B236,CHAR(34),"""")=""fan_down"",""10"",
REGEXREPLACE(B236,CHAR(34),"""")=""change_temp_units"",""11"",
REGEXREPLACE(B236,CHAR(34),"""")=""leaf"",""12"",
REGEXREPLACE(B236,CHAR(34),"""")="""&amp;"backlight"",""13"",
REGEXREPLACE(B236,CHAR(34),"""")=""DND"",""14"",
REGEXREPLACE(B236,CHAR(34),"""")=""MUR"",""15"")
&amp;"",""
&amp;IF(VLOOKUP(A236,{'Data Model Parser'!$C$4:$C1626,'Data Model Parser'!$G$4:$G1626},2,0)=""polled"","",,,""&amp;VLOOKUP(A236,{'Data Mod"&amp;"el Parser'!$C$4:$C1626,'Data Model Parser'!$H$4:$H1626},2,0),
IF(VLOOKUP(A236,{'Data Model Parser'!$C$4:$C1626,'Data Model Parser'!$G$4:$G1626},2,0)=""reported"",
IFS(E236&lt;&gt;"""",E236&amp;"","",
E236="""",VLOOKUP(A236,{'Data Model Parser'!$C$4:$C1626,'Data Mod"&amp;"el Parser'!$J$4:$J1626},2,0)&amp;"","")
&amp;IFS(F236&lt;&gt;"""",F236&amp;"","",
F236="""",VLOOKUP(A236,{'Data Model Parser'!$C$4:$C1626,'Data Model Parser'!$I$4:$I1626},2,0)&amp;"","")
&amp;IFS(G236&lt;&gt;"""",G236,
G236="""",VLOOKUP(A236,{'Data Model Parser'!$C$4:$C1626,'Data Model "&amp;"Parser'!$K$4:$K1626},2,0)))))"),"push_button_config_key_1,10,260,64517,40,48,,,,,86400")</f>
        <v>push_button_config_key_1,10,260,64517,40,48,,,,,86400</v>
      </c>
      <c r="P236" s="19"/>
      <c r="Q236" s="18" t="str">
        <f ca="1">IFERROR(__xludf.DUMMYFUNCTION("""COMPUTED_VALUE"""),"")</f>
        <v/>
      </c>
      <c r="R236" s="19"/>
      <c r="S236" s="20" t="str">
        <f ca="1">IFERROR(__xludf.DUMMYFUNCTION("""COMPUTED_VALUE"""),"state_variable_0,10,260,513,61550,32,,0,900,0")</f>
        <v>state_variable_0,10,260,513,61550,32,,0,900,0</v>
      </c>
      <c r="X236" s="18" t="str">
        <f ca="1">IFERROR(__xludf.DUMMYFUNCTION("""COMPUTED_VALUE"""),"startup_screen")</f>
        <v>startup_screen</v>
      </c>
      <c r="Y236" s="18" t="str">
        <f ca="1">IFERROR(__xludf.DUMMYFUNCTION("UNIQUE(FILTER({$DE$4:$DE1626,$DH$4:$ES1626}, $DE$4:$DE1626=A236))"),"push_button_config_key_1")</f>
        <v>push_button_config_key_1</v>
      </c>
      <c r="Z236" s="18" t="str">
        <f ca="1">IFERROR(__xludf.DUMMYFUNCTION("""COMPUTED_VALUE"""),"""none""")</f>
        <v>"none"</v>
      </c>
      <c r="AA236" s="18" t="str">
        <f ca="1">IFERROR(__xludf.DUMMYFUNCTION("""COMPUTED_VALUE"""),"""up_arrow""")</f>
        <v>"up_arrow"</v>
      </c>
      <c r="AB236" s="18" t="str">
        <f ca="1">IFERROR(__xludf.DUMMYFUNCTION("""COMPUTED_VALUE"""),"""down_arrow""")</f>
        <v>"down_arrow"</v>
      </c>
      <c r="AC236" s="18" t="str">
        <f ca="1">IFERROR(__xludf.DUMMYFUNCTION("""COMPUTED_VALUE"""),"""on_off""")</f>
        <v>"on_off"</v>
      </c>
      <c r="AD236" s="18" t="str">
        <f ca="1">IFERROR(__xludf.DUMMYFUNCTION("""COMPUTED_VALUE"""),"""cycle_modes""")</f>
        <v>"cycle_modes"</v>
      </c>
      <c r="AE236" s="18" t="str">
        <f ca="1">IFERROR(__xludf.DUMMYFUNCTION("""COMPUTED_VALUE"""),"""heat""")</f>
        <v>"heat"</v>
      </c>
      <c r="AF236" s="18" t="str">
        <f ca="1">IFERROR(__xludf.DUMMYFUNCTION("""COMPUTED_VALUE"""),"""cool""")</f>
        <v>"cool"</v>
      </c>
      <c r="AG236" s="18" t="str">
        <f ca="1">IFERROR(__xludf.DUMMYFUNCTION("""COMPUTED_VALUE"""),"""auto""")</f>
        <v>"auto"</v>
      </c>
      <c r="AH236" s="18" t="str">
        <f ca="1">IFERROR(__xludf.DUMMYFUNCTION("""COMPUTED_VALUE"""),"""cycle_fan""")</f>
        <v>"cycle_fan"</v>
      </c>
      <c r="AI236" s="18" t="str">
        <f ca="1">IFERROR(__xludf.DUMMYFUNCTION("""COMPUTED_VALUE"""),"""fan_up""")</f>
        <v>"fan_up"</v>
      </c>
      <c r="AJ236" s="18" t="str">
        <f ca="1">IFERROR(__xludf.DUMMYFUNCTION("""COMPUTED_VALUE"""),"""fan_down""")</f>
        <v>"fan_down"</v>
      </c>
      <c r="AK236" s="18" t="str">
        <f ca="1">IFERROR(__xludf.DUMMYFUNCTION("""COMPUTED_VALUE"""),"""change_temp_units""")</f>
        <v>"change_temp_units"</v>
      </c>
      <c r="AL236" s="18" t="str">
        <f ca="1">IFERROR(__xludf.DUMMYFUNCTION("""COMPUTED_VALUE"""),"""leaf""")</f>
        <v>"leaf"</v>
      </c>
      <c r="AM236" s="18" t="str">
        <f ca="1">IFERROR(__xludf.DUMMYFUNCTION("""COMPUTED_VALUE"""),"""backlight""")</f>
        <v>"backlight"</v>
      </c>
      <c r="AN236" s="18" t="str">
        <f ca="1">IFERROR(__xludf.DUMMYFUNCTION("""COMPUTED_VALUE"""),"""DND""")</f>
        <v>"DND"</v>
      </c>
      <c r="AO236" s="18" t="str">
        <f ca="1">IFERROR(__xludf.DUMMYFUNCTION("""COMPUTED_VALUE"""),"""MUR""")</f>
        <v>"MUR"</v>
      </c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P236" s="10"/>
      <c r="BW236" s="10"/>
      <c r="CF236" s="10"/>
      <c r="CM236" s="10"/>
      <c r="CP236" s="18" t="str">
        <f ca="1"/>
        <v/>
      </c>
      <c r="CQ236" s="18" t="str">
        <f ca="1"/>
        <v/>
      </c>
      <c r="CR236" s="18" t="str">
        <f ca="1"/>
        <v/>
      </c>
      <c r="CS236" s="18" t="str">
        <f ca="1"/>
        <v/>
      </c>
      <c r="CT236" s="18" t="str">
        <f ca="1"/>
        <v/>
      </c>
      <c r="CV236" s="10"/>
      <c r="CY236" s="18" t="str">
        <f ca="1"/>
        <v/>
      </c>
      <c r="CZ236" s="18" t="str">
        <f ca="1"/>
        <v/>
      </c>
      <c r="DA236" s="18" t="str">
        <f ca="1"/>
        <v/>
      </c>
      <c r="DC236" s="10"/>
    </row>
    <row r="237" spans="1:107" x14ac:dyDescent="0.25">
      <c r="A237" s="15" t="s">
        <v>425</v>
      </c>
      <c r="B237" s="15"/>
      <c r="C237" s="15"/>
      <c r="D237" s="16"/>
      <c r="E237" s="15"/>
      <c r="F237" s="15"/>
      <c r="G237" s="15"/>
      <c r="H237" s="17" t="str">
        <f ca="1">IFERROR(__xludf.DUMMYFUNCTION("""COMPUTED_VALUE"""),"")</f>
        <v/>
      </c>
      <c r="I237" s="15" t="s">
        <v>29</v>
      </c>
      <c r="J237" s="15" t="s">
        <v>29</v>
      </c>
      <c r="K237" s="15" t="s">
        <v>29</v>
      </c>
      <c r="L237" s="15" t="s">
        <v>29</v>
      </c>
      <c r="M237" s="15" t="s">
        <v>29</v>
      </c>
      <c r="N237" s="16"/>
      <c r="O237" s="18" t="str">
        <f ca="1">IFERROR(__xludf.DUMMYFUNCTION("IF(A237="""","""",A237
&amp;"",""
&amp;HEX2DEC(VLOOKUP(A237,{'Data Model Parser'!$C$4:$C1626,'Data Model Parser'!$U$4:$U1626},2,0))
&amp;"",""
&amp;HEX2DEC(VLOOKUP(A237,{'Data Model Parser'!$C$4:$C1626,'Data Model Parser'!$V$4:$V1626},2,0))
&amp;"",""
&amp;HEX2DEC(VLOOKUP(A237,{"&amp;"'Data Model Parser'!$C$4:$C1626,'Data Model Parser'!$W$4:$W1626},2,0))
&amp;"",""
&amp;HEX2DEC(VLOOKUP(A237,{'Data Model Parser'!$C$4:$C1626,'Data Model Parser'!$T$4:$T1626},2,0))
&amp;"",""
&amp;HEX2DEC(VLOOKUP(A237,{'Data Model Parser'!$C$4:$C1626,'Data Model Parser'!$"&amp;"X$4:$X1626},2,0))
&amp;"",""
&amp;IFS(
B237="""","""",
REGEXREPLACE(B237,CHAR(34),"""")=""none"",""0"",
REGEXREPLACE(B237,CHAR(34),"""")=""up_arrow"",""1"",
REGEXREPLACE(B237,CHAR(34),"""")=""down_arrow"",""2"",
REGEXREPLACE(B237,CHAR(34),"""")=""on_off"",""3"",
"&amp;"REGEXREPLACE(B237,CHAR(34),"""")=""cycle_modes"",""4"",
REGEXREPLACE(B237,CHAR(34),"""")=""heat"",""5"",
REGEXREPLACE(B237,CHAR(34),"""")=""cool"",""6"",
REGEXREPLACE(B237,CHAR(34),"""")=""auto"",""7"",
REGEXREPLACE(B237,CHAR(34),"""")=""cycle_fan"",""8"""&amp;",
REGEXREPLACE(B237,CHAR(34),"""")=""fan_up"",""9"",
REGEXREPLACE(B237,CHAR(34),"""")=""fan_down"",""10"",
REGEXREPLACE(B237,CHAR(34),"""")=""change_temp_units"",""11"",
REGEXREPLACE(B237,CHAR(34),"""")=""leaf"",""12"",
REGEXREPLACE(B237,CHAR(34),"""")="""&amp;"backlight"",""13"",
REGEXREPLACE(B237,CHAR(34),"""")=""DND"",""14"",
REGEXREPLACE(B237,CHAR(34),"""")=""MUR"",""15"")
&amp;"",""
&amp;IF(VLOOKUP(A237,{'Data Model Parser'!$C$4:$C1626,'Data Model Parser'!$G$4:$G1626},2,0)=""polled"","",,,""&amp;VLOOKUP(A237,{'Data Mod"&amp;"el Parser'!$C$4:$C1626,'Data Model Parser'!$H$4:$H1626},2,0),
IF(VLOOKUP(A237,{'Data Model Parser'!$C$4:$C1626,'Data Model Parser'!$G$4:$G1626},2,0)=""reported"",
IFS(E237&lt;&gt;"""",E237&amp;"","",
E237="""",VLOOKUP(A237,{'Data Model Parser'!$C$4:$C1626,'Data Mod"&amp;"el Parser'!$J$4:$J1626},2,0)&amp;"","")
&amp;IFS(F237&lt;&gt;"""",F237&amp;"","",
F237="""",VLOOKUP(A237,{'Data Model Parser'!$C$4:$C1626,'Data Model Parser'!$I$4:$I1626},2,0)&amp;"","")
&amp;IFS(G237&lt;&gt;"""",G237,
G237="""",VLOOKUP(A237,{'Data Model Parser'!$C$4:$C1626,'Data Model "&amp;"Parser'!$K$4:$K1626},2,0)))))"),"push_button_config_key_2,10,260,64517,41,48,,,,,86400")</f>
        <v>push_button_config_key_2,10,260,64517,41,48,,,,,86400</v>
      </c>
      <c r="P237" s="19"/>
      <c r="Q237" s="18" t="str">
        <f ca="1">IFERROR(__xludf.DUMMYFUNCTION("""COMPUTED_VALUE"""),"")</f>
        <v/>
      </c>
      <c r="R237" s="19"/>
      <c r="S237" s="20" t="str">
        <f ca="1">IFERROR(__xludf.DUMMYFUNCTION("""COMPUTED_VALUE"""),"state_variable_1,10,260,513,61551,32,,0,900,0")</f>
        <v>state_variable_1,10,260,513,61551,32,,0,900,0</v>
      </c>
      <c r="X237" s="18" t="str">
        <f ca="1">IFERROR(__xludf.DUMMYFUNCTION("""COMPUTED_VALUE"""),"state_variable_0")</f>
        <v>state_variable_0</v>
      </c>
      <c r="Y237" s="18" t="str">
        <f ca="1">IFERROR(__xludf.DUMMYFUNCTION("UNIQUE(FILTER({$DE$4:$DE1626,$DH$4:$ES1626}, $DE$4:$DE1626=A237))"),"push_button_config_key_2")</f>
        <v>push_button_config_key_2</v>
      </c>
      <c r="Z237" s="18" t="str">
        <f ca="1">IFERROR(__xludf.DUMMYFUNCTION("""COMPUTED_VALUE"""),"""none""")</f>
        <v>"none"</v>
      </c>
      <c r="AA237" s="18" t="str">
        <f ca="1">IFERROR(__xludf.DUMMYFUNCTION("""COMPUTED_VALUE"""),"""up_arrow""")</f>
        <v>"up_arrow"</v>
      </c>
      <c r="AB237" s="18" t="str">
        <f ca="1">IFERROR(__xludf.DUMMYFUNCTION("""COMPUTED_VALUE"""),"""down_arrow""")</f>
        <v>"down_arrow"</v>
      </c>
      <c r="AC237" s="18" t="str">
        <f ca="1">IFERROR(__xludf.DUMMYFUNCTION("""COMPUTED_VALUE"""),"""on_off""")</f>
        <v>"on_off"</v>
      </c>
      <c r="AD237" s="18" t="str">
        <f ca="1">IFERROR(__xludf.DUMMYFUNCTION("""COMPUTED_VALUE"""),"""cycle_modes""")</f>
        <v>"cycle_modes"</v>
      </c>
      <c r="AE237" s="18" t="str">
        <f ca="1">IFERROR(__xludf.DUMMYFUNCTION("""COMPUTED_VALUE"""),"""heat""")</f>
        <v>"heat"</v>
      </c>
      <c r="AF237" s="18" t="str">
        <f ca="1">IFERROR(__xludf.DUMMYFUNCTION("""COMPUTED_VALUE"""),"""cool""")</f>
        <v>"cool"</v>
      </c>
      <c r="AG237" s="18" t="str">
        <f ca="1">IFERROR(__xludf.DUMMYFUNCTION("""COMPUTED_VALUE"""),"""auto""")</f>
        <v>"auto"</v>
      </c>
      <c r="AH237" s="18" t="str">
        <f ca="1">IFERROR(__xludf.DUMMYFUNCTION("""COMPUTED_VALUE"""),"""cycle_fan""")</f>
        <v>"cycle_fan"</v>
      </c>
      <c r="AI237" s="18" t="str">
        <f ca="1">IFERROR(__xludf.DUMMYFUNCTION("""COMPUTED_VALUE"""),"""fan_up""")</f>
        <v>"fan_up"</v>
      </c>
      <c r="AJ237" s="18" t="str">
        <f ca="1">IFERROR(__xludf.DUMMYFUNCTION("""COMPUTED_VALUE"""),"""fan_down""")</f>
        <v>"fan_down"</v>
      </c>
      <c r="AK237" s="18" t="str">
        <f ca="1">IFERROR(__xludf.DUMMYFUNCTION("""COMPUTED_VALUE"""),"""change_temp_units""")</f>
        <v>"change_temp_units"</v>
      </c>
      <c r="AL237" s="18" t="str">
        <f ca="1">IFERROR(__xludf.DUMMYFUNCTION("""COMPUTED_VALUE"""),"""leaf""")</f>
        <v>"leaf"</v>
      </c>
      <c r="AM237" s="18" t="str">
        <f ca="1">IFERROR(__xludf.DUMMYFUNCTION("""COMPUTED_VALUE"""),"""backlight""")</f>
        <v>"backlight"</v>
      </c>
      <c r="AN237" s="18" t="str">
        <f ca="1">IFERROR(__xludf.DUMMYFUNCTION("""COMPUTED_VALUE"""),"""DND""")</f>
        <v>"DND"</v>
      </c>
      <c r="AO237" s="18" t="str">
        <f ca="1">IFERROR(__xludf.DUMMYFUNCTION("""COMPUTED_VALUE"""),"""MUR""")</f>
        <v>"MUR"</v>
      </c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P237" s="10"/>
      <c r="BW237" s="10"/>
      <c r="CF237" s="10"/>
      <c r="CM237" s="10"/>
      <c r="CP237" s="18" t="str">
        <f ca="1"/>
        <v/>
      </c>
      <c r="CQ237" s="18" t="str">
        <f ca="1"/>
        <v/>
      </c>
      <c r="CR237" s="18" t="str">
        <f ca="1"/>
        <v/>
      </c>
      <c r="CS237" s="18" t="str">
        <f ca="1"/>
        <v/>
      </c>
      <c r="CT237" s="18" t="str">
        <f ca="1"/>
        <v/>
      </c>
      <c r="CV237" s="10"/>
      <c r="CY237" s="18" t="str">
        <f ca="1"/>
        <v/>
      </c>
      <c r="CZ237" s="18" t="str">
        <f ca="1"/>
        <v/>
      </c>
      <c r="DA237" s="18" t="str">
        <f ca="1"/>
        <v/>
      </c>
      <c r="DC237" s="10"/>
    </row>
    <row r="238" spans="1:107" x14ac:dyDescent="0.25">
      <c r="A238" s="15" t="s">
        <v>426</v>
      </c>
      <c r="B238" s="15"/>
      <c r="C238" s="15"/>
      <c r="D238" s="16"/>
      <c r="E238" s="15"/>
      <c r="F238" s="15"/>
      <c r="G238" s="15"/>
      <c r="H238" s="17" t="str">
        <f ca="1">IFERROR(__xludf.DUMMYFUNCTION("""COMPUTED_VALUE"""),"")</f>
        <v/>
      </c>
      <c r="I238" s="15" t="s">
        <v>29</v>
      </c>
      <c r="J238" s="15" t="s">
        <v>29</v>
      </c>
      <c r="K238" s="15" t="s">
        <v>29</v>
      </c>
      <c r="L238" s="15" t="s">
        <v>29</v>
      </c>
      <c r="M238" s="15" t="s">
        <v>29</v>
      </c>
      <c r="N238" s="16"/>
      <c r="O238" s="18" t="str">
        <f ca="1">IFERROR(__xludf.DUMMYFUNCTION("IF(A238="""","""",A238
&amp;"",""
&amp;HEX2DEC(VLOOKUP(A238,{'Data Model Parser'!$C$4:$C1626,'Data Model Parser'!$U$4:$U1626},2,0))
&amp;"",""
&amp;HEX2DEC(VLOOKUP(A238,{'Data Model Parser'!$C$4:$C1626,'Data Model Parser'!$V$4:$V1626},2,0))
&amp;"",""
&amp;HEX2DEC(VLOOKUP(A238,{"&amp;"'Data Model Parser'!$C$4:$C1626,'Data Model Parser'!$W$4:$W1626},2,0))
&amp;"",""
&amp;HEX2DEC(VLOOKUP(A238,{'Data Model Parser'!$C$4:$C1626,'Data Model Parser'!$T$4:$T1626},2,0))
&amp;"",""
&amp;HEX2DEC(VLOOKUP(A238,{'Data Model Parser'!$C$4:$C1626,'Data Model Parser'!$"&amp;"X$4:$X1626},2,0))
&amp;"",""
&amp;IFS(
B238="""","""",
REGEXREPLACE(B238,CHAR(34),"""")=""none"",""0"",
REGEXREPLACE(B238,CHAR(34),"""")=""up_arrow"",""1"",
REGEXREPLACE(B238,CHAR(34),"""")=""down_arrow"",""2"",
REGEXREPLACE(B238,CHAR(34),"""")=""on_off"",""3"",
"&amp;"REGEXREPLACE(B238,CHAR(34),"""")=""cycle_modes"",""4"",
REGEXREPLACE(B238,CHAR(34),"""")=""heat"",""5"",
REGEXREPLACE(B238,CHAR(34),"""")=""cool"",""6"",
REGEXREPLACE(B238,CHAR(34),"""")=""auto"",""7"",
REGEXREPLACE(B238,CHAR(34),"""")=""cycle_fan"",""8"""&amp;",
REGEXREPLACE(B238,CHAR(34),"""")=""fan_up"",""9"",
REGEXREPLACE(B238,CHAR(34),"""")=""fan_down"",""10"",
REGEXREPLACE(B238,CHAR(34),"""")=""change_temp_units"",""11"",
REGEXREPLACE(B238,CHAR(34),"""")=""leaf"",""12"",
REGEXREPLACE(B238,CHAR(34),"""")="""&amp;"backlight"",""13"",
REGEXREPLACE(B238,CHAR(34),"""")=""DND"",""14"",
REGEXREPLACE(B238,CHAR(34),"""")=""MUR"",""15"")
&amp;"",""
&amp;IF(VLOOKUP(A238,{'Data Model Parser'!$C$4:$C1626,'Data Model Parser'!$G$4:$G1626},2,0)=""polled"","",,,""&amp;VLOOKUP(A238,{'Data Mod"&amp;"el Parser'!$C$4:$C1626,'Data Model Parser'!$H$4:$H1626},2,0),
IF(VLOOKUP(A238,{'Data Model Parser'!$C$4:$C1626,'Data Model Parser'!$G$4:$G1626},2,0)=""reported"",
IFS(E238&lt;&gt;"""",E238&amp;"","",
E238="""",VLOOKUP(A238,{'Data Model Parser'!$C$4:$C1626,'Data Mod"&amp;"el Parser'!$J$4:$J1626},2,0)&amp;"","")
&amp;IFS(F238&lt;&gt;"""",F238&amp;"","",
F238="""",VLOOKUP(A238,{'Data Model Parser'!$C$4:$C1626,'Data Model Parser'!$I$4:$I1626},2,0)&amp;"","")
&amp;IFS(G238&lt;&gt;"""",G238,
G238="""",VLOOKUP(A238,{'Data Model Parser'!$C$4:$C1626,'Data Model "&amp;"Parser'!$K$4:$K1626},2,0)))))"),"push_button_config_key_3,10,260,64517,42,48,,,,,86400")</f>
        <v>push_button_config_key_3,10,260,64517,42,48,,,,,86400</v>
      </c>
      <c r="P238" s="19"/>
      <c r="Q238" s="18" t="str">
        <f ca="1">IFERROR(__xludf.DUMMYFUNCTION("""COMPUTED_VALUE"""),"")</f>
        <v/>
      </c>
      <c r="R238" s="19"/>
      <c r="S238" s="20" t="str">
        <f ca="1">IFERROR(__xludf.DUMMYFUNCTION("""COMPUTED_VALUE"""),"state_variable_2,10,260,513,61552,32,,0,900,0")</f>
        <v>state_variable_2,10,260,513,61552,32,,0,900,0</v>
      </c>
      <c r="X238" s="18" t="str">
        <f ca="1">IFERROR(__xludf.DUMMYFUNCTION("""COMPUTED_VALUE"""),"state_variable_1")</f>
        <v>state_variable_1</v>
      </c>
      <c r="Y238" s="18" t="str">
        <f ca="1">IFERROR(__xludf.DUMMYFUNCTION("UNIQUE(FILTER({$DE$4:$DE1626,$DH$4:$ES1626}, $DE$4:$DE1626=A238))"),"push_button_config_key_3")</f>
        <v>push_button_config_key_3</v>
      </c>
      <c r="Z238" s="18" t="str">
        <f ca="1">IFERROR(__xludf.DUMMYFUNCTION("""COMPUTED_VALUE"""),"""none""")</f>
        <v>"none"</v>
      </c>
      <c r="AA238" s="18" t="str">
        <f ca="1">IFERROR(__xludf.DUMMYFUNCTION("""COMPUTED_VALUE"""),"""up_arrow""")</f>
        <v>"up_arrow"</v>
      </c>
      <c r="AB238" s="18" t="str">
        <f ca="1">IFERROR(__xludf.DUMMYFUNCTION("""COMPUTED_VALUE"""),"""down_arrow""")</f>
        <v>"down_arrow"</v>
      </c>
      <c r="AC238" s="18" t="str">
        <f ca="1">IFERROR(__xludf.DUMMYFUNCTION("""COMPUTED_VALUE"""),"""on_off""")</f>
        <v>"on_off"</v>
      </c>
      <c r="AD238" s="18" t="str">
        <f ca="1">IFERROR(__xludf.DUMMYFUNCTION("""COMPUTED_VALUE"""),"""cycle_modes""")</f>
        <v>"cycle_modes"</v>
      </c>
      <c r="AE238" s="18" t="str">
        <f ca="1">IFERROR(__xludf.DUMMYFUNCTION("""COMPUTED_VALUE"""),"""heat""")</f>
        <v>"heat"</v>
      </c>
      <c r="AF238" s="18" t="str">
        <f ca="1">IFERROR(__xludf.DUMMYFUNCTION("""COMPUTED_VALUE"""),"""cool""")</f>
        <v>"cool"</v>
      </c>
      <c r="AG238" s="18" t="str">
        <f ca="1">IFERROR(__xludf.DUMMYFUNCTION("""COMPUTED_VALUE"""),"""auto""")</f>
        <v>"auto"</v>
      </c>
      <c r="AH238" s="18" t="str">
        <f ca="1">IFERROR(__xludf.DUMMYFUNCTION("""COMPUTED_VALUE"""),"""cycle_fan""")</f>
        <v>"cycle_fan"</v>
      </c>
      <c r="AI238" s="18" t="str">
        <f ca="1">IFERROR(__xludf.DUMMYFUNCTION("""COMPUTED_VALUE"""),"""fan_up""")</f>
        <v>"fan_up"</v>
      </c>
      <c r="AJ238" s="18" t="str">
        <f ca="1">IFERROR(__xludf.DUMMYFUNCTION("""COMPUTED_VALUE"""),"""fan_down""")</f>
        <v>"fan_down"</v>
      </c>
      <c r="AK238" s="18" t="str">
        <f ca="1">IFERROR(__xludf.DUMMYFUNCTION("""COMPUTED_VALUE"""),"""change_temp_units""")</f>
        <v>"change_temp_units"</v>
      </c>
      <c r="AL238" s="18" t="str">
        <f ca="1">IFERROR(__xludf.DUMMYFUNCTION("""COMPUTED_VALUE"""),"""leaf""")</f>
        <v>"leaf"</v>
      </c>
      <c r="AM238" s="18" t="str">
        <f ca="1">IFERROR(__xludf.DUMMYFUNCTION("""COMPUTED_VALUE"""),"""backlight""")</f>
        <v>"backlight"</v>
      </c>
      <c r="AN238" s="18" t="str">
        <f ca="1">IFERROR(__xludf.DUMMYFUNCTION("""COMPUTED_VALUE"""),"""DND""")</f>
        <v>"DND"</v>
      </c>
      <c r="AO238" s="18" t="str">
        <f ca="1">IFERROR(__xludf.DUMMYFUNCTION("""COMPUTED_VALUE"""),"""MUR""")</f>
        <v>"MUR"</v>
      </c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P238" s="10"/>
      <c r="BW238" s="10"/>
      <c r="CF238" s="10"/>
      <c r="CM238" s="10"/>
      <c r="CP238" s="18" t="str">
        <f ca="1"/>
        <v/>
      </c>
      <c r="CQ238" s="18" t="str">
        <f ca="1"/>
        <v/>
      </c>
      <c r="CR238" s="18" t="str">
        <f ca="1"/>
        <v/>
      </c>
      <c r="CS238" s="18" t="str">
        <f ca="1"/>
        <v/>
      </c>
      <c r="CT238" s="18" t="str">
        <f ca="1"/>
        <v/>
      </c>
      <c r="CV238" s="10"/>
      <c r="CY238" s="18" t="str">
        <f ca="1"/>
        <v/>
      </c>
      <c r="CZ238" s="18" t="str">
        <f ca="1"/>
        <v/>
      </c>
      <c r="DA238" s="18" t="str">
        <f ca="1"/>
        <v/>
      </c>
      <c r="DC238" s="10"/>
    </row>
    <row r="239" spans="1:107" x14ac:dyDescent="0.25">
      <c r="A239" s="15" t="s">
        <v>427</v>
      </c>
      <c r="B239" s="15"/>
      <c r="C239" s="15"/>
      <c r="D239" s="16"/>
      <c r="E239" s="15"/>
      <c r="F239" s="15"/>
      <c r="G239" s="15"/>
      <c r="H239" s="17" t="str">
        <f ca="1">IFERROR(__xludf.DUMMYFUNCTION("""COMPUTED_VALUE"""),"")</f>
        <v/>
      </c>
      <c r="I239" s="15" t="s">
        <v>29</v>
      </c>
      <c r="J239" s="15" t="s">
        <v>29</v>
      </c>
      <c r="K239" s="15" t="s">
        <v>29</v>
      </c>
      <c r="L239" s="15" t="s">
        <v>29</v>
      </c>
      <c r="M239" s="15" t="s">
        <v>29</v>
      </c>
      <c r="N239" s="16"/>
      <c r="O239" s="18" t="str">
        <f ca="1">IFERROR(__xludf.DUMMYFUNCTION("IF(A239="""","""",A239
&amp;"",""
&amp;HEX2DEC(VLOOKUP(A239,{'Data Model Parser'!$C$4:$C1626,'Data Model Parser'!$U$4:$U1626},2,0))
&amp;"",""
&amp;HEX2DEC(VLOOKUP(A239,{'Data Model Parser'!$C$4:$C1626,'Data Model Parser'!$V$4:$V1626},2,0))
&amp;"",""
&amp;HEX2DEC(VLOOKUP(A239,{"&amp;"'Data Model Parser'!$C$4:$C1626,'Data Model Parser'!$W$4:$W1626},2,0))
&amp;"",""
&amp;HEX2DEC(VLOOKUP(A239,{'Data Model Parser'!$C$4:$C1626,'Data Model Parser'!$T$4:$T1626},2,0))
&amp;"",""
&amp;HEX2DEC(VLOOKUP(A239,{'Data Model Parser'!$C$4:$C1626,'Data Model Parser'!$"&amp;"X$4:$X1626},2,0))
&amp;"",""
&amp;IFS(
B239="""","""",
REGEXREPLACE(B239,CHAR(34),"""")=""none"",""0"",
REGEXREPLACE(B239,CHAR(34),"""")=""up_arrow"",""1"",
REGEXREPLACE(B239,CHAR(34),"""")=""down_arrow"",""2"",
REGEXREPLACE(B239,CHAR(34),"""")=""on_off"",""3"",
"&amp;"REGEXREPLACE(B239,CHAR(34),"""")=""cycle_modes"",""4"",
REGEXREPLACE(B239,CHAR(34),"""")=""heat"",""5"",
REGEXREPLACE(B239,CHAR(34),"""")=""cool"",""6"",
REGEXREPLACE(B239,CHAR(34),"""")=""auto"",""7"",
REGEXREPLACE(B239,CHAR(34),"""")=""cycle_fan"",""8"""&amp;",
REGEXREPLACE(B239,CHAR(34),"""")=""fan_up"",""9"",
REGEXREPLACE(B239,CHAR(34),"""")=""fan_down"",""10"",
REGEXREPLACE(B239,CHAR(34),"""")=""change_temp_units"",""11"",
REGEXREPLACE(B239,CHAR(34),"""")=""leaf"",""12"",
REGEXREPLACE(B239,CHAR(34),"""")="""&amp;"backlight"",""13"",
REGEXREPLACE(B239,CHAR(34),"""")=""DND"",""14"",
REGEXREPLACE(B239,CHAR(34),"""")=""MUR"",""15"")
&amp;"",""
&amp;IF(VLOOKUP(A239,{'Data Model Parser'!$C$4:$C1626,'Data Model Parser'!$G$4:$G1626},2,0)=""polled"","",,,""&amp;VLOOKUP(A239,{'Data Mod"&amp;"el Parser'!$C$4:$C1626,'Data Model Parser'!$H$4:$H1626},2,0),
IF(VLOOKUP(A239,{'Data Model Parser'!$C$4:$C1626,'Data Model Parser'!$G$4:$G1626},2,0)=""reported"",
IFS(E239&lt;&gt;"""",E239&amp;"","",
E239="""",VLOOKUP(A239,{'Data Model Parser'!$C$4:$C1626,'Data Mod"&amp;"el Parser'!$J$4:$J1626},2,0)&amp;"","")
&amp;IFS(F239&lt;&gt;"""",F239&amp;"","",
F239="""",VLOOKUP(A239,{'Data Model Parser'!$C$4:$C1626,'Data Model Parser'!$I$4:$I1626},2,0)&amp;"","")
&amp;IFS(G239&lt;&gt;"""",G239,
G239="""",VLOOKUP(A239,{'Data Model Parser'!$C$4:$C1626,'Data Model "&amp;"Parser'!$K$4:$K1626},2,0)))))"),"push_button_config_key_4,10,260,64517,43,48,,,,,86400")</f>
        <v>push_button_config_key_4,10,260,64517,43,48,,,,,86400</v>
      </c>
      <c r="P239" s="19"/>
      <c r="Q239" s="18" t="str">
        <f ca="1">IFERROR(__xludf.DUMMYFUNCTION("""COMPUTED_VALUE"""),"")</f>
        <v/>
      </c>
      <c r="R239" s="19"/>
      <c r="S239" s="20" t="str">
        <f ca="1">IFERROR(__xludf.DUMMYFUNCTION("""COMPUTED_VALUE"""),"state_variable_3,10,260,513,61553,32,1,0,900,0")</f>
        <v>state_variable_3,10,260,513,61553,32,1,0,900,0</v>
      </c>
      <c r="X239" s="18" t="str">
        <f ca="1">IFERROR(__xludf.DUMMYFUNCTION("""COMPUTED_VALUE"""),"state_variable_2")</f>
        <v>state_variable_2</v>
      </c>
      <c r="Y239" s="18" t="str">
        <f ca="1">IFERROR(__xludf.DUMMYFUNCTION("UNIQUE(FILTER({$DE$4:$DE1626,$DH$4:$ES1626}, $DE$4:$DE1626=A239))"),"push_button_config_key_4")</f>
        <v>push_button_config_key_4</v>
      </c>
      <c r="Z239" s="18" t="str">
        <f ca="1">IFERROR(__xludf.DUMMYFUNCTION("""COMPUTED_VALUE"""),"""none""")</f>
        <v>"none"</v>
      </c>
      <c r="AA239" s="18" t="str">
        <f ca="1">IFERROR(__xludf.DUMMYFUNCTION("""COMPUTED_VALUE"""),"""up_arrow""")</f>
        <v>"up_arrow"</v>
      </c>
      <c r="AB239" s="18" t="str">
        <f ca="1">IFERROR(__xludf.DUMMYFUNCTION("""COMPUTED_VALUE"""),"""down_arrow""")</f>
        <v>"down_arrow"</v>
      </c>
      <c r="AC239" s="18" t="str">
        <f ca="1">IFERROR(__xludf.DUMMYFUNCTION("""COMPUTED_VALUE"""),"""on_off""")</f>
        <v>"on_off"</v>
      </c>
      <c r="AD239" s="18" t="str">
        <f ca="1">IFERROR(__xludf.DUMMYFUNCTION("""COMPUTED_VALUE"""),"""cycle_modes""")</f>
        <v>"cycle_modes"</v>
      </c>
      <c r="AE239" s="18" t="str">
        <f ca="1">IFERROR(__xludf.DUMMYFUNCTION("""COMPUTED_VALUE"""),"""heat""")</f>
        <v>"heat"</v>
      </c>
      <c r="AF239" s="18" t="str">
        <f ca="1">IFERROR(__xludf.DUMMYFUNCTION("""COMPUTED_VALUE"""),"""cool""")</f>
        <v>"cool"</v>
      </c>
      <c r="AG239" s="18" t="str">
        <f ca="1">IFERROR(__xludf.DUMMYFUNCTION("""COMPUTED_VALUE"""),"""auto""")</f>
        <v>"auto"</v>
      </c>
      <c r="AH239" s="18" t="str">
        <f ca="1">IFERROR(__xludf.DUMMYFUNCTION("""COMPUTED_VALUE"""),"""cycle_fan""")</f>
        <v>"cycle_fan"</v>
      </c>
      <c r="AI239" s="18" t="str">
        <f ca="1">IFERROR(__xludf.DUMMYFUNCTION("""COMPUTED_VALUE"""),"""fan_up""")</f>
        <v>"fan_up"</v>
      </c>
      <c r="AJ239" s="18" t="str">
        <f ca="1">IFERROR(__xludf.DUMMYFUNCTION("""COMPUTED_VALUE"""),"""fan_down""")</f>
        <v>"fan_down"</v>
      </c>
      <c r="AK239" s="18" t="str">
        <f ca="1">IFERROR(__xludf.DUMMYFUNCTION("""COMPUTED_VALUE"""),"""change_temp_units""")</f>
        <v>"change_temp_units"</v>
      </c>
      <c r="AL239" s="18" t="str">
        <f ca="1">IFERROR(__xludf.DUMMYFUNCTION("""COMPUTED_VALUE"""),"""leaf""")</f>
        <v>"leaf"</v>
      </c>
      <c r="AM239" s="18" t="str">
        <f ca="1">IFERROR(__xludf.DUMMYFUNCTION("""COMPUTED_VALUE"""),"""backlight""")</f>
        <v>"backlight"</v>
      </c>
      <c r="AN239" s="18" t="str">
        <f ca="1">IFERROR(__xludf.DUMMYFUNCTION("""COMPUTED_VALUE"""),"""DND""")</f>
        <v>"DND"</v>
      </c>
      <c r="AO239" s="18" t="str">
        <f ca="1">IFERROR(__xludf.DUMMYFUNCTION("""COMPUTED_VALUE"""),"""MUR""")</f>
        <v>"MUR"</v>
      </c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P239" s="10"/>
      <c r="BW239" s="10"/>
      <c r="CF239" s="10"/>
      <c r="CM239" s="10"/>
      <c r="CP239" s="18" t="str">
        <f ca="1"/>
        <v/>
      </c>
      <c r="CQ239" s="18" t="str">
        <f ca="1"/>
        <v/>
      </c>
      <c r="CR239" s="18" t="str">
        <f ca="1"/>
        <v/>
      </c>
      <c r="CS239" s="18" t="str">
        <f ca="1"/>
        <v/>
      </c>
      <c r="CT239" s="18" t="str">
        <f ca="1"/>
        <v/>
      </c>
      <c r="CV239" s="10"/>
      <c r="CY239" s="18" t="str">
        <f ca="1"/>
        <v/>
      </c>
      <c r="CZ239" s="18" t="str">
        <f ca="1"/>
        <v/>
      </c>
      <c r="DA239" s="18" t="str">
        <f ca="1"/>
        <v/>
      </c>
      <c r="DC239" s="10"/>
    </row>
    <row r="240" spans="1:107" x14ac:dyDescent="0.25">
      <c r="A240" s="15" t="s">
        <v>428</v>
      </c>
      <c r="B240" s="15"/>
      <c r="C240" s="15"/>
      <c r="D240" s="16"/>
      <c r="E240" s="15"/>
      <c r="F240" s="15"/>
      <c r="G240" s="15"/>
      <c r="H240" s="17" t="str">
        <f ca="1">IFERROR(__xludf.DUMMYFUNCTION("""COMPUTED_VALUE"""),"")</f>
        <v/>
      </c>
      <c r="I240" s="15" t="s">
        <v>29</v>
      </c>
      <c r="J240" s="15" t="s">
        <v>29</v>
      </c>
      <c r="K240" s="15" t="s">
        <v>29</v>
      </c>
      <c r="L240" s="15" t="s">
        <v>29</v>
      </c>
      <c r="M240" s="15" t="s">
        <v>29</v>
      </c>
      <c r="N240" s="16"/>
      <c r="O240" s="18" t="str">
        <f ca="1">IFERROR(__xludf.DUMMYFUNCTION("IF(A240="""","""",A240
&amp;"",""
&amp;HEX2DEC(VLOOKUP(A240,{'Data Model Parser'!$C$4:$C1626,'Data Model Parser'!$U$4:$U1626},2,0))
&amp;"",""
&amp;HEX2DEC(VLOOKUP(A240,{'Data Model Parser'!$C$4:$C1626,'Data Model Parser'!$V$4:$V1626},2,0))
&amp;"",""
&amp;HEX2DEC(VLOOKUP(A240,{"&amp;"'Data Model Parser'!$C$4:$C1626,'Data Model Parser'!$W$4:$W1626},2,0))
&amp;"",""
&amp;HEX2DEC(VLOOKUP(A240,{'Data Model Parser'!$C$4:$C1626,'Data Model Parser'!$T$4:$T1626},2,0))
&amp;"",""
&amp;HEX2DEC(VLOOKUP(A240,{'Data Model Parser'!$C$4:$C1626,'Data Model Parser'!$"&amp;"X$4:$X1626},2,0))
&amp;"",""
&amp;IFS(
B240="""","""",
REGEXREPLACE(B240,CHAR(34),"""")=""none"",""0"",
REGEXREPLACE(B240,CHAR(34),"""")=""up_arrow"",""1"",
REGEXREPLACE(B240,CHAR(34),"""")=""down_arrow"",""2"",
REGEXREPLACE(B240,CHAR(34),"""")=""on_off"",""3"",
"&amp;"REGEXREPLACE(B240,CHAR(34),"""")=""cycle_modes"",""4"",
REGEXREPLACE(B240,CHAR(34),"""")=""heat"",""5"",
REGEXREPLACE(B240,CHAR(34),"""")=""cool"",""6"",
REGEXREPLACE(B240,CHAR(34),"""")=""auto"",""7"",
REGEXREPLACE(B240,CHAR(34),"""")=""cycle_fan"",""8"""&amp;",
REGEXREPLACE(B240,CHAR(34),"""")=""fan_up"",""9"",
REGEXREPLACE(B240,CHAR(34),"""")=""fan_down"",""10"",
REGEXREPLACE(B240,CHAR(34),"""")=""change_temp_units"",""11"",
REGEXREPLACE(B240,CHAR(34),"""")=""leaf"",""12"",
REGEXREPLACE(B240,CHAR(34),"""")="""&amp;"backlight"",""13"",
REGEXREPLACE(B240,CHAR(34),"""")=""DND"",""14"",
REGEXREPLACE(B240,CHAR(34),"""")=""MUR"",""15"")
&amp;"",""
&amp;IF(VLOOKUP(A240,{'Data Model Parser'!$C$4:$C1626,'Data Model Parser'!$G$4:$G1626},2,0)=""polled"","",,,""&amp;VLOOKUP(A240,{'Data Mod"&amp;"el Parser'!$C$4:$C1626,'Data Model Parser'!$H$4:$H1626},2,0),
IF(VLOOKUP(A240,{'Data Model Parser'!$C$4:$C1626,'Data Model Parser'!$G$4:$G1626},2,0)=""reported"",
IFS(E240&lt;&gt;"""",E240&amp;"","",
E240="""",VLOOKUP(A240,{'Data Model Parser'!$C$4:$C1626,'Data Mod"&amp;"el Parser'!$J$4:$J1626},2,0)&amp;"","")
&amp;IFS(F240&lt;&gt;"""",F240&amp;"","",
F240="""",VLOOKUP(A240,{'Data Model Parser'!$C$4:$C1626,'Data Model Parser'!$I$4:$I1626},2,0)&amp;"","")
&amp;IFS(G240&lt;&gt;"""",G240,
G240="""",VLOOKUP(A240,{'Data Model Parser'!$C$4:$C1626,'Data Model "&amp;"Parser'!$K$4:$K1626},2,0)))))"),"push_button_config_key_5,10,260,64517,44,48,,,,,86400")</f>
        <v>push_button_config_key_5,10,260,64517,44,48,,,,,86400</v>
      </c>
      <c r="P240" s="19"/>
      <c r="Q240" s="18" t="str">
        <f ca="1">IFERROR(__xludf.DUMMYFUNCTION("""COMPUTED_VALUE"""),"")</f>
        <v/>
      </c>
      <c r="R240" s="19"/>
      <c r="S240" s="20" t="str">
        <f ca="1">IFERROR(__xludf.DUMMYFUNCTION("""COMPUTED_VALUE"""),"system_mode,10,260,513,28,48,,0,3600,0")</f>
        <v>system_mode,10,260,513,28,48,,0,3600,0</v>
      </c>
      <c r="X240" s="18" t="str">
        <f ca="1">IFERROR(__xludf.DUMMYFUNCTION("""COMPUTED_VALUE"""),"state_variable_3")</f>
        <v>state_variable_3</v>
      </c>
      <c r="Y240" s="18" t="str">
        <f ca="1">IFERROR(__xludf.DUMMYFUNCTION("UNIQUE(FILTER({$DE$4:$DE1626,$DH$4:$ES1626}, $DE$4:$DE1626=A240))"),"push_button_config_key_5")</f>
        <v>push_button_config_key_5</v>
      </c>
      <c r="Z240" s="18" t="str">
        <f ca="1">IFERROR(__xludf.DUMMYFUNCTION("""COMPUTED_VALUE"""),"""none""")</f>
        <v>"none"</v>
      </c>
      <c r="AA240" s="18" t="str">
        <f ca="1">IFERROR(__xludf.DUMMYFUNCTION("""COMPUTED_VALUE"""),"""up_arrow""")</f>
        <v>"up_arrow"</v>
      </c>
      <c r="AB240" s="18" t="str">
        <f ca="1">IFERROR(__xludf.DUMMYFUNCTION("""COMPUTED_VALUE"""),"""down_arrow""")</f>
        <v>"down_arrow"</v>
      </c>
      <c r="AC240" s="18" t="str">
        <f ca="1">IFERROR(__xludf.DUMMYFUNCTION("""COMPUTED_VALUE"""),"""on_off""")</f>
        <v>"on_off"</v>
      </c>
      <c r="AD240" s="18" t="str">
        <f ca="1">IFERROR(__xludf.DUMMYFUNCTION("""COMPUTED_VALUE"""),"""cycle_modes""")</f>
        <v>"cycle_modes"</v>
      </c>
      <c r="AE240" s="18" t="str">
        <f ca="1">IFERROR(__xludf.DUMMYFUNCTION("""COMPUTED_VALUE"""),"""heat""")</f>
        <v>"heat"</v>
      </c>
      <c r="AF240" s="18" t="str">
        <f ca="1">IFERROR(__xludf.DUMMYFUNCTION("""COMPUTED_VALUE"""),"""cool""")</f>
        <v>"cool"</v>
      </c>
      <c r="AG240" s="18" t="str">
        <f ca="1">IFERROR(__xludf.DUMMYFUNCTION("""COMPUTED_VALUE"""),"""auto""")</f>
        <v>"auto"</v>
      </c>
      <c r="AH240" s="18" t="str">
        <f ca="1">IFERROR(__xludf.DUMMYFUNCTION("""COMPUTED_VALUE"""),"""cycle_fan""")</f>
        <v>"cycle_fan"</v>
      </c>
      <c r="AI240" s="18" t="str">
        <f ca="1">IFERROR(__xludf.DUMMYFUNCTION("""COMPUTED_VALUE"""),"""fan_up""")</f>
        <v>"fan_up"</v>
      </c>
      <c r="AJ240" s="18" t="str">
        <f ca="1">IFERROR(__xludf.DUMMYFUNCTION("""COMPUTED_VALUE"""),"""fan_down""")</f>
        <v>"fan_down"</v>
      </c>
      <c r="AK240" s="18" t="str">
        <f ca="1">IFERROR(__xludf.DUMMYFUNCTION("""COMPUTED_VALUE"""),"""change_temp_units""")</f>
        <v>"change_temp_units"</v>
      </c>
      <c r="AL240" s="18" t="str">
        <f ca="1">IFERROR(__xludf.DUMMYFUNCTION("""COMPUTED_VALUE"""),"""leaf""")</f>
        <v>"leaf"</v>
      </c>
      <c r="AM240" s="18" t="str">
        <f ca="1">IFERROR(__xludf.DUMMYFUNCTION("""COMPUTED_VALUE"""),"""backlight""")</f>
        <v>"backlight"</v>
      </c>
      <c r="AN240" s="18" t="str">
        <f ca="1">IFERROR(__xludf.DUMMYFUNCTION("""COMPUTED_VALUE"""),"""DND""")</f>
        <v>"DND"</v>
      </c>
      <c r="AO240" s="18" t="str">
        <f ca="1">IFERROR(__xludf.DUMMYFUNCTION("""COMPUTED_VALUE"""),"""MUR""")</f>
        <v>"MUR"</v>
      </c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P240" s="10"/>
      <c r="BW240" s="10"/>
      <c r="CF240" s="10"/>
      <c r="CM240" s="10"/>
      <c r="CP240" s="18" t="str">
        <f ca="1"/>
        <v/>
      </c>
      <c r="CQ240" s="18" t="str">
        <f ca="1"/>
        <v/>
      </c>
      <c r="CR240" s="18" t="str">
        <f ca="1"/>
        <v/>
      </c>
      <c r="CS240" s="18" t="str">
        <f ca="1"/>
        <v/>
      </c>
      <c r="CT240" s="18" t="str">
        <f ca="1"/>
        <v/>
      </c>
      <c r="CV240" s="10"/>
      <c r="CY240" s="18" t="str">
        <f ca="1"/>
        <v/>
      </c>
      <c r="CZ240" s="18" t="str">
        <f ca="1"/>
        <v/>
      </c>
      <c r="DA240" s="18" t="str">
        <f ca="1"/>
        <v/>
      </c>
      <c r="DC240" s="10"/>
    </row>
    <row r="241" spans="1:107" x14ac:dyDescent="0.25">
      <c r="A241" s="15" t="s">
        <v>429</v>
      </c>
      <c r="B241" s="15"/>
      <c r="C241" s="15"/>
      <c r="D241" s="16"/>
      <c r="E241" s="15"/>
      <c r="F241" s="15"/>
      <c r="G241" s="15"/>
      <c r="H241" s="17" t="str">
        <f ca="1">IFERROR(__xludf.DUMMYFUNCTION("""COMPUTED_VALUE"""),"")</f>
        <v/>
      </c>
      <c r="I241" s="15" t="s">
        <v>29</v>
      </c>
      <c r="J241" s="15" t="s">
        <v>29</v>
      </c>
      <c r="K241" s="15" t="s">
        <v>29</v>
      </c>
      <c r="L241" s="15" t="s">
        <v>29</v>
      </c>
      <c r="M241" s="15" t="s">
        <v>29</v>
      </c>
      <c r="N241" s="16"/>
      <c r="O241" s="18" t="str">
        <f ca="1">IFERROR(__xludf.DUMMYFUNCTION("IF(A241="""","""",A241
&amp;"",""
&amp;HEX2DEC(VLOOKUP(A241,{'Data Model Parser'!$C$4:$C1626,'Data Model Parser'!$U$4:$U1626},2,0))
&amp;"",""
&amp;HEX2DEC(VLOOKUP(A241,{'Data Model Parser'!$C$4:$C1626,'Data Model Parser'!$V$4:$V1626},2,0))
&amp;"",""
&amp;HEX2DEC(VLOOKUP(A241,{"&amp;"'Data Model Parser'!$C$4:$C1626,'Data Model Parser'!$W$4:$W1626},2,0))
&amp;"",""
&amp;HEX2DEC(VLOOKUP(A241,{'Data Model Parser'!$C$4:$C1626,'Data Model Parser'!$T$4:$T1626},2,0))
&amp;"",""
&amp;HEX2DEC(VLOOKUP(A241,{'Data Model Parser'!$C$4:$C1626,'Data Model Parser'!$"&amp;"X$4:$X1626},2,0))
&amp;"",""
&amp;IFS(
B241="""","""",
REGEXREPLACE(B241,CHAR(34),"""")=""none"",""0"",
REGEXREPLACE(B241,CHAR(34),"""")=""up_arrow"",""1"",
REGEXREPLACE(B241,CHAR(34),"""")=""down_arrow"",""2"",
REGEXREPLACE(B241,CHAR(34),"""")=""on_off"",""3"",
"&amp;"REGEXREPLACE(B241,CHAR(34),"""")=""cycle_modes"",""4"",
REGEXREPLACE(B241,CHAR(34),"""")=""heat"",""5"",
REGEXREPLACE(B241,CHAR(34),"""")=""cool"",""6"",
REGEXREPLACE(B241,CHAR(34),"""")=""auto"",""7"",
REGEXREPLACE(B241,CHAR(34),"""")=""cycle_fan"",""8"""&amp;",
REGEXREPLACE(B241,CHAR(34),"""")=""fan_up"",""9"",
REGEXREPLACE(B241,CHAR(34),"""")=""fan_down"",""10"",
REGEXREPLACE(B241,CHAR(34),"""")=""change_temp_units"",""11"",
REGEXREPLACE(B241,CHAR(34),"""")=""leaf"",""12"",
REGEXREPLACE(B241,CHAR(34),"""")="""&amp;"backlight"",""13"",
REGEXREPLACE(B241,CHAR(34),"""")=""DND"",""14"",
REGEXREPLACE(B241,CHAR(34),"""")=""MUR"",""15"")
&amp;"",""
&amp;IF(VLOOKUP(A241,{'Data Model Parser'!$C$4:$C1626,'Data Model Parser'!$G$4:$G1626},2,0)=""polled"","",,,""&amp;VLOOKUP(A241,{'Data Mod"&amp;"el Parser'!$C$4:$C1626,'Data Model Parser'!$H$4:$H1626},2,0),
IF(VLOOKUP(A241,{'Data Model Parser'!$C$4:$C1626,'Data Model Parser'!$G$4:$G1626},2,0)=""reported"",
IFS(E241&lt;&gt;"""",E241&amp;"","",
E241="""",VLOOKUP(A241,{'Data Model Parser'!$C$4:$C1626,'Data Mod"&amp;"el Parser'!$J$4:$J1626},2,0)&amp;"","")
&amp;IFS(F241&lt;&gt;"""",F241&amp;"","",
F241="""",VLOOKUP(A241,{'Data Model Parser'!$C$4:$C1626,'Data Model Parser'!$I$4:$I1626},2,0)&amp;"","")
&amp;IFS(G241&lt;&gt;"""",G241,
G241="""",VLOOKUP(A241,{'Data Model Parser'!$C$4:$C1626,'Data Model "&amp;"Parser'!$K$4:$K1626},2,0)))))"),"push_button_config_key_6,10,260,64517,45,48,,,,,86400")</f>
        <v>push_button_config_key_6,10,260,64517,45,48,,,,,86400</v>
      </c>
      <c r="P241" s="19"/>
      <c r="Q241" s="18" t="str">
        <f ca="1">IFERROR(__xludf.DUMMYFUNCTION("""COMPUTED_VALUE"""),"")</f>
        <v/>
      </c>
      <c r="R241" s="19"/>
      <c r="S241" s="20" t="str">
        <f ca="1">IFERROR(__xludf.DUMMYFUNCTION("""COMPUTED_VALUE"""),"system_modes_available,10,260,513,61467,48,,0,3600,0")</f>
        <v>system_modes_available,10,260,513,61467,48,,0,3600,0</v>
      </c>
      <c r="X241" s="18" t="str">
        <f ca="1">IFERROR(__xludf.DUMMYFUNCTION("""COMPUTED_VALUE"""),"system_mode")</f>
        <v>system_mode</v>
      </c>
      <c r="Y241" s="18" t="str">
        <f ca="1">IFERROR(__xludf.DUMMYFUNCTION("UNIQUE(FILTER({$DE$4:$DE1626,$DH$4:$ES1626}, $DE$4:$DE1626=A241))"),"push_button_config_key_6")</f>
        <v>push_button_config_key_6</v>
      </c>
      <c r="Z241" s="18" t="str">
        <f ca="1">IFERROR(__xludf.DUMMYFUNCTION("""COMPUTED_VALUE"""),"""none""")</f>
        <v>"none"</v>
      </c>
      <c r="AA241" s="18" t="str">
        <f ca="1">IFERROR(__xludf.DUMMYFUNCTION("""COMPUTED_VALUE"""),"""up_arrow""")</f>
        <v>"up_arrow"</v>
      </c>
      <c r="AB241" s="18" t="str">
        <f ca="1">IFERROR(__xludf.DUMMYFUNCTION("""COMPUTED_VALUE"""),"""down_arrow""")</f>
        <v>"down_arrow"</v>
      </c>
      <c r="AC241" s="18" t="str">
        <f ca="1">IFERROR(__xludf.DUMMYFUNCTION("""COMPUTED_VALUE"""),"""on_off""")</f>
        <v>"on_off"</v>
      </c>
      <c r="AD241" s="18" t="str">
        <f ca="1">IFERROR(__xludf.DUMMYFUNCTION("""COMPUTED_VALUE"""),"""cycle_modes""")</f>
        <v>"cycle_modes"</v>
      </c>
      <c r="AE241" s="18" t="str">
        <f ca="1">IFERROR(__xludf.DUMMYFUNCTION("""COMPUTED_VALUE"""),"""heat""")</f>
        <v>"heat"</v>
      </c>
      <c r="AF241" s="18" t="str">
        <f ca="1">IFERROR(__xludf.DUMMYFUNCTION("""COMPUTED_VALUE"""),"""cool""")</f>
        <v>"cool"</v>
      </c>
      <c r="AG241" s="18" t="str">
        <f ca="1">IFERROR(__xludf.DUMMYFUNCTION("""COMPUTED_VALUE"""),"""auto""")</f>
        <v>"auto"</v>
      </c>
      <c r="AH241" s="18" t="str">
        <f ca="1">IFERROR(__xludf.DUMMYFUNCTION("""COMPUTED_VALUE"""),"""cycle_fan""")</f>
        <v>"cycle_fan"</v>
      </c>
      <c r="AI241" s="18" t="str">
        <f ca="1">IFERROR(__xludf.DUMMYFUNCTION("""COMPUTED_VALUE"""),"""fan_up""")</f>
        <v>"fan_up"</v>
      </c>
      <c r="AJ241" s="18" t="str">
        <f ca="1">IFERROR(__xludf.DUMMYFUNCTION("""COMPUTED_VALUE"""),"""fan_down""")</f>
        <v>"fan_down"</v>
      </c>
      <c r="AK241" s="18" t="str">
        <f ca="1">IFERROR(__xludf.DUMMYFUNCTION("""COMPUTED_VALUE"""),"""change_temp_units""")</f>
        <v>"change_temp_units"</v>
      </c>
      <c r="AL241" s="18" t="str">
        <f ca="1">IFERROR(__xludf.DUMMYFUNCTION("""COMPUTED_VALUE"""),"""leaf""")</f>
        <v>"leaf"</v>
      </c>
      <c r="AM241" s="18" t="str">
        <f ca="1">IFERROR(__xludf.DUMMYFUNCTION("""COMPUTED_VALUE"""),"""backlight""")</f>
        <v>"backlight"</v>
      </c>
      <c r="AN241" s="18" t="str">
        <f ca="1">IFERROR(__xludf.DUMMYFUNCTION("""COMPUTED_VALUE"""),"""DND""")</f>
        <v>"DND"</v>
      </c>
      <c r="AO241" s="18" t="str">
        <f ca="1">IFERROR(__xludf.DUMMYFUNCTION("""COMPUTED_VALUE"""),"""MUR""")</f>
        <v>"MUR"</v>
      </c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P241" s="10"/>
      <c r="BW241" s="10"/>
      <c r="CF241" s="10"/>
      <c r="CM241" s="10"/>
      <c r="CP241" s="18" t="str">
        <f ca="1"/>
        <v/>
      </c>
      <c r="CQ241" s="18" t="str">
        <f ca="1"/>
        <v/>
      </c>
      <c r="CR241" s="18" t="str">
        <f ca="1"/>
        <v/>
      </c>
      <c r="CS241" s="18" t="str">
        <f ca="1"/>
        <v/>
      </c>
      <c r="CT241" s="18" t="str">
        <f ca="1"/>
        <v/>
      </c>
      <c r="CV241" s="10"/>
      <c r="CY241" s="18" t="str">
        <f ca="1"/>
        <v/>
      </c>
      <c r="CZ241" s="18" t="str">
        <f ca="1"/>
        <v/>
      </c>
      <c r="DA241" s="18" t="str">
        <f ca="1"/>
        <v/>
      </c>
      <c r="DC241" s="10"/>
    </row>
    <row r="242" spans="1:107" x14ac:dyDescent="0.25">
      <c r="A242" s="15" t="s">
        <v>430</v>
      </c>
      <c r="B242" s="15" t="b">
        <v>0</v>
      </c>
      <c r="C242" s="15"/>
      <c r="D242" s="16"/>
      <c r="E242" s="15"/>
      <c r="F242" s="15"/>
      <c r="G242" s="15"/>
      <c r="H242" s="17" t="str">
        <f ca="1">IFERROR(__xludf.DUMMYFUNCTION("""COMPUTED_VALUE"""),"x")</f>
        <v>x</v>
      </c>
      <c r="I242" s="15" t="s">
        <v>29</v>
      </c>
      <c r="J242" s="15" t="s">
        <v>29</v>
      </c>
      <c r="K242" s="15" t="s">
        <v>29</v>
      </c>
      <c r="L242" s="15" t="s">
        <v>29</v>
      </c>
      <c r="M242" s="15" t="s">
        <v>29</v>
      </c>
      <c r="N242" s="16"/>
      <c r="O242" s="18" t="s">
        <v>431</v>
      </c>
      <c r="P242" s="19"/>
      <c r="Q242" s="18" t="str">
        <f ca="1">IFERROR(__xludf.DUMMYFUNCTION("""COMPUTED_VALUE"""),"zb -a 0xFC05 0x0030 0")</f>
        <v>zb -a 0xFC05 0x0030 0</v>
      </c>
      <c r="R242" s="19"/>
      <c r="S242" s="20" t="str">
        <f ca="1">IFERROR(__xludf.DUMMYFUNCTION("""COMPUTED_VALUE"""),"system_occ,10,260,513,2,24,,0,3600,0")</f>
        <v>system_occ,10,260,513,2,24,,0,3600,0</v>
      </c>
      <c r="X242" s="18" t="str">
        <f ca="1">IFERROR(__xludf.DUMMYFUNCTION("""COMPUTED_VALUE"""),"system_modes_available")</f>
        <v>system_modes_available</v>
      </c>
      <c r="BP242" s="10"/>
      <c r="BW242" s="10"/>
      <c r="CF242" s="10"/>
      <c r="CM242" s="10"/>
      <c r="CP242" s="18" t="str">
        <f ca="1"/>
        <v/>
      </c>
      <c r="CQ242" s="18" t="str">
        <f ca="1"/>
        <v/>
      </c>
      <c r="CR242" s="18" t="str">
        <f ca="1"/>
        <v/>
      </c>
      <c r="CS242" s="18" t="str">
        <f ca="1"/>
        <v/>
      </c>
      <c r="CT242" s="18" t="str">
        <f ca="1"/>
        <v/>
      </c>
      <c r="CV242" s="10"/>
      <c r="CY242" s="18" t="str">
        <f ca="1"/>
        <v/>
      </c>
      <c r="CZ242" s="18" t="str">
        <f ca="1"/>
        <v/>
      </c>
      <c r="DA242" s="18" t="str">
        <f ca="1"/>
        <v/>
      </c>
      <c r="DC242" s="10"/>
    </row>
    <row r="243" spans="1:107" x14ac:dyDescent="0.25">
      <c r="A243" s="15"/>
      <c r="B243" s="15"/>
      <c r="C243" s="15"/>
      <c r="D243" s="16"/>
      <c r="E243" s="15"/>
      <c r="F243" s="15"/>
      <c r="G243" s="15"/>
      <c r="H243" s="17" t="str">
        <f ca="1">IFERROR(__xludf.DUMMYFUNCTION("""COMPUTED_VALUE"""),"")</f>
        <v/>
      </c>
      <c r="I243" s="15" t="s">
        <v>29</v>
      </c>
      <c r="J243" s="15" t="s">
        <v>29</v>
      </c>
      <c r="K243" s="15" t="s">
        <v>29</v>
      </c>
      <c r="L243" s="15" t="s">
        <v>29</v>
      </c>
      <c r="M243" s="15" t="s">
        <v>29</v>
      </c>
      <c r="N243" s="16"/>
      <c r="P243" s="19"/>
      <c r="Q243" s="18" t="str">
        <f ca="1">IFERROR(__xludf.DUMMYFUNCTION("""COMPUTED_VALUE"""),"")</f>
        <v/>
      </c>
      <c r="R243" s="19"/>
      <c r="S243" s="20" t="str">
        <f ca="1">IFERROR(__xludf.DUMMYFUNCTION("""COMPUTED_VALUE"""),"system_temp,10,260,513,0,41,,0,1800,28")</f>
        <v>system_temp,10,260,513,0,41,,0,1800,28</v>
      </c>
      <c r="X243" s="18" t="str">
        <f ca="1">IFERROR(__xludf.DUMMYFUNCTION("""COMPUTED_VALUE"""),"system_occ")</f>
        <v>system_occ</v>
      </c>
      <c r="BP243" s="10"/>
      <c r="BW243" s="10"/>
      <c r="CF243" s="10"/>
      <c r="CM243" s="10"/>
      <c r="CP243" s="18" t="str">
        <f ca="1"/>
        <v/>
      </c>
      <c r="CQ243" s="18" t="str">
        <f ca="1"/>
        <v/>
      </c>
      <c r="CR243" s="18" t="str">
        <f ca="1"/>
        <v/>
      </c>
      <c r="CS243" s="18" t="str">
        <f ca="1"/>
        <v/>
      </c>
      <c r="CT243" s="18" t="str">
        <f ca="1"/>
        <v/>
      </c>
      <c r="CV243" s="10"/>
      <c r="CY243" s="18" t="str">
        <f ca="1"/>
        <v/>
      </c>
      <c r="CZ243" s="18" t="str">
        <f ca="1"/>
        <v/>
      </c>
      <c r="DA243" s="18" t="str">
        <f ca="1"/>
        <v/>
      </c>
      <c r="DC243" s="10"/>
    </row>
    <row r="244" spans="1:107" x14ac:dyDescent="0.25">
      <c r="A244" s="31" t="s">
        <v>432</v>
      </c>
      <c r="B244" s="31"/>
      <c r="C244" s="31"/>
      <c r="D244" s="9"/>
      <c r="E244" s="31"/>
      <c r="F244" s="31"/>
      <c r="G244" s="31"/>
      <c r="H244" s="3" t="str">
        <f ca="1">IFERROR(__xludf.DUMMYFUNCTION("""COMPUTED_VALUE"""),"")</f>
        <v/>
      </c>
      <c r="I244" s="31" t="s">
        <v>29</v>
      </c>
      <c r="J244" s="31" t="s">
        <v>29</v>
      </c>
      <c r="K244" s="31" t="s">
        <v>29</v>
      </c>
      <c r="L244" s="31" t="s">
        <v>29</v>
      </c>
      <c r="M244" s="31" t="s">
        <v>29</v>
      </c>
      <c r="N244" s="16"/>
      <c r="O244" s="10"/>
      <c r="P244" s="19"/>
      <c r="Q244" s="10" t="str">
        <f ca="1">IFERROR(__xludf.DUMMYFUNCTION("""COMPUTED_VALUE"""),"")</f>
        <v/>
      </c>
      <c r="R244" s="19"/>
      <c r="S244" s="20" t="str">
        <f ca="1">IFERROR(__xludf.DUMMYFUNCTION("""COMPUTED_VALUE"""),"tau_smoothing_alpha,10,260,513,61677,32,2500,,,,86400")</f>
        <v>tau_smoothing_alpha,10,260,513,61677,32,2500,,,,86400</v>
      </c>
      <c r="X244" s="18" t="str">
        <f ca="1">IFERROR(__xludf.DUMMYFUNCTION("""COMPUTED_VALUE"""),"system_temp")</f>
        <v>system_temp</v>
      </c>
      <c r="BP244" s="10"/>
      <c r="BW244" s="10"/>
      <c r="CF244" s="10"/>
      <c r="CM244" s="10"/>
      <c r="CP244" s="18" t="str">
        <f ca="1"/>
        <v/>
      </c>
      <c r="CQ244" s="18" t="str">
        <f ca="1"/>
        <v/>
      </c>
      <c r="CR244" s="18" t="str">
        <f ca="1"/>
        <v/>
      </c>
      <c r="CS244" s="18" t="str">
        <f ca="1"/>
        <v/>
      </c>
      <c r="CT244" s="18" t="str">
        <f ca="1"/>
        <v/>
      </c>
      <c r="CV244" s="10"/>
      <c r="CY244" s="18" t="str">
        <f ca="1"/>
        <v/>
      </c>
      <c r="CZ244" s="18" t="str">
        <f ca="1"/>
        <v/>
      </c>
      <c r="DA244" s="18" t="str">
        <f ca="1"/>
        <v/>
      </c>
      <c r="DC244" s="10"/>
    </row>
    <row r="245" spans="1:107" x14ac:dyDescent="0.25">
      <c r="A245" s="15" t="s">
        <v>433</v>
      </c>
      <c r="B245" s="15"/>
      <c r="C245" s="15"/>
      <c r="D245" s="16"/>
      <c r="E245" s="15"/>
      <c r="F245" s="15"/>
      <c r="G245" s="15"/>
      <c r="H245" s="17" t="str">
        <f ca="1">IFERROR(__xludf.DUMMYFUNCTION("""COMPUTED_VALUE"""),"")</f>
        <v/>
      </c>
      <c r="I245" s="15" t="s">
        <v>29</v>
      </c>
      <c r="J245" s="15" t="s">
        <v>29</v>
      </c>
      <c r="K245" s="15" t="s">
        <v>29</v>
      </c>
      <c r="L245" s="15" t="s">
        <v>29</v>
      </c>
      <c r="M245" s="15" t="s">
        <v>29</v>
      </c>
      <c r="N245" s="16"/>
      <c r="O245" s="18" t="s">
        <v>434</v>
      </c>
      <c r="P245" s="19"/>
      <c r="Q245" s="18" t="str">
        <f ca="1">IFERROR(__xludf.DUMMYFUNCTION("""COMPUTED_VALUE"""),"")</f>
        <v/>
      </c>
      <c r="R245" s="19"/>
      <c r="S245" s="20" t="str">
        <f ca="1">IFERROR(__xludf.DUMMYFUNCTION("""COMPUTED_VALUE"""),"temp_protection_active,10,260,513,61541,24,,0,3600,0")</f>
        <v>temp_protection_active,10,260,513,61541,24,,0,3600,0</v>
      </c>
      <c r="X245" s="18" t="str">
        <f ca="1">IFERROR(__xludf.DUMMYFUNCTION("""COMPUTED_VALUE"""),"tau_smoothing_alpha")</f>
        <v>tau_smoothing_alpha</v>
      </c>
      <c r="BP245" s="10"/>
      <c r="BW245" s="10"/>
      <c r="CF245" s="10"/>
      <c r="CM245" s="10"/>
      <c r="CP245" s="18" t="str">
        <f ca="1"/>
        <v/>
      </c>
      <c r="CQ245" s="18" t="str">
        <f ca="1"/>
        <v/>
      </c>
      <c r="CR245" s="18" t="str">
        <f ca="1"/>
        <v/>
      </c>
      <c r="CS245" s="18" t="str">
        <f ca="1"/>
        <v/>
      </c>
      <c r="CT245" s="18" t="str">
        <f ca="1"/>
        <v/>
      </c>
      <c r="CV245" s="10"/>
      <c r="CY245" s="18" t="str">
        <f ca="1"/>
        <v/>
      </c>
      <c r="CZ245" s="18" t="str">
        <f ca="1"/>
        <v/>
      </c>
      <c r="DA245" s="18" t="str">
        <f ca="1"/>
        <v/>
      </c>
      <c r="DC245" s="10"/>
    </row>
    <row r="246" spans="1:107" x14ac:dyDescent="0.25">
      <c r="A246" s="15" t="s">
        <v>435</v>
      </c>
      <c r="B246" s="15"/>
      <c r="C246" s="15"/>
      <c r="D246" s="16"/>
      <c r="E246" s="15"/>
      <c r="F246" s="15"/>
      <c r="G246" s="15"/>
      <c r="H246" s="17" t="str">
        <f ca="1">IFERROR(__xludf.DUMMYFUNCTION("""COMPUTED_VALUE"""),"")</f>
        <v/>
      </c>
      <c r="I246" s="15" t="s">
        <v>29</v>
      </c>
      <c r="J246" s="15" t="s">
        <v>29</v>
      </c>
      <c r="K246" s="15" t="s">
        <v>29</v>
      </c>
      <c r="L246" s="15" t="s">
        <v>29</v>
      </c>
      <c r="M246" s="15" t="s">
        <v>29</v>
      </c>
      <c r="N246" s="16"/>
      <c r="O246" s="18" t="s">
        <v>436</v>
      </c>
      <c r="P246" s="19"/>
      <c r="Q246" s="18" t="str">
        <f ca="1">IFERROR(__xludf.DUMMYFUNCTION("""COMPUTED_VALUE"""),"")</f>
        <v/>
      </c>
      <c r="R246" s="19"/>
      <c r="S246" s="20" t="str">
        <f ca="1">IFERROR(__xludf.DUMMYFUNCTION("""COMPUTED_VALUE"""),"temp_protection_enable,10,260,513,61538,24,1,,,,86400")</f>
        <v>temp_protection_enable,10,260,513,61538,24,1,,,,86400</v>
      </c>
      <c r="X246" s="18" t="str">
        <f ca="1">IFERROR(__xludf.DUMMYFUNCTION("""COMPUTED_VALUE"""),"temp_protection_active")</f>
        <v>temp_protection_active</v>
      </c>
      <c r="BP246" s="10"/>
      <c r="BW246" s="10"/>
      <c r="CF246" s="10"/>
      <c r="CM246" s="10"/>
      <c r="CP246" s="18" t="str">
        <f ca="1"/>
        <v/>
      </c>
      <c r="CQ246" s="18" t="str">
        <f ca="1"/>
        <v/>
      </c>
      <c r="CR246" s="18" t="str">
        <f ca="1"/>
        <v/>
      </c>
      <c r="CS246" s="18" t="str">
        <f ca="1"/>
        <v/>
      </c>
      <c r="CT246" s="18" t="str">
        <f ca="1"/>
        <v/>
      </c>
      <c r="CV246" s="10"/>
      <c r="CY246" s="18" t="str">
        <f ca="1"/>
        <v/>
      </c>
      <c r="CZ246" s="18" t="str">
        <f ca="1"/>
        <v/>
      </c>
      <c r="DA246" s="18" t="str">
        <f ca="1"/>
        <v/>
      </c>
      <c r="DC246" s="10"/>
    </row>
    <row r="247" spans="1:107" x14ac:dyDescent="0.25">
      <c r="A247" s="15" t="s">
        <v>437</v>
      </c>
      <c r="B247" s="15"/>
      <c r="C247" s="15"/>
      <c r="D247" s="16"/>
      <c r="E247" s="15"/>
      <c r="F247" s="15"/>
      <c r="G247" s="15"/>
      <c r="H247" s="17" t="str">
        <f ca="1">IFERROR(__xludf.DUMMYFUNCTION("""COMPUTED_VALUE"""),"")</f>
        <v/>
      </c>
      <c r="I247" s="15" t="s">
        <v>29</v>
      </c>
      <c r="J247" s="15" t="s">
        <v>29</v>
      </c>
      <c r="K247" s="15" t="s">
        <v>29</v>
      </c>
      <c r="L247" s="15" t="s">
        <v>29</v>
      </c>
      <c r="M247" s="15" t="s">
        <v>29</v>
      </c>
      <c r="N247" s="16"/>
      <c r="O247" s="18" t="s">
        <v>438</v>
      </c>
      <c r="P247" s="19"/>
      <c r="Q247" s="18" t="str">
        <f ca="1">IFERROR(__xludf.DUMMYFUNCTION("""COMPUTED_VALUE"""),"")</f>
        <v/>
      </c>
      <c r="R247" s="19"/>
      <c r="S247" s="20" t="str">
        <f ca="1">IFERROR(__xludf.DUMMYFUNCTION("""COMPUTED_VALUE"""),"temp_protection_high_limit,10,260,513,61540,41,3000,,,,86400")</f>
        <v>temp_protection_high_limit,10,260,513,61540,41,3000,,,,86400</v>
      </c>
      <c r="X247" s="18" t="str">
        <f ca="1">IFERROR(__xludf.DUMMYFUNCTION("""COMPUTED_VALUE"""),"temp_protection_enable")</f>
        <v>temp_protection_enable</v>
      </c>
      <c r="BP247" s="10"/>
      <c r="BW247" s="10"/>
      <c r="CF247" s="10"/>
      <c r="CM247" s="10"/>
      <c r="CP247" s="18" t="str">
        <f ca="1"/>
        <v/>
      </c>
      <c r="CQ247" s="18" t="str">
        <f ca="1"/>
        <v/>
      </c>
      <c r="CR247" s="18" t="str">
        <f ca="1"/>
        <v/>
      </c>
      <c r="CS247" s="18" t="str">
        <f ca="1"/>
        <v/>
      </c>
      <c r="CT247" s="18" t="str">
        <f ca="1"/>
        <v/>
      </c>
      <c r="CV247" s="10"/>
      <c r="CY247" s="18" t="str">
        <f ca="1"/>
        <v/>
      </c>
      <c r="CZ247" s="18" t="str">
        <f ca="1"/>
        <v/>
      </c>
      <c r="DA247" s="18" t="str">
        <f ca="1"/>
        <v/>
      </c>
      <c r="DC247" s="10"/>
    </row>
    <row r="248" spans="1:107" x14ac:dyDescent="0.25">
      <c r="A248" s="15" t="s">
        <v>439</v>
      </c>
      <c r="B248" s="15"/>
      <c r="C248" s="15"/>
      <c r="D248" s="16"/>
      <c r="E248" s="15"/>
      <c r="F248" s="15"/>
      <c r="G248" s="15"/>
      <c r="H248" s="17" t="str">
        <f ca="1">IFERROR(__xludf.DUMMYFUNCTION("""COMPUTED_VALUE"""),"")</f>
        <v/>
      </c>
      <c r="I248" s="15" t="s">
        <v>29</v>
      </c>
      <c r="J248" s="15" t="s">
        <v>29</v>
      </c>
      <c r="K248" s="15" t="s">
        <v>29</v>
      </c>
      <c r="L248" s="15" t="s">
        <v>29</v>
      </c>
      <c r="M248" s="15" t="s">
        <v>29</v>
      </c>
      <c r="N248" s="16"/>
      <c r="O248" s="18" t="s">
        <v>440</v>
      </c>
      <c r="P248" s="19"/>
      <c r="Q248" s="18" t="str">
        <f ca="1">IFERROR(__xludf.DUMMYFUNCTION("""COMPUTED_VALUE"""),"")</f>
        <v/>
      </c>
      <c r="R248" s="19"/>
      <c r="S248" s="20" t="str">
        <f ca="1">IFERROR(__xludf.DUMMYFUNCTION("""COMPUTED_VALUE"""),"temp_protection_low_limit,10,260,513,61539,41,722,,,,86400")</f>
        <v>temp_protection_low_limit,10,260,513,61539,41,722,,,,86400</v>
      </c>
      <c r="X248" s="18" t="str">
        <f ca="1">IFERROR(__xludf.DUMMYFUNCTION("""COMPUTED_VALUE"""),"temp_protection_high_limit")</f>
        <v>temp_protection_high_limit</v>
      </c>
      <c r="BP248" s="10"/>
      <c r="BW248" s="10"/>
      <c r="CF248" s="10"/>
      <c r="CM248" s="10"/>
      <c r="CP248" s="18" t="str">
        <f ca="1"/>
        <v/>
      </c>
      <c r="CQ248" s="18" t="str">
        <f ca="1"/>
        <v/>
      </c>
      <c r="CR248" s="18" t="str">
        <f ca="1"/>
        <v/>
      </c>
      <c r="CS248" s="18" t="str">
        <f ca="1"/>
        <v/>
      </c>
      <c r="CT248" s="18" t="str">
        <f ca="1"/>
        <v/>
      </c>
      <c r="CV248" s="10"/>
      <c r="CY248" s="18" t="str">
        <f ca="1"/>
        <v/>
      </c>
      <c r="CZ248" s="18" t="str">
        <f ca="1"/>
        <v/>
      </c>
      <c r="DA248" s="18" t="str">
        <f ca="1"/>
        <v/>
      </c>
      <c r="DC248" s="10"/>
    </row>
    <row r="249" spans="1:107" x14ac:dyDescent="0.25">
      <c r="A249" s="15" t="s">
        <v>441</v>
      </c>
      <c r="B249" s="15"/>
      <c r="C249" s="15"/>
      <c r="D249" s="16"/>
      <c r="E249" s="15"/>
      <c r="F249" s="15"/>
      <c r="G249" s="15"/>
      <c r="H249" s="17" t="str">
        <f ca="1">IFERROR(__xludf.DUMMYFUNCTION("""COMPUTED_VALUE"""),"")</f>
        <v/>
      </c>
      <c r="I249" s="15" t="s">
        <v>29</v>
      </c>
      <c r="J249" s="15" t="s">
        <v>29</v>
      </c>
      <c r="K249" s="15" t="s">
        <v>29</v>
      </c>
      <c r="L249" s="15" t="s">
        <v>29</v>
      </c>
      <c r="M249" s="15" t="s">
        <v>29</v>
      </c>
      <c r="N249" s="16"/>
      <c r="O249" s="18" t="s">
        <v>442</v>
      </c>
      <c r="P249" s="19"/>
      <c r="Q249" s="18" t="str">
        <f ca="1">IFERROR(__xludf.DUMMYFUNCTION("""COMPUTED_VALUE"""),"")</f>
        <v/>
      </c>
      <c r="R249" s="19"/>
      <c r="S249" s="20" t="str">
        <f ca="1">IFERROR(__xludf.DUMMYFUNCTION("""COMPUTED_VALUE"""),"temp_sensors_online,10,260,513,61522,27,,0,3600,0")</f>
        <v>temp_sensors_online,10,260,513,61522,27,,0,3600,0</v>
      </c>
      <c r="X249" s="18" t="str">
        <f ca="1">IFERROR(__xludf.DUMMYFUNCTION("""COMPUTED_VALUE"""),"temp_protection_low_limit")</f>
        <v>temp_protection_low_limit</v>
      </c>
      <c r="BP249" s="10"/>
      <c r="BW249" s="10"/>
      <c r="CF249" s="10"/>
      <c r="CM249" s="10"/>
      <c r="CP249" s="18" t="str">
        <f ca="1"/>
        <v/>
      </c>
      <c r="CQ249" s="18" t="str">
        <f ca="1"/>
        <v/>
      </c>
      <c r="CR249" s="18" t="str">
        <f ca="1"/>
        <v/>
      </c>
      <c r="CS249" s="18" t="str">
        <f ca="1"/>
        <v/>
      </c>
      <c r="CT249" s="18" t="str">
        <f ca="1"/>
        <v/>
      </c>
      <c r="CV249" s="10"/>
      <c r="CY249" s="18" t="str">
        <f ca="1"/>
        <v/>
      </c>
      <c r="CZ249" s="18" t="str">
        <f ca="1"/>
        <v/>
      </c>
      <c r="DA249" s="18" t="str">
        <f ca="1"/>
        <v/>
      </c>
      <c r="DC249" s="10"/>
    </row>
    <row r="250" spans="1:107" x14ac:dyDescent="0.25">
      <c r="A250" s="15" t="s">
        <v>443</v>
      </c>
      <c r="B250" s="15"/>
      <c r="C250" s="15"/>
      <c r="D250" s="16"/>
      <c r="E250" s="15"/>
      <c r="F250" s="15"/>
      <c r="G250" s="15"/>
      <c r="H250" s="17" t="str">
        <f ca="1">IFERROR(__xludf.DUMMYFUNCTION("""COMPUTED_VALUE"""),"")</f>
        <v/>
      </c>
      <c r="I250" s="15" t="s">
        <v>29</v>
      </c>
      <c r="J250" s="15" t="s">
        <v>29</v>
      </c>
      <c r="K250" s="15" t="s">
        <v>29</v>
      </c>
      <c r="L250" s="15" t="s">
        <v>29</v>
      </c>
      <c r="M250" s="15" t="s">
        <v>29</v>
      </c>
      <c r="N250" s="16"/>
      <c r="O250" s="18" t="s">
        <v>444</v>
      </c>
      <c r="P250" s="19"/>
      <c r="Q250" s="18" t="str">
        <f ca="1">IFERROR(__xludf.DUMMYFUNCTION("""COMPUTED_VALUE"""),"")</f>
        <v/>
      </c>
      <c r="R250" s="19"/>
      <c r="S250" s="20" t="str">
        <f ca="1">IFERROR(__xludf.DUMMYFUNCTION("""COMPUTED_VALUE"""),"thermo_speed,10,260,513,61525,48,,0,3600,0")</f>
        <v>thermo_speed,10,260,513,61525,48,,0,3600,0</v>
      </c>
      <c r="X250" s="18" t="str">
        <f ca="1">IFERROR(__xludf.DUMMYFUNCTION("""COMPUTED_VALUE"""),"temp_sensors_online")</f>
        <v>temp_sensors_online</v>
      </c>
      <c r="BP250" s="10"/>
      <c r="BW250" s="10"/>
      <c r="CF250" s="10"/>
      <c r="CM250" s="10"/>
      <c r="CP250" s="18" t="str">
        <f ca="1"/>
        <v/>
      </c>
      <c r="CQ250" s="18" t="str">
        <f ca="1"/>
        <v/>
      </c>
      <c r="CR250" s="18" t="str">
        <f ca="1"/>
        <v/>
      </c>
      <c r="CS250" s="18" t="str">
        <f ca="1"/>
        <v/>
      </c>
      <c r="CT250" s="18" t="str">
        <f ca="1"/>
        <v/>
      </c>
      <c r="CV250" s="10"/>
      <c r="CY250" s="18" t="str">
        <f ca="1"/>
        <v/>
      </c>
      <c r="CZ250" s="18" t="str">
        <f ca="1"/>
        <v/>
      </c>
      <c r="DA250" s="18" t="str">
        <f ca="1"/>
        <v/>
      </c>
      <c r="DC250" s="10"/>
    </row>
    <row r="251" spans="1:107" x14ac:dyDescent="0.25">
      <c r="A251" s="15" t="s">
        <v>445</v>
      </c>
      <c r="B251" s="15"/>
      <c r="C251" s="15"/>
      <c r="D251" s="16"/>
      <c r="E251" s="15"/>
      <c r="F251" s="15"/>
      <c r="G251" s="15"/>
      <c r="H251" s="17" t="str">
        <f ca="1">IFERROR(__xludf.DUMMYFUNCTION("""COMPUTED_VALUE"""),"")</f>
        <v/>
      </c>
      <c r="I251" s="15" t="s">
        <v>29</v>
      </c>
      <c r="J251" s="15" t="s">
        <v>29</v>
      </c>
      <c r="K251" s="15" t="s">
        <v>29</v>
      </c>
      <c r="L251" s="15" t="s">
        <v>29</v>
      </c>
      <c r="M251" s="15" t="s">
        <v>29</v>
      </c>
      <c r="N251" s="16"/>
      <c r="O251" s="18" t="s">
        <v>446</v>
      </c>
      <c r="P251" s="19"/>
      <c r="Q251" s="18" t="str">
        <f ca="1">IFERROR(__xludf.DUMMYFUNCTION("""COMPUTED_VALUE"""),"")</f>
        <v/>
      </c>
      <c r="R251" s="19"/>
      <c r="S251" s="20" t="str">
        <f ca="1">IFERROR(__xludf.DUMMYFUNCTION("""COMPUTED_VALUE"""),"third_stage_cool_delta_c,10,260,513,61676,33,0,,,,86400")</f>
        <v>third_stage_cool_delta_c,10,260,513,61676,33,0,,,,86400</v>
      </c>
      <c r="X251" s="18" t="str">
        <f ca="1">IFERROR(__xludf.DUMMYFUNCTION("""COMPUTED_VALUE"""),"thermo_speed")</f>
        <v>thermo_speed</v>
      </c>
      <c r="BP251" s="10"/>
      <c r="BW251" s="10"/>
      <c r="CF251" s="10"/>
      <c r="CM251" s="10"/>
      <c r="CP251" s="18" t="str">
        <f ca="1"/>
        <v/>
      </c>
      <c r="CQ251" s="18" t="str">
        <f ca="1"/>
        <v/>
      </c>
      <c r="CR251" s="18" t="str">
        <f ca="1"/>
        <v/>
      </c>
      <c r="CS251" s="18" t="str">
        <f ca="1"/>
        <v/>
      </c>
      <c r="CT251" s="18" t="str">
        <f ca="1"/>
        <v/>
      </c>
      <c r="CV251" s="10"/>
      <c r="CY251" s="18" t="str">
        <f ca="1"/>
        <v/>
      </c>
      <c r="CZ251" s="18" t="str">
        <f ca="1"/>
        <v/>
      </c>
      <c r="DA251" s="18" t="str">
        <f ca="1"/>
        <v/>
      </c>
      <c r="DC251" s="10"/>
    </row>
    <row r="252" spans="1:107" x14ac:dyDescent="0.25">
      <c r="A252" s="15" t="s">
        <v>447</v>
      </c>
      <c r="B252" s="15"/>
      <c r="C252" s="15"/>
      <c r="D252" s="16"/>
      <c r="E252" s="15"/>
      <c r="F252" s="15"/>
      <c r="G252" s="15"/>
      <c r="H252" s="17" t="str">
        <f ca="1">IFERROR(__xludf.DUMMYFUNCTION("""COMPUTED_VALUE"""),"")</f>
        <v/>
      </c>
      <c r="I252" s="15" t="s">
        <v>29</v>
      </c>
      <c r="J252" s="15" t="s">
        <v>29</v>
      </c>
      <c r="K252" s="15" t="s">
        <v>29</v>
      </c>
      <c r="L252" s="15" t="s">
        <v>29</v>
      </c>
      <c r="M252" s="15" t="s">
        <v>29</v>
      </c>
      <c r="N252" s="16"/>
      <c r="O252" s="18" t="s">
        <v>448</v>
      </c>
      <c r="P252" s="19"/>
      <c r="Q252" s="18" t="str">
        <f ca="1">IFERROR(__xludf.DUMMYFUNCTION("""COMPUTED_VALUE"""),"")</f>
        <v/>
      </c>
      <c r="R252" s="19"/>
      <c r="S252" s="20" t="str">
        <f ca="1">IFERROR(__xludf.DUMMYFUNCTION("""COMPUTED_VALUE"""),"third_stage_heat_delta_c,10,260,513,61674,33,0,,,,86400")</f>
        <v>third_stage_heat_delta_c,10,260,513,61674,33,0,,,,86400</v>
      </c>
      <c r="X252" s="18" t="str">
        <f ca="1">IFERROR(__xludf.DUMMYFUNCTION("""COMPUTED_VALUE"""),"third_stage_cool_delta_c")</f>
        <v>third_stage_cool_delta_c</v>
      </c>
      <c r="BP252" s="10"/>
      <c r="BW252" s="10"/>
      <c r="CF252" s="10"/>
      <c r="CM252" s="10"/>
      <c r="CP252" s="18" t="str">
        <f ca="1"/>
        <v/>
      </c>
      <c r="CQ252" s="18" t="str">
        <f ca="1"/>
        <v/>
      </c>
      <c r="CR252" s="18" t="str">
        <f ca="1"/>
        <v/>
      </c>
      <c r="CS252" s="18" t="str">
        <f ca="1"/>
        <v/>
      </c>
      <c r="CT252" s="18" t="str">
        <f ca="1"/>
        <v/>
      </c>
      <c r="CV252" s="10"/>
      <c r="CY252" s="18" t="str">
        <f ca="1"/>
        <v/>
      </c>
      <c r="CZ252" s="18" t="str">
        <f ca="1"/>
        <v/>
      </c>
      <c r="DA252" s="18" t="str">
        <f ca="1"/>
        <v/>
      </c>
      <c r="DC252" s="10"/>
    </row>
    <row r="253" spans="1:107" x14ac:dyDescent="0.25">
      <c r="A253" s="15" t="s">
        <v>449</v>
      </c>
      <c r="B253" s="15"/>
      <c r="C253" s="15"/>
      <c r="D253" s="16"/>
      <c r="E253" s="15"/>
      <c r="F253" s="15"/>
      <c r="G253" s="15"/>
      <c r="H253" s="17" t="str">
        <f ca="1">IFERROR(__xludf.DUMMYFUNCTION("""COMPUTED_VALUE"""),"")</f>
        <v/>
      </c>
      <c r="I253" s="15" t="s">
        <v>29</v>
      </c>
      <c r="J253" s="15" t="s">
        <v>29</v>
      </c>
      <c r="K253" s="15" t="s">
        <v>29</v>
      </c>
      <c r="L253" s="15" t="s">
        <v>29</v>
      </c>
      <c r="M253" s="15" t="s">
        <v>29</v>
      </c>
      <c r="N253" s="16"/>
      <c r="O253" s="18" t="s">
        <v>450</v>
      </c>
      <c r="P253" s="19"/>
      <c r="Q253" s="18" t="str">
        <f ca="1">IFERROR(__xludf.DUMMYFUNCTION("""COMPUTED_VALUE"""),"")</f>
        <v/>
      </c>
      <c r="R253" s="19"/>
      <c r="S253" s="20" t="str">
        <f ca="1">IFERROR(__xludf.DUMMYFUNCTION("""COMPUTED_VALUE"""),"timedout_devices,10,260,64530,61440,27,,0,3600,0")</f>
        <v>timedout_devices,10,260,64530,61440,27,,0,3600,0</v>
      </c>
      <c r="X253" s="18" t="str">
        <f ca="1">IFERROR(__xludf.DUMMYFUNCTION("""COMPUTED_VALUE"""),"third_stage_heat_delta_c")</f>
        <v>third_stage_heat_delta_c</v>
      </c>
      <c r="BP253" s="10"/>
      <c r="BW253" s="10"/>
      <c r="CF253" s="10"/>
      <c r="CM253" s="10"/>
      <c r="CP253" s="18" t="str">
        <f ca="1"/>
        <v/>
      </c>
      <c r="CQ253" s="18" t="str">
        <f ca="1"/>
        <v/>
      </c>
      <c r="CR253" s="18" t="str">
        <f ca="1"/>
        <v/>
      </c>
      <c r="CS253" s="18" t="str">
        <f ca="1"/>
        <v/>
      </c>
      <c r="CT253" s="18" t="str">
        <f ca="1"/>
        <v/>
      </c>
      <c r="CV253" s="10"/>
      <c r="CY253" s="18" t="str">
        <f ca="1"/>
        <v/>
      </c>
      <c r="CZ253" s="18" t="str">
        <f ca="1"/>
        <v/>
      </c>
      <c r="DA253" s="18" t="str">
        <f ca="1"/>
        <v/>
      </c>
      <c r="DC253" s="10"/>
    </row>
    <row r="254" spans="1:107" x14ac:dyDescent="0.25">
      <c r="A254" s="15" t="s">
        <v>451</v>
      </c>
      <c r="B254" s="15"/>
      <c r="C254" s="15"/>
      <c r="D254" s="16"/>
      <c r="E254" s="15"/>
      <c r="F254" s="15"/>
      <c r="G254" s="15"/>
      <c r="H254" s="17" t="str">
        <f ca="1">IFERROR(__xludf.DUMMYFUNCTION("""COMPUTED_VALUE"""),"")</f>
        <v/>
      </c>
      <c r="I254" s="15" t="s">
        <v>29</v>
      </c>
      <c r="J254" s="15" t="s">
        <v>29</v>
      </c>
      <c r="K254" s="15" t="s">
        <v>29</v>
      </c>
      <c r="L254" s="15" t="s">
        <v>29</v>
      </c>
      <c r="M254" s="15" t="s">
        <v>29</v>
      </c>
      <c r="N254" s="16"/>
      <c r="O254" s="18" t="s">
        <v>452</v>
      </c>
      <c r="P254" s="19"/>
      <c r="Q254" s="18" t="str">
        <f ca="1">IFERROR(__xludf.DUMMYFUNCTION("""COMPUTED_VALUE"""),"")</f>
        <v/>
      </c>
      <c r="R254" s="19"/>
      <c r="S254" s="20" t="str">
        <f ca="1">IFERROR(__xludf.DUMMYFUNCTION("""COMPUTED_VALUE"""),"ui_enhanced_icons,10,260,64517,48,16,0,,,,86400")</f>
        <v>ui_enhanced_icons,10,260,64517,48,16,0,,,,86400</v>
      </c>
      <c r="X254" s="18" t="str">
        <f ca="1">IFERROR(__xludf.DUMMYFUNCTION("""COMPUTED_VALUE"""),"timedout_devices")</f>
        <v>timedout_devices</v>
      </c>
      <c r="BP254" s="10"/>
      <c r="BW254" s="10"/>
      <c r="CF254" s="10"/>
      <c r="CM254" s="10"/>
      <c r="CP254" s="18" t="str">
        <f ca="1"/>
        <v/>
      </c>
      <c r="CQ254" s="18" t="str">
        <f ca="1"/>
        <v/>
      </c>
      <c r="CR254" s="18" t="str">
        <f ca="1"/>
        <v/>
      </c>
      <c r="CS254" s="18" t="str">
        <f ca="1"/>
        <v/>
      </c>
      <c r="CT254" s="18" t="str">
        <f ca="1"/>
        <v/>
      </c>
      <c r="CV254" s="10"/>
      <c r="CY254" s="18" t="str">
        <f ca="1"/>
        <v/>
      </c>
      <c r="CZ254" s="18" t="str">
        <f ca="1"/>
        <v/>
      </c>
      <c r="DA254" s="18" t="str">
        <f ca="1"/>
        <v/>
      </c>
      <c r="DC254" s="10"/>
    </row>
    <row r="255" spans="1:107" x14ac:dyDescent="0.25">
      <c r="A255" s="15" t="s">
        <v>453</v>
      </c>
      <c r="B255" s="15"/>
      <c r="C255" s="15"/>
      <c r="D255" s="16"/>
      <c r="E255" s="15"/>
      <c r="F255" s="15"/>
      <c r="G255" s="15"/>
      <c r="H255" s="17" t="str">
        <f ca="1">IFERROR(__xludf.DUMMYFUNCTION("""COMPUTED_VALUE"""),"")</f>
        <v/>
      </c>
      <c r="I255" s="15" t="s">
        <v>29</v>
      </c>
      <c r="J255" s="15" t="s">
        <v>29</v>
      </c>
      <c r="K255" s="15" t="s">
        <v>29</v>
      </c>
      <c r="L255" s="15" t="s">
        <v>29</v>
      </c>
      <c r="M255" s="15" t="s">
        <v>29</v>
      </c>
      <c r="N255" s="16"/>
      <c r="O255" s="18" t="s">
        <v>454</v>
      </c>
      <c r="P255" s="19"/>
      <c r="Q255" s="18" t="str">
        <f ca="1">IFERROR(__xludf.DUMMYFUNCTION("""COMPUTED_VALUE"""),"")</f>
        <v/>
      </c>
      <c r="R255" s="19"/>
      <c r="S255" s="20" t="str">
        <f ca="1">IFERROR(__xludf.DUMMYFUNCTION("""COMPUTED_VALUE"""),"ui_keypad_lockout,10,260,516,1,48,0,,,,86400")</f>
        <v>ui_keypad_lockout,10,260,516,1,48,0,,,,86400</v>
      </c>
      <c r="X255" s="18" t="str">
        <f ca="1">IFERROR(__xludf.DUMMYFUNCTION("""COMPUTED_VALUE"""),"ui_enhanced_icons")</f>
        <v>ui_enhanced_icons</v>
      </c>
      <c r="BP255" s="10"/>
      <c r="BW255" s="10"/>
      <c r="CF255" s="10"/>
      <c r="CM255" s="10"/>
      <c r="CP255" s="18" t="str">
        <f ca="1"/>
        <v/>
      </c>
      <c r="CQ255" s="18" t="str">
        <f ca="1"/>
        <v/>
      </c>
      <c r="CR255" s="18" t="str">
        <f ca="1"/>
        <v/>
      </c>
      <c r="CS255" s="18" t="str">
        <f ca="1"/>
        <v/>
      </c>
      <c r="CT255" s="18" t="str">
        <f ca="1"/>
        <v/>
      </c>
      <c r="CV255" s="10"/>
      <c r="CY255" s="18" t="str">
        <f ca="1"/>
        <v/>
      </c>
      <c r="CZ255" s="18" t="str">
        <f ca="1"/>
        <v/>
      </c>
      <c r="DA255" s="18" t="str">
        <f ca="1"/>
        <v/>
      </c>
      <c r="DC255" s="10"/>
    </row>
    <row r="256" spans="1:107" x14ac:dyDescent="0.25">
      <c r="A256" s="15" t="s">
        <v>455</v>
      </c>
      <c r="B256" s="15"/>
      <c r="C256" s="15"/>
      <c r="D256" s="16"/>
      <c r="E256" s="15"/>
      <c r="F256" s="15"/>
      <c r="G256" s="15"/>
      <c r="H256" s="17" t="str">
        <f ca="1">IFERROR(__xludf.DUMMYFUNCTION("""COMPUTED_VALUE"""),"")</f>
        <v/>
      </c>
      <c r="I256" s="15" t="s">
        <v>29</v>
      </c>
      <c r="J256" s="15" t="s">
        <v>29</v>
      </c>
      <c r="K256" s="15" t="s">
        <v>29</v>
      </c>
      <c r="L256" s="15" t="s">
        <v>29</v>
      </c>
      <c r="M256" s="15" t="s">
        <v>29</v>
      </c>
      <c r="N256" s="16"/>
      <c r="O256" s="18" t="s">
        <v>456</v>
      </c>
      <c r="P256" s="19"/>
      <c r="Q256" s="18" t="str">
        <f ca="1">IFERROR(__xludf.DUMMYFUNCTION("""COMPUTED_VALUE"""),"")</f>
        <v/>
      </c>
      <c r="R256" s="19"/>
      <c r="S256" s="20" t="str">
        <f ca="1">IFERROR(__xludf.DUMMYFUNCTION("""COMPUTED_VALUE"""),"ui_ver,10,260,64544,5,33,,,,,86400")</f>
        <v>ui_ver,10,260,64544,5,33,,,,,86400</v>
      </c>
      <c r="X256" s="18" t="str">
        <f ca="1">IFERROR(__xludf.DUMMYFUNCTION("""COMPUTED_VALUE"""),"ui_keypad_lockout")</f>
        <v>ui_keypad_lockout</v>
      </c>
      <c r="BP256" s="10"/>
      <c r="BW256" s="10"/>
      <c r="CF256" s="10"/>
      <c r="CM256" s="10"/>
      <c r="CP256" s="18" t="str">
        <f ca="1"/>
        <v/>
      </c>
      <c r="CQ256" s="18" t="str">
        <f ca="1"/>
        <v/>
      </c>
      <c r="CR256" s="18" t="str">
        <f ca="1"/>
        <v/>
      </c>
      <c r="CS256" s="18" t="str">
        <f ca="1"/>
        <v/>
      </c>
      <c r="CT256" s="18" t="str">
        <f ca="1"/>
        <v/>
      </c>
      <c r="CV256" s="10"/>
      <c r="CY256" s="18" t="str">
        <f ca="1"/>
        <v/>
      </c>
      <c r="CZ256" s="18" t="str">
        <f ca="1"/>
        <v/>
      </c>
      <c r="DA256" s="18" t="str">
        <f ca="1"/>
        <v/>
      </c>
      <c r="DC256" s="10"/>
    </row>
    <row r="257" spans="1:107" x14ac:dyDescent="0.25">
      <c r="A257" s="15" t="s">
        <v>457</v>
      </c>
      <c r="B257" s="15"/>
      <c r="C257" s="15"/>
      <c r="D257" s="16"/>
      <c r="E257" s="15"/>
      <c r="F257" s="15"/>
      <c r="G257" s="15"/>
      <c r="H257" s="17" t="str">
        <f ca="1">IFERROR(__xludf.DUMMYFUNCTION("""COMPUTED_VALUE"""),"")</f>
        <v/>
      </c>
      <c r="I257" s="15" t="s">
        <v>29</v>
      </c>
      <c r="J257" s="15" t="s">
        <v>29</v>
      </c>
      <c r="K257" s="15" t="s">
        <v>29</v>
      </c>
      <c r="L257" s="15" t="s">
        <v>29</v>
      </c>
      <c r="M257" s="15" t="s">
        <v>29</v>
      </c>
      <c r="N257" s="16"/>
      <c r="O257" s="18" t="s">
        <v>458</v>
      </c>
      <c r="P257" s="19"/>
      <c r="Q257" s="18" t="str">
        <f ca="1">IFERROR(__xludf.DUMMYFUNCTION("""COMPUTED_VALUE"""),"")</f>
        <v/>
      </c>
      <c r="R257" s="19"/>
      <c r="S257" s="20" t="str">
        <f ca="1">IFERROR(__xludf.DUMMYFUNCTION("""COMPUTED_VALUE"""),"unocc_delay_based_on_schedule,10,260,513,61690,16,0,,,,86400")</f>
        <v>unocc_delay_based_on_schedule,10,260,513,61690,16,0,,,,86400</v>
      </c>
      <c r="X257" s="18" t="str">
        <f ca="1">IFERROR(__xludf.DUMMYFUNCTION("""COMPUTED_VALUE"""),"ui_ver")</f>
        <v>ui_ver</v>
      </c>
      <c r="BP257" s="10"/>
      <c r="BW257" s="10"/>
      <c r="CF257" s="10"/>
      <c r="CM257" s="10"/>
      <c r="CP257" s="18" t="str">
        <f ca="1"/>
        <v/>
      </c>
      <c r="CQ257" s="18" t="str">
        <f ca="1"/>
        <v/>
      </c>
      <c r="CR257" s="18" t="str">
        <f ca="1"/>
        <v/>
      </c>
      <c r="CS257" s="18" t="str">
        <f ca="1"/>
        <v/>
      </c>
      <c r="CT257" s="18" t="str">
        <f ca="1"/>
        <v/>
      </c>
      <c r="CV257" s="10"/>
      <c r="CY257" s="18" t="str">
        <f ca="1"/>
        <v/>
      </c>
      <c r="CZ257" s="18" t="str">
        <f ca="1"/>
        <v/>
      </c>
      <c r="DA257" s="18" t="str">
        <f ca="1"/>
        <v/>
      </c>
      <c r="DC257" s="10"/>
    </row>
    <row r="258" spans="1:107" x14ac:dyDescent="0.25">
      <c r="A258" s="15" t="s">
        <v>459</v>
      </c>
      <c r="B258" s="15"/>
      <c r="C258" s="15"/>
      <c r="D258" s="16"/>
      <c r="E258" s="15"/>
      <c r="F258" s="15"/>
      <c r="G258" s="15"/>
      <c r="H258" s="17" t="str">
        <f ca="1">IFERROR(__xludf.DUMMYFUNCTION("""COMPUTED_VALUE"""),"")</f>
        <v/>
      </c>
      <c r="I258" s="15" t="s">
        <v>29</v>
      </c>
      <c r="J258" s="15" t="s">
        <v>29</v>
      </c>
      <c r="K258" s="15" t="s">
        <v>29</v>
      </c>
      <c r="L258" s="15" t="s">
        <v>29</v>
      </c>
      <c r="M258" s="15" t="s">
        <v>29</v>
      </c>
      <c r="N258" s="16"/>
      <c r="O258" s="18" t="s">
        <v>460</v>
      </c>
      <c r="P258" s="19"/>
      <c r="Q258" s="18" t="str">
        <f ca="1">IFERROR(__xludf.DUMMYFUNCTION("""COMPUTED_VALUE"""),"")</f>
        <v/>
      </c>
      <c r="R258" s="19"/>
      <c r="S258" s="20" t="str">
        <f ca="1">IFERROR(__xludf.DUMMYFUNCTION("""COMPUTED_VALUE"""),"unocc_delay_day_or_no_schedule,10,260,513,61692,33,30,,,,86400")</f>
        <v>unocc_delay_day_or_no_schedule,10,260,513,61692,33,30,,,,86400</v>
      </c>
      <c r="X258" s="18" t="str">
        <f ca="1">IFERROR(__xludf.DUMMYFUNCTION("""COMPUTED_VALUE"""),"unocc_delay_based_on_schedule")</f>
        <v>unocc_delay_based_on_schedule</v>
      </c>
      <c r="BP258" s="10"/>
      <c r="BW258" s="10"/>
      <c r="CF258" s="10"/>
      <c r="CM258" s="10"/>
      <c r="CP258" s="18" t="str">
        <f ca="1"/>
        <v/>
      </c>
      <c r="CQ258" s="18" t="str">
        <f ca="1"/>
        <v/>
      </c>
      <c r="CR258" s="18" t="str">
        <f ca="1"/>
        <v/>
      </c>
      <c r="CS258" s="18" t="str">
        <f ca="1"/>
        <v/>
      </c>
      <c r="CT258" s="18" t="str">
        <f ca="1"/>
        <v/>
      </c>
      <c r="CV258" s="10"/>
      <c r="CY258" s="18" t="str">
        <f ca="1"/>
        <v/>
      </c>
      <c r="CZ258" s="18" t="str">
        <f ca="1"/>
        <v/>
      </c>
      <c r="DA258" s="18" t="str">
        <f ca="1"/>
        <v/>
      </c>
      <c r="DC258" s="10"/>
    </row>
    <row r="259" spans="1:107" x14ac:dyDescent="0.25">
      <c r="A259" s="15" t="s">
        <v>461</v>
      </c>
      <c r="B259" s="15"/>
      <c r="C259" s="15"/>
      <c r="D259" s="16"/>
      <c r="E259" s="15"/>
      <c r="F259" s="15"/>
      <c r="G259" s="15"/>
      <c r="H259" s="17" t="str">
        <f ca="1">IFERROR(__xludf.DUMMYFUNCTION("""COMPUTED_VALUE"""),"")</f>
        <v/>
      </c>
      <c r="I259" s="15" t="s">
        <v>29</v>
      </c>
      <c r="J259" s="15" t="s">
        <v>29</v>
      </c>
      <c r="K259" s="15" t="s">
        <v>29</v>
      </c>
      <c r="L259" s="15" t="s">
        <v>29</v>
      </c>
      <c r="M259" s="15" t="s">
        <v>29</v>
      </c>
      <c r="N259" s="16"/>
      <c r="O259" s="18" t="s">
        <v>462</v>
      </c>
      <c r="P259" s="19"/>
      <c r="Q259" s="18" t="str">
        <f ca="1">IFERROR(__xludf.DUMMYFUNCTION("""COMPUTED_VALUE"""),"")</f>
        <v/>
      </c>
      <c r="R259" s="19"/>
      <c r="S259" s="20" t="str">
        <f ca="1">IFERROR(__xludf.DUMMYFUNCTION("""COMPUTED_VALUE"""),"unocc_delay_deep_setback,10,260,513,61694,33,1440,,,,86400")</f>
        <v>unocc_delay_deep_setback,10,260,513,61694,33,1440,,,,86400</v>
      </c>
      <c r="X259" s="18" t="str">
        <f ca="1">IFERROR(__xludf.DUMMYFUNCTION("""COMPUTED_VALUE"""),"unocc_delay_day_or_no_schedule")</f>
        <v>unocc_delay_day_or_no_schedule</v>
      </c>
      <c r="BP259" s="10"/>
      <c r="BW259" s="10"/>
      <c r="CF259" s="10"/>
      <c r="CM259" s="10"/>
      <c r="CP259" s="18" t="str">
        <f ca="1"/>
        <v/>
      </c>
      <c r="CQ259" s="18" t="str">
        <f ca="1"/>
        <v/>
      </c>
      <c r="CR259" s="18" t="str">
        <f ca="1"/>
        <v/>
      </c>
      <c r="CS259" s="18" t="str">
        <f ca="1"/>
        <v/>
      </c>
      <c r="CT259" s="18" t="str">
        <f ca="1"/>
        <v/>
      </c>
      <c r="CV259" s="10"/>
      <c r="CY259" s="18" t="str">
        <f ca="1"/>
        <v/>
      </c>
      <c r="CZ259" s="18" t="str">
        <f ca="1"/>
        <v/>
      </c>
      <c r="DA259" s="18" t="str">
        <f ca="1"/>
        <v/>
      </c>
      <c r="DC259" s="10"/>
    </row>
    <row r="260" spans="1:107" x14ac:dyDescent="0.25">
      <c r="A260" s="15" t="s">
        <v>463</v>
      </c>
      <c r="B260" s="15"/>
      <c r="C260" s="15"/>
      <c r="D260" s="16"/>
      <c r="E260" s="15"/>
      <c r="F260" s="15"/>
      <c r="G260" s="15"/>
      <c r="H260" s="17" t="str">
        <f ca="1">IFERROR(__xludf.DUMMYFUNCTION("""COMPUTED_VALUE"""),"")</f>
        <v/>
      </c>
      <c r="I260" s="15" t="s">
        <v>29</v>
      </c>
      <c r="J260" s="15" t="s">
        <v>29</v>
      </c>
      <c r="K260" s="15" t="s">
        <v>29</v>
      </c>
      <c r="L260" s="15" t="s">
        <v>29</v>
      </c>
      <c r="M260" s="15" t="s">
        <v>29</v>
      </c>
      <c r="N260" s="16"/>
      <c r="O260" s="18" t="s">
        <v>464</v>
      </c>
      <c r="P260" s="19"/>
      <c r="Q260" s="18" t="str">
        <f ca="1">IFERROR(__xludf.DUMMYFUNCTION("""COMPUTED_VALUE"""),"")</f>
        <v/>
      </c>
      <c r="R260" s="19"/>
      <c r="S260" s="20" t="str">
        <f ca="1">IFERROR(__xludf.DUMMYFUNCTION("""COMPUTED_VALUE"""),"unocc_delay_exit_event,10,260,513,61704,32,5,,,,86400")</f>
        <v>unocc_delay_exit_event,10,260,513,61704,32,5,,,,86400</v>
      </c>
      <c r="X260" s="18" t="str">
        <f ca="1">IFERROR(__xludf.DUMMYFUNCTION("""COMPUTED_VALUE"""),"unocc_delay_deep_setback")</f>
        <v>unocc_delay_deep_setback</v>
      </c>
      <c r="BP260" s="10"/>
      <c r="BW260" s="10"/>
      <c r="CF260" s="10"/>
      <c r="CM260" s="10"/>
      <c r="CP260" s="18" t="str">
        <f ca="1"/>
        <v/>
      </c>
      <c r="CQ260" s="18" t="str">
        <f ca="1"/>
        <v/>
      </c>
      <c r="CR260" s="18" t="str">
        <f ca="1"/>
        <v/>
      </c>
      <c r="CS260" s="18" t="str">
        <f ca="1"/>
        <v/>
      </c>
      <c r="CT260" s="18" t="str">
        <f ca="1"/>
        <v/>
      </c>
      <c r="CV260" s="10"/>
      <c r="CY260" s="18" t="str">
        <f ca="1"/>
        <v/>
      </c>
      <c r="CZ260" s="18" t="str">
        <f ca="1"/>
        <v/>
      </c>
      <c r="DA260" s="18" t="str">
        <f ca="1"/>
        <v/>
      </c>
      <c r="DC260" s="10"/>
    </row>
    <row r="261" spans="1:107" x14ac:dyDescent="0.25">
      <c r="A261" s="15"/>
      <c r="B261" s="15"/>
      <c r="C261" s="15"/>
      <c r="D261" s="16"/>
      <c r="E261" s="15"/>
      <c r="F261" s="15"/>
      <c r="G261" s="15"/>
      <c r="H261" s="17" t="str">
        <f ca="1">IFERROR(__xludf.DUMMYFUNCTION("""COMPUTED_VALUE"""),"")</f>
        <v/>
      </c>
      <c r="I261" s="15" t="s">
        <v>29</v>
      </c>
      <c r="J261" s="15" t="s">
        <v>29</v>
      </c>
      <c r="K261" s="15" t="s">
        <v>29</v>
      </c>
      <c r="L261" s="15" t="s">
        <v>29</v>
      </c>
      <c r="M261" s="15" t="s">
        <v>29</v>
      </c>
      <c r="N261" s="16"/>
      <c r="P261" s="19"/>
      <c r="Q261" s="18" t="str">
        <f ca="1">IFERROR(__xludf.DUMMYFUNCTION("""COMPUTED_VALUE"""),"")</f>
        <v/>
      </c>
      <c r="R261" s="19"/>
      <c r="S261" s="20" t="str">
        <f ca="1">IFERROR(__xludf.DUMMYFUNCTION("""COMPUTED_VALUE"""),"unocc_delay_extended_deep_setback,10,260,513,61792,33,0,,,,86400")</f>
        <v>unocc_delay_extended_deep_setback,10,260,513,61792,33,0,,,,86400</v>
      </c>
      <c r="X261" s="18" t="str">
        <f ca="1">IFERROR(__xludf.DUMMYFUNCTION("""COMPUTED_VALUE"""),"unocc_delay_exit_event")</f>
        <v>unocc_delay_exit_event</v>
      </c>
      <c r="BP261" s="10"/>
      <c r="BW261" s="10"/>
      <c r="CF261" s="10"/>
      <c r="CM261" s="10"/>
      <c r="CP261" s="18" t="str">
        <f ca="1"/>
        <v/>
      </c>
      <c r="CQ261" s="18" t="str">
        <f ca="1"/>
        <v/>
      </c>
      <c r="CR261" s="18" t="str">
        <f ca="1"/>
        <v/>
      </c>
      <c r="CS261" s="18" t="str">
        <f ca="1"/>
        <v/>
      </c>
      <c r="CT261" s="18" t="str">
        <f ca="1"/>
        <v/>
      </c>
      <c r="CV261" s="10"/>
      <c r="CY261" s="18" t="str">
        <f ca="1"/>
        <v/>
      </c>
      <c r="CZ261" s="18" t="str">
        <f ca="1"/>
        <v/>
      </c>
      <c r="DA261" s="18" t="str">
        <f ca="1"/>
        <v/>
      </c>
      <c r="DC261" s="10"/>
    </row>
    <row r="262" spans="1:107" x14ac:dyDescent="0.25">
      <c r="A262" s="16"/>
      <c r="B262" s="16"/>
      <c r="C262" s="16"/>
      <c r="D262" s="16"/>
      <c r="E262" s="16"/>
      <c r="F262" s="16"/>
      <c r="G262" s="16"/>
      <c r="H262" s="17" t="str">
        <f ca="1">IFERROR(__xludf.DUMMYFUNCTION("""COMPUTED_VALUE"""),"")</f>
        <v/>
      </c>
      <c r="I262" s="16" t="s">
        <v>29</v>
      </c>
      <c r="J262" s="16" t="s">
        <v>29</v>
      </c>
      <c r="K262" s="16" t="s">
        <v>29</v>
      </c>
      <c r="L262" s="16" t="s">
        <v>29</v>
      </c>
      <c r="M262" s="16" t="s">
        <v>29</v>
      </c>
      <c r="N262" s="16"/>
      <c r="O262" s="19"/>
      <c r="P262" s="19"/>
      <c r="Q262" s="19" t="str">
        <f ca="1">IFERROR(__xludf.DUMMYFUNCTION("""COMPUTED_VALUE"""),"")</f>
        <v/>
      </c>
      <c r="R262" s="19"/>
      <c r="S262" s="20" t="str">
        <f ca="1">IFERROR(__xludf.DUMMYFUNCTION("""COMPUTED_VALUE"""),"unocc_delay_night_or_schedule,10,260,513,61693,33,480,,,,86400")</f>
        <v>unocc_delay_night_or_schedule,10,260,513,61693,33,480,,,,86400</v>
      </c>
      <c r="X262" s="18" t="str">
        <f ca="1">IFERROR(__xludf.DUMMYFUNCTION("""COMPUTED_VALUE"""),"unocc_delay_extended_deep_setback")</f>
        <v>unocc_delay_extended_deep_setback</v>
      </c>
      <c r="BP262" s="10"/>
      <c r="BW262" s="10"/>
      <c r="CF262" s="10"/>
      <c r="CM262" s="10"/>
      <c r="CP262" s="18" t="str">
        <f ca="1"/>
        <v/>
      </c>
      <c r="CQ262" s="18" t="str">
        <f ca="1"/>
        <v/>
      </c>
      <c r="CR262" s="18" t="str">
        <f ca="1"/>
        <v/>
      </c>
      <c r="CS262" s="18" t="str">
        <f ca="1"/>
        <v/>
      </c>
      <c r="CT262" s="18" t="str">
        <f ca="1"/>
        <v/>
      </c>
      <c r="CV262" s="10"/>
      <c r="CY262" s="18" t="str">
        <f ca="1"/>
        <v/>
      </c>
      <c r="CZ262" s="18" t="str">
        <f ca="1"/>
        <v/>
      </c>
      <c r="DA262" s="18" t="str">
        <f ca="1"/>
        <v/>
      </c>
      <c r="DC262" s="10"/>
    </row>
    <row r="263" spans="1:107" x14ac:dyDescent="0.25">
      <c r="A263" s="40" t="s">
        <v>465</v>
      </c>
      <c r="B263" s="2"/>
      <c r="C263" s="2"/>
      <c r="D263" s="2"/>
      <c r="E263" s="2"/>
      <c r="F263" s="2"/>
      <c r="G263" s="2"/>
      <c r="H263" s="3" t="str">
        <f ca="1">IFERROR(__xludf.DUMMYFUNCTION("""COMPUTED_VALUE"""),"")</f>
        <v/>
      </c>
      <c r="I263" s="2" t="s">
        <v>29</v>
      </c>
      <c r="J263" s="2" t="s">
        <v>29</v>
      </c>
      <c r="K263" s="2" t="s">
        <v>29</v>
      </c>
      <c r="L263" s="2" t="s">
        <v>29</v>
      </c>
      <c r="M263" s="2" t="s">
        <v>29</v>
      </c>
      <c r="N263" s="16"/>
      <c r="O263" s="19"/>
      <c r="P263" s="19"/>
      <c r="Q263" s="19" t="str">
        <f ca="1">IFERROR(__xludf.DUMMYFUNCTION("""COMPUTED_VALUE"""),"")</f>
        <v/>
      </c>
      <c r="R263" s="19"/>
      <c r="S263" s="20" t="str">
        <f ca="1">IFERROR(__xludf.DUMMYFUNCTION("""COMPUTED_VALUE"""),"user_dew_point_target_max,10,260,513,61786,41,2111,,,,86400")</f>
        <v>user_dew_point_target_max,10,260,513,61786,41,2111,,,,86400</v>
      </c>
      <c r="X263" s="18" t="str">
        <f ca="1">IFERROR(__xludf.DUMMYFUNCTION("""COMPUTED_VALUE"""),"unocc_delay_night_or_schedule")</f>
        <v>unocc_delay_night_or_schedule</v>
      </c>
      <c r="BP263" s="10"/>
      <c r="BW263" s="10"/>
      <c r="CF263" s="10"/>
      <c r="CM263" s="10"/>
      <c r="CP263" s="18" t="str">
        <f ca="1"/>
        <v/>
      </c>
      <c r="CQ263" s="18" t="str">
        <f ca="1"/>
        <v/>
      </c>
      <c r="CR263" s="18" t="str">
        <f ca="1"/>
        <v/>
      </c>
      <c r="CS263" s="18" t="str">
        <f ca="1"/>
        <v/>
      </c>
      <c r="CT263" s="18" t="str">
        <f ca="1"/>
        <v/>
      </c>
      <c r="CV263" s="10"/>
      <c r="CY263" s="18" t="str">
        <f ca="1"/>
        <v/>
      </c>
      <c r="CZ263" s="18" t="str">
        <f ca="1"/>
        <v/>
      </c>
      <c r="DA263" s="18" t="str">
        <f ca="1"/>
        <v/>
      </c>
      <c r="DC263" s="10"/>
    </row>
    <row r="264" spans="1:107" x14ac:dyDescent="0.25">
      <c r="A264" s="15" t="s">
        <v>466</v>
      </c>
      <c r="B264" s="41"/>
      <c r="C264" s="42"/>
      <c r="D264" s="16"/>
      <c r="E264" s="15"/>
      <c r="F264" s="15"/>
      <c r="G264" s="15"/>
      <c r="H264" s="17" t="str">
        <f ca="1">IFERROR(__xludf.DUMMYFUNCTION("""COMPUTED_VALUE"""),"")</f>
        <v/>
      </c>
      <c r="I264" s="15" t="s">
        <v>29</v>
      </c>
      <c r="J264" s="15" t="s">
        <v>29</v>
      </c>
      <c r="K264" s="15" t="s">
        <v>29</v>
      </c>
      <c r="L264" s="15" t="s">
        <v>29</v>
      </c>
      <c r="M264" s="15" t="s">
        <v>29</v>
      </c>
      <c r="N264" s="16"/>
      <c r="O264" s="18" t="s">
        <v>467</v>
      </c>
      <c r="P264" s="19"/>
      <c r="Q264" s="18" t="str">
        <f ca="1">IFERROR(__xludf.DUMMYFUNCTION("""COMPUTED_VALUE"""),"")</f>
        <v/>
      </c>
      <c r="R264" s="19"/>
      <c r="S264" s="20" t="str">
        <f ca="1">IFERROR(__xludf.DUMMYFUNCTION("""COMPUTED_VALUE"""),"user_dew_point_target_min,10,260,513,61785,41,444,,,,86400")</f>
        <v>user_dew_point_target_min,10,260,513,61785,41,444,,,,86400</v>
      </c>
      <c r="X264" s="18" t="str">
        <f ca="1">IFERROR(__xludf.DUMMYFUNCTION("""COMPUTED_VALUE"""),"user_dew_point_target_max")</f>
        <v>user_dew_point_target_max</v>
      </c>
      <c r="BP264" s="10"/>
      <c r="BW264" s="10"/>
      <c r="CF264" s="10"/>
      <c r="CM264" s="10"/>
      <c r="CP264" s="18" t="str">
        <f ca="1"/>
        <v/>
      </c>
      <c r="CQ264" s="18" t="str">
        <f ca="1"/>
        <v/>
      </c>
      <c r="CR264" s="18" t="str">
        <f ca="1"/>
        <v/>
      </c>
      <c r="CS264" s="18" t="str">
        <f ca="1"/>
        <v/>
      </c>
      <c r="CT264" s="18" t="str">
        <f ca="1"/>
        <v/>
      </c>
      <c r="CV264" s="10"/>
      <c r="CY264" s="18" t="str">
        <f ca="1"/>
        <v/>
      </c>
      <c r="CZ264" s="18" t="str">
        <f ca="1"/>
        <v/>
      </c>
      <c r="DA264" s="18" t="str">
        <f ca="1"/>
        <v/>
      </c>
      <c r="DC264" s="10"/>
    </row>
    <row r="265" spans="1:107" x14ac:dyDescent="0.25">
      <c r="A265" s="15" t="s">
        <v>468</v>
      </c>
      <c r="B265" s="43"/>
      <c r="C265" s="42"/>
      <c r="D265" s="16"/>
      <c r="E265" s="15"/>
      <c r="F265" s="15"/>
      <c r="G265" s="15"/>
      <c r="H265" s="17" t="str">
        <f ca="1">IFERROR(__xludf.DUMMYFUNCTION("""COMPUTED_VALUE"""),"")</f>
        <v/>
      </c>
      <c r="I265" s="15" t="s">
        <v>29</v>
      </c>
      <c r="J265" s="15" t="s">
        <v>29</v>
      </c>
      <c r="K265" s="15" t="s">
        <v>29</v>
      </c>
      <c r="L265" s="15" t="s">
        <v>29</v>
      </c>
      <c r="M265" s="15" t="s">
        <v>29</v>
      </c>
      <c r="N265" s="16"/>
      <c r="O265" s="18" t="s">
        <v>469</v>
      </c>
      <c r="P265" s="19"/>
      <c r="Q265" s="18" t="str">
        <f ca="1">IFERROR(__xludf.DUMMYFUNCTION("""COMPUTED_VALUE"""),"")</f>
        <v/>
      </c>
      <c r="R265" s="19"/>
      <c r="S265" s="20" t="str">
        <f ca="1">IFERROR(__xludf.DUMMYFUNCTION("""COMPUTED_VALUE"""),"user_rh_target_editing_enabled,10,260,513,61776,16,0,,,,86400")</f>
        <v>user_rh_target_editing_enabled,10,260,513,61776,16,0,,,,86400</v>
      </c>
      <c r="X265" s="18" t="str">
        <f ca="1">IFERROR(__xludf.DUMMYFUNCTION("""COMPUTED_VALUE"""),"user_dew_point_target_min")</f>
        <v>user_dew_point_target_min</v>
      </c>
      <c r="BP265" s="10"/>
      <c r="BW265" s="10"/>
      <c r="CF265" s="10"/>
      <c r="CM265" s="10"/>
      <c r="CP265" s="18" t="str">
        <f ca="1"/>
        <v/>
      </c>
      <c r="CQ265" s="18" t="str">
        <f ca="1"/>
        <v/>
      </c>
      <c r="CR265" s="18" t="str">
        <f ca="1"/>
        <v/>
      </c>
      <c r="CS265" s="18" t="str">
        <f ca="1"/>
        <v/>
      </c>
      <c r="CT265" s="18" t="str">
        <f ca="1"/>
        <v/>
      </c>
      <c r="CV265" s="10"/>
      <c r="CY265" s="18" t="str">
        <f ca="1"/>
        <v/>
      </c>
      <c r="CZ265" s="18" t="str">
        <f ca="1"/>
        <v/>
      </c>
      <c r="DA265" s="18" t="str">
        <f ca="1"/>
        <v/>
      </c>
      <c r="DC265" s="10"/>
    </row>
    <row r="266" spans="1:107" x14ac:dyDescent="0.25">
      <c r="A266" s="15" t="s">
        <v>470</v>
      </c>
      <c r="B266" s="43"/>
      <c r="C266" s="42"/>
      <c r="D266" s="16"/>
      <c r="E266" s="15"/>
      <c r="F266" s="15"/>
      <c r="G266" s="15"/>
      <c r="H266" s="17" t="str">
        <f ca="1">IFERROR(__xludf.DUMMYFUNCTION("""COMPUTED_VALUE"""),"")</f>
        <v/>
      </c>
      <c r="I266" s="15" t="s">
        <v>29</v>
      </c>
      <c r="J266" s="15" t="s">
        <v>29</v>
      </c>
      <c r="K266" s="15" t="s">
        <v>29</v>
      </c>
      <c r="L266" s="15" t="s">
        <v>29</v>
      </c>
      <c r="M266" s="15" t="s">
        <v>29</v>
      </c>
      <c r="N266" s="16"/>
      <c r="O266" s="18" t="s">
        <v>471</v>
      </c>
      <c r="P266" s="19"/>
      <c r="Q266" s="18" t="str">
        <f ca="1">IFERROR(__xludf.DUMMYFUNCTION("""COMPUTED_VALUE"""),"")</f>
        <v/>
      </c>
      <c r="R266" s="19"/>
      <c r="S266" s="20" t="str">
        <f ca="1">IFERROR(__xludf.DUMMYFUNCTION("""COMPUTED_VALUE"""),"user_rh_target_max,10,260,513,61778,32,75,,,,86400")</f>
        <v>user_rh_target_max,10,260,513,61778,32,75,,,,86400</v>
      </c>
      <c r="X266" s="18" t="str">
        <f ca="1">IFERROR(__xludf.DUMMYFUNCTION("""COMPUTED_VALUE"""),"user_rh_target_editing_enabled")</f>
        <v>user_rh_target_editing_enabled</v>
      </c>
      <c r="BP266" s="10"/>
      <c r="BW266" s="10"/>
      <c r="CF266" s="10"/>
      <c r="CM266" s="10"/>
      <c r="CP266" s="18" t="str">
        <f ca="1"/>
        <v/>
      </c>
      <c r="CQ266" s="18" t="str">
        <f ca="1"/>
        <v/>
      </c>
      <c r="CR266" s="18" t="str">
        <f ca="1"/>
        <v/>
      </c>
      <c r="CS266" s="18" t="str">
        <f ca="1"/>
        <v/>
      </c>
      <c r="CT266" s="18" t="str">
        <f ca="1"/>
        <v/>
      </c>
      <c r="CV266" s="10"/>
      <c r="CY266" s="18" t="str">
        <f ca="1"/>
        <v/>
      </c>
      <c r="CZ266" s="18" t="str">
        <f ca="1"/>
        <v/>
      </c>
      <c r="DA266" s="18" t="str">
        <f ca="1"/>
        <v/>
      </c>
      <c r="DC266" s="10"/>
    </row>
    <row r="267" spans="1:107" x14ac:dyDescent="0.25">
      <c r="A267" s="15" t="s">
        <v>472</v>
      </c>
      <c r="B267" s="43"/>
      <c r="C267" s="42"/>
      <c r="D267" s="16"/>
      <c r="E267" s="15"/>
      <c r="F267" s="15">
        <v>1800</v>
      </c>
      <c r="G267" s="15">
        <v>28</v>
      </c>
      <c r="H267" s="17" t="str">
        <f ca="1">IFERROR(__xludf.DUMMYFUNCTION("""COMPUTED_VALUE"""),"")</f>
        <v/>
      </c>
      <c r="I267" s="15" t="s">
        <v>29</v>
      </c>
      <c r="J267" s="15" t="s">
        <v>29</v>
      </c>
      <c r="K267" s="15" t="s">
        <v>29</v>
      </c>
      <c r="L267" s="15" t="s">
        <v>29</v>
      </c>
      <c r="M267" s="15" t="s">
        <v>29</v>
      </c>
      <c r="N267" s="16"/>
      <c r="O267" s="18" t="s">
        <v>473</v>
      </c>
      <c r="P267" s="19"/>
      <c r="Q267" s="18" t="str">
        <f ca="1">IFERROR(__xludf.DUMMYFUNCTION("""COMPUTED_VALUE"""),"")</f>
        <v/>
      </c>
      <c r="R267" s="19"/>
      <c r="S267" s="20" t="str">
        <f ca="1">IFERROR(__xludf.DUMMYFUNCTION("""COMPUTED_VALUE"""),"user_rh_target_min,10,260,513,61777,32,50,,,,86400")</f>
        <v>user_rh_target_min,10,260,513,61777,32,50,,,,86400</v>
      </c>
      <c r="X267" s="18" t="str">
        <f ca="1">IFERROR(__xludf.DUMMYFUNCTION("""COMPUTED_VALUE"""),"user_rh_target_max")</f>
        <v>user_rh_target_max</v>
      </c>
      <c r="BP267" s="10"/>
      <c r="BW267" s="10"/>
      <c r="CF267" s="10"/>
      <c r="CM267" s="10"/>
      <c r="CP267" s="18" t="str">
        <f ca="1"/>
        <v/>
      </c>
      <c r="CQ267" s="18" t="str">
        <f ca="1"/>
        <v/>
      </c>
      <c r="CR267" s="18" t="str">
        <f ca="1"/>
        <v/>
      </c>
      <c r="CS267" s="18" t="str">
        <f ca="1"/>
        <v/>
      </c>
      <c r="CT267" s="18" t="str">
        <f ca="1"/>
        <v/>
      </c>
      <c r="CV267" s="10"/>
      <c r="CY267" s="18" t="str">
        <f ca="1"/>
        <v/>
      </c>
      <c r="CZ267" s="18" t="str">
        <f ca="1"/>
        <v/>
      </c>
      <c r="DA267" s="18" t="str">
        <f ca="1"/>
        <v/>
      </c>
      <c r="DC267" s="10"/>
    </row>
    <row r="268" spans="1:107" x14ac:dyDescent="0.25">
      <c r="A268" s="15" t="s">
        <v>474</v>
      </c>
      <c r="B268" s="43"/>
      <c r="C268" s="42"/>
      <c r="D268" s="16"/>
      <c r="E268" s="15"/>
      <c r="F268" s="15"/>
      <c r="G268" s="15"/>
      <c r="H268" s="17" t="str">
        <f ca="1">IFERROR(__xludf.DUMMYFUNCTION("""COMPUTED_VALUE"""),"")</f>
        <v/>
      </c>
      <c r="I268" s="15" t="s">
        <v>29</v>
      </c>
      <c r="J268" s="15">
        <v>0</v>
      </c>
      <c r="K268" s="15">
        <v>86400</v>
      </c>
      <c r="L268" s="15">
        <v>0</v>
      </c>
      <c r="M268" s="15" t="s">
        <v>29</v>
      </c>
      <c r="N268" s="16"/>
      <c r="O268" s="18" t="s">
        <v>475</v>
      </c>
      <c r="P268" s="19"/>
      <c r="Q268" s="18" t="str">
        <f ca="1">IFERROR(__xludf.DUMMYFUNCTION("""COMPUTED_VALUE"""),"")</f>
        <v/>
      </c>
      <c r="R268" s="19"/>
      <c r="S268" s="20" t="str">
        <f ca="1">IFERROR(__xludf.DUMMYFUNCTION("""COMPUTED_VALUE"""),"ventilation_duty_cycle,10,260,513,61766,32,,,,,86400")</f>
        <v>ventilation_duty_cycle,10,260,513,61766,32,,,,,86400</v>
      </c>
      <c r="X268" s="18" t="str">
        <f ca="1">IFERROR(__xludf.DUMMYFUNCTION("""COMPUTED_VALUE"""),"user_rh_target_min")</f>
        <v>user_rh_target_min</v>
      </c>
      <c r="BP268" s="10"/>
      <c r="BW268" s="10"/>
      <c r="CF268" s="10"/>
      <c r="CM268" s="10"/>
      <c r="CP268" s="18" t="str">
        <f ca="1"/>
        <v/>
      </c>
      <c r="CQ268" s="18" t="str">
        <f ca="1"/>
        <v/>
      </c>
      <c r="CR268" s="18" t="str">
        <f ca="1"/>
        <v/>
      </c>
      <c r="CS268" s="18" t="str">
        <f ca="1"/>
        <v/>
      </c>
      <c r="CT268" s="18" t="str">
        <f ca="1"/>
        <v/>
      </c>
      <c r="CV268" s="10"/>
      <c r="CY268" s="18" t="str">
        <f ca="1"/>
        <v/>
      </c>
      <c r="CZ268" s="18" t="str">
        <f ca="1"/>
        <v/>
      </c>
      <c r="DA268" s="18" t="str">
        <f ca="1"/>
        <v/>
      </c>
      <c r="DC268" s="10"/>
    </row>
    <row r="269" spans="1:107" x14ac:dyDescent="0.25">
      <c r="A269" s="15" t="s">
        <v>476</v>
      </c>
      <c r="B269" s="43"/>
      <c r="C269" s="42"/>
      <c r="D269" s="16"/>
      <c r="E269" s="15"/>
      <c r="F269" s="15"/>
      <c r="G269" s="15"/>
      <c r="H269" s="17" t="str">
        <f ca="1">IFERROR(__xludf.DUMMYFUNCTION("""COMPUTED_VALUE"""),"")</f>
        <v/>
      </c>
      <c r="I269" s="15" t="s">
        <v>29</v>
      </c>
      <c r="J269" s="15" t="s">
        <v>29</v>
      </c>
      <c r="K269" s="15" t="s">
        <v>29</v>
      </c>
      <c r="L269" s="15" t="s">
        <v>29</v>
      </c>
      <c r="M269" s="15" t="s">
        <v>29</v>
      </c>
      <c r="N269" s="16"/>
      <c r="O269" s="18" t="s">
        <v>477</v>
      </c>
      <c r="P269" s="19"/>
      <c r="Q269" s="18" t="str">
        <f ca="1">IFERROR(__xludf.DUMMYFUNCTION("""COMPUTED_VALUE"""),"")</f>
        <v/>
      </c>
      <c r="R269" s="19"/>
      <c r="S269" s="20" t="str">
        <f ca="1">IFERROR(__xludf.DUMMYFUNCTION("""COMPUTED_VALUE"""),"ventilation_engaged,10,260,513,61769,16,,0,3600,0")</f>
        <v>ventilation_engaged,10,260,513,61769,16,,0,3600,0</v>
      </c>
      <c r="X269" s="18" t="str">
        <f ca="1">IFERROR(__xludf.DUMMYFUNCTION("""COMPUTED_VALUE"""),"ventilation_duty_cycle")</f>
        <v>ventilation_duty_cycle</v>
      </c>
      <c r="BP269" s="10"/>
      <c r="BW269" s="10"/>
      <c r="CF269" s="10"/>
      <c r="CM269" s="10"/>
      <c r="CP269" s="18" t="str">
        <f ca="1"/>
        <v/>
      </c>
      <c r="CQ269" s="18" t="str">
        <f ca="1"/>
        <v/>
      </c>
      <c r="CR269" s="18" t="str">
        <f ca="1"/>
        <v/>
      </c>
      <c r="CS269" s="18" t="str">
        <f ca="1"/>
        <v/>
      </c>
      <c r="CT269" s="18" t="str">
        <f ca="1"/>
        <v/>
      </c>
      <c r="CV269" s="10"/>
      <c r="CY269" s="18" t="str">
        <f ca="1"/>
        <v/>
      </c>
      <c r="CZ269" s="18" t="str">
        <f ca="1"/>
        <v/>
      </c>
      <c r="DA269" s="18" t="str">
        <f ca="1"/>
        <v/>
      </c>
      <c r="DC269" s="10"/>
    </row>
    <row r="270" spans="1:107" x14ac:dyDescent="0.25">
      <c r="A270" s="15" t="s">
        <v>478</v>
      </c>
      <c r="B270" s="43"/>
      <c r="C270" s="42"/>
      <c r="D270" s="16"/>
      <c r="E270" s="15"/>
      <c r="F270" s="15"/>
      <c r="G270" s="15"/>
      <c r="H270" s="17" t="str">
        <f ca="1">IFERROR(__xludf.DUMMYFUNCTION("""COMPUTED_VALUE"""),"")</f>
        <v/>
      </c>
      <c r="I270" s="15" t="s">
        <v>29</v>
      </c>
      <c r="J270" s="15" t="s">
        <v>29</v>
      </c>
      <c r="K270" s="15" t="s">
        <v>29</v>
      </c>
      <c r="L270" s="15" t="s">
        <v>29</v>
      </c>
      <c r="M270" s="15" t="s">
        <v>29</v>
      </c>
      <c r="N270" s="16"/>
      <c r="O270" s="18" t="s">
        <v>479</v>
      </c>
      <c r="P270" s="19"/>
      <c r="Q270" s="18" t="str">
        <f ca="1">IFERROR(__xludf.DUMMYFUNCTION("""COMPUTED_VALUE"""),"")</f>
        <v/>
      </c>
      <c r="R270" s="19"/>
      <c r="S270" s="20" t="str">
        <f ca="1">IFERROR(__xludf.DUMMYFUNCTION("""COMPUTED_VALUE"""),"ventilation_option,10,260,513,61760,48,0,,,,86400")</f>
        <v>ventilation_option,10,260,513,61760,48,0,,,,86400</v>
      </c>
      <c r="X270" s="18" t="str">
        <f ca="1">IFERROR(__xludf.DUMMYFUNCTION("""COMPUTED_VALUE"""),"ventilation_engaged")</f>
        <v>ventilation_engaged</v>
      </c>
      <c r="BP270" s="10"/>
      <c r="BW270" s="10"/>
      <c r="CF270" s="10"/>
      <c r="CM270" s="10"/>
      <c r="CP270" s="18" t="str">
        <f ca="1"/>
        <v/>
      </c>
      <c r="CQ270" s="18" t="str">
        <f ca="1"/>
        <v/>
      </c>
      <c r="CR270" s="18" t="str">
        <f ca="1"/>
        <v/>
      </c>
      <c r="CS270" s="18" t="str">
        <f ca="1"/>
        <v/>
      </c>
      <c r="CT270" s="18" t="str">
        <f ca="1"/>
        <v/>
      </c>
      <c r="CV270" s="10"/>
      <c r="CY270" s="18" t="str">
        <f ca="1"/>
        <v/>
      </c>
      <c r="CZ270" s="18" t="str">
        <f ca="1"/>
        <v/>
      </c>
      <c r="DA270" s="18" t="str">
        <f ca="1"/>
        <v/>
      </c>
      <c r="DC270" s="10"/>
    </row>
    <row r="271" spans="1:107" x14ac:dyDescent="0.25">
      <c r="A271" s="15" t="s">
        <v>480</v>
      </c>
      <c r="B271" s="43"/>
      <c r="C271" s="42"/>
      <c r="D271" s="16"/>
      <c r="E271" s="15"/>
      <c r="F271" s="15"/>
      <c r="G271" s="15"/>
      <c r="H271" s="17" t="str">
        <f ca="1">IFERROR(__xludf.DUMMYFUNCTION("""COMPUTED_VALUE"""),"")</f>
        <v/>
      </c>
      <c r="I271" s="15" t="s">
        <v>29</v>
      </c>
      <c r="J271" s="15" t="s">
        <v>29</v>
      </c>
      <c r="K271" s="15" t="s">
        <v>29</v>
      </c>
      <c r="L271" s="15" t="s">
        <v>29</v>
      </c>
      <c r="M271" s="15" t="s">
        <v>29</v>
      </c>
      <c r="N271" s="16"/>
      <c r="O271" s="18" t="s">
        <v>481</v>
      </c>
      <c r="P271" s="19"/>
      <c r="Q271" s="18" t="str">
        <f ca="1">IFERROR(__xludf.DUMMYFUNCTION("""COMPUTED_VALUE"""),"")</f>
        <v/>
      </c>
      <c r="R271" s="19"/>
      <c r="S271" s="20" t="str">
        <f ca="1">IFERROR(__xludf.DUMMYFUNCTION("""COMPUTED_VALUE"""),"zigbee_enabled,10,260,0,3,32,,,,,86400")</f>
        <v>zigbee_enabled,10,260,0,3,32,,,,,86400</v>
      </c>
      <c r="X271" s="18" t="str">
        <f ca="1">IFERROR(__xludf.DUMMYFUNCTION("""COMPUTED_VALUE"""),"ventilation_option")</f>
        <v>ventilation_option</v>
      </c>
      <c r="BP271" s="10"/>
      <c r="BW271" s="10"/>
      <c r="CF271" s="10"/>
      <c r="CM271" s="10"/>
      <c r="CP271" s="18" t="str">
        <f ca="1"/>
        <v/>
      </c>
      <c r="CQ271" s="18" t="str">
        <f ca="1"/>
        <v/>
      </c>
      <c r="CR271" s="18" t="str">
        <f ca="1"/>
        <v/>
      </c>
      <c r="CS271" s="18" t="str">
        <f ca="1"/>
        <v/>
      </c>
      <c r="CT271" s="18" t="str">
        <f ca="1"/>
        <v/>
      </c>
      <c r="CV271" s="10"/>
      <c r="CY271" s="18" t="str">
        <f ca="1"/>
        <v/>
      </c>
      <c r="CZ271" s="18" t="str">
        <f ca="1"/>
        <v/>
      </c>
      <c r="DA271" s="18" t="str">
        <f ca="1"/>
        <v/>
      </c>
      <c r="DC271" s="10"/>
    </row>
    <row r="272" spans="1:107" x14ac:dyDescent="0.25">
      <c r="A272" s="15" t="s">
        <v>482</v>
      </c>
      <c r="B272" s="43"/>
      <c r="C272" s="42"/>
      <c r="D272" s="16"/>
      <c r="E272" s="15"/>
      <c r="F272" s="15"/>
      <c r="G272" s="15"/>
      <c r="H272" s="17" t="str">
        <f ca="1">IFERROR(__xludf.DUMMYFUNCTION("""COMPUTED_VALUE"""),"")</f>
        <v/>
      </c>
      <c r="I272" s="15" t="s">
        <v>29</v>
      </c>
      <c r="J272" s="15" t="s">
        <v>29</v>
      </c>
      <c r="K272" s="15" t="s">
        <v>29</v>
      </c>
      <c r="L272" s="15" t="s">
        <v>29</v>
      </c>
      <c r="M272" s="15" t="s">
        <v>29</v>
      </c>
      <c r="N272" s="16"/>
      <c r="O272" s="18" t="s">
        <v>483</v>
      </c>
      <c r="P272" s="19"/>
      <c r="Q272" s="18" t="str">
        <f ca="1">IFERROR(__xludf.DUMMYFUNCTION("""COMPUTED_VALUE"""),"")</f>
        <v/>
      </c>
      <c r="R272" s="19"/>
      <c r="S272" s="20" t="str">
        <f ca="1">IFERROR(__xludf.DUMMYFUNCTION("""COMPUTED_VALUE"""),"zigbee_node_type,10,260,64517,28,48,0,,,,86400")</f>
        <v>zigbee_node_type,10,260,64517,28,48,0,,,,86400</v>
      </c>
      <c r="X272" s="18" t="str">
        <f ca="1">IFERROR(__xludf.DUMMYFUNCTION("""COMPUTED_VALUE"""),"zigbee_enabled")</f>
        <v>zigbee_enabled</v>
      </c>
      <c r="BP272" s="10"/>
      <c r="BW272" s="10"/>
      <c r="CF272" s="10"/>
      <c r="CM272" s="10"/>
      <c r="CP272" s="18" t="str">
        <f ca="1"/>
        <v/>
      </c>
      <c r="CQ272" s="18" t="str">
        <f ca="1"/>
        <v/>
      </c>
      <c r="CR272" s="18" t="str">
        <f ca="1"/>
        <v/>
      </c>
      <c r="CS272" s="18" t="str">
        <f ca="1"/>
        <v/>
      </c>
      <c r="CT272" s="18" t="str">
        <f ca="1"/>
        <v/>
      </c>
      <c r="CV272" s="10"/>
      <c r="CY272" s="18" t="str">
        <f ca="1"/>
        <v/>
      </c>
      <c r="CZ272" s="18" t="str">
        <f ca="1"/>
        <v/>
      </c>
      <c r="DA272" s="18" t="str">
        <f ca="1"/>
        <v/>
      </c>
      <c r="DC272" s="10"/>
    </row>
    <row r="273" spans="1:107" x14ac:dyDescent="0.25">
      <c r="A273" s="15" t="s">
        <v>484</v>
      </c>
      <c r="B273" s="43"/>
      <c r="C273" s="42"/>
      <c r="D273" s="16"/>
      <c r="E273" s="15"/>
      <c r="F273" s="15"/>
      <c r="G273" s="15"/>
      <c r="H273" s="17" t="str">
        <f ca="1">IFERROR(__xludf.DUMMYFUNCTION("""COMPUTED_VALUE"""),"")</f>
        <v/>
      </c>
      <c r="I273" s="15" t="s">
        <v>29</v>
      </c>
      <c r="J273" s="15" t="s">
        <v>29</v>
      </c>
      <c r="K273" s="15" t="s">
        <v>29</v>
      </c>
      <c r="L273" s="15" t="s">
        <v>29</v>
      </c>
      <c r="M273" s="15" t="s">
        <v>29</v>
      </c>
      <c r="N273" s="16"/>
      <c r="O273" s="18" t="s">
        <v>485</v>
      </c>
      <c r="P273" s="19"/>
      <c r="Q273" s="18" t="str">
        <f ca="1">IFERROR(__xludf.DUMMYFUNCTION("""COMPUTED_VALUE"""),"")</f>
        <v/>
      </c>
      <c r="R273" s="19"/>
      <c r="S273" s="20" t="str">
        <f ca="1">IFERROR(__xludf.DUMMYFUNCTION("""COMPUTED_VALUE"""),"zigbee_nonsecure,10,260,64517,47,16,,,,,86400")</f>
        <v>zigbee_nonsecure,10,260,64517,47,16,,,,,86400</v>
      </c>
      <c r="X273" s="18" t="str">
        <f ca="1">IFERROR(__xludf.DUMMYFUNCTION("""COMPUTED_VALUE"""),"zigbee_node_type")</f>
        <v>zigbee_node_type</v>
      </c>
      <c r="BP273" s="10"/>
      <c r="BW273" s="10"/>
      <c r="CF273" s="10"/>
      <c r="CM273" s="10"/>
      <c r="CP273" s="18" t="str">
        <f ca="1"/>
        <v/>
      </c>
      <c r="CQ273" s="18" t="str">
        <f ca="1"/>
        <v/>
      </c>
      <c r="CR273" s="18" t="str">
        <f ca="1"/>
        <v/>
      </c>
      <c r="CS273" s="18" t="str">
        <f ca="1"/>
        <v/>
      </c>
      <c r="CT273" s="18" t="str">
        <f ca="1"/>
        <v/>
      </c>
      <c r="CV273" s="10"/>
      <c r="CY273" s="18" t="str">
        <f ca="1"/>
        <v/>
      </c>
      <c r="CZ273" s="18" t="str">
        <f ca="1"/>
        <v/>
      </c>
      <c r="DA273" s="18" t="str">
        <f ca="1"/>
        <v/>
      </c>
      <c r="DC273" s="10"/>
    </row>
    <row r="274" spans="1:107" x14ac:dyDescent="0.25">
      <c r="A274" s="15" t="s">
        <v>486</v>
      </c>
      <c r="B274" s="43"/>
      <c r="C274" s="42"/>
      <c r="D274" s="16"/>
      <c r="E274" s="15"/>
      <c r="F274" s="15"/>
      <c r="G274" s="15"/>
      <c r="H274" s="17" t="str">
        <f ca="1">IFERROR(__xludf.DUMMYFUNCTION("""COMPUTED_VALUE"""),"")</f>
        <v/>
      </c>
      <c r="I274" s="15" t="s">
        <v>29</v>
      </c>
      <c r="J274" s="15" t="s">
        <v>29</v>
      </c>
      <c r="K274" s="15" t="s">
        <v>29</v>
      </c>
      <c r="L274" s="15" t="s">
        <v>29</v>
      </c>
      <c r="M274" s="15" t="s">
        <v>29</v>
      </c>
      <c r="N274" s="16"/>
      <c r="O274" s="18" t="s">
        <v>487</v>
      </c>
      <c r="P274" s="19"/>
      <c r="Q274" s="18" t="str">
        <f ca="1">IFERROR(__xludf.DUMMYFUNCTION("""COMPUTED_VALUE"""),"")</f>
        <v/>
      </c>
      <c r="R274" s="19"/>
      <c r="S274" s="20"/>
      <c r="X274" s="18" t="str">
        <f ca="1">IFERROR(__xludf.DUMMYFUNCTION("""COMPUTED_VALUE"""),"zigbee_nonsecure")</f>
        <v>zigbee_nonsecure</v>
      </c>
      <c r="BP274" s="10"/>
      <c r="BW274" s="10"/>
      <c r="CF274" s="10"/>
      <c r="CM274" s="10"/>
      <c r="CP274" s="18" t="str">
        <f ca="1"/>
        <v/>
      </c>
      <c r="CQ274" s="18" t="str">
        <f ca="1"/>
        <v/>
      </c>
      <c r="CR274" s="18" t="str">
        <f ca="1"/>
        <v/>
      </c>
      <c r="CS274" s="18" t="str">
        <f ca="1"/>
        <v/>
      </c>
      <c r="CT274" s="18" t="str">
        <f ca="1"/>
        <v/>
      </c>
      <c r="CV274" s="10"/>
      <c r="CY274" s="18" t="str">
        <f ca="1"/>
        <v/>
      </c>
      <c r="CZ274" s="18" t="str">
        <f ca="1"/>
        <v/>
      </c>
      <c r="DA274" s="18" t="str">
        <f ca="1"/>
        <v/>
      </c>
      <c r="DC274" s="10"/>
    </row>
    <row r="275" spans="1:107" x14ac:dyDescent="0.25">
      <c r="A275" s="15" t="s">
        <v>488</v>
      </c>
      <c r="B275" s="43"/>
      <c r="C275" s="42"/>
      <c r="D275" s="16"/>
      <c r="E275" s="15"/>
      <c r="F275" s="15"/>
      <c r="G275" s="15"/>
      <c r="H275" s="17" t="str">
        <f ca="1">IFERROR(__xludf.DUMMYFUNCTION("""COMPUTED_VALUE"""),"")</f>
        <v/>
      </c>
      <c r="I275" s="15" t="s">
        <v>29</v>
      </c>
      <c r="J275" s="15" t="s">
        <v>29</v>
      </c>
      <c r="K275" s="15" t="s">
        <v>29</v>
      </c>
      <c r="L275" s="15" t="s">
        <v>29</v>
      </c>
      <c r="M275" s="15" t="s">
        <v>29</v>
      </c>
      <c r="N275" s="16"/>
      <c r="O275" s="18" t="s">
        <v>489</v>
      </c>
      <c r="P275" s="19"/>
      <c r="Q275" s="18" t="str">
        <f ca="1">IFERROR(__xludf.DUMMYFUNCTION("""COMPUTED_VALUE"""),"")</f>
        <v/>
      </c>
      <c r="R275" s="19"/>
      <c r="S275" s="20"/>
      <c r="BP275" s="10"/>
      <c r="BW275" s="10"/>
      <c r="CF275" s="10"/>
      <c r="CM275" s="10"/>
      <c r="CP275" s="18" t="str">
        <f ca="1"/>
        <v/>
      </c>
      <c r="CQ275" s="18" t="str">
        <f ca="1"/>
        <v/>
      </c>
      <c r="CR275" s="18" t="str">
        <f ca="1"/>
        <v/>
      </c>
      <c r="CS275" s="18" t="str">
        <f ca="1"/>
        <v/>
      </c>
      <c r="CT275" s="18" t="str">
        <f ca="1"/>
        <v/>
      </c>
      <c r="CV275" s="10"/>
      <c r="CY275" s="18" t="str">
        <f ca="1"/>
        <v/>
      </c>
      <c r="CZ275" s="18" t="str">
        <f ca="1"/>
        <v/>
      </c>
      <c r="DA275" s="18" t="str">
        <f ca="1"/>
        <v/>
      </c>
      <c r="DC275" s="10"/>
    </row>
    <row r="276" spans="1:107" x14ac:dyDescent="0.25">
      <c r="A276" s="15" t="s">
        <v>490</v>
      </c>
      <c r="B276" s="43"/>
      <c r="C276" s="42"/>
      <c r="D276" s="16"/>
      <c r="E276" s="15"/>
      <c r="F276" s="15"/>
      <c r="G276" s="15"/>
      <c r="H276" s="17" t="str">
        <f ca="1">IFERROR(__xludf.DUMMYFUNCTION("""COMPUTED_VALUE"""),"")</f>
        <v/>
      </c>
      <c r="I276" s="15" t="s">
        <v>29</v>
      </c>
      <c r="J276" s="15" t="s">
        <v>29</v>
      </c>
      <c r="K276" s="15" t="s">
        <v>29</v>
      </c>
      <c r="L276" s="15" t="s">
        <v>29</v>
      </c>
      <c r="M276" s="15" t="s">
        <v>29</v>
      </c>
      <c r="N276" s="16"/>
      <c r="O276" s="18" t="s">
        <v>491</v>
      </c>
      <c r="P276" s="19"/>
      <c r="Q276" s="18" t="str">
        <f ca="1">IFERROR(__xludf.DUMMYFUNCTION("""COMPUTED_VALUE"""),"")</f>
        <v/>
      </c>
      <c r="R276" s="19"/>
      <c r="S276" s="20"/>
      <c r="BP276" s="10"/>
      <c r="BW276" s="10"/>
      <c r="CF276" s="10"/>
      <c r="CM276" s="10"/>
      <c r="CP276" s="18" t="str">
        <f ca="1"/>
        <v/>
      </c>
      <c r="CQ276" s="18" t="str">
        <f ca="1"/>
        <v/>
      </c>
      <c r="CR276" s="18" t="str">
        <f ca="1"/>
        <v/>
      </c>
      <c r="CS276" s="18" t="str">
        <f ca="1"/>
        <v/>
      </c>
      <c r="CT276" s="18" t="str">
        <f ca="1"/>
        <v/>
      </c>
      <c r="CV276" s="10"/>
      <c r="CY276" s="18" t="str">
        <f ca="1"/>
        <v/>
      </c>
      <c r="CZ276" s="18" t="str">
        <f ca="1"/>
        <v/>
      </c>
      <c r="DA276" s="18" t="str">
        <f ca="1"/>
        <v/>
      </c>
      <c r="DC276" s="10"/>
    </row>
    <row r="277" spans="1:107" x14ac:dyDescent="0.25">
      <c r="A277" s="15" t="s">
        <v>492</v>
      </c>
      <c r="B277" s="43"/>
      <c r="C277" s="42"/>
      <c r="D277" s="16"/>
      <c r="E277" s="15"/>
      <c r="F277" s="15"/>
      <c r="G277" s="15"/>
      <c r="H277" s="17" t="str">
        <f ca="1">IFERROR(__xludf.DUMMYFUNCTION("""COMPUTED_VALUE"""),"")</f>
        <v/>
      </c>
      <c r="I277" s="15" t="s">
        <v>29</v>
      </c>
      <c r="J277" s="15" t="s">
        <v>29</v>
      </c>
      <c r="K277" s="15" t="s">
        <v>29</v>
      </c>
      <c r="L277" s="15" t="s">
        <v>29</v>
      </c>
      <c r="M277" s="15" t="s">
        <v>29</v>
      </c>
      <c r="N277" s="16"/>
      <c r="O277" s="18" t="s">
        <v>493</v>
      </c>
      <c r="P277" s="19"/>
      <c r="Q277" s="18" t="str">
        <f ca="1">IFERROR(__xludf.DUMMYFUNCTION("""COMPUTED_VALUE"""),"")</f>
        <v/>
      </c>
      <c r="R277" s="19"/>
      <c r="S277" s="20"/>
      <c r="BP277" s="10"/>
      <c r="BW277" s="10"/>
      <c r="CF277" s="10"/>
      <c r="CM277" s="10"/>
      <c r="CP277" s="18" t="str">
        <f ca="1"/>
        <v/>
      </c>
      <c r="CQ277" s="18" t="str">
        <f ca="1"/>
        <v/>
      </c>
      <c r="CR277" s="18" t="str">
        <f ca="1"/>
        <v/>
      </c>
      <c r="CS277" s="18" t="str">
        <f ca="1"/>
        <v/>
      </c>
      <c r="CT277" s="18" t="str">
        <f ca="1"/>
        <v/>
      </c>
      <c r="CV277" s="10"/>
      <c r="CY277" s="18" t="str">
        <f ca="1"/>
        <v/>
      </c>
      <c r="CZ277" s="18" t="str">
        <f ca="1"/>
        <v/>
      </c>
      <c r="DA277" s="18" t="str">
        <f ca="1"/>
        <v/>
      </c>
      <c r="DC277" s="10"/>
    </row>
    <row r="278" spans="1:107" x14ac:dyDescent="0.25">
      <c r="A278" s="15" t="s">
        <v>494</v>
      </c>
      <c r="B278" s="43"/>
      <c r="C278" s="42"/>
      <c r="D278" s="16"/>
      <c r="E278" s="15"/>
      <c r="F278" s="15"/>
      <c r="G278" s="15"/>
      <c r="H278" s="17" t="str">
        <f ca="1">IFERROR(__xludf.DUMMYFUNCTION("""COMPUTED_VALUE"""),"")</f>
        <v/>
      </c>
      <c r="I278" s="15" t="s">
        <v>29</v>
      </c>
      <c r="J278" s="15" t="s">
        <v>29</v>
      </c>
      <c r="K278" s="15" t="s">
        <v>29</v>
      </c>
      <c r="L278" s="15" t="s">
        <v>29</v>
      </c>
      <c r="M278" s="15" t="s">
        <v>29</v>
      </c>
      <c r="N278" s="16"/>
      <c r="O278" s="18" t="s">
        <v>495</v>
      </c>
      <c r="P278" s="19"/>
      <c r="Q278" s="18" t="str">
        <f ca="1">IFERROR(__xludf.DUMMYFUNCTION("""COMPUTED_VALUE"""),"")</f>
        <v/>
      </c>
      <c r="R278" s="19"/>
      <c r="S278" s="20"/>
      <c r="BP278" s="10"/>
      <c r="BW278" s="10"/>
      <c r="CF278" s="10"/>
      <c r="CM278" s="10"/>
      <c r="CP278" s="18" t="str">
        <f ca="1"/>
        <v/>
      </c>
      <c r="CQ278" s="18" t="str">
        <f ca="1"/>
        <v/>
      </c>
      <c r="CR278" s="18" t="str">
        <f ca="1"/>
        <v/>
      </c>
      <c r="CS278" s="18" t="str">
        <f ca="1"/>
        <v/>
      </c>
      <c r="CT278" s="18" t="str">
        <f ca="1"/>
        <v/>
      </c>
      <c r="CV278" s="10"/>
      <c r="CY278" s="18" t="str">
        <f ca="1"/>
        <v/>
      </c>
      <c r="CZ278" s="18" t="str">
        <f ca="1"/>
        <v/>
      </c>
      <c r="DA278" s="18" t="str">
        <f ca="1"/>
        <v/>
      </c>
      <c r="DC278" s="10"/>
    </row>
    <row r="279" spans="1:107" x14ac:dyDescent="0.25">
      <c r="A279" s="15" t="s">
        <v>496</v>
      </c>
      <c r="B279" s="43"/>
      <c r="C279" s="42"/>
      <c r="D279" s="16"/>
      <c r="E279" s="15"/>
      <c r="F279" s="15"/>
      <c r="G279" s="15"/>
      <c r="H279" s="17" t="str">
        <f ca="1">IFERROR(__xludf.DUMMYFUNCTION("""COMPUTED_VALUE"""),"")</f>
        <v/>
      </c>
      <c r="I279" s="15" t="s">
        <v>29</v>
      </c>
      <c r="J279" s="15" t="s">
        <v>29</v>
      </c>
      <c r="K279" s="15" t="s">
        <v>29</v>
      </c>
      <c r="L279" s="15" t="s">
        <v>29</v>
      </c>
      <c r="M279" s="15" t="s">
        <v>29</v>
      </c>
      <c r="N279" s="16"/>
      <c r="O279" s="18" t="s">
        <v>497</v>
      </c>
      <c r="P279" s="19"/>
      <c r="Q279" s="18" t="str">
        <f ca="1">IFERROR(__xludf.DUMMYFUNCTION("""COMPUTED_VALUE"""),"")</f>
        <v/>
      </c>
      <c r="R279" s="19"/>
      <c r="S279" s="20"/>
      <c r="BP279" s="10"/>
      <c r="BW279" s="10"/>
      <c r="CF279" s="10"/>
      <c r="CM279" s="10"/>
      <c r="CP279" s="18" t="str">
        <f ca="1"/>
        <v/>
      </c>
      <c r="CQ279" s="18" t="str">
        <f ca="1"/>
        <v/>
      </c>
      <c r="CR279" s="18" t="str">
        <f ca="1"/>
        <v/>
      </c>
      <c r="CS279" s="18" t="str">
        <f ca="1"/>
        <v/>
      </c>
      <c r="CT279" s="18" t="str">
        <f ca="1"/>
        <v/>
      </c>
      <c r="CV279" s="10"/>
      <c r="CY279" s="18" t="str">
        <f ca="1"/>
        <v/>
      </c>
      <c r="CZ279" s="18" t="str">
        <f ca="1"/>
        <v/>
      </c>
      <c r="DA279" s="18" t="str">
        <f ca="1"/>
        <v/>
      </c>
      <c r="DC279" s="10"/>
    </row>
    <row r="280" spans="1:107" x14ac:dyDescent="0.25">
      <c r="A280" s="15" t="s">
        <v>498</v>
      </c>
      <c r="B280" s="43"/>
      <c r="C280" s="42"/>
      <c r="D280" s="16"/>
      <c r="E280" s="15"/>
      <c r="F280" s="15"/>
      <c r="G280" s="15"/>
      <c r="H280" s="17" t="str">
        <f ca="1">IFERROR(__xludf.DUMMYFUNCTION("""COMPUTED_VALUE"""),"")</f>
        <v/>
      </c>
      <c r="I280" s="15" t="s">
        <v>29</v>
      </c>
      <c r="J280" s="15" t="s">
        <v>29</v>
      </c>
      <c r="K280" s="15" t="s">
        <v>29</v>
      </c>
      <c r="L280" s="15" t="s">
        <v>29</v>
      </c>
      <c r="M280" s="15" t="s">
        <v>29</v>
      </c>
      <c r="N280" s="16"/>
      <c r="O280" s="18" t="s">
        <v>499</v>
      </c>
      <c r="P280" s="19"/>
      <c r="Q280" s="18" t="str">
        <f ca="1">IFERROR(__xludf.DUMMYFUNCTION("""COMPUTED_VALUE"""),"")</f>
        <v/>
      </c>
      <c r="R280" s="19"/>
      <c r="S280" s="20"/>
      <c r="BP280" s="10"/>
      <c r="BW280" s="10"/>
      <c r="CF280" s="10"/>
      <c r="CM280" s="10"/>
      <c r="CP280" s="18" t="str">
        <f ca="1"/>
        <v/>
      </c>
      <c r="CQ280" s="18" t="str">
        <f ca="1"/>
        <v/>
      </c>
      <c r="CR280" s="18" t="str">
        <f ca="1"/>
        <v/>
      </c>
      <c r="CS280" s="18" t="str">
        <f ca="1"/>
        <v/>
      </c>
      <c r="CT280" s="18" t="str">
        <f ca="1"/>
        <v/>
      </c>
      <c r="CV280" s="10"/>
      <c r="CY280" s="18" t="str">
        <f ca="1"/>
        <v/>
      </c>
      <c r="CZ280" s="18" t="str">
        <f ca="1"/>
        <v/>
      </c>
      <c r="DA280" s="18" t="str">
        <f ca="1"/>
        <v/>
      </c>
      <c r="DC280" s="10"/>
    </row>
    <row r="281" spans="1:107" x14ac:dyDescent="0.25">
      <c r="A281" s="15" t="s">
        <v>500</v>
      </c>
      <c r="B281" s="43"/>
      <c r="C281" s="42"/>
      <c r="D281" s="16"/>
      <c r="E281" s="15"/>
      <c r="F281" s="15"/>
      <c r="G281" s="15"/>
      <c r="H281" s="17" t="str">
        <f ca="1">IFERROR(__xludf.DUMMYFUNCTION("""COMPUTED_VALUE"""),"")</f>
        <v/>
      </c>
      <c r="I281" s="15" t="s">
        <v>29</v>
      </c>
      <c r="J281" s="15" t="s">
        <v>29</v>
      </c>
      <c r="K281" s="15" t="s">
        <v>29</v>
      </c>
      <c r="L281" s="15" t="s">
        <v>29</v>
      </c>
      <c r="M281" s="15" t="s">
        <v>29</v>
      </c>
      <c r="N281" s="16"/>
      <c r="O281" s="18" t="s">
        <v>501</v>
      </c>
      <c r="P281" s="19"/>
      <c r="Q281" s="18" t="str">
        <f ca="1">IFERROR(__xludf.DUMMYFUNCTION("""COMPUTED_VALUE"""),"")</f>
        <v/>
      </c>
      <c r="R281" s="19"/>
      <c r="S281" s="20"/>
      <c r="BP281" s="10"/>
      <c r="BW281" s="10"/>
      <c r="CF281" s="10"/>
      <c r="CM281" s="10"/>
      <c r="CP281" s="18" t="str">
        <f ca="1"/>
        <v/>
      </c>
      <c r="CQ281" s="18" t="str">
        <f ca="1"/>
        <v/>
      </c>
      <c r="CR281" s="18" t="str">
        <f ca="1"/>
        <v/>
      </c>
      <c r="CS281" s="18" t="str">
        <f ca="1"/>
        <v/>
      </c>
      <c r="CT281" s="18" t="str">
        <f ca="1"/>
        <v/>
      </c>
      <c r="CV281" s="10"/>
      <c r="CY281" s="18" t="str">
        <f ca="1"/>
        <v/>
      </c>
      <c r="CZ281" s="18" t="str">
        <f ca="1"/>
        <v/>
      </c>
      <c r="DA281" s="18" t="str">
        <f ca="1"/>
        <v/>
      </c>
      <c r="DC281" s="10"/>
    </row>
    <row r="282" spans="1:107" x14ac:dyDescent="0.25">
      <c r="A282" s="15" t="s">
        <v>502</v>
      </c>
      <c r="B282" s="43"/>
      <c r="C282" s="42"/>
      <c r="D282" s="16"/>
      <c r="E282" s="15"/>
      <c r="F282" s="15"/>
      <c r="G282" s="15"/>
      <c r="H282" s="17" t="str">
        <f ca="1">IFERROR(__xludf.DUMMYFUNCTION("""COMPUTED_VALUE"""),"")</f>
        <v/>
      </c>
      <c r="I282" s="15" t="s">
        <v>29</v>
      </c>
      <c r="J282" s="15" t="s">
        <v>29</v>
      </c>
      <c r="K282" s="15" t="s">
        <v>29</v>
      </c>
      <c r="L282" s="15" t="s">
        <v>29</v>
      </c>
      <c r="M282" s="15" t="s">
        <v>29</v>
      </c>
      <c r="N282" s="16"/>
      <c r="O282" s="18" t="s">
        <v>503</v>
      </c>
      <c r="P282" s="19"/>
      <c r="Q282" s="18" t="str">
        <f ca="1">IFERROR(__xludf.DUMMYFUNCTION("""COMPUTED_VALUE"""),"")</f>
        <v/>
      </c>
      <c r="R282" s="19"/>
      <c r="S282" s="20"/>
      <c r="BP282" s="10"/>
      <c r="BW282" s="10"/>
      <c r="CF282" s="10"/>
      <c r="CM282" s="10"/>
      <c r="CP282" s="18" t="str">
        <f ca="1"/>
        <v/>
      </c>
      <c r="CQ282" s="18" t="str">
        <f ca="1"/>
        <v/>
      </c>
      <c r="CR282" s="18" t="str">
        <f ca="1"/>
        <v/>
      </c>
      <c r="CS282" s="18" t="str">
        <f ca="1"/>
        <v/>
      </c>
      <c r="CT282" s="18" t="str">
        <f ca="1"/>
        <v/>
      </c>
      <c r="CV282" s="10"/>
      <c r="CY282" s="18" t="str">
        <f ca="1"/>
        <v/>
      </c>
      <c r="CZ282" s="18" t="str">
        <f ca="1"/>
        <v/>
      </c>
      <c r="DA282" s="18" t="str">
        <f ca="1"/>
        <v/>
      </c>
      <c r="DC282" s="10"/>
    </row>
    <row r="283" spans="1:107" x14ac:dyDescent="0.25">
      <c r="A283" s="15" t="s">
        <v>504</v>
      </c>
      <c r="B283" s="43"/>
      <c r="C283" s="42"/>
      <c r="D283" s="16"/>
      <c r="E283" s="15"/>
      <c r="F283" s="15"/>
      <c r="G283" s="15"/>
      <c r="H283" s="17" t="str">
        <f ca="1">IFERROR(__xludf.DUMMYFUNCTION("""COMPUTED_VALUE"""),"")</f>
        <v/>
      </c>
      <c r="I283" s="15" t="s">
        <v>29</v>
      </c>
      <c r="J283" s="15" t="s">
        <v>29</v>
      </c>
      <c r="K283" s="15" t="s">
        <v>29</v>
      </c>
      <c r="L283" s="15" t="s">
        <v>29</v>
      </c>
      <c r="M283" s="15" t="s">
        <v>29</v>
      </c>
      <c r="N283" s="16"/>
      <c r="O283" s="18" t="s">
        <v>505</v>
      </c>
      <c r="P283" s="19"/>
      <c r="Q283" s="18" t="str">
        <f ca="1">IFERROR(__xludf.DUMMYFUNCTION("""COMPUTED_VALUE"""),"")</f>
        <v/>
      </c>
      <c r="R283" s="19"/>
      <c r="S283" s="20"/>
      <c r="BP283" s="10"/>
      <c r="BW283" s="10"/>
      <c r="CF283" s="10"/>
      <c r="CM283" s="10"/>
      <c r="CP283" s="18" t="str">
        <f ca="1"/>
        <v/>
      </c>
      <c r="CQ283" s="18" t="str">
        <f ca="1"/>
        <v/>
      </c>
      <c r="CR283" s="18" t="str">
        <f ca="1"/>
        <v/>
      </c>
      <c r="CS283" s="18" t="str">
        <f ca="1"/>
        <v/>
      </c>
      <c r="CT283" s="18" t="str">
        <f ca="1"/>
        <v/>
      </c>
      <c r="CV283" s="10"/>
      <c r="CY283" s="18" t="str">
        <f ca="1"/>
        <v/>
      </c>
      <c r="CZ283" s="18" t="str">
        <f ca="1"/>
        <v/>
      </c>
      <c r="DA283" s="18" t="str">
        <f ca="1"/>
        <v/>
      </c>
      <c r="DC283" s="10"/>
    </row>
    <row r="284" spans="1:107" x14ac:dyDescent="0.25">
      <c r="A284" s="15" t="s">
        <v>506</v>
      </c>
      <c r="B284" s="43"/>
      <c r="C284" s="42"/>
      <c r="D284" s="16"/>
      <c r="E284" s="15"/>
      <c r="F284" s="15"/>
      <c r="G284" s="15"/>
      <c r="H284" s="17" t="str">
        <f ca="1">IFERROR(__xludf.DUMMYFUNCTION("""COMPUTED_VALUE"""),"")</f>
        <v/>
      </c>
      <c r="I284" s="15" t="s">
        <v>29</v>
      </c>
      <c r="J284" s="15" t="s">
        <v>29</v>
      </c>
      <c r="K284" s="15" t="s">
        <v>29</v>
      </c>
      <c r="L284" s="15" t="s">
        <v>29</v>
      </c>
      <c r="M284" s="15" t="s">
        <v>29</v>
      </c>
      <c r="N284" s="16"/>
      <c r="O284" s="18" t="s">
        <v>507</v>
      </c>
      <c r="P284" s="19"/>
      <c r="Q284" s="18" t="str">
        <f ca="1">IFERROR(__xludf.DUMMYFUNCTION("""COMPUTED_VALUE"""),"")</f>
        <v/>
      </c>
      <c r="R284" s="19"/>
      <c r="S284" s="20"/>
      <c r="BP284" s="10"/>
      <c r="BW284" s="10"/>
      <c r="CF284" s="10"/>
      <c r="CM284" s="10"/>
      <c r="CP284" s="18" t="str">
        <f ca="1"/>
        <v/>
      </c>
      <c r="CQ284" s="18" t="str">
        <f ca="1"/>
        <v/>
      </c>
      <c r="CR284" s="18" t="str">
        <f ca="1"/>
        <v/>
      </c>
      <c r="CS284" s="18" t="str">
        <f ca="1"/>
        <v/>
      </c>
      <c r="CT284" s="18" t="str">
        <f ca="1"/>
        <v/>
      </c>
      <c r="CV284" s="10"/>
      <c r="CY284" s="18" t="str">
        <f ca="1"/>
        <v/>
      </c>
      <c r="CZ284" s="18" t="str">
        <f ca="1"/>
        <v/>
      </c>
      <c r="DA284" s="18" t="str">
        <f ca="1"/>
        <v/>
      </c>
      <c r="DC284" s="10"/>
    </row>
    <row r="285" spans="1:107" x14ac:dyDescent="0.25">
      <c r="A285" s="15" t="s">
        <v>508</v>
      </c>
      <c r="B285" s="43"/>
      <c r="C285" s="42"/>
      <c r="D285" s="16"/>
      <c r="E285" s="15"/>
      <c r="F285" s="15"/>
      <c r="G285" s="15"/>
      <c r="H285" s="17" t="str">
        <f ca="1">IFERROR(__xludf.DUMMYFUNCTION("""COMPUTED_VALUE"""),"")</f>
        <v/>
      </c>
      <c r="I285" s="15" t="s">
        <v>29</v>
      </c>
      <c r="J285" s="15" t="s">
        <v>29</v>
      </c>
      <c r="K285" s="15" t="s">
        <v>29</v>
      </c>
      <c r="L285" s="15" t="s">
        <v>29</v>
      </c>
      <c r="M285" s="15" t="s">
        <v>29</v>
      </c>
      <c r="N285" s="16"/>
      <c r="O285" s="18" t="s">
        <v>509</v>
      </c>
      <c r="P285" s="19"/>
      <c r="Q285" s="18" t="str">
        <f ca="1">IFERROR(__xludf.DUMMYFUNCTION("""COMPUTED_VALUE"""),"")</f>
        <v/>
      </c>
      <c r="R285" s="19"/>
      <c r="S285" s="20"/>
      <c r="BP285" s="10"/>
      <c r="BW285" s="10"/>
      <c r="CF285" s="10"/>
      <c r="CM285" s="10"/>
      <c r="CP285" s="18" t="str">
        <f ca="1"/>
        <v/>
      </c>
      <c r="CQ285" s="18" t="str">
        <f ca="1"/>
        <v/>
      </c>
      <c r="CR285" s="18" t="str">
        <f ca="1"/>
        <v/>
      </c>
      <c r="CS285" s="18" t="str">
        <f ca="1"/>
        <v/>
      </c>
      <c r="CT285" s="18" t="str">
        <f ca="1"/>
        <v/>
      </c>
      <c r="CV285" s="10"/>
      <c r="CY285" s="18" t="str">
        <f ca="1"/>
        <v/>
      </c>
      <c r="CZ285" s="18" t="str">
        <f ca="1"/>
        <v/>
      </c>
      <c r="DA285" s="18" t="str">
        <f ca="1"/>
        <v/>
      </c>
      <c r="DC285" s="10"/>
    </row>
    <row r="286" spans="1:107" x14ac:dyDescent="0.25">
      <c r="A286" s="15" t="s">
        <v>510</v>
      </c>
      <c r="B286" s="43"/>
      <c r="C286" s="42"/>
      <c r="D286" s="16"/>
      <c r="E286" s="15"/>
      <c r="F286" s="15"/>
      <c r="G286" s="15"/>
      <c r="H286" s="17" t="str">
        <f ca="1">IFERROR(__xludf.DUMMYFUNCTION("""COMPUTED_VALUE"""),"")</f>
        <v/>
      </c>
      <c r="I286" s="15" t="s">
        <v>29</v>
      </c>
      <c r="J286" s="15" t="s">
        <v>29</v>
      </c>
      <c r="K286" s="15" t="s">
        <v>29</v>
      </c>
      <c r="L286" s="15" t="s">
        <v>29</v>
      </c>
      <c r="M286" s="15" t="s">
        <v>29</v>
      </c>
      <c r="N286" s="16"/>
      <c r="O286" s="18" t="s">
        <v>511</v>
      </c>
      <c r="P286" s="19"/>
      <c r="Q286" s="18" t="str">
        <f ca="1">IFERROR(__xludf.DUMMYFUNCTION("""COMPUTED_VALUE"""),"")</f>
        <v/>
      </c>
      <c r="R286" s="19"/>
      <c r="S286" s="20"/>
      <c r="BP286" s="10"/>
      <c r="BW286" s="10"/>
      <c r="CF286" s="10"/>
      <c r="CM286" s="10"/>
      <c r="CP286" s="18" t="str">
        <f ca="1"/>
        <v/>
      </c>
      <c r="CQ286" s="18" t="str">
        <f ca="1"/>
        <v/>
      </c>
      <c r="CR286" s="18" t="str">
        <f ca="1"/>
        <v/>
      </c>
      <c r="CS286" s="18" t="str">
        <f ca="1"/>
        <v/>
      </c>
      <c r="CT286" s="18" t="str">
        <f ca="1"/>
        <v/>
      </c>
      <c r="CV286" s="10"/>
      <c r="CY286" s="18" t="str">
        <f ca="1"/>
        <v/>
      </c>
      <c r="CZ286" s="18" t="str">
        <f ca="1"/>
        <v/>
      </c>
      <c r="DA286" s="18" t="str">
        <f ca="1"/>
        <v/>
      </c>
      <c r="DC286" s="10"/>
    </row>
    <row r="287" spans="1:107" x14ac:dyDescent="0.25">
      <c r="A287" s="15" t="s">
        <v>512</v>
      </c>
      <c r="B287" s="43"/>
      <c r="C287" s="42"/>
      <c r="D287" s="16"/>
      <c r="E287" s="15"/>
      <c r="F287" s="15"/>
      <c r="G287" s="15"/>
      <c r="H287" s="17" t="str">
        <f ca="1">IFERROR(__xludf.DUMMYFUNCTION("""COMPUTED_VALUE"""),"")</f>
        <v/>
      </c>
      <c r="I287" s="15" t="s">
        <v>29</v>
      </c>
      <c r="J287" s="15" t="s">
        <v>29</v>
      </c>
      <c r="K287" s="15" t="s">
        <v>29</v>
      </c>
      <c r="L287" s="15" t="s">
        <v>29</v>
      </c>
      <c r="M287" s="15" t="s">
        <v>29</v>
      </c>
      <c r="N287" s="16"/>
      <c r="O287" s="18" t="s">
        <v>513</v>
      </c>
      <c r="P287" s="19"/>
      <c r="Q287" s="18" t="str">
        <f ca="1">IFERROR(__xludf.DUMMYFUNCTION("""COMPUTED_VALUE"""),"")</f>
        <v/>
      </c>
      <c r="R287" s="19"/>
      <c r="S287" s="20"/>
      <c r="BP287" s="10"/>
      <c r="BW287" s="10"/>
      <c r="CF287" s="10"/>
      <c r="CM287" s="10"/>
      <c r="CP287" s="18" t="str">
        <f ca="1"/>
        <v/>
      </c>
      <c r="CQ287" s="18" t="str">
        <f ca="1"/>
        <v/>
      </c>
      <c r="CR287" s="18" t="str">
        <f ca="1"/>
        <v/>
      </c>
      <c r="CS287" s="18" t="str">
        <f ca="1"/>
        <v/>
      </c>
      <c r="CT287" s="18" t="str">
        <f ca="1"/>
        <v/>
      </c>
      <c r="CV287" s="10"/>
      <c r="CY287" s="18" t="str">
        <f ca="1"/>
        <v/>
      </c>
      <c r="CZ287" s="18" t="str">
        <f ca="1"/>
        <v/>
      </c>
      <c r="DA287" s="18" t="str">
        <f ca="1"/>
        <v/>
      </c>
      <c r="DC287" s="10"/>
    </row>
    <row r="288" spans="1:107" x14ac:dyDescent="0.25">
      <c r="A288" s="15" t="s">
        <v>514</v>
      </c>
      <c r="B288" s="43"/>
      <c r="C288" s="42"/>
      <c r="D288" s="16"/>
      <c r="E288" s="15"/>
      <c r="F288" s="15"/>
      <c r="G288" s="15"/>
      <c r="H288" s="17" t="str">
        <f ca="1">IFERROR(__xludf.DUMMYFUNCTION("""COMPUTED_VALUE"""),"")</f>
        <v/>
      </c>
      <c r="I288" s="15" t="s">
        <v>29</v>
      </c>
      <c r="J288" s="15" t="s">
        <v>29</v>
      </c>
      <c r="K288" s="15" t="s">
        <v>29</v>
      </c>
      <c r="L288" s="15" t="s">
        <v>29</v>
      </c>
      <c r="M288" s="15" t="s">
        <v>29</v>
      </c>
      <c r="N288" s="16"/>
      <c r="O288" s="18" t="s">
        <v>515</v>
      </c>
      <c r="P288" s="19"/>
      <c r="Q288" s="18" t="str">
        <f ca="1">IFERROR(__xludf.DUMMYFUNCTION("""COMPUTED_VALUE"""),"")</f>
        <v/>
      </c>
      <c r="R288" s="19"/>
      <c r="S288" s="20"/>
      <c r="BP288" s="10"/>
      <c r="BW288" s="10"/>
      <c r="CF288" s="10"/>
      <c r="CM288" s="10"/>
      <c r="CP288" s="18" t="str">
        <f ca="1"/>
        <v/>
      </c>
      <c r="CQ288" s="18" t="str">
        <f ca="1"/>
        <v/>
      </c>
      <c r="CR288" s="18" t="str">
        <f ca="1"/>
        <v/>
      </c>
      <c r="CS288" s="18" t="str">
        <f ca="1"/>
        <v/>
      </c>
      <c r="CT288" s="18" t="str">
        <f ca="1"/>
        <v/>
      </c>
      <c r="CV288" s="10"/>
      <c r="CY288" s="18" t="str">
        <f ca="1"/>
        <v/>
      </c>
      <c r="CZ288" s="18" t="str">
        <f ca="1"/>
        <v/>
      </c>
      <c r="DA288" s="18" t="str">
        <f ca="1"/>
        <v/>
      </c>
      <c r="DC288" s="10"/>
    </row>
    <row r="289" spans="1:107" x14ac:dyDescent="0.25">
      <c r="A289" s="15" t="s">
        <v>516</v>
      </c>
      <c r="B289" s="43"/>
      <c r="C289" s="42"/>
      <c r="D289" s="16"/>
      <c r="E289" s="15"/>
      <c r="F289" s="15"/>
      <c r="G289" s="15"/>
      <c r="H289" s="17" t="str">
        <f ca="1">IFERROR(__xludf.DUMMYFUNCTION("""COMPUTED_VALUE"""),"")</f>
        <v/>
      </c>
      <c r="I289" s="15" t="s">
        <v>29</v>
      </c>
      <c r="J289" s="15" t="s">
        <v>29</v>
      </c>
      <c r="K289" s="15" t="s">
        <v>29</v>
      </c>
      <c r="L289" s="15" t="s">
        <v>29</v>
      </c>
      <c r="M289" s="15" t="s">
        <v>29</v>
      </c>
      <c r="N289" s="16"/>
      <c r="O289" s="18" t="s">
        <v>517</v>
      </c>
      <c r="P289" s="19"/>
      <c r="Q289" s="18" t="str">
        <f ca="1">IFERROR(__xludf.DUMMYFUNCTION("""COMPUTED_VALUE"""),"")</f>
        <v/>
      </c>
      <c r="R289" s="19"/>
      <c r="S289" s="20"/>
      <c r="BP289" s="10"/>
      <c r="BW289" s="10"/>
      <c r="CF289" s="10"/>
      <c r="CM289" s="10"/>
      <c r="CP289" s="18" t="str">
        <f ca="1"/>
        <v/>
      </c>
      <c r="CQ289" s="18" t="str">
        <f ca="1"/>
        <v/>
      </c>
      <c r="CR289" s="18" t="str">
        <f ca="1"/>
        <v/>
      </c>
      <c r="CS289" s="18" t="str">
        <f ca="1"/>
        <v/>
      </c>
      <c r="CT289" s="18" t="str">
        <f ca="1"/>
        <v/>
      </c>
      <c r="CV289" s="10"/>
      <c r="CY289" s="18" t="str">
        <f ca="1"/>
        <v/>
      </c>
      <c r="CZ289" s="18" t="str">
        <f ca="1"/>
        <v/>
      </c>
      <c r="DA289" s="18" t="str">
        <f ca="1"/>
        <v/>
      </c>
      <c r="DC289" s="10"/>
    </row>
    <row r="290" spans="1:107" x14ac:dyDescent="0.25">
      <c r="A290" s="15" t="s">
        <v>518</v>
      </c>
      <c r="B290" s="43"/>
      <c r="C290" s="42"/>
      <c r="D290" s="16"/>
      <c r="E290" s="15"/>
      <c r="F290" s="15"/>
      <c r="G290" s="15"/>
      <c r="H290" s="17" t="str">
        <f ca="1">IFERROR(__xludf.DUMMYFUNCTION("""COMPUTED_VALUE"""),"")</f>
        <v/>
      </c>
      <c r="I290" s="15" t="s">
        <v>29</v>
      </c>
      <c r="J290" s="15" t="s">
        <v>29</v>
      </c>
      <c r="K290" s="15" t="s">
        <v>29</v>
      </c>
      <c r="L290" s="15" t="s">
        <v>29</v>
      </c>
      <c r="M290" s="15" t="s">
        <v>29</v>
      </c>
      <c r="N290" s="16"/>
      <c r="O290" s="18" t="s">
        <v>519</v>
      </c>
      <c r="P290" s="19"/>
      <c r="Q290" s="18" t="str">
        <f ca="1">IFERROR(__xludf.DUMMYFUNCTION("""COMPUTED_VALUE"""),"")</f>
        <v/>
      </c>
      <c r="R290" s="19"/>
      <c r="S290" s="20"/>
      <c r="BP290" s="10"/>
      <c r="BW290" s="10"/>
      <c r="CF290" s="10"/>
      <c r="CM290" s="10"/>
      <c r="CP290" s="18" t="str">
        <f ca="1"/>
        <v/>
      </c>
      <c r="CQ290" s="18" t="str">
        <f ca="1"/>
        <v/>
      </c>
      <c r="CR290" s="18" t="str">
        <f ca="1"/>
        <v/>
      </c>
      <c r="CS290" s="18" t="str">
        <f ca="1"/>
        <v/>
      </c>
      <c r="CT290" s="18" t="str">
        <f ca="1"/>
        <v/>
      </c>
      <c r="CV290" s="10"/>
      <c r="CY290" s="18" t="str">
        <f ca="1"/>
        <v/>
      </c>
      <c r="CZ290" s="18" t="str">
        <f ca="1"/>
        <v/>
      </c>
      <c r="DA290" s="18" t="str">
        <f ca="1"/>
        <v/>
      </c>
      <c r="DC290" s="10"/>
    </row>
    <row r="291" spans="1:107" x14ac:dyDescent="0.25">
      <c r="A291" s="15" t="s">
        <v>520</v>
      </c>
      <c r="B291" s="43"/>
      <c r="C291" s="42"/>
      <c r="D291" s="16"/>
      <c r="E291" s="15"/>
      <c r="F291" s="15"/>
      <c r="G291" s="15"/>
      <c r="H291" s="17" t="str">
        <f ca="1">IFERROR(__xludf.DUMMYFUNCTION("""COMPUTED_VALUE"""),"")</f>
        <v/>
      </c>
      <c r="I291" s="15" t="s">
        <v>29</v>
      </c>
      <c r="J291" s="15" t="s">
        <v>29</v>
      </c>
      <c r="K291" s="15" t="s">
        <v>29</v>
      </c>
      <c r="L291" s="15" t="s">
        <v>29</v>
      </c>
      <c r="M291" s="15" t="s">
        <v>29</v>
      </c>
      <c r="N291" s="16"/>
      <c r="O291" s="18" t="s">
        <v>521</v>
      </c>
      <c r="P291" s="19"/>
      <c r="Q291" s="18" t="str">
        <f ca="1">IFERROR(__xludf.DUMMYFUNCTION("""COMPUTED_VALUE"""),"")</f>
        <v/>
      </c>
      <c r="R291" s="19"/>
      <c r="S291" s="20"/>
      <c r="BP291" s="10"/>
      <c r="BW291" s="10"/>
      <c r="CF291" s="10"/>
      <c r="CM291" s="10"/>
      <c r="CP291" s="18" t="str">
        <f ca="1"/>
        <v/>
      </c>
      <c r="CQ291" s="18" t="str">
        <f ca="1"/>
        <v/>
      </c>
      <c r="CR291" s="18" t="str">
        <f ca="1"/>
        <v/>
      </c>
      <c r="CS291" s="18" t="str">
        <f ca="1"/>
        <v/>
      </c>
      <c r="CT291" s="18" t="str">
        <f ca="1"/>
        <v/>
      </c>
      <c r="CV291" s="10"/>
      <c r="CY291" s="18" t="str">
        <f ca="1"/>
        <v/>
      </c>
      <c r="CZ291" s="18" t="str">
        <f ca="1"/>
        <v/>
      </c>
      <c r="DA291" s="18" t="str">
        <f ca="1"/>
        <v/>
      </c>
      <c r="DC291" s="10"/>
    </row>
    <row r="292" spans="1:107" x14ac:dyDescent="0.25">
      <c r="A292" s="15" t="s">
        <v>522</v>
      </c>
      <c r="B292" s="43"/>
      <c r="C292" s="42"/>
      <c r="D292" s="16"/>
      <c r="E292" s="15"/>
      <c r="F292" s="15"/>
      <c r="G292" s="15"/>
      <c r="H292" s="17" t="str">
        <f ca="1">IFERROR(__xludf.DUMMYFUNCTION("""COMPUTED_VALUE"""),"")</f>
        <v/>
      </c>
      <c r="I292" s="15" t="s">
        <v>29</v>
      </c>
      <c r="J292" s="15" t="s">
        <v>29</v>
      </c>
      <c r="K292" s="15" t="s">
        <v>29</v>
      </c>
      <c r="L292" s="15" t="s">
        <v>29</v>
      </c>
      <c r="M292" s="15" t="s">
        <v>29</v>
      </c>
      <c r="N292" s="16"/>
      <c r="O292" s="18" t="s">
        <v>523</v>
      </c>
      <c r="P292" s="19"/>
      <c r="Q292" s="18" t="str">
        <f ca="1">IFERROR(__xludf.DUMMYFUNCTION("""COMPUTED_VALUE"""),"")</f>
        <v/>
      </c>
      <c r="R292" s="19"/>
      <c r="S292" s="20"/>
      <c r="BP292" s="10"/>
      <c r="BW292" s="10"/>
      <c r="CF292" s="10"/>
      <c r="CM292" s="10"/>
      <c r="CP292" s="18" t="str">
        <f ca="1"/>
        <v/>
      </c>
      <c r="CQ292" s="18" t="str">
        <f ca="1"/>
        <v/>
      </c>
      <c r="CR292" s="18" t="str">
        <f ca="1"/>
        <v/>
      </c>
      <c r="CS292" s="18" t="str">
        <f ca="1"/>
        <v/>
      </c>
      <c r="CT292" s="18" t="str">
        <f ca="1"/>
        <v/>
      </c>
      <c r="CV292" s="10"/>
      <c r="CY292" s="18" t="str">
        <f ca="1"/>
        <v/>
      </c>
      <c r="CZ292" s="18" t="str">
        <f ca="1"/>
        <v/>
      </c>
      <c r="DA292" s="18" t="str">
        <f ca="1"/>
        <v/>
      </c>
      <c r="DC292" s="10"/>
    </row>
    <row r="293" spans="1:107" x14ac:dyDescent="0.25">
      <c r="A293" s="15" t="s">
        <v>524</v>
      </c>
      <c r="B293" s="43"/>
      <c r="C293" s="42"/>
      <c r="D293" s="16"/>
      <c r="E293" s="15"/>
      <c r="F293" s="15"/>
      <c r="G293" s="15"/>
      <c r="H293" s="17" t="str">
        <f ca="1">IFERROR(__xludf.DUMMYFUNCTION("""COMPUTED_VALUE"""),"")</f>
        <v/>
      </c>
      <c r="I293" s="15" t="s">
        <v>29</v>
      </c>
      <c r="J293" s="15" t="s">
        <v>29</v>
      </c>
      <c r="K293" s="15" t="s">
        <v>29</v>
      </c>
      <c r="L293" s="15" t="s">
        <v>29</v>
      </c>
      <c r="M293" s="15" t="s">
        <v>29</v>
      </c>
      <c r="N293" s="16"/>
      <c r="O293" s="18" t="s">
        <v>525</v>
      </c>
      <c r="P293" s="19"/>
      <c r="Q293" s="18" t="str">
        <f ca="1">IFERROR(__xludf.DUMMYFUNCTION("""COMPUTED_VALUE"""),"")</f>
        <v/>
      </c>
      <c r="R293" s="19"/>
      <c r="S293" s="20"/>
      <c r="BP293" s="10"/>
      <c r="BW293" s="10"/>
      <c r="CF293" s="10"/>
      <c r="CM293" s="10"/>
      <c r="CP293" s="18" t="str">
        <f ca="1"/>
        <v/>
      </c>
      <c r="CQ293" s="18" t="str">
        <f ca="1"/>
        <v/>
      </c>
      <c r="CR293" s="18" t="str">
        <f ca="1"/>
        <v/>
      </c>
      <c r="CS293" s="18" t="str">
        <f ca="1"/>
        <v/>
      </c>
      <c r="CT293" s="18" t="str">
        <f ca="1"/>
        <v/>
      </c>
      <c r="CV293" s="10"/>
      <c r="CY293" s="18" t="str">
        <f ca="1"/>
        <v/>
      </c>
      <c r="CZ293" s="18" t="str">
        <f ca="1"/>
        <v/>
      </c>
      <c r="DA293" s="18" t="str">
        <f ca="1"/>
        <v/>
      </c>
      <c r="DC293" s="10"/>
    </row>
    <row r="294" spans="1:107" x14ac:dyDescent="0.25">
      <c r="A294" s="15" t="s">
        <v>526</v>
      </c>
      <c r="B294" s="43"/>
      <c r="C294" s="42"/>
      <c r="D294" s="16"/>
      <c r="E294" s="15"/>
      <c r="F294" s="15"/>
      <c r="G294" s="15"/>
      <c r="H294" s="17" t="str">
        <f ca="1">IFERROR(__xludf.DUMMYFUNCTION("""COMPUTED_VALUE"""),"")</f>
        <v/>
      </c>
      <c r="I294" s="15" t="s">
        <v>29</v>
      </c>
      <c r="J294" s="15" t="s">
        <v>29</v>
      </c>
      <c r="K294" s="15" t="s">
        <v>29</v>
      </c>
      <c r="L294" s="15" t="s">
        <v>29</v>
      </c>
      <c r="M294" s="15" t="s">
        <v>29</v>
      </c>
      <c r="N294" s="16"/>
      <c r="O294" s="18" t="s">
        <v>527</v>
      </c>
      <c r="P294" s="19"/>
      <c r="Q294" s="18" t="str">
        <f ca="1">IFERROR(__xludf.DUMMYFUNCTION("""COMPUTED_VALUE"""),"")</f>
        <v/>
      </c>
      <c r="R294" s="19"/>
      <c r="S294" s="20"/>
      <c r="BP294" s="10"/>
      <c r="BW294" s="10"/>
      <c r="CF294" s="10"/>
      <c r="CM294" s="10"/>
      <c r="CP294" s="18" t="str">
        <f ca="1"/>
        <v/>
      </c>
      <c r="CQ294" s="18" t="str">
        <f ca="1"/>
        <v/>
      </c>
      <c r="CR294" s="18" t="str">
        <f ca="1"/>
        <v/>
      </c>
      <c r="CS294" s="18" t="str">
        <f ca="1"/>
        <v/>
      </c>
      <c r="CT294" s="18" t="str">
        <f ca="1"/>
        <v/>
      </c>
      <c r="CV294" s="10"/>
      <c r="CY294" s="18" t="str">
        <f ca="1"/>
        <v/>
      </c>
      <c r="CZ294" s="18" t="str">
        <f ca="1"/>
        <v/>
      </c>
      <c r="DA294" s="18" t="str">
        <f ca="1"/>
        <v/>
      </c>
      <c r="DC294" s="10"/>
    </row>
    <row r="295" spans="1:107" x14ac:dyDescent="0.25">
      <c r="A295" s="15" t="s">
        <v>528</v>
      </c>
      <c r="B295" s="43"/>
      <c r="C295" s="42"/>
      <c r="D295" s="16"/>
      <c r="E295" s="15"/>
      <c r="F295" s="15"/>
      <c r="G295" s="15"/>
      <c r="H295" s="17" t="str">
        <f ca="1">IFERROR(__xludf.DUMMYFUNCTION("""COMPUTED_VALUE"""),"")</f>
        <v/>
      </c>
      <c r="I295" s="15" t="s">
        <v>29</v>
      </c>
      <c r="J295" s="15" t="s">
        <v>29</v>
      </c>
      <c r="K295" s="15" t="s">
        <v>29</v>
      </c>
      <c r="L295" s="15" t="s">
        <v>29</v>
      </c>
      <c r="M295" s="15" t="s">
        <v>29</v>
      </c>
      <c r="N295" s="16"/>
      <c r="O295" s="18" t="s">
        <v>529</v>
      </c>
      <c r="P295" s="19"/>
      <c r="Q295" s="18" t="str">
        <f ca="1">IFERROR(__xludf.DUMMYFUNCTION("""COMPUTED_VALUE"""),"")</f>
        <v/>
      </c>
      <c r="R295" s="19"/>
      <c r="S295" s="20"/>
      <c r="BP295" s="10"/>
      <c r="BW295" s="10"/>
      <c r="CF295" s="10"/>
      <c r="CM295" s="10"/>
      <c r="CP295" s="18" t="str">
        <f ca="1"/>
        <v/>
      </c>
      <c r="CQ295" s="18" t="str">
        <f ca="1"/>
        <v/>
      </c>
      <c r="CR295" s="18" t="str">
        <f ca="1"/>
        <v/>
      </c>
      <c r="CS295" s="18" t="str">
        <f ca="1"/>
        <v/>
      </c>
      <c r="CT295" s="18" t="str">
        <f ca="1"/>
        <v/>
      </c>
      <c r="CV295" s="10"/>
      <c r="CY295" s="18" t="str">
        <f ca="1"/>
        <v/>
      </c>
      <c r="CZ295" s="18" t="str">
        <f ca="1"/>
        <v/>
      </c>
      <c r="DA295" s="18" t="str">
        <f ca="1"/>
        <v/>
      </c>
      <c r="DC295" s="10"/>
    </row>
    <row r="296" spans="1:107" x14ac:dyDescent="0.25">
      <c r="A296" s="15" t="s">
        <v>530</v>
      </c>
      <c r="B296" s="43"/>
      <c r="C296" s="42"/>
      <c r="D296" s="16"/>
      <c r="E296" s="15"/>
      <c r="F296" s="15"/>
      <c r="G296" s="15"/>
      <c r="H296" s="17" t="str">
        <f ca="1">IFERROR(__xludf.DUMMYFUNCTION("""COMPUTED_VALUE"""),"")</f>
        <v/>
      </c>
      <c r="I296" s="15" t="s">
        <v>29</v>
      </c>
      <c r="J296" s="15" t="s">
        <v>29</v>
      </c>
      <c r="K296" s="15" t="s">
        <v>29</v>
      </c>
      <c r="L296" s="15" t="s">
        <v>29</v>
      </c>
      <c r="M296" s="15" t="s">
        <v>29</v>
      </c>
      <c r="N296" s="16"/>
      <c r="O296" s="18" t="s">
        <v>531</v>
      </c>
      <c r="P296" s="19"/>
      <c r="Q296" s="18" t="str">
        <f ca="1">IFERROR(__xludf.DUMMYFUNCTION("""COMPUTED_VALUE"""),"")</f>
        <v/>
      </c>
      <c r="R296" s="19"/>
      <c r="S296" s="20"/>
      <c r="BP296" s="10"/>
      <c r="BW296" s="10"/>
      <c r="CF296" s="10"/>
      <c r="CM296" s="10"/>
      <c r="CP296" s="18" t="str">
        <f ca="1"/>
        <v/>
      </c>
      <c r="CQ296" s="18" t="str">
        <f ca="1"/>
        <v/>
      </c>
      <c r="CR296" s="18" t="str">
        <f ca="1"/>
        <v/>
      </c>
      <c r="CS296" s="18" t="str">
        <f ca="1"/>
        <v/>
      </c>
      <c r="CT296" s="18" t="str">
        <f ca="1"/>
        <v/>
      </c>
      <c r="CV296" s="10"/>
      <c r="CY296" s="18" t="str">
        <f ca="1"/>
        <v/>
      </c>
      <c r="CZ296" s="18" t="str">
        <f ca="1"/>
        <v/>
      </c>
      <c r="DA296" s="18" t="str">
        <f ca="1"/>
        <v/>
      </c>
      <c r="DC296" s="10"/>
    </row>
    <row r="297" spans="1:107" x14ac:dyDescent="0.25">
      <c r="A297" s="15" t="s">
        <v>532</v>
      </c>
      <c r="B297" s="43"/>
      <c r="C297" s="42"/>
      <c r="D297" s="16"/>
      <c r="E297" s="15"/>
      <c r="F297" s="15"/>
      <c r="G297" s="15"/>
      <c r="H297" s="17" t="str">
        <f ca="1">IFERROR(__xludf.DUMMYFUNCTION("""COMPUTED_VALUE"""),"")</f>
        <v/>
      </c>
      <c r="I297" s="15" t="s">
        <v>29</v>
      </c>
      <c r="J297" s="15" t="s">
        <v>29</v>
      </c>
      <c r="K297" s="15" t="s">
        <v>29</v>
      </c>
      <c r="L297" s="15" t="s">
        <v>29</v>
      </c>
      <c r="M297" s="15" t="s">
        <v>29</v>
      </c>
      <c r="N297" s="16"/>
      <c r="O297" s="18" t="s">
        <v>533</v>
      </c>
      <c r="P297" s="19"/>
      <c r="Q297" s="18" t="str">
        <f ca="1">IFERROR(__xludf.DUMMYFUNCTION("""COMPUTED_VALUE"""),"")</f>
        <v/>
      </c>
      <c r="R297" s="19"/>
      <c r="S297" s="20"/>
      <c r="BP297" s="10"/>
      <c r="BW297" s="10"/>
      <c r="CF297" s="10"/>
      <c r="CM297" s="10"/>
      <c r="CP297" s="18" t="str">
        <f ca="1"/>
        <v/>
      </c>
      <c r="CQ297" s="18" t="str">
        <f ca="1"/>
        <v/>
      </c>
      <c r="CR297" s="18" t="str">
        <f ca="1"/>
        <v/>
      </c>
      <c r="CS297" s="18" t="str">
        <f ca="1"/>
        <v/>
      </c>
      <c r="CT297" s="18" t="str">
        <f ca="1"/>
        <v/>
      </c>
      <c r="CV297" s="10"/>
      <c r="CY297" s="18" t="str">
        <f ca="1"/>
        <v/>
      </c>
      <c r="CZ297" s="18" t="str">
        <f ca="1"/>
        <v/>
      </c>
      <c r="DA297" s="18" t="str">
        <f ca="1"/>
        <v/>
      </c>
      <c r="DC297" s="10"/>
    </row>
    <row r="298" spans="1:107" x14ac:dyDescent="0.25">
      <c r="A298" s="15" t="s">
        <v>534</v>
      </c>
      <c r="B298" s="43"/>
      <c r="C298" s="42"/>
      <c r="D298" s="16"/>
      <c r="E298" s="15"/>
      <c r="F298" s="15"/>
      <c r="G298" s="15"/>
      <c r="H298" s="17" t="str">
        <f ca="1">IFERROR(__xludf.DUMMYFUNCTION("""COMPUTED_VALUE"""),"")</f>
        <v/>
      </c>
      <c r="I298" s="15" t="s">
        <v>29</v>
      </c>
      <c r="J298" s="15" t="s">
        <v>29</v>
      </c>
      <c r="K298" s="15" t="s">
        <v>29</v>
      </c>
      <c r="L298" s="15" t="s">
        <v>29</v>
      </c>
      <c r="M298" s="15" t="s">
        <v>29</v>
      </c>
      <c r="N298" s="16"/>
      <c r="O298" s="18" t="s">
        <v>535</v>
      </c>
      <c r="P298" s="19"/>
      <c r="Q298" s="18" t="str">
        <f ca="1">IFERROR(__xludf.DUMMYFUNCTION("""COMPUTED_VALUE"""),"")</f>
        <v/>
      </c>
      <c r="R298" s="19"/>
      <c r="S298" s="20"/>
      <c r="BP298" s="10"/>
      <c r="BW298" s="10"/>
      <c r="CF298" s="10"/>
      <c r="CM298" s="10"/>
      <c r="CP298" s="18" t="str">
        <f ca="1"/>
        <v/>
      </c>
      <c r="CQ298" s="18" t="str">
        <f ca="1"/>
        <v/>
      </c>
      <c r="CR298" s="18" t="str">
        <f ca="1"/>
        <v/>
      </c>
      <c r="CS298" s="18" t="str">
        <f ca="1"/>
        <v/>
      </c>
      <c r="CT298" s="18" t="str">
        <f ca="1"/>
        <v/>
      </c>
      <c r="CV298" s="10"/>
      <c r="CY298" s="18" t="str">
        <f ca="1"/>
        <v/>
      </c>
      <c r="CZ298" s="18" t="str">
        <f ca="1"/>
        <v/>
      </c>
      <c r="DA298" s="18" t="str">
        <f ca="1"/>
        <v/>
      </c>
      <c r="DC298" s="10"/>
    </row>
    <row r="299" spans="1:107" x14ac:dyDescent="0.25">
      <c r="A299" s="15" t="s">
        <v>536</v>
      </c>
      <c r="B299" s="43"/>
      <c r="C299" s="42"/>
      <c r="D299" s="16"/>
      <c r="E299" s="15"/>
      <c r="F299" s="15"/>
      <c r="G299" s="15"/>
      <c r="H299" s="17" t="str">
        <f ca="1">IFERROR(__xludf.DUMMYFUNCTION("""COMPUTED_VALUE"""),"")</f>
        <v/>
      </c>
      <c r="I299" s="15" t="s">
        <v>29</v>
      </c>
      <c r="J299" s="15" t="s">
        <v>29</v>
      </c>
      <c r="K299" s="15" t="s">
        <v>29</v>
      </c>
      <c r="L299" s="15" t="s">
        <v>29</v>
      </c>
      <c r="M299" s="15" t="s">
        <v>29</v>
      </c>
      <c r="N299" s="16"/>
      <c r="O299" s="18" t="s">
        <v>537</v>
      </c>
      <c r="P299" s="19"/>
      <c r="Q299" s="18" t="str">
        <f ca="1">IFERROR(__xludf.DUMMYFUNCTION("""COMPUTED_VALUE"""),"")</f>
        <v/>
      </c>
      <c r="R299" s="19"/>
      <c r="S299" s="20"/>
      <c r="BP299" s="10"/>
      <c r="BW299" s="10"/>
      <c r="CF299" s="10"/>
      <c r="CM299" s="10"/>
      <c r="CP299" s="18" t="str">
        <f ca="1"/>
        <v/>
      </c>
      <c r="CQ299" s="18" t="str">
        <f ca="1"/>
        <v/>
      </c>
      <c r="CR299" s="18" t="str">
        <f ca="1"/>
        <v/>
      </c>
      <c r="CS299" s="18" t="str">
        <f ca="1"/>
        <v/>
      </c>
      <c r="CT299" s="18" t="str">
        <f ca="1"/>
        <v/>
      </c>
      <c r="CV299" s="10"/>
      <c r="CY299" s="18" t="str">
        <f ca="1"/>
        <v/>
      </c>
      <c r="CZ299" s="18" t="str">
        <f ca="1"/>
        <v/>
      </c>
      <c r="DA299" s="18" t="str">
        <f ca="1"/>
        <v/>
      </c>
      <c r="DC299" s="10"/>
    </row>
    <row r="300" spans="1:107" x14ac:dyDescent="0.25">
      <c r="A300" s="15" t="s">
        <v>538</v>
      </c>
      <c r="B300" s="43"/>
      <c r="C300" s="42"/>
      <c r="D300" s="16"/>
      <c r="E300" s="15"/>
      <c r="F300" s="15"/>
      <c r="G300" s="15"/>
      <c r="H300" s="17" t="str">
        <f ca="1">IFERROR(__xludf.DUMMYFUNCTION("""COMPUTED_VALUE"""),"")</f>
        <v/>
      </c>
      <c r="I300" s="15" t="s">
        <v>29</v>
      </c>
      <c r="J300" s="15" t="s">
        <v>29</v>
      </c>
      <c r="K300" s="15" t="s">
        <v>29</v>
      </c>
      <c r="L300" s="15" t="s">
        <v>29</v>
      </c>
      <c r="M300" s="15" t="s">
        <v>29</v>
      </c>
      <c r="N300" s="16"/>
      <c r="O300" s="18" t="s">
        <v>539</v>
      </c>
      <c r="P300" s="19"/>
      <c r="Q300" s="18" t="str">
        <f ca="1">IFERROR(__xludf.DUMMYFUNCTION("""COMPUTED_VALUE"""),"")</f>
        <v/>
      </c>
      <c r="R300" s="19"/>
      <c r="S300" s="20"/>
      <c r="BP300" s="10"/>
      <c r="BW300" s="10"/>
      <c r="CF300" s="10"/>
      <c r="CM300" s="10"/>
      <c r="CP300" s="18" t="str">
        <f ca="1"/>
        <v/>
      </c>
      <c r="CQ300" s="18" t="str">
        <f ca="1"/>
        <v/>
      </c>
      <c r="CR300" s="18" t="str">
        <f ca="1"/>
        <v/>
      </c>
      <c r="CS300" s="18" t="str">
        <f ca="1"/>
        <v/>
      </c>
      <c r="CT300" s="18" t="str">
        <f ca="1"/>
        <v/>
      </c>
      <c r="CV300" s="10"/>
      <c r="CY300" s="18" t="str">
        <f ca="1"/>
        <v/>
      </c>
      <c r="CZ300" s="18" t="str">
        <f ca="1"/>
        <v/>
      </c>
      <c r="DA300" s="18" t="str">
        <f ca="1"/>
        <v/>
      </c>
      <c r="DC300" s="10"/>
    </row>
    <row r="301" spans="1:107" x14ac:dyDescent="0.25">
      <c r="A301" s="15" t="s">
        <v>540</v>
      </c>
      <c r="B301" s="43"/>
      <c r="C301" s="42"/>
      <c r="D301" s="16"/>
      <c r="E301" s="15"/>
      <c r="F301" s="15"/>
      <c r="G301" s="15"/>
      <c r="H301" s="17" t="str">
        <f ca="1">IFERROR(__xludf.DUMMYFUNCTION("""COMPUTED_VALUE"""),"")</f>
        <v/>
      </c>
      <c r="I301" s="15" t="s">
        <v>29</v>
      </c>
      <c r="J301" s="15" t="s">
        <v>29</v>
      </c>
      <c r="K301" s="15" t="s">
        <v>29</v>
      </c>
      <c r="L301" s="15" t="s">
        <v>29</v>
      </c>
      <c r="M301" s="15" t="s">
        <v>29</v>
      </c>
      <c r="N301" s="16"/>
      <c r="O301" s="18" t="s">
        <v>541</v>
      </c>
      <c r="P301" s="19"/>
      <c r="Q301" s="18" t="str">
        <f ca="1">IFERROR(__xludf.DUMMYFUNCTION("""COMPUTED_VALUE"""),"")</f>
        <v/>
      </c>
      <c r="R301" s="19"/>
      <c r="S301" s="20"/>
      <c r="BP301" s="10"/>
      <c r="BW301" s="10"/>
      <c r="CF301" s="10"/>
      <c r="CM301" s="10"/>
      <c r="CP301" s="18" t="str">
        <f ca="1"/>
        <v/>
      </c>
      <c r="CQ301" s="18" t="str">
        <f ca="1"/>
        <v/>
      </c>
      <c r="CR301" s="18" t="str">
        <f ca="1"/>
        <v/>
      </c>
      <c r="CS301" s="18" t="str">
        <f ca="1"/>
        <v/>
      </c>
      <c r="CT301" s="18" t="str">
        <f ca="1"/>
        <v/>
      </c>
      <c r="CV301" s="10"/>
      <c r="CY301" s="18" t="str">
        <f ca="1"/>
        <v/>
      </c>
      <c r="CZ301" s="18" t="str">
        <f ca="1"/>
        <v/>
      </c>
      <c r="DA301" s="18" t="str">
        <f ca="1"/>
        <v/>
      </c>
      <c r="DC301" s="10"/>
    </row>
    <row r="302" spans="1:107" x14ac:dyDescent="0.25">
      <c r="A302" s="15" t="s">
        <v>542</v>
      </c>
      <c r="B302" s="43"/>
      <c r="C302" s="42"/>
      <c r="D302" s="16"/>
      <c r="E302" s="15"/>
      <c r="F302" s="15"/>
      <c r="G302" s="15"/>
      <c r="H302" s="17" t="str">
        <f ca="1">IFERROR(__xludf.DUMMYFUNCTION("""COMPUTED_VALUE"""),"")</f>
        <v/>
      </c>
      <c r="I302" s="15" t="s">
        <v>29</v>
      </c>
      <c r="J302" s="15" t="s">
        <v>29</v>
      </c>
      <c r="K302" s="15" t="s">
        <v>29</v>
      </c>
      <c r="L302" s="15" t="s">
        <v>29</v>
      </c>
      <c r="M302" s="15" t="s">
        <v>29</v>
      </c>
      <c r="N302" s="16"/>
      <c r="O302" s="18" t="s">
        <v>543</v>
      </c>
      <c r="P302" s="19"/>
      <c r="Q302" s="18" t="str">
        <f ca="1">IFERROR(__xludf.DUMMYFUNCTION("""COMPUTED_VALUE"""),"")</f>
        <v/>
      </c>
      <c r="R302" s="19"/>
      <c r="S302" s="20"/>
      <c r="BP302" s="10"/>
      <c r="BW302" s="10"/>
      <c r="CF302" s="10"/>
      <c r="CM302" s="10"/>
      <c r="CP302" s="18" t="str">
        <f ca="1"/>
        <v/>
      </c>
      <c r="CQ302" s="18" t="str">
        <f ca="1"/>
        <v/>
      </c>
      <c r="CR302" s="18" t="str">
        <f ca="1"/>
        <v/>
      </c>
      <c r="CS302" s="18" t="str">
        <f ca="1"/>
        <v/>
      </c>
      <c r="CT302" s="18" t="str">
        <f ca="1"/>
        <v/>
      </c>
      <c r="CV302" s="10"/>
      <c r="CY302" s="18" t="str">
        <f ca="1"/>
        <v/>
      </c>
      <c r="CZ302" s="18" t="str">
        <f ca="1"/>
        <v/>
      </c>
      <c r="DA302" s="18" t="str">
        <f ca="1"/>
        <v/>
      </c>
      <c r="DC302" s="10"/>
    </row>
    <row r="303" spans="1:107" x14ac:dyDescent="0.25">
      <c r="A303" s="15" t="s">
        <v>544</v>
      </c>
      <c r="B303" s="43"/>
      <c r="C303" s="42"/>
      <c r="D303" s="16"/>
      <c r="E303" s="15"/>
      <c r="F303" s="15"/>
      <c r="G303" s="15"/>
      <c r="H303" s="17" t="str">
        <f ca="1">IFERROR(__xludf.DUMMYFUNCTION("""COMPUTED_VALUE"""),"")</f>
        <v/>
      </c>
      <c r="I303" s="15" t="s">
        <v>29</v>
      </c>
      <c r="J303" s="15" t="s">
        <v>29</v>
      </c>
      <c r="K303" s="15" t="s">
        <v>29</v>
      </c>
      <c r="L303" s="15" t="s">
        <v>29</v>
      </c>
      <c r="M303" s="15" t="s">
        <v>29</v>
      </c>
      <c r="N303" s="16"/>
      <c r="O303" s="18" t="s">
        <v>545</v>
      </c>
      <c r="P303" s="19"/>
      <c r="Q303" s="18" t="str">
        <f ca="1">IFERROR(__xludf.DUMMYFUNCTION("""COMPUTED_VALUE"""),"")</f>
        <v/>
      </c>
      <c r="R303" s="19"/>
      <c r="S303" s="20"/>
      <c r="BP303" s="10"/>
      <c r="BW303" s="10"/>
      <c r="CF303" s="10"/>
      <c r="CM303" s="10"/>
      <c r="CP303" s="18" t="str">
        <f ca="1"/>
        <v/>
      </c>
      <c r="CQ303" s="18" t="str">
        <f ca="1"/>
        <v/>
      </c>
      <c r="CR303" s="18" t="str">
        <f ca="1"/>
        <v/>
      </c>
      <c r="CS303" s="18" t="str">
        <f ca="1"/>
        <v/>
      </c>
      <c r="CT303" s="18" t="str">
        <f ca="1"/>
        <v/>
      </c>
      <c r="CV303" s="10"/>
      <c r="CY303" s="18" t="str">
        <f ca="1"/>
        <v/>
      </c>
      <c r="CZ303" s="18" t="str">
        <f ca="1"/>
        <v/>
      </c>
      <c r="DA303" s="18" t="str">
        <f ca="1"/>
        <v/>
      </c>
      <c r="DC303" s="10"/>
    </row>
    <row r="304" spans="1:107" x14ac:dyDescent="0.25">
      <c r="A304" s="15" t="s">
        <v>546</v>
      </c>
      <c r="B304" s="43"/>
      <c r="C304" s="42"/>
      <c r="D304" s="16"/>
      <c r="E304" s="15"/>
      <c r="F304" s="15"/>
      <c r="G304" s="15"/>
      <c r="H304" s="17" t="str">
        <f ca="1">IFERROR(__xludf.DUMMYFUNCTION("""COMPUTED_VALUE"""),"")</f>
        <v/>
      </c>
      <c r="I304" s="15" t="s">
        <v>29</v>
      </c>
      <c r="J304" s="15" t="s">
        <v>29</v>
      </c>
      <c r="K304" s="15" t="s">
        <v>29</v>
      </c>
      <c r="L304" s="15" t="s">
        <v>29</v>
      </c>
      <c r="M304" s="15" t="s">
        <v>29</v>
      </c>
      <c r="N304" s="16"/>
      <c r="O304" s="18" t="s">
        <v>547</v>
      </c>
      <c r="P304" s="19"/>
      <c r="Q304" s="18" t="str">
        <f ca="1">IFERROR(__xludf.DUMMYFUNCTION("""COMPUTED_VALUE"""),"")</f>
        <v/>
      </c>
      <c r="R304" s="19"/>
      <c r="S304" s="20"/>
      <c r="BP304" s="10"/>
      <c r="BW304" s="10"/>
      <c r="CF304" s="10"/>
      <c r="CM304" s="10"/>
      <c r="CP304" s="18" t="str">
        <f ca="1"/>
        <v/>
      </c>
      <c r="CQ304" s="18" t="str">
        <f ca="1"/>
        <v/>
      </c>
      <c r="CR304" s="18" t="str">
        <f ca="1"/>
        <v/>
      </c>
      <c r="CS304" s="18" t="str">
        <f ca="1"/>
        <v/>
      </c>
      <c r="CT304" s="18" t="str">
        <f ca="1"/>
        <v/>
      </c>
      <c r="CV304" s="10"/>
      <c r="CY304" s="18" t="str">
        <f ca="1"/>
        <v/>
      </c>
      <c r="CZ304" s="18" t="str">
        <f ca="1"/>
        <v/>
      </c>
      <c r="DA304" s="18" t="str">
        <f ca="1"/>
        <v/>
      </c>
      <c r="DC304" s="10"/>
    </row>
    <row r="305" spans="1:107" x14ac:dyDescent="0.25">
      <c r="A305" s="15" t="s">
        <v>548</v>
      </c>
      <c r="B305" s="43"/>
      <c r="C305" s="42"/>
      <c r="D305" s="16"/>
      <c r="E305" s="15"/>
      <c r="F305" s="15"/>
      <c r="G305" s="15"/>
      <c r="H305" s="17" t="str">
        <f ca="1">IFERROR(__xludf.DUMMYFUNCTION("""COMPUTED_VALUE"""),"")</f>
        <v/>
      </c>
      <c r="I305" s="15" t="s">
        <v>29</v>
      </c>
      <c r="J305" s="15" t="s">
        <v>29</v>
      </c>
      <c r="K305" s="15" t="s">
        <v>29</v>
      </c>
      <c r="L305" s="15" t="s">
        <v>29</v>
      </c>
      <c r="M305" s="15" t="s">
        <v>29</v>
      </c>
      <c r="N305" s="16"/>
      <c r="O305" s="18" t="s">
        <v>549</v>
      </c>
      <c r="P305" s="19"/>
      <c r="Q305" s="18" t="str">
        <f ca="1">IFERROR(__xludf.DUMMYFUNCTION("""COMPUTED_VALUE"""),"")</f>
        <v/>
      </c>
      <c r="R305" s="19"/>
      <c r="S305" s="20"/>
      <c r="BP305" s="10"/>
      <c r="BW305" s="10"/>
      <c r="CF305" s="10"/>
      <c r="CM305" s="10"/>
      <c r="CP305" s="18" t="str">
        <f ca="1"/>
        <v/>
      </c>
      <c r="CQ305" s="18" t="str">
        <f ca="1"/>
        <v/>
      </c>
      <c r="CR305" s="18" t="str">
        <f ca="1"/>
        <v/>
      </c>
      <c r="CS305" s="18" t="str">
        <f ca="1"/>
        <v/>
      </c>
      <c r="CT305" s="18" t="str">
        <f ca="1"/>
        <v/>
      </c>
      <c r="CV305" s="10"/>
      <c r="CY305" s="18" t="str">
        <f ca="1"/>
        <v/>
      </c>
      <c r="CZ305" s="18" t="str">
        <f ca="1"/>
        <v/>
      </c>
      <c r="DA305" s="18" t="str">
        <f ca="1"/>
        <v/>
      </c>
      <c r="DC305" s="10"/>
    </row>
    <row r="306" spans="1:107" x14ac:dyDescent="0.25">
      <c r="A306" s="15" t="s">
        <v>550</v>
      </c>
      <c r="B306" s="43"/>
      <c r="C306" s="42"/>
      <c r="D306" s="16"/>
      <c r="E306" s="15"/>
      <c r="F306" s="15"/>
      <c r="G306" s="15">
        <v>111</v>
      </c>
      <c r="H306" s="17" t="str">
        <f ca="1">IFERROR(__xludf.DUMMYFUNCTION("""COMPUTED_VALUE"""),"")</f>
        <v/>
      </c>
      <c r="I306" s="15" t="s">
        <v>29</v>
      </c>
      <c r="J306" s="15" t="s">
        <v>29</v>
      </c>
      <c r="K306" s="15" t="s">
        <v>29</v>
      </c>
      <c r="L306" s="15" t="s">
        <v>29</v>
      </c>
      <c r="M306" s="15" t="s">
        <v>29</v>
      </c>
      <c r="N306" s="16"/>
      <c r="O306" s="18" t="s">
        <v>551</v>
      </c>
      <c r="P306" s="19"/>
      <c r="Q306" s="18" t="str">
        <f ca="1">IFERROR(__xludf.DUMMYFUNCTION("""COMPUTED_VALUE"""),"")</f>
        <v/>
      </c>
      <c r="R306" s="19"/>
      <c r="S306" s="20"/>
      <c r="BP306" s="10"/>
      <c r="BW306" s="10"/>
      <c r="CF306" s="10"/>
      <c r="CM306" s="10"/>
      <c r="CP306" s="18" t="str">
        <f ca="1"/>
        <v/>
      </c>
      <c r="CQ306" s="18" t="str">
        <f ca="1"/>
        <v/>
      </c>
      <c r="CR306" s="18" t="str">
        <f ca="1"/>
        <v/>
      </c>
      <c r="CS306" s="18" t="str">
        <f ca="1"/>
        <v/>
      </c>
      <c r="CT306" s="18" t="str">
        <f ca="1"/>
        <v/>
      </c>
      <c r="CV306" s="10"/>
      <c r="CY306" s="18" t="str">
        <f ca="1"/>
        <v/>
      </c>
      <c r="CZ306" s="18" t="str">
        <f ca="1"/>
        <v/>
      </c>
      <c r="DA306" s="18" t="str">
        <f ca="1"/>
        <v/>
      </c>
      <c r="DC306" s="10"/>
    </row>
    <row r="307" spans="1:107" x14ac:dyDescent="0.25">
      <c r="A307" s="15" t="s">
        <v>552</v>
      </c>
      <c r="B307" s="43"/>
      <c r="C307" s="42"/>
      <c r="D307" s="16"/>
      <c r="E307" s="15"/>
      <c r="F307" s="15"/>
      <c r="G307" s="15">
        <v>75</v>
      </c>
      <c r="H307" s="17" t="str">
        <f ca="1">IFERROR(__xludf.DUMMYFUNCTION("""COMPUTED_VALUE"""),"")</f>
        <v/>
      </c>
      <c r="I307" s="15" t="s">
        <v>29</v>
      </c>
      <c r="J307" s="15" t="s">
        <v>29</v>
      </c>
      <c r="K307" s="15" t="s">
        <v>29</v>
      </c>
      <c r="L307" s="15" t="s">
        <v>29</v>
      </c>
      <c r="M307" s="15" t="s">
        <v>29</v>
      </c>
      <c r="N307" s="16"/>
      <c r="O307" s="18" t="s">
        <v>553</v>
      </c>
      <c r="P307" s="19"/>
      <c r="Q307" s="18" t="str">
        <f ca="1">IFERROR(__xludf.DUMMYFUNCTION("""COMPUTED_VALUE"""),"")</f>
        <v/>
      </c>
      <c r="R307" s="19"/>
      <c r="S307" s="20"/>
      <c r="BP307" s="10"/>
      <c r="BW307" s="10"/>
      <c r="CF307" s="10"/>
      <c r="CM307" s="10"/>
      <c r="CP307" s="18" t="str">
        <f ca="1"/>
        <v/>
      </c>
      <c r="CQ307" s="18" t="str">
        <f ca="1"/>
        <v/>
      </c>
      <c r="CR307" s="18" t="str">
        <f ca="1"/>
        <v/>
      </c>
      <c r="CS307" s="18" t="str">
        <f ca="1"/>
        <v/>
      </c>
      <c r="CT307" s="18" t="str">
        <f ca="1"/>
        <v/>
      </c>
      <c r="CV307" s="10"/>
      <c r="CY307" s="18" t="str">
        <f ca="1"/>
        <v/>
      </c>
      <c r="CZ307" s="18" t="str">
        <f ca="1"/>
        <v/>
      </c>
      <c r="DA307" s="18" t="str">
        <f ca="1"/>
        <v/>
      </c>
      <c r="DC307" s="10"/>
    </row>
    <row r="308" spans="1:107" x14ac:dyDescent="0.25">
      <c r="A308" s="15" t="s">
        <v>554</v>
      </c>
      <c r="B308" s="43"/>
      <c r="C308" s="42"/>
      <c r="D308" s="16"/>
      <c r="E308" s="15"/>
      <c r="F308" s="15"/>
      <c r="G308" s="15"/>
      <c r="H308" s="17" t="str">
        <f ca="1">IFERROR(__xludf.DUMMYFUNCTION("""COMPUTED_VALUE"""),"")</f>
        <v/>
      </c>
      <c r="I308" s="15" t="s">
        <v>29</v>
      </c>
      <c r="J308" s="15" t="s">
        <v>29</v>
      </c>
      <c r="K308" s="15" t="s">
        <v>29</v>
      </c>
      <c r="L308" s="15" t="s">
        <v>29</v>
      </c>
      <c r="M308" s="15" t="s">
        <v>29</v>
      </c>
      <c r="N308" s="16"/>
      <c r="O308" s="18" t="s">
        <v>555</v>
      </c>
      <c r="P308" s="19"/>
      <c r="Q308" s="18" t="str">
        <f ca="1">IFERROR(__xludf.DUMMYFUNCTION("""COMPUTED_VALUE"""),"")</f>
        <v/>
      </c>
      <c r="R308" s="19"/>
      <c r="S308" s="20"/>
      <c r="BP308" s="10"/>
      <c r="BW308" s="10"/>
      <c r="CF308" s="10"/>
      <c r="CM308" s="10"/>
      <c r="CP308" s="18" t="str">
        <f ca="1"/>
        <v/>
      </c>
      <c r="CQ308" s="18" t="str">
        <f ca="1"/>
        <v/>
      </c>
      <c r="CR308" s="18" t="str">
        <f ca="1"/>
        <v/>
      </c>
      <c r="CS308" s="18" t="str">
        <f ca="1"/>
        <v/>
      </c>
      <c r="CT308" s="18" t="str">
        <f ca="1"/>
        <v/>
      </c>
      <c r="CV308" s="10"/>
      <c r="CY308" s="18" t="str">
        <f ca="1"/>
        <v/>
      </c>
      <c r="CZ308" s="18" t="str">
        <f ca="1"/>
        <v/>
      </c>
      <c r="DA308" s="18" t="str">
        <f ca="1"/>
        <v/>
      </c>
      <c r="DC308" s="10"/>
    </row>
    <row r="309" spans="1:107" x14ac:dyDescent="0.25">
      <c r="A309" s="15" t="s">
        <v>556</v>
      </c>
      <c r="B309" s="43"/>
      <c r="C309" s="42"/>
      <c r="D309" s="16"/>
      <c r="E309" s="15"/>
      <c r="F309" s="15"/>
      <c r="G309" s="15"/>
      <c r="H309" s="17" t="str">
        <f ca="1">IFERROR(__xludf.DUMMYFUNCTION("""COMPUTED_VALUE"""),"")</f>
        <v/>
      </c>
      <c r="I309" s="15" t="s">
        <v>29</v>
      </c>
      <c r="J309" s="15" t="s">
        <v>29</v>
      </c>
      <c r="K309" s="15" t="s">
        <v>29</v>
      </c>
      <c r="L309" s="15" t="s">
        <v>29</v>
      </c>
      <c r="M309" s="15" t="s">
        <v>29</v>
      </c>
      <c r="N309" s="16"/>
      <c r="O309" s="18" t="s">
        <v>557</v>
      </c>
      <c r="P309" s="19"/>
      <c r="Q309" s="18" t="str">
        <f ca="1">IFERROR(__xludf.DUMMYFUNCTION("""COMPUTED_VALUE"""),"")</f>
        <v/>
      </c>
      <c r="R309" s="19"/>
      <c r="S309" s="20"/>
      <c r="BP309" s="10"/>
      <c r="BW309" s="10"/>
      <c r="CF309" s="10"/>
      <c r="CM309" s="10"/>
      <c r="CP309" s="18" t="str">
        <f ca="1"/>
        <v/>
      </c>
      <c r="CQ309" s="18" t="str">
        <f ca="1"/>
        <v/>
      </c>
      <c r="CR309" s="18" t="str">
        <f ca="1"/>
        <v/>
      </c>
      <c r="CS309" s="18" t="str">
        <f ca="1"/>
        <v/>
      </c>
      <c r="CT309" s="18" t="str">
        <f ca="1"/>
        <v/>
      </c>
      <c r="CV309" s="10"/>
      <c r="CY309" s="18" t="str">
        <f ca="1"/>
        <v/>
      </c>
      <c r="CZ309" s="18" t="str">
        <f ca="1"/>
        <v/>
      </c>
      <c r="DA309" s="18" t="str">
        <f ca="1"/>
        <v/>
      </c>
      <c r="DC309" s="10"/>
    </row>
    <row r="310" spans="1:107" x14ac:dyDescent="0.25">
      <c r="A310" s="15" t="s">
        <v>558</v>
      </c>
      <c r="B310" s="43"/>
      <c r="C310" s="42"/>
      <c r="D310" s="16"/>
      <c r="E310" s="15"/>
      <c r="F310" s="15"/>
      <c r="G310" s="15"/>
      <c r="H310" s="17" t="str">
        <f ca="1">IFERROR(__xludf.DUMMYFUNCTION("""COMPUTED_VALUE"""),"")</f>
        <v/>
      </c>
      <c r="I310" s="15" t="s">
        <v>29</v>
      </c>
      <c r="J310" s="15" t="s">
        <v>29</v>
      </c>
      <c r="K310" s="15" t="s">
        <v>29</v>
      </c>
      <c r="L310" s="15" t="s">
        <v>29</v>
      </c>
      <c r="M310" s="15" t="s">
        <v>29</v>
      </c>
      <c r="N310" s="16"/>
      <c r="O310" s="18" t="s">
        <v>559</v>
      </c>
      <c r="P310" s="19"/>
      <c r="Q310" s="18" t="str">
        <f ca="1">IFERROR(__xludf.DUMMYFUNCTION("""COMPUTED_VALUE"""),"")</f>
        <v/>
      </c>
      <c r="R310" s="19"/>
      <c r="S310" s="20"/>
      <c r="BP310" s="10"/>
      <c r="BW310" s="10"/>
      <c r="CF310" s="10"/>
      <c r="CM310" s="10"/>
      <c r="CP310" s="18" t="str">
        <f ca="1"/>
        <v/>
      </c>
      <c r="CQ310" s="18" t="str">
        <f ca="1"/>
        <v/>
      </c>
      <c r="CR310" s="18" t="str">
        <f ca="1"/>
        <v/>
      </c>
      <c r="CS310" s="18" t="str">
        <f ca="1"/>
        <v/>
      </c>
      <c r="CT310" s="18" t="str">
        <f ca="1"/>
        <v/>
      </c>
      <c r="CV310" s="10"/>
      <c r="CY310" s="18" t="str">
        <f ca="1"/>
        <v/>
      </c>
      <c r="CZ310" s="18" t="str">
        <f ca="1"/>
        <v/>
      </c>
      <c r="DA310" s="18" t="str">
        <f ca="1"/>
        <v/>
      </c>
      <c r="DC310" s="10"/>
    </row>
    <row r="311" spans="1:107" x14ac:dyDescent="0.25">
      <c r="A311" s="15" t="s">
        <v>560</v>
      </c>
      <c r="B311" s="43"/>
      <c r="C311" s="42"/>
      <c r="D311" s="16"/>
      <c r="E311" s="15"/>
      <c r="F311" s="15"/>
      <c r="G311" s="15"/>
      <c r="H311" s="17" t="str">
        <f ca="1">IFERROR(__xludf.DUMMYFUNCTION("""COMPUTED_VALUE"""),"")</f>
        <v/>
      </c>
      <c r="I311" s="15" t="s">
        <v>29</v>
      </c>
      <c r="J311" s="15" t="s">
        <v>29</v>
      </c>
      <c r="K311" s="15" t="s">
        <v>29</v>
      </c>
      <c r="L311" s="15" t="s">
        <v>29</v>
      </c>
      <c r="M311" s="15" t="s">
        <v>29</v>
      </c>
      <c r="N311" s="16"/>
      <c r="O311" s="18" t="s">
        <v>561</v>
      </c>
      <c r="P311" s="19"/>
      <c r="Q311" s="18" t="str">
        <f ca="1">IFERROR(__xludf.DUMMYFUNCTION("""COMPUTED_VALUE"""),"")</f>
        <v/>
      </c>
      <c r="R311" s="19"/>
      <c r="S311" s="20"/>
      <c r="BP311" s="10"/>
      <c r="BW311" s="10"/>
      <c r="CF311" s="10"/>
      <c r="CM311" s="10"/>
      <c r="CP311" s="18" t="str">
        <f ca="1"/>
        <v/>
      </c>
      <c r="CQ311" s="18" t="str">
        <f ca="1"/>
        <v/>
      </c>
      <c r="CR311" s="18" t="str">
        <f ca="1"/>
        <v/>
      </c>
      <c r="CS311" s="18" t="str">
        <f ca="1"/>
        <v/>
      </c>
      <c r="CT311" s="18" t="str">
        <f ca="1"/>
        <v/>
      </c>
      <c r="CV311" s="10"/>
      <c r="CY311" s="18" t="str">
        <f ca="1"/>
        <v/>
      </c>
      <c r="CZ311" s="18" t="str">
        <f ca="1"/>
        <v/>
      </c>
      <c r="DA311" s="18" t="str">
        <f ca="1"/>
        <v/>
      </c>
      <c r="DC311" s="10"/>
    </row>
    <row r="312" spans="1:107" x14ac:dyDescent="0.25">
      <c r="A312" s="15" t="s">
        <v>562</v>
      </c>
      <c r="B312" s="43"/>
      <c r="C312" s="42"/>
      <c r="D312" s="16"/>
      <c r="E312" s="15"/>
      <c r="F312" s="15"/>
      <c r="G312" s="15"/>
      <c r="H312" s="17" t="str">
        <f ca="1">IFERROR(__xludf.DUMMYFUNCTION("""COMPUTED_VALUE"""),"")</f>
        <v/>
      </c>
      <c r="I312" s="15" t="s">
        <v>29</v>
      </c>
      <c r="J312" s="15" t="s">
        <v>29</v>
      </c>
      <c r="K312" s="15" t="s">
        <v>29</v>
      </c>
      <c r="L312" s="15" t="s">
        <v>29</v>
      </c>
      <c r="M312" s="15" t="s">
        <v>29</v>
      </c>
      <c r="N312" s="16"/>
      <c r="O312" s="18" t="s">
        <v>563</v>
      </c>
      <c r="P312" s="19"/>
      <c r="Q312" s="18" t="str">
        <f ca="1">IFERROR(__xludf.DUMMYFUNCTION("""COMPUTED_VALUE"""),"")</f>
        <v/>
      </c>
      <c r="R312" s="19"/>
      <c r="S312" s="20"/>
      <c r="BP312" s="10"/>
      <c r="BW312" s="10"/>
      <c r="CF312" s="10"/>
      <c r="CM312" s="10"/>
      <c r="CP312" s="18" t="str">
        <f ca="1"/>
        <v/>
      </c>
      <c r="CQ312" s="18" t="str">
        <f ca="1"/>
        <v/>
      </c>
      <c r="CR312" s="18" t="str">
        <f ca="1"/>
        <v/>
      </c>
      <c r="CS312" s="18" t="str">
        <f ca="1"/>
        <v/>
      </c>
      <c r="CT312" s="18" t="str">
        <f ca="1"/>
        <v/>
      </c>
      <c r="CV312" s="10"/>
      <c r="CY312" s="18" t="str">
        <f ca="1"/>
        <v/>
      </c>
      <c r="CZ312" s="18" t="str">
        <f ca="1"/>
        <v/>
      </c>
      <c r="DA312" s="18" t="str">
        <f ca="1"/>
        <v/>
      </c>
      <c r="DC312" s="10"/>
    </row>
    <row r="313" spans="1:107" x14ac:dyDescent="0.25">
      <c r="A313" s="15" t="s">
        <v>564</v>
      </c>
      <c r="B313" s="43"/>
      <c r="C313" s="42"/>
      <c r="D313" s="16"/>
      <c r="E313" s="15"/>
      <c r="F313" s="15"/>
      <c r="G313" s="15"/>
      <c r="H313" s="17" t="str">
        <f ca="1">IFERROR(__xludf.DUMMYFUNCTION("""COMPUTED_VALUE"""),"")</f>
        <v/>
      </c>
      <c r="I313" s="15" t="s">
        <v>29</v>
      </c>
      <c r="J313" s="15" t="s">
        <v>29</v>
      </c>
      <c r="K313" s="15" t="s">
        <v>29</v>
      </c>
      <c r="L313" s="15" t="s">
        <v>29</v>
      </c>
      <c r="M313" s="15" t="s">
        <v>29</v>
      </c>
      <c r="N313" s="16"/>
      <c r="O313" s="18" t="s">
        <v>565</v>
      </c>
      <c r="P313" s="19"/>
      <c r="Q313" s="18" t="str">
        <f ca="1">IFERROR(__xludf.DUMMYFUNCTION("""COMPUTED_VALUE"""),"")</f>
        <v/>
      </c>
      <c r="R313" s="19"/>
      <c r="S313" s="20"/>
      <c r="BP313" s="10"/>
      <c r="BW313" s="10"/>
      <c r="CF313" s="10"/>
      <c r="CM313" s="10"/>
      <c r="CP313" s="18" t="str">
        <f ca="1"/>
        <v/>
      </c>
      <c r="CQ313" s="18" t="str">
        <f ca="1"/>
        <v/>
      </c>
      <c r="CR313" s="18" t="str">
        <f ca="1"/>
        <v/>
      </c>
      <c r="CS313" s="18" t="str">
        <f ca="1"/>
        <v/>
      </c>
      <c r="CT313" s="18" t="str">
        <f ca="1"/>
        <v/>
      </c>
      <c r="CV313" s="10"/>
      <c r="CY313" s="18" t="str">
        <f ca="1"/>
        <v/>
      </c>
      <c r="CZ313" s="18" t="str">
        <f ca="1"/>
        <v/>
      </c>
      <c r="DA313" s="18" t="str">
        <f ca="1"/>
        <v/>
      </c>
      <c r="DC313" s="10"/>
    </row>
    <row r="314" spans="1:107" x14ac:dyDescent="0.25">
      <c r="A314" s="15" t="s">
        <v>566</v>
      </c>
      <c r="B314" s="43"/>
      <c r="C314" s="42"/>
      <c r="D314" s="16"/>
      <c r="E314" s="15"/>
      <c r="F314" s="15"/>
      <c r="G314" s="15"/>
      <c r="H314" s="17" t="str">
        <f ca="1">IFERROR(__xludf.DUMMYFUNCTION("""COMPUTED_VALUE"""),"")</f>
        <v/>
      </c>
      <c r="I314" s="15" t="s">
        <v>29</v>
      </c>
      <c r="J314" s="15" t="s">
        <v>29</v>
      </c>
      <c r="K314" s="15" t="s">
        <v>29</v>
      </c>
      <c r="L314" s="15" t="s">
        <v>29</v>
      </c>
      <c r="M314" s="15" t="s">
        <v>29</v>
      </c>
      <c r="N314" s="16"/>
      <c r="O314" s="18" t="s">
        <v>567</v>
      </c>
      <c r="P314" s="19"/>
      <c r="Q314" s="18" t="str">
        <f ca="1">IFERROR(__xludf.DUMMYFUNCTION("""COMPUTED_VALUE"""),"")</f>
        <v/>
      </c>
      <c r="R314" s="19"/>
      <c r="S314" s="20"/>
      <c r="BP314" s="10"/>
      <c r="BW314" s="10"/>
      <c r="CF314" s="10"/>
      <c r="CM314" s="10"/>
      <c r="CP314" s="18" t="str">
        <f ca="1"/>
        <v/>
      </c>
      <c r="CQ314" s="18" t="str">
        <f ca="1"/>
        <v/>
      </c>
      <c r="CR314" s="18" t="str">
        <f ca="1"/>
        <v/>
      </c>
      <c r="CS314" s="18" t="str">
        <f ca="1"/>
        <v/>
      </c>
      <c r="CT314" s="18" t="str">
        <f ca="1"/>
        <v/>
      </c>
      <c r="CV314" s="10"/>
      <c r="CY314" s="18" t="str">
        <f ca="1"/>
        <v/>
      </c>
      <c r="CZ314" s="18" t="str">
        <f ca="1"/>
        <v/>
      </c>
      <c r="DA314" s="18" t="str">
        <f ca="1"/>
        <v/>
      </c>
      <c r="DC314" s="10"/>
    </row>
    <row r="315" spans="1:107" x14ac:dyDescent="0.25">
      <c r="A315" s="15" t="s">
        <v>568</v>
      </c>
      <c r="B315" s="44"/>
      <c r="C315" s="45"/>
      <c r="D315" s="16"/>
      <c r="E315" s="15"/>
      <c r="F315" s="15"/>
      <c r="G315" s="15"/>
      <c r="H315" s="17" t="str">
        <f ca="1">IFERROR(__xludf.DUMMYFUNCTION("""COMPUTED_VALUE"""),"")</f>
        <v/>
      </c>
      <c r="I315" s="15" t="s">
        <v>29</v>
      </c>
      <c r="J315" s="15" t="s">
        <v>29</v>
      </c>
      <c r="K315" s="15" t="s">
        <v>29</v>
      </c>
      <c r="L315" s="15" t="s">
        <v>29</v>
      </c>
      <c r="M315" s="15" t="s">
        <v>29</v>
      </c>
      <c r="N315" s="16"/>
      <c r="O315" s="18" t="s">
        <v>569</v>
      </c>
      <c r="P315" s="19"/>
      <c r="Q315" s="18" t="str">
        <f ca="1">IFERROR(__xludf.DUMMYFUNCTION("""COMPUTED_VALUE"""),"")</f>
        <v/>
      </c>
      <c r="R315" s="19"/>
      <c r="S315" s="20"/>
      <c r="BP315" s="10"/>
      <c r="BW315" s="10"/>
      <c r="CF315" s="10"/>
      <c r="CM315" s="10"/>
      <c r="CP315" s="18" t="str">
        <f ca="1"/>
        <v/>
      </c>
      <c r="CQ315" s="18" t="str">
        <f ca="1"/>
        <v/>
      </c>
      <c r="CR315" s="18" t="str">
        <f ca="1"/>
        <v/>
      </c>
      <c r="CS315" s="18" t="str">
        <f ca="1"/>
        <v/>
      </c>
      <c r="CT315" s="18" t="str">
        <f ca="1"/>
        <v/>
      </c>
      <c r="CV315" s="10"/>
      <c r="CY315" s="18" t="str">
        <f ca="1"/>
        <v/>
      </c>
      <c r="CZ315" s="18" t="str">
        <f ca="1"/>
        <v/>
      </c>
      <c r="DA315" s="18" t="str">
        <f ca="1"/>
        <v/>
      </c>
      <c r="DC315" s="10"/>
    </row>
    <row r="316" spans="1:107" x14ac:dyDescent="0.25">
      <c r="A316" s="46" t="s">
        <v>570</v>
      </c>
      <c r="B316" s="47"/>
      <c r="C316" s="48"/>
      <c r="D316" s="49"/>
      <c r="E316" s="15"/>
      <c r="F316" s="15"/>
      <c r="G316" s="15"/>
      <c r="H316" s="17" t="str">
        <f ca="1">IFERROR(__xludf.DUMMYFUNCTION("""COMPUTED_VALUE"""),"")</f>
        <v/>
      </c>
      <c r="I316" s="50" t="s">
        <v>29</v>
      </c>
      <c r="J316" s="50" t="s">
        <v>29</v>
      </c>
      <c r="K316" s="50" t="s">
        <v>29</v>
      </c>
      <c r="L316" s="50" t="s">
        <v>29</v>
      </c>
      <c r="M316" s="50" t="s">
        <v>29</v>
      </c>
      <c r="N316" s="49"/>
      <c r="O316" s="18" t="s">
        <v>571</v>
      </c>
      <c r="P316" s="19"/>
      <c r="Q316" s="18" t="str">
        <f ca="1">IFERROR(__xludf.DUMMYFUNCTION("""COMPUTED_VALUE"""),"")</f>
        <v/>
      </c>
      <c r="R316" s="19"/>
      <c r="S316" s="20"/>
      <c r="BP316" s="10"/>
      <c r="BW316" s="10"/>
      <c r="CF316" s="10"/>
      <c r="CM316" s="10"/>
      <c r="CP316" s="18" t="str">
        <f ca="1"/>
        <v/>
      </c>
      <c r="CQ316" s="18" t="str">
        <f ca="1"/>
        <v/>
      </c>
      <c r="CR316" s="18" t="str">
        <f ca="1"/>
        <v/>
      </c>
      <c r="CS316" s="18" t="str">
        <f ca="1"/>
        <v/>
      </c>
      <c r="CT316" s="18" t="str">
        <f ca="1"/>
        <v/>
      </c>
      <c r="CV316" s="10"/>
      <c r="CY316" s="18" t="str">
        <f ca="1"/>
        <v/>
      </c>
      <c r="CZ316" s="18" t="str">
        <f ca="1"/>
        <v/>
      </c>
      <c r="DA316" s="18" t="str">
        <f ca="1"/>
        <v/>
      </c>
      <c r="DC316" s="10"/>
    </row>
    <row r="317" spans="1:107" x14ac:dyDescent="0.25">
      <c r="A317" s="46" t="s">
        <v>572</v>
      </c>
      <c r="B317" s="43"/>
      <c r="C317" s="51"/>
      <c r="D317" s="16"/>
      <c r="E317" s="52"/>
      <c r="F317" s="15"/>
      <c r="G317" s="50"/>
      <c r="H317" s="17" t="str">
        <f ca="1">IFERROR(__xludf.DUMMYFUNCTION("""COMPUTED_VALUE"""),"")</f>
        <v/>
      </c>
      <c r="I317" s="50" t="s">
        <v>29</v>
      </c>
      <c r="J317" s="50" t="s">
        <v>29</v>
      </c>
      <c r="K317" s="50" t="s">
        <v>29</v>
      </c>
      <c r="L317" s="50" t="s">
        <v>29</v>
      </c>
      <c r="M317" s="50" t="s">
        <v>29</v>
      </c>
      <c r="N317" s="49"/>
      <c r="O317" s="18" t="s">
        <v>573</v>
      </c>
      <c r="P317" s="19"/>
      <c r="Q317" s="18" t="str">
        <f ca="1">IFERROR(__xludf.DUMMYFUNCTION("""COMPUTED_VALUE"""),"")</f>
        <v/>
      </c>
      <c r="R317" s="19"/>
      <c r="S317" s="20"/>
      <c r="BP317" s="10"/>
      <c r="BW317" s="10"/>
      <c r="CF317" s="10"/>
      <c r="CM317" s="10"/>
      <c r="CP317" s="18" t="str">
        <f ca="1"/>
        <v/>
      </c>
      <c r="CQ317" s="18" t="str">
        <f ca="1"/>
        <v/>
      </c>
      <c r="CR317" s="18" t="str">
        <f ca="1"/>
        <v/>
      </c>
      <c r="CS317" s="18" t="str">
        <f ca="1"/>
        <v/>
      </c>
      <c r="CT317" s="18" t="str">
        <f ca="1"/>
        <v/>
      </c>
      <c r="CV317" s="10"/>
      <c r="CY317" s="18" t="str">
        <f ca="1"/>
        <v/>
      </c>
      <c r="CZ317" s="18" t="str">
        <f ca="1"/>
        <v/>
      </c>
      <c r="DA317" s="18" t="str">
        <f ca="1"/>
        <v/>
      </c>
      <c r="DC317" s="10"/>
    </row>
    <row r="318" spans="1:107" x14ac:dyDescent="0.25">
      <c r="A318" s="46" t="s">
        <v>574</v>
      </c>
      <c r="B318" s="43"/>
      <c r="C318" s="42"/>
      <c r="D318" s="16"/>
      <c r="E318" s="52"/>
      <c r="F318" s="15"/>
      <c r="G318" s="50"/>
      <c r="H318" s="17" t="str">
        <f ca="1">IFERROR(__xludf.DUMMYFUNCTION("""COMPUTED_VALUE"""),"")</f>
        <v/>
      </c>
      <c r="I318" s="50" t="s">
        <v>29</v>
      </c>
      <c r="J318" s="50" t="s">
        <v>29</v>
      </c>
      <c r="K318" s="50" t="s">
        <v>29</v>
      </c>
      <c r="L318" s="50" t="s">
        <v>29</v>
      </c>
      <c r="M318" s="50" t="s">
        <v>29</v>
      </c>
      <c r="N318" s="49"/>
      <c r="O318" s="18" t="s">
        <v>575</v>
      </c>
      <c r="P318" s="19"/>
      <c r="Q318" s="18" t="str">
        <f ca="1">IFERROR(__xludf.DUMMYFUNCTION("""COMPUTED_VALUE"""),"")</f>
        <v/>
      </c>
      <c r="R318" s="19"/>
      <c r="S318" s="20"/>
      <c r="BP318" s="10"/>
      <c r="BW318" s="10"/>
      <c r="CF318" s="10"/>
      <c r="CM318" s="10"/>
      <c r="CP318" s="18" t="str">
        <f ca="1"/>
        <v/>
      </c>
      <c r="CQ318" s="18" t="str">
        <f ca="1"/>
        <v/>
      </c>
      <c r="CR318" s="18" t="str">
        <f ca="1"/>
        <v/>
      </c>
      <c r="CS318" s="18" t="str">
        <f ca="1"/>
        <v/>
      </c>
      <c r="CT318" s="18" t="str">
        <f ca="1"/>
        <v/>
      </c>
      <c r="CV318" s="10"/>
      <c r="CY318" s="18" t="str">
        <f ca="1"/>
        <v/>
      </c>
      <c r="CZ318" s="18" t="str">
        <f ca="1"/>
        <v/>
      </c>
      <c r="DA318" s="18" t="str">
        <f ca="1"/>
        <v/>
      </c>
      <c r="DC318" s="10"/>
    </row>
    <row r="319" spans="1:107" x14ac:dyDescent="0.25">
      <c r="A319" s="46" t="s">
        <v>576</v>
      </c>
      <c r="B319" s="43"/>
      <c r="C319" s="42"/>
      <c r="D319" s="16"/>
      <c r="E319" s="52"/>
      <c r="F319" s="15"/>
      <c r="G319" s="50"/>
      <c r="H319" s="17" t="str">
        <f ca="1">IFERROR(__xludf.DUMMYFUNCTION("""COMPUTED_VALUE"""),"")</f>
        <v/>
      </c>
      <c r="I319" s="50" t="s">
        <v>29</v>
      </c>
      <c r="J319" s="50" t="s">
        <v>29</v>
      </c>
      <c r="K319" s="50" t="s">
        <v>29</v>
      </c>
      <c r="L319" s="50" t="s">
        <v>29</v>
      </c>
      <c r="M319" s="50" t="s">
        <v>29</v>
      </c>
      <c r="N319" s="49"/>
      <c r="O319" s="18" t="s">
        <v>577</v>
      </c>
      <c r="P319" s="19"/>
      <c r="Q319" s="18" t="str">
        <f ca="1">IFERROR(__xludf.DUMMYFUNCTION("""COMPUTED_VALUE"""),"")</f>
        <v/>
      </c>
      <c r="R319" s="19"/>
      <c r="S319" s="20"/>
      <c r="BP319" s="10"/>
      <c r="BW319" s="10"/>
      <c r="CF319" s="10"/>
      <c r="CM319" s="10"/>
      <c r="CP319" s="18" t="str">
        <f ca="1"/>
        <v/>
      </c>
      <c r="CQ319" s="18" t="str">
        <f ca="1"/>
        <v/>
      </c>
      <c r="CR319" s="18" t="str">
        <f ca="1"/>
        <v/>
      </c>
      <c r="CS319" s="18" t="str">
        <f ca="1"/>
        <v/>
      </c>
      <c r="CT319" s="18" t="str">
        <f ca="1"/>
        <v/>
      </c>
      <c r="CV319" s="10"/>
      <c r="CY319" s="18" t="str">
        <f ca="1"/>
        <v/>
      </c>
      <c r="CZ319" s="18" t="str">
        <f ca="1"/>
        <v/>
      </c>
      <c r="DA319" s="18" t="str">
        <f ca="1"/>
        <v/>
      </c>
      <c r="DC319" s="10"/>
    </row>
    <row r="320" spans="1:107" x14ac:dyDescent="0.25">
      <c r="A320" s="46" t="s">
        <v>578</v>
      </c>
      <c r="B320" s="43"/>
      <c r="C320" s="42"/>
      <c r="D320" s="16"/>
      <c r="E320" s="52"/>
      <c r="F320" s="15"/>
      <c r="G320" s="50"/>
      <c r="H320" s="17" t="str">
        <f ca="1">IFERROR(__xludf.DUMMYFUNCTION("""COMPUTED_VALUE"""),"")</f>
        <v/>
      </c>
      <c r="I320" s="50" t="s">
        <v>29</v>
      </c>
      <c r="J320" s="50" t="s">
        <v>29</v>
      </c>
      <c r="K320" s="50" t="s">
        <v>29</v>
      </c>
      <c r="L320" s="50" t="s">
        <v>29</v>
      </c>
      <c r="M320" s="50" t="s">
        <v>29</v>
      </c>
      <c r="N320" s="49"/>
      <c r="O320" s="18" t="s">
        <v>579</v>
      </c>
      <c r="P320" s="19"/>
      <c r="Q320" s="18" t="str">
        <f ca="1">IFERROR(__xludf.DUMMYFUNCTION("""COMPUTED_VALUE"""),"")</f>
        <v/>
      </c>
      <c r="R320" s="19"/>
      <c r="S320" s="20"/>
      <c r="BP320" s="10"/>
      <c r="BW320" s="10"/>
      <c r="CF320" s="10"/>
      <c r="CM320" s="10"/>
      <c r="CP320" s="18" t="str">
        <f ca="1"/>
        <v/>
      </c>
      <c r="CQ320" s="18" t="str">
        <f ca="1"/>
        <v/>
      </c>
      <c r="CR320" s="18" t="str">
        <f ca="1"/>
        <v/>
      </c>
      <c r="CS320" s="18" t="str">
        <f ca="1"/>
        <v/>
      </c>
      <c r="CT320" s="18" t="str">
        <f ca="1"/>
        <v/>
      </c>
      <c r="CV320" s="10"/>
      <c r="CY320" s="18" t="str">
        <f ca="1"/>
        <v/>
      </c>
      <c r="CZ320" s="18" t="str">
        <f ca="1"/>
        <v/>
      </c>
      <c r="DA320" s="18" t="str">
        <f ca="1"/>
        <v/>
      </c>
      <c r="DC320" s="10"/>
    </row>
    <row r="321" spans="1:107" x14ac:dyDescent="0.25">
      <c r="A321" s="46" t="s">
        <v>580</v>
      </c>
      <c r="B321" s="43"/>
      <c r="C321" s="42"/>
      <c r="D321" s="16"/>
      <c r="E321" s="52"/>
      <c r="F321" s="52"/>
      <c r="G321" s="50"/>
      <c r="H321" s="17" t="str">
        <f ca="1">IFERROR(__xludf.DUMMYFUNCTION("""COMPUTED_VALUE"""),"")</f>
        <v/>
      </c>
      <c r="I321" s="50" t="s">
        <v>29</v>
      </c>
      <c r="J321" s="50" t="s">
        <v>29</v>
      </c>
      <c r="K321" s="50" t="s">
        <v>29</v>
      </c>
      <c r="L321" s="50" t="s">
        <v>29</v>
      </c>
      <c r="M321" s="50" t="s">
        <v>29</v>
      </c>
      <c r="N321" s="49"/>
      <c r="O321" s="18" t="s">
        <v>581</v>
      </c>
      <c r="P321" s="19"/>
      <c r="Q321" s="18" t="str">
        <f ca="1">IFERROR(__xludf.DUMMYFUNCTION("""COMPUTED_VALUE"""),"")</f>
        <v/>
      </c>
      <c r="R321" s="19"/>
      <c r="S321" s="20"/>
      <c r="BP321" s="10"/>
      <c r="BW321" s="10"/>
      <c r="CF321" s="10"/>
      <c r="CM321" s="10"/>
      <c r="CP321" s="18" t="str">
        <f ca="1"/>
        <v/>
      </c>
      <c r="CQ321" s="18" t="str">
        <f ca="1"/>
        <v/>
      </c>
      <c r="CR321" s="18" t="str">
        <f ca="1"/>
        <v/>
      </c>
      <c r="CS321" s="18" t="str">
        <f ca="1"/>
        <v/>
      </c>
      <c r="CT321" s="18" t="str">
        <f ca="1"/>
        <v/>
      </c>
      <c r="CV321" s="10"/>
      <c r="CY321" s="18" t="str">
        <f ca="1"/>
        <v/>
      </c>
      <c r="CZ321" s="18" t="str">
        <f ca="1"/>
        <v/>
      </c>
      <c r="DA321" s="18" t="str">
        <f ca="1"/>
        <v/>
      </c>
      <c r="DC321" s="10"/>
    </row>
    <row r="322" spans="1:107" x14ac:dyDescent="0.25">
      <c r="A322" s="46" t="s">
        <v>582</v>
      </c>
      <c r="B322" s="43"/>
      <c r="C322" s="42"/>
      <c r="D322" s="16"/>
      <c r="E322" s="52"/>
      <c r="F322" s="52"/>
      <c r="G322" s="50"/>
      <c r="H322" s="17" t="str">
        <f ca="1">IFERROR(__xludf.DUMMYFUNCTION("""COMPUTED_VALUE"""),"")</f>
        <v/>
      </c>
      <c r="I322" s="50" t="s">
        <v>29</v>
      </c>
      <c r="J322" s="50" t="s">
        <v>29</v>
      </c>
      <c r="K322" s="50" t="s">
        <v>29</v>
      </c>
      <c r="L322" s="50" t="s">
        <v>29</v>
      </c>
      <c r="M322" s="50" t="s">
        <v>29</v>
      </c>
      <c r="N322" s="49"/>
      <c r="O322" s="18" t="s">
        <v>583</v>
      </c>
      <c r="P322" s="19"/>
      <c r="Q322" s="18" t="str">
        <f ca="1">IFERROR(__xludf.DUMMYFUNCTION("""COMPUTED_VALUE"""),"")</f>
        <v/>
      </c>
      <c r="R322" s="19"/>
      <c r="S322" s="20"/>
      <c r="BP322" s="10"/>
      <c r="BW322" s="10"/>
      <c r="CF322" s="10"/>
      <c r="CM322" s="10"/>
      <c r="CP322" s="18" t="str">
        <f ca="1"/>
        <v/>
      </c>
      <c r="CQ322" s="18" t="str">
        <f ca="1"/>
        <v/>
      </c>
      <c r="CR322" s="18" t="str">
        <f ca="1"/>
        <v/>
      </c>
      <c r="CS322" s="18" t="str">
        <f ca="1"/>
        <v/>
      </c>
      <c r="CT322" s="18" t="str">
        <f ca="1"/>
        <v/>
      </c>
      <c r="CV322" s="10"/>
      <c r="CY322" s="18" t="str">
        <f ca="1"/>
        <v/>
      </c>
      <c r="CZ322" s="18" t="str">
        <f ca="1"/>
        <v/>
      </c>
      <c r="DA322" s="18" t="str">
        <f ca="1"/>
        <v/>
      </c>
      <c r="DC322" s="10"/>
    </row>
    <row r="323" spans="1:107" x14ac:dyDescent="0.25">
      <c r="A323" s="46" t="s">
        <v>584</v>
      </c>
      <c r="B323" s="43"/>
      <c r="C323" s="42"/>
      <c r="D323" s="16"/>
      <c r="E323" s="52"/>
      <c r="F323" s="52"/>
      <c r="G323" s="50"/>
      <c r="H323" s="17" t="str">
        <f ca="1">IFERROR(__xludf.DUMMYFUNCTION("""COMPUTED_VALUE"""),"")</f>
        <v/>
      </c>
      <c r="I323" s="50" t="s">
        <v>29</v>
      </c>
      <c r="J323" s="50" t="s">
        <v>29</v>
      </c>
      <c r="K323" s="50" t="s">
        <v>29</v>
      </c>
      <c r="L323" s="50" t="s">
        <v>29</v>
      </c>
      <c r="M323" s="50" t="s">
        <v>29</v>
      </c>
      <c r="N323" s="49"/>
      <c r="O323" s="18" t="s">
        <v>585</v>
      </c>
      <c r="P323" s="19"/>
      <c r="Q323" s="18" t="str">
        <f ca="1">IFERROR(__xludf.DUMMYFUNCTION("""COMPUTED_VALUE"""),"")</f>
        <v/>
      </c>
      <c r="R323" s="19"/>
      <c r="S323" s="20"/>
      <c r="BP323" s="10"/>
      <c r="BW323" s="10"/>
      <c r="CF323" s="10"/>
      <c r="CM323" s="10"/>
      <c r="CP323" s="18" t="str">
        <f ca="1"/>
        <v/>
      </c>
      <c r="CQ323" s="18" t="str">
        <f ca="1"/>
        <v/>
      </c>
      <c r="CR323" s="18" t="str">
        <f ca="1"/>
        <v/>
      </c>
      <c r="CS323" s="18" t="str">
        <f ca="1"/>
        <v/>
      </c>
      <c r="CT323" s="18" t="str">
        <f ca="1"/>
        <v/>
      </c>
      <c r="CV323" s="10"/>
      <c r="CY323" s="18" t="str">
        <f ca="1"/>
        <v/>
      </c>
      <c r="CZ323" s="18" t="str">
        <f ca="1"/>
        <v/>
      </c>
      <c r="DA323" s="18" t="str">
        <f ca="1"/>
        <v/>
      </c>
      <c r="DC323" s="10"/>
    </row>
    <row r="324" spans="1:107" x14ac:dyDescent="0.25">
      <c r="A324" s="46" t="s">
        <v>586</v>
      </c>
      <c r="B324" s="43"/>
      <c r="C324" s="42"/>
      <c r="D324" s="16"/>
      <c r="E324" s="52"/>
      <c r="F324" s="52"/>
      <c r="G324" s="50"/>
      <c r="H324" s="17" t="str">
        <f ca="1">IFERROR(__xludf.DUMMYFUNCTION("""COMPUTED_VALUE"""),"")</f>
        <v/>
      </c>
      <c r="I324" s="50" t="s">
        <v>29</v>
      </c>
      <c r="J324" s="50" t="s">
        <v>29</v>
      </c>
      <c r="K324" s="50" t="s">
        <v>29</v>
      </c>
      <c r="L324" s="50" t="s">
        <v>29</v>
      </c>
      <c r="M324" s="50" t="s">
        <v>29</v>
      </c>
      <c r="N324" s="49"/>
      <c r="O324" s="18" t="s">
        <v>587</v>
      </c>
      <c r="P324" s="19"/>
      <c r="Q324" s="18" t="str">
        <f ca="1">IFERROR(__xludf.DUMMYFUNCTION("""COMPUTED_VALUE"""),"")</f>
        <v/>
      </c>
      <c r="R324" s="19"/>
      <c r="S324" s="20"/>
      <c r="BP324" s="10"/>
      <c r="BW324" s="10"/>
      <c r="CF324" s="10"/>
      <c r="CM324" s="10"/>
      <c r="CP324" s="18" t="str">
        <f ca="1"/>
        <v/>
      </c>
      <c r="CQ324" s="18" t="str">
        <f ca="1"/>
        <v/>
      </c>
      <c r="CR324" s="18" t="str">
        <f ca="1"/>
        <v/>
      </c>
      <c r="CS324" s="18" t="str">
        <f ca="1"/>
        <v/>
      </c>
      <c r="CT324" s="18" t="str">
        <f ca="1"/>
        <v/>
      </c>
      <c r="CV324" s="10"/>
      <c r="CY324" s="18" t="str">
        <f ca="1"/>
        <v/>
      </c>
      <c r="CZ324" s="18" t="str">
        <f ca="1"/>
        <v/>
      </c>
      <c r="DA324" s="18" t="str">
        <f ca="1"/>
        <v/>
      </c>
      <c r="DC324" s="10"/>
    </row>
    <row r="325" spans="1:107" x14ac:dyDescent="0.25">
      <c r="A325" s="46" t="s">
        <v>588</v>
      </c>
      <c r="B325" s="43"/>
      <c r="C325" s="42"/>
      <c r="D325" s="16"/>
      <c r="E325" s="52"/>
      <c r="F325" s="15"/>
      <c r="G325" s="50"/>
      <c r="H325" s="17" t="str">
        <f ca="1">IFERROR(__xludf.DUMMYFUNCTION("""COMPUTED_VALUE"""),"")</f>
        <v/>
      </c>
      <c r="I325" s="50" t="s">
        <v>29</v>
      </c>
      <c r="J325" s="50" t="s">
        <v>29</v>
      </c>
      <c r="K325" s="50" t="s">
        <v>29</v>
      </c>
      <c r="L325" s="50" t="s">
        <v>29</v>
      </c>
      <c r="M325" s="50" t="s">
        <v>29</v>
      </c>
      <c r="N325" s="49"/>
      <c r="O325" s="18" t="s">
        <v>589</v>
      </c>
      <c r="P325" s="19"/>
      <c r="Q325" s="18" t="str">
        <f ca="1">IFERROR(__xludf.DUMMYFUNCTION("""COMPUTED_VALUE"""),"")</f>
        <v/>
      </c>
      <c r="R325" s="19"/>
      <c r="S325" s="20"/>
      <c r="BP325" s="10"/>
      <c r="BW325" s="10"/>
      <c r="CF325" s="10"/>
      <c r="CM325" s="10"/>
      <c r="CP325" s="18" t="str">
        <f ca="1"/>
        <v/>
      </c>
      <c r="CQ325" s="18" t="str">
        <f ca="1"/>
        <v/>
      </c>
      <c r="CR325" s="18" t="str">
        <f ca="1"/>
        <v/>
      </c>
      <c r="CS325" s="18" t="str">
        <f ca="1"/>
        <v/>
      </c>
      <c r="CT325" s="18" t="str">
        <f ca="1"/>
        <v/>
      </c>
      <c r="CV325" s="10"/>
      <c r="CY325" s="18" t="str">
        <f ca="1"/>
        <v/>
      </c>
      <c r="CZ325" s="18" t="str">
        <f ca="1"/>
        <v/>
      </c>
      <c r="DA325" s="18" t="str">
        <f ca="1"/>
        <v/>
      </c>
      <c r="DC325" s="10"/>
    </row>
    <row r="326" spans="1:107" x14ac:dyDescent="0.25">
      <c r="A326" s="39" t="s">
        <v>590</v>
      </c>
      <c r="B326" s="43"/>
      <c r="C326" s="42"/>
      <c r="D326" s="16"/>
      <c r="E326" s="52"/>
      <c r="F326" s="52"/>
      <c r="G326" s="50"/>
      <c r="H326" s="17" t="str">
        <f ca="1">IFERROR(__xludf.DUMMYFUNCTION("""COMPUTED_VALUE"""),"")</f>
        <v/>
      </c>
      <c r="I326" s="50" t="s">
        <v>29</v>
      </c>
      <c r="J326" s="50" t="s">
        <v>29</v>
      </c>
      <c r="K326" s="50" t="s">
        <v>29</v>
      </c>
      <c r="L326" s="50" t="s">
        <v>29</v>
      </c>
      <c r="M326" s="50" t="s">
        <v>29</v>
      </c>
      <c r="N326" s="49"/>
      <c r="O326" s="18" t="s">
        <v>591</v>
      </c>
      <c r="P326" s="19"/>
      <c r="Q326" s="18" t="str">
        <f ca="1">IFERROR(__xludf.DUMMYFUNCTION("""COMPUTED_VALUE"""),"")</f>
        <v/>
      </c>
      <c r="R326" s="19"/>
      <c r="S326" s="20"/>
      <c r="BP326" s="10"/>
      <c r="BW326" s="10"/>
      <c r="CF326" s="10"/>
      <c r="CM326" s="10"/>
      <c r="CP326" s="18" t="str">
        <f ca="1"/>
        <v/>
      </c>
      <c r="CQ326" s="18" t="str">
        <f ca="1"/>
        <v/>
      </c>
      <c r="CR326" s="18" t="str">
        <f ca="1"/>
        <v/>
      </c>
      <c r="CS326" s="18" t="str">
        <f ca="1"/>
        <v/>
      </c>
      <c r="CT326" s="18" t="str">
        <f ca="1"/>
        <v/>
      </c>
      <c r="CV326" s="10"/>
      <c r="CY326" s="18" t="str">
        <f ca="1"/>
        <v/>
      </c>
      <c r="CZ326" s="18" t="str">
        <f ca="1"/>
        <v/>
      </c>
      <c r="DA326" s="18" t="str">
        <f ca="1"/>
        <v/>
      </c>
      <c r="DC326" s="10"/>
    </row>
    <row r="327" spans="1:107" x14ac:dyDescent="0.25">
      <c r="A327" s="39" t="s">
        <v>592</v>
      </c>
      <c r="B327" s="43"/>
      <c r="C327" s="42"/>
      <c r="D327" s="16"/>
      <c r="E327" s="52"/>
      <c r="F327" s="52"/>
      <c r="G327" s="50"/>
      <c r="H327" s="17" t="str">
        <f ca="1">IFERROR(__xludf.DUMMYFUNCTION("""COMPUTED_VALUE"""),"")</f>
        <v/>
      </c>
      <c r="I327" s="50" t="s">
        <v>29</v>
      </c>
      <c r="J327" s="50" t="s">
        <v>29</v>
      </c>
      <c r="K327" s="50" t="s">
        <v>29</v>
      </c>
      <c r="L327" s="50" t="s">
        <v>29</v>
      </c>
      <c r="M327" s="50" t="s">
        <v>29</v>
      </c>
      <c r="N327" s="49"/>
      <c r="O327" s="18" t="s">
        <v>593</v>
      </c>
      <c r="P327" s="19"/>
      <c r="Q327" s="18" t="str">
        <f ca="1">IFERROR(__xludf.DUMMYFUNCTION("""COMPUTED_VALUE"""),"")</f>
        <v/>
      </c>
      <c r="R327" s="19"/>
      <c r="S327" s="20"/>
      <c r="BP327" s="10"/>
      <c r="BW327" s="10"/>
      <c r="CF327" s="10"/>
      <c r="CM327" s="10"/>
      <c r="CP327" s="18" t="str">
        <f ca="1"/>
        <v/>
      </c>
      <c r="CQ327" s="18" t="str">
        <f ca="1"/>
        <v/>
      </c>
      <c r="CR327" s="18" t="str">
        <f ca="1"/>
        <v/>
      </c>
      <c r="CS327" s="18" t="str">
        <f ca="1"/>
        <v/>
      </c>
      <c r="CT327" s="18" t="str">
        <f ca="1"/>
        <v/>
      </c>
      <c r="CV327" s="10"/>
      <c r="CY327" s="18" t="str">
        <f ca="1"/>
        <v/>
      </c>
      <c r="CZ327" s="18" t="str">
        <f ca="1"/>
        <v/>
      </c>
      <c r="DA327" s="18" t="str">
        <f ca="1"/>
        <v/>
      </c>
      <c r="DC327" s="10"/>
    </row>
    <row r="328" spans="1:107" x14ac:dyDescent="0.25">
      <c r="A328" s="46"/>
      <c r="B328" s="43"/>
      <c r="C328" s="42"/>
      <c r="D328" s="16"/>
      <c r="E328" s="52"/>
      <c r="F328" s="52"/>
      <c r="G328" s="50"/>
      <c r="H328" s="17" t="str">
        <f ca="1">IFERROR(__xludf.DUMMYFUNCTION("""COMPUTED_VALUE"""),"")</f>
        <v/>
      </c>
      <c r="I328" s="50" t="s">
        <v>29</v>
      </c>
      <c r="J328" s="50" t="s">
        <v>29</v>
      </c>
      <c r="K328" s="50" t="s">
        <v>29</v>
      </c>
      <c r="L328" s="50" t="s">
        <v>29</v>
      </c>
      <c r="M328" s="50" t="s">
        <v>29</v>
      </c>
      <c r="N328" s="49"/>
      <c r="O328" s="18" t="s">
        <v>29</v>
      </c>
      <c r="P328" s="19"/>
      <c r="Q328" s="18" t="str">
        <f ca="1">IFERROR(__xludf.DUMMYFUNCTION("""COMPUTED_VALUE"""),"")</f>
        <v/>
      </c>
      <c r="R328" s="19"/>
      <c r="S328" s="20"/>
      <c r="BP328" s="10"/>
      <c r="BW328" s="10"/>
      <c r="CF328" s="10"/>
      <c r="CM328" s="10"/>
      <c r="CP328" s="18" t="str">
        <f ca="1"/>
        <v/>
      </c>
      <c r="CQ328" s="18" t="str">
        <f ca="1"/>
        <v/>
      </c>
      <c r="CR328" s="18" t="str">
        <f ca="1"/>
        <v/>
      </c>
      <c r="CS328" s="18" t="str">
        <f ca="1"/>
        <v/>
      </c>
      <c r="CT328" s="18" t="str">
        <f ca="1"/>
        <v/>
      </c>
      <c r="CV328" s="10"/>
      <c r="CY328" s="18" t="str">
        <f ca="1"/>
        <v/>
      </c>
      <c r="CZ328" s="18" t="str">
        <f ca="1"/>
        <v/>
      </c>
      <c r="DA328" s="18" t="str">
        <f ca="1"/>
        <v/>
      </c>
      <c r="DC328" s="10"/>
    </row>
    <row r="329" spans="1:107" x14ac:dyDescent="0.25">
      <c r="A329" s="46"/>
      <c r="B329" s="43"/>
      <c r="C329" s="42"/>
      <c r="D329" s="16"/>
      <c r="E329" s="52"/>
      <c r="F329" s="52"/>
      <c r="G329" s="50"/>
      <c r="H329" s="17" t="str">
        <f ca="1">IFERROR(__xludf.DUMMYFUNCTION("""COMPUTED_VALUE"""),"")</f>
        <v/>
      </c>
      <c r="I329" s="50" t="s">
        <v>29</v>
      </c>
      <c r="J329" s="50" t="s">
        <v>29</v>
      </c>
      <c r="K329" s="50" t="s">
        <v>29</v>
      </c>
      <c r="L329" s="50" t="s">
        <v>29</v>
      </c>
      <c r="M329" s="50" t="s">
        <v>29</v>
      </c>
      <c r="N329" s="49"/>
      <c r="O329" s="18" t="s">
        <v>29</v>
      </c>
      <c r="P329" s="19"/>
      <c r="Q329" s="18" t="str">
        <f ca="1">IFERROR(__xludf.DUMMYFUNCTION("""COMPUTED_VALUE"""),"")</f>
        <v/>
      </c>
      <c r="R329" s="19"/>
      <c r="S329" s="20"/>
      <c r="BP329" s="10"/>
      <c r="BW329" s="10"/>
      <c r="CF329" s="10"/>
      <c r="CM329" s="10"/>
      <c r="CP329" s="18" t="str">
        <f ca="1"/>
        <v/>
      </c>
      <c r="CQ329" s="18" t="str">
        <f ca="1"/>
        <v/>
      </c>
      <c r="CR329" s="18" t="str">
        <f ca="1"/>
        <v/>
      </c>
      <c r="CS329" s="18" t="str">
        <f ca="1"/>
        <v/>
      </c>
      <c r="CT329" s="18" t="str">
        <f ca="1"/>
        <v/>
      </c>
      <c r="CV329" s="10"/>
      <c r="CY329" s="18" t="str">
        <f ca="1"/>
        <v/>
      </c>
      <c r="CZ329" s="18" t="str">
        <f ca="1"/>
        <v/>
      </c>
      <c r="DA329" s="18" t="str">
        <f ca="1"/>
        <v/>
      </c>
      <c r="DC329" s="10"/>
    </row>
    <row r="330" spans="1:107" x14ac:dyDescent="0.25">
      <c r="A330" s="46"/>
      <c r="B330" s="43"/>
      <c r="C330" s="42"/>
      <c r="D330" s="16"/>
      <c r="E330" s="52"/>
      <c r="F330" s="52"/>
      <c r="G330" s="50"/>
      <c r="H330" s="17" t="str">
        <f ca="1">IFERROR(__xludf.DUMMYFUNCTION("""COMPUTED_VALUE"""),"")</f>
        <v/>
      </c>
      <c r="I330" s="50" t="s">
        <v>29</v>
      </c>
      <c r="J330" s="50" t="s">
        <v>29</v>
      </c>
      <c r="K330" s="50" t="s">
        <v>29</v>
      </c>
      <c r="L330" s="50" t="s">
        <v>29</v>
      </c>
      <c r="M330" s="50" t="s">
        <v>29</v>
      </c>
      <c r="N330" s="49"/>
      <c r="O330" s="18" t="s">
        <v>29</v>
      </c>
      <c r="P330" s="19"/>
      <c r="Q330" s="18" t="str">
        <f ca="1">IFERROR(__xludf.DUMMYFUNCTION("""COMPUTED_VALUE"""),"")</f>
        <v/>
      </c>
      <c r="R330" s="19"/>
      <c r="S330" s="20"/>
      <c r="BP330" s="10"/>
      <c r="BW330" s="10"/>
      <c r="CF330" s="10"/>
      <c r="CM330" s="10"/>
      <c r="CP330" s="18" t="str">
        <f ca="1"/>
        <v/>
      </c>
      <c r="CQ330" s="18" t="str">
        <f ca="1"/>
        <v/>
      </c>
      <c r="CR330" s="18" t="str">
        <f ca="1"/>
        <v/>
      </c>
      <c r="CS330" s="18" t="str">
        <f ca="1"/>
        <v/>
      </c>
      <c r="CT330" s="18" t="str">
        <f ca="1"/>
        <v/>
      </c>
      <c r="CV330" s="10"/>
      <c r="CY330" s="18" t="str">
        <f ca="1"/>
        <v/>
      </c>
      <c r="CZ330" s="18" t="str">
        <f ca="1"/>
        <v/>
      </c>
      <c r="DA330" s="18" t="str">
        <f ca="1"/>
        <v/>
      </c>
      <c r="DC330" s="10"/>
    </row>
    <row r="331" spans="1:107" x14ac:dyDescent="0.25">
      <c r="A331" s="46"/>
      <c r="B331" s="43"/>
      <c r="C331" s="42"/>
      <c r="D331" s="16"/>
      <c r="E331" s="52"/>
      <c r="F331" s="52"/>
      <c r="G331" s="50"/>
      <c r="H331" s="17" t="str">
        <f ca="1">IFERROR(__xludf.DUMMYFUNCTION("""COMPUTED_VALUE"""),"")</f>
        <v/>
      </c>
      <c r="I331" s="50" t="s">
        <v>29</v>
      </c>
      <c r="J331" s="50" t="s">
        <v>29</v>
      </c>
      <c r="K331" s="50" t="s">
        <v>29</v>
      </c>
      <c r="L331" s="50" t="s">
        <v>29</v>
      </c>
      <c r="M331" s="50" t="s">
        <v>29</v>
      </c>
      <c r="N331" s="49"/>
      <c r="O331" s="18" t="s">
        <v>29</v>
      </c>
      <c r="P331" s="19"/>
      <c r="Q331" s="18" t="str">
        <f ca="1">IFERROR(__xludf.DUMMYFUNCTION("""COMPUTED_VALUE"""),"")</f>
        <v/>
      </c>
      <c r="R331" s="19"/>
      <c r="S331" s="20"/>
      <c r="BP331" s="10"/>
      <c r="BW331" s="10"/>
      <c r="CF331" s="10"/>
      <c r="CM331" s="10"/>
      <c r="CP331" s="18" t="str">
        <f ca="1"/>
        <v/>
      </c>
      <c r="CQ331" s="18" t="str">
        <f ca="1"/>
        <v/>
      </c>
      <c r="CR331" s="18" t="str">
        <f ca="1"/>
        <v/>
      </c>
      <c r="CS331" s="18" t="str">
        <f ca="1"/>
        <v/>
      </c>
      <c r="CT331" s="18" t="str">
        <f ca="1"/>
        <v/>
      </c>
      <c r="CV331" s="10"/>
      <c r="CY331" s="18" t="str">
        <f ca="1"/>
        <v/>
      </c>
      <c r="CZ331" s="18" t="str">
        <f ca="1"/>
        <v/>
      </c>
      <c r="DA331" s="18" t="str">
        <f ca="1"/>
        <v/>
      </c>
      <c r="DC331" s="10"/>
    </row>
    <row r="332" spans="1:107" x14ac:dyDescent="0.25">
      <c r="A332" s="46"/>
      <c r="B332" s="43"/>
      <c r="C332" s="42"/>
      <c r="D332" s="16"/>
      <c r="E332" s="52"/>
      <c r="F332" s="52"/>
      <c r="G332" s="50"/>
      <c r="H332" s="17" t="str">
        <f ca="1">IFERROR(__xludf.DUMMYFUNCTION("""COMPUTED_VALUE"""),"")</f>
        <v/>
      </c>
      <c r="I332" s="50" t="s">
        <v>29</v>
      </c>
      <c r="J332" s="50" t="s">
        <v>29</v>
      </c>
      <c r="K332" s="50" t="s">
        <v>29</v>
      </c>
      <c r="L332" s="50" t="s">
        <v>29</v>
      </c>
      <c r="M332" s="50" t="s">
        <v>29</v>
      </c>
      <c r="N332" s="49"/>
      <c r="O332" s="18" t="s">
        <v>29</v>
      </c>
      <c r="P332" s="19"/>
      <c r="Q332" s="18" t="str">
        <f ca="1">IFERROR(__xludf.DUMMYFUNCTION("""COMPUTED_VALUE"""),"")</f>
        <v/>
      </c>
      <c r="R332" s="19"/>
      <c r="S332" s="20"/>
      <c r="BP332" s="10"/>
      <c r="BW332" s="10"/>
      <c r="CF332" s="10"/>
      <c r="CM332" s="10"/>
      <c r="CP332" s="18" t="str">
        <f ca="1"/>
        <v/>
      </c>
      <c r="CQ332" s="18" t="str">
        <f ca="1"/>
        <v/>
      </c>
      <c r="CR332" s="18" t="str">
        <f ca="1"/>
        <v/>
      </c>
      <c r="CS332" s="18" t="str">
        <f ca="1"/>
        <v/>
      </c>
      <c r="CT332" s="18" t="str">
        <f ca="1"/>
        <v/>
      </c>
      <c r="CV332" s="10"/>
      <c r="CY332" s="18" t="str">
        <f ca="1"/>
        <v/>
      </c>
      <c r="CZ332" s="18" t="str">
        <f ca="1"/>
        <v/>
      </c>
      <c r="DA332" s="18" t="str">
        <f ca="1"/>
        <v/>
      </c>
      <c r="DC332" s="10"/>
    </row>
    <row r="333" spans="1:107" x14ac:dyDescent="0.25">
      <c r="A333" s="46"/>
      <c r="B333" s="43"/>
      <c r="C333" s="42"/>
      <c r="D333" s="16"/>
      <c r="E333" s="52"/>
      <c r="F333" s="52"/>
      <c r="G333" s="50"/>
      <c r="H333" s="17" t="str">
        <f ca="1">IFERROR(__xludf.DUMMYFUNCTION("""COMPUTED_VALUE"""),"")</f>
        <v/>
      </c>
      <c r="I333" s="50" t="s">
        <v>29</v>
      </c>
      <c r="J333" s="50" t="s">
        <v>29</v>
      </c>
      <c r="K333" s="50" t="s">
        <v>29</v>
      </c>
      <c r="L333" s="50" t="s">
        <v>29</v>
      </c>
      <c r="M333" s="50" t="s">
        <v>29</v>
      </c>
      <c r="N333" s="49"/>
      <c r="O333" s="18" t="s">
        <v>29</v>
      </c>
      <c r="P333" s="19"/>
      <c r="Q333" s="18" t="str">
        <f ca="1">IFERROR(__xludf.DUMMYFUNCTION("""COMPUTED_VALUE"""),"")</f>
        <v/>
      </c>
      <c r="R333" s="19"/>
      <c r="S333" s="20"/>
      <c r="BP333" s="10"/>
      <c r="BW333" s="10"/>
      <c r="CF333" s="10"/>
      <c r="CM333" s="10"/>
      <c r="CP333" s="18" t="str">
        <f ca="1"/>
        <v/>
      </c>
      <c r="CQ333" s="18" t="str">
        <f ca="1"/>
        <v/>
      </c>
      <c r="CR333" s="18" t="str">
        <f ca="1"/>
        <v/>
      </c>
      <c r="CS333" s="18" t="str">
        <f ca="1"/>
        <v/>
      </c>
      <c r="CT333" s="18" t="str">
        <f ca="1"/>
        <v/>
      </c>
      <c r="CV333" s="10"/>
      <c r="CY333" s="18" t="str">
        <f ca="1"/>
        <v/>
      </c>
      <c r="CZ333" s="18" t="str">
        <f ca="1"/>
        <v/>
      </c>
      <c r="DA333" s="18" t="str">
        <f ca="1"/>
        <v/>
      </c>
      <c r="DC333" s="10"/>
    </row>
    <row r="334" spans="1:107" x14ac:dyDescent="0.25">
      <c r="A334" s="46"/>
      <c r="B334" s="43"/>
      <c r="C334" s="42"/>
      <c r="D334" s="16"/>
      <c r="E334" s="52"/>
      <c r="F334" s="52"/>
      <c r="G334" s="50"/>
      <c r="H334" s="17" t="str">
        <f ca="1">IFERROR(__xludf.DUMMYFUNCTION("""COMPUTED_VALUE"""),"")</f>
        <v/>
      </c>
      <c r="I334" s="50" t="s">
        <v>29</v>
      </c>
      <c r="J334" s="50" t="s">
        <v>29</v>
      </c>
      <c r="K334" s="50" t="s">
        <v>29</v>
      </c>
      <c r="L334" s="50" t="s">
        <v>29</v>
      </c>
      <c r="M334" s="50" t="s">
        <v>29</v>
      </c>
      <c r="N334" s="49"/>
      <c r="O334" s="18" t="s">
        <v>29</v>
      </c>
      <c r="P334" s="19"/>
      <c r="Q334" s="18" t="str">
        <f ca="1">IFERROR(__xludf.DUMMYFUNCTION("""COMPUTED_VALUE"""),"")</f>
        <v/>
      </c>
      <c r="R334" s="19"/>
      <c r="S334" s="20"/>
      <c r="BP334" s="10"/>
      <c r="BW334" s="10"/>
      <c r="CF334" s="10"/>
      <c r="CM334" s="10"/>
      <c r="CP334" s="18" t="str">
        <f ca="1"/>
        <v/>
      </c>
      <c r="CQ334" s="18" t="str">
        <f ca="1"/>
        <v/>
      </c>
      <c r="CR334" s="18" t="str">
        <f ca="1"/>
        <v/>
      </c>
      <c r="CS334" s="18" t="str">
        <f ca="1"/>
        <v/>
      </c>
      <c r="CT334" s="18" t="str">
        <f ca="1"/>
        <v/>
      </c>
      <c r="CV334" s="10"/>
      <c r="CY334" s="18" t="str">
        <f ca="1"/>
        <v/>
      </c>
      <c r="CZ334" s="18" t="str">
        <f ca="1"/>
        <v/>
      </c>
      <c r="DA334" s="18" t="str">
        <f ca="1"/>
        <v/>
      </c>
      <c r="DC334" s="10"/>
    </row>
    <row r="335" spans="1:107" x14ac:dyDescent="0.25">
      <c r="A335" s="46"/>
      <c r="B335" s="43"/>
      <c r="C335" s="42"/>
      <c r="D335" s="16"/>
      <c r="E335" s="52"/>
      <c r="F335" s="52"/>
      <c r="G335" s="50"/>
      <c r="H335" s="17" t="str">
        <f ca="1">IFERROR(__xludf.DUMMYFUNCTION("""COMPUTED_VALUE"""),"")</f>
        <v/>
      </c>
      <c r="I335" s="50" t="s">
        <v>29</v>
      </c>
      <c r="J335" s="50" t="s">
        <v>29</v>
      </c>
      <c r="K335" s="50" t="s">
        <v>29</v>
      </c>
      <c r="L335" s="50" t="s">
        <v>29</v>
      </c>
      <c r="M335" s="50" t="s">
        <v>29</v>
      </c>
      <c r="N335" s="49"/>
      <c r="O335" s="18" t="s">
        <v>29</v>
      </c>
      <c r="P335" s="19"/>
      <c r="Q335" s="18" t="str">
        <f ca="1">IFERROR(__xludf.DUMMYFUNCTION("""COMPUTED_VALUE"""),"")</f>
        <v/>
      </c>
      <c r="R335" s="19"/>
      <c r="S335" s="20"/>
      <c r="BP335" s="10"/>
      <c r="BW335" s="10"/>
      <c r="CF335" s="10"/>
      <c r="CM335" s="10"/>
      <c r="CP335" s="18" t="str">
        <f ca="1"/>
        <v/>
      </c>
      <c r="CQ335" s="18" t="str">
        <f ca="1"/>
        <v/>
      </c>
      <c r="CR335" s="18" t="str">
        <f ca="1"/>
        <v/>
      </c>
      <c r="CS335" s="18" t="str">
        <f ca="1"/>
        <v/>
      </c>
      <c r="CT335" s="18" t="str">
        <f ca="1"/>
        <v/>
      </c>
      <c r="CV335" s="10"/>
      <c r="CY335" s="18" t="str">
        <f ca="1"/>
        <v/>
      </c>
      <c r="CZ335" s="18" t="str">
        <f ca="1"/>
        <v/>
      </c>
      <c r="DA335" s="18" t="str">
        <f ca="1"/>
        <v/>
      </c>
      <c r="DC335" s="10"/>
    </row>
    <row r="336" spans="1:107" x14ac:dyDescent="0.25">
      <c r="A336" s="46"/>
      <c r="B336" s="43"/>
      <c r="C336" s="42"/>
      <c r="D336" s="16"/>
      <c r="E336" s="52"/>
      <c r="F336" s="52"/>
      <c r="G336" s="50"/>
      <c r="H336" s="17" t="str">
        <f ca="1">IFERROR(__xludf.DUMMYFUNCTION("""COMPUTED_VALUE"""),"")</f>
        <v/>
      </c>
      <c r="I336" s="50" t="s">
        <v>29</v>
      </c>
      <c r="J336" s="50" t="s">
        <v>29</v>
      </c>
      <c r="K336" s="50" t="s">
        <v>29</v>
      </c>
      <c r="L336" s="50" t="s">
        <v>29</v>
      </c>
      <c r="M336" s="50" t="s">
        <v>29</v>
      </c>
      <c r="N336" s="49"/>
      <c r="O336" s="18" t="s">
        <v>29</v>
      </c>
      <c r="P336" s="19"/>
      <c r="Q336" s="18" t="str">
        <f ca="1">IFERROR(__xludf.DUMMYFUNCTION("""COMPUTED_VALUE"""),"")</f>
        <v/>
      </c>
      <c r="R336" s="19"/>
      <c r="S336" s="20"/>
      <c r="BP336" s="10"/>
      <c r="BW336" s="10"/>
      <c r="CF336" s="10"/>
      <c r="CM336" s="10"/>
      <c r="CP336" s="18" t="str">
        <f ca="1"/>
        <v/>
      </c>
      <c r="CQ336" s="18" t="str">
        <f ca="1"/>
        <v/>
      </c>
      <c r="CR336" s="18" t="str">
        <f ca="1"/>
        <v/>
      </c>
      <c r="CS336" s="18" t="str">
        <f ca="1"/>
        <v/>
      </c>
      <c r="CT336" s="18" t="str">
        <f ca="1"/>
        <v/>
      </c>
      <c r="CV336" s="10"/>
      <c r="CY336" s="18" t="str">
        <f ca="1"/>
        <v/>
      </c>
      <c r="CZ336" s="18" t="str">
        <f ca="1"/>
        <v/>
      </c>
      <c r="DA336" s="18" t="str">
        <f ca="1"/>
        <v/>
      </c>
      <c r="DC336" s="10"/>
    </row>
    <row r="337" spans="1:107" x14ac:dyDescent="0.25">
      <c r="A337" s="46"/>
      <c r="B337" s="43"/>
      <c r="C337" s="42"/>
      <c r="D337" s="16"/>
      <c r="E337" s="52"/>
      <c r="F337" s="52"/>
      <c r="G337" s="50"/>
      <c r="H337" s="17" t="str">
        <f ca="1">IFERROR(__xludf.DUMMYFUNCTION("""COMPUTED_VALUE"""),"")</f>
        <v/>
      </c>
      <c r="I337" s="50" t="s">
        <v>29</v>
      </c>
      <c r="J337" s="50" t="s">
        <v>29</v>
      </c>
      <c r="K337" s="50" t="s">
        <v>29</v>
      </c>
      <c r="L337" s="50" t="s">
        <v>29</v>
      </c>
      <c r="M337" s="50" t="s">
        <v>29</v>
      </c>
      <c r="N337" s="49"/>
      <c r="O337" s="18" t="s">
        <v>29</v>
      </c>
      <c r="P337" s="19"/>
      <c r="Q337" s="18" t="str">
        <f ca="1">IFERROR(__xludf.DUMMYFUNCTION("""COMPUTED_VALUE"""),"")</f>
        <v/>
      </c>
      <c r="R337" s="19"/>
      <c r="S337" s="20"/>
      <c r="BP337" s="10"/>
      <c r="BW337" s="10"/>
      <c r="CF337" s="10"/>
      <c r="CM337" s="10"/>
      <c r="CP337" s="18" t="str">
        <f ca="1"/>
        <v/>
      </c>
      <c r="CQ337" s="18" t="str">
        <f ca="1"/>
        <v/>
      </c>
      <c r="CR337" s="18" t="str">
        <f ca="1"/>
        <v/>
      </c>
      <c r="CS337" s="18" t="str">
        <f ca="1"/>
        <v/>
      </c>
      <c r="CT337" s="18" t="str">
        <f ca="1"/>
        <v/>
      </c>
      <c r="CV337" s="10"/>
      <c r="CY337" s="18" t="str">
        <f ca="1"/>
        <v/>
      </c>
      <c r="CZ337" s="18" t="str">
        <f ca="1"/>
        <v/>
      </c>
      <c r="DA337" s="18" t="str">
        <f ca="1"/>
        <v/>
      </c>
      <c r="DC337" s="10"/>
    </row>
    <row r="338" spans="1:107" x14ac:dyDescent="0.25">
      <c r="A338" s="46"/>
      <c r="B338" s="43"/>
      <c r="C338" s="42"/>
      <c r="D338" s="16"/>
      <c r="E338" s="52"/>
      <c r="F338" s="52"/>
      <c r="G338" s="50"/>
      <c r="H338" s="17" t="str">
        <f ca="1">IFERROR(__xludf.DUMMYFUNCTION("""COMPUTED_VALUE"""),"")</f>
        <v/>
      </c>
      <c r="I338" s="50" t="s">
        <v>29</v>
      </c>
      <c r="J338" s="50" t="s">
        <v>29</v>
      </c>
      <c r="K338" s="50" t="s">
        <v>29</v>
      </c>
      <c r="L338" s="50" t="s">
        <v>29</v>
      </c>
      <c r="M338" s="50" t="s">
        <v>29</v>
      </c>
      <c r="N338" s="49"/>
      <c r="P338" s="19"/>
      <c r="Q338" s="18" t="str">
        <f ca="1">IFERROR(__xludf.DUMMYFUNCTION("""COMPUTED_VALUE"""),"")</f>
        <v/>
      </c>
      <c r="R338" s="19"/>
      <c r="S338" s="20"/>
      <c r="BP338" s="10"/>
      <c r="BW338" s="10"/>
      <c r="CF338" s="10"/>
      <c r="CM338" s="10"/>
      <c r="CP338" s="18" t="str">
        <f ca="1"/>
        <v/>
      </c>
      <c r="CQ338" s="18" t="str">
        <f ca="1"/>
        <v/>
      </c>
      <c r="CR338" s="18" t="str">
        <f ca="1"/>
        <v/>
      </c>
      <c r="CS338" s="18" t="str">
        <f ca="1"/>
        <v/>
      </c>
      <c r="CT338" s="18" t="str">
        <f ca="1"/>
        <v/>
      </c>
      <c r="CV338" s="10"/>
      <c r="CY338" s="18" t="str">
        <f ca="1"/>
        <v/>
      </c>
      <c r="CZ338" s="18" t="str">
        <f ca="1"/>
        <v/>
      </c>
      <c r="DA338" s="18" t="str">
        <f ca="1"/>
        <v/>
      </c>
      <c r="DC338" s="10"/>
    </row>
    <row r="339" spans="1:107" x14ac:dyDescent="0.25">
      <c r="A339" s="46"/>
      <c r="B339" s="43"/>
      <c r="C339" s="42"/>
      <c r="D339" s="16"/>
      <c r="E339" s="52"/>
      <c r="F339" s="52"/>
      <c r="G339" s="50"/>
      <c r="H339" s="17" t="str">
        <f ca="1">IFERROR(__xludf.DUMMYFUNCTION("""COMPUTED_VALUE"""),"")</f>
        <v/>
      </c>
      <c r="I339" s="50" t="s">
        <v>29</v>
      </c>
      <c r="J339" s="50" t="s">
        <v>29</v>
      </c>
      <c r="K339" s="50" t="s">
        <v>29</v>
      </c>
      <c r="L339" s="50" t="s">
        <v>29</v>
      </c>
      <c r="M339" s="50" t="s">
        <v>29</v>
      </c>
      <c r="N339" s="49"/>
      <c r="P339" s="19"/>
      <c r="Q339" s="18" t="str">
        <f ca="1">IFERROR(__xludf.DUMMYFUNCTION("""COMPUTED_VALUE"""),"")</f>
        <v/>
      </c>
      <c r="R339" s="19"/>
      <c r="S339" s="20"/>
      <c r="BP339" s="10"/>
      <c r="BW339" s="10"/>
      <c r="CF339" s="10"/>
      <c r="CM339" s="10"/>
      <c r="CP339" s="18" t="str">
        <f ca="1"/>
        <v/>
      </c>
      <c r="CQ339" s="18" t="str">
        <f ca="1"/>
        <v/>
      </c>
      <c r="CR339" s="18" t="str">
        <f ca="1"/>
        <v/>
      </c>
      <c r="CS339" s="18" t="str">
        <f ca="1"/>
        <v/>
      </c>
      <c r="CT339" s="18" t="str">
        <f ca="1"/>
        <v/>
      </c>
      <c r="CV339" s="10"/>
      <c r="CY339" s="18" t="str">
        <f ca="1"/>
        <v/>
      </c>
      <c r="CZ339" s="18" t="str">
        <f ca="1"/>
        <v/>
      </c>
      <c r="DA339" s="18" t="str">
        <f ca="1"/>
        <v/>
      </c>
      <c r="DC339" s="10"/>
    </row>
    <row r="340" spans="1:107" x14ac:dyDescent="0.25">
      <c r="A340" s="46"/>
      <c r="B340" s="43"/>
      <c r="C340" s="42"/>
      <c r="D340" s="16"/>
      <c r="E340" s="52"/>
      <c r="F340" s="52"/>
      <c r="G340" s="50"/>
      <c r="H340" s="17" t="str">
        <f ca="1">IFERROR(__xludf.DUMMYFUNCTION("""COMPUTED_VALUE"""),"")</f>
        <v/>
      </c>
      <c r="I340" s="50" t="s">
        <v>29</v>
      </c>
      <c r="J340" s="50" t="s">
        <v>29</v>
      </c>
      <c r="K340" s="50" t="s">
        <v>29</v>
      </c>
      <c r="L340" s="50" t="s">
        <v>29</v>
      </c>
      <c r="M340" s="50" t="s">
        <v>29</v>
      </c>
      <c r="N340" s="49"/>
      <c r="P340" s="19"/>
      <c r="Q340" s="18" t="str">
        <f ca="1">IFERROR(__xludf.DUMMYFUNCTION("""COMPUTED_VALUE"""),"")</f>
        <v/>
      </c>
      <c r="R340" s="19"/>
      <c r="S340" s="20"/>
      <c r="BP340" s="10"/>
      <c r="BW340" s="10"/>
      <c r="CF340" s="10"/>
      <c r="CM340" s="10"/>
      <c r="CP340" s="18" t="str">
        <f ca="1"/>
        <v/>
      </c>
      <c r="CQ340" s="18" t="str">
        <f ca="1"/>
        <v/>
      </c>
      <c r="CR340" s="18" t="str">
        <f ca="1"/>
        <v/>
      </c>
      <c r="CS340" s="18" t="str">
        <f ca="1"/>
        <v/>
      </c>
      <c r="CT340" s="18" t="str">
        <f ca="1"/>
        <v/>
      </c>
      <c r="CV340" s="10"/>
      <c r="CY340" s="18" t="str">
        <f ca="1"/>
        <v/>
      </c>
      <c r="CZ340" s="18" t="str">
        <f ca="1"/>
        <v/>
      </c>
      <c r="DA340" s="18" t="str">
        <f ca="1"/>
        <v/>
      </c>
      <c r="DC340" s="10"/>
    </row>
    <row r="341" spans="1:107" x14ac:dyDescent="0.25">
      <c r="A341" s="46"/>
      <c r="B341" s="43"/>
      <c r="C341" s="42"/>
      <c r="D341" s="16"/>
      <c r="E341" s="52"/>
      <c r="F341" s="52"/>
      <c r="G341" s="50"/>
      <c r="H341" s="17" t="str">
        <f ca="1">IFERROR(__xludf.DUMMYFUNCTION("""COMPUTED_VALUE"""),"")</f>
        <v/>
      </c>
      <c r="I341" s="50" t="s">
        <v>29</v>
      </c>
      <c r="J341" s="50" t="s">
        <v>29</v>
      </c>
      <c r="K341" s="50" t="s">
        <v>29</v>
      </c>
      <c r="L341" s="50" t="s">
        <v>29</v>
      </c>
      <c r="M341" s="50" t="s">
        <v>29</v>
      </c>
      <c r="N341" s="49"/>
      <c r="P341" s="19"/>
      <c r="Q341" s="18" t="str">
        <f ca="1">IFERROR(__xludf.DUMMYFUNCTION("""COMPUTED_VALUE"""),"")</f>
        <v/>
      </c>
      <c r="R341" s="19"/>
      <c r="S341" s="20"/>
      <c r="BP341" s="10"/>
      <c r="BW341" s="10"/>
      <c r="CF341" s="10"/>
      <c r="CM341" s="10"/>
      <c r="CP341" s="18" t="str">
        <f ca="1"/>
        <v/>
      </c>
      <c r="CQ341" s="18" t="str">
        <f ca="1"/>
        <v/>
      </c>
      <c r="CR341" s="18" t="str">
        <f ca="1"/>
        <v/>
      </c>
      <c r="CS341" s="18" t="str">
        <f ca="1"/>
        <v/>
      </c>
      <c r="CT341" s="18" t="str">
        <f ca="1"/>
        <v/>
      </c>
      <c r="CV341" s="10"/>
      <c r="CY341" s="18" t="str">
        <f ca="1"/>
        <v/>
      </c>
      <c r="CZ341" s="18" t="str">
        <f ca="1"/>
        <v/>
      </c>
      <c r="DA341" s="18" t="str">
        <f ca="1"/>
        <v/>
      </c>
      <c r="DC341" s="10"/>
    </row>
    <row r="342" spans="1:107" x14ac:dyDescent="0.25">
      <c r="A342" s="46"/>
      <c r="B342" s="43"/>
      <c r="C342" s="42"/>
      <c r="D342" s="16"/>
      <c r="E342" s="52"/>
      <c r="F342" s="52"/>
      <c r="G342" s="50"/>
      <c r="H342" s="17" t="str">
        <f ca="1">IFERROR(__xludf.DUMMYFUNCTION("""COMPUTED_VALUE"""),"")</f>
        <v/>
      </c>
      <c r="I342" s="50" t="s">
        <v>29</v>
      </c>
      <c r="J342" s="50" t="s">
        <v>29</v>
      </c>
      <c r="K342" s="50" t="s">
        <v>29</v>
      </c>
      <c r="L342" s="50" t="s">
        <v>29</v>
      </c>
      <c r="M342" s="50" t="s">
        <v>29</v>
      </c>
      <c r="N342" s="49"/>
      <c r="P342" s="19"/>
      <c r="Q342" s="18" t="str">
        <f ca="1">IFERROR(__xludf.DUMMYFUNCTION("""COMPUTED_VALUE"""),"")</f>
        <v/>
      </c>
      <c r="R342" s="19"/>
      <c r="S342" s="20"/>
      <c r="BP342" s="10"/>
      <c r="BW342" s="10"/>
      <c r="CF342" s="10"/>
      <c r="CM342" s="10"/>
      <c r="CP342" s="18" t="str">
        <f ca="1"/>
        <v/>
      </c>
      <c r="CQ342" s="18" t="str">
        <f ca="1"/>
        <v/>
      </c>
      <c r="CR342" s="18" t="str">
        <f ca="1"/>
        <v/>
      </c>
      <c r="CS342" s="18" t="str">
        <f ca="1"/>
        <v/>
      </c>
      <c r="CT342" s="18" t="str">
        <f ca="1"/>
        <v/>
      </c>
      <c r="CV342" s="10"/>
      <c r="CY342" s="18" t="str">
        <f ca="1"/>
        <v/>
      </c>
      <c r="CZ342" s="18" t="str">
        <f ca="1"/>
        <v/>
      </c>
      <c r="DA342" s="18" t="str">
        <f ca="1"/>
        <v/>
      </c>
      <c r="DC342" s="10"/>
    </row>
    <row r="343" spans="1:107" x14ac:dyDescent="0.25">
      <c r="A343" s="46"/>
      <c r="B343" s="43"/>
      <c r="C343" s="42"/>
      <c r="D343" s="16"/>
      <c r="E343" s="52"/>
      <c r="F343" s="52"/>
      <c r="G343" s="50"/>
      <c r="H343" s="17" t="str">
        <f ca="1">IFERROR(__xludf.DUMMYFUNCTION("""COMPUTED_VALUE"""),"")</f>
        <v/>
      </c>
      <c r="I343" s="50" t="s">
        <v>29</v>
      </c>
      <c r="J343" s="50" t="s">
        <v>29</v>
      </c>
      <c r="K343" s="50" t="s">
        <v>29</v>
      </c>
      <c r="L343" s="50" t="s">
        <v>29</v>
      </c>
      <c r="M343" s="50" t="s">
        <v>29</v>
      </c>
      <c r="N343" s="49"/>
      <c r="P343" s="19"/>
      <c r="Q343" s="18" t="str">
        <f ca="1">IFERROR(__xludf.DUMMYFUNCTION("""COMPUTED_VALUE"""),"")</f>
        <v/>
      </c>
      <c r="R343" s="19"/>
      <c r="S343" s="20"/>
      <c r="BP343" s="10"/>
      <c r="BW343" s="10"/>
      <c r="CF343" s="10"/>
      <c r="CM343" s="10"/>
      <c r="CP343" s="18" t="str">
        <f ca="1"/>
        <v/>
      </c>
      <c r="CQ343" s="18" t="str">
        <f ca="1"/>
        <v/>
      </c>
      <c r="CR343" s="18" t="str">
        <f ca="1"/>
        <v/>
      </c>
      <c r="CS343" s="18" t="str">
        <f ca="1"/>
        <v/>
      </c>
      <c r="CT343" s="18" t="str">
        <f ca="1"/>
        <v/>
      </c>
      <c r="CV343" s="10"/>
      <c r="CY343" s="18" t="str">
        <f ca="1"/>
        <v/>
      </c>
      <c r="CZ343" s="18" t="str">
        <f ca="1"/>
        <v/>
      </c>
      <c r="DA343" s="18" t="str">
        <f ca="1"/>
        <v/>
      </c>
      <c r="DC343" s="10"/>
    </row>
    <row r="344" spans="1:107" x14ac:dyDescent="0.25">
      <c r="A344" s="46"/>
      <c r="B344" s="43"/>
      <c r="C344" s="42"/>
      <c r="D344" s="16"/>
      <c r="E344" s="52"/>
      <c r="F344" s="52"/>
      <c r="G344" s="50"/>
      <c r="H344" s="17" t="str">
        <f ca="1">IFERROR(__xludf.DUMMYFUNCTION("""COMPUTED_VALUE"""),"")</f>
        <v/>
      </c>
      <c r="I344" s="50" t="s">
        <v>29</v>
      </c>
      <c r="J344" s="50" t="s">
        <v>29</v>
      </c>
      <c r="K344" s="50" t="s">
        <v>29</v>
      </c>
      <c r="L344" s="50" t="s">
        <v>29</v>
      </c>
      <c r="M344" s="50" t="s">
        <v>29</v>
      </c>
      <c r="N344" s="49"/>
      <c r="P344" s="19"/>
      <c r="Q344" s="18" t="str">
        <f ca="1">IFERROR(__xludf.DUMMYFUNCTION("""COMPUTED_VALUE"""),"")</f>
        <v/>
      </c>
      <c r="R344" s="19"/>
      <c r="S344" s="20"/>
      <c r="BP344" s="10"/>
      <c r="BW344" s="10"/>
      <c r="CF344" s="10"/>
      <c r="CM344" s="10"/>
      <c r="CP344" s="18" t="str">
        <f ca="1"/>
        <v/>
      </c>
      <c r="CQ344" s="18" t="str">
        <f ca="1"/>
        <v/>
      </c>
      <c r="CR344" s="18" t="str">
        <f ca="1"/>
        <v/>
      </c>
      <c r="CS344" s="18" t="str">
        <f ca="1"/>
        <v/>
      </c>
      <c r="CT344" s="18" t="str">
        <f ca="1"/>
        <v/>
      </c>
      <c r="CV344" s="10"/>
      <c r="CY344" s="18" t="str">
        <f ca="1"/>
        <v/>
      </c>
      <c r="CZ344" s="18" t="str">
        <f ca="1"/>
        <v/>
      </c>
      <c r="DA344" s="18" t="str">
        <f ca="1"/>
        <v/>
      </c>
      <c r="DC344" s="10"/>
    </row>
    <row r="345" spans="1:107" x14ac:dyDescent="0.25">
      <c r="A345" s="46"/>
      <c r="B345" s="43"/>
      <c r="C345" s="42"/>
      <c r="D345" s="16"/>
      <c r="E345" s="52"/>
      <c r="F345" s="52"/>
      <c r="G345" s="50"/>
      <c r="H345" s="17" t="str">
        <f ca="1">IFERROR(__xludf.DUMMYFUNCTION("""COMPUTED_VALUE"""),"")</f>
        <v/>
      </c>
      <c r="I345" s="50" t="s">
        <v>29</v>
      </c>
      <c r="J345" s="50" t="s">
        <v>29</v>
      </c>
      <c r="K345" s="50" t="s">
        <v>29</v>
      </c>
      <c r="L345" s="50" t="s">
        <v>29</v>
      </c>
      <c r="M345" s="50" t="s">
        <v>29</v>
      </c>
      <c r="N345" s="49"/>
      <c r="P345" s="19"/>
      <c r="Q345" s="18" t="str">
        <f ca="1">IFERROR(__xludf.DUMMYFUNCTION("""COMPUTED_VALUE"""),"")</f>
        <v/>
      </c>
      <c r="R345" s="19"/>
      <c r="S345" s="20"/>
      <c r="BP345" s="10"/>
      <c r="BW345" s="10"/>
      <c r="CF345" s="10"/>
      <c r="CM345" s="10"/>
      <c r="CP345" s="18" t="str">
        <f ca="1"/>
        <v/>
      </c>
      <c r="CQ345" s="18" t="str">
        <f ca="1"/>
        <v/>
      </c>
      <c r="CR345" s="18" t="str">
        <f ca="1"/>
        <v/>
      </c>
      <c r="CS345" s="18" t="str">
        <f ca="1"/>
        <v/>
      </c>
      <c r="CT345" s="18" t="str">
        <f ca="1"/>
        <v/>
      </c>
      <c r="CV345" s="10"/>
      <c r="CY345" s="18" t="str">
        <f ca="1"/>
        <v/>
      </c>
      <c r="CZ345" s="18" t="str">
        <f ca="1"/>
        <v/>
      </c>
      <c r="DA345" s="18" t="str">
        <f ca="1"/>
        <v/>
      </c>
      <c r="DC345" s="10"/>
    </row>
    <row r="346" spans="1:107" x14ac:dyDescent="0.25">
      <c r="A346" s="46"/>
      <c r="B346" s="43"/>
      <c r="C346" s="42"/>
      <c r="D346" s="16"/>
      <c r="E346" s="52"/>
      <c r="F346" s="52"/>
      <c r="G346" s="50"/>
      <c r="H346" s="17" t="str">
        <f ca="1">IFERROR(__xludf.DUMMYFUNCTION("""COMPUTED_VALUE"""),"")</f>
        <v/>
      </c>
      <c r="I346" s="50" t="s">
        <v>29</v>
      </c>
      <c r="J346" s="50" t="s">
        <v>29</v>
      </c>
      <c r="K346" s="50" t="s">
        <v>29</v>
      </c>
      <c r="L346" s="50" t="s">
        <v>29</v>
      </c>
      <c r="M346" s="50" t="s">
        <v>29</v>
      </c>
      <c r="N346" s="49"/>
      <c r="P346" s="19"/>
      <c r="Q346" s="18" t="str">
        <f ca="1">IFERROR(__xludf.DUMMYFUNCTION("""COMPUTED_VALUE"""),"")</f>
        <v/>
      </c>
      <c r="R346" s="19"/>
      <c r="S346" s="20"/>
      <c r="BP346" s="10"/>
      <c r="BW346" s="10"/>
      <c r="CF346" s="10"/>
      <c r="CM346" s="10"/>
      <c r="CP346" s="18" t="str">
        <f ca="1"/>
        <v/>
      </c>
      <c r="CQ346" s="18" t="str">
        <f ca="1"/>
        <v/>
      </c>
      <c r="CR346" s="18" t="str">
        <f ca="1"/>
        <v/>
      </c>
      <c r="CS346" s="18" t="str">
        <f ca="1"/>
        <v/>
      </c>
      <c r="CT346" s="18" t="str">
        <f ca="1"/>
        <v/>
      </c>
      <c r="CV346" s="10"/>
      <c r="CY346" s="18" t="str">
        <f ca="1"/>
        <v/>
      </c>
      <c r="CZ346" s="18" t="str">
        <f ca="1"/>
        <v/>
      </c>
      <c r="DA346" s="18" t="str">
        <f ca="1"/>
        <v/>
      </c>
      <c r="DC346" s="10"/>
    </row>
    <row r="347" spans="1:107" x14ac:dyDescent="0.25">
      <c r="A347" s="46"/>
      <c r="B347" s="43"/>
      <c r="C347" s="42"/>
      <c r="D347" s="16"/>
      <c r="E347" s="52"/>
      <c r="F347" s="52"/>
      <c r="G347" s="50"/>
      <c r="H347" s="17" t="str">
        <f ca="1">IFERROR(__xludf.DUMMYFUNCTION("""COMPUTED_VALUE"""),"")</f>
        <v/>
      </c>
      <c r="I347" s="50" t="s">
        <v>29</v>
      </c>
      <c r="J347" s="50" t="s">
        <v>29</v>
      </c>
      <c r="K347" s="50" t="s">
        <v>29</v>
      </c>
      <c r="L347" s="50" t="s">
        <v>29</v>
      </c>
      <c r="M347" s="50" t="s">
        <v>29</v>
      </c>
      <c r="N347" s="49"/>
      <c r="P347" s="19"/>
      <c r="Q347" s="18" t="str">
        <f ca="1">IFERROR(__xludf.DUMMYFUNCTION("""COMPUTED_VALUE"""),"")</f>
        <v/>
      </c>
      <c r="R347" s="19"/>
      <c r="S347" s="20"/>
      <c r="BP347" s="10"/>
      <c r="BW347" s="10"/>
      <c r="CF347" s="10"/>
      <c r="CM347" s="10"/>
      <c r="CP347" s="18" t="str">
        <f ca="1"/>
        <v/>
      </c>
      <c r="CQ347" s="18" t="str">
        <f ca="1"/>
        <v/>
      </c>
      <c r="CR347" s="18" t="str">
        <f ca="1"/>
        <v/>
      </c>
      <c r="CS347" s="18" t="str">
        <f ca="1"/>
        <v/>
      </c>
      <c r="CT347" s="18" t="str">
        <f ca="1"/>
        <v/>
      </c>
      <c r="CV347" s="10"/>
      <c r="CY347" s="18" t="str">
        <f ca="1"/>
        <v/>
      </c>
      <c r="CZ347" s="18" t="str">
        <f ca="1"/>
        <v/>
      </c>
      <c r="DA347" s="18" t="str">
        <f ca="1"/>
        <v/>
      </c>
      <c r="DC347" s="10"/>
    </row>
    <row r="348" spans="1:107" x14ac:dyDescent="0.25">
      <c r="A348" s="46"/>
      <c r="B348" s="43"/>
      <c r="C348" s="42"/>
      <c r="D348" s="16"/>
      <c r="E348" s="52"/>
      <c r="F348" s="52"/>
      <c r="G348" s="50"/>
      <c r="H348" s="17" t="str">
        <f ca="1">IFERROR(__xludf.DUMMYFUNCTION("""COMPUTED_VALUE"""),"")</f>
        <v/>
      </c>
      <c r="I348" s="50" t="s">
        <v>29</v>
      </c>
      <c r="J348" s="50" t="s">
        <v>29</v>
      </c>
      <c r="K348" s="50" t="s">
        <v>29</v>
      </c>
      <c r="L348" s="50" t="s">
        <v>29</v>
      </c>
      <c r="M348" s="50" t="s">
        <v>29</v>
      </c>
      <c r="N348" s="49"/>
      <c r="P348" s="19"/>
      <c r="Q348" s="18" t="str">
        <f ca="1">IFERROR(__xludf.DUMMYFUNCTION("""COMPUTED_VALUE"""),"")</f>
        <v/>
      </c>
      <c r="R348" s="19"/>
      <c r="S348" s="20"/>
      <c r="BP348" s="10"/>
      <c r="BW348" s="10"/>
      <c r="CF348" s="10"/>
      <c r="CM348" s="10"/>
      <c r="CP348" s="18" t="str">
        <f ca="1"/>
        <v/>
      </c>
      <c r="CQ348" s="18" t="str">
        <f ca="1"/>
        <v/>
      </c>
      <c r="CR348" s="18" t="str">
        <f ca="1"/>
        <v/>
      </c>
      <c r="CS348" s="18" t="str">
        <f ca="1"/>
        <v/>
      </c>
      <c r="CT348" s="18" t="str">
        <f ca="1"/>
        <v/>
      </c>
      <c r="CV348" s="10"/>
      <c r="CY348" s="18" t="str">
        <f ca="1"/>
        <v/>
      </c>
      <c r="CZ348" s="18" t="str">
        <f ca="1"/>
        <v/>
      </c>
      <c r="DA348" s="18" t="str">
        <f ca="1"/>
        <v/>
      </c>
      <c r="DC348" s="10"/>
    </row>
    <row r="349" spans="1:107" x14ac:dyDescent="0.25">
      <c r="A349" s="46"/>
      <c r="B349" s="43"/>
      <c r="C349" s="42"/>
      <c r="D349" s="16"/>
      <c r="E349" s="52"/>
      <c r="F349" s="52"/>
      <c r="G349" s="50"/>
      <c r="H349" s="17" t="str">
        <f ca="1">IFERROR(__xludf.DUMMYFUNCTION("""COMPUTED_VALUE"""),"")</f>
        <v/>
      </c>
      <c r="I349" s="50" t="s">
        <v>29</v>
      </c>
      <c r="J349" s="50" t="s">
        <v>29</v>
      </c>
      <c r="K349" s="50" t="s">
        <v>29</v>
      </c>
      <c r="L349" s="50" t="s">
        <v>29</v>
      </c>
      <c r="M349" s="50" t="s">
        <v>29</v>
      </c>
      <c r="N349" s="49"/>
      <c r="P349" s="19"/>
      <c r="Q349" s="18" t="str">
        <f ca="1">IFERROR(__xludf.DUMMYFUNCTION("""COMPUTED_VALUE"""),"")</f>
        <v/>
      </c>
      <c r="R349" s="19"/>
      <c r="S349" s="20"/>
      <c r="BP349" s="10"/>
      <c r="BW349" s="10"/>
      <c r="CF349" s="10"/>
      <c r="CM349" s="10"/>
      <c r="CP349" s="18" t="str">
        <f ca="1"/>
        <v/>
      </c>
      <c r="CQ349" s="18" t="str">
        <f ca="1"/>
        <v/>
      </c>
      <c r="CR349" s="18" t="str">
        <f ca="1"/>
        <v/>
      </c>
      <c r="CS349" s="18" t="str">
        <f ca="1"/>
        <v/>
      </c>
      <c r="CT349" s="18" t="str">
        <f ca="1"/>
        <v/>
      </c>
      <c r="CV349" s="10"/>
      <c r="CY349" s="18" t="str">
        <f ca="1"/>
        <v/>
      </c>
      <c r="CZ349" s="18" t="str">
        <f ca="1"/>
        <v/>
      </c>
      <c r="DA349" s="18" t="str">
        <f ca="1"/>
        <v/>
      </c>
      <c r="DC349" s="10"/>
    </row>
    <row r="350" spans="1:107" x14ac:dyDescent="0.25">
      <c r="A350" s="46"/>
      <c r="B350" s="43"/>
      <c r="C350" s="42"/>
      <c r="D350" s="16"/>
      <c r="E350" s="52"/>
      <c r="F350" s="52"/>
      <c r="G350" s="50"/>
      <c r="H350" s="17" t="str">
        <f ca="1">IFERROR(__xludf.DUMMYFUNCTION("""COMPUTED_VALUE"""),"")</f>
        <v/>
      </c>
      <c r="I350" s="50" t="s">
        <v>29</v>
      </c>
      <c r="J350" s="50" t="s">
        <v>29</v>
      </c>
      <c r="K350" s="50" t="s">
        <v>29</v>
      </c>
      <c r="L350" s="50" t="s">
        <v>29</v>
      </c>
      <c r="M350" s="50" t="s">
        <v>29</v>
      </c>
      <c r="N350" s="49"/>
      <c r="P350" s="19"/>
      <c r="Q350" s="18" t="str">
        <f ca="1">IFERROR(__xludf.DUMMYFUNCTION("""COMPUTED_VALUE"""),"")</f>
        <v/>
      </c>
      <c r="R350" s="19"/>
      <c r="S350" s="20"/>
      <c r="BP350" s="10"/>
      <c r="BW350" s="10"/>
      <c r="CF350" s="10"/>
      <c r="CM350" s="10"/>
      <c r="CP350" s="18" t="str">
        <f ca="1"/>
        <v/>
      </c>
      <c r="CQ350" s="18" t="str">
        <f ca="1"/>
        <v/>
      </c>
      <c r="CR350" s="18" t="str">
        <f ca="1"/>
        <v/>
      </c>
      <c r="CS350" s="18" t="str">
        <f ca="1"/>
        <v/>
      </c>
      <c r="CT350" s="18" t="str">
        <f ca="1"/>
        <v/>
      </c>
      <c r="CV350" s="10"/>
      <c r="CY350" s="18" t="str">
        <f ca="1"/>
        <v/>
      </c>
      <c r="CZ350" s="18" t="str">
        <f ca="1"/>
        <v/>
      </c>
      <c r="DA350" s="18" t="str">
        <f ca="1"/>
        <v/>
      </c>
      <c r="DC350" s="10"/>
    </row>
    <row r="351" spans="1:107" x14ac:dyDescent="0.25">
      <c r="A351" s="46"/>
      <c r="B351" s="43"/>
      <c r="C351" s="42"/>
      <c r="D351" s="16"/>
      <c r="E351" s="52"/>
      <c r="F351" s="52"/>
      <c r="G351" s="50"/>
      <c r="H351" s="17" t="str">
        <f ca="1">IFERROR(__xludf.DUMMYFUNCTION("""COMPUTED_VALUE"""),"")</f>
        <v/>
      </c>
      <c r="I351" s="50" t="s">
        <v>29</v>
      </c>
      <c r="J351" s="50" t="s">
        <v>29</v>
      </c>
      <c r="K351" s="50" t="s">
        <v>29</v>
      </c>
      <c r="L351" s="50" t="s">
        <v>29</v>
      </c>
      <c r="M351" s="50" t="s">
        <v>29</v>
      </c>
      <c r="N351" s="49"/>
      <c r="P351" s="19"/>
      <c r="Q351" s="18" t="str">
        <f ca="1">IFERROR(__xludf.DUMMYFUNCTION("""COMPUTED_VALUE"""),"")</f>
        <v/>
      </c>
      <c r="R351" s="19"/>
      <c r="S351" s="20"/>
      <c r="BP351" s="10"/>
      <c r="BW351" s="10"/>
      <c r="CF351" s="10"/>
      <c r="CM351" s="10"/>
      <c r="CP351" s="18" t="str">
        <f ca="1"/>
        <v/>
      </c>
      <c r="CQ351" s="18" t="str">
        <f ca="1"/>
        <v/>
      </c>
      <c r="CR351" s="18" t="str">
        <f ca="1"/>
        <v/>
      </c>
      <c r="CS351" s="18" t="str">
        <f ca="1"/>
        <v/>
      </c>
      <c r="CT351" s="18" t="str">
        <f ca="1"/>
        <v/>
      </c>
      <c r="CV351" s="10"/>
      <c r="CY351" s="18" t="str">
        <f ca="1"/>
        <v/>
      </c>
      <c r="CZ351" s="18" t="str">
        <f ca="1"/>
        <v/>
      </c>
      <c r="DA351" s="18" t="str">
        <f ca="1"/>
        <v/>
      </c>
      <c r="DC351" s="10"/>
    </row>
    <row r="352" spans="1:107" x14ac:dyDescent="0.25">
      <c r="A352" s="46"/>
      <c r="B352" s="43"/>
      <c r="C352" s="42"/>
      <c r="D352" s="16"/>
      <c r="E352" s="52"/>
      <c r="F352" s="52"/>
      <c r="G352" s="50"/>
      <c r="H352" s="17" t="str">
        <f ca="1">IFERROR(__xludf.DUMMYFUNCTION("""COMPUTED_VALUE"""),"")</f>
        <v/>
      </c>
      <c r="I352" s="50" t="s">
        <v>29</v>
      </c>
      <c r="J352" s="50" t="s">
        <v>29</v>
      </c>
      <c r="K352" s="50" t="s">
        <v>29</v>
      </c>
      <c r="L352" s="50" t="s">
        <v>29</v>
      </c>
      <c r="M352" s="50" t="s">
        <v>29</v>
      </c>
      <c r="N352" s="49"/>
      <c r="P352" s="19"/>
      <c r="Q352" s="18" t="str">
        <f ca="1">IFERROR(__xludf.DUMMYFUNCTION("""COMPUTED_VALUE"""),"")</f>
        <v/>
      </c>
      <c r="R352" s="19"/>
      <c r="S352" s="20"/>
      <c r="BP352" s="10"/>
      <c r="BW352" s="10"/>
      <c r="CF352" s="10"/>
      <c r="CM352" s="10"/>
      <c r="CP352" s="18" t="str">
        <f ca="1"/>
        <v/>
      </c>
      <c r="CQ352" s="18" t="str">
        <f ca="1"/>
        <v/>
      </c>
      <c r="CR352" s="18" t="str">
        <f ca="1"/>
        <v/>
      </c>
      <c r="CS352" s="18" t="str">
        <f ca="1"/>
        <v/>
      </c>
      <c r="CT352" s="18" t="str">
        <f ca="1"/>
        <v/>
      </c>
      <c r="CV352" s="10"/>
      <c r="CY352" s="18" t="str">
        <f ca="1"/>
        <v/>
      </c>
      <c r="CZ352" s="18" t="str">
        <f ca="1"/>
        <v/>
      </c>
      <c r="DA352" s="18" t="str">
        <f ca="1"/>
        <v/>
      </c>
      <c r="DC352" s="10"/>
    </row>
    <row r="353" spans="1:107" x14ac:dyDescent="0.25">
      <c r="A353" s="46"/>
      <c r="B353" s="43"/>
      <c r="C353" s="42"/>
      <c r="D353" s="16"/>
      <c r="E353" s="52"/>
      <c r="F353" s="52"/>
      <c r="G353" s="50"/>
      <c r="H353" s="17" t="str">
        <f ca="1">IFERROR(__xludf.DUMMYFUNCTION("""COMPUTED_VALUE"""),"")</f>
        <v/>
      </c>
      <c r="I353" s="50" t="s">
        <v>29</v>
      </c>
      <c r="J353" s="50" t="s">
        <v>29</v>
      </c>
      <c r="K353" s="50" t="s">
        <v>29</v>
      </c>
      <c r="L353" s="50" t="s">
        <v>29</v>
      </c>
      <c r="M353" s="50" t="s">
        <v>29</v>
      </c>
      <c r="N353" s="49"/>
      <c r="P353" s="19"/>
      <c r="Q353" s="18" t="str">
        <f ca="1">IFERROR(__xludf.DUMMYFUNCTION("""COMPUTED_VALUE"""),"")</f>
        <v/>
      </c>
      <c r="R353" s="19"/>
      <c r="S353" s="20"/>
      <c r="BP353" s="10"/>
      <c r="BW353" s="10"/>
      <c r="CF353" s="10"/>
      <c r="CM353" s="10"/>
      <c r="CP353" s="18" t="str">
        <f ca="1"/>
        <v/>
      </c>
      <c r="CQ353" s="18" t="str">
        <f ca="1"/>
        <v/>
      </c>
      <c r="CR353" s="18" t="str">
        <f ca="1"/>
        <v/>
      </c>
      <c r="CS353" s="18" t="str">
        <f ca="1"/>
        <v/>
      </c>
      <c r="CT353" s="18" t="str">
        <f ca="1"/>
        <v/>
      </c>
      <c r="CV353" s="10"/>
      <c r="CY353" s="18" t="str">
        <f ca="1"/>
        <v/>
      </c>
      <c r="CZ353" s="18" t="str">
        <f ca="1"/>
        <v/>
      </c>
      <c r="DA353" s="18" t="str">
        <f ca="1"/>
        <v/>
      </c>
      <c r="DC353" s="10"/>
    </row>
    <row r="354" spans="1:107" x14ac:dyDescent="0.25">
      <c r="A354" s="46"/>
      <c r="B354" s="43"/>
      <c r="C354" s="42"/>
      <c r="D354" s="16"/>
      <c r="E354" s="52"/>
      <c r="F354" s="52"/>
      <c r="G354" s="50"/>
      <c r="H354" s="17" t="str">
        <f ca="1">IFERROR(__xludf.DUMMYFUNCTION("""COMPUTED_VALUE"""),"")</f>
        <v/>
      </c>
      <c r="I354" s="50" t="s">
        <v>29</v>
      </c>
      <c r="J354" s="50" t="s">
        <v>29</v>
      </c>
      <c r="K354" s="50" t="s">
        <v>29</v>
      </c>
      <c r="L354" s="50" t="s">
        <v>29</v>
      </c>
      <c r="M354" s="50" t="s">
        <v>29</v>
      </c>
      <c r="N354" s="49"/>
      <c r="P354" s="19"/>
      <c r="Q354" s="18" t="str">
        <f ca="1">IFERROR(__xludf.DUMMYFUNCTION("""COMPUTED_VALUE"""),"")</f>
        <v/>
      </c>
      <c r="R354" s="19"/>
      <c r="S354" s="20"/>
      <c r="BP354" s="10"/>
      <c r="BW354" s="10"/>
      <c r="CF354" s="10"/>
      <c r="CM354" s="10"/>
      <c r="CP354" s="18" t="str">
        <f ca="1"/>
        <v/>
      </c>
      <c r="CQ354" s="18" t="str">
        <f ca="1"/>
        <v/>
      </c>
      <c r="CR354" s="18" t="str">
        <f ca="1"/>
        <v/>
      </c>
      <c r="CS354" s="18" t="str">
        <f ca="1"/>
        <v/>
      </c>
      <c r="CT354" s="18" t="str">
        <f ca="1"/>
        <v/>
      </c>
      <c r="CV354" s="10"/>
      <c r="CY354" s="18" t="str">
        <f ca="1"/>
        <v/>
      </c>
      <c r="CZ354" s="18" t="str">
        <f ca="1"/>
        <v/>
      </c>
      <c r="DA354" s="18" t="str">
        <f ca="1"/>
        <v/>
      </c>
      <c r="DC354" s="10"/>
    </row>
    <row r="355" spans="1:107" x14ac:dyDescent="0.25">
      <c r="A355" s="46"/>
      <c r="B355" s="43"/>
      <c r="C355" s="42"/>
      <c r="D355" s="16"/>
      <c r="E355" s="52"/>
      <c r="F355" s="52"/>
      <c r="G355" s="50"/>
      <c r="H355" s="17" t="str">
        <f ca="1">IFERROR(__xludf.DUMMYFUNCTION("""COMPUTED_VALUE"""),"")</f>
        <v/>
      </c>
      <c r="I355" s="50" t="s">
        <v>29</v>
      </c>
      <c r="J355" s="50" t="s">
        <v>29</v>
      </c>
      <c r="K355" s="50" t="s">
        <v>29</v>
      </c>
      <c r="L355" s="50" t="s">
        <v>29</v>
      </c>
      <c r="M355" s="50" t="s">
        <v>29</v>
      </c>
      <c r="N355" s="49"/>
      <c r="P355" s="19"/>
      <c r="Q355" s="18" t="str">
        <f ca="1">IFERROR(__xludf.DUMMYFUNCTION("""COMPUTED_VALUE"""),"")</f>
        <v/>
      </c>
      <c r="R355" s="19"/>
      <c r="S355" s="20"/>
      <c r="BP355" s="10"/>
      <c r="BW355" s="10"/>
      <c r="CF355" s="10"/>
      <c r="CM355" s="10"/>
      <c r="CP355" s="18" t="str">
        <f ca="1"/>
        <v/>
      </c>
      <c r="CQ355" s="18" t="str">
        <f ca="1"/>
        <v/>
      </c>
      <c r="CR355" s="18" t="str">
        <f ca="1"/>
        <v/>
      </c>
      <c r="CS355" s="18" t="str">
        <f ca="1"/>
        <v/>
      </c>
      <c r="CT355" s="18" t="str">
        <f ca="1"/>
        <v/>
      </c>
      <c r="CV355" s="10"/>
      <c r="CY355" s="18" t="str">
        <f ca="1"/>
        <v/>
      </c>
      <c r="CZ355" s="18" t="str">
        <f ca="1"/>
        <v/>
      </c>
      <c r="DA355" s="18" t="str">
        <f ca="1"/>
        <v/>
      </c>
      <c r="DC355" s="10"/>
    </row>
    <row r="356" spans="1:107" x14ac:dyDescent="0.25">
      <c r="A356" s="46"/>
      <c r="B356" s="43"/>
      <c r="C356" s="42"/>
      <c r="D356" s="16"/>
      <c r="E356" s="52"/>
      <c r="F356" s="52"/>
      <c r="G356" s="50"/>
      <c r="H356" s="17" t="str">
        <f ca="1">IFERROR(__xludf.DUMMYFUNCTION("""COMPUTED_VALUE"""),"")</f>
        <v/>
      </c>
      <c r="I356" s="50" t="s">
        <v>29</v>
      </c>
      <c r="J356" s="50" t="s">
        <v>29</v>
      </c>
      <c r="K356" s="50" t="s">
        <v>29</v>
      </c>
      <c r="L356" s="50" t="s">
        <v>29</v>
      </c>
      <c r="M356" s="50" t="s">
        <v>29</v>
      </c>
      <c r="N356" s="49"/>
      <c r="P356" s="19"/>
      <c r="Q356" s="18" t="str">
        <f ca="1">IFERROR(__xludf.DUMMYFUNCTION("""COMPUTED_VALUE"""),"")</f>
        <v/>
      </c>
      <c r="R356" s="19"/>
      <c r="S356" s="20"/>
      <c r="BP356" s="10"/>
      <c r="BW356" s="10"/>
      <c r="CF356" s="10"/>
      <c r="CM356" s="10"/>
      <c r="CP356" s="18" t="str">
        <f ca="1"/>
        <v/>
      </c>
      <c r="CQ356" s="18" t="str">
        <f ca="1"/>
        <v/>
      </c>
      <c r="CR356" s="18" t="str">
        <f ca="1"/>
        <v/>
      </c>
      <c r="CS356" s="18" t="str">
        <f ca="1"/>
        <v/>
      </c>
      <c r="CT356" s="18" t="str">
        <f ca="1"/>
        <v/>
      </c>
      <c r="CV356" s="10"/>
      <c r="CY356" s="18" t="str">
        <f ca="1"/>
        <v/>
      </c>
      <c r="CZ356" s="18" t="str">
        <f ca="1"/>
        <v/>
      </c>
      <c r="DA356" s="18" t="str">
        <f ca="1"/>
        <v/>
      </c>
      <c r="DC356" s="10"/>
    </row>
    <row r="357" spans="1:107" x14ac:dyDescent="0.25">
      <c r="A357" s="46"/>
      <c r="B357" s="43"/>
      <c r="C357" s="42"/>
      <c r="D357" s="16"/>
      <c r="E357" s="52"/>
      <c r="F357" s="52"/>
      <c r="G357" s="50"/>
      <c r="H357" s="17" t="str">
        <f ca="1">IFERROR(__xludf.DUMMYFUNCTION("""COMPUTED_VALUE"""),"")</f>
        <v/>
      </c>
      <c r="I357" s="50" t="s">
        <v>29</v>
      </c>
      <c r="J357" s="50" t="s">
        <v>29</v>
      </c>
      <c r="K357" s="50" t="s">
        <v>29</v>
      </c>
      <c r="L357" s="50" t="s">
        <v>29</v>
      </c>
      <c r="M357" s="50" t="s">
        <v>29</v>
      </c>
      <c r="N357" s="49"/>
      <c r="P357" s="19"/>
      <c r="Q357" s="18" t="str">
        <f ca="1">IFERROR(__xludf.DUMMYFUNCTION("""COMPUTED_VALUE"""),"")</f>
        <v/>
      </c>
      <c r="R357" s="19"/>
      <c r="S357" s="20"/>
      <c r="BP357" s="10"/>
      <c r="BW357" s="10"/>
      <c r="CF357" s="10"/>
      <c r="CM357" s="10"/>
      <c r="CP357" s="18" t="str">
        <f ca="1"/>
        <v/>
      </c>
      <c r="CQ357" s="18" t="str">
        <f ca="1"/>
        <v/>
      </c>
      <c r="CR357" s="18" t="str">
        <f ca="1"/>
        <v/>
      </c>
      <c r="CS357" s="18" t="str">
        <f ca="1"/>
        <v/>
      </c>
      <c r="CT357" s="18" t="str">
        <f ca="1"/>
        <v/>
      </c>
      <c r="CV357" s="10"/>
      <c r="CY357" s="18" t="str">
        <f ca="1"/>
        <v/>
      </c>
      <c r="CZ357" s="18" t="str">
        <f ca="1"/>
        <v/>
      </c>
      <c r="DA357" s="18" t="str">
        <f ca="1"/>
        <v/>
      </c>
      <c r="DC357" s="10"/>
    </row>
    <row r="358" spans="1:107" x14ac:dyDescent="0.25">
      <c r="A358" s="46"/>
      <c r="B358" s="43"/>
      <c r="C358" s="42"/>
      <c r="D358" s="16"/>
      <c r="E358" s="52"/>
      <c r="F358" s="52"/>
      <c r="G358" s="50"/>
      <c r="H358" s="17" t="str">
        <f ca="1">IFERROR(__xludf.DUMMYFUNCTION("""COMPUTED_VALUE"""),"")</f>
        <v/>
      </c>
      <c r="I358" s="50" t="s">
        <v>29</v>
      </c>
      <c r="J358" s="50" t="s">
        <v>29</v>
      </c>
      <c r="K358" s="50" t="s">
        <v>29</v>
      </c>
      <c r="L358" s="50" t="s">
        <v>29</v>
      </c>
      <c r="M358" s="50" t="s">
        <v>29</v>
      </c>
      <c r="N358" s="49"/>
      <c r="P358" s="19"/>
      <c r="Q358" s="18" t="str">
        <f ca="1">IFERROR(__xludf.DUMMYFUNCTION("""COMPUTED_VALUE"""),"")</f>
        <v/>
      </c>
      <c r="R358" s="19"/>
      <c r="S358" s="20"/>
      <c r="BP358" s="10"/>
      <c r="BW358" s="10"/>
      <c r="CF358" s="10"/>
      <c r="CM358" s="10"/>
      <c r="CP358" s="18" t="str">
        <f ca="1"/>
        <v/>
      </c>
      <c r="CQ358" s="18" t="str">
        <f ca="1"/>
        <v/>
      </c>
      <c r="CR358" s="18" t="str">
        <f ca="1"/>
        <v/>
      </c>
      <c r="CS358" s="18" t="str">
        <f ca="1"/>
        <v/>
      </c>
      <c r="CT358" s="18" t="str">
        <f ca="1"/>
        <v/>
      </c>
      <c r="CV358" s="10"/>
      <c r="CY358" s="18" t="str">
        <f ca="1"/>
        <v/>
      </c>
      <c r="CZ358" s="18" t="str">
        <f ca="1"/>
        <v/>
      </c>
      <c r="DA358" s="18" t="str">
        <f ca="1"/>
        <v/>
      </c>
      <c r="DC358" s="10"/>
    </row>
    <row r="359" spans="1:107" x14ac:dyDescent="0.25">
      <c r="A359" s="46"/>
      <c r="B359" s="43"/>
      <c r="C359" s="42"/>
      <c r="D359" s="16"/>
      <c r="E359" s="52"/>
      <c r="F359" s="52"/>
      <c r="G359" s="50"/>
      <c r="H359" s="17" t="str">
        <f ca="1">IFERROR(__xludf.DUMMYFUNCTION("""COMPUTED_VALUE"""),"")</f>
        <v/>
      </c>
      <c r="I359" s="50" t="s">
        <v>29</v>
      </c>
      <c r="J359" s="50" t="s">
        <v>29</v>
      </c>
      <c r="K359" s="50" t="s">
        <v>29</v>
      </c>
      <c r="L359" s="50" t="s">
        <v>29</v>
      </c>
      <c r="M359" s="50" t="s">
        <v>29</v>
      </c>
      <c r="N359" s="49"/>
      <c r="P359" s="19"/>
      <c r="Q359" s="18" t="str">
        <f ca="1">IFERROR(__xludf.DUMMYFUNCTION("""COMPUTED_VALUE"""),"")</f>
        <v/>
      </c>
      <c r="R359" s="19"/>
      <c r="S359" s="20"/>
      <c r="BP359" s="10"/>
      <c r="BW359" s="10"/>
      <c r="CF359" s="10"/>
      <c r="CM359" s="10"/>
      <c r="CP359" s="18" t="str">
        <f ca="1"/>
        <v/>
      </c>
      <c r="CQ359" s="18" t="str">
        <f ca="1"/>
        <v/>
      </c>
      <c r="CR359" s="18" t="str">
        <f ca="1"/>
        <v/>
      </c>
      <c r="CS359" s="18" t="str">
        <f ca="1"/>
        <v/>
      </c>
      <c r="CT359" s="18" t="str">
        <f ca="1"/>
        <v/>
      </c>
      <c r="CV359" s="10"/>
      <c r="CY359" s="18" t="str">
        <f ca="1"/>
        <v/>
      </c>
      <c r="CZ359" s="18" t="str">
        <f ca="1"/>
        <v/>
      </c>
      <c r="DA359" s="18" t="str">
        <f ca="1"/>
        <v/>
      </c>
      <c r="DC359" s="10"/>
    </row>
    <row r="360" spans="1:107" x14ac:dyDescent="0.25">
      <c r="A360" s="46"/>
      <c r="B360" s="43"/>
      <c r="C360" s="42"/>
      <c r="D360" s="16"/>
      <c r="E360" s="52"/>
      <c r="F360" s="52"/>
      <c r="G360" s="50"/>
      <c r="H360" s="17" t="str">
        <f ca="1">IFERROR(__xludf.DUMMYFUNCTION("""COMPUTED_VALUE"""),"")</f>
        <v/>
      </c>
      <c r="I360" s="50" t="s">
        <v>29</v>
      </c>
      <c r="J360" s="50" t="s">
        <v>29</v>
      </c>
      <c r="K360" s="50" t="s">
        <v>29</v>
      </c>
      <c r="L360" s="50" t="s">
        <v>29</v>
      </c>
      <c r="M360" s="50" t="s">
        <v>29</v>
      </c>
      <c r="N360" s="49"/>
      <c r="P360" s="19"/>
      <c r="Q360" s="18" t="str">
        <f ca="1">IFERROR(__xludf.DUMMYFUNCTION("""COMPUTED_VALUE"""),"")</f>
        <v/>
      </c>
      <c r="R360" s="19"/>
      <c r="S360" s="20"/>
      <c r="BP360" s="10"/>
      <c r="BW360" s="10"/>
      <c r="CF360" s="10"/>
      <c r="CM360" s="10"/>
      <c r="CP360" s="18" t="str">
        <f ca="1"/>
        <v/>
      </c>
      <c r="CQ360" s="18" t="str">
        <f ca="1"/>
        <v/>
      </c>
      <c r="CR360" s="18" t="str">
        <f ca="1"/>
        <v/>
      </c>
      <c r="CS360" s="18" t="str">
        <f ca="1"/>
        <v/>
      </c>
      <c r="CT360" s="18" t="str">
        <f ca="1"/>
        <v/>
      </c>
      <c r="CV360" s="10"/>
      <c r="CY360" s="18" t="str">
        <f ca="1"/>
        <v/>
      </c>
      <c r="CZ360" s="18" t="str">
        <f ca="1"/>
        <v/>
      </c>
      <c r="DA360" s="18" t="str">
        <f ca="1"/>
        <v/>
      </c>
      <c r="DC360" s="10"/>
    </row>
    <row r="361" spans="1:107" x14ac:dyDescent="0.25">
      <c r="A361" s="46"/>
      <c r="B361" s="43"/>
      <c r="C361" s="42"/>
      <c r="D361" s="16"/>
      <c r="E361" s="52"/>
      <c r="F361" s="52"/>
      <c r="G361" s="50"/>
      <c r="H361" s="17" t="str">
        <f ca="1">IFERROR(__xludf.DUMMYFUNCTION("""COMPUTED_VALUE"""),"")</f>
        <v/>
      </c>
      <c r="I361" s="50" t="s">
        <v>29</v>
      </c>
      <c r="J361" s="50" t="s">
        <v>29</v>
      </c>
      <c r="K361" s="50" t="s">
        <v>29</v>
      </c>
      <c r="L361" s="50" t="s">
        <v>29</v>
      </c>
      <c r="M361" s="50" t="s">
        <v>29</v>
      </c>
      <c r="N361" s="49"/>
      <c r="P361" s="19"/>
      <c r="Q361" s="18" t="str">
        <f ca="1">IFERROR(__xludf.DUMMYFUNCTION("""COMPUTED_VALUE"""),"")</f>
        <v/>
      </c>
      <c r="R361" s="19"/>
      <c r="S361" s="20"/>
      <c r="BP361" s="10"/>
      <c r="BW361" s="10"/>
      <c r="CF361" s="10"/>
      <c r="CM361" s="10"/>
      <c r="CP361" s="18" t="str">
        <f ca="1"/>
        <v/>
      </c>
      <c r="CQ361" s="18" t="str">
        <f ca="1"/>
        <v/>
      </c>
      <c r="CR361" s="18" t="str">
        <f ca="1"/>
        <v/>
      </c>
      <c r="CS361" s="18" t="str">
        <f ca="1"/>
        <v/>
      </c>
      <c r="CT361" s="18" t="str">
        <f ca="1"/>
        <v/>
      </c>
      <c r="CV361" s="10"/>
      <c r="CY361" s="18" t="str">
        <f ca="1"/>
        <v/>
      </c>
      <c r="CZ361" s="18" t="str">
        <f ca="1"/>
        <v/>
      </c>
      <c r="DA361" s="18" t="str">
        <f ca="1"/>
        <v/>
      </c>
      <c r="DC361" s="10"/>
    </row>
    <row r="362" spans="1:107" x14ac:dyDescent="0.25">
      <c r="A362" s="46"/>
      <c r="B362" s="43"/>
      <c r="C362" s="42"/>
      <c r="D362" s="16"/>
      <c r="E362" s="52"/>
      <c r="F362" s="52"/>
      <c r="G362" s="50"/>
      <c r="H362" s="17" t="str">
        <f ca="1">IFERROR(__xludf.DUMMYFUNCTION("""COMPUTED_VALUE"""),"")</f>
        <v/>
      </c>
      <c r="I362" s="50" t="s">
        <v>29</v>
      </c>
      <c r="J362" s="50" t="s">
        <v>29</v>
      </c>
      <c r="K362" s="50" t="s">
        <v>29</v>
      </c>
      <c r="L362" s="50" t="s">
        <v>29</v>
      </c>
      <c r="M362" s="50" t="s">
        <v>29</v>
      </c>
      <c r="N362" s="49"/>
      <c r="P362" s="19"/>
      <c r="Q362" s="18" t="str">
        <f ca="1">IFERROR(__xludf.DUMMYFUNCTION("""COMPUTED_VALUE"""),"")</f>
        <v/>
      </c>
      <c r="R362" s="19"/>
      <c r="S362" s="20"/>
      <c r="BP362" s="10"/>
      <c r="BW362" s="10"/>
      <c r="CF362" s="10"/>
      <c r="CM362" s="10"/>
      <c r="CP362" s="18" t="str">
        <f ca="1"/>
        <v/>
      </c>
      <c r="CQ362" s="18" t="str">
        <f ca="1"/>
        <v/>
      </c>
      <c r="CR362" s="18" t="str">
        <f ca="1"/>
        <v/>
      </c>
      <c r="CS362" s="18" t="str">
        <f ca="1"/>
        <v/>
      </c>
      <c r="CT362" s="18" t="str">
        <f ca="1"/>
        <v/>
      </c>
      <c r="CV362" s="10"/>
      <c r="CY362" s="18" t="str">
        <f ca="1"/>
        <v/>
      </c>
      <c r="CZ362" s="18" t="str">
        <f ca="1"/>
        <v/>
      </c>
      <c r="DA362" s="18" t="str">
        <f ca="1"/>
        <v/>
      </c>
      <c r="DC362" s="10"/>
    </row>
    <row r="363" spans="1:107" x14ac:dyDescent="0.25">
      <c r="A363" s="46"/>
      <c r="B363" s="43"/>
      <c r="C363" s="42"/>
      <c r="D363" s="16"/>
      <c r="E363" s="52"/>
      <c r="F363" s="52"/>
      <c r="G363" s="50"/>
      <c r="H363" s="17" t="str">
        <f ca="1">IFERROR(__xludf.DUMMYFUNCTION("""COMPUTED_VALUE"""),"")</f>
        <v/>
      </c>
      <c r="I363" s="50" t="s">
        <v>29</v>
      </c>
      <c r="J363" s="50" t="s">
        <v>29</v>
      </c>
      <c r="K363" s="50" t="s">
        <v>29</v>
      </c>
      <c r="L363" s="50" t="s">
        <v>29</v>
      </c>
      <c r="M363" s="50" t="s">
        <v>29</v>
      </c>
      <c r="N363" s="49"/>
      <c r="P363" s="19"/>
      <c r="Q363" s="18" t="str">
        <f ca="1">IFERROR(__xludf.DUMMYFUNCTION("""COMPUTED_VALUE"""),"")</f>
        <v/>
      </c>
      <c r="R363" s="19"/>
      <c r="S363" s="20"/>
      <c r="BP363" s="10"/>
      <c r="BW363" s="10"/>
      <c r="CF363" s="10"/>
      <c r="CM363" s="10"/>
      <c r="CP363" s="18" t="str">
        <f ca="1"/>
        <v/>
      </c>
      <c r="CQ363" s="18" t="str">
        <f ca="1"/>
        <v/>
      </c>
      <c r="CR363" s="18" t="str">
        <f ca="1"/>
        <v/>
      </c>
      <c r="CS363" s="18" t="str">
        <f ca="1"/>
        <v/>
      </c>
      <c r="CT363" s="18" t="str">
        <f ca="1"/>
        <v/>
      </c>
      <c r="CV363" s="10"/>
      <c r="CY363" s="18" t="str">
        <f ca="1"/>
        <v/>
      </c>
      <c r="CZ363" s="18" t="str">
        <f ca="1"/>
        <v/>
      </c>
      <c r="DA363" s="18" t="str">
        <f ca="1"/>
        <v/>
      </c>
      <c r="DC363" s="10"/>
    </row>
    <row r="364" spans="1:107" x14ac:dyDescent="0.25">
      <c r="A364" s="46"/>
      <c r="B364" s="43"/>
      <c r="C364" s="42"/>
      <c r="D364" s="16"/>
      <c r="E364" s="52"/>
      <c r="F364" s="52"/>
      <c r="G364" s="50"/>
      <c r="H364" s="17" t="str">
        <f ca="1">IFERROR(__xludf.DUMMYFUNCTION("""COMPUTED_VALUE"""),"")</f>
        <v/>
      </c>
      <c r="I364" s="50" t="s">
        <v>29</v>
      </c>
      <c r="J364" s="50" t="s">
        <v>29</v>
      </c>
      <c r="K364" s="50" t="s">
        <v>29</v>
      </c>
      <c r="L364" s="50" t="s">
        <v>29</v>
      </c>
      <c r="M364" s="50" t="s">
        <v>29</v>
      </c>
      <c r="N364" s="49"/>
      <c r="P364" s="19"/>
      <c r="Q364" s="18" t="str">
        <f ca="1">IFERROR(__xludf.DUMMYFUNCTION("""COMPUTED_VALUE"""),"")</f>
        <v/>
      </c>
      <c r="R364" s="19"/>
      <c r="S364" s="20"/>
      <c r="BP364" s="10"/>
      <c r="BW364" s="10"/>
      <c r="CF364" s="10"/>
      <c r="CM364" s="10"/>
      <c r="CP364" s="18" t="str">
        <f ca="1"/>
        <v/>
      </c>
      <c r="CQ364" s="18" t="str">
        <f ca="1"/>
        <v/>
      </c>
      <c r="CR364" s="18" t="str">
        <f ca="1"/>
        <v/>
      </c>
      <c r="CS364" s="18" t="str">
        <f ca="1"/>
        <v/>
      </c>
      <c r="CT364" s="18" t="str">
        <f ca="1"/>
        <v/>
      </c>
      <c r="CV364" s="10"/>
      <c r="CY364" s="18" t="str">
        <f ca="1"/>
        <v/>
      </c>
      <c r="CZ364" s="18" t="str">
        <f ca="1"/>
        <v/>
      </c>
      <c r="DA364" s="18" t="str">
        <f ca="1"/>
        <v/>
      </c>
      <c r="DC364" s="10"/>
    </row>
    <row r="365" spans="1:107" x14ac:dyDescent="0.25">
      <c r="A365" s="46"/>
      <c r="B365" s="43"/>
      <c r="C365" s="42"/>
      <c r="D365" s="16"/>
      <c r="E365" s="52"/>
      <c r="F365" s="52"/>
      <c r="G365" s="50"/>
      <c r="H365" s="17" t="str">
        <f ca="1">IFERROR(__xludf.DUMMYFUNCTION("""COMPUTED_VALUE"""),"")</f>
        <v/>
      </c>
      <c r="I365" s="50" t="s">
        <v>29</v>
      </c>
      <c r="J365" s="50" t="s">
        <v>29</v>
      </c>
      <c r="K365" s="50" t="s">
        <v>29</v>
      </c>
      <c r="L365" s="50" t="s">
        <v>29</v>
      </c>
      <c r="M365" s="50" t="s">
        <v>29</v>
      </c>
      <c r="N365" s="49"/>
      <c r="P365" s="19"/>
      <c r="Q365" s="18" t="str">
        <f ca="1">IFERROR(__xludf.DUMMYFUNCTION("""COMPUTED_VALUE"""),"")</f>
        <v/>
      </c>
      <c r="R365" s="19"/>
      <c r="S365" s="20"/>
      <c r="BP365" s="10"/>
      <c r="BW365" s="10"/>
      <c r="CF365" s="10"/>
      <c r="CM365" s="10"/>
      <c r="CP365" s="18" t="str">
        <f ca="1"/>
        <v/>
      </c>
      <c r="CQ365" s="18" t="str">
        <f ca="1"/>
        <v/>
      </c>
      <c r="CR365" s="18" t="str">
        <f ca="1"/>
        <v/>
      </c>
      <c r="CS365" s="18" t="str">
        <f ca="1"/>
        <v/>
      </c>
      <c r="CT365" s="18" t="str">
        <f ca="1"/>
        <v/>
      </c>
      <c r="CV365" s="10"/>
      <c r="CY365" s="18" t="str">
        <f ca="1"/>
        <v/>
      </c>
      <c r="CZ365" s="18" t="str">
        <f ca="1"/>
        <v/>
      </c>
      <c r="DA365" s="18" t="str">
        <f ca="1"/>
        <v/>
      </c>
      <c r="DC365" s="10"/>
    </row>
    <row r="366" spans="1:107" x14ac:dyDescent="0.25">
      <c r="A366" s="46"/>
      <c r="B366" s="43"/>
      <c r="C366" s="42"/>
      <c r="D366" s="16"/>
      <c r="E366" s="52"/>
      <c r="F366" s="52"/>
      <c r="G366" s="50"/>
      <c r="H366" s="17" t="str">
        <f ca="1">IFERROR(__xludf.DUMMYFUNCTION("""COMPUTED_VALUE"""),"")</f>
        <v/>
      </c>
      <c r="I366" s="50" t="s">
        <v>29</v>
      </c>
      <c r="J366" s="50" t="s">
        <v>29</v>
      </c>
      <c r="K366" s="50" t="s">
        <v>29</v>
      </c>
      <c r="L366" s="50" t="s">
        <v>29</v>
      </c>
      <c r="M366" s="50" t="s">
        <v>29</v>
      </c>
      <c r="N366" s="49"/>
      <c r="P366" s="19"/>
      <c r="Q366" s="18" t="str">
        <f ca="1">IFERROR(__xludf.DUMMYFUNCTION("""COMPUTED_VALUE"""),"")</f>
        <v/>
      </c>
      <c r="R366" s="19"/>
      <c r="S366" s="20"/>
      <c r="BP366" s="10"/>
      <c r="BW366" s="10"/>
      <c r="CF366" s="10"/>
      <c r="CM366" s="10"/>
      <c r="CP366" s="18" t="str">
        <f ca="1"/>
        <v/>
      </c>
      <c r="CQ366" s="18" t="str">
        <f ca="1"/>
        <v/>
      </c>
      <c r="CR366" s="18" t="str">
        <f ca="1"/>
        <v/>
      </c>
      <c r="CS366" s="18" t="str">
        <f ca="1"/>
        <v/>
      </c>
      <c r="CT366" s="18" t="str">
        <f ca="1"/>
        <v/>
      </c>
      <c r="CV366" s="10"/>
      <c r="CY366" s="18" t="str">
        <f ca="1"/>
        <v/>
      </c>
      <c r="CZ366" s="18" t="str">
        <f ca="1"/>
        <v/>
      </c>
      <c r="DA366" s="18" t="str">
        <f ca="1"/>
        <v/>
      </c>
      <c r="DC366" s="10"/>
    </row>
    <row r="367" spans="1:107" x14ac:dyDescent="0.25">
      <c r="A367" s="46"/>
      <c r="B367" s="43"/>
      <c r="C367" s="42"/>
      <c r="D367" s="16"/>
      <c r="E367" s="52"/>
      <c r="F367" s="52"/>
      <c r="G367" s="50"/>
      <c r="H367" s="17" t="str">
        <f ca="1">IFERROR(__xludf.DUMMYFUNCTION("""COMPUTED_VALUE"""),"")</f>
        <v/>
      </c>
      <c r="I367" s="50" t="s">
        <v>29</v>
      </c>
      <c r="J367" s="50" t="s">
        <v>29</v>
      </c>
      <c r="K367" s="50" t="s">
        <v>29</v>
      </c>
      <c r="L367" s="50" t="s">
        <v>29</v>
      </c>
      <c r="M367" s="50" t="s">
        <v>29</v>
      </c>
      <c r="N367" s="49"/>
      <c r="P367" s="19"/>
      <c r="Q367" s="18" t="str">
        <f ca="1">IFERROR(__xludf.DUMMYFUNCTION("""COMPUTED_VALUE"""),"")</f>
        <v/>
      </c>
      <c r="R367" s="19"/>
      <c r="S367" s="20"/>
      <c r="BP367" s="10"/>
      <c r="BW367" s="10"/>
      <c r="CF367" s="10"/>
      <c r="CM367" s="10"/>
      <c r="CP367" s="18" t="str">
        <f ca="1"/>
        <v/>
      </c>
      <c r="CQ367" s="18" t="str">
        <f ca="1"/>
        <v/>
      </c>
      <c r="CR367" s="18" t="str">
        <f ca="1"/>
        <v/>
      </c>
      <c r="CS367" s="18" t="str">
        <f ca="1"/>
        <v/>
      </c>
      <c r="CT367" s="18" t="str">
        <f ca="1"/>
        <v/>
      </c>
      <c r="CV367" s="10"/>
      <c r="CY367" s="18" t="str">
        <f ca="1"/>
        <v/>
      </c>
      <c r="CZ367" s="18" t="str">
        <f ca="1"/>
        <v/>
      </c>
      <c r="DA367" s="18" t="str">
        <f ca="1"/>
        <v/>
      </c>
      <c r="DC367" s="10"/>
    </row>
    <row r="368" spans="1:107" x14ac:dyDescent="0.25">
      <c r="A368" s="46"/>
      <c r="B368" s="44"/>
      <c r="C368" s="45"/>
      <c r="D368" s="16"/>
      <c r="E368" s="52"/>
      <c r="F368" s="52"/>
      <c r="G368" s="50"/>
      <c r="H368" s="17" t="str">
        <f ca="1">IFERROR(__xludf.DUMMYFUNCTION("""COMPUTED_VALUE"""),"")</f>
        <v/>
      </c>
      <c r="I368" s="50" t="s">
        <v>29</v>
      </c>
      <c r="J368" s="50" t="s">
        <v>29</v>
      </c>
      <c r="K368" s="50" t="s">
        <v>29</v>
      </c>
      <c r="L368" s="50" t="s">
        <v>29</v>
      </c>
      <c r="M368" s="50" t="s">
        <v>29</v>
      </c>
      <c r="N368" s="49"/>
      <c r="P368" s="19"/>
      <c r="Q368" s="18" t="str">
        <f ca="1">IFERROR(__xludf.DUMMYFUNCTION("""COMPUTED_VALUE"""),"")</f>
        <v/>
      </c>
      <c r="R368" s="19"/>
      <c r="S368" s="20"/>
      <c r="BP368" s="10"/>
      <c r="BW368" s="10"/>
      <c r="CF368" s="10"/>
      <c r="CM368" s="10"/>
      <c r="CP368" s="18" t="str">
        <f ca="1"/>
        <v/>
      </c>
      <c r="CQ368" s="18" t="str">
        <f ca="1"/>
        <v/>
      </c>
      <c r="CR368" s="18" t="str">
        <f ca="1"/>
        <v/>
      </c>
      <c r="CS368" s="18" t="str">
        <f ca="1"/>
        <v/>
      </c>
      <c r="CT368" s="18" t="str">
        <f ca="1"/>
        <v/>
      </c>
      <c r="CV368" s="10"/>
      <c r="CY368" s="18" t="str">
        <f ca="1"/>
        <v/>
      </c>
      <c r="CZ368" s="18" t="str">
        <f ca="1"/>
        <v/>
      </c>
      <c r="DA368" s="18" t="str">
        <f ca="1"/>
        <v/>
      </c>
      <c r="DC368" s="10"/>
    </row>
    <row r="369" spans="1:107" x14ac:dyDescent="0.25">
      <c r="A369" s="46"/>
      <c r="B369" s="53"/>
      <c r="C369" s="54"/>
      <c r="D369" s="16"/>
      <c r="E369" s="52"/>
      <c r="F369" s="52"/>
      <c r="G369" s="50"/>
      <c r="H369" s="17" t="str">
        <f ca="1">IFERROR(__xludf.DUMMYFUNCTION("""COMPUTED_VALUE"""),"")</f>
        <v/>
      </c>
      <c r="I369" s="50" t="s">
        <v>29</v>
      </c>
      <c r="J369" s="50" t="s">
        <v>29</v>
      </c>
      <c r="K369" s="50" t="s">
        <v>29</v>
      </c>
      <c r="L369" s="50" t="s">
        <v>29</v>
      </c>
      <c r="M369" s="50" t="s">
        <v>29</v>
      </c>
      <c r="N369" s="49"/>
      <c r="P369" s="19"/>
      <c r="Q369" s="18" t="str">
        <f ca="1">IFERROR(__xludf.DUMMYFUNCTION("""COMPUTED_VALUE"""),"")</f>
        <v/>
      </c>
      <c r="R369" s="19"/>
      <c r="S369" s="20"/>
      <c r="BP369" s="10"/>
      <c r="BW369" s="10"/>
      <c r="CF369" s="10"/>
      <c r="CM369" s="10"/>
      <c r="CP369" s="18" t="str">
        <f ca="1"/>
        <v/>
      </c>
      <c r="CQ369" s="18" t="str">
        <f ca="1"/>
        <v/>
      </c>
      <c r="CR369" s="18" t="str">
        <f ca="1"/>
        <v/>
      </c>
      <c r="CS369" s="18" t="str">
        <f ca="1"/>
        <v/>
      </c>
      <c r="CT369" s="18" t="str">
        <f ca="1"/>
        <v/>
      </c>
      <c r="CV369" s="10"/>
      <c r="CY369" s="18" t="str">
        <f ca="1"/>
        <v/>
      </c>
      <c r="CZ369" s="18" t="str">
        <f ca="1"/>
        <v/>
      </c>
      <c r="DA369" s="18" t="str">
        <f ca="1"/>
        <v/>
      </c>
      <c r="DC369" s="10"/>
    </row>
    <row r="370" spans="1:107" x14ac:dyDescent="0.25">
      <c r="A370" s="46"/>
      <c r="B370" s="52"/>
      <c r="C370" s="52"/>
      <c r="D370" s="16"/>
      <c r="E370" s="52"/>
      <c r="F370" s="52"/>
      <c r="G370" s="50"/>
      <c r="H370" s="17" t="str">
        <f ca="1">IFERROR(__xludf.DUMMYFUNCTION("""COMPUTED_VALUE"""),"")</f>
        <v/>
      </c>
      <c r="I370" s="50" t="s">
        <v>29</v>
      </c>
      <c r="J370" s="50" t="s">
        <v>29</v>
      </c>
      <c r="K370" s="50" t="s">
        <v>29</v>
      </c>
      <c r="L370" s="50" t="s">
        <v>29</v>
      </c>
      <c r="M370" s="50" t="s">
        <v>29</v>
      </c>
      <c r="N370" s="49"/>
      <c r="P370" s="19"/>
      <c r="Q370" s="18" t="str">
        <f ca="1">IFERROR(__xludf.DUMMYFUNCTION("""COMPUTED_VALUE"""),"")</f>
        <v/>
      </c>
      <c r="R370" s="19"/>
      <c r="S370" s="20"/>
      <c r="BP370" s="10"/>
      <c r="BW370" s="10"/>
      <c r="CF370" s="10"/>
      <c r="CM370" s="10"/>
      <c r="CP370" s="18" t="str">
        <f ca="1"/>
        <v/>
      </c>
      <c r="CQ370" s="18" t="str">
        <f ca="1"/>
        <v/>
      </c>
      <c r="CR370" s="18" t="str">
        <f ca="1"/>
        <v/>
      </c>
      <c r="CS370" s="18" t="str">
        <f ca="1"/>
        <v/>
      </c>
      <c r="CT370" s="18" t="str">
        <f ca="1"/>
        <v/>
      </c>
      <c r="CV370" s="10"/>
      <c r="CY370" s="18" t="str">
        <f ca="1"/>
        <v/>
      </c>
      <c r="CZ370" s="18" t="str">
        <f ca="1"/>
        <v/>
      </c>
      <c r="DA370" s="18" t="str">
        <f ca="1"/>
        <v/>
      </c>
      <c r="DC370" s="10"/>
    </row>
    <row r="371" spans="1:107" x14ac:dyDescent="0.25">
      <c r="A371" s="46"/>
      <c r="B371" s="52"/>
      <c r="C371" s="52"/>
      <c r="D371" s="16"/>
      <c r="E371" s="52"/>
      <c r="F371" s="52"/>
      <c r="G371" s="50"/>
      <c r="H371" s="17" t="str">
        <f ca="1">IFERROR(__xludf.DUMMYFUNCTION("""COMPUTED_VALUE"""),"")</f>
        <v/>
      </c>
      <c r="I371" s="50" t="s">
        <v>29</v>
      </c>
      <c r="J371" s="50" t="s">
        <v>29</v>
      </c>
      <c r="K371" s="50" t="s">
        <v>29</v>
      </c>
      <c r="L371" s="50" t="s">
        <v>29</v>
      </c>
      <c r="M371" s="50" t="s">
        <v>29</v>
      </c>
      <c r="N371" s="49"/>
      <c r="P371" s="19"/>
      <c r="Q371" s="18" t="str">
        <f ca="1">IFERROR(__xludf.DUMMYFUNCTION("""COMPUTED_VALUE"""),"")</f>
        <v/>
      </c>
      <c r="R371" s="19"/>
      <c r="S371" s="20"/>
      <c r="BP371" s="10"/>
      <c r="BW371" s="10"/>
      <c r="CF371" s="10"/>
      <c r="CM371" s="10"/>
      <c r="CP371" s="18" t="str">
        <f ca="1"/>
        <v/>
      </c>
      <c r="CQ371" s="18" t="str">
        <f ca="1"/>
        <v/>
      </c>
      <c r="CR371" s="18" t="str">
        <f ca="1"/>
        <v/>
      </c>
      <c r="CS371" s="18" t="str">
        <f ca="1"/>
        <v/>
      </c>
      <c r="CT371" s="18" t="str">
        <f ca="1"/>
        <v/>
      </c>
      <c r="CV371" s="10"/>
      <c r="CY371" s="18" t="str">
        <f ca="1"/>
        <v/>
      </c>
      <c r="CZ371" s="18" t="str">
        <f ca="1"/>
        <v/>
      </c>
      <c r="DA371" s="18" t="str">
        <f ca="1"/>
        <v/>
      </c>
      <c r="DC371" s="10"/>
    </row>
    <row r="372" spans="1:107" x14ac:dyDescent="0.25">
      <c r="A372" s="46"/>
      <c r="B372" s="52"/>
      <c r="C372" s="52"/>
      <c r="D372" s="16"/>
      <c r="E372" s="52"/>
      <c r="F372" s="52"/>
      <c r="G372" s="50"/>
      <c r="H372" s="17" t="str">
        <f ca="1">IFERROR(__xludf.DUMMYFUNCTION("""COMPUTED_VALUE"""),"")</f>
        <v/>
      </c>
      <c r="I372" s="50" t="s">
        <v>29</v>
      </c>
      <c r="J372" s="50" t="s">
        <v>29</v>
      </c>
      <c r="K372" s="50" t="s">
        <v>29</v>
      </c>
      <c r="L372" s="50" t="s">
        <v>29</v>
      </c>
      <c r="M372" s="50" t="s">
        <v>29</v>
      </c>
      <c r="N372" s="49"/>
      <c r="P372" s="19"/>
      <c r="Q372" s="18" t="str">
        <f ca="1">IFERROR(__xludf.DUMMYFUNCTION("""COMPUTED_VALUE"""),"")</f>
        <v/>
      </c>
      <c r="R372" s="19"/>
      <c r="S372" s="20"/>
      <c r="BP372" s="10"/>
      <c r="BW372" s="10"/>
      <c r="CF372" s="10"/>
      <c r="CM372" s="10"/>
      <c r="CP372" s="18" t="str">
        <f ca="1"/>
        <v/>
      </c>
      <c r="CQ372" s="18" t="str">
        <f ca="1"/>
        <v/>
      </c>
      <c r="CR372" s="18" t="str">
        <f ca="1"/>
        <v/>
      </c>
      <c r="CS372" s="18" t="str">
        <f ca="1"/>
        <v/>
      </c>
      <c r="CT372" s="18" t="str">
        <f ca="1"/>
        <v/>
      </c>
      <c r="CV372" s="10"/>
      <c r="CY372" s="18" t="str">
        <f ca="1"/>
        <v/>
      </c>
      <c r="CZ372" s="18" t="str">
        <f ca="1"/>
        <v/>
      </c>
      <c r="DA372" s="18" t="str">
        <f ca="1"/>
        <v/>
      </c>
      <c r="DC372" s="10"/>
    </row>
    <row r="373" spans="1:107" x14ac:dyDescent="0.25">
      <c r="A373" s="46"/>
      <c r="B373" s="52"/>
      <c r="C373" s="52"/>
      <c r="D373" s="16"/>
      <c r="E373" s="52"/>
      <c r="F373" s="52"/>
      <c r="G373" s="50"/>
      <c r="H373" s="17" t="str">
        <f ca="1">IFERROR(__xludf.DUMMYFUNCTION("""COMPUTED_VALUE"""),"")</f>
        <v/>
      </c>
      <c r="I373" s="50" t="s">
        <v>29</v>
      </c>
      <c r="J373" s="50" t="s">
        <v>29</v>
      </c>
      <c r="K373" s="50" t="s">
        <v>29</v>
      </c>
      <c r="L373" s="50" t="s">
        <v>29</v>
      </c>
      <c r="M373" s="50" t="s">
        <v>29</v>
      </c>
      <c r="N373" s="49"/>
      <c r="P373" s="19"/>
      <c r="Q373" s="18" t="str">
        <f ca="1">IFERROR(__xludf.DUMMYFUNCTION("""COMPUTED_VALUE"""),"")</f>
        <v/>
      </c>
      <c r="R373" s="19"/>
      <c r="S373" s="20"/>
      <c r="BP373" s="10"/>
      <c r="BW373" s="10"/>
      <c r="CF373" s="10"/>
      <c r="CM373" s="10"/>
      <c r="CP373" s="18" t="str">
        <f ca="1"/>
        <v/>
      </c>
      <c r="CQ373" s="18" t="str">
        <f ca="1"/>
        <v/>
      </c>
      <c r="CR373" s="18" t="str">
        <f ca="1"/>
        <v/>
      </c>
      <c r="CS373" s="18" t="str">
        <f ca="1"/>
        <v/>
      </c>
      <c r="CT373" s="18" t="str">
        <f ca="1"/>
        <v/>
      </c>
      <c r="CV373" s="10"/>
      <c r="CY373" s="18" t="str">
        <f ca="1"/>
        <v/>
      </c>
      <c r="CZ373" s="18" t="str">
        <f ca="1"/>
        <v/>
      </c>
      <c r="DA373" s="18" t="str">
        <f ca="1"/>
        <v/>
      </c>
      <c r="DC373" s="10"/>
    </row>
    <row r="374" spans="1:107" x14ac:dyDescent="0.25">
      <c r="A374" s="46"/>
      <c r="B374" s="52"/>
      <c r="C374" s="52"/>
      <c r="D374" s="16"/>
      <c r="E374" s="52"/>
      <c r="F374" s="52"/>
      <c r="G374" s="50"/>
      <c r="H374" s="17" t="str">
        <f ca="1">IFERROR(__xludf.DUMMYFUNCTION("""COMPUTED_VALUE"""),"")</f>
        <v/>
      </c>
      <c r="I374" s="50" t="s">
        <v>29</v>
      </c>
      <c r="J374" s="50" t="s">
        <v>29</v>
      </c>
      <c r="K374" s="50" t="s">
        <v>29</v>
      </c>
      <c r="L374" s="50" t="s">
        <v>29</v>
      </c>
      <c r="M374" s="50" t="s">
        <v>29</v>
      </c>
      <c r="N374" s="49"/>
      <c r="P374" s="19"/>
      <c r="Q374" s="18" t="str">
        <f ca="1">IFERROR(__xludf.DUMMYFUNCTION("""COMPUTED_VALUE"""),"")</f>
        <v/>
      </c>
      <c r="R374" s="19"/>
      <c r="S374" s="20"/>
      <c r="BP374" s="10"/>
      <c r="BW374" s="10"/>
      <c r="CF374" s="10"/>
      <c r="CM374" s="10"/>
      <c r="CP374" s="18" t="str">
        <f ca="1"/>
        <v/>
      </c>
      <c r="CQ374" s="18" t="str">
        <f ca="1"/>
        <v/>
      </c>
      <c r="CR374" s="18" t="str">
        <f ca="1"/>
        <v/>
      </c>
      <c r="CS374" s="18" t="str">
        <f ca="1"/>
        <v/>
      </c>
      <c r="CT374" s="18" t="str">
        <f ca="1"/>
        <v/>
      </c>
      <c r="CV374" s="10"/>
      <c r="CY374" s="18" t="str">
        <f ca="1"/>
        <v/>
      </c>
      <c r="CZ374" s="18" t="str">
        <f ca="1"/>
        <v/>
      </c>
      <c r="DA374" s="18" t="str">
        <f ca="1"/>
        <v/>
      </c>
      <c r="DC374" s="10"/>
    </row>
    <row r="375" spans="1:107" x14ac:dyDescent="0.25">
      <c r="A375" s="46"/>
      <c r="B375" s="52"/>
      <c r="C375" s="52"/>
      <c r="D375" s="16"/>
      <c r="E375" s="52"/>
      <c r="F375" s="52"/>
      <c r="G375" s="50"/>
      <c r="H375" s="17" t="str">
        <f ca="1">IFERROR(__xludf.DUMMYFUNCTION("""COMPUTED_VALUE"""),"")</f>
        <v/>
      </c>
      <c r="I375" s="50" t="s">
        <v>29</v>
      </c>
      <c r="J375" s="50" t="s">
        <v>29</v>
      </c>
      <c r="K375" s="50" t="s">
        <v>29</v>
      </c>
      <c r="L375" s="50" t="s">
        <v>29</v>
      </c>
      <c r="M375" s="50" t="s">
        <v>29</v>
      </c>
      <c r="N375" s="49"/>
      <c r="P375" s="19"/>
      <c r="Q375" s="18" t="str">
        <f ca="1">IFERROR(__xludf.DUMMYFUNCTION("""COMPUTED_VALUE"""),"")</f>
        <v/>
      </c>
      <c r="R375" s="19"/>
      <c r="S375" s="20"/>
      <c r="BP375" s="10"/>
      <c r="BW375" s="10"/>
      <c r="CF375" s="10"/>
      <c r="CM375" s="10"/>
      <c r="CP375" s="18" t="str">
        <f ca="1"/>
        <v/>
      </c>
      <c r="CQ375" s="18" t="str">
        <f ca="1"/>
        <v/>
      </c>
      <c r="CR375" s="18" t="str">
        <f ca="1"/>
        <v/>
      </c>
      <c r="CS375" s="18" t="str">
        <f ca="1"/>
        <v/>
      </c>
      <c r="CT375" s="18" t="str">
        <f ca="1"/>
        <v/>
      </c>
      <c r="CV375" s="10"/>
      <c r="CY375" s="18" t="str">
        <f ca="1"/>
        <v/>
      </c>
      <c r="CZ375" s="18" t="str">
        <f ca="1"/>
        <v/>
      </c>
      <c r="DA375" s="18" t="str">
        <f ca="1"/>
        <v/>
      </c>
      <c r="DC375" s="10"/>
    </row>
    <row r="376" spans="1:107" x14ac:dyDescent="0.25">
      <c r="A376" s="46"/>
      <c r="B376" s="52"/>
      <c r="C376" s="52"/>
      <c r="D376" s="16"/>
      <c r="E376" s="52"/>
      <c r="F376" s="52"/>
      <c r="G376" s="50"/>
      <c r="H376" s="17" t="str">
        <f ca="1">IFERROR(__xludf.DUMMYFUNCTION("""COMPUTED_VALUE"""),"")</f>
        <v/>
      </c>
      <c r="I376" s="50" t="s">
        <v>29</v>
      </c>
      <c r="J376" s="50" t="s">
        <v>29</v>
      </c>
      <c r="K376" s="50" t="s">
        <v>29</v>
      </c>
      <c r="L376" s="50" t="s">
        <v>29</v>
      </c>
      <c r="M376" s="50" t="s">
        <v>29</v>
      </c>
      <c r="N376" s="49"/>
      <c r="P376" s="19"/>
      <c r="Q376" s="18" t="str">
        <f ca="1">IFERROR(__xludf.DUMMYFUNCTION("""COMPUTED_VALUE"""),"")</f>
        <v/>
      </c>
      <c r="R376" s="19"/>
      <c r="S376" s="20"/>
      <c r="BP376" s="10"/>
      <c r="BW376" s="10"/>
      <c r="CF376" s="10"/>
      <c r="CM376" s="10"/>
      <c r="CP376" s="18" t="str">
        <f ca="1"/>
        <v/>
      </c>
      <c r="CQ376" s="18" t="str">
        <f ca="1"/>
        <v/>
      </c>
      <c r="CR376" s="18" t="str">
        <f ca="1"/>
        <v/>
      </c>
      <c r="CS376" s="18" t="str">
        <f ca="1"/>
        <v/>
      </c>
      <c r="CT376" s="18" t="str">
        <f ca="1"/>
        <v/>
      </c>
      <c r="CV376" s="10"/>
      <c r="CY376" s="18" t="str">
        <f ca="1"/>
        <v/>
      </c>
      <c r="CZ376" s="18" t="str">
        <f ca="1"/>
        <v/>
      </c>
      <c r="DA376" s="18" t="str">
        <f ca="1"/>
        <v/>
      </c>
      <c r="DC376" s="10"/>
    </row>
    <row r="377" spans="1:107" x14ac:dyDescent="0.25">
      <c r="A377" s="46"/>
      <c r="B377" s="52"/>
      <c r="C377" s="52"/>
      <c r="D377" s="16"/>
      <c r="E377" s="52"/>
      <c r="F377" s="52"/>
      <c r="G377" s="50"/>
      <c r="H377" s="17" t="str">
        <f ca="1">IFERROR(__xludf.DUMMYFUNCTION("""COMPUTED_VALUE"""),"")</f>
        <v/>
      </c>
      <c r="I377" s="50" t="s">
        <v>29</v>
      </c>
      <c r="J377" s="50" t="s">
        <v>29</v>
      </c>
      <c r="K377" s="50" t="s">
        <v>29</v>
      </c>
      <c r="L377" s="50" t="s">
        <v>29</v>
      </c>
      <c r="M377" s="50" t="s">
        <v>29</v>
      </c>
      <c r="N377" s="49"/>
      <c r="P377" s="19"/>
      <c r="Q377" s="18" t="str">
        <f ca="1">IFERROR(__xludf.DUMMYFUNCTION("""COMPUTED_VALUE"""),"")</f>
        <v/>
      </c>
      <c r="R377" s="19"/>
      <c r="S377" s="20"/>
      <c r="BP377" s="10"/>
      <c r="BW377" s="10"/>
      <c r="CF377" s="10"/>
      <c r="CM377" s="10"/>
      <c r="CP377" s="18" t="str">
        <f ca="1"/>
        <v/>
      </c>
      <c r="CQ377" s="18" t="str">
        <f ca="1"/>
        <v/>
      </c>
      <c r="CR377" s="18" t="str">
        <f ca="1"/>
        <v/>
      </c>
      <c r="CS377" s="18" t="str">
        <f ca="1"/>
        <v/>
      </c>
      <c r="CT377" s="18" t="str">
        <f ca="1"/>
        <v/>
      </c>
      <c r="CV377" s="10"/>
      <c r="CY377" s="18" t="str">
        <f ca="1"/>
        <v/>
      </c>
      <c r="CZ377" s="18" t="str">
        <f ca="1"/>
        <v/>
      </c>
      <c r="DA377" s="18" t="str">
        <f ca="1"/>
        <v/>
      </c>
      <c r="DC377" s="10"/>
    </row>
    <row r="378" spans="1:107" x14ac:dyDescent="0.25">
      <c r="A378" s="46"/>
      <c r="B378" s="52"/>
      <c r="C378" s="52"/>
      <c r="D378" s="16"/>
      <c r="E378" s="52"/>
      <c r="F378" s="52"/>
      <c r="G378" s="50"/>
      <c r="H378" s="17" t="str">
        <f ca="1">IFERROR(__xludf.DUMMYFUNCTION("""COMPUTED_VALUE"""),"")</f>
        <v/>
      </c>
      <c r="I378" s="50" t="s">
        <v>29</v>
      </c>
      <c r="J378" s="50" t="s">
        <v>29</v>
      </c>
      <c r="K378" s="50" t="s">
        <v>29</v>
      </c>
      <c r="L378" s="50" t="s">
        <v>29</v>
      </c>
      <c r="M378" s="50" t="s">
        <v>29</v>
      </c>
      <c r="N378" s="49"/>
      <c r="P378" s="19"/>
      <c r="Q378" s="18" t="str">
        <f ca="1">IFERROR(__xludf.DUMMYFUNCTION("""COMPUTED_VALUE"""),"")</f>
        <v/>
      </c>
      <c r="R378" s="19"/>
      <c r="S378" s="20"/>
      <c r="BP378" s="10"/>
      <c r="BW378" s="10"/>
      <c r="CF378" s="10"/>
      <c r="CM378" s="10"/>
      <c r="CP378" s="18" t="str">
        <f ca="1"/>
        <v/>
      </c>
      <c r="CQ378" s="18" t="str">
        <f ca="1"/>
        <v/>
      </c>
      <c r="CR378" s="18" t="str">
        <f ca="1"/>
        <v/>
      </c>
      <c r="CS378" s="18" t="str">
        <f ca="1"/>
        <v/>
      </c>
      <c r="CT378" s="18" t="str">
        <f ca="1"/>
        <v/>
      </c>
      <c r="CV378" s="10"/>
      <c r="CY378" s="18" t="str">
        <f ca="1"/>
        <v/>
      </c>
      <c r="CZ378" s="18" t="str">
        <f ca="1"/>
        <v/>
      </c>
      <c r="DA378" s="18" t="str">
        <f ca="1"/>
        <v/>
      </c>
      <c r="DC378" s="10"/>
    </row>
    <row r="379" spans="1:107" x14ac:dyDescent="0.25">
      <c r="A379" s="46"/>
      <c r="B379" s="52"/>
      <c r="C379" s="52"/>
      <c r="D379" s="16"/>
      <c r="E379" s="52"/>
      <c r="F379" s="52"/>
      <c r="G379" s="50"/>
      <c r="H379" s="17" t="str">
        <f ca="1">IFERROR(__xludf.DUMMYFUNCTION("""COMPUTED_VALUE"""),"")</f>
        <v/>
      </c>
      <c r="I379" s="50" t="s">
        <v>29</v>
      </c>
      <c r="J379" s="50" t="s">
        <v>29</v>
      </c>
      <c r="K379" s="50" t="s">
        <v>29</v>
      </c>
      <c r="L379" s="50" t="s">
        <v>29</v>
      </c>
      <c r="M379" s="50" t="s">
        <v>29</v>
      </c>
      <c r="N379" s="49"/>
      <c r="P379" s="19"/>
      <c r="Q379" s="18" t="str">
        <f ca="1">IFERROR(__xludf.DUMMYFUNCTION("""COMPUTED_VALUE"""),"")</f>
        <v/>
      </c>
      <c r="R379" s="19"/>
      <c r="S379" s="20"/>
      <c r="BP379" s="10"/>
      <c r="BW379" s="10"/>
      <c r="CF379" s="10"/>
      <c r="CM379" s="10"/>
      <c r="CP379" s="18" t="str">
        <f ca="1"/>
        <v/>
      </c>
      <c r="CQ379" s="18" t="str">
        <f ca="1"/>
        <v/>
      </c>
      <c r="CR379" s="18" t="str">
        <f ca="1"/>
        <v/>
      </c>
      <c r="CS379" s="18" t="str">
        <f ca="1"/>
        <v/>
      </c>
      <c r="CT379" s="18" t="str">
        <f ca="1"/>
        <v/>
      </c>
      <c r="CV379" s="10"/>
      <c r="CY379" s="18" t="str">
        <f ca="1"/>
        <v/>
      </c>
      <c r="CZ379" s="18" t="str">
        <f ca="1"/>
        <v/>
      </c>
      <c r="DA379" s="18" t="str">
        <f ca="1"/>
        <v/>
      </c>
      <c r="DC379" s="10"/>
    </row>
    <row r="380" spans="1:107" x14ac:dyDescent="0.25">
      <c r="A380" s="46"/>
      <c r="B380" s="52"/>
      <c r="C380" s="52"/>
      <c r="D380" s="16"/>
      <c r="E380" s="52"/>
      <c r="F380" s="52"/>
      <c r="G380" s="50"/>
      <c r="H380" s="17" t="str">
        <f ca="1">IFERROR(__xludf.DUMMYFUNCTION("""COMPUTED_VALUE"""),"")</f>
        <v/>
      </c>
      <c r="I380" s="50" t="s">
        <v>29</v>
      </c>
      <c r="J380" s="50" t="s">
        <v>29</v>
      </c>
      <c r="K380" s="50" t="s">
        <v>29</v>
      </c>
      <c r="L380" s="50" t="s">
        <v>29</v>
      </c>
      <c r="M380" s="50" t="s">
        <v>29</v>
      </c>
      <c r="N380" s="49"/>
      <c r="P380" s="19"/>
      <c r="Q380" s="18" t="str">
        <f ca="1">IFERROR(__xludf.DUMMYFUNCTION("""COMPUTED_VALUE"""),"")</f>
        <v/>
      </c>
      <c r="R380" s="19"/>
      <c r="S380" s="20"/>
      <c r="BP380" s="10"/>
      <c r="BW380" s="10"/>
      <c r="CF380" s="10"/>
      <c r="CM380" s="10"/>
      <c r="CP380" s="18" t="str">
        <f ca="1"/>
        <v/>
      </c>
      <c r="CQ380" s="18" t="str">
        <f ca="1"/>
        <v/>
      </c>
      <c r="CR380" s="18" t="str">
        <f ca="1"/>
        <v/>
      </c>
      <c r="CS380" s="18" t="str">
        <f ca="1"/>
        <v/>
      </c>
      <c r="CT380" s="18" t="str">
        <f ca="1"/>
        <v/>
      </c>
      <c r="CV380" s="10"/>
      <c r="CY380" s="18" t="str">
        <f ca="1"/>
        <v/>
      </c>
      <c r="CZ380" s="18" t="str">
        <f ca="1"/>
        <v/>
      </c>
      <c r="DA380" s="18" t="str">
        <f ca="1"/>
        <v/>
      </c>
      <c r="DC380" s="10"/>
    </row>
    <row r="381" spans="1:107" x14ac:dyDescent="0.25">
      <c r="A381" s="46"/>
      <c r="B381" s="52"/>
      <c r="C381" s="52"/>
      <c r="D381" s="16"/>
      <c r="E381" s="52"/>
      <c r="F381" s="52"/>
      <c r="G381" s="50"/>
      <c r="H381" s="17" t="str">
        <f ca="1">IFERROR(__xludf.DUMMYFUNCTION("""COMPUTED_VALUE"""),"")</f>
        <v/>
      </c>
      <c r="I381" s="50" t="s">
        <v>29</v>
      </c>
      <c r="J381" s="50" t="s">
        <v>29</v>
      </c>
      <c r="K381" s="50" t="s">
        <v>29</v>
      </c>
      <c r="L381" s="50" t="s">
        <v>29</v>
      </c>
      <c r="M381" s="50" t="s">
        <v>29</v>
      </c>
      <c r="N381" s="49"/>
      <c r="P381" s="19"/>
      <c r="Q381" s="18" t="str">
        <f ca="1">IFERROR(__xludf.DUMMYFUNCTION("""COMPUTED_VALUE"""),"")</f>
        <v/>
      </c>
      <c r="R381" s="19"/>
      <c r="S381" s="20"/>
      <c r="BP381" s="10"/>
      <c r="BW381" s="10"/>
      <c r="CF381" s="10"/>
      <c r="CM381" s="10"/>
      <c r="CP381" s="18" t="str">
        <f ca="1"/>
        <v/>
      </c>
      <c r="CQ381" s="18" t="str">
        <f ca="1"/>
        <v/>
      </c>
      <c r="CR381" s="18" t="str">
        <f ca="1"/>
        <v/>
      </c>
      <c r="CS381" s="18" t="str">
        <f ca="1"/>
        <v/>
      </c>
      <c r="CT381" s="18" t="str">
        <f ca="1"/>
        <v/>
      </c>
      <c r="CV381" s="10"/>
      <c r="CY381" s="18" t="str">
        <f ca="1"/>
        <v/>
      </c>
      <c r="CZ381" s="18" t="str">
        <f ca="1"/>
        <v/>
      </c>
      <c r="DA381" s="18" t="str">
        <f ca="1"/>
        <v/>
      </c>
      <c r="DC381" s="10"/>
    </row>
    <row r="382" spans="1:107" x14ac:dyDescent="0.25">
      <c r="A382" s="46"/>
      <c r="B382" s="52"/>
      <c r="C382" s="52"/>
      <c r="D382" s="16"/>
      <c r="E382" s="52"/>
      <c r="F382" s="52"/>
      <c r="G382" s="50"/>
      <c r="H382" s="17" t="str">
        <f ca="1">IFERROR(__xludf.DUMMYFUNCTION("""COMPUTED_VALUE"""),"")</f>
        <v/>
      </c>
      <c r="I382" s="50" t="s">
        <v>29</v>
      </c>
      <c r="J382" s="50" t="s">
        <v>29</v>
      </c>
      <c r="K382" s="50" t="s">
        <v>29</v>
      </c>
      <c r="L382" s="50" t="s">
        <v>29</v>
      </c>
      <c r="M382" s="50" t="s">
        <v>29</v>
      </c>
      <c r="N382" s="49"/>
      <c r="P382" s="19"/>
      <c r="Q382" s="18" t="str">
        <f ca="1">IFERROR(__xludf.DUMMYFUNCTION("""COMPUTED_VALUE"""),"")</f>
        <v/>
      </c>
      <c r="R382" s="19"/>
      <c r="S382" s="20"/>
      <c r="BP382" s="10"/>
      <c r="BW382" s="10"/>
      <c r="CF382" s="10"/>
      <c r="CM382" s="10"/>
      <c r="CP382" s="18" t="str">
        <f ca="1"/>
        <v/>
      </c>
      <c r="CQ382" s="18" t="str">
        <f ca="1"/>
        <v/>
      </c>
      <c r="CR382" s="18" t="str">
        <f ca="1"/>
        <v/>
      </c>
      <c r="CS382" s="18" t="str">
        <f ca="1"/>
        <v/>
      </c>
      <c r="CT382" s="18" t="str">
        <f ca="1"/>
        <v/>
      </c>
      <c r="CV382" s="10"/>
      <c r="CY382" s="18" t="str">
        <f ca="1"/>
        <v/>
      </c>
      <c r="CZ382" s="18" t="str">
        <f ca="1"/>
        <v/>
      </c>
      <c r="DA382" s="18" t="str">
        <f ca="1"/>
        <v/>
      </c>
      <c r="DC382" s="10"/>
    </row>
    <row r="383" spans="1:107" x14ac:dyDescent="0.25">
      <c r="A383" s="46"/>
      <c r="B383" s="52"/>
      <c r="C383" s="52"/>
      <c r="D383" s="16"/>
      <c r="E383" s="52"/>
      <c r="F383" s="52"/>
      <c r="G383" s="50"/>
      <c r="H383" s="17" t="str">
        <f ca="1">IFERROR(__xludf.DUMMYFUNCTION("""COMPUTED_VALUE"""),"")</f>
        <v/>
      </c>
      <c r="I383" s="50" t="s">
        <v>29</v>
      </c>
      <c r="J383" s="50" t="s">
        <v>29</v>
      </c>
      <c r="K383" s="50" t="s">
        <v>29</v>
      </c>
      <c r="L383" s="50" t="s">
        <v>29</v>
      </c>
      <c r="M383" s="50" t="s">
        <v>29</v>
      </c>
      <c r="N383" s="49"/>
      <c r="P383" s="19"/>
      <c r="Q383" s="18" t="str">
        <f ca="1">IFERROR(__xludf.DUMMYFUNCTION("""COMPUTED_VALUE"""),"")</f>
        <v/>
      </c>
      <c r="R383" s="19"/>
      <c r="S383" s="20"/>
      <c r="BP383" s="10"/>
      <c r="BW383" s="10"/>
      <c r="CF383" s="10"/>
      <c r="CM383" s="10"/>
      <c r="CP383" s="18" t="str">
        <f ca="1"/>
        <v/>
      </c>
      <c r="CQ383" s="18" t="str">
        <f ca="1"/>
        <v/>
      </c>
      <c r="CR383" s="18" t="str">
        <f ca="1"/>
        <v/>
      </c>
      <c r="CS383" s="18" t="str">
        <f ca="1"/>
        <v/>
      </c>
      <c r="CT383" s="18" t="str">
        <f ca="1"/>
        <v/>
      </c>
      <c r="CV383" s="10"/>
      <c r="CY383" s="18" t="str">
        <f ca="1"/>
        <v/>
      </c>
      <c r="CZ383" s="18" t="str">
        <f ca="1"/>
        <v/>
      </c>
      <c r="DA383" s="18" t="str">
        <f ca="1"/>
        <v/>
      </c>
      <c r="DC383" s="10"/>
    </row>
    <row r="384" spans="1:107" x14ac:dyDescent="0.25">
      <c r="A384" s="46"/>
      <c r="B384" s="52"/>
      <c r="C384" s="52"/>
      <c r="D384" s="16"/>
      <c r="E384" s="52"/>
      <c r="F384" s="52"/>
      <c r="G384" s="50"/>
      <c r="H384" s="17" t="str">
        <f ca="1">IFERROR(__xludf.DUMMYFUNCTION("""COMPUTED_VALUE"""),"")</f>
        <v/>
      </c>
      <c r="I384" s="50" t="s">
        <v>29</v>
      </c>
      <c r="J384" s="50" t="s">
        <v>29</v>
      </c>
      <c r="K384" s="50" t="s">
        <v>29</v>
      </c>
      <c r="L384" s="50" t="s">
        <v>29</v>
      </c>
      <c r="M384" s="50" t="s">
        <v>29</v>
      </c>
      <c r="N384" s="49"/>
      <c r="P384" s="19"/>
      <c r="Q384" s="18" t="str">
        <f ca="1">IFERROR(__xludf.DUMMYFUNCTION("""COMPUTED_VALUE"""),"")</f>
        <v/>
      </c>
      <c r="R384" s="19"/>
      <c r="S384" s="20"/>
      <c r="BP384" s="10"/>
      <c r="BW384" s="10"/>
      <c r="CF384" s="10"/>
      <c r="CM384" s="10"/>
      <c r="CP384" s="18" t="str">
        <f ca="1"/>
        <v/>
      </c>
      <c r="CQ384" s="18" t="str">
        <f ca="1"/>
        <v/>
      </c>
      <c r="CR384" s="18" t="str">
        <f ca="1"/>
        <v/>
      </c>
      <c r="CS384" s="18" t="str">
        <f ca="1"/>
        <v/>
      </c>
      <c r="CT384" s="18" t="str">
        <f ca="1"/>
        <v/>
      </c>
      <c r="CV384" s="10"/>
      <c r="CY384" s="18" t="str">
        <f ca="1"/>
        <v/>
      </c>
      <c r="CZ384" s="18" t="str">
        <f ca="1"/>
        <v/>
      </c>
      <c r="DA384" s="18" t="str">
        <f ca="1"/>
        <v/>
      </c>
      <c r="DC384" s="10"/>
    </row>
    <row r="385" spans="1:107" x14ac:dyDescent="0.25">
      <c r="A385" s="46"/>
      <c r="B385" s="52"/>
      <c r="C385" s="52"/>
      <c r="D385" s="16"/>
      <c r="E385" s="52"/>
      <c r="F385" s="52"/>
      <c r="G385" s="50"/>
      <c r="H385" s="17" t="str">
        <f ca="1">IFERROR(__xludf.DUMMYFUNCTION("""COMPUTED_VALUE"""),"")</f>
        <v/>
      </c>
      <c r="I385" s="50" t="s">
        <v>29</v>
      </c>
      <c r="J385" s="50" t="s">
        <v>29</v>
      </c>
      <c r="K385" s="50" t="s">
        <v>29</v>
      </c>
      <c r="L385" s="50" t="s">
        <v>29</v>
      </c>
      <c r="M385" s="50" t="s">
        <v>29</v>
      </c>
      <c r="N385" s="49"/>
      <c r="P385" s="19"/>
      <c r="Q385" s="18" t="str">
        <f ca="1">IFERROR(__xludf.DUMMYFUNCTION("""COMPUTED_VALUE"""),"")</f>
        <v/>
      </c>
      <c r="R385" s="19"/>
      <c r="S385" s="20"/>
      <c r="BP385" s="10"/>
      <c r="BW385" s="10"/>
      <c r="CF385" s="10"/>
      <c r="CM385" s="10"/>
      <c r="CP385" s="18" t="str">
        <f ca="1"/>
        <v/>
      </c>
      <c r="CQ385" s="18" t="str">
        <f ca="1"/>
        <v/>
      </c>
      <c r="CR385" s="18" t="str">
        <f ca="1"/>
        <v/>
      </c>
      <c r="CS385" s="18" t="str">
        <f ca="1"/>
        <v/>
      </c>
      <c r="CT385" s="18" t="str">
        <f ca="1"/>
        <v/>
      </c>
      <c r="CV385" s="10"/>
      <c r="CY385" s="18" t="str">
        <f ca="1"/>
        <v/>
      </c>
      <c r="CZ385" s="18" t="str">
        <f ca="1"/>
        <v/>
      </c>
      <c r="DA385" s="18" t="str">
        <f ca="1"/>
        <v/>
      </c>
      <c r="DC385" s="10"/>
    </row>
    <row r="386" spans="1:107" x14ac:dyDescent="0.25">
      <c r="A386" s="46"/>
      <c r="B386" s="52"/>
      <c r="C386" s="52"/>
      <c r="D386" s="16"/>
      <c r="E386" s="52"/>
      <c r="F386" s="52"/>
      <c r="G386" s="50"/>
      <c r="H386" s="17" t="str">
        <f ca="1">IFERROR(__xludf.DUMMYFUNCTION("""COMPUTED_VALUE"""),"")</f>
        <v/>
      </c>
      <c r="I386" s="50" t="s">
        <v>29</v>
      </c>
      <c r="J386" s="50" t="s">
        <v>29</v>
      </c>
      <c r="K386" s="50" t="s">
        <v>29</v>
      </c>
      <c r="L386" s="50" t="s">
        <v>29</v>
      </c>
      <c r="M386" s="50" t="s">
        <v>29</v>
      </c>
      <c r="N386" s="49"/>
      <c r="P386" s="19"/>
      <c r="Q386" s="18" t="str">
        <f ca="1">IFERROR(__xludf.DUMMYFUNCTION("""COMPUTED_VALUE"""),"")</f>
        <v/>
      </c>
      <c r="R386" s="19"/>
      <c r="S386" s="20"/>
      <c r="BP386" s="10"/>
      <c r="BW386" s="10"/>
      <c r="CF386" s="10"/>
      <c r="CM386" s="10"/>
      <c r="CP386" s="18" t="str">
        <f ca="1"/>
        <v/>
      </c>
      <c r="CQ386" s="18" t="str">
        <f ca="1"/>
        <v/>
      </c>
      <c r="CR386" s="18" t="str">
        <f ca="1"/>
        <v/>
      </c>
      <c r="CS386" s="18" t="str">
        <f ca="1"/>
        <v/>
      </c>
      <c r="CT386" s="18" t="str">
        <f ca="1"/>
        <v/>
      </c>
      <c r="CV386" s="10"/>
      <c r="CY386" s="18" t="str">
        <f ca="1"/>
        <v/>
      </c>
      <c r="CZ386" s="18" t="str">
        <f ca="1"/>
        <v/>
      </c>
      <c r="DA386" s="18" t="str">
        <f ca="1"/>
        <v/>
      </c>
      <c r="DC386" s="10"/>
    </row>
    <row r="387" spans="1:107" x14ac:dyDescent="0.25">
      <c r="A387" s="46"/>
      <c r="B387" s="52"/>
      <c r="C387" s="52"/>
      <c r="D387" s="16"/>
      <c r="E387" s="52"/>
      <c r="F387" s="52"/>
      <c r="G387" s="50"/>
      <c r="H387" s="17" t="str">
        <f ca="1">IFERROR(__xludf.DUMMYFUNCTION("""COMPUTED_VALUE"""),"")</f>
        <v/>
      </c>
      <c r="I387" s="50" t="s">
        <v>29</v>
      </c>
      <c r="J387" s="50" t="s">
        <v>29</v>
      </c>
      <c r="K387" s="50" t="s">
        <v>29</v>
      </c>
      <c r="L387" s="50" t="s">
        <v>29</v>
      </c>
      <c r="M387" s="50" t="s">
        <v>29</v>
      </c>
      <c r="N387" s="49"/>
      <c r="P387" s="19"/>
      <c r="Q387" s="18" t="str">
        <f ca="1">IFERROR(__xludf.DUMMYFUNCTION("""COMPUTED_VALUE"""),"")</f>
        <v/>
      </c>
      <c r="R387" s="19"/>
      <c r="S387" s="20"/>
      <c r="BP387" s="10"/>
      <c r="BW387" s="10"/>
      <c r="CF387" s="10"/>
      <c r="CM387" s="10"/>
      <c r="CP387" s="18" t="str">
        <f ca="1"/>
        <v/>
      </c>
      <c r="CQ387" s="18" t="str">
        <f ca="1"/>
        <v/>
      </c>
      <c r="CR387" s="18" t="str">
        <f ca="1"/>
        <v/>
      </c>
      <c r="CS387" s="18" t="str">
        <f ca="1"/>
        <v/>
      </c>
      <c r="CT387" s="18" t="str">
        <f ca="1"/>
        <v/>
      </c>
      <c r="CV387" s="10"/>
      <c r="CY387" s="18" t="str">
        <f ca="1"/>
        <v/>
      </c>
      <c r="CZ387" s="18" t="str">
        <f ca="1"/>
        <v/>
      </c>
      <c r="DA387" s="18" t="str">
        <f ca="1"/>
        <v/>
      </c>
      <c r="DC387" s="10"/>
    </row>
    <row r="388" spans="1:107" x14ac:dyDescent="0.25">
      <c r="A388" s="46"/>
      <c r="B388" s="52"/>
      <c r="C388" s="52"/>
      <c r="D388" s="16"/>
      <c r="E388" s="52"/>
      <c r="F388" s="52"/>
      <c r="G388" s="50"/>
      <c r="H388" s="17" t="str">
        <f ca="1">IFERROR(__xludf.DUMMYFUNCTION("""COMPUTED_VALUE"""),"")</f>
        <v/>
      </c>
      <c r="I388" s="50" t="s">
        <v>29</v>
      </c>
      <c r="J388" s="50" t="s">
        <v>29</v>
      </c>
      <c r="K388" s="50" t="s">
        <v>29</v>
      </c>
      <c r="L388" s="50" t="s">
        <v>29</v>
      </c>
      <c r="M388" s="50" t="s">
        <v>29</v>
      </c>
      <c r="N388" s="49"/>
      <c r="P388" s="19"/>
      <c r="Q388" s="18" t="str">
        <f ca="1">IFERROR(__xludf.DUMMYFUNCTION("""COMPUTED_VALUE"""),"")</f>
        <v/>
      </c>
      <c r="R388" s="19"/>
      <c r="S388" s="20"/>
      <c r="BP388" s="10"/>
      <c r="BW388" s="10"/>
      <c r="CF388" s="10"/>
      <c r="CM388" s="10"/>
      <c r="CP388" s="18" t="str">
        <f ca="1"/>
        <v/>
      </c>
      <c r="CQ388" s="18" t="str">
        <f ca="1"/>
        <v/>
      </c>
      <c r="CR388" s="18" t="str">
        <f ca="1"/>
        <v/>
      </c>
      <c r="CS388" s="18" t="str">
        <f ca="1"/>
        <v/>
      </c>
      <c r="CT388" s="18" t="str">
        <f ca="1"/>
        <v/>
      </c>
      <c r="CV388" s="10"/>
      <c r="CY388" s="18" t="str">
        <f ca="1"/>
        <v/>
      </c>
      <c r="CZ388" s="18" t="str">
        <f ca="1"/>
        <v/>
      </c>
      <c r="DA388" s="18" t="str">
        <f ca="1"/>
        <v/>
      </c>
      <c r="DC388" s="10"/>
    </row>
    <row r="389" spans="1:107" x14ac:dyDescent="0.25">
      <c r="A389" s="46"/>
      <c r="B389" s="52"/>
      <c r="C389" s="52"/>
      <c r="D389" s="16"/>
      <c r="E389" s="52"/>
      <c r="F389" s="52"/>
      <c r="G389" s="50"/>
      <c r="H389" s="17" t="str">
        <f ca="1">IFERROR(__xludf.DUMMYFUNCTION("""COMPUTED_VALUE"""),"")</f>
        <v/>
      </c>
      <c r="I389" s="50" t="s">
        <v>29</v>
      </c>
      <c r="J389" s="50" t="s">
        <v>29</v>
      </c>
      <c r="K389" s="50" t="s">
        <v>29</v>
      </c>
      <c r="L389" s="50" t="s">
        <v>29</v>
      </c>
      <c r="M389" s="50" t="s">
        <v>29</v>
      </c>
      <c r="N389" s="49"/>
      <c r="P389" s="19"/>
      <c r="Q389" s="18" t="str">
        <f ca="1">IFERROR(__xludf.DUMMYFUNCTION("""COMPUTED_VALUE"""),"")</f>
        <v/>
      </c>
      <c r="R389" s="19"/>
      <c r="S389" s="20"/>
      <c r="BP389" s="10"/>
      <c r="BW389" s="10"/>
      <c r="CF389" s="10"/>
      <c r="CM389" s="10"/>
      <c r="CP389" s="18" t="str">
        <f ca="1"/>
        <v/>
      </c>
      <c r="CQ389" s="18" t="str">
        <f ca="1"/>
        <v/>
      </c>
      <c r="CR389" s="18" t="str">
        <f ca="1"/>
        <v/>
      </c>
      <c r="CS389" s="18" t="str">
        <f ca="1"/>
        <v/>
      </c>
      <c r="CT389" s="18" t="str">
        <f ca="1"/>
        <v/>
      </c>
      <c r="CV389" s="10"/>
      <c r="CY389" s="18" t="str">
        <f ca="1"/>
        <v/>
      </c>
      <c r="CZ389" s="18" t="str">
        <f ca="1"/>
        <v/>
      </c>
      <c r="DA389" s="18" t="str">
        <f ca="1"/>
        <v/>
      </c>
      <c r="DC389" s="10"/>
    </row>
    <row r="390" spans="1:107" x14ac:dyDescent="0.25">
      <c r="A390" s="46"/>
      <c r="B390" s="52"/>
      <c r="C390" s="52"/>
      <c r="D390" s="16"/>
      <c r="E390" s="52"/>
      <c r="F390" s="52"/>
      <c r="G390" s="50"/>
      <c r="H390" s="17" t="str">
        <f ca="1">IFERROR(__xludf.DUMMYFUNCTION("""COMPUTED_VALUE"""),"")</f>
        <v/>
      </c>
      <c r="I390" s="50" t="s">
        <v>29</v>
      </c>
      <c r="J390" s="50" t="s">
        <v>29</v>
      </c>
      <c r="K390" s="50" t="s">
        <v>29</v>
      </c>
      <c r="L390" s="50" t="s">
        <v>29</v>
      </c>
      <c r="M390" s="50" t="s">
        <v>29</v>
      </c>
      <c r="N390" s="49"/>
      <c r="P390" s="19"/>
      <c r="Q390" s="18" t="str">
        <f ca="1">IFERROR(__xludf.DUMMYFUNCTION("""COMPUTED_VALUE"""),"")</f>
        <v/>
      </c>
      <c r="R390" s="19"/>
      <c r="S390" s="20"/>
      <c r="BP390" s="10"/>
      <c r="BW390" s="10"/>
      <c r="CF390" s="10"/>
      <c r="CM390" s="10"/>
      <c r="CP390" s="18" t="str">
        <f ca="1"/>
        <v/>
      </c>
      <c r="CQ390" s="18" t="str">
        <f ca="1"/>
        <v/>
      </c>
      <c r="CR390" s="18" t="str">
        <f ca="1"/>
        <v/>
      </c>
      <c r="CS390" s="18" t="str">
        <f ca="1"/>
        <v/>
      </c>
      <c r="CT390" s="18" t="str">
        <f ca="1"/>
        <v/>
      </c>
      <c r="CV390" s="10"/>
      <c r="CY390" s="18" t="str">
        <f ca="1"/>
        <v/>
      </c>
      <c r="CZ390" s="18" t="str">
        <f ca="1"/>
        <v/>
      </c>
      <c r="DA390" s="18" t="str">
        <f ca="1"/>
        <v/>
      </c>
      <c r="DC390" s="10"/>
    </row>
    <row r="391" spans="1:107" x14ac:dyDescent="0.25">
      <c r="A391" s="46"/>
      <c r="B391" s="52"/>
      <c r="C391" s="52"/>
      <c r="D391" s="16"/>
      <c r="E391" s="52"/>
      <c r="F391" s="52"/>
      <c r="G391" s="50"/>
      <c r="H391" s="17" t="str">
        <f ca="1">IFERROR(__xludf.DUMMYFUNCTION("""COMPUTED_VALUE"""),"")</f>
        <v/>
      </c>
      <c r="I391" s="50" t="s">
        <v>29</v>
      </c>
      <c r="J391" s="50" t="s">
        <v>29</v>
      </c>
      <c r="K391" s="50" t="s">
        <v>29</v>
      </c>
      <c r="L391" s="50" t="s">
        <v>29</v>
      </c>
      <c r="M391" s="50" t="s">
        <v>29</v>
      </c>
      <c r="N391" s="49"/>
      <c r="P391" s="19"/>
      <c r="Q391" s="18" t="str">
        <f ca="1">IFERROR(__xludf.DUMMYFUNCTION("""COMPUTED_VALUE"""),"")</f>
        <v/>
      </c>
      <c r="R391" s="19"/>
      <c r="S391" s="20"/>
      <c r="BP391" s="10"/>
      <c r="BW391" s="10"/>
      <c r="CF391" s="10"/>
      <c r="CM391" s="10"/>
      <c r="CP391" s="18" t="str">
        <f ca="1"/>
        <v/>
      </c>
      <c r="CQ391" s="18" t="str">
        <f ca="1"/>
        <v/>
      </c>
      <c r="CR391" s="18" t="str">
        <f ca="1"/>
        <v/>
      </c>
      <c r="CS391" s="18" t="str">
        <f ca="1"/>
        <v/>
      </c>
      <c r="CT391" s="18" t="str">
        <f ca="1"/>
        <v/>
      </c>
      <c r="CV391" s="10"/>
      <c r="CY391" s="18" t="str">
        <f ca="1"/>
        <v/>
      </c>
      <c r="CZ391" s="18" t="str">
        <f ca="1"/>
        <v/>
      </c>
      <c r="DA391" s="18" t="str">
        <f ca="1"/>
        <v/>
      </c>
      <c r="DC391" s="10"/>
    </row>
    <row r="392" spans="1:107" x14ac:dyDescent="0.25">
      <c r="A392" s="46"/>
      <c r="B392" s="52"/>
      <c r="C392" s="52"/>
      <c r="D392" s="16"/>
      <c r="E392" s="52"/>
      <c r="F392" s="52"/>
      <c r="G392" s="50"/>
      <c r="H392" s="17" t="str">
        <f ca="1">IFERROR(__xludf.DUMMYFUNCTION("""COMPUTED_VALUE"""),"")</f>
        <v/>
      </c>
      <c r="I392" s="50" t="s">
        <v>29</v>
      </c>
      <c r="J392" s="50" t="s">
        <v>29</v>
      </c>
      <c r="K392" s="50" t="s">
        <v>29</v>
      </c>
      <c r="L392" s="50" t="s">
        <v>29</v>
      </c>
      <c r="M392" s="50" t="s">
        <v>29</v>
      </c>
      <c r="N392" s="49"/>
      <c r="P392" s="19"/>
      <c r="Q392" s="18" t="str">
        <f ca="1">IFERROR(__xludf.DUMMYFUNCTION("""COMPUTED_VALUE"""),"")</f>
        <v/>
      </c>
      <c r="R392" s="19"/>
      <c r="S392" s="20"/>
      <c r="BP392" s="10"/>
      <c r="BW392" s="10"/>
      <c r="CF392" s="10"/>
      <c r="CM392" s="10"/>
      <c r="CP392" s="18" t="str">
        <f ca="1"/>
        <v/>
      </c>
      <c r="CQ392" s="18" t="str">
        <f ca="1"/>
        <v/>
      </c>
      <c r="CR392" s="18" t="str">
        <f ca="1"/>
        <v/>
      </c>
      <c r="CS392" s="18" t="str">
        <f ca="1"/>
        <v/>
      </c>
      <c r="CT392" s="18" t="str">
        <f ca="1"/>
        <v/>
      </c>
      <c r="CV392" s="10"/>
      <c r="CY392" s="18" t="str">
        <f ca="1"/>
        <v/>
      </c>
      <c r="CZ392" s="18" t="str">
        <f ca="1"/>
        <v/>
      </c>
      <c r="DA392" s="18" t="str">
        <f ca="1"/>
        <v/>
      </c>
      <c r="DC392" s="10"/>
    </row>
    <row r="393" spans="1:107" x14ac:dyDescent="0.25">
      <c r="A393" s="46"/>
      <c r="B393" s="52"/>
      <c r="C393" s="52"/>
      <c r="D393" s="16"/>
      <c r="E393" s="52"/>
      <c r="F393" s="52"/>
      <c r="G393" s="50"/>
      <c r="H393" s="17" t="str">
        <f ca="1">IFERROR(__xludf.DUMMYFUNCTION("""COMPUTED_VALUE"""),"")</f>
        <v/>
      </c>
      <c r="I393" s="50" t="s">
        <v>29</v>
      </c>
      <c r="J393" s="50" t="s">
        <v>29</v>
      </c>
      <c r="K393" s="50" t="s">
        <v>29</v>
      </c>
      <c r="L393" s="50" t="s">
        <v>29</v>
      </c>
      <c r="M393" s="50" t="s">
        <v>29</v>
      </c>
      <c r="N393" s="49"/>
      <c r="P393" s="19"/>
      <c r="Q393" s="18" t="str">
        <f ca="1">IFERROR(__xludf.DUMMYFUNCTION("""COMPUTED_VALUE"""),"")</f>
        <v/>
      </c>
      <c r="R393" s="19"/>
      <c r="S393" s="20"/>
      <c r="BP393" s="10"/>
      <c r="BW393" s="10"/>
      <c r="CF393" s="10"/>
      <c r="CM393" s="10"/>
      <c r="CP393" s="18" t="str">
        <f ca="1"/>
        <v/>
      </c>
      <c r="CQ393" s="18" t="str">
        <f ca="1"/>
        <v/>
      </c>
      <c r="CR393" s="18" t="str">
        <f ca="1"/>
        <v/>
      </c>
      <c r="CS393" s="18" t="str">
        <f ca="1"/>
        <v/>
      </c>
      <c r="CT393" s="18" t="str">
        <f ca="1"/>
        <v/>
      </c>
      <c r="CV393" s="10"/>
      <c r="CY393" s="18" t="str">
        <f ca="1"/>
        <v/>
      </c>
      <c r="CZ393" s="18" t="str">
        <f ca="1"/>
        <v/>
      </c>
      <c r="DA393" s="18" t="str">
        <f ca="1"/>
        <v/>
      </c>
      <c r="DC393" s="10"/>
    </row>
    <row r="394" spans="1:107" x14ac:dyDescent="0.25">
      <c r="A394" s="46"/>
      <c r="B394" s="52"/>
      <c r="C394" s="52"/>
      <c r="D394" s="16"/>
      <c r="E394" s="52"/>
      <c r="F394" s="52"/>
      <c r="G394" s="50"/>
      <c r="H394" s="17" t="str">
        <f ca="1">IFERROR(__xludf.DUMMYFUNCTION("""COMPUTED_VALUE"""),"")</f>
        <v/>
      </c>
      <c r="I394" s="50" t="s">
        <v>29</v>
      </c>
      <c r="J394" s="50" t="s">
        <v>29</v>
      </c>
      <c r="K394" s="50" t="s">
        <v>29</v>
      </c>
      <c r="L394" s="50" t="s">
        <v>29</v>
      </c>
      <c r="M394" s="50" t="s">
        <v>29</v>
      </c>
      <c r="N394" s="49"/>
      <c r="P394" s="19"/>
      <c r="Q394" s="18" t="str">
        <f ca="1">IFERROR(__xludf.DUMMYFUNCTION("""COMPUTED_VALUE"""),"")</f>
        <v/>
      </c>
      <c r="R394" s="19"/>
      <c r="S394" s="20"/>
      <c r="BP394" s="10"/>
      <c r="BW394" s="10"/>
      <c r="CF394" s="10"/>
      <c r="CM394" s="10"/>
      <c r="CP394" s="18" t="str">
        <f ca="1"/>
        <v/>
      </c>
      <c r="CQ394" s="18" t="str">
        <f ca="1"/>
        <v/>
      </c>
      <c r="CR394" s="18" t="str">
        <f ca="1"/>
        <v/>
      </c>
      <c r="CS394" s="18" t="str">
        <f ca="1"/>
        <v/>
      </c>
      <c r="CT394" s="18" t="str">
        <f ca="1"/>
        <v/>
      </c>
      <c r="CV394" s="10"/>
      <c r="CY394" s="18" t="str">
        <f ca="1"/>
        <v/>
      </c>
      <c r="CZ394" s="18" t="str">
        <f ca="1"/>
        <v/>
      </c>
      <c r="DA394" s="18" t="str">
        <f ca="1"/>
        <v/>
      </c>
      <c r="DC394" s="10"/>
    </row>
    <row r="395" spans="1:107" x14ac:dyDescent="0.25">
      <c r="A395" s="46"/>
      <c r="B395" s="52"/>
      <c r="C395" s="52"/>
      <c r="D395" s="16"/>
      <c r="E395" s="52"/>
      <c r="F395" s="52"/>
      <c r="G395" s="50"/>
      <c r="H395" s="17" t="str">
        <f ca="1">IFERROR(__xludf.DUMMYFUNCTION("""COMPUTED_VALUE"""),"")</f>
        <v/>
      </c>
      <c r="I395" s="50" t="s">
        <v>29</v>
      </c>
      <c r="J395" s="50" t="s">
        <v>29</v>
      </c>
      <c r="K395" s="50" t="s">
        <v>29</v>
      </c>
      <c r="L395" s="50" t="s">
        <v>29</v>
      </c>
      <c r="M395" s="50" t="s">
        <v>29</v>
      </c>
      <c r="N395" s="49"/>
      <c r="P395" s="19"/>
      <c r="Q395" s="18" t="str">
        <f ca="1">IFERROR(__xludf.DUMMYFUNCTION("""COMPUTED_VALUE"""),"")</f>
        <v/>
      </c>
      <c r="R395" s="19"/>
      <c r="S395" s="20"/>
      <c r="BP395" s="10"/>
      <c r="BW395" s="10"/>
      <c r="CF395" s="10"/>
      <c r="CM395" s="10"/>
      <c r="CP395" s="18" t="str">
        <f ca="1"/>
        <v/>
      </c>
      <c r="CQ395" s="18" t="str">
        <f ca="1"/>
        <v/>
      </c>
      <c r="CR395" s="18" t="str">
        <f ca="1"/>
        <v/>
      </c>
      <c r="CS395" s="18" t="str">
        <f ca="1"/>
        <v/>
      </c>
      <c r="CT395" s="18" t="str">
        <f ca="1"/>
        <v/>
      </c>
      <c r="CV395" s="10"/>
      <c r="CY395" s="18" t="str">
        <f ca="1"/>
        <v/>
      </c>
      <c r="CZ395" s="18" t="str">
        <f ca="1"/>
        <v/>
      </c>
      <c r="DA395" s="18" t="str">
        <f ca="1"/>
        <v/>
      </c>
      <c r="DC395" s="10"/>
    </row>
    <row r="396" spans="1:107" x14ac:dyDescent="0.25">
      <c r="A396" s="46"/>
      <c r="B396" s="52"/>
      <c r="C396" s="52"/>
      <c r="D396" s="16"/>
      <c r="E396" s="52"/>
      <c r="F396" s="52"/>
      <c r="G396" s="50"/>
      <c r="H396" s="17" t="str">
        <f ca="1">IFERROR(__xludf.DUMMYFUNCTION("""COMPUTED_VALUE"""),"")</f>
        <v/>
      </c>
      <c r="I396" s="50" t="s">
        <v>29</v>
      </c>
      <c r="J396" s="50" t="s">
        <v>29</v>
      </c>
      <c r="K396" s="50" t="s">
        <v>29</v>
      </c>
      <c r="L396" s="50" t="s">
        <v>29</v>
      </c>
      <c r="M396" s="50" t="s">
        <v>29</v>
      </c>
      <c r="N396" s="49"/>
      <c r="P396" s="19"/>
      <c r="Q396" s="18" t="str">
        <f ca="1">IFERROR(__xludf.DUMMYFUNCTION("""COMPUTED_VALUE"""),"")</f>
        <v/>
      </c>
      <c r="R396" s="19"/>
      <c r="S396" s="20"/>
      <c r="BP396" s="10"/>
      <c r="BW396" s="10"/>
      <c r="CF396" s="10"/>
      <c r="CM396" s="10"/>
      <c r="CP396" s="18" t="str">
        <f ca="1"/>
        <v/>
      </c>
      <c r="CQ396" s="18" t="str">
        <f ca="1"/>
        <v/>
      </c>
      <c r="CR396" s="18" t="str">
        <f ca="1"/>
        <v/>
      </c>
      <c r="CS396" s="18" t="str">
        <f ca="1"/>
        <v/>
      </c>
      <c r="CT396" s="18" t="str">
        <f ca="1"/>
        <v/>
      </c>
      <c r="CV396" s="10"/>
      <c r="CY396" s="18" t="str">
        <f ca="1"/>
        <v/>
      </c>
      <c r="CZ396" s="18" t="str">
        <f ca="1"/>
        <v/>
      </c>
      <c r="DA396" s="18" t="str">
        <f ca="1"/>
        <v/>
      </c>
      <c r="DC396" s="10"/>
    </row>
    <row r="397" spans="1:107" x14ac:dyDescent="0.25">
      <c r="A397" s="46"/>
      <c r="B397" s="52"/>
      <c r="C397" s="52"/>
      <c r="D397" s="16"/>
      <c r="E397" s="52"/>
      <c r="F397" s="52"/>
      <c r="G397" s="50"/>
      <c r="H397" s="17" t="str">
        <f ca="1">IFERROR(__xludf.DUMMYFUNCTION("""COMPUTED_VALUE"""),"")</f>
        <v/>
      </c>
      <c r="I397" s="50" t="s">
        <v>29</v>
      </c>
      <c r="J397" s="50" t="s">
        <v>29</v>
      </c>
      <c r="K397" s="50" t="s">
        <v>29</v>
      </c>
      <c r="L397" s="50" t="s">
        <v>29</v>
      </c>
      <c r="M397" s="50" t="s">
        <v>29</v>
      </c>
      <c r="N397" s="49"/>
      <c r="P397" s="19"/>
      <c r="Q397" s="18" t="str">
        <f ca="1">IFERROR(__xludf.DUMMYFUNCTION("""COMPUTED_VALUE"""),"")</f>
        <v/>
      </c>
      <c r="R397" s="19"/>
      <c r="S397" s="20"/>
      <c r="BP397" s="10"/>
      <c r="BW397" s="10"/>
      <c r="CF397" s="10"/>
      <c r="CM397" s="10"/>
      <c r="CP397" s="18" t="str">
        <f ca="1"/>
        <v/>
      </c>
      <c r="CQ397" s="18" t="str">
        <f ca="1"/>
        <v/>
      </c>
      <c r="CR397" s="18" t="str">
        <f ca="1"/>
        <v/>
      </c>
      <c r="CS397" s="18" t="str">
        <f ca="1"/>
        <v/>
      </c>
      <c r="CT397" s="18" t="str">
        <f ca="1"/>
        <v/>
      </c>
      <c r="CV397" s="10"/>
      <c r="CY397" s="18" t="str">
        <f ca="1"/>
        <v/>
      </c>
      <c r="CZ397" s="18" t="str">
        <f ca="1"/>
        <v/>
      </c>
      <c r="DA397" s="18" t="str">
        <f ca="1"/>
        <v/>
      </c>
      <c r="DC397" s="10"/>
    </row>
    <row r="398" spans="1:107" x14ac:dyDescent="0.25">
      <c r="A398" s="46"/>
      <c r="B398" s="52"/>
      <c r="C398" s="52"/>
      <c r="D398" s="16"/>
      <c r="E398" s="52"/>
      <c r="F398" s="52"/>
      <c r="G398" s="50"/>
      <c r="H398" s="17" t="str">
        <f ca="1">IFERROR(__xludf.DUMMYFUNCTION("""COMPUTED_VALUE"""),"")</f>
        <v/>
      </c>
      <c r="I398" s="50" t="s">
        <v>29</v>
      </c>
      <c r="J398" s="50" t="s">
        <v>29</v>
      </c>
      <c r="K398" s="50" t="s">
        <v>29</v>
      </c>
      <c r="L398" s="50" t="s">
        <v>29</v>
      </c>
      <c r="M398" s="50" t="s">
        <v>29</v>
      </c>
      <c r="N398" s="49"/>
      <c r="P398" s="19"/>
      <c r="Q398" s="18" t="str">
        <f ca="1">IFERROR(__xludf.DUMMYFUNCTION("""COMPUTED_VALUE"""),"")</f>
        <v/>
      </c>
      <c r="R398" s="19"/>
      <c r="S398" s="20"/>
      <c r="BP398" s="10"/>
      <c r="BW398" s="10"/>
      <c r="CF398" s="10"/>
      <c r="CM398" s="10"/>
      <c r="CP398" s="18" t="str">
        <f ca="1"/>
        <v/>
      </c>
      <c r="CQ398" s="18" t="str">
        <f ca="1"/>
        <v/>
      </c>
      <c r="CR398" s="18" t="str">
        <f ca="1"/>
        <v/>
      </c>
      <c r="CS398" s="18" t="str">
        <f ca="1"/>
        <v/>
      </c>
      <c r="CT398" s="18" t="str">
        <f ca="1"/>
        <v/>
      </c>
      <c r="CV398" s="10"/>
      <c r="CY398" s="18" t="str">
        <f ca="1"/>
        <v/>
      </c>
      <c r="CZ398" s="18" t="str">
        <f ca="1"/>
        <v/>
      </c>
      <c r="DA398" s="18" t="str">
        <f ca="1"/>
        <v/>
      </c>
      <c r="DC398" s="10"/>
    </row>
    <row r="399" spans="1:107" x14ac:dyDescent="0.25">
      <c r="A399" s="46"/>
      <c r="B399" s="52"/>
      <c r="C399" s="52"/>
      <c r="D399" s="16"/>
      <c r="E399" s="52"/>
      <c r="F399" s="52"/>
      <c r="G399" s="50"/>
      <c r="H399" s="17" t="str">
        <f ca="1">IFERROR(__xludf.DUMMYFUNCTION("""COMPUTED_VALUE"""),"")</f>
        <v/>
      </c>
      <c r="I399" s="50" t="s">
        <v>29</v>
      </c>
      <c r="J399" s="50" t="s">
        <v>29</v>
      </c>
      <c r="K399" s="50" t="s">
        <v>29</v>
      </c>
      <c r="L399" s="50" t="s">
        <v>29</v>
      </c>
      <c r="M399" s="50" t="s">
        <v>29</v>
      </c>
      <c r="N399" s="49"/>
      <c r="P399" s="19"/>
      <c r="Q399" s="18" t="str">
        <f ca="1">IFERROR(__xludf.DUMMYFUNCTION("""COMPUTED_VALUE"""),"")</f>
        <v/>
      </c>
      <c r="R399" s="19"/>
      <c r="S399" s="20"/>
      <c r="BP399" s="10"/>
      <c r="BW399" s="10"/>
      <c r="CF399" s="10"/>
      <c r="CM399" s="10"/>
      <c r="CP399" s="18" t="str">
        <f ca="1"/>
        <v/>
      </c>
      <c r="CQ399" s="18" t="str">
        <f ca="1"/>
        <v/>
      </c>
      <c r="CR399" s="18" t="str">
        <f ca="1"/>
        <v/>
      </c>
      <c r="CS399" s="18" t="str">
        <f ca="1"/>
        <v/>
      </c>
      <c r="CT399" s="18" t="str">
        <f ca="1"/>
        <v/>
      </c>
      <c r="CV399" s="10"/>
      <c r="CY399" s="18" t="str">
        <f ca="1"/>
        <v/>
      </c>
      <c r="CZ399" s="18" t="str">
        <f ca="1"/>
        <v/>
      </c>
      <c r="DA399" s="18" t="str">
        <f ca="1"/>
        <v/>
      </c>
      <c r="DC399" s="10"/>
    </row>
    <row r="400" spans="1:107" x14ac:dyDescent="0.25">
      <c r="A400" s="46"/>
      <c r="B400" s="52"/>
      <c r="C400" s="52"/>
      <c r="D400" s="16"/>
      <c r="E400" s="52"/>
      <c r="F400" s="52"/>
      <c r="G400" s="50"/>
      <c r="H400" s="17" t="str">
        <f ca="1">IFERROR(__xludf.DUMMYFUNCTION("""COMPUTED_VALUE"""),"")</f>
        <v/>
      </c>
      <c r="I400" s="50" t="s">
        <v>29</v>
      </c>
      <c r="J400" s="50" t="s">
        <v>29</v>
      </c>
      <c r="K400" s="50" t="s">
        <v>29</v>
      </c>
      <c r="L400" s="50" t="s">
        <v>29</v>
      </c>
      <c r="M400" s="50" t="s">
        <v>29</v>
      </c>
      <c r="N400" s="49"/>
      <c r="P400" s="19"/>
      <c r="Q400" s="18" t="str">
        <f ca="1">IFERROR(__xludf.DUMMYFUNCTION("""COMPUTED_VALUE"""),"")</f>
        <v/>
      </c>
      <c r="R400" s="19"/>
      <c r="S400" s="20"/>
      <c r="BP400" s="10"/>
      <c r="BW400" s="10"/>
      <c r="CF400" s="10"/>
      <c r="CM400" s="10"/>
      <c r="CP400" s="18" t="str">
        <f ca="1"/>
        <v/>
      </c>
      <c r="CQ400" s="18" t="str">
        <f ca="1"/>
        <v/>
      </c>
      <c r="CR400" s="18" t="str">
        <f ca="1"/>
        <v/>
      </c>
      <c r="CS400" s="18" t="str">
        <f ca="1"/>
        <v/>
      </c>
      <c r="CT400" s="18" t="str">
        <f ca="1"/>
        <v/>
      </c>
      <c r="CV400" s="10"/>
      <c r="CY400" s="18" t="str">
        <f ca="1"/>
        <v/>
      </c>
      <c r="CZ400" s="18" t="str">
        <f ca="1"/>
        <v/>
      </c>
      <c r="DA400" s="18" t="str">
        <f ca="1"/>
        <v/>
      </c>
      <c r="DC400" s="10"/>
    </row>
    <row r="401" spans="1:107" x14ac:dyDescent="0.25">
      <c r="A401" s="46"/>
      <c r="B401" s="52"/>
      <c r="C401" s="52"/>
      <c r="D401" s="16"/>
      <c r="E401" s="52"/>
      <c r="F401" s="52"/>
      <c r="G401" s="50"/>
      <c r="H401" s="17" t="str">
        <f ca="1">IFERROR(__xludf.DUMMYFUNCTION("""COMPUTED_VALUE"""),"")</f>
        <v/>
      </c>
      <c r="I401" s="50" t="s">
        <v>29</v>
      </c>
      <c r="J401" s="50" t="s">
        <v>29</v>
      </c>
      <c r="K401" s="50" t="s">
        <v>29</v>
      </c>
      <c r="L401" s="50" t="s">
        <v>29</v>
      </c>
      <c r="M401" s="50" t="s">
        <v>29</v>
      </c>
      <c r="N401" s="49"/>
      <c r="P401" s="19"/>
      <c r="Q401" s="18" t="str">
        <f ca="1">IFERROR(__xludf.DUMMYFUNCTION("""COMPUTED_VALUE"""),"")</f>
        <v/>
      </c>
      <c r="R401" s="19"/>
      <c r="S401" s="20"/>
      <c r="BP401" s="10"/>
      <c r="BW401" s="10"/>
      <c r="CF401" s="10"/>
      <c r="CM401" s="10"/>
      <c r="CP401" s="18" t="str">
        <f ca="1"/>
        <v/>
      </c>
      <c r="CQ401" s="18" t="str">
        <f ca="1"/>
        <v/>
      </c>
      <c r="CR401" s="18" t="str">
        <f ca="1"/>
        <v/>
      </c>
      <c r="CS401" s="18" t="str">
        <f ca="1"/>
        <v/>
      </c>
      <c r="CT401" s="18" t="str">
        <f ca="1"/>
        <v/>
      </c>
      <c r="CV401" s="10"/>
      <c r="CY401" s="18" t="str">
        <f ca="1"/>
        <v/>
      </c>
      <c r="CZ401" s="18" t="str">
        <f ca="1"/>
        <v/>
      </c>
      <c r="DA401" s="18" t="str">
        <f ca="1"/>
        <v/>
      </c>
      <c r="DC401" s="10"/>
    </row>
    <row r="402" spans="1:107" x14ac:dyDescent="0.25">
      <c r="A402" s="46"/>
      <c r="B402" s="52"/>
      <c r="C402" s="52"/>
      <c r="D402" s="16"/>
      <c r="E402" s="52"/>
      <c r="F402" s="52"/>
      <c r="G402" s="50"/>
      <c r="H402" s="17" t="str">
        <f ca="1">IFERROR(__xludf.DUMMYFUNCTION("""COMPUTED_VALUE"""),"")</f>
        <v/>
      </c>
      <c r="I402" s="50" t="s">
        <v>29</v>
      </c>
      <c r="J402" s="50" t="s">
        <v>29</v>
      </c>
      <c r="K402" s="50" t="s">
        <v>29</v>
      </c>
      <c r="L402" s="50" t="s">
        <v>29</v>
      </c>
      <c r="M402" s="50" t="s">
        <v>29</v>
      </c>
      <c r="N402" s="49"/>
      <c r="P402" s="19"/>
      <c r="Q402" s="18" t="str">
        <f ca="1">IFERROR(__xludf.DUMMYFUNCTION("""COMPUTED_VALUE"""),"")</f>
        <v/>
      </c>
      <c r="R402" s="19"/>
      <c r="S402" s="20"/>
      <c r="BP402" s="10"/>
      <c r="BW402" s="10"/>
      <c r="CF402" s="10"/>
      <c r="CM402" s="10"/>
      <c r="CP402" s="18" t="str">
        <f ca="1"/>
        <v/>
      </c>
      <c r="CQ402" s="18" t="str">
        <f ca="1"/>
        <v/>
      </c>
      <c r="CR402" s="18" t="str">
        <f ca="1"/>
        <v/>
      </c>
      <c r="CS402" s="18" t="str">
        <f ca="1"/>
        <v/>
      </c>
      <c r="CT402" s="18" t="str">
        <f ca="1"/>
        <v/>
      </c>
      <c r="CV402" s="10"/>
      <c r="CY402" s="18" t="str">
        <f ca="1"/>
        <v/>
      </c>
      <c r="CZ402" s="18" t="str">
        <f ca="1"/>
        <v/>
      </c>
      <c r="DA402" s="18" t="str">
        <f ca="1"/>
        <v/>
      </c>
      <c r="DC402" s="10"/>
    </row>
    <row r="403" spans="1:107" x14ac:dyDescent="0.25">
      <c r="A403" s="46"/>
      <c r="B403" s="52"/>
      <c r="C403" s="52"/>
      <c r="D403" s="16"/>
      <c r="E403" s="52"/>
      <c r="F403" s="52"/>
      <c r="G403" s="50"/>
      <c r="H403" s="17" t="str">
        <f ca="1">IFERROR(__xludf.DUMMYFUNCTION("""COMPUTED_VALUE"""),"")</f>
        <v/>
      </c>
      <c r="I403" s="50" t="s">
        <v>29</v>
      </c>
      <c r="J403" s="50" t="s">
        <v>29</v>
      </c>
      <c r="K403" s="50" t="s">
        <v>29</v>
      </c>
      <c r="L403" s="50" t="s">
        <v>29</v>
      </c>
      <c r="M403" s="50" t="s">
        <v>29</v>
      </c>
      <c r="N403" s="49"/>
      <c r="P403" s="19"/>
      <c r="Q403" s="18" t="str">
        <f ca="1">IFERROR(__xludf.DUMMYFUNCTION("""COMPUTED_VALUE"""),"")</f>
        <v/>
      </c>
      <c r="R403" s="19"/>
      <c r="S403" s="20"/>
      <c r="BP403" s="10"/>
      <c r="BW403" s="10"/>
      <c r="CF403" s="10"/>
      <c r="CM403" s="10"/>
      <c r="CP403" s="18" t="str">
        <f ca="1"/>
        <v/>
      </c>
      <c r="CQ403" s="18" t="str">
        <f ca="1"/>
        <v/>
      </c>
      <c r="CR403" s="18" t="str">
        <f ca="1"/>
        <v/>
      </c>
      <c r="CS403" s="18" t="str">
        <f ca="1"/>
        <v/>
      </c>
      <c r="CT403" s="18" t="str">
        <f ca="1"/>
        <v/>
      </c>
      <c r="CV403" s="10"/>
      <c r="CY403" s="18" t="str">
        <f ca="1"/>
        <v/>
      </c>
      <c r="CZ403" s="18" t="str">
        <f ca="1"/>
        <v/>
      </c>
      <c r="DA403" s="18" t="str">
        <f ca="1"/>
        <v/>
      </c>
      <c r="DC403" s="10"/>
    </row>
    <row r="404" spans="1:107" x14ac:dyDescent="0.25">
      <c r="A404" s="46"/>
      <c r="B404" s="52"/>
      <c r="C404" s="52"/>
      <c r="D404" s="16"/>
      <c r="E404" s="52"/>
      <c r="F404" s="52"/>
      <c r="G404" s="50"/>
      <c r="H404" s="17" t="str">
        <f ca="1">IFERROR(__xludf.DUMMYFUNCTION("""COMPUTED_VALUE"""),"")</f>
        <v/>
      </c>
      <c r="I404" s="50" t="s">
        <v>29</v>
      </c>
      <c r="J404" s="50" t="s">
        <v>29</v>
      </c>
      <c r="K404" s="50" t="s">
        <v>29</v>
      </c>
      <c r="L404" s="50" t="s">
        <v>29</v>
      </c>
      <c r="M404" s="50" t="s">
        <v>29</v>
      </c>
      <c r="N404" s="49"/>
      <c r="P404" s="19"/>
      <c r="Q404" s="18" t="str">
        <f ca="1">IFERROR(__xludf.DUMMYFUNCTION("""COMPUTED_VALUE"""),"")</f>
        <v/>
      </c>
      <c r="R404" s="19"/>
      <c r="S404" s="20"/>
      <c r="BP404" s="10"/>
      <c r="BW404" s="10"/>
      <c r="CF404" s="10"/>
      <c r="CM404" s="10"/>
      <c r="CP404" s="18" t="str">
        <f ca="1"/>
        <v/>
      </c>
      <c r="CQ404" s="18" t="str">
        <f ca="1"/>
        <v/>
      </c>
      <c r="CR404" s="18" t="str">
        <f ca="1"/>
        <v/>
      </c>
      <c r="CS404" s="18" t="str">
        <f ca="1"/>
        <v/>
      </c>
      <c r="CT404" s="18" t="str">
        <f ca="1"/>
        <v/>
      </c>
      <c r="CV404" s="10"/>
      <c r="CY404" s="18" t="str">
        <f ca="1"/>
        <v/>
      </c>
      <c r="CZ404" s="18" t="str">
        <f ca="1"/>
        <v/>
      </c>
      <c r="DA404" s="18" t="str">
        <f ca="1"/>
        <v/>
      </c>
      <c r="DC404" s="10"/>
    </row>
    <row r="405" spans="1:107" x14ac:dyDescent="0.25">
      <c r="A405" s="46"/>
      <c r="B405" s="52"/>
      <c r="C405" s="52"/>
      <c r="D405" s="16"/>
      <c r="E405" s="52"/>
      <c r="F405" s="52"/>
      <c r="G405" s="50"/>
      <c r="H405" s="17" t="str">
        <f ca="1">IFERROR(__xludf.DUMMYFUNCTION("""COMPUTED_VALUE"""),"")</f>
        <v/>
      </c>
      <c r="I405" s="50" t="s">
        <v>29</v>
      </c>
      <c r="J405" s="50" t="s">
        <v>29</v>
      </c>
      <c r="K405" s="50" t="s">
        <v>29</v>
      </c>
      <c r="L405" s="50" t="s">
        <v>29</v>
      </c>
      <c r="M405" s="50" t="s">
        <v>29</v>
      </c>
      <c r="N405" s="49"/>
      <c r="P405" s="19"/>
      <c r="Q405" s="18" t="str">
        <f ca="1">IFERROR(__xludf.DUMMYFUNCTION("""COMPUTED_VALUE"""),"")</f>
        <v/>
      </c>
      <c r="R405" s="19"/>
      <c r="S405" s="20"/>
      <c r="BP405" s="10"/>
      <c r="BW405" s="10"/>
      <c r="CF405" s="10"/>
      <c r="CM405" s="10"/>
      <c r="CP405" s="18" t="str">
        <f ca="1"/>
        <v/>
      </c>
      <c r="CQ405" s="18" t="str">
        <f ca="1"/>
        <v/>
      </c>
      <c r="CR405" s="18" t="str">
        <f ca="1"/>
        <v/>
      </c>
      <c r="CS405" s="18" t="str">
        <f ca="1"/>
        <v/>
      </c>
      <c r="CT405" s="18" t="str">
        <f ca="1"/>
        <v/>
      </c>
      <c r="CV405" s="10"/>
      <c r="CY405" s="18" t="str">
        <f ca="1"/>
        <v/>
      </c>
      <c r="CZ405" s="18" t="str">
        <f ca="1"/>
        <v/>
      </c>
      <c r="DA405" s="18" t="str">
        <f ca="1"/>
        <v/>
      </c>
      <c r="DC405" s="10"/>
    </row>
    <row r="406" spans="1:107" x14ac:dyDescent="0.25">
      <c r="A406" s="46"/>
      <c r="B406" s="52"/>
      <c r="C406" s="52"/>
      <c r="D406" s="16"/>
      <c r="E406" s="52"/>
      <c r="F406" s="52"/>
      <c r="G406" s="50"/>
      <c r="H406" s="17" t="str">
        <f ca="1">IFERROR(__xludf.DUMMYFUNCTION("""COMPUTED_VALUE"""),"")</f>
        <v/>
      </c>
      <c r="I406" s="50" t="s">
        <v>29</v>
      </c>
      <c r="J406" s="50" t="s">
        <v>29</v>
      </c>
      <c r="K406" s="50" t="s">
        <v>29</v>
      </c>
      <c r="L406" s="50" t="s">
        <v>29</v>
      </c>
      <c r="M406" s="50" t="s">
        <v>29</v>
      </c>
      <c r="N406" s="49"/>
      <c r="P406" s="19"/>
      <c r="Q406" s="18" t="str">
        <f ca="1">IFERROR(__xludf.DUMMYFUNCTION("""COMPUTED_VALUE"""),"")</f>
        <v/>
      </c>
      <c r="R406" s="19"/>
      <c r="S406" s="20"/>
      <c r="BP406" s="10"/>
      <c r="BW406" s="10"/>
      <c r="CF406" s="10"/>
      <c r="CM406" s="10"/>
      <c r="CP406" s="18" t="str">
        <f ca="1"/>
        <v/>
      </c>
      <c r="CQ406" s="18" t="str">
        <f ca="1"/>
        <v/>
      </c>
      <c r="CR406" s="18" t="str">
        <f ca="1"/>
        <v/>
      </c>
      <c r="CS406" s="18" t="str">
        <f ca="1"/>
        <v/>
      </c>
      <c r="CT406" s="18" t="str">
        <f ca="1"/>
        <v/>
      </c>
      <c r="CV406" s="10"/>
      <c r="CY406" s="18" t="str">
        <f ca="1"/>
        <v/>
      </c>
      <c r="CZ406" s="18" t="str">
        <f ca="1"/>
        <v/>
      </c>
      <c r="DA406" s="18" t="str">
        <f ca="1"/>
        <v/>
      </c>
      <c r="DC406" s="10"/>
    </row>
    <row r="407" spans="1:107" x14ac:dyDescent="0.25">
      <c r="A407" s="46"/>
      <c r="B407" s="52"/>
      <c r="C407" s="52"/>
      <c r="D407" s="16"/>
      <c r="E407" s="52"/>
      <c r="F407" s="52"/>
      <c r="G407" s="50"/>
      <c r="H407" s="17" t="str">
        <f ca="1">IFERROR(__xludf.DUMMYFUNCTION("""COMPUTED_VALUE"""),"")</f>
        <v/>
      </c>
      <c r="I407" s="50" t="s">
        <v>29</v>
      </c>
      <c r="J407" s="50" t="s">
        <v>29</v>
      </c>
      <c r="K407" s="50" t="s">
        <v>29</v>
      </c>
      <c r="L407" s="50" t="s">
        <v>29</v>
      </c>
      <c r="M407" s="50" t="s">
        <v>29</v>
      </c>
      <c r="N407" s="49"/>
      <c r="P407" s="19"/>
      <c r="Q407" s="18" t="str">
        <f ca="1">IFERROR(__xludf.DUMMYFUNCTION("""COMPUTED_VALUE"""),"")</f>
        <v/>
      </c>
      <c r="R407" s="19"/>
      <c r="S407" s="20"/>
      <c r="BP407" s="10"/>
      <c r="BW407" s="10"/>
      <c r="CF407" s="10"/>
      <c r="CM407" s="10"/>
      <c r="CP407" s="18" t="str">
        <f ca="1"/>
        <v/>
      </c>
      <c r="CQ407" s="18" t="str">
        <f ca="1"/>
        <v/>
      </c>
      <c r="CR407" s="18" t="str">
        <f ca="1"/>
        <v/>
      </c>
      <c r="CS407" s="18" t="str">
        <f ca="1"/>
        <v/>
      </c>
      <c r="CT407" s="18" t="str">
        <f ca="1"/>
        <v/>
      </c>
      <c r="CV407" s="10"/>
      <c r="CY407" s="18" t="str">
        <f ca="1"/>
        <v/>
      </c>
      <c r="CZ407" s="18" t="str">
        <f ca="1"/>
        <v/>
      </c>
      <c r="DA407" s="18" t="str">
        <f ca="1"/>
        <v/>
      </c>
      <c r="DC407" s="10"/>
    </row>
    <row r="408" spans="1:107" x14ac:dyDescent="0.25">
      <c r="A408" s="46"/>
      <c r="B408" s="52"/>
      <c r="C408" s="52"/>
      <c r="D408" s="16"/>
      <c r="E408" s="52"/>
      <c r="F408" s="52"/>
      <c r="G408" s="50"/>
      <c r="H408" s="17" t="str">
        <f ca="1">IFERROR(__xludf.DUMMYFUNCTION("""COMPUTED_VALUE"""),"")</f>
        <v/>
      </c>
      <c r="I408" s="50" t="s">
        <v>29</v>
      </c>
      <c r="J408" s="50" t="s">
        <v>29</v>
      </c>
      <c r="K408" s="50" t="s">
        <v>29</v>
      </c>
      <c r="L408" s="50" t="s">
        <v>29</v>
      </c>
      <c r="M408" s="50" t="s">
        <v>29</v>
      </c>
      <c r="N408" s="49"/>
      <c r="P408" s="19"/>
      <c r="Q408" s="18" t="str">
        <f ca="1">IFERROR(__xludf.DUMMYFUNCTION("""COMPUTED_VALUE"""),"")</f>
        <v/>
      </c>
      <c r="R408" s="19"/>
      <c r="S408" s="20"/>
      <c r="BP408" s="10"/>
      <c r="BW408" s="10"/>
      <c r="CF408" s="10"/>
      <c r="CM408" s="10"/>
      <c r="CP408" s="18" t="str">
        <f ca="1"/>
        <v/>
      </c>
      <c r="CQ408" s="18" t="str">
        <f ca="1"/>
        <v/>
      </c>
      <c r="CR408" s="18" t="str">
        <f ca="1"/>
        <v/>
      </c>
      <c r="CS408" s="18" t="str">
        <f ca="1"/>
        <v/>
      </c>
      <c r="CT408" s="18" t="str">
        <f ca="1"/>
        <v/>
      </c>
      <c r="CV408" s="10"/>
      <c r="CY408" s="18" t="str">
        <f ca="1"/>
        <v/>
      </c>
      <c r="CZ408" s="18" t="str">
        <f ca="1"/>
        <v/>
      </c>
      <c r="DA408" s="18" t="str">
        <f ca="1"/>
        <v/>
      </c>
      <c r="DC408" s="10"/>
    </row>
    <row r="409" spans="1:107" x14ac:dyDescent="0.25">
      <c r="A409" s="46"/>
      <c r="B409" s="52"/>
      <c r="C409" s="52"/>
      <c r="D409" s="16"/>
      <c r="E409" s="52"/>
      <c r="F409" s="52"/>
      <c r="G409" s="50"/>
      <c r="H409" s="17" t="str">
        <f ca="1">IFERROR(__xludf.DUMMYFUNCTION("""COMPUTED_VALUE"""),"")</f>
        <v/>
      </c>
      <c r="I409" s="50" t="s">
        <v>29</v>
      </c>
      <c r="J409" s="50" t="s">
        <v>29</v>
      </c>
      <c r="K409" s="50" t="s">
        <v>29</v>
      </c>
      <c r="L409" s="50" t="s">
        <v>29</v>
      </c>
      <c r="M409" s="50" t="s">
        <v>29</v>
      </c>
      <c r="N409" s="49"/>
      <c r="P409" s="19"/>
      <c r="Q409" s="18" t="str">
        <f ca="1">IFERROR(__xludf.DUMMYFUNCTION("""COMPUTED_VALUE"""),"")</f>
        <v/>
      </c>
      <c r="R409" s="19"/>
      <c r="S409" s="20"/>
      <c r="BP409" s="10"/>
      <c r="BW409" s="10"/>
      <c r="CF409" s="10"/>
      <c r="CM409" s="10"/>
      <c r="CP409" s="18" t="str">
        <f ca="1"/>
        <v/>
      </c>
      <c r="CQ409" s="18" t="str">
        <f ca="1"/>
        <v/>
      </c>
      <c r="CR409" s="18" t="str">
        <f ca="1"/>
        <v/>
      </c>
      <c r="CS409" s="18" t="str">
        <f ca="1"/>
        <v/>
      </c>
      <c r="CT409" s="18" t="str">
        <f ca="1"/>
        <v/>
      </c>
      <c r="CV409" s="10"/>
      <c r="CY409" s="18" t="str">
        <f ca="1"/>
        <v/>
      </c>
      <c r="CZ409" s="18" t="str">
        <f ca="1"/>
        <v/>
      </c>
      <c r="DA409" s="18" t="str">
        <f ca="1"/>
        <v/>
      </c>
      <c r="DC409" s="10"/>
    </row>
    <row r="410" spans="1:107" x14ac:dyDescent="0.25">
      <c r="A410" s="46"/>
      <c r="B410" s="52"/>
      <c r="C410" s="52"/>
      <c r="D410" s="16"/>
      <c r="E410" s="52"/>
      <c r="F410" s="52"/>
      <c r="G410" s="50"/>
      <c r="H410" s="17" t="str">
        <f ca="1">IFERROR(__xludf.DUMMYFUNCTION("""COMPUTED_VALUE"""),"")</f>
        <v/>
      </c>
      <c r="I410" s="50" t="s">
        <v>29</v>
      </c>
      <c r="J410" s="50" t="s">
        <v>29</v>
      </c>
      <c r="K410" s="50" t="s">
        <v>29</v>
      </c>
      <c r="L410" s="50" t="s">
        <v>29</v>
      </c>
      <c r="M410" s="50" t="s">
        <v>29</v>
      </c>
      <c r="N410" s="49"/>
      <c r="P410" s="19"/>
      <c r="Q410" s="18" t="str">
        <f ca="1">IFERROR(__xludf.DUMMYFUNCTION("""COMPUTED_VALUE"""),"")</f>
        <v/>
      </c>
      <c r="R410" s="19"/>
      <c r="S410" s="20"/>
      <c r="BP410" s="10"/>
      <c r="BW410" s="10"/>
      <c r="CF410" s="10"/>
      <c r="CM410" s="10"/>
      <c r="CP410" s="18" t="str">
        <f ca="1"/>
        <v/>
      </c>
      <c r="CQ410" s="18" t="str">
        <f ca="1"/>
        <v/>
      </c>
      <c r="CR410" s="18" t="str">
        <f ca="1"/>
        <v/>
      </c>
      <c r="CS410" s="18" t="str">
        <f ca="1"/>
        <v/>
      </c>
      <c r="CT410" s="18" t="str">
        <f ca="1"/>
        <v/>
      </c>
      <c r="CV410" s="10"/>
      <c r="CY410" s="18" t="str">
        <f ca="1"/>
        <v/>
      </c>
      <c r="CZ410" s="18" t="str">
        <f ca="1"/>
        <v/>
      </c>
      <c r="DA410" s="18" t="str">
        <f ca="1"/>
        <v/>
      </c>
      <c r="DC410" s="10"/>
    </row>
    <row r="411" spans="1:107" x14ac:dyDescent="0.25">
      <c r="A411" s="46"/>
      <c r="B411" s="52"/>
      <c r="C411" s="52"/>
      <c r="D411" s="16"/>
      <c r="E411" s="52"/>
      <c r="F411" s="52"/>
      <c r="G411" s="50"/>
      <c r="H411" s="17" t="str">
        <f ca="1">IFERROR(__xludf.DUMMYFUNCTION("""COMPUTED_VALUE"""),"")</f>
        <v/>
      </c>
      <c r="I411" s="50" t="s">
        <v>29</v>
      </c>
      <c r="J411" s="50" t="s">
        <v>29</v>
      </c>
      <c r="K411" s="50" t="s">
        <v>29</v>
      </c>
      <c r="L411" s="50" t="s">
        <v>29</v>
      </c>
      <c r="M411" s="50" t="s">
        <v>29</v>
      </c>
      <c r="N411" s="49"/>
      <c r="P411" s="19"/>
      <c r="Q411" s="18" t="str">
        <f ca="1">IFERROR(__xludf.DUMMYFUNCTION("""COMPUTED_VALUE"""),"")</f>
        <v/>
      </c>
      <c r="R411" s="19"/>
      <c r="S411" s="20"/>
      <c r="BP411" s="10"/>
      <c r="BW411" s="10"/>
      <c r="CF411" s="10"/>
      <c r="CM411" s="10"/>
      <c r="CP411" s="18" t="str">
        <f ca="1"/>
        <v/>
      </c>
      <c r="CQ411" s="18" t="str">
        <f ca="1"/>
        <v/>
      </c>
      <c r="CR411" s="18" t="str">
        <f ca="1"/>
        <v/>
      </c>
      <c r="CS411" s="18" t="str">
        <f ca="1"/>
        <v/>
      </c>
      <c r="CT411" s="18" t="str">
        <f ca="1"/>
        <v/>
      </c>
      <c r="CV411" s="10"/>
      <c r="CY411" s="18" t="str">
        <f ca="1"/>
        <v/>
      </c>
      <c r="CZ411" s="18" t="str">
        <f ca="1"/>
        <v/>
      </c>
      <c r="DA411" s="18" t="str">
        <f ca="1"/>
        <v/>
      </c>
      <c r="DC411" s="10"/>
    </row>
    <row r="412" spans="1:107" x14ac:dyDescent="0.25">
      <c r="A412" s="46"/>
      <c r="B412" s="52"/>
      <c r="C412" s="52"/>
      <c r="D412" s="16"/>
      <c r="E412" s="52"/>
      <c r="F412" s="52"/>
      <c r="G412" s="50"/>
      <c r="H412" s="17" t="str">
        <f ca="1">IFERROR(__xludf.DUMMYFUNCTION("""COMPUTED_VALUE"""),"")</f>
        <v/>
      </c>
      <c r="I412" s="50" t="s">
        <v>29</v>
      </c>
      <c r="J412" s="50" t="s">
        <v>29</v>
      </c>
      <c r="K412" s="50" t="s">
        <v>29</v>
      </c>
      <c r="L412" s="50" t="s">
        <v>29</v>
      </c>
      <c r="M412" s="50" t="s">
        <v>29</v>
      </c>
      <c r="N412" s="49"/>
      <c r="P412" s="19"/>
      <c r="Q412" s="18" t="str">
        <f ca="1">IFERROR(__xludf.DUMMYFUNCTION("""COMPUTED_VALUE"""),"")</f>
        <v/>
      </c>
      <c r="R412" s="19"/>
      <c r="S412" s="20"/>
      <c r="BP412" s="10"/>
      <c r="BW412" s="10"/>
      <c r="CF412" s="10"/>
      <c r="CM412" s="10"/>
      <c r="CP412" s="18" t="str">
        <f ca="1"/>
        <v/>
      </c>
      <c r="CQ412" s="18" t="str">
        <f ca="1"/>
        <v/>
      </c>
      <c r="CR412" s="18" t="str">
        <f ca="1"/>
        <v/>
      </c>
      <c r="CS412" s="18" t="str">
        <f ca="1"/>
        <v/>
      </c>
      <c r="CT412" s="18" t="str">
        <f ca="1"/>
        <v/>
      </c>
      <c r="CV412" s="10"/>
      <c r="CY412" s="18" t="str">
        <f ca="1"/>
        <v/>
      </c>
      <c r="CZ412" s="18" t="str">
        <f ca="1"/>
        <v/>
      </c>
      <c r="DA412" s="18" t="str">
        <f ca="1"/>
        <v/>
      </c>
      <c r="DC412" s="10"/>
    </row>
    <row r="413" spans="1:107" x14ac:dyDescent="0.25">
      <c r="A413" s="46"/>
      <c r="B413" s="52"/>
      <c r="C413" s="52"/>
      <c r="D413" s="16"/>
      <c r="E413" s="52"/>
      <c r="F413" s="52"/>
      <c r="G413" s="50"/>
      <c r="H413" s="17" t="str">
        <f ca="1">IFERROR(__xludf.DUMMYFUNCTION("""COMPUTED_VALUE"""),"")</f>
        <v/>
      </c>
      <c r="I413" s="50" t="s">
        <v>29</v>
      </c>
      <c r="J413" s="50" t="s">
        <v>29</v>
      </c>
      <c r="K413" s="50" t="s">
        <v>29</v>
      </c>
      <c r="L413" s="50" t="s">
        <v>29</v>
      </c>
      <c r="M413" s="50" t="s">
        <v>29</v>
      </c>
      <c r="N413" s="49"/>
      <c r="P413" s="19"/>
      <c r="Q413" s="18" t="str">
        <f ca="1">IFERROR(__xludf.DUMMYFUNCTION("""COMPUTED_VALUE"""),"")</f>
        <v/>
      </c>
      <c r="R413" s="19"/>
      <c r="S413" s="20"/>
      <c r="BP413" s="10"/>
      <c r="BW413" s="10"/>
      <c r="CF413" s="10"/>
      <c r="CM413" s="10"/>
      <c r="CP413" s="18" t="str">
        <f ca="1"/>
        <v/>
      </c>
      <c r="CQ413" s="18" t="str">
        <f ca="1"/>
        <v/>
      </c>
      <c r="CR413" s="18" t="str">
        <f ca="1"/>
        <v/>
      </c>
      <c r="CS413" s="18" t="str">
        <f ca="1"/>
        <v/>
      </c>
      <c r="CT413" s="18" t="str">
        <f ca="1"/>
        <v/>
      </c>
      <c r="CV413" s="10"/>
      <c r="CY413" s="18" t="str">
        <f ca="1"/>
        <v/>
      </c>
      <c r="CZ413" s="18" t="str">
        <f ca="1"/>
        <v/>
      </c>
      <c r="DA413" s="18" t="str">
        <f ca="1"/>
        <v/>
      </c>
      <c r="DC413" s="10"/>
    </row>
    <row r="414" spans="1:107" x14ac:dyDescent="0.25">
      <c r="A414" s="46"/>
      <c r="B414" s="52"/>
      <c r="C414" s="52"/>
      <c r="D414" s="16"/>
      <c r="E414" s="52"/>
      <c r="F414" s="52"/>
      <c r="G414" s="50"/>
      <c r="H414" s="17" t="str">
        <f ca="1">IFERROR(__xludf.DUMMYFUNCTION("""COMPUTED_VALUE"""),"")</f>
        <v/>
      </c>
      <c r="I414" s="50" t="s">
        <v>29</v>
      </c>
      <c r="J414" s="50" t="s">
        <v>29</v>
      </c>
      <c r="K414" s="50" t="s">
        <v>29</v>
      </c>
      <c r="L414" s="50" t="s">
        <v>29</v>
      </c>
      <c r="M414" s="50" t="s">
        <v>29</v>
      </c>
      <c r="N414" s="49"/>
      <c r="P414" s="19"/>
      <c r="Q414" s="18" t="str">
        <f ca="1">IFERROR(__xludf.DUMMYFUNCTION("""COMPUTED_VALUE"""),"")</f>
        <v/>
      </c>
      <c r="R414" s="19"/>
      <c r="S414" s="20"/>
      <c r="BP414" s="10"/>
      <c r="BW414" s="10"/>
      <c r="CF414" s="10"/>
      <c r="CM414" s="10"/>
      <c r="CP414" s="18" t="str">
        <f ca="1"/>
        <v/>
      </c>
      <c r="CQ414" s="18" t="str">
        <f ca="1"/>
        <v/>
      </c>
      <c r="CR414" s="18" t="str">
        <f ca="1"/>
        <v/>
      </c>
      <c r="CS414" s="18" t="str">
        <f ca="1"/>
        <v/>
      </c>
      <c r="CT414" s="18" t="str">
        <f ca="1"/>
        <v/>
      </c>
      <c r="CV414" s="10"/>
      <c r="CY414" s="18" t="str">
        <f ca="1"/>
        <v/>
      </c>
      <c r="CZ414" s="18" t="str">
        <f ca="1"/>
        <v/>
      </c>
      <c r="DA414" s="18" t="str">
        <f ca="1"/>
        <v/>
      </c>
      <c r="DC414" s="10"/>
    </row>
    <row r="415" spans="1:107" x14ac:dyDescent="0.25">
      <c r="A415" s="46"/>
      <c r="B415" s="52"/>
      <c r="C415" s="52"/>
      <c r="D415" s="16"/>
      <c r="E415" s="52"/>
      <c r="F415" s="52"/>
      <c r="G415" s="50"/>
      <c r="H415" s="17" t="str">
        <f ca="1">IFERROR(__xludf.DUMMYFUNCTION("""COMPUTED_VALUE"""),"")</f>
        <v/>
      </c>
      <c r="I415" s="50" t="s">
        <v>29</v>
      </c>
      <c r="J415" s="50" t="s">
        <v>29</v>
      </c>
      <c r="K415" s="50" t="s">
        <v>29</v>
      </c>
      <c r="L415" s="50" t="s">
        <v>29</v>
      </c>
      <c r="M415" s="50" t="s">
        <v>29</v>
      </c>
      <c r="N415" s="49"/>
      <c r="P415" s="19"/>
      <c r="Q415" s="18" t="str">
        <f ca="1">IFERROR(__xludf.DUMMYFUNCTION("""COMPUTED_VALUE"""),"")</f>
        <v/>
      </c>
      <c r="R415" s="19"/>
      <c r="S415" s="20"/>
      <c r="BP415" s="10"/>
      <c r="BW415" s="10"/>
      <c r="CF415" s="10"/>
      <c r="CM415" s="10"/>
      <c r="CP415" s="18" t="str">
        <f ca="1"/>
        <v/>
      </c>
      <c r="CQ415" s="18" t="str">
        <f ca="1"/>
        <v/>
      </c>
      <c r="CR415" s="18" t="str">
        <f ca="1"/>
        <v/>
      </c>
      <c r="CS415" s="18" t="str">
        <f ca="1"/>
        <v/>
      </c>
      <c r="CT415" s="18" t="str">
        <f ca="1"/>
        <v/>
      </c>
      <c r="CV415" s="10"/>
      <c r="CY415" s="18" t="str">
        <f ca="1"/>
        <v/>
      </c>
      <c r="CZ415" s="18" t="str">
        <f ca="1"/>
        <v/>
      </c>
      <c r="DA415" s="18" t="str">
        <f ca="1"/>
        <v/>
      </c>
      <c r="DC415" s="10"/>
    </row>
    <row r="416" spans="1:107" x14ac:dyDescent="0.25">
      <c r="A416" s="46"/>
      <c r="B416" s="52"/>
      <c r="C416" s="52"/>
      <c r="D416" s="16"/>
      <c r="E416" s="52"/>
      <c r="F416" s="52"/>
      <c r="G416" s="50"/>
      <c r="H416" s="17" t="str">
        <f ca="1">IFERROR(__xludf.DUMMYFUNCTION("""COMPUTED_VALUE"""),"")</f>
        <v/>
      </c>
      <c r="I416" s="50" t="s">
        <v>29</v>
      </c>
      <c r="J416" s="50" t="s">
        <v>29</v>
      </c>
      <c r="K416" s="50" t="s">
        <v>29</v>
      </c>
      <c r="L416" s="50" t="s">
        <v>29</v>
      </c>
      <c r="M416" s="50" t="s">
        <v>29</v>
      </c>
      <c r="N416" s="49"/>
      <c r="P416" s="19"/>
      <c r="Q416" s="18" t="str">
        <f ca="1">IFERROR(__xludf.DUMMYFUNCTION("""COMPUTED_VALUE"""),"")</f>
        <v/>
      </c>
      <c r="R416" s="19"/>
      <c r="S416" s="20"/>
      <c r="BP416" s="10"/>
      <c r="BW416" s="10"/>
      <c r="CF416" s="10"/>
      <c r="CM416" s="10"/>
      <c r="CP416" s="18" t="str">
        <f ca="1"/>
        <v/>
      </c>
      <c r="CQ416" s="18" t="str">
        <f ca="1"/>
        <v/>
      </c>
      <c r="CR416" s="18" t="str">
        <f ca="1"/>
        <v/>
      </c>
      <c r="CS416" s="18" t="str">
        <f ca="1"/>
        <v/>
      </c>
      <c r="CT416" s="18" t="str">
        <f ca="1"/>
        <v/>
      </c>
      <c r="CV416" s="10"/>
      <c r="CY416" s="18" t="str">
        <f ca="1"/>
        <v/>
      </c>
      <c r="CZ416" s="18" t="str">
        <f ca="1"/>
        <v/>
      </c>
      <c r="DA416" s="18" t="str">
        <f ca="1"/>
        <v/>
      </c>
      <c r="DC416" s="10"/>
    </row>
    <row r="417" spans="1:107" x14ac:dyDescent="0.25">
      <c r="A417" s="46"/>
      <c r="B417" s="52"/>
      <c r="C417" s="52"/>
      <c r="D417" s="16"/>
      <c r="E417" s="52"/>
      <c r="F417" s="52"/>
      <c r="G417" s="50"/>
      <c r="H417" s="17" t="str">
        <f ca="1">IFERROR(__xludf.DUMMYFUNCTION("""COMPUTED_VALUE"""),"")</f>
        <v/>
      </c>
      <c r="I417" s="50" t="s">
        <v>29</v>
      </c>
      <c r="J417" s="50" t="s">
        <v>29</v>
      </c>
      <c r="K417" s="50" t="s">
        <v>29</v>
      </c>
      <c r="L417" s="50" t="s">
        <v>29</v>
      </c>
      <c r="M417" s="50" t="s">
        <v>29</v>
      </c>
      <c r="N417" s="49"/>
      <c r="P417" s="19"/>
      <c r="Q417" s="18" t="str">
        <f ca="1">IFERROR(__xludf.DUMMYFUNCTION("""COMPUTED_VALUE"""),"")</f>
        <v/>
      </c>
      <c r="R417" s="19"/>
      <c r="S417" s="20"/>
      <c r="BP417" s="10"/>
      <c r="BW417" s="10"/>
      <c r="CF417" s="10"/>
      <c r="CM417" s="10"/>
      <c r="CP417" s="18" t="str">
        <f ca="1"/>
        <v/>
      </c>
      <c r="CQ417" s="18" t="str">
        <f ca="1"/>
        <v/>
      </c>
      <c r="CR417" s="18" t="str">
        <f ca="1"/>
        <v/>
      </c>
      <c r="CS417" s="18" t="str">
        <f ca="1"/>
        <v/>
      </c>
      <c r="CT417" s="18" t="str">
        <f ca="1"/>
        <v/>
      </c>
      <c r="CV417" s="10"/>
      <c r="CY417" s="18" t="str">
        <f ca="1"/>
        <v/>
      </c>
      <c r="CZ417" s="18" t="str">
        <f ca="1"/>
        <v/>
      </c>
      <c r="DA417" s="18" t="str">
        <f ca="1"/>
        <v/>
      </c>
      <c r="DC417" s="10"/>
    </row>
    <row r="418" spans="1:107" x14ac:dyDescent="0.25">
      <c r="A418" s="46"/>
      <c r="B418" s="52"/>
      <c r="C418" s="52"/>
      <c r="D418" s="16"/>
      <c r="E418" s="52"/>
      <c r="F418" s="52"/>
      <c r="G418" s="50"/>
      <c r="H418" s="17" t="str">
        <f ca="1">IFERROR(__xludf.DUMMYFUNCTION("""COMPUTED_VALUE"""),"")</f>
        <v/>
      </c>
      <c r="I418" s="50" t="s">
        <v>29</v>
      </c>
      <c r="J418" s="50" t="s">
        <v>29</v>
      </c>
      <c r="K418" s="50" t="s">
        <v>29</v>
      </c>
      <c r="L418" s="50" t="s">
        <v>29</v>
      </c>
      <c r="M418" s="50" t="s">
        <v>29</v>
      </c>
      <c r="N418" s="49"/>
      <c r="P418" s="19"/>
      <c r="Q418" s="18" t="str">
        <f ca="1">IFERROR(__xludf.DUMMYFUNCTION("""COMPUTED_VALUE"""),"")</f>
        <v/>
      </c>
      <c r="R418" s="19"/>
      <c r="S418" s="20"/>
      <c r="BP418" s="10"/>
      <c r="BW418" s="10"/>
      <c r="CF418" s="10"/>
      <c r="CM418" s="10"/>
      <c r="CP418" s="18" t="str">
        <f ca="1"/>
        <v/>
      </c>
      <c r="CQ418" s="18" t="str">
        <f ca="1"/>
        <v/>
      </c>
      <c r="CR418" s="18" t="str">
        <f ca="1"/>
        <v/>
      </c>
      <c r="CS418" s="18" t="str">
        <f ca="1"/>
        <v/>
      </c>
      <c r="CT418" s="18" t="str">
        <f ca="1"/>
        <v/>
      </c>
      <c r="CV418" s="10"/>
      <c r="CY418" s="18" t="str">
        <f ca="1"/>
        <v/>
      </c>
      <c r="CZ418" s="18" t="str">
        <f ca="1"/>
        <v/>
      </c>
      <c r="DA418" s="18" t="str">
        <f ca="1"/>
        <v/>
      </c>
      <c r="DC418" s="10"/>
    </row>
    <row r="419" spans="1:107" x14ac:dyDescent="0.25">
      <c r="A419" s="46"/>
      <c r="B419" s="52"/>
      <c r="C419" s="52"/>
      <c r="D419" s="16"/>
      <c r="E419" s="52"/>
      <c r="F419" s="52"/>
      <c r="G419" s="50"/>
      <c r="H419" s="17" t="str">
        <f ca="1">IFERROR(__xludf.DUMMYFUNCTION("""COMPUTED_VALUE"""),"")</f>
        <v/>
      </c>
      <c r="I419" s="50" t="s">
        <v>29</v>
      </c>
      <c r="J419" s="50" t="s">
        <v>29</v>
      </c>
      <c r="K419" s="50" t="s">
        <v>29</v>
      </c>
      <c r="L419" s="50" t="s">
        <v>29</v>
      </c>
      <c r="M419" s="50" t="s">
        <v>29</v>
      </c>
      <c r="N419" s="49"/>
      <c r="P419" s="19"/>
      <c r="Q419" s="18" t="str">
        <f ca="1">IFERROR(__xludf.DUMMYFUNCTION("""COMPUTED_VALUE"""),"")</f>
        <v/>
      </c>
      <c r="R419" s="19"/>
      <c r="S419" s="20"/>
      <c r="BP419" s="10"/>
      <c r="BW419" s="10"/>
      <c r="CF419" s="10"/>
      <c r="CM419" s="10"/>
      <c r="CP419" s="18" t="str">
        <f ca="1"/>
        <v/>
      </c>
      <c r="CQ419" s="18" t="str">
        <f ca="1"/>
        <v/>
      </c>
      <c r="CR419" s="18" t="str">
        <f ca="1"/>
        <v/>
      </c>
      <c r="CS419" s="18" t="str">
        <f ca="1"/>
        <v/>
      </c>
      <c r="CT419" s="18" t="str">
        <f ca="1"/>
        <v/>
      </c>
      <c r="CV419" s="10"/>
      <c r="CY419" s="18" t="str">
        <f ca="1"/>
        <v/>
      </c>
      <c r="CZ419" s="18" t="str">
        <f ca="1"/>
        <v/>
      </c>
      <c r="DA419" s="18" t="str">
        <f ca="1"/>
        <v/>
      </c>
      <c r="DC419" s="10"/>
    </row>
    <row r="420" spans="1:107" x14ac:dyDescent="0.25">
      <c r="A420" s="46"/>
      <c r="B420" s="52"/>
      <c r="C420" s="52"/>
      <c r="D420" s="16"/>
      <c r="E420" s="52"/>
      <c r="F420" s="52"/>
      <c r="G420" s="50"/>
      <c r="H420" s="17" t="str">
        <f ca="1">IFERROR(__xludf.DUMMYFUNCTION("""COMPUTED_VALUE"""),"")</f>
        <v/>
      </c>
      <c r="I420" s="50" t="s">
        <v>29</v>
      </c>
      <c r="J420" s="50" t="s">
        <v>29</v>
      </c>
      <c r="K420" s="50" t="s">
        <v>29</v>
      </c>
      <c r="L420" s="50" t="s">
        <v>29</v>
      </c>
      <c r="M420" s="50" t="s">
        <v>29</v>
      </c>
      <c r="N420" s="49"/>
      <c r="P420" s="19"/>
      <c r="Q420" s="18" t="str">
        <f ca="1">IFERROR(__xludf.DUMMYFUNCTION("""COMPUTED_VALUE"""),"")</f>
        <v/>
      </c>
      <c r="R420" s="19"/>
      <c r="S420" s="20"/>
      <c r="BP420" s="10"/>
      <c r="BW420" s="10"/>
      <c r="CF420" s="10"/>
      <c r="CM420" s="10"/>
      <c r="CP420" s="18" t="str">
        <f ca="1"/>
        <v/>
      </c>
      <c r="CQ420" s="18" t="str">
        <f ca="1"/>
        <v/>
      </c>
      <c r="CR420" s="18" t="str">
        <f ca="1"/>
        <v/>
      </c>
      <c r="CS420" s="18" t="str">
        <f ca="1"/>
        <v/>
      </c>
      <c r="CT420" s="18" t="str">
        <f ca="1"/>
        <v/>
      </c>
      <c r="CV420" s="10"/>
      <c r="CY420" s="18" t="str">
        <f ca="1"/>
        <v/>
      </c>
      <c r="CZ420" s="18" t="str">
        <f ca="1"/>
        <v/>
      </c>
      <c r="DA420" s="18" t="str">
        <f ca="1"/>
        <v/>
      </c>
      <c r="DC420" s="10"/>
    </row>
    <row r="421" spans="1:107" x14ac:dyDescent="0.25">
      <c r="A421" s="46"/>
      <c r="B421" s="52"/>
      <c r="C421" s="52"/>
      <c r="D421" s="16"/>
      <c r="E421" s="52"/>
      <c r="F421" s="52"/>
      <c r="G421" s="50"/>
      <c r="H421" s="17" t="str">
        <f ca="1">IFERROR(__xludf.DUMMYFUNCTION("""COMPUTED_VALUE"""),"")</f>
        <v/>
      </c>
      <c r="I421" s="50" t="s">
        <v>29</v>
      </c>
      <c r="J421" s="50" t="s">
        <v>29</v>
      </c>
      <c r="K421" s="50" t="s">
        <v>29</v>
      </c>
      <c r="L421" s="50" t="s">
        <v>29</v>
      </c>
      <c r="M421" s="50" t="s">
        <v>29</v>
      </c>
      <c r="N421" s="49"/>
      <c r="P421" s="19"/>
      <c r="Q421" s="18" t="str">
        <f ca="1">IFERROR(__xludf.DUMMYFUNCTION("""COMPUTED_VALUE"""),"")</f>
        <v/>
      </c>
      <c r="R421" s="19"/>
      <c r="S421" s="20"/>
      <c r="BP421" s="10"/>
      <c r="BW421" s="10"/>
      <c r="CF421" s="10"/>
      <c r="CM421" s="10"/>
      <c r="CP421" s="18" t="str">
        <f ca="1"/>
        <v/>
      </c>
      <c r="CQ421" s="18" t="str">
        <f ca="1"/>
        <v/>
      </c>
      <c r="CR421" s="18" t="str">
        <f ca="1"/>
        <v/>
      </c>
      <c r="CS421" s="18" t="str">
        <f ca="1"/>
        <v/>
      </c>
      <c r="CT421" s="18" t="str">
        <f ca="1"/>
        <v/>
      </c>
      <c r="CV421" s="10"/>
      <c r="CY421" s="18" t="str">
        <f ca="1"/>
        <v/>
      </c>
      <c r="CZ421" s="18" t="str">
        <f ca="1"/>
        <v/>
      </c>
      <c r="DA421" s="18" t="str">
        <f ca="1"/>
        <v/>
      </c>
      <c r="DC421" s="10"/>
    </row>
    <row r="422" spans="1:107" x14ac:dyDescent="0.25">
      <c r="A422" s="46"/>
      <c r="B422" s="52"/>
      <c r="C422" s="52"/>
      <c r="D422" s="16"/>
      <c r="E422" s="52"/>
      <c r="F422" s="52"/>
      <c r="G422" s="50"/>
      <c r="H422" s="17" t="str">
        <f ca="1">IFERROR(__xludf.DUMMYFUNCTION("""COMPUTED_VALUE"""),"")</f>
        <v/>
      </c>
      <c r="I422" s="50" t="s">
        <v>29</v>
      </c>
      <c r="J422" s="50" t="s">
        <v>29</v>
      </c>
      <c r="K422" s="50" t="s">
        <v>29</v>
      </c>
      <c r="L422" s="50" t="s">
        <v>29</v>
      </c>
      <c r="M422" s="50" t="s">
        <v>29</v>
      </c>
      <c r="N422" s="49"/>
      <c r="P422" s="19"/>
      <c r="Q422" s="18" t="str">
        <f ca="1">IFERROR(__xludf.DUMMYFUNCTION("""COMPUTED_VALUE"""),"")</f>
        <v/>
      </c>
      <c r="R422" s="19"/>
      <c r="S422" s="20"/>
      <c r="BP422" s="10"/>
      <c r="BW422" s="10"/>
      <c r="CF422" s="10"/>
      <c r="CM422" s="10"/>
      <c r="CP422" s="18" t="str">
        <f ca="1"/>
        <v/>
      </c>
      <c r="CQ422" s="18" t="str">
        <f ca="1"/>
        <v/>
      </c>
      <c r="CR422" s="18" t="str">
        <f ca="1"/>
        <v/>
      </c>
      <c r="CS422" s="18" t="str">
        <f ca="1"/>
        <v/>
      </c>
      <c r="CT422" s="18" t="str">
        <f ca="1"/>
        <v/>
      </c>
      <c r="CV422" s="10"/>
      <c r="CY422" s="18" t="str">
        <f ca="1"/>
        <v/>
      </c>
      <c r="CZ422" s="18" t="str">
        <f ca="1"/>
        <v/>
      </c>
      <c r="DA422" s="18" t="str">
        <f ca="1"/>
        <v/>
      </c>
      <c r="DC422" s="10"/>
    </row>
    <row r="423" spans="1:107" x14ac:dyDescent="0.25">
      <c r="A423" s="46"/>
      <c r="B423" s="52"/>
      <c r="C423" s="52"/>
      <c r="D423" s="16"/>
      <c r="E423" s="52"/>
      <c r="F423" s="52"/>
      <c r="G423" s="50"/>
      <c r="H423" s="17" t="str">
        <f ca="1">IFERROR(__xludf.DUMMYFUNCTION("""COMPUTED_VALUE"""),"")</f>
        <v/>
      </c>
      <c r="I423" s="50" t="s">
        <v>29</v>
      </c>
      <c r="J423" s="50" t="s">
        <v>29</v>
      </c>
      <c r="K423" s="50" t="s">
        <v>29</v>
      </c>
      <c r="L423" s="50" t="s">
        <v>29</v>
      </c>
      <c r="M423" s="50" t="s">
        <v>29</v>
      </c>
      <c r="N423" s="49"/>
      <c r="P423" s="19"/>
      <c r="Q423" s="18" t="str">
        <f ca="1">IFERROR(__xludf.DUMMYFUNCTION("""COMPUTED_VALUE"""),"")</f>
        <v/>
      </c>
      <c r="R423" s="19"/>
      <c r="S423" s="20"/>
      <c r="BP423" s="10"/>
      <c r="BW423" s="10"/>
      <c r="CF423" s="10"/>
      <c r="CM423" s="10"/>
      <c r="CP423" s="18" t="str">
        <f ca="1"/>
        <v/>
      </c>
      <c r="CQ423" s="18" t="str">
        <f ca="1"/>
        <v/>
      </c>
      <c r="CR423" s="18" t="str">
        <f ca="1"/>
        <v/>
      </c>
      <c r="CS423" s="18" t="str">
        <f ca="1"/>
        <v/>
      </c>
      <c r="CT423" s="18" t="str">
        <f ca="1"/>
        <v/>
      </c>
      <c r="CV423" s="10"/>
      <c r="CY423" s="18" t="str">
        <f ca="1"/>
        <v/>
      </c>
      <c r="CZ423" s="18" t="str">
        <f ca="1"/>
        <v/>
      </c>
      <c r="DA423" s="18" t="str">
        <f ca="1"/>
        <v/>
      </c>
      <c r="DC423" s="10"/>
    </row>
    <row r="424" spans="1:107" x14ac:dyDescent="0.25">
      <c r="A424" s="46"/>
      <c r="B424" s="52"/>
      <c r="C424" s="52"/>
      <c r="D424" s="16"/>
      <c r="E424" s="52"/>
      <c r="F424" s="52"/>
      <c r="G424" s="50"/>
      <c r="H424" s="17" t="str">
        <f ca="1">IFERROR(__xludf.DUMMYFUNCTION("""COMPUTED_VALUE"""),"")</f>
        <v/>
      </c>
      <c r="I424" s="50" t="s">
        <v>29</v>
      </c>
      <c r="J424" s="50" t="s">
        <v>29</v>
      </c>
      <c r="K424" s="50" t="s">
        <v>29</v>
      </c>
      <c r="L424" s="50" t="s">
        <v>29</v>
      </c>
      <c r="M424" s="50" t="s">
        <v>29</v>
      </c>
      <c r="N424" s="49"/>
      <c r="P424" s="19"/>
      <c r="Q424" s="18" t="str">
        <f ca="1">IFERROR(__xludf.DUMMYFUNCTION("""COMPUTED_VALUE"""),"")</f>
        <v/>
      </c>
      <c r="R424" s="19"/>
      <c r="S424" s="20"/>
      <c r="BP424" s="10"/>
      <c r="BW424" s="10"/>
      <c r="CF424" s="10"/>
      <c r="CM424" s="10"/>
      <c r="CP424" s="18" t="str">
        <f ca="1"/>
        <v/>
      </c>
      <c r="CQ424" s="18" t="str">
        <f ca="1"/>
        <v/>
      </c>
      <c r="CR424" s="18" t="str">
        <f ca="1"/>
        <v/>
      </c>
      <c r="CS424" s="18" t="str">
        <f ca="1"/>
        <v/>
      </c>
      <c r="CT424" s="18" t="str">
        <f ca="1"/>
        <v/>
      </c>
      <c r="CV424" s="10"/>
      <c r="CY424" s="18" t="str">
        <f ca="1"/>
        <v/>
      </c>
      <c r="CZ424" s="18" t="str">
        <f ca="1"/>
        <v/>
      </c>
      <c r="DA424" s="18" t="str">
        <f ca="1"/>
        <v/>
      </c>
      <c r="DC424" s="10"/>
    </row>
    <row r="425" spans="1:107" x14ac:dyDescent="0.25">
      <c r="A425" s="46"/>
      <c r="B425" s="52"/>
      <c r="C425" s="52"/>
      <c r="D425" s="16"/>
      <c r="E425" s="52"/>
      <c r="F425" s="52"/>
      <c r="G425" s="50"/>
      <c r="H425" s="17" t="str">
        <f ca="1">IFERROR(__xludf.DUMMYFUNCTION("""COMPUTED_VALUE"""),"")</f>
        <v/>
      </c>
      <c r="I425" s="50" t="s">
        <v>29</v>
      </c>
      <c r="J425" s="50" t="s">
        <v>29</v>
      </c>
      <c r="K425" s="50" t="s">
        <v>29</v>
      </c>
      <c r="L425" s="50" t="s">
        <v>29</v>
      </c>
      <c r="M425" s="50" t="s">
        <v>29</v>
      </c>
      <c r="N425" s="49"/>
      <c r="P425" s="19"/>
      <c r="Q425" s="18" t="str">
        <f ca="1">IFERROR(__xludf.DUMMYFUNCTION("""COMPUTED_VALUE"""),"")</f>
        <v/>
      </c>
      <c r="R425" s="19"/>
      <c r="S425" s="20"/>
      <c r="BP425" s="10"/>
      <c r="BW425" s="10"/>
      <c r="CF425" s="10"/>
      <c r="CM425" s="10"/>
      <c r="CP425" s="18" t="str">
        <f ca="1"/>
        <v/>
      </c>
      <c r="CQ425" s="18" t="str">
        <f ca="1"/>
        <v/>
      </c>
      <c r="CR425" s="18" t="str">
        <f ca="1"/>
        <v/>
      </c>
      <c r="CS425" s="18" t="str">
        <f ca="1"/>
        <v/>
      </c>
      <c r="CT425" s="18" t="str">
        <f ca="1"/>
        <v/>
      </c>
      <c r="CV425" s="10"/>
      <c r="CY425" s="18" t="str">
        <f ca="1"/>
        <v/>
      </c>
      <c r="CZ425" s="18" t="str">
        <f ca="1"/>
        <v/>
      </c>
      <c r="DA425" s="18" t="str">
        <f ca="1"/>
        <v/>
      </c>
      <c r="DC425" s="10"/>
    </row>
    <row r="426" spans="1:107" x14ac:dyDescent="0.25">
      <c r="A426" s="46"/>
      <c r="B426" s="52"/>
      <c r="C426" s="52"/>
      <c r="D426" s="16"/>
      <c r="E426" s="52"/>
      <c r="F426" s="52"/>
      <c r="G426" s="50"/>
      <c r="H426" s="17" t="str">
        <f ca="1">IFERROR(__xludf.DUMMYFUNCTION("""COMPUTED_VALUE"""),"")</f>
        <v/>
      </c>
      <c r="I426" s="50" t="s">
        <v>29</v>
      </c>
      <c r="J426" s="50" t="s">
        <v>29</v>
      </c>
      <c r="K426" s="50" t="s">
        <v>29</v>
      </c>
      <c r="L426" s="50" t="s">
        <v>29</v>
      </c>
      <c r="M426" s="50" t="s">
        <v>29</v>
      </c>
      <c r="N426" s="49"/>
      <c r="P426" s="19"/>
      <c r="Q426" s="18" t="str">
        <f ca="1">IFERROR(__xludf.DUMMYFUNCTION("""COMPUTED_VALUE"""),"")</f>
        <v/>
      </c>
      <c r="R426" s="19"/>
      <c r="S426" s="20"/>
      <c r="BP426" s="10"/>
      <c r="BW426" s="10"/>
      <c r="CF426" s="10"/>
      <c r="CM426" s="10"/>
      <c r="CP426" s="18" t="str">
        <f ca="1"/>
        <v/>
      </c>
      <c r="CQ426" s="18" t="str">
        <f ca="1"/>
        <v/>
      </c>
      <c r="CR426" s="18" t="str">
        <f ca="1"/>
        <v/>
      </c>
      <c r="CS426" s="18" t="str">
        <f ca="1"/>
        <v/>
      </c>
      <c r="CT426" s="18" t="str">
        <f ca="1"/>
        <v/>
      </c>
      <c r="CV426" s="10"/>
      <c r="CY426" s="18" t="str">
        <f ca="1"/>
        <v/>
      </c>
      <c r="CZ426" s="18" t="str">
        <f ca="1"/>
        <v/>
      </c>
      <c r="DA426" s="18" t="str">
        <f ca="1"/>
        <v/>
      </c>
      <c r="DC426" s="10"/>
    </row>
    <row r="427" spans="1:107" x14ac:dyDescent="0.25">
      <c r="A427" s="46"/>
      <c r="B427" s="52"/>
      <c r="C427" s="52"/>
      <c r="D427" s="16"/>
      <c r="E427" s="52"/>
      <c r="F427" s="52"/>
      <c r="G427" s="50"/>
      <c r="H427" s="17" t="str">
        <f ca="1">IFERROR(__xludf.DUMMYFUNCTION("""COMPUTED_VALUE"""),"")</f>
        <v/>
      </c>
      <c r="I427" s="50" t="s">
        <v>29</v>
      </c>
      <c r="J427" s="50" t="s">
        <v>29</v>
      </c>
      <c r="K427" s="50" t="s">
        <v>29</v>
      </c>
      <c r="L427" s="50" t="s">
        <v>29</v>
      </c>
      <c r="M427" s="50" t="s">
        <v>29</v>
      </c>
      <c r="N427" s="49"/>
      <c r="P427" s="19"/>
      <c r="Q427" s="18" t="str">
        <f ca="1">IFERROR(__xludf.DUMMYFUNCTION("""COMPUTED_VALUE"""),"")</f>
        <v/>
      </c>
      <c r="R427" s="19"/>
      <c r="S427" s="20"/>
      <c r="BP427" s="10"/>
      <c r="BW427" s="10"/>
      <c r="CF427" s="10"/>
      <c r="CM427" s="10"/>
      <c r="CP427" s="18" t="str">
        <f ca="1"/>
        <v/>
      </c>
      <c r="CQ427" s="18" t="str">
        <f ca="1"/>
        <v/>
      </c>
      <c r="CR427" s="18" t="str">
        <f ca="1"/>
        <v/>
      </c>
      <c r="CS427" s="18" t="str">
        <f ca="1"/>
        <v/>
      </c>
      <c r="CT427" s="18" t="str">
        <f ca="1"/>
        <v/>
      </c>
      <c r="CV427" s="10"/>
      <c r="CY427" s="18" t="str">
        <f ca="1"/>
        <v/>
      </c>
      <c r="CZ427" s="18" t="str">
        <f ca="1"/>
        <v/>
      </c>
      <c r="DA427" s="18" t="str">
        <f ca="1"/>
        <v/>
      </c>
      <c r="DC427" s="10"/>
    </row>
    <row r="428" spans="1:107" x14ac:dyDescent="0.25">
      <c r="A428" s="46"/>
      <c r="B428" s="52"/>
      <c r="C428" s="52"/>
      <c r="D428" s="16"/>
      <c r="E428" s="52"/>
      <c r="F428" s="52"/>
      <c r="G428" s="50"/>
      <c r="H428" s="17" t="str">
        <f ca="1">IFERROR(__xludf.DUMMYFUNCTION("""COMPUTED_VALUE"""),"")</f>
        <v/>
      </c>
      <c r="I428" s="50" t="s">
        <v>29</v>
      </c>
      <c r="J428" s="50" t="s">
        <v>29</v>
      </c>
      <c r="K428" s="50" t="s">
        <v>29</v>
      </c>
      <c r="L428" s="50" t="s">
        <v>29</v>
      </c>
      <c r="M428" s="50" t="s">
        <v>29</v>
      </c>
      <c r="N428" s="49"/>
      <c r="P428" s="19"/>
      <c r="Q428" s="18" t="str">
        <f ca="1">IFERROR(__xludf.DUMMYFUNCTION("""COMPUTED_VALUE"""),"")</f>
        <v/>
      </c>
      <c r="R428" s="19"/>
      <c r="S428" s="20"/>
      <c r="BP428" s="10"/>
      <c r="BW428" s="10"/>
      <c r="CF428" s="10"/>
      <c r="CM428" s="10"/>
      <c r="CP428" s="18" t="str">
        <f ca="1"/>
        <v/>
      </c>
      <c r="CQ428" s="18" t="str">
        <f ca="1"/>
        <v/>
      </c>
      <c r="CR428" s="18" t="str">
        <f ca="1"/>
        <v/>
      </c>
      <c r="CS428" s="18" t="str">
        <f ca="1"/>
        <v/>
      </c>
      <c r="CT428" s="18" t="str">
        <f ca="1"/>
        <v/>
      </c>
      <c r="CV428" s="10"/>
      <c r="CY428" s="18" t="str">
        <f ca="1"/>
        <v/>
      </c>
      <c r="CZ428" s="18" t="str">
        <f ca="1"/>
        <v/>
      </c>
      <c r="DA428" s="18" t="str">
        <f ca="1"/>
        <v/>
      </c>
      <c r="DC428" s="10"/>
    </row>
    <row r="429" spans="1:107" x14ac:dyDescent="0.25">
      <c r="A429" s="46"/>
      <c r="B429" s="52"/>
      <c r="C429" s="52"/>
      <c r="D429" s="16"/>
      <c r="E429" s="52"/>
      <c r="F429" s="52"/>
      <c r="G429" s="50"/>
      <c r="H429" s="17" t="str">
        <f ca="1">IFERROR(__xludf.DUMMYFUNCTION("""COMPUTED_VALUE"""),"")</f>
        <v/>
      </c>
      <c r="I429" s="50" t="s">
        <v>29</v>
      </c>
      <c r="J429" s="50" t="s">
        <v>29</v>
      </c>
      <c r="K429" s="50" t="s">
        <v>29</v>
      </c>
      <c r="L429" s="50" t="s">
        <v>29</v>
      </c>
      <c r="M429" s="50" t="s">
        <v>29</v>
      </c>
      <c r="N429" s="49"/>
      <c r="P429" s="19"/>
      <c r="Q429" s="18" t="str">
        <f ca="1">IFERROR(__xludf.DUMMYFUNCTION("""COMPUTED_VALUE"""),"")</f>
        <v/>
      </c>
      <c r="R429" s="19"/>
      <c r="S429" s="20"/>
      <c r="BP429" s="10"/>
      <c r="BW429" s="10"/>
      <c r="CF429" s="10"/>
      <c r="CM429" s="10"/>
      <c r="CP429" s="18" t="str">
        <f ca="1"/>
        <v/>
      </c>
      <c r="CQ429" s="18" t="str">
        <f ca="1"/>
        <v/>
      </c>
      <c r="CR429" s="18" t="str">
        <f ca="1"/>
        <v/>
      </c>
      <c r="CS429" s="18" t="str">
        <f ca="1"/>
        <v/>
      </c>
      <c r="CT429" s="18" t="str">
        <f ca="1"/>
        <v/>
      </c>
      <c r="CV429" s="10"/>
      <c r="CY429" s="18" t="str">
        <f ca="1"/>
        <v/>
      </c>
      <c r="CZ429" s="18" t="str">
        <f ca="1"/>
        <v/>
      </c>
      <c r="DA429" s="18" t="str">
        <f ca="1"/>
        <v/>
      </c>
      <c r="DC429" s="10"/>
    </row>
    <row r="430" spans="1:107" x14ac:dyDescent="0.25">
      <c r="A430" s="46"/>
      <c r="B430" s="52"/>
      <c r="C430" s="52"/>
      <c r="D430" s="16"/>
      <c r="E430" s="52"/>
      <c r="F430" s="52"/>
      <c r="G430" s="50"/>
      <c r="H430" s="17" t="str">
        <f ca="1">IFERROR(__xludf.DUMMYFUNCTION("""COMPUTED_VALUE"""),"")</f>
        <v/>
      </c>
      <c r="I430" s="50" t="s">
        <v>29</v>
      </c>
      <c r="J430" s="50" t="s">
        <v>29</v>
      </c>
      <c r="K430" s="50" t="s">
        <v>29</v>
      </c>
      <c r="L430" s="50" t="s">
        <v>29</v>
      </c>
      <c r="M430" s="50" t="s">
        <v>29</v>
      </c>
      <c r="N430" s="49"/>
      <c r="P430" s="19"/>
      <c r="Q430" s="18" t="str">
        <f ca="1">IFERROR(__xludf.DUMMYFUNCTION("""COMPUTED_VALUE"""),"")</f>
        <v/>
      </c>
      <c r="R430" s="19"/>
      <c r="S430" s="20"/>
      <c r="BP430" s="10"/>
      <c r="BW430" s="10"/>
      <c r="CF430" s="10"/>
      <c r="CM430" s="10"/>
      <c r="CP430" s="18" t="str">
        <f ca="1"/>
        <v/>
      </c>
      <c r="CQ430" s="18" t="str">
        <f ca="1"/>
        <v/>
      </c>
      <c r="CR430" s="18" t="str">
        <f ca="1"/>
        <v/>
      </c>
      <c r="CS430" s="18" t="str">
        <f ca="1"/>
        <v/>
      </c>
      <c r="CT430" s="18" t="str">
        <f ca="1"/>
        <v/>
      </c>
      <c r="CV430" s="10"/>
      <c r="CY430" s="18" t="str">
        <f ca="1"/>
        <v/>
      </c>
      <c r="CZ430" s="18" t="str">
        <f ca="1"/>
        <v/>
      </c>
      <c r="DA430" s="18" t="str">
        <f ca="1"/>
        <v/>
      </c>
      <c r="DC430" s="10"/>
    </row>
    <row r="431" spans="1:107" x14ac:dyDescent="0.25">
      <c r="A431" s="46"/>
      <c r="B431" s="52"/>
      <c r="C431" s="52"/>
      <c r="D431" s="16"/>
      <c r="E431" s="52"/>
      <c r="F431" s="52"/>
      <c r="G431" s="50"/>
      <c r="H431" s="17" t="str">
        <f ca="1">IFERROR(__xludf.DUMMYFUNCTION("""COMPUTED_VALUE"""),"")</f>
        <v/>
      </c>
      <c r="I431" s="50" t="s">
        <v>29</v>
      </c>
      <c r="J431" s="50" t="s">
        <v>29</v>
      </c>
      <c r="K431" s="50" t="s">
        <v>29</v>
      </c>
      <c r="L431" s="50" t="s">
        <v>29</v>
      </c>
      <c r="M431" s="50" t="s">
        <v>29</v>
      </c>
      <c r="N431" s="49"/>
      <c r="P431" s="19"/>
      <c r="Q431" s="18" t="str">
        <f ca="1">IFERROR(__xludf.DUMMYFUNCTION("""COMPUTED_VALUE"""),"")</f>
        <v/>
      </c>
      <c r="R431" s="19"/>
      <c r="S431" s="20"/>
      <c r="BP431" s="10"/>
      <c r="BW431" s="10"/>
      <c r="CF431" s="10"/>
      <c r="CM431" s="10"/>
      <c r="CP431" s="18" t="str">
        <f ca="1"/>
        <v/>
      </c>
      <c r="CQ431" s="18" t="str">
        <f ca="1"/>
        <v/>
      </c>
      <c r="CR431" s="18" t="str">
        <f ca="1"/>
        <v/>
      </c>
      <c r="CS431" s="18" t="str">
        <f ca="1"/>
        <v/>
      </c>
      <c r="CT431" s="18" t="str">
        <f ca="1"/>
        <v/>
      </c>
      <c r="CV431" s="10"/>
      <c r="CY431" s="18" t="str">
        <f ca="1"/>
        <v/>
      </c>
      <c r="CZ431" s="18" t="str">
        <f ca="1"/>
        <v/>
      </c>
      <c r="DA431" s="18" t="str">
        <f ca="1"/>
        <v/>
      </c>
      <c r="DC431" s="10"/>
    </row>
    <row r="432" spans="1:107" x14ac:dyDescent="0.25">
      <c r="A432" s="46"/>
      <c r="B432" s="52"/>
      <c r="C432" s="52"/>
      <c r="D432" s="16"/>
      <c r="E432" s="52"/>
      <c r="F432" s="52"/>
      <c r="G432" s="50"/>
      <c r="H432" s="17" t="str">
        <f ca="1">IFERROR(__xludf.DUMMYFUNCTION("""COMPUTED_VALUE"""),"")</f>
        <v/>
      </c>
      <c r="I432" s="50" t="s">
        <v>29</v>
      </c>
      <c r="J432" s="50" t="s">
        <v>29</v>
      </c>
      <c r="K432" s="50" t="s">
        <v>29</v>
      </c>
      <c r="L432" s="50" t="s">
        <v>29</v>
      </c>
      <c r="M432" s="50" t="s">
        <v>29</v>
      </c>
      <c r="N432" s="49"/>
      <c r="P432" s="19"/>
      <c r="Q432" s="18" t="str">
        <f ca="1">IFERROR(__xludf.DUMMYFUNCTION("""COMPUTED_VALUE"""),"")</f>
        <v/>
      </c>
      <c r="R432" s="19"/>
      <c r="S432" s="20"/>
      <c r="BP432" s="10"/>
      <c r="BW432" s="10"/>
      <c r="CF432" s="10"/>
      <c r="CM432" s="10"/>
      <c r="CP432" s="18" t="str">
        <f ca="1"/>
        <v/>
      </c>
      <c r="CQ432" s="18" t="str">
        <f ca="1"/>
        <v/>
      </c>
      <c r="CR432" s="18" t="str">
        <f ca="1"/>
        <v/>
      </c>
      <c r="CS432" s="18" t="str">
        <f ca="1"/>
        <v/>
      </c>
      <c r="CT432" s="18" t="str">
        <f ca="1"/>
        <v/>
      </c>
      <c r="CV432" s="10"/>
      <c r="CY432" s="18" t="str">
        <f ca="1"/>
        <v/>
      </c>
      <c r="CZ432" s="18" t="str">
        <f ca="1"/>
        <v/>
      </c>
      <c r="DA432" s="18" t="str">
        <f ca="1"/>
        <v/>
      </c>
      <c r="DC432" s="10"/>
    </row>
    <row r="433" spans="1:107" x14ac:dyDescent="0.25">
      <c r="A433" s="46"/>
      <c r="B433" s="52"/>
      <c r="C433" s="52"/>
      <c r="D433" s="16"/>
      <c r="E433" s="52"/>
      <c r="F433" s="52"/>
      <c r="G433" s="50"/>
      <c r="H433" s="17" t="str">
        <f ca="1">IFERROR(__xludf.DUMMYFUNCTION("""COMPUTED_VALUE"""),"")</f>
        <v/>
      </c>
      <c r="I433" s="50" t="s">
        <v>29</v>
      </c>
      <c r="J433" s="50" t="s">
        <v>29</v>
      </c>
      <c r="K433" s="50" t="s">
        <v>29</v>
      </c>
      <c r="L433" s="50" t="s">
        <v>29</v>
      </c>
      <c r="M433" s="50" t="s">
        <v>29</v>
      </c>
      <c r="N433" s="49"/>
      <c r="P433" s="19"/>
      <c r="Q433" s="18" t="str">
        <f ca="1">IFERROR(__xludf.DUMMYFUNCTION("""COMPUTED_VALUE"""),"")</f>
        <v/>
      </c>
      <c r="R433" s="19"/>
      <c r="S433" s="20"/>
      <c r="BP433" s="10"/>
      <c r="BW433" s="10"/>
      <c r="CF433" s="10"/>
      <c r="CM433" s="10"/>
      <c r="CP433" s="18" t="str">
        <f ca="1"/>
        <v/>
      </c>
      <c r="CQ433" s="18" t="str">
        <f ca="1"/>
        <v/>
      </c>
      <c r="CR433" s="18" t="str">
        <f ca="1"/>
        <v/>
      </c>
      <c r="CS433" s="18" t="str">
        <f ca="1"/>
        <v/>
      </c>
      <c r="CT433" s="18" t="str">
        <f ca="1"/>
        <v/>
      </c>
      <c r="CV433" s="10"/>
      <c r="CY433" s="18" t="str">
        <f ca="1"/>
        <v/>
      </c>
      <c r="CZ433" s="18" t="str">
        <f ca="1"/>
        <v/>
      </c>
      <c r="DA433" s="18" t="str">
        <f ca="1"/>
        <v/>
      </c>
      <c r="DC433" s="10"/>
    </row>
    <row r="434" spans="1:107" x14ac:dyDescent="0.25">
      <c r="A434" s="46"/>
      <c r="B434" s="52"/>
      <c r="C434" s="52"/>
      <c r="D434" s="16"/>
      <c r="E434" s="52"/>
      <c r="F434" s="52"/>
      <c r="G434" s="50"/>
      <c r="H434" s="17" t="str">
        <f ca="1">IFERROR(__xludf.DUMMYFUNCTION("""COMPUTED_VALUE"""),"")</f>
        <v/>
      </c>
      <c r="I434" s="50" t="s">
        <v>29</v>
      </c>
      <c r="J434" s="50" t="s">
        <v>29</v>
      </c>
      <c r="K434" s="50" t="s">
        <v>29</v>
      </c>
      <c r="L434" s="50" t="s">
        <v>29</v>
      </c>
      <c r="M434" s="50" t="s">
        <v>29</v>
      </c>
      <c r="N434" s="49"/>
      <c r="P434" s="19"/>
      <c r="Q434" s="18" t="str">
        <f ca="1">IFERROR(__xludf.DUMMYFUNCTION("""COMPUTED_VALUE"""),"")</f>
        <v/>
      </c>
      <c r="R434" s="19"/>
      <c r="S434" s="20"/>
      <c r="BP434" s="10"/>
      <c r="BW434" s="10"/>
      <c r="CF434" s="10"/>
      <c r="CM434" s="10"/>
      <c r="CP434" s="18" t="str">
        <f ca="1"/>
        <v/>
      </c>
      <c r="CQ434" s="18" t="str">
        <f ca="1"/>
        <v/>
      </c>
      <c r="CR434" s="18" t="str">
        <f ca="1"/>
        <v/>
      </c>
      <c r="CS434" s="18" t="str">
        <f ca="1"/>
        <v/>
      </c>
      <c r="CT434" s="18" t="str">
        <f ca="1"/>
        <v/>
      </c>
      <c r="CV434" s="10"/>
      <c r="CY434" s="18" t="str">
        <f ca="1"/>
        <v/>
      </c>
      <c r="CZ434" s="18" t="str">
        <f ca="1"/>
        <v/>
      </c>
      <c r="DA434" s="18" t="str">
        <f ca="1"/>
        <v/>
      </c>
      <c r="DC434" s="10"/>
    </row>
    <row r="435" spans="1:107" x14ac:dyDescent="0.25">
      <c r="A435" s="46"/>
      <c r="B435" s="52"/>
      <c r="C435" s="52"/>
      <c r="D435" s="16"/>
      <c r="E435" s="52"/>
      <c r="F435" s="52"/>
      <c r="G435" s="50"/>
      <c r="H435" s="17" t="str">
        <f ca="1">IFERROR(__xludf.DUMMYFUNCTION("""COMPUTED_VALUE"""),"")</f>
        <v/>
      </c>
      <c r="I435" s="50" t="s">
        <v>29</v>
      </c>
      <c r="J435" s="50" t="s">
        <v>29</v>
      </c>
      <c r="K435" s="50" t="s">
        <v>29</v>
      </c>
      <c r="L435" s="50" t="s">
        <v>29</v>
      </c>
      <c r="M435" s="50" t="s">
        <v>29</v>
      </c>
      <c r="N435" s="49"/>
      <c r="P435" s="19"/>
      <c r="Q435" s="18" t="str">
        <f ca="1">IFERROR(__xludf.DUMMYFUNCTION("""COMPUTED_VALUE"""),"")</f>
        <v/>
      </c>
      <c r="R435" s="19"/>
      <c r="S435" s="20"/>
      <c r="BP435" s="10"/>
      <c r="BW435" s="10"/>
      <c r="CF435" s="10"/>
      <c r="CM435" s="10"/>
      <c r="CP435" s="18" t="str">
        <f ca="1"/>
        <v/>
      </c>
      <c r="CQ435" s="18" t="str">
        <f ca="1"/>
        <v/>
      </c>
      <c r="CR435" s="18" t="str">
        <f ca="1"/>
        <v/>
      </c>
      <c r="CS435" s="18" t="str">
        <f ca="1"/>
        <v/>
      </c>
      <c r="CT435" s="18" t="str">
        <f ca="1"/>
        <v/>
      </c>
      <c r="CV435" s="10"/>
      <c r="CY435" s="18" t="str">
        <f ca="1"/>
        <v/>
      </c>
      <c r="CZ435" s="18" t="str">
        <f ca="1"/>
        <v/>
      </c>
      <c r="DA435" s="18" t="str">
        <f ca="1"/>
        <v/>
      </c>
      <c r="DC435" s="10"/>
    </row>
    <row r="436" spans="1:107" x14ac:dyDescent="0.25">
      <c r="A436" s="46"/>
      <c r="B436" s="52"/>
      <c r="C436" s="52"/>
      <c r="D436" s="16"/>
      <c r="E436" s="52"/>
      <c r="F436" s="52"/>
      <c r="G436" s="50"/>
      <c r="H436" s="17" t="str">
        <f ca="1">IFERROR(__xludf.DUMMYFUNCTION("""COMPUTED_VALUE"""),"")</f>
        <v/>
      </c>
      <c r="I436" s="50" t="s">
        <v>29</v>
      </c>
      <c r="J436" s="50" t="s">
        <v>29</v>
      </c>
      <c r="K436" s="50" t="s">
        <v>29</v>
      </c>
      <c r="L436" s="50" t="s">
        <v>29</v>
      </c>
      <c r="M436" s="50" t="s">
        <v>29</v>
      </c>
      <c r="N436" s="49"/>
      <c r="P436" s="19"/>
      <c r="Q436" s="18" t="str">
        <f ca="1">IFERROR(__xludf.DUMMYFUNCTION("""COMPUTED_VALUE"""),"")</f>
        <v/>
      </c>
      <c r="R436" s="19"/>
      <c r="S436" s="20"/>
      <c r="BP436" s="10"/>
      <c r="BW436" s="10"/>
      <c r="CF436" s="10"/>
      <c r="CM436" s="10"/>
      <c r="CP436" s="18" t="str">
        <f ca="1"/>
        <v/>
      </c>
      <c r="CQ436" s="18" t="str">
        <f ca="1"/>
        <v/>
      </c>
      <c r="CR436" s="18" t="str">
        <f ca="1"/>
        <v/>
      </c>
      <c r="CS436" s="18" t="str">
        <f ca="1"/>
        <v/>
      </c>
      <c r="CT436" s="18" t="str">
        <f ca="1"/>
        <v/>
      </c>
      <c r="CV436" s="10"/>
      <c r="CY436" s="18" t="str">
        <f ca="1"/>
        <v/>
      </c>
      <c r="CZ436" s="18" t="str">
        <f ca="1"/>
        <v/>
      </c>
      <c r="DA436" s="18" t="str">
        <f ca="1"/>
        <v/>
      </c>
      <c r="DC436" s="10"/>
    </row>
    <row r="437" spans="1:107" x14ac:dyDescent="0.25">
      <c r="A437" s="46"/>
      <c r="B437" s="52"/>
      <c r="C437" s="52"/>
      <c r="D437" s="16"/>
      <c r="E437" s="52"/>
      <c r="F437" s="52"/>
      <c r="G437" s="50"/>
      <c r="H437" s="17" t="str">
        <f ca="1">IFERROR(__xludf.DUMMYFUNCTION("""COMPUTED_VALUE"""),"")</f>
        <v/>
      </c>
      <c r="I437" s="50" t="s">
        <v>29</v>
      </c>
      <c r="J437" s="50" t="s">
        <v>29</v>
      </c>
      <c r="K437" s="50" t="s">
        <v>29</v>
      </c>
      <c r="L437" s="50" t="s">
        <v>29</v>
      </c>
      <c r="M437" s="50" t="s">
        <v>29</v>
      </c>
      <c r="N437" s="49"/>
      <c r="P437" s="19"/>
      <c r="Q437" s="18" t="str">
        <f ca="1">IFERROR(__xludf.DUMMYFUNCTION("""COMPUTED_VALUE"""),"")</f>
        <v/>
      </c>
      <c r="R437" s="19"/>
      <c r="S437" s="20"/>
      <c r="BP437" s="10"/>
      <c r="BW437" s="10"/>
      <c r="CF437" s="10"/>
      <c r="CM437" s="10"/>
      <c r="CP437" s="18" t="str">
        <f ca="1"/>
        <v/>
      </c>
      <c r="CQ437" s="18" t="str">
        <f ca="1"/>
        <v/>
      </c>
      <c r="CR437" s="18" t="str">
        <f ca="1"/>
        <v/>
      </c>
      <c r="CS437" s="18" t="str">
        <f ca="1"/>
        <v/>
      </c>
      <c r="CT437" s="18" t="str">
        <f ca="1"/>
        <v/>
      </c>
      <c r="CV437" s="10"/>
      <c r="CY437" s="18" t="str">
        <f ca="1"/>
        <v/>
      </c>
      <c r="CZ437" s="18" t="str">
        <f ca="1"/>
        <v/>
      </c>
      <c r="DA437" s="18" t="str">
        <f ca="1"/>
        <v/>
      </c>
      <c r="DC437" s="10"/>
    </row>
    <row r="438" spans="1:107" x14ac:dyDescent="0.25">
      <c r="A438" s="46"/>
      <c r="B438" s="52"/>
      <c r="C438" s="52"/>
      <c r="D438" s="16"/>
      <c r="E438" s="52"/>
      <c r="F438" s="52"/>
      <c r="G438" s="50"/>
      <c r="H438" s="17" t="str">
        <f ca="1">IFERROR(__xludf.DUMMYFUNCTION("""COMPUTED_VALUE"""),"")</f>
        <v/>
      </c>
      <c r="I438" s="50" t="s">
        <v>29</v>
      </c>
      <c r="J438" s="50" t="s">
        <v>29</v>
      </c>
      <c r="K438" s="50" t="s">
        <v>29</v>
      </c>
      <c r="L438" s="50" t="s">
        <v>29</v>
      </c>
      <c r="M438" s="50" t="s">
        <v>29</v>
      </c>
      <c r="N438" s="49"/>
      <c r="P438" s="19"/>
      <c r="Q438" s="18" t="str">
        <f ca="1">IFERROR(__xludf.DUMMYFUNCTION("""COMPUTED_VALUE"""),"")</f>
        <v/>
      </c>
      <c r="R438" s="19"/>
      <c r="S438" s="20"/>
      <c r="BP438" s="10"/>
      <c r="BW438" s="10"/>
      <c r="CF438" s="10"/>
      <c r="CM438" s="10"/>
      <c r="CP438" s="18" t="str">
        <f ca="1"/>
        <v/>
      </c>
      <c r="CQ438" s="18" t="str">
        <f ca="1"/>
        <v/>
      </c>
      <c r="CR438" s="18" t="str">
        <f ca="1"/>
        <v/>
      </c>
      <c r="CS438" s="18" t="str">
        <f ca="1"/>
        <v/>
      </c>
      <c r="CT438" s="18" t="str">
        <f ca="1"/>
        <v/>
      </c>
      <c r="CV438" s="10"/>
      <c r="CY438" s="18" t="str">
        <f ca="1"/>
        <v/>
      </c>
      <c r="CZ438" s="18" t="str">
        <f ca="1"/>
        <v/>
      </c>
      <c r="DA438" s="18" t="str">
        <f ca="1"/>
        <v/>
      </c>
      <c r="DC438" s="10"/>
    </row>
    <row r="439" spans="1:107" x14ac:dyDescent="0.25">
      <c r="A439" s="46"/>
      <c r="B439" s="52"/>
      <c r="C439" s="52"/>
      <c r="D439" s="16"/>
      <c r="E439" s="52"/>
      <c r="F439" s="52"/>
      <c r="G439" s="50"/>
      <c r="H439" s="17" t="str">
        <f ca="1">IFERROR(__xludf.DUMMYFUNCTION("""COMPUTED_VALUE"""),"")</f>
        <v/>
      </c>
      <c r="I439" s="50" t="s">
        <v>29</v>
      </c>
      <c r="J439" s="50" t="s">
        <v>29</v>
      </c>
      <c r="K439" s="50" t="s">
        <v>29</v>
      </c>
      <c r="L439" s="50" t="s">
        <v>29</v>
      </c>
      <c r="M439" s="50" t="s">
        <v>29</v>
      </c>
      <c r="N439" s="49"/>
      <c r="P439" s="19"/>
      <c r="Q439" s="18" t="str">
        <f ca="1">IFERROR(__xludf.DUMMYFUNCTION("""COMPUTED_VALUE"""),"")</f>
        <v/>
      </c>
      <c r="R439" s="19"/>
      <c r="S439" s="20"/>
      <c r="BP439" s="10"/>
      <c r="BW439" s="10"/>
      <c r="CF439" s="10"/>
      <c r="CM439" s="10"/>
      <c r="CP439" s="18" t="str">
        <f ca="1"/>
        <v/>
      </c>
      <c r="CQ439" s="18" t="str">
        <f ca="1"/>
        <v/>
      </c>
      <c r="CR439" s="18" t="str">
        <f ca="1"/>
        <v/>
      </c>
      <c r="CS439" s="18" t="str">
        <f ca="1"/>
        <v/>
      </c>
      <c r="CT439" s="18" t="str">
        <f ca="1"/>
        <v/>
      </c>
      <c r="CV439" s="10"/>
      <c r="CY439" s="18" t="str">
        <f ca="1"/>
        <v/>
      </c>
      <c r="CZ439" s="18" t="str">
        <f ca="1"/>
        <v/>
      </c>
      <c r="DA439" s="18" t="str">
        <f ca="1"/>
        <v/>
      </c>
      <c r="DC439" s="10"/>
    </row>
    <row r="440" spans="1:107" x14ac:dyDescent="0.25">
      <c r="A440" s="46"/>
      <c r="B440" s="52"/>
      <c r="C440" s="52"/>
      <c r="D440" s="16"/>
      <c r="E440" s="52"/>
      <c r="F440" s="52"/>
      <c r="G440" s="50"/>
      <c r="H440" s="17" t="str">
        <f ca="1">IFERROR(__xludf.DUMMYFUNCTION("""COMPUTED_VALUE"""),"")</f>
        <v/>
      </c>
      <c r="I440" s="50" t="s">
        <v>29</v>
      </c>
      <c r="J440" s="50" t="s">
        <v>29</v>
      </c>
      <c r="K440" s="50" t="s">
        <v>29</v>
      </c>
      <c r="L440" s="50" t="s">
        <v>29</v>
      </c>
      <c r="M440" s="50" t="s">
        <v>29</v>
      </c>
      <c r="N440" s="49"/>
      <c r="P440" s="19"/>
      <c r="Q440" s="18" t="str">
        <f ca="1">IFERROR(__xludf.DUMMYFUNCTION("""COMPUTED_VALUE"""),"")</f>
        <v/>
      </c>
      <c r="R440" s="19"/>
      <c r="S440" s="20"/>
      <c r="BP440" s="10"/>
      <c r="BW440" s="10"/>
      <c r="CF440" s="10"/>
      <c r="CM440" s="10"/>
      <c r="CP440" s="18" t="str">
        <f ca="1"/>
        <v/>
      </c>
      <c r="CQ440" s="18" t="str">
        <f ca="1"/>
        <v/>
      </c>
      <c r="CR440" s="18" t="str">
        <f ca="1"/>
        <v/>
      </c>
      <c r="CS440" s="18" t="str">
        <f ca="1"/>
        <v/>
      </c>
      <c r="CT440" s="18" t="str">
        <f ca="1"/>
        <v/>
      </c>
      <c r="CV440" s="10"/>
      <c r="CY440" s="18" t="str">
        <f ca="1"/>
        <v/>
      </c>
      <c r="CZ440" s="18" t="str">
        <f ca="1"/>
        <v/>
      </c>
      <c r="DA440" s="18" t="str">
        <f ca="1"/>
        <v/>
      </c>
      <c r="DC440" s="10"/>
    </row>
    <row r="441" spans="1:107" x14ac:dyDescent="0.25">
      <c r="A441" s="46"/>
      <c r="B441" s="52"/>
      <c r="C441" s="52"/>
      <c r="D441" s="16"/>
      <c r="E441" s="52"/>
      <c r="F441" s="52"/>
      <c r="G441" s="50"/>
      <c r="H441" s="17" t="str">
        <f ca="1">IFERROR(__xludf.DUMMYFUNCTION("""COMPUTED_VALUE"""),"")</f>
        <v/>
      </c>
      <c r="I441" s="50" t="s">
        <v>29</v>
      </c>
      <c r="J441" s="50" t="s">
        <v>29</v>
      </c>
      <c r="K441" s="50" t="s">
        <v>29</v>
      </c>
      <c r="L441" s="50" t="s">
        <v>29</v>
      </c>
      <c r="M441" s="50" t="s">
        <v>29</v>
      </c>
      <c r="N441" s="49"/>
      <c r="P441" s="19"/>
      <c r="Q441" s="18" t="str">
        <f ca="1">IFERROR(__xludf.DUMMYFUNCTION("""COMPUTED_VALUE"""),"")</f>
        <v/>
      </c>
      <c r="R441" s="19"/>
      <c r="S441" s="20"/>
      <c r="BP441" s="10"/>
      <c r="BW441" s="10"/>
      <c r="CF441" s="10"/>
      <c r="CM441" s="10"/>
      <c r="CP441" s="18" t="str">
        <f ca="1"/>
        <v/>
      </c>
      <c r="CQ441" s="18" t="str">
        <f ca="1"/>
        <v/>
      </c>
      <c r="CR441" s="18" t="str">
        <f ca="1"/>
        <v/>
      </c>
      <c r="CS441" s="18" t="str">
        <f ca="1"/>
        <v/>
      </c>
      <c r="CT441" s="18" t="str">
        <f ca="1"/>
        <v/>
      </c>
      <c r="CV441" s="10"/>
      <c r="CY441" s="18" t="str">
        <f ca="1"/>
        <v/>
      </c>
      <c r="CZ441" s="18" t="str">
        <f ca="1"/>
        <v/>
      </c>
      <c r="DA441" s="18" t="str">
        <f ca="1"/>
        <v/>
      </c>
      <c r="DC441" s="10"/>
    </row>
    <row r="442" spans="1:107" x14ac:dyDescent="0.25">
      <c r="A442" s="46"/>
      <c r="B442" s="52"/>
      <c r="C442" s="52"/>
      <c r="D442" s="16"/>
      <c r="E442" s="52"/>
      <c r="F442" s="52"/>
      <c r="G442" s="50"/>
      <c r="H442" s="17" t="str">
        <f ca="1">IFERROR(__xludf.DUMMYFUNCTION("""COMPUTED_VALUE"""),"")</f>
        <v/>
      </c>
      <c r="I442" s="50" t="s">
        <v>29</v>
      </c>
      <c r="J442" s="50" t="s">
        <v>29</v>
      </c>
      <c r="K442" s="50" t="s">
        <v>29</v>
      </c>
      <c r="L442" s="50" t="s">
        <v>29</v>
      </c>
      <c r="M442" s="50" t="s">
        <v>29</v>
      </c>
      <c r="N442" s="49"/>
      <c r="P442" s="19"/>
      <c r="Q442" s="18" t="str">
        <f ca="1">IFERROR(__xludf.DUMMYFUNCTION("""COMPUTED_VALUE"""),"")</f>
        <v/>
      </c>
      <c r="R442" s="19"/>
      <c r="S442" s="20"/>
      <c r="BP442" s="10"/>
      <c r="BW442" s="10"/>
      <c r="CF442" s="10"/>
      <c r="CM442" s="10"/>
      <c r="CP442" s="18" t="str">
        <f ca="1"/>
        <v/>
      </c>
      <c r="CQ442" s="18" t="str">
        <f ca="1"/>
        <v/>
      </c>
      <c r="CR442" s="18" t="str">
        <f ca="1"/>
        <v/>
      </c>
      <c r="CS442" s="18" t="str">
        <f ca="1"/>
        <v/>
      </c>
      <c r="CT442" s="18" t="str">
        <f ca="1"/>
        <v/>
      </c>
      <c r="CV442" s="10"/>
      <c r="CY442" s="18" t="str">
        <f ca="1"/>
        <v/>
      </c>
      <c r="CZ442" s="18" t="str">
        <f ca="1"/>
        <v/>
      </c>
      <c r="DA442" s="18" t="str">
        <f ca="1"/>
        <v/>
      </c>
      <c r="DC442" s="10"/>
    </row>
    <row r="443" spans="1:107" x14ac:dyDescent="0.25">
      <c r="A443" s="46"/>
      <c r="B443" s="52"/>
      <c r="C443" s="52"/>
      <c r="D443" s="16"/>
      <c r="E443" s="52"/>
      <c r="F443" s="52"/>
      <c r="G443" s="50"/>
      <c r="H443" s="17" t="str">
        <f ca="1">IFERROR(__xludf.DUMMYFUNCTION("""COMPUTED_VALUE"""),"")</f>
        <v/>
      </c>
      <c r="I443" s="50" t="s">
        <v>29</v>
      </c>
      <c r="J443" s="50" t="s">
        <v>29</v>
      </c>
      <c r="K443" s="50" t="s">
        <v>29</v>
      </c>
      <c r="L443" s="50" t="s">
        <v>29</v>
      </c>
      <c r="M443" s="50" t="s">
        <v>29</v>
      </c>
      <c r="N443" s="49"/>
      <c r="P443" s="19"/>
      <c r="Q443" s="18" t="str">
        <f ca="1">IFERROR(__xludf.DUMMYFUNCTION("""COMPUTED_VALUE"""),"")</f>
        <v/>
      </c>
      <c r="R443" s="19"/>
      <c r="S443" s="20"/>
      <c r="BP443" s="10"/>
      <c r="BW443" s="10"/>
      <c r="CF443" s="10"/>
      <c r="CM443" s="10"/>
      <c r="CP443" s="18" t="str">
        <f ca="1"/>
        <v/>
      </c>
      <c r="CQ443" s="18" t="str">
        <f ca="1"/>
        <v/>
      </c>
      <c r="CR443" s="18" t="str">
        <f ca="1"/>
        <v/>
      </c>
      <c r="CS443" s="18" t="str">
        <f ca="1"/>
        <v/>
      </c>
      <c r="CT443" s="18" t="str">
        <f ca="1"/>
        <v/>
      </c>
      <c r="CV443" s="10"/>
      <c r="CY443" s="18" t="str">
        <f ca="1"/>
        <v/>
      </c>
      <c r="CZ443" s="18" t="str">
        <f ca="1"/>
        <v/>
      </c>
      <c r="DA443" s="18" t="str">
        <f ca="1"/>
        <v/>
      </c>
      <c r="DC443" s="10"/>
    </row>
    <row r="444" spans="1:107" x14ac:dyDescent="0.25">
      <c r="A444" s="46"/>
      <c r="B444" s="52"/>
      <c r="C444" s="52"/>
      <c r="D444" s="16"/>
      <c r="E444" s="52"/>
      <c r="F444" s="52"/>
      <c r="G444" s="50"/>
      <c r="H444" s="17" t="str">
        <f ca="1">IFERROR(__xludf.DUMMYFUNCTION("""COMPUTED_VALUE"""),"")</f>
        <v/>
      </c>
      <c r="I444" s="50" t="s">
        <v>29</v>
      </c>
      <c r="J444" s="50" t="s">
        <v>29</v>
      </c>
      <c r="K444" s="50" t="s">
        <v>29</v>
      </c>
      <c r="L444" s="50" t="s">
        <v>29</v>
      </c>
      <c r="M444" s="50" t="s">
        <v>29</v>
      </c>
      <c r="N444" s="49"/>
      <c r="P444" s="19"/>
      <c r="Q444" s="18" t="str">
        <f ca="1">IFERROR(__xludf.DUMMYFUNCTION("""COMPUTED_VALUE"""),"")</f>
        <v/>
      </c>
      <c r="R444" s="19"/>
      <c r="S444" s="20"/>
      <c r="BP444" s="10"/>
      <c r="BW444" s="10"/>
      <c r="CF444" s="10"/>
      <c r="CM444" s="10"/>
      <c r="CP444" s="18" t="str">
        <f ca="1"/>
        <v/>
      </c>
      <c r="CQ444" s="18" t="str">
        <f ca="1"/>
        <v/>
      </c>
      <c r="CR444" s="18" t="str">
        <f ca="1"/>
        <v/>
      </c>
      <c r="CS444" s="18" t="str">
        <f ca="1"/>
        <v/>
      </c>
      <c r="CT444" s="18" t="str">
        <f ca="1"/>
        <v/>
      </c>
      <c r="CV444" s="10"/>
      <c r="CY444" s="18" t="str">
        <f ca="1"/>
        <v/>
      </c>
      <c r="CZ444" s="18" t="str">
        <f ca="1"/>
        <v/>
      </c>
      <c r="DA444" s="18" t="str">
        <f ca="1"/>
        <v/>
      </c>
      <c r="DC444" s="10"/>
    </row>
    <row r="445" spans="1:107" x14ac:dyDescent="0.25">
      <c r="A445" s="46"/>
      <c r="B445" s="52"/>
      <c r="C445" s="52"/>
      <c r="D445" s="16"/>
      <c r="E445" s="52"/>
      <c r="F445" s="52"/>
      <c r="G445" s="50"/>
      <c r="H445" s="17" t="str">
        <f ca="1">IFERROR(__xludf.DUMMYFUNCTION("""COMPUTED_VALUE"""),"")</f>
        <v/>
      </c>
      <c r="I445" s="50" t="s">
        <v>29</v>
      </c>
      <c r="J445" s="50" t="s">
        <v>29</v>
      </c>
      <c r="K445" s="50" t="s">
        <v>29</v>
      </c>
      <c r="L445" s="50" t="s">
        <v>29</v>
      </c>
      <c r="M445" s="50" t="s">
        <v>29</v>
      </c>
      <c r="N445" s="49"/>
      <c r="P445" s="19"/>
      <c r="Q445" s="18" t="str">
        <f ca="1">IFERROR(__xludf.DUMMYFUNCTION("""COMPUTED_VALUE"""),"")</f>
        <v/>
      </c>
      <c r="R445" s="19"/>
      <c r="S445" s="20"/>
      <c r="BP445" s="10"/>
      <c r="BW445" s="10"/>
      <c r="CF445" s="10"/>
      <c r="CM445" s="10"/>
      <c r="CP445" s="18" t="str">
        <f ca="1"/>
        <v/>
      </c>
      <c r="CQ445" s="18" t="str">
        <f ca="1"/>
        <v/>
      </c>
      <c r="CR445" s="18" t="str">
        <f ca="1"/>
        <v/>
      </c>
      <c r="CS445" s="18" t="str">
        <f ca="1"/>
        <v/>
      </c>
      <c r="CT445" s="18" t="str">
        <f ca="1"/>
        <v/>
      </c>
      <c r="CV445" s="10"/>
      <c r="CY445" s="18" t="str">
        <f ca="1"/>
        <v/>
      </c>
      <c r="CZ445" s="18" t="str">
        <f ca="1"/>
        <v/>
      </c>
      <c r="DA445" s="18" t="str">
        <f ca="1"/>
        <v/>
      </c>
      <c r="DC445" s="10"/>
    </row>
    <row r="446" spans="1:107" x14ac:dyDescent="0.25">
      <c r="A446" s="46"/>
      <c r="B446" s="52"/>
      <c r="C446" s="52"/>
      <c r="D446" s="16"/>
      <c r="E446" s="52"/>
      <c r="F446" s="52"/>
      <c r="G446" s="50"/>
      <c r="H446" s="17" t="str">
        <f ca="1">IFERROR(__xludf.DUMMYFUNCTION("""COMPUTED_VALUE"""),"")</f>
        <v/>
      </c>
      <c r="I446" s="50" t="s">
        <v>29</v>
      </c>
      <c r="J446" s="50" t="s">
        <v>29</v>
      </c>
      <c r="K446" s="50" t="s">
        <v>29</v>
      </c>
      <c r="L446" s="50" t="s">
        <v>29</v>
      </c>
      <c r="M446" s="50" t="s">
        <v>29</v>
      </c>
      <c r="N446" s="49"/>
      <c r="P446" s="19"/>
      <c r="Q446" s="18" t="str">
        <f ca="1">IFERROR(__xludf.DUMMYFUNCTION("""COMPUTED_VALUE"""),"")</f>
        <v/>
      </c>
      <c r="R446" s="19"/>
      <c r="S446" s="20"/>
      <c r="BP446" s="10"/>
      <c r="BW446" s="10"/>
      <c r="CF446" s="10"/>
      <c r="CM446" s="10"/>
      <c r="CP446" s="18" t="str">
        <f ca="1"/>
        <v/>
      </c>
      <c r="CQ446" s="18" t="str">
        <f ca="1"/>
        <v/>
      </c>
      <c r="CR446" s="18" t="str">
        <f ca="1"/>
        <v/>
      </c>
      <c r="CS446" s="18" t="str">
        <f ca="1"/>
        <v/>
      </c>
      <c r="CT446" s="18" t="str">
        <f ca="1"/>
        <v/>
      </c>
      <c r="CV446" s="10"/>
      <c r="CY446" s="18" t="str">
        <f ca="1"/>
        <v/>
      </c>
      <c r="CZ446" s="18" t="str">
        <f ca="1"/>
        <v/>
      </c>
      <c r="DA446" s="18" t="str">
        <f ca="1"/>
        <v/>
      </c>
      <c r="DC446" s="10"/>
    </row>
    <row r="447" spans="1:107" x14ac:dyDescent="0.25">
      <c r="A447" s="46"/>
      <c r="B447" s="52"/>
      <c r="C447" s="52"/>
      <c r="D447" s="16"/>
      <c r="E447" s="52"/>
      <c r="F447" s="52"/>
      <c r="G447" s="50"/>
      <c r="H447" s="17" t="str">
        <f ca="1">IFERROR(__xludf.DUMMYFUNCTION("""COMPUTED_VALUE"""),"")</f>
        <v/>
      </c>
      <c r="I447" s="50" t="s">
        <v>29</v>
      </c>
      <c r="J447" s="50" t="s">
        <v>29</v>
      </c>
      <c r="K447" s="50" t="s">
        <v>29</v>
      </c>
      <c r="L447" s="50" t="s">
        <v>29</v>
      </c>
      <c r="M447" s="50" t="s">
        <v>29</v>
      </c>
      <c r="N447" s="49"/>
      <c r="P447" s="19"/>
      <c r="Q447" s="18" t="str">
        <f ca="1">IFERROR(__xludf.DUMMYFUNCTION("""COMPUTED_VALUE"""),"")</f>
        <v/>
      </c>
      <c r="R447" s="19"/>
      <c r="S447" s="20"/>
      <c r="BP447" s="10"/>
      <c r="BW447" s="10"/>
      <c r="CF447" s="10"/>
      <c r="CM447" s="10"/>
      <c r="CP447" s="18" t="str">
        <f ca="1"/>
        <v/>
      </c>
      <c r="CQ447" s="18" t="str">
        <f ca="1"/>
        <v/>
      </c>
      <c r="CR447" s="18" t="str">
        <f ca="1"/>
        <v/>
      </c>
      <c r="CS447" s="18" t="str">
        <f ca="1"/>
        <v/>
      </c>
      <c r="CT447" s="18" t="str">
        <f ca="1"/>
        <v/>
      </c>
      <c r="CV447" s="10"/>
      <c r="CY447" s="18" t="str">
        <f ca="1"/>
        <v/>
      </c>
      <c r="CZ447" s="18" t="str">
        <f ca="1"/>
        <v/>
      </c>
      <c r="DA447" s="18" t="str">
        <f ca="1"/>
        <v/>
      </c>
      <c r="DC447" s="10"/>
    </row>
    <row r="448" spans="1:107" x14ac:dyDescent="0.25">
      <c r="A448" s="46"/>
      <c r="B448" s="52"/>
      <c r="C448" s="52"/>
      <c r="D448" s="16"/>
      <c r="E448" s="52"/>
      <c r="F448" s="52"/>
      <c r="G448" s="50"/>
      <c r="H448" s="17" t="str">
        <f ca="1">IFERROR(__xludf.DUMMYFUNCTION("""COMPUTED_VALUE"""),"")</f>
        <v/>
      </c>
      <c r="I448" s="50" t="s">
        <v>29</v>
      </c>
      <c r="J448" s="50" t="s">
        <v>29</v>
      </c>
      <c r="K448" s="50" t="s">
        <v>29</v>
      </c>
      <c r="L448" s="50" t="s">
        <v>29</v>
      </c>
      <c r="M448" s="50" t="s">
        <v>29</v>
      </c>
      <c r="N448" s="49"/>
      <c r="P448" s="19"/>
      <c r="Q448" s="18" t="str">
        <f ca="1">IFERROR(__xludf.DUMMYFUNCTION("""COMPUTED_VALUE"""),"")</f>
        <v/>
      </c>
      <c r="R448" s="19"/>
      <c r="S448" s="20"/>
      <c r="BP448" s="10"/>
      <c r="BW448" s="10"/>
      <c r="CF448" s="10"/>
      <c r="CM448" s="10"/>
      <c r="CP448" s="18" t="str">
        <f ca="1"/>
        <v/>
      </c>
      <c r="CQ448" s="18" t="str">
        <f ca="1"/>
        <v/>
      </c>
      <c r="CR448" s="18" t="str">
        <f ca="1"/>
        <v/>
      </c>
      <c r="CS448" s="18" t="str">
        <f ca="1"/>
        <v/>
      </c>
      <c r="CT448" s="18" t="str">
        <f ca="1"/>
        <v/>
      </c>
      <c r="CV448" s="10"/>
      <c r="CY448" s="18" t="str">
        <f ca="1"/>
        <v/>
      </c>
      <c r="CZ448" s="18" t="str">
        <f ca="1"/>
        <v/>
      </c>
      <c r="DA448" s="18" t="str">
        <f ca="1"/>
        <v/>
      </c>
      <c r="DC448" s="10"/>
    </row>
    <row r="449" spans="1:107" x14ac:dyDescent="0.25">
      <c r="A449" s="46"/>
      <c r="B449" s="52"/>
      <c r="C449" s="52"/>
      <c r="D449" s="16"/>
      <c r="E449" s="52"/>
      <c r="F449" s="52"/>
      <c r="G449" s="50"/>
      <c r="H449" s="17" t="str">
        <f ca="1">IFERROR(__xludf.DUMMYFUNCTION("""COMPUTED_VALUE"""),"")</f>
        <v/>
      </c>
      <c r="I449" s="50" t="s">
        <v>29</v>
      </c>
      <c r="J449" s="50" t="s">
        <v>29</v>
      </c>
      <c r="K449" s="50" t="s">
        <v>29</v>
      </c>
      <c r="L449" s="50" t="s">
        <v>29</v>
      </c>
      <c r="M449" s="50" t="s">
        <v>29</v>
      </c>
      <c r="N449" s="49"/>
      <c r="P449" s="19"/>
      <c r="Q449" s="18" t="str">
        <f ca="1">IFERROR(__xludf.DUMMYFUNCTION("""COMPUTED_VALUE"""),"")</f>
        <v/>
      </c>
      <c r="R449" s="19"/>
      <c r="S449" s="20"/>
      <c r="BP449" s="10"/>
      <c r="BW449" s="10"/>
      <c r="CF449" s="10"/>
      <c r="CM449" s="10"/>
      <c r="CP449" s="18" t="str">
        <f ca="1"/>
        <v/>
      </c>
      <c r="CQ449" s="18" t="str">
        <f ca="1"/>
        <v/>
      </c>
      <c r="CR449" s="18" t="str">
        <f ca="1"/>
        <v/>
      </c>
      <c r="CS449" s="18" t="str">
        <f ca="1"/>
        <v/>
      </c>
      <c r="CT449" s="18" t="str">
        <f ca="1"/>
        <v/>
      </c>
      <c r="CV449" s="10"/>
      <c r="CY449" s="18" t="str">
        <f ca="1"/>
        <v/>
      </c>
      <c r="CZ449" s="18" t="str">
        <f ca="1"/>
        <v/>
      </c>
      <c r="DA449" s="18" t="str">
        <f ca="1"/>
        <v/>
      </c>
      <c r="DC449" s="10"/>
    </row>
    <row r="450" spans="1:107" x14ac:dyDescent="0.25">
      <c r="A450" s="46"/>
      <c r="B450" s="52"/>
      <c r="C450" s="52"/>
      <c r="D450" s="16"/>
      <c r="E450" s="52"/>
      <c r="F450" s="52"/>
      <c r="G450" s="50"/>
      <c r="H450" s="17" t="str">
        <f ca="1">IFERROR(__xludf.DUMMYFUNCTION("""COMPUTED_VALUE"""),"")</f>
        <v/>
      </c>
      <c r="I450" s="50" t="s">
        <v>29</v>
      </c>
      <c r="J450" s="50" t="s">
        <v>29</v>
      </c>
      <c r="K450" s="50" t="s">
        <v>29</v>
      </c>
      <c r="L450" s="50" t="s">
        <v>29</v>
      </c>
      <c r="M450" s="50" t="s">
        <v>29</v>
      </c>
      <c r="N450" s="49"/>
      <c r="P450" s="19"/>
      <c r="Q450" s="18" t="str">
        <f ca="1">IFERROR(__xludf.DUMMYFUNCTION("""COMPUTED_VALUE"""),"")</f>
        <v/>
      </c>
      <c r="R450" s="19"/>
      <c r="S450" s="20"/>
      <c r="BP450" s="10"/>
      <c r="BW450" s="10"/>
      <c r="CF450" s="10"/>
      <c r="CM450" s="10"/>
      <c r="CP450" s="18" t="str">
        <f ca="1"/>
        <v/>
      </c>
      <c r="CQ450" s="18" t="str">
        <f ca="1"/>
        <v/>
      </c>
      <c r="CR450" s="18" t="str">
        <f ca="1"/>
        <v/>
      </c>
      <c r="CS450" s="18" t="str">
        <f ca="1"/>
        <v/>
      </c>
      <c r="CT450" s="18" t="str">
        <f ca="1"/>
        <v/>
      </c>
      <c r="CV450" s="10"/>
      <c r="CY450" s="18" t="str">
        <f ca="1"/>
        <v/>
      </c>
      <c r="CZ450" s="18" t="str">
        <f ca="1"/>
        <v/>
      </c>
      <c r="DA450" s="18" t="str">
        <f ca="1"/>
        <v/>
      </c>
      <c r="DC450" s="10"/>
    </row>
    <row r="451" spans="1:107" x14ac:dyDescent="0.25">
      <c r="A451" s="46"/>
      <c r="B451" s="52"/>
      <c r="C451" s="52"/>
      <c r="D451" s="16"/>
      <c r="E451" s="52"/>
      <c r="F451" s="52"/>
      <c r="G451" s="50"/>
      <c r="H451" s="17" t="str">
        <f ca="1">IFERROR(__xludf.DUMMYFUNCTION("""COMPUTED_VALUE"""),"")</f>
        <v/>
      </c>
      <c r="I451" s="50" t="s">
        <v>29</v>
      </c>
      <c r="J451" s="50" t="s">
        <v>29</v>
      </c>
      <c r="K451" s="50" t="s">
        <v>29</v>
      </c>
      <c r="L451" s="50" t="s">
        <v>29</v>
      </c>
      <c r="M451" s="50" t="s">
        <v>29</v>
      </c>
      <c r="N451" s="49"/>
      <c r="P451" s="19"/>
      <c r="Q451" s="18" t="str">
        <f ca="1">IFERROR(__xludf.DUMMYFUNCTION("""COMPUTED_VALUE"""),"")</f>
        <v/>
      </c>
      <c r="R451" s="19"/>
      <c r="S451" s="20"/>
      <c r="BP451" s="10"/>
      <c r="BW451" s="10"/>
      <c r="CF451" s="10"/>
      <c r="CM451" s="10"/>
      <c r="CP451" s="18" t="str">
        <f ca="1"/>
        <v/>
      </c>
      <c r="CQ451" s="18" t="str">
        <f ca="1"/>
        <v/>
      </c>
      <c r="CR451" s="18" t="str">
        <f ca="1"/>
        <v/>
      </c>
      <c r="CS451" s="18" t="str">
        <f ca="1"/>
        <v/>
      </c>
      <c r="CT451" s="18" t="str">
        <f ca="1"/>
        <v/>
      </c>
      <c r="CV451" s="10"/>
      <c r="CY451" s="18" t="str">
        <f ca="1"/>
        <v/>
      </c>
      <c r="CZ451" s="18" t="str">
        <f ca="1"/>
        <v/>
      </c>
      <c r="DA451" s="18" t="str">
        <f ca="1"/>
        <v/>
      </c>
      <c r="DC451" s="10"/>
    </row>
    <row r="452" spans="1:107" x14ac:dyDescent="0.25">
      <c r="A452" s="46"/>
      <c r="B452" s="52"/>
      <c r="C452" s="52"/>
      <c r="D452" s="16"/>
      <c r="E452" s="52"/>
      <c r="F452" s="52"/>
      <c r="G452" s="50"/>
      <c r="H452" s="17" t="str">
        <f ca="1">IFERROR(__xludf.DUMMYFUNCTION("""COMPUTED_VALUE"""),"")</f>
        <v/>
      </c>
      <c r="I452" s="50" t="s">
        <v>29</v>
      </c>
      <c r="J452" s="50" t="s">
        <v>29</v>
      </c>
      <c r="K452" s="50" t="s">
        <v>29</v>
      </c>
      <c r="L452" s="50" t="s">
        <v>29</v>
      </c>
      <c r="M452" s="50" t="s">
        <v>29</v>
      </c>
      <c r="N452" s="49"/>
      <c r="P452" s="19"/>
      <c r="Q452" s="18" t="str">
        <f ca="1">IFERROR(__xludf.DUMMYFUNCTION("""COMPUTED_VALUE"""),"")</f>
        <v/>
      </c>
      <c r="R452" s="19"/>
      <c r="S452" s="20"/>
      <c r="BP452" s="10"/>
      <c r="BW452" s="10"/>
      <c r="CF452" s="10"/>
      <c r="CM452" s="10"/>
      <c r="CP452" s="18" t="str">
        <f ca="1"/>
        <v/>
      </c>
      <c r="CQ452" s="18" t="str">
        <f ca="1"/>
        <v/>
      </c>
      <c r="CR452" s="18" t="str">
        <f ca="1"/>
        <v/>
      </c>
      <c r="CS452" s="18" t="str">
        <f ca="1"/>
        <v/>
      </c>
      <c r="CT452" s="18" t="str">
        <f ca="1"/>
        <v/>
      </c>
      <c r="CV452" s="10"/>
      <c r="CY452" s="18" t="str">
        <f ca="1"/>
        <v/>
      </c>
      <c r="CZ452" s="18" t="str">
        <f ca="1"/>
        <v/>
      </c>
      <c r="DA452" s="18" t="str">
        <f ca="1"/>
        <v/>
      </c>
      <c r="DC452" s="10"/>
    </row>
    <row r="453" spans="1:107" x14ac:dyDescent="0.25">
      <c r="A453" s="46"/>
      <c r="B453" s="52"/>
      <c r="C453" s="52"/>
      <c r="D453" s="16"/>
      <c r="E453" s="52"/>
      <c r="F453" s="52"/>
      <c r="G453" s="50"/>
      <c r="H453" s="17" t="str">
        <f ca="1">IFERROR(__xludf.DUMMYFUNCTION("""COMPUTED_VALUE"""),"")</f>
        <v/>
      </c>
      <c r="I453" s="50" t="s">
        <v>29</v>
      </c>
      <c r="J453" s="50" t="s">
        <v>29</v>
      </c>
      <c r="K453" s="50" t="s">
        <v>29</v>
      </c>
      <c r="L453" s="50" t="s">
        <v>29</v>
      </c>
      <c r="M453" s="50" t="s">
        <v>29</v>
      </c>
      <c r="N453" s="49"/>
      <c r="P453" s="19"/>
      <c r="Q453" s="18" t="str">
        <f ca="1">IFERROR(__xludf.DUMMYFUNCTION("""COMPUTED_VALUE"""),"")</f>
        <v/>
      </c>
      <c r="R453" s="19"/>
      <c r="S453" s="20"/>
      <c r="BP453" s="10"/>
      <c r="BW453" s="10"/>
      <c r="CF453" s="10"/>
      <c r="CM453" s="10"/>
      <c r="CP453" s="18" t="str">
        <f ca="1"/>
        <v/>
      </c>
      <c r="CQ453" s="18" t="str">
        <f ca="1"/>
        <v/>
      </c>
      <c r="CR453" s="18" t="str">
        <f ca="1"/>
        <v/>
      </c>
      <c r="CS453" s="18" t="str">
        <f ca="1"/>
        <v/>
      </c>
      <c r="CT453" s="18" t="str">
        <f ca="1"/>
        <v/>
      </c>
      <c r="CV453" s="10"/>
      <c r="CY453" s="18" t="str">
        <f ca="1"/>
        <v/>
      </c>
      <c r="CZ453" s="18" t="str">
        <f ca="1"/>
        <v/>
      </c>
      <c r="DA453" s="18" t="str">
        <f ca="1"/>
        <v/>
      </c>
      <c r="DC453" s="10"/>
    </row>
    <row r="454" spans="1:107" x14ac:dyDescent="0.25">
      <c r="A454" s="46"/>
      <c r="B454" s="52"/>
      <c r="C454" s="52"/>
      <c r="D454" s="16"/>
      <c r="E454" s="52"/>
      <c r="F454" s="52"/>
      <c r="G454" s="50"/>
      <c r="H454" s="17" t="str">
        <f ca="1">IFERROR(__xludf.DUMMYFUNCTION("""COMPUTED_VALUE"""),"")</f>
        <v/>
      </c>
      <c r="I454" s="50" t="s">
        <v>29</v>
      </c>
      <c r="J454" s="50" t="s">
        <v>29</v>
      </c>
      <c r="K454" s="50" t="s">
        <v>29</v>
      </c>
      <c r="L454" s="50" t="s">
        <v>29</v>
      </c>
      <c r="M454" s="50" t="s">
        <v>29</v>
      </c>
      <c r="N454" s="49"/>
      <c r="P454" s="19"/>
      <c r="Q454" s="18" t="str">
        <f ca="1">IFERROR(__xludf.DUMMYFUNCTION("""COMPUTED_VALUE"""),"")</f>
        <v/>
      </c>
      <c r="R454" s="19"/>
      <c r="S454" s="20"/>
      <c r="BP454" s="10"/>
      <c r="BW454" s="10"/>
      <c r="CF454" s="10"/>
      <c r="CM454" s="10"/>
      <c r="CP454" s="18" t="str">
        <f ca="1"/>
        <v/>
      </c>
      <c r="CQ454" s="18" t="str">
        <f ca="1"/>
        <v/>
      </c>
      <c r="CR454" s="18" t="str">
        <f ca="1"/>
        <v/>
      </c>
      <c r="CS454" s="18" t="str">
        <f ca="1"/>
        <v/>
      </c>
      <c r="CT454" s="18" t="str">
        <f ca="1"/>
        <v/>
      </c>
      <c r="CV454" s="10"/>
      <c r="CY454" s="18" t="str">
        <f ca="1"/>
        <v/>
      </c>
      <c r="CZ454" s="18" t="str">
        <f ca="1"/>
        <v/>
      </c>
      <c r="DA454" s="18" t="str">
        <f ca="1"/>
        <v/>
      </c>
      <c r="DC454" s="10"/>
    </row>
    <row r="455" spans="1:107" x14ac:dyDescent="0.25">
      <c r="A455" s="46"/>
      <c r="B455" s="52"/>
      <c r="C455" s="52"/>
      <c r="D455" s="16"/>
      <c r="E455" s="52"/>
      <c r="F455" s="52"/>
      <c r="G455" s="50"/>
      <c r="H455" s="17" t="str">
        <f ca="1">IFERROR(__xludf.DUMMYFUNCTION("""COMPUTED_VALUE"""),"")</f>
        <v/>
      </c>
      <c r="I455" s="50" t="s">
        <v>29</v>
      </c>
      <c r="J455" s="50" t="s">
        <v>29</v>
      </c>
      <c r="K455" s="50" t="s">
        <v>29</v>
      </c>
      <c r="L455" s="50" t="s">
        <v>29</v>
      </c>
      <c r="M455" s="50" t="s">
        <v>29</v>
      </c>
      <c r="N455" s="49"/>
      <c r="P455" s="19"/>
      <c r="Q455" s="18" t="str">
        <f ca="1">IFERROR(__xludf.DUMMYFUNCTION("""COMPUTED_VALUE"""),"")</f>
        <v/>
      </c>
      <c r="R455" s="19"/>
      <c r="S455" s="20"/>
      <c r="BP455" s="10"/>
      <c r="BW455" s="10"/>
      <c r="CF455" s="10"/>
      <c r="CM455" s="10"/>
      <c r="CP455" s="18" t="str">
        <f ca="1"/>
        <v/>
      </c>
      <c r="CQ455" s="18" t="str">
        <f ca="1"/>
        <v/>
      </c>
      <c r="CR455" s="18" t="str">
        <f ca="1"/>
        <v/>
      </c>
      <c r="CS455" s="18" t="str">
        <f ca="1"/>
        <v/>
      </c>
      <c r="CT455" s="18" t="str">
        <f ca="1"/>
        <v/>
      </c>
      <c r="CV455" s="10"/>
      <c r="CY455" s="18" t="str">
        <f ca="1"/>
        <v/>
      </c>
      <c r="CZ455" s="18" t="str">
        <f ca="1"/>
        <v/>
      </c>
      <c r="DA455" s="18" t="str">
        <f ca="1"/>
        <v/>
      </c>
      <c r="DC455" s="10"/>
    </row>
    <row r="456" spans="1:107" x14ac:dyDescent="0.25">
      <c r="A456" s="46"/>
      <c r="B456" s="52"/>
      <c r="C456" s="52"/>
      <c r="D456" s="16"/>
      <c r="E456" s="52"/>
      <c r="F456" s="52"/>
      <c r="G456" s="50"/>
      <c r="H456" s="17" t="str">
        <f ca="1">IFERROR(__xludf.DUMMYFUNCTION("""COMPUTED_VALUE"""),"")</f>
        <v/>
      </c>
      <c r="I456" s="50" t="s">
        <v>29</v>
      </c>
      <c r="J456" s="50" t="s">
        <v>29</v>
      </c>
      <c r="K456" s="50" t="s">
        <v>29</v>
      </c>
      <c r="L456" s="50" t="s">
        <v>29</v>
      </c>
      <c r="M456" s="50" t="s">
        <v>29</v>
      </c>
      <c r="N456" s="49"/>
      <c r="P456" s="19"/>
      <c r="Q456" s="18" t="str">
        <f ca="1">IFERROR(__xludf.DUMMYFUNCTION("""COMPUTED_VALUE"""),"")</f>
        <v/>
      </c>
      <c r="R456" s="19"/>
      <c r="S456" s="20"/>
      <c r="BP456" s="10"/>
      <c r="BW456" s="10"/>
      <c r="CF456" s="10"/>
      <c r="CM456" s="10"/>
      <c r="CP456" s="18" t="str">
        <f ca="1"/>
        <v/>
      </c>
      <c r="CQ456" s="18" t="str">
        <f ca="1"/>
        <v/>
      </c>
      <c r="CR456" s="18" t="str">
        <f ca="1"/>
        <v/>
      </c>
      <c r="CS456" s="18" t="str">
        <f ca="1"/>
        <v/>
      </c>
      <c r="CT456" s="18" t="str">
        <f ca="1"/>
        <v/>
      </c>
      <c r="CV456" s="10"/>
      <c r="CY456" s="18" t="str">
        <f ca="1"/>
        <v/>
      </c>
      <c r="CZ456" s="18" t="str">
        <f ca="1"/>
        <v/>
      </c>
      <c r="DA456" s="18" t="str">
        <f ca="1"/>
        <v/>
      </c>
      <c r="DC456" s="10"/>
    </row>
    <row r="457" spans="1:107" x14ac:dyDescent="0.25">
      <c r="A457" s="46"/>
      <c r="B457" s="52"/>
      <c r="C457" s="52"/>
      <c r="D457" s="16"/>
      <c r="E457" s="52"/>
      <c r="F457" s="52"/>
      <c r="G457" s="50"/>
      <c r="H457" s="17" t="str">
        <f ca="1">IFERROR(__xludf.DUMMYFUNCTION("""COMPUTED_VALUE"""),"")</f>
        <v/>
      </c>
      <c r="I457" s="50" t="s">
        <v>29</v>
      </c>
      <c r="J457" s="50" t="s">
        <v>29</v>
      </c>
      <c r="K457" s="50" t="s">
        <v>29</v>
      </c>
      <c r="L457" s="50" t="s">
        <v>29</v>
      </c>
      <c r="M457" s="50" t="s">
        <v>29</v>
      </c>
      <c r="N457" s="49"/>
      <c r="P457" s="19"/>
      <c r="Q457" s="18" t="str">
        <f ca="1">IFERROR(__xludf.DUMMYFUNCTION("""COMPUTED_VALUE"""),"")</f>
        <v/>
      </c>
      <c r="R457" s="19"/>
      <c r="S457" s="20"/>
      <c r="BP457" s="10"/>
      <c r="BW457" s="10"/>
      <c r="CF457" s="10"/>
      <c r="CM457" s="10"/>
      <c r="CP457" s="18" t="str">
        <f ca="1"/>
        <v/>
      </c>
      <c r="CQ457" s="18" t="str">
        <f ca="1"/>
        <v/>
      </c>
      <c r="CR457" s="18" t="str">
        <f ca="1"/>
        <v/>
      </c>
      <c r="CS457" s="18" t="str">
        <f ca="1"/>
        <v/>
      </c>
      <c r="CT457" s="18" t="str">
        <f ca="1"/>
        <v/>
      </c>
      <c r="CV457" s="10"/>
      <c r="CY457" s="18" t="str">
        <f ca="1"/>
        <v/>
      </c>
      <c r="CZ457" s="18" t="str">
        <f ca="1"/>
        <v/>
      </c>
      <c r="DA457" s="18" t="str">
        <f ca="1"/>
        <v/>
      </c>
      <c r="DC457" s="10"/>
    </row>
    <row r="458" spans="1:107" x14ac:dyDescent="0.25">
      <c r="A458" s="46"/>
      <c r="B458" s="52"/>
      <c r="C458" s="52"/>
      <c r="D458" s="16"/>
      <c r="E458" s="52"/>
      <c r="F458" s="52"/>
      <c r="G458" s="50"/>
      <c r="H458" s="17" t="str">
        <f ca="1">IFERROR(__xludf.DUMMYFUNCTION("""COMPUTED_VALUE"""),"")</f>
        <v/>
      </c>
      <c r="I458" s="50" t="s">
        <v>29</v>
      </c>
      <c r="J458" s="50" t="s">
        <v>29</v>
      </c>
      <c r="K458" s="50" t="s">
        <v>29</v>
      </c>
      <c r="L458" s="50" t="s">
        <v>29</v>
      </c>
      <c r="M458" s="50" t="s">
        <v>29</v>
      </c>
      <c r="N458" s="49"/>
      <c r="P458" s="19"/>
      <c r="Q458" s="18" t="str">
        <f ca="1">IFERROR(__xludf.DUMMYFUNCTION("""COMPUTED_VALUE"""),"")</f>
        <v/>
      </c>
      <c r="R458" s="19"/>
      <c r="S458" s="20"/>
      <c r="BP458" s="10"/>
      <c r="BW458" s="10"/>
      <c r="CF458" s="10"/>
      <c r="CM458" s="10"/>
      <c r="CP458" s="18" t="str">
        <f ca="1"/>
        <v/>
      </c>
      <c r="CQ458" s="18" t="str">
        <f ca="1"/>
        <v/>
      </c>
      <c r="CR458" s="18" t="str">
        <f ca="1"/>
        <v/>
      </c>
      <c r="CS458" s="18" t="str">
        <f ca="1"/>
        <v/>
      </c>
      <c r="CT458" s="18" t="str">
        <f ca="1"/>
        <v/>
      </c>
      <c r="CV458" s="10"/>
      <c r="CY458" s="18" t="str">
        <f ca="1"/>
        <v/>
      </c>
      <c r="CZ458" s="18" t="str">
        <f ca="1"/>
        <v/>
      </c>
      <c r="DA458" s="18" t="str">
        <f ca="1"/>
        <v/>
      </c>
      <c r="DC458" s="10"/>
    </row>
    <row r="459" spans="1:107" x14ac:dyDescent="0.25">
      <c r="A459" s="46"/>
      <c r="B459" s="52"/>
      <c r="C459" s="52"/>
      <c r="D459" s="16"/>
      <c r="E459" s="52"/>
      <c r="F459" s="52"/>
      <c r="G459" s="50"/>
      <c r="H459" s="17" t="str">
        <f ca="1">IFERROR(__xludf.DUMMYFUNCTION("""COMPUTED_VALUE"""),"")</f>
        <v/>
      </c>
      <c r="I459" s="50" t="s">
        <v>29</v>
      </c>
      <c r="J459" s="50" t="s">
        <v>29</v>
      </c>
      <c r="K459" s="50" t="s">
        <v>29</v>
      </c>
      <c r="L459" s="50" t="s">
        <v>29</v>
      </c>
      <c r="M459" s="50" t="s">
        <v>29</v>
      </c>
      <c r="N459" s="49"/>
      <c r="P459" s="19"/>
      <c r="Q459" s="18" t="str">
        <f ca="1">IFERROR(__xludf.DUMMYFUNCTION("""COMPUTED_VALUE"""),"")</f>
        <v/>
      </c>
      <c r="R459" s="19"/>
      <c r="S459" s="20"/>
      <c r="BP459" s="10"/>
      <c r="BW459" s="10"/>
      <c r="CF459" s="10"/>
      <c r="CM459" s="10"/>
      <c r="CP459" s="18" t="str">
        <f ca="1"/>
        <v/>
      </c>
      <c r="CQ459" s="18" t="str">
        <f ca="1"/>
        <v/>
      </c>
      <c r="CR459" s="18" t="str">
        <f ca="1"/>
        <v/>
      </c>
      <c r="CS459" s="18" t="str">
        <f ca="1"/>
        <v/>
      </c>
      <c r="CT459" s="18" t="str">
        <f ca="1"/>
        <v/>
      </c>
      <c r="CV459" s="10"/>
      <c r="CY459" s="18" t="str">
        <f ca="1"/>
        <v/>
      </c>
      <c r="CZ459" s="18" t="str">
        <f ca="1"/>
        <v/>
      </c>
      <c r="DA459" s="18" t="str">
        <f ca="1"/>
        <v/>
      </c>
      <c r="DC459" s="10"/>
    </row>
    <row r="460" spans="1:107" x14ac:dyDescent="0.25">
      <c r="A460" s="46"/>
      <c r="B460" s="52"/>
      <c r="C460" s="52"/>
      <c r="D460" s="16"/>
      <c r="E460" s="52"/>
      <c r="F460" s="52"/>
      <c r="G460" s="50"/>
      <c r="H460" s="17" t="str">
        <f ca="1">IFERROR(__xludf.DUMMYFUNCTION("""COMPUTED_VALUE"""),"")</f>
        <v/>
      </c>
      <c r="I460" s="50" t="s">
        <v>29</v>
      </c>
      <c r="J460" s="50" t="s">
        <v>29</v>
      </c>
      <c r="K460" s="50" t="s">
        <v>29</v>
      </c>
      <c r="L460" s="50" t="s">
        <v>29</v>
      </c>
      <c r="M460" s="50" t="s">
        <v>29</v>
      </c>
      <c r="N460" s="49"/>
      <c r="P460" s="19"/>
      <c r="Q460" s="18" t="str">
        <f ca="1">IFERROR(__xludf.DUMMYFUNCTION("""COMPUTED_VALUE"""),"")</f>
        <v/>
      </c>
      <c r="R460" s="19"/>
      <c r="S460" s="20"/>
      <c r="BP460" s="10"/>
      <c r="BW460" s="10"/>
      <c r="CF460" s="10"/>
      <c r="CM460" s="10"/>
      <c r="CP460" s="18" t="str">
        <f ca="1"/>
        <v/>
      </c>
      <c r="CQ460" s="18" t="str">
        <f ca="1"/>
        <v/>
      </c>
      <c r="CR460" s="18" t="str">
        <f ca="1"/>
        <v/>
      </c>
      <c r="CS460" s="18" t="str">
        <f ca="1"/>
        <v/>
      </c>
      <c r="CT460" s="18" t="str">
        <f ca="1"/>
        <v/>
      </c>
      <c r="CV460" s="10"/>
      <c r="CY460" s="18" t="str">
        <f ca="1"/>
        <v/>
      </c>
      <c r="CZ460" s="18" t="str">
        <f ca="1"/>
        <v/>
      </c>
      <c r="DA460" s="18" t="str">
        <f ca="1"/>
        <v/>
      </c>
      <c r="DC460" s="10"/>
    </row>
    <row r="461" spans="1:107" x14ac:dyDescent="0.25">
      <c r="A461" s="46"/>
      <c r="B461" s="52"/>
      <c r="C461" s="52"/>
      <c r="D461" s="16"/>
      <c r="E461" s="52"/>
      <c r="F461" s="52"/>
      <c r="G461" s="50"/>
      <c r="H461" s="17" t="str">
        <f ca="1">IFERROR(__xludf.DUMMYFUNCTION("""COMPUTED_VALUE"""),"")</f>
        <v/>
      </c>
      <c r="I461" s="50" t="s">
        <v>29</v>
      </c>
      <c r="J461" s="50" t="s">
        <v>29</v>
      </c>
      <c r="K461" s="50" t="s">
        <v>29</v>
      </c>
      <c r="L461" s="50" t="s">
        <v>29</v>
      </c>
      <c r="M461" s="50" t="s">
        <v>29</v>
      </c>
      <c r="N461" s="49"/>
      <c r="P461" s="19"/>
      <c r="Q461" s="18" t="str">
        <f ca="1">IFERROR(__xludf.DUMMYFUNCTION("""COMPUTED_VALUE"""),"")</f>
        <v/>
      </c>
      <c r="R461" s="19"/>
      <c r="S461" s="20"/>
      <c r="BP461" s="10"/>
      <c r="BW461" s="10"/>
      <c r="CF461" s="10"/>
      <c r="CM461" s="10"/>
      <c r="CP461" s="18" t="str">
        <f ca="1"/>
        <v/>
      </c>
      <c r="CQ461" s="18" t="str">
        <f ca="1"/>
        <v/>
      </c>
      <c r="CR461" s="18" t="str">
        <f ca="1"/>
        <v/>
      </c>
      <c r="CS461" s="18" t="str">
        <f ca="1"/>
        <v/>
      </c>
      <c r="CT461" s="18" t="str">
        <f ca="1"/>
        <v/>
      </c>
      <c r="CV461" s="10"/>
      <c r="CY461" s="18" t="str">
        <f ca="1"/>
        <v/>
      </c>
      <c r="CZ461" s="18" t="str">
        <f ca="1"/>
        <v/>
      </c>
      <c r="DA461" s="18" t="str">
        <f ca="1"/>
        <v/>
      </c>
      <c r="DC461" s="10"/>
    </row>
    <row r="462" spans="1:107" x14ac:dyDescent="0.25">
      <c r="A462" s="46"/>
      <c r="B462" s="52"/>
      <c r="C462" s="52"/>
      <c r="D462" s="16"/>
      <c r="E462" s="52"/>
      <c r="F462" s="52"/>
      <c r="G462" s="50"/>
      <c r="H462" s="17" t="str">
        <f ca="1">IFERROR(__xludf.DUMMYFUNCTION("""COMPUTED_VALUE"""),"")</f>
        <v/>
      </c>
      <c r="I462" s="50" t="s">
        <v>29</v>
      </c>
      <c r="J462" s="50" t="s">
        <v>29</v>
      </c>
      <c r="K462" s="50" t="s">
        <v>29</v>
      </c>
      <c r="L462" s="50" t="s">
        <v>29</v>
      </c>
      <c r="M462" s="50" t="s">
        <v>29</v>
      </c>
      <c r="N462" s="49"/>
      <c r="P462" s="19"/>
      <c r="Q462" s="18" t="str">
        <f ca="1">IFERROR(__xludf.DUMMYFUNCTION("""COMPUTED_VALUE"""),"")</f>
        <v/>
      </c>
      <c r="R462" s="19"/>
      <c r="S462" s="20"/>
      <c r="BP462" s="10"/>
      <c r="BW462" s="10"/>
      <c r="CF462" s="10"/>
      <c r="CM462" s="10"/>
      <c r="CP462" s="18" t="str">
        <f ca="1"/>
        <v/>
      </c>
      <c r="CQ462" s="18" t="str">
        <f ca="1"/>
        <v/>
      </c>
      <c r="CR462" s="18" t="str">
        <f ca="1"/>
        <v/>
      </c>
      <c r="CS462" s="18" t="str">
        <f ca="1"/>
        <v/>
      </c>
      <c r="CT462" s="18" t="str">
        <f ca="1"/>
        <v/>
      </c>
      <c r="CV462" s="10"/>
      <c r="CY462" s="18" t="str">
        <f ca="1"/>
        <v/>
      </c>
      <c r="CZ462" s="18" t="str">
        <f ca="1"/>
        <v/>
      </c>
      <c r="DA462" s="18" t="str">
        <f ca="1"/>
        <v/>
      </c>
      <c r="DC462" s="10"/>
    </row>
    <row r="463" spans="1:107" x14ac:dyDescent="0.25">
      <c r="A463" s="46"/>
      <c r="B463" s="52"/>
      <c r="C463" s="52"/>
      <c r="D463" s="16"/>
      <c r="E463" s="52"/>
      <c r="F463" s="52"/>
      <c r="G463" s="50"/>
      <c r="H463" s="17" t="str">
        <f ca="1">IFERROR(__xludf.DUMMYFUNCTION("""COMPUTED_VALUE"""),"")</f>
        <v/>
      </c>
      <c r="I463" s="50" t="s">
        <v>29</v>
      </c>
      <c r="J463" s="50" t="s">
        <v>29</v>
      </c>
      <c r="K463" s="50" t="s">
        <v>29</v>
      </c>
      <c r="L463" s="50" t="s">
        <v>29</v>
      </c>
      <c r="M463" s="50" t="s">
        <v>29</v>
      </c>
      <c r="N463" s="49"/>
      <c r="P463" s="19"/>
      <c r="Q463" s="18" t="str">
        <f ca="1">IFERROR(__xludf.DUMMYFUNCTION("""COMPUTED_VALUE"""),"")</f>
        <v/>
      </c>
      <c r="R463" s="19"/>
      <c r="S463" s="20"/>
      <c r="BP463" s="10"/>
      <c r="BW463" s="10"/>
      <c r="CF463" s="10"/>
      <c r="CM463" s="10"/>
      <c r="CP463" s="18" t="str">
        <f ca="1"/>
        <v/>
      </c>
      <c r="CQ463" s="18" t="str">
        <f ca="1"/>
        <v/>
      </c>
      <c r="CR463" s="18" t="str">
        <f ca="1"/>
        <v/>
      </c>
      <c r="CS463" s="18" t="str">
        <f ca="1"/>
        <v/>
      </c>
      <c r="CT463" s="18" t="str">
        <f ca="1"/>
        <v/>
      </c>
      <c r="CV463" s="10"/>
      <c r="CY463" s="18" t="str">
        <f ca="1"/>
        <v/>
      </c>
      <c r="CZ463" s="18" t="str">
        <f ca="1"/>
        <v/>
      </c>
      <c r="DA463" s="18" t="str">
        <f ca="1"/>
        <v/>
      </c>
      <c r="DC463" s="10"/>
    </row>
    <row r="464" spans="1:107" x14ac:dyDescent="0.25">
      <c r="A464" s="46"/>
      <c r="B464" s="52"/>
      <c r="C464" s="52"/>
      <c r="D464" s="16"/>
      <c r="E464" s="52"/>
      <c r="F464" s="52"/>
      <c r="G464" s="50"/>
      <c r="H464" s="17" t="str">
        <f ca="1">IFERROR(__xludf.DUMMYFUNCTION("""COMPUTED_VALUE"""),"")</f>
        <v/>
      </c>
      <c r="I464" s="50" t="s">
        <v>29</v>
      </c>
      <c r="J464" s="50" t="s">
        <v>29</v>
      </c>
      <c r="K464" s="50" t="s">
        <v>29</v>
      </c>
      <c r="L464" s="50" t="s">
        <v>29</v>
      </c>
      <c r="M464" s="50" t="s">
        <v>29</v>
      </c>
      <c r="N464" s="49"/>
      <c r="P464" s="19"/>
      <c r="Q464" s="18" t="str">
        <f ca="1">IFERROR(__xludf.DUMMYFUNCTION("""COMPUTED_VALUE"""),"")</f>
        <v/>
      </c>
      <c r="R464" s="19"/>
      <c r="S464" s="20"/>
      <c r="BP464" s="10"/>
      <c r="BW464" s="10"/>
      <c r="CF464" s="10"/>
      <c r="CM464" s="10"/>
      <c r="CP464" s="18" t="str">
        <f ca="1"/>
        <v/>
      </c>
      <c r="CQ464" s="18" t="str">
        <f ca="1"/>
        <v/>
      </c>
      <c r="CR464" s="18" t="str">
        <f ca="1"/>
        <v/>
      </c>
      <c r="CS464" s="18" t="str">
        <f ca="1"/>
        <v/>
      </c>
      <c r="CT464" s="18" t="str">
        <f ca="1"/>
        <v/>
      </c>
      <c r="CV464" s="10"/>
      <c r="CY464" s="18" t="str">
        <f ca="1"/>
        <v/>
      </c>
      <c r="CZ464" s="18" t="str">
        <f ca="1"/>
        <v/>
      </c>
      <c r="DA464" s="18" t="str">
        <f ca="1"/>
        <v/>
      </c>
      <c r="DC464" s="10"/>
    </row>
    <row r="465" spans="1:107" x14ac:dyDescent="0.25">
      <c r="A465" s="46"/>
      <c r="B465" s="52"/>
      <c r="C465" s="52"/>
      <c r="D465" s="16"/>
      <c r="E465" s="52"/>
      <c r="F465" s="52"/>
      <c r="G465" s="50"/>
      <c r="H465" s="17" t="str">
        <f ca="1">IFERROR(__xludf.DUMMYFUNCTION("""COMPUTED_VALUE"""),"")</f>
        <v/>
      </c>
      <c r="I465" s="50" t="s">
        <v>29</v>
      </c>
      <c r="J465" s="50" t="s">
        <v>29</v>
      </c>
      <c r="K465" s="50" t="s">
        <v>29</v>
      </c>
      <c r="L465" s="50" t="s">
        <v>29</v>
      </c>
      <c r="M465" s="50" t="s">
        <v>29</v>
      </c>
      <c r="N465" s="49"/>
      <c r="P465" s="19"/>
      <c r="Q465" s="18" t="str">
        <f ca="1">IFERROR(__xludf.DUMMYFUNCTION("""COMPUTED_VALUE"""),"")</f>
        <v/>
      </c>
      <c r="R465" s="19"/>
      <c r="S465" s="20"/>
      <c r="BP465" s="10"/>
      <c r="BW465" s="10"/>
      <c r="CF465" s="10"/>
      <c r="CM465" s="10"/>
      <c r="CP465" s="18" t="str">
        <f ca="1"/>
        <v/>
      </c>
      <c r="CQ465" s="18" t="str">
        <f ca="1"/>
        <v/>
      </c>
      <c r="CR465" s="18" t="str">
        <f ca="1"/>
        <v/>
      </c>
      <c r="CS465" s="18" t="str">
        <f ca="1"/>
        <v/>
      </c>
      <c r="CT465" s="18" t="str">
        <f ca="1"/>
        <v/>
      </c>
      <c r="CV465" s="10"/>
      <c r="CY465" s="18" t="str">
        <f ca="1"/>
        <v/>
      </c>
      <c r="CZ465" s="18" t="str">
        <f ca="1"/>
        <v/>
      </c>
      <c r="DA465" s="18" t="str">
        <f ca="1"/>
        <v/>
      </c>
      <c r="DC465" s="10"/>
    </row>
    <row r="466" spans="1:107" x14ac:dyDescent="0.25">
      <c r="A466" s="46"/>
      <c r="B466" s="52"/>
      <c r="C466" s="52"/>
      <c r="D466" s="16"/>
      <c r="E466" s="52"/>
      <c r="F466" s="52"/>
      <c r="G466" s="50"/>
      <c r="H466" s="17" t="str">
        <f ca="1">IFERROR(__xludf.DUMMYFUNCTION("""COMPUTED_VALUE"""),"")</f>
        <v/>
      </c>
      <c r="I466" s="50" t="s">
        <v>29</v>
      </c>
      <c r="J466" s="50" t="s">
        <v>29</v>
      </c>
      <c r="K466" s="50" t="s">
        <v>29</v>
      </c>
      <c r="L466" s="50" t="s">
        <v>29</v>
      </c>
      <c r="M466" s="50" t="s">
        <v>29</v>
      </c>
      <c r="N466" s="49"/>
      <c r="P466" s="19"/>
      <c r="Q466" s="18" t="str">
        <f ca="1">IFERROR(__xludf.DUMMYFUNCTION("""COMPUTED_VALUE"""),"")</f>
        <v/>
      </c>
      <c r="R466" s="19"/>
      <c r="S466" s="20"/>
      <c r="BP466" s="10"/>
      <c r="BW466" s="10"/>
      <c r="CF466" s="10"/>
      <c r="CM466" s="10"/>
      <c r="CP466" s="18" t="str">
        <f ca="1"/>
        <v/>
      </c>
      <c r="CQ466" s="18" t="str">
        <f ca="1"/>
        <v/>
      </c>
      <c r="CR466" s="18" t="str">
        <f ca="1"/>
        <v/>
      </c>
      <c r="CS466" s="18" t="str">
        <f ca="1"/>
        <v/>
      </c>
      <c r="CT466" s="18" t="str">
        <f ca="1"/>
        <v/>
      </c>
      <c r="CV466" s="10"/>
      <c r="CY466" s="18" t="str">
        <f ca="1"/>
        <v/>
      </c>
      <c r="CZ466" s="18" t="str">
        <f ca="1"/>
        <v/>
      </c>
      <c r="DA466" s="18" t="str">
        <f ca="1"/>
        <v/>
      </c>
      <c r="DC466" s="10"/>
    </row>
    <row r="467" spans="1:107" x14ac:dyDescent="0.25">
      <c r="A467" s="46"/>
      <c r="B467" s="52"/>
      <c r="C467" s="52"/>
      <c r="D467" s="16"/>
      <c r="E467" s="52"/>
      <c r="F467" s="52"/>
      <c r="G467" s="50"/>
      <c r="H467" s="17" t="str">
        <f ca="1">IFERROR(__xludf.DUMMYFUNCTION("""COMPUTED_VALUE"""),"")</f>
        <v/>
      </c>
      <c r="I467" s="50" t="s">
        <v>29</v>
      </c>
      <c r="J467" s="50" t="s">
        <v>29</v>
      </c>
      <c r="K467" s="50" t="s">
        <v>29</v>
      </c>
      <c r="L467" s="50" t="s">
        <v>29</v>
      </c>
      <c r="M467" s="50" t="s">
        <v>29</v>
      </c>
      <c r="N467" s="49"/>
      <c r="P467" s="19"/>
      <c r="Q467" s="18" t="str">
        <f ca="1">IFERROR(__xludf.DUMMYFUNCTION("""COMPUTED_VALUE"""),"")</f>
        <v/>
      </c>
      <c r="R467" s="19"/>
      <c r="S467" s="20"/>
      <c r="BP467" s="10"/>
      <c r="BW467" s="10"/>
      <c r="CF467" s="10"/>
      <c r="CM467" s="10"/>
      <c r="CP467" s="18" t="str">
        <f ca="1"/>
        <v/>
      </c>
      <c r="CQ467" s="18" t="str">
        <f ca="1"/>
        <v/>
      </c>
      <c r="CR467" s="18" t="str">
        <f ca="1"/>
        <v/>
      </c>
      <c r="CS467" s="18" t="str">
        <f ca="1"/>
        <v/>
      </c>
      <c r="CT467" s="18" t="str">
        <f ca="1"/>
        <v/>
      </c>
      <c r="CV467" s="10"/>
      <c r="CY467" s="18" t="str">
        <f ca="1"/>
        <v/>
      </c>
      <c r="CZ467" s="18" t="str">
        <f ca="1"/>
        <v/>
      </c>
      <c r="DA467" s="18" t="str">
        <f ca="1"/>
        <v/>
      </c>
      <c r="DC467" s="10"/>
    </row>
    <row r="468" spans="1:107" x14ac:dyDescent="0.25">
      <c r="A468" s="46"/>
      <c r="B468" s="52"/>
      <c r="C468" s="52"/>
      <c r="D468" s="16"/>
      <c r="E468" s="52"/>
      <c r="F468" s="52"/>
      <c r="G468" s="50"/>
      <c r="H468" s="17" t="str">
        <f ca="1">IFERROR(__xludf.DUMMYFUNCTION("""COMPUTED_VALUE"""),"")</f>
        <v/>
      </c>
      <c r="I468" s="50" t="s">
        <v>29</v>
      </c>
      <c r="J468" s="50" t="s">
        <v>29</v>
      </c>
      <c r="K468" s="50" t="s">
        <v>29</v>
      </c>
      <c r="L468" s="50" t="s">
        <v>29</v>
      </c>
      <c r="M468" s="50" t="s">
        <v>29</v>
      </c>
      <c r="N468" s="49"/>
      <c r="P468" s="19"/>
      <c r="Q468" s="18" t="str">
        <f ca="1">IFERROR(__xludf.DUMMYFUNCTION("""COMPUTED_VALUE"""),"")</f>
        <v/>
      </c>
      <c r="R468" s="19"/>
      <c r="S468" s="20"/>
      <c r="BP468" s="10"/>
      <c r="BW468" s="10"/>
      <c r="CF468" s="10"/>
      <c r="CM468" s="10"/>
      <c r="CP468" s="18" t="str">
        <f ca="1"/>
        <v/>
      </c>
      <c r="CQ468" s="18" t="str">
        <f ca="1"/>
        <v/>
      </c>
      <c r="CR468" s="18" t="str">
        <f ca="1"/>
        <v/>
      </c>
      <c r="CS468" s="18" t="str">
        <f ca="1"/>
        <v/>
      </c>
      <c r="CT468" s="18" t="str">
        <f ca="1"/>
        <v/>
      </c>
      <c r="CV468" s="10"/>
      <c r="CY468" s="18" t="str">
        <f ca="1"/>
        <v/>
      </c>
      <c r="CZ468" s="18" t="str">
        <f ca="1"/>
        <v/>
      </c>
      <c r="DA468" s="18" t="str">
        <f ca="1"/>
        <v/>
      </c>
      <c r="DC468" s="10"/>
    </row>
    <row r="469" spans="1:107" x14ac:dyDescent="0.25">
      <c r="A469" s="46"/>
      <c r="B469" s="52"/>
      <c r="C469" s="52"/>
      <c r="D469" s="16"/>
      <c r="E469" s="52"/>
      <c r="F469" s="52"/>
      <c r="G469" s="50"/>
      <c r="H469" s="17" t="str">
        <f ca="1">IFERROR(__xludf.DUMMYFUNCTION("""COMPUTED_VALUE"""),"")</f>
        <v/>
      </c>
      <c r="I469" s="50" t="s">
        <v>29</v>
      </c>
      <c r="J469" s="50" t="s">
        <v>29</v>
      </c>
      <c r="K469" s="50" t="s">
        <v>29</v>
      </c>
      <c r="L469" s="50" t="s">
        <v>29</v>
      </c>
      <c r="M469" s="50" t="s">
        <v>29</v>
      </c>
      <c r="N469" s="49"/>
      <c r="P469" s="19"/>
      <c r="Q469" s="18" t="str">
        <f ca="1">IFERROR(__xludf.DUMMYFUNCTION("""COMPUTED_VALUE"""),"")</f>
        <v/>
      </c>
      <c r="R469" s="19"/>
      <c r="S469" s="20"/>
      <c r="BP469" s="10"/>
      <c r="BW469" s="10"/>
      <c r="CF469" s="10"/>
      <c r="CM469" s="10"/>
      <c r="CP469" s="18" t="str">
        <f ca="1"/>
        <v/>
      </c>
      <c r="CQ469" s="18" t="str">
        <f ca="1"/>
        <v/>
      </c>
      <c r="CR469" s="18" t="str">
        <f ca="1"/>
        <v/>
      </c>
      <c r="CS469" s="18" t="str">
        <f ca="1"/>
        <v/>
      </c>
      <c r="CT469" s="18" t="str">
        <f ca="1"/>
        <v/>
      </c>
      <c r="CV469" s="10"/>
      <c r="CY469" s="18" t="str">
        <f ca="1"/>
        <v/>
      </c>
      <c r="CZ469" s="18" t="str">
        <f ca="1"/>
        <v/>
      </c>
      <c r="DA469" s="18" t="str">
        <f ca="1"/>
        <v/>
      </c>
      <c r="DC469" s="10"/>
    </row>
    <row r="470" spans="1:107" x14ac:dyDescent="0.25">
      <c r="A470" s="46"/>
      <c r="B470" s="52"/>
      <c r="C470" s="52"/>
      <c r="D470" s="16"/>
      <c r="E470" s="52"/>
      <c r="F470" s="52"/>
      <c r="G470" s="50"/>
      <c r="H470" s="17" t="str">
        <f ca="1">IFERROR(__xludf.DUMMYFUNCTION("""COMPUTED_VALUE"""),"")</f>
        <v/>
      </c>
      <c r="I470" s="50" t="s">
        <v>29</v>
      </c>
      <c r="J470" s="50" t="s">
        <v>29</v>
      </c>
      <c r="K470" s="50" t="s">
        <v>29</v>
      </c>
      <c r="L470" s="50" t="s">
        <v>29</v>
      </c>
      <c r="M470" s="50" t="s">
        <v>29</v>
      </c>
      <c r="N470" s="49"/>
      <c r="P470" s="19"/>
      <c r="Q470" s="18" t="str">
        <f ca="1">IFERROR(__xludf.DUMMYFUNCTION("""COMPUTED_VALUE"""),"")</f>
        <v/>
      </c>
      <c r="R470" s="19"/>
      <c r="S470" s="20"/>
      <c r="BP470" s="10"/>
      <c r="BW470" s="10"/>
      <c r="CF470" s="10"/>
      <c r="CM470" s="10"/>
      <c r="CP470" s="18" t="str">
        <f ca="1"/>
        <v/>
      </c>
      <c r="CQ470" s="18" t="str">
        <f ca="1"/>
        <v/>
      </c>
      <c r="CR470" s="18" t="str">
        <f ca="1"/>
        <v/>
      </c>
      <c r="CS470" s="18" t="str">
        <f ca="1"/>
        <v/>
      </c>
      <c r="CT470" s="18" t="str">
        <f ca="1"/>
        <v/>
      </c>
      <c r="CV470" s="10"/>
      <c r="CY470" s="18" t="str">
        <f ca="1"/>
        <v/>
      </c>
      <c r="CZ470" s="18" t="str">
        <f ca="1"/>
        <v/>
      </c>
      <c r="DA470" s="18" t="str">
        <f ca="1"/>
        <v/>
      </c>
      <c r="DC470" s="10"/>
    </row>
    <row r="471" spans="1:107" x14ac:dyDescent="0.25">
      <c r="A471" s="46"/>
      <c r="B471" s="52"/>
      <c r="C471" s="52"/>
      <c r="D471" s="16"/>
      <c r="E471" s="52"/>
      <c r="F471" s="52"/>
      <c r="G471" s="50"/>
      <c r="H471" s="17" t="str">
        <f ca="1">IFERROR(__xludf.DUMMYFUNCTION("""COMPUTED_VALUE"""),"")</f>
        <v/>
      </c>
      <c r="I471" s="50" t="s">
        <v>29</v>
      </c>
      <c r="J471" s="50" t="s">
        <v>29</v>
      </c>
      <c r="K471" s="50" t="s">
        <v>29</v>
      </c>
      <c r="L471" s="50" t="s">
        <v>29</v>
      </c>
      <c r="M471" s="50" t="s">
        <v>29</v>
      </c>
      <c r="N471" s="49"/>
      <c r="P471" s="19"/>
      <c r="Q471" s="18" t="str">
        <f ca="1">IFERROR(__xludf.DUMMYFUNCTION("""COMPUTED_VALUE"""),"")</f>
        <v/>
      </c>
      <c r="R471" s="19"/>
      <c r="S471" s="20"/>
      <c r="BP471" s="10"/>
      <c r="BW471" s="10"/>
      <c r="CF471" s="10"/>
      <c r="CM471" s="10"/>
      <c r="CP471" s="18" t="str">
        <f ca="1"/>
        <v/>
      </c>
      <c r="CQ471" s="18" t="str">
        <f ca="1"/>
        <v/>
      </c>
      <c r="CR471" s="18" t="str">
        <f ca="1"/>
        <v/>
      </c>
      <c r="CS471" s="18" t="str">
        <f ca="1"/>
        <v/>
      </c>
      <c r="CT471" s="18" t="str">
        <f ca="1"/>
        <v/>
      </c>
      <c r="CV471" s="10"/>
      <c r="CY471" s="18" t="str">
        <f ca="1"/>
        <v/>
      </c>
      <c r="CZ471" s="18" t="str">
        <f ca="1"/>
        <v/>
      </c>
      <c r="DA471" s="18" t="str">
        <f ca="1"/>
        <v/>
      </c>
      <c r="DC471" s="10"/>
    </row>
    <row r="472" spans="1:107" x14ac:dyDescent="0.25">
      <c r="A472" s="46"/>
      <c r="B472" s="52"/>
      <c r="C472" s="52"/>
      <c r="D472" s="16"/>
      <c r="E472" s="52"/>
      <c r="F472" s="52"/>
      <c r="G472" s="50"/>
      <c r="H472" s="17" t="str">
        <f ca="1">IFERROR(__xludf.DUMMYFUNCTION("""COMPUTED_VALUE"""),"")</f>
        <v/>
      </c>
      <c r="I472" s="50" t="s">
        <v>29</v>
      </c>
      <c r="J472" s="50" t="s">
        <v>29</v>
      </c>
      <c r="K472" s="50" t="s">
        <v>29</v>
      </c>
      <c r="L472" s="50" t="s">
        <v>29</v>
      </c>
      <c r="M472" s="50" t="s">
        <v>29</v>
      </c>
      <c r="N472" s="49"/>
      <c r="P472" s="19"/>
      <c r="Q472" s="18" t="str">
        <f ca="1">IFERROR(__xludf.DUMMYFUNCTION("""COMPUTED_VALUE"""),"")</f>
        <v/>
      </c>
      <c r="R472" s="19"/>
      <c r="S472" s="20"/>
      <c r="BP472" s="10"/>
      <c r="BW472" s="10"/>
      <c r="CF472" s="10"/>
      <c r="CM472" s="10"/>
      <c r="CP472" s="18" t="str">
        <f ca="1"/>
        <v/>
      </c>
      <c r="CQ472" s="18" t="str">
        <f ca="1"/>
        <v/>
      </c>
      <c r="CR472" s="18" t="str">
        <f ca="1"/>
        <v/>
      </c>
      <c r="CS472" s="18" t="str">
        <f ca="1"/>
        <v/>
      </c>
      <c r="CT472" s="18" t="str">
        <f ca="1"/>
        <v/>
      </c>
      <c r="CV472" s="10"/>
      <c r="CY472" s="18" t="str">
        <f ca="1"/>
        <v/>
      </c>
      <c r="CZ472" s="18" t="str">
        <f ca="1"/>
        <v/>
      </c>
      <c r="DA472" s="18" t="str">
        <f ca="1"/>
        <v/>
      </c>
      <c r="DC472" s="10"/>
    </row>
    <row r="473" spans="1:107" x14ac:dyDescent="0.25">
      <c r="A473" s="46"/>
      <c r="B473" s="52"/>
      <c r="C473" s="52"/>
      <c r="D473" s="16"/>
      <c r="E473" s="52"/>
      <c r="F473" s="52"/>
      <c r="G473" s="50"/>
      <c r="H473" s="17" t="str">
        <f ca="1">IFERROR(__xludf.DUMMYFUNCTION("""COMPUTED_VALUE"""),"")</f>
        <v/>
      </c>
      <c r="I473" s="50" t="s">
        <v>29</v>
      </c>
      <c r="J473" s="50" t="s">
        <v>29</v>
      </c>
      <c r="K473" s="50" t="s">
        <v>29</v>
      </c>
      <c r="L473" s="50" t="s">
        <v>29</v>
      </c>
      <c r="M473" s="50" t="s">
        <v>29</v>
      </c>
      <c r="N473" s="49"/>
      <c r="P473" s="19"/>
      <c r="Q473" s="18" t="str">
        <f ca="1">IFERROR(__xludf.DUMMYFUNCTION("""COMPUTED_VALUE"""),"")</f>
        <v/>
      </c>
      <c r="R473" s="19"/>
      <c r="S473" s="20"/>
      <c r="BP473" s="10"/>
      <c r="BW473" s="10"/>
      <c r="CF473" s="10"/>
      <c r="CM473" s="10"/>
      <c r="CP473" s="18" t="str">
        <f ca="1"/>
        <v/>
      </c>
      <c r="CQ473" s="18" t="str">
        <f ca="1"/>
        <v/>
      </c>
      <c r="CR473" s="18" t="str">
        <f ca="1"/>
        <v/>
      </c>
      <c r="CS473" s="18" t="str">
        <f ca="1"/>
        <v/>
      </c>
      <c r="CT473" s="18" t="str">
        <f ca="1"/>
        <v/>
      </c>
      <c r="CV473" s="10"/>
      <c r="CY473" s="18" t="str">
        <f ca="1"/>
        <v/>
      </c>
      <c r="CZ473" s="18" t="str">
        <f ca="1"/>
        <v/>
      </c>
      <c r="DA473" s="18" t="str">
        <f ca="1"/>
        <v/>
      </c>
      <c r="DC473" s="10"/>
    </row>
    <row r="474" spans="1:107" x14ac:dyDescent="0.25">
      <c r="A474" s="46"/>
      <c r="B474" s="52"/>
      <c r="C474" s="52"/>
      <c r="D474" s="16"/>
      <c r="E474" s="52"/>
      <c r="F474" s="52"/>
      <c r="G474" s="50"/>
      <c r="H474" s="17" t="str">
        <f ca="1">IFERROR(__xludf.DUMMYFUNCTION("""COMPUTED_VALUE"""),"")</f>
        <v/>
      </c>
      <c r="I474" s="50" t="s">
        <v>29</v>
      </c>
      <c r="J474" s="50" t="s">
        <v>29</v>
      </c>
      <c r="K474" s="50" t="s">
        <v>29</v>
      </c>
      <c r="L474" s="50" t="s">
        <v>29</v>
      </c>
      <c r="M474" s="50" t="s">
        <v>29</v>
      </c>
      <c r="N474" s="49"/>
      <c r="P474" s="19"/>
      <c r="Q474" s="18" t="str">
        <f ca="1">IFERROR(__xludf.DUMMYFUNCTION("""COMPUTED_VALUE"""),"")</f>
        <v/>
      </c>
      <c r="R474" s="19"/>
      <c r="S474" s="20"/>
      <c r="BP474" s="10"/>
      <c r="BW474" s="10"/>
      <c r="CF474" s="10"/>
      <c r="CM474" s="10"/>
      <c r="CP474" s="18" t="str">
        <f ca="1"/>
        <v/>
      </c>
      <c r="CQ474" s="18" t="str">
        <f ca="1"/>
        <v/>
      </c>
      <c r="CR474" s="18" t="str">
        <f ca="1"/>
        <v/>
      </c>
      <c r="CS474" s="18" t="str">
        <f ca="1"/>
        <v/>
      </c>
      <c r="CT474" s="18" t="str">
        <f ca="1"/>
        <v/>
      </c>
      <c r="CV474" s="10"/>
      <c r="CY474" s="18" t="str">
        <f ca="1"/>
        <v/>
      </c>
      <c r="CZ474" s="18" t="str">
        <f ca="1"/>
        <v/>
      </c>
      <c r="DA474" s="18" t="str">
        <f ca="1"/>
        <v/>
      </c>
      <c r="DC474" s="10"/>
    </row>
    <row r="475" spans="1:107" x14ac:dyDescent="0.25">
      <c r="A475" s="46"/>
      <c r="B475" s="52"/>
      <c r="C475" s="52"/>
      <c r="D475" s="16"/>
      <c r="E475" s="52"/>
      <c r="F475" s="52"/>
      <c r="G475" s="50"/>
      <c r="H475" s="17" t="str">
        <f ca="1">IFERROR(__xludf.DUMMYFUNCTION("""COMPUTED_VALUE"""),"")</f>
        <v/>
      </c>
      <c r="I475" s="50" t="s">
        <v>29</v>
      </c>
      <c r="J475" s="50" t="s">
        <v>29</v>
      </c>
      <c r="K475" s="50" t="s">
        <v>29</v>
      </c>
      <c r="L475" s="50" t="s">
        <v>29</v>
      </c>
      <c r="M475" s="50" t="s">
        <v>29</v>
      </c>
      <c r="N475" s="49"/>
      <c r="P475" s="19"/>
      <c r="Q475" s="18" t="str">
        <f ca="1">IFERROR(__xludf.DUMMYFUNCTION("""COMPUTED_VALUE"""),"")</f>
        <v/>
      </c>
      <c r="R475" s="19"/>
      <c r="S475" s="20"/>
      <c r="BP475" s="10"/>
      <c r="BW475" s="10"/>
      <c r="CF475" s="10"/>
      <c r="CM475" s="10"/>
      <c r="CP475" s="18" t="str">
        <f ca="1"/>
        <v/>
      </c>
      <c r="CQ475" s="18" t="str">
        <f ca="1"/>
        <v/>
      </c>
      <c r="CR475" s="18" t="str">
        <f ca="1"/>
        <v/>
      </c>
      <c r="CS475" s="18" t="str">
        <f ca="1"/>
        <v/>
      </c>
      <c r="CT475" s="18" t="str">
        <f ca="1"/>
        <v/>
      </c>
      <c r="CV475" s="10"/>
      <c r="CY475" s="18" t="str">
        <f ca="1"/>
        <v/>
      </c>
      <c r="CZ475" s="18" t="str">
        <f ca="1"/>
        <v/>
      </c>
      <c r="DA475" s="18" t="str">
        <f ca="1"/>
        <v/>
      </c>
      <c r="DC475" s="10"/>
    </row>
    <row r="476" spans="1:107" x14ac:dyDescent="0.25">
      <c r="A476" s="46"/>
      <c r="B476" s="52"/>
      <c r="C476" s="52"/>
      <c r="D476" s="16"/>
      <c r="E476" s="52"/>
      <c r="F476" s="52"/>
      <c r="G476" s="50"/>
      <c r="H476" s="17" t="str">
        <f ca="1">IFERROR(__xludf.DUMMYFUNCTION("""COMPUTED_VALUE"""),"")</f>
        <v/>
      </c>
      <c r="I476" s="50" t="s">
        <v>29</v>
      </c>
      <c r="J476" s="50" t="s">
        <v>29</v>
      </c>
      <c r="K476" s="50" t="s">
        <v>29</v>
      </c>
      <c r="L476" s="50" t="s">
        <v>29</v>
      </c>
      <c r="M476" s="50" t="s">
        <v>29</v>
      </c>
      <c r="N476" s="49"/>
      <c r="P476" s="19"/>
      <c r="Q476" s="18" t="str">
        <f ca="1">IFERROR(__xludf.DUMMYFUNCTION("""COMPUTED_VALUE"""),"")</f>
        <v/>
      </c>
      <c r="R476" s="19"/>
      <c r="S476" s="20"/>
      <c r="BP476" s="10"/>
      <c r="BW476" s="10"/>
      <c r="CF476" s="10"/>
      <c r="CM476" s="10"/>
      <c r="CP476" s="18" t="str">
        <f ca="1"/>
        <v/>
      </c>
      <c r="CQ476" s="18" t="str">
        <f ca="1"/>
        <v/>
      </c>
      <c r="CR476" s="18" t="str">
        <f ca="1"/>
        <v/>
      </c>
      <c r="CS476" s="18" t="str">
        <f ca="1"/>
        <v/>
      </c>
      <c r="CT476" s="18" t="str">
        <f ca="1"/>
        <v/>
      </c>
      <c r="CV476" s="10"/>
      <c r="CY476" s="18" t="str">
        <f ca="1"/>
        <v/>
      </c>
      <c r="CZ476" s="18" t="str">
        <f ca="1"/>
        <v/>
      </c>
      <c r="DA476" s="18" t="str">
        <f ca="1"/>
        <v/>
      </c>
      <c r="DC476" s="10"/>
    </row>
    <row r="477" spans="1:107" x14ac:dyDescent="0.25">
      <c r="A477" s="46"/>
      <c r="B477" s="52"/>
      <c r="C477" s="52"/>
      <c r="D477" s="16"/>
      <c r="E477" s="52"/>
      <c r="F477" s="52"/>
      <c r="G477" s="50"/>
      <c r="H477" s="17" t="str">
        <f ca="1">IFERROR(__xludf.DUMMYFUNCTION("""COMPUTED_VALUE"""),"")</f>
        <v/>
      </c>
      <c r="I477" s="50" t="s">
        <v>29</v>
      </c>
      <c r="J477" s="50" t="s">
        <v>29</v>
      </c>
      <c r="K477" s="50" t="s">
        <v>29</v>
      </c>
      <c r="L477" s="50" t="s">
        <v>29</v>
      </c>
      <c r="M477" s="50" t="s">
        <v>29</v>
      </c>
      <c r="N477" s="49"/>
      <c r="P477" s="19"/>
      <c r="Q477" s="18" t="str">
        <f ca="1">IFERROR(__xludf.DUMMYFUNCTION("""COMPUTED_VALUE"""),"")</f>
        <v/>
      </c>
      <c r="R477" s="19"/>
      <c r="S477" s="20"/>
      <c r="BP477" s="10"/>
      <c r="BW477" s="10"/>
      <c r="CF477" s="10"/>
      <c r="CM477" s="10"/>
      <c r="CP477" s="18" t="str">
        <f ca="1"/>
        <v/>
      </c>
      <c r="CQ477" s="18" t="str">
        <f ca="1"/>
        <v/>
      </c>
      <c r="CR477" s="18" t="str">
        <f ca="1"/>
        <v/>
      </c>
      <c r="CS477" s="18" t="str">
        <f ca="1"/>
        <v/>
      </c>
      <c r="CT477" s="18" t="str">
        <f ca="1"/>
        <v/>
      </c>
      <c r="CV477" s="10"/>
      <c r="CY477" s="18" t="str">
        <f ca="1"/>
        <v/>
      </c>
      <c r="CZ477" s="18" t="str">
        <f ca="1"/>
        <v/>
      </c>
      <c r="DA477" s="18" t="str">
        <f ca="1"/>
        <v/>
      </c>
      <c r="DC477" s="10"/>
    </row>
    <row r="478" spans="1:107" x14ac:dyDescent="0.25">
      <c r="A478" s="46"/>
      <c r="B478" s="52"/>
      <c r="C478" s="52"/>
      <c r="D478" s="16"/>
      <c r="E478" s="52"/>
      <c r="F478" s="52"/>
      <c r="G478" s="50"/>
      <c r="H478" s="17" t="str">
        <f ca="1">IFERROR(__xludf.DUMMYFUNCTION("""COMPUTED_VALUE"""),"")</f>
        <v/>
      </c>
      <c r="I478" s="50" t="s">
        <v>29</v>
      </c>
      <c r="J478" s="50" t="s">
        <v>29</v>
      </c>
      <c r="K478" s="50" t="s">
        <v>29</v>
      </c>
      <c r="L478" s="50" t="s">
        <v>29</v>
      </c>
      <c r="M478" s="50" t="s">
        <v>29</v>
      </c>
      <c r="N478" s="49"/>
      <c r="P478" s="19"/>
      <c r="Q478" s="18" t="str">
        <f ca="1">IFERROR(__xludf.DUMMYFUNCTION("""COMPUTED_VALUE"""),"")</f>
        <v/>
      </c>
      <c r="R478" s="19"/>
      <c r="S478" s="20"/>
      <c r="BP478" s="10"/>
      <c r="BW478" s="10"/>
      <c r="CF478" s="10"/>
      <c r="CM478" s="10"/>
      <c r="CP478" s="18" t="str">
        <f ca="1"/>
        <v/>
      </c>
      <c r="CQ478" s="18" t="str">
        <f ca="1"/>
        <v/>
      </c>
      <c r="CR478" s="18" t="str">
        <f ca="1"/>
        <v/>
      </c>
      <c r="CS478" s="18" t="str">
        <f ca="1"/>
        <v/>
      </c>
      <c r="CT478" s="18" t="str">
        <f ca="1"/>
        <v/>
      </c>
      <c r="CV478" s="10"/>
      <c r="CY478" s="18" t="str">
        <f ca="1"/>
        <v/>
      </c>
      <c r="CZ478" s="18" t="str">
        <f ca="1"/>
        <v/>
      </c>
      <c r="DA478" s="18" t="str">
        <f ca="1"/>
        <v/>
      </c>
      <c r="DC478" s="10"/>
    </row>
    <row r="479" spans="1:107" x14ac:dyDescent="0.25">
      <c r="A479" s="46"/>
      <c r="B479" s="52"/>
      <c r="C479" s="52"/>
      <c r="D479" s="16"/>
      <c r="E479" s="52"/>
      <c r="F479" s="52"/>
      <c r="G479" s="50"/>
      <c r="H479" s="17" t="str">
        <f ca="1">IFERROR(__xludf.DUMMYFUNCTION("""COMPUTED_VALUE"""),"")</f>
        <v/>
      </c>
      <c r="I479" s="50" t="s">
        <v>29</v>
      </c>
      <c r="J479" s="50" t="s">
        <v>29</v>
      </c>
      <c r="K479" s="50" t="s">
        <v>29</v>
      </c>
      <c r="L479" s="50" t="s">
        <v>29</v>
      </c>
      <c r="M479" s="50" t="s">
        <v>29</v>
      </c>
      <c r="N479" s="49"/>
      <c r="P479" s="19"/>
      <c r="Q479" s="18" t="str">
        <f ca="1">IFERROR(__xludf.DUMMYFUNCTION("""COMPUTED_VALUE"""),"")</f>
        <v/>
      </c>
      <c r="R479" s="19"/>
      <c r="S479" s="20"/>
      <c r="BP479" s="10"/>
      <c r="BW479" s="10"/>
      <c r="CF479" s="10"/>
      <c r="CM479" s="10"/>
      <c r="CP479" s="18" t="str">
        <f ca="1"/>
        <v/>
      </c>
      <c r="CQ479" s="18" t="str">
        <f ca="1"/>
        <v/>
      </c>
      <c r="CR479" s="18" t="str">
        <f ca="1"/>
        <v/>
      </c>
      <c r="CS479" s="18" t="str">
        <f ca="1"/>
        <v/>
      </c>
      <c r="CT479" s="18" t="str">
        <f ca="1"/>
        <v/>
      </c>
      <c r="CV479" s="10"/>
      <c r="CY479" s="18" t="str">
        <f ca="1"/>
        <v/>
      </c>
      <c r="CZ479" s="18" t="str">
        <f ca="1"/>
        <v/>
      </c>
      <c r="DA479" s="18" t="str">
        <f ca="1"/>
        <v/>
      </c>
      <c r="DC479" s="10"/>
    </row>
    <row r="480" spans="1:107" x14ac:dyDescent="0.25">
      <c r="A480" s="46"/>
      <c r="B480" s="52"/>
      <c r="C480" s="52"/>
      <c r="D480" s="16"/>
      <c r="E480" s="52"/>
      <c r="F480" s="52"/>
      <c r="G480" s="50"/>
      <c r="H480" s="17" t="str">
        <f ca="1">IFERROR(__xludf.DUMMYFUNCTION("""COMPUTED_VALUE"""),"")</f>
        <v/>
      </c>
      <c r="I480" s="50" t="s">
        <v>29</v>
      </c>
      <c r="J480" s="50" t="s">
        <v>29</v>
      </c>
      <c r="K480" s="50" t="s">
        <v>29</v>
      </c>
      <c r="L480" s="50" t="s">
        <v>29</v>
      </c>
      <c r="M480" s="50" t="s">
        <v>29</v>
      </c>
      <c r="N480" s="49"/>
      <c r="P480" s="19"/>
      <c r="Q480" s="18" t="str">
        <f ca="1">IFERROR(__xludf.DUMMYFUNCTION("""COMPUTED_VALUE"""),"")</f>
        <v/>
      </c>
      <c r="R480" s="19"/>
      <c r="S480" s="20"/>
      <c r="BP480" s="10"/>
      <c r="BW480" s="10"/>
      <c r="CF480" s="10"/>
      <c r="CM480" s="10"/>
      <c r="CP480" s="18" t="str">
        <f ca="1"/>
        <v/>
      </c>
      <c r="CQ480" s="18" t="str">
        <f ca="1"/>
        <v/>
      </c>
      <c r="CR480" s="18" t="str">
        <f ca="1"/>
        <v/>
      </c>
      <c r="CS480" s="18" t="str">
        <f ca="1"/>
        <v/>
      </c>
      <c r="CT480" s="18" t="str">
        <f ca="1"/>
        <v/>
      </c>
      <c r="CV480" s="10"/>
      <c r="CY480" s="18" t="str">
        <f ca="1"/>
        <v/>
      </c>
      <c r="CZ480" s="18" t="str">
        <f ca="1"/>
        <v/>
      </c>
      <c r="DA480" s="18" t="str">
        <f ca="1"/>
        <v/>
      </c>
      <c r="DC480" s="10"/>
    </row>
    <row r="481" spans="1:107" x14ac:dyDescent="0.25">
      <c r="A481" s="46"/>
      <c r="B481" s="52"/>
      <c r="C481" s="52"/>
      <c r="D481" s="16"/>
      <c r="E481" s="52"/>
      <c r="F481" s="52"/>
      <c r="G481" s="50"/>
      <c r="H481" s="17" t="str">
        <f ca="1">IFERROR(__xludf.DUMMYFUNCTION("""COMPUTED_VALUE"""),"")</f>
        <v/>
      </c>
      <c r="I481" s="50" t="s">
        <v>29</v>
      </c>
      <c r="J481" s="50" t="s">
        <v>29</v>
      </c>
      <c r="K481" s="50" t="s">
        <v>29</v>
      </c>
      <c r="L481" s="50" t="s">
        <v>29</v>
      </c>
      <c r="M481" s="50" t="s">
        <v>29</v>
      </c>
      <c r="N481" s="49"/>
      <c r="P481" s="19"/>
      <c r="Q481" s="18" t="str">
        <f ca="1">IFERROR(__xludf.DUMMYFUNCTION("""COMPUTED_VALUE"""),"")</f>
        <v/>
      </c>
      <c r="R481" s="19"/>
      <c r="S481" s="20"/>
      <c r="BP481" s="10"/>
      <c r="BW481" s="10"/>
      <c r="CF481" s="10"/>
      <c r="CM481" s="10"/>
      <c r="CP481" s="18" t="str">
        <f ca="1"/>
        <v/>
      </c>
      <c r="CQ481" s="18" t="str">
        <f ca="1"/>
        <v/>
      </c>
      <c r="CR481" s="18" t="str">
        <f ca="1"/>
        <v/>
      </c>
      <c r="CS481" s="18" t="str">
        <f ca="1"/>
        <v/>
      </c>
      <c r="CT481" s="18" t="str">
        <f ca="1"/>
        <v/>
      </c>
      <c r="CV481" s="10"/>
      <c r="CY481" s="18" t="str">
        <f ca="1"/>
        <v/>
      </c>
      <c r="CZ481" s="18" t="str">
        <f ca="1"/>
        <v/>
      </c>
      <c r="DA481" s="18" t="str">
        <f ca="1"/>
        <v/>
      </c>
      <c r="DC481" s="10"/>
    </row>
    <row r="482" spans="1:107" x14ac:dyDescent="0.25">
      <c r="A482" s="46"/>
      <c r="B482" s="52"/>
      <c r="C482" s="52"/>
      <c r="D482" s="16"/>
      <c r="E482" s="52"/>
      <c r="F482" s="52"/>
      <c r="G482" s="50"/>
      <c r="H482" s="17" t="str">
        <f ca="1">IFERROR(__xludf.DUMMYFUNCTION("""COMPUTED_VALUE"""),"")</f>
        <v/>
      </c>
      <c r="I482" s="50" t="s">
        <v>29</v>
      </c>
      <c r="J482" s="50" t="s">
        <v>29</v>
      </c>
      <c r="K482" s="50" t="s">
        <v>29</v>
      </c>
      <c r="L482" s="50" t="s">
        <v>29</v>
      </c>
      <c r="M482" s="50" t="s">
        <v>29</v>
      </c>
      <c r="N482" s="49"/>
      <c r="P482" s="19"/>
      <c r="Q482" s="18" t="str">
        <f ca="1">IFERROR(__xludf.DUMMYFUNCTION("""COMPUTED_VALUE"""),"")</f>
        <v/>
      </c>
      <c r="R482" s="19"/>
      <c r="S482" s="20"/>
      <c r="BP482" s="10"/>
      <c r="BW482" s="10"/>
      <c r="CF482" s="10"/>
      <c r="CM482" s="10"/>
      <c r="CP482" s="18" t="str">
        <f ca="1"/>
        <v/>
      </c>
      <c r="CQ482" s="18" t="str">
        <f ca="1"/>
        <v/>
      </c>
      <c r="CR482" s="18" t="str">
        <f ca="1"/>
        <v/>
      </c>
      <c r="CS482" s="18" t="str">
        <f ca="1"/>
        <v/>
      </c>
      <c r="CT482" s="18" t="str">
        <f ca="1"/>
        <v/>
      </c>
      <c r="CV482" s="10"/>
      <c r="CY482" s="18" t="str">
        <f ca="1"/>
        <v/>
      </c>
      <c r="CZ482" s="18" t="str">
        <f ca="1"/>
        <v/>
      </c>
      <c r="DA482" s="18" t="str">
        <f ca="1"/>
        <v/>
      </c>
      <c r="DC482" s="10"/>
    </row>
    <row r="483" spans="1:107" x14ac:dyDescent="0.25">
      <c r="A483" s="46"/>
      <c r="B483" s="52"/>
      <c r="C483" s="52"/>
      <c r="D483" s="16"/>
      <c r="E483" s="52"/>
      <c r="F483" s="52"/>
      <c r="G483" s="50"/>
      <c r="H483" s="17" t="str">
        <f ca="1">IFERROR(__xludf.DUMMYFUNCTION("""COMPUTED_VALUE"""),"")</f>
        <v/>
      </c>
      <c r="I483" s="50" t="s">
        <v>29</v>
      </c>
      <c r="J483" s="50" t="s">
        <v>29</v>
      </c>
      <c r="K483" s="50" t="s">
        <v>29</v>
      </c>
      <c r="L483" s="50" t="s">
        <v>29</v>
      </c>
      <c r="M483" s="50" t="s">
        <v>29</v>
      </c>
      <c r="N483" s="49"/>
      <c r="P483" s="19"/>
      <c r="Q483" s="18" t="str">
        <f ca="1">IFERROR(__xludf.DUMMYFUNCTION("""COMPUTED_VALUE"""),"")</f>
        <v/>
      </c>
      <c r="R483" s="19"/>
      <c r="S483" s="20"/>
      <c r="BP483" s="10"/>
      <c r="BW483" s="10"/>
      <c r="CF483" s="10"/>
      <c r="CM483" s="10"/>
      <c r="CP483" s="18" t="str">
        <f ca="1"/>
        <v/>
      </c>
      <c r="CQ483" s="18" t="str">
        <f ca="1"/>
        <v/>
      </c>
      <c r="CR483" s="18" t="str">
        <f ca="1"/>
        <v/>
      </c>
      <c r="CS483" s="18" t="str">
        <f ca="1"/>
        <v/>
      </c>
      <c r="CT483" s="18" t="str">
        <f ca="1"/>
        <v/>
      </c>
      <c r="CV483" s="10"/>
      <c r="CY483" s="18" t="str">
        <f ca="1"/>
        <v/>
      </c>
      <c r="CZ483" s="18" t="str">
        <f ca="1"/>
        <v/>
      </c>
      <c r="DA483" s="18" t="str">
        <f ca="1"/>
        <v/>
      </c>
      <c r="DC483" s="10"/>
    </row>
    <row r="484" spans="1:107" x14ac:dyDescent="0.25">
      <c r="A484" s="46"/>
      <c r="B484" s="52"/>
      <c r="C484" s="52"/>
      <c r="D484" s="16"/>
      <c r="E484" s="52"/>
      <c r="F484" s="52"/>
      <c r="G484" s="50"/>
      <c r="H484" s="17" t="str">
        <f ca="1">IFERROR(__xludf.DUMMYFUNCTION("""COMPUTED_VALUE"""),"")</f>
        <v/>
      </c>
      <c r="I484" s="50" t="s">
        <v>29</v>
      </c>
      <c r="J484" s="50" t="s">
        <v>29</v>
      </c>
      <c r="K484" s="50" t="s">
        <v>29</v>
      </c>
      <c r="L484" s="50" t="s">
        <v>29</v>
      </c>
      <c r="M484" s="50" t="s">
        <v>29</v>
      </c>
      <c r="N484" s="49"/>
      <c r="P484" s="19"/>
      <c r="Q484" s="18" t="str">
        <f ca="1">IFERROR(__xludf.DUMMYFUNCTION("""COMPUTED_VALUE"""),"")</f>
        <v/>
      </c>
      <c r="R484" s="19"/>
      <c r="S484" s="20"/>
      <c r="BP484" s="10"/>
      <c r="BW484" s="10"/>
      <c r="CF484" s="10"/>
      <c r="CM484" s="10"/>
      <c r="CP484" s="18" t="str">
        <f ca="1"/>
        <v/>
      </c>
      <c r="CQ484" s="18" t="str">
        <f ca="1"/>
        <v/>
      </c>
      <c r="CR484" s="18" t="str">
        <f ca="1"/>
        <v/>
      </c>
      <c r="CS484" s="18" t="str">
        <f ca="1"/>
        <v/>
      </c>
      <c r="CT484" s="18" t="str">
        <f ca="1"/>
        <v/>
      </c>
      <c r="CV484" s="10"/>
      <c r="CY484" s="18" t="str">
        <f ca="1"/>
        <v/>
      </c>
      <c r="CZ484" s="18" t="str">
        <f ca="1"/>
        <v/>
      </c>
      <c r="DA484" s="18" t="str">
        <f ca="1"/>
        <v/>
      </c>
      <c r="DC484" s="10"/>
    </row>
    <row r="485" spans="1:107" x14ac:dyDescent="0.25">
      <c r="A485" s="46"/>
      <c r="B485" s="52"/>
      <c r="C485" s="52"/>
      <c r="D485" s="16"/>
      <c r="E485" s="52"/>
      <c r="F485" s="52"/>
      <c r="G485" s="50"/>
      <c r="H485" s="17" t="str">
        <f ca="1">IFERROR(__xludf.DUMMYFUNCTION("""COMPUTED_VALUE"""),"")</f>
        <v/>
      </c>
      <c r="I485" s="50" t="s">
        <v>29</v>
      </c>
      <c r="J485" s="50" t="s">
        <v>29</v>
      </c>
      <c r="K485" s="50" t="s">
        <v>29</v>
      </c>
      <c r="L485" s="50" t="s">
        <v>29</v>
      </c>
      <c r="M485" s="50" t="s">
        <v>29</v>
      </c>
      <c r="N485" s="49"/>
      <c r="P485" s="19"/>
      <c r="Q485" s="18" t="str">
        <f ca="1">IFERROR(__xludf.DUMMYFUNCTION("""COMPUTED_VALUE"""),"")</f>
        <v/>
      </c>
      <c r="R485" s="19"/>
      <c r="S485" s="20"/>
      <c r="BP485" s="10"/>
      <c r="BW485" s="10"/>
      <c r="CF485" s="10"/>
      <c r="CM485" s="10"/>
      <c r="CP485" s="18" t="str">
        <f ca="1"/>
        <v/>
      </c>
      <c r="CQ485" s="18" t="str">
        <f ca="1"/>
        <v/>
      </c>
      <c r="CR485" s="18" t="str">
        <f ca="1"/>
        <v/>
      </c>
      <c r="CS485" s="18" t="str">
        <f ca="1"/>
        <v/>
      </c>
      <c r="CT485" s="18" t="str">
        <f ca="1"/>
        <v/>
      </c>
      <c r="CV485" s="10"/>
      <c r="CY485" s="18" t="str">
        <f ca="1"/>
        <v/>
      </c>
      <c r="CZ485" s="18" t="str">
        <f ca="1"/>
        <v/>
      </c>
      <c r="DA485" s="18" t="str">
        <f ca="1"/>
        <v/>
      </c>
      <c r="DC485" s="10"/>
    </row>
    <row r="486" spans="1:107" x14ac:dyDescent="0.25">
      <c r="A486" s="46"/>
      <c r="B486" s="52"/>
      <c r="C486" s="52"/>
      <c r="D486" s="16"/>
      <c r="E486" s="52"/>
      <c r="F486" s="52"/>
      <c r="G486" s="50"/>
      <c r="H486" s="17" t="str">
        <f ca="1">IFERROR(__xludf.DUMMYFUNCTION("""COMPUTED_VALUE"""),"")</f>
        <v/>
      </c>
      <c r="I486" s="50" t="s">
        <v>29</v>
      </c>
      <c r="J486" s="50" t="s">
        <v>29</v>
      </c>
      <c r="K486" s="50" t="s">
        <v>29</v>
      </c>
      <c r="L486" s="50" t="s">
        <v>29</v>
      </c>
      <c r="M486" s="50" t="s">
        <v>29</v>
      </c>
      <c r="N486" s="49"/>
      <c r="P486" s="19"/>
      <c r="Q486" s="18" t="str">
        <f ca="1">IFERROR(__xludf.DUMMYFUNCTION("""COMPUTED_VALUE"""),"")</f>
        <v/>
      </c>
      <c r="R486" s="19"/>
      <c r="S486" s="20"/>
      <c r="BP486" s="10"/>
      <c r="BW486" s="10"/>
      <c r="CF486" s="10"/>
      <c r="CM486" s="10"/>
      <c r="CP486" s="18" t="str">
        <f ca="1"/>
        <v/>
      </c>
      <c r="CQ486" s="18" t="str">
        <f ca="1"/>
        <v/>
      </c>
      <c r="CR486" s="18" t="str">
        <f ca="1"/>
        <v/>
      </c>
      <c r="CS486" s="18" t="str">
        <f ca="1"/>
        <v/>
      </c>
      <c r="CT486" s="18" t="str">
        <f ca="1"/>
        <v/>
      </c>
      <c r="CV486" s="10"/>
      <c r="CY486" s="18" t="str">
        <f ca="1"/>
        <v/>
      </c>
      <c r="CZ486" s="18" t="str">
        <f ca="1"/>
        <v/>
      </c>
      <c r="DA486" s="18" t="str">
        <f ca="1"/>
        <v/>
      </c>
      <c r="DC486" s="10"/>
    </row>
    <row r="487" spans="1:107" x14ac:dyDescent="0.25">
      <c r="A487" s="46"/>
      <c r="B487" s="52"/>
      <c r="C487" s="52"/>
      <c r="D487" s="16"/>
      <c r="E487" s="52"/>
      <c r="F487" s="52"/>
      <c r="G487" s="50"/>
      <c r="H487" s="17" t="str">
        <f ca="1">IFERROR(__xludf.DUMMYFUNCTION("""COMPUTED_VALUE"""),"")</f>
        <v/>
      </c>
      <c r="I487" s="50" t="s">
        <v>29</v>
      </c>
      <c r="J487" s="50" t="s">
        <v>29</v>
      </c>
      <c r="K487" s="50" t="s">
        <v>29</v>
      </c>
      <c r="L487" s="50" t="s">
        <v>29</v>
      </c>
      <c r="M487" s="50" t="s">
        <v>29</v>
      </c>
      <c r="N487" s="49"/>
      <c r="P487" s="19"/>
      <c r="Q487" s="18" t="str">
        <f ca="1">IFERROR(__xludf.DUMMYFUNCTION("""COMPUTED_VALUE"""),"")</f>
        <v/>
      </c>
      <c r="R487" s="19"/>
      <c r="S487" s="20"/>
      <c r="BP487" s="10"/>
      <c r="BW487" s="10"/>
      <c r="CF487" s="10"/>
      <c r="CM487" s="10"/>
      <c r="CP487" s="18" t="str">
        <f ca="1"/>
        <v/>
      </c>
      <c r="CQ487" s="18" t="str">
        <f ca="1"/>
        <v/>
      </c>
      <c r="CR487" s="18" t="str">
        <f ca="1"/>
        <v/>
      </c>
      <c r="CS487" s="18" t="str">
        <f ca="1"/>
        <v/>
      </c>
      <c r="CT487" s="18" t="str">
        <f ca="1"/>
        <v/>
      </c>
      <c r="CV487" s="10"/>
      <c r="CY487" s="18" t="str">
        <f ca="1"/>
        <v/>
      </c>
      <c r="CZ487" s="18" t="str">
        <f ca="1"/>
        <v/>
      </c>
      <c r="DA487" s="18" t="str">
        <f ca="1"/>
        <v/>
      </c>
      <c r="DC487" s="10"/>
    </row>
    <row r="488" spans="1:107" x14ac:dyDescent="0.25">
      <c r="A488" s="46"/>
      <c r="B488" s="52"/>
      <c r="C488" s="52"/>
      <c r="D488" s="16"/>
      <c r="E488" s="52"/>
      <c r="F488" s="52"/>
      <c r="G488" s="50"/>
      <c r="H488" s="17" t="str">
        <f ca="1">IFERROR(__xludf.DUMMYFUNCTION("""COMPUTED_VALUE"""),"")</f>
        <v/>
      </c>
      <c r="I488" s="50" t="s">
        <v>29</v>
      </c>
      <c r="J488" s="50" t="s">
        <v>29</v>
      </c>
      <c r="K488" s="50" t="s">
        <v>29</v>
      </c>
      <c r="L488" s="50" t="s">
        <v>29</v>
      </c>
      <c r="M488" s="50" t="s">
        <v>29</v>
      </c>
      <c r="N488" s="49"/>
      <c r="P488" s="19"/>
      <c r="Q488" s="18" t="str">
        <f ca="1">IFERROR(__xludf.DUMMYFUNCTION("""COMPUTED_VALUE"""),"")</f>
        <v/>
      </c>
      <c r="R488" s="19"/>
      <c r="S488" s="20"/>
      <c r="BP488" s="10"/>
      <c r="BW488" s="10"/>
      <c r="CF488" s="10"/>
      <c r="CM488" s="10"/>
      <c r="CP488" s="18" t="str">
        <f ca="1"/>
        <v/>
      </c>
      <c r="CQ488" s="18" t="str">
        <f ca="1"/>
        <v/>
      </c>
      <c r="CR488" s="18" t="str">
        <f ca="1"/>
        <v/>
      </c>
      <c r="CS488" s="18" t="str">
        <f ca="1"/>
        <v/>
      </c>
      <c r="CT488" s="18" t="str">
        <f ca="1"/>
        <v/>
      </c>
      <c r="CV488" s="10"/>
      <c r="CY488" s="18" t="str">
        <f ca="1"/>
        <v/>
      </c>
      <c r="CZ488" s="18" t="str">
        <f ca="1"/>
        <v/>
      </c>
      <c r="DA488" s="18" t="str">
        <f ca="1"/>
        <v/>
      </c>
      <c r="DC488" s="10"/>
    </row>
    <row r="489" spans="1:107" x14ac:dyDescent="0.25">
      <c r="A489" s="46"/>
      <c r="B489" s="52"/>
      <c r="C489" s="52"/>
      <c r="D489" s="16"/>
      <c r="E489" s="52"/>
      <c r="F489" s="52"/>
      <c r="G489" s="50"/>
      <c r="H489" s="17" t="str">
        <f ca="1">IFERROR(__xludf.DUMMYFUNCTION("""COMPUTED_VALUE"""),"")</f>
        <v/>
      </c>
      <c r="I489" s="50" t="s">
        <v>29</v>
      </c>
      <c r="J489" s="50" t="s">
        <v>29</v>
      </c>
      <c r="K489" s="50" t="s">
        <v>29</v>
      </c>
      <c r="L489" s="50" t="s">
        <v>29</v>
      </c>
      <c r="M489" s="50" t="s">
        <v>29</v>
      </c>
      <c r="N489" s="49"/>
      <c r="P489" s="19"/>
      <c r="Q489" s="18" t="str">
        <f ca="1">IFERROR(__xludf.DUMMYFUNCTION("""COMPUTED_VALUE"""),"")</f>
        <v/>
      </c>
      <c r="R489" s="19"/>
      <c r="S489" s="20"/>
      <c r="BP489" s="10"/>
      <c r="BW489" s="10"/>
      <c r="CF489" s="10"/>
      <c r="CM489" s="10"/>
      <c r="CP489" s="18" t="str">
        <f ca="1"/>
        <v/>
      </c>
      <c r="CQ489" s="18" t="str">
        <f ca="1"/>
        <v/>
      </c>
      <c r="CR489" s="18" t="str">
        <f ca="1"/>
        <v/>
      </c>
      <c r="CS489" s="18" t="str">
        <f ca="1"/>
        <v/>
      </c>
      <c r="CT489" s="18" t="str">
        <f ca="1"/>
        <v/>
      </c>
      <c r="CV489" s="10"/>
      <c r="CY489" s="18" t="str">
        <f ca="1"/>
        <v/>
      </c>
      <c r="CZ489" s="18" t="str">
        <f ca="1"/>
        <v/>
      </c>
      <c r="DA489" s="18" t="str">
        <f ca="1"/>
        <v/>
      </c>
      <c r="DC489" s="10"/>
    </row>
    <row r="490" spans="1:107" x14ac:dyDescent="0.25">
      <c r="A490" s="46"/>
      <c r="B490" s="52"/>
      <c r="C490" s="52"/>
      <c r="D490" s="16"/>
      <c r="E490" s="52"/>
      <c r="F490" s="52"/>
      <c r="G490" s="50"/>
      <c r="H490" s="17" t="str">
        <f ca="1">IFERROR(__xludf.DUMMYFUNCTION("""COMPUTED_VALUE"""),"")</f>
        <v/>
      </c>
      <c r="I490" s="50" t="s">
        <v>29</v>
      </c>
      <c r="J490" s="50" t="s">
        <v>29</v>
      </c>
      <c r="K490" s="50" t="s">
        <v>29</v>
      </c>
      <c r="L490" s="50" t="s">
        <v>29</v>
      </c>
      <c r="M490" s="50" t="s">
        <v>29</v>
      </c>
      <c r="N490" s="49"/>
      <c r="P490" s="19"/>
      <c r="Q490" s="18" t="str">
        <f ca="1">IFERROR(__xludf.DUMMYFUNCTION("""COMPUTED_VALUE"""),"")</f>
        <v/>
      </c>
      <c r="R490" s="19"/>
      <c r="S490" s="20"/>
      <c r="BP490" s="10"/>
      <c r="BW490" s="10"/>
      <c r="CF490" s="10"/>
      <c r="CM490" s="10"/>
      <c r="CP490" s="18" t="str">
        <f ca="1"/>
        <v/>
      </c>
      <c r="CQ490" s="18" t="str">
        <f ca="1"/>
        <v/>
      </c>
      <c r="CR490" s="18" t="str">
        <f ca="1"/>
        <v/>
      </c>
      <c r="CS490" s="18" t="str">
        <f ca="1"/>
        <v/>
      </c>
      <c r="CT490" s="18" t="str">
        <f ca="1"/>
        <v/>
      </c>
      <c r="CV490" s="10"/>
      <c r="CY490" s="18" t="str">
        <f ca="1"/>
        <v/>
      </c>
      <c r="CZ490" s="18" t="str">
        <f ca="1"/>
        <v/>
      </c>
      <c r="DA490" s="18" t="str">
        <f ca="1"/>
        <v/>
      </c>
      <c r="DC490" s="10"/>
    </row>
    <row r="491" spans="1:107" x14ac:dyDescent="0.25">
      <c r="A491" s="46"/>
      <c r="B491" s="52"/>
      <c r="C491" s="52"/>
      <c r="D491" s="16"/>
      <c r="E491" s="52"/>
      <c r="F491" s="52"/>
      <c r="G491" s="50"/>
      <c r="H491" s="17" t="str">
        <f ca="1">IFERROR(__xludf.DUMMYFUNCTION("""COMPUTED_VALUE"""),"")</f>
        <v/>
      </c>
      <c r="I491" s="50" t="s">
        <v>29</v>
      </c>
      <c r="J491" s="50" t="s">
        <v>29</v>
      </c>
      <c r="K491" s="50" t="s">
        <v>29</v>
      </c>
      <c r="L491" s="50" t="s">
        <v>29</v>
      </c>
      <c r="M491" s="50" t="s">
        <v>29</v>
      </c>
      <c r="N491" s="49"/>
      <c r="P491" s="19"/>
      <c r="Q491" s="18" t="str">
        <f ca="1">IFERROR(__xludf.DUMMYFUNCTION("""COMPUTED_VALUE"""),"")</f>
        <v/>
      </c>
      <c r="R491" s="19"/>
      <c r="S491" s="20"/>
      <c r="BP491" s="10"/>
      <c r="BW491" s="10"/>
      <c r="CF491" s="10"/>
      <c r="CM491" s="10"/>
      <c r="CP491" s="18" t="str">
        <f ca="1"/>
        <v/>
      </c>
      <c r="CQ491" s="18" t="str">
        <f ca="1"/>
        <v/>
      </c>
      <c r="CR491" s="18" t="str">
        <f ca="1"/>
        <v/>
      </c>
      <c r="CS491" s="18" t="str">
        <f ca="1"/>
        <v/>
      </c>
      <c r="CT491" s="18" t="str">
        <f ca="1"/>
        <v/>
      </c>
      <c r="CV491" s="10"/>
      <c r="CY491" s="18" t="str">
        <f ca="1"/>
        <v/>
      </c>
      <c r="CZ491" s="18" t="str">
        <f ca="1"/>
        <v/>
      </c>
      <c r="DA491" s="18" t="str">
        <f ca="1"/>
        <v/>
      </c>
      <c r="DC491" s="10"/>
    </row>
    <row r="492" spans="1:107" x14ac:dyDescent="0.25">
      <c r="A492" s="46"/>
      <c r="B492" s="52"/>
      <c r="C492" s="52"/>
      <c r="D492" s="16"/>
      <c r="E492" s="52"/>
      <c r="F492" s="52"/>
      <c r="G492" s="50"/>
      <c r="H492" s="17" t="str">
        <f ca="1">IFERROR(__xludf.DUMMYFUNCTION("""COMPUTED_VALUE"""),"")</f>
        <v/>
      </c>
      <c r="I492" s="50" t="s">
        <v>29</v>
      </c>
      <c r="J492" s="50" t="s">
        <v>29</v>
      </c>
      <c r="K492" s="50" t="s">
        <v>29</v>
      </c>
      <c r="L492" s="50" t="s">
        <v>29</v>
      </c>
      <c r="M492" s="50" t="s">
        <v>29</v>
      </c>
      <c r="N492" s="49"/>
      <c r="P492" s="19"/>
      <c r="Q492" s="18" t="str">
        <f ca="1">IFERROR(__xludf.DUMMYFUNCTION("""COMPUTED_VALUE"""),"")</f>
        <v/>
      </c>
      <c r="R492" s="19"/>
      <c r="S492" s="20"/>
      <c r="BP492" s="10"/>
      <c r="BW492" s="10"/>
      <c r="CF492" s="10"/>
      <c r="CM492" s="10"/>
      <c r="CP492" s="18" t="str">
        <f ca="1"/>
        <v/>
      </c>
      <c r="CQ492" s="18" t="str">
        <f ca="1"/>
        <v/>
      </c>
      <c r="CR492" s="18" t="str">
        <f ca="1"/>
        <v/>
      </c>
      <c r="CS492" s="18" t="str">
        <f ca="1"/>
        <v/>
      </c>
      <c r="CT492" s="18" t="str">
        <f ca="1"/>
        <v/>
      </c>
      <c r="CV492" s="10"/>
      <c r="CY492" s="18" t="str">
        <f ca="1"/>
        <v/>
      </c>
      <c r="CZ492" s="18" t="str">
        <f ca="1"/>
        <v/>
      </c>
      <c r="DA492" s="18" t="str">
        <f ca="1"/>
        <v/>
      </c>
      <c r="DC492" s="10"/>
    </row>
    <row r="493" spans="1:107" x14ac:dyDescent="0.25">
      <c r="A493" s="46"/>
      <c r="B493" s="52"/>
      <c r="C493" s="52"/>
      <c r="D493" s="16"/>
      <c r="E493" s="52"/>
      <c r="F493" s="52"/>
      <c r="G493" s="50"/>
      <c r="H493" s="17" t="str">
        <f ca="1">IFERROR(__xludf.DUMMYFUNCTION("""COMPUTED_VALUE"""),"")</f>
        <v/>
      </c>
      <c r="I493" s="50" t="s">
        <v>29</v>
      </c>
      <c r="J493" s="50" t="s">
        <v>29</v>
      </c>
      <c r="K493" s="50" t="s">
        <v>29</v>
      </c>
      <c r="L493" s="50" t="s">
        <v>29</v>
      </c>
      <c r="M493" s="50" t="s">
        <v>29</v>
      </c>
      <c r="N493" s="49"/>
      <c r="P493" s="19"/>
      <c r="Q493" s="18" t="str">
        <f ca="1">IFERROR(__xludf.DUMMYFUNCTION("""COMPUTED_VALUE"""),"")</f>
        <v/>
      </c>
      <c r="R493" s="19"/>
      <c r="S493" s="20"/>
      <c r="BP493" s="10"/>
      <c r="BW493" s="10"/>
      <c r="CF493" s="10"/>
      <c r="CM493" s="10"/>
      <c r="CP493" s="18" t="str">
        <f ca="1"/>
        <v/>
      </c>
      <c r="CQ493" s="18" t="str">
        <f ca="1"/>
        <v/>
      </c>
      <c r="CR493" s="18" t="str">
        <f ca="1"/>
        <v/>
      </c>
      <c r="CS493" s="18" t="str">
        <f ca="1"/>
        <v/>
      </c>
      <c r="CT493" s="18" t="str">
        <f ca="1"/>
        <v/>
      </c>
      <c r="CV493" s="10"/>
      <c r="CY493" s="18" t="str">
        <f ca="1"/>
        <v/>
      </c>
      <c r="CZ493" s="18" t="str">
        <f ca="1"/>
        <v/>
      </c>
      <c r="DA493" s="18" t="str">
        <f ca="1"/>
        <v/>
      </c>
      <c r="DC493" s="10"/>
    </row>
    <row r="494" spans="1:107" x14ac:dyDescent="0.25">
      <c r="A494" s="46"/>
      <c r="B494" s="52"/>
      <c r="C494" s="52"/>
      <c r="D494" s="16"/>
      <c r="E494" s="52"/>
      <c r="F494" s="52"/>
      <c r="G494" s="50"/>
      <c r="H494" s="17" t="str">
        <f ca="1">IFERROR(__xludf.DUMMYFUNCTION("""COMPUTED_VALUE"""),"")</f>
        <v/>
      </c>
      <c r="I494" s="50" t="s">
        <v>29</v>
      </c>
      <c r="J494" s="50" t="s">
        <v>29</v>
      </c>
      <c r="K494" s="50" t="s">
        <v>29</v>
      </c>
      <c r="L494" s="50" t="s">
        <v>29</v>
      </c>
      <c r="M494" s="50" t="s">
        <v>29</v>
      </c>
      <c r="N494" s="49"/>
      <c r="P494" s="19"/>
      <c r="Q494" s="18" t="str">
        <f ca="1">IFERROR(__xludf.DUMMYFUNCTION("""COMPUTED_VALUE"""),"")</f>
        <v/>
      </c>
      <c r="R494" s="19"/>
      <c r="S494" s="20"/>
      <c r="BP494" s="10"/>
      <c r="BW494" s="10"/>
      <c r="CF494" s="10"/>
      <c r="CM494" s="10"/>
      <c r="CP494" s="18" t="str">
        <f ca="1"/>
        <v/>
      </c>
      <c r="CQ494" s="18" t="str">
        <f ca="1"/>
        <v/>
      </c>
      <c r="CR494" s="18" t="str">
        <f ca="1"/>
        <v/>
      </c>
      <c r="CS494" s="18" t="str">
        <f ca="1"/>
        <v/>
      </c>
      <c r="CT494" s="18" t="str">
        <f ca="1"/>
        <v/>
      </c>
      <c r="CV494" s="10"/>
      <c r="CY494" s="18" t="str">
        <f ca="1"/>
        <v/>
      </c>
      <c r="CZ494" s="18" t="str">
        <f ca="1"/>
        <v/>
      </c>
      <c r="DA494" s="18" t="str">
        <f ca="1"/>
        <v/>
      </c>
      <c r="DC494" s="10"/>
    </row>
    <row r="495" spans="1:107" x14ac:dyDescent="0.25">
      <c r="A495" s="46"/>
      <c r="B495" s="52"/>
      <c r="C495" s="52"/>
      <c r="D495" s="16"/>
      <c r="E495" s="52"/>
      <c r="F495" s="52"/>
      <c r="G495" s="50"/>
      <c r="H495" s="17" t="str">
        <f ca="1">IFERROR(__xludf.DUMMYFUNCTION("""COMPUTED_VALUE"""),"")</f>
        <v/>
      </c>
      <c r="I495" s="50" t="s">
        <v>29</v>
      </c>
      <c r="J495" s="50" t="s">
        <v>29</v>
      </c>
      <c r="K495" s="50" t="s">
        <v>29</v>
      </c>
      <c r="L495" s="50" t="s">
        <v>29</v>
      </c>
      <c r="M495" s="50" t="s">
        <v>29</v>
      </c>
      <c r="N495" s="49"/>
      <c r="P495" s="19"/>
      <c r="Q495" s="18" t="str">
        <f ca="1">IFERROR(__xludf.DUMMYFUNCTION("""COMPUTED_VALUE"""),"")</f>
        <v/>
      </c>
      <c r="R495" s="19"/>
      <c r="S495" s="20"/>
      <c r="BP495" s="10"/>
      <c r="BW495" s="10"/>
      <c r="CF495" s="10"/>
      <c r="CM495" s="10"/>
      <c r="CP495" s="18" t="str">
        <f ca="1"/>
        <v/>
      </c>
      <c r="CQ495" s="18" t="str">
        <f ca="1"/>
        <v/>
      </c>
      <c r="CR495" s="18" t="str">
        <f ca="1"/>
        <v/>
      </c>
      <c r="CS495" s="18" t="str">
        <f ca="1"/>
        <v/>
      </c>
      <c r="CT495" s="18" t="str">
        <f ca="1"/>
        <v/>
      </c>
      <c r="CV495" s="10"/>
      <c r="CY495" s="18" t="str">
        <f ca="1"/>
        <v/>
      </c>
      <c r="CZ495" s="18" t="str">
        <f ca="1"/>
        <v/>
      </c>
      <c r="DA495" s="18" t="str">
        <f ca="1"/>
        <v/>
      </c>
      <c r="DC495" s="10"/>
    </row>
    <row r="496" spans="1:107" x14ac:dyDescent="0.25">
      <c r="A496" s="46"/>
      <c r="B496" s="52"/>
      <c r="C496" s="52"/>
      <c r="D496" s="16"/>
      <c r="E496" s="52"/>
      <c r="F496" s="52"/>
      <c r="G496" s="50"/>
      <c r="H496" s="17" t="str">
        <f ca="1">IFERROR(__xludf.DUMMYFUNCTION("""COMPUTED_VALUE"""),"")</f>
        <v/>
      </c>
      <c r="I496" s="50" t="s">
        <v>29</v>
      </c>
      <c r="J496" s="50" t="s">
        <v>29</v>
      </c>
      <c r="K496" s="50" t="s">
        <v>29</v>
      </c>
      <c r="L496" s="50" t="s">
        <v>29</v>
      </c>
      <c r="M496" s="50" t="s">
        <v>29</v>
      </c>
      <c r="N496" s="49"/>
      <c r="P496" s="19"/>
      <c r="Q496" s="18" t="str">
        <f ca="1">IFERROR(__xludf.DUMMYFUNCTION("""COMPUTED_VALUE"""),"")</f>
        <v/>
      </c>
      <c r="R496" s="19"/>
      <c r="S496" s="20"/>
      <c r="BP496" s="10"/>
      <c r="BW496" s="10"/>
      <c r="CF496" s="10"/>
      <c r="CM496" s="10"/>
      <c r="CP496" s="18" t="str">
        <f ca="1"/>
        <v/>
      </c>
      <c r="CQ496" s="18" t="str">
        <f ca="1"/>
        <v/>
      </c>
      <c r="CR496" s="18" t="str">
        <f ca="1"/>
        <v/>
      </c>
      <c r="CS496" s="18" t="str">
        <f ca="1"/>
        <v/>
      </c>
      <c r="CT496" s="18" t="str">
        <f ca="1"/>
        <v/>
      </c>
      <c r="CV496" s="10"/>
      <c r="CY496" s="18" t="str">
        <f ca="1"/>
        <v/>
      </c>
      <c r="CZ496" s="18" t="str">
        <f ca="1"/>
        <v/>
      </c>
      <c r="DA496" s="18" t="str">
        <f ca="1"/>
        <v/>
      </c>
      <c r="DC496" s="10"/>
    </row>
    <row r="497" spans="1:107" x14ac:dyDescent="0.25">
      <c r="A497" s="46"/>
      <c r="B497" s="52"/>
      <c r="C497" s="52"/>
      <c r="D497" s="16"/>
      <c r="E497" s="52"/>
      <c r="F497" s="52"/>
      <c r="G497" s="50"/>
      <c r="H497" s="17" t="str">
        <f ca="1">IFERROR(__xludf.DUMMYFUNCTION("""COMPUTED_VALUE"""),"")</f>
        <v/>
      </c>
      <c r="I497" s="50" t="s">
        <v>29</v>
      </c>
      <c r="J497" s="50" t="s">
        <v>29</v>
      </c>
      <c r="K497" s="50" t="s">
        <v>29</v>
      </c>
      <c r="L497" s="50" t="s">
        <v>29</v>
      </c>
      <c r="M497" s="50" t="s">
        <v>29</v>
      </c>
      <c r="N497" s="49"/>
      <c r="P497" s="19"/>
      <c r="Q497" s="18" t="str">
        <f ca="1">IFERROR(__xludf.DUMMYFUNCTION("""COMPUTED_VALUE"""),"")</f>
        <v/>
      </c>
      <c r="R497" s="19"/>
      <c r="S497" s="20"/>
      <c r="BP497" s="10"/>
      <c r="BW497" s="10"/>
      <c r="CF497" s="10"/>
      <c r="CM497" s="10"/>
      <c r="CP497" s="18" t="str">
        <f ca="1"/>
        <v/>
      </c>
      <c r="CQ497" s="18" t="str">
        <f ca="1"/>
        <v/>
      </c>
      <c r="CR497" s="18" t="str">
        <f ca="1"/>
        <v/>
      </c>
      <c r="CS497" s="18" t="str">
        <f ca="1"/>
        <v/>
      </c>
      <c r="CT497" s="18" t="str">
        <f ca="1"/>
        <v/>
      </c>
      <c r="CV497" s="10"/>
      <c r="CY497" s="18" t="str">
        <f ca="1"/>
        <v/>
      </c>
      <c r="CZ497" s="18" t="str">
        <f ca="1"/>
        <v/>
      </c>
      <c r="DA497" s="18" t="str">
        <f ca="1"/>
        <v/>
      </c>
      <c r="DC497" s="10"/>
    </row>
    <row r="498" spans="1:107" x14ac:dyDescent="0.25">
      <c r="A498" s="46"/>
      <c r="B498" s="52"/>
      <c r="C498" s="52"/>
      <c r="D498" s="16"/>
      <c r="E498" s="52"/>
      <c r="F498" s="52"/>
      <c r="G498" s="50"/>
      <c r="H498" s="17" t="str">
        <f ca="1">IFERROR(__xludf.DUMMYFUNCTION("""COMPUTED_VALUE"""),"")</f>
        <v/>
      </c>
      <c r="I498" s="50" t="s">
        <v>29</v>
      </c>
      <c r="J498" s="50" t="s">
        <v>29</v>
      </c>
      <c r="K498" s="50" t="s">
        <v>29</v>
      </c>
      <c r="L498" s="50" t="s">
        <v>29</v>
      </c>
      <c r="M498" s="50" t="s">
        <v>29</v>
      </c>
      <c r="N498" s="49"/>
      <c r="P498" s="19"/>
      <c r="Q498" s="18" t="str">
        <f ca="1">IFERROR(__xludf.DUMMYFUNCTION("""COMPUTED_VALUE"""),"")</f>
        <v/>
      </c>
      <c r="R498" s="19"/>
      <c r="S498" s="20"/>
      <c r="BP498" s="10"/>
      <c r="BW498" s="10"/>
      <c r="CF498" s="10"/>
      <c r="CM498" s="10"/>
      <c r="CP498" s="18" t="str">
        <f ca="1"/>
        <v/>
      </c>
      <c r="CQ498" s="18" t="str">
        <f ca="1"/>
        <v/>
      </c>
      <c r="CR498" s="18" t="str">
        <f ca="1"/>
        <v/>
      </c>
      <c r="CS498" s="18" t="str">
        <f ca="1"/>
        <v/>
      </c>
      <c r="CT498" s="18" t="str">
        <f ca="1"/>
        <v/>
      </c>
      <c r="CV498" s="10"/>
      <c r="CY498" s="18" t="str">
        <f ca="1"/>
        <v/>
      </c>
      <c r="CZ498" s="18" t="str">
        <f ca="1"/>
        <v/>
      </c>
      <c r="DA498" s="18" t="str">
        <f ca="1"/>
        <v/>
      </c>
      <c r="DC498" s="10"/>
    </row>
    <row r="499" spans="1:107" x14ac:dyDescent="0.25">
      <c r="A499" s="46"/>
      <c r="B499" s="52"/>
      <c r="C499" s="52"/>
      <c r="D499" s="16"/>
      <c r="E499" s="52"/>
      <c r="F499" s="52"/>
      <c r="G499" s="50"/>
      <c r="H499" s="17" t="str">
        <f ca="1">IFERROR(__xludf.DUMMYFUNCTION("""COMPUTED_VALUE"""),"")</f>
        <v/>
      </c>
      <c r="I499" s="50" t="s">
        <v>29</v>
      </c>
      <c r="J499" s="50" t="s">
        <v>29</v>
      </c>
      <c r="K499" s="50" t="s">
        <v>29</v>
      </c>
      <c r="L499" s="50" t="s">
        <v>29</v>
      </c>
      <c r="M499" s="50" t="s">
        <v>29</v>
      </c>
      <c r="N499" s="49"/>
      <c r="P499" s="19"/>
      <c r="Q499" s="18" t="str">
        <f ca="1">IFERROR(__xludf.DUMMYFUNCTION("""COMPUTED_VALUE"""),"")</f>
        <v/>
      </c>
      <c r="R499" s="19"/>
      <c r="S499" s="20"/>
      <c r="BP499" s="10"/>
      <c r="BW499" s="10"/>
      <c r="CF499" s="10"/>
      <c r="CM499" s="10"/>
      <c r="CP499" s="18" t="str">
        <f ca="1"/>
        <v/>
      </c>
      <c r="CQ499" s="18" t="str">
        <f ca="1"/>
        <v/>
      </c>
      <c r="CR499" s="18" t="str">
        <f ca="1"/>
        <v/>
      </c>
      <c r="CS499" s="18" t="str">
        <f ca="1"/>
        <v/>
      </c>
      <c r="CT499" s="18" t="str">
        <f ca="1"/>
        <v/>
      </c>
      <c r="CV499" s="10"/>
      <c r="CY499" s="18" t="str">
        <f ca="1"/>
        <v/>
      </c>
      <c r="CZ499" s="18" t="str">
        <f ca="1"/>
        <v/>
      </c>
      <c r="DA499" s="18" t="str">
        <f ca="1"/>
        <v/>
      </c>
      <c r="DC499" s="10"/>
    </row>
    <row r="500" spans="1:107" x14ac:dyDescent="0.25">
      <c r="A500" s="46"/>
      <c r="B500" s="52"/>
      <c r="C500" s="52"/>
      <c r="D500" s="16"/>
      <c r="E500" s="52"/>
      <c r="F500" s="52"/>
      <c r="G500" s="50"/>
      <c r="H500" s="17" t="str">
        <f ca="1">IFERROR(__xludf.DUMMYFUNCTION("""COMPUTED_VALUE"""),"")</f>
        <v/>
      </c>
      <c r="I500" s="50" t="s">
        <v>29</v>
      </c>
      <c r="J500" s="50" t="s">
        <v>29</v>
      </c>
      <c r="K500" s="50" t="s">
        <v>29</v>
      </c>
      <c r="L500" s="50" t="s">
        <v>29</v>
      </c>
      <c r="M500" s="50" t="s">
        <v>29</v>
      </c>
      <c r="N500" s="49"/>
      <c r="P500" s="19"/>
      <c r="Q500" s="18" t="str">
        <f ca="1">IFERROR(__xludf.DUMMYFUNCTION("""COMPUTED_VALUE"""),"")</f>
        <v/>
      </c>
      <c r="R500" s="19"/>
      <c r="S500" s="20"/>
      <c r="BP500" s="10"/>
      <c r="BW500" s="10"/>
      <c r="CF500" s="10"/>
      <c r="CM500" s="10"/>
      <c r="CP500" s="18" t="str">
        <f ca="1"/>
        <v/>
      </c>
      <c r="CQ500" s="18" t="str">
        <f ca="1"/>
        <v/>
      </c>
      <c r="CR500" s="18" t="str">
        <f ca="1"/>
        <v/>
      </c>
      <c r="CS500" s="18" t="str">
        <f ca="1"/>
        <v/>
      </c>
      <c r="CT500" s="18" t="str">
        <f ca="1"/>
        <v/>
      </c>
      <c r="CV500" s="10"/>
      <c r="CY500" s="18" t="str">
        <f ca="1"/>
        <v/>
      </c>
      <c r="CZ500" s="18" t="str">
        <f ca="1"/>
        <v/>
      </c>
      <c r="DA500" s="18" t="str">
        <f ca="1"/>
        <v/>
      </c>
      <c r="DC500" s="10"/>
    </row>
    <row r="501" spans="1:107" x14ac:dyDescent="0.25">
      <c r="A501" s="46"/>
      <c r="B501" s="52"/>
      <c r="C501" s="52"/>
      <c r="D501" s="16"/>
      <c r="E501" s="52"/>
      <c r="F501" s="52"/>
      <c r="G501" s="50"/>
      <c r="H501" s="17" t="str">
        <f ca="1">IFERROR(__xludf.DUMMYFUNCTION("""COMPUTED_VALUE"""),"")</f>
        <v/>
      </c>
      <c r="I501" s="50" t="s">
        <v>29</v>
      </c>
      <c r="J501" s="50" t="s">
        <v>29</v>
      </c>
      <c r="K501" s="50" t="s">
        <v>29</v>
      </c>
      <c r="L501" s="50" t="s">
        <v>29</v>
      </c>
      <c r="M501" s="50" t="s">
        <v>29</v>
      </c>
      <c r="N501" s="49"/>
      <c r="P501" s="19"/>
      <c r="Q501" s="18" t="str">
        <f ca="1">IFERROR(__xludf.DUMMYFUNCTION("""COMPUTED_VALUE"""),"")</f>
        <v/>
      </c>
      <c r="R501" s="19"/>
      <c r="S501" s="20"/>
      <c r="BP501" s="10"/>
      <c r="BW501" s="10"/>
      <c r="CF501" s="10"/>
      <c r="CM501" s="10"/>
      <c r="CP501" s="18" t="str">
        <f ca="1"/>
        <v/>
      </c>
      <c r="CQ501" s="18" t="str">
        <f ca="1"/>
        <v/>
      </c>
      <c r="CR501" s="18" t="str">
        <f ca="1"/>
        <v/>
      </c>
      <c r="CS501" s="18" t="str">
        <f ca="1"/>
        <v/>
      </c>
      <c r="CT501" s="18" t="str">
        <f ca="1"/>
        <v/>
      </c>
      <c r="CV501" s="10"/>
      <c r="CY501" s="18" t="str">
        <f ca="1"/>
        <v/>
      </c>
      <c r="CZ501" s="18" t="str">
        <f ca="1"/>
        <v/>
      </c>
      <c r="DA501" s="18" t="str">
        <f ca="1"/>
        <v/>
      </c>
      <c r="DC501" s="10"/>
    </row>
    <row r="502" spans="1:107" x14ac:dyDescent="0.25">
      <c r="A502" s="46"/>
      <c r="B502" s="52"/>
      <c r="C502" s="52"/>
      <c r="D502" s="16"/>
      <c r="E502" s="52"/>
      <c r="F502" s="52"/>
      <c r="G502" s="50"/>
      <c r="H502" s="17" t="str">
        <f ca="1">IFERROR(__xludf.DUMMYFUNCTION("""COMPUTED_VALUE"""),"")</f>
        <v/>
      </c>
      <c r="I502" s="50" t="s">
        <v>29</v>
      </c>
      <c r="J502" s="50" t="s">
        <v>29</v>
      </c>
      <c r="K502" s="50" t="s">
        <v>29</v>
      </c>
      <c r="L502" s="50" t="s">
        <v>29</v>
      </c>
      <c r="M502" s="50" t="s">
        <v>29</v>
      </c>
      <c r="N502" s="49"/>
      <c r="P502" s="19"/>
      <c r="Q502" s="18" t="str">
        <f ca="1">IFERROR(__xludf.DUMMYFUNCTION("""COMPUTED_VALUE"""),"")</f>
        <v/>
      </c>
      <c r="R502" s="19"/>
      <c r="S502" s="20"/>
      <c r="BP502" s="10"/>
      <c r="BW502" s="10"/>
      <c r="CF502" s="10"/>
      <c r="CM502" s="10"/>
      <c r="CP502" s="18" t="str">
        <f ca="1"/>
        <v/>
      </c>
      <c r="CQ502" s="18" t="str">
        <f ca="1"/>
        <v/>
      </c>
      <c r="CR502" s="18" t="str">
        <f ca="1"/>
        <v/>
      </c>
      <c r="CS502" s="18" t="str">
        <f ca="1"/>
        <v/>
      </c>
      <c r="CT502" s="18" t="str">
        <f ca="1"/>
        <v/>
      </c>
      <c r="CV502" s="10"/>
      <c r="CY502" s="18" t="str">
        <f ca="1"/>
        <v/>
      </c>
      <c r="CZ502" s="18" t="str">
        <f ca="1"/>
        <v/>
      </c>
      <c r="DA502" s="18" t="str">
        <f ca="1"/>
        <v/>
      </c>
      <c r="DC502" s="10"/>
    </row>
    <row r="503" spans="1:107" x14ac:dyDescent="0.25">
      <c r="A503" s="46"/>
      <c r="B503" s="52"/>
      <c r="C503" s="52"/>
      <c r="D503" s="16"/>
      <c r="E503" s="52"/>
      <c r="F503" s="52"/>
      <c r="G503" s="50"/>
      <c r="H503" s="17" t="str">
        <f ca="1">IFERROR(__xludf.DUMMYFUNCTION("""COMPUTED_VALUE"""),"")</f>
        <v/>
      </c>
      <c r="I503" s="50" t="s">
        <v>29</v>
      </c>
      <c r="J503" s="50" t="s">
        <v>29</v>
      </c>
      <c r="K503" s="50" t="s">
        <v>29</v>
      </c>
      <c r="L503" s="50" t="s">
        <v>29</v>
      </c>
      <c r="M503" s="50" t="s">
        <v>29</v>
      </c>
      <c r="N503" s="49"/>
      <c r="P503" s="19"/>
      <c r="Q503" s="18" t="str">
        <f ca="1">IFERROR(__xludf.DUMMYFUNCTION("""COMPUTED_VALUE"""),"")</f>
        <v/>
      </c>
      <c r="R503" s="19"/>
      <c r="S503" s="20"/>
      <c r="BP503" s="10"/>
      <c r="BW503" s="10"/>
      <c r="CF503" s="10"/>
      <c r="CM503" s="10"/>
      <c r="CP503" s="18" t="str">
        <f ca="1"/>
        <v/>
      </c>
      <c r="CQ503" s="18" t="str">
        <f ca="1"/>
        <v/>
      </c>
      <c r="CR503" s="18" t="str">
        <f ca="1"/>
        <v/>
      </c>
      <c r="CS503" s="18" t="str">
        <f ca="1"/>
        <v/>
      </c>
      <c r="CT503" s="18" t="str">
        <f ca="1"/>
        <v/>
      </c>
      <c r="CV503" s="10"/>
      <c r="CY503" s="18" t="str">
        <f ca="1"/>
        <v/>
      </c>
      <c r="CZ503" s="18" t="str">
        <f ca="1"/>
        <v/>
      </c>
      <c r="DA503" s="18" t="str">
        <f ca="1"/>
        <v/>
      </c>
      <c r="DC503" s="10"/>
    </row>
    <row r="504" spans="1:107" x14ac:dyDescent="0.25">
      <c r="A504" s="46"/>
      <c r="B504" s="52"/>
      <c r="C504" s="52"/>
      <c r="D504" s="16"/>
      <c r="E504" s="52"/>
      <c r="F504" s="52"/>
      <c r="G504" s="50"/>
      <c r="H504" s="17" t="str">
        <f ca="1">IFERROR(__xludf.DUMMYFUNCTION("""COMPUTED_VALUE"""),"")</f>
        <v/>
      </c>
      <c r="I504" s="50" t="s">
        <v>29</v>
      </c>
      <c r="J504" s="50" t="s">
        <v>29</v>
      </c>
      <c r="K504" s="50" t="s">
        <v>29</v>
      </c>
      <c r="L504" s="50" t="s">
        <v>29</v>
      </c>
      <c r="M504" s="50" t="s">
        <v>29</v>
      </c>
      <c r="N504" s="49"/>
      <c r="P504" s="19"/>
      <c r="Q504" s="18" t="str">
        <f ca="1">IFERROR(__xludf.DUMMYFUNCTION("""COMPUTED_VALUE"""),"")</f>
        <v/>
      </c>
      <c r="R504" s="19"/>
      <c r="S504" s="20"/>
      <c r="BP504" s="10"/>
      <c r="BW504" s="10"/>
      <c r="CF504" s="10"/>
      <c r="CM504" s="10"/>
      <c r="CP504" s="18" t="str">
        <f ca="1"/>
        <v/>
      </c>
      <c r="CQ504" s="18" t="str">
        <f ca="1"/>
        <v/>
      </c>
      <c r="CR504" s="18" t="str">
        <f ca="1"/>
        <v/>
      </c>
      <c r="CS504" s="18" t="str">
        <f ca="1"/>
        <v/>
      </c>
      <c r="CT504" s="18" t="str">
        <f ca="1"/>
        <v/>
      </c>
      <c r="CV504" s="10"/>
      <c r="CY504" s="18" t="str">
        <f ca="1"/>
        <v/>
      </c>
      <c r="CZ504" s="18" t="str">
        <f ca="1"/>
        <v/>
      </c>
      <c r="DA504" s="18" t="str">
        <f ca="1"/>
        <v/>
      </c>
      <c r="DC504" s="10"/>
    </row>
    <row r="505" spans="1:107" x14ac:dyDescent="0.25">
      <c r="A505" s="46"/>
      <c r="B505" s="52"/>
      <c r="C505" s="52"/>
      <c r="D505" s="16"/>
      <c r="E505" s="52"/>
      <c r="F505" s="52"/>
      <c r="G505" s="50"/>
      <c r="H505" s="17" t="str">
        <f ca="1">IFERROR(__xludf.DUMMYFUNCTION("""COMPUTED_VALUE"""),"")</f>
        <v/>
      </c>
      <c r="I505" s="50" t="s">
        <v>29</v>
      </c>
      <c r="J505" s="50" t="s">
        <v>29</v>
      </c>
      <c r="K505" s="50" t="s">
        <v>29</v>
      </c>
      <c r="L505" s="50" t="s">
        <v>29</v>
      </c>
      <c r="M505" s="50" t="s">
        <v>29</v>
      </c>
      <c r="N505" s="49"/>
      <c r="P505" s="19"/>
      <c r="Q505" s="18" t="str">
        <f ca="1">IFERROR(__xludf.DUMMYFUNCTION("""COMPUTED_VALUE"""),"")</f>
        <v/>
      </c>
      <c r="R505" s="19"/>
      <c r="S505" s="20"/>
      <c r="BP505" s="10"/>
      <c r="BW505" s="10"/>
      <c r="CF505" s="10"/>
      <c r="CM505" s="10"/>
      <c r="CP505" s="18" t="str">
        <f ca="1"/>
        <v/>
      </c>
      <c r="CQ505" s="18" t="str">
        <f ca="1"/>
        <v/>
      </c>
      <c r="CR505" s="18" t="str">
        <f ca="1"/>
        <v/>
      </c>
      <c r="CS505" s="18" t="str">
        <f ca="1"/>
        <v/>
      </c>
      <c r="CT505" s="18" t="str">
        <f ca="1"/>
        <v/>
      </c>
      <c r="CV505" s="10"/>
      <c r="CY505" s="18" t="str">
        <f ca="1"/>
        <v/>
      </c>
      <c r="CZ505" s="18" t="str">
        <f ca="1"/>
        <v/>
      </c>
      <c r="DA505" s="18" t="str">
        <f ca="1"/>
        <v/>
      </c>
      <c r="DC505" s="10"/>
    </row>
    <row r="506" spans="1:107" x14ac:dyDescent="0.25">
      <c r="A506" s="46"/>
      <c r="B506" s="52"/>
      <c r="C506" s="52"/>
      <c r="D506" s="16"/>
      <c r="E506" s="52"/>
      <c r="F506" s="52"/>
      <c r="G506" s="50"/>
      <c r="H506" s="17" t="str">
        <f ca="1">IFERROR(__xludf.DUMMYFUNCTION("""COMPUTED_VALUE"""),"")</f>
        <v/>
      </c>
      <c r="I506" s="50" t="s">
        <v>29</v>
      </c>
      <c r="J506" s="50" t="s">
        <v>29</v>
      </c>
      <c r="K506" s="50" t="s">
        <v>29</v>
      </c>
      <c r="L506" s="50" t="s">
        <v>29</v>
      </c>
      <c r="M506" s="50" t="s">
        <v>29</v>
      </c>
      <c r="N506" s="49"/>
      <c r="P506" s="19"/>
      <c r="Q506" s="18" t="str">
        <f ca="1">IFERROR(__xludf.DUMMYFUNCTION("""COMPUTED_VALUE"""),"")</f>
        <v/>
      </c>
      <c r="R506" s="19"/>
      <c r="S506" s="20"/>
      <c r="BP506" s="10"/>
      <c r="BW506" s="10"/>
      <c r="CF506" s="10"/>
      <c r="CM506" s="10"/>
      <c r="CP506" s="18" t="str">
        <f ca="1"/>
        <v/>
      </c>
      <c r="CQ506" s="18" t="str">
        <f ca="1"/>
        <v/>
      </c>
      <c r="CR506" s="18" t="str">
        <f ca="1"/>
        <v/>
      </c>
      <c r="CS506" s="18" t="str">
        <f ca="1"/>
        <v/>
      </c>
      <c r="CT506" s="18" t="str">
        <f ca="1"/>
        <v/>
      </c>
      <c r="CV506" s="10"/>
      <c r="CY506" s="18" t="str">
        <f ca="1"/>
        <v/>
      </c>
      <c r="CZ506" s="18" t="str">
        <f ca="1"/>
        <v/>
      </c>
      <c r="DA506" s="18" t="str">
        <f ca="1"/>
        <v/>
      </c>
      <c r="DC506" s="10"/>
    </row>
    <row r="507" spans="1:107" x14ac:dyDescent="0.25">
      <c r="A507" s="46"/>
      <c r="B507" s="52"/>
      <c r="C507" s="52"/>
      <c r="D507" s="16"/>
      <c r="E507" s="52"/>
      <c r="F507" s="52"/>
      <c r="G507" s="50"/>
      <c r="H507" s="17" t="str">
        <f ca="1">IFERROR(__xludf.DUMMYFUNCTION("""COMPUTED_VALUE"""),"")</f>
        <v/>
      </c>
      <c r="I507" s="50" t="s">
        <v>29</v>
      </c>
      <c r="J507" s="50" t="s">
        <v>29</v>
      </c>
      <c r="K507" s="50" t="s">
        <v>29</v>
      </c>
      <c r="L507" s="50" t="s">
        <v>29</v>
      </c>
      <c r="M507" s="50" t="s">
        <v>29</v>
      </c>
      <c r="N507" s="49"/>
      <c r="P507" s="19"/>
      <c r="Q507" s="18" t="str">
        <f ca="1">IFERROR(__xludf.DUMMYFUNCTION("""COMPUTED_VALUE"""),"")</f>
        <v/>
      </c>
      <c r="R507" s="19"/>
      <c r="S507" s="20"/>
      <c r="BP507" s="10"/>
      <c r="BW507" s="10"/>
      <c r="CF507" s="10"/>
      <c r="CM507" s="10"/>
      <c r="CP507" s="18" t="str">
        <f ca="1"/>
        <v/>
      </c>
      <c r="CQ507" s="18" t="str">
        <f ca="1"/>
        <v/>
      </c>
      <c r="CR507" s="18" t="str">
        <f ca="1"/>
        <v/>
      </c>
      <c r="CS507" s="18" t="str">
        <f ca="1"/>
        <v/>
      </c>
      <c r="CT507" s="18" t="str">
        <f ca="1"/>
        <v/>
      </c>
      <c r="CV507" s="10"/>
      <c r="CY507" s="18" t="str">
        <f ca="1"/>
        <v/>
      </c>
      <c r="CZ507" s="18" t="str">
        <f ca="1"/>
        <v/>
      </c>
      <c r="DA507" s="18" t="str">
        <f ca="1"/>
        <v/>
      </c>
      <c r="DC507" s="10"/>
    </row>
    <row r="508" spans="1:107" x14ac:dyDescent="0.25">
      <c r="A508" s="46"/>
      <c r="B508" s="52"/>
      <c r="C508" s="52"/>
      <c r="D508" s="16"/>
      <c r="E508" s="52"/>
      <c r="F508" s="52"/>
      <c r="G508" s="50"/>
      <c r="H508" s="17" t="str">
        <f ca="1">IFERROR(__xludf.DUMMYFUNCTION("""COMPUTED_VALUE"""),"")</f>
        <v/>
      </c>
      <c r="I508" s="50" t="s">
        <v>29</v>
      </c>
      <c r="J508" s="50" t="s">
        <v>29</v>
      </c>
      <c r="K508" s="50" t="s">
        <v>29</v>
      </c>
      <c r="L508" s="50" t="s">
        <v>29</v>
      </c>
      <c r="M508" s="50" t="s">
        <v>29</v>
      </c>
      <c r="N508" s="49"/>
      <c r="P508" s="19"/>
      <c r="Q508" s="18" t="str">
        <f ca="1">IFERROR(__xludf.DUMMYFUNCTION("""COMPUTED_VALUE"""),"")</f>
        <v/>
      </c>
      <c r="R508" s="19"/>
      <c r="S508" s="20"/>
      <c r="BP508" s="10"/>
      <c r="BW508" s="10"/>
      <c r="CF508" s="10"/>
      <c r="CM508" s="10"/>
      <c r="CP508" s="18" t="str">
        <f ca="1"/>
        <v/>
      </c>
      <c r="CQ508" s="18" t="str">
        <f ca="1"/>
        <v/>
      </c>
      <c r="CR508" s="18" t="str">
        <f ca="1"/>
        <v/>
      </c>
      <c r="CS508" s="18" t="str">
        <f ca="1"/>
        <v/>
      </c>
      <c r="CT508" s="18" t="str">
        <f ca="1"/>
        <v/>
      </c>
      <c r="CV508" s="10"/>
      <c r="CY508" s="18" t="str">
        <f ca="1"/>
        <v/>
      </c>
      <c r="CZ508" s="18" t="str">
        <f ca="1"/>
        <v/>
      </c>
      <c r="DA508" s="18" t="str">
        <f ca="1"/>
        <v/>
      </c>
      <c r="DC508" s="10"/>
    </row>
    <row r="509" spans="1:107" x14ac:dyDescent="0.25">
      <c r="A509" s="46"/>
      <c r="B509" s="52"/>
      <c r="C509" s="52"/>
      <c r="D509" s="16"/>
      <c r="E509" s="52"/>
      <c r="F509" s="52"/>
      <c r="G509" s="50"/>
      <c r="H509" s="17" t="str">
        <f ca="1">IFERROR(__xludf.DUMMYFUNCTION("""COMPUTED_VALUE"""),"")</f>
        <v/>
      </c>
      <c r="I509" s="50" t="s">
        <v>29</v>
      </c>
      <c r="J509" s="50" t="s">
        <v>29</v>
      </c>
      <c r="K509" s="50" t="s">
        <v>29</v>
      </c>
      <c r="L509" s="50" t="s">
        <v>29</v>
      </c>
      <c r="M509" s="50" t="s">
        <v>29</v>
      </c>
      <c r="N509" s="49"/>
      <c r="P509" s="19"/>
      <c r="Q509" s="18" t="str">
        <f ca="1">IFERROR(__xludf.DUMMYFUNCTION("""COMPUTED_VALUE"""),"")</f>
        <v/>
      </c>
      <c r="R509" s="19"/>
      <c r="S509" s="20"/>
      <c r="BP509" s="10"/>
      <c r="BW509" s="10"/>
      <c r="CF509" s="10"/>
      <c r="CM509" s="10"/>
      <c r="CP509" s="18" t="str">
        <f ca="1"/>
        <v/>
      </c>
      <c r="CQ509" s="18" t="str">
        <f ca="1"/>
        <v/>
      </c>
      <c r="CR509" s="18" t="str">
        <f ca="1"/>
        <v/>
      </c>
      <c r="CS509" s="18" t="str">
        <f ca="1"/>
        <v/>
      </c>
      <c r="CT509" s="18" t="str">
        <f ca="1"/>
        <v/>
      </c>
      <c r="CV509" s="10"/>
      <c r="CY509" s="18" t="str">
        <f ca="1"/>
        <v/>
      </c>
      <c r="CZ509" s="18" t="str">
        <f ca="1"/>
        <v/>
      </c>
      <c r="DA509" s="18" t="str">
        <f ca="1"/>
        <v/>
      </c>
      <c r="DC509" s="10"/>
    </row>
    <row r="510" spans="1:107" x14ac:dyDescent="0.25">
      <c r="A510" s="46"/>
      <c r="B510" s="52"/>
      <c r="C510" s="52"/>
      <c r="D510" s="16"/>
      <c r="E510" s="52"/>
      <c r="F510" s="52"/>
      <c r="G510" s="50"/>
      <c r="H510" s="17" t="str">
        <f ca="1">IFERROR(__xludf.DUMMYFUNCTION("""COMPUTED_VALUE"""),"")</f>
        <v/>
      </c>
      <c r="I510" s="50" t="s">
        <v>29</v>
      </c>
      <c r="J510" s="50" t="s">
        <v>29</v>
      </c>
      <c r="K510" s="50" t="s">
        <v>29</v>
      </c>
      <c r="L510" s="50" t="s">
        <v>29</v>
      </c>
      <c r="M510" s="50" t="s">
        <v>29</v>
      </c>
      <c r="N510" s="49"/>
      <c r="P510" s="19"/>
      <c r="Q510" s="18" t="str">
        <f ca="1">IFERROR(__xludf.DUMMYFUNCTION("""COMPUTED_VALUE"""),"")</f>
        <v/>
      </c>
      <c r="R510" s="19"/>
      <c r="S510" s="20"/>
      <c r="BP510" s="10"/>
      <c r="BW510" s="10"/>
      <c r="CF510" s="10"/>
      <c r="CM510" s="10"/>
      <c r="CP510" s="18" t="str">
        <f ca="1"/>
        <v/>
      </c>
      <c r="CQ510" s="18" t="str">
        <f ca="1"/>
        <v/>
      </c>
      <c r="CR510" s="18" t="str">
        <f ca="1"/>
        <v/>
      </c>
      <c r="CS510" s="18" t="str">
        <f ca="1"/>
        <v/>
      </c>
      <c r="CT510" s="18" t="str">
        <f ca="1"/>
        <v/>
      </c>
      <c r="CV510" s="10"/>
      <c r="CY510" s="18" t="str">
        <f ca="1"/>
        <v/>
      </c>
      <c r="CZ510" s="18" t="str">
        <f ca="1"/>
        <v/>
      </c>
      <c r="DA510" s="18" t="str">
        <f ca="1"/>
        <v/>
      </c>
      <c r="DC510" s="10"/>
    </row>
    <row r="511" spans="1:107" x14ac:dyDescent="0.25">
      <c r="A511" s="46"/>
      <c r="B511" s="52"/>
      <c r="C511" s="52"/>
      <c r="D511" s="16"/>
      <c r="E511" s="52"/>
      <c r="F511" s="52"/>
      <c r="G511" s="50"/>
      <c r="H511" s="17" t="str">
        <f ca="1">IFERROR(__xludf.DUMMYFUNCTION("""COMPUTED_VALUE"""),"")</f>
        <v/>
      </c>
      <c r="I511" s="50" t="s">
        <v>29</v>
      </c>
      <c r="J511" s="50" t="s">
        <v>29</v>
      </c>
      <c r="K511" s="50" t="s">
        <v>29</v>
      </c>
      <c r="L511" s="50" t="s">
        <v>29</v>
      </c>
      <c r="M511" s="50" t="s">
        <v>29</v>
      </c>
      <c r="N511" s="49"/>
      <c r="P511" s="19"/>
      <c r="Q511" s="18" t="str">
        <f ca="1">IFERROR(__xludf.DUMMYFUNCTION("""COMPUTED_VALUE"""),"")</f>
        <v/>
      </c>
      <c r="R511" s="19"/>
      <c r="S511" s="20"/>
      <c r="BP511" s="10"/>
      <c r="BW511" s="10"/>
      <c r="CF511" s="10"/>
      <c r="CM511" s="10"/>
      <c r="CP511" s="18" t="str">
        <f ca="1"/>
        <v/>
      </c>
      <c r="CQ511" s="18" t="str">
        <f ca="1"/>
        <v/>
      </c>
      <c r="CR511" s="18" t="str">
        <f ca="1"/>
        <v/>
      </c>
      <c r="CS511" s="18" t="str">
        <f ca="1"/>
        <v/>
      </c>
      <c r="CT511" s="18" t="str">
        <f ca="1"/>
        <v/>
      </c>
      <c r="CV511" s="10"/>
      <c r="CY511" s="18" t="str">
        <f ca="1"/>
        <v/>
      </c>
      <c r="CZ511" s="18" t="str">
        <f ca="1"/>
        <v/>
      </c>
      <c r="DA511" s="18" t="str">
        <f ca="1"/>
        <v/>
      </c>
      <c r="DC511" s="10"/>
    </row>
    <row r="512" spans="1:107" x14ac:dyDescent="0.25">
      <c r="A512" s="46"/>
      <c r="B512" s="52"/>
      <c r="C512" s="52"/>
      <c r="D512" s="16"/>
      <c r="E512" s="52"/>
      <c r="F512" s="52"/>
      <c r="G512" s="50"/>
      <c r="H512" s="17" t="str">
        <f ca="1">IFERROR(__xludf.DUMMYFUNCTION("""COMPUTED_VALUE"""),"")</f>
        <v/>
      </c>
      <c r="I512" s="50" t="s">
        <v>29</v>
      </c>
      <c r="J512" s="50" t="s">
        <v>29</v>
      </c>
      <c r="K512" s="50" t="s">
        <v>29</v>
      </c>
      <c r="L512" s="50" t="s">
        <v>29</v>
      </c>
      <c r="M512" s="50" t="s">
        <v>29</v>
      </c>
      <c r="N512" s="49"/>
      <c r="P512" s="19"/>
      <c r="Q512" s="18" t="str">
        <f ca="1">IFERROR(__xludf.DUMMYFUNCTION("""COMPUTED_VALUE"""),"")</f>
        <v/>
      </c>
      <c r="R512" s="19"/>
      <c r="S512" s="20"/>
      <c r="BP512" s="10"/>
      <c r="BW512" s="10"/>
      <c r="CF512" s="10"/>
      <c r="CM512" s="10"/>
      <c r="CP512" s="18" t="str">
        <f ca="1"/>
        <v/>
      </c>
      <c r="CQ512" s="18" t="str">
        <f ca="1"/>
        <v/>
      </c>
      <c r="CR512" s="18" t="str">
        <f ca="1"/>
        <v/>
      </c>
      <c r="CS512" s="18" t="str">
        <f ca="1"/>
        <v/>
      </c>
      <c r="CT512" s="18" t="str">
        <f ca="1"/>
        <v/>
      </c>
      <c r="CV512" s="10"/>
      <c r="CY512" s="18" t="str">
        <f ca="1"/>
        <v/>
      </c>
      <c r="CZ512" s="18" t="str">
        <f ca="1"/>
        <v/>
      </c>
      <c r="DA512" s="18" t="str">
        <f ca="1"/>
        <v/>
      </c>
      <c r="DC512" s="10"/>
    </row>
    <row r="513" spans="1:107" x14ac:dyDescent="0.25">
      <c r="A513" s="46"/>
      <c r="B513" s="52"/>
      <c r="C513" s="52"/>
      <c r="D513" s="16"/>
      <c r="E513" s="52"/>
      <c r="F513" s="52"/>
      <c r="G513" s="50"/>
      <c r="H513" s="17" t="str">
        <f ca="1">IFERROR(__xludf.DUMMYFUNCTION("""COMPUTED_VALUE"""),"")</f>
        <v/>
      </c>
      <c r="I513" s="50" t="s">
        <v>29</v>
      </c>
      <c r="J513" s="50" t="s">
        <v>29</v>
      </c>
      <c r="K513" s="50" t="s">
        <v>29</v>
      </c>
      <c r="L513" s="50" t="s">
        <v>29</v>
      </c>
      <c r="M513" s="50" t="s">
        <v>29</v>
      </c>
      <c r="N513" s="49"/>
      <c r="P513" s="19"/>
      <c r="Q513" s="18" t="str">
        <f ca="1">IFERROR(__xludf.DUMMYFUNCTION("""COMPUTED_VALUE"""),"")</f>
        <v/>
      </c>
      <c r="R513" s="19"/>
      <c r="S513" s="20"/>
      <c r="BP513" s="10"/>
      <c r="BW513" s="10"/>
      <c r="CF513" s="10"/>
      <c r="CM513" s="10"/>
      <c r="CP513" s="18" t="str">
        <f ca="1"/>
        <v/>
      </c>
      <c r="CQ513" s="18" t="str">
        <f ca="1"/>
        <v/>
      </c>
      <c r="CR513" s="18" t="str">
        <f ca="1"/>
        <v/>
      </c>
      <c r="CS513" s="18" t="str">
        <f ca="1"/>
        <v/>
      </c>
      <c r="CT513" s="18" t="str">
        <f ca="1"/>
        <v/>
      </c>
      <c r="CV513" s="10"/>
      <c r="CY513" s="18" t="str">
        <f ca="1"/>
        <v/>
      </c>
      <c r="CZ513" s="18" t="str">
        <f ca="1"/>
        <v/>
      </c>
      <c r="DA513" s="18" t="str">
        <f ca="1"/>
        <v/>
      </c>
      <c r="DC513" s="10"/>
    </row>
    <row r="514" spans="1:107" x14ac:dyDescent="0.25">
      <c r="A514" s="46"/>
      <c r="B514" s="52"/>
      <c r="C514" s="52"/>
      <c r="D514" s="16"/>
      <c r="E514" s="52"/>
      <c r="F514" s="52"/>
      <c r="G514" s="50"/>
      <c r="H514" s="17" t="str">
        <f ca="1">IFERROR(__xludf.DUMMYFUNCTION("""COMPUTED_VALUE"""),"")</f>
        <v/>
      </c>
      <c r="I514" s="50" t="s">
        <v>29</v>
      </c>
      <c r="J514" s="50" t="s">
        <v>29</v>
      </c>
      <c r="K514" s="50" t="s">
        <v>29</v>
      </c>
      <c r="L514" s="50" t="s">
        <v>29</v>
      </c>
      <c r="M514" s="50" t="s">
        <v>29</v>
      </c>
      <c r="N514" s="49"/>
      <c r="P514" s="19"/>
      <c r="Q514" s="18" t="str">
        <f ca="1">IFERROR(__xludf.DUMMYFUNCTION("""COMPUTED_VALUE"""),"")</f>
        <v/>
      </c>
      <c r="R514" s="19"/>
      <c r="S514" s="20"/>
      <c r="BP514" s="10"/>
      <c r="BW514" s="10"/>
      <c r="CF514" s="10"/>
      <c r="CM514" s="10"/>
      <c r="CP514" s="18" t="str">
        <f ca="1"/>
        <v/>
      </c>
      <c r="CQ514" s="18" t="str">
        <f ca="1"/>
        <v/>
      </c>
      <c r="CR514" s="18" t="str">
        <f ca="1"/>
        <v/>
      </c>
      <c r="CS514" s="18" t="str">
        <f ca="1"/>
        <v/>
      </c>
      <c r="CT514" s="18" t="str">
        <f ca="1"/>
        <v/>
      </c>
      <c r="CV514" s="10"/>
      <c r="CY514" s="18" t="str">
        <f ca="1"/>
        <v/>
      </c>
      <c r="CZ514" s="18" t="str">
        <f ca="1"/>
        <v/>
      </c>
      <c r="DA514" s="18" t="str">
        <f ca="1"/>
        <v/>
      </c>
      <c r="DC514" s="10"/>
    </row>
    <row r="515" spans="1:107" x14ac:dyDescent="0.25">
      <c r="A515" s="46"/>
      <c r="B515" s="52"/>
      <c r="C515" s="52"/>
      <c r="D515" s="16"/>
      <c r="E515" s="52"/>
      <c r="F515" s="52"/>
      <c r="G515" s="50"/>
      <c r="H515" s="17" t="str">
        <f ca="1">IFERROR(__xludf.DUMMYFUNCTION("""COMPUTED_VALUE"""),"")</f>
        <v/>
      </c>
      <c r="I515" s="50" t="s">
        <v>29</v>
      </c>
      <c r="J515" s="50" t="s">
        <v>29</v>
      </c>
      <c r="K515" s="50" t="s">
        <v>29</v>
      </c>
      <c r="L515" s="50" t="s">
        <v>29</v>
      </c>
      <c r="M515" s="50" t="s">
        <v>29</v>
      </c>
      <c r="N515" s="49"/>
      <c r="P515" s="19"/>
      <c r="Q515" s="18" t="str">
        <f ca="1">IFERROR(__xludf.DUMMYFUNCTION("""COMPUTED_VALUE"""),"")</f>
        <v/>
      </c>
      <c r="R515" s="19"/>
      <c r="S515" s="20"/>
      <c r="BP515" s="10"/>
      <c r="BW515" s="10"/>
      <c r="CF515" s="10"/>
      <c r="CM515" s="10"/>
      <c r="CP515" s="18" t="str">
        <f ca="1"/>
        <v/>
      </c>
      <c r="CQ515" s="18" t="str">
        <f ca="1"/>
        <v/>
      </c>
      <c r="CR515" s="18" t="str">
        <f ca="1"/>
        <v/>
      </c>
      <c r="CS515" s="18" t="str">
        <f ca="1"/>
        <v/>
      </c>
      <c r="CT515" s="18" t="str">
        <f ca="1"/>
        <v/>
      </c>
      <c r="CV515" s="10"/>
      <c r="CY515" s="18" t="str">
        <f ca="1"/>
        <v/>
      </c>
      <c r="CZ515" s="18" t="str">
        <f ca="1"/>
        <v/>
      </c>
      <c r="DA515" s="18" t="str">
        <f ca="1"/>
        <v/>
      </c>
      <c r="DC515" s="10"/>
    </row>
    <row r="516" spans="1:107" x14ac:dyDescent="0.25">
      <c r="A516" s="46"/>
      <c r="B516" s="52"/>
      <c r="C516" s="52"/>
      <c r="D516" s="16"/>
      <c r="E516" s="52"/>
      <c r="F516" s="52"/>
      <c r="G516" s="50"/>
      <c r="H516" s="17" t="str">
        <f ca="1">IFERROR(__xludf.DUMMYFUNCTION("""COMPUTED_VALUE"""),"")</f>
        <v/>
      </c>
      <c r="I516" s="50" t="s">
        <v>29</v>
      </c>
      <c r="J516" s="50" t="s">
        <v>29</v>
      </c>
      <c r="K516" s="50" t="s">
        <v>29</v>
      </c>
      <c r="L516" s="50" t="s">
        <v>29</v>
      </c>
      <c r="M516" s="50" t="s">
        <v>29</v>
      </c>
      <c r="N516" s="49"/>
      <c r="P516" s="19"/>
      <c r="Q516" s="18" t="str">
        <f ca="1">IFERROR(__xludf.DUMMYFUNCTION("""COMPUTED_VALUE"""),"")</f>
        <v/>
      </c>
      <c r="R516" s="19"/>
      <c r="S516" s="20"/>
      <c r="BP516" s="10"/>
      <c r="BW516" s="10"/>
      <c r="CF516" s="10"/>
      <c r="CM516" s="10"/>
      <c r="CP516" s="18" t="str">
        <f ca="1"/>
        <v/>
      </c>
      <c r="CQ516" s="18" t="str">
        <f ca="1"/>
        <v/>
      </c>
      <c r="CR516" s="18" t="str">
        <f ca="1"/>
        <v/>
      </c>
      <c r="CS516" s="18" t="str">
        <f ca="1"/>
        <v/>
      </c>
      <c r="CT516" s="18" t="str">
        <f ca="1"/>
        <v/>
      </c>
      <c r="CV516" s="10"/>
      <c r="CY516" s="18" t="str">
        <f ca="1"/>
        <v/>
      </c>
      <c r="CZ516" s="18" t="str">
        <f ca="1"/>
        <v/>
      </c>
      <c r="DA516" s="18" t="str">
        <f ca="1"/>
        <v/>
      </c>
      <c r="DC516" s="10"/>
    </row>
    <row r="517" spans="1:107" x14ac:dyDescent="0.25">
      <c r="A517" s="46"/>
      <c r="B517" s="52"/>
      <c r="C517" s="52"/>
      <c r="D517" s="16"/>
      <c r="E517" s="52"/>
      <c r="F517" s="52"/>
      <c r="G517" s="50"/>
      <c r="H517" s="17" t="str">
        <f ca="1">IFERROR(__xludf.DUMMYFUNCTION("""COMPUTED_VALUE"""),"")</f>
        <v/>
      </c>
      <c r="I517" s="50" t="s">
        <v>29</v>
      </c>
      <c r="J517" s="50" t="s">
        <v>29</v>
      </c>
      <c r="K517" s="50" t="s">
        <v>29</v>
      </c>
      <c r="L517" s="50" t="s">
        <v>29</v>
      </c>
      <c r="M517" s="50" t="s">
        <v>29</v>
      </c>
      <c r="N517" s="49"/>
      <c r="P517" s="19"/>
      <c r="Q517" s="18" t="str">
        <f ca="1">IFERROR(__xludf.DUMMYFUNCTION("""COMPUTED_VALUE"""),"")</f>
        <v/>
      </c>
      <c r="R517" s="19"/>
      <c r="S517" s="20"/>
      <c r="BP517" s="10"/>
      <c r="BW517" s="10"/>
      <c r="CF517" s="10"/>
      <c r="CM517" s="10"/>
      <c r="CP517" s="18" t="str">
        <f ca="1"/>
        <v/>
      </c>
      <c r="CQ517" s="18" t="str">
        <f ca="1"/>
        <v/>
      </c>
      <c r="CR517" s="18" t="str">
        <f ca="1"/>
        <v/>
      </c>
      <c r="CS517" s="18" t="str">
        <f ca="1"/>
        <v/>
      </c>
      <c r="CT517" s="18" t="str">
        <f ca="1"/>
        <v/>
      </c>
      <c r="CV517" s="10"/>
      <c r="CY517" s="18" t="str">
        <f ca="1"/>
        <v/>
      </c>
      <c r="CZ517" s="18" t="str">
        <f ca="1"/>
        <v/>
      </c>
      <c r="DA517" s="18" t="str">
        <f ca="1"/>
        <v/>
      </c>
      <c r="DC517" s="10"/>
    </row>
    <row r="518" spans="1:107" x14ac:dyDescent="0.25">
      <c r="A518" s="46"/>
      <c r="B518" s="52"/>
      <c r="C518" s="52"/>
      <c r="D518" s="16"/>
      <c r="E518" s="52"/>
      <c r="F518" s="52"/>
      <c r="G518" s="50"/>
      <c r="H518" s="17" t="str">
        <f ca="1">IFERROR(__xludf.DUMMYFUNCTION("""COMPUTED_VALUE"""),"")</f>
        <v/>
      </c>
      <c r="I518" s="50" t="s">
        <v>29</v>
      </c>
      <c r="J518" s="50" t="s">
        <v>29</v>
      </c>
      <c r="K518" s="50" t="s">
        <v>29</v>
      </c>
      <c r="L518" s="50" t="s">
        <v>29</v>
      </c>
      <c r="M518" s="50" t="s">
        <v>29</v>
      </c>
      <c r="N518" s="49"/>
      <c r="P518" s="19"/>
      <c r="Q518" s="18" t="str">
        <f ca="1">IFERROR(__xludf.DUMMYFUNCTION("""COMPUTED_VALUE"""),"")</f>
        <v/>
      </c>
      <c r="R518" s="19"/>
      <c r="S518" s="20"/>
      <c r="BP518" s="10"/>
      <c r="BW518" s="10"/>
      <c r="CF518" s="10"/>
      <c r="CM518" s="10"/>
      <c r="CP518" s="18" t="str">
        <f ca="1"/>
        <v/>
      </c>
      <c r="CQ518" s="18" t="str">
        <f ca="1"/>
        <v/>
      </c>
      <c r="CR518" s="18" t="str">
        <f ca="1"/>
        <v/>
      </c>
      <c r="CS518" s="18" t="str">
        <f ca="1"/>
        <v/>
      </c>
      <c r="CT518" s="18" t="str">
        <f ca="1"/>
        <v/>
      </c>
      <c r="CV518" s="10"/>
      <c r="CY518" s="18" t="str">
        <f ca="1"/>
        <v/>
      </c>
      <c r="CZ518" s="18" t="str">
        <f ca="1"/>
        <v/>
      </c>
      <c r="DA518" s="18" t="str">
        <f ca="1"/>
        <v/>
      </c>
      <c r="DC518" s="10"/>
    </row>
    <row r="519" spans="1:107" x14ac:dyDescent="0.25">
      <c r="A519" s="46"/>
      <c r="B519" s="52"/>
      <c r="C519" s="52"/>
      <c r="D519" s="16"/>
      <c r="E519" s="52"/>
      <c r="F519" s="52"/>
      <c r="G519" s="50"/>
      <c r="H519" s="17" t="str">
        <f ca="1">IFERROR(__xludf.DUMMYFUNCTION("""COMPUTED_VALUE"""),"")</f>
        <v/>
      </c>
      <c r="I519" s="50" t="s">
        <v>29</v>
      </c>
      <c r="J519" s="50" t="s">
        <v>29</v>
      </c>
      <c r="K519" s="50" t="s">
        <v>29</v>
      </c>
      <c r="L519" s="50" t="s">
        <v>29</v>
      </c>
      <c r="M519" s="50" t="s">
        <v>29</v>
      </c>
      <c r="N519" s="49"/>
      <c r="P519" s="19"/>
      <c r="Q519" s="18" t="str">
        <f ca="1">IFERROR(__xludf.DUMMYFUNCTION("""COMPUTED_VALUE"""),"")</f>
        <v/>
      </c>
      <c r="R519" s="19"/>
      <c r="S519" s="20"/>
      <c r="BP519" s="10"/>
      <c r="BW519" s="10"/>
      <c r="CF519" s="10"/>
      <c r="CM519" s="10"/>
      <c r="CP519" s="18" t="str">
        <f ca="1"/>
        <v/>
      </c>
      <c r="CQ519" s="18" t="str">
        <f ca="1"/>
        <v/>
      </c>
      <c r="CR519" s="18" t="str">
        <f ca="1"/>
        <v/>
      </c>
      <c r="CS519" s="18" t="str">
        <f ca="1"/>
        <v/>
      </c>
      <c r="CT519" s="18" t="str">
        <f ca="1"/>
        <v/>
      </c>
      <c r="CV519" s="10"/>
      <c r="CY519" s="18" t="str">
        <f ca="1"/>
        <v/>
      </c>
      <c r="CZ519" s="18" t="str">
        <f ca="1"/>
        <v/>
      </c>
      <c r="DA519" s="18" t="str">
        <f ca="1"/>
        <v/>
      </c>
      <c r="DC519" s="10"/>
    </row>
    <row r="520" spans="1:107" x14ac:dyDescent="0.25">
      <c r="A520" s="46"/>
      <c r="B520" s="52"/>
      <c r="C520" s="52"/>
      <c r="D520" s="16"/>
      <c r="E520" s="52"/>
      <c r="F520" s="52"/>
      <c r="G520" s="50"/>
      <c r="H520" s="17" t="str">
        <f ca="1">IFERROR(__xludf.DUMMYFUNCTION("""COMPUTED_VALUE"""),"")</f>
        <v/>
      </c>
      <c r="I520" s="50" t="s">
        <v>29</v>
      </c>
      <c r="J520" s="50" t="s">
        <v>29</v>
      </c>
      <c r="K520" s="50" t="s">
        <v>29</v>
      </c>
      <c r="L520" s="50" t="s">
        <v>29</v>
      </c>
      <c r="M520" s="50" t="s">
        <v>29</v>
      </c>
      <c r="N520" s="49"/>
      <c r="P520" s="19"/>
      <c r="Q520" s="18" t="str">
        <f ca="1">IFERROR(__xludf.DUMMYFUNCTION("""COMPUTED_VALUE"""),"")</f>
        <v/>
      </c>
      <c r="R520" s="19"/>
      <c r="S520" s="20"/>
      <c r="BP520" s="10"/>
      <c r="BW520" s="10"/>
      <c r="CF520" s="10"/>
      <c r="CM520" s="10"/>
      <c r="CP520" s="18" t="str">
        <f ca="1"/>
        <v/>
      </c>
      <c r="CQ520" s="18" t="str">
        <f ca="1"/>
        <v/>
      </c>
      <c r="CR520" s="18" t="str">
        <f ca="1"/>
        <v/>
      </c>
      <c r="CS520" s="18" t="str">
        <f ca="1"/>
        <v/>
      </c>
      <c r="CT520" s="18" t="str">
        <f ca="1"/>
        <v/>
      </c>
      <c r="CV520" s="10"/>
      <c r="CY520" s="18" t="str">
        <f ca="1"/>
        <v/>
      </c>
      <c r="CZ520" s="18" t="str">
        <f ca="1"/>
        <v/>
      </c>
      <c r="DA520" s="18" t="str">
        <f ca="1"/>
        <v/>
      </c>
      <c r="DC520" s="10"/>
    </row>
    <row r="521" spans="1:107" x14ac:dyDescent="0.25">
      <c r="A521" s="46"/>
      <c r="B521" s="52"/>
      <c r="C521" s="52"/>
      <c r="D521" s="16"/>
      <c r="E521" s="52"/>
      <c r="F521" s="52"/>
      <c r="G521" s="50"/>
      <c r="H521" s="17" t="str">
        <f ca="1">IFERROR(__xludf.DUMMYFUNCTION("""COMPUTED_VALUE"""),"")</f>
        <v/>
      </c>
      <c r="I521" s="50" t="s">
        <v>29</v>
      </c>
      <c r="J521" s="50" t="s">
        <v>29</v>
      </c>
      <c r="K521" s="50" t="s">
        <v>29</v>
      </c>
      <c r="L521" s="50" t="s">
        <v>29</v>
      </c>
      <c r="M521" s="50" t="s">
        <v>29</v>
      </c>
      <c r="N521" s="49"/>
      <c r="P521" s="19"/>
      <c r="Q521" s="18" t="str">
        <f ca="1">IFERROR(__xludf.DUMMYFUNCTION("""COMPUTED_VALUE"""),"")</f>
        <v/>
      </c>
      <c r="R521" s="19"/>
      <c r="S521" s="20"/>
      <c r="BP521" s="10"/>
      <c r="BW521" s="10"/>
      <c r="CF521" s="10"/>
      <c r="CM521" s="10"/>
      <c r="CP521" s="18" t="str">
        <f ca="1"/>
        <v/>
      </c>
      <c r="CQ521" s="18" t="str">
        <f ca="1"/>
        <v/>
      </c>
      <c r="CR521" s="18" t="str">
        <f ca="1"/>
        <v/>
      </c>
      <c r="CS521" s="18" t="str">
        <f ca="1"/>
        <v/>
      </c>
      <c r="CT521" s="18" t="str">
        <f ca="1"/>
        <v/>
      </c>
      <c r="CV521" s="10"/>
      <c r="CY521" s="18" t="str">
        <f ca="1"/>
        <v/>
      </c>
      <c r="CZ521" s="18" t="str">
        <f ca="1"/>
        <v/>
      </c>
      <c r="DA521" s="18" t="str">
        <f ca="1"/>
        <v/>
      </c>
      <c r="DC521" s="10"/>
    </row>
    <row r="522" spans="1:107" x14ac:dyDescent="0.25">
      <c r="A522" s="46"/>
      <c r="B522" s="52"/>
      <c r="C522" s="52"/>
      <c r="D522" s="16"/>
      <c r="E522" s="52"/>
      <c r="F522" s="52"/>
      <c r="G522" s="50"/>
      <c r="H522" s="17" t="str">
        <f ca="1">IFERROR(__xludf.DUMMYFUNCTION("""COMPUTED_VALUE"""),"")</f>
        <v/>
      </c>
      <c r="I522" s="50" t="s">
        <v>29</v>
      </c>
      <c r="J522" s="50" t="s">
        <v>29</v>
      </c>
      <c r="K522" s="50" t="s">
        <v>29</v>
      </c>
      <c r="L522" s="50" t="s">
        <v>29</v>
      </c>
      <c r="M522" s="50" t="s">
        <v>29</v>
      </c>
      <c r="N522" s="49"/>
      <c r="P522" s="19"/>
      <c r="Q522" s="18" t="str">
        <f ca="1">IFERROR(__xludf.DUMMYFUNCTION("""COMPUTED_VALUE"""),"")</f>
        <v/>
      </c>
      <c r="R522" s="19"/>
      <c r="S522" s="20"/>
      <c r="BP522" s="10"/>
      <c r="BW522" s="10"/>
      <c r="CF522" s="10"/>
      <c r="CM522" s="10"/>
      <c r="CP522" s="18" t="str">
        <f ca="1"/>
        <v/>
      </c>
      <c r="CQ522" s="18" t="str">
        <f ca="1"/>
        <v/>
      </c>
      <c r="CR522" s="18" t="str">
        <f ca="1"/>
        <v/>
      </c>
      <c r="CS522" s="18" t="str">
        <f ca="1"/>
        <v/>
      </c>
      <c r="CT522" s="18" t="str">
        <f ca="1"/>
        <v/>
      </c>
      <c r="CV522" s="10"/>
      <c r="CY522" s="18" t="str">
        <f ca="1"/>
        <v/>
      </c>
      <c r="CZ522" s="18" t="str">
        <f ca="1"/>
        <v/>
      </c>
      <c r="DA522" s="18" t="str">
        <f ca="1"/>
        <v/>
      </c>
      <c r="DC522" s="10"/>
    </row>
    <row r="523" spans="1:107" x14ac:dyDescent="0.25">
      <c r="A523" s="46"/>
      <c r="B523" s="52"/>
      <c r="C523" s="52"/>
      <c r="D523" s="16"/>
      <c r="E523" s="52"/>
      <c r="F523" s="52"/>
      <c r="G523" s="50"/>
      <c r="H523" s="17" t="str">
        <f ca="1">IFERROR(__xludf.DUMMYFUNCTION("""COMPUTED_VALUE"""),"")</f>
        <v/>
      </c>
      <c r="I523" s="50" t="s">
        <v>29</v>
      </c>
      <c r="J523" s="50" t="s">
        <v>29</v>
      </c>
      <c r="K523" s="50" t="s">
        <v>29</v>
      </c>
      <c r="L523" s="50" t="s">
        <v>29</v>
      </c>
      <c r="M523" s="50" t="s">
        <v>29</v>
      </c>
      <c r="N523" s="49"/>
      <c r="P523" s="19"/>
      <c r="Q523" s="18" t="str">
        <f ca="1">IFERROR(__xludf.DUMMYFUNCTION("""COMPUTED_VALUE"""),"")</f>
        <v/>
      </c>
      <c r="R523" s="19"/>
      <c r="S523" s="20"/>
      <c r="BP523" s="10"/>
      <c r="BW523" s="10"/>
      <c r="CF523" s="10"/>
      <c r="CM523" s="10"/>
      <c r="CP523" s="18" t="str">
        <f ca="1"/>
        <v/>
      </c>
      <c r="CQ523" s="18" t="str">
        <f ca="1"/>
        <v/>
      </c>
      <c r="CR523" s="18" t="str">
        <f ca="1"/>
        <v/>
      </c>
      <c r="CS523" s="18" t="str">
        <f ca="1"/>
        <v/>
      </c>
      <c r="CT523" s="18" t="str">
        <f ca="1"/>
        <v/>
      </c>
      <c r="CV523" s="10"/>
      <c r="CY523" s="18" t="str">
        <f ca="1"/>
        <v/>
      </c>
      <c r="CZ523" s="18" t="str">
        <f ca="1"/>
        <v/>
      </c>
      <c r="DA523" s="18" t="str">
        <f ca="1"/>
        <v/>
      </c>
      <c r="DC523" s="10"/>
    </row>
    <row r="524" spans="1:107" x14ac:dyDescent="0.25">
      <c r="A524" s="46"/>
      <c r="B524" s="52"/>
      <c r="C524" s="52"/>
      <c r="D524" s="16"/>
      <c r="E524" s="52"/>
      <c r="F524" s="52"/>
      <c r="G524" s="50"/>
      <c r="H524" s="17" t="str">
        <f ca="1">IFERROR(__xludf.DUMMYFUNCTION("""COMPUTED_VALUE"""),"")</f>
        <v/>
      </c>
      <c r="I524" s="50" t="s">
        <v>29</v>
      </c>
      <c r="J524" s="50" t="s">
        <v>29</v>
      </c>
      <c r="K524" s="50" t="s">
        <v>29</v>
      </c>
      <c r="L524" s="50" t="s">
        <v>29</v>
      </c>
      <c r="M524" s="50" t="s">
        <v>29</v>
      </c>
      <c r="N524" s="49"/>
      <c r="P524" s="19"/>
      <c r="Q524" s="18" t="str">
        <f ca="1">IFERROR(__xludf.DUMMYFUNCTION("""COMPUTED_VALUE"""),"")</f>
        <v/>
      </c>
      <c r="R524" s="19"/>
      <c r="S524" s="20"/>
      <c r="BP524" s="10"/>
      <c r="BW524" s="10"/>
      <c r="CF524" s="10"/>
      <c r="CM524" s="10"/>
      <c r="CP524" s="18" t="str">
        <f ca="1"/>
        <v/>
      </c>
      <c r="CQ524" s="18" t="str">
        <f ca="1"/>
        <v/>
      </c>
      <c r="CR524" s="18" t="str">
        <f ca="1"/>
        <v/>
      </c>
      <c r="CS524" s="18" t="str">
        <f ca="1"/>
        <v/>
      </c>
      <c r="CT524" s="18" t="str">
        <f ca="1"/>
        <v/>
      </c>
      <c r="CV524" s="10"/>
      <c r="CY524" s="18" t="str">
        <f ca="1"/>
        <v/>
      </c>
      <c r="CZ524" s="18" t="str">
        <f ca="1"/>
        <v/>
      </c>
      <c r="DA524" s="18" t="str">
        <f ca="1"/>
        <v/>
      </c>
      <c r="DC524" s="10"/>
    </row>
    <row r="525" spans="1:107" x14ac:dyDescent="0.25">
      <c r="A525" s="46"/>
      <c r="B525" s="52"/>
      <c r="C525" s="52"/>
      <c r="D525" s="16"/>
      <c r="E525" s="52"/>
      <c r="F525" s="52"/>
      <c r="G525" s="50"/>
      <c r="H525" s="17" t="str">
        <f ca="1">IFERROR(__xludf.DUMMYFUNCTION("""COMPUTED_VALUE"""),"")</f>
        <v/>
      </c>
      <c r="I525" s="50" t="s">
        <v>29</v>
      </c>
      <c r="J525" s="50" t="s">
        <v>29</v>
      </c>
      <c r="K525" s="50" t="s">
        <v>29</v>
      </c>
      <c r="L525" s="50" t="s">
        <v>29</v>
      </c>
      <c r="M525" s="50" t="s">
        <v>29</v>
      </c>
      <c r="N525" s="49"/>
      <c r="P525" s="19"/>
      <c r="Q525" s="18" t="str">
        <f ca="1">IFERROR(__xludf.DUMMYFUNCTION("""COMPUTED_VALUE"""),"")</f>
        <v/>
      </c>
      <c r="R525" s="19"/>
      <c r="S525" s="20"/>
      <c r="BP525" s="10"/>
      <c r="BW525" s="10"/>
      <c r="CF525" s="10"/>
      <c r="CM525" s="10"/>
      <c r="CP525" s="18" t="str">
        <f ca="1"/>
        <v/>
      </c>
      <c r="CQ525" s="18" t="str">
        <f ca="1"/>
        <v/>
      </c>
      <c r="CR525" s="18" t="str">
        <f ca="1"/>
        <v/>
      </c>
      <c r="CS525" s="18" t="str">
        <f ca="1"/>
        <v/>
      </c>
      <c r="CT525" s="18" t="str">
        <f ca="1"/>
        <v/>
      </c>
      <c r="CV525" s="10"/>
      <c r="CY525" s="18" t="str">
        <f ca="1"/>
        <v/>
      </c>
      <c r="CZ525" s="18" t="str">
        <f ca="1"/>
        <v/>
      </c>
      <c r="DA525" s="18" t="str">
        <f ca="1"/>
        <v/>
      </c>
      <c r="DC525" s="10"/>
    </row>
    <row r="526" spans="1:107" x14ac:dyDescent="0.25">
      <c r="A526" s="46"/>
      <c r="B526" s="52"/>
      <c r="C526" s="52"/>
      <c r="D526" s="16"/>
      <c r="E526" s="52"/>
      <c r="F526" s="52"/>
      <c r="G526" s="50"/>
      <c r="H526" s="17" t="str">
        <f ca="1">IFERROR(__xludf.DUMMYFUNCTION("""COMPUTED_VALUE"""),"")</f>
        <v/>
      </c>
      <c r="I526" s="50" t="s">
        <v>29</v>
      </c>
      <c r="J526" s="50" t="s">
        <v>29</v>
      </c>
      <c r="K526" s="50" t="s">
        <v>29</v>
      </c>
      <c r="L526" s="50" t="s">
        <v>29</v>
      </c>
      <c r="M526" s="50" t="s">
        <v>29</v>
      </c>
      <c r="N526" s="49"/>
      <c r="P526" s="19"/>
      <c r="Q526" s="18" t="str">
        <f ca="1">IFERROR(__xludf.DUMMYFUNCTION("""COMPUTED_VALUE"""),"")</f>
        <v/>
      </c>
      <c r="R526" s="19"/>
      <c r="S526" s="20"/>
      <c r="BP526" s="10"/>
      <c r="BW526" s="10"/>
      <c r="CF526" s="10"/>
      <c r="CM526" s="10"/>
      <c r="CP526" s="18" t="str">
        <f ca="1"/>
        <v/>
      </c>
      <c r="CQ526" s="18" t="str">
        <f ca="1"/>
        <v/>
      </c>
      <c r="CR526" s="18" t="str">
        <f ca="1"/>
        <v/>
      </c>
      <c r="CS526" s="18" t="str">
        <f ca="1"/>
        <v/>
      </c>
      <c r="CT526" s="18" t="str">
        <f ca="1"/>
        <v/>
      </c>
      <c r="CV526" s="10"/>
      <c r="CY526" s="18" t="str">
        <f ca="1"/>
        <v/>
      </c>
      <c r="CZ526" s="18" t="str">
        <f ca="1"/>
        <v/>
      </c>
      <c r="DA526" s="18" t="str">
        <f ca="1"/>
        <v/>
      </c>
      <c r="DC526" s="10"/>
    </row>
    <row r="527" spans="1:107" x14ac:dyDescent="0.25">
      <c r="A527" s="46"/>
      <c r="B527" s="52"/>
      <c r="C527" s="52"/>
      <c r="D527" s="16"/>
      <c r="E527" s="52"/>
      <c r="F527" s="52"/>
      <c r="G527" s="50"/>
      <c r="H527" s="17" t="str">
        <f ca="1">IFERROR(__xludf.DUMMYFUNCTION("""COMPUTED_VALUE"""),"")</f>
        <v/>
      </c>
      <c r="I527" s="50" t="s">
        <v>29</v>
      </c>
      <c r="J527" s="50" t="s">
        <v>29</v>
      </c>
      <c r="K527" s="50" t="s">
        <v>29</v>
      </c>
      <c r="L527" s="50" t="s">
        <v>29</v>
      </c>
      <c r="M527" s="50" t="s">
        <v>29</v>
      </c>
      <c r="N527" s="49"/>
      <c r="P527" s="19"/>
      <c r="Q527" s="18" t="str">
        <f ca="1">IFERROR(__xludf.DUMMYFUNCTION("""COMPUTED_VALUE"""),"")</f>
        <v/>
      </c>
      <c r="R527" s="19"/>
      <c r="S527" s="20"/>
      <c r="BP527" s="10"/>
      <c r="BW527" s="10"/>
      <c r="CF527" s="10"/>
      <c r="CM527" s="10"/>
      <c r="CP527" s="18" t="str">
        <f ca="1"/>
        <v/>
      </c>
      <c r="CQ527" s="18" t="str">
        <f ca="1"/>
        <v/>
      </c>
      <c r="CR527" s="18" t="str">
        <f ca="1"/>
        <v/>
      </c>
      <c r="CS527" s="18" t="str">
        <f ca="1"/>
        <v/>
      </c>
      <c r="CT527" s="18" t="str">
        <f ca="1"/>
        <v/>
      </c>
      <c r="CV527" s="10"/>
      <c r="CY527" s="18" t="str">
        <f ca="1"/>
        <v/>
      </c>
      <c r="CZ527" s="18" t="str">
        <f ca="1"/>
        <v/>
      </c>
      <c r="DA527" s="18" t="str">
        <f ca="1"/>
        <v/>
      </c>
      <c r="DC527" s="10"/>
    </row>
    <row r="528" spans="1:107" x14ac:dyDescent="0.25">
      <c r="A528" s="46"/>
      <c r="B528" s="52"/>
      <c r="C528" s="52"/>
      <c r="D528" s="16"/>
      <c r="E528" s="52"/>
      <c r="F528" s="52"/>
      <c r="G528" s="50"/>
      <c r="H528" s="17" t="str">
        <f ca="1">IFERROR(__xludf.DUMMYFUNCTION("""COMPUTED_VALUE"""),"")</f>
        <v/>
      </c>
      <c r="I528" s="50" t="s">
        <v>29</v>
      </c>
      <c r="J528" s="50" t="s">
        <v>29</v>
      </c>
      <c r="K528" s="50" t="s">
        <v>29</v>
      </c>
      <c r="L528" s="50" t="s">
        <v>29</v>
      </c>
      <c r="M528" s="50" t="s">
        <v>29</v>
      </c>
      <c r="N528" s="49"/>
      <c r="P528" s="19"/>
      <c r="Q528" s="18" t="str">
        <f ca="1">IFERROR(__xludf.DUMMYFUNCTION("""COMPUTED_VALUE"""),"")</f>
        <v/>
      </c>
      <c r="R528" s="19"/>
      <c r="S528" s="20"/>
      <c r="BP528" s="10"/>
      <c r="BW528" s="10"/>
      <c r="CF528" s="10"/>
      <c r="CM528" s="10"/>
      <c r="CP528" s="18" t="str">
        <f ca="1"/>
        <v/>
      </c>
      <c r="CQ528" s="18" t="str">
        <f ca="1"/>
        <v/>
      </c>
      <c r="CR528" s="18" t="str">
        <f ca="1"/>
        <v/>
      </c>
      <c r="CS528" s="18" t="str">
        <f ca="1"/>
        <v/>
      </c>
      <c r="CT528" s="18" t="str">
        <f ca="1"/>
        <v/>
      </c>
      <c r="CV528" s="10"/>
      <c r="CY528" s="18" t="str">
        <f ca="1"/>
        <v/>
      </c>
      <c r="CZ528" s="18" t="str">
        <f ca="1"/>
        <v/>
      </c>
      <c r="DA528" s="18" t="str">
        <f ca="1"/>
        <v/>
      </c>
      <c r="DC528" s="10"/>
    </row>
    <row r="529" spans="1:107" x14ac:dyDescent="0.25">
      <c r="A529" s="46"/>
      <c r="B529" s="52"/>
      <c r="C529" s="52"/>
      <c r="D529" s="16"/>
      <c r="E529" s="52"/>
      <c r="F529" s="52"/>
      <c r="G529" s="50"/>
      <c r="H529" s="17" t="str">
        <f ca="1">IFERROR(__xludf.DUMMYFUNCTION("""COMPUTED_VALUE"""),"")</f>
        <v/>
      </c>
      <c r="I529" s="50" t="s">
        <v>29</v>
      </c>
      <c r="J529" s="50" t="s">
        <v>29</v>
      </c>
      <c r="K529" s="50" t="s">
        <v>29</v>
      </c>
      <c r="L529" s="50" t="s">
        <v>29</v>
      </c>
      <c r="M529" s="50" t="s">
        <v>29</v>
      </c>
      <c r="N529" s="49"/>
      <c r="P529" s="19"/>
      <c r="Q529" s="18" t="str">
        <f ca="1">IFERROR(__xludf.DUMMYFUNCTION("""COMPUTED_VALUE"""),"")</f>
        <v/>
      </c>
      <c r="R529" s="19"/>
      <c r="S529" s="20"/>
      <c r="BP529" s="10"/>
      <c r="BW529" s="10"/>
      <c r="CF529" s="10"/>
      <c r="CM529" s="10"/>
      <c r="CP529" s="18" t="str">
        <f ca="1"/>
        <v/>
      </c>
      <c r="CQ529" s="18" t="str">
        <f ca="1"/>
        <v/>
      </c>
      <c r="CR529" s="18" t="str">
        <f ca="1"/>
        <v/>
      </c>
      <c r="CS529" s="18" t="str">
        <f ca="1"/>
        <v/>
      </c>
      <c r="CT529" s="18" t="str">
        <f ca="1"/>
        <v/>
      </c>
      <c r="CV529" s="10"/>
      <c r="CY529" s="18" t="str">
        <f ca="1"/>
        <v/>
      </c>
      <c r="CZ529" s="18" t="str">
        <f ca="1"/>
        <v/>
      </c>
      <c r="DA529" s="18" t="str">
        <f ca="1"/>
        <v/>
      </c>
      <c r="DC529" s="10"/>
    </row>
    <row r="530" spans="1:107" x14ac:dyDescent="0.25">
      <c r="A530" s="46"/>
      <c r="B530" s="52"/>
      <c r="C530" s="52"/>
      <c r="D530" s="16"/>
      <c r="E530" s="52"/>
      <c r="F530" s="52"/>
      <c r="G530" s="50"/>
      <c r="H530" s="17" t="str">
        <f ca="1">IFERROR(__xludf.DUMMYFUNCTION("""COMPUTED_VALUE"""),"")</f>
        <v/>
      </c>
      <c r="I530" s="50" t="s">
        <v>29</v>
      </c>
      <c r="J530" s="50" t="s">
        <v>29</v>
      </c>
      <c r="K530" s="50" t="s">
        <v>29</v>
      </c>
      <c r="L530" s="50" t="s">
        <v>29</v>
      </c>
      <c r="M530" s="50" t="s">
        <v>29</v>
      </c>
      <c r="N530" s="49"/>
      <c r="P530" s="19"/>
      <c r="Q530" s="18" t="str">
        <f ca="1">IFERROR(__xludf.DUMMYFUNCTION("""COMPUTED_VALUE"""),"")</f>
        <v/>
      </c>
      <c r="R530" s="19"/>
      <c r="S530" s="20"/>
      <c r="BP530" s="10"/>
      <c r="BW530" s="10"/>
      <c r="CF530" s="10"/>
      <c r="CM530" s="10"/>
      <c r="CP530" s="18" t="str">
        <f ca="1"/>
        <v/>
      </c>
      <c r="CQ530" s="18" t="str">
        <f ca="1"/>
        <v/>
      </c>
      <c r="CR530" s="18" t="str">
        <f ca="1"/>
        <v/>
      </c>
      <c r="CS530" s="18" t="str">
        <f ca="1"/>
        <v/>
      </c>
      <c r="CT530" s="18" t="str">
        <f ca="1"/>
        <v/>
      </c>
      <c r="CV530" s="10"/>
      <c r="CY530" s="18" t="str">
        <f ca="1"/>
        <v/>
      </c>
      <c r="CZ530" s="18" t="str">
        <f ca="1"/>
        <v/>
      </c>
      <c r="DA530" s="18" t="str">
        <f ca="1"/>
        <v/>
      </c>
      <c r="DC530" s="10"/>
    </row>
    <row r="531" spans="1:107" x14ac:dyDescent="0.25">
      <c r="A531" s="46"/>
      <c r="B531" s="52"/>
      <c r="C531" s="52"/>
      <c r="D531" s="16"/>
      <c r="E531" s="52"/>
      <c r="F531" s="52"/>
      <c r="G531" s="50"/>
      <c r="H531" s="17" t="str">
        <f ca="1">IFERROR(__xludf.DUMMYFUNCTION("""COMPUTED_VALUE"""),"")</f>
        <v/>
      </c>
      <c r="I531" s="50" t="s">
        <v>29</v>
      </c>
      <c r="J531" s="50" t="s">
        <v>29</v>
      </c>
      <c r="K531" s="50" t="s">
        <v>29</v>
      </c>
      <c r="L531" s="50" t="s">
        <v>29</v>
      </c>
      <c r="M531" s="50" t="s">
        <v>29</v>
      </c>
      <c r="N531" s="49"/>
      <c r="P531" s="19"/>
      <c r="Q531" s="18" t="str">
        <f ca="1">IFERROR(__xludf.DUMMYFUNCTION("""COMPUTED_VALUE"""),"")</f>
        <v/>
      </c>
      <c r="R531" s="19"/>
      <c r="S531" s="20"/>
      <c r="BP531" s="10"/>
      <c r="BW531" s="10"/>
      <c r="CF531" s="10"/>
      <c r="CM531" s="10"/>
      <c r="CP531" s="18" t="str">
        <f ca="1"/>
        <v/>
      </c>
      <c r="CQ531" s="18" t="str">
        <f ca="1"/>
        <v/>
      </c>
      <c r="CR531" s="18" t="str">
        <f ca="1"/>
        <v/>
      </c>
      <c r="CS531" s="18" t="str">
        <f ca="1"/>
        <v/>
      </c>
      <c r="CT531" s="18" t="str">
        <f ca="1"/>
        <v/>
      </c>
      <c r="CV531" s="10"/>
      <c r="CY531" s="18" t="str">
        <f ca="1"/>
        <v/>
      </c>
      <c r="CZ531" s="18" t="str">
        <f ca="1"/>
        <v/>
      </c>
      <c r="DA531" s="18" t="str">
        <f ca="1"/>
        <v/>
      </c>
      <c r="DC531" s="10"/>
    </row>
    <row r="532" spans="1:107" x14ac:dyDescent="0.25">
      <c r="A532" s="46"/>
      <c r="B532" s="52"/>
      <c r="C532" s="52"/>
      <c r="D532" s="16"/>
      <c r="E532" s="52"/>
      <c r="F532" s="52"/>
      <c r="G532" s="50"/>
      <c r="H532" s="17" t="str">
        <f ca="1">IFERROR(__xludf.DUMMYFUNCTION("""COMPUTED_VALUE"""),"")</f>
        <v/>
      </c>
      <c r="I532" s="50" t="s">
        <v>29</v>
      </c>
      <c r="J532" s="50" t="s">
        <v>29</v>
      </c>
      <c r="K532" s="50" t="s">
        <v>29</v>
      </c>
      <c r="L532" s="50" t="s">
        <v>29</v>
      </c>
      <c r="M532" s="50" t="s">
        <v>29</v>
      </c>
      <c r="N532" s="49"/>
      <c r="P532" s="19"/>
      <c r="Q532" s="18" t="str">
        <f ca="1">IFERROR(__xludf.DUMMYFUNCTION("""COMPUTED_VALUE"""),"")</f>
        <v/>
      </c>
      <c r="R532" s="19"/>
      <c r="S532" s="20"/>
      <c r="BP532" s="10"/>
      <c r="BW532" s="10"/>
      <c r="CF532" s="10"/>
      <c r="CM532" s="10"/>
      <c r="CP532" s="18" t="str">
        <f ca="1"/>
        <v/>
      </c>
      <c r="CQ532" s="18" t="str">
        <f ca="1"/>
        <v/>
      </c>
      <c r="CR532" s="18" t="str">
        <f ca="1"/>
        <v/>
      </c>
      <c r="CS532" s="18" t="str">
        <f ca="1"/>
        <v/>
      </c>
      <c r="CT532" s="18" t="str">
        <f ca="1"/>
        <v/>
      </c>
      <c r="CV532" s="10"/>
      <c r="CY532" s="18" t="str">
        <f ca="1"/>
        <v/>
      </c>
      <c r="CZ532" s="18" t="str">
        <f ca="1"/>
        <v/>
      </c>
      <c r="DA532" s="18" t="str">
        <f ca="1"/>
        <v/>
      </c>
      <c r="DC532" s="10"/>
    </row>
    <row r="533" spans="1:107" x14ac:dyDescent="0.25">
      <c r="A533" s="46"/>
      <c r="B533" s="52"/>
      <c r="C533" s="52"/>
      <c r="D533" s="16"/>
      <c r="E533" s="52"/>
      <c r="F533" s="52"/>
      <c r="G533" s="50"/>
      <c r="H533" s="17" t="str">
        <f ca="1">IFERROR(__xludf.DUMMYFUNCTION("""COMPUTED_VALUE"""),"")</f>
        <v/>
      </c>
      <c r="I533" s="50" t="s">
        <v>29</v>
      </c>
      <c r="J533" s="50" t="s">
        <v>29</v>
      </c>
      <c r="K533" s="50" t="s">
        <v>29</v>
      </c>
      <c r="L533" s="50" t="s">
        <v>29</v>
      </c>
      <c r="M533" s="50" t="s">
        <v>29</v>
      </c>
      <c r="N533" s="49"/>
      <c r="P533" s="19"/>
      <c r="Q533" s="18" t="str">
        <f ca="1">IFERROR(__xludf.DUMMYFUNCTION("""COMPUTED_VALUE"""),"")</f>
        <v/>
      </c>
      <c r="R533" s="19"/>
      <c r="S533" s="20"/>
      <c r="BP533" s="10"/>
      <c r="BW533" s="10"/>
      <c r="CF533" s="10"/>
      <c r="CM533" s="10"/>
      <c r="CP533" s="18" t="str">
        <f ca="1"/>
        <v/>
      </c>
      <c r="CQ533" s="18" t="str">
        <f ca="1"/>
        <v/>
      </c>
      <c r="CR533" s="18" t="str">
        <f ca="1"/>
        <v/>
      </c>
      <c r="CS533" s="18" t="str">
        <f ca="1"/>
        <v/>
      </c>
      <c r="CT533" s="18" t="str">
        <f ca="1"/>
        <v/>
      </c>
      <c r="CV533" s="10"/>
      <c r="CY533" s="18" t="str">
        <f ca="1"/>
        <v/>
      </c>
      <c r="CZ533" s="18" t="str">
        <f ca="1"/>
        <v/>
      </c>
      <c r="DA533" s="18" t="str">
        <f ca="1"/>
        <v/>
      </c>
      <c r="DC533" s="10"/>
    </row>
    <row r="534" spans="1:107" x14ac:dyDescent="0.25">
      <c r="A534" s="46"/>
      <c r="B534" s="52"/>
      <c r="C534" s="52"/>
      <c r="D534" s="16"/>
      <c r="E534" s="52"/>
      <c r="F534" s="52"/>
      <c r="G534" s="50"/>
      <c r="H534" s="17" t="str">
        <f ca="1">IFERROR(__xludf.DUMMYFUNCTION("""COMPUTED_VALUE"""),"")</f>
        <v/>
      </c>
      <c r="I534" s="50" t="s">
        <v>29</v>
      </c>
      <c r="J534" s="50" t="s">
        <v>29</v>
      </c>
      <c r="K534" s="50" t="s">
        <v>29</v>
      </c>
      <c r="L534" s="50" t="s">
        <v>29</v>
      </c>
      <c r="M534" s="50" t="s">
        <v>29</v>
      </c>
      <c r="N534" s="49"/>
      <c r="P534" s="19"/>
      <c r="Q534" s="18" t="str">
        <f ca="1">IFERROR(__xludf.DUMMYFUNCTION("""COMPUTED_VALUE"""),"")</f>
        <v/>
      </c>
      <c r="R534" s="19"/>
      <c r="S534" s="20"/>
      <c r="BP534" s="10"/>
      <c r="BW534" s="10"/>
      <c r="CF534" s="10"/>
      <c r="CM534" s="10"/>
      <c r="CP534" s="18" t="str">
        <f ca="1"/>
        <v/>
      </c>
      <c r="CQ534" s="18" t="str">
        <f ca="1"/>
        <v/>
      </c>
      <c r="CR534" s="18" t="str">
        <f ca="1"/>
        <v/>
      </c>
      <c r="CS534" s="18" t="str">
        <f ca="1"/>
        <v/>
      </c>
      <c r="CT534" s="18" t="str">
        <f ca="1"/>
        <v/>
      </c>
      <c r="CV534" s="10"/>
      <c r="CY534" s="18" t="str">
        <f ca="1"/>
        <v/>
      </c>
      <c r="CZ534" s="18" t="str">
        <f ca="1"/>
        <v/>
      </c>
      <c r="DA534" s="18" t="str">
        <f ca="1"/>
        <v/>
      </c>
      <c r="DC534" s="10"/>
    </row>
    <row r="535" spans="1:107" x14ac:dyDescent="0.25">
      <c r="A535" s="46"/>
      <c r="B535" s="52"/>
      <c r="C535" s="52"/>
      <c r="D535" s="16"/>
      <c r="E535" s="52"/>
      <c r="F535" s="52"/>
      <c r="G535" s="50"/>
      <c r="H535" s="17" t="str">
        <f ca="1">IFERROR(__xludf.DUMMYFUNCTION("""COMPUTED_VALUE"""),"")</f>
        <v/>
      </c>
      <c r="I535" s="50" t="s">
        <v>29</v>
      </c>
      <c r="J535" s="50" t="s">
        <v>29</v>
      </c>
      <c r="K535" s="50" t="s">
        <v>29</v>
      </c>
      <c r="L535" s="50" t="s">
        <v>29</v>
      </c>
      <c r="M535" s="50" t="s">
        <v>29</v>
      </c>
      <c r="N535" s="49"/>
      <c r="P535" s="19"/>
      <c r="Q535" s="18" t="str">
        <f ca="1">IFERROR(__xludf.DUMMYFUNCTION("""COMPUTED_VALUE"""),"")</f>
        <v/>
      </c>
      <c r="R535" s="19"/>
      <c r="S535" s="20"/>
      <c r="BP535" s="10"/>
      <c r="BW535" s="10"/>
      <c r="CF535" s="10"/>
      <c r="CM535" s="10"/>
      <c r="CP535" s="18" t="str">
        <f ca="1"/>
        <v/>
      </c>
      <c r="CQ535" s="18" t="str">
        <f ca="1"/>
        <v/>
      </c>
      <c r="CR535" s="18" t="str">
        <f ca="1"/>
        <v/>
      </c>
      <c r="CS535" s="18" t="str">
        <f ca="1"/>
        <v/>
      </c>
      <c r="CT535" s="18" t="str">
        <f ca="1"/>
        <v/>
      </c>
      <c r="CV535" s="10"/>
      <c r="CY535" s="18" t="str">
        <f ca="1"/>
        <v/>
      </c>
      <c r="CZ535" s="18" t="str">
        <f ca="1"/>
        <v/>
      </c>
      <c r="DA535" s="18" t="str">
        <f ca="1"/>
        <v/>
      </c>
      <c r="DC535" s="10"/>
    </row>
    <row r="536" spans="1:107" x14ac:dyDescent="0.25">
      <c r="A536" s="46"/>
      <c r="B536" s="52"/>
      <c r="C536" s="52"/>
      <c r="D536" s="16"/>
      <c r="E536" s="52"/>
      <c r="F536" s="52"/>
      <c r="G536" s="50"/>
      <c r="H536" s="17" t="str">
        <f ca="1">IFERROR(__xludf.DUMMYFUNCTION("""COMPUTED_VALUE"""),"")</f>
        <v/>
      </c>
      <c r="I536" s="50" t="s">
        <v>29</v>
      </c>
      <c r="J536" s="50" t="s">
        <v>29</v>
      </c>
      <c r="K536" s="50" t="s">
        <v>29</v>
      </c>
      <c r="L536" s="50" t="s">
        <v>29</v>
      </c>
      <c r="M536" s="50" t="s">
        <v>29</v>
      </c>
      <c r="N536" s="49"/>
      <c r="P536" s="19"/>
      <c r="Q536" s="18" t="str">
        <f ca="1">IFERROR(__xludf.DUMMYFUNCTION("""COMPUTED_VALUE"""),"")</f>
        <v/>
      </c>
      <c r="R536" s="19"/>
      <c r="S536" s="20"/>
      <c r="BP536" s="10"/>
      <c r="BW536" s="10"/>
      <c r="CF536" s="10"/>
      <c r="CM536" s="10"/>
      <c r="CP536" s="18" t="str">
        <f ca="1"/>
        <v/>
      </c>
      <c r="CQ536" s="18" t="str">
        <f ca="1"/>
        <v/>
      </c>
      <c r="CR536" s="18" t="str">
        <f ca="1"/>
        <v/>
      </c>
      <c r="CS536" s="18" t="str">
        <f ca="1"/>
        <v/>
      </c>
      <c r="CT536" s="18" t="str">
        <f ca="1"/>
        <v/>
      </c>
      <c r="CV536" s="10"/>
      <c r="CY536" s="18" t="str">
        <f ca="1"/>
        <v/>
      </c>
      <c r="CZ536" s="18" t="str">
        <f ca="1"/>
        <v/>
      </c>
      <c r="DA536" s="18" t="str">
        <f ca="1"/>
        <v/>
      </c>
      <c r="DC536" s="10"/>
    </row>
    <row r="537" spans="1:107" x14ac:dyDescent="0.25">
      <c r="A537" s="46"/>
      <c r="B537" s="52"/>
      <c r="C537" s="52"/>
      <c r="D537" s="16"/>
      <c r="E537" s="52"/>
      <c r="F537" s="52"/>
      <c r="G537" s="50"/>
      <c r="H537" s="17" t="str">
        <f ca="1">IFERROR(__xludf.DUMMYFUNCTION("""COMPUTED_VALUE"""),"")</f>
        <v/>
      </c>
      <c r="I537" s="50" t="s">
        <v>29</v>
      </c>
      <c r="J537" s="50" t="s">
        <v>29</v>
      </c>
      <c r="K537" s="50" t="s">
        <v>29</v>
      </c>
      <c r="L537" s="50" t="s">
        <v>29</v>
      </c>
      <c r="M537" s="50" t="s">
        <v>29</v>
      </c>
      <c r="N537" s="49"/>
      <c r="P537" s="19"/>
      <c r="Q537" s="18" t="str">
        <f ca="1">IFERROR(__xludf.DUMMYFUNCTION("""COMPUTED_VALUE"""),"")</f>
        <v/>
      </c>
      <c r="R537" s="19"/>
      <c r="S537" s="20"/>
      <c r="BP537" s="10"/>
      <c r="BW537" s="10"/>
      <c r="CF537" s="10"/>
      <c r="CM537" s="10"/>
      <c r="CP537" s="18" t="str">
        <f ca="1"/>
        <v/>
      </c>
      <c r="CQ537" s="18" t="str">
        <f ca="1"/>
        <v/>
      </c>
      <c r="CR537" s="18" t="str">
        <f ca="1"/>
        <v/>
      </c>
      <c r="CS537" s="18" t="str">
        <f ca="1"/>
        <v/>
      </c>
      <c r="CT537" s="18" t="str">
        <f ca="1"/>
        <v/>
      </c>
      <c r="CV537" s="10"/>
      <c r="CY537" s="18" t="str">
        <f ca="1"/>
        <v/>
      </c>
      <c r="CZ537" s="18" t="str">
        <f ca="1"/>
        <v/>
      </c>
      <c r="DA537" s="18" t="str">
        <f ca="1"/>
        <v/>
      </c>
      <c r="DC537" s="10"/>
    </row>
    <row r="538" spans="1:107" x14ac:dyDescent="0.25">
      <c r="A538" s="46"/>
      <c r="B538" s="52"/>
      <c r="C538" s="52"/>
      <c r="D538" s="16"/>
      <c r="E538" s="52"/>
      <c r="F538" s="52"/>
      <c r="G538" s="50"/>
      <c r="H538" s="17" t="str">
        <f ca="1">IFERROR(__xludf.DUMMYFUNCTION("""COMPUTED_VALUE"""),"")</f>
        <v/>
      </c>
      <c r="I538" s="50" t="s">
        <v>29</v>
      </c>
      <c r="J538" s="50" t="s">
        <v>29</v>
      </c>
      <c r="K538" s="50" t="s">
        <v>29</v>
      </c>
      <c r="L538" s="50" t="s">
        <v>29</v>
      </c>
      <c r="M538" s="50" t="s">
        <v>29</v>
      </c>
      <c r="N538" s="49"/>
      <c r="P538" s="19"/>
      <c r="Q538" s="18" t="str">
        <f ca="1">IFERROR(__xludf.DUMMYFUNCTION("""COMPUTED_VALUE"""),"")</f>
        <v/>
      </c>
      <c r="R538" s="19"/>
      <c r="S538" s="20"/>
      <c r="BP538" s="10"/>
      <c r="BW538" s="10"/>
      <c r="CF538" s="10"/>
      <c r="CM538" s="10"/>
      <c r="CP538" s="18" t="str">
        <f ca="1"/>
        <v/>
      </c>
      <c r="CQ538" s="18" t="str">
        <f ca="1"/>
        <v/>
      </c>
      <c r="CR538" s="18" t="str">
        <f ca="1"/>
        <v/>
      </c>
      <c r="CS538" s="18" t="str">
        <f ca="1"/>
        <v/>
      </c>
      <c r="CT538" s="18" t="str">
        <f ca="1"/>
        <v/>
      </c>
      <c r="CV538" s="10"/>
      <c r="CY538" s="18" t="str">
        <f ca="1"/>
        <v/>
      </c>
      <c r="CZ538" s="18" t="str">
        <f ca="1"/>
        <v/>
      </c>
      <c r="DA538" s="18" t="str">
        <f ca="1"/>
        <v/>
      </c>
      <c r="DC538" s="10"/>
    </row>
    <row r="539" spans="1:107" x14ac:dyDescent="0.25">
      <c r="A539" s="46"/>
      <c r="B539" s="52"/>
      <c r="C539" s="52"/>
      <c r="D539" s="16"/>
      <c r="E539" s="52"/>
      <c r="F539" s="52"/>
      <c r="G539" s="50"/>
      <c r="H539" s="17" t="str">
        <f ca="1">IFERROR(__xludf.DUMMYFUNCTION("""COMPUTED_VALUE"""),"")</f>
        <v/>
      </c>
      <c r="I539" s="50" t="s">
        <v>29</v>
      </c>
      <c r="J539" s="50" t="s">
        <v>29</v>
      </c>
      <c r="K539" s="50" t="s">
        <v>29</v>
      </c>
      <c r="L539" s="50" t="s">
        <v>29</v>
      </c>
      <c r="M539" s="50" t="s">
        <v>29</v>
      </c>
      <c r="N539" s="49"/>
      <c r="P539" s="19"/>
      <c r="Q539" s="18" t="str">
        <f ca="1">IFERROR(__xludf.DUMMYFUNCTION("""COMPUTED_VALUE"""),"")</f>
        <v/>
      </c>
      <c r="R539" s="19"/>
      <c r="S539" s="20"/>
      <c r="BP539" s="10"/>
      <c r="BW539" s="10"/>
      <c r="CF539" s="10"/>
      <c r="CM539" s="10"/>
      <c r="CP539" s="18" t="str">
        <f ca="1"/>
        <v/>
      </c>
      <c r="CQ539" s="18" t="str">
        <f ca="1"/>
        <v/>
      </c>
      <c r="CR539" s="18" t="str">
        <f ca="1"/>
        <v/>
      </c>
      <c r="CS539" s="18" t="str">
        <f ca="1"/>
        <v/>
      </c>
      <c r="CT539" s="18" t="str">
        <f ca="1"/>
        <v/>
      </c>
      <c r="CV539" s="10"/>
      <c r="CY539" s="18" t="str">
        <f ca="1"/>
        <v/>
      </c>
      <c r="CZ539" s="18" t="str">
        <f ca="1"/>
        <v/>
      </c>
      <c r="DA539" s="18" t="str">
        <f ca="1"/>
        <v/>
      </c>
      <c r="DC539" s="10"/>
    </row>
    <row r="540" spans="1:107" x14ac:dyDescent="0.25">
      <c r="A540" s="46"/>
      <c r="B540" s="52"/>
      <c r="C540" s="52"/>
      <c r="D540" s="16"/>
      <c r="E540" s="52"/>
      <c r="F540" s="52"/>
      <c r="G540" s="50"/>
      <c r="H540" s="17" t="str">
        <f ca="1">IFERROR(__xludf.DUMMYFUNCTION("""COMPUTED_VALUE"""),"")</f>
        <v/>
      </c>
      <c r="I540" s="50" t="s">
        <v>29</v>
      </c>
      <c r="J540" s="50" t="s">
        <v>29</v>
      </c>
      <c r="K540" s="50" t="s">
        <v>29</v>
      </c>
      <c r="L540" s="50" t="s">
        <v>29</v>
      </c>
      <c r="M540" s="50" t="s">
        <v>29</v>
      </c>
      <c r="N540" s="49"/>
      <c r="P540" s="19"/>
      <c r="Q540" s="18" t="str">
        <f ca="1">IFERROR(__xludf.DUMMYFUNCTION("""COMPUTED_VALUE"""),"")</f>
        <v/>
      </c>
      <c r="R540" s="19"/>
      <c r="S540" s="20"/>
      <c r="BP540" s="10"/>
      <c r="BW540" s="10"/>
      <c r="CF540" s="10"/>
      <c r="CM540" s="10"/>
      <c r="CP540" s="18" t="str">
        <f ca="1"/>
        <v/>
      </c>
      <c r="CQ540" s="18" t="str">
        <f ca="1"/>
        <v/>
      </c>
      <c r="CR540" s="18" t="str">
        <f ca="1"/>
        <v/>
      </c>
      <c r="CS540" s="18" t="str">
        <f ca="1"/>
        <v/>
      </c>
      <c r="CT540" s="18" t="str">
        <f ca="1"/>
        <v/>
      </c>
      <c r="CV540" s="10"/>
      <c r="CY540" s="18" t="str">
        <f ca="1"/>
        <v/>
      </c>
      <c r="CZ540" s="18" t="str">
        <f ca="1"/>
        <v/>
      </c>
      <c r="DA540" s="18" t="str">
        <f ca="1"/>
        <v/>
      </c>
      <c r="DC540" s="10"/>
    </row>
    <row r="541" spans="1:107" x14ac:dyDescent="0.25">
      <c r="A541" s="46"/>
      <c r="B541" s="52"/>
      <c r="C541" s="52"/>
      <c r="D541" s="16"/>
      <c r="E541" s="52"/>
      <c r="F541" s="52"/>
      <c r="G541" s="50"/>
      <c r="H541" s="17" t="str">
        <f ca="1">IFERROR(__xludf.DUMMYFUNCTION("""COMPUTED_VALUE"""),"")</f>
        <v/>
      </c>
      <c r="I541" s="50" t="s">
        <v>29</v>
      </c>
      <c r="J541" s="50" t="s">
        <v>29</v>
      </c>
      <c r="K541" s="50" t="s">
        <v>29</v>
      </c>
      <c r="L541" s="50" t="s">
        <v>29</v>
      </c>
      <c r="M541" s="50" t="s">
        <v>29</v>
      </c>
      <c r="N541" s="49"/>
      <c r="P541" s="19"/>
      <c r="Q541" s="18" t="str">
        <f ca="1">IFERROR(__xludf.DUMMYFUNCTION("""COMPUTED_VALUE"""),"")</f>
        <v/>
      </c>
      <c r="R541" s="19"/>
      <c r="S541" s="20"/>
      <c r="BP541" s="10"/>
      <c r="BW541" s="10"/>
      <c r="CF541" s="10"/>
      <c r="CM541" s="10"/>
      <c r="CP541" s="18" t="str">
        <f ca="1"/>
        <v/>
      </c>
      <c r="CQ541" s="18" t="str">
        <f ca="1"/>
        <v/>
      </c>
      <c r="CR541" s="18" t="str">
        <f ca="1"/>
        <v/>
      </c>
      <c r="CS541" s="18" t="str">
        <f ca="1"/>
        <v/>
      </c>
      <c r="CT541" s="18" t="str">
        <f ca="1"/>
        <v/>
      </c>
      <c r="CV541" s="10"/>
      <c r="CY541" s="18" t="str">
        <f ca="1"/>
        <v/>
      </c>
      <c r="CZ541" s="18" t="str">
        <f ca="1"/>
        <v/>
      </c>
      <c r="DA541" s="18" t="str">
        <f ca="1"/>
        <v/>
      </c>
      <c r="DC541" s="10"/>
    </row>
    <row r="542" spans="1:107" x14ac:dyDescent="0.25">
      <c r="A542" s="46"/>
      <c r="B542" s="52"/>
      <c r="C542" s="52"/>
      <c r="D542" s="16"/>
      <c r="E542" s="52"/>
      <c r="F542" s="52"/>
      <c r="G542" s="50"/>
      <c r="H542" s="17" t="str">
        <f ca="1">IFERROR(__xludf.DUMMYFUNCTION("""COMPUTED_VALUE"""),"")</f>
        <v/>
      </c>
      <c r="I542" s="50" t="s">
        <v>29</v>
      </c>
      <c r="J542" s="50" t="s">
        <v>29</v>
      </c>
      <c r="K542" s="50" t="s">
        <v>29</v>
      </c>
      <c r="L542" s="50" t="s">
        <v>29</v>
      </c>
      <c r="M542" s="50" t="s">
        <v>29</v>
      </c>
      <c r="N542" s="49"/>
      <c r="P542" s="19"/>
      <c r="Q542" s="18" t="str">
        <f ca="1">IFERROR(__xludf.DUMMYFUNCTION("""COMPUTED_VALUE"""),"")</f>
        <v/>
      </c>
      <c r="R542" s="19"/>
      <c r="S542" s="20"/>
      <c r="BP542" s="10"/>
      <c r="BW542" s="10"/>
      <c r="CF542" s="10"/>
      <c r="CM542" s="10"/>
      <c r="CP542" s="18" t="str">
        <f ca="1"/>
        <v/>
      </c>
      <c r="CQ542" s="18" t="str">
        <f ca="1"/>
        <v/>
      </c>
      <c r="CR542" s="18" t="str">
        <f ca="1"/>
        <v/>
      </c>
      <c r="CS542" s="18" t="str">
        <f ca="1"/>
        <v/>
      </c>
      <c r="CT542" s="18" t="str">
        <f ca="1"/>
        <v/>
      </c>
      <c r="CV542" s="10"/>
      <c r="CY542" s="18" t="str">
        <f ca="1"/>
        <v/>
      </c>
      <c r="CZ542" s="18" t="str">
        <f ca="1"/>
        <v/>
      </c>
      <c r="DA542" s="18" t="str">
        <f ca="1"/>
        <v/>
      </c>
      <c r="DC542" s="10"/>
    </row>
    <row r="543" spans="1:107" x14ac:dyDescent="0.25">
      <c r="A543" s="46"/>
      <c r="B543" s="52"/>
      <c r="C543" s="52"/>
      <c r="D543" s="16"/>
      <c r="E543" s="52"/>
      <c r="F543" s="52"/>
      <c r="G543" s="50"/>
      <c r="H543" s="17" t="str">
        <f ca="1">IFERROR(__xludf.DUMMYFUNCTION("""COMPUTED_VALUE"""),"")</f>
        <v/>
      </c>
      <c r="I543" s="50" t="s">
        <v>29</v>
      </c>
      <c r="J543" s="50" t="s">
        <v>29</v>
      </c>
      <c r="K543" s="50" t="s">
        <v>29</v>
      </c>
      <c r="L543" s="50" t="s">
        <v>29</v>
      </c>
      <c r="M543" s="50" t="s">
        <v>29</v>
      </c>
      <c r="N543" s="49"/>
      <c r="P543" s="19"/>
      <c r="Q543" s="18" t="str">
        <f ca="1">IFERROR(__xludf.DUMMYFUNCTION("""COMPUTED_VALUE"""),"")</f>
        <v/>
      </c>
      <c r="R543" s="19"/>
      <c r="S543" s="20"/>
      <c r="BP543" s="10"/>
      <c r="BW543" s="10"/>
      <c r="CF543" s="10"/>
      <c r="CM543" s="10"/>
      <c r="CP543" s="18" t="str">
        <f ca="1"/>
        <v/>
      </c>
      <c r="CQ543" s="18" t="str">
        <f ca="1"/>
        <v/>
      </c>
      <c r="CR543" s="18" t="str">
        <f ca="1"/>
        <v/>
      </c>
      <c r="CS543" s="18" t="str">
        <f ca="1"/>
        <v/>
      </c>
      <c r="CT543" s="18" t="str">
        <f ca="1"/>
        <v/>
      </c>
      <c r="CV543" s="10"/>
      <c r="CY543" s="18" t="str">
        <f ca="1"/>
        <v/>
      </c>
      <c r="CZ543" s="18" t="str">
        <f ca="1"/>
        <v/>
      </c>
      <c r="DA543" s="18" t="str">
        <f ca="1"/>
        <v/>
      </c>
      <c r="DC543" s="10"/>
    </row>
    <row r="544" spans="1:107" x14ac:dyDescent="0.25">
      <c r="A544" s="46"/>
      <c r="B544" s="52"/>
      <c r="C544" s="52"/>
      <c r="D544" s="16"/>
      <c r="E544" s="52"/>
      <c r="F544" s="52"/>
      <c r="G544" s="50"/>
      <c r="H544" s="17" t="str">
        <f ca="1">IFERROR(__xludf.DUMMYFUNCTION("""COMPUTED_VALUE"""),"")</f>
        <v/>
      </c>
      <c r="I544" s="50" t="s">
        <v>29</v>
      </c>
      <c r="J544" s="50" t="s">
        <v>29</v>
      </c>
      <c r="K544" s="50" t="s">
        <v>29</v>
      </c>
      <c r="L544" s="50" t="s">
        <v>29</v>
      </c>
      <c r="M544" s="50" t="s">
        <v>29</v>
      </c>
      <c r="N544" s="49"/>
      <c r="P544" s="19"/>
      <c r="Q544" s="18" t="str">
        <f ca="1">IFERROR(__xludf.DUMMYFUNCTION("""COMPUTED_VALUE"""),"")</f>
        <v/>
      </c>
      <c r="R544" s="19"/>
      <c r="S544" s="20"/>
      <c r="BP544" s="10"/>
      <c r="BW544" s="10"/>
      <c r="CF544" s="10"/>
      <c r="CM544" s="10"/>
      <c r="CP544" s="18" t="str">
        <f ca="1"/>
        <v/>
      </c>
      <c r="CQ544" s="18" t="str">
        <f ca="1"/>
        <v/>
      </c>
      <c r="CR544" s="18" t="str">
        <f ca="1"/>
        <v/>
      </c>
      <c r="CS544" s="18" t="str">
        <f ca="1"/>
        <v/>
      </c>
      <c r="CT544" s="18" t="str">
        <f ca="1"/>
        <v/>
      </c>
      <c r="CV544" s="10"/>
      <c r="CY544" s="18" t="str">
        <f ca="1"/>
        <v/>
      </c>
      <c r="CZ544" s="18" t="str">
        <f ca="1"/>
        <v/>
      </c>
      <c r="DA544" s="18" t="str">
        <f ca="1"/>
        <v/>
      </c>
      <c r="DC544" s="10"/>
    </row>
    <row r="545" spans="1:107" x14ac:dyDescent="0.25">
      <c r="A545" s="46"/>
      <c r="B545" s="52"/>
      <c r="C545" s="52"/>
      <c r="D545" s="16"/>
      <c r="E545" s="52"/>
      <c r="F545" s="52"/>
      <c r="G545" s="50"/>
      <c r="H545" s="17" t="str">
        <f ca="1">IFERROR(__xludf.DUMMYFUNCTION("""COMPUTED_VALUE"""),"")</f>
        <v/>
      </c>
      <c r="I545" s="50" t="s">
        <v>29</v>
      </c>
      <c r="J545" s="50" t="s">
        <v>29</v>
      </c>
      <c r="K545" s="50" t="s">
        <v>29</v>
      </c>
      <c r="L545" s="50" t="s">
        <v>29</v>
      </c>
      <c r="M545" s="50" t="s">
        <v>29</v>
      </c>
      <c r="N545" s="49"/>
      <c r="P545" s="19"/>
      <c r="Q545" s="18" t="str">
        <f ca="1">IFERROR(__xludf.DUMMYFUNCTION("""COMPUTED_VALUE"""),"")</f>
        <v/>
      </c>
      <c r="R545" s="19"/>
      <c r="S545" s="20"/>
      <c r="BP545" s="10"/>
      <c r="BW545" s="10"/>
      <c r="CF545" s="10"/>
      <c r="CM545" s="10"/>
      <c r="CP545" s="18" t="str">
        <f ca="1"/>
        <v/>
      </c>
      <c r="CQ545" s="18" t="str">
        <f ca="1"/>
        <v/>
      </c>
      <c r="CR545" s="18" t="str">
        <f ca="1"/>
        <v/>
      </c>
      <c r="CS545" s="18" t="str">
        <f ca="1"/>
        <v/>
      </c>
      <c r="CT545" s="18" t="str">
        <f ca="1"/>
        <v/>
      </c>
      <c r="CV545" s="10"/>
      <c r="CY545" s="18" t="str">
        <f ca="1"/>
        <v/>
      </c>
      <c r="CZ545" s="18" t="str">
        <f ca="1"/>
        <v/>
      </c>
      <c r="DA545" s="18" t="str">
        <f ca="1"/>
        <v/>
      </c>
      <c r="DC545" s="10"/>
    </row>
    <row r="546" spans="1:107" x14ac:dyDescent="0.25">
      <c r="A546" s="46"/>
      <c r="B546" s="52"/>
      <c r="C546" s="52"/>
      <c r="D546" s="16"/>
      <c r="E546" s="52"/>
      <c r="F546" s="52"/>
      <c r="G546" s="50"/>
      <c r="H546" s="17" t="str">
        <f ca="1">IFERROR(__xludf.DUMMYFUNCTION("""COMPUTED_VALUE"""),"")</f>
        <v/>
      </c>
      <c r="I546" s="50" t="s">
        <v>29</v>
      </c>
      <c r="J546" s="50" t="s">
        <v>29</v>
      </c>
      <c r="K546" s="50" t="s">
        <v>29</v>
      </c>
      <c r="L546" s="50" t="s">
        <v>29</v>
      </c>
      <c r="M546" s="50" t="s">
        <v>29</v>
      </c>
      <c r="N546" s="49"/>
      <c r="P546" s="19"/>
      <c r="Q546" s="18" t="str">
        <f ca="1">IFERROR(__xludf.DUMMYFUNCTION("""COMPUTED_VALUE"""),"")</f>
        <v/>
      </c>
      <c r="R546" s="19"/>
      <c r="S546" s="20"/>
      <c r="BP546" s="10"/>
      <c r="BW546" s="10"/>
      <c r="CF546" s="10"/>
      <c r="CM546" s="10"/>
      <c r="CP546" s="18" t="str">
        <f ca="1"/>
        <v/>
      </c>
      <c r="CQ546" s="18" t="str">
        <f ca="1"/>
        <v/>
      </c>
      <c r="CR546" s="18" t="str">
        <f ca="1"/>
        <v/>
      </c>
      <c r="CS546" s="18" t="str">
        <f ca="1"/>
        <v/>
      </c>
      <c r="CT546" s="18" t="str">
        <f ca="1"/>
        <v/>
      </c>
      <c r="CV546" s="10"/>
      <c r="CY546" s="18" t="str">
        <f ca="1"/>
        <v/>
      </c>
      <c r="CZ546" s="18" t="str">
        <f ca="1"/>
        <v/>
      </c>
      <c r="DA546" s="18" t="str">
        <f ca="1"/>
        <v/>
      </c>
      <c r="DC546" s="10"/>
    </row>
    <row r="547" spans="1:107" x14ac:dyDescent="0.25">
      <c r="A547" s="46"/>
      <c r="B547" s="52"/>
      <c r="C547" s="52"/>
      <c r="D547" s="16"/>
      <c r="E547" s="52"/>
      <c r="F547" s="52"/>
      <c r="G547" s="50"/>
      <c r="H547" s="17" t="str">
        <f ca="1">IFERROR(__xludf.DUMMYFUNCTION("""COMPUTED_VALUE"""),"")</f>
        <v/>
      </c>
      <c r="I547" s="50" t="s">
        <v>29</v>
      </c>
      <c r="J547" s="50" t="s">
        <v>29</v>
      </c>
      <c r="K547" s="50" t="s">
        <v>29</v>
      </c>
      <c r="L547" s="50" t="s">
        <v>29</v>
      </c>
      <c r="M547" s="50" t="s">
        <v>29</v>
      </c>
      <c r="N547" s="49"/>
      <c r="P547" s="19"/>
      <c r="Q547" s="18" t="str">
        <f ca="1">IFERROR(__xludf.DUMMYFUNCTION("""COMPUTED_VALUE"""),"")</f>
        <v/>
      </c>
      <c r="R547" s="19"/>
      <c r="S547" s="20"/>
      <c r="BP547" s="10"/>
      <c r="BW547" s="10"/>
      <c r="CF547" s="10"/>
      <c r="CM547" s="10"/>
      <c r="CP547" s="18" t="str">
        <f ca="1"/>
        <v/>
      </c>
      <c r="CQ547" s="18" t="str">
        <f ca="1"/>
        <v/>
      </c>
      <c r="CR547" s="18" t="str">
        <f ca="1"/>
        <v/>
      </c>
      <c r="CS547" s="18" t="str">
        <f ca="1"/>
        <v/>
      </c>
      <c r="CT547" s="18" t="str">
        <f ca="1"/>
        <v/>
      </c>
      <c r="CV547" s="10"/>
      <c r="CY547" s="18" t="str">
        <f ca="1"/>
        <v/>
      </c>
      <c r="CZ547" s="18" t="str">
        <f ca="1"/>
        <v/>
      </c>
      <c r="DA547" s="18" t="str">
        <f ca="1"/>
        <v/>
      </c>
      <c r="DC547" s="10"/>
    </row>
    <row r="548" spans="1:107" x14ac:dyDescent="0.25">
      <c r="A548" s="46"/>
      <c r="B548" s="52"/>
      <c r="C548" s="52"/>
      <c r="D548" s="16"/>
      <c r="E548" s="52"/>
      <c r="F548" s="52"/>
      <c r="G548" s="50"/>
      <c r="H548" s="17" t="str">
        <f ca="1">IFERROR(__xludf.DUMMYFUNCTION("""COMPUTED_VALUE"""),"")</f>
        <v/>
      </c>
      <c r="I548" s="50" t="s">
        <v>29</v>
      </c>
      <c r="J548" s="50" t="s">
        <v>29</v>
      </c>
      <c r="K548" s="50" t="s">
        <v>29</v>
      </c>
      <c r="L548" s="50" t="s">
        <v>29</v>
      </c>
      <c r="M548" s="50" t="s">
        <v>29</v>
      </c>
      <c r="N548" s="49"/>
      <c r="P548" s="19"/>
      <c r="Q548" s="18" t="str">
        <f ca="1">IFERROR(__xludf.DUMMYFUNCTION("""COMPUTED_VALUE"""),"")</f>
        <v/>
      </c>
      <c r="R548" s="19"/>
      <c r="S548" s="20"/>
      <c r="BP548" s="10"/>
      <c r="BW548" s="10"/>
      <c r="CF548" s="10"/>
      <c r="CM548" s="10"/>
      <c r="CP548" s="18" t="str">
        <f ca="1"/>
        <v/>
      </c>
      <c r="CQ548" s="18" t="str">
        <f ca="1"/>
        <v/>
      </c>
      <c r="CR548" s="18" t="str">
        <f ca="1"/>
        <v/>
      </c>
      <c r="CS548" s="18" t="str">
        <f ca="1"/>
        <v/>
      </c>
      <c r="CT548" s="18" t="str">
        <f ca="1"/>
        <v/>
      </c>
      <c r="CV548" s="10"/>
      <c r="CY548" s="18" t="str">
        <f ca="1"/>
        <v/>
      </c>
      <c r="CZ548" s="18" t="str">
        <f ca="1"/>
        <v/>
      </c>
      <c r="DA548" s="18" t="str">
        <f ca="1"/>
        <v/>
      </c>
      <c r="DC548" s="10"/>
    </row>
    <row r="549" spans="1:107" x14ac:dyDescent="0.25">
      <c r="A549" s="46"/>
      <c r="B549" s="52"/>
      <c r="C549" s="52"/>
      <c r="D549" s="16"/>
      <c r="E549" s="52"/>
      <c r="F549" s="52"/>
      <c r="G549" s="50"/>
      <c r="H549" s="17" t="str">
        <f ca="1">IFERROR(__xludf.DUMMYFUNCTION("""COMPUTED_VALUE"""),"")</f>
        <v/>
      </c>
      <c r="I549" s="50" t="s">
        <v>29</v>
      </c>
      <c r="J549" s="50" t="s">
        <v>29</v>
      </c>
      <c r="K549" s="50" t="s">
        <v>29</v>
      </c>
      <c r="L549" s="50" t="s">
        <v>29</v>
      </c>
      <c r="M549" s="50" t="s">
        <v>29</v>
      </c>
      <c r="N549" s="49"/>
      <c r="P549" s="19"/>
      <c r="Q549" s="18" t="str">
        <f ca="1">IFERROR(__xludf.DUMMYFUNCTION("""COMPUTED_VALUE"""),"")</f>
        <v/>
      </c>
      <c r="R549" s="19"/>
      <c r="S549" s="20"/>
      <c r="BP549" s="10"/>
      <c r="BW549" s="10"/>
      <c r="CF549" s="10"/>
      <c r="CM549" s="10"/>
      <c r="CP549" s="18" t="str">
        <f ca="1"/>
        <v/>
      </c>
      <c r="CQ549" s="18" t="str">
        <f ca="1"/>
        <v/>
      </c>
      <c r="CR549" s="18" t="str">
        <f ca="1"/>
        <v/>
      </c>
      <c r="CS549" s="18" t="str">
        <f ca="1"/>
        <v/>
      </c>
      <c r="CT549" s="18" t="str">
        <f ca="1"/>
        <v/>
      </c>
      <c r="CV549" s="10"/>
      <c r="CY549" s="18" t="str">
        <f ca="1"/>
        <v/>
      </c>
      <c r="CZ549" s="18" t="str">
        <f ca="1"/>
        <v/>
      </c>
      <c r="DA549" s="18" t="str">
        <f ca="1"/>
        <v/>
      </c>
      <c r="DC549" s="10"/>
    </row>
    <row r="550" spans="1:107" x14ac:dyDescent="0.25">
      <c r="A550" s="46"/>
      <c r="B550" s="52"/>
      <c r="C550" s="52"/>
      <c r="D550" s="16"/>
      <c r="E550" s="52"/>
      <c r="F550" s="52"/>
      <c r="G550" s="50"/>
      <c r="H550" s="17" t="str">
        <f ca="1">IFERROR(__xludf.DUMMYFUNCTION("""COMPUTED_VALUE"""),"")</f>
        <v/>
      </c>
      <c r="I550" s="50" t="s">
        <v>29</v>
      </c>
      <c r="J550" s="50" t="s">
        <v>29</v>
      </c>
      <c r="K550" s="50" t="s">
        <v>29</v>
      </c>
      <c r="L550" s="50" t="s">
        <v>29</v>
      </c>
      <c r="M550" s="50" t="s">
        <v>29</v>
      </c>
      <c r="N550" s="49"/>
      <c r="P550" s="19"/>
      <c r="Q550" s="18" t="str">
        <f ca="1">IFERROR(__xludf.DUMMYFUNCTION("""COMPUTED_VALUE"""),"")</f>
        <v/>
      </c>
      <c r="R550" s="19"/>
      <c r="S550" s="20"/>
      <c r="BP550" s="10"/>
      <c r="BW550" s="10"/>
      <c r="CF550" s="10"/>
      <c r="CM550" s="10"/>
      <c r="CP550" s="18" t="str">
        <f ca="1"/>
        <v/>
      </c>
      <c r="CQ550" s="18" t="str">
        <f ca="1"/>
        <v/>
      </c>
      <c r="CR550" s="18" t="str">
        <f ca="1"/>
        <v/>
      </c>
      <c r="CS550" s="18" t="str">
        <f ca="1"/>
        <v/>
      </c>
      <c r="CT550" s="18" t="str">
        <f ca="1"/>
        <v/>
      </c>
      <c r="CV550" s="10"/>
      <c r="CY550" s="18" t="str">
        <f ca="1"/>
        <v/>
      </c>
      <c r="CZ550" s="18" t="str">
        <f ca="1"/>
        <v/>
      </c>
      <c r="DA550" s="18" t="str">
        <f ca="1"/>
        <v/>
      </c>
      <c r="DC550" s="10"/>
    </row>
    <row r="551" spans="1:107" x14ac:dyDescent="0.25">
      <c r="A551" s="46"/>
      <c r="B551" s="52"/>
      <c r="C551" s="52"/>
      <c r="D551" s="16"/>
      <c r="E551" s="52"/>
      <c r="F551" s="52"/>
      <c r="G551" s="50"/>
      <c r="H551" s="17" t="str">
        <f ca="1">IFERROR(__xludf.DUMMYFUNCTION("""COMPUTED_VALUE"""),"")</f>
        <v/>
      </c>
      <c r="I551" s="50" t="s">
        <v>29</v>
      </c>
      <c r="J551" s="50" t="s">
        <v>29</v>
      </c>
      <c r="K551" s="50" t="s">
        <v>29</v>
      </c>
      <c r="L551" s="50" t="s">
        <v>29</v>
      </c>
      <c r="M551" s="50" t="s">
        <v>29</v>
      </c>
      <c r="N551" s="49"/>
      <c r="P551" s="19"/>
      <c r="Q551" s="18" t="str">
        <f ca="1">IFERROR(__xludf.DUMMYFUNCTION("""COMPUTED_VALUE"""),"")</f>
        <v/>
      </c>
      <c r="R551" s="19"/>
      <c r="S551" s="20"/>
      <c r="BP551" s="10"/>
      <c r="BW551" s="10"/>
      <c r="CF551" s="10"/>
      <c r="CM551" s="10"/>
      <c r="CP551" s="18" t="str">
        <f ca="1"/>
        <v/>
      </c>
      <c r="CQ551" s="18" t="str">
        <f ca="1"/>
        <v/>
      </c>
      <c r="CR551" s="18" t="str">
        <f ca="1"/>
        <v/>
      </c>
      <c r="CS551" s="18" t="str">
        <f ca="1"/>
        <v/>
      </c>
      <c r="CT551" s="18" t="str">
        <f ca="1"/>
        <v/>
      </c>
      <c r="CV551" s="10"/>
      <c r="CY551" s="18" t="str">
        <f ca="1"/>
        <v/>
      </c>
      <c r="CZ551" s="18" t="str">
        <f ca="1"/>
        <v/>
      </c>
      <c r="DA551" s="18" t="str">
        <f ca="1"/>
        <v/>
      </c>
      <c r="DC551" s="10"/>
    </row>
    <row r="552" spans="1:107" x14ac:dyDescent="0.25">
      <c r="A552" s="46"/>
      <c r="B552" s="52"/>
      <c r="C552" s="52"/>
      <c r="D552" s="16"/>
      <c r="E552" s="52"/>
      <c r="F552" s="52"/>
      <c r="G552" s="50"/>
      <c r="H552" s="17" t="str">
        <f ca="1">IFERROR(__xludf.DUMMYFUNCTION("""COMPUTED_VALUE"""),"")</f>
        <v/>
      </c>
      <c r="I552" s="50" t="s">
        <v>29</v>
      </c>
      <c r="J552" s="50" t="s">
        <v>29</v>
      </c>
      <c r="K552" s="50" t="s">
        <v>29</v>
      </c>
      <c r="L552" s="50" t="s">
        <v>29</v>
      </c>
      <c r="M552" s="50" t="s">
        <v>29</v>
      </c>
      <c r="N552" s="49"/>
      <c r="P552" s="19"/>
      <c r="Q552" s="18" t="str">
        <f ca="1">IFERROR(__xludf.DUMMYFUNCTION("""COMPUTED_VALUE"""),"")</f>
        <v/>
      </c>
      <c r="R552" s="19"/>
      <c r="S552" s="20"/>
      <c r="BP552" s="10"/>
      <c r="BW552" s="10"/>
      <c r="CF552" s="10"/>
      <c r="CM552" s="10"/>
      <c r="CP552" s="18" t="str">
        <f ca="1"/>
        <v/>
      </c>
      <c r="CQ552" s="18" t="str">
        <f ca="1"/>
        <v/>
      </c>
      <c r="CR552" s="18" t="str">
        <f ca="1"/>
        <v/>
      </c>
      <c r="CS552" s="18" t="str">
        <f ca="1"/>
        <v/>
      </c>
      <c r="CT552" s="18" t="str">
        <f ca="1"/>
        <v/>
      </c>
      <c r="CV552" s="10"/>
      <c r="CY552" s="18" t="str">
        <f ca="1"/>
        <v/>
      </c>
      <c r="CZ552" s="18" t="str">
        <f ca="1"/>
        <v/>
      </c>
      <c r="DA552" s="18" t="str">
        <f ca="1"/>
        <v/>
      </c>
      <c r="DC552" s="10"/>
    </row>
    <row r="553" spans="1:107" x14ac:dyDescent="0.25">
      <c r="A553" s="46"/>
      <c r="B553" s="52"/>
      <c r="C553" s="52"/>
      <c r="D553" s="16"/>
      <c r="E553" s="52"/>
      <c r="F553" s="52"/>
      <c r="G553" s="50"/>
      <c r="H553" s="17" t="str">
        <f ca="1">IFERROR(__xludf.DUMMYFUNCTION("""COMPUTED_VALUE"""),"")</f>
        <v/>
      </c>
      <c r="I553" s="50" t="s">
        <v>29</v>
      </c>
      <c r="J553" s="50" t="s">
        <v>29</v>
      </c>
      <c r="K553" s="50" t="s">
        <v>29</v>
      </c>
      <c r="L553" s="50" t="s">
        <v>29</v>
      </c>
      <c r="M553" s="50" t="s">
        <v>29</v>
      </c>
      <c r="N553" s="49"/>
      <c r="P553" s="19"/>
      <c r="Q553" s="18" t="str">
        <f ca="1">IFERROR(__xludf.DUMMYFUNCTION("""COMPUTED_VALUE"""),"")</f>
        <v/>
      </c>
      <c r="R553" s="19"/>
      <c r="S553" s="20"/>
      <c r="BP553" s="10"/>
      <c r="BW553" s="10"/>
      <c r="CF553" s="10"/>
      <c r="CM553" s="10"/>
      <c r="CP553" s="18" t="str">
        <f ca="1"/>
        <v/>
      </c>
      <c r="CQ553" s="18" t="str">
        <f ca="1"/>
        <v/>
      </c>
      <c r="CR553" s="18" t="str">
        <f ca="1"/>
        <v/>
      </c>
      <c r="CS553" s="18" t="str">
        <f ca="1"/>
        <v/>
      </c>
      <c r="CT553" s="18" t="str">
        <f ca="1"/>
        <v/>
      </c>
      <c r="CV553" s="10"/>
      <c r="CY553" s="18" t="str">
        <f ca="1"/>
        <v/>
      </c>
      <c r="CZ553" s="18" t="str">
        <f ca="1"/>
        <v/>
      </c>
      <c r="DA553" s="18" t="str">
        <f ca="1"/>
        <v/>
      </c>
      <c r="DC553" s="10"/>
    </row>
    <row r="554" spans="1:107" x14ac:dyDescent="0.25">
      <c r="A554" s="46"/>
      <c r="B554" s="52"/>
      <c r="C554" s="52"/>
      <c r="D554" s="16"/>
      <c r="E554" s="52"/>
      <c r="F554" s="52"/>
      <c r="G554" s="50"/>
      <c r="H554" s="17" t="str">
        <f ca="1">IFERROR(__xludf.DUMMYFUNCTION("""COMPUTED_VALUE"""),"")</f>
        <v/>
      </c>
      <c r="I554" s="50" t="s">
        <v>29</v>
      </c>
      <c r="J554" s="50" t="s">
        <v>29</v>
      </c>
      <c r="K554" s="50" t="s">
        <v>29</v>
      </c>
      <c r="L554" s="50" t="s">
        <v>29</v>
      </c>
      <c r="M554" s="50" t="s">
        <v>29</v>
      </c>
      <c r="N554" s="49"/>
      <c r="P554" s="19"/>
      <c r="Q554" s="18" t="str">
        <f ca="1">IFERROR(__xludf.DUMMYFUNCTION("""COMPUTED_VALUE"""),"")</f>
        <v/>
      </c>
      <c r="R554" s="19"/>
      <c r="S554" s="20"/>
      <c r="BP554" s="10"/>
      <c r="BW554" s="10"/>
      <c r="CF554" s="10"/>
      <c r="CM554" s="10"/>
      <c r="CP554" s="18" t="str">
        <f ca="1"/>
        <v/>
      </c>
      <c r="CQ554" s="18" t="str">
        <f ca="1"/>
        <v/>
      </c>
      <c r="CR554" s="18" t="str">
        <f ca="1"/>
        <v/>
      </c>
      <c r="CS554" s="18" t="str">
        <f ca="1"/>
        <v/>
      </c>
      <c r="CT554" s="18" t="str">
        <f ca="1"/>
        <v/>
      </c>
      <c r="CV554" s="10"/>
      <c r="CY554" s="18" t="str">
        <f ca="1"/>
        <v/>
      </c>
      <c r="CZ554" s="18" t="str">
        <f ca="1"/>
        <v/>
      </c>
      <c r="DA554" s="18" t="str">
        <f ca="1"/>
        <v/>
      </c>
      <c r="DC554" s="10"/>
    </row>
    <row r="555" spans="1:107" x14ac:dyDescent="0.25">
      <c r="A555" s="46"/>
      <c r="B555" s="52"/>
      <c r="C555" s="52"/>
      <c r="D555" s="16"/>
      <c r="E555" s="52"/>
      <c r="F555" s="52"/>
      <c r="G555" s="50"/>
      <c r="H555" s="17" t="str">
        <f ca="1">IFERROR(__xludf.DUMMYFUNCTION("""COMPUTED_VALUE"""),"")</f>
        <v/>
      </c>
      <c r="I555" s="50" t="s">
        <v>29</v>
      </c>
      <c r="J555" s="50" t="s">
        <v>29</v>
      </c>
      <c r="K555" s="50" t="s">
        <v>29</v>
      </c>
      <c r="L555" s="50" t="s">
        <v>29</v>
      </c>
      <c r="M555" s="50" t="s">
        <v>29</v>
      </c>
      <c r="N555" s="49"/>
      <c r="P555" s="19"/>
      <c r="Q555" s="18" t="str">
        <f ca="1">IFERROR(__xludf.DUMMYFUNCTION("""COMPUTED_VALUE"""),"")</f>
        <v/>
      </c>
      <c r="R555" s="19"/>
      <c r="S555" s="20"/>
      <c r="BP555" s="10"/>
      <c r="BW555" s="10"/>
      <c r="CF555" s="10"/>
      <c r="CM555" s="10"/>
      <c r="CP555" s="18" t="str">
        <f ca="1"/>
        <v/>
      </c>
      <c r="CQ555" s="18" t="str">
        <f ca="1"/>
        <v/>
      </c>
      <c r="CR555" s="18" t="str">
        <f ca="1"/>
        <v/>
      </c>
      <c r="CS555" s="18" t="str">
        <f ca="1"/>
        <v/>
      </c>
      <c r="CT555" s="18" t="str">
        <f ca="1"/>
        <v/>
      </c>
      <c r="CV555" s="10"/>
      <c r="CY555" s="18" t="str">
        <f ca="1"/>
        <v/>
      </c>
      <c r="CZ555" s="18" t="str">
        <f ca="1"/>
        <v/>
      </c>
      <c r="DA555" s="18" t="str">
        <f ca="1"/>
        <v/>
      </c>
      <c r="DC555" s="10"/>
    </row>
    <row r="556" spans="1:107" x14ac:dyDescent="0.25">
      <c r="A556" s="46"/>
      <c r="B556" s="52"/>
      <c r="C556" s="52"/>
      <c r="D556" s="16"/>
      <c r="E556" s="52"/>
      <c r="F556" s="52"/>
      <c r="G556" s="50"/>
      <c r="H556" s="17" t="str">
        <f ca="1">IFERROR(__xludf.DUMMYFUNCTION("""COMPUTED_VALUE"""),"")</f>
        <v/>
      </c>
      <c r="I556" s="50" t="s">
        <v>29</v>
      </c>
      <c r="J556" s="50" t="s">
        <v>29</v>
      </c>
      <c r="K556" s="50" t="s">
        <v>29</v>
      </c>
      <c r="L556" s="50" t="s">
        <v>29</v>
      </c>
      <c r="M556" s="50" t="s">
        <v>29</v>
      </c>
      <c r="N556" s="49"/>
      <c r="P556" s="19"/>
      <c r="Q556" s="18" t="str">
        <f ca="1">IFERROR(__xludf.DUMMYFUNCTION("""COMPUTED_VALUE"""),"")</f>
        <v/>
      </c>
      <c r="R556" s="19"/>
      <c r="S556" s="20"/>
      <c r="BP556" s="10"/>
      <c r="BW556" s="10"/>
      <c r="CF556" s="10"/>
      <c r="CM556" s="10"/>
      <c r="CP556" s="18" t="str">
        <f ca="1"/>
        <v/>
      </c>
      <c r="CQ556" s="18" t="str">
        <f ca="1"/>
        <v/>
      </c>
      <c r="CR556" s="18" t="str">
        <f ca="1"/>
        <v/>
      </c>
      <c r="CS556" s="18" t="str">
        <f ca="1"/>
        <v/>
      </c>
      <c r="CT556" s="18" t="str">
        <f ca="1"/>
        <v/>
      </c>
      <c r="CV556" s="10"/>
      <c r="CY556" s="18" t="str">
        <f ca="1"/>
        <v/>
      </c>
      <c r="CZ556" s="18" t="str">
        <f ca="1"/>
        <v/>
      </c>
      <c r="DA556" s="18" t="str">
        <f ca="1"/>
        <v/>
      </c>
      <c r="DC556" s="10"/>
    </row>
    <row r="557" spans="1:107" x14ac:dyDescent="0.25">
      <c r="A557" s="46"/>
      <c r="B557" s="52"/>
      <c r="C557" s="52"/>
      <c r="D557" s="16"/>
      <c r="E557" s="52"/>
      <c r="F557" s="52"/>
      <c r="G557" s="50"/>
      <c r="H557" s="17" t="str">
        <f ca="1">IFERROR(__xludf.DUMMYFUNCTION("""COMPUTED_VALUE"""),"")</f>
        <v/>
      </c>
      <c r="I557" s="50" t="s">
        <v>29</v>
      </c>
      <c r="J557" s="50" t="s">
        <v>29</v>
      </c>
      <c r="K557" s="50" t="s">
        <v>29</v>
      </c>
      <c r="L557" s="50" t="s">
        <v>29</v>
      </c>
      <c r="M557" s="50" t="s">
        <v>29</v>
      </c>
      <c r="N557" s="49"/>
      <c r="P557" s="19"/>
      <c r="Q557" s="18" t="str">
        <f ca="1">IFERROR(__xludf.DUMMYFUNCTION("""COMPUTED_VALUE"""),"")</f>
        <v/>
      </c>
      <c r="R557" s="19"/>
      <c r="S557" s="20"/>
      <c r="BP557" s="10"/>
      <c r="BW557" s="10"/>
      <c r="CF557" s="10"/>
      <c r="CM557" s="10"/>
      <c r="CP557" s="18" t="str">
        <f ca="1"/>
        <v/>
      </c>
      <c r="CQ557" s="18" t="str">
        <f ca="1"/>
        <v/>
      </c>
      <c r="CR557" s="18" t="str">
        <f ca="1"/>
        <v/>
      </c>
      <c r="CS557" s="18" t="str">
        <f ca="1"/>
        <v/>
      </c>
      <c r="CT557" s="18" t="str">
        <f ca="1"/>
        <v/>
      </c>
      <c r="CV557" s="10"/>
      <c r="CY557" s="18" t="str">
        <f ca="1"/>
        <v/>
      </c>
      <c r="CZ557" s="18" t="str">
        <f ca="1"/>
        <v/>
      </c>
      <c r="DA557" s="18" t="str">
        <f ca="1"/>
        <v/>
      </c>
      <c r="DC557" s="10"/>
    </row>
    <row r="558" spans="1:107" x14ac:dyDescent="0.25">
      <c r="A558" s="46"/>
      <c r="B558" s="52"/>
      <c r="C558" s="52"/>
      <c r="D558" s="16"/>
      <c r="E558" s="52"/>
      <c r="F558" s="52"/>
      <c r="G558" s="50"/>
      <c r="H558" s="17" t="str">
        <f ca="1">IFERROR(__xludf.DUMMYFUNCTION("""COMPUTED_VALUE"""),"")</f>
        <v/>
      </c>
      <c r="I558" s="50" t="s">
        <v>29</v>
      </c>
      <c r="J558" s="50" t="s">
        <v>29</v>
      </c>
      <c r="K558" s="50" t="s">
        <v>29</v>
      </c>
      <c r="L558" s="50" t="s">
        <v>29</v>
      </c>
      <c r="M558" s="50" t="s">
        <v>29</v>
      </c>
      <c r="N558" s="49"/>
      <c r="P558" s="19"/>
      <c r="Q558" s="18" t="str">
        <f ca="1">IFERROR(__xludf.DUMMYFUNCTION("""COMPUTED_VALUE"""),"")</f>
        <v/>
      </c>
      <c r="R558" s="19"/>
      <c r="S558" s="20"/>
      <c r="BP558" s="10"/>
      <c r="BW558" s="10"/>
      <c r="CF558" s="10"/>
      <c r="CM558" s="10"/>
      <c r="CP558" s="18" t="str">
        <f ca="1"/>
        <v/>
      </c>
      <c r="CQ558" s="18" t="str">
        <f ca="1"/>
        <v/>
      </c>
      <c r="CR558" s="18" t="str">
        <f ca="1"/>
        <v/>
      </c>
      <c r="CS558" s="18" t="str">
        <f ca="1"/>
        <v/>
      </c>
      <c r="CT558" s="18" t="str">
        <f ca="1"/>
        <v/>
      </c>
      <c r="CV558" s="10"/>
      <c r="CY558" s="18" t="str">
        <f ca="1"/>
        <v/>
      </c>
      <c r="CZ558" s="18" t="str">
        <f ca="1"/>
        <v/>
      </c>
      <c r="DA558" s="18" t="str">
        <f ca="1"/>
        <v/>
      </c>
      <c r="DC558" s="10"/>
    </row>
    <row r="559" spans="1:107" x14ac:dyDescent="0.25">
      <c r="A559" s="46"/>
      <c r="B559" s="52"/>
      <c r="C559" s="52"/>
      <c r="D559" s="16"/>
      <c r="E559" s="52"/>
      <c r="F559" s="52"/>
      <c r="G559" s="50"/>
      <c r="H559" s="17" t="str">
        <f ca="1">IFERROR(__xludf.DUMMYFUNCTION("""COMPUTED_VALUE"""),"")</f>
        <v/>
      </c>
      <c r="I559" s="50" t="s">
        <v>29</v>
      </c>
      <c r="J559" s="50" t="s">
        <v>29</v>
      </c>
      <c r="K559" s="50" t="s">
        <v>29</v>
      </c>
      <c r="L559" s="50" t="s">
        <v>29</v>
      </c>
      <c r="M559" s="50" t="s">
        <v>29</v>
      </c>
      <c r="N559" s="49"/>
      <c r="P559" s="19"/>
      <c r="Q559" s="18" t="str">
        <f ca="1">IFERROR(__xludf.DUMMYFUNCTION("""COMPUTED_VALUE"""),"")</f>
        <v/>
      </c>
      <c r="R559" s="19"/>
      <c r="S559" s="20"/>
      <c r="BP559" s="10"/>
      <c r="BW559" s="10"/>
      <c r="CF559" s="10"/>
      <c r="CM559" s="10"/>
      <c r="CP559" s="18" t="str">
        <f ca="1"/>
        <v/>
      </c>
      <c r="CQ559" s="18" t="str">
        <f ca="1"/>
        <v/>
      </c>
      <c r="CR559" s="18" t="str">
        <f ca="1"/>
        <v/>
      </c>
      <c r="CS559" s="18" t="str">
        <f ca="1"/>
        <v/>
      </c>
      <c r="CT559" s="18" t="str">
        <f ca="1"/>
        <v/>
      </c>
      <c r="CV559" s="10"/>
      <c r="CY559" s="18" t="str">
        <f ca="1"/>
        <v/>
      </c>
      <c r="CZ559" s="18" t="str">
        <f ca="1"/>
        <v/>
      </c>
      <c r="DA559" s="18" t="str">
        <f ca="1"/>
        <v/>
      </c>
      <c r="DC559" s="10"/>
    </row>
    <row r="560" spans="1:107" x14ac:dyDescent="0.25">
      <c r="A560" s="46"/>
      <c r="B560" s="52"/>
      <c r="C560" s="52"/>
      <c r="D560" s="16"/>
      <c r="E560" s="52"/>
      <c r="F560" s="52"/>
      <c r="G560" s="50"/>
      <c r="H560" s="17" t="str">
        <f ca="1">IFERROR(__xludf.DUMMYFUNCTION("""COMPUTED_VALUE"""),"")</f>
        <v/>
      </c>
      <c r="I560" s="50" t="s">
        <v>29</v>
      </c>
      <c r="J560" s="50" t="s">
        <v>29</v>
      </c>
      <c r="K560" s="50" t="s">
        <v>29</v>
      </c>
      <c r="L560" s="50" t="s">
        <v>29</v>
      </c>
      <c r="M560" s="50" t="s">
        <v>29</v>
      </c>
      <c r="N560" s="49"/>
      <c r="P560" s="19"/>
      <c r="Q560" s="18" t="str">
        <f ca="1">IFERROR(__xludf.DUMMYFUNCTION("""COMPUTED_VALUE"""),"")</f>
        <v/>
      </c>
      <c r="R560" s="19"/>
      <c r="S560" s="20"/>
      <c r="BP560" s="10"/>
      <c r="BW560" s="10"/>
      <c r="CF560" s="10"/>
      <c r="CM560" s="10"/>
      <c r="CP560" s="18" t="str">
        <f ca="1"/>
        <v/>
      </c>
      <c r="CQ560" s="18" t="str">
        <f ca="1"/>
        <v/>
      </c>
      <c r="CR560" s="18" t="str">
        <f ca="1"/>
        <v/>
      </c>
      <c r="CS560" s="18" t="str">
        <f ca="1"/>
        <v/>
      </c>
      <c r="CT560" s="18" t="str">
        <f ca="1"/>
        <v/>
      </c>
      <c r="CV560" s="10"/>
      <c r="CY560" s="18" t="str">
        <f ca="1"/>
        <v/>
      </c>
      <c r="CZ560" s="18" t="str">
        <f ca="1"/>
        <v/>
      </c>
      <c r="DA560" s="18" t="str">
        <f ca="1"/>
        <v/>
      </c>
      <c r="DC560" s="10"/>
    </row>
    <row r="561" spans="1:107" x14ac:dyDescent="0.25">
      <c r="A561" s="46"/>
      <c r="B561" s="52"/>
      <c r="C561" s="52"/>
      <c r="D561" s="16"/>
      <c r="E561" s="52"/>
      <c r="F561" s="52"/>
      <c r="G561" s="50"/>
      <c r="H561" s="17" t="str">
        <f ca="1">IFERROR(__xludf.DUMMYFUNCTION("""COMPUTED_VALUE"""),"")</f>
        <v/>
      </c>
      <c r="I561" s="50" t="s">
        <v>29</v>
      </c>
      <c r="J561" s="50" t="s">
        <v>29</v>
      </c>
      <c r="K561" s="50" t="s">
        <v>29</v>
      </c>
      <c r="L561" s="50" t="s">
        <v>29</v>
      </c>
      <c r="M561" s="50" t="s">
        <v>29</v>
      </c>
      <c r="N561" s="49"/>
      <c r="P561" s="19"/>
      <c r="Q561" s="18" t="str">
        <f ca="1">IFERROR(__xludf.DUMMYFUNCTION("""COMPUTED_VALUE"""),"")</f>
        <v/>
      </c>
      <c r="R561" s="19"/>
      <c r="S561" s="20"/>
      <c r="BP561" s="10"/>
      <c r="BW561" s="10"/>
      <c r="CF561" s="10"/>
      <c r="CM561" s="10"/>
      <c r="CP561" s="18" t="str">
        <f ca="1"/>
        <v/>
      </c>
      <c r="CQ561" s="18" t="str">
        <f ca="1"/>
        <v/>
      </c>
      <c r="CR561" s="18" t="str">
        <f ca="1"/>
        <v/>
      </c>
      <c r="CS561" s="18" t="str">
        <f ca="1"/>
        <v/>
      </c>
      <c r="CT561" s="18" t="str">
        <f ca="1"/>
        <v/>
      </c>
      <c r="CV561" s="10"/>
      <c r="CY561" s="18" t="str">
        <f ca="1"/>
        <v/>
      </c>
      <c r="CZ561" s="18" t="str">
        <f ca="1"/>
        <v/>
      </c>
      <c r="DA561" s="18" t="str">
        <f ca="1"/>
        <v/>
      </c>
      <c r="DC561" s="10"/>
    </row>
    <row r="562" spans="1:107" x14ac:dyDescent="0.25">
      <c r="A562" s="46"/>
      <c r="B562" s="52"/>
      <c r="C562" s="52"/>
      <c r="D562" s="16"/>
      <c r="E562" s="52"/>
      <c r="F562" s="52"/>
      <c r="G562" s="50"/>
      <c r="H562" s="17" t="str">
        <f ca="1">IFERROR(__xludf.DUMMYFUNCTION("""COMPUTED_VALUE"""),"")</f>
        <v/>
      </c>
      <c r="I562" s="50" t="s">
        <v>29</v>
      </c>
      <c r="J562" s="50" t="s">
        <v>29</v>
      </c>
      <c r="K562" s="50" t="s">
        <v>29</v>
      </c>
      <c r="L562" s="50" t="s">
        <v>29</v>
      </c>
      <c r="M562" s="50" t="s">
        <v>29</v>
      </c>
      <c r="N562" s="49"/>
      <c r="P562" s="19"/>
      <c r="Q562" s="18" t="str">
        <f ca="1">IFERROR(__xludf.DUMMYFUNCTION("""COMPUTED_VALUE"""),"")</f>
        <v/>
      </c>
      <c r="R562" s="19"/>
      <c r="S562" s="20"/>
      <c r="BP562" s="10"/>
      <c r="BW562" s="10"/>
      <c r="CF562" s="10"/>
      <c r="CM562" s="10"/>
      <c r="CP562" s="18" t="str">
        <f ca="1"/>
        <v/>
      </c>
      <c r="CQ562" s="18" t="str">
        <f ca="1"/>
        <v/>
      </c>
      <c r="CR562" s="18" t="str">
        <f ca="1"/>
        <v/>
      </c>
      <c r="CS562" s="18" t="str">
        <f ca="1"/>
        <v/>
      </c>
      <c r="CT562" s="18" t="str">
        <f ca="1"/>
        <v/>
      </c>
      <c r="CV562" s="10"/>
      <c r="CY562" s="18" t="str">
        <f ca="1"/>
        <v/>
      </c>
      <c r="CZ562" s="18" t="str">
        <f ca="1"/>
        <v/>
      </c>
      <c r="DA562" s="18" t="str">
        <f ca="1"/>
        <v/>
      </c>
      <c r="DC562" s="10"/>
    </row>
    <row r="563" spans="1:107" x14ac:dyDescent="0.25">
      <c r="A563" s="46"/>
      <c r="B563" s="52"/>
      <c r="C563" s="52"/>
      <c r="D563" s="16"/>
      <c r="E563" s="52"/>
      <c r="F563" s="52"/>
      <c r="G563" s="50"/>
      <c r="H563" s="17" t="str">
        <f ca="1">IFERROR(__xludf.DUMMYFUNCTION("""COMPUTED_VALUE"""),"")</f>
        <v/>
      </c>
      <c r="I563" s="50" t="s">
        <v>29</v>
      </c>
      <c r="J563" s="50" t="s">
        <v>29</v>
      </c>
      <c r="K563" s="50" t="s">
        <v>29</v>
      </c>
      <c r="L563" s="50" t="s">
        <v>29</v>
      </c>
      <c r="M563" s="50" t="s">
        <v>29</v>
      </c>
      <c r="N563" s="49"/>
      <c r="P563" s="19"/>
      <c r="Q563" s="18" t="str">
        <f ca="1">IFERROR(__xludf.DUMMYFUNCTION("""COMPUTED_VALUE"""),"")</f>
        <v/>
      </c>
      <c r="R563" s="19"/>
      <c r="S563" s="20"/>
      <c r="BP563" s="10"/>
      <c r="BW563" s="10"/>
      <c r="CF563" s="10"/>
      <c r="CM563" s="10"/>
      <c r="CP563" s="18" t="str">
        <f ca="1"/>
        <v/>
      </c>
      <c r="CQ563" s="18" t="str">
        <f ca="1"/>
        <v/>
      </c>
      <c r="CR563" s="18" t="str">
        <f ca="1"/>
        <v/>
      </c>
      <c r="CS563" s="18" t="str">
        <f ca="1"/>
        <v/>
      </c>
      <c r="CT563" s="18" t="str">
        <f ca="1"/>
        <v/>
      </c>
      <c r="CV563" s="10"/>
      <c r="CY563" s="18" t="str">
        <f ca="1"/>
        <v/>
      </c>
      <c r="CZ563" s="18" t="str">
        <f ca="1"/>
        <v/>
      </c>
      <c r="DA563" s="18" t="str">
        <f ca="1"/>
        <v/>
      </c>
      <c r="DC563" s="10"/>
    </row>
    <row r="564" spans="1:107" x14ac:dyDescent="0.25">
      <c r="A564" s="46"/>
      <c r="B564" s="52"/>
      <c r="C564" s="52"/>
      <c r="D564" s="16"/>
      <c r="E564" s="52"/>
      <c r="F564" s="52"/>
      <c r="G564" s="50"/>
      <c r="H564" s="17" t="str">
        <f ca="1">IFERROR(__xludf.DUMMYFUNCTION("""COMPUTED_VALUE"""),"")</f>
        <v/>
      </c>
      <c r="I564" s="50" t="s">
        <v>29</v>
      </c>
      <c r="J564" s="50" t="s">
        <v>29</v>
      </c>
      <c r="K564" s="50" t="s">
        <v>29</v>
      </c>
      <c r="L564" s="50" t="s">
        <v>29</v>
      </c>
      <c r="M564" s="50" t="s">
        <v>29</v>
      </c>
      <c r="N564" s="49"/>
      <c r="P564" s="19"/>
      <c r="Q564" s="18" t="str">
        <f ca="1">IFERROR(__xludf.DUMMYFUNCTION("""COMPUTED_VALUE"""),"")</f>
        <v/>
      </c>
      <c r="R564" s="19"/>
      <c r="S564" s="20"/>
      <c r="BP564" s="10"/>
      <c r="BW564" s="10"/>
      <c r="CF564" s="10"/>
      <c r="CM564" s="10"/>
      <c r="CP564" s="18" t="str">
        <f ca="1"/>
        <v/>
      </c>
      <c r="CQ564" s="18" t="str">
        <f ca="1"/>
        <v/>
      </c>
      <c r="CR564" s="18" t="str">
        <f ca="1"/>
        <v/>
      </c>
      <c r="CS564" s="18" t="str">
        <f ca="1"/>
        <v/>
      </c>
      <c r="CT564" s="18" t="str">
        <f ca="1"/>
        <v/>
      </c>
      <c r="CV564" s="10"/>
      <c r="CY564" s="18" t="str">
        <f ca="1"/>
        <v/>
      </c>
      <c r="CZ564" s="18" t="str">
        <f ca="1"/>
        <v/>
      </c>
      <c r="DA564" s="18" t="str">
        <f ca="1"/>
        <v/>
      </c>
      <c r="DC564" s="10"/>
    </row>
    <row r="565" spans="1:107" x14ac:dyDescent="0.25">
      <c r="A565" s="46"/>
      <c r="B565" s="52"/>
      <c r="C565" s="52"/>
      <c r="D565" s="16"/>
      <c r="E565" s="52"/>
      <c r="F565" s="52"/>
      <c r="G565" s="50"/>
      <c r="H565" s="17" t="str">
        <f ca="1">IFERROR(__xludf.DUMMYFUNCTION("""COMPUTED_VALUE"""),"")</f>
        <v/>
      </c>
      <c r="I565" s="50" t="s">
        <v>29</v>
      </c>
      <c r="J565" s="50" t="s">
        <v>29</v>
      </c>
      <c r="K565" s="50" t="s">
        <v>29</v>
      </c>
      <c r="L565" s="50" t="s">
        <v>29</v>
      </c>
      <c r="M565" s="50" t="s">
        <v>29</v>
      </c>
      <c r="N565" s="49"/>
      <c r="P565" s="19"/>
      <c r="Q565" s="18" t="str">
        <f ca="1">IFERROR(__xludf.DUMMYFUNCTION("""COMPUTED_VALUE"""),"")</f>
        <v/>
      </c>
      <c r="R565" s="19"/>
      <c r="S565" s="20"/>
      <c r="BP565" s="10"/>
      <c r="BW565" s="10"/>
      <c r="CF565" s="10"/>
      <c r="CM565" s="10"/>
      <c r="CP565" s="18" t="str">
        <f ca="1"/>
        <v/>
      </c>
      <c r="CQ565" s="18" t="str">
        <f ca="1"/>
        <v/>
      </c>
      <c r="CR565" s="18" t="str">
        <f ca="1"/>
        <v/>
      </c>
      <c r="CS565" s="18" t="str">
        <f ca="1"/>
        <v/>
      </c>
      <c r="CT565" s="18" t="str">
        <f ca="1"/>
        <v/>
      </c>
      <c r="CV565" s="10"/>
      <c r="CY565" s="18" t="str">
        <f ca="1"/>
        <v/>
      </c>
      <c r="CZ565" s="18" t="str">
        <f ca="1"/>
        <v/>
      </c>
      <c r="DA565" s="18" t="str">
        <f ca="1"/>
        <v/>
      </c>
      <c r="DC565" s="10"/>
    </row>
    <row r="566" spans="1:107" x14ac:dyDescent="0.25">
      <c r="A566" s="46"/>
      <c r="B566" s="52"/>
      <c r="C566" s="52"/>
      <c r="D566" s="16"/>
      <c r="E566" s="52"/>
      <c r="F566" s="52"/>
      <c r="G566" s="50"/>
      <c r="H566" s="17" t="str">
        <f ca="1">IFERROR(__xludf.DUMMYFUNCTION("""COMPUTED_VALUE"""),"")</f>
        <v/>
      </c>
      <c r="I566" s="50" t="s">
        <v>29</v>
      </c>
      <c r="J566" s="50" t="s">
        <v>29</v>
      </c>
      <c r="K566" s="50" t="s">
        <v>29</v>
      </c>
      <c r="L566" s="50" t="s">
        <v>29</v>
      </c>
      <c r="M566" s="50" t="s">
        <v>29</v>
      </c>
      <c r="N566" s="49"/>
      <c r="P566" s="19"/>
      <c r="Q566" s="18" t="str">
        <f ca="1">IFERROR(__xludf.DUMMYFUNCTION("""COMPUTED_VALUE"""),"")</f>
        <v/>
      </c>
      <c r="R566" s="19"/>
      <c r="S566" s="20"/>
      <c r="BP566" s="10"/>
      <c r="BW566" s="10"/>
      <c r="CF566" s="10"/>
      <c r="CM566" s="10"/>
      <c r="CP566" s="18" t="str">
        <f ca="1"/>
        <v/>
      </c>
      <c r="CQ566" s="18" t="str">
        <f ca="1"/>
        <v/>
      </c>
      <c r="CR566" s="18" t="str">
        <f ca="1"/>
        <v/>
      </c>
      <c r="CS566" s="18" t="str">
        <f ca="1"/>
        <v/>
      </c>
      <c r="CT566" s="18" t="str">
        <f ca="1"/>
        <v/>
      </c>
      <c r="CV566" s="10"/>
      <c r="CY566" s="18" t="str">
        <f ca="1"/>
        <v/>
      </c>
      <c r="CZ566" s="18" t="str">
        <f ca="1"/>
        <v/>
      </c>
      <c r="DA566" s="18" t="str">
        <f ca="1"/>
        <v/>
      </c>
      <c r="DC566" s="10"/>
    </row>
    <row r="567" spans="1:107" x14ac:dyDescent="0.25">
      <c r="A567" s="46"/>
      <c r="B567" s="52"/>
      <c r="C567" s="52"/>
      <c r="D567" s="16"/>
      <c r="E567" s="52"/>
      <c r="F567" s="52"/>
      <c r="G567" s="50"/>
      <c r="H567" s="17" t="str">
        <f ca="1">IFERROR(__xludf.DUMMYFUNCTION("""COMPUTED_VALUE"""),"")</f>
        <v/>
      </c>
      <c r="I567" s="50" t="s">
        <v>29</v>
      </c>
      <c r="J567" s="50" t="s">
        <v>29</v>
      </c>
      <c r="K567" s="50" t="s">
        <v>29</v>
      </c>
      <c r="L567" s="50" t="s">
        <v>29</v>
      </c>
      <c r="M567" s="50" t="s">
        <v>29</v>
      </c>
      <c r="N567" s="49"/>
      <c r="P567" s="19"/>
      <c r="Q567" s="18" t="str">
        <f ca="1">IFERROR(__xludf.DUMMYFUNCTION("""COMPUTED_VALUE"""),"")</f>
        <v/>
      </c>
      <c r="R567" s="19"/>
      <c r="S567" s="20"/>
      <c r="BP567" s="10"/>
      <c r="BW567" s="10"/>
      <c r="CF567" s="10"/>
      <c r="CM567" s="10"/>
      <c r="CP567" s="18" t="str">
        <f ca="1"/>
        <v/>
      </c>
      <c r="CQ567" s="18" t="str">
        <f ca="1"/>
        <v/>
      </c>
      <c r="CR567" s="18" t="str">
        <f ca="1"/>
        <v/>
      </c>
      <c r="CS567" s="18" t="str">
        <f ca="1"/>
        <v/>
      </c>
      <c r="CT567" s="18" t="str">
        <f ca="1"/>
        <v/>
      </c>
      <c r="CV567" s="10"/>
      <c r="CY567" s="18" t="str">
        <f ca="1"/>
        <v/>
      </c>
      <c r="CZ567" s="18" t="str">
        <f ca="1"/>
        <v/>
      </c>
      <c r="DA567" s="18" t="str">
        <f ca="1"/>
        <v/>
      </c>
      <c r="DC567" s="10"/>
    </row>
    <row r="568" spans="1:107" x14ac:dyDescent="0.25">
      <c r="A568" s="46"/>
      <c r="B568" s="52"/>
      <c r="C568" s="52"/>
      <c r="D568" s="16"/>
      <c r="E568" s="52"/>
      <c r="F568" s="52"/>
      <c r="G568" s="50"/>
      <c r="H568" s="17" t="str">
        <f ca="1">IFERROR(__xludf.DUMMYFUNCTION("""COMPUTED_VALUE"""),"")</f>
        <v/>
      </c>
      <c r="I568" s="50" t="s">
        <v>29</v>
      </c>
      <c r="J568" s="50" t="s">
        <v>29</v>
      </c>
      <c r="K568" s="50" t="s">
        <v>29</v>
      </c>
      <c r="L568" s="50" t="s">
        <v>29</v>
      </c>
      <c r="M568" s="50" t="s">
        <v>29</v>
      </c>
      <c r="N568" s="49"/>
      <c r="P568" s="19"/>
      <c r="Q568" s="18" t="str">
        <f ca="1">IFERROR(__xludf.DUMMYFUNCTION("""COMPUTED_VALUE"""),"")</f>
        <v/>
      </c>
      <c r="R568" s="19"/>
      <c r="S568" s="20"/>
      <c r="BP568" s="10"/>
      <c r="BW568" s="10"/>
      <c r="CF568" s="10"/>
      <c r="CM568" s="10"/>
      <c r="CP568" s="18" t="str">
        <f ca="1"/>
        <v/>
      </c>
      <c r="CQ568" s="18" t="str">
        <f ca="1"/>
        <v/>
      </c>
      <c r="CR568" s="18" t="str">
        <f ca="1"/>
        <v/>
      </c>
      <c r="CS568" s="18" t="str">
        <f ca="1"/>
        <v/>
      </c>
      <c r="CT568" s="18" t="str">
        <f ca="1"/>
        <v/>
      </c>
      <c r="CV568" s="10"/>
      <c r="CY568" s="18" t="str">
        <f ca="1"/>
        <v/>
      </c>
      <c r="CZ568" s="18" t="str">
        <f ca="1"/>
        <v/>
      </c>
      <c r="DA568" s="18" t="str">
        <f ca="1"/>
        <v/>
      </c>
      <c r="DC568" s="10"/>
    </row>
    <row r="569" spans="1:107" x14ac:dyDescent="0.25">
      <c r="A569" s="46"/>
      <c r="B569" s="52"/>
      <c r="C569" s="52"/>
      <c r="D569" s="16"/>
      <c r="E569" s="52"/>
      <c r="F569" s="52"/>
      <c r="G569" s="50"/>
      <c r="H569" s="17" t="str">
        <f ca="1">IFERROR(__xludf.DUMMYFUNCTION("""COMPUTED_VALUE"""),"")</f>
        <v/>
      </c>
      <c r="I569" s="50" t="s">
        <v>29</v>
      </c>
      <c r="J569" s="50" t="s">
        <v>29</v>
      </c>
      <c r="K569" s="50" t="s">
        <v>29</v>
      </c>
      <c r="L569" s="50" t="s">
        <v>29</v>
      </c>
      <c r="M569" s="50" t="s">
        <v>29</v>
      </c>
      <c r="N569" s="49"/>
      <c r="P569" s="19"/>
      <c r="Q569" s="18" t="str">
        <f ca="1">IFERROR(__xludf.DUMMYFUNCTION("""COMPUTED_VALUE"""),"")</f>
        <v/>
      </c>
      <c r="R569" s="19"/>
      <c r="S569" s="20"/>
      <c r="BP569" s="10"/>
      <c r="BW569" s="10"/>
      <c r="CF569" s="10"/>
      <c r="CM569" s="10"/>
      <c r="CP569" s="18" t="str">
        <f ca="1"/>
        <v/>
      </c>
      <c r="CQ569" s="18" t="str">
        <f ca="1"/>
        <v/>
      </c>
      <c r="CR569" s="18" t="str">
        <f ca="1"/>
        <v/>
      </c>
      <c r="CS569" s="18" t="str">
        <f ca="1"/>
        <v/>
      </c>
      <c r="CT569" s="18" t="str">
        <f ca="1"/>
        <v/>
      </c>
      <c r="CV569" s="10"/>
      <c r="CY569" s="18" t="str">
        <f ca="1"/>
        <v/>
      </c>
      <c r="CZ569" s="18" t="str">
        <f ca="1"/>
        <v/>
      </c>
      <c r="DA569" s="18" t="str">
        <f ca="1"/>
        <v/>
      </c>
      <c r="DC569" s="10"/>
    </row>
    <row r="570" spans="1:107" x14ac:dyDescent="0.25">
      <c r="A570" s="46"/>
      <c r="B570" s="52"/>
      <c r="C570" s="52"/>
      <c r="D570" s="16"/>
      <c r="E570" s="52"/>
      <c r="F570" s="52"/>
      <c r="G570" s="50"/>
      <c r="H570" s="17" t="str">
        <f ca="1">IFERROR(__xludf.DUMMYFUNCTION("""COMPUTED_VALUE"""),"")</f>
        <v/>
      </c>
      <c r="I570" s="50" t="s">
        <v>29</v>
      </c>
      <c r="J570" s="50" t="s">
        <v>29</v>
      </c>
      <c r="K570" s="50" t="s">
        <v>29</v>
      </c>
      <c r="L570" s="50" t="s">
        <v>29</v>
      </c>
      <c r="M570" s="50" t="s">
        <v>29</v>
      </c>
      <c r="N570" s="49"/>
      <c r="P570" s="19"/>
      <c r="Q570" s="18" t="str">
        <f ca="1">IFERROR(__xludf.DUMMYFUNCTION("""COMPUTED_VALUE"""),"")</f>
        <v/>
      </c>
      <c r="R570" s="19"/>
      <c r="S570" s="20"/>
      <c r="BP570" s="10"/>
      <c r="BW570" s="10"/>
      <c r="CF570" s="10"/>
      <c r="CM570" s="10"/>
      <c r="CP570" s="18" t="str">
        <f ca="1"/>
        <v/>
      </c>
      <c r="CQ570" s="18" t="str">
        <f ca="1"/>
        <v/>
      </c>
      <c r="CR570" s="18" t="str">
        <f ca="1"/>
        <v/>
      </c>
      <c r="CS570" s="18" t="str">
        <f ca="1"/>
        <v/>
      </c>
      <c r="CT570" s="18" t="str">
        <f ca="1"/>
        <v/>
      </c>
      <c r="CV570" s="10"/>
      <c r="CY570" s="18" t="str">
        <f ca="1"/>
        <v/>
      </c>
      <c r="CZ570" s="18" t="str">
        <f ca="1"/>
        <v/>
      </c>
      <c r="DA570" s="18" t="str">
        <f ca="1"/>
        <v/>
      </c>
      <c r="DC570" s="10"/>
    </row>
    <row r="571" spans="1:107" x14ac:dyDescent="0.25">
      <c r="A571" s="46"/>
      <c r="B571" s="52"/>
      <c r="C571" s="52"/>
      <c r="D571" s="16"/>
      <c r="E571" s="52"/>
      <c r="F571" s="52"/>
      <c r="G571" s="50"/>
      <c r="H571" s="17" t="str">
        <f ca="1">IFERROR(__xludf.DUMMYFUNCTION("""COMPUTED_VALUE"""),"")</f>
        <v/>
      </c>
      <c r="I571" s="50" t="s">
        <v>29</v>
      </c>
      <c r="J571" s="50" t="s">
        <v>29</v>
      </c>
      <c r="K571" s="50" t="s">
        <v>29</v>
      </c>
      <c r="L571" s="50" t="s">
        <v>29</v>
      </c>
      <c r="M571" s="50" t="s">
        <v>29</v>
      </c>
      <c r="N571" s="49"/>
      <c r="P571" s="19"/>
      <c r="Q571" s="18" t="str">
        <f ca="1">IFERROR(__xludf.DUMMYFUNCTION("""COMPUTED_VALUE"""),"")</f>
        <v/>
      </c>
      <c r="R571" s="19"/>
      <c r="S571" s="20"/>
      <c r="BP571" s="10"/>
      <c r="BW571" s="10"/>
      <c r="CF571" s="10"/>
      <c r="CM571" s="10"/>
      <c r="CP571" s="18" t="str">
        <f ca="1"/>
        <v/>
      </c>
      <c r="CQ571" s="18" t="str">
        <f ca="1"/>
        <v/>
      </c>
      <c r="CR571" s="18" t="str">
        <f ca="1"/>
        <v/>
      </c>
      <c r="CS571" s="18" t="str">
        <f ca="1"/>
        <v/>
      </c>
      <c r="CT571" s="18" t="str">
        <f ca="1"/>
        <v/>
      </c>
      <c r="CV571" s="10"/>
      <c r="CY571" s="18" t="str">
        <f ca="1"/>
        <v/>
      </c>
      <c r="CZ571" s="18" t="str">
        <f ca="1"/>
        <v/>
      </c>
      <c r="DA571" s="18" t="str">
        <f ca="1"/>
        <v/>
      </c>
      <c r="DC571" s="10"/>
    </row>
    <row r="572" spans="1:107" x14ac:dyDescent="0.25">
      <c r="A572" s="46"/>
      <c r="B572" s="52"/>
      <c r="C572" s="52"/>
      <c r="D572" s="16"/>
      <c r="E572" s="52"/>
      <c r="F572" s="52"/>
      <c r="G572" s="50"/>
      <c r="H572" s="17" t="str">
        <f ca="1">IFERROR(__xludf.DUMMYFUNCTION("""COMPUTED_VALUE"""),"")</f>
        <v/>
      </c>
      <c r="I572" s="50" t="s">
        <v>29</v>
      </c>
      <c r="J572" s="50" t="s">
        <v>29</v>
      </c>
      <c r="K572" s="50" t="s">
        <v>29</v>
      </c>
      <c r="L572" s="50" t="s">
        <v>29</v>
      </c>
      <c r="M572" s="50" t="s">
        <v>29</v>
      </c>
      <c r="N572" s="49"/>
      <c r="P572" s="19"/>
      <c r="Q572" s="18" t="str">
        <f ca="1">IFERROR(__xludf.DUMMYFUNCTION("""COMPUTED_VALUE"""),"")</f>
        <v/>
      </c>
      <c r="R572" s="19"/>
      <c r="S572" s="20"/>
      <c r="BP572" s="10"/>
      <c r="BW572" s="10"/>
      <c r="CF572" s="10"/>
      <c r="CM572" s="10"/>
      <c r="CP572" s="18" t="str">
        <f ca="1"/>
        <v/>
      </c>
      <c r="CQ572" s="18" t="str">
        <f ca="1"/>
        <v/>
      </c>
      <c r="CR572" s="18" t="str">
        <f ca="1"/>
        <v/>
      </c>
      <c r="CS572" s="18" t="str">
        <f ca="1"/>
        <v/>
      </c>
      <c r="CT572" s="18" t="str">
        <f ca="1"/>
        <v/>
      </c>
      <c r="CV572" s="10"/>
      <c r="CY572" s="18" t="str">
        <f ca="1"/>
        <v/>
      </c>
      <c r="CZ572" s="18" t="str">
        <f ca="1"/>
        <v/>
      </c>
      <c r="DA572" s="18" t="str">
        <f ca="1"/>
        <v/>
      </c>
      <c r="DC572" s="10"/>
    </row>
    <row r="573" spans="1:107" x14ac:dyDescent="0.25">
      <c r="A573" s="46"/>
      <c r="B573" s="52"/>
      <c r="C573" s="52"/>
      <c r="D573" s="16"/>
      <c r="E573" s="52"/>
      <c r="F573" s="52"/>
      <c r="G573" s="50"/>
      <c r="H573" s="17" t="str">
        <f ca="1">IFERROR(__xludf.DUMMYFUNCTION("""COMPUTED_VALUE"""),"")</f>
        <v/>
      </c>
      <c r="I573" s="50" t="s">
        <v>29</v>
      </c>
      <c r="J573" s="50" t="s">
        <v>29</v>
      </c>
      <c r="K573" s="50" t="s">
        <v>29</v>
      </c>
      <c r="L573" s="50" t="s">
        <v>29</v>
      </c>
      <c r="M573" s="50" t="s">
        <v>29</v>
      </c>
      <c r="N573" s="49"/>
      <c r="P573" s="19"/>
      <c r="Q573" s="18" t="str">
        <f ca="1">IFERROR(__xludf.DUMMYFUNCTION("""COMPUTED_VALUE"""),"")</f>
        <v/>
      </c>
      <c r="R573" s="19"/>
      <c r="S573" s="20"/>
      <c r="BP573" s="10"/>
      <c r="BW573" s="10"/>
      <c r="CF573" s="10"/>
      <c r="CM573" s="10"/>
      <c r="CP573" s="18" t="str">
        <f ca="1"/>
        <v/>
      </c>
      <c r="CQ573" s="18" t="str">
        <f ca="1"/>
        <v/>
      </c>
      <c r="CR573" s="18" t="str">
        <f ca="1"/>
        <v/>
      </c>
      <c r="CS573" s="18" t="str">
        <f ca="1"/>
        <v/>
      </c>
      <c r="CT573" s="18" t="str">
        <f ca="1"/>
        <v/>
      </c>
      <c r="CV573" s="10"/>
      <c r="CY573" s="18" t="str">
        <f ca="1"/>
        <v/>
      </c>
      <c r="CZ573" s="18" t="str">
        <f ca="1"/>
        <v/>
      </c>
      <c r="DA573" s="18" t="str">
        <f ca="1"/>
        <v/>
      </c>
      <c r="DC573" s="10"/>
    </row>
    <row r="574" spans="1:107" x14ac:dyDescent="0.25">
      <c r="A574" s="46"/>
      <c r="B574" s="52"/>
      <c r="C574" s="52"/>
      <c r="D574" s="16"/>
      <c r="E574" s="52"/>
      <c r="F574" s="52"/>
      <c r="G574" s="50"/>
      <c r="H574" s="17" t="str">
        <f ca="1">IFERROR(__xludf.DUMMYFUNCTION("""COMPUTED_VALUE"""),"")</f>
        <v/>
      </c>
      <c r="I574" s="50" t="s">
        <v>29</v>
      </c>
      <c r="J574" s="50" t="s">
        <v>29</v>
      </c>
      <c r="K574" s="50" t="s">
        <v>29</v>
      </c>
      <c r="L574" s="50" t="s">
        <v>29</v>
      </c>
      <c r="M574" s="50" t="s">
        <v>29</v>
      </c>
      <c r="N574" s="49"/>
      <c r="P574" s="19"/>
      <c r="Q574" s="18" t="str">
        <f ca="1">IFERROR(__xludf.DUMMYFUNCTION("""COMPUTED_VALUE"""),"")</f>
        <v/>
      </c>
      <c r="R574" s="19"/>
      <c r="S574" s="20"/>
      <c r="BP574" s="10"/>
      <c r="BW574" s="10"/>
      <c r="CF574" s="10"/>
      <c r="CM574" s="10"/>
      <c r="CP574" s="18" t="str">
        <f ca="1"/>
        <v/>
      </c>
      <c r="CQ574" s="18" t="str">
        <f ca="1"/>
        <v/>
      </c>
      <c r="CR574" s="18" t="str">
        <f ca="1"/>
        <v/>
      </c>
      <c r="CS574" s="18" t="str">
        <f ca="1"/>
        <v/>
      </c>
      <c r="CT574" s="18" t="str">
        <f ca="1"/>
        <v/>
      </c>
      <c r="CV574" s="10"/>
      <c r="CY574" s="18" t="str">
        <f ca="1"/>
        <v/>
      </c>
      <c r="CZ574" s="18" t="str">
        <f ca="1"/>
        <v/>
      </c>
      <c r="DA574" s="18" t="str">
        <f ca="1"/>
        <v/>
      </c>
      <c r="DC574" s="10"/>
    </row>
    <row r="575" spans="1:107" x14ac:dyDescent="0.25">
      <c r="A575" s="46"/>
      <c r="B575" s="52"/>
      <c r="C575" s="52"/>
      <c r="D575" s="16"/>
      <c r="E575" s="52"/>
      <c r="F575" s="52"/>
      <c r="G575" s="50"/>
      <c r="H575" s="17" t="str">
        <f ca="1">IFERROR(__xludf.DUMMYFUNCTION("""COMPUTED_VALUE"""),"")</f>
        <v/>
      </c>
      <c r="I575" s="50" t="s">
        <v>29</v>
      </c>
      <c r="J575" s="50" t="s">
        <v>29</v>
      </c>
      <c r="K575" s="50" t="s">
        <v>29</v>
      </c>
      <c r="L575" s="50" t="s">
        <v>29</v>
      </c>
      <c r="M575" s="50" t="s">
        <v>29</v>
      </c>
      <c r="N575" s="49"/>
      <c r="P575" s="19"/>
      <c r="Q575" s="18" t="str">
        <f ca="1">IFERROR(__xludf.DUMMYFUNCTION("""COMPUTED_VALUE"""),"")</f>
        <v/>
      </c>
      <c r="R575" s="19"/>
      <c r="S575" s="20"/>
      <c r="BP575" s="10"/>
      <c r="BW575" s="10"/>
      <c r="CF575" s="10"/>
      <c r="CM575" s="10"/>
      <c r="CP575" s="18" t="str">
        <f ca="1"/>
        <v/>
      </c>
      <c r="CQ575" s="18" t="str">
        <f ca="1"/>
        <v/>
      </c>
      <c r="CR575" s="18" t="str">
        <f ca="1"/>
        <v/>
      </c>
      <c r="CS575" s="18" t="str">
        <f ca="1"/>
        <v/>
      </c>
      <c r="CT575" s="18" t="str">
        <f ca="1"/>
        <v/>
      </c>
      <c r="CV575" s="10"/>
      <c r="CY575" s="18" t="str">
        <f ca="1"/>
        <v/>
      </c>
      <c r="CZ575" s="18" t="str">
        <f ca="1"/>
        <v/>
      </c>
      <c r="DA575" s="18" t="str">
        <f ca="1"/>
        <v/>
      </c>
      <c r="DC575" s="10"/>
    </row>
    <row r="576" spans="1:107" x14ac:dyDescent="0.25">
      <c r="A576" s="46"/>
      <c r="B576" s="52"/>
      <c r="C576" s="52"/>
      <c r="D576" s="16"/>
      <c r="E576" s="52"/>
      <c r="F576" s="52"/>
      <c r="G576" s="50"/>
      <c r="H576" s="17" t="str">
        <f ca="1">IFERROR(__xludf.DUMMYFUNCTION("""COMPUTED_VALUE"""),"")</f>
        <v/>
      </c>
      <c r="I576" s="50" t="s">
        <v>29</v>
      </c>
      <c r="J576" s="50" t="s">
        <v>29</v>
      </c>
      <c r="K576" s="50" t="s">
        <v>29</v>
      </c>
      <c r="L576" s="50" t="s">
        <v>29</v>
      </c>
      <c r="M576" s="50" t="s">
        <v>29</v>
      </c>
      <c r="N576" s="49"/>
      <c r="P576" s="19"/>
      <c r="Q576" s="18" t="str">
        <f ca="1">IFERROR(__xludf.DUMMYFUNCTION("""COMPUTED_VALUE"""),"")</f>
        <v/>
      </c>
      <c r="R576" s="19"/>
      <c r="S576" s="20"/>
      <c r="BP576" s="10"/>
      <c r="BW576" s="10"/>
      <c r="CF576" s="10"/>
      <c r="CM576" s="10"/>
      <c r="CP576" s="18" t="str">
        <f ca="1"/>
        <v/>
      </c>
      <c r="CQ576" s="18" t="str">
        <f ca="1"/>
        <v/>
      </c>
      <c r="CR576" s="18" t="str">
        <f ca="1"/>
        <v/>
      </c>
      <c r="CS576" s="18" t="str">
        <f ca="1"/>
        <v/>
      </c>
      <c r="CT576" s="18" t="str">
        <f ca="1"/>
        <v/>
      </c>
      <c r="CV576" s="10"/>
      <c r="CY576" s="18" t="str">
        <f ca="1"/>
        <v/>
      </c>
      <c r="CZ576" s="18" t="str">
        <f ca="1"/>
        <v/>
      </c>
      <c r="DA576" s="18" t="str">
        <f ca="1"/>
        <v/>
      </c>
      <c r="DC576" s="10"/>
    </row>
    <row r="577" spans="1:107" x14ac:dyDescent="0.25">
      <c r="A577" s="46"/>
      <c r="B577" s="52"/>
      <c r="C577" s="52"/>
      <c r="D577" s="16"/>
      <c r="E577" s="52"/>
      <c r="F577" s="52"/>
      <c r="G577" s="50"/>
      <c r="H577" s="17" t="str">
        <f ca="1">IFERROR(__xludf.DUMMYFUNCTION("""COMPUTED_VALUE"""),"")</f>
        <v/>
      </c>
      <c r="I577" s="50" t="s">
        <v>29</v>
      </c>
      <c r="J577" s="50" t="s">
        <v>29</v>
      </c>
      <c r="K577" s="50" t="s">
        <v>29</v>
      </c>
      <c r="L577" s="50" t="s">
        <v>29</v>
      </c>
      <c r="M577" s="50" t="s">
        <v>29</v>
      </c>
      <c r="N577" s="49"/>
      <c r="P577" s="19"/>
      <c r="Q577" s="18" t="str">
        <f ca="1">IFERROR(__xludf.DUMMYFUNCTION("""COMPUTED_VALUE"""),"")</f>
        <v/>
      </c>
      <c r="R577" s="19"/>
      <c r="S577" s="20"/>
      <c r="BP577" s="10"/>
      <c r="BW577" s="10"/>
      <c r="CF577" s="10"/>
      <c r="CM577" s="10"/>
      <c r="CP577" s="18" t="str">
        <f ca="1"/>
        <v/>
      </c>
      <c r="CQ577" s="18" t="str">
        <f ca="1"/>
        <v/>
      </c>
      <c r="CR577" s="18" t="str">
        <f ca="1"/>
        <v/>
      </c>
      <c r="CS577" s="18" t="str">
        <f ca="1"/>
        <v/>
      </c>
      <c r="CT577" s="18" t="str">
        <f ca="1"/>
        <v/>
      </c>
      <c r="CV577" s="10"/>
      <c r="CY577" s="18" t="str">
        <f ca="1"/>
        <v/>
      </c>
      <c r="CZ577" s="18" t="str">
        <f ca="1"/>
        <v/>
      </c>
      <c r="DA577" s="18" t="str">
        <f ca="1"/>
        <v/>
      </c>
      <c r="DC577" s="10"/>
    </row>
    <row r="578" spans="1:107" x14ac:dyDescent="0.25">
      <c r="A578" s="46"/>
      <c r="B578" s="52"/>
      <c r="C578" s="52"/>
      <c r="D578" s="16"/>
      <c r="E578" s="52"/>
      <c r="F578" s="52"/>
      <c r="G578" s="50"/>
      <c r="H578" s="17" t="str">
        <f ca="1">IFERROR(__xludf.DUMMYFUNCTION("""COMPUTED_VALUE"""),"")</f>
        <v/>
      </c>
      <c r="I578" s="50" t="s">
        <v>29</v>
      </c>
      <c r="J578" s="50" t="s">
        <v>29</v>
      </c>
      <c r="K578" s="50" t="s">
        <v>29</v>
      </c>
      <c r="L578" s="50" t="s">
        <v>29</v>
      </c>
      <c r="M578" s="50" t="s">
        <v>29</v>
      </c>
      <c r="N578" s="49"/>
      <c r="P578" s="19"/>
      <c r="Q578" s="18" t="str">
        <f ca="1">IFERROR(__xludf.DUMMYFUNCTION("""COMPUTED_VALUE"""),"")</f>
        <v/>
      </c>
      <c r="R578" s="19"/>
      <c r="S578" s="20"/>
      <c r="BP578" s="10"/>
      <c r="BW578" s="10"/>
      <c r="CF578" s="10"/>
      <c r="CM578" s="10"/>
      <c r="CP578" s="18" t="str">
        <f ca="1"/>
        <v/>
      </c>
      <c r="CQ578" s="18" t="str">
        <f ca="1"/>
        <v/>
      </c>
      <c r="CR578" s="18" t="str">
        <f ca="1"/>
        <v/>
      </c>
      <c r="CS578" s="18" t="str">
        <f ca="1"/>
        <v/>
      </c>
      <c r="CT578" s="18" t="str">
        <f ca="1"/>
        <v/>
      </c>
      <c r="CV578" s="10"/>
      <c r="CY578" s="18" t="str">
        <f ca="1"/>
        <v/>
      </c>
      <c r="CZ578" s="18" t="str">
        <f ca="1"/>
        <v/>
      </c>
      <c r="DA578" s="18" t="str">
        <f ca="1"/>
        <v/>
      </c>
      <c r="DC578" s="10"/>
    </row>
    <row r="579" spans="1:107" x14ac:dyDescent="0.25">
      <c r="A579" s="46"/>
      <c r="B579" s="52"/>
      <c r="C579" s="52"/>
      <c r="D579" s="16"/>
      <c r="E579" s="52"/>
      <c r="F579" s="52"/>
      <c r="G579" s="50"/>
      <c r="H579" s="17" t="str">
        <f ca="1">IFERROR(__xludf.DUMMYFUNCTION("""COMPUTED_VALUE"""),"")</f>
        <v/>
      </c>
      <c r="I579" s="50" t="s">
        <v>29</v>
      </c>
      <c r="J579" s="50" t="s">
        <v>29</v>
      </c>
      <c r="K579" s="50" t="s">
        <v>29</v>
      </c>
      <c r="L579" s="50" t="s">
        <v>29</v>
      </c>
      <c r="M579" s="50" t="s">
        <v>29</v>
      </c>
      <c r="N579" s="49"/>
      <c r="P579" s="19"/>
      <c r="Q579" s="18" t="str">
        <f ca="1">IFERROR(__xludf.DUMMYFUNCTION("""COMPUTED_VALUE"""),"")</f>
        <v/>
      </c>
      <c r="R579" s="19"/>
      <c r="S579" s="20"/>
      <c r="BP579" s="10"/>
      <c r="BW579" s="10"/>
      <c r="CF579" s="10"/>
      <c r="CM579" s="10"/>
      <c r="CP579" s="18" t="str">
        <f ca="1"/>
        <v/>
      </c>
      <c r="CQ579" s="18" t="str">
        <f ca="1"/>
        <v/>
      </c>
      <c r="CR579" s="18" t="str">
        <f ca="1"/>
        <v/>
      </c>
      <c r="CS579" s="18" t="str">
        <f ca="1"/>
        <v/>
      </c>
      <c r="CT579" s="18" t="str">
        <f ca="1"/>
        <v/>
      </c>
      <c r="CV579" s="10"/>
      <c r="CY579" s="18" t="str">
        <f ca="1"/>
        <v/>
      </c>
      <c r="CZ579" s="18" t="str">
        <f ca="1"/>
        <v/>
      </c>
      <c r="DA579" s="18" t="str">
        <f ca="1"/>
        <v/>
      </c>
      <c r="DC579" s="10"/>
    </row>
    <row r="580" spans="1:107" x14ac:dyDescent="0.25">
      <c r="A580" s="46"/>
      <c r="B580" s="52"/>
      <c r="C580" s="52"/>
      <c r="D580" s="16"/>
      <c r="E580" s="52"/>
      <c r="F580" s="52"/>
      <c r="G580" s="50"/>
      <c r="H580" s="17" t="str">
        <f ca="1">IFERROR(__xludf.DUMMYFUNCTION("""COMPUTED_VALUE"""),"")</f>
        <v/>
      </c>
      <c r="I580" s="50" t="s">
        <v>29</v>
      </c>
      <c r="J580" s="50" t="s">
        <v>29</v>
      </c>
      <c r="K580" s="50" t="s">
        <v>29</v>
      </c>
      <c r="L580" s="50" t="s">
        <v>29</v>
      </c>
      <c r="M580" s="50" t="s">
        <v>29</v>
      </c>
      <c r="N580" s="49"/>
      <c r="P580" s="19"/>
      <c r="Q580" s="18" t="str">
        <f ca="1">IFERROR(__xludf.DUMMYFUNCTION("""COMPUTED_VALUE"""),"")</f>
        <v/>
      </c>
      <c r="R580" s="19"/>
      <c r="S580" s="20"/>
      <c r="BP580" s="10"/>
      <c r="BW580" s="10"/>
      <c r="CF580" s="10"/>
      <c r="CM580" s="10"/>
      <c r="CP580" s="18" t="str">
        <f ca="1"/>
        <v/>
      </c>
      <c r="CQ580" s="18" t="str">
        <f ca="1"/>
        <v/>
      </c>
      <c r="CR580" s="18" t="str">
        <f ca="1"/>
        <v/>
      </c>
      <c r="CS580" s="18" t="str">
        <f ca="1"/>
        <v/>
      </c>
      <c r="CT580" s="18" t="str">
        <f ca="1"/>
        <v/>
      </c>
      <c r="CV580" s="10"/>
      <c r="CY580" s="18" t="str">
        <f ca="1"/>
        <v/>
      </c>
      <c r="CZ580" s="18" t="str">
        <f ca="1"/>
        <v/>
      </c>
      <c r="DA580" s="18" t="str">
        <f ca="1"/>
        <v/>
      </c>
      <c r="DC580" s="10"/>
    </row>
    <row r="581" spans="1:107" x14ac:dyDescent="0.25">
      <c r="A581" s="46"/>
      <c r="B581" s="52"/>
      <c r="C581" s="52"/>
      <c r="D581" s="16"/>
      <c r="E581" s="52"/>
      <c r="F581" s="52"/>
      <c r="G581" s="50"/>
      <c r="H581" s="17" t="str">
        <f ca="1">IFERROR(__xludf.DUMMYFUNCTION("""COMPUTED_VALUE"""),"")</f>
        <v/>
      </c>
      <c r="I581" s="50" t="s">
        <v>29</v>
      </c>
      <c r="J581" s="50" t="s">
        <v>29</v>
      </c>
      <c r="K581" s="50" t="s">
        <v>29</v>
      </c>
      <c r="L581" s="50" t="s">
        <v>29</v>
      </c>
      <c r="M581" s="50" t="s">
        <v>29</v>
      </c>
      <c r="N581" s="49"/>
      <c r="P581" s="19"/>
      <c r="Q581" s="18" t="str">
        <f ca="1">IFERROR(__xludf.DUMMYFUNCTION("""COMPUTED_VALUE"""),"")</f>
        <v/>
      </c>
      <c r="R581" s="19"/>
      <c r="S581" s="20"/>
      <c r="BP581" s="10"/>
      <c r="BW581" s="10"/>
      <c r="CF581" s="10"/>
      <c r="CM581" s="10"/>
      <c r="CP581" s="18" t="str">
        <f ca="1"/>
        <v/>
      </c>
      <c r="CQ581" s="18" t="str">
        <f ca="1"/>
        <v/>
      </c>
      <c r="CR581" s="18" t="str">
        <f ca="1"/>
        <v/>
      </c>
      <c r="CS581" s="18" t="str">
        <f ca="1"/>
        <v/>
      </c>
      <c r="CT581" s="18" t="str">
        <f ca="1"/>
        <v/>
      </c>
      <c r="CV581" s="10"/>
      <c r="CY581" s="18" t="str">
        <f ca="1"/>
        <v/>
      </c>
      <c r="CZ581" s="18" t="str">
        <f ca="1"/>
        <v/>
      </c>
      <c r="DA581" s="18" t="str">
        <f ca="1"/>
        <v/>
      </c>
      <c r="DC581" s="10"/>
    </row>
    <row r="582" spans="1:107" x14ac:dyDescent="0.25">
      <c r="A582" s="46"/>
      <c r="B582" s="52"/>
      <c r="C582" s="52"/>
      <c r="D582" s="16"/>
      <c r="E582" s="52"/>
      <c r="F582" s="52"/>
      <c r="G582" s="50"/>
      <c r="H582" s="17" t="str">
        <f ca="1">IFERROR(__xludf.DUMMYFUNCTION("""COMPUTED_VALUE"""),"")</f>
        <v/>
      </c>
      <c r="I582" s="50" t="s">
        <v>29</v>
      </c>
      <c r="J582" s="50" t="s">
        <v>29</v>
      </c>
      <c r="K582" s="50" t="s">
        <v>29</v>
      </c>
      <c r="L582" s="50" t="s">
        <v>29</v>
      </c>
      <c r="M582" s="50" t="s">
        <v>29</v>
      </c>
      <c r="N582" s="49"/>
      <c r="P582" s="19"/>
      <c r="Q582" s="18" t="str">
        <f ca="1">IFERROR(__xludf.DUMMYFUNCTION("""COMPUTED_VALUE"""),"")</f>
        <v/>
      </c>
      <c r="R582" s="19"/>
      <c r="S582" s="20"/>
      <c r="BP582" s="10"/>
      <c r="BW582" s="10"/>
      <c r="CF582" s="10"/>
      <c r="CM582" s="10"/>
      <c r="CP582" s="18" t="str">
        <f ca="1"/>
        <v/>
      </c>
      <c r="CQ582" s="18" t="str">
        <f ca="1"/>
        <v/>
      </c>
      <c r="CR582" s="18" t="str">
        <f ca="1"/>
        <v/>
      </c>
      <c r="CS582" s="18" t="str">
        <f ca="1"/>
        <v/>
      </c>
      <c r="CT582" s="18" t="str">
        <f ca="1"/>
        <v/>
      </c>
      <c r="CV582" s="10"/>
      <c r="CY582" s="18" t="str">
        <f ca="1"/>
        <v/>
      </c>
      <c r="CZ582" s="18" t="str">
        <f ca="1"/>
        <v/>
      </c>
      <c r="DA582" s="18" t="str">
        <f ca="1"/>
        <v/>
      </c>
      <c r="DC582" s="10"/>
    </row>
    <row r="583" spans="1:107" x14ac:dyDescent="0.25">
      <c r="A583" s="46"/>
      <c r="B583" s="52"/>
      <c r="C583" s="52"/>
      <c r="D583" s="16"/>
      <c r="E583" s="52"/>
      <c r="F583" s="52"/>
      <c r="G583" s="50"/>
      <c r="H583" s="17" t="str">
        <f ca="1">IFERROR(__xludf.DUMMYFUNCTION("""COMPUTED_VALUE"""),"")</f>
        <v/>
      </c>
      <c r="I583" s="50" t="s">
        <v>29</v>
      </c>
      <c r="J583" s="50" t="s">
        <v>29</v>
      </c>
      <c r="K583" s="50" t="s">
        <v>29</v>
      </c>
      <c r="L583" s="50" t="s">
        <v>29</v>
      </c>
      <c r="M583" s="50" t="s">
        <v>29</v>
      </c>
      <c r="N583" s="49"/>
      <c r="P583" s="19"/>
      <c r="Q583" s="18" t="str">
        <f ca="1">IFERROR(__xludf.DUMMYFUNCTION("""COMPUTED_VALUE"""),"")</f>
        <v/>
      </c>
      <c r="R583" s="19"/>
      <c r="S583" s="20"/>
      <c r="BP583" s="10"/>
      <c r="BW583" s="10"/>
      <c r="CF583" s="10"/>
      <c r="CM583" s="10"/>
      <c r="CP583" s="18" t="str">
        <f ca="1"/>
        <v/>
      </c>
      <c r="CQ583" s="18" t="str">
        <f ca="1"/>
        <v/>
      </c>
      <c r="CR583" s="18" t="str">
        <f ca="1"/>
        <v/>
      </c>
      <c r="CS583" s="18" t="str">
        <f ca="1"/>
        <v/>
      </c>
      <c r="CT583" s="18" t="str">
        <f ca="1"/>
        <v/>
      </c>
      <c r="CV583" s="10"/>
      <c r="CY583" s="18" t="str">
        <f ca="1"/>
        <v/>
      </c>
      <c r="CZ583" s="18" t="str">
        <f ca="1"/>
        <v/>
      </c>
      <c r="DA583" s="18" t="str">
        <f ca="1"/>
        <v/>
      </c>
      <c r="DC583" s="10"/>
    </row>
    <row r="584" spans="1:107" x14ac:dyDescent="0.25">
      <c r="A584" s="46"/>
      <c r="B584" s="52"/>
      <c r="C584" s="52"/>
      <c r="D584" s="16"/>
      <c r="E584" s="52"/>
      <c r="F584" s="52"/>
      <c r="G584" s="50"/>
      <c r="H584" s="17" t="str">
        <f ca="1">IFERROR(__xludf.DUMMYFUNCTION("""COMPUTED_VALUE"""),"")</f>
        <v/>
      </c>
      <c r="I584" s="50" t="s">
        <v>29</v>
      </c>
      <c r="J584" s="50" t="s">
        <v>29</v>
      </c>
      <c r="K584" s="50" t="s">
        <v>29</v>
      </c>
      <c r="L584" s="50" t="s">
        <v>29</v>
      </c>
      <c r="M584" s="50" t="s">
        <v>29</v>
      </c>
      <c r="N584" s="49"/>
      <c r="P584" s="19"/>
      <c r="Q584" s="18" t="str">
        <f ca="1">IFERROR(__xludf.DUMMYFUNCTION("""COMPUTED_VALUE"""),"")</f>
        <v/>
      </c>
      <c r="R584" s="19"/>
      <c r="S584" s="20"/>
      <c r="BP584" s="10"/>
      <c r="BW584" s="10"/>
      <c r="CF584" s="10"/>
      <c r="CM584" s="10"/>
      <c r="CP584" s="18" t="str">
        <f ca="1"/>
        <v/>
      </c>
      <c r="CQ584" s="18" t="str">
        <f ca="1"/>
        <v/>
      </c>
      <c r="CR584" s="18" t="str">
        <f ca="1"/>
        <v/>
      </c>
      <c r="CS584" s="18" t="str">
        <f ca="1"/>
        <v/>
      </c>
      <c r="CT584" s="18" t="str">
        <f ca="1"/>
        <v/>
      </c>
      <c r="CV584" s="10"/>
      <c r="CY584" s="18" t="str">
        <f ca="1"/>
        <v/>
      </c>
      <c r="CZ584" s="18" t="str">
        <f ca="1"/>
        <v/>
      </c>
      <c r="DA584" s="18" t="str">
        <f ca="1"/>
        <v/>
      </c>
      <c r="DC584" s="10"/>
    </row>
    <row r="585" spans="1:107" x14ac:dyDescent="0.25">
      <c r="A585" s="46"/>
      <c r="B585" s="52"/>
      <c r="C585" s="52"/>
      <c r="D585" s="16"/>
      <c r="E585" s="52"/>
      <c r="F585" s="52"/>
      <c r="G585" s="50"/>
      <c r="H585" s="17" t="str">
        <f ca="1">IFERROR(__xludf.DUMMYFUNCTION("""COMPUTED_VALUE"""),"")</f>
        <v/>
      </c>
      <c r="I585" s="50" t="s">
        <v>29</v>
      </c>
      <c r="J585" s="50" t="s">
        <v>29</v>
      </c>
      <c r="K585" s="50" t="s">
        <v>29</v>
      </c>
      <c r="L585" s="50" t="s">
        <v>29</v>
      </c>
      <c r="M585" s="50" t="s">
        <v>29</v>
      </c>
      <c r="N585" s="49"/>
      <c r="P585" s="19"/>
      <c r="Q585" s="18" t="str">
        <f ca="1">IFERROR(__xludf.DUMMYFUNCTION("""COMPUTED_VALUE"""),"")</f>
        <v/>
      </c>
      <c r="R585" s="19"/>
      <c r="S585" s="20"/>
      <c r="BP585" s="10"/>
      <c r="BW585" s="10"/>
      <c r="CF585" s="10"/>
      <c r="CM585" s="10"/>
      <c r="CP585" s="18" t="str">
        <f ca="1"/>
        <v/>
      </c>
      <c r="CQ585" s="18" t="str">
        <f ca="1"/>
        <v/>
      </c>
      <c r="CR585" s="18" t="str">
        <f ca="1"/>
        <v/>
      </c>
      <c r="CS585" s="18" t="str">
        <f ca="1"/>
        <v/>
      </c>
      <c r="CT585" s="18" t="str">
        <f ca="1"/>
        <v/>
      </c>
      <c r="CV585" s="10"/>
      <c r="CY585" s="18" t="str">
        <f ca="1"/>
        <v/>
      </c>
      <c r="CZ585" s="18" t="str">
        <f ca="1"/>
        <v/>
      </c>
      <c r="DA585" s="18" t="str">
        <f ca="1"/>
        <v/>
      </c>
      <c r="DC585" s="10"/>
    </row>
    <row r="586" spans="1:107" x14ac:dyDescent="0.25">
      <c r="A586" s="46"/>
      <c r="B586" s="52"/>
      <c r="C586" s="52"/>
      <c r="D586" s="16"/>
      <c r="E586" s="52"/>
      <c r="F586" s="52"/>
      <c r="G586" s="50"/>
      <c r="H586" s="17" t="str">
        <f ca="1">IFERROR(__xludf.DUMMYFUNCTION("""COMPUTED_VALUE"""),"")</f>
        <v/>
      </c>
      <c r="I586" s="50" t="s">
        <v>29</v>
      </c>
      <c r="J586" s="50" t="s">
        <v>29</v>
      </c>
      <c r="K586" s="50" t="s">
        <v>29</v>
      </c>
      <c r="L586" s="50" t="s">
        <v>29</v>
      </c>
      <c r="M586" s="50" t="s">
        <v>29</v>
      </c>
      <c r="N586" s="49"/>
      <c r="P586" s="19"/>
      <c r="Q586" s="18" t="str">
        <f ca="1">IFERROR(__xludf.DUMMYFUNCTION("""COMPUTED_VALUE"""),"")</f>
        <v/>
      </c>
      <c r="R586" s="19"/>
      <c r="S586" s="20"/>
      <c r="BP586" s="10"/>
      <c r="BW586" s="10"/>
      <c r="CF586" s="10"/>
      <c r="CM586" s="10"/>
      <c r="CP586" s="18" t="str">
        <f ca="1"/>
        <v/>
      </c>
      <c r="CQ586" s="18" t="str">
        <f ca="1"/>
        <v/>
      </c>
      <c r="CR586" s="18" t="str">
        <f ca="1"/>
        <v/>
      </c>
      <c r="CS586" s="18" t="str">
        <f ca="1"/>
        <v/>
      </c>
      <c r="CT586" s="18" t="str">
        <f ca="1"/>
        <v/>
      </c>
      <c r="CV586" s="10"/>
      <c r="CY586" s="18" t="str">
        <f ca="1"/>
        <v/>
      </c>
      <c r="CZ586" s="18" t="str">
        <f ca="1"/>
        <v/>
      </c>
      <c r="DA586" s="18" t="str">
        <f ca="1"/>
        <v/>
      </c>
      <c r="DC586" s="10"/>
    </row>
    <row r="587" spans="1:107" x14ac:dyDescent="0.25">
      <c r="A587" s="46"/>
      <c r="B587" s="52"/>
      <c r="C587" s="52"/>
      <c r="D587" s="16"/>
      <c r="E587" s="52"/>
      <c r="F587" s="52"/>
      <c r="G587" s="50"/>
      <c r="H587" s="17" t="str">
        <f ca="1">IFERROR(__xludf.DUMMYFUNCTION("""COMPUTED_VALUE"""),"")</f>
        <v/>
      </c>
      <c r="I587" s="50" t="s">
        <v>29</v>
      </c>
      <c r="J587" s="50" t="s">
        <v>29</v>
      </c>
      <c r="K587" s="50" t="s">
        <v>29</v>
      </c>
      <c r="L587" s="50" t="s">
        <v>29</v>
      </c>
      <c r="M587" s="50" t="s">
        <v>29</v>
      </c>
      <c r="N587" s="49"/>
      <c r="P587" s="19"/>
      <c r="Q587" s="18" t="str">
        <f ca="1">IFERROR(__xludf.DUMMYFUNCTION("""COMPUTED_VALUE"""),"")</f>
        <v/>
      </c>
      <c r="R587" s="19"/>
      <c r="S587" s="20"/>
      <c r="BP587" s="10"/>
      <c r="BW587" s="10"/>
      <c r="CF587" s="10"/>
      <c r="CM587" s="10"/>
      <c r="CP587" s="18" t="str">
        <f ca="1"/>
        <v/>
      </c>
      <c r="CQ587" s="18" t="str">
        <f ca="1"/>
        <v/>
      </c>
      <c r="CR587" s="18" t="str">
        <f ca="1"/>
        <v/>
      </c>
      <c r="CS587" s="18" t="str">
        <f ca="1"/>
        <v/>
      </c>
      <c r="CT587" s="18" t="str">
        <f ca="1"/>
        <v/>
      </c>
      <c r="CV587" s="10"/>
      <c r="CY587" s="18" t="str">
        <f ca="1"/>
        <v/>
      </c>
      <c r="CZ587" s="18" t="str">
        <f ca="1"/>
        <v/>
      </c>
      <c r="DA587" s="18" t="str">
        <f ca="1"/>
        <v/>
      </c>
      <c r="DC587" s="10"/>
    </row>
    <row r="588" spans="1:107" x14ac:dyDescent="0.25">
      <c r="A588" s="46"/>
      <c r="B588" s="52"/>
      <c r="C588" s="52"/>
      <c r="D588" s="16"/>
      <c r="E588" s="52"/>
      <c r="F588" s="52"/>
      <c r="G588" s="50"/>
      <c r="H588" s="17" t="str">
        <f ca="1">IFERROR(__xludf.DUMMYFUNCTION("""COMPUTED_VALUE"""),"")</f>
        <v/>
      </c>
      <c r="I588" s="50" t="s">
        <v>29</v>
      </c>
      <c r="J588" s="50" t="s">
        <v>29</v>
      </c>
      <c r="K588" s="50" t="s">
        <v>29</v>
      </c>
      <c r="L588" s="50" t="s">
        <v>29</v>
      </c>
      <c r="M588" s="50" t="s">
        <v>29</v>
      </c>
      <c r="N588" s="49"/>
      <c r="P588" s="19"/>
      <c r="Q588" s="18" t="str">
        <f ca="1">IFERROR(__xludf.DUMMYFUNCTION("""COMPUTED_VALUE"""),"")</f>
        <v/>
      </c>
      <c r="R588" s="19"/>
      <c r="S588" s="20"/>
      <c r="BP588" s="10"/>
      <c r="BW588" s="10"/>
      <c r="CF588" s="10"/>
      <c r="CM588" s="10"/>
      <c r="CP588" s="18" t="str">
        <f ca="1"/>
        <v/>
      </c>
      <c r="CQ588" s="18" t="str">
        <f ca="1"/>
        <v/>
      </c>
      <c r="CR588" s="18" t="str">
        <f ca="1"/>
        <v/>
      </c>
      <c r="CS588" s="18" t="str">
        <f ca="1"/>
        <v/>
      </c>
      <c r="CT588" s="18" t="str">
        <f ca="1"/>
        <v/>
      </c>
      <c r="CV588" s="10"/>
      <c r="CY588" s="18" t="str">
        <f ca="1"/>
        <v/>
      </c>
      <c r="CZ588" s="18" t="str">
        <f ca="1"/>
        <v/>
      </c>
      <c r="DA588" s="18" t="str">
        <f ca="1"/>
        <v/>
      </c>
      <c r="DC588" s="10"/>
    </row>
    <row r="589" spans="1:107" x14ac:dyDescent="0.25">
      <c r="A589" s="46"/>
      <c r="B589" s="52"/>
      <c r="C589" s="52"/>
      <c r="D589" s="16"/>
      <c r="E589" s="52"/>
      <c r="F589" s="52"/>
      <c r="G589" s="50"/>
      <c r="H589" s="17" t="str">
        <f ca="1">IFERROR(__xludf.DUMMYFUNCTION("""COMPUTED_VALUE"""),"")</f>
        <v/>
      </c>
      <c r="I589" s="50" t="s">
        <v>29</v>
      </c>
      <c r="J589" s="50" t="s">
        <v>29</v>
      </c>
      <c r="K589" s="50" t="s">
        <v>29</v>
      </c>
      <c r="L589" s="50" t="s">
        <v>29</v>
      </c>
      <c r="M589" s="50" t="s">
        <v>29</v>
      </c>
      <c r="N589" s="49"/>
      <c r="P589" s="19"/>
      <c r="Q589" s="18" t="str">
        <f ca="1">IFERROR(__xludf.DUMMYFUNCTION("""COMPUTED_VALUE"""),"")</f>
        <v/>
      </c>
      <c r="R589" s="19"/>
      <c r="S589" s="20"/>
      <c r="BP589" s="10"/>
      <c r="BW589" s="10"/>
      <c r="CF589" s="10"/>
      <c r="CM589" s="10"/>
      <c r="CP589" s="18" t="str">
        <f ca="1"/>
        <v/>
      </c>
      <c r="CQ589" s="18" t="str">
        <f ca="1"/>
        <v/>
      </c>
      <c r="CR589" s="18" t="str">
        <f ca="1"/>
        <v/>
      </c>
      <c r="CS589" s="18" t="str">
        <f ca="1"/>
        <v/>
      </c>
      <c r="CT589" s="18" t="str">
        <f ca="1"/>
        <v/>
      </c>
      <c r="CV589" s="10"/>
      <c r="CY589" s="18" t="str">
        <f ca="1"/>
        <v/>
      </c>
      <c r="CZ589" s="18" t="str">
        <f ca="1"/>
        <v/>
      </c>
      <c r="DA589" s="18" t="str">
        <f ca="1"/>
        <v/>
      </c>
      <c r="DC589" s="10"/>
    </row>
    <row r="590" spans="1:107" x14ac:dyDescent="0.25">
      <c r="A590" s="46"/>
      <c r="B590" s="52"/>
      <c r="C590" s="52"/>
      <c r="D590" s="16"/>
      <c r="E590" s="52"/>
      <c r="F590" s="52"/>
      <c r="G590" s="50"/>
      <c r="H590" s="17" t="str">
        <f ca="1">IFERROR(__xludf.DUMMYFUNCTION("""COMPUTED_VALUE"""),"")</f>
        <v/>
      </c>
      <c r="I590" s="50" t="s">
        <v>29</v>
      </c>
      <c r="J590" s="50" t="s">
        <v>29</v>
      </c>
      <c r="K590" s="50" t="s">
        <v>29</v>
      </c>
      <c r="L590" s="50" t="s">
        <v>29</v>
      </c>
      <c r="M590" s="50" t="s">
        <v>29</v>
      </c>
      <c r="N590" s="49"/>
      <c r="P590" s="19"/>
      <c r="Q590" s="18" t="str">
        <f ca="1">IFERROR(__xludf.DUMMYFUNCTION("""COMPUTED_VALUE"""),"")</f>
        <v/>
      </c>
      <c r="R590" s="19"/>
      <c r="S590" s="20"/>
      <c r="BP590" s="10"/>
      <c r="BW590" s="10"/>
      <c r="CF590" s="10"/>
      <c r="CM590" s="10"/>
      <c r="CP590" s="18" t="str">
        <f ca="1"/>
        <v/>
      </c>
      <c r="CQ590" s="18" t="str">
        <f ca="1"/>
        <v/>
      </c>
      <c r="CR590" s="18" t="str">
        <f ca="1"/>
        <v/>
      </c>
      <c r="CS590" s="18" t="str">
        <f ca="1"/>
        <v/>
      </c>
      <c r="CT590" s="18" t="str">
        <f ca="1"/>
        <v/>
      </c>
      <c r="CV590" s="10"/>
      <c r="CY590" s="18" t="str">
        <f ca="1"/>
        <v/>
      </c>
      <c r="CZ590" s="18" t="str">
        <f ca="1"/>
        <v/>
      </c>
      <c r="DA590" s="18" t="str">
        <f ca="1"/>
        <v/>
      </c>
      <c r="DC590" s="10"/>
    </row>
    <row r="591" spans="1:107" x14ac:dyDescent="0.25">
      <c r="A591" s="46"/>
      <c r="B591" s="52"/>
      <c r="C591" s="52"/>
      <c r="D591" s="16"/>
      <c r="E591" s="52"/>
      <c r="F591" s="52"/>
      <c r="G591" s="50"/>
      <c r="H591" s="17" t="str">
        <f ca="1">IFERROR(__xludf.DUMMYFUNCTION("""COMPUTED_VALUE"""),"")</f>
        <v/>
      </c>
      <c r="I591" s="50" t="s">
        <v>29</v>
      </c>
      <c r="J591" s="50" t="s">
        <v>29</v>
      </c>
      <c r="K591" s="50" t="s">
        <v>29</v>
      </c>
      <c r="L591" s="50" t="s">
        <v>29</v>
      </c>
      <c r="M591" s="50" t="s">
        <v>29</v>
      </c>
      <c r="N591" s="49"/>
      <c r="P591" s="19"/>
      <c r="Q591" s="18" t="str">
        <f ca="1">IFERROR(__xludf.DUMMYFUNCTION("""COMPUTED_VALUE"""),"")</f>
        <v/>
      </c>
      <c r="R591" s="19"/>
      <c r="S591" s="20"/>
      <c r="BP591" s="10"/>
      <c r="BW591" s="10"/>
      <c r="CF591" s="10"/>
      <c r="CM591" s="10"/>
      <c r="CP591" s="18" t="str">
        <f ca="1"/>
        <v/>
      </c>
      <c r="CQ591" s="18" t="str">
        <f ca="1"/>
        <v/>
      </c>
      <c r="CR591" s="18" t="str">
        <f ca="1"/>
        <v/>
      </c>
      <c r="CS591" s="18" t="str">
        <f ca="1"/>
        <v/>
      </c>
      <c r="CT591" s="18" t="str">
        <f ca="1"/>
        <v/>
      </c>
      <c r="CV591" s="10"/>
      <c r="CY591" s="18" t="str">
        <f ca="1"/>
        <v/>
      </c>
      <c r="CZ591" s="18" t="str">
        <f ca="1"/>
        <v/>
      </c>
      <c r="DA591" s="18" t="str">
        <f ca="1"/>
        <v/>
      </c>
      <c r="DC591" s="10"/>
    </row>
    <row r="592" spans="1:107" x14ac:dyDescent="0.25">
      <c r="A592" s="46"/>
      <c r="B592" s="52"/>
      <c r="C592" s="52"/>
      <c r="D592" s="16"/>
      <c r="E592" s="52"/>
      <c r="F592" s="52"/>
      <c r="G592" s="50"/>
      <c r="H592" s="17" t="str">
        <f ca="1">IFERROR(__xludf.DUMMYFUNCTION("""COMPUTED_VALUE"""),"")</f>
        <v/>
      </c>
      <c r="I592" s="50" t="s">
        <v>29</v>
      </c>
      <c r="J592" s="50" t="s">
        <v>29</v>
      </c>
      <c r="K592" s="50" t="s">
        <v>29</v>
      </c>
      <c r="L592" s="50" t="s">
        <v>29</v>
      </c>
      <c r="M592" s="50" t="s">
        <v>29</v>
      </c>
      <c r="N592" s="49"/>
      <c r="P592" s="19"/>
      <c r="Q592" s="18" t="str">
        <f ca="1">IFERROR(__xludf.DUMMYFUNCTION("""COMPUTED_VALUE"""),"")</f>
        <v/>
      </c>
      <c r="R592" s="19"/>
      <c r="S592" s="20"/>
      <c r="BP592" s="10"/>
      <c r="BW592" s="10"/>
      <c r="CF592" s="10"/>
      <c r="CM592" s="10"/>
      <c r="CP592" s="18" t="str">
        <f ca="1"/>
        <v/>
      </c>
      <c r="CQ592" s="18" t="str">
        <f ca="1"/>
        <v/>
      </c>
      <c r="CR592" s="18" t="str">
        <f ca="1"/>
        <v/>
      </c>
      <c r="CS592" s="18" t="str">
        <f ca="1"/>
        <v/>
      </c>
      <c r="CT592" s="18" t="str">
        <f ca="1"/>
        <v/>
      </c>
      <c r="CV592" s="10"/>
      <c r="CY592" s="18" t="str">
        <f ca="1"/>
        <v/>
      </c>
      <c r="CZ592" s="18" t="str">
        <f ca="1"/>
        <v/>
      </c>
      <c r="DA592" s="18" t="str">
        <f ca="1"/>
        <v/>
      </c>
      <c r="DC592" s="10"/>
    </row>
    <row r="593" spans="1:107" x14ac:dyDescent="0.25">
      <c r="A593" s="46"/>
      <c r="B593" s="52"/>
      <c r="C593" s="52"/>
      <c r="D593" s="16"/>
      <c r="E593" s="52"/>
      <c r="F593" s="52"/>
      <c r="G593" s="50"/>
      <c r="H593" s="17" t="str">
        <f ca="1">IFERROR(__xludf.DUMMYFUNCTION("""COMPUTED_VALUE"""),"")</f>
        <v/>
      </c>
      <c r="I593" s="50" t="s">
        <v>29</v>
      </c>
      <c r="J593" s="50" t="s">
        <v>29</v>
      </c>
      <c r="K593" s="50" t="s">
        <v>29</v>
      </c>
      <c r="L593" s="50" t="s">
        <v>29</v>
      </c>
      <c r="M593" s="50" t="s">
        <v>29</v>
      </c>
      <c r="N593" s="49"/>
      <c r="P593" s="19"/>
      <c r="Q593" s="18" t="str">
        <f ca="1">IFERROR(__xludf.DUMMYFUNCTION("""COMPUTED_VALUE"""),"")</f>
        <v/>
      </c>
      <c r="R593" s="19"/>
      <c r="S593" s="20"/>
      <c r="BP593" s="10"/>
      <c r="BW593" s="10"/>
      <c r="CF593" s="10"/>
      <c r="CM593" s="10"/>
      <c r="CP593" s="18" t="str">
        <f ca="1"/>
        <v/>
      </c>
      <c r="CQ593" s="18" t="str">
        <f ca="1"/>
        <v/>
      </c>
      <c r="CR593" s="18" t="str">
        <f ca="1"/>
        <v/>
      </c>
      <c r="CS593" s="18" t="str">
        <f ca="1"/>
        <v/>
      </c>
      <c r="CT593" s="18" t="str">
        <f ca="1"/>
        <v/>
      </c>
      <c r="CV593" s="10"/>
      <c r="CY593" s="18" t="str">
        <f ca="1"/>
        <v/>
      </c>
      <c r="CZ593" s="18" t="str">
        <f ca="1"/>
        <v/>
      </c>
      <c r="DA593" s="18" t="str">
        <f ca="1"/>
        <v/>
      </c>
      <c r="DC593" s="10"/>
    </row>
    <row r="594" spans="1:107" x14ac:dyDescent="0.25">
      <c r="A594" s="46"/>
      <c r="B594" s="52"/>
      <c r="C594" s="52"/>
      <c r="D594" s="16"/>
      <c r="E594" s="52"/>
      <c r="F594" s="52"/>
      <c r="G594" s="50"/>
      <c r="H594" s="17" t="str">
        <f ca="1">IFERROR(__xludf.DUMMYFUNCTION("""COMPUTED_VALUE"""),"")</f>
        <v/>
      </c>
      <c r="I594" s="50" t="s">
        <v>29</v>
      </c>
      <c r="J594" s="50" t="s">
        <v>29</v>
      </c>
      <c r="K594" s="50" t="s">
        <v>29</v>
      </c>
      <c r="L594" s="50" t="s">
        <v>29</v>
      </c>
      <c r="M594" s="50" t="s">
        <v>29</v>
      </c>
      <c r="N594" s="49"/>
      <c r="P594" s="19"/>
      <c r="Q594" s="18" t="str">
        <f ca="1">IFERROR(__xludf.DUMMYFUNCTION("""COMPUTED_VALUE"""),"")</f>
        <v/>
      </c>
      <c r="R594" s="19"/>
      <c r="S594" s="20"/>
      <c r="BP594" s="10"/>
      <c r="BW594" s="10"/>
      <c r="CF594" s="10"/>
      <c r="CM594" s="10"/>
      <c r="CP594" s="18" t="str">
        <f ca="1"/>
        <v/>
      </c>
      <c r="CQ594" s="18" t="str">
        <f ca="1"/>
        <v/>
      </c>
      <c r="CR594" s="18" t="str">
        <f ca="1"/>
        <v/>
      </c>
      <c r="CS594" s="18" t="str">
        <f ca="1"/>
        <v/>
      </c>
      <c r="CT594" s="18" t="str">
        <f ca="1"/>
        <v/>
      </c>
      <c r="CV594" s="10"/>
      <c r="CY594" s="18" t="str">
        <f ca="1"/>
        <v/>
      </c>
      <c r="CZ594" s="18" t="str">
        <f ca="1"/>
        <v/>
      </c>
      <c r="DA594" s="18" t="str">
        <f ca="1"/>
        <v/>
      </c>
      <c r="DC594" s="10"/>
    </row>
    <row r="595" spans="1:107" x14ac:dyDescent="0.25">
      <c r="A595" s="46"/>
      <c r="B595" s="52"/>
      <c r="C595" s="52"/>
      <c r="D595" s="16"/>
      <c r="E595" s="52"/>
      <c r="F595" s="52"/>
      <c r="G595" s="50"/>
      <c r="H595" s="17" t="str">
        <f ca="1">IFERROR(__xludf.DUMMYFUNCTION("""COMPUTED_VALUE"""),"")</f>
        <v/>
      </c>
      <c r="I595" s="50" t="s">
        <v>29</v>
      </c>
      <c r="J595" s="50" t="s">
        <v>29</v>
      </c>
      <c r="K595" s="50" t="s">
        <v>29</v>
      </c>
      <c r="L595" s="50" t="s">
        <v>29</v>
      </c>
      <c r="M595" s="50" t="s">
        <v>29</v>
      </c>
      <c r="N595" s="49"/>
      <c r="P595" s="19"/>
      <c r="Q595" s="18" t="str">
        <f ca="1">IFERROR(__xludf.DUMMYFUNCTION("""COMPUTED_VALUE"""),"")</f>
        <v/>
      </c>
      <c r="R595" s="19"/>
      <c r="S595" s="20"/>
      <c r="BP595" s="10"/>
      <c r="BW595" s="10"/>
      <c r="CF595" s="10"/>
      <c r="CM595" s="10"/>
      <c r="CP595" s="18" t="str">
        <f ca="1"/>
        <v/>
      </c>
      <c r="CQ595" s="18" t="str">
        <f ca="1"/>
        <v/>
      </c>
      <c r="CR595" s="18" t="str">
        <f ca="1"/>
        <v/>
      </c>
      <c r="CS595" s="18" t="str">
        <f ca="1"/>
        <v/>
      </c>
      <c r="CT595" s="18" t="str">
        <f ca="1"/>
        <v/>
      </c>
      <c r="CV595" s="10"/>
      <c r="CY595" s="18" t="str">
        <f ca="1"/>
        <v/>
      </c>
      <c r="CZ595" s="18" t="str">
        <f ca="1"/>
        <v/>
      </c>
      <c r="DA595" s="18" t="str">
        <f ca="1"/>
        <v/>
      </c>
      <c r="DC595" s="10"/>
    </row>
    <row r="596" spans="1:107" x14ac:dyDescent="0.25">
      <c r="A596" s="46"/>
      <c r="B596" s="52"/>
      <c r="C596" s="52"/>
      <c r="D596" s="16"/>
      <c r="E596" s="52"/>
      <c r="F596" s="52"/>
      <c r="G596" s="50"/>
      <c r="H596" s="17" t="str">
        <f ca="1">IFERROR(__xludf.DUMMYFUNCTION("""COMPUTED_VALUE"""),"")</f>
        <v/>
      </c>
      <c r="I596" s="50" t="s">
        <v>29</v>
      </c>
      <c r="J596" s="50" t="s">
        <v>29</v>
      </c>
      <c r="K596" s="50" t="s">
        <v>29</v>
      </c>
      <c r="L596" s="50" t="s">
        <v>29</v>
      </c>
      <c r="M596" s="50" t="s">
        <v>29</v>
      </c>
      <c r="N596" s="49"/>
      <c r="P596" s="19"/>
      <c r="Q596" s="18" t="str">
        <f ca="1">IFERROR(__xludf.DUMMYFUNCTION("""COMPUTED_VALUE"""),"")</f>
        <v/>
      </c>
      <c r="R596" s="19"/>
      <c r="S596" s="20"/>
      <c r="BP596" s="10"/>
      <c r="BW596" s="10"/>
      <c r="CF596" s="10"/>
      <c r="CM596" s="10"/>
      <c r="CP596" s="18" t="str">
        <f ca="1"/>
        <v/>
      </c>
      <c r="CQ596" s="18" t="str">
        <f ca="1"/>
        <v/>
      </c>
      <c r="CR596" s="18" t="str">
        <f ca="1"/>
        <v/>
      </c>
      <c r="CS596" s="18" t="str">
        <f ca="1"/>
        <v/>
      </c>
      <c r="CT596" s="18" t="str">
        <f ca="1"/>
        <v/>
      </c>
      <c r="CV596" s="10"/>
      <c r="CY596" s="18" t="str">
        <f ca="1"/>
        <v/>
      </c>
      <c r="CZ596" s="18" t="str">
        <f ca="1"/>
        <v/>
      </c>
      <c r="DA596" s="18" t="str">
        <f ca="1"/>
        <v/>
      </c>
      <c r="DC596" s="10"/>
    </row>
    <row r="597" spans="1:107" x14ac:dyDescent="0.25">
      <c r="A597" s="46"/>
      <c r="B597" s="52"/>
      <c r="C597" s="52"/>
      <c r="D597" s="16"/>
      <c r="E597" s="52"/>
      <c r="F597" s="52"/>
      <c r="G597" s="50"/>
      <c r="H597" s="17" t="str">
        <f ca="1">IFERROR(__xludf.DUMMYFUNCTION("""COMPUTED_VALUE"""),"")</f>
        <v/>
      </c>
      <c r="I597" s="50" t="s">
        <v>29</v>
      </c>
      <c r="J597" s="50" t="s">
        <v>29</v>
      </c>
      <c r="K597" s="50" t="s">
        <v>29</v>
      </c>
      <c r="L597" s="50" t="s">
        <v>29</v>
      </c>
      <c r="M597" s="50" t="s">
        <v>29</v>
      </c>
      <c r="N597" s="49"/>
      <c r="P597" s="19"/>
      <c r="Q597" s="18" t="str">
        <f ca="1">IFERROR(__xludf.DUMMYFUNCTION("""COMPUTED_VALUE"""),"")</f>
        <v/>
      </c>
      <c r="R597" s="19"/>
      <c r="S597" s="20"/>
      <c r="BP597" s="10"/>
      <c r="BW597" s="10"/>
      <c r="CF597" s="10"/>
      <c r="CM597" s="10"/>
      <c r="CP597" s="18" t="str">
        <f ca="1"/>
        <v/>
      </c>
      <c r="CQ597" s="18" t="str">
        <f ca="1"/>
        <v/>
      </c>
      <c r="CR597" s="18" t="str">
        <f ca="1"/>
        <v/>
      </c>
      <c r="CS597" s="18" t="str">
        <f ca="1"/>
        <v/>
      </c>
      <c r="CT597" s="18" t="str">
        <f ca="1"/>
        <v/>
      </c>
      <c r="CV597" s="10"/>
      <c r="CY597" s="18" t="str">
        <f ca="1"/>
        <v/>
      </c>
      <c r="CZ597" s="18" t="str">
        <f ca="1"/>
        <v/>
      </c>
      <c r="DA597" s="18" t="str">
        <f ca="1"/>
        <v/>
      </c>
      <c r="DC597" s="10"/>
    </row>
    <row r="598" spans="1:107" x14ac:dyDescent="0.25">
      <c r="A598" s="46"/>
      <c r="B598" s="52"/>
      <c r="C598" s="52"/>
      <c r="D598" s="16"/>
      <c r="E598" s="52"/>
      <c r="F598" s="52"/>
      <c r="G598" s="50"/>
      <c r="H598" s="17" t="str">
        <f ca="1">IFERROR(__xludf.DUMMYFUNCTION("""COMPUTED_VALUE"""),"")</f>
        <v/>
      </c>
      <c r="I598" s="50" t="s">
        <v>29</v>
      </c>
      <c r="J598" s="50" t="s">
        <v>29</v>
      </c>
      <c r="K598" s="50" t="s">
        <v>29</v>
      </c>
      <c r="L598" s="50" t="s">
        <v>29</v>
      </c>
      <c r="M598" s="50" t="s">
        <v>29</v>
      </c>
      <c r="N598" s="49"/>
      <c r="P598" s="19"/>
      <c r="Q598" s="18" t="str">
        <f ca="1">IFERROR(__xludf.DUMMYFUNCTION("""COMPUTED_VALUE"""),"")</f>
        <v/>
      </c>
      <c r="R598" s="19"/>
      <c r="S598" s="20"/>
      <c r="BP598" s="10"/>
      <c r="BW598" s="10"/>
      <c r="CF598" s="10"/>
      <c r="CM598" s="10"/>
      <c r="CP598" s="18" t="str">
        <f ca="1"/>
        <v/>
      </c>
      <c r="CQ598" s="18" t="str">
        <f ca="1"/>
        <v/>
      </c>
      <c r="CR598" s="18" t="str">
        <f ca="1"/>
        <v/>
      </c>
      <c r="CS598" s="18" t="str">
        <f ca="1"/>
        <v/>
      </c>
      <c r="CT598" s="18" t="str">
        <f ca="1"/>
        <v/>
      </c>
      <c r="CV598" s="10"/>
      <c r="CY598" s="18" t="str">
        <f ca="1"/>
        <v/>
      </c>
      <c r="CZ598" s="18" t="str">
        <f ca="1"/>
        <v/>
      </c>
      <c r="DA598" s="18" t="str">
        <f ca="1"/>
        <v/>
      </c>
      <c r="DC598" s="10"/>
    </row>
    <row r="599" spans="1:107" x14ac:dyDescent="0.25">
      <c r="A599" s="46"/>
      <c r="B599" s="52"/>
      <c r="C599" s="52"/>
      <c r="D599" s="16"/>
      <c r="E599" s="52"/>
      <c r="F599" s="52"/>
      <c r="G599" s="50"/>
      <c r="H599" s="17" t="str">
        <f ca="1">IFERROR(__xludf.DUMMYFUNCTION("""COMPUTED_VALUE"""),"")</f>
        <v/>
      </c>
      <c r="I599" s="50" t="s">
        <v>29</v>
      </c>
      <c r="J599" s="50" t="s">
        <v>29</v>
      </c>
      <c r="K599" s="50" t="s">
        <v>29</v>
      </c>
      <c r="L599" s="50" t="s">
        <v>29</v>
      </c>
      <c r="M599" s="50" t="s">
        <v>29</v>
      </c>
      <c r="N599" s="49"/>
      <c r="P599" s="19"/>
      <c r="Q599" s="18" t="str">
        <f ca="1">IFERROR(__xludf.DUMMYFUNCTION("""COMPUTED_VALUE"""),"")</f>
        <v/>
      </c>
      <c r="R599" s="19"/>
      <c r="S599" s="20"/>
      <c r="BP599" s="10"/>
      <c r="BW599" s="10"/>
      <c r="CF599" s="10"/>
      <c r="CM599" s="10"/>
      <c r="CP599" s="18" t="str">
        <f ca="1"/>
        <v/>
      </c>
      <c r="CQ599" s="18" t="str">
        <f ca="1"/>
        <v/>
      </c>
      <c r="CR599" s="18" t="str">
        <f ca="1"/>
        <v/>
      </c>
      <c r="CS599" s="18" t="str">
        <f ca="1"/>
        <v/>
      </c>
      <c r="CT599" s="18" t="str">
        <f ca="1"/>
        <v/>
      </c>
      <c r="CV599" s="10"/>
      <c r="CY599" s="18" t="str">
        <f ca="1"/>
        <v/>
      </c>
      <c r="CZ599" s="18" t="str">
        <f ca="1"/>
        <v/>
      </c>
      <c r="DA599" s="18" t="str">
        <f ca="1"/>
        <v/>
      </c>
      <c r="DC599" s="10"/>
    </row>
    <row r="600" spans="1:107" x14ac:dyDescent="0.25">
      <c r="A600" s="46"/>
      <c r="B600" s="52"/>
      <c r="C600" s="52"/>
      <c r="D600" s="16"/>
      <c r="E600" s="52"/>
      <c r="F600" s="52"/>
      <c r="G600" s="50"/>
      <c r="H600" s="17" t="str">
        <f ca="1">IFERROR(__xludf.DUMMYFUNCTION("""COMPUTED_VALUE"""),"")</f>
        <v/>
      </c>
      <c r="I600" s="50" t="s">
        <v>29</v>
      </c>
      <c r="J600" s="50" t="s">
        <v>29</v>
      </c>
      <c r="K600" s="50" t="s">
        <v>29</v>
      </c>
      <c r="L600" s="50" t="s">
        <v>29</v>
      </c>
      <c r="M600" s="50" t="s">
        <v>29</v>
      </c>
      <c r="N600" s="49"/>
      <c r="P600" s="19"/>
      <c r="Q600" s="18" t="str">
        <f ca="1">IFERROR(__xludf.DUMMYFUNCTION("""COMPUTED_VALUE"""),"")</f>
        <v/>
      </c>
      <c r="R600" s="19"/>
      <c r="S600" s="20"/>
      <c r="BP600" s="10"/>
      <c r="BW600" s="10"/>
      <c r="CF600" s="10"/>
      <c r="CM600" s="10"/>
      <c r="CP600" s="18" t="str">
        <f ca="1"/>
        <v/>
      </c>
      <c r="CQ600" s="18" t="str">
        <f ca="1"/>
        <v/>
      </c>
      <c r="CR600" s="18" t="str">
        <f ca="1"/>
        <v/>
      </c>
      <c r="CS600" s="18" t="str">
        <f ca="1"/>
        <v/>
      </c>
      <c r="CT600" s="18" t="str">
        <f ca="1"/>
        <v/>
      </c>
      <c r="CV600" s="10"/>
      <c r="CY600" s="18" t="str">
        <f ca="1"/>
        <v/>
      </c>
      <c r="CZ600" s="18" t="str">
        <f ca="1"/>
        <v/>
      </c>
      <c r="DA600" s="18" t="str">
        <f ca="1"/>
        <v/>
      </c>
      <c r="DC600" s="10"/>
    </row>
    <row r="601" spans="1:107" x14ac:dyDescent="0.25">
      <c r="A601" s="46"/>
      <c r="B601" s="52"/>
      <c r="C601" s="52"/>
      <c r="D601" s="16"/>
      <c r="E601" s="52"/>
      <c r="F601" s="52"/>
      <c r="G601" s="50"/>
      <c r="H601" s="17" t="str">
        <f ca="1">IFERROR(__xludf.DUMMYFUNCTION("""COMPUTED_VALUE"""),"")</f>
        <v/>
      </c>
      <c r="I601" s="50" t="s">
        <v>29</v>
      </c>
      <c r="J601" s="50" t="s">
        <v>29</v>
      </c>
      <c r="K601" s="50" t="s">
        <v>29</v>
      </c>
      <c r="L601" s="50" t="s">
        <v>29</v>
      </c>
      <c r="M601" s="50" t="s">
        <v>29</v>
      </c>
      <c r="N601" s="49"/>
      <c r="P601" s="19"/>
      <c r="Q601" s="18" t="str">
        <f ca="1">IFERROR(__xludf.DUMMYFUNCTION("""COMPUTED_VALUE"""),"")</f>
        <v/>
      </c>
      <c r="R601" s="19"/>
      <c r="S601" s="20"/>
      <c r="BP601" s="10"/>
      <c r="BW601" s="10"/>
      <c r="CF601" s="10"/>
      <c r="CM601" s="10"/>
      <c r="CP601" s="18" t="str">
        <f ca="1"/>
        <v/>
      </c>
      <c r="CQ601" s="18" t="str">
        <f ca="1"/>
        <v/>
      </c>
      <c r="CR601" s="18" t="str">
        <f ca="1"/>
        <v/>
      </c>
      <c r="CS601" s="18" t="str">
        <f ca="1"/>
        <v/>
      </c>
      <c r="CT601" s="18" t="str">
        <f ca="1"/>
        <v/>
      </c>
      <c r="CV601" s="10"/>
      <c r="CY601" s="18" t="str">
        <f ca="1"/>
        <v/>
      </c>
      <c r="CZ601" s="18" t="str">
        <f ca="1"/>
        <v/>
      </c>
      <c r="DA601" s="18" t="str">
        <f ca="1"/>
        <v/>
      </c>
      <c r="DC601" s="10"/>
    </row>
    <row r="602" spans="1:107" x14ac:dyDescent="0.25">
      <c r="A602" s="46"/>
      <c r="B602" s="52"/>
      <c r="C602" s="52"/>
      <c r="D602" s="16"/>
      <c r="E602" s="52"/>
      <c r="F602" s="52"/>
      <c r="G602" s="50"/>
      <c r="H602" s="17" t="str">
        <f ca="1">IFERROR(__xludf.DUMMYFUNCTION("""COMPUTED_VALUE"""),"")</f>
        <v/>
      </c>
      <c r="I602" s="50" t="s">
        <v>29</v>
      </c>
      <c r="J602" s="50" t="s">
        <v>29</v>
      </c>
      <c r="K602" s="50" t="s">
        <v>29</v>
      </c>
      <c r="L602" s="50" t="s">
        <v>29</v>
      </c>
      <c r="M602" s="50" t="s">
        <v>29</v>
      </c>
      <c r="N602" s="49"/>
      <c r="P602" s="19"/>
      <c r="Q602" s="18" t="str">
        <f ca="1">IFERROR(__xludf.DUMMYFUNCTION("""COMPUTED_VALUE"""),"")</f>
        <v/>
      </c>
      <c r="R602" s="19"/>
      <c r="S602" s="20"/>
      <c r="BP602" s="10"/>
      <c r="BW602" s="10"/>
      <c r="CF602" s="10"/>
      <c r="CM602" s="10"/>
      <c r="CP602" s="18" t="str">
        <f ca="1"/>
        <v/>
      </c>
      <c r="CQ602" s="18" t="str">
        <f ca="1"/>
        <v/>
      </c>
      <c r="CR602" s="18" t="str">
        <f ca="1"/>
        <v/>
      </c>
      <c r="CS602" s="18" t="str">
        <f ca="1"/>
        <v/>
      </c>
      <c r="CT602" s="18" t="str">
        <f ca="1"/>
        <v/>
      </c>
      <c r="CV602" s="10"/>
      <c r="CY602" s="18" t="str">
        <f ca="1"/>
        <v/>
      </c>
      <c r="CZ602" s="18" t="str">
        <f ca="1"/>
        <v/>
      </c>
      <c r="DA602" s="18" t="str">
        <f ca="1"/>
        <v/>
      </c>
      <c r="DC602" s="10"/>
    </row>
    <row r="603" spans="1:107" x14ac:dyDescent="0.25">
      <c r="A603" s="46"/>
      <c r="B603" s="52"/>
      <c r="C603" s="52"/>
      <c r="D603" s="16"/>
      <c r="E603" s="52"/>
      <c r="F603" s="52"/>
      <c r="G603" s="50"/>
      <c r="H603" s="17" t="str">
        <f ca="1">IFERROR(__xludf.DUMMYFUNCTION("""COMPUTED_VALUE"""),"")</f>
        <v/>
      </c>
      <c r="I603" s="50" t="s">
        <v>29</v>
      </c>
      <c r="J603" s="50" t="s">
        <v>29</v>
      </c>
      <c r="K603" s="50" t="s">
        <v>29</v>
      </c>
      <c r="L603" s="50" t="s">
        <v>29</v>
      </c>
      <c r="M603" s="50" t="s">
        <v>29</v>
      </c>
      <c r="N603" s="49"/>
      <c r="P603" s="19"/>
      <c r="Q603" s="18" t="str">
        <f ca="1">IFERROR(__xludf.DUMMYFUNCTION("""COMPUTED_VALUE"""),"")</f>
        <v/>
      </c>
      <c r="R603" s="19"/>
      <c r="S603" s="20"/>
      <c r="BP603" s="10"/>
      <c r="BW603" s="10"/>
      <c r="CF603" s="10"/>
      <c r="CM603" s="10"/>
      <c r="CP603" s="18" t="str">
        <f ca="1"/>
        <v/>
      </c>
      <c r="CQ603" s="18" t="str">
        <f ca="1"/>
        <v/>
      </c>
      <c r="CR603" s="18" t="str">
        <f ca="1"/>
        <v/>
      </c>
      <c r="CS603" s="18" t="str">
        <f ca="1"/>
        <v/>
      </c>
      <c r="CT603" s="18" t="str">
        <f ca="1"/>
        <v/>
      </c>
      <c r="CV603" s="10"/>
      <c r="CY603" s="18" t="str">
        <f ca="1"/>
        <v/>
      </c>
      <c r="CZ603" s="18" t="str">
        <f ca="1"/>
        <v/>
      </c>
      <c r="DA603" s="18" t="str">
        <f ca="1"/>
        <v/>
      </c>
      <c r="DC603" s="10"/>
    </row>
    <row r="604" spans="1:107" x14ac:dyDescent="0.25">
      <c r="A604" s="46"/>
      <c r="B604" s="52"/>
      <c r="C604" s="52"/>
      <c r="D604" s="16"/>
      <c r="E604" s="52"/>
      <c r="F604" s="52"/>
      <c r="G604" s="50"/>
      <c r="H604" s="17" t="str">
        <f ca="1">IFERROR(__xludf.DUMMYFUNCTION("""COMPUTED_VALUE"""),"")</f>
        <v/>
      </c>
      <c r="I604" s="50" t="s">
        <v>29</v>
      </c>
      <c r="J604" s="50" t="s">
        <v>29</v>
      </c>
      <c r="K604" s="50" t="s">
        <v>29</v>
      </c>
      <c r="L604" s="50" t="s">
        <v>29</v>
      </c>
      <c r="M604" s="50" t="s">
        <v>29</v>
      </c>
      <c r="N604" s="49"/>
      <c r="P604" s="19"/>
      <c r="Q604" s="18" t="str">
        <f ca="1">IFERROR(__xludf.DUMMYFUNCTION("""COMPUTED_VALUE"""),"")</f>
        <v/>
      </c>
      <c r="R604" s="19"/>
      <c r="S604" s="20"/>
      <c r="BP604" s="10"/>
      <c r="BW604" s="10"/>
      <c r="CF604" s="10"/>
      <c r="CM604" s="10"/>
      <c r="CP604" s="18" t="str">
        <f ca="1"/>
        <v/>
      </c>
      <c r="CQ604" s="18" t="str">
        <f ca="1"/>
        <v/>
      </c>
      <c r="CR604" s="18" t="str">
        <f ca="1"/>
        <v/>
      </c>
      <c r="CS604" s="18" t="str">
        <f ca="1"/>
        <v/>
      </c>
      <c r="CT604" s="18" t="str">
        <f ca="1"/>
        <v/>
      </c>
      <c r="CV604" s="10"/>
      <c r="CY604" s="18" t="str">
        <f ca="1"/>
        <v/>
      </c>
      <c r="CZ604" s="18" t="str">
        <f ca="1"/>
        <v/>
      </c>
      <c r="DA604" s="18" t="str">
        <f ca="1"/>
        <v/>
      </c>
      <c r="DC604" s="10"/>
    </row>
    <row r="605" spans="1:107" x14ac:dyDescent="0.25">
      <c r="A605" s="46"/>
      <c r="B605" s="52"/>
      <c r="C605" s="52"/>
      <c r="D605" s="16"/>
      <c r="E605" s="52"/>
      <c r="F605" s="52"/>
      <c r="G605" s="50"/>
      <c r="H605" s="17" t="str">
        <f ca="1">IFERROR(__xludf.DUMMYFUNCTION("""COMPUTED_VALUE"""),"")</f>
        <v/>
      </c>
      <c r="I605" s="50" t="s">
        <v>29</v>
      </c>
      <c r="J605" s="50" t="s">
        <v>29</v>
      </c>
      <c r="K605" s="50" t="s">
        <v>29</v>
      </c>
      <c r="L605" s="50" t="s">
        <v>29</v>
      </c>
      <c r="M605" s="50" t="s">
        <v>29</v>
      </c>
      <c r="N605" s="49"/>
      <c r="P605" s="19"/>
      <c r="Q605" s="18" t="str">
        <f ca="1">IFERROR(__xludf.DUMMYFUNCTION("""COMPUTED_VALUE"""),"")</f>
        <v/>
      </c>
      <c r="R605" s="19"/>
      <c r="S605" s="20"/>
      <c r="BP605" s="10"/>
      <c r="BW605" s="10"/>
      <c r="CF605" s="10"/>
      <c r="CM605" s="10"/>
      <c r="CP605" s="18" t="str">
        <f ca="1"/>
        <v/>
      </c>
      <c r="CQ605" s="18" t="str">
        <f ca="1"/>
        <v/>
      </c>
      <c r="CR605" s="18" t="str">
        <f ca="1"/>
        <v/>
      </c>
      <c r="CS605" s="18" t="str">
        <f ca="1"/>
        <v/>
      </c>
      <c r="CT605" s="18" t="str">
        <f ca="1"/>
        <v/>
      </c>
      <c r="CV605" s="10"/>
      <c r="CY605" s="18" t="str">
        <f ca="1"/>
        <v/>
      </c>
      <c r="CZ605" s="18" t="str">
        <f ca="1"/>
        <v/>
      </c>
      <c r="DA605" s="18" t="str">
        <f ca="1"/>
        <v/>
      </c>
      <c r="DC605" s="10"/>
    </row>
    <row r="606" spans="1:107" x14ac:dyDescent="0.25">
      <c r="A606" s="46"/>
      <c r="B606" s="52"/>
      <c r="C606" s="52"/>
      <c r="D606" s="16"/>
      <c r="E606" s="52"/>
      <c r="F606" s="52"/>
      <c r="G606" s="50"/>
      <c r="H606" s="17" t="str">
        <f ca="1">IFERROR(__xludf.DUMMYFUNCTION("""COMPUTED_VALUE"""),"")</f>
        <v/>
      </c>
      <c r="I606" s="50" t="s">
        <v>29</v>
      </c>
      <c r="J606" s="50" t="s">
        <v>29</v>
      </c>
      <c r="K606" s="50" t="s">
        <v>29</v>
      </c>
      <c r="L606" s="50" t="s">
        <v>29</v>
      </c>
      <c r="M606" s="50" t="s">
        <v>29</v>
      </c>
      <c r="N606" s="49"/>
      <c r="P606" s="19"/>
      <c r="Q606" s="18" t="str">
        <f ca="1">IFERROR(__xludf.DUMMYFUNCTION("""COMPUTED_VALUE"""),"")</f>
        <v/>
      </c>
      <c r="R606" s="19"/>
      <c r="S606" s="20"/>
      <c r="BP606" s="10"/>
      <c r="BW606" s="10"/>
      <c r="CF606" s="10"/>
      <c r="CM606" s="10"/>
      <c r="CP606" s="18" t="str">
        <f ca="1"/>
        <v/>
      </c>
      <c r="CQ606" s="18" t="str">
        <f ca="1"/>
        <v/>
      </c>
      <c r="CR606" s="18" t="str">
        <f ca="1"/>
        <v/>
      </c>
      <c r="CS606" s="18" t="str">
        <f ca="1"/>
        <v/>
      </c>
      <c r="CT606" s="18" t="str">
        <f ca="1"/>
        <v/>
      </c>
      <c r="CV606" s="10"/>
      <c r="CY606" s="18" t="str">
        <f ca="1"/>
        <v/>
      </c>
      <c r="CZ606" s="18" t="str">
        <f ca="1"/>
        <v/>
      </c>
      <c r="DA606" s="18" t="str">
        <f ca="1"/>
        <v/>
      </c>
      <c r="DC606" s="10"/>
    </row>
    <row r="607" spans="1:107" x14ac:dyDescent="0.25">
      <c r="A607" s="46"/>
      <c r="B607" s="52"/>
      <c r="C607" s="52"/>
      <c r="D607" s="16"/>
      <c r="E607" s="52"/>
      <c r="F607" s="52"/>
      <c r="G607" s="50"/>
      <c r="H607" s="17" t="str">
        <f ca="1">IFERROR(__xludf.DUMMYFUNCTION("""COMPUTED_VALUE"""),"")</f>
        <v/>
      </c>
      <c r="I607" s="50" t="s">
        <v>29</v>
      </c>
      <c r="J607" s="50" t="s">
        <v>29</v>
      </c>
      <c r="K607" s="50" t="s">
        <v>29</v>
      </c>
      <c r="L607" s="50" t="s">
        <v>29</v>
      </c>
      <c r="M607" s="50" t="s">
        <v>29</v>
      </c>
      <c r="N607" s="49"/>
      <c r="P607" s="19"/>
      <c r="Q607" s="18" t="str">
        <f ca="1">IFERROR(__xludf.DUMMYFUNCTION("""COMPUTED_VALUE"""),"")</f>
        <v/>
      </c>
      <c r="R607" s="19"/>
      <c r="S607" s="20"/>
      <c r="BP607" s="10"/>
      <c r="BW607" s="10"/>
      <c r="CF607" s="10"/>
      <c r="CM607" s="10"/>
      <c r="CP607" s="18" t="str">
        <f ca="1"/>
        <v/>
      </c>
      <c r="CQ607" s="18" t="str">
        <f ca="1"/>
        <v/>
      </c>
      <c r="CR607" s="18" t="str">
        <f ca="1"/>
        <v/>
      </c>
      <c r="CS607" s="18" t="str">
        <f ca="1"/>
        <v/>
      </c>
      <c r="CT607" s="18" t="str">
        <f ca="1"/>
        <v/>
      </c>
      <c r="CV607" s="10"/>
      <c r="CY607" s="18" t="str">
        <f ca="1"/>
        <v/>
      </c>
      <c r="CZ607" s="18" t="str">
        <f ca="1"/>
        <v/>
      </c>
      <c r="DA607" s="18" t="str">
        <f ca="1"/>
        <v/>
      </c>
      <c r="DC607" s="10"/>
    </row>
    <row r="608" spans="1:107" x14ac:dyDescent="0.25">
      <c r="A608" s="46"/>
      <c r="B608" s="52"/>
      <c r="C608" s="52"/>
      <c r="D608" s="16"/>
      <c r="E608" s="52"/>
      <c r="F608" s="52"/>
      <c r="G608" s="50"/>
      <c r="H608" s="17" t="str">
        <f ca="1">IFERROR(__xludf.DUMMYFUNCTION("""COMPUTED_VALUE"""),"")</f>
        <v/>
      </c>
      <c r="I608" s="50" t="s">
        <v>29</v>
      </c>
      <c r="J608" s="50" t="s">
        <v>29</v>
      </c>
      <c r="K608" s="50" t="s">
        <v>29</v>
      </c>
      <c r="L608" s="50" t="s">
        <v>29</v>
      </c>
      <c r="M608" s="50" t="s">
        <v>29</v>
      </c>
      <c r="N608" s="49"/>
      <c r="P608" s="19"/>
      <c r="Q608" s="18" t="str">
        <f ca="1">IFERROR(__xludf.DUMMYFUNCTION("""COMPUTED_VALUE"""),"")</f>
        <v/>
      </c>
      <c r="R608" s="19"/>
      <c r="S608" s="20"/>
      <c r="BP608" s="10"/>
      <c r="BW608" s="10"/>
      <c r="CF608" s="10"/>
      <c r="CM608" s="10"/>
      <c r="CP608" s="18" t="str">
        <f ca="1"/>
        <v/>
      </c>
      <c r="CQ608" s="18" t="str">
        <f ca="1"/>
        <v/>
      </c>
      <c r="CR608" s="18" t="str">
        <f ca="1"/>
        <v/>
      </c>
      <c r="CS608" s="18" t="str">
        <f ca="1"/>
        <v/>
      </c>
      <c r="CT608" s="18" t="str">
        <f ca="1"/>
        <v/>
      </c>
      <c r="CV608" s="10"/>
      <c r="CY608" s="18" t="str">
        <f ca="1"/>
        <v/>
      </c>
      <c r="CZ608" s="18" t="str">
        <f ca="1"/>
        <v/>
      </c>
      <c r="DA608" s="18" t="str">
        <f ca="1"/>
        <v/>
      </c>
      <c r="DC608" s="10"/>
    </row>
    <row r="609" spans="1:107" x14ac:dyDescent="0.25">
      <c r="A609" s="46"/>
      <c r="B609" s="52"/>
      <c r="C609" s="52"/>
      <c r="D609" s="16"/>
      <c r="E609" s="52"/>
      <c r="F609" s="52"/>
      <c r="G609" s="50"/>
      <c r="H609" s="17" t="str">
        <f ca="1">IFERROR(__xludf.DUMMYFUNCTION("""COMPUTED_VALUE"""),"")</f>
        <v/>
      </c>
      <c r="I609" s="50" t="s">
        <v>29</v>
      </c>
      <c r="J609" s="50" t="s">
        <v>29</v>
      </c>
      <c r="K609" s="50" t="s">
        <v>29</v>
      </c>
      <c r="L609" s="50" t="s">
        <v>29</v>
      </c>
      <c r="M609" s="50" t="s">
        <v>29</v>
      </c>
      <c r="N609" s="49"/>
      <c r="P609" s="19"/>
      <c r="Q609" s="18" t="str">
        <f ca="1">IFERROR(__xludf.DUMMYFUNCTION("""COMPUTED_VALUE"""),"")</f>
        <v/>
      </c>
      <c r="R609" s="19"/>
      <c r="S609" s="20"/>
      <c r="BP609" s="10"/>
      <c r="BW609" s="10"/>
      <c r="CF609" s="10"/>
      <c r="CM609" s="10"/>
      <c r="CP609" s="18" t="str">
        <f ca="1"/>
        <v/>
      </c>
      <c r="CQ609" s="18" t="str">
        <f ca="1"/>
        <v/>
      </c>
      <c r="CR609" s="18" t="str">
        <f ca="1"/>
        <v/>
      </c>
      <c r="CS609" s="18" t="str">
        <f ca="1"/>
        <v/>
      </c>
      <c r="CT609" s="18" t="str">
        <f ca="1"/>
        <v/>
      </c>
      <c r="CV609" s="10"/>
      <c r="CY609" s="18" t="str">
        <f ca="1"/>
        <v/>
      </c>
      <c r="CZ609" s="18" t="str">
        <f ca="1"/>
        <v/>
      </c>
      <c r="DA609" s="18" t="str">
        <f ca="1"/>
        <v/>
      </c>
      <c r="DC609" s="10"/>
    </row>
    <row r="610" spans="1:107" x14ac:dyDescent="0.25">
      <c r="A610" s="46"/>
      <c r="B610" s="52"/>
      <c r="C610" s="52"/>
      <c r="D610" s="16"/>
      <c r="E610" s="52"/>
      <c r="F610" s="52"/>
      <c r="G610" s="50"/>
      <c r="H610" s="17" t="str">
        <f ca="1">IFERROR(__xludf.DUMMYFUNCTION("""COMPUTED_VALUE"""),"")</f>
        <v/>
      </c>
      <c r="I610" s="50" t="s">
        <v>29</v>
      </c>
      <c r="J610" s="50" t="s">
        <v>29</v>
      </c>
      <c r="K610" s="50" t="s">
        <v>29</v>
      </c>
      <c r="L610" s="50" t="s">
        <v>29</v>
      </c>
      <c r="M610" s="50" t="s">
        <v>29</v>
      </c>
      <c r="N610" s="49"/>
      <c r="P610" s="19"/>
      <c r="Q610" s="18" t="str">
        <f ca="1">IFERROR(__xludf.DUMMYFUNCTION("""COMPUTED_VALUE"""),"")</f>
        <v/>
      </c>
      <c r="R610" s="19"/>
      <c r="S610" s="20"/>
      <c r="BP610" s="10"/>
      <c r="BW610" s="10"/>
      <c r="CF610" s="10"/>
      <c r="CM610" s="10"/>
      <c r="CP610" s="18" t="str">
        <f ca="1"/>
        <v/>
      </c>
      <c r="CQ610" s="18" t="str">
        <f ca="1"/>
        <v/>
      </c>
      <c r="CR610" s="18" t="str">
        <f ca="1"/>
        <v/>
      </c>
      <c r="CS610" s="18" t="str">
        <f ca="1"/>
        <v/>
      </c>
      <c r="CT610" s="18" t="str">
        <f ca="1"/>
        <v/>
      </c>
      <c r="CV610" s="10"/>
      <c r="CY610" s="18" t="str">
        <f ca="1"/>
        <v/>
      </c>
      <c r="CZ610" s="18" t="str">
        <f ca="1"/>
        <v/>
      </c>
      <c r="DA610" s="18" t="str">
        <f ca="1"/>
        <v/>
      </c>
      <c r="DC610" s="10"/>
    </row>
    <row r="611" spans="1:107" x14ac:dyDescent="0.25">
      <c r="A611" s="46"/>
      <c r="B611" s="52"/>
      <c r="C611" s="52"/>
      <c r="D611" s="16"/>
      <c r="E611" s="52"/>
      <c r="F611" s="52"/>
      <c r="G611" s="50"/>
      <c r="H611" s="17" t="str">
        <f ca="1">IFERROR(__xludf.DUMMYFUNCTION("""COMPUTED_VALUE"""),"")</f>
        <v/>
      </c>
      <c r="I611" s="50" t="s">
        <v>29</v>
      </c>
      <c r="J611" s="50" t="s">
        <v>29</v>
      </c>
      <c r="K611" s="50" t="s">
        <v>29</v>
      </c>
      <c r="L611" s="50" t="s">
        <v>29</v>
      </c>
      <c r="M611" s="50" t="s">
        <v>29</v>
      </c>
      <c r="N611" s="49"/>
      <c r="P611" s="19"/>
      <c r="Q611" s="18" t="str">
        <f ca="1">IFERROR(__xludf.DUMMYFUNCTION("""COMPUTED_VALUE"""),"")</f>
        <v/>
      </c>
      <c r="R611" s="19"/>
      <c r="S611" s="20"/>
      <c r="BP611" s="10"/>
      <c r="BW611" s="10"/>
      <c r="CF611" s="10"/>
      <c r="CM611" s="10"/>
      <c r="CP611" s="18" t="str">
        <f ca="1"/>
        <v/>
      </c>
      <c r="CQ611" s="18" t="str">
        <f ca="1"/>
        <v/>
      </c>
      <c r="CR611" s="18" t="str">
        <f ca="1"/>
        <v/>
      </c>
      <c r="CS611" s="18" t="str">
        <f ca="1"/>
        <v/>
      </c>
      <c r="CT611" s="18" t="str">
        <f ca="1"/>
        <v/>
      </c>
      <c r="CV611" s="10"/>
      <c r="CY611" s="18" t="str">
        <f ca="1"/>
        <v/>
      </c>
      <c r="CZ611" s="18" t="str">
        <f ca="1"/>
        <v/>
      </c>
      <c r="DA611" s="18" t="str">
        <f ca="1"/>
        <v/>
      </c>
      <c r="DC611" s="10"/>
    </row>
    <row r="612" spans="1:107" x14ac:dyDescent="0.25">
      <c r="A612" s="46"/>
      <c r="B612" s="52"/>
      <c r="C612" s="52"/>
      <c r="D612" s="16"/>
      <c r="E612" s="52"/>
      <c r="F612" s="52"/>
      <c r="G612" s="50"/>
      <c r="H612" s="17" t="str">
        <f ca="1">IFERROR(__xludf.DUMMYFUNCTION("""COMPUTED_VALUE"""),"")</f>
        <v/>
      </c>
      <c r="I612" s="50" t="s">
        <v>29</v>
      </c>
      <c r="J612" s="50" t="s">
        <v>29</v>
      </c>
      <c r="K612" s="50" t="s">
        <v>29</v>
      </c>
      <c r="L612" s="50" t="s">
        <v>29</v>
      </c>
      <c r="M612" s="50" t="s">
        <v>29</v>
      </c>
      <c r="N612" s="49"/>
      <c r="P612" s="19"/>
      <c r="Q612" s="18" t="str">
        <f ca="1">IFERROR(__xludf.DUMMYFUNCTION("""COMPUTED_VALUE"""),"")</f>
        <v/>
      </c>
      <c r="R612" s="19"/>
      <c r="S612" s="20"/>
      <c r="BP612" s="10"/>
      <c r="BW612" s="10"/>
      <c r="CF612" s="10"/>
      <c r="CM612" s="10"/>
      <c r="CP612" s="18" t="str">
        <f ca="1"/>
        <v/>
      </c>
      <c r="CQ612" s="18" t="str">
        <f ca="1"/>
        <v/>
      </c>
      <c r="CR612" s="18" t="str">
        <f ca="1"/>
        <v/>
      </c>
      <c r="CS612" s="18" t="str">
        <f ca="1"/>
        <v/>
      </c>
      <c r="CT612" s="18" t="str">
        <f ca="1"/>
        <v/>
      </c>
      <c r="CV612" s="10"/>
      <c r="CY612" s="18" t="str">
        <f ca="1"/>
        <v/>
      </c>
      <c r="CZ612" s="18" t="str">
        <f ca="1"/>
        <v/>
      </c>
      <c r="DA612" s="18" t="str">
        <f ca="1"/>
        <v/>
      </c>
      <c r="DC612" s="10"/>
    </row>
    <row r="613" spans="1:107" x14ac:dyDescent="0.25">
      <c r="A613" s="46"/>
      <c r="B613" s="52"/>
      <c r="C613" s="52"/>
      <c r="D613" s="16"/>
      <c r="E613" s="52"/>
      <c r="F613" s="52"/>
      <c r="G613" s="50"/>
      <c r="H613" s="17" t="str">
        <f ca="1">IFERROR(__xludf.DUMMYFUNCTION("""COMPUTED_VALUE"""),"")</f>
        <v/>
      </c>
      <c r="I613" s="50" t="s">
        <v>29</v>
      </c>
      <c r="J613" s="50" t="s">
        <v>29</v>
      </c>
      <c r="K613" s="50" t="s">
        <v>29</v>
      </c>
      <c r="L613" s="50" t="s">
        <v>29</v>
      </c>
      <c r="M613" s="50" t="s">
        <v>29</v>
      </c>
      <c r="N613" s="49"/>
      <c r="P613" s="19"/>
      <c r="Q613" s="18" t="str">
        <f ca="1">IFERROR(__xludf.DUMMYFUNCTION("""COMPUTED_VALUE"""),"")</f>
        <v/>
      </c>
      <c r="R613" s="19"/>
      <c r="S613" s="20"/>
      <c r="BP613" s="10"/>
      <c r="BW613" s="10"/>
      <c r="CF613" s="10"/>
      <c r="CM613" s="10"/>
      <c r="CP613" s="18" t="str">
        <f ca="1"/>
        <v/>
      </c>
      <c r="CQ613" s="18" t="str">
        <f ca="1"/>
        <v/>
      </c>
      <c r="CR613" s="18" t="str">
        <f ca="1"/>
        <v/>
      </c>
      <c r="CS613" s="18" t="str">
        <f ca="1"/>
        <v/>
      </c>
      <c r="CT613" s="18" t="str">
        <f ca="1"/>
        <v/>
      </c>
      <c r="CV613" s="10"/>
      <c r="CY613" s="18" t="str">
        <f ca="1"/>
        <v/>
      </c>
      <c r="CZ613" s="18" t="str">
        <f ca="1"/>
        <v/>
      </c>
      <c r="DA613" s="18" t="str">
        <f ca="1"/>
        <v/>
      </c>
      <c r="DC613" s="10"/>
    </row>
    <row r="614" spans="1:107" x14ac:dyDescent="0.25">
      <c r="A614" s="46"/>
      <c r="B614" s="52"/>
      <c r="C614" s="52"/>
      <c r="D614" s="16"/>
      <c r="E614" s="52"/>
      <c r="F614" s="52"/>
      <c r="G614" s="50"/>
      <c r="H614" s="17" t="str">
        <f ca="1">IFERROR(__xludf.DUMMYFUNCTION("""COMPUTED_VALUE"""),"")</f>
        <v/>
      </c>
      <c r="I614" s="50" t="s">
        <v>29</v>
      </c>
      <c r="J614" s="50" t="s">
        <v>29</v>
      </c>
      <c r="K614" s="50" t="s">
        <v>29</v>
      </c>
      <c r="L614" s="50" t="s">
        <v>29</v>
      </c>
      <c r="M614" s="50" t="s">
        <v>29</v>
      </c>
      <c r="N614" s="49"/>
      <c r="P614" s="19"/>
      <c r="Q614" s="18" t="str">
        <f ca="1">IFERROR(__xludf.DUMMYFUNCTION("""COMPUTED_VALUE"""),"")</f>
        <v/>
      </c>
      <c r="R614" s="19"/>
      <c r="S614" s="20"/>
      <c r="BP614" s="10"/>
      <c r="BW614" s="10"/>
      <c r="CF614" s="10"/>
      <c r="CM614" s="10"/>
      <c r="CP614" s="18" t="str">
        <f ca="1"/>
        <v/>
      </c>
      <c r="CQ614" s="18" t="str">
        <f ca="1"/>
        <v/>
      </c>
      <c r="CR614" s="18" t="str">
        <f ca="1"/>
        <v/>
      </c>
      <c r="CS614" s="18" t="str">
        <f ca="1"/>
        <v/>
      </c>
      <c r="CT614" s="18" t="str">
        <f ca="1"/>
        <v/>
      </c>
      <c r="CV614" s="10"/>
      <c r="CY614" s="18" t="str">
        <f ca="1"/>
        <v/>
      </c>
      <c r="CZ614" s="18" t="str">
        <f ca="1"/>
        <v/>
      </c>
      <c r="DA614" s="18" t="str">
        <f ca="1"/>
        <v/>
      </c>
      <c r="DC614" s="10"/>
    </row>
    <row r="615" spans="1:107" x14ac:dyDescent="0.25">
      <c r="A615" s="46"/>
      <c r="B615" s="52"/>
      <c r="C615" s="52"/>
      <c r="D615" s="16"/>
      <c r="E615" s="52"/>
      <c r="F615" s="52"/>
      <c r="G615" s="50"/>
      <c r="H615" s="17" t="str">
        <f ca="1">IFERROR(__xludf.DUMMYFUNCTION("""COMPUTED_VALUE"""),"")</f>
        <v/>
      </c>
      <c r="I615" s="50" t="s">
        <v>29</v>
      </c>
      <c r="J615" s="50" t="s">
        <v>29</v>
      </c>
      <c r="K615" s="50" t="s">
        <v>29</v>
      </c>
      <c r="L615" s="50" t="s">
        <v>29</v>
      </c>
      <c r="M615" s="50" t="s">
        <v>29</v>
      </c>
      <c r="N615" s="49"/>
      <c r="P615" s="19"/>
      <c r="Q615" s="18" t="str">
        <f ca="1">IFERROR(__xludf.DUMMYFUNCTION("""COMPUTED_VALUE"""),"")</f>
        <v/>
      </c>
      <c r="R615" s="19"/>
      <c r="S615" s="20"/>
      <c r="BP615" s="10"/>
      <c r="BW615" s="10"/>
      <c r="CF615" s="10"/>
      <c r="CM615" s="10"/>
      <c r="CP615" s="18" t="str">
        <f ca="1"/>
        <v/>
      </c>
      <c r="CQ615" s="18" t="str">
        <f ca="1"/>
        <v/>
      </c>
      <c r="CR615" s="18" t="str">
        <f ca="1"/>
        <v/>
      </c>
      <c r="CS615" s="18" t="str">
        <f ca="1"/>
        <v/>
      </c>
      <c r="CT615" s="18" t="str">
        <f ca="1"/>
        <v/>
      </c>
      <c r="CV615" s="10"/>
      <c r="CY615" s="18" t="str">
        <f ca="1"/>
        <v/>
      </c>
      <c r="CZ615" s="18" t="str">
        <f ca="1"/>
        <v/>
      </c>
      <c r="DA615" s="18" t="str">
        <f ca="1"/>
        <v/>
      </c>
      <c r="DC615" s="10"/>
    </row>
    <row r="616" spans="1:107" x14ac:dyDescent="0.25">
      <c r="A616" s="46"/>
      <c r="B616" s="52"/>
      <c r="C616" s="52"/>
      <c r="D616" s="16"/>
      <c r="E616" s="52"/>
      <c r="F616" s="52"/>
      <c r="G616" s="50"/>
      <c r="H616" s="17" t="str">
        <f ca="1">IFERROR(__xludf.DUMMYFUNCTION("""COMPUTED_VALUE"""),"")</f>
        <v/>
      </c>
      <c r="I616" s="50" t="s">
        <v>29</v>
      </c>
      <c r="J616" s="50" t="s">
        <v>29</v>
      </c>
      <c r="K616" s="50" t="s">
        <v>29</v>
      </c>
      <c r="L616" s="50" t="s">
        <v>29</v>
      </c>
      <c r="M616" s="50" t="s">
        <v>29</v>
      </c>
      <c r="N616" s="49"/>
      <c r="P616" s="19"/>
      <c r="Q616" s="18" t="str">
        <f ca="1">IFERROR(__xludf.DUMMYFUNCTION("""COMPUTED_VALUE"""),"")</f>
        <v/>
      </c>
      <c r="R616" s="19"/>
      <c r="S616" s="20"/>
      <c r="BP616" s="10"/>
      <c r="BW616" s="10"/>
      <c r="CF616" s="10"/>
      <c r="CM616" s="10"/>
      <c r="CP616" s="18" t="str">
        <f ca="1"/>
        <v/>
      </c>
      <c r="CQ616" s="18" t="str">
        <f ca="1"/>
        <v/>
      </c>
      <c r="CR616" s="18" t="str">
        <f ca="1"/>
        <v/>
      </c>
      <c r="CS616" s="18" t="str">
        <f ca="1"/>
        <v/>
      </c>
      <c r="CT616" s="18" t="str">
        <f ca="1"/>
        <v/>
      </c>
      <c r="CV616" s="10"/>
      <c r="CY616" s="18" t="str">
        <f ca="1"/>
        <v/>
      </c>
      <c r="CZ616" s="18" t="str">
        <f ca="1"/>
        <v/>
      </c>
      <c r="DA616" s="18" t="str">
        <f ca="1"/>
        <v/>
      </c>
      <c r="DC616" s="10"/>
    </row>
    <row r="617" spans="1:107" x14ac:dyDescent="0.25">
      <c r="A617" s="46"/>
      <c r="B617" s="52"/>
      <c r="C617" s="52"/>
      <c r="D617" s="16"/>
      <c r="E617" s="52"/>
      <c r="F617" s="52"/>
      <c r="G617" s="50"/>
      <c r="H617" s="17" t="str">
        <f ca="1">IFERROR(__xludf.DUMMYFUNCTION("""COMPUTED_VALUE"""),"")</f>
        <v/>
      </c>
      <c r="I617" s="50" t="s">
        <v>29</v>
      </c>
      <c r="J617" s="50" t="s">
        <v>29</v>
      </c>
      <c r="K617" s="50" t="s">
        <v>29</v>
      </c>
      <c r="L617" s="50" t="s">
        <v>29</v>
      </c>
      <c r="M617" s="50" t="s">
        <v>29</v>
      </c>
      <c r="N617" s="49"/>
      <c r="P617" s="19"/>
      <c r="Q617" s="18" t="str">
        <f ca="1">IFERROR(__xludf.DUMMYFUNCTION("""COMPUTED_VALUE"""),"")</f>
        <v/>
      </c>
      <c r="R617" s="19"/>
      <c r="S617" s="20"/>
      <c r="BP617" s="10"/>
      <c r="BW617" s="10"/>
      <c r="CF617" s="10"/>
      <c r="CM617" s="10"/>
      <c r="CP617" s="18" t="str">
        <f ca="1"/>
        <v/>
      </c>
      <c r="CQ617" s="18" t="str">
        <f ca="1"/>
        <v/>
      </c>
      <c r="CR617" s="18" t="str">
        <f ca="1"/>
        <v/>
      </c>
      <c r="CS617" s="18" t="str">
        <f ca="1"/>
        <v/>
      </c>
      <c r="CT617" s="18" t="str">
        <f ca="1"/>
        <v/>
      </c>
      <c r="CV617" s="10"/>
      <c r="CY617" s="18" t="str">
        <f ca="1"/>
        <v/>
      </c>
      <c r="CZ617" s="18" t="str">
        <f ca="1"/>
        <v/>
      </c>
      <c r="DA617" s="18" t="str">
        <f ca="1"/>
        <v/>
      </c>
      <c r="DC617" s="10"/>
    </row>
    <row r="618" spans="1:107" x14ac:dyDescent="0.25">
      <c r="A618" s="46"/>
      <c r="B618" s="52"/>
      <c r="C618" s="52"/>
      <c r="D618" s="16"/>
      <c r="E618" s="52"/>
      <c r="F618" s="52"/>
      <c r="G618" s="50"/>
      <c r="H618" s="17" t="str">
        <f ca="1">IFERROR(__xludf.DUMMYFUNCTION("""COMPUTED_VALUE"""),"")</f>
        <v/>
      </c>
      <c r="I618" s="50" t="s">
        <v>29</v>
      </c>
      <c r="J618" s="50" t="s">
        <v>29</v>
      </c>
      <c r="K618" s="50" t="s">
        <v>29</v>
      </c>
      <c r="L618" s="50" t="s">
        <v>29</v>
      </c>
      <c r="M618" s="50" t="s">
        <v>29</v>
      </c>
      <c r="N618" s="49"/>
      <c r="P618" s="19"/>
      <c r="Q618" s="18" t="str">
        <f ca="1">IFERROR(__xludf.DUMMYFUNCTION("""COMPUTED_VALUE"""),"")</f>
        <v/>
      </c>
      <c r="R618" s="19"/>
      <c r="S618" s="20"/>
      <c r="BP618" s="10"/>
      <c r="BW618" s="10"/>
      <c r="CF618" s="10"/>
      <c r="CM618" s="10"/>
      <c r="CP618" s="18" t="str">
        <f ca="1"/>
        <v/>
      </c>
      <c r="CQ618" s="18" t="str">
        <f ca="1"/>
        <v/>
      </c>
      <c r="CR618" s="18" t="str">
        <f ca="1"/>
        <v/>
      </c>
      <c r="CS618" s="18" t="str">
        <f ca="1"/>
        <v/>
      </c>
      <c r="CT618" s="18" t="str">
        <f ca="1"/>
        <v/>
      </c>
      <c r="CV618" s="10"/>
      <c r="CY618" s="18" t="str">
        <f ca="1"/>
        <v/>
      </c>
      <c r="CZ618" s="18" t="str">
        <f ca="1"/>
        <v/>
      </c>
      <c r="DA618" s="18" t="str">
        <f ca="1"/>
        <v/>
      </c>
      <c r="DC618" s="10"/>
    </row>
    <row r="619" spans="1:107" x14ac:dyDescent="0.25">
      <c r="A619" s="46"/>
      <c r="B619" s="52"/>
      <c r="C619" s="52"/>
      <c r="D619" s="16"/>
      <c r="E619" s="52"/>
      <c r="F619" s="52"/>
      <c r="G619" s="50"/>
      <c r="H619" s="17" t="str">
        <f ca="1">IFERROR(__xludf.DUMMYFUNCTION("""COMPUTED_VALUE"""),"")</f>
        <v/>
      </c>
      <c r="I619" s="50" t="s">
        <v>29</v>
      </c>
      <c r="J619" s="50" t="s">
        <v>29</v>
      </c>
      <c r="K619" s="50" t="s">
        <v>29</v>
      </c>
      <c r="L619" s="50" t="s">
        <v>29</v>
      </c>
      <c r="M619" s="50" t="s">
        <v>29</v>
      </c>
      <c r="N619" s="49"/>
      <c r="P619" s="19"/>
      <c r="Q619" s="18" t="str">
        <f ca="1">IFERROR(__xludf.DUMMYFUNCTION("""COMPUTED_VALUE"""),"")</f>
        <v/>
      </c>
      <c r="R619" s="19"/>
      <c r="S619" s="20"/>
      <c r="BP619" s="10"/>
      <c r="BW619" s="10"/>
      <c r="CF619" s="10"/>
      <c r="CM619" s="10"/>
      <c r="CP619" s="18" t="str">
        <f ca="1"/>
        <v/>
      </c>
      <c r="CQ619" s="18" t="str">
        <f ca="1"/>
        <v/>
      </c>
      <c r="CR619" s="18" t="str">
        <f ca="1"/>
        <v/>
      </c>
      <c r="CS619" s="18" t="str">
        <f ca="1"/>
        <v/>
      </c>
      <c r="CT619" s="18" t="str">
        <f ca="1"/>
        <v/>
      </c>
      <c r="CV619" s="10"/>
      <c r="CY619" s="18" t="str">
        <f ca="1"/>
        <v/>
      </c>
      <c r="CZ619" s="18" t="str">
        <f ca="1"/>
        <v/>
      </c>
      <c r="DA619" s="18" t="str">
        <f ca="1"/>
        <v/>
      </c>
      <c r="DC619" s="10"/>
    </row>
    <row r="620" spans="1:107" x14ac:dyDescent="0.25">
      <c r="A620" s="46"/>
      <c r="B620" s="52"/>
      <c r="C620" s="52"/>
      <c r="D620" s="16"/>
      <c r="E620" s="52"/>
      <c r="F620" s="52"/>
      <c r="G620" s="50"/>
      <c r="H620" s="17" t="str">
        <f ca="1">IFERROR(__xludf.DUMMYFUNCTION("""COMPUTED_VALUE"""),"")</f>
        <v/>
      </c>
      <c r="I620" s="50" t="s">
        <v>29</v>
      </c>
      <c r="J620" s="50" t="s">
        <v>29</v>
      </c>
      <c r="K620" s="50" t="s">
        <v>29</v>
      </c>
      <c r="L620" s="50" t="s">
        <v>29</v>
      </c>
      <c r="M620" s="50" t="s">
        <v>29</v>
      </c>
      <c r="N620" s="49"/>
      <c r="P620" s="19"/>
      <c r="Q620" s="18" t="str">
        <f ca="1">IFERROR(__xludf.DUMMYFUNCTION("""COMPUTED_VALUE"""),"")</f>
        <v/>
      </c>
      <c r="R620" s="19"/>
      <c r="S620" s="20"/>
      <c r="BP620" s="10"/>
      <c r="BW620" s="10"/>
      <c r="CF620" s="10"/>
      <c r="CM620" s="10"/>
      <c r="CP620" s="18" t="str">
        <f ca="1"/>
        <v/>
      </c>
      <c r="CQ620" s="18" t="str">
        <f ca="1"/>
        <v/>
      </c>
      <c r="CR620" s="18" t="str">
        <f ca="1"/>
        <v/>
      </c>
      <c r="CS620" s="18" t="str">
        <f ca="1"/>
        <v/>
      </c>
      <c r="CT620" s="18" t="str">
        <f ca="1"/>
        <v/>
      </c>
      <c r="CV620" s="10"/>
      <c r="CY620" s="18" t="str">
        <f ca="1"/>
        <v/>
      </c>
      <c r="CZ620" s="18" t="str">
        <f ca="1"/>
        <v/>
      </c>
      <c r="DA620" s="18" t="str">
        <f ca="1"/>
        <v/>
      </c>
      <c r="DC620" s="10"/>
    </row>
    <row r="621" spans="1:107" x14ac:dyDescent="0.25">
      <c r="A621" s="46"/>
      <c r="B621" s="52"/>
      <c r="C621" s="52"/>
      <c r="D621" s="16"/>
      <c r="E621" s="52"/>
      <c r="F621" s="52"/>
      <c r="G621" s="50"/>
      <c r="H621" s="17" t="str">
        <f ca="1">IFERROR(__xludf.DUMMYFUNCTION("""COMPUTED_VALUE"""),"")</f>
        <v/>
      </c>
      <c r="I621" s="50" t="s">
        <v>29</v>
      </c>
      <c r="J621" s="50" t="s">
        <v>29</v>
      </c>
      <c r="K621" s="50" t="s">
        <v>29</v>
      </c>
      <c r="L621" s="50" t="s">
        <v>29</v>
      </c>
      <c r="M621" s="50" t="s">
        <v>29</v>
      </c>
      <c r="N621" s="49"/>
      <c r="P621" s="19"/>
      <c r="Q621" s="18" t="str">
        <f ca="1">IFERROR(__xludf.DUMMYFUNCTION("""COMPUTED_VALUE"""),"")</f>
        <v/>
      </c>
      <c r="R621" s="19"/>
      <c r="S621" s="20"/>
      <c r="BP621" s="10"/>
      <c r="BW621" s="10"/>
      <c r="CF621" s="10"/>
      <c r="CM621" s="10"/>
      <c r="CP621" s="18" t="str">
        <f ca="1"/>
        <v/>
      </c>
      <c r="CQ621" s="18" t="str">
        <f ca="1"/>
        <v/>
      </c>
      <c r="CR621" s="18" t="str">
        <f ca="1"/>
        <v/>
      </c>
      <c r="CS621" s="18" t="str">
        <f ca="1"/>
        <v/>
      </c>
      <c r="CT621" s="18" t="str">
        <f ca="1"/>
        <v/>
      </c>
      <c r="CV621" s="10"/>
      <c r="CY621" s="18" t="str">
        <f ca="1"/>
        <v/>
      </c>
      <c r="CZ621" s="18" t="str">
        <f ca="1"/>
        <v/>
      </c>
      <c r="DA621" s="18" t="str">
        <f ca="1"/>
        <v/>
      </c>
      <c r="DC621" s="10"/>
    </row>
    <row r="622" spans="1:107" x14ac:dyDescent="0.25">
      <c r="A622" s="46"/>
      <c r="B622" s="52"/>
      <c r="C622" s="52"/>
      <c r="D622" s="16"/>
      <c r="E622" s="52"/>
      <c r="F622" s="52"/>
      <c r="G622" s="50"/>
      <c r="H622" s="17" t="str">
        <f ca="1">IFERROR(__xludf.DUMMYFUNCTION("""COMPUTED_VALUE"""),"")</f>
        <v/>
      </c>
      <c r="I622" s="50" t="s">
        <v>29</v>
      </c>
      <c r="J622" s="50" t="s">
        <v>29</v>
      </c>
      <c r="K622" s="50" t="s">
        <v>29</v>
      </c>
      <c r="L622" s="50" t="s">
        <v>29</v>
      </c>
      <c r="M622" s="50" t="s">
        <v>29</v>
      </c>
      <c r="N622" s="49"/>
      <c r="P622" s="19"/>
      <c r="Q622" s="18" t="str">
        <f ca="1">IFERROR(__xludf.DUMMYFUNCTION("""COMPUTED_VALUE"""),"")</f>
        <v/>
      </c>
      <c r="R622" s="19"/>
      <c r="S622" s="20"/>
      <c r="BP622" s="10"/>
      <c r="BW622" s="10"/>
      <c r="CF622" s="10"/>
      <c r="CM622" s="10"/>
      <c r="CP622" s="18" t="str">
        <f ca="1"/>
        <v/>
      </c>
      <c r="CQ622" s="18" t="str">
        <f ca="1"/>
        <v/>
      </c>
      <c r="CR622" s="18" t="str">
        <f ca="1"/>
        <v/>
      </c>
      <c r="CS622" s="18" t="str">
        <f ca="1"/>
        <v/>
      </c>
      <c r="CT622" s="18" t="str">
        <f ca="1"/>
        <v/>
      </c>
      <c r="CV622" s="10"/>
      <c r="CY622" s="18" t="str">
        <f ca="1"/>
        <v/>
      </c>
      <c r="CZ622" s="18" t="str">
        <f ca="1"/>
        <v/>
      </c>
      <c r="DA622" s="18" t="str">
        <f ca="1"/>
        <v/>
      </c>
      <c r="DC622" s="10"/>
    </row>
    <row r="623" spans="1:107" x14ac:dyDescent="0.25">
      <c r="A623" s="46"/>
      <c r="B623" s="52"/>
      <c r="C623" s="52"/>
      <c r="D623" s="16"/>
      <c r="E623" s="52"/>
      <c r="F623" s="52"/>
      <c r="G623" s="50"/>
      <c r="H623" s="17" t="str">
        <f ca="1">IFERROR(__xludf.DUMMYFUNCTION("""COMPUTED_VALUE"""),"")</f>
        <v/>
      </c>
      <c r="I623" s="50" t="s">
        <v>29</v>
      </c>
      <c r="J623" s="50" t="s">
        <v>29</v>
      </c>
      <c r="K623" s="50" t="s">
        <v>29</v>
      </c>
      <c r="L623" s="50" t="s">
        <v>29</v>
      </c>
      <c r="M623" s="50" t="s">
        <v>29</v>
      </c>
      <c r="N623" s="49"/>
      <c r="P623" s="19"/>
      <c r="Q623" s="18" t="str">
        <f ca="1">IFERROR(__xludf.DUMMYFUNCTION("""COMPUTED_VALUE"""),"")</f>
        <v/>
      </c>
      <c r="R623" s="19"/>
      <c r="S623" s="20"/>
      <c r="BP623" s="10"/>
      <c r="BW623" s="10"/>
      <c r="CF623" s="10"/>
      <c r="CM623" s="10"/>
      <c r="CP623" s="18" t="str">
        <f ca="1"/>
        <v/>
      </c>
      <c r="CQ623" s="18" t="str">
        <f ca="1"/>
        <v/>
      </c>
      <c r="CR623" s="18" t="str">
        <f ca="1"/>
        <v/>
      </c>
      <c r="CS623" s="18" t="str">
        <f ca="1"/>
        <v/>
      </c>
      <c r="CT623" s="18" t="str">
        <f ca="1"/>
        <v/>
      </c>
      <c r="CV623" s="10"/>
      <c r="CY623" s="18" t="str">
        <f ca="1"/>
        <v/>
      </c>
      <c r="CZ623" s="18" t="str">
        <f ca="1"/>
        <v/>
      </c>
      <c r="DA623" s="18" t="str">
        <f ca="1"/>
        <v/>
      </c>
      <c r="DC623" s="10"/>
    </row>
    <row r="624" spans="1:107" x14ac:dyDescent="0.25">
      <c r="A624" s="46"/>
      <c r="B624" s="52"/>
      <c r="C624" s="52"/>
      <c r="D624" s="16"/>
      <c r="E624" s="52"/>
      <c r="F624" s="52"/>
      <c r="G624" s="50"/>
      <c r="H624" s="17" t="str">
        <f ca="1">IFERROR(__xludf.DUMMYFUNCTION("""COMPUTED_VALUE"""),"")</f>
        <v/>
      </c>
      <c r="I624" s="50" t="s">
        <v>29</v>
      </c>
      <c r="J624" s="50" t="s">
        <v>29</v>
      </c>
      <c r="K624" s="50" t="s">
        <v>29</v>
      </c>
      <c r="L624" s="50" t="s">
        <v>29</v>
      </c>
      <c r="M624" s="50" t="s">
        <v>29</v>
      </c>
      <c r="N624" s="49"/>
      <c r="P624" s="19"/>
      <c r="Q624" s="18" t="str">
        <f ca="1">IFERROR(__xludf.DUMMYFUNCTION("""COMPUTED_VALUE"""),"")</f>
        <v/>
      </c>
      <c r="R624" s="19"/>
      <c r="S624" s="20"/>
      <c r="BP624" s="10"/>
      <c r="BW624" s="10"/>
      <c r="CF624" s="10"/>
      <c r="CM624" s="10"/>
      <c r="CP624" s="18" t="str">
        <f ca="1"/>
        <v/>
      </c>
      <c r="CQ624" s="18" t="str">
        <f ca="1"/>
        <v/>
      </c>
      <c r="CR624" s="18" t="str">
        <f ca="1"/>
        <v/>
      </c>
      <c r="CS624" s="18" t="str">
        <f ca="1"/>
        <v/>
      </c>
      <c r="CT624" s="18" t="str">
        <f ca="1"/>
        <v/>
      </c>
      <c r="CV624" s="10"/>
      <c r="CY624" s="18" t="str">
        <f ca="1"/>
        <v/>
      </c>
      <c r="CZ624" s="18" t="str">
        <f ca="1"/>
        <v/>
      </c>
      <c r="DA624" s="18" t="str">
        <f ca="1"/>
        <v/>
      </c>
      <c r="DC624" s="10"/>
    </row>
    <row r="625" spans="1:107" x14ac:dyDescent="0.25">
      <c r="A625" s="46"/>
      <c r="B625" s="52"/>
      <c r="C625" s="52"/>
      <c r="D625" s="16"/>
      <c r="E625" s="52"/>
      <c r="F625" s="52"/>
      <c r="G625" s="50"/>
      <c r="H625" s="17" t="str">
        <f ca="1">IFERROR(__xludf.DUMMYFUNCTION("""COMPUTED_VALUE"""),"")</f>
        <v/>
      </c>
      <c r="I625" s="50" t="s">
        <v>29</v>
      </c>
      <c r="J625" s="50" t="s">
        <v>29</v>
      </c>
      <c r="K625" s="50" t="s">
        <v>29</v>
      </c>
      <c r="L625" s="50" t="s">
        <v>29</v>
      </c>
      <c r="M625" s="50" t="s">
        <v>29</v>
      </c>
      <c r="N625" s="49"/>
      <c r="P625" s="19"/>
      <c r="Q625" s="18" t="str">
        <f ca="1">IFERROR(__xludf.DUMMYFUNCTION("""COMPUTED_VALUE"""),"")</f>
        <v/>
      </c>
      <c r="R625" s="19"/>
      <c r="S625" s="20"/>
      <c r="BP625" s="10"/>
      <c r="BW625" s="10"/>
      <c r="CF625" s="10"/>
      <c r="CM625" s="10"/>
      <c r="CP625" s="18" t="str">
        <f ca="1"/>
        <v/>
      </c>
      <c r="CQ625" s="18" t="str">
        <f ca="1"/>
        <v/>
      </c>
      <c r="CR625" s="18" t="str">
        <f ca="1"/>
        <v/>
      </c>
      <c r="CS625" s="18" t="str">
        <f ca="1"/>
        <v/>
      </c>
      <c r="CT625" s="18" t="str">
        <f ca="1"/>
        <v/>
      </c>
      <c r="CV625" s="10"/>
      <c r="CY625" s="18" t="str">
        <f ca="1"/>
        <v/>
      </c>
      <c r="CZ625" s="18" t="str">
        <f ca="1"/>
        <v/>
      </c>
      <c r="DA625" s="18" t="str">
        <f ca="1"/>
        <v/>
      </c>
      <c r="DC625" s="10"/>
    </row>
    <row r="626" spans="1:107" x14ac:dyDescent="0.25">
      <c r="A626" s="46"/>
      <c r="B626" s="52"/>
      <c r="C626" s="52"/>
      <c r="D626" s="16"/>
      <c r="E626" s="52"/>
      <c r="F626" s="52"/>
      <c r="G626" s="50"/>
      <c r="H626" s="17" t="str">
        <f ca="1">IFERROR(__xludf.DUMMYFUNCTION("""COMPUTED_VALUE"""),"")</f>
        <v/>
      </c>
      <c r="I626" s="50" t="s">
        <v>29</v>
      </c>
      <c r="J626" s="50" t="s">
        <v>29</v>
      </c>
      <c r="K626" s="50" t="s">
        <v>29</v>
      </c>
      <c r="L626" s="50" t="s">
        <v>29</v>
      </c>
      <c r="M626" s="50" t="s">
        <v>29</v>
      </c>
      <c r="N626" s="49"/>
      <c r="P626" s="19"/>
      <c r="Q626" s="18" t="str">
        <f ca="1">IFERROR(__xludf.DUMMYFUNCTION("""COMPUTED_VALUE"""),"")</f>
        <v/>
      </c>
      <c r="R626" s="19"/>
      <c r="S626" s="20"/>
      <c r="BP626" s="10"/>
      <c r="BW626" s="10"/>
      <c r="CF626" s="10"/>
      <c r="CM626" s="10"/>
      <c r="CP626" s="18" t="str">
        <f ca="1"/>
        <v/>
      </c>
      <c r="CQ626" s="18" t="str">
        <f ca="1"/>
        <v/>
      </c>
      <c r="CR626" s="18" t="str">
        <f ca="1"/>
        <v/>
      </c>
      <c r="CS626" s="18" t="str">
        <f ca="1"/>
        <v/>
      </c>
      <c r="CT626" s="18" t="str">
        <f ca="1"/>
        <v/>
      </c>
      <c r="CV626" s="10"/>
      <c r="CY626" s="18" t="str">
        <f ca="1"/>
        <v/>
      </c>
      <c r="CZ626" s="18" t="str">
        <f ca="1"/>
        <v/>
      </c>
      <c r="DA626" s="18" t="str">
        <f ca="1"/>
        <v/>
      </c>
      <c r="DC626" s="10"/>
    </row>
    <row r="627" spans="1:107" x14ac:dyDescent="0.25">
      <c r="A627" s="46"/>
      <c r="B627" s="52"/>
      <c r="C627" s="52"/>
      <c r="D627" s="16"/>
      <c r="E627" s="52"/>
      <c r="F627" s="52"/>
      <c r="G627" s="50"/>
      <c r="H627" s="17" t="str">
        <f ca="1">IFERROR(__xludf.DUMMYFUNCTION("""COMPUTED_VALUE"""),"")</f>
        <v/>
      </c>
      <c r="I627" s="50" t="s">
        <v>29</v>
      </c>
      <c r="J627" s="50" t="s">
        <v>29</v>
      </c>
      <c r="K627" s="50" t="s">
        <v>29</v>
      </c>
      <c r="L627" s="50" t="s">
        <v>29</v>
      </c>
      <c r="M627" s="50" t="s">
        <v>29</v>
      </c>
      <c r="N627" s="49"/>
      <c r="P627" s="19"/>
      <c r="Q627" s="18" t="str">
        <f ca="1">IFERROR(__xludf.DUMMYFUNCTION("""COMPUTED_VALUE"""),"")</f>
        <v/>
      </c>
      <c r="R627" s="19"/>
      <c r="S627" s="20"/>
      <c r="BP627" s="10"/>
      <c r="BW627" s="10"/>
      <c r="CF627" s="10"/>
      <c r="CM627" s="10"/>
      <c r="CP627" s="18" t="str">
        <f ca="1"/>
        <v/>
      </c>
      <c r="CQ627" s="18" t="str">
        <f ca="1"/>
        <v/>
      </c>
      <c r="CR627" s="18" t="str">
        <f ca="1"/>
        <v/>
      </c>
      <c r="CS627" s="18" t="str">
        <f ca="1"/>
        <v/>
      </c>
      <c r="CT627" s="18" t="str">
        <f ca="1"/>
        <v/>
      </c>
      <c r="CV627" s="10"/>
      <c r="CY627" s="18" t="str">
        <f ca="1"/>
        <v/>
      </c>
      <c r="CZ627" s="18" t="str">
        <f ca="1"/>
        <v/>
      </c>
      <c r="DA627" s="18" t="str">
        <f ca="1"/>
        <v/>
      </c>
      <c r="DC627" s="10"/>
    </row>
    <row r="628" spans="1:107" x14ac:dyDescent="0.25">
      <c r="A628" s="46"/>
      <c r="B628" s="52"/>
      <c r="C628" s="52"/>
      <c r="D628" s="16"/>
      <c r="E628" s="52"/>
      <c r="F628" s="52"/>
      <c r="G628" s="50"/>
      <c r="H628" s="17" t="str">
        <f ca="1">IFERROR(__xludf.DUMMYFUNCTION("""COMPUTED_VALUE"""),"")</f>
        <v/>
      </c>
      <c r="I628" s="50" t="s">
        <v>29</v>
      </c>
      <c r="J628" s="50" t="s">
        <v>29</v>
      </c>
      <c r="K628" s="50" t="s">
        <v>29</v>
      </c>
      <c r="L628" s="50" t="s">
        <v>29</v>
      </c>
      <c r="M628" s="50" t="s">
        <v>29</v>
      </c>
      <c r="N628" s="49"/>
      <c r="P628" s="19"/>
      <c r="Q628" s="18" t="str">
        <f ca="1">IFERROR(__xludf.DUMMYFUNCTION("""COMPUTED_VALUE"""),"")</f>
        <v/>
      </c>
      <c r="R628" s="19"/>
      <c r="S628" s="20"/>
      <c r="BP628" s="10"/>
      <c r="BW628" s="10"/>
      <c r="CF628" s="10"/>
      <c r="CM628" s="10"/>
      <c r="CP628" s="18" t="str">
        <f ca="1"/>
        <v/>
      </c>
      <c r="CQ628" s="18" t="str">
        <f ca="1"/>
        <v/>
      </c>
      <c r="CR628" s="18" t="str">
        <f ca="1"/>
        <v/>
      </c>
      <c r="CS628" s="18" t="str">
        <f ca="1"/>
        <v/>
      </c>
      <c r="CT628" s="18" t="str">
        <f ca="1"/>
        <v/>
      </c>
      <c r="CV628" s="10"/>
      <c r="CY628" s="18" t="str">
        <f ca="1"/>
        <v/>
      </c>
      <c r="CZ628" s="18" t="str">
        <f ca="1"/>
        <v/>
      </c>
      <c r="DA628" s="18" t="str">
        <f ca="1"/>
        <v/>
      </c>
      <c r="DC628" s="10"/>
    </row>
    <row r="629" spans="1:107" x14ac:dyDescent="0.25">
      <c r="A629" s="46"/>
      <c r="B629" s="52"/>
      <c r="C629" s="52"/>
      <c r="D629" s="16"/>
      <c r="E629" s="52"/>
      <c r="F629" s="52"/>
      <c r="G629" s="50"/>
      <c r="H629" s="17" t="str">
        <f ca="1">IFERROR(__xludf.DUMMYFUNCTION("""COMPUTED_VALUE"""),"")</f>
        <v/>
      </c>
      <c r="I629" s="50" t="s">
        <v>29</v>
      </c>
      <c r="J629" s="50" t="s">
        <v>29</v>
      </c>
      <c r="K629" s="50" t="s">
        <v>29</v>
      </c>
      <c r="L629" s="50" t="s">
        <v>29</v>
      </c>
      <c r="M629" s="50" t="s">
        <v>29</v>
      </c>
      <c r="N629" s="49"/>
      <c r="P629" s="19"/>
      <c r="Q629" s="18" t="str">
        <f ca="1">IFERROR(__xludf.DUMMYFUNCTION("""COMPUTED_VALUE"""),"")</f>
        <v/>
      </c>
      <c r="R629" s="19"/>
      <c r="S629" s="20"/>
      <c r="BP629" s="10"/>
      <c r="BW629" s="10"/>
      <c r="CF629" s="10"/>
      <c r="CM629" s="10"/>
      <c r="CP629" s="18" t="str">
        <f ca="1"/>
        <v/>
      </c>
      <c r="CQ629" s="18" t="str">
        <f ca="1"/>
        <v/>
      </c>
      <c r="CR629" s="18" t="str">
        <f ca="1"/>
        <v/>
      </c>
      <c r="CS629" s="18" t="str">
        <f ca="1"/>
        <v/>
      </c>
      <c r="CT629" s="18" t="str">
        <f ca="1"/>
        <v/>
      </c>
      <c r="CV629" s="10"/>
      <c r="CY629" s="18" t="str">
        <f ca="1"/>
        <v/>
      </c>
      <c r="CZ629" s="18" t="str">
        <f ca="1"/>
        <v/>
      </c>
      <c r="DA629" s="18" t="str">
        <f ca="1"/>
        <v/>
      </c>
      <c r="DC629" s="10"/>
    </row>
    <row r="630" spans="1:107" x14ac:dyDescent="0.25">
      <c r="A630" s="46"/>
      <c r="B630" s="52"/>
      <c r="C630" s="52"/>
      <c r="D630" s="16"/>
      <c r="E630" s="52"/>
      <c r="F630" s="52"/>
      <c r="G630" s="50"/>
      <c r="H630" s="17" t="str">
        <f ca="1">IFERROR(__xludf.DUMMYFUNCTION("""COMPUTED_VALUE"""),"")</f>
        <v/>
      </c>
      <c r="I630" s="50" t="s">
        <v>29</v>
      </c>
      <c r="J630" s="50" t="s">
        <v>29</v>
      </c>
      <c r="K630" s="50" t="s">
        <v>29</v>
      </c>
      <c r="L630" s="50" t="s">
        <v>29</v>
      </c>
      <c r="M630" s="50" t="s">
        <v>29</v>
      </c>
      <c r="N630" s="49"/>
      <c r="P630" s="19"/>
      <c r="Q630" s="18" t="str">
        <f ca="1">IFERROR(__xludf.DUMMYFUNCTION("""COMPUTED_VALUE"""),"")</f>
        <v/>
      </c>
      <c r="R630" s="19"/>
      <c r="S630" s="20"/>
      <c r="BP630" s="10"/>
      <c r="BW630" s="10"/>
      <c r="CF630" s="10"/>
      <c r="CM630" s="10"/>
      <c r="CP630" s="18" t="str">
        <f ca="1"/>
        <v/>
      </c>
      <c r="CQ630" s="18" t="str">
        <f ca="1"/>
        <v/>
      </c>
      <c r="CR630" s="18" t="str">
        <f ca="1"/>
        <v/>
      </c>
      <c r="CS630" s="18" t="str">
        <f ca="1"/>
        <v/>
      </c>
      <c r="CT630" s="18" t="str">
        <f ca="1"/>
        <v/>
      </c>
      <c r="CV630" s="10"/>
      <c r="CY630" s="18" t="str">
        <f ca="1"/>
        <v/>
      </c>
      <c r="CZ630" s="18" t="str">
        <f ca="1"/>
        <v/>
      </c>
      <c r="DA630" s="18" t="str">
        <f ca="1"/>
        <v/>
      </c>
      <c r="DC630" s="10"/>
    </row>
    <row r="631" spans="1:107" x14ac:dyDescent="0.25">
      <c r="A631" s="46"/>
      <c r="B631" s="52"/>
      <c r="C631" s="52"/>
      <c r="D631" s="16"/>
      <c r="E631" s="52"/>
      <c r="F631" s="52"/>
      <c r="G631" s="50"/>
      <c r="H631" s="17" t="str">
        <f ca="1">IFERROR(__xludf.DUMMYFUNCTION("""COMPUTED_VALUE"""),"")</f>
        <v/>
      </c>
      <c r="I631" s="50" t="s">
        <v>29</v>
      </c>
      <c r="J631" s="50" t="s">
        <v>29</v>
      </c>
      <c r="K631" s="50" t="s">
        <v>29</v>
      </c>
      <c r="L631" s="50" t="s">
        <v>29</v>
      </c>
      <c r="M631" s="50" t="s">
        <v>29</v>
      </c>
      <c r="N631" s="49"/>
      <c r="P631" s="19"/>
      <c r="Q631" s="18" t="str">
        <f ca="1">IFERROR(__xludf.DUMMYFUNCTION("""COMPUTED_VALUE"""),"")</f>
        <v/>
      </c>
      <c r="R631" s="19"/>
      <c r="S631" s="20"/>
      <c r="BP631" s="10"/>
      <c r="BW631" s="10"/>
      <c r="CF631" s="10"/>
      <c r="CM631" s="10"/>
      <c r="CP631" s="18" t="str">
        <f ca="1"/>
        <v/>
      </c>
      <c r="CQ631" s="18" t="str">
        <f ca="1"/>
        <v/>
      </c>
      <c r="CR631" s="18" t="str">
        <f ca="1"/>
        <v/>
      </c>
      <c r="CS631" s="18" t="str">
        <f ca="1"/>
        <v/>
      </c>
      <c r="CT631" s="18" t="str">
        <f ca="1"/>
        <v/>
      </c>
      <c r="CV631" s="10"/>
      <c r="CY631" s="18" t="str">
        <f ca="1"/>
        <v/>
      </c>
      <c r="CZ631" s="18" t="str">
        <f ca="1"/>
        <v/>
      </c>
      <c r="DA631" s="18" t="str">
        <f ca="1"/>
        <v/>
      </c>
      <c r="DC631" s="10"/>
    </row>
    <row r="632" spans="1:107" x14ac:dyDescent="0.25">
      <c r="A632" s="46"/>
      <c r="B632" s="52"/>
      <c r="C632" s="52"/>
      <c r="D632" s="16"/>
      <c r="E632" s="52"/>
      <c r="F632" s="52"/>
      <c r="G632" s="50"/>
      <c r="H632" s="17" t="str">
        <f ca="1">IFERROR(__xludf.DUMMYFUNCTION("""COMPUTED_VALUE"""),"")</f>
        <v/>
      </c>
      <c r="I632" s="50" t="s">
        <v>29</v>
      </c>
      <c r="J632" s="50" t="s">
        <v>29</v>
      </c>
      <c r="K632" s="50" t="s">
        <v>29</v>
      </c>
      <c r="L632" s="50" t="s">
        <v>29</v>
      </c>
      <c r="M632" s="50" t="s">
        <v>29</v>
      </c>
      <c r="N632" s="49"/>
      <c r="P632" s="19"/>
      <c r="Q632" s="18" t="str">
        <f ca="1">IFERROR(__xludf.DUMMYFUNCTION("""COMPUTED_VALUE"""),"")</f>
        <v/>
      </c>
      <c r="R632" s="19"/>
      <c r="S632" s="20"/>
      <c r="BP632" s="10"/>
      <c r="BW632" s="10"/>
      <c r="CF632" s="10"/>
      <c r="CM632" s="10"/>
      <c r="CP632" s="18" t="str">
        <f ca="1"/>
        <v/>
      </c>
      <c r="CQ632" s="18" t="str">
        <f ca="1"/>
        <v/>
      </c>
      <c r="CR632" s="18" t="str">
        <f ca="1"/>
        <v/>
      </c>
      <c r="CS632" s="18" t="str">
        <f ca="1"/>
        <v/>
      </c>
      <c r="CT632" s="18" t="str">
        <f ca="1"/>
        <v/>
      </c>
      <c r="CV632" s="10"/>
      <c r="CY632" s="18" t="str">
        <f ca="1"/>
        <v/>
      </c>
      <c r="CZ632" s="18" t="str">
        <f ca="1"/>
        <v/>
      </c>
      <c r="DA632" s="18" t="str">
        <f ca="1"/>
        <v/>
      </c>
      <c r="DC632" s="10"/>
    </row>
    <row r="633" spans="1:107" x14ac:dyDescent="0.25">
      <c r="A633" s="46"/>
      <c r="B633" s="52"/>
      <c r="C633" s="52"/>
      <c r="D633" s="16"/>
      <c r="E633" s="52"/>
      <c r="F633" s="52"/>
      <c r="G633" s="50"/>
      <c r="H633" s="17" t="str">
        <f ca="1">IFERROR(__xludf.DUMMYFUNCTION("""COMPUTED_VALUE"""),"")</f>
        <v/>
      </c>
      <c r="I633" s="50" t="s">
        <v>29</v>
      </c>
      <c r="J633" s="50" t="s">
        <v>29</v>
      </c>
      <c r="K633" s="50" t="s">
        <v>29</v>
      </c>
      <c r="L633" s="50" t="s">
        <v>29</v>
      </c>
      <c r="M633" s="50" t="s">
        <v>29</v>
      </c>
      <c r="N633" s="49"/>
      <c r="P633" s="19"/>
      <c r="Q633" s="18" t="str">
        <f ca="1">IFERROR(__xludf.DUMMYFUNCTION("""COMPUTED_VALUE"""),"")</f>
        <v/>
      </c>
      <c r="R633" s="19"/>
      <c r="S633" s="20"/>
      <c r="BP633" s="10"/>
      <c r="BW633" s="10"/>
      <c r="CF633" s="10"/>
      <c r="CM633" s="10"/>
      <c r="CP633" s="18" t="str">
        <f ca="1"/>
        <v/>
      </c>
      <c r="CQ633" s="18" t="str">
        <f ca="1"/>
        <v/>
      </c>
      <c r="CR633" s="18" t="str">
        <f ca="1"/>
        <v/>
      </c>
      <c r="CS633" s="18" t="str">
        <f ca="1"/>
        <v/>
      </c>
      <c r="CT633" s="18" t="str">
        <f ca="1"/>
        <v/>
      </c>
      <c r="CV633" s="10"/>
      <c r="CY633" s="18" t="str">
        <f ca="1"/>
        <v/>
      </c>
      <c r="CZ633" s="18" t="str">
        <f ca="1"/>
        <v/>
      </c>
      <c r="DA633" s="18" t="str">
        <f ca="1"/>
        <v/>
      </c>
      <c r="DC633" s="10"/>
    </row>
    <row r="634" spans="1:107" x14ac:dyDescent="0.25">
      <c r="A634" s="46"/>
      <c r="B634" s="52"/>
      <c r="C634" s="52"/>
      <c r="D634" s="16"/>
      <c r="E634" s="52"/>
      <c r="F634" s="52"/>
      <c r="G634" s="50"/>
      <c r="H634" s="17" t="str">
        <f ca="1">IFERROR(__xludf.DUMMYFUNCTION("""COMPUTED_VALUE"""),"")</f>
        <v/>
      </c>
      <c r="I634" s="50" t="s">
        <v>29</v>
      </c>
      <c r="J634" s="50" t="s">
        <v>29</v>
      </c>
      <c r="K634" s="50" t="s">
        <v>29</v>
      </c>
      <c r="L634" s="50" t="s">
        <v>29</v>
      </c>
      <c r="M634" s="50" t="s">
        <v>29</v>
      </c>
      <c r="N634" s="49"/>
      <c r="P634" s="19"/>
      <c r="Q634" s="18" t="str">
        <f ca="1">IFERROR(__xludf.DUMMYFUNCTION("""COMPUTED_VALUE"""),"")</f>
        <v/>
      </c>
      <c r="R634" s="19"/>
      <c r="S634" s="20"/>
      <c r="BP634" s="10"/>
      <c r="BW634" s="10"/>
      <c r="CF634" s="10"/>
      <c r="CM634" s="10"/>
      <c r="CP634" s="18" t="str">
        <f ca="1"/>
        <v/>
      </c>
      <c r="CQ634" s="18" t="str">
        <f ca="1"/>
        <v/>
      </c>
      <c r="CR634" s="18" t="str">
        <f ca="1"/>
        <v/>
      </c>
      <c r="CS634" s="18" t="str">
        <f ca="1"/>
        <v/>
      </c>
      <c r="CT634" s="18" t="str">
        <f ca="1"/>
        <v/>
      </c>
      <c r="CV634" s="10"/>
      <c r="CY634" s="18" t="str">
        <f ca="1"/>
        <v/>
      </c>
      <c r="CZ634" s="18" t="str">
        <f ca="1"/>
        <v/>
      </c>
      <c r="DA634" s="18" t="str">
        <f ca="1"/>
        <v/>
      </c>
      <c r="DC634" s="10"/>
    </row>
    <row r="635" spans="1:107" x14ac:dyDescent="0.25">
      <c r="A635" s="46"/>
      <c r="B635" s="52"/>
      <c r="C635" s="52"/>
      <c r="D635" s="16"/>
      <c r="E635" s="52"/>
      <c r="F635" s="52"/>
      <c r="G635" s="50"/>
      <c r="H635" s="17" t="str">
        <f ca="1">IFERROR(__xludf.DUMMYFUNCTION("""COMPUTED_VALUE"""),"")</f>
        <v/>
      </c>
      <c r="I635" s="50" t="s">
        <v>29</v>
      </c>
      <c r="J635" s="50" t="s">
        <v>29</v>
      </c>
      <c r="K635" s="50" t="s">
        <v>29</v>
      </c>
      <c r="L635" s="50" t="s">
        <v>29</v>
      </c>
      <c r="M635" s="50" t="s">
        <v>29</v>
      </c>
      <c r="N635" s="49"/>
      <c r="P635" s="19"/>
      <c r="Q635" s="18" t="str">
        <f ca="1">IFERROR(__xludf.DUMMYFUNCTION("""COMPUTED_VALUE"""),"")</f>
        <v/>
      </c>
      <c r="R635" s="19"/>
      <c r="S635" s="20"/>
      <c r="BP635" s="10"/>
      <c r="BW635" s="10"/>
      <c r="CF635" s="10"/>
      <c r="CM635" s="10"/>
      <c r="CP635" s="18" t="str">
        <f ca="1"/>
        <v/>
      </c>
      <c r="CQ635" s="18" t="str">
        <f ca="1"/>
        <v/>
      </c>
      <c r="CR635" s="18" t="str">
        <f ca="1"/>
        <v/>
      </c>
      <c r="CS635" s="18" t="str">
        <f ca="1"/>
        <v/>
      </c>
      <c r="CT635" s="18" t="str">
        <f ca="1"/>
        <v/>
      </c>
      <c r="CV635" s="10"/>
      <c r="CY635" s="18" t="str">
        <f ca="1"/>
        <v/>
      </c>
      <c r="CZ635" s="18" t="str">
        <f ca="1"/>
        <v/>
      </c>
      <c r="DA635" s="18" t="str">
        <f ca="1"/>
        <v/>
      </c>
      <c r="DC635" s="10"/>
    </row>
    <row r="636" spans="1:107" x14ac:dyDescent="0.25">
      <c r="A636" s="46"/>
      <c r="B636" s="52"/>
      <c r="C636" s="52"/>
      <c r="D636" s="16"/>
      <c r="E636" s="52"/>
      <c r="F636" s="52"/>
      <c r="G636" s="50"/>
      <c r="H636" s="17" t="str">
        <f ca="1">IFERROR(__xludf.DUMMYFUNCTION("""COMPUTED_VALUE"""),"")</f>
        <v/>
      </c>
      <c r="I636" s="50" t="s">
        <v>29</v>
      </c>
      <c r="J636" s="50" t="s">
        <v>29</v>
      </c>
      <c r="K636" s="50" t="s">
        <v>29</v>
      </c>
      <c r="L636" s="50" t="s">
        <v>29</v>
      </c>
      <c r="M636" s="50" t="s">
        <v>29</v>
      </c>
      <c r="N636" s="49"/>
      <c r="P636" s="19"/>
      <c r="Q636" s="18" t="str">
        <f ca="1">IFERROR(__xludf.DUMMYFUNCTION("""COMPUTED_VALUE"""),"")</f>
        <v/>
      </c>
      <c r="R636" s="19"/>
      <c r="S636" s="20"/>
      <c r="BP636" s="10"/>
      <c r="BW636" s="10"/>
      <c r="CF636" s="10"/>
      <c r="CM636" s="10"/>
      <c r="CP636" s="18" t="str">
        <f ca="1"/>
        <v/>
      </c>
      <c r="CQ636" s="18" t="str">
        <f ca="1"/>
        <v/>
      </c>
      <c r="CR636" s="18" t="str">
        <f ca="1"/>
        <v/>
      </c>
      <c r="CS636" s="18" t="str">
        <f ca="1"/>
        <v/>
      </c>
      <c r="CT636" s="18" t="str">
        <f ca="1"/>
        <v/>
      </c>
      <c r="CV636" s="10"/>
      <c r="CY636" s="18" t="str">
        <f ca="1"/>
        <v/>
      </c>
      <c r="CZ636" s="18" t="str">
        <f ca="1"/>
        <v/>
      </c>
      <c r="DA636" s="18" t="str">
        <f ca="1"/>
        <v/>
      </c>
      <c r="DC636" s="10"/>
    </row>
    <row r="637" spans="1:107" x14ac:dyDescent="0.25">
      <c r="A637" s="46"/>
      <c r="B637" s="52"/>
      <c r="C637" s="52"/>
      <c r="D637" s="16"/>
      <c r="E637" s="52"/>
      <c r="F637" s="52"/>
      <c r="G637" s="50"/>
      <c r="H637" s="17" t="str">
        <f ca="1">IFERROR(__xludf.DUMMYFUNCTION("""COMPUTED_VALUE"""),"")</f>
        <v/>
      </c>
      <c r="I637" s="50" t="s">
        <v>29</v>
      </c>
      <c r="J637" s="50" t="s">
        <v>29</v>
      </c>
      <c r="K637" s="50" t="s">
        <v>29</v>
      </c>
      <c r="L637" s="50" t="s">
        <v>29</v>
      </c>
      <c r="M637" s="50" t="s">
        <v>29</v>
      </c>
      <c r="N637" s="49"/>
      <c r="P637" s="19"/>
      <c r="Q637" s="18" t="str">
        <f ca="1">IFERROR(__xludf.DUMMYFUNCTION("""COMPUTED_VALUE"""),"")</f>
        <v/>
      </c>
      <c r="R637" s="19"/>
      <c r="S637" s="20"/>
      <c r="BP637" s="10"/>
      <c r="BW637" s="10"/>
      <c r="CF637" s="10"/>
      <c r="CM637" s="10"/>
      <c r="CP637" s="18" t="str">
        <f ca="1"/>
        <v/>
      </c>
      <c r="CQ637" s="18" t="str">
        <f ca="1"/>
        <v/>
      </c>
      <c r="CR637" s="18" t="str">
        <f ca="1"/>
        <v/>
      </c>
      <c r="CS637" s="18" t="str">
        <f ca="1"/>
        <v/>
      </c>
      <c r="CT637" s="18" t="str">
        <f ca="1"/>
        <v/>
      </c>
      <c r="CV637" s="10"/>
      <c r="CY637" s="18" t="str">
        <f ca="1"/>
        <v/>
      </c>
      <c r="CZ637" s="18" t="str">
        <f ca="1"/>
        <v/>
      </c>
      <c r="DA637" s="18" t="str">
        <f ca="1"/>
        <v/>
      </c>
      <c r="DC637" s="10"/>
    </row>
    <row r="638" spans="1:107" x14ac:dyDescent="0.25">
      <c r="A638" s="46"/>
      <c r="B638" s="52"/>
      <c r="C638" s="52"/>
      <c r="D638" s="16"/>
      <c r="E638" s="52"/>
      <c r="F638" s="52"/>
      <c r="G638" s="50"/>
      <c r="H638" s="17" t="str">
        <f ca="1">IFERROR(__xludf.DUMMYFUNCTION("""COMPUTED_VALUE"""),"")</f>
        <v/>
      </c>
      <c r="I638" s="50" t="s">
        <v>29</v>
      </c>
      <c r="J638" s="50" t="s">
        <v>29</v>
      </c>
      <c r="K638" s="50" t="s">
        <v>29</v>
      </c>
      <c r="L638" s="50" t="s">
        <v>29</v>
      </c>
      <c r="M638" s="50" t="s">
        <v>29</v>
      </c>
      <c r="N638" s="49"/>
      <c r="P638" s="19"/>
      <c r="Q638" s="18" t="str">
        <f ca="1">IFERROR(__xludf.DUMMYFUNCTION("""COMPUTED_VALUE"""),"")</f>
        <v/>
      </c>
      <c r="R638" s="19"/>
      <c r="S638" s="20"/>
      <c r="BP638" s="10"/>
      <c r="BW638" s="10"/>
      <c r="CF638" s="10"/>
      <c r="CM638" s="10"/>
      <c r="CP638" s="18" t="str">
        <f ca="1"/>
        <v/>
      </c>
      <c r="CQ638" s="18" t="str">
        <f ca="1"/>
        <v/>
      </c>
      <c r="CR638" s="18" t="str">
        <f ca="1"/>
        <v/>
      </c>
      <c r="CS638" s="18" t="str">
        <f ca="1"/>
        <v/>
      </c>
      <c r="CT638" s="18" t="str">
        <f ca="1"/>
        <v/>
      </c>
      <c r="CV638" s="10"/>
      <c r="CY638" s="18" t="str">
        <f ca="1"/>
        <v/>
      </c>
      <c r="CZ638" s="18" t="str">
        <f ca="1"/>
        <v/>
      </c>
      <c r="DA638" s="18" t="str">
        <f ca="1"/>
        <v/>
      </c>
      <c r="DC638" s="10"/>
    </row>
    <row r="639" spans="1:107" x14ac:dyDescent="0.25">
      <c r="A639" s="46"/>
      <c r="B639" s="52"/>
      <c r="C639" s="52"/>
      <c r="D639" s="16"/>
      <c r="E639" s="52"/>
      <c r="F639" s="52"/>
      <c r="G639" s="50"/>
      <c r="H639" s="17" t="str">
        <f ca="1">IFERROR(__xludf.DUMMYFUNCTION("""COMPUTED_VALUE"""),"")</f>
        <v/>
      </c>
      <c r="I639" s="50" t="s">
        <v>29</v>
      </c>
      <c r="J639" s="50" t="s">
        <v>29</v>
      </c>
      <c r="K639" s="50" t="s">
        <v>29</v>
      </c>
      <c r="L639" s="50" t="s">
        <v>29</v>
      </c>
      <c r="M639" s="50" t="s">
        <v>29</v>
      </c>
      <c r="N639" s="49"/>
      <c r="P639" s="19"/>
      <c r="Q639" s="18" t="str">
        <f ca="1">IFERROR(__xludf.DUMMYFUNCTION("""COMPUTED_VALUE"""),"")</f>
        <v/>
      </c>
      <c r="R639" s="19"/>
      <c r="S639" s="20"/>
      <c r="BP639" s="10"/>
      <c r="BW639" s="10"/>
      <c r="CF639" s="10"/>
      <c r="CM639" s="10"/>
      <c r="CP639" s="18" t="str">
        <f ca="1"/>
        <v/>
      </c>
      <c r="CQ639" s="18" t="str">
        <f ca="1"/>
        <v/>
      </c>
      <c r="CR639" s="18" t="str">
        <f ca="1"/>
        <v/>
      </c>
      <c r="CS639" s="18" t="str">
        <f ca="1"/>
        <v/>
      </c>
      <c r="CT639" s="18" t="str">
        <f ca="1"/>
        <v/>
      </c>
      <c r="CV639" s="10"/>
      <c r="CY639" s="18" t="str">
        <f ca="1"/>
        <v/>
      </c>
      <c r="CZ639" s="18" t="str">
        <f ca="1"/>
        <v/>
      </c>
      <c r="DA639" s="18" t="str">
        <f ca="1"/>
        <v/>
      </c>
      <c r="DC639" s="10"/>
    </row>
    <row r="640" spans="1:107" x14ac:dyDescent="0.25">
      <c r="A640" s="46"/>
      <c r="B640" s="52"/>
      <c r="C640" s="52"/>
      <c r="D640" s="16"/>
      <c r="E640" s="52"/>
      <c r="F640" s="52"/>
      <c r="G640" s="50"/>
      <c r="H640" s="17" t="str">
        <f ca="1">IFERROR(__xludf.DUMMYFUNCTION("""COMPUTED_VALUE"""),"")</f>
        <v/>
      </c>
      <c r="I640" s="50" t="s">
        <v>29</v>
      </c>
      <c r="J640" s="50" t="s">
        <v>29</v>
      </c>
      <c r="K640" s="50" t="s">
        <v>29</v>
      </c>
      <c r="L640" s="50" t="s">
        <v>29</v>
      </c>
      <c r="M640" s="50" t="s">
        <v>29</v>
      </c>
      <c r="N640" s="49"/>
      <c r="P640" s="19"/>
      <c r="Q640" s="18" t="str">
        <f ca="1">IFERROR(__xludf.DUMMYFUNCTION("""COMPUTED_VALUE"""),"")</f>
        <v/>
      </c>
      <c r="R640" s="19"/>
      <c r="S640" s="20"/>
      <c r="BP640" s="10"/>
      <c r="BW640" s="10"/>
      <c r="CF640" s="10"/>
      <c r="CM640" s="10"/>
      <c r="CP640" s="18" t="str">
        <f ca="1"/>
        <v/>
      </c>
      <c r="CQ640" s="18" t="str">
        <f ca="1"/>
        <v/>
      </c>
      <c r="CR640" s="18" t="str">
        <f ca="1"/>
        <v/>
      </c>
      <c r="CS640" s="18" t="str">
        <f ca="1"/>
        <v/>
      </c>
      <c r="CT640" s="18" t="str">
        <f ca="1"/>
        <v/>
      </c>
      <c r="CV640" s="10"/>
      <c r="CY640" s="18" t="str">
        <f ca="1"/>
        <v/>
      </c>
      <c r="CZ640" s="18" t="str">
        <f ca="1"/>
        <v/>
      </c>
      <c r="DA640" s="18" t="str">
        <f ca="1"/>
        <v/>
      </c>
      <c r="DC640" s="10"/>
    </row>
    <row r="641" spans="1:107" x14ac:dyDescent="0.25">
      <c r="A641" s="46"/>
      <c r="B641" s="52"/>
      <c r="C641" s="52"/>
      <c r="D641" s="16"/>
      <c r="E641" s="52"/>
      <c r="F641" s="52"/>
      <c r="G641" s="50"/>
      <c r="H641" s="17" t="str">
        <f ca="1">IFERROR(__xludf.DUMMYFUNCTION("""COMPUTED_VALUE"""),"")</f>
        <v/>
      </c>
      <c r="I641" s="50" t="s">
        <v>29</v>
      </c>
      <c r="J641" s="50" t="s">
        <v>29</v>
      </c>
      <c r="K641" s="50" t="s">
        <v>29</v>
      </c>
      <c r="L641" s="50" t="s">
        <v>29</v>
      </c>
      <c r="M641" s="50" t="s">
        <v>29</v>
      </c>
      <c r="N641" s="49"/>
      <c r="P641" s="19"/>
      <c r="Q641" s="18" t="str">
        <f ca="1">IFERROR(__xludf.DUMMYFUNCTION("""COMPUTED_VALUE"""),"")</f>
        <v/>
      </c>
      <c r="R641" s="19"/>
      <c r="S641" s="20"/>
      <c r="BP641" s="10"/>
      <c r="BW641" s="10"/>
      <c r="CF641" s="10"/>
      <c r="CM641" s="10"/>
      <c r="CP641" s="18" t="str">
        <f ca="1"/>
        <v/>
      </c>
      <c r="CQ641" s="18" t="str">
        <f ca="1"/>
        <v/>
      </c>
      <c r="CR641" s="18" t="str">
        <f ca="1"/>
        <v/>
      </c>
      <c r="CS641" s="18" t="str">
        <f ca="1"/>
        <v/>
      </c>
      <c r="CT641" s="18" t="str">
        <f ca="1"/>
        <v/>
      </c>
      <c r="CV641" s="10"/>
      <c r="CY641" s="18" t="str">
        <f ca="1"/>
        <v/>
      </c>
      <c r="CZ641" s="18" t="str">
        <f ca="1"/>
        <v/>
      </c>
      <c r="DA641" s="18" t="str">
        <f ca="1"/>
        <v/>
      </c>
      <c r="DC641" s="10"/>
    </row>
    <row r="642" spans="1:107" x14ac:dyDescent="0.25">
      <c r="A642" s="46"/>
      <c r="B642" s="52"/>
      <c r="C642" s="52"/>
      <c r="D642" s="16"/>
      <c r="E642" s="52"/>
      <c r="F642" s="52"/>
      <c r="G642" s="50"/>
      <c r="H642" s="17" t="str">
        <f ca="1">IFERROR(__xludf.DUMMYFUNCTION("""COMPUTED_VALUE"""),"")</f>
        <v/>
      </c>
      <c r="I642" s="50" t="s">
        <v>29</v>
      </c>
      <c r="J642" s="50" t="s">
        <v>29</v>
      </c>
      <c r="K642" s="50" t="s">
        <v>29</v>
      </c>
      <c r="L642" s="50" t="s">
        <v>29</v>
      </c>
      <c r="M642" s="50" t="s">
        <v>29</v>
      </c>
      <c r="N642" s="49"/>
      <c r="P642" s="19"/>
      <c r="Q642" s="18" t="str">
        <f ca="1">IFERROR(__xludf.DUMMYFUNCTION("""COMPUTED_VALUE"""),"")</f>
        <v/>
      </c>
      <c r="R642" s="19"/>
      <c r="S642" s="20"/>
      <c r="BP642" s="10"/>
      <c r="BW642" s="10"/>
      <c r="CF642" s="10"/>
      <c r="CM642" s="10"/>
      <c r="CP642" s="18" t="str">
        <f ca="1"/>
        <v/>
      </c>
      <c r="CQ642" s="18" t="str">
        <f ca="1"/>
        <v/>
      </c>
      <c r="CR642" s="18" t="str">
        <f ca="1"/>
        <v/>
      </c>
      <c r="CS642" s="18" t="str">
        <f ca="1"/>
        <v/>
      </c>
      <c r="CT642" s="18" t="str">
        <f ca="1"/>
        <v/>
      </c>
      <c r="CV642" s="10"/>
      <c r="CY642" s="18" t="str">
        <f ca="1"/>
        <v/>
      </c>
      <c r="CZ642" s="18" t="str">
        <f ca="1"/>
        <v/>
      </c>
      <c r="DA642" s="18" t="str">
        <f ca="1"/>
        <v/>
      </c>
      <c r="DC642" s="10"/>
    </row>
    <row r="643" spans="1:107" x14ac:dyDescent="0.25">
      <c r="A643" s="46"/>
      <c r="B643" s="52"/>
      <c r="C643" s="52"/>
      <c r="D643" s="16"/>
      <c r="E643" s="52"/>
      <c r="F643" s="52"/>
      <c r="G643" s="50"/>
      <c r="H643" s="17" t="str">
        <f ca="1">IFERROR(__xludf.DUMMYFUNCTION("""COMPUTED_VALUE"""),"")</f>
        <v/>
      </c>
      <c r="I643" s="50" t="s">
        <v>29</v>
      </c>
      <c r="J643" s="50" t="s">
        <v>29</v>
      </c>
      <c r="K643" s="50" t="s">
        <v>29</v>
      </c>
      <c r="L643" s="50" t="s">
        <v>29</v>
      </c>
      <c r="M643" s="50" t="s">
        <v>29</v>
      </c>
      <c r="N643" s="49"/>
      <c r="P643" s="19"/>
      <c r="Q643" s="18" t="str">
        <f ca="1">IFERROR(__xludf.DUMMYFUNCTION("""COMPUTED_VALUE"""),"")</f>
        <v/>
      </c>
      <c r="R643" s="19"/>
      <c r="S643" s="20"/>
      <c r="BP643" s="10"/>
      <c r="BW643" s="10"/>
      <c r="CF643" s="10"/>
      <c r="CM643" s="10"/>
      <c r="CP643" s="18" t="str">
        <f ca="1"/>
        <v/>
      </c>
      <c r="CQ643" s="18" t="str">
        <f ca="1"/>
        <v/>
      </c>
      <c r="CR643" s="18" t="str">
        <f ca="1"/>
        <v/>
      </c>
      <c r="CS643" s="18" t="str">
        <f ca="1"/>
        <v/>
      </c>
      <c r="CT643" s="18" t="str">
        <f ca="1"/>
        <v/>
      </c>
      <c r="CV643" s="10"/>
      <c r="CY643" s="18" t="str">
        <f ca="1"/>
        <v/>
      </c>
      <c r="CZ643" s="18" t="str">
        <f ca="1"/>
        <v/>
      </c>
      <c r="DA643" s="18" t="str">
        <f ca="1"/>
        <v/>
      </c>
      <c r="DC643" s="10"/>
    </row>
    <row r="644" spans="1:107" x14ac:dyDescent="0.25">
      <c r="A644" s="46"/>
      <c r="B644" s="52"/>
      <c r="C644" s="52"/>
      <c r="D644" s="16"/>
      <c r="E644" s="52"/>
      <c r="F644" s="52"/>
      <c r="G644" s="50"/>
      <c r="H644" s="17" t="str">
        <f ca="1">IFERROR(__xludf.DUMMYFUNCTION("""COMPUTED_VALUE"""),"")</f>
        <v/>
      </c>
      <c r="I644" s="50" t="s">
        <v>29</v>
      </c>
      <c r="J644" s="50" t="s">
        <v>29</v>
      </c>
      <c r="K644" s="50" t="s">
        <v>29</v>
      </c>
      <c r="L644" s="50" t="s">
        <v>29</v>
      </c>
      <c r="M644" s="50" t="s">
        <v>29</v>
      </c>
      <c r="N644" s="49"/>
      <c r="P644" s="19"/>
      <c r="Q644" s="18" t="str">
        <f ca="1">IFERROR(__xludf.DUMMYFUNCTION("""COMPUTED_VALUE"""),"")</f>
        <v/>
      </c>
      <c r="R644" s="19"/>
      <c r="S644" s="20"/>
      <c r="BP644" s="10"/>
      <c r="BW644" s="10"/>
      <c r="CF644" s="10"/>
      <c r="CM644" s="10"/>
      <c r="CP644" s="18" t="str">
        <f ca="1"/>
        <v/>
      </c>
      <c r="CQ644" s="18" t="str">
        <f ca="1"/>
        <v/>
      </c>
      <c r="CR644" s="18" t="str">
        <f ca="1"/>
        <v/>
      </c>
      <c r="CS644" s="18" t="str">
        <f ca="1"/>
        <v/>
      </c>
      <c r="CT644" s="18" t="str">
        <f ca="1"/>
        <v/>
      </c>
      <c r="CV644" s="10"/>
      <c r="CY644" s="18" t="str">
        <f ca="1"/>
        <v/>
      </c>
      <c r="CZ644" s="18" t="str">
        <f ca="1"/>
        <v/>
      </c>
      <c r="DA644" s="18" t="str">
        <f ca="1"/>
        <v/>
      </c>
      <c r="DC644" s="10"/>
    </row>
    <row r="645" spans="1:107" x14ac:dyDescent="0.25">
      <c r="A645" s="46"/>
      <c r="B645" s="52"/>
      <c r="C645" s="52"/>
      <c r="D645" s="16"/>
      <c r="E645" s="52"/>
      <c r="F645" s="52"/>
      <c r="G645" s="50"/>
      <c r="H645" s="17" t="str">
        <f ca="1">IFERROR(__xludf.DUMMYFUNCTION("""COMPUTED_VALUE"""),"")</f>
        <v/>
      </c>
      <c r="I645" s="50" t="s">
        <v>29</v>
      </c>
      <c r="J645" s="50" t="s">
        <v>29</v>
      </c>
      <c r="K645" s="50" t="s">
        <v>29</v>
      </c>
      <c r="L645" s="50" t="s">
        <v>29</v>
      </c>
      <c r="M645" s="50" t="s">
        <v>29</v>
      </c>
      <c r="N645" s="49"/>
      <c r="P645" s="19"/>
      <c r="Q645" s="18" t="str">
        <f ca="1">IFERROR(__xludf.DUMMYFUNCTION("""COMPUTED_VALUE"""),"")</f>
        <v/>
      </c>
      <c r="R645" s="19"/>
      <c r="S645" s="20"/>
      <c r="BP645" s="10"/>
      <c r="BW645" s="10"/>
      <c r="CF645" s="10"/>
      <c r="CM645" s="10"/>
      <c r="CP645" s="18" t="str">
        <f ca="1"/>
        <v/>
      </c>
      <c r="CQ645" s="18" t="str">
        <f ca="1"/>
        <v/>
      </c>
      <c r="CR645" s="18" t="str">
        <f ca="1"/>
        <v/>
      </c>
      <c r="CS645" s="18" t="str">
        <f ca="1"/>
        <v/>
      </c>
      <c r="CT645" s="18" t="str">
        <f ca="1"/>
        <v/>
      </c>
      <c r="CV645" s="10"/>
      <c r="CY645" s="18" t="str">
        <f ca="1"/>
        <v/>
      </c>
      <c r="CZ645" s="18" t="str">
        <f ca="1"/>
        <v/>
      </c>
      <c r="DA645" s="18" t="str">
        <f ca="1"/>
        <v/>
      </c>
      <c r="DC645" s="10"/>
    </row>
    <row r="646" spans="1:107" x14ac:dyDescent="0.25">
      <c r="A646" s="46"/>
      <c r="B646" s="52"/>
      <c r="C646" s="52"/>
      <c r="D646" s="16"/>
      <c r="E646" s="52"/>
      <c r="F646" s="52"/>
      <c r="G646" s="50"/>
      <c r="H646" s="17" t="str">
        <f ca="1">IFERROR(__xludf.DUMMYFUNCTION("""COMPUTED_VALUE"""),"")</f>
        <v/>
      </c>
      <c r="I646" s="50" t="s">
        <v>29</v>
      </c>
      <c r="J646" s="50" t="s">
        <v>29</v>
      </c>
      <c r="K646" s="50" t="s">
        <v>29</v>
      </c>
      <c r="L646" s="50" t="s">
        <v>29</v>
      </c>
      <c r="M646" s="50" t="s">
        <v>29</v>
      </c>
      <c r="N646" s="49"/>
      <c r="P646" s="19"/>
      <c r="Q646" s="18" t="str">
        <f ca="1">IFERROR(__xludf.DUMMYFUNCTION("""COMPUTED_VALUE"""),"")</f>
        <v/>
      </c>
      <c r="R646" s="19"/>
      <c r="S646" s="20"/>
      <c r="BP646" s="10"/>
      <c r="BW646" s="10"/>
      <c r="CF646" s="10"/>
      <c r="CM646" s="10"/>
      <c r="CP646" s="18" t="str">
        <f ca="1"/>
        <v/>
      </c>
      <c r="CQ646" s="18" t="str">
        <f ca="1"/>
        <v/>
      </c>
      <c r="CR646" s="18" t="str">
        <f ca="1"/>
        <v/>
      </c>
      <c r="CS646" s="18" t="str">
        <f ca="1"/>
        <v/>
      </c>
      <c r="CT646" s="18" t="str">
        <f ca="1"/>
        <v/>
      </c>
      <c r="CV646" s="10"/>
      <c r="CY646" s="18" t="str">
        <f ca="1"/>
        <v/>
      </c>
      <c r="CZ646" s="18" t="str">
        <f ca="1"/>
        <v/>
      </c>
      <c r="DA646" s="18" t="str">
        <f ca="1"/>
        <v/>
      </c>
      <c r="DC646" s="10"/>
    </row>
    <row r="647" spans="1:107" x14ac:dyDescent="0.25">
      <c r="A647" s="46"/>
      <c r="B647" s="52"/>
      <c r="C647" s="52"/>
      <c r="D647" s="16"/>
      <c r="E647" s="52"/>
      <c r="F647" s="52"/>
      <c r="G647" s="50"/>
      <c r="H647" s="17" t="str">
        <f ca="1">IFERROR(__xludf.DUMMYFUNCTION("""COMPUTED_VALUE"""),"")</f>
        <v/>
      </c>
      <c r="I647" s="50" t="s">
        <v>29</v>
      </c>
      <c r="J647" s="50" t="s">
        <v>29</v>
      </c>
      <c r="K647" s="50" t="s">
        <v>29</v>
      </c>
      <c r="L647" s="50" t="s">
        <v>29</v>
      </c>
      <c r="M647" s="50" t="s">
        <v>29</v>
      </c>
      <c r="N647" s="49"/>
      <c r="P647" s="19"/>
      <c r="Q647" s="18" t="str">
        <f ca="1">IFERROR(__xludf.DUMMYFUNCTION("""COMPUTED_VALUE"""),"")</f>
        <v/>
      </c>
      <c r="R647" s="19"/>
      <c r="S647" s="20"/>
      <c r="BP647" s="10"/>
      <c r="BW647" s="10"/>
      <c r="CF647" s="10"/>
      <c r="CM647" s="10"/>
      <c r="CP647" s="18" t="str">
        <f ca="1"/>
        <v/>
      </c>
      <c r="CQ647" s="18" t="str">
        <f ca="1"/>
        <v/>
      </c>
      <c r="CR647" s="18" t="str">
        <f ca="1"/>
        <v/>
      </c>
      <c r="CS647" s="18" t="str">
        <f ca="1"/>
        <v/>
      </c>
      <c r="CT647" s="18" t="str">
        <f ca="1"/>
        <v/>
      </c>
      <c r="CV647" s="10"/>
      <c r="CY647" s="18" t="str">
        <f ca="1"/>
        <v/>
      </c>
      <c r="CZ647" s="18" t="str">
        <f ca="1"/>
        <v/>
      </c>
      <c r="DA647" s="18" t="str">
        <f ca="1"/>
        <v/>
      </c>
      <c r="DC647" s="10"/>
    </row>
    <row r="648" spans="1:107" x14ac:dyDescent="0.25">
      <c r="A648" s="46"/>
      <c r="B648" s="52"/>
      <c r="C648" s="52"/>
      <c r="D648" s="16"/>
      <c r="E648" s="52"/>
      <c r="F648" s="52"/>
      <c r="G648" s="50"/>
      <c r="H648" s="17" t="str">
        <f ca="1">IFERROR(__xludf.DUMMYFUNCTION("""COMPUTED_VALUE"""),"")</f>
        <v/>
      </c>
      <c r="I648" s="50" t="s">
        <v>29</v>
      </c>
      <c r="J648" s="50" t="s">
        <v>29</v>
      </c>
      <c r="K648" s="50" t="s">
        <v>29</v>
      </c>
      <c r="L648" s="50" t="s">
        <v>29</v>
      </c>
      <c r="M648" s="50" t="s">
        <v>29</v>
      </c>
      <c r="N648" s="49"/>
      <c r="P648" s="19"/>
      <c r="Q648" s="18" t="str">
        <f ca="1">IFERROR(__xludf.DUMMYFUNCTION("""COMPUTED_VALUE"""),"")</f>
        <v/>
      </c>
      <c r="R648" s="19"/>
      <c r="S648" s="20"/>
      <c r="BP648" s="10"/>
      <c r="BW648" s="10"/>
      <c r="CF648" s="10"/>
      <c r="CM648" s="10"/>
      <c r="CP648" s="18" t="str">
        <f ca="1"/>
        <v/>
      </c>
      <c r="CQ648" s="18" t="str">
        <f ca="1"/>
        <v/>
      </c>
      <c r="CR648" s="18" t="str">
        <f ca="1"/>
        <v/>
      </c>
      <c r="CS648" s="18" t="str">
        <f ca="1"/>
        <v/>
      </c>
      <c r="CT648" s="18" t="str">
        <f ca="1"/>
        <v/>
      </c>
      <c r="CV648" s="10"/>
      <c r="CY648" s="18" t="str">
        <f ca="1"/>
        <v/>
      </c>
      <c r="CZ648" s="18" t="str">
        <f ca="1"/>
        <v/>
      </c>
      <c r="DA648" s="18" t="str">
        <f ca="1"/>
        <v/>
      </c>
      <c r="DC648" s="10"/>
    </row>
    <row r="649" spans="1:107" x14ac:dyDescent="0.25">
      <c r="A649" s="46"/>
      <c r="B649" s="52"/>
      <c r="C649" s="52"/>
      <c r="D649" s="16"/>
      <c r="E649" s="52"/>
      <c r="F649" s="52"/>
      <c r="G649" s="50"/>
      <c r="H649" s="17" t="str">
        <f ca="1">IFERROR(__xludf.DUMMYFUNCTION("""COMPUTED_VALUE"""),"")</f>
        <v/>
      </c>
      <c r="I649" s="50" t="s">
        <v>29</v>
      </c>
      <c r="J649" s="50" t="s">
        <v>29</v>
      </c>
      <c r="K649" s="50" t="s">
        <v>29</v>
      </c>
      <c r="L649" s="50" t="s">
        <v>29</v>
      </c>
      <c r="M649" s="50" t="s">
        <v>29</v>
      </c>
      <c r="N649" s="49"/>
      <c r="P649" s="19"/>
      <c r="Q649" s="18" t="str">
        <f ca="1">IFERROR(__xludf.DUMMYFUNCTION("""COMPUTED_VALUE"""),"")</f>
        <v/>
      </c>
      <c r="R649" s="19"/>
      <c r="S649" s="20"/>
      <c r="BP649" s="10"/>
      <c r="BW649" s="10"/>
      <c r="CF649" s="10"/>
      <c r="CM649" s="10"/>
      <c r="CP649" s="18" t="str">
        <f ca="1"/>
        <v/>
      </c>
      <c r="CQ649" s="18" t="str">
        <f ca="1"/>
        <v/>
      </c>
      <c r="CR649" s="18" t="str">
        <f ca="1"/>
        <v/>
      </c>
      <c r="CS649" s="18" t="str">
        <f ca="1"/>
        <v/>
      </c>
      <c r="CT649" s="18" t="str">
        <f ca="1"/>
        <v/>
      </c>
      <c r="CV649" s="10"/>
      <c r="CY649" s="18" t="str">
        <f ca="1"/>
        <v/>
      </c>
      <c r="CZ649" s="18" t="str">
        <f ca="1"/>
        <v/>
      </c>
      <c r="DA649" s="18" t="str">
        <f ca="1"/>
        <v/>
      </c>
      <c r="DC649" s="10"/>
    </row>
    <row r="650" spans="1:107" x14ac:dyDescent="0.25">
      <c r="A650" s="46"/>
      <c r="B650" s="52"/>
      <c r="C650" s="52"/>
      <c r="D650" s="16"/>
      <c r="E650" s="52"/>
      <c r="F650" s="52"/>
      <c r="G650" s="50"/>
      <c r="H650" s="17" t="str">
        <f ca="1">IFERROR(__xludf.DUMMYFUNCTION("""COMPUTED_VALUE"""),"")</f>
        <v/>
      </c>
      <c r="I650" s="50" t="s">
        <v>29</v>
      </c>
      <c r="J650" s="50" t="s">
        <v>29</v>
      </c>
      <c r="K650" s="50" t="s">
        <v>29</v>
      </c>
      <c r="L650" s="50" t="s">
        <v>29</v>
      </c>
      <c r="M650" s="50" t="s">
        <v>29</v>
      </c>
      <c r="N650" s="49"/>
      <c r="P650" s="19"/>
      <c r="Q650" s="18" t="str">
        <f ca="1">IFERROR(__xludf.DUMMYFUNCTION("""COMPUTED_VALUE"""),"")</f>
        <v/>
      </c>
      <c r="R650" s="19"/>
      <c r="S650" s="20"/>
      <c r="BP650" s="10"/>
      <c r="BW650" s="10"/>
      <c r="CF650" s="10"/>
      <c r="CM650" s="10"/>
      <c r="CP650" s="18" t="str">
        <f ca="1"/>
        <v/>
      </c>
      <c r="CQ650" s="18" t="str">
        <f ca="1"/>
        <v/>
      </c>
      <c r="CR650" s="18" t="str">
        <f ca="1"/>
        <v/>
      </c>
      <c r="CS650" s="18" t="str">
        <f ca="1"/>
        <v/>
      </c>
      <c r="CT650" s="18" t="str">
        <f ca="1"/>
        <v/>
      </c>
      <c r="CV650" s="10"/>
      <c r="CY650" s="18" t="str">
        <f ca="1"/>
        <v/>
      </c>
      <c r="CZ650" s="18" t="str">
        <f ca="1"/>
        <v/>
      </c>
      <c r="DA650" s="18" t="str">
        <f ca="1"/>
        <v/>
      </c>
      <c r="DC650" s="10"/>
    </row>
    <row r="651" spans="1:107" x14ac:dyDescent="0.25">
      <c r="A651" s="46"/>
      <c r="B651" s="52"/>
      <c r="C651" s="52"/>
      <c r="D651" s="16"/>
      <c r="E651" s="52"/>
      <c r="F651" s="52"/>
      <c r="G651" s="50"/>
      <c r="H651" s="17" t="str">
        <f ca="1">IFERROR(__xludf.DUMMYFUNCTION("""COMPUTED_VALUE"""),"")</f>
        <v/>
      </c>
      <c r="I651" s="50" t="s">
        <v>29</v>
      </c>
      <c r="J651" s="50" t="s">
        <v>29</v>
      </c>
      <c r="K651" s="50" t="s">
        <v>29</v>
      </c>
      <c r="L651" s="50" t="s">
        <v>29</v>
      </c>
      <c r="M651" s="50" t="s">
        <v>29</v>
      </c>
      <c r="N651" s="49"/>
      <c r="P651" s="19"/>
      <c r="Q651" s="18" t="str">
        <f ca="1">IFERROR(__xludf.DUMMYFUNCTION("""COMPUTED_VALUE"""),"")</f>
        <v/>
      </c>
      <c r="R651" s="19"/>
      <c r="S651" s="20"/>
      <c r="BP651" s="10"/>
      <c r="BW651" s="10"/>
      <c r="CF651" s="10"/>
      <c r="CM651" s="10"/>
      <c r="CP651" s="18" t="str">
        <f ca="1"/>
        <v/>
      </c>
      <c r="CQ651" s="18" t="str">
        <f ca="1"/>
        <v/>
      </c>
      <c r="CR651" s="18" t="str">
        <f ca="1"/>
        <v/>
      </c>
      <c r="CS651" s="18" t="str">
        <f ca="1"/>
        <v/>
      </c>
      <c r="CT651" s="18" t="str">
        <f ca="1"/>
        <v/>
      </c>
      <c r="CV651" s="10"/>
      <c r="CY651" s="18" t="str">
        <f ca="1"/>
        <v/>
      </c>
      <c r="CZ651" s="18" t="str">
        <f ca="1"/>
        <v/>
      </c>
      <c r="DA651" s="18" t="str">
        <f ca="1"/>
        <v/>
      </c>
      <c r="DC651" s="10"/>
    </row>
    <row r="652" spans="1:107" x14ac:dyDescent="0.25">
      <c r="A652" s="46"/>
      <c r="B652" s="52"/>
      <c r="C652" s="52"/>
      <c r="D652" s="16"/>
      <c r="E652" s="52"/>
      <c r="F652" s="52"/>
      <c r="G652" s="50"/>
      <c r="H652" s="17" t="str">
        <f ca="1">IFERROR(__xludf.DUMMYFUNCTION("""COMPUTED_VALUE"""),"")</f>
        <v/>
      </c>
      <c r="I652" s="50" t="s">
        <v>29</v>
      </c>
      <c r="J652" s="50" t="s">
        <v>29</v>
      </c>
      <c r="K652" s="50" t="s">
        <v>29</v>
      </c>
      <c r="L652" s="50" t="s">
        <v>29</v>
      </c>
      <c r="M652" s="50" t="s">
        <v>29</v>
      </c>
      <c r="N652" s="49"/>
      <c r="P652" s="19"/>
      <c r="Q652" s="18" t="str">
        <f ca="1">IFERROR(__xludf.DUMMYFUNCTION("""COMPUTED_VALUE"""),"")</f>
        <v/>
      </c>
      <c r="R652" s="19"/>
      <c r="S652" s="20"/>
      <c r="BP652" s="10"/>
      <c r="BW652" s="10"/>
      <c r="CF652" s="10"/>
      <c r="CM652" s="10"/>
      <c r="CP652" s="18" t="str">
        <f ca="1"/>
        <v/>
      </c>
      <c r="CQ652" s="18" t="str">
        <f ca="1"/>
        <v/>
      </c>
      <c r="CR652" s="18" t="str">
        <f ca="1"/>
        <v/>
      </c>
      <c r="CS652" s="18" t="str">
        <f ca="1"/>
        <v/>
      </c>
      <c r="CT652" s="18" t="str">
        <f ca="1"/>
        <v/>
      </c>
      <c r="CV652" s="10"/>
      <c r="CY652" s="18" t="str">
        <f ca="1"/>
        <v/>
      </c>
      <c r="CZ652" s="18" t="str">
        <f ca="1"/>
        <v/>
      </c>
      <c r="DA652" s="18" t="str">
        <f ca="1"/>
        <v/>
      </c>
      <c r="DC652" s="10"/>
    </row>
    <row r="653" spans="1:107" x14ac:dyDescent="0.25">
      <c r="A653" s="46"/>
      <c r="B653" s="52"/>
      <c r="C653" s="52"/>
      <c r="D653" s="16"/>
      <c r="E653" s="52"/>
      <c r="F653" s="52"/>
      <c r="G653" s="50"/>
      <c r="H653" s="17" t="str">
        <f ca="1">IFERROR(__xludf.DUMMYFUNCTION("""COMPUTED_VALUE"""),"")</f>
        <v/>
      </c>
      <c r="I653" s="50" t="s">
        <v>29</v>
      </c>
      <c r="J653" s="50" t="s">
        <v>29</v>
      </c>
      <c r="K653" s="50" t="s">
        <v>29</v>
      </c>
      <c r="L653" s="50" t="s">
        <v>29</v>
      </c>
      <c r="M653" s="50" t="s">
        <v>29</v>
      </c>
      <c r="N653" s="49"/>
      <c r="P653" s="19"/>
      <c r="Q653" s="18" t="str">
        <f ca="1">IFERROR(__xludf.DUMMYFUNCTION("""COMPUTED_VALUE"""),"")</f>
        <v/>
      </c>
      <c r="R653" s="19"/>
      <c r="S653" s="20"/>
      <c r="BP653" s="10"/>
      <c r="BW653" s="10"/>
      <c r="CF653" s="10"/>
      <c r="CM653" s="10"/>
      <c r="CP653" s="18" t="str">
        <f ca="1"/>
        <v/>
      </c>
      <c r="CQ653" s="18" t="str">
        <f ca="1"/>
        <v/>
      </c>
      <c r="CR653" s="18" t="str">
        <f ca="1"/>
        <v/>
      </c>
      <c r="CS653" s="18" t="str">
        <f ca="1"/>
        <v/>
      </c>
      <c r="CT653" s="18" t="str">
        <f ca="1"/>
        <v/>
      </c>
      <c r="CV653" s="10"/>
      <c r="CY653" s="18" t="str">
        <f ca="1"/>
        <v/>
      </c>
      <c r="CZ653" s="18" t="str">
        <f ca="1"/>
        <v/>
      </c>
      <c r="DA653" s="18" t="str">
        <f ca="1"/>
        <v/>
      </c>
      <c r="DC653" s="10"/>
    </row>
    <row r="654" spans="1:107" x14ac:dyDescent="0.25">
      <c r="A654" s="46"/>
      <c r="B654" s="52"/>
      <c r="C654" s="52"/>
      <c r="D654" s="16"/>
      <c r="E654" s="52"/>
      <c r="F654" s="52"/>
      <c r="G654" s="50"/>
      <c r="H654" s="17" t="str">
        <f ca="1">IFERROR(__xludf.DUMMYFUNCTION("""COMPUTED_VALUE"""),"")</f>
        <v/>
      </c>
      <c r="I654" s="50" t="s">
        <v>29</v>
      </c>
      <c r="J654" s="50" t="s">
        <v>29</v>
      </c>
      <c r="K654" s="50" t="s">
        <v>29</v>
      </c>
      <c r="L654" s="50" t="s">
        <v>29</v>
      </c>
      <c r="M654" s="50" t="s">
        <v>29</v>
      </c>
      <c r="N654" s="49"/>
      <c r="P654" s="19"/>
      <c r="Q654" s="18" t="str">
        <f ca="1">IFERROR(__xludf.DUMMYFUNCTION("""COMPUTED_VALUE"""),"")</f>
        <v/>
      </c>
      <c r="R654" s="19"/>
      <c r="S654" s="20"/>
      <c r="BP654" s="10"/>
      <c r="BW654" s="10"/>
      <c r="CF654" s="10"/>
      <c r="CM654" s="10"/>
      <c r="CP654" s="18" t="str">
        <f ca="1"/>
        <v/>
      </c>
      <c r="CQ654" s="18" t="str">
        <f ca="1"/>
        <v/>
      </c>
      <c r="CR654" s="18" t="str">
        <f ca="1"/>
        <v/>
      </c>
      <c r="CS654" s="18" t="str">
        <f ca="1"/>
        <v/>
      </c>
      <c r="CT654" s="18" t="str">
        <f ca="1"/>
        <v/>
      </c>
      <c r="CV654" s="10"/>
      <c r="CY654" s="18" t="str">
        <f ca="1"/>
        <v/>
      </c>
      <c r="CZ654" s="18" t="str">
        <f ca="1"/>
        <v/>
      </c>
      <c r="DA654" s="18" t="str">
        <f ca="1"/>
        <v/>
      </c>
      <c r="DC654" s="10"/>
    </row>
    <row r="655" spans="1:107" x14ac:dyDescent="0.25">
      <c r="A655" s="46"/>
      <c r="B655" s="52"/>
      <c r="C655" s="52"/>
      <c r="D655" s="16"/>
      <c r="E655" s="52"/>
      <c r="F655" s="52"/>
      <c r="G655" s="50"/>
      <c r="H655" s="17" t="str">
        <f ca="1">IFERROR(__xludf.DUMMYFUNCTION("""COMPUTED_VALUE"""),"")</f>
        <v/>
      </c>
      <c r="I655" s="50" t="s">
        <v>29</v>
      </c>
      <c r="J655" s="50" t="s">
        <v>29</v>
      </c>
      <c r="K655" s="50" t="s">
        <v>29</v>
      </c>
      <c r="L655" s="50" t="s">
        <v>29</v>
      </c>
      <c r="M655" s="50" t="s">
        <v>29</v>
      </c>
      <c r="N655" s="49"/>
      <c r="P655" s="19"/>
      <c r="Q655" s="18" t="str">
        <f ca="1">IFERROR(__xludf.DUMMYFUNCTION("""COMPUTED_VALUE"""),"")</f>
        <v/>
      </c>
      <c r="R655" s="19"/>
      <c r="S655" s="20"/>
      <c r="BP655" s="10"/>
      <c r="BW655" s="10"/>
      <c r="CF655" s="10"/>
      <c r="CM655" s="10"/>
      <c r="CP655" s="18" t="str">
        <f ca="1"/>
        <v/>
      </c>
      <c r="CQ655" s="18" t="str">
        <f ca="1"/>
        <v/>
      </c>
      <c r="CR655" s="18" t="str">
        <f ca="1"/>
        <v/>
      </c>
      <c r="CS655" s="18" t="str">
        <f ca="1"/>
        <v/>
      </c>
      <c r="CT655" s="18" t="str">
        <f ca="1"/>
        <v/>
      </c>
      <c r="CV655" s="10"/>
      <c r="CY655" s="18" t="str">
        <f ca="1"/>
        <v/>
      </c>
      <c r="CZ655" s="18" t="str">
        <f ca="1"/>
        <v/>
      </c>
      <c r="DA655" s="18" t="str">
        <f ca="1"/>
        <v/>
      </c>
      <c r="DC655" s="10"/>
    </row>
    <row r="656" spans="1:107" x14ac:dyDescent="0.25">
      <c r="A656" s="46"/>
      <c r="B656" s="52"/>
      <c r="C656" s="52"/>
      <c r="D656" s="16"/>
      <c r="E656" s="52"/>
      <c r="F656" s="52"/>
      <c r="G656" s="50"/>
      <c r="H656" s="17" t="str">
        <f ca="1">IFERROR(__xludf.DUMMYFUNCTION("""COMPUTED_VALUE"""),"")</f>
        <v/>
      </c>
      <c r="I656" s="50" t="s">
        <v>29</v>
      </c>
      <c r="J656" s="50" t="s">
        <v>29</v>
      </c>
      <c r="K656" s="50" t="s">
        <v>29</v>
      </c>
      <c r="L656" s="50" t="s">
        <v>29</v>
      </c>
      <c r="M656" s="50" t="s">
        <v>29</v>
      </c>
      <c r="N656" s="49"/>
      <c r="P656" s="19"/>
      <c r="Q656" s="18" t="str">
        <f ca="1">IFERROR(__xludf.DUMMYFUNCTION("""COMPUTED_VALUE"""),"")</f>
        <v/>
      </c>
      <c r="R656" s="19"/>
      <c r="S656" s="20"/>
      <c r="BP656" s="10"/>
      <c r="BW656" s="10"/>
      <c r="CF656" s="10"/>
      <c r="CM656" s="10"/>
      <c r="CP656" s="18" t="str">
        <f ca="1"/>
        <v/>
      </c>
      <c r="CQ656" s="18" t="str">
        <f ca="1"/>
        <v/>
      </c>
      <c r="CR656" s="18" t="str">
        <f ca="1"/>
        <v/>
      </c>
      <c r="CS656" s="18" t="str">
        <f ca="1"/>
        <v/>
      </c>
      <c r="CT656" s="18" t="str">
        <f ca="1"/>
        <v/>
      </c>
      <c r="CV656" s="10"/>
      <c r="CY656" s="18" t="str">
        <f ca="1"/>
        <v/>
      </c>
      <c r="CZ656" s="18" t="str">
        <f ca="1"/>
        <v/>
      </c>
      <c r="DA656" s="18" t="str">
        <f ca="1"/>
        <v/>
      </c>
      <c r="DC656" s="10"/>
    </row>
    <row r="657" spans="1:107" x14ac:dyDescent="0.25">
      <c r="A657" s="46"/>
      <c r="B657" s="52"/>
      <c r="C657" s="52"/>
      <c r="D657" s="16"/>
      <c r="E657" s="52"/>
      <c r="F657" s="52"/>
      <c r="G657" s="50"/>
      <c r="H657" s="17" t="str">
        <f ca="1">IFERROR(__xludf.DUMMYFUNCTION("""COMPUTED_VALUE"""),"")</f>
        <v/>
      </c>
      <c r="I657" s="50" t="s">
        <v>29</v>
      </c>
      <c r="J657" s="50" t="s">
        <v>29</v>
      </c>
      <c r="K657" s="50" t="s">
        <v>29</v>
      </c>
      <c r="L657" s="50" t="s">
        <v>29</v>
      </c>
      <c r="M657" s="50" t="s">
        <v>29</v>
      </c>
      <c r="N657" s="49"/>
      <c r="P657" s="19"/>
      <c r="Q657" s="18" t="str">
        <f ca="1">IFERROR(__xludf.DUMMYFUNCTION("""COMPUTED_VALUE"""),"")</f>
        <v/>
      </c>
      <c r="R657" s="19"/>
      <c r="S657" s="20"/>
      <c r="BP657" s="10"/>
      <c r="BW657" s="10"/>
      <c r="CF657" s="10"/>
      <c r="CM657" s="10"/>
      <c r="CP657" s="18" t="str">
        <f ca="1"/>
        <v/>
      </c>
      <c r="CQ657" s="18" t="str">
        <f ca="1"/>
        <v/>
      </c>
      <c r="CR657" s="18" t="str">
        <f ca="1"/>
        <v/>
      </c>
      <c r="CS657" s="18" t="str">
        <f ca="1"/>
        <v/>
      </c>
      <c r="CT657" s="18" t="str">
        <f ca="1"/>
        <v/>
      </c>
      <c r="CV657" s="10"/>
      <c r="CY657" s="18" t="str">
        <f ca="1"/>
        <v/>
      </c>
      <c r="CZ657" s="18" t="str">
        <f ca="1"/>
        <v/>
      </c>
      <c r="DA657" s="18" t="str">
        <f ca="1"/>
        <v/>
      </c>
      <c r="DC657" s="10"/>
    </row>
    <row r="658" spans="1:107" x14ac:dyDescent="0.25">
      <c r="A658" s="46"/>
      <c r="B658" s="52"/>
      <c r="C658" s="52"/>
      <c r="D658" s="16"/>
      <c r="E658" s="52"/>
      <c r="F658" s="52"/>
      <c r="G658" s="50"/>
      <c r="H658" s="17" t="str">
        <f ca="1">IFERROR(__xludf.DUMMYFUNCTION("""COMPUTED_VALUE"""),"")</f>
        <v/>
      </c>
      <c r="I658" s="50" t="s">
        <v>29</v>
      </c>
      <c r="J658" s="50" t="s">
        <v>29</v>
      </c>
      <c r="K658" s="50" t="s">
        <v>29</v>
      </c>
      <c r="L658" s="50" t="s">
        <v>29</v>
      </c>
      <c r="M658" s="50" t="s">
        <v>29</v>
      </c>
      <c r="N658" s="49"/>
      <c r="P658" s="19"/>
      <c r="Q658" s="18" t="str">
        <f ca="1">IFERROR(__xludf.DUMMYFUNCTION("""COMPUTED_VALUE"""),"")</f>
        <v/>
      </c>
      <c r="R658" s="19"/>
      <c r="S658" s="20"/>
      <c r="BP658" s="10"/>
      <c r="BW658" s="10"/>
      <c r="CF658" s="10"/>
      <c r="CM658" s="10"/>
      <c r="CP658" s="18" t="str">
        <f ca="1"/>
        <v/>
      </c>
      <c r="CQ658" s="18" t="str">
        <f ca="1"/>
        <v/>
      </c>
      <c r="CR658" s="18" t="str">
        <f ca="1"/>
        <v/>
      </c>
      <c r="CS658" s="18" t="str">
        <f ca="1"/>
        <v/>
      </c>
      <c r="CT658" s="18" t="str">
        <f ca="1"/>
        <v/>
      </c>
      <c r="CV658" s="10"/>
      <c r="CY658" s="18" t="str">
        <f ca="1"/>
        <v/>
      </c>
      <c r="CZ658" s="18" t="str">
        <f ca="1"/>
        <v/>
      </c>
      <c r="DA658" s="18" t="str">
        <f ca="1"/>
        <v/>
      </c>
      <c r="DC658" s="10"/>
    </row>
    <row r="659" spans="1:107" x14ac:dyDescent="0.25">
      <c r="A659" s="46"/>
      <c r="B659" s="52"/>
      <c r="C659" s="52"/>
      <c r="D659" s="16"/>
      <c r="E659" s="52"/>
      <c r="F659" s="52"/>
      <c r="G659" s="50"/>
      <c r="H659" s="17" t="str">
        <f ca="1">IFERROR(__xludf.DUMMYFUNCTION("""COMPUTED_VALUE"""),"")</f>
        <v/>
      </c>
      <c r="I659" s="50" t="s">
        <v>29</v>
      </c>
      <c r="J659" s="50" t="s">
        <v>29</v>
      </c>
      <c r="K659" s="50" t="s">
        <v>29</v>
      </c>
      <c r="L659" s="50" t="s">
        <v>29</v>
      </c>
      <c r="M659" s="50" t="s">
        <v>29</v>
      </c>
      <c r="N659" s="49"/>
      <c r="P659" s="19"/>
      <c r="Q659" s="18" t="str">
        <f ca="1">IFERROR(__xludf.DUMMYFUNCTION("""COMPUTED_VALUE"""),"")</f>
        <v/>
      </c>
      <c r="R659" s="19"/>
      <c r="S659" s="20"/>
      <c r="BP659" s="10"/>
      <c r="BW659" s="10"/>
      <c r="CF659" s="10"/>
      <c r="CM659" s="10"/>
      <c r="CP659" s="18" t="str">
        <f ca="1"/>
        <v/>
      </c>
      <c r="CQ659" s="18" t="str">
        <f ca="1"/>
        <v/>
      </c>
      <c r="CR659" s="18" t="str">
        <f ca="1"/>
        <v/>
      </c>
      <c r="CS659" s="18" t="str">
        <f ca="1"/>
        <v/>
      </c>
      <c r="CT659" s="18" t="str">
        <f ca="1"/>
        <v/>
      </c>
      <c r="CV659" s="10"/>
      <c r="CY659" s="18" t="str">
        <f ca="1"/>
        <v/>
      </c>
      <c r="CZ659" s="18" t="str">
        <f ca="1"/>
        <v/>
      </c>
      <c r="DA659" s="18" t="str">
        <f ca="1"/>
        <v/>
      </c>
      <c r="DC659" s="10"/>
    </row>
    <row r="660" spans="1:107" x14ac:dyDescent="0.25">
      <c r="A660" s="46"/>
      <c r="B660" s="52"/>
      <c r="C660" s="52"/>
      <c r="D660" s="16"/>
      <c r="E660" s="52"/>
      <c r="F660" s="52"/>
      <c r="G660" s="50"/>
      <c r="H660" s="17" t="str">
        <f ca="1">IFERROR(__xludf.DUMMYFUNCTION("""COMPUTED_VALUE"""),"")</f>
        <v/>
      </c>
      <c r="I660" s="50" t="s">
        <v>29</v>
      </c>
      <c r="J660" s="50" t="s">
        <v>29</v>
      </c>
      <c r="K660" s="50" t="s">
        <v>29</v>
      </c>
      <c r="L660" s="50" t="s">
        <v>29</v>
      </c>
      <c r="M660" s="50" t="s">
        <v>29</v>
      </c>
      <c r="N660" s="49"/>
      <c r="P660" s="19"/>
      <c r="Q660" s="18" t="str">
        <f ca="1">IFERROR(__xludf.DUMMYFUNCTION("""COMPUTED_VALUE"""),"")</f>
        <v/>
      </c>
      <c r="R660" s="19"/>
      <c r="S660" s="20"/>
      <c r="BP660" s="10"/>
      <c r="BW660" s="10"/>
      <c r="CF660" s="10"/>
      <c r="CM660" s="10"/>
      <c r="CP660" s="18" t="str">
        <f ca="1"/>
        <v/>
      </c>
      <c r="CQ660" s="18" t="str">
        <f ca="1"/>
        <v/>
      </c>
      <c r="CR660" s="18" t="str">
        <f ca="1"/>
        <v/>
      </c>
      <c r="CS660" s="18" t="str">
        <f ca="1"/>
        <v/>
      </c>
      <c r="CT660" s="18" t="str">
        <f ca="1"/>
        <v/>
      </c>
      <c r="CV660" s="10"/>
      <c r="CY660" s="18" t="str">
        <f ca="1"/>
        <v/>
      </c>
      <c r="CZ660" s="18" t="str">
        <f ca="1"/>
        <v/>
      </c>
      <c r="DA660" s="18" t="str">
        <f ca="1"/>
        <v/>
      </c>
      <c r="DC660" s="10"/>
    </row>
    <row r="661" spans="1:107" x14ac:dyDescent="0.25">
      <c r="A661" s="46"/>
      <c r="B661" s="52"/>
      <c r="C661" s="52"/>
      <c r="D661" s="16"/>
      <c r="E661" s="52"/>
      <c r="F661" s="52"/>
      <c r="G661" s="50"/>
      <c r="H661" s="17" t="str">
        <f ca="1">IFERROR(__xludf.DUMMYFUNCTION("""COMPUTED_VALUE"""),"")</f>
        <v/>
      </c>
      <c r="I661" s="50" t="s">
        <v>29</v>
      </c>
      <c r="J661" s="50" t="s">
        <v>29</v>
      </c>
      <c r="K661" s="50" t="s">
        <v>29</v>
      </c>
      <c r="L661" s="50" t="s">
        <v>29</v>
      </c>
      <c r="M661" s="50" t="s">
        <v>29</v>
      </c>
      <c r="N661" s="49"/>
      <c r="P661" s="19"/>
      <c r="Q661" s="18" t="str">
        <f ca="1">IFERROR(__xludf.DUMMYFUNCTION("""COMPUTED_VALUE"""),"")</f>
        <v/>
      </c>
      <c r="R661" s="19"/>
      <c r="S661" s="20"/>
      <c r="BP661" s="10"/>
      <c r="BW661" s="10"/>
      <c r="CF661" s="10"/>
      <c r="CM661" s="10"/>
      <c r="CP661" s="18" t="str">
        <f ca="1"/>
        <v/>
      </c>
      <c r="CQ661" s="18" t="str">
        <f ca="1"/>
        <v/>
      </c>
      <c r="CR661" s="18" t="str">
        <f ca="1"/>
        <v/>
      </c>
      <c r="CS661" s="18" t="str">
        <f ca="1"/>
        <v/>
      </c>
      <c r="CT661" s="18" t="str">
        <f ca="1"/>
        <v/>
      </c>
      <c r="CV661" s="10"/>
      <c r="CY661" s="18" t="str">
        <f ca="1"/>
        <v/>
      </c>
      <c r="CZ661" s="18" t="str">
        <f ca="1"/>
        <v/>
      </c>
      <c r="DA661" s="18" t="str">
        <f ca="1"/>
        <v/>
      </c>
      <c r="DC661" s="10"/>
    </row>
    <row r="662" spans="1:107" x14ac:dyDescent="0.25">
      <c r="A662" s="46"/>
      <c r="B662" s="52"/>
      <c r="C662" s="52"/>
      <c r="D662" s="16"/>
      <c r="E662" s="52"/>
      <c r="F662" s="52"/>
      <c r="G662" s="50"/>
      <c r="H662" s="17" t="str">
        <f ca="1">IFERROR(__xludf.DUMMYFUNCTION("""COMPUTED_VALUE"""),"")</f>
        <v/>
      </c>
      <c r="I662" s="50" t="s">
        <v>29</v>
      </c>
      <c r="J662" s="50" t="s">
        <v>29</v>
      </c>
      <c r="K662" s="50" t="s">
        <v>29</v>
      </c>
      <c r="L662" s="50" t="s">
        <v>29</v>
      </c>
      <c r="M662" s="50" t="s">
        <v>29</v>
      </c>
      <c r="N662" s="49"/>
      <c r="P662" s="19"/>
      <c r="Q662" s="18" t="str">
        <f ca="1">IFERROR(__xludf.DUMMYFUNCTION("""COMPUTED_VALUE"""),"")</f>
        <v/>
      </c>
      <c r="R662" s="19"/>
      <c r="S662" s="20"/>
      <c r="BP662" s="10"/>
      <c r="BW662" s="10"/>
      <c r="CF662" s="10"/>
      <c r="CM662" s="10"/>
      <c r="CP662" s="18" t="str">
        <f ca="1"/>
        <v/>
      </c>
      <c r="CQ662" s="18" t="str">
        <f ca="1"/>
        <v/>
      </c>
      <c r="CR662" s="18" t="str">
        <f ca="1"/>
        <v/>
      </c>
      <c r="CS662" s="18" t="str">
        <f ca="1"/>
        <v/>
      </c>
      <c r="CT662" s="18" t="str">
        <f ca="1"/>
        <v/>
      </c>
      <c r="CV662" s="10"/>
      <c r="CY662" s="18" t="str">
        <f ca="1"/>
        <v/>
      </c>
      <c r="CZ662" s="18" t="str">
        <f ca="1"/>
        <v/>
      </c>
      <c r="DA662" s="18" t="str">
        <f ca="1"/>
        <v/>
      </c>
      <c r="DC662" s="10"/>
    </row>
    <row r="663" spans="1:107" x14ac:dyDescent="0.25">
      <c r="A663" s="46"/>
      <c r="B663" s="52"/>
      <c r="C663" s="52"/>
      <c r="D663" s="16"/>
      <c r="E663" s="52"/>
      <c r="F663" s="52"/>
      <c r="G663" s="50"/>
      <c r="H663" s="17" t="str">
        <f ca="1">IFERROR(__xludf.DUMMYFUNCTION("""COMPUTED_VALUE"""),"")</f>
        <v/>
      </c>
      <c r="I663" s="50" t="s">
        <v>29</v>
      </c>
      <c r="J663" s="50" t="s">
        <v>29</v>
      </c>
      <c r="K663" s="50" t="s">
        <v>29</v>
      </c>
      <c r="L663" s="50" t="s">
        <v>29</v>
      </c>
      <c r="M663" s="50" t="s">
        <v>29</v>
      </c>
      <c r="N663" s="49"/>
      <c r="P663" s="19"/>
      <c r="Q663" s="18" t="str">
        <f ca="1">IFERROR(__xludf.DUMMYFUNCTION("""COMPUTED_VALUE"""),"")</f>
        <v/>
      </c>
      <c r="R663" s="19"/>
      <c r="S663" s="20"/>
      <c r="BP663" s="10"/>
      <c r="BW663" s="10"/>
      <c r="CF663" s="10"/>
      <c r="CM663" s="10"/>
      <c r="CP663" s="18" t="str">
        <f ca="1"/>
        <v/>
      </c>
      <c r="CQ663" s="18" t="str">
        <f ca="1"/>
        <v/>
      </c>
      <c r="CR663" s="18" t="str">
        <f ca="1"/>
        <v/>
      </c>
      <c r="CS663" s="18" t="str">
        <f ca="1"/>
        <v/>
      </c>
      <c r="CT663" s="18" t="str">
        <f ca="1"/>
        <v/>
      </c>
      <c r="CV663" s="10"/>
      <c r="CY663" s="18" t="str">
        <f ca="1"/>
        <v/>
      </c>
      <c r="CZ663" s="18" t="str">
        <f ca="1"/>
        <v/>
      </c>
      <c r="DA663" s="18" t="str">
        <f ca="1"/>
        <v/>
      </c>
      <c r="DC663" s="10"/>
    </row>
    <row r="664" spans="1:107" x14ac:dyDescent="0.25">
      <c r="A664" s="46"/>
      <c r="B664" s="52"/>
      <c r="C664" s="52"/>
      <c r="D664" s="16"/>
      <c r="E664" s="52"/>
      <c r="F664" s="52"/>
      <c r="G664" s="50"/>
      <c r="H664" s="17" t="str">
        <f ca="1">IFERROR(__xludf.DUMMYFUNCTION("""COMPUTED_VALUE"""),"")</f>
        <v/>
      </c>
      <c r="I664" s="50" t="s">
        <v>29</v>
      </c>
      <c r="J664" s="50" t="s">
        <v>29</v>
      </c>
      <c r="K664" s="50" t="s">
        <v>29</v>
      </c>
      <c r="L664" s="50" t="s">
        <v>29</v>
      </c>
      <c r="M664" s="50" t="s">
        <v>29</v>
      </c>
      <c r="N664" s="49"/>
      <c r="P664" s="19"/>
      <c r="Q664" s="18" t="str">
        <f ca="1">IFERROR(__xludf.DUMMYFUNCTION("""COMPUTED_VALUE"""),"")</f>
        <v/>
      </c>
      <c r="R664" s="19"/>
      <c r="S664" s="20"/>
      <c r="BP664" s="10"/>
      <c r="BW664" s="10"/>
      <c r="CF664" s="10"/>
      <c r="CM664" s="10"/>
      <c r="CP664" s="18" t="str">
        <f ca="1"/>
        <v/>
      </c>
      <c r="CQ664" s="18" t="str">
        <f ca="1"/>
        <v/>
      </c>
      <c r="CR664" s="18" t="str">
        <f ca="1"/>
        <v/>
      </c>
      <c r="CS664" s="18" t="str">
        <f ca="1"/>
        <v/>
      </c>
      <c r="CT664" s="18" t="str">
        <f ca="1"/>
        <v/>
      </c>
      <c r="CV664" s="10"/>
      <c r="CY664" s="18" t="str">
        <f ca="1"/>
        <v/>
      </c>
      <c r="CZ664" s="18" t="str">
        <f ca="1"/>
        <v/>
      </c>
      <c r="DA664" s="18" t="str">
        <f ca="1"/>
        <v/>
      </c>
      <c r="DC664" s="10"/>
    </row>
    <row r="665" spans="1:107" x14ac:dyDescent="0.25">
      <c r="A665" s="46"/>
      <c r="B665" s="52"/>
      <c r="C665" s="52"/>
      <c r="D665" s="16"/>
      <c r="E665" s="52"/>
      <c r="F665" s="52"/>
      <c r="G665" s="50"/>
      <c r="H665" s="17" t="str">
        <f ca="1">IFERROR(__xludf.DUMMYFUNCTION("""COMPUTED_VALUE"""),"")</f>
        <v/>
      </c>
      <c r="I665" s="50" t="s">
        <v>29</v>
      </c>
      <c r="J665" s="50" t="s">
        <v>29</v>
      </c>
      <c r="K665" s="50" t="s">
        <v>29</v>
      </c>
      <c r="L665" s="50" t="s">
        <v>29</v>
      </c>
      <c r="M665" s="50" t="s">
        <v>29</v>
      </c>
      <c r="N665" s="49"/>
      <c r="P665" s="19"/>
      <c r="Q665" s="18" t="str">
        <f ca="1">IFERROR(__xludf.DUMMYFUNCTION("""COMPUTED_VALUE"""),"")</f>
        <v/>
      </c>
      <c r="R665" s="19"/>
      <c r="S665" s="20"/>
      <c r="BP665" s="10"/>
      <c r="BW665" s="10"/>
      <c r="CF665" s="10"/>
      <c r="CM665" s="10"/>
      <c r="CP665" s="18" t="str">
        <f ca="1"/>
        <v/>
      </c>
      <c r="CQ665" s="18" t="str">
        <f ca="1"/>
        <v/>
      </c>
      <c r="CR665" s="18" t="str">
        <f ca="1"/>
        <v/>
      </c>
      <c r="CS665" s="18" t="str">
        <f ca="1"/>
        <v/>
      </c>
      <c r="CT665" s="18" t="str">
        <f ca="1"/>
        <v/>
      </c>
      <c r="CV665" s="10"/>
      <c r="CY665" s="18" t="str">
        <f ca="1"/>
        <v/>
      </c>
      <c r="CZ665" s="18" t="str">
        <f ca="1"/>
        <v/>
      </c>
      <c r="DA665" s="18" t="str">
        <f ca="1"/>
        <v/>
      </c>
      <c r="DC665" s="10"/>
    </row>
    <row r="666" spans="1:107" x14ac:dyDescent="0.25">
      <c r="A666" s="46"/>
      <c r="B666" s="52"/>
      <c r="C666" s="52"/>
      <c r="D666" s="16"/>
      <c r="E666" s="52"/>
      <c r="F666" s="52"/>
      <c r="G666" s="50"/>
      <c r="H666" s="17" t="str">
        <f ca="1">IFERROR(__xludf.DUMMYFUNCTION("""COMPUTED_VALUE"""),"")</f>
        <v/>
      </c>
      <c r="I666" s="50" t="s">
        <v>29</v>
      </c>
      <c r="J666" s="50" t="s">
        <v>29</v>
      </c>
      <c r="K666" s="50" t="s">
        <v>29</v>
      </c>
      <c r="L666" s="50" t="s">
        <v>29</v>
      </c>
      <c r="M666" s="50" t="s">
        <v>29</v>
      </c>
      <c r="N666" s="49"/>
      <c r="P666" s="19"/>
      <c r="Q666" s="18" t="str">
        <f ca="1">IFERROR(__xludf.DUMMYFUNCTION("""COMPUTED_VALUE"""),"")</f>
        <v/>
      </c>
      <c r="R666" s="19"/>
      <c r="S666" s="20"/>
      <c r="BP666" s="10"/>
      <c r="BW666" s="10"/>
      <c r="CF666" s="10"/>
      <c r="CM666" s="10"/>
      <c r="CP666" s="18" t="str">
        <f ca="1"/>
        <v/>
      </c>
      <c r="CQ666" s="18" t="str">
        <f ca="1"/>
        <v/>
      </c>
      <c r="CR666" s="18" t="str">
        <f ca="1"/>
        <v/>
      </c>
      <c r="CS666" s="18" t="str">
        <f ca="1"/>
        <v/>
      </c>
      <c r="CT666" s="18" t="str">
        <f ca="1"/>
        <v/>
      </c>
      <c r="CV666" s="10"/>
      <c r="CY666" s="18" t="str">
        <f ca="1"/>
        <v/>
      </c>
      <c r="CZ666" s="18" t="str">
        <f ca="1"/>
        <v/>
      </c>
      <c r="DA666" s="18" t="str">
        <f ca="1"/>
        <v/>
      </c>
      <c r="DC666" s="10"/>
    </row>
    <row r="667" spans="1:107" x14ac:dyDescent="0.25">
      <c r="A667" s="46"/>
      <c r="B667" s="52"/>
      <c r="C667" s="52"/>
      <c r="D667" s="16"/>
      <c r="E667" s="52"/>
      <c r="F667" s="52"/>
      <c r="G667" s="50"/>
      <c r="H667" s="17" t="str">
        <f ca="1">IFERROR(__xludf.DUMMYFUNCTION("""COMPUTED_VALUE"""),"")</f>
        <v/>
      </c>
      <c r="I667" s="50" t="s">
        <v>29</v>
      </c>
      <c r="J667" s="50" t="s">
        <v>29</v>
      </c>
      <c r="K667" s="50" t="s">
        <v>29</v>
      </c>
      <c r="L667" s="50" t="s">
        <v>29</v>
      </c>
      <c r="M667" s="50" t="s">
        <v>29</v>
      </c>
      <c r="N667" s="49"/>
      <c r="P667" s="19"/>
      <c r="Q667" s="18" t="str">
        <f ca="1">IFERROR(__xludf.DUMMYFUNCTION("""COMPUTED_VALUE"""),"")</f>
        <v/>
      </c>
      <c r="R667" s="19"/>
      <c r="S667" s="20"/>
      <c r="BP667" s="10"/>
      <c r="BW667" s="10"/>
      <c r="CF667" s="10"/>
      <c r="CM667" s="10"/>
      <c r="CP667" s="18" t="str">
        <f ca="1"/>
        <v/>
      </c>
      <c r="CQ667" s="18" t="str">
        <f ca="1"/>
        <v/>
      </c>
      <c r="CR667" s="18" t="str">
        <f ca="1"/>
        <v/>
      </c>
      <c r="CS667" s="18" t="str">
        <f ca="1"/>
        <v/>
      </c>
      <c r="CT667" s="18" t="str">
        <f ca="1"/>
        <v/>
      </c>
      <c r="CV667" s="10"/>
      <c r="CY667" s="18" t="str">
        <f ca="1"/>
        <v/>
      </c>
      <c r="CZ667" s="18" t="str">
        <f ca="1"/>
        <v/>
      </c>
      <c r="DA667" s="18" t="str">
        <f ca="1"/>
        <v/>
      </c>
      <c r="DC667" s="10"/>
    </row>
    <row r="668" spans="1:107" x14ac:dyDescent="0.25">
      <c r="A668" s="46"/>
      <c r="B668" s="52"/>
      <c r="C668" s="52"/>
      <c r="D668" s="16"/>
      <c r="E668" s="52"/>
      <c r="F668" s="52"/>
      <c r="G668" s="50"/>
      <c r="H668" s="17" t="str">
        <f ca="1">IFERROR(__xludf.DUMMYFUNCTION("""COMPUTED_VALUE"""),"")</f>
        <v/>
      </c>
      <c r="I668" s="50" t="s">
        <v>29</v>
      </c>
      <c r="J668" s="50" t="s">
        <v>29</v>
      </c>
      <c r="K668" s="50" t="s">
        <v>29</v>
      </c>
      <c r="L668" s="50" t="s">
        <v>29</v>
      </c>
      <c r="M668" s="50" t="s">
        <v>29</v>
      </c>
      <c r="N668" s="49"/>
      <c r="P668" s="19"/>
      <c r="Q668" s="18" t="str">
        <f ca="1">IFERROR(__xludf.DUMMYFUNCTION("""COMPUTED_VALUE"""),"")</f>
        <v/>
      </c>
      <c r="R668" s="19"/>
      <c r="S668" s="20"/>
      <c r="BP668" s="10"/>
      <c r="BW668" s="10"/>
      <c r="CF668" s="10"/>
      <c r="CM668" s="10"/>
      <c r="CP668" s="18" t="str">
        <f ca="1"/>
        <v/>
      </c>
      <c r="CQ668" s="18" t="str">
        <f ca="1"/>
        <v/>
      </c>
      <c r="CR668" s="18" t="str">
        <f ca="1"/>
        <v/>
      </c>
      <c r="CS668" s="18" t="str">
        <f ca="1"/>
        <v/>
      </c>
      <c r="CT668" s="18" t="str">
        <f ca="1"/>
        <v/>
      </c>
      <c r="CV668" s="10"/>
      <c r="CY668" s="18" t="str">
        <f ca="1"/>
        <v/>
      </c>
      <c r="CZ668" s="18" t="str">
        <f ca="1"/>
        <v/>
      </c>
      <c r="DA668" s="18" t="str">
        <f ca="1"/>
        <v/>
      </c>
      <c r="DC668" s="10"/>
    </row>
    <row r="669" spans="1:107" x14ac:dyDescent="0.25">
      <c r="A669" s="46"/>
      <c r="B669" s="52"/>
      <c r="C669" s="52"/>
      <c r="D669" s="16"/>
      <c r="E669" s="52"/>
      <c r="F669" s="52"/>
      <c r="G669" s="50"/>
      <c r="H669" s="17" t="str">
        <f ca="1">IFERROR(__xludf.DUMMYFUNCTION("""COMPUTED_VALUE"""),"")</f>
        <v/>
      </c>
      <c r="I669" s="50" t="s">
        <v>29</v>
      </c>
      <c r="J669" s="50" t="s">
        <v>29</v>
      </c>
      <c r="K669" s="50" t="s">
        <v>29</v>
      </c>
      <c r="L669" s="50" t="s">
        <v>29</v>
      </c>
      <c r="M669" s="50" t="s">
        <v>29</v>
      </c>
      <c r="N669" s="49"/>
      <c r="P669" s="19"/>
      <c r="Q669" s="18" t="str">
        <f ca="1">IFERROR(__xludf.DUMMYFUNCTION("""COMPUTED_VALUE"""),"")</f>
        <v/>
      </c>
      <c r="R669" s="19"/>
      <c r="S669" s="20"/>
      <c r="BP669" s="10"/>
      <c r="BW669" s="10"/>
      <c r="CF669" s="10"/>
      <c r="CM669" s="10"/>
      <c r="CP669" s="18" t="str">
        <f ca="1"/>
        <v/>
      </c>
      <c r="CQ669" s="18" t="str">
        <f ca="1"/>
        <v/>
      </c>
      <c r="CR669" s="18" t="str">
        <f ca="1"/>
        <v/>
      </c>
      <c r="CS669" s="18" t="str">
        <f ca="1"/>
        <v/>
      </c>
      <c r="CT669" s="18" t="str">
        <f ca="1"/>
        <v/>
      </c>
      <c r="CV669" s="10"/>
      <c r="CY669" s="18" t="str">
        <f ca="1"/>
        <v/>
      </c>
      <c r="CZ669" s="18" t="str">
        <f ca="1"/>
        <v/>
      </c>
      <c r="DA669" s="18" t="str">
        <f ca="1"/>
        <v/>
      </c>
      <c r="DC669" s="10"/>
    </row>
    <row r="670" spans="1:107" x14ac:dyDescent="0.25">
      <c r="A670" s="46"/>
      <c r="B670" s="52"/>
      <c r="C670" s="52"/>
      <c r="D670" s="16"/>
      <c r="E670" s="52"/>
      <c r="F670" s="52"/>
      <c r="G670" s="50"/>
      <c r="H670" s="17" t="str">
        <f ca="1">IFERROR(__xludf.DUMMYFUNCTION("""COMPUTED_VALUE"""),"")</f>
        <v/>
      </c>
      <c r="I670" s="50" t="s">
        <v>29</v>
      </c>
      <c r="J670" s="50" t="s">
        <v>29</v>
      </c>
      <c r="K670" s="50" t="s">
        <v>29</v>
      </c>
      <c r="L670" s="50" t="s">
        <v>29</v>
      </c>
      <c r="M670" s="50" t="s">
        <v>29</v>
      </c>
      <c r="N670" s="49"/>
      <c r="P670" s="19"/>
      <c r="Q670" s="18" t="str">
        <f ca="1">IFERROR(__xludf.DUMMYFUNCTION("""COMPUTED_VALUE"""),"")</f>
        <v/>
      </c>
      <c r="R670" s="19"/>
      <c r="S670" s="20"/>
      <c r="BP670" s="10"/>
      <c r="BW670" s="10"/>
      <c r="CF670" s="10"/>
      <c r="CM670" s="10"/>
      <c r="CP670" s="18" t="str">
        <f ca="1"/>
        <v/>
      </c>
      <c r="CQ670" s="18" t="str">
        <f ca="1"/>
        <v/>
      </c>
      <c r="CR670" s="18" t="str">
        <f ca="1"/>
        <v/>
      </c>
      <c r="CS670" s="18" t="str">
        <f ca="1"/>
        <v/>
      </c>
      <c r="CT670" s="18" t="str">
        <f ca="1"/>
        <v/>
      </c>
      <c r="CV670" s="10"/>
      <c r="CY670" s="18" t="str">
        <f ca="1"/>
        <v/>
      </c>
      <c r="CZ670" s="18" t="str">
        <f ca="1"/>
        <v/>
      </c>
      <c r="DA670" s="18" t="str">
        <f ca="1"/>
        <v/>
      </c>
      <c r="DC670" s="10"/>
    </row>
    <row r="671" spans="1:107" x14ac:dyDescent="0.25">
      <c r="A671" s="46"/>
      <c r="B671" s="52"/>
      <c r="C671" s="52"/>
      <c r="D671" s="16"/>
      <c r="E671" s="52"/>
      <c r="F671" s="52"/>
      <c r="G671" s="50"/>
      <c r="H671" s="17" t="str">
        <f ca="1">IFERROR(__xludf.DUMMYFUNCTION("""COMPUTED_VALUE"""),"")</f>
        <v/>
      </c>
      <c r="I671" s="50" t="s">
        <v>29</v>
      </c>
      <c r="J671" s="50" t="s">
        <v>29</v>
      </c>
      <c r="K671" s="50" t="s">
        <v>29</v>
      </c>
      <c r="L671" s="50" t="s">
        <v>29</v>
      </c>
      <c r="M671" s="50" t="s">
        <v>29</v>
      </c>
      <c r="N671" s="49"/>
      <c r="P671" s="19"/>
      <c r="Q671" s="18" t="str">
        <f ca="1">IFERROR(__xludf.DUMMYFUNCTION("""COMPUTED_VALUE"""),"")</f>
        <v/>
      </c>
      <c r="R671" s="19"/>
      <c r="S671" s="20"/>
      <c r="BP671" s="10"/>
      <c r="BW671" s="10"/>
      <c r="CF671" s="10"/>
      <c r="CM671" s="10"/>
      <c r="CP671" s="18" t="str">
        <f ca="1"/>
        <v/>
      </c>
      <c r="CQ671" s="18" t="str">
        <f ca="1"/>
        <v/>
      </c>
      <c r="CR671" s="18" t="str">
        <f ca="1"/>
        <v/>
      </c>
      <c r="CS671" s="18" t="str">
        <f ca="1"/>
        <v/>
      </c>
      <c r="CT671" s="18" t="str">
        <f ca="1"/>
        <v/>
      </c>
      <c r="CV671" s="10"/>
      <c r="CY671" s="18" t="str">
        <f ca="1"/>
        <v/>
      </c>
      <c r="CZ671" s="18" t="str">
        <f ca="1"/>
        <v/>
      </c>
      <c r="DA671" s="18" t="str">
        <f ca="1"/>
        <v/>
      </c>
      <c r="DC671" s="10"/>
    </row>
    <row r="672" spans="1:107" x14ac:dyDescent="0.25">
      <c r="A672" s="46"/>
      <c r="B672" s="52"/>
      <c r="C672" s="52"/>
      <c r="D672" s="16"/>
      <c r="E672" s="52"/>
      <c r="F672" s="52"/>
      <c r="G672" s="50"/>
      <c r="H672" s="17" t="str">
        <f ca="1">IFERROR(__xludf.DUMMYFUNCTION("""COMPUTED_VALUE"""),"")</f>
        <v/>
      </c>
      <c r="I672" s="50" t="s">
        <v>29</v>
      </c>
      <c r="J672" s="50" t="s">
        <v>29</v>
      </c>
      <c r="K672" s="50" t="s">
        <v>29</v>
      </c>
      <c r="L672" s="50" t="s">
        <v>29</v>
      </c>
      <c r="M672" s="50" t="s">
        <v>29</v>
      </c>
      <c r="N672" s="49"/>
      <c r="P672" s="19"/>
      <c r="Q672" s="18" t="str">
        <f ca="1">IFERROR(__xludf.DUMMYFUNCTION("""COMPUTED_VALUE"""),"")</f>
        <v/>
      </c>
      <c r="R672" s="19"/>
      <c r="S672" s="20"/>
      <c r="BP672" s="10"/>
      <c r="BW672" s="10"/>
      <c r="CF672" s="10"/>
      <c r="CM672" s="10"/>
      <c r="CP672" s="18" t="str">
        <f ca="1"/>
        <v/>
      </c>
      <c r="CQ672" s="18" t="str">
        <f ca="1"/>
        <v/>
      </c>
      <c r="CR672" s="18" t="str">
        <f ca="1"/>
        <v/>
      </c>
      <c r="CS672" s="18" t="str">
        <f ca="1"/>
        <v/>
      </c>
      <c r="CT672" s="18" t="str">
        <f ca="1"/>
        <v/>
      </c>
      <c r="CV672" s="10"/>
      <c r="CY672" s="18" t="str">
        <f ca="1"/>
        <v/>
      </c>
      <c r="CZ672" s="18" t="str">
        <f ca="1"/>
        <v/>
      </c>
      <c r="DA672" s="18" t="str">
        <f ca="1"/>
        <v/>
      </c>
      <c r="DC672" s="10"/>
    </row>
    <row r="673" spans="1:107" x14ac:dyDescent="0.25">
      <c r="A673" s="46"/>
      <c r="B673" s="52"/>
      <c r="C673" s="52"/>
      <c r="D673" s="16"/>
      <c r="E673" s="52"/>
      <c r="F673" s="52"/>
      <c r="G673" s="50"/>
      <c r="H673" s="17" t="str">
        <f ca="1">IFERROR(__xludf.DUMMYFUNCTION("""COMPUTED_VALUE"""),"")</f>
        <v/>
      </c>
      <c r="I673" s="50" t="s">
        <v>29</v>
      </c>
      <c r="J673" s="50" t="s">
        <v>29</v>
      </c>
      <c r="K673" s="50" t="s">
        <v>29</v>
      </c>
      <c r="L673" s="50" t="s">
        <v>29</v>
      </c>
      <c r="M673" s="50" t="s">
        <v>29</v>
      </c>
      <c r="N673" s="49"/>
      <c r="P673" s="19"/>
      <c r="Q673" s="18" t="str">
        <f ca="1">IFERROR(__xludf.DUMMYFUNCTION("""COMPUTED_VALUE"""),"")</f>
        <v/>
      </c>
      <c r="R673" s="19"/>
      <c r="S673" s="20"/>
      <c r="BP673" s="10"/>
      <c r="BW673" s="10"/>
      <c r="CF673" s="10"/>
      <c r="CM673" s="10"/>
      <c r="CP673" s="18" t="str">
        <f ca="1"/>
        <v/>
      </c>
      <c r="CQ673" s="18" t="str">
        <f ca="1"/>
        <v/>
      </c>
      <c r="CR673" s="18" t="str">
        <f ca="1"/>
        <v/>
      </c>
      <c r="CS673" s="18" t="str">
        <f ca="1"/>
        <v/>
      </c>
      <c r="CT673" s="18" t="str">
        <f ca="1"/>
        <v/>
      </c>
      <c r="CV673" s="10"/>
      <c r="CY673" s="18" t="str">
        <f ca="1"/>
        <v/>
      </c>
      <c r="CZ673" s="18" t="str">
        <f ca="1"/>
        <v/>
      </c>
      <c r="DA673" s="18" t="str">
        <f ca="1"/>
        <v/>
      </c>
      <c r="DC673" s="10"/>
    </row>
    <row r="674" spans="1:107" x14ac:dyDescent="0.25">
      <c r="A674" s="46"/>
      <c r="B674" s="52"/>
      <c r="C674" s="52"/>
      <c r="D674" s="16"/>
      <c r="E674" s="52"/>
      <c r="F674" s="52"/>
      <c r="G674" s="50"/>
      <c r="H674" s="17" t="str">
        <f ca="1">IFERROR(__xludf.DUMMYFUNCTION("""COMPUTED_VALUE"""),"")</f>
        <v/>
      </c>
      <c r="I674" s="50" t="s">
        <v>29</v>
      </c>
      <c r="J674" s="50" t="s">
        <v>29</v>
      </c>
      <c r="K674" s="50" t="s">
        <v>29</v>
      </c>
      <c r="L674" s="50" t="s">
        <v>29</v>
      </c>
      <c r="M674" s="50" t="s">
        <v>29</v>
      </c>
      <c r="N674" s="49"/>
      <c r="P674" s="19"/>
      <c r="Q674" s="18" t="str">
        <f ca="1">IFERROR(__xludf.DUMMYFUNCTION("""COMPUTED_VALUE"""),"")</f>
        <v/>
      </c>
      <c r="R674" s="19"/>
      <c r="S674" s="20"/>
      <c r="BP674" s="10"/>
      <c r="BW674" s="10"/>
      <c r="CF674" s="10"/>
      <c r="CM674" s="10"/>
      <c r="CP674" s="18" t="str">
        <f ca="1"/>
        <v/>
      </c>
      <c r="CQ674" s="18" t="str">
        <f ca="1"/>
        <v/>
      </c>
      <c r="CR674" s="18" t="str">
        <f ca="1"/>
        <v/>
      </c>
      <c r="CS674" s="18" t="str">
        <f ca="1"/>
        <v/>
      </c>
      <c r="CT674" s="18" t="str">
        <f ca="1"/>
        <v/>
      </c>
      <c r="CV674" s="10"/>
      <c r="CY674" s="18" t="str">
        <f ca="1"/>
        <v/>
      </c>
      <c r="CZ674" s="18" t="str">
        <f ca="1"/>
        <v/>
      </c>
      <c r="DA674" s="18" t="str">
        <f ca="1"/>
        <v/>
      </c>
      <c r="DC674" s="10"/>
    </row>
    <row r="675" spans="1:107" x14ac:dyDescent="0.25">
      <c r="A675" s="46"/>
      <c r="B675" s="52"/>
      <c r="C675" s="52"/>
      <c r="D675" s="16"/>
      <c r="E675" s="52"/>
      <c r="F675" s="52"/>
      <c r="G675" s="50"/>
      <c r="H675" s="17" t="str">
        <f ca="1">IFERROR(__xludf.DUMMYFUNCTION("""COMPUTED_VALUE"""),"")</f>
        <v/>
      </c>
      <c r="I675" s="50" t="s">
        <v>29</v>
      </c>
      <c r="J675" s="50" t="s">
        <v>29</v>
      </c>
      <c r="K675" s="50" t="s">
        <v>29</v>
      </c>
      <c r="L675" s="50" t="s">
        <v>29</v>
      </c>
      <c r="M675" s="50" t="s">
        <v>29</v>
      </c>
      <c r="N675" s="49"/>
      <c r="P675" s="19"/>
      <c r="Q675" s="18" t="str">
        <f ca="1">IFERROR(__xludf.DUMMYFUNCTION("""COMPUTED_VALUE"""),"")</f>
        <v/>
      </c>
      <c r="R675" s="19"/>
      <c r="S675" s="20"/>
      <c r="BP675" s="10"/>
      <c r="BW675" s="10"/>
      <c r="CF675" s="10"/>
      <c r="CM675" s="10"/>
      <c r="CP675" s="18" t="str">
        <f ca="1"/>
        <v/>
      </c>
      <c r="CQ675" s="18" t="str">
        <f ca="1"/>
        <v/>
      </c>
      <c r="CR675" s="18" t="str">
        <f ca="1"/>
        <v/>
      </c>
      <c r="CS675" s="18" t="str">
        <f ca="1"/>
        <v/>
      </c>
      <c r="CT675" s="18" t="str">
        <f ca="1"/>
        <v/>
      </c>
      <c r="CV675" s="10"/>
      <c r="CY675" s="18" t="str">
        <f ca="1"/>
        <v/>
      </c>
      <c r="CZ675" s="18" t="str">
        <f ca="1"/>
        <v/>
      </c>
      <c r="DA675" s="18" t="str">
        <f ca="1"/>
        <v/>
      </c>
      <c r="DC675" s="10"/>
    </row>
    <row r="676" spans="1:107" x14ac:dyDescent="0.25">
      <c r="A676" s="46"/>
      <c r="B676" s="52"/>
      <c r="C676" s="52"/>
      <c r="D676" s="16"/>
      <c r="E676" s="52"/>
      <c r="F676" s="52"/>
      <c r="G676" s="50"/>
      <c r="H676" s="17" t="str">
        <f ca="1">IFERROR(__xludf.DUMMYFUNCTION("""COMPUTED_VALUE"""),"")</f>
        <v/>
      </c>
      <c r="I676" s="50" t="s">
        <v>29</v>
      </c>
      <c r="J676" s="50" t="s">
        <v>29</v>
      </c>
      <c r="K676" s="50" t="s">
        <v>29</v>
      </c>
      <c r="L676" s="50" t="s">
        <v>29</v>
      </c>
      <c r="M676" s="50" t="s">
        <v>29</v>
      </c>
      <c r="N676" s="49"/>
      <c r="P676" s="19"/>
      <c r="Q676" s="18" t="str">
        <f ca="1">IFERROR(__xludf.DUMMYFUNCTION("""COMPUTED_VALUE"""),"")</f>
        <v/>
      </c>
      <c r="R676" s="19"/>
      <c r="S676" s="20"/>
      <c r="BP676" s="10"/>
      <c r="BW676" s="10"/>
      <c r="CF676" s="10"/>
      <c r="CM676" s="10"/>
      <c r="CP676" s="18" t="str">
        <f ca="1"/>
        <v/>
      </c>
      <c r="CQ676" s="18" t="str">
        <f ca="1"/>
        <v/>
      </c>
      <c r="CR676" s="18" t="str">
        <f ca="1"/>
        <v/>
      </c>
      <c r="CS676" s="18" t="str">
        <f ca="1"/>
        <v/>
      </c>
      <c r="CT676" s="18" t="str">
        <f ca="1"/>
        <v/>
      </c>
      <c r="CV676" s="10"/>
      <c r="CY676" s="18" t="str">
        <f ca="1"/>
        <v/>
      </c>
      <c r="CZ676" s="18" t="str">
        <f ca="1"/>
        <v/>
      </c>
      <c r="DA676" s="18" t="str">
        <f ca="1"/>
        <v/>
      </c>
      <c r="DC676" s="10"/>
    </row>
    <row r="677" spans="1:107" x14ac:dyDescent="0.25">
      <c r="A677" s="46"/>
      <c r="B677" s="52"/>
      <c r="C677" s="52"/>
      <c r="D677" s="16"/>
      <c r="E677" s="52"/>
      <c r="F677" s="52"/>
      <c r="G677" s="50"/>
      <c r="H677" s="17" t="str">
        <f ca="1">IFERROR(__xludf.DUMMYFUNCTION("""COMPUTED_VALUE"""),"")</f>
        <v/>
      </c>
      <c r="I677" s="50" t="s">
        <v>29</v>
      </c>
      <c r="J677" s="50" t="s">
        <v>29</v>
      </c>
      <c r="K677" s="50" t="s">
        <v>29</v>
      </c>
      <c r="L677" s="50" t="s">
        <v>29</v>
      </c>
      <c r="M677" s="50" t="s">
        <v>29</v>
      </c>
      <c r="N677" s="49"/>
      <c r="P677" s="19"/>
      <c r="Q677" s="18" t="str">
        <f ca="1">IFERROR(__xludf.DUMMYFUNCTION("""COMPUTED_VALUE"""),"")</f>
        <v/>
      </c>
      <c r="R677" s="19"/>
      <c r="S677" s="20"/>
      <c r="BP677" s="10"/>
      <c r="BW677" s="10"/>
      <c r="CF677" s="10"/>
      <c r="CM677" s="10"/>
      <c r="CP677" s="18" t="str">
        <f ca="1"/>
        <v/>
      </c>
      <c r="CQ677" s="18" t="str">
        <f ca="1"/>
        <v/>
      </c>
      <c r="CR677" s="18" t="str">
        <f ca="1"/>
        <v/>
      </c>
      <c r="CS677" s="18" t="str">
        <f ca="1"/>
        <v/>
      </c>
      <c r="CT677" s="18" t="str">
        <f ca="1"/>
        <v/>
      </c>
      <c r="CV677" s="10"/>
      <c r="CY677" s="18" t="str">
        <f ca="1"/>
        <v/>
      </c>
      <c r="CZ677" s="18" t="str">
        <f ca="1"/>
        <v/>
      </c>
      <c r="DA677" s="18" t="str">
        <f ca="1"/>
        <v/>
      </c>
      <c r="DC677" s="10"/>
    </row>
    <row r="678" spans="1:107" x14ac:dyDescent="0.25">
      <c r="A678" s="46"/>
      <c r="B678" s="52"/>
      <c r="C678" s="52"/>
      <c r="D678" s="16"/>
      <c r="E678" s="52"/>
      <c r="F678" s="52"/>
      <c r="G678" s="50"/>
      <c r="H678" s="17" t="str">
        <f ca="1">IFERROR(__xludf.DUMMYFUNCTION("""COMPUTED_VALUE"""),"")</f>
        <v/>
      </c>
      <c r="I678" s="50" t="s">
        <v>29</v>
      </c>
      <c r="J678" s="50" t="s">
        <v>29</v>
      </c>
      <c r="K678" s="50" t="s">
        <v>29</v>
      </c>
      <c r="L678" s="50" t="s">
        <v>29</v>
      </c>
      <c r="M678" s="50" t="s">
        <v>29</v>
      </c>
      <c r="N678" s="49"/>
      <c r="P678" s="19"/>
      <c r="Q678" s="18" t="str">
        <f ca="1">IFERROR(__xludf.DUMMYFUNCTION("""COMPUTED_VALUE"""),"")</f>
        <v/>
      </c>
      <c r="R678" s="19"/>
      <c r="S678" s="20"/>
      <c r="BP678" s="10"/>
      <c r="BW678" s="10"/>
      <c r="CF678" s="10"/>
      <c r="CM678" s="10"/>
      <c r="CP678" s="18" t="str">
        <f ca="1"/>
        <v/>
      </c>
      <c r="CQ678" s="18" t="str">
        <f ca="1"/>
        <v/>
      </c>
      <c r="CR678" s="18" t="str">
        <f ca="1"/>
        <v/>
      </c>
      <c r="CS678" s="18" t="str">
        <f ca="1"/>
        <v/>
      </c>
      <c r="CT678" s="18" t="str">
        <f ca="1"/>
        <v/>
      </c>
      <c r="CV678" s="10"/>
      <c r="CY678" s="18" t="str">
        <f ca="1"/>
        <v/>
      </c>
      <c r="CZ678" s="18" t="str">
        <f ca="1"/>
        <v/>
      </c>
      <c r="DA678" s="18" t="str">
        <f ca="1"/>
        <v/>
      </c>
      <c r="DC678" s="10"/>
    </row>
    <row r="679" spans="1:107" x14ac:dyDescent="0.25">
      <c r="A679" s="46"/>
      <c r="B679" s="52"/>
      <c r="C679" s="52"/>
      <c r="D679" s="16"/>
      <c r="E679" s="52"/>
      <c r="F679" s="52"/>
      <c r="G679" s="50"/>
      <c r="H679" s="17" t="str">
        <f ca="1">IFERROR(__xludf.DUMMYFUNCTION("""COMPUTED_VALUE"""),"")</f>
        <v/>
      </c>
      <c r="I679" s="50" t="s">
        <v>29</v>
      </c>
      <c r="J679" s="50" t="s">
        <v>29</v>
      </c>
      <c r="K679" s="50" t="s">
        <v>29</v>
      </c>
      <c r="L679" s="50" t="s">
        <v>29</v>
      </c>
      <c r="M679" s="50" t="s">
        <v>29</v>
      </c>
      <c r="N679" s="49"/>
      <c r="P679" s="19"/>
      <c r="Q679" s="18" t="str">
        <f ca="1">IFERROR(__xludf.DUMMYFUNCTION("""COMPUTED_VALUE"""),"")</f>
        <v/>
      </c>
      <c r="R679" s="19"/>
      <c r="S679" s="20"/>
      <c r="BP679" s="10"/>
      <c r="BW679" s="10"/>
      <c r="CF679" s="10"/>
      <c r="CM679" s="10"/>
      <c r="CP679" s="18" t="str">
        <f ca="1"/>
        <v/>
      </c>
      <c r="CQ679" s="18" t="str">
        <f ca="1"/>
        <v/>
      </c>
      <c r="CR679" s="18" t="str">
        <f ca="1"/>
        <v/>
      </c>
      <c r="CS679" s="18" t="str">
        <f ca="1"/>
        <v/>
      </c>
      <c r="CT679" s="18" t="str">
        <f ca="1"/>
        <v/>
      </c>
      <c r="CV679" s="10"/>
      <c r="CY679" s="18" t="str">
        <f ca="1"/>
        <v/>
      </c>
      <c r="CZ679" s="18" t="str">
        <f ca="1"/>
        <v/>
      </c>
      <c r="DA679" s="18" t="str">
        <f ca="1"/>
        <v/>
      </c>
      <c r="DC679" s="10"/>
    </row>
    <row r="680" spans="1:107" x14ac:dyDescent="0.25">
      <c r="A680" s="46"/>
      <c r="B680" s="52"/>
      <c r="C680" s="52"/>
      <c r="D680" s="16"/>
      <c r="E680" s="52"/>
      <c r="F680" s="52"/>
      <c r="G680" s="50"/>
      <c r="H680" s="17" t="str">
        <f ca="1">IFERROR(__xludf.DUMMYFUNCTION("""COMPUTED_VALUE"""),"")</f>
        <v/>
      </c>
      <c r="I680" s="50" t="s">
        <v>29</v>
      </c>
      <c r="J680" s="50" t="s">
        <v>29</v>
      </c>
      <c r="K680" s="50" t="s">
        <v>29</v>
      </c>
      <c r="L680" s="50" t="s">
        <v>29</v>
      </c>
      <c r="M680" s="50" t="s">
        <v>29</v>
      </c>
      <c r="N680" s="49"/>
      <c r="P680" s="19"/>
      <c r="Q680" s="18" t="str">
        <f ca="1">IFERROR(__xludf.DUMMYFUNCTION("""COMPUTED_VALUE"""),"")</f>
        <v/>
      </c>
      <c r="R680" s="19"/>
      <c r="S680" s="20"/>
      <c r="BP680" s="10"/>
      <c r="BW680" s="10"/>
      <c r="CF680" s="10"/>
      <c r="CM680" s="10"/>
      <c r="CP680" s="18" t="str">
        <f ca="1"/>
        <v/>
      </c>
      <c r="CQ680" s="18" t="str">
        <f ca="1"/>
        <v/>
      </c>
      <c r="CR680" s="18" t="str">
        <f ca="1"/>
        <v/>
      </c>
      <c r="CS680" s="18" t="str">
        <f ca="1"/>
        <v/>
      </c>
      <c r="CT680" s="18" t="str">
        <f ca="1"/>
        <v/>
      </c>
      <c r="CV680" s="10"/>
      <c r="CY680" s="18" t="str">
        <f ca="1"/>
        <v/>
      </c>
      <c r="CZ680" s="18" t="str">
        <f ca="1"/>
        <v/>
      </c>
      <c r="DA680" s="18" t="str">
        <f ca="1"/>
        <v/>
      </c>
      <c r="DC680" s="10"/>
    </row>
    <row r="681" spans="1:107" x14ac:dyDescent="0.25">
      <c r="A681" s="46"/>
      <c r="B681" s="52"/>
      <c r="C681" s="52"/>
      <c r="D681" s="16"/>
      <c r="E681" s="52"/>
      <c r="F681" s="52"/>
      <c r="G681" s="50"/>
      <c r="H681" s="17" t="str">
        <f ca="1">IFERROR(__xludf.DUMMYFUNCTION("""COMPUTED_VALUE"""),"")</f>
        <v/>
      </c>
      <c r="I681" s="50" t="s">
        <v>29</v>
      </c>
      <c r="J681" s="50" t="s">
        <v>29</v>
      </c>
      <c r="K681" s="50" t="s">
        <v>29</v>
      </c>
      <c r="L681" s="50" t="s">
        <v>29</v>
      </c>
      <c r="M681" s="50" t="s">
        <v>29</v>
      </c>
      <c r="N681" s="49"/>
      <c r="P681" s="19"/>
      <c r="Q681" s="18" t="str">
        <f ca="1">IFERROR(__xludf.DUMMYFUNCTION("""COMPUTED_VALUE"""),"")</f>
        <v/>
      </c>
      <c r="R681" s="19"/>
      <c r="S681" s="20"/>
      <c r="BP681" s="10"/>
      <c r="BW681" s="10"/>
      <c r="CF681" s="10"/>
      <c r="CM681" s="10"/>
      <c r="CP681" s="18" t="str">
        <f ca="1"/>
        <v/>
      </c>
      <c r="CQ681" s="18" t="str">
        <f ca="1"/>
        <v/>
      </c>
      <c r="CR681" s="18" t="str">
        <f ca="1"/>
        <v/>
      </c>
      <c r="CS681" s="18" t="str">
        <f ca="1"/>
        <v/>
      </c>
      <c r="CT681" s="18" t="str">
        <f ca="1"/>
        <v/>
      </c>
      <c r="CV681" s="10"/>
      <c r="CY681" s="18" t="str">
        <f ca="1"/>
        <v/>
      </c>
      <c r="CZ681" s="18" t="str">
        <f ca="1"/>
        <v/>
      </c>
      <c r="DA681" s="18" t="str">
        <f ca="1"/>
        <v/>
      </c>
      <c r="DC681" s="10"/>
    </row>
    <row r="682" spans="1:107" x14ac:dyDescent="0.25">
      <c r="A682" s="46"/>
      <c r="B682" s="52"/>
      <c r="C682" s="52"/>
      <c r="D682" s="16"/>
      <c r="E682" s="52"/>
      <c r="F682" s="52"/>
      <c r="G682" s="50"/>
      <c r="H682" s="17" t="str">
        <f ca="1">IFERROR(__xludf.DUMMYFUNCTION("""COMPUTED_VALUE"""),"")</f>
        <v/>
      </c>
      <c r="I682" s="50" t="s">
        <v>29</v>
      </c>
      <c r="J682" s="50" t="s">
        <v>29</v>
      </c>
      <c r="K682" s="50" t="s">
        <v>29</v>
      </c>
      <c r="L682" s="50" t="s">
        <v>29</v>
      </c>
      <c r="M682" s="50" t="s">
        <v>29</v>
      </c>
      <c r="N682" s="49"/>
      <c r="P682" s="19"/>
      <c r="Q682" s="18" t="str">
        <f ca="1">IFERROR(__xludf.DUMMYFUNCTION("""COMPUTED_VALUE"""),"")</f>
        <v/>
      </c>
      <c r="R682" s="19"/>
      <c r="S682" s="20"/>
      <c r="BP682" s="10"/>
      <c r="BW682" s="10"/>
      <c r="CF682" s="10"/>
      <c r="CM682" s="10"/>
      <c r="CP682" s="18" t="str">
        <f ca="1"/>
        <v/>
      </c>
      <c r="CQ682" s="18" t="str">
        <f ca="1"/>
        <v/>
      </c>
      <c r="CR682" s="18" t="str">
        <f ca="1"/>
        <v/>
      </c>
      <c r="CS682" s="18" t="str">
        <f ca="1"/>
        <v/>
      </c>
      <c r="CT682" s="18" t="str">
        <f ca="1"/>
        <v/>
      </c>
      <c r="CV682" s="10"/>
      <c r="CY682" s="18" t="str">
        <f ca="1"/>
        <v/>
      </c>
      <c r="CZ682" s="18" t="str">
        <f ca="1"/>
        <v/>
      </c>
      <c r="DA682" s="18" t="str">
        <f ca="1"/>
        <v/>
      </c>
      <c r="DC682" s="10"/>
    </row>
    <row r="683" spans="1:107" x14ac:dyDescent="0.25">
      <c r="A683" s="46"/>
      <c r="B683" s="52"/>
      <c r="C683" s="52"/>
      <c r="D683" s="16"/>
      <c r="E683" s="52"/>
      <c r="F683" s="52"/>
      <c r="G683" s="50"/>
      <c r="H683" s="17" t="str">
        <f ca="1">IFERROR(__xludf.DUMMYFUNCTION("""COMPUTED_VALUE"""),"")</f>
        <v/>
      </c>
      <c r="I683" s="50" t="s">
        <v>29</v>
      </c>
      <c r="J683" s="50" t="s">
        <v>29</v>
      </c>
      <c r="K683" s="50" t="s">
        <v>29</v>
      </c>
      <c r="L683" s="50" t="s">
        <v>29</v>
      </c>
      <c r="M683" s="50" t="s">
        <v>29</v>
      </c>
      <c r="N683" s="49"/>
      <c r="P683" s="19"/>
      <c r="Q683" s="18" t="str">
        <f ca="1">IFERROR(__xludf.DUMMYFUNCTION("""COMPUTED_VALUE"""),"")</f>
        <v/>
      </c>
      <c r="R683" s="19"/>
      <c r="S683" s="20"/>
      <c r="BP683" s="10"/>
      <c r="BW683" s="10"/>
      <c r="CF683" s="10"/>
      <c r="CM683" s="10"/>
      <c r="CP683" s="18" t="str">
        <f ca="1"/>
        <v/>
      </c>
      <c r="CQ683" s="18" t="str">
        <f ca="1"/>
        <v/>
      </c>
      <c r="CR683" s="18" t="str">
        <f ca="1"/>
        <v/>
      </c>
      <c r="CS683" s="18" t="str">
        <f ca="1"/>
        <v/>
      </c>
      <c r="CT683" s="18" t="str">
        <f ca="1"/>
        <v/>
      </c>
      <c r="CV683" s="10"/>
      <c r="CY683" s="18" t="str">
        <f ca="1"/>
        <v/>
      </c>
      <c r="CZ683" s="18" t="str">
        <f ca="1"/>
        <v/>
      </c>
      <c r="DA683" s="18" t="str">
        <f ca="1"/>
        <v/>
      </c>
      <c r="DC683" s="10"/>
    </row>
    <row r="684" spans="1:107" x14ac:dyDescent="0.25">
      <c r="A684" s="46"/>
      <c r="B684" s="52"/>
      <c r="C684" s="52"/>
      <c r="D684" s="16"/>
      <c r="E684" s="52"/>
      <c r="F684" s="52"/>
      <c r="G684" s="50"/>
      <c r="H684" s="17" t="str">
        <f ca="1">IFERROR(__xludf.DUMMYFUNCTION("""COMPUTED_VALUE"""),"")</f>
        <v/>
      </c>
      <c r="I684" s="50" t="s">
        <v>29</v>
      </c>
      <c r="J684" s="50" t="s">
        <v>29</v>
      </c>
      <c r="K684" s="50" t="s">
        <v>29</v>
      </c>
      <c r="L684" s="50" t="s">
        <v>29</v>
      </c>
      <c r="M684" s="50" t="s">
        <v>29</v>
      </c>
      <c r="N684" s="49"/>
      <c r="P684" s="19"/>
      <c r="Q684" s="18" t="str">
        <f ca="1">IFERROR(__xludf.DUMMYFUNCTION("""COMPUTED_VALUE"""),"")</f>
        <v/>
      </c>
      <c r="R684" s="19"/>
      <c r="S684" s="20"/>
      <c r="BP684" s="10"/>
      <c r="BW684" s="10"/>
      <c r="CF684" s="10"/>
      <c r="CM684" s="10"/>
      <c r="CP684" s="18" t="str">
        <f ca="1"/>
        <v/>
      </c>
      <c r="CQ684" s="18" t="str">
        <f ca="1"/>
        <v/>
      </c>
      <c r="CR684" s="18" t="str">
        <f ca="1"/>
        <v/>
      </c>
      <c r="CS684" s="18" t="str">
        <f ca="1"/>
        <v/>
      </c>
      <c r="CT684" s="18" t="str">
        <f ca="1"/>
        <v/>
      </c>
      <c r="CV684" s="10"/>
      <c r="CY684" s="18" t="str">
        <f ca="1"/>
        <v/>
      </c>
      <c r="CZ684" s="18" t="str">
        <f ca="1"/>
        <v/>
      </c>
      <c r="DA684" s="18" t="str">
        <f ca="1"/>
        <v/>
      </c>
      <c r="DC684" s="10"/>
    </row>
    <row r="685" spans="1:107" x14ac:dyDescent="0.25">
      <c r="A685" s="46"/>
      <c r="B685" s="52"/>
      <c r="C685" s="52"/>
      <c r="D685" s="16"/>
      <c r="E685" s="52"/>
      <c r="F685" s="52"/>
      <c r="G685" s="50"/>
      <c r="H685" s="17" t="str">
        <f ca="1">IFERROR(__xludf.DUMMYFUNCTION("""COMPUTED_VALUE"""),"")</f>
        <v/>
      </c>
      <c r="I685" s="50" t="s">
        <v>29</v>
      </c>
      <c r="J685" s="50" t="s">
        <v>29</v>
      </c>
      <c r="K685" s="50" t="s">
        <v>29</v>
      </c>
      <c r="L685" s="50" t="s">
        <v>29</v>
      </c>
      <c r="M685" s="50" t="s">
        <v>29</v>
      </c>
      <c r="N685" s="49"/>
      <c r="P685" s="19"/>
      <c r="Q685" s="18" t="str">
        <f ca="1">IFERROR(__xludf.DUMMYFUNCTION("""COMPUTED_VALUE"""),"")</f>
        <v/>
      </c>
      <c r="R685" s="19"/>
      <c r="S685" s="20"/>
      <c r="BP685" s="10"/>
      <c r="BW685" s="10"/>
      <c r="CF685" s="10"/>
      <c r="CM685" s="10"/>
      <c r="CP685" s="18" t="str">
        <f ca="1"/>
        <v/>
      </c>
      <c r="CQ685" s="18" t="str">
        <f ca="1"/>
        <v/>
      </c>
      <c r="CR685" s="18" t="str">
        <f ca="1"/>
        <v/>
      </c>
      <c r="CS685" s="18" t="str">
        <f ca="1"/>
        <v/>
      </c>
      <c r="CT685" s="18" t="str">
        <f ca="1"/>
        <v/>
      </c>
      <c r="CV685" s="10"/>
      <c r="CY685" s="18" t="str">
        <f ca="1"/>
        <v/>
      </c>
      <c r="CZ685" s="18" t="str">
        <f ca="1"/>
        <v/>
      </c>
      <c r="DA685" s="18" t="str">
        <f ca="1"/>
        <v/>
      </c>
      <c r="DC685" s="10"/>
    </row>
    <row r="686" spans="1:107" x14ac:dyDescent="0.25">
      <c r="A686" s="46"/>
      <c r="B686" s="52"/>
      <c r="C686" s="52"/>
      <c r="D686" s="16"/>
      <c r="E686" s="52"/>
      <c r="F686" s="52"/>
      <c r="G686" s="50"/>
      <c r="H686" s="17" t="str">
        <f ca="1">IFERROR(__xludf.DUMMYFUNCTION("""COMPUTED_VALUE"""),"")</f>
        <v/>
      </c>
      <c r="I686" s="50" t="s">
        <v>29</v>
      </c>
      <c r="J686" s="50" t="s">
        <v>29</v>
      </c>
      <c r="K686" s="50" t="s">
        <v>29</v>
      </c>
      <c r="L686" s="50" t="s">
        <v>29</v>
      </c>
      <c r="M686" s="50" t="s">
        <v>29</v>
      </c>
      <c r="N686" s="49"/>
      <c r="P686" s="19"/>
      <c r="Q686" s="18" t="str">
        <f ca="1">IFERROR(__xludf.DUMMYFUNCTION("""COMPUTED_VALUE"""),"")</f>
        <v/>
      </c>
      <c r="R686" s="19"/>
      <c r="S686" s="20"/>
      <c r="BP686" s="10"/>
      <c r="BW686" s="10"/>
      <c r="CF686" s="10"/>
      <c r="CM686" s="10"/>
      <c r="CP686" s="18" t="str">
        <f ca="1"/>
        <v/>
      </c>
      <c r="CQ686" s="18" t="str">
        <f ca="1"/>
        <v/>
      </c>
      <c r="CR686" s="18" t="str">
        <f ca="1"/>
        <v/>
      </c>
      <c r="CS686" s="18" t="str">
        <f ca="1"/>
        <v/>
      </c>
      <c r="CT686" s="18" t="str">
        <f ca="1"/>
        <v/>
      </c>
      <c r="CV686" s="10"/>
      <c r="CY686" s="18" t="str">
        <f ca="1"/>
        <v/>
      </c>
      <c r="CZ686" s="18" t="str">
        <f ca="1"/>
        <v/>
      </c>
      <c r="DA686" s="18" t="str">
        <f ca="1"/>
        <v/>
      </c>
      <c r="DC686" s="10"/>
    </row>
    <row r="687" spans="1:107" x14ac:dyDescent="0.25">
      <c r="A687" s="46"/>
      <c r="B687" s="52"/>
      <c r="C687" s="52"/>
      <c r="D687" s="16"/>
      <c r="E687" s="52"/>
      <c r="F687" s="52"/>
      <c r="G687" s="50"/>
      <c r="H687" s="17" t="str">
        <f ca="1">IFERROR(__xludf.DUMMYFUNCTION("""COMPUTED_VALUE"""),"")</f>
        <v/>
      </c>
      <c r="I687" s="50" t="s">
        <v>29</v>
      </c>
      <c r="J687" s="50" t="s">
        <v>29</v>
      </c>
      <c r="K687" s="50" t="s">
        <v>29</v>
      </c>
      <c r="L687" s="50" t="s">
        <v>29</v>
      </c>
      <c r="M687" s="50" t="s">
        <v>29</v>
      </c>
      <c r="N687" s="49"/>
      <c r="P687" s="19"/>
      <c r="Q687" s="18" t="str">
        <f ca="1">IFERROR(__xludf.DUMMYFUNCTION("""COMPUTED_VALUE"""),"")</f>
        <v/>
      </c>
      <c r="R687" s="19"/>
      <c r="S687" s="20"/>
      <c r="BP687" s="10"/>
      <c r="BW687" s="10"/>
      <c r="CF687" s="10"/>
      <c r="CM687" s="10"/>
      <c r="CP687" s="18" t="str">
        <f ca="1"/>
        <v/>
      </c>
      <c r="CQ687" s="18" t="str">
        <f ca="1"/>
        <v/>
      </c>
      <c r="CR687" s="18" t="str">
        <f ca="1"/>
        <v/>
      </c>
      <c r="CS687" s="18" t="str">
        <f ca="1"/>
        <v/>
      </c>
      <c r="CT687" s="18" t="str">
        <f ca="1"/>
        <v/>
      </c>
      <c r="CV687" s="10"/>
      <c r="CY687" s="18" t="str">
        <f ca="1"/>
        <v/>
      </c>
      <c r="CZ687" s="18" t="str">
        <f ca="1"/>
        <v/>
      </c>
      <c r="DA687" s="18" t="str">
        <f ca="1"/>
        <v/>
      </c>
      <c r="DC687" s="10"/>
    </row>
    <row r="688" spans="1:107" x14ac:dyDescent="0.25">
      <c r="A688" s="46"/>
      <c r="B688" s="52"/>
      <c r="C688" s="52"/>
      <c r="D688" s="16"/>
      <c r="E688" s="52"/>
      <c r="F688" s="52"/>
      <c r="G688" s="50"/>
      <c r="H688" s="17" t="str">
        <f ca="1">IFERROR(__xludf.DUMMYFUNCTION("""COMPUTED_VALUE"""),"")</f>
        <v/>
      </c>
      <c r="I688" s="50" t="s">
        <v>29</v>
      </c>
      <c r="J688" s="50" t="s">
        <v>29</v>
      </c>
      <c r="K688" s="50" t="s">
        <v>29</v>
      </c>
      <c r="L688" s="50" t="s">
        <v>29</v>
      </c>
      <c r="M688" s="50" t="s">
        <v>29</v>
      </c>
      <c r="N688" s="49"/>
      <c r="P688" s="19"/>
      <c r="Q688" s="18" t="str">
        <f ca="1">IFERROR(__xludf.DUMMYFUNCTION("""COMPUTED_VALUE"""),"")</f>
        <v/>
      </c>
      <c r="R688" s="19"/>
      <c r="S688" s="20"/>
      <c r="BP688" s="10"/>
      <c r="BW688" s="10"/>
      <c r="CF688" s="10"/>
      <c r="CM688" s="10"/>
      <c r="CP688" s="18" t="str">
        <f ca="1"/>
        <v/>
      </c>
      <c r="CQ688" s="18" t="str">
        <f ca="1"/>
        <v/>
      </c>
      <c r="CR688" s="18" t="str">
        <f ca="1"/>
        <v/>
      </c>
      <c r="CS688" s="18" t="str">
        <f ca="1"/>
        <v/>
      </c>
      <c r="CT688" s="18" t="str">
        <f ca="1"/>
        <v/>
      </c>
      <c r="CV688" s="10"/>
      <c r="CY688" s="18" t="str">
        <f ca="1"/>
        <v/>
      </c>
      <c r="CZ688" s="18" t="str">
        <f ca="1"/>
        <v/>
      </c>
      <c r="DA688" s="18" t="str">
        <f ca="1"/>
        <v/>
      </c>
      <c r="DC688" s="10"/>
    </row>
    <row r="689" spans="1:107" x14ac:dyDescent="0.25">
      <c r="A689" s="46"/>
      <c r="B689" s="52"/>
      <c r="C689" s="52"/>
      <c r="D689" s="16"/>
      <c r="E689" s="52"/>
      <c r="F689" s="52"/>
      <c r="G689" s="50"/>
      <c r="H689" s="17" t="str">
        <f ca="1">IFERROR(__xludf.DUMMYFUNCTION("""COMPUTED_VALUE"""),"")</f>
        <v/>
      </c>
      <c r="I689" s="50" t="s">
        <v>29</v>
      </c>
      <c r="J689" s="50" t="s">
        <v>29</v>
      </c>
      <c r="K689" s="50" t="s">
        <v>29</v>
      </c>
      <c r="L689" s="50" t="s">
        <v>29</v>
      </c>
      <c r="M689" s="50" t="s">
        <v>29</v>
      </c>
      <c r="N689" s="49"/>
      <c r="P689" s="19"/>
      <c r="Q689" s="18" t="str">
        <f ca="1">IFERROR(__xludf.DUMMYFUNCTION("""COMPUTED_VALUE"""),"")</f>
        <v/>
      </c>
      <c r="R689" s="19"/>
      <c r="S689" s="20"/>
      <c r="BP689" s="10"/>
      <c r="BW689" s="10"/>
      <c r="CF689" s="10"/>
      <c r="CM689" s="10"/>
      <c r="CP689" s="18" t="str">
        <f ca="1"/>
        <v/>
      </c>
      <c r="CQ689" s="18" t="str">
        <f ca="1"/>
        <v/>
      </c>
      <c r="CR689" s="18" t="str">
        <f ca="1"/>
        <v/>
      </c>
      <c r="CS689" s="18" t="str">
        <f ca="1"/>
        <v/>
      </c>
      <c r="CT689" s="18" t="str">
        <f ca="1"/>
        <v/>
      </c>
      <c r="CV689" s="10"/>
      <c r="CY689" s="18" t="str">
        <f ca="1"/>
        <v/>
      </c>
      <c r="CZ689" s="18" t="str">
        <f ca="1"/>
        <v/>
      </c>
      <c r="DA689" s="18" t="str">
        <f ca="1"/>
        <v/>
      </c>
      <c r="DC689" s="10"/>
    </row>
    <row r="690" spans="1:107" x14ac:dyDescent="0.25">
      <c r="A690" s="46"/>
      <c r="B690" s="52"/>
      <c r="C690" s="52"/>
      <c r="D690" s="16"/>
      <c r="E690" s="52"/>
      <c r="F690" s="52"/>
      <c r="G690" s="50"/>
      <c r="H690" s="17" t="str">
        <f ca="1">IFERROR(__xludf.DUMMYFUNCTION("""COMPUTED_VALUE"""),"")</f>
        <v/>
      </c>
      <c r="I690" s="50" t="s">
        <v>29</v>
      </c>
      <c r="J690" s="50" t="s">
        <v>29</v>
      </c>
      <c r="K690" s="50" t="s">
        <v>29</v>
      </c>
      <c r="L690" s="50" t="s">
        <v>29</v>
      </c>
      <c r="M690" s="50" t="s">
        <v>29</v>
      </c>
      <c r="N690" s="49"/>
      <c r="P690" s="19"/>
      <c r="Q690" s="18" t="str">
        <f ca="1">IFERROR(__xludf.DUMMYFUNCTION("""COMPUTED_VALUE"""),"")</f>
        <v/>
      </c>
      <c r="R690" s="19"/>
      <c r="S690" s="20"/>
      <c r="BP690" s="10"/>
      <c r="BW690" s="10"/>
      <c r="CF690" s="10"/>
      <c r="CM690" s="10"/>
      <c r="CP690" s="18" t="str">
        <f ca="1"/>
        <v/>
      </c>
      <c r="CQ690" s="18" t="str">
        <f ca="1"/>
        <v/>
      </c>
      <c r="CR690" s="18" t="str">
        <f ca="1"/>
        <v/>
      </c>
      <c r="CS690" s="18" t="str">
        <f ca="1"/>
        <v/>
      </c>
      <c r="CT690" s="18" t="str">
        <f ca="1"/>
        <v/>
      </c>
      <c r="CV690" s="10"/>
      <c r="CY690" s="18" t="str">
        <f ca="1"/>
        <v/>
      </c>
      <c r="CZ690" s="18" t="str">
        <f ca="1"/>
        <v/>
      </c>
      <c r="DA690" s="18" t="str">
        <f ca="1"/>
        <v/>
      </c>
      <c r="DC690" s="10"/>
    </row>
    <row r="691" spans="1:107" x14ac:dyDescent="0.25">
      <c r="A691" s="46"/>
      <c r="B691" s="52"/>
      <c r="C691" s="52"/>
      <c r="D691" s="16"/>
      <c r="E691" s="52"/>
      <c r="F691" s="52"/>
      <c r="G691" s="50"/>
      <c r="H691" s="17" t="str">
        <f ca="1">IFERROR(__xludf.DUMMYFUNCTION("""COMPUTED_VALUE"""),"")</f>
        <v/>
      </c>
      <c r="I691" s="50" t="s">
        <v>29</v>
      </c>
      <c r="J691" s="50" t="s">
        <v>29</v>
      </c>
      <c r="K691" s="50" t="s">
        <v>29</v>
      </c>
      <c r="L691" s="50" t="s">
        <v>29</v>
      </c>
      <c r="M691" s="50" t="s">
        <v>29</v>
      </c>
      <c r="N691" s="49"/>
      <c r="P691" s="19"/>
      <c r="Q691" s="18" t="str">
        <f ca="1">IFERROR(__xludf.DUMMYFUNCTION("""COMPUTED_VALUE"""),"")</f>
        <v/>
      </c>
      <c r="R691" s="19"/>
      <c r="S691" s="20"/>
      <c r="BP691" s="10"/>
      <c r="BW691" s="10"/>
      <c r="CF691" s="10"/>
      <c r="CM691" s="10"/>
      <c r="CP691" s="18" t="str">
        <f ca="1"/>
        <v/>
      </c>
      <c r="CQ691" s="18" t="str">
        <f ca="1"/>
        <v/>
      </c>
      <c r="CR691" s="18" t="str">
        <f ca="1"/>
        <v/>
      </c>
      <c r="CS691" s="18" t="str">
        <f ca="1"/>
        <v/>
      </c>
      <c r="CT691" s="18" t="str">
        <f ca="1"/>
        <v/>
      </c>
      <c r="CV691" s="10"/>
      <c r="CY691" s="18" t="str">
        <f ca="1"/>
        <v/>
      </c>
      <c r="CZ691" s="18" t="str">
        <f ca="1"/>
        <v/>
      </c>
      <c r="DA691" s="18" t="str">
        <f ca="1"/>
        <v/>
      </c>
      <c r="DC691" s="10"/>
    </row>
    <row r="692" spans="1:107" x14ac:dyDescent="0.25">
      <c r="A692" s="46"/>
      <c r="B692" s="52"/>
      <c r="C692" s="52"/>
      <c r="D692" s="16"/>
      <c r="E692" s="52"/>
      <c r="F692" s="52"/>
      <c r="G692" s="50"/>
      <c r="H692" s="17" t="str">
        <f ca="1">IFERROR(__xludf.DUMMYFUNCTION("""COMPUTED_VALUE"""),"")</f>
        <v/>
      </c>
      <c r="I692" s="50" t="s">
        <v>29</v>
      </c>
      <c r="J692" s="50" t="s">
        <v>29</v>
      </c>
      <c r="K692" s="50" t="s">
        <v>29</v>
      </c>
      <c r="L692" s="50" t="s">
        <v>29</v>
      </c>
      <c r="M692" s="50" t="s">
        <v>29</v>
      </c>
      <c r="N692" s="49"/>
      <c r="P692" s="19"/>
      <c r="Q692" s="18" t="str">
        <f ca="1">IFERROR(__xludf.DUMMYFUNCTION("""COMPUTED_VALUE"""),"")</f>
        <v/>
      </c>
      <c r="R692" s="19"/>
      <c r="S692" s="20"/>
      <c r="BP692" s="10"/>
      <c r="BW692" s="10"/>
      <c r="CF692" s="10"/>
      <c r="CM692" s="10"/>
      <c r="CP692" s="18" t="str">
        <f ca="1"/>
        <v/>
      </c>
      <c r="CQ692" s="18" t="str">
        <f ca="1"/>
        <v/>
      </c>
      <c r="CR692" s="18" t="str">
        <f ca="1"/>
        <v/>
      </c>
      <c r="CS692" s="18" t="str">
        <f ca="1"/>
        <v/>
      </c>
      <c r="CT692" s="18" t="str">
        <f ca="1"/>
        <v/>
      </c>
      <c r="CV692" s="10"/>
      <c r="CY692" s="18" t="str">
        <f ca="1"/>
        <v/>
      </c>
      <c r="CZ692" s="18" t="str">
        <f ca="1"/>
        <v/>
      </c>
      <c r="DA692" s="18" t="str">
        <f ca="1"/>
        <v/>
      </c>
      <c r="DC692" s="10"/>
    </row>
    <row r="693" spans="1:107" x14ac:dyDescent="0.25">
      <c r="A693" s="46"/>
      <c r="B693" s="52"/>
      <c r="C693" s="52"/>
      <c r="D693" s="16"/>
      <c r="E693" s="52"/>
      <c r="F693" s="52"/>
      <c r="G693" s="50"/>
      <c r="H693" s="17" t="str">
        <f ca="1">IFERROR(__xludf.DUMMYFUNCTION("""COMPUTED_VALUE"""),"")</f>
        <v/>
      </c>
      <c r="I693" s="50" t="s">
        <v>29</v>
      </c>
      <c r="J693" s="50" t="s">
        <v>29</v>
      </c>
      <c r="K693" s="50" t="s">
        <v>29</v>
      </c>
      <c r="L693" s="50" t="s">
        <v>29</v>
      </c>
      <c r="M693" s="50" t="s">
        <v>29</v>
      </c>
      <c r="N693" s="49"/>
      <c r="P693" s="19"/>
      <c r="Q693" s="18" t="str">
        <f ca="1">IFERROR(__xludf.DUMMYFUNCTION("""COMPUTED_VALUE"""),"")</f>
        <v/>
      </c>
      <c r="R693" s="19"/>
      <c r="S693" s="20"/>
      <c r="BP693" s="10"/>
      <c r="BW693" s="10"/>
      <c r="CF693" s="10"/>
      <c r="CM693" s="10"/>
      <c r="CP693" s="18" t="str">
        <f ca="1"/>
        <v/>
      </c>
      <c r="CQ693" s="18" t="str">
        <f ca="1"/>
        <v/>
      </c>
      <c r="CR693" s="18" t="str">
        <f ca="1"/>
        <v/>
      </c>
      <c r="CS693" s="18" t="str">
        <f ca="1"/>
        <v/>
      </c>
      <c r="CT693" s="18" t="str">
        <f ca="1"/>
        <v/>
      </c>
      <c r="CV693" s="10"/>
      <c r="CY693" s="18" t="str">
        <f ca="1"/>
        <v/>
      </c>
      <c r="CZ693" s="18" t="str">
        <f ca="1"/>
        <v/>
      </c>
      <c r="DA693" s="18" t="str">
        <f ca="1"/>
        <v/>
      </c>
      <c r="DC693" s="10"/>
    </row>
    <row r="694" spans="1:107" x14ac:dyDescent="0.25">
      <c r="A694" s="46"/>
      <c r="B694" s="52"/>
      <c r="C694" s="52"/>
      <c r="D694" s="16"/>
      <c r="E694" s="52"/>
      <c r="F694" s="52"/>
      <c r="G694" s="50"/>
      <c r="H694" s="17" t="str">
        <f ca="1">IFERROR(__xludf.DUMMYFUNCTION("""COMPUTED_VALUE"""),"")</f>
        <v/>
      </c>
      <c r="I694" s="50" t="s">
        <v>29</v>
      </c>
      <c r="J694" s="50" t="s">
        <v>29</v>
      </c>
      <c r="K694" s="50" t="s">
        <v>29</v>
      </c>
      <c r="L694" s="50" t="s">
        <v>29</v>
      </c>
      <c r="M694" s="50" t="s">
        <v>29</v>
      </c>
      <c r="N694" s="49"/>
      <c r="P694" s="19"/>
      <c r="Q694" s="18" t="str">
        <f ca="1">IFERROR(__xludf.DUMMYFUNCTION("""COMPUTED_VALUE"""),"")</f>
        <v/>
      </c>
      <c r="R694" s="19"/>
      <c r="S694" s="20"/>
      <c r="BP694" s="10"/>
      <c r="BW694" s="10"/>
      <c r="CF694" s="10"/>
      <c r="CM694" s="10"/>
      <c r="CP694" s="18" t="str">
        <f ca="1"/>
        <v/>
      </c>
      <c r="CQ694" s="18" t="str">
        <f ca="1"/>
        <v/>
      </c>
      <c r="CR694" s="18" t="str">
        <f ca="1"/>
        <v/>
      </c>
      <c r="CS694" s="18" t="str">
        <f ca="1"/>
        <v/>
      </c>
      <c r="CT694" s="18" t="str">
        <f ca="1"/>
        <v/>
      </c>
      <c r="CV694" s="10"/>
      <c r="CY694" s="18" t="str">
        <f ca="1"/>
        <v/>
      </c>
      <c r="CZ694" s="18" t="str">
        <f ca="1"/>
        <v/>
      </c>
      <c r="DA694" s="18" t="str">
        <f ca="1"/>
        <v/>
      </c>
      <c r="DC694" s="10"/>
    </row>
    <row r="695" spans="1:107" x14ac:dyDescent="0.25">
      <c r="A695" s="46"/>
      <c r="B695" s="52"/>
      <c r="C695" s="52"/>
      <c r="D695" s="16"/>
      <c r="E695" s="52"/>
      <c r="F695" s="52"/>
      <c r="G695" s="50"/>
      <c r="H695" s="17" t="str">
        <f ca="1">IFERROR(__xludf.DUMMYFUNCTION("""COMPUTED_VALUE"""),"")</f>
        <v/>
      </c>
      <c r="I695" s="50" t="s">
        <v>29</v>
      </c>
      <c r="J695" s="50" t="s">
        <v>29</v>
      </c>
      <c r="K695" s="50" t="s">
        <v>29</v>
      </c>
      <c r="L695" s="50" t="s">
        <v>29</v>
      </c>
      <c r="M695" s="50" t="s">
        <v>29</v>
      </c>
      <c r="N695" s="49"/>
      <c r="P695" s="19"/>
      <c r="Q695" s="18" t="str">
        <f ca="1">IFERROR(__xludf.DUMMYFUNCTION("""COMPUTED_VALUE"""),"")</f>
        <v/>
      </c>
      <c r="R695" s="19"/>
      <c r="S695" s="20"/>
      <c r="BP695" s="10"/>
      <c r="BW695" s="10"/>
      <c r="CF695" s="10"/>
      <c r="CM695" s="10"/>
      <c r="CP695" s="18" t="str">
        <f ca="1"/>
        <v/>
      </c>
      <c r="CQ695" s="18" t="str">
        <f ca="1"/>
        <v/>
      </c>
      <c r="CR695" s="18" t="str">
        <f ca="1"/>
        <v/>
      </c>
      <c r="CS695" s="18" t="str">
        <f ca="1"/>
        <v/>
      </c>
      <c r="CT695" s="18" t="str">
        <f ca="1"/>
        <v/>
      </c>
      <c r="CV695" s="10"/>
      <c r="CY695" s="18" t="str">
        <f ca="1"/>
        <v/>
      </c>
      <c r="CZ695" s="18" t="str">
        <f ca="1"/>
        <v/>
      </c>
      <c r="DA695" s="18" t="str">
        <f ca="1"/>
        <v/>
      </c>
      <c r="DC695" s="10"/>
    </row>
    <row r="696" spans="1:107" x14ac:dyDescent="0.25">
      <c r="A696" s="46"/>
      <c r="B696" s="52"/>
      <c r="C696" s="52"/>
      <c r="D696" s="16"/>
      <c r="E696" s="52"/>
      <c r="F696" s="52"/>
      <c r="G696" s="50"/>
      <c r="H696" s="17" t="str">
        <f ca="1">IFERROR(__xludf.DUMMYFUNCTION("""COMPUTED_VALUE"""),"")</f>
        <v/>
      </c>
      <c r="I696" s="50" t="s">
        <v>29</v>
      </c>
      <c r="J696" s="50" t="s">
        <v>29</v>
      </c>
      <c r="K696" s="50" t="s">
        <v>29</v>
      </c>
      <c r="L696" s="50" t="s">
        <v>29</v>
      </c>
      <c r="M696" s="50" t="s">
        <v>29</v>
      </c>
      <c r="N696" s="49"/>
      <c r="P696" s="19"/>
      <c r="Q696" s="18" t="str">
        <f ca="1">IFERROR(__xludf.DUMMYFUNCTION("""COMPUTED_VALUE"""),"")</f>
        <v/>
      </c>
      <c r="R696" s="19"/>
      <c r="S696" s="20"/>
      <c r="BP696" s="10"/>
      <c r="BW696" s="10"/>
      <c r="CF696" s="10"/>
      <c r="CM696" s="10"/>
      <c r="CP696" s="18" t="str">
        <f ca="1"/>
        <v/>
      </c>
      <c r="CQ696" s="18" t="str">
        <f ca="1"/>
        <v/>
      </c>
      <c r="CR696" s="18" t="str">
        <f ca="1"/>
        <v/>
      </c>
      <c r="CS696" s="18" t="str">
        <f ca="1"/>
        <v/>
      </c>
      <c r="CT696" s="18" t="str">
        <f ca="1"/>
        <v/>
      </c>
      <c r="CV696" s="10"/>
      <c r="CY696" s="18" t="str">
        <f ca="1"/>
        <v/>
      </c>
      <c r="CZ696" s="18" t="str">
        <f ca="1"/>
        <v/>
      </c>
      <c r="DA696" s="18" t="str">
        <f ca="1"/>
        <v/>
      </c>
      <c r="DC696" s="10"/>
    </row>
    <row r="697" spans="1:107" x14ac:dyDescent="0.25">
      <c r="A697" s="46"/>
      <c r="B697" s="52"/>
      <c r="C697" s="52"/>
      <c r="D697" s="16"/>
      <c r="E697" s="52"/>
      <c r="F697" s="52"/>
      <c r="G697" s="50"/>
      <c r="H697" s="17" t="str">
        <f ca="1">IFERROR(__xludf.DUMMYFUNCTION("""COMPUTED_VALUE"""),"")</f>
        <v/>
      </c>
      <c r="I697" s="50" t="s">
        <v>29</v>
      </c>
      <c r="J697" s="50" t="s">
        <v>29</v>
      </c>
      <c r="K697" s="50" t="s">
        <v>29</v>
      </c>
      <c r="L697" s="50" t="s">
        <v>29</v>
      </c>
      <c r="M697" s="50" t="s">
        <v>29</v>
      </c>
      <c r="N697" s="49"/>
      <c r="P697" s="19"/>
      <c r="Q697" s="18" t="str">
        <f ca="1">IFERROR(__xludf.DUMMYFUNCTION("""COMPUTED_VALUE"""),"")</f>
        <v/>
      </c>
      <c r="R697" s="19"/>
      <c r="S697" s="20"/>
      <c r="BP697" s="10"/>
      <c r="BW697" s="10"/>
      <c r="CF697" s="10"/>
      <c r="CM697" s="10"/>
      <c r="CP697" s="18" t="str">
        <f ca="1"/>
        <v/>
      </c>
      <c r="CQ697" s="18" t="str">
        <f ca="1"/>
        <v/>
      </c>
      <c r="CR697" s="18" t="str">
        <f ca="1"/>
        <v/>
      </c>
      <c r="CS697" s="18" t="str">
        <f ca="1"/>
        <v/>
      </c>
      <c r="CT697" s="18" t="str">
        <f ca="1"/>
        <v/>
      </c>
      <c r="CV697" s="10"/>
      <c r="CY697" s="18" t="str">
        <f ca="1"/>
        <v/>
      </c>
      <c r="CZ697" s="18" t="str">
        <f ca="1"/>
        <v/>
      </c>
      <c r="DA697" s="18" t="str">
        <f ca="1"/>
        <v/>
      </c>
      <c r="DC697" s="10"/>
    </row>
    <row r="698" spans="1:107" x14ac:dyDescent="0.25">
      <c r="A698" s="46"/>
      <c r="B698" s="52"/>
      <c r="C698" s="52"/>
      <c r="D698" s="16"/>
      <c r="E698" s="52"/>
      <c r="F698" s="52"/>
      <c r="G698" s="50"/>
      <c r="H698" s="17" t="str">
        <f ca="1">IFERROR(__xludf.DUMMYFUNCTION("""COMPUTED_VALUE"""),"")</f>
        <v/>
      </c>
      <c r="I698" s="50" t="s">
        <v>29</v>
      </c>
      <c r="J698" s="50" t="s">
        <v>29</v>
      </c>
      <c r="K698" s="50" t="s">
        <v>29</v>
      </c>
      <c r="L698" s="50" t="s">
        <v>29</v>
      </c>
      <c r="M698" s="50" t="s">
        <v>29</v>
      </c>
      <c r="N698" s="49"/>
      <c r="P698" s="19"/>
      <c r="Q698" s="18" t="str">
        <f ca="1">IFERROR(__xludf.DUMMYFUNCTION("""COMPUTED_VALUE"""),"")</f>
        <v/>
      </c>
      <c r="R698" s="19"/>
      <c r="S698" s="20"/>
      <c r="BP698" s="10"/>
      <c r="BW698" s="10"/>
      <c r="CF698" s="10"/>
      <c r="CM698" s="10"/>
      <c r="CP698" s="18" t="str">
        <f ca="1"/>
        <v/>
      </c>
      <c r="CQ698" s="18" t="str">
        <f ca="1"/>
        <v/>
      </c>
      <c r="CR698" s="18" t="str">
        <f ca="1"/>
        <v/>
      </c>
      <c r="CS698" s="18" t="str">
        <f ca="1"/>
        <v/>
      </c>
      <c r="CT698" s="18" t="str">
        <f ca="1"/>
        <v/>
      </c>
      <c r="CV698" s="10"/>
      <c r="CY698" s="18" t="str">
        <f ca="1"/>
        <v/>
      </c>
      <c r="CZ698" s="18" t="str">
        <f ca="1"/>
        <v/>
      </c>
      <c r="DA698" s="18" t="str">
        <f ca="1"/>
        <v/>
      </c>
      <c r="DC698" s="10"/>
    </row>
    <row r="699" spans="1:107" x14ac:dyDescent="0.25">
      <c r="A699" s="46"/>
      <c r="B699" s="52"/>
      <c r="C699" s="52"/>
      <c r="D699" s="16"/>
      <c r="E699" s="52"/>
      <c r="F699" s="52"/>
      <c r="G699" s="50"/>
      <c r="H699" s="17" t="str">
        <f ca="1">IFERROR(__xludf.DUMMYFUNCTION("""COMPUTED_VALUE"""),"")</f>
        <v/>
      </c>
      <c r="I699" s="50" t="s">
        <v>29</v>
      </c>
      <c r="J699" s="50" t="s">
        <v>29</v>
      </c>
      <c r="K699" s="50" t="s">
        <v>29</v>
      </c>
      <c r="L699" s="50" t="s">
        <v>29</v>
      </c>
      <c r="M699" s="50" t="s">
        <v>29</v>
      </c>
      <c r="N699" s="49"/>
      <c r="P699" s="19"/>
      <c r="Q699" s="18" t="str">
        <f ca="1">IFERROR(__xludf.DUMMYFUNCTION("""COMPUTED_VALUE"""),"")</f>
        <v/>
      </c>
      <c r="R699" s="19"/>
      <c r="S699" s="20"/>
      <c r="BP699" s="10"/>
      <c r="BW699" s="10"/>
      <c r="CF699" s="10"/>
      <c r="CM699" s="10"/>
      <c r="CP699" s="18" t="str">
        <f ca="1"/>
        <v/>
      </c>
      <c r="CQ699" s="18" t="str">
        <f ca="1"/>
        <v/>
      </c>
      <c r="CR699" s="18" t="str">
        <f ca="1"/>
        <v/>
      </c>
      <c r="CS699" s="18" t="str">
        <f ca="1"/>
        <v/>
      </c>
      <c r="CT699" s="18" t="str">
        <f ca="1"/>
        <v/>
      </c>
      <c r="CV699" s="10"/>
      <c r="CY699" s="18" t="str">
        <f ca="1"/>
        <v/>
      </c>
      <c r="CZ699" s="18" t="str">
        <f ca="1"/>
        <v/>
      </c>
      <c r="DA699" s="18" t="str">
        <f ca="1"/>
        <v/>
      </c>
      <c r="DC699" s="10"/>
    </row>
    <row r="700" spans="1:107" x14ac:dyDescent="0.25">
      <c r="A700" s="46"/>
      <c r="B700" s="52"/>
      <c r="C700" s="52"/>
      <c r="D700" s="16"/>
      <c r="E700" s="52"/>
      <c r="F700" s="52"/>
      <c r="G700" s="50"/>
      <c r="H700" s="17" t="str">
        <f ca="1">IFERROR(__xludf.DUMMYFUNCTION("""COMPUTED_VALUE"""),"")</f>
        <v/>
      </c>
      <c r="I700" s="50" t="s">
        <v>29</v>
      </c>
      <c r="J700" s="50" t="s">
        <v>29</v>
      </c>
      <c r="K700" s="50" t="s">
        <v>29</v>
      </c>
      <c r="L700" s="50" t="s">
        <v>29</v>
      </c>
      <c r="M700" s="50" t="s">
        <v>29</v>
      </c>
      <c r="N700" s="49"/>
      <c r="P700" s="19"/>
      <c r="Q700" s="18" t="str">
        <f ca="1">IFERROR(__xludf.DUMMYFUNCTION("""COMPUTED_VALUE"""),"")</f>
        <v/>
      </c>
      <c r="R700" s="19"/>
      <c r="S700" s="20"/>
      <c r="BP700" s="10"/>
      <c r="BW700" s="10"/>
      <c r="CF700" s="10"/>
      <c r="CM700" s="10"/>
      <c r="CP700" s="18" t="str">
        <f ca="1"/>
        <v/>
      </c>
      <c r="CQ700" s="18" t="str">
        <f ca="1"/>
        <v/>
      </c>
      <c r="CR700" s="18" t="str">
        <f ca="1"/>
        <v/>
      </c>
      <c r="CS700" s="18" t="str">
        <f ca="1"/>
        <v/>
      </c>
      <c r="CT700" s="18" t="str">
        <f ca="1"/>
        <v/>
      </c>
      <c r="CV700" s="10"/>
      <c r="CY700" s="18" t="str">
        <f ca="1"/>
        <v/>
      </c>
      <c r="CZ700" s="18" t="str">
        <f ca="1"/>
        <v/>
      </c>
      <c r="DA700" s="18" t="str">
        <f ca="1"/>
        <v/>
      </c>
      <c r="DC700" s="10"/>
    </row>
    <row r="701" spans="1:107" x14ac:dyDescent="0.25">
      <c r="A701" s="46"/>
      <c r="B701" s="52"/>
      <c r="C701" s="52"/>
      <c r="D701" s="16"/>
      <c r="E701" s="52"/>
      <c r="F701" s="52"/>
      <c r="G701" s="50"/>
      <c r="H701" s="17" t="str">
        <f ca="1">IFERROR(__xludf.DUMMYFUNCTION("""COMPUTED_VALUE"""),"")</f>
        <v/>
      </c>
      <c r="I701" s="50" t="s">
        <v>29</v>
      </c>
      <c r="J701" s="50" t="s">
        <v>29</v>
      </c>
      <c r="K701" s="50" t="s">
        <v>29</v>
      </c>
      <c r="L701" s="50" t="s">
        <v>29</v>
      </c>
      <c r="M701" s="50" t="s">
        <v>29</v>
      </c>
      <c r="N701" s="49"/>
      <c r="P701" s="19"/>
      <c r="Q701" s="18" t="str">
        <f ca="1">IFERROR(__xludf.DUMMYFUNCTION("""COMPUTED_VALUE"""),"")</f>
        <v/>
      </c>
      <c r="R701" s="19"/>
      <c r="S701" s="20"/>
      <c r="BP701" s="10"/>
      <c r="BW701" s="10"/>
      <c r="CF701" s="10"/>
      <c r="CM701" s="10"/>
      <c r="CP701" s="18" t="str">
        <f ca="1"/>
        <v/>
      </c>
      <c r="CQ701" s="18" t="str">
        <f ca="1"/>
        <v/>
      </c>
      <c r="CR701" s="18" t="str">
        <f ca="1"/>
        <v/>
      </c>
      <c r="CS701" s="18" t="str">
        <f ca="1"/>
        <v/>
      </c>
      <c r="CT701" s="18" t="str">
        <f ca="1"/>
        <v/>
      </c>
      <c r="CV701" s="10"/>
      <c r="CY701" s="18" t="str">
        <f ca="1"/>
        <v/>
      </c>
      <c r="CZ701" s="18" t="str">
        <f ca="1"/>
        <v/>
      </c>
      <c r="DA701" s="18" t="str">
        <f ca="1"/>
        <v/>
      </c>
      <c r="DC701" s="10"/>
    </row>
    <row r="702" spans="1:107" x14ac:dyDescent="0.25">
      <c r="A702" s="46"/>
      <c r="B702" s="52"/>
      <c r="C702" s="52"/>
      <c r="D702" s="16"/>
      <c r="E702" s="52"/>
      <c r="F702" s="52"/>
      <c r="G702" s="50"/>
      <c r="H702" s="17" t="str">
        <f ca="1">IFERROR(__xludf.DUMMYFUNCTION("""COMPUTED_VALUE"""),"")</f>
        <v/>
      </c>
      <c r="I702" s="50" t="s">
        <v>29</v>
      </c>
      <c r="J702" s="50" t="s">
        <v>29</v>
      </c>
      <c r="K702" s="50" t="s">
        <v>29</v>
      </c>
      <c r="L702" s="50" t="s">
        <v>29</v>
      </c>
      <c r="M702" s="50" t="s">
        <v>29</v>
      </c>
      <c r="N702" s="49"/>
      <c r="P702" s="19"/>
      <c r="Q702" s="18" t="str">
        <f ca="1">IFERROR(__xludf.DUMMYFUNCTION("""COMPUTED_VALUE"""),"")</f>
        <v/>
      </c>
      <c r="R702" s="19"/>
      <c r="S702" s="20"/>
      <c r="BP702" s="10"/>
      <c r="BW702" s="10"/>
      <c r="CF702" s="10"/>
      <c r="CM702" s="10"/>
      <c r="CP702" s="18" t="str">
        <f ca="1"/>
        <v/>
      </c>
      <c r="CQ702" s="18" t="str">
        <f ca="1"/>
        <v/>
      </c>
      <c r="CR702" s="18" t="str">
        <f ca="1"/>
        <v/>
      </c>
      <c r="CS702" s="18" t="str">
        <f ca="1"/>
        <v/>
      </c>
      <c r="CT702" s="18" t="str">
        <f ca="1"/>
        <v/>
      </c>
      <c r="CV702" s="10"/>
      <c r="CY702" s="18" t="str">
        <f ca="1"/>
        <v/>
      </c>
      <c r="CZ702" s="18" t="str">
        <f ca="1"/>
        <v/>
      </c>
      <c r="DA702" s="18" t="str">
        <f ca="1"/>
        <v/>
      </c>
      <c r="DC702" s="10"/>
    </row>
    <row r="703" spans="1:107" x14ac:dyDescent="0.25">
      <c r="A703" s="46"/>
      <c r="B703" s="52"/>
      <c r="C703" s="52"/>
      <c r="D703" s="16"/>
      <c r="E703" s="52"/>
      <c r="F703" s="52"/>
      <c r="G703" s="50"/>
      <c r="H703" s="17" t="str">
        <f ca="1">IFERROR(__xludf.DUMMYFUNCTION("""COMPUTED_VALUE"""),"")</f>
        <v/>
      </c>
      <c r="I703" s="50" t="s">
        <v>29</v>
      </c>
      <c r="J703" s="50" t="s">
        <v>29</v>
      </c>
      <c r="K703" s="50" t="s">
        <v>29</v>
      </c>
      <c r="L703" s="50" t="s">
        <v>29</v>
      </c>
      <c r="M703" s="50" t="s">
        <v>29</v>
      </c>
      <c r="N703" s="49"/>
      <c r="P703" s="19"/>
      <c r="Q703" s="18" t="str">
        <f ca="1">IFERROR(__xludf.DUMMYFUNCTION("""COMPUTED_VALUE"""),"")</f>
        <v/>
      </c>
      <c r="R703" s="19"/>
      <c r="S703" s="20"/>
      <c r="BP703" s="10"/>
      <c r="BW703" s="10"/>
      <c r="CF703" s="10"/>
      <c r="CM703" s="10"/>
      <c r="CP703" s="18" t="str">
        <f ca="1"/>
        <v/>
      </c>
      <c r="CQ703" s="18" t="str">
        <f ca="1"/>
        <v/>
      </c>
      <c r="CR703" s="18" t="str">
        <f ca="1"/>
        <v/>
      </c>
      <c r="CS703" s="18" t="str">
        <f ca="1"/>
        <v/>
      </c>
      <c r="CT703" s="18" t="str">
        <f ca="1"/>
        <v/>
      </c>
      <c r="CV703" s="10"/>
      <c r="CY703" s="18" t="str">
        <f ca="1"/>
        <v/>
      </c>
      <c r="CZ703" s="18" t="str">
        <f ca="1"/>
        <v/>
      </c>
      <c r="DA703" s="18" t="str">
        <f ca="1"/>
        <v/>
      </c>
      <c r="DC703" s="10"/>
    </row>
    <row r="704" spans="1:107" x14ac:dyDescent="0.25">
      <c r="A704" s="46"/>
      <c r="B704" s="52"/>
      <c r="C704" s="52"/>
      <c r="D704" s="16"/>
      <c r="E704" s="52"/>
      <c r="F704" s="52"/>
      <c r="G704" s="50"/>
      <c r="H704" s="17" t="str">
        <f ca="1">IFERROR(__xludf.DUMMYFUNCTION("""COMPUTED_VALUE"""),"")</f>
        <v/>
      </c>
      <c r="I704" s="50" t="s">
        <v>29</v>
      </c>
      <c r="J704" s="50" t="s">
        <v>29</v>
      </c>
      <c r="K704" s="50" t="s">
        <v>29</v>
      </c>
      <c r="L704" s="50" t="s">
        <v>29</v>
      </c>
      <c r="M704" s="50" t="s">
        <v>29</v>
      </c>
      <c r="N704" s="49"/>
      <c r="P704" s="19"/>
      <c r="Q704" s="18" t="str">
        <f ca="1">IFERROR(__xludf.DUMMYFUNCTION("""COMPUTED_VALUE"""),"")</f>
        <v/>
      </c>
      <c r="R704" s="19"/>
      <c r="S704" s="20"/>
      <c r="BP704" s="10"/>
      <c r="BW704" s="10"/>
      <c r="CF704" s="10"/>
      <c r="CM704" s="10"/>
      <c r="CP704" s="18" t="str">
        <f ca="1"/>
        <v/>
      </c>
      <c r="CQ704" s="18" t="str">
        <f ca="1"/>
        <v/>
      </c>
      <c r="CR704" s="18" t="str">
        <f ca="1"/>
        <v/>
      </c>
      <c r="CS704" s="18" t="str">
        <f ca="1"/>
        <v/>
      </c>
      <c r="CT704" s="18" t="str">
        <f ca="1"/>
        <v/>
      </c>
      <c r="CV704" s="10"/>
      <c r="CY704" s="18" t="str">
        <f ca="1"/>
        <v/>
      </c>
      <c r="CZ704" s="18" t="str">
        <f ca="1"/>
        <v/>
      </c>
      <c r="DA704" s="18" t="str">
        <f ca="1"/>
        <v/>
      </c>
      <c r="DC704" s="10"/>
    </row>
    <row r="705" spans="1:107" x14ac:dyDescent="0.25">
      <c r="A705" s="46"/>
      <c r="B705" s="52"/>
      <c r="C705" s="52"/>
      <c r="D705" s="16"/>
      <c r="E705" s="52"/>
      <c r="F705" s="52"/>
      <c r="G705" s="50"/>
      <c r="H705" s="17" t="str">
        <f ca="1">IFERROR(__xludf.DUMMYFUNCTION("""COMPUTED_VALUE"""),"")</f>
        <v/>
      </c>
      <c r="I705" s="50" t="s">
        <v>29</v>
      </c>
      <c r="J705" s="50" t="s">
        <v>29</v>
      </c>
      <c r="K705" s="50" t="s">
        <v>29</v>
      </c>
      <c r="L705" s="50" t="s">
        <v>29</v>
      </c>
      <c r="M705" s="50" t="s">
        <v>29</v>
      </c>
      <c r="N705" s="49"/>
      <c r="P705" s="19"/>
      <c r="Q705" s="18" t="str">
        <f ca="1">IFERROR(__xludf.DUMMYFUNCTION("""COMPUTED_VALUE"""),"")</f>
        <v/>
      </c>
      <c r="R705" s="19"/>
      <c r="S705" s="20"/>
      <c r="BP705" s="10"/>
      <c r="BW705" s="10"/>
      <c r="CF705" s="10"/>
      <c r="CM705" s="10"/>
      <c r="CP705" s="18" t="str">
        <f ca="1"/>
        <v/>
      </c>
      <c r="CQ705" s="18" t="str">
        <f ca="1"/>
        <v/>
      </c>
      <c r="CR705" s="18" t="str">
        <f ca="1"/>
        <v/>
      </c>
      <c r="CS705" s="18" t="str">
        <f ca="1"/>
        <v/>
      </c>
      <c r="CT705" s="18" t="str">
        <f ca="1"/>
        <v/>
      </c>
      <c r="CV705" s="10"/>
      <c r="CY705" s="18" t="str">
        <f ca="1"/>
        <v/>
      </c>
      <c r="CZ705" s="18" t="str">
        <f ca="1"/>
        <v/>
      </c>
      <c r="DA705" s="18" t="str">
        <f ca="1"/>
        <v/>
      </c>
      <c r="DC705" s="10"/>
    </row>
    <row r="706" spans="1:107" x14ac:dyDescent="0.25">
      <c r="A706" s="46"/>
      <c r="B706" s="52"/>
      <c r="C706" s="52"/>
      <c r="D706" s="16"/>
      <c r="E706" s="52"/>
      <c r="F706" s="52"/>
      <c r="G706" s="50"/>
      <c r="H706" s="17" t="str">
        <f ca="1">IFERROR(__xludf.DUMMYFUNCTION("""COMPUTED_VALUE"""),"")</f>
        <v/>
      </c>
      <c r="I706" s="50" t="s">
        <v>29</v>
      </c>
      <c r="J706" s="50" t="s">
        <v>29</v>
      </c>
      <c r="K706" s="50" t="s">
        <v>29</v>
      </c>
      <c r="L706" s="50" t="s">
        <v>29</v>
      </c>
      <c r="M706" s="50" t="s">
        <v>29</v>
      </c>
      <c r="N706" s="49"/>
      <c r="P706" s="19"/>
      <c r="Q706" s="18" t="str">
        <f ca="1">IFERROR(__xludf.DUMMYFUNCTION("""COMPUTED_VALUE"""),"")</f>
        <v/>
      </c>
      <c r="R706" s="19"/>
      <c r="S706" s="20"/>
      <c r="BP706" s="10"/>
      <c r="BW706" s="10"/>
      <c r="CF706" s="10"/>
      <c r="CM706" s="10"/>
      <c r="CP706" s="18" t="str">
        <f ca="1"/>
        <v/>
      </c>
      <c r="CQ706" s="18" t="str">
        <f ca="1"/>
        <v/>
      </c>
      <c r="CR706" s="18" t="str">
        <f ca="1"/>
        <v/>
      </c>
      <c r="CS706" s="18" t="str">
        <f ca="1"/>
        <v/>
      </c>
      <c r="CT706" s="18" t="str">
        <f ca="1"/>
        <v/>
      </c>
      <c r="CV706" s="10"/>
      <c r="CY706" s="18" t="str">
        <f ca="1"/>
        <v/>
      </c>
      <c r="CZ706" s="18" t="str">
        <f ca="1"/>
        <v/>
      </c>
      <c r="DA706" s="18" t="str">
        <f ca="1"/>
        <v/>
      </c>
      <c r="DC706" s="10"/>
    </row>
    <row r="707" spans="1:107" x14ac:dyDescent="0.25">
      <c r="A707" s="46"/>
      <c r="B707" s="52"/>
      <c r="C707" s="52"/>
      <c r="D707" s="16"/>
      <c r="E707" s="52"/>
      <c r="F707" s="52"/>
      <c r="G707" s="50"/>
      <c r="H707" s="17" t="str">
        <f ca="1">IFERROR(__xludf.DUMMYFUNCTION("""COMPUTED_VALUE"""),"")</f>
        <v/>
      </c>
      <c r="I707" s="50" t="s">
        <v>29</v>
      </c>
      <c r="J707" s="50" t="s">
        <v>29</v>
      </c>
      <c r="K707" s="50" t="s">
        <v>29</v>
      </c>
      <c r="L707" s="50" t="s">
        <v>29</v>
      </c>
      <c r="M707" s="50" t="s">
        <v>29</v>
      </c>
      <c r="N707" s="49"/>
      <c r="P707" s="19"/>
      <c r="Q707" s="18" t="str">
        <f ca="1">IFERROR(__xludf.DUMMYFUNCTION("""COMPUTED_VALUE"""),"")</f>
        <v/>
      </c>
      <c r="R707" s="19"/>
      <c r="S707" s="20"/>
      <c r="BP707" s="10"/>
      <c r="BW707" s="10"/>
      <c r="CF707" s="10"/>
      <c r="CM707" s="10"/>
      <c r="CP707" s="18" t="str">
        <f ca="1"/>
        <v/>
      </c>
      <c r="CQ707" s="18" t="str">
        <f ca="1"/>
        <v/>
      </c>
      <c r="CR707" s="18" t="str">
        <f ca="1"/>
        <v/>
      </c>
      <c r="CS707" s="18" t="str">
        <f ca="1"/>
        <v/>
      </c>
      <c r="CT707" s="18" t="str">
        <f ca="1"/>
        <v/>
      </c>
      <c r="CV707" s="10"/>
      <c r="CY707" s="18" t="str">
        <f ca="1"/>
        <v/>
      </c>
      <c r="CZ707" s="18" t="str">
        <f ca="1"/>
        <v/>
      </c>
      <c r="DA707" s="18" t="str">
        <f ca="1"/>
        <v/>
      </c>
      <c r="DC707" s="10"/>
    </row>
    <row r="708" spans="1:107" x14ac:dyDescent="0.25">
      <c r="A708" s="46"/>
      <c r="B708" s="52"/>
      <c r="C708" s="52"/>
      <c r="D708" s="16"/>
      <c r="E708" s="52"/>
      <c r="F708" s="52"/>
      <c r="G708" s="50"/>
      <c r="H708" s="17" t="str">
        <f ca="1">IFERROR(__xludf.DUMMYFUNCTION("""COMPUTED_VALUE"""),"")</f>
        <v/>
      </c>
      <c r="I708" s="50" t="s">
        <v>29</v>
      </c>
      <c r="J708" s="50" t="s">
        <v>29</v>
      </c>
      <c r="K708" s="50" t="s">
        <v>29</v>
      </c>
      <c r="L708" s="50" t="s">
        <v>29</v>
      </c>
      <c r="M708" s="50" t="s">
        <v>29</v>
      </c>
      <c r="N708" s="49"/>
      <c r="P708" s="19"/>
      <c r="Q708" s="18" t="str">
        <f ca="1">IFERROR(__xludf.DUMMYFUNCTION("""COMPUTED_VALUE"""),"")</f>
        <v/>
      </c>
      <c r="R708" s="19"/>
      <c r="S708" s="20"/>
      <c r="BP708" s="10"/>
      <c r="BW708" s="10"/>
      <c r="CF708" s="10"/>
      <c r="CM708" s="10"/>
      <c r="CP708" s="18" t="str">
        <f ca="1"/>
        <v/>
      </c>
      <c r="CQ708" s="18" t="str">
        <f ca="1"/>
        <v/>
      </c>
      <c r="CR708" s="18" t="str">
        <f ca="1"/>
        <v/>
      </c>
      <c r="CS708" s="18" t="str">
        <f ca="1"/>
        <v/>
      </c>
      <c r="CT708" s="18" t="str">
        <f ca="1"/>
        <v/>
      </c>
      <c r="CV708" s="10"/>
      <c r="CY708" s="18" t="str">
        <f ca="1"/>
        <v/>
      </c>
      <c r="CZ708" s="18" t="str">
        <f ca="1"/>
        <v/>
      </c>
      <c r="DA708" s="18" t="str">
        <f ca="1"/>
        <v/>
      </c>
      <c r="DC708" s="10"/>
    </row>
    <row r="709" spans="1:107" x14ac:dyDescent="0.25">
      <c r="A709" s="46"/>
      <c r="B709" s="52"/>
      <c r="C709" s="52"/>
      <c r="D709" s="16"/>
      <c r="E709" s="52"/>
      <c r="F709" s="52"/>
      <c r="G709" s="50"/>
      <c r="H709" s="17" t="str">
        <f ca="1">IFERROR(__xludf.DUMMYFUNCTION("""COMPUTED_VALUE"""),"")</f>
        <v/>
      </c>
      <c r="I709" s="50" t="s">
        <v>29</v>
      </c>
      <c r="J709" s="50" t="s">
        <v>29</v>
      </c>
      <c r="K709" s="50" t="s">
        <v>29</v>
      </c>
      <c r="L709" s="50" t="s">
        <v>29</v>
      </c>
      <c r="M709" s="50" t="s">
        <v>29</v>
      </c>
      <c r="N709" s="49"/>
      <c r="P709" s="19"/>
      <c r="Q709" s="18" t="str">
        <f ca="1">IFERROR(__xludf.DUMMYFUNCTION("""COMPUTED_VALUE"""),"")</f>
        <v/>
      </c>
      <c r="R709" s="19"/>
      <c r="S709" s="20"/>
      <c r="BP709" s="10"/>
      <c r="BW709" s="10"/>
      <c r="CF709" s="10"/>
      <c r="CM709" s="10"/>
      <c r="CP709" s="18" t="str">
        <f ca="1"/>
        <v/>
      </c>
      <c r="CQ709" s="18" t="str">
        <f ca="1"/>
        <v/>
      </c>
      <c r="CR709" s="18" t="str">
        <f ca="1"/>
        <v/>
      </c>
      <c r="CS709" s="18" t="str">
        <f ca="1"/>
        <v/>
      </c>
      <c r="CT709" s="18" t="str">
        <f ca="1"/>
        <v/>
      </c>
      <c r="CV709" s="10"/>
      <c r="CY709" s="18" t="str">
        <f ca="1"/>
        <v/>
      </c>
      <c r="CZ709" s="18" t="str">
        <f ca="1"/>
        <v/>
      </c>
      <c r="DA709" s="18" t="str">
        <f ca="1"/>
        <v/>
      </c>
      <c r="DC709" s="10"/>
    </row>
    <row r="710" spans="1:107" x14ac:dyDescent="0.25">
      <c r="A710" s="46"/>
      <c r="B710" s="52"/>
      <c r="C710" s="52"/>
      <c r="D710" s="16"/>
      <c r="E710" s="52"/>
      <c r="F710" s="52"/>
      <c r="G710" s="50"/>
      <c r="H710" s="17" t="str">
        <f ca="1">IFERROR(__xludf.DUMMYFUNCTION("""COMPUTED_VALUE"""),"")</f>
        <v/>
      </c>
      <c r="I710" s="50" t="s">
        <v>29</v>
      </c>
      <c r="J710" s="50" t="s">
        <v>29</v>
      </c>
      <c r="K710" s="50" t="s">
        <v>29</v>
      </c>
      <c r="L710" s="50" t="s">
        <v>29</v>
      </c>
      <c r="M710" s="50" t="s">
        <v>29</v>
      </c>
      <c r="N710" s="49"/>
      <c r="P710" s="19"/>
      <c r="Q710" s="18" t="str">
        <f ca="1">IFERROR(__xludf.DUMMYFUNCTION("""COMPUTED_VALUE"""),"")</f>
        <v/>
      </c>
      <c r="R710" s="19"/>
      <c r="S710" s="20"/>
      <c r="BP710" s="10"/>
      <c r="BW710" s="10"/>
      <c r="CF710" s="10"/>
      <c r="CM710" s="10"/>
      <c r="CP710" s="18" t="str">
        <f ca="1"/>
        <v/>
      </c>
      <c r="CQ710" s="18" t="str">
        <f ca="1"/>
        <v/>
      </c>
      <c r="CR710" s="18" t="str">
        <f ca="1"/>
        <v/>
      </c>
      <c r="CS710" s="18" t="str">
        <f ca="1"/>
        <v/>
      </c>
      <c r="CT710" s="18" t="str">
        <f ca="1"/>
        <v/>
      </c>
      <c r="CV710" s="10"/>
      <c r="CY710" s="18" t="str">
        <f ca="1"/>
        <v/>
      </c>
      <c r="CZ710" s="18" t="str">
        <f ca="1"/>
        <v/>
      </c>
      <c r="DA710" s="18" t="str">
        <f ca="1"/>
        <v/>
      </c>
      <c r="DC710" s="10"/>
    </row>
    <row r="711" spans="1:107" x14ac:dyDescent="0.25">
      <c r="A711" s="46"/>
      <c r="B711" s="52"/>
      <c r="C711" s="52"/>
      <c r="D711" s="16"/>
      <c r="E711" s="52"/>
      <c r="F711" s="52"/>
      <c r="G711" s="50"/>
      <c r="H711" s="17" t="str">
        <f ca="1">IFERROR(__xludf.DUMMYFUNCTION("""COMPUTED_VALUE"""),"")</f>
        <v/>
      </c>
      <c r="I711" s="50" t="s">
        <v>29</v>
      </c>
      <c r="J711" s="50" t="s">
        <v>29</v>
      </c>
      <c r="K711" s="50" t="s">
        <v>29</v>
      </c>
      <c r="L711" s="50" t="s">
        <v>29</v>
      </c>
      <c r="M711" s="50" t="s">
        <v>29</v>
      </c>
      <c r="N711" s="49"/>
      <c r="P711" s="19"/>
      <c r="Q711" s="18" t="str">
        <f ca="1">IFERROR(__xludf.DUMMYFUNCTION("""COMPUTED_VALUE"""),"")</f>
        <v/>
      </c>
      <c r="R711" s="19"/>
      <c r="S711" s="20"/>
      <c r="BP711" s="10"/>
      <c r="BW711" s="10"/>
      <c r="CF711" s="10"/>
      <c r="CM711" s="10"/>
      <c r="CP711" s="18" t="str">
        <f ca="1"/>
        <v/>
      </c>
      <c r="CQ711" s="18" t="str">
        <f ca="1"/>
        <v/>
      </c>
      <c r="CR711" s="18" t="str">
        <f ca="1"/>
        <v/>
      </c>
      <c r="CS711" s="18" t="str">
        <f ca="1"/>
        <v/>
      </c>
      <c r="CT711" s="18" t="str">
        <f ca="1"/>
        <v/>
      </c>
      <c r="CV711" s="10"/>
      <c r="CY711" s="18" t="str">
        <f ca="1"/>
        <v/>
      </c>
      <c r="CZ711" s="18" t="str">
        <f ca="1"/>
        <v/>
      </c>
      <c r="DA711" s="18" t="str">
        <f ca="1"/>
        <v/>
      </c>
      <c r="DC711" s="10"/>
    </row>
    <row r="712" spans="1:107" x14ac:dyDescent="0.25">
      <c r="A712" s="46"/>
      <c r="B712" s="52"/>
      <c r="C712" s="52"/>
      <c r="D712" s="16"/>
      <c r="E712" s="52"/>
      <c r="F712" s="52"/>
      <c r="G712" s="50"/>
      <c r="H712" s="17" t="str">
        <f ca="1">IFERROR(__xludf.DUMMYFUNCTION("""COMPUTED_VALUE"""),"")</f>
        <v/>
      </c>
      <c r="I712" s="50" t="s">
        <v>29</v>
      </c>
      <c r="J712" s="50" t="s">
        <v>29</v>
      </c>
      <c r="K712" s="50" t="s">
        <v>29</v>
      </c>
      <c r="L712" s="50" t="s">
        <v>29</v>
      </c>
      <c r="M712" s="50" t="s">
        <v>29</v>
      </c>
      <c r="N712" s="49"/>
      <c r="P712" s="19"/>
      <c r="Q712" s="18" t="str">
        <f ca="1">IFERROR(__xludf.DUMMYFUNCTION("""COMPUTED_VALUE"""),"")</f>
        <v/>
      </c>
      <c r="R712" s="19"/>
      <c r="S712" s="20"/>
      <c r="BP712" s="10"/>
      <c r="BW712" s="10"/>
      <c r="CF712" s="10"/>
      <c r="CM712" s="10"/>
      <c r="CP712" s="18" t="str">
        <f ca="1"/>
        <v/>
      </c>
      <c r="CQ712" s="18" t="str">
        <f ca="1"/>
        <v/>
      </c>
      <c r="CR712" s="18" t="str">
        <f ca="1"/>
        <v/>
      </c>
      <c r="CS712" s="18" t="str">
        <f ca="1"/>
        <v/>
      </c>
      <c r="CT712" s="18" t="str">
        <f ca="1"/>
        <v/>
      </c>
      <c r="CV712" s="10"/>
      <c r="CY712" s="18" t="str">
        <f ca="1"/>
        <v/>
      </c>
      <c r="CZ712" s="18" t="str">
        <f ca="1"/>
        <v/>
      </c>
      <c r="DA712" s="18" t="str">
        <f ca="1"/>
        <v/>
      </c>
      <c r="DC712" s="10"/>
    </row>
    <row r="713" spans="1:107" x14ac:dyDescent="0.25">
      <c r="A713" s="46"/>
      <c r="B713" s="52"/>
      <c r="C713" s="52"/>
      <c r="D713" s="16"/>
      <c r="E713" s="52"/>
      <c r="F713" s="52"/>
      <c r="G713" s="50"/>
      <c r="H713" s="17" t="str">
        <f ca="1">IFERROR(__xludf.DUMMYFUNCTION("""COMPUTED_VALUE"""),"")</f>
        <v/>
      </c>
      <c r="I713" s="50" t="s">
        <v>29</v>
      </c>
      <c r="J713" s="50" t="s">
        <v>29</v>
      </c>
      <c r="K713" s="50" t="s">
        <v>29</v>
      </c>
      <c r="L713" s="50" t="s">
        <v>29</v>
      </c>
      <c r="M713" s="50" t="s">
        <v>29</v>
      </c>
      <c r="N713" s="49"/>
      <c r="P713" s="19"/>
      <c r="Q713" s="18" t="str">
        <f ca="1">IFERROR(__xludf.DUMMYFUNCTION("""COMPUTED_VALUE"""),"")</f>
        <v/>
      </c>
      <c r="R713" s="19"/>
      <c r="S713" s="20"/>
      <c r="BP713" s="10"/>
      <c r="BW713" s="10"/>
      <c r="CF713" s="10"/>
      <c r="CM713" s="10"/>
      <c r="CP713" s="18" t="str">
        <f ca="1"/>
        <v/>
      </c>
      <c r="CQ713" s="18" t="str">
        <f ca="1"/>
        <v/>
      </c>
      <c r="CR713" s="18" t="str">
        <f ca="1"/>
        <v/>
      </c>
      <c r="CS713" s="18" t="str">
        <f ca="1"/>
        <v/>
      </c>
      <c r="CT713" s="18" t="str">
        <f ca="1"/>
        <v/>
      </c>
      <c r="CV713" s="10"/>
      <c r="CY713" s="18" t="str">
        <f ca="1"/>
        <v/>
      </c>
      <c r="CZ713" s="18" t="str">
        <f ca="1"/>
        <v/>
      </c>
      <c r="DA713" s="18" t="str">
        <f ca="1"/>
        <v/>
      </c>
      <c r="DC713" s="10"/>
    </row>
    <row r="714" spans="1:107" x14ac:dyDescent="0.25">
      <c r="A714" s="46"/>
      <c r="B714" s="52"/>
      <c r="C714" s="52"/>
      <c r="D714" s="16"/>
      <c r="E714" s="52"/>
      <c r="F714" s="52"/>
      <c r="G714" s="50"/>
      <c r="H714" s="17" t="str">
        <f ca="1">IFERROR(__xludf.DUMMYFUNCTION("""COMPUTED_VALUE"""),"")</f>
        <v/>
      </c>
      <c r="I714" s="50" t="s">
        <v>29</v>
      </c>
      <c r="J714" s="50" t="s">
        <v>29</v>
      </c>
      <c r="K714" s="50" t="s">
        <v>29</v>
      </c>
      <c r="L714" s="50" t="s">
        <v>29</v>
      </c>
      <c r="M714" s="50" t="s">
        <v>29</v>
      </c>
      <c r="N714" s="49"/>
      <c r="P714" s="19"/>
      <c r="Q714" s="18" t="str">
        <f ca="1">IFERROR(__xludf.DUMMYFUNCTION("""COMPUTED_VALUE"""),"")</f>
        <v/>
      </c>
      <c r="R714" s="19"/>
      <c r="S714" s="20"/>
      <c r="BP714" s="10"/>
      <c r="BW714" s="10"/>
      <c r="CF714" s="10"/>
      <c r="CM714" s="10"/>
      <c r="CP714" s="18" t="str">
        <f ca="1"/>
        <v/>
      </c>
      <c r="CQ714" s="18" t="str">
        <f ca="1"/>
        <v/>
      </c>
      <c r="CR714" s="18" t="str">
        <f ca="1"/>
        <v/>
      </c>
      <c r="CS714" s="18" t="str">
        <f ca="1"/>
        <v/>
      </c>
      <c r="CT714" s="18" t="str">
        <f ca="1"/>
        <v/>
      </c>
      <c r="CV714" s="10"/>
      <c r="CY714" s="18" t="str">
        <f ca="1"/>
        <v/>
      </c>
      <c r="CZ714" s="18" t="str">
        <f ca="1"/>
        <v/>
      </c>
      <c r="DA714" s="18" t="str">
        <f ca="1"/>
        <v/>
      </c>
      <c r="DC714" s="10"/>
    </row>
    <row r="715" spans="1:107" x14ac:dyDescent="0.25">
      <c r="A715" s="46"/>
      <c r="B715" s="52"/>
      <c r="C715" s="52"/>
      <c r="D715" s="16"/>
      <c r="E715" s="52"/>
      <c r="F715" s="52"/>
      <c r="G715" s="50"/>
      <c r="H715" s="17" t="str">
        <f ca="1">IFERROR(__xludf.DUMMYFUNCTION("""COMPUTED_VALUE"""),"")</f>
        <v/>
      </c>
      <c r="I715" s="50" t="s">
        <v>29</v>
      </c>
      <c r="J715" s="50" t="s">
        <v>29</v>
      </c>
      <c r="K715" s="50" t="s">
        <v>29</v>
      </c>
      <c r="L715" s="50" t="s">
        <v>29</v>
      </c>
      <c r="M715" s="50" t="s">
        <v>29</v>
      </c>
      <c r="N715" s="49"/>
      <c r="P715" s="19"/>
      <c r="Q715" s="18" t="str">
        <f ca="1">IFERROR(__xludf.DUMMYFUNCTION("""COMPUTED_VALUE"""),"")</f>
        <v/>
      </c>
      <c r="R715" s="19"/>
      <c r="S715" s="20"/>
      <c r="BP715" s="10"/>
      <c r="BW715" s="10"/>
      <c r="CF715" s="10"/>
      <c r="CM715" s="10"/>
      <c r="CP715" s="18" t="str">
        <f ca="1"/>
        <v/>
      </c>
      <c r="CQ715" s="18" t="str">
        <f ca="1"/>
        <v/>
      </c>
      <c r="CR715" s="18" t="str">
        <f ca="1"/>
        <v/>
      </c>
      <c r="CS715" s="18" t="str">
        <f ca="1"/>
        <v/>
      </c>
      <c r="CT715" s="18" t="str">
        <f ca="1"/>
        <v/>
      </c>
      <c r="CV715" s="10"/>
      <c r="CY715" s="18" t="str">
        <f ca="1"/>
        <v/>
      </c>
      <c r="CZ715" s="18" t="str">
        <f ca="1"/>
        <v/>
      </c>
      <c r="DA715" s="18" t="str">
        <f ca="1"/>
        <v/>
      </c>
      <c r="DC715" s="10"/>
    </row>
    <row r="716" spans="1:107" x14ac:dyDescent="0.25">
      <c r="A716" s="46"/>
      <c r="B716" s="52"/>
      <c r="C716" s="52"/>
      <c r="D716" s="16"/>
      <c r="E716" s="52"/>
      <c r="F716" s="52"/>
      <c r="G716" s="50"/>
      <c r="H716" s="17" t="str">
        <f ca="1">IFERROR(__xludf.DUMMYFUNCTION("""COMPUTED_VALUE"""),"")</f>
        <v/>
      </c>
      <c r="I716" s="50" t="s">
        <v>29</v>
      </c>
      <c r="J716" s="50" t="s">
        <v>29</v>
      </c>
      <c r="K716" s="50" t="s">
        <v>29</v>
      </c>
      <c r="L716" s="50" t="s">
        <v>29</v>
      </c>
      <c r="M716" s="50" t="s">
        <v>29</v>
      </c>
      <c r="N716" s="49"/>
      <c r="P716" s="19"/>
      <c r="Q716" s="18" t="str">
        <f ca="1">IFERROR(__xludf.DUMMYFUNCTION("""COMPUTED_VALUE"""),"")</f>
        <v/>
      </c>
      <c r="R716" s="19"/>
      <c r="S716" s="20"/>
      <c r="BP716" s="10"/>
      <c r="BW716" s="10"/>
      <c r="CF716" s="10"/>
      <c r="CM716" s="10"/>
      <c r="CP716" s="18" t="str">
        <f ca="1"/>
        <v/>
      </c>
      <c r="CQ716" s="18" t="str">
        <f ca="1"/>
        <v/>
      </c>
      <c r="CR716" s="18" t="str">
        <f ca="1"/>
        <v/>
      </c>
      <c r="CS716" s="18" t="str">
        <f ca="1"/>
        <v/>
      </c>
      <c r="CT716" s="18" t="str">
        <f ca="1"/>
        <v/>
      </c>
      <c r="CV716" s="10"/>
      <c r="CY716" s="18" t="str">
        <f ca="1"/>
        <v/>
      </c>
      <c r="CZ716" s="18" t="str">
        <f ca="1"/>
        <v/>
      </c>
      <c r="DA716" s="18" t="str">
        <f ca="1"/>
        <v/>
      </c>
      <c r="DC716" s="10"/>
    </row>
    <row r="717" spans="1:107" x14ac:dyDescent="0.25">
      <c r="A717" s="46"/>
      <c r="B717" s="52"/>
      <c r="C717" s="52"/>
      <c r="D717" s="16"/>
      <c r="E717" s="52"/>
      <c r="F717" s="52"/>
      <c r="G717" s="50"/>
      <c r="H717" s="17" t="str">
        <f ca="1">IFERROR(__xludf.DUMMYFUNCTION("""COMPUTED_VALUE"""),"")</f>
        <v/>
      </c>
      <c r="I717" s="50" t="s">
        <v>29</v>
      </c>
      <c r="J717" s="50" t="s">
        <v>29</v>
      </c>
      <c r="K717" s="50" t="s">
        <v>29</v>
      </c>
      <c r="L717" s="50" t="s">
        <v>29</v>
      </c>
      <c r="M717" s="50" t="s">
        <v>29</v>
      </c>
      <c r="N717" s="49"/>
      <c r="P717" s="19"/>
      <c r="Q717" s="18" t="str">
        <f ca="1">IFERROR(__xludf.DUMMYFUNCTION("""COMPUTED_VALUE"""),"")</f>
        <v/>
      </c>
      <c r="R717" s="19"/>
      <c r="S717" s="20"/>
      <c r="BP717" s="10"/>
      <c r="BW717" s="10"/>
      <c r="CF717" s="10"/>
      <c r="CM717" s="10"/>
      <c r="CP717" s="18" t="str">
        <f ca="1"/>
        <v/>
      </c>
      <c r="CQ717" s="18" t="str">
        <f ca="1"/>
        <v/>
      </c>
      <c r="CR717" s="18" t="str">
        <f ca="1"/>
        <v/>
      </c>
      <c r="CS717" s="18" t="str">
        <f ca="1"/>
        <v/>
      </c>
      <c r="CT717" s="18" t="str">
        <f ca="1"/>
        <v/>
      </c>
      <c r="CV717" s="10"/>
      <c r="CY717" s="18" t="str">
        <f ca="1"/>
        <v/>
      </c>
      <c r="CZ717" s="18" t="str">
        <f ca="1"/>
        <v/>
      </c>
      <c r="DA717" s="18" t="str">
        <f ca="1"/>
        <v/>
      </c>
      <c r="DC717" s="10"/>
    </row>
    <row r="718" spans="1:107" x14ac:dyDescent="0.25">
      <c r="A718" s="46"/>
      <c r="B718" s="52"/>
      <c r="C718" s="52"/>
      <c r="D718" s="16"/>
      <c r="E718" s="52"/>
      <c r="F718" s="52"/>
      <c r="G718" s="50"/>
      <c r="H718" s="17" t="str">
        <f ca="1">IFERROR(__xludf.DUMMYFUNCTION("""COMPUTED_VALUE"""),"")</f>
        <v/>
      </c>
      <c r="I718" s="50" t="s">
        <v>29</v>
      </c>
      <c r="J718" s="50" t="s">
        <v>29</v>
      </c>
      <c r="K718" s="50" t="s">
        <v>29</v>
      </c>
      <c r="L718" s="50" t="s">
        <v>29</v>
      </c>
      <c r="M718" s="50" t="s">
        <v>29</v>
      </c>
      <c r="N718" s="49"/>
      <c r="P718" s="19"/>
      <c r="Q718" s="18" t="str">
        <f ca="1">IFERROR(__xludf.DUMMYFUNCTION("""COMPUTED_VALUE"""),"")</f>
        <v/>
      </c>
      <c r="R718" s="19"/>
      <c r="S718" s="20"/>
      <c r="BP718" s="10"/>
      <c r="BW718" s="10"/>
      <c r="CF718" s="10"/>
      <c r="CM718" s="10"/>
      <c r="CP718" s="18" t="str">
        <f ca="1"/>
        <v/>
      </c>
      <c r="CQ718" s="18" t="str">
        <f ca="1"/>
        <v/>
      </c>
      <c r="CR718" s="18" t="str">
        <f ca="1"/>
        <v/>
      </c>
      <c r="CS718" s="18" t="str">
        <f ca="1"/>
        <v/>
      </c>
      <c r="CT718" s="18" t="str">
        <f ca="1"/>
        <v/>
      </c>
      <c r="CV718" s="10"/>
      <c r="CY718" s="18" t="str">
        <f ca="1"/>
        <v/>
      </c>
      <c r="CZ718" s="18" t="str">
        <f ca="1"/>
        <v/>
      </c>
      <c r="DA718" s="18" t="str">
        <f ca="1"/>
        <v/>
      </c>
      <c r="DC718" s="10"/>
    </row>
    <row r="719" spans="1:107" x14ac:dyDescent="0.25">
      <c r="A719" s="46"/>
      <c r="B719" s="52"/>
      <c r="C719" s="52"/>
      <c r="D719" s="16"/>
      <c r="E719" s="52"/>
      <c r="F719" s="52"/>
      <c r="G719" s="50"/>
      <c r="H719" s="17" t="str">
        <f ca="1">IFERROR(__xludf.DUMMYFUNCTION("""COMPUTED_VALUE"""),"")</f>
        <v/>
      </c>
      <c r="I719" s="50" t="s">
        <v>29</v>
      </c>
      <c r="J719" s="50" t="s">
        <v>29</v>
      </c>
      <c r="K719" s="50" t="s">
        <v>29</v>
      </c>
      <c r="L719" s="50" t="s">
        <v>29</v>
      </c>
      <c r="M719" s="50" t="s">
        <v>29</v>
      </c>
      <c r="N719" s="49"/>
      <c r="P719" s="19"/>
      <c r="Q719" s="18" t="str">
        <f ca="1">IFERROR(__xludf.DUMMYFUNCTION("""COMPUTED_VALUE"""),"")</f>
        <v/>
      </c>
      <c r="R719" s="19"/>
      <c r="S719" s="20"/>
      <c r="BP719" s="10"/>
      <c r="BW719" s="10"/>
      <c r="CF719" s="10"/>
      <c r="CM719" s="10"/>
      <c r="CP719" s="18" t="str">
        <f ca="1"/>
        <v/>
      </c>
      <c r="CQ719" s="18" t="str">
        <f ca="1"/>
        <v/>
      </c>
      <c r="CR719" s="18" t="str">
        <f ca="1"/>
        <v/>
      </c>
      <c r="CS719" s="18" t="str">
        <f ca="1"/>
        <v/>
      </c>
      <c r="CT719" s="18" t="str">
        <f ca="1"/>
        <v/>
      </c>
      <c r="CV719" s="10"/>
      <c r="CY719" s="18" t="str">
        <f ca="1"/>
        <v/>
      </c>
      <c r="CZ719" s="18" t="str">
        <f ca="1"/>
        <v/>
      </c>
      <c r="DA719" s="18" t="str">
        <f ca="1"/>
        <v/>
      </c>
      <c r="DC719" s="10"/>
    </row>
    <row r="720" spans="1:107" x14ac:dyDescent="0.25">
      <c r="A720" s="46"/>
      <c r="B720" s="52"/>
      <c r="C720" s="52"/>
      <c r="D720" s="16"/>
      <c r="E720" s="52"/>
      <c r="F720" s="52"/>
      <c r="G720" s="50"/>
      <c r="H720" s="17" t="str">
        <f ca="1">IFERROR(__xludf.DUMMYFUNCTION("""COMPUTED_VALUE"""),"")</f>
        <v/>
      </c>
      <c r="I720" s="50" t="s">
        <v>29</v>
      </c>
      <c r="J720" s="50" t="s">
        <v>29</v>
      </c>
      <c r="K720" s="50" t="s">
        <v>29</v>
      </c>
      <c r="L720" s="50" t="s">
        <v>29</v>
      </c>
      <c r="M720" s="50" t="s">
        <v>29</v>
      </c>
      <c r="N720" s="49"/>
      <c r="P720" s="19"/>
      <c r="Q720" s="18" t="str">
        <f ca="1">IFERROR(__xludf.DUMMYFUNCTION("""COMPUTED_VALUE"""),"")</f>
        <v/>
      </c>
      <c r="R720" s="19"/>
      <c r="S720" s="20"/>
      <c r="BP720" s="10"/>
      <c r="BW720" s="10"/>
      <c r="CF720" s="10"/>
      <c r="CM720" s="10"/>
      <c r="CP720" s="18" t="str">
        <f ca="1"/>
        <v/>
      </c>
      <c r="CQ720" s="18" t="str">
        <f ca="1"/>
        <v/>
      </c>
      <c r="CR720" s="18" t="str">
        <f ca="1"/>
        <v/>
      </c>
      <c r="CS720" s="18" t="str">
        <f ca="1"/>
        <v/>
      </c>
      <c r="CT720" s="18" t="str">
        <f ca="1"/>
        <v/>
      </c>
      <c r="CV720" s="10"/>
      <c r="CY720" s="18" t="str">
        <f ca="1"/>
        <v/>
      </c>
      <c r="CZ720" s="18" t="str">
        <f ca="1"/>
        <v/>
      </c>
      <c r="DA720" s="18" t="str">
        <f ca="1"/>
        <v/>
      </c>
      <c r="DC720" s="10"/>
    </row>
    <row r="721" spans="1:107" x14ac:dyDescent="0.25">
      <c r="A721" s="46"/>
      <c r="B721" s="52"/>
      <c r="C721" s="52"/>
      <c r="D721" s="16"/>
      <c r="E721" s="52"/>
      <c r="F721" s="52"/>
      <c r="G721" s="50"/>
      <c r="H721" s="17" t="str">
        <f ca="1">IFERROR(__xludf.DUMMYFUNCTION("""COMPUTED_VALUE"""),"")</f>
        <v/>
      </c>
      <c r="I721" s="50" t="s">
        <v>29</v>
      </c>
      <c r="J721" s="50" t="s">
        <v>29</v>
      </c>
      <c r="K721" s="50" t="s">
        <v>29</v>
      </c>
      <c r="L721" s="50" t="s">
        <v>29</v>
      </c>
      <c r="M721" s="50" t="s">
        <v>29</v>
      </c>
      <c r="N721" s="49"/>
      <c r="P721" s="19"/>
      <c r="Q721" s="18" t="str">
        <f ca="1">IFERROR(__xludf.DUMMYFUNCTION("""COMPUTED_VALUE"""),"")</f>
        <v/>
      </c>
      <c r="R721" s="19"/>
      <c r="S721" s="20"/>
      <c r="BP721" s="10"/>
      <c r="BW721" s="10"/>
      <c r="CF721" s="10"/>
      <c r="CM721" s="10"/>
      <c r="CP721" s="18" t="str">
        <f ca="1"/>
        <v/>
      </c>
      <c r="CQ721" s="18" t="str">
        <f ca="1"/>
        <v/>
      </c>
      <c r="CR721" s="18" t="str">
        <f ca="1"/>
        <v/>
      </c>
      <c r="CS721" s="18" t="str">
        <f ca="1"/>
        <v/>
      </c>
      <c r="CT721" s="18" t="str">
        <f ca="1"/>
        <v/>
      </c>
      <c r="CV721" s="10"/>
      <c r="CY721" s="18" t="str">
        <f ca="1"/>
        <v/>
      </c>
      <c r="CZ721" s="18" t="str">
        <f ca="1"/>
        <v/>
      </c>
      <c r="DA721" s="18" t="str">
        <f ca="1"/>
        <v/>
      </c>
      <c r="DC721" s="10"/>
    </row>
    <row r="722" spans="1:107" x14ac:dyDescent="0.25">
      <c r="A722" s="46"/>
      <c r="B722" s="52"/>
      <c r="C722" s="52"/>
      <c r="D722" s="16"/>
      <c r="E722" s="52"/>
      <c r="F722" s="52"/>
      <c r="G722" s="50"/>
      <c r="H722" s="17" t="str">
        <f ca="1">IFERROR(__xludf.DUMMYFUNCTION("""COMPUTED_VALUE"""),"")</f>
        <v/>
      </c>
      <c r="I722" s="50" t="s">
        <v>29</v>
      </c>
      <c r="J722" s="50" t="s">
        <v>29</v>
      </c>
      <c r="K722" s="50" t="s">
        <v>29</v>
      </c>
      <c r="L722" s="50" t="s">
        <v>29</v>
      </c>
      <c r="M722" s="50" t="s">
        <v>29</v>
      </c>
      <c r="N722" s="49"/>
      <c r="P722" s="19"/>
      <c r="Q722" s="18" t="str">
        <f ca="1">IFERROR(__xludf.DUMMYFUNCTION("""COMPUTED_VALUE"""),"")</f>
        <v/>
      </c>
      <c r="R722" s="19"/>
      <c r="S722" s="20"/>
      <c r="BP722" s="10"/>
      <c r="BW722" s="10"/>
      <c r="CF722" s="10"/>
      <c r="CM722" s="10"/>
      <c r="CP722" s="18" t="str">
        <f ca="1"/>
        <v/>
      </c>
      <c r="CQ722" s="18" t="str">
        <f ca="1"/>
        <v/>
      </c>
      <c r="CR722" s="18" t="str">
        <f ca="1"/>
        <v/>
      </c>
      <c r="CS722" s="18" t="str">
        <f ca="1"/>
        <v/>
      </c>
      <c r="CT722" s="18" t="str">
        <f ca="1"/>
        <v/>
      </c>
      <c r="CV722" s="10"/>
      <c r="CY722" s="18" t="str">
        <f ca="1"/>
        <v/>
      </c>
      <c r="CZ722" s="18" t="str">
        <f ca="1"/>
        <v/>
      </c>
      <c r="DA722" s="18" t="str">
        <f ca="1"/>
        <v/>
      </c>
      <c r="DC722" s="10"/>
    </row>
    <row r="723" spans="1:107" x14ac:dyDescent="0.25">
      <c r="A723" s="46"/>
      <c r="B723" s="52"/>
      <c r="C723" s="52"/>
      <c r="D723" s="16"/>
      <c r="E723" s="52"/>
      <c r="F723" s="52"/>
      <c r="G723" s="50"/>
      <c r="H723" s="17" t="str">
        <f ca="1">IFERROR(__xludf.DUMMYFUNCTION("""COMPUTED_VALUE"""),"")</f>
        <v/>
      </c>
      <c r="I723" s="50" t="s">
        <v>29</v>
      </c>
      <c r="J723" s="50" t="s">
        <v>29</v>
      </c>
      <c r="K723" s="50" t="s">
        <v>29</v>
      </c>
      <c r="L723" s="50" t="s">
        <v>29</v>
      </c>
      <c r="M723" s="50" t="s">
        <v>29</v>
      </c>
      <c r="N723" s="49"/>
      <c r="P723" s="19"/>
      <c r="Q723" s="18" t="str">
        <f ca="1">IFERROR(__xludf.DUMMYFUNCTION("""COMPUTED_VALUE"""),"")</f>
        <v/>
      </c>
      <c r="R723" s="19"/>
      <c r="S723" s="20"/>
      <c r="BP723" s="10"/>
      <c r="BW723" s="10"/>
      <c r="CF723" s="10"/>
      <c r="CM723" s="10"/>
      <c r="CP723" s="18" t="str">
        <f ca="1"/>
        <v/>
      </c>
      <c r="CQ723" s="18" t="str">
        <f ca="1"/>
        <v/>
      </c>
      <c r="CR723" s="18" t="str">
        <f ca="1"/>
        <v/>
      </c>
      <c r="CS723" s="18" t="str">
        <f ca="1"/>
        <v/>
      </c>
      <c r="CT723" s="18" t="str">
        <f ca="1"/>
        <v/>
      </c>
      <c r="CV723" s="10"/>
      <c r="CY723" s="18" t="str">
        <f ca="1"/>
        <v/>
      </c>
      <c r="CZ723" s="18" t="str">
        <f ca="1"/>
        <v/>
      </c>
      <c r="DA723" s="18" t="str">
        <f ca="1"/>
        <v/>
      </c>
      <c r="DC723" s="10"/>
    </row>
    <row r="724" spans="1:107" x14ac:dyDescent="0.25">
      <c r="A724" s="46"/>
      <c r="B724" s="52"/>
      <c r="C724" s="52"/>
      <c r="D724" s="16"/>
      <c r="E724" s="52"/>
      <c r="F724" s="52"/>
      <c r="G724" s="50"/>
      <c r="H724" s="17" t="str">
        <f ca="1">IFERROR(__xludf.DUMMYFUNCTION("""COMPUTED_VALUE"""),"")</f>
        <v/>
      </c>
      <c r="I724" s="50" t="s">
        <v>29</v>
      </c>
      <c r="J724" s="50" t="s">
        <v>29</v>
      </c>
      <c r="K724" s="50" t="s">
        <v>29</v>
      </c>
      <c r="L724" s="50" t="s">
        <v>29</v>
      </c>
      <c r="M724" s="50" t="s">
        <v>29</v>
      </c>
      <c r="N724" s="49"/>
      <c r="P724" s="19"/>
      <c r="Q724" s="18" t="str">
        <f ca="1">IFERROR(__xludf.DUMMYFUNCTION("""COMPUTED_VALUE"""),"")</f>
        <v/>
      </c>
      <c r="R724" s="19"/>
      <c r="S724" s="20"/>
      <c r="BP724" s="10"/>
      <c r="BW724" s="10"/>
      <c r="CF724" s="10"/>
      <c r="CM724" s="10"/>
      <c r="CP724" s="18" t="str">
        <f ca="1"/>
        <v/>
      </c>
      <c r="CQ724" s="18" t="str">
        <f ca="1"/>
        <v/>
      </c>
      <c r="CR724" s="18" t="str">
        <f ca="1"/>
        <v/>
      </c>
      <c r="CS724" s="18" t="str">
        <f ca="1"/>
        <v/>
      </c>
      <c r="CT724" s="18" t="str">
        <f ca="1"/>
        <v/>
      </c>
      <c r="CV724" s="10"/>
      <c r="CY724" s="18" t="str">
        <f ca="1"/>
        <v/>
      </c>
      <c r="CZ724" s="18" t="str">
        <f ca="1"/>
        <v/>
      </c>
      <c r="DA724" s="18" t="str">
        <f ca="1"/>
        <v/>
      </c>
      <c r="DC724" s="10"/>
    </row>
    <row r="725" spans="1:107" x14ac:dyDescent="0.25">
      <c r="A725" s="46"/>
      <c r="B725" s="52"/>
      <c r="C725" s="52"/>
      <c r="D725" s="16"/>
      <c r="E725" s="52"/>
      <c r="F725" s="52"/>
      <c r="G725" s="50"/>
      <c r="H725" s="17" t="str">
        <f ca="1">IFERROR(__xludf.DUMMYFUNCTION("""COMPUTED_VALUE"""),"")</f>
        <v/>
      </c>
      <c r="I725" s="50" t="s">
        <v>29</v>
      </c>
      <c r="J725" s="50" t="s">
        <v>29</v>
      </c>
      <c r="K725" s="50" t="s">
        <v>29</v>
      </c>
      <c r="L725" s="50" t="s">
        <v>29</v>
      </c>
      <c r="M725" s="50" t="s">
        <v>29</v>
      </c>
      <c r="N725" s="49"/>
      <c r="P725" s="19"/>
      <c r="Q725" s="18" t="str">
        <f ca="1">IFERROR(__xludf.DUMMYFUNCTION("""COMPUTED_VALUE"""),"")</f>
        <v/>
      </c>
      <c r="R725" s="19"/>
      <c r="S725" s="20"/>
      <c r="BP725" s="10"/>
      <c r="BW725" s="10"/>
      <c r="CF725" s="10"/>
      <c r="CM725" s="10"/>
      <c r="CP725" s="18" t="str">
        <f ca="1"/>
        <v/>
      </c>
      <c r="CQ725" s="18" t="str">
        <f ca="1"/>
        <v/>
      </c>
      <c r="CR725" s="18" t="str">
        <f ca="1"/>
        <v/>
      </c>
      <c r="CS725" s="18" t="str">
        <f ca="1"/>
        <v/>
      </c>
      <c r="CT725" s="18" t="str">
        <f ca="1"/>
        <v/>
      </c>
      <c r="CV725" s="10"/>
      <c r="CY725" s="18" t="str">
        <f ca="1"/>
        <v/>
      </c>
      <c r="CZ725" s="18" t="str">
        <f ca="1"/>
        <v/>
      </c>
      <c r="DA725" s="18" t="str">
        <f ca="1"/>
        <v/>
      </c>
      <c r="DC725" s="10"/>
    </row>
    <row r="726" spans="1:107" x14ac:dyDescent="0.25">
      <c r="A726" s="46"/>
      <c r="B726" s="52"/>
      <c r="C726" s="52"/>
      <c r="D726" s="16"/>
      <c r="E726" s="52"/>
      <c r="F726" s="52"/>
      <c r="G726" s="50"/>
      <c r="H726" s="17" t="str">
        <f ca="1">IFERROR(__xludf.DUMMYFUNCTION("""COMPUTED_VALUE"""),"")</f>
        <v/>
      </c>
      <c r="I726" s="50" t="s">
        <v>29</v>
      </c>
      <c r="J726" s="50" t="s">
        <v>29</v>
      </c>
      <c r="K726" s="50" t="s">
        <v>29</v>
      </c>
      <c r="L726" s="50" t="s">
        <v>29</v>
      </c>
      <c r="M726" s="50" t="s">
        <v>29</v>
      </c>
      <c r="N726" s="49"/>
      <c r="P726" s="19"/>
      <c r="Q726" s="18" t="str">
        <f ca="1">IFERROR(__xludf.DUMMYFUNCTION("""COMPUTED_VALUE"""),"")</f>
        <v/>
      </c>
      <c r="R726" s="19"/>
      <c r="S726" s="20"/>
      <c r="BP726" s="10"/>
      <c r="BW726" s="10"/>
      <c r="CF726" s="10"/>
      <c r="CM726" s="10"/>
      <c r="CP726" s="18" t="str">
        <f ca="1"/>
        <v/>
      </c>
      <c r="CQ726" s="18" t="str">
        <f ca="1"/>
        <v/>
      </c>
      <c r="CR726" s="18" t="str">
        <f ca="1"/>
        <v/>
      </c>
      <c r="CS726" s="18" t="str">
        <f ca="1"/>
        <v/>
      </c>
      <c r="CT726" s="18" t="str">
        <f ca="1"/>
        <v/>
      </c>
      <c r="CV726" s="10"/>
      <c r="CY726" s="18" t="str">
        <f ca="1"/>
        <v/>
      </c>
      <c r="CZ726" s="18" t="str">
        <f ca="1"/>
        <v/>
      </c>
      <c r="DA726" s="18" t="str">
        <f ca="1"/>
        <v/>
      </c>
      <c r="DC726" s="10"/>
    </row>
    <row r="727" spans="1:107" x14ac:dyDescent="0.25">
      <c r="A727" s="46"/>
      <c r="B727" s="52"/>
      <c r="C727" s="52"/>
      <c r="D727" s="16"/>
      <c r="E727" s="52"/>
      <c r="F727" s="52"/>
      <c r="G727" s="50"/>
      <c r="H727" s="17" t="str">
        <f ca="1">IFERROR(__xludf.DUMMYFUNCTION("""COMPUTED_VALUE"""),"")</f>
        <v/>
      </c>
      <c r="I727" s="50" t="s">
        <v>29</v>
      </c>
      <c r="J727" s="50" t="s">
        <v>29</v>
      </c>
      <c r="K727" s="50" t="s">
        <v>29</v>
      </c>
      <c r="L727" s="50" t="s">
        <v>29</v>
      </c>
      <c r="M727" s="50" t="s">
        <v>29</v>
      </c>
      <c r="N727" s="49"/>
      <c r="P727" s="19"/>
      <c r="Q727" s="18" t="str">
        <f ca="1">IFERROR(__xludf.DUMMYFUNCTION("""COMPUTED_VALUE"""),"")</f>
        <v/>
      </c>
      <c r="R727" s="19"/>
      <c r="S727" s="20"/>
      <c r="BP727" s="10"/>
      <c r="BW727" s="10"/>
      <c r="CF727" s="10"/>
      <c r="CM727" s="10"/>
      <c r="CP727" s="18" t="str">
        <f ca="1"/>
        <v/>
      </c>
      <c r="CQ727" s="18" t="str">
        <f ca="1"/>
        <v/>
      </c>
      <c r="CR727" s="18" t="str">
        <f ca="1"/>
        <v/>
      </c>
      <c r="CS727" s="18" t="str">
        <f ca="1"/>
        <v/>
      </c>
      <c r="CT727" s="18" t="str">
        <f ca="1"/>
        <v/>
      </c>
      <c r="CV727" s="10"/>
      <c r="CY727" s="18" t="str">
        <f ca="1"/>
        <v/>
      </c>
      <c r="CZ727" s="18" t="str">
        <f ca="1"/>
        <v/>
      </c>
      <c r="DA727" s="18" t="str">
        <f ca="1"/>
        <v/>
      </c>
      <c r="DC727" s="10"/>
    </row>
    <row r="728" spans="1:107" x14ac:dyDescent="0.25">
      <c r="A728" s="46"/>
      <c r="B728" s="52"/>
      <c r="C728" s="52"/>
      <c r="D728" s="16"/>
      <c r="E728" s="52"/>
      <c r="F728" s="52"/>
      <c r="G728" s="50"/>
      <c r="H728" s="17" t="str">
        <f ca="1">IFERROR(__xludf.DUMMYFUNCTION("""COMPUTED_VALUE"""),"")</f>
        <v/>
      </c>
      <c r="I728" s="50" t="s">
        <v>29</v>
      </c>
      <c r="J728" s="50" t="s">
        <v>29</v>
      </c>
      <c r="K728" s="50" t="s">
        <v>29</v>
      </c>
      <c r="L728" s="50" t="s">
        <v>29</v>
      </c>
      <c r="M728" s="50" t="s">
        <v>29</v>
      </c>
      <c r="N728" s="49"/>
      <c r="P728" s="19"/>
      <c r="Q728" s="18" t="str">
        <f ca="1">IFERROR(__xludf.DUMMYFUNCTION("""COMPUTED_VALUE"""),"")</f>
        <v/>
      </c>
      <c r="R728" s="19"/>
      <c r="S728" s="20"/>
      <c r="BP728" s="10"/>
      <c r="BW728" s="10"/>
      <c r="CF728" s="10"/>
      <c r="CM728" s="10"/>
      <c r="CP728" s="18" t="str">
        <f ca="1"/>
        <v/>
      </c>
      <c r="CQ728" s="18" t="str">
        <f ca="1"/>
        <v/>
      </c>
      <c r="CR728" s="18" t="str">
        <f ca="1"/>
        <v/>
      </c>
      <c r="CS728" s="18" t="str">
        <f ca="1"/>
        <v/>
      </c>
      <c r="CT728" s="18" t="str">
        <f ca="1"/>
        <v/>
      </c>
      <c r="CV728" s="10"/>
      <c r="CY728" s="18" t="str">
        <f ca="1"/>
        <v/>
      </c>
      <c r="CZ728" s="18" t="str">
        <f ca="1"/>
        <v/>
      </c>
      <c r="DA728" s="18" t="str">
        <f ca="1"/>
        <v/>
      </c>
      <c r="DC728" s="10"/>
    </row>
    <row r="729" spans="1:107" x14ac:dyDescent="0.25">
      <c r="A729" s="46"/>
      <c r="B729" s="52"/>
      <c r="C729" s="52"/>
      <c r="D729" s="16"/>
      <c r="E729" s="52"/>
      <c r="F729" s="52"/>
      <c r="G729" s="50"/>
      <c r="H729" s="17" t="str">
        <f ca="1">IFERROR(__xludf.DUMMYFUNCTION("""COMPUTED_VALUE"""),"")</f>
        <v/>
      </c>
      <c r="I729" s="50" t="s">
        <v>29</v>
      </c>
      <c r="J729" s="50" t="s">
        <v>29</v>
      </c>
      <c r="K729" s="50" t="s">
        <v>29</v>
      </c>
      <c r="L729" s="50" t="s">
        <v>29</v>
      </c>
      <c r="M729" s="50" t="s">
        <v>29</v>
      </c>
      <c r="N729" s="49"/>
      <c r="P729" s="19"/>
      <c r="Q729" s="18" t="str">
        <f ca="1">IFERROR(__xludf.DUMMYFUNCTION("""COMPUTED_VALUE"""),"")</f>
        <v/>
      </c>
      <c r="R729" s="19"/>
      <c r="S729" s="20"/>
      <c r="BP729" s="10"/>
      <c r="BW729" s="10"/>
      <c r="CF729" s="10"/>
      <c r="CM729" s="10"/>
      <c r="CP729" s="18" t="str">
        <f ca="1"/>
        <v/>
      </c>
      <c r="CQ729" s="18" t="str">
        <f ca="1"/>
        <v/>
      </c>
      <c r="CR729" s="18" t="str">
        <f ca="1"/>
        <v/>
      </c>
      <c r="CS729" s="18" t="str">
        <f ca="1"/>
        <v/>
      </c>
      <c r="CT729" s="18" t="str">
        <f ca="1"/>
        <v/>
      </c>
      <c r="CV729" s="10"/>
      <c r="CY729" s="18" t="str">
        <f ca="1"/>
        <v/>
      </c>
      <c r="CZ729" s="18" t="str">
        <f ca="1"/>
        <v/>
      </c>
      <c r="DA729" s="18" t="str">
        <f ca="1"/>
        <v/>
      </c>
      <c r="DC729" s="10"/>
    </row>
    <row r="730" spans="1:107" x14ac:dyDescent="0.25">
      <c r="A730" s="46"/>
      <c r="B730" s="52"/>
      <c r="C730" s="52"/>
      <c r="D730" s="16"/>
      <c r="E730" s="52"/>
      <c r="F730" s="52"/>
      <c r="G730" s="50"/>
      <c r="H730" s="17" t="str">
        <f ca="1">IFERROR(__xludf.DUMMYFUNCTION("""COMPUTED_VALUE"""),"")</f>
        <v/>
      </c>
      <c r="I730" s="50" t="s">
        <v>29</v>
      </c>
      <c r="J730" s="50" t="s">
        <v>29</v>
      </c>
      <c r="K730" s="50" t="s">
        <v>29</v>
      </c>
      <c r="L730" s="50" t="s">
        <v>29</v>
      </c>
      <c r="M730" s="50" t="s">
        <v>29</v>
      </c>
      <c r="N730" s="49"/>
      <c r="P730" s="19"/>
      <c r="Q730" s="18" t="str">
        <f ca="1">IFERROR(__xludf.DUMMYFUNCTION("""COMPUTED_VALUE"""),"")</f>
        <v/>
      </c>
      <c r="R730" s="19"/>
      <c r="S730" s="20"/>
      <c r="BP730" s="10"/>
      <c r="BW730" s="10"/>
      <c r="CF730" s="10"/>
      <c r="CM730" s="10"/>
      <c r="CP730" s="18" t="str">
        <f ca="1"/>
        <v/>
      </c>
      <c r="CQ730" s="18" t="str">
        <f ca="1"/>
        <v/>
      </c>
      <c r="CR730" s="18" t="str">
        <f ca="1"/>
        <v/>
      </c>
      <c r="CS730" s="18" t="str">
        <f ca="1"/>
        <v/>
      </c>
      <c r="CT730" s="18" t="str">
        <f ca="1"/>
        <v/>
      </c>
      <c r="CV730" s="10"/>
      <c r="CY730" s="18" t="str">
        <f ca="1"/>
        <v/>
      </c>
      <c r="CZ730" s="18" t="str">
        <f ca="1"/>
        <v/>
      </c>
      <c r="DA730" s="18" t="str">
        <f ca="1"/>
        <v/>
      </c>
      <c r="DC730" s="10"/>
    </row>
    <row r="731" spans="1:107" x14ac:dyDescent="0.25">
      <c r="A731" s="46"/>
      <c r="B731" s="52"/>
      <c r="C731" s="52"/>
      <c r="D731" s="16"/>
      <c r="E731" s="52"/>
      <c r="F731" s="52"/>
      <c r="G731" s="50"/>
      <c r="H731" s="17" t="str">
        <f ca="1">IFERROR(__xludf.DUMMYFUNCTION("""COMPUTED_VALUE"""),"")</f>
        <v/>
      </c>
      <c r="I731" s="50" t="s">
        <v>29</v>
      </c>
      <c r="J731" s="50" t="s">
        <v>29</v>
      </c>
      <c r="K731" s="50" t="s">
        <v>29</v>
      </c>
      <c r="L731" s="50" t="s">
        <v>29</v>
      </c>
      <c r="M731" s="50" t="s">
        <v>29</v>
      </c>
      <c r="N731" s="49"/>
      <c r="P731" s="19"/>
      <c r="Q731" s="18" t="str">
        <f ca="1">IFERROR(__xludf.DUMMYFUNCTION("""COMPUTED_VALUE"""),"")</f>
        <v/>
      </c>
      <c r="R731" s="19"/>
      <c r="S731" s="20"/>
      <c r="BP731" s="10"/>
      <c r="BW731" s="10"/>
      <c r="CF731" s="10"/>
      <c r="CM731" s="10"/>
      <c r="CP731" s="18" t="str">
        <f ca="1"/>
        <v/>
      </c>
      <c r="CQ731" s="18" t="str">
        <f ca="1"/>
        <v/>
      </c>
      <c r="CR731" s="18" t="str">
        <f ca="1"/>
        <v/>
      </c>
      <c r="CS731" s="18" t="str">
        <f ca="1"/>
        <v/>
      </c>
      <c r="CT731" s="18" t="str">
        <f ca="1"/>
        <v/>
      </c>
      <c r="CV731" s="10"/>
      <c r="CY731" s="18" t="str">
        <f ca="1"/>
        <v/>
      </c>
      <c r="CZ731" s="18" t="str">
        <f ca="1"/>
        <v/>
      </c>
      <c r="DA731" s="18" t="str">
        <f ca="1"/>
        <v/>
      </c>
      <c r="DC731" s="10"/>
    </row>
    <row r="732" spans="1:107" x14ac:dyDescent="0.25">
      <c r="A732" s="46"/>
      <c r="B732" s="52"/>
      <c r="C732" s="52"/>
      <c r="D732" s="16"/>
      <c r="E732" s="52"/>
      <c r="F732" s="52"/>
      <c r="G732" s="50"/>
      <c r="H732" s="17" t="str">
        <f ca="1">IFERROR(__xludf.DUMMYFUNCTION("""COMPUTED_VALUE"""),"")</f>
        <v/>
      </c>
      <c r="I732" s="50" t="s">
        <v>29</v>
      </c>
      <c r="J732" s="50" t="s">
        <v>29</v>
      </c>
      <c r="K732" s="50" t="s">
        <v>29</v>
      </c>
      <c r="L732" s="50" t="s">
        <v>29</v>
      </c>
      <c r="M732" s="50" t="s">
        <v>29</v>
      </c>
      <c r="N732" s="49"/>
      <c r="P732" s="19"/>
      <c r="Q732" s="18" t="str">
        <f ca="1">IFERROR(__xludf.DUMMYFUNCTION("""COMPUTED_VALUE"""),"")</f>
        <v/>
      </c>
      <c r="R732" s="19"/>
      <c r="S732" s="20"/>
      <c r="BP732" s="10"/>
      <c r="BW732" s="10"/>
      <c r="CF732" s="10"/>
      <c r="CM732" s="10"/>
      <c r="CP732" s="18" t="str">
        <f ca="1"/>
        <v/>
      </c>
      <c r="CQ732" s="18" t="str">
        <f ca="1"/>
        <v/>
      </c>
      <c r="CR732" s="18" t="str">
        <f ca="1"/>
        <v/>
      </c>
      <c r="CS732" s="18" t="str">
        <f ca="1"/>
        <v/>
      </c>
      <c r="CT732" s="18" t="str">
        <f ca="1"/>
        <v/>
      </c>
      <c r="CV732" s="10"/>
      <c r="CY732" s="18" t="str">
        <f ca="1"/>
        <v/>
      </c>
      <c r="CZ732" s="18" t="str">
        <f ca="1"/>
        <v/>
      </c>
      <c r="DA732" s="18" t="str">
        <f ca="1"/>
        <v/>
      </c>
      <c r="DC732" s="10"/>
    </row>
    <row r="733" spans="1:107" x14ac:dyDescent="0.25">
      <c r="A733" s="46"/>
      <c r="B733" s="52"/>
      <c r="C733" s="52"/>
      <c r="D733" s="16"/>
      <c r="E733" s="52"/>
      <c r="F733" s="52"/>
      <c r="G733" s="50"/>
      <c r="H733" s="17" t="str">
        <f ca="1">IFERROR(__xludf.DUMMYFUNCTION("""COMPUTED_VALUE"""),"")</f>
        <v/>
      </c>
      <c r="I733" s="50" t="s">
        <v>29</v>
      </c>
      <c r="J733" s="50" t="s">
        <v>29</v>
      </c>
      <c r="K733" s="50" t="s">
        <v>29</v>
      </c>
      <c r="L733" s="50" t="s">
        <v>29</v>
      </c>
      <c r="M733" s="50" t="s">
        <v>29</v>
      </c>
      <c r="N733" s="49"/>
      <c r="P733" s="19"/>
      <c r="Q733" s="18" t="str">
        <f ca="1">IFERROR(__xludf.DUMMYFUNCTION("""COMPUTED_VALUE"""),"")</f>
        <v/>
      </c>
      <c r="R733" s="19"/>
      <c r="S733" s="20"/>
      <c r="BP733" s="10"/>
      <c r="BW733" s="10"/>
      <c r="CF733" s="10"/>
      <c r="CM733" s="10"/>
      <c r="CP733" s="18" t="str">
        <f ca="1"/>
        <v/>
      </c>
      <c r="CQ733" s="18" t="str">
        <f ca="1"/>
        <v/>
      </c>
      <c r="CR733" s="18" t="str">
        <f ca="1"/>
        <v/>
      </c>
      <c r="CS733" s="18" t="str">
        <f ca="1"/>
        <v/>
      </c>
      <c r="CT733" s="18" t="str">
        <f ca="1"/>
        <v/>
      </c>
      <c r="CV733" s="10"/>
      <c r="CY733" s="18" t="str">
        <f ca="1"/>
        <v/>
      </c>
      <c r="CZ733" s="18" t="str">
        <f ca="1"/>
        <v/>
      </c>
      <c r="DA733" s="18" t="str">
        <f ca="1"/>
        <v/>
      </c>
      <c r="DC733" s="10"/>
    </row>
    <row r="734" spans="1:107" x14ac:dyDescent="0.25">
      <c r="A734" s="46"/>
      <c r="B734" s="52"/>
      <c r="C734" s="52"/>
      <c r="D734" s="16"/>
      <c r="E734" s="52"/>
      <c r="F734" s="52"/>
      <c r="G734" s="50"/>
      <c r="H734" s="17" t="str">
        <f ca="1">IFERROR(__xludf.DUMMYFUNCTION("""COMPUTED_VALUE"""),"")</f>
        <v/>
      </c>
      <c r="I734" s="50" t="s">
        <v>29</v>
      </c>
      <c r="J734" s="50" t="s">
        <v>29</v>
      </c>
      <c r="K734" s="50" t="s">
        <v>29</v>
      </c>
      <c r="L734" s="50" t="s">
        <v>29</v>
      </c>
      <c r="M734" s="50" t="s">
        <v>29</v>
      </c>
      <c r="N734" s="49"/>
      <c r="P734" s="19"/>
      <c r="Q734" s="18" t="str">
        <f ca="1">IFERROR(__xludf.DUMMYFUNCTION("""COMPUTED_VALUE"""),"")</f>
        <v/>
      </c>
      <c r="R734" s="19"/>
      <c r="S734" s="20"/>
      <c r="BP734" s="10"/>
      <c r="BW734" s="10"/>
      <c r="CF734" s="10"/>
      <c r="CM734" s="10"/>
      <c r="CP734" s="18" t="str">
        <f ca="1"/>
        <v/>
      </c>
      <c r="CQ734" s="18" t="str">
        <f ca="1"/>
        <v/>
      </c>
      <c r="CR734" s="18" t="str">
        <f ca="1"/>
        <v/>
      </c>
      <c r="CS734" s="18" t="str">
        <f ca="1"/>
        <v/>
      </c>
      <c r="CT734" s="18" t="str">
        <f ca="1"/>
        <v/>
      </c>
      <c r="CV734" s="10"/>
      <c r="CY734" s="18" t="str">
        <f ca="1"/>
        <v/>
      </c>
      <c r="CZ734" s="18" t="str">
        <f ca="1"/>
        <v/>
      </c>
      <c r="DA734" s="18" t="str">
        <f ca="1"/>
        <v/>
      </c>
      <c r="DC734" s="10"/>
    </row>
    <row r="735" spans="1:107" x14ac:dyDescent="0.25">
      <c r="A735" s="46"/>
      <c r="B735" s="52"/>
      <c r="C735" s="52"/>
      <c r="D735" s="16"/>
      <c r="E735" s="52"/>
      <c r="F735" s="52"/>
      <c r="G735" s="50"/>
      <c r="H735" s="17" t="str">
        <f ca="1">IFERROR(__xludf.DUMMYFUNCTION("""COMPUTED_VALUE"""),"")</f>
        <v/>
      </c>
      <c r="I735" s="50" t="s">
        <v>29</v>
      </c>
      <c r="J735" s="50" t="s">
        <v>29</v>
      </c>
      <c r="K735" s="50" t="s">
        <v>29</v>
      </c>
      <c r="L735" s="50" t="s">
        <v>29</v>
      </c>
      <c r="M735" s="50" t="s">
        <v>29</v>
      </c>
      <c r="N735" s="49"/>
      <c r="P735" s="19"/>
      <c r="Q735" s="18" t="str">
        <f ca="1">IFERROR(__xludf.DUMMYFUNCTION("""COMPUTED_VALUE"""),"")</f>
        <v/>
      </c>
      <c r="R735" s="19"/>
      <c r="S735" s="20"/>
      <c r="BP735" s="10"/>
      <c r="BW735" s="10"/>
      <c r="CF735" s="10"/>
      <c r="CM735" s="10"/>
      <c r="CP735" s="18" t="str">
        <f ca="1"/>
        <v/>
      </c>
      <c r="CQ735" s="18" t="str">
        <f ca="1"/>
        <v/>
      </c>
      <c r="CR735" s="18" t="str">
        <f ca="1"/>
        <v/>
      </c>
      <c r="CS735" s="18" t="str">
        <f ca="1"/>
        <v/>
      </c>
      <c r="CT735" s="18" t="str">
        <f ca="1"/>
        <v/>
      </c>
      <c r="CV735" s="10"/>
      <c r="CY735" s="18" t="str">
        <f ca="1"/>
        <v/>
      </c>
      <c r="CZ735" s="18" t="str">
        <f ca="1"/>
        <v/>
      </c>
      <c r="DA735" s="18" t="str">
        <f ca="1"/>
        <v/>
      </c>
      <c r="DC735" s="10"/>
    </row>
    <row r="736" spans="1:107" x14ac:dyDescent="0.25">
      <c r="A736" s="46"/>
      <c r="B736" s="52"/>
      <c r="C736" s="52"/>
      <c r="D736" s="16"/>
      <c r="E736" s="52"/>
      <c r="F736" s="52"/>
      <c r="G736" s="50"/>
      <c r="H736" s="17" t="str">
        <f ca="1">IFERROR(__xludf.DUMMYFUNCTION("""COMPUTED_VALUE"""),"")</f>
        <v/>
      </c>
      <c r="I736" s="50" t="s">
        <v>29</v>
      </c>
      <c r="J736" s="50" t="s">
        <v>29</v>
      </c>
      <c r="K736" s="50" t="s">
        <v>29</v>
      </c>
      <c r="L736" s="50" t="s">
        <v>29</v>
      </c>
      <c r="M736" s="50" t="s">
        <v>29</v>
      </c>
      <c r="N736" s="49"/>
      <c r="P736" s="19"/>
      <c r="Q736" s="18" t="str">
        <f ca="1">IFERROR(__xludf.DUMMYFUNCTION("""COMPUTED_VALUE"""),"")</f>
        <v/>
      </c>
      <c r="R736" s="19"/>
      <c r="S736" s="20"/>
      <c r="BP736" s="10"/>
      <c r="BW736" s="10"/>
      <c r="CF736" s="10"/>
      <c r="CM736" s="10"/>
      <c r="CP736" s="18" t="str">
        <f ca="1"/>
        <v/>
      </c>
      <c r="CQ736" s="18" t="str">
        <f ca="1"/>
        <v/>
      </c>
      <c r="CR736" s="18" t="str">
        <f ca="1"/>
        <v/>
      </c>
      <c r="CS736" s="18" t="str">
        <f ca="1"/>
        <v/>
      </c>
      <c r="CT736" s="18" t="str">
        <f ca="1"/>
        <v/>
      </c>
      <c r="CV736" s="10"/>
      <c r="CY736" s="18" t="str">
        <f ca="1"/>
        <v/>
      </c>
      <c r="CZ736" s="18" t="str">
        <f ca="1"/>
        <v/>
      </c>
      <c r="DA736" s="18" t="str">
        <f ca="1"/>
        <v/>
      </c>
      <c r="DC736" s="10"/>
    </row>
    <row r="737" spans="1:107" x14ac:dyDescent="0.25">
      <c r="A737" s="46"/>
      <c r="B737" s="52"/>
      <c r="C737" s="52"/>
      <c r="D737" s="16"/>
      <c r="E737" s="52"/>
      <c r="F737" s="52"/>
      <c r="G737" s="50"/>
      <c r="H737" s="17" t="str">
        <f ca="1">IFERROR(__xludf.DUMMYFUNCTION("""COMPUTED_VALUE"""),"")</f>
        <v/>
      </c>
      <c r="I737" s="50" t="s">
        <v>29</v>
      </c>
      <c r="J737" s="50" t="s">
        <v>29</v>
      </c>
      <c r="K737" s="50" t="s">
        <v>29</v>
      </c>
      <c r="L737" s="50" t="s">
        <v>29</v>
      </c>
      <c r="M737" s="50" t="s">
        <v>29</v>
      </c>
      <c r="N737" s="49"/>
      <c r="P737" s="19"/>
      <c r="Q737" s="18" t="str">
        <f ca="1">IFERROR(__xludf.DUMMYFUNCTION("""COMPUTED_VALUE"""),"")</f>
        <v/>
      </c>
      <c r="R737" s="19"/>
      <c r="S737" s="20"/>
      <c r="BP737" s="10"/>
      <c r="BW737" s="10"/>
      <c r="CF737" s="10"/>
      <c r="CM737" s="10"/>
      <c r="CP737" s="18" t="str">
        <f ca="1"/>
        <v/>
      </c>
      <c r="CQ737" s="18" t="str">
        <f ca="1"/>
        <v/>
      </c>
      <c r="CR737" s="18" t="str">
        <f ca="1"/>
        <v/>
      </c>
      <c r="CS737" s="18" t="str">
        <f ca="1"/>
        <v/>
      </c>
      <c r="CT737" s="18" t="str">
        <f ca="1"/>
        <v/>
      </c>
      <c r="CV737" s="10"/>
      <c r="CY737" s="18" t="str">
        <f ca="1"/>
        <v/>
      </c>
      <c r="CZ737" s="18" t="str">
        <f ca="1"/>
        <v/>
      </c>
      <c r="DA737" s="18" t="str">
        <f ca="1"/>
        <v/>
      </c>
      <c r="DC737" s="10"/>
    </row>
    <row r="738" spans="1:107" x14ac:dyDescent="0.25">
      <c r="A738" s="46"/>
      <c r="B738" s="52"/>
      <c r="C738" s="52"/>
      <c r="D738" s="16"/>
      <c r="E738" s="52"/>
      <c r="F738" s="52"/>
      <c r="G738" s="50"/>
      <c r="H738" s="17" t="str">
        <f ca="1">IFERROR(__xludf.DUMMYFUNCTION("""COMPUTED_VALUE"""),"")</f>
        <v/>
      </c>
      <c r="I738" s="50" t="s">
        <v>29</v>
      </c>
      <c r="J738" s="50" t="s">
        <v>29</v>
      </c>
      <c r="K738" s="50" t="s">
        <v>29</v>
      </c>
      <c r="L738" s="50" t="s">
        <v>29</v>
      </c>
      <c r="M738" s="50" t="s">
        <v>29</v>
      </c>
      <c r="N738" s="49"/>
      <c r="P738" s="19"/>
      <c r="Q738" s="18" t="str">
        <f ca="1">IFERROR(__xludf.DUMMYFUNCTION("""COMPUTED_VALUE"""),"")</f>
        <v/>
      </c>
      <c r="R738" s="19"/>
      <c r="S738" s="20"/>
      <c r="BP738" s="10"/>
      <c r="BW738" s="10"/>
      <c r="CF738" s="10"/>
      <c r="CM738" s="10"/>
      <c r="CP738" s="18" t="str">
        <f ca="1"/>
        <v/>
      </c>
      <c r="CQ738" s="18" t="str">
        <f ca="1"/>
        <v/>
      </c>
      <c r="CR738" s="18" t="str">
        <f ca="1"/>
        <v/>
      </c>
      <c r="CS738" s="18" t="str">
        <f ca="1"/>
        <v/>
      </c>
      <c r="CT738" s="18" t="str">
        <f ca="1"/>
        <v/>
      </c>
      <c r="CV738" s="10"/>
      <c r="CY738" s="18" t="str">
        <f ca="1"/>
        <v/>
      </c>
      <c r="CZ738" s="18" t="str">
        <f ca="1"/>
        <v/>
      </c>
      <c r="DA738" s="18" t="str">
        <f ca="1"/>
        <v/>
      </c>
      <c r="DC738" s="10"/>
    </row>
    <row r="739" spans="1:107" x14ac:dyDescent="0.25">
      <c r="A739" s="46"/>
      <c r="B739" s="52"/>
      <c r="C739" s="52"/>
      <c r="D739" s="16"/>
      <c r="E739" s="52"/>
      <c r="F739" s="52"/>
      <c r="G739" s="50"/>
      <c r="H739" s="17" t="str">
        <f ca="1">IFERROR(__xludf.DUMMYFUNCTION("""COMPUTED_VALUE"""),"")</f>
        <v/>
      </c>
      <c r="I739" s="50" t="s">
        <v>29</v>
      </c>
      <c r="J739" s="50" t="s">
        <v>29</v>
      </c>
      <c r="K739" s="50" t="s">
        <v>29</v>
      </c>
      <c r="L739" s="50" t="s">
        <v>29</v>
      </c>
      <c r="M739" s="50" t="s">
        <v>29</v>
      </c>
      <c r="N739" s="49"/>
      <c r="P739" s="19"/>
      <c r="Q739" s="18" t="str">
        <f ca="1">IFERROR(__xludf.DUMMYFUNCTION("""COMPUTED_VALUE"""),"")</f>
        <v/>
      </c>
      <c r="R739" s="19"/>
      <c r="S739" s="20"/>
      <c r="BP739" s="10"/>
      <c r="BW739" s="10"/>
      <c r="CF739" s="10"/>
      <c r="CM739" s="10"/>
      <c r="CP739" s="18" t="str">
        <f ca="1"/>
        <v/>
      </c>
      <c r="CQ739" s="18" t="str">
        <f ca="1"/>
        <v/>
      </c>
      <c r="CR739" s="18" t="str">
        <f ca="1"/>
        <v/>
      </c>
      <c r="CS739" s="18" t="str">
        <f ca="1"/>
        <v/>
      </c>
      <c r="CT739" s="18" t="str">
        <f ca="1"/>
        <v/>
      </c>
      <c r="CV739" s="10"/>
      <c r="CY739" s="18" t="str">
        <f ca="1"/>
        <v/>
      </c>
      <c r="CZ739" s="18" t="str">
        <f ca="1"/>
        <v/>
      </c>
      <c r="DA739" s="18" t="str">
        <f ca="1"/>
        <v/>
      </c>
      <c r="DC739" s="10"/>
    </row>
    <row r="740" spans="1:107" x14ac:dyDescent="0.25">
      <c r="A740" s="46"/>
      <c r="B740" s="52"/>
      <c r="C740" s="52"/>
      <c r="D740" s="16"/>
      <c r="E740" s="52"/>
      <c r="F740" s="52"/>
      <c r="G740" s="50"/>
      <c r="H740" s="17" t="str">
        <f ca="1">IFERROR(__xludf.DUMMYFUNCTION("""COMPUTED_VALUE"""),"")</f>
        <v/>
      </c>
      <c r="I740" s="50" t="s">
        <v>29</v>
      </c>
      <c r="J740" s="50" t="s">
        <v>29</v>
      </c>
      <c r="K740" s="50" t="s">
        <v>29</v>
      </c>
      <c r="L740" s="50" t="s">
        <v>29</v>
      </c>
      <c r="M740" s="50" t="s">
        <v>29</v>
      </c>
      <c r="N740" s="49"/>
      <c r="P740" s="19"/>
      <c r="Q740" s="18" t="str">
        <f ca="1">IFERROR(__xludf.DUMMYFUNCTION("""COMPUTED_VALUE"""),"")</f>
        <v/>
      </c>
      <c r="R740" s="19"/>
      <c r="S740" s="20"/>
      <c r="BP740" s="10"/>
      <c r="BW740" s="10"/>
      <c r="CF740" s="10"/>
      <c r="CM740" s="10"/>
      <c r="CP740" s="18" t="str">
        <f ca="1"/>
        <v/>
      </c>
      <c r="CQ740" s="18" t="str">
        <f ca="1"/>
        <v/>
      </c>
      <c r="CR740" s="18" t="str">
        <f ca="1"/>
        <v/>
      </c>
      <c r="CS740" s="18" t="str">
        <f ca="1"/>
        <v/>
      </c>
      <c r="CT740" s="18" t="str">
        <f ca="1"/>
        <v/>
      </c>
      <c r="CV740" s="10"/>
      <c r="CY740" s="18" t="str">
        <f ca="1"/>
        <v/>
      </c>
      <c r="CZ740" s="18" t="str">
        <f ca="1"/>
        <v/>
      </c>
      <c r="DA740" s="18" t="str">
        <f ca="1"/>
        <v/>
      </c>
      <c r="DC740" s="10"/>
    </row>
    <row r="741" spans="1:107" x14ac:dyDescent="0.25">
      <c r="A741" s="46"/>
      <c r="B741" s="52"/>
      <c r="C741" s="52"/>
      <c r="D741" s="16"/>
      <c r="E741" s="52"/>
      <c r="F741" s="52"/>
      <c r="G741" s="50"/>
      <c r="H741" s="17" t="str">
        <f ca="1">IFERROR(__xludf.DUMMYFUNCTION("""COMPUTED_VALUE"""),"")</f>
        <v/>
      </c>
      <c r="I741" s="50" t="s">
        <v>29</v>
      </c>
      <c r="J741" s="50" t="s">
        <v>29</v>
      </c>
      <c r="K741" s="50" t="s">
        <v>29</v>
      </c>
      <c r="L741" s="50" t="s">
        <v>29</v>
      </c>
      <c r="M741" s="50" t="s">
        <v>29</v>
      </c>
      <c r="N741" s="49"/>
      <c r="P741" s="19"/>
      <c r="Q741" s="18" t="str">
        <f ca="1">IFERROR(__xludf.DUMMYFUNCTION("""COMPUTED_VALUE"""),"")</f>
        <v/>
      </c>
      <c r="R741" s="19"/>
      <c r="S741" s="20"/>
      <c r="BP741" s="10"/>
      <c r="BW741" s="10"/>
      <c r="CF741" s="10"/>
      <c r="CM741" s="10"/>
      <c r="CP741" s="18" t="str">
        <f ca="1"/>
        <v/>
      </c>
      <c r="CQ741" s="18" t="str">
        <f ca="1"/>
        <v/>
      </c>
      <c r="CR741" s="18" t="str">
        <f ca="1"/>
        <v/>
      </c>
      <c r="CS741" s="18" t="str">
        <f ca="1"/>
        <v/>
      </c>
      <c r="CT741" s="18" t="str">
        <f ca="1"/>
        <v/>
      </c>
      <c r="CV741" s="10"/>
      <c r="CY741" s="18" t="str">
        <f ca="1"/>
        <v/>
      </c>
      <c r="CZ741" s="18" t="str">
        <f ca="1"/>
        <v/>
      </c>
      <c r="DA741" s="18" t="str">
        <f ca="1"/>
        <v/>
      </c>
      <c r="DC741" s="10"/>
    </row>
    <row r="742" spans="1:107" x14ac:dyDescent="0.25">
      <c r="A742" s="46"/>
      <c r="B742" s="52"/>
      <c r="C742" s="52"/>
      <c r="D742" s="16"/>
      <c r="E742" s="52"/>
      <c r="F742" s="52"/>
      <c r="G742" s="50"/>
      <c r="H742" s="17" t="str">
        <f ca="1">IFERROR(__xludf.DUMMYFUNCTION("""COMPUTED_VALUE"""),"")</f>
        <v/>
      </c>
      <c r="I742" s="50" t="s">
        <v>29</v>
      </c>
      <c r="J742" s="50" t="s">
        <v>29</v>
      </c>
      <c r="K742" s="50" t="s">
        <v>29</v>
      </c>
      <c r="L742" s="50" t="s">
        <v>29</v>
      </c>
      <c r="M742" s="50" t="s">
        <v>29</v>
      </c>
      <c r="N742" s="49"/>
      <c r="P742" s="19"/>
      <c r="Q742" s="18" t="str">
        <f ca="1">IFERROR(__xludf.DUMMYFUNCTION("""COMPUTED_VALUE"""),"")</f>
        <v/>
      </c>
      <c r="R742" s="19"/>
      <c r="S742" s="20"/>
      <c r="BP742" s="10"/>
      <c r="BW742" s="10"/>
      <c r="CF742" s="10"/>
      <c r="CM742" s="10"/>
      <c r="CP742" s="18" t="str">
        <f ca="1"/>
        <v/>
      </c>
      <c r="CQ742" s="18" t="str">
        <f ca="1"/>
        <v/>
      </c>
      <c r="CR742" s="18" t="str">
        <f ca="1"/>
        <v/>
      </c>
      <c r="CS742" s="18" t="str">
        <f ca="1"/>
        <v/>
      </c>
      <c r="CT742" s="18" t="str">
        <f ca="1"/>
        <v/>
      </c>
      <c r="CV742" s="10"/>
      <c r="CY742" s="18" t="str">
        <f ca="1"/>
        <v/>
      </c>
      <c r="CZ742" s="18" t="str">
        <f ca="1"/>
        <v/>
      </c>
      <c r="DA742" s="18" t="str">
        <f ca="1"/>
        <v/>
      </c>
      <c r="DC742" s="10"/>
    </row>
    <row r="743" spans="1:107" x14ac:dyDescent="0.25">
      <c r="A743" s="46"/>
      <c r="B743" s="52"/>
      <c r="C743" s="52"/>
      <c r="D743" s="16"/>
      <c r="E743" s="52"/>
      <c r="F743" s="52"/>
      <c r="G743" s="50"/>
      <c r="H743" s="17" t="str">
        <f ca="1">IFERROR(__xludf.DUMMYFUNCTION("""COMPUTED_VALUE"""),"")</f>
        <v/>
      </c>
      <c r="I743" s="50" t="s">
        <v>29</v>
      </c>
      <c r="J743" s="50" t="s">
        <v>29</v>
      </c>
      <c r="K743" s="50" t="s">
        <v>29</v>
      </c>
      <c r="L743" s="50" t="s">
        <v>29</v>
      </c>
      <c r="M743" s="50" t="s">
        <v>29</v>
      </c>
      <c r="N743" s="49"/>
      <c r="P743" s="19"/>
      <c r="Q743" s="18" t="str">
        <f ca="1">IFERROR(__xludf.DUMMYFUNCTION("""COMPUTED_VALUE"""),"")</f>
        <v/>
      </c>
      <c r="R743" s="19"/>
      <c r="S743" s="20"/>
      <c r="BP743" s="10"/>
      <c r="BW743" s="10"/>
      <c r="CF743" s="10"/>
      <c r="CM743" s="10"/>
      <c r="CP743" s="18" t="str">
        <f ca="1"/>
        <v/>
      </c>
      <c r="CQ743" s="18" t="str">
        <f ca="1"/>
        <v/>
      </c>
      <c r="CR743" s="18" t="str">
        <f ca="1"/>
        <v/>
      </c>
      <c r="CS743" s="18" t="str">
        <f ca="1"/>
        <v/>
      </c>
      <c r="CT743" s="18" t="str">
        <f ca="1"/>
        <v/>
      </c>
      <c r="CV743" s="10"/>
      <c r="CY743" s="18" t="str">
        <f ca="1"/>
        <v/>
      </c>
      <c r="CZ743" s="18" t="str">
        <f ca="1"/>
        <v/>
      </c>
      <c r="DA743" s="18" t="str">
        <f ca="1"/>
        <v/>
      </c>
      <c r="DC743" s="10"/>
    </row>
    <row r="744" spans="1:107" x14ac:dyDescent="0.25">
      <c r="A744" s="46"/>
      <c r="B744" s="52"/>
      <c r="C744" s="52"/>
      <c r="D744" s="16"/>
      <c r="E744" s="52"/>
      <c r="F744" s="52"/>
      <c r="G744" s="50"/>
      <c r="H744" s="17" t="str">
        <f ca="1">IFERROR(__xludf.DUMMYFUNCTION("""COMPUTED_VALUE"""),"")</f>
        <v/>
      </c>
      <c r="I744" s="50" t="s">
        <v>29</v>
      </c>
      <c r="J744" s="50" t="s">
        <v>29</v>
      </c>
      <c r="K744" s="50" t="s">
        <v>29</v>
      </c>
      <c r="L744" s="50" t="s">
        <v>29</v>
      </c>
      <c r="M744" s="50" t="s">
        <v>29</v>
      </c>
      <c r="N744" s="49"/>
      <c r="P744" s="19"/>
      <c r="Q744" s="18" t="str">
        <f ca="1">IFERROR(__xludf.DUMMYFUNCTION("""COMPUTED_VALUE"""),"")</f>
        <v/>
      </c>
      <c r="R744" s="19"/>
      <c r="S744" s="20"/>
      <c r="BP744" s="10"/>
      <c r="BW744" s="10"/>
      <c r="CF744" s="10"/>
      <c r="CM744" s="10"/>
      <c r="CP744" s="18" t="str">
        <f ca="1"/>
        <v/>
      </c>
      <c r="CQ744" s="18" t="str">
        <f ca="1"/>
        <v/>
      </c>
      <c r="CR744" s="18" t="str">
        <f ca="1"/>
        <v/>
      </c>
      <c r="CS744" s="18" t="str">
        <f ca="1"/>
        <v/>
      </c>
      <c r="CT744" s="18" t="str">
        <f ca="1"/>
        <v/>
      </c>
      <c r="CV744" s="10"/>
      <c r="CY744" s="18" t="str">
        <f ca="1"/>
        <v/>
      </c>
      <c r="CZ744" s="18" t="str">
        <f ca="1"/>
        <v/>
      </c>
      <c r="DA744" s="18" t="str">
        <f ca="1"/>
        <v/>
      </c>
      <c r="DC744" s="10"/>
    </row>
    <row r="745" spans="1:107" x14ac:dyDescent="0.25">
      <c r="A745" s="46"/>
      <c r="B745" s="52"/>
      <c r="C745" s="52"/>
      <c r="D745" s="16"/>
      <c r="E745" s="52"/>
      <c r="F745" s="52"/>
      <c r="G745" s="50"/>
      <c r="H745" s="17" t="str">
        <f ca="1">IFERROR(__xludf.DUMMYFUNCTION("""COMPUTED_VALUE"""),"")</f>
        <v/>
      </c>
      <c r="I745" s="50" t="s">
        <v>29</v>
      </c>
      <c r="J745" s="50" t="s">
        <v>29</v>
      </c>
      <c r="K745" s="50" t="s">
        <v>29</v>
      </c>
      <c r="L745" s="50" t="s">
        <v>29</v>
      </c>
      <c r="M745" s="50" t="s">
        <v>29</v>
      </c>
      <c r="N745" s="49"/>
      <c r="P745" s="19"/>
      <c r="Q745" s="18" t="str">
        <f ca="1">IFERROR(__xludf.DUMMYFUNCTION("""COMPUTED_VALUE"""),"")</f>
        <v/>
      </c>
      <c r="R745" s="19"/>
      <c r="S745" s="20"/>
      <c r="BP745" s="10"/>
      <c r="BW745" s="10"/>
      <c r="CF745" s="10"/>
      <c r="CM745" s="10"/>
      <c r="CP745" s="18" t="str">
        <f ca="1"/>
        <v/>
      </c>
      <c r="CQ745" s="18" t="str">
        <f ca="1"/>
        <v/>
      </c>
      <c r="CR745" s="18" t="str">
        <f ca="1"/>
        <v/>
      </c>
      <c r="CS745" s="18" t="str">
        <f ca="1"/>
        <v/>
      </c>
      <c r="CT745" s="18" t="str">
        <f ca="1"/>
        <v/>
      </c>
      <c r="CV745" s="10"/>
      <c r="CY745" s="18" t="str">
        <f ca="1"/>
        <v/>
      </c>
      <c r="CZ745" s="18" t="str">
        <f ca="1"/>
        <v/>
      </c>
      <c r="DA745" s="18" t="str">
        <f ca="1"/>
        <v/>
      </c>
      <c r="DC745" s="10"/>
    </row>
    <row r="746" spans="1:107" x14ac:dyDescent="0.25">
      <c r="A746" s="46"/>
      <c r="B746" s="52"/>
      <c r="C746" s="52"/>
      <c r="D746" s="16"/>
      <c r="E746" s="52"/>
      <c r="F746" s="52"/>
      <c r="G746" s="50"/>
      <c r="H746" s="17" t="str">
        <f ca="1">IFERROR(__xludf.DUMMYFUNCTION("""COMPUTED_VALUE"""),"")</f>
        <v/>
      </c>
      <c r="I746" s="50" t="s">
        <v>29</v>
      </c>
      <c r="J746" s="50" t="s">
        <v>29</v>
      </c>
      <c r="K746" s="50" t="s">
        <v>29</v>
      </c>
      <c r="L746" s="50" t="s">
        <v>29</v>
      </c>
      <c r="M746" s="50" t="s">
        <v>29</v>
      </c>
      <c r="N746" s="49"/>
      <c r="P746" s="19"/>
      <c r="Q746" s="18" t="str">
        <f ca="1">IFERROR(__xludf.DUMMYFUNCTION("""COMPUTED_VALUE"""),"")</f>
        <v/>
      </c>
      <c r="R746" s="19"/>
      <c r="S746" s="20"/>
      <c r="BP746" s="10"/>
      <c r="BW746" s="10"/>
      <c r="CF746" s="10"/>
      <c r="CM746" s="10"/>
      <c r="CP746" s="18" t="str">
        <f ca="1"/>
        <v/>
      </c>
      <c r="CQ746" s="18" t="str">
        <f ca="1"/>
        <v/>
      </c>
      <c r="CR746" s="18" t="str">
        <f ca="1"/>
        <v/>
      </c>
      <c r="CS746" s="18" t="str">
        <f ca="1"/>
        <v/>
      </c>
      <c r="CT746" s="18" t="str">
        <f ca="1"/>
        <v/>
      </c>
      <c r="CV746" s="10"/>
      <c r="CY746" s="18" t="str">
        <f ca="1"/>
        <v/>
      </c>
      <c r="CZ746" s="18" t="str">
        <f ca="1"/>
        <v/>
      </c>
      <c r="DA746" s="18" t="str">
        <f ca="1"/>
        <v/>
      </c>
      <c r="DC746" s="10"/>
    </row>
    <row r="747" spans="1:107" x14ac:dyDescent="0.25">
      <c r="A747" s="46"/>
      <c r="B747" s="52"/>
      <c r="C747" s="52"/>
      <c r="D747" s="16"/>
      <c r="E747" s="52"/>
      <c r="F747" s="52"/>
      <c r="G747" s="50"/>
      <c r="H747" s="17" t="str">
        <f ca="1">IFERROR(__xludf.DUMMYFUNCTION("""COMPUTED_VALUE"""),"")</f>
        <v/>
      </c>
      <c r="I747" s="50" t="s">
        <v>29</v>
      </c>
      <c r="J747" s="50" t="s">
        <v>29</v>
      </c>
      <c r="K747" s="50" t="s">
        <v>29</v>
      </c>
      <c r="L747" s="50" t="s">
        <v>29</v>
      </c>
      <c r="M747" s="50" t="s">
        <v>29</v>
      </c>
      <c r="N747" s="49"/>
      <c r="P747" s="19"/>
      <c r="Q747" s="18" t="str">
        <f ca="1">IFERROR(__xludf.DUMMYFUNCTION("""COMPUTED_VALUE"""),"")</f>
        <v/>
      </c>
      <c r="R747" s="19"/>
      <c r="S747" s="20"/>
      <c r="BP747" s="10"/>
      <c r="BW747" s="10"/>
      <c r="CF747" s="10"/>
      <c r="CM747" s="10"/>
      <c r="CP747" s="18" t="str">
        <f ca="1"/>
        <v/>
      </c>
      <c r="CQ747" s="18" t="str">
        <f ca="1"/>
        <v/>
      </c>
      <c r="CR747" s="18" t="str">
        <f ca="1"/>
        <v/>
      </c>
      <c r="CS747" s="18" t="str">
        <f ca="1"/>
        <v/>
      </c>
      <c r="CT747" s="18" t="str">
        <f ca="1"/>
        <v/>
      </c>
      <c r="CV747" s="10"/>
      <c r="CY747" s="18" t="str">
        <f ca="1"/>
        <v/>
      </c>
      <c r="CZ747" s="18" t="str">
        <f ca="1"/>
        <v/>
      </c>
      <c r="DA747" s="18" t="str">
        <f ca="1"/>
        <v/>
      </c>
      <c r="DC747" s="10"/>
    </row>
    <row r="748" spans="1:107" x14ac:dyDescent="0.25">
      <c r="A748" s="46"/>
      <c r="B748" s="52"/>
      <c r="C748" s="52"/>
      <c r="D748" s="16"/>
      <c r="E748" s="52"/>
      <c r="F748" s="52"/>
      <c r="G748" s="50"/>
      <c r="H748" s="17" t="str">
        <f ca="1">IFERROR(__xludf.DUMMYFUNCTION("""COMPUTED_VALUE"""),"")</f>
        <v/>
      </c>
      <c r="I748" s="50" t="s">
        <v>29</v>
      </c>
      <c r="J748" s="50" t="s">
        <v>29</v>
      </c>
      <c r="K748" s="50" t="s">
        <v>29</v>
      </c>
      <c r="L748" s="50" t="s">
        <v>29</v>
      </c>
      <c r="M748" s="50" t="s">
        <v>29</v>
      </c>
      <c r="N748" s="49"/>
      <c r="P748" s="19"/>
      <c r="Q748" s="18" t="str">
        <f ca="1">IFERROR(__xludf.DUMMYFUNCTION("""COMPUTED_VALUE"""),"")</f>
        <v/>
      </c>
      <c r="R748" s="19"/>
      <c r="S748" s="20"/>
      <c r="BP748" s="10"/>
      <c r="BW748" s="10"/>
      <c r="CF748" s="10"/>
      <c r="CM748" s="10"/>
      <c r="CP748" s="18" t="str">
        <f ca="1"/>
        <v/>
      </c>
      <c r="CQ748" s="18" t="str">
        <f ca="1"/>
        <v/>
      </c>
      <c r="CR748" s="18" t="str">
        <f ca="1"/>
        <v/>
      </c>
      <c r="CS748" s="18" t="str">
        <f ca="1"/>
        <v/>
      </c>
      <c r="CT748" s="18" t="str">
        <f ca="1"/>
        <v/>
      </c>
      <c r="CV748" s="10"/>
      <c r="CY748" s="18" t="str">
        <f ca="1"/>
        <v/>
      </c>
      <c r="CZ748" s="18" t="str">
        <f ca="1"/>
        <v/>
      </c>
      <c r="DA748" s="18" t="str">
        <f ca="1"/>
        <v/>
      </c>
      <c r="DC748" s="10"/>
    </row>
    <row r="749" spans="1:107" x14ac:dyDescent="0.25">
      <c r="A749" s="46"/>
      <c r="B749" s="52"/>
      <c r="C749" s="52"/>
      <c r="D749" s="16"/>
      <c r="E749" s="52"/>
      <c r="F749" s="52"/>
      <c r="G749" s="50"/>
      <c r="H749" s="17" t="str">
        <f ca="1">IFERROR(__xludf.DUMMYFUNCTION("""COMPUTED_VALUE"""),"")</f>
        <v/>
      </c>
      <c r="I749" s="50" t="s">
        <v>29</v>
      </c>
      <c r="J749" s="50" t="s">
        <v>29</v>
      </c>
      <c r="K749" s="50" t="s">
        <v>29</v>
      </c>
      <c r="L749" s="50" t="s">
        <v>29</v>
      </c>
      <c r="M749" s="50" t="s">
        <v>29</v>
      </c>
      <c r="N749" s="49"/>
      <c r="P749" s="19"/>
      <c r="Q749" s="18" t="str">
        <f ca="1">IFERROR(__xludf.DUMMYFUNCTION("""COMPUTED_VALUE"""),"")</f>
        <v/>
      </c>
      <c r="R749" s="19"/>
      <c r="S749" s="20"/>
      <c r="BP749" s="10"/>
      <c r="BW749" s="10"/>
      <c r="CF749" s="10"/>
      <c r="CM749" s="10"/>
      <c r="CP749" s="18" t="str">
        <f ca="1"/>
        <v/>
      </c>
      <c r="CQ749" s="18" t="str">
        <f ca="1"/>
        <v/>
      </c>
      <c r="CR749" s="18" t="str">
        <f ca="1"/>
        <v/>
      </c>
      <c r="CS749" s="18" t="str">
        <f ca="1"/>
        <v/>
      </c>
      <c r="CT749" s="18" t="str">
        <f ca="1"/>
        <v/>
      </c>
      <c r="CV749" s="10"/>
      <c r="CY749" s="18" t="str">
        <f ca="1"/>
        <v/>
      </c>
      <c r="CZ749" s="18" t="str">
        <f ca="1"/>
        <v/>
      </c>
      <c r="DA749" s="18" t="str">
        <f ca="1"/>
        <v/>
      </c>
      <c r="DC749" s="10"/>
    </row>
    <row r="750" spans="1:107" x14ac:dyDescent="0.25">
      <c r="A750" s="46"/>
      <c r="B750" s="52"/>
      <c r="C750" s="52"/>
      <c r="D750" s="16"/>
      <c r="E750" s="52"/>
      <c r="F750" s="52"/>
      <c r="G750" s="50"/>
      <c r="H750" s="17" t="str">
        <f ca="1">IFERROR(__xludf.DUMMYFUNCTION("""COMPUTED_VALUE"""),"")</f>
        <v/>
      </c>
      <c r="I750" s="50" t="s">
        <v>29</v>
      </c>
      <c r="J750" s="50" t="s">
        <v>29</v>
      </c>
      <c r="K750" s="50" t="s">
        <v>29</v>
      </c>
      <c r="L750" s="50" t="s">
        <v>29</v>
      </c>
      <c r="M750" s="50" t="s">
        <v>29</v>
      </c>
      <c r="N750" s="49"/>
      <c r="P750" s="19"/>
      <c r="Q750" s="18" t="str">
        <f ca="1">IFERROR(__xludf.DUMMYFUNCTION("""COMPUTED_VALUE"""),"")</f>
        <v/>
      </c>
      <c r="R750" s="19"/>
      <c r="S750" s="20"/>
      <c r="BP750" s="10"/>
      <c r="BW750" s="10"/>
      <c r="CF750" s="10"/>
      <c r="CM750" s="10"/>
      <c r="CP750" s="18" t="str">
        <f ca="1"/>
        <v/>
      </c>
      <c r="CQ750" s="18" t="str">
        <f ca="1"/>
        <v/>
      </c>
      <c r="CR750" s="18" t="str">
        <f ca="1"/>
        <v/>
      </c>
      <c r="CS750" s="18" t="str">
        <f ca="1"/>
        <v/>
      </c>
      <c r="CT750" s="18" t="str">
        <f ca="1"/>
        <v/>
      </c>
      <c r="CV750" s="10"/>
      <c r="CY750" s="18" t="str">
        <f ca="1"/>
        <v/>
      </c>
      <c r="CZ750" s="18" t="str">
        <f ca="1"/>
        <v/>
      </c>
      <c r="DA750" s="18" t="str">
        <f ca="1"/>
        <v/>
      </c>
      <c r="DC750" s="10"/>
    </row>
    <row r="751" spans="1:107" x14ac:dyDescent="0.25">
      <c r="A751" s="46"/>
      <c r="B751" s="52"/>
      <c r="C751" s="52"/>
      <c r="D751" s="16"/>
      <c r="E751" s="52"/>
      <c r="F751" s="52"/>
      <c r="G751" s="50"/>
      <c r="H751" s="17" t="str">
        <f ca="1">IFERROR(__xludf.DUMMYFUNCTION("""COMPUTED_VALUE"""),"")</f>
        <v/>
      </c>
      <c r="I751" s="50" t="s">
        <v>29</v>
      </c>
      <c r="J751" s="50" t="s">
        <v>29</v>
      </c>
      <c r="K751" s="50" t="s">
        <v>29</v>
      </c>
      <c r="L751" s="50" t="s">
        <v>29</v>
      </c>
      <c r="M751" s="50" t="s">
        <v>29</v>
      </c>
      <c r="N751" s="49"/>
      <c r="P751" s="19"/>
      <c r="Q751" s="18" t="str">
        <f ca="1">IFERROR(__xludf.DUMMYFUNCTION("""COMPUTED_VALUE"""),"")</f>
        <v/>
      </c>
      <c r="R751" s="19"/>
      <c r="S751" s="20"/>
      <c r="BP751" s="10"/>
      <c r="BW751" s="10"/>
      <c r="CF751" s="10"/>
      <c r="CM751" s="10"/>
      <c r="CP751" s="18" t="str">
        <f ca="1"/>
        <v/>
      </c>
      <c r="CQ751" s="18" t="str">
        <f ca="1"/>
        <v/>
      </c>
      <c r="CR751" s="18" t="str">
        <f ca="1"/>
        <v/>
      </c>
      <c r="CS751" s="18" t="str">
        <f ca="1"/>
        <v/>
      </c>
      <c r="CT751" s="18" t="str">
        <f ca="1"/>
        <v/>
      </c>
      <c r="CV751" s="10"/>
      <c r="CY751" s="18" t="str">
        <f ca="1"/>
        <v/>
      </c>
      <c r="CZ751" s="18" t="str">
        <f ca="1"/>
        <v/>
      </c>
      <c r="DA751" s="18" t="str">
        <f ca="1"/>
        <v/>
      </c>
      <c r="DC751" s="10"/>
    </row>
    <row r="752" spans="1:107" x14ac:dyDescent="0.25">
      <c r="A752" s="46"/>
      <c r="B752" s="52"/>
      <c r="C752" s="52"/>
      <c r="D752" s="16"/>
      <c r="E752" s="52"/>
      <c r="F752" s="52"/>
      <c r="G752" s="50"/>
      <c r="H752" s="17" t="str">
        <f ca="1">IFERROR(__xludf.DUMMYFUNCTION("""COMPUTED_VALUE"""),"")</f>
        <v/>
      </c>
      <c r="I752" s="50" t="s">
        <v>29</v>
      </c>
      <c r="J752" s="50" t="s">
        <v>29</v>
      </c>
      <c r="K752" s="50" t="s">
        <v>29</v>
      </c>
      <c r="L752" s="50" t="s">
        <v>29</v>
      </c>
      <c r="M752" s="50" t="s">
        <v>29</v>
      </c>
      <c r="N752" s="49"/>
      <c r="P752" s="19"/>
      <c r="Q752" s="18" t="str">
        <f ca="1">IFERROR(__xludf.DUMMYFUNCTION("""COMPUTED_VALUE"""),"")</f>
        <v/>
      </c>
      <c r="R752" s="19"/>
      <c r="S752" s="20"/>
      <c r="BP752" s="10"/>
      <c r="BW752" s="10"/>
      <c r="CF752" s="10"/>
      <c r="CM752" s="10"/>
      <c r="CP752" s="18" t="str">
        <f ca="1"/>
        <v/>
      </c>
      <c r="CQ752" s="18" t="str">
        <f ca="1"/>
        <v/>
      </c>
      <c r="CR752" s="18" t="str">
        <f ca="1"/>
        <v/>
      </c>
      <c r="CS752" s="18" t="str">
        <f ca="1"/>
        <v/>
      </c>
      <c r="CT752" s="18" t="str">
        <f ca="1"/>
        <v/>
      </c>
      <c r="CV752" s="10"/>
      <c r="CY752" s="18" t="str">
        <f ca="1"/>
        <v/>
      </c>
      <c r="CZ752" s="18" t="str">
        <f ca="1"/>
        <v/>
      </c>
      <c r="DA752" s="18" t="str">
        <f ca="1"/>
        <v/>
      </c>
      <c r="DC752" s="10"/>
    </row>
    <row r="753" spans="1:107" x14ac:dyDescent="0.25">
      <c r="A753" s="46"/>
      <c r="B753" s="52"/>
      <c r="C753" s="52"/>
      <c r="D753" s="16"/>
      <c r="E753" s="52"/>
      <c r="F753" s="52"/>
      <c r="G753" s="50"/>
      <c r="H753" s="17" t="str">
        <f ca="1">IFERROR(__xludf.DUMMYFUNCTION("""COMPUTED_VALUE"""),"")</f>
        <v/>
      </c>
      <c r="I753" s="50" t="s">
        <v>29</v>
      </c>
      <c r="J753" s="50" t="s">
        <v>29</v>
      </c>
      <c r="K753" s="50" t="s">
        <v>29</v>
      </c>
      <c r="L753" s="50" t="s">
        <v>29</v>
      </c>
      <c r="M753" s="50" t="s">
        <v>29</v>
      </c>
      <c r="N753" s="49"/>
      <c r="P753" s="19"/>
      <c r="Q753" s="18" t="str">
        <f ca="1">IFERROR(__xludf.DUMMYFUNCTION("""COMPUTED_VALUE"""),"")</f>
        <v/>
      </c>
      <c r="R753" s="19"/>
      <c r="S753" s="20"/>
      <c r="BP753" s="10"/>
      <c r="BW753" s="10"/>
      <c r="CF753" s="10"/>
      <c r="CM753" s="10"/>
      <c r="CP753" s="18" t="str">
        <f ca="1"/>
        <v/>
      </c>
      <c r="CQ753" s="18" t="str">
        <f ca="1"/>
        <v/>
      </c>
      <c r="CR753" s="18" t="str">
        <f ca="1"/>
        <v/>
      </c>
      <c r="CS753" s="18" t="str">
        <f ca="1"/>
        <v/>
      </c>
      <c r="CT753" s="18" t="str">
        <f ca="1"/>
        <v/>
      </c>
      <c r="CV753" s="10"/>
      <c r="CY753" s="18" t="str">
        <f ca="1"/>
        <v/>
      </c>
      <c r="CZ753" s="18" t="str">
        <f ca="1"/>
        <v/>
      </c>
      <c r="DA753" s="18" t="str">
        <f ca="1"/>
        <v/>
      </c>
      <c r="DC753" s="10"/>
    </row>
    <row r="754" spans="1:107" x14ac:dyDescent="0.25">
      <c r="A754" s="46"/>
      <c r="B754" s="52"/>
      <c r="C754" s="52"/>
      <c r="D754" s="16"/>
      <c r="E754" s="52"/>
      <c r="F754" s="52"/>
      <c r="G754" s="50"/>
      <c r="H754" s="17" t="str">
        <f ca="1">IFERROR(__xludf.DUMMYFUNCTION("""COMPUTED_VALUE"""),"")</f>
        <v/>
      </c>
      <c r="I754" s="50" t="s">
        <v>29</v>
      </c>
      <c r="J754" s="50" t="s">
        <v>29</v>
      </c>
      <c r="K754" s="50" t="s">
        <v>29</v>
      </c>
      <c r="L754" s="50" t="s">
        <v>29</v>
      </c>
      <c r="M754" s="50" t="s">
        <v>29</v>
      </c>
      <c r="N754" s="49"/>
      <c r="P754" s="19"/>
      <c r="Q754" s="18" t="str">
        <f ca="1">IFERROR(__xludf.DUMMYFUNCTION("""COMPUTED_VALUE"""),"")</f>
        <v/>
      </c>
      <c r="R754" s="19"/>
      <c r="S754" s="20"/>
      <c r="BP754" s="10"/>
      <c r="BW754" s="10"/>
      <c r="CF754" s="10"/>
      <c r="CM754" s="10"/>
      <c r="CP754" s="18" t="str">
        <f ca="1"/>
        <v/>
      </c>
      <c r="CQ754" s="18" t="str">
        <f ca="1"/>
        <v/>
      </c>
      <c r="CR754" s="18" t="str">
        <f ca="1"/>
        <v/>
      </c>
      <c r="CS754" s="18" t="str">
        <f ca="1"/>
        <v/>
      </c>
      <c r="CT754" s="18" t="str">
        <f ca="1"/>
        <v/>
      </c>
      <c r="CV754" s="10"/>
      <c r="CY754" s="18" t="str">
        <f ca="1"/>
        <v/>
      </c>
      <c r="CZ754" s="18" t="str">
        <f ca="1"/>
        <v/>
      </c>
      <c r="DA754" s="18" t="str">
        <f ca="1"/>
        <v/>
      </c>
      <c r="DC754" s="10"/>
    </row>
    <row r="755" spans="1:107" x14ac:dyDescent="0.25">
      <c r="A755" s="46"/>
      <c r="B755" s="52"/>
      <c r="C755" s="52"/>
      <c r="D755" s="16"/>
      <c r="E755" s="52"/>
      <c r="F755" s="52"/>
      <c r="G755" s="50"/>
      <c r="H755" s="17" t="str">
        <f ca="1">IFERROR(__xludf.DUMMYFUNCTION("""COMPUTED_VALUE"""),"")</f>
        <v/>
      </c>
      <c r="I755" s="50" t="s">
        <v>29</v>
      </c>
      <c r="J755" s="50" t="s">
        <v>29</v>
      </c>
      <c r="K755" s="50" t="s">
        <v>29</v>
      </c>
      <c r="L755" s="50" t="s">
        <v>29</v>
      </c>
      <c r="M755" s="50" t="s">
        <v>29</v>
      </c>
      <c r="N755" s="49"/>
      <c r="P755" s="19"/>
      <c r="Q755" s="18" t="str">
        <f ca="1">IFERROR(__xludf.DUMMYFUNCTION("""COMPUTED_VALUE"""),"")</f>
        <v/>
      </c>
      <c r="R755" s="19"/>
      <c r="S755" s="20"/>
      <c r="BP755" s="10"/>
      <c r="BW755" s="10"/>
      <c r="CF755" s="10"/>
      <c r="CM755" s="10"/>
      <c r="CP755" s="18" t="str">
        <f ca="1"/>
        <v/>
      </c>
      <c r="CQ755" s="18" t="str">
        <f ca="1"/>
        <v/>
      </c>
      <c r="CR755" s="18" t="str">
        <f ca="1"/>
        <v/>
      </c>
      <c r="CS755" s="18" t="str">
        <f ca="1"/>
        <v/>
      </c>
      <c r="CT755" s="18" t="str">
        <f ca="1"/>
        <v/>
      </c>
      <c r="CV755" s="10"/>
      <c r="CY755" s="18" t="str">
        <f ca="1"/>
        <v/>
      </c>
      <c r="CZ755" s="18" t="str">
        <f ca="1"/>
        <v/>
      </c>
      <c r="DA755" s="18" t="str">
        <f ca="1"/>
        <v/>
      </c>
      <c r="DC755" s="10"/>
    </row>
    <row r="756" spans="1:107" x14ac:dyDescent="0.25">
      <c r="A756" s="46"/>
      <c r="B756" s="52"/>
      <c r="C756" s="52"/>
      <c r="D756" s="16"/>
      <c r="E756" s="52"/>
      <c r="F756" s="52"/>
      <c r="G756" s="50"/>
      <c r="H756" s="17" t="str">
        <f ca="1">IFERROR(__xludf.DUMMYFUNCTION("""COMPUTED_VALUE"""),"")</f>
        <v/>
      </c>
      <c r="I756" s="50" t="s">
        <v>29</v>
      </c>
      <c r="J756" s="50" t="s">
        <v>29</v>
      </c>
      <c r="K756" s="50" t="s">
        <v>29</v>
      </c>
      <c r="L756" s="50" t="s">
        <v>29</v>
      </c>
      <c r="M756" s="50" t="s">
        <v>29</v>
      </c>
      <c r="N756" s="49"/>
      <c r="P756" s="19"/>
      <c r="Q756" s="18" t="str">
        <f ca="1">IFERROR(__xludf.DUMMYFUNCTION("""COMPUTED_VALUE"""),"")</f>
        <v/>
      </c>
      <c r="R756" s="19"/>
      <c r="S756" s="20"/>
      <c r="BP756" s="10"/>
      <c r="BW756" s="10"/>
      <c r="CF756" s="10"/>
      <c r="CM756" s="10"/>
      <c r="CP756" s="18" t="str">
        <f ca="1"/>
        <v/>
      </c>
      <c r="CQ756" s="18" t="str">
        <f ca="1"/>
        <v/>
      </c>
      <c r="CR756" s="18" t="str">
        <f ca="1"/>
        <v/>
      </c>
      <c r="CS756" s="18" t="str">
        <f ca="1"/>
        <v/>
      </c>
      <c r="CT756" s="18" t="str">
        <f ca="1"/>
        <v/>
      </c>
      <c r="CV756" s="10"/>
      <c r="CY756" s="18" t="str">
        <f ca="1"/>
        <v/>
      </c>
      <c r="CZ756" s="18" t="str">
        <f ca="1"/>
        <v/>
      </c>
      <c r="DA756" s="18" t="str">
        <f ca="1"/>
        <v/>
      </c>
      <c r="DC756" s="10"/>
    </row>
    <row r="757" spans="1:107" x14ac:dyDescent="0.25">
      <c r="A757" s="46"/>
      <c r="B757" s="52"/>
      <c r="C757" s="52"/>
      <c r="D757" s="16"/>
      <c r="E757" s="52"/>
      <c r="F757" s="52"/>
      <c r="G757" s="50"/>
      <c r="H757" s="17" t="str">
        <f ca="1">IFERROR(__xludf.DUMMYFUNCTION("""COMPUTED_VALUE"""),"")</f>
        <v/>
      </c>
      <c r="I757" s="50" t="s">
        <v>29</v>
      </c>
      <c r="J757" s="50" t="s">
        <v>29</v>
      </c>
      <c r="K757" s="50" t="s">
        <v>29</v>
      </c>
      <c r="L757" s="50" t="s">
        <v>29</v>
      </c>
      <c r="M757" s="50" t="s">
        <v>29</v>
      </c>
      <c r="N757" s="49"/>
      <c r="P757" s="19"/>
      <c r="Q757" s="18" t="str">
        <f ca="1">IFERROR(__xludf.DUMMYFUNCTION("""COMPUTED_VALUE"""),"")</f>
        <v/>
      </c>
      <c r="R757" s="19"/>
      <c r="S757" s="20"/>
      <c r="BP757" s="10"/>
      <c r="BW757" s="10"/>
      <c r="CF757" s="10"/>
      <c r="CM757" s="10"/>
      <c r="CP757" s="18" t="str">
        <f ca="1"/>
        <v/>
      </c>
      <c r="CQ757" s="18" t="str">
        <f ca="1"/>
        <v/>
      </c>
      <c r="CR757" s="18" t="str">
        <f ca="1"/>
        <v/>
      </c>
      <c r="CS757" s="18" t="str">
        <f ca="1"/>
        <v/>
      </c>
      <c r="CT757" s="18" t="str">
        <f ca="1"/>
        <v/>
      </c>
      <c r="CV757" s="10"/>
      <c r="CY757" s="18" t="str">
        <f ca="1"/>
        <v/>
      </c>
      <c r="CZ757" s="18" t="str">
        <f ca="1"/>
        <v/>
      </c>
      <c r="DA757" s="18" t="str">
        <f ca="1"/>
        <v/>
      </c>
      <c r="DC757" s="10"/>
    </row>
    <row r="758" spans="1:107" x14ac:dyDescent="0.25">
      <c r="A758" s="46"/>
      <c r="B758" s="52"/>
      <c r="C758" s="52"/>
      <c r="D758" s="16"/>
      <c r="E758" s="52"/>
      <c r="F758" s="52"/>
      <c r="G758" s="50"/>
      <c r="H758" s="17" t="str">
        <f ca="1">IFERROR(__xludf.DUMMYFUNCTION("""COMPUTED_VALUE"""),"")</f>
        <v/>
      </c>
      <c r="I758" s="50" t="s">
        <v>29</v>
      </c>
      <c r="J758" s="50" t="s">
        <v>29</v>
      </c>
      <c r="K758" s="50" t="s">
        <v>29</v>
      </c>
      <c r="L758" s="50" t="s">
        <v>29</v>
      </c>
      <c r="M758" s="50" t="s">
        <v>29</v>
      </c>
      <c r="N758" s="49"/>
      <c r="P758" s="19"/>
      <c r="Q758" s="18" t="str">
        <f ca="1">IFERROR(__xludf.DUMMYFUNCTION("""COMPUTED_VALUE"""),"")</f>
        <v/>
      </c>
      <c r="R758" s="19"/>
      <c r="S758" s="20"/>
      <c r="BP758" s="10"/>
      <c r="BW758" s="10"/>
      <c r="CF758" s="10"/>
      <c r="CM758" s="10"/>
      <c r="CP758" s="18" t="str">
        <f ca="1"/>
        <v/>
      </c>
      <c r="CQ758" s="18" t="str">
        <f ca="1"/>
        <v/>
      </c>
      <c r="CR758" s="18" t="str">
        <f ca="1"/>
        <v/>
      </c>
      <c r="CS758" s="18" t="str">
        <f ca="1"/>
        <v/>
      </c>
      <c r="CT758" s="18" t="str">
        <f ca="1"/>
        <v/>
      </c>
      <c r="CV758" s="10"/>
      <c r="CY758" s="18" t="str">
        <f ca="1"/>
        <v/>
      </c>
      <c r="CZ758" s="18" t="str">
        <f ca="1"/>
        <v/>
      </c>
      <c r="DA758" s="18" t="str">
        <f ca="1"/>
        <v/>
      </c>
      <c r="DC758" s="10"/>
    </row>
    <row r="759" spans="1:107" x14ac:dyDescent="0.25">
      <c r="A759" s="46"/>
      <c r="B759" s="52"/>
      <c r="C759" s="52"/>
      <c r="D759" s="16"/>
      <c r="E759" s="52"/>
      <c r="F759" s="52"/>
      <c r="G759" s="50"/>
      <c r="H759" s="17" t="str">
        <f ca="1">IFERROR(__xludf.DUMMYFUNCTION("""COMPUTED_VALUE"""),"")</f>
        <v/>
      </c>
      <c r="I759" s="50" t="s">
        <v>29</v>
      </c>
      <c r="J759" s="50" t="s">
        <v>29</v>
      </c>
      <c r="K759" s="50" t="s">
        <v>29</v>
      </c>
      <c r="L759" s="50" t="s">
        <v>29</v>
      </c>
      <c r="M759" s="50" t="s">
        <v>29</v>
      </c>
      <c r="N759" s="49"/>
      <c r="P759" s="19"/>
      <c r="Q759" s="18" t="str">
        <f ca="1">IFERROR(__xludf.DUMMYFUNCTION("""COMPUTED_VALUE"""),"")</f>
        <v/>
      </c>
      <c r="R759" s="19"/>
      <c r="S759" s="20"/>
      <c r="BP759" s="10"/>
      <c r="BW759" s="10"/>
      <c r="CF759" s="10"/>
      <c r="CM759" s="10"/>
      <c r="CP759" s="18" t="str">
        <f ca="1"/>
        <v/>
      </c>
      <c r="CQ759" s="18" t="str">
        <f ca="1"/>
        <v/>
      </c>
      <c r="CR759" s="18" t="str">
        <f ca="1"/>
        <v/>
      </c>
      <c r="CS759" s="18" t="str">
        <f ca="1"/>
        <v/>
      </c>
      <c r="CT759" s="18" t="str">
        <f ca="1"/>
        <v/>
      </c>
      <c r="CV759" s="10"/>
      <c r="CY759" s="18" t="str">
        <f ca="1"/>
        <v/>
      </c>
      <c r="CZ759" s="18" t="str">
        <f ca="1"/>
        <v/>
      </c>
      <c r="DA759" s="18" t="str">
        <f ca="1"/>
        <v/>
      </c>
      <c r="DC759" s="10"/>
    </row>
    <row r="760" spans="1:107" x14ac:dyDescent="0.25">
      <c r="A760" s="46"/>
      <c r="B760" s="52"/>
      <c r="C760" s="52"/>
      <c r="D760" s="16"/>
      <c r="E760" s="52"/>
      <c r="F760" s="52"/>
      <c r="G760" s="50"/>
      <c r="H760" s="17" t="str">
        <f ca="1">IFERROR(__xludf.DUMMYFUNCTION("""COMPUTED_VALUE"""),"")</f>
        <v/>
      </c>
      <c r="I760" s="50" t="s">
        <v>29</v>
      </c>
      <c r="J760" s="50" t="s">
        <v>29</v>
      </c>
      <c r="K760" s="50" t="s">
        <v>29</v>
      </c>
      <c r="L760" s="50" t="s">
        <v>29</v>
      </c>
      <c r="M760" s="50" t="s">
        <v>29</v>
      </c>
      <c r="N760" s="49"/>
      <c r="P760" s="19"/>
      <c r="Q760" s="18" t="str">
        <f ca="1">IFERROR(__xludf.DUMMYFUNCTION("""COMPUTED_VALUE"""),"")</f>
        <v/>
      </c>
      <c r="R760" s="19"/>
      <c r="S760" s="20"/>
      <c r="BP760" s="10"/>
      <c r="BW760" s="10"/>
      <c r="CF760" s="10"/>
      <c r="CM760" s="10"/>
      <c r="CP760" s="18" t="str">
        <f ca="1"/>
        <v/>
      </c>
      <c r="CQ760" s="18" t="str">
        <f ca="1"/>
        <v/>
      </c>
      <c r="CR760" s="18" t="str">
        <f ca="1"/>
        <v/>
      </c>
      <c r="CS760" s="18" t="str">
        <f ca="1"/>
        <v/>
      </c>
      <c r="CT760" s="18" t="str">
        <f ca="1"/>
        <v/>
      </c>
      <c r="CV760" s="10"/>
      <c r="CY760" s="18" t="str">
        <f ca="1"/>
        <v/>
      </c>
      <c r="CZ760" s="18" t="str">
        <f ca="1"/>
        <v/>
      </c>
      <c r="DA760" s="18" t="str">
        <f ca="1"/>
        <v/>
      </c>
      <c r="DC760" s="10"/>
    </row>
    <row r="761" spans="1:107" x14ac:dyDescent="0.25">
      <c r="A761" s="46"/>
      <c r="B761" s="52"/>
      <c r="C761" s="52"/>
      <c r="D761" s="16"/>
      <c r="E761" s="52"/>
      <c r="F761" s="52"/>
      <c r="G761" s="50"/>
      <c r="H761" s="17" t="str">
        <f ca="1">IFERROR(__xludf.DUMMYFUNCTION("""COMPUTED_VALUE"""),"")</f>
        <v/>
      </c>
      <c r="I761" s="50" t="s">
        <v>29</v>
      </c>
      <c r="J761" s="50" t="s">
        <v>29</v>
      </c>
      <c r="K761" s="50" t="s">
        <v>29</v>
      </c>
      <c r="L761" s="50" t="s">
        <v>29</v>
      </c>
      <c r="M761" s="50" t="s">
        <v>29</v>
      </c>
      <c r="N761" s="49"/>
      <c r="P761" s="19"/>
      <c r="Q761" s="18" t="str">
        <f ca="1">IFERROR(__xludf.DUMMYFUNCTION("""COMPUTED_VALUE"""),"")</f>
        <v/>
      </c>
      <c r="R761" s="19"/>
      <c r="S761" s="20"/>
      <c r="BP761" s="10"/>
      <c r="BW761" s="10"/>
      <c r="CF761" s="10"/>
      <c r="CM761" s="10"/>
      <c r="CP761" s="18" t="str">
        <f ca="1"/>
        <v/>
      </c>
      <c r="CQ761" s="18" t="str">
        <f ca="1"/>
        <v/>
      </c>
      <c r="CR761" s="18" t="str">
        <f ca="1"/>
        <v/>
      </c>
      <c r="CS761" s="18" t="str">
        <f ca="1"/>
        <v/>
      </c>
      <c r="CT761" s="18" t="str">
        <f ca="1"/>
        <v/>
      </c>
      <c r="CV761" s="10"/>
      <c r="CY761" s="18" t="str">
        <f ca="1"/>
        <v/>
      </c>
      <c r="CZ761" s="18" t="str">
        <f ca="1"/>
        <v/>
      </c>
      <c r="DA761" s="18" t="str">
        <f ca="1"/>
        <v/>
      </c>
      <c r="DC761" s="10"/>
    </row>
    <row r="762" spans="1:107" x14ac:dyDescent="0.25">
      <c r="A762" s="46"/>
      <c r="B762" s="52"/>
      <c r="C762" s="52"/>
      <c r="D762" s="16"/>
      <c r="E762" s="52"/>
      <c r="F762" s="52"/>
      <c r="G762" s="50"/>
      <c r="H762" s="17" t="str">
        <f ca="1">IFERROR(__xludf.DUMMYFUNCTION("""COMPUTED_VALUE"""),"")</f>
        <v/>
      </c>
      <c r="I762" s="50" t="s">
        <v>29</v>
      </c>
      <c r="J762" s="50" t="s">
        <v>29</v>
      </c>
      <c r="K762" s="50" t="s">
        <v>29</v>
      </c>
      <c r="L762" s="50" t="s">
        <v>29</v>
      </c>
      <c r="M762" s="50" t="s">
        <v>29</v>
      </c>
      <c r="N762" s="49"/>
      <c r="P762" s="19"/>
      <c r="Q762" s="18" t="str">
        <f ca="1">IFERROR(__xludf.DUMMYFUNCTION("""COMPUTED_VALUE"""),"")</f>
        <v/>
      </c>
      <c r="R762" s="19"/>
      <c r="S762" s="20"/>
      <c r="BP762" s="10"/>
      <c r="BW762" s="10"/>
      <c r="CF762" s="10"/>
      <c r="CM762" s="10"/>
      <c r="CP762" s="18" t="str">
        <f ca="1"/>
        <v/>
      </c>
      <c r="CQ762" s="18" t="str">
        <f ca="1"/>
        <v/>
      </c>
      <c r="CR762" s="18" t="str">
        <f ca="1"/>
        <v/>
      </c>
      <c r="CS762" s="18" t="str">
        <f ca="1"/>
        <v/>
      </c>
      <c r="CT762" s="18" t="str">
        <f ca="1"/>
        <v/>
      </c>
      <c r="CV762" s="10"/>
      <c r="CY762" s="18" t="str">
        <f ca="1"/>
        <v/>
      </c>
      <c r="CZ762" s="18" t="str">
        <f ca="1"/>
        <v/>
      </c>
      <c r="DA762" s="18" t="str">
        <f ca="1"/>
        <v/>
      </c>
      <c r="DC762" s="10"/>
    </row>
    <row r="763" spans="1:107" x14ac:dyDescent="0.25">
      <c r="A763" s="46"/>
      <c r="B763" s="52"/>
      <c r="C763" s="52"/>
      <c r="D763" s="16"/>
      <c r="E763" s="52"/>
      <c r="F763" s="52"/>
      <c r="G763" s="50"/>
      <c r="H763" s="17" t="str">
        <f ca="1">IFERROR(__xludf.DUMMYFUNCTION("""COMPUTED_VALUE"""),"")</f>
        <v/>
      </c>
      <c r="I763" s="50" t="s">
        <v>29</v>
      </c>
      <c r="J763" s="50" t="s">
        <v>29</v>
      </c>
      <c r="K763" s="50" t="s">
        <v>29</v>
      </c>
      <c r="L763" s="50" t="s">
        <v>29</v>
      </c>
      <c r="M763" s="50" t="s">
        <v>29</v>
      </c>
      <c r="N763" s="49"/>
      <c r="P763" s="19"/>
      <c r="Q763" s="18" t="str">
        <f ca="1">IFERROR(__xludf.DUMMYFUNCTION("""COMPUTED_VALUE"""),"")</f>
        <v/>
      </c>
      <c r="R763" s="19"/>
      <c r="S763" s="20"/>
      <c r="BP763" s="10"/>
      <c r="BW763" s="10"/>
      <c r="CF763" s="10"/>
      <c r="CM763" s="10"/>
      <c r="CP763" s="18" t="str">
        <f ca="1"/>
        <v/>
      </c>
      <c r="CQ763" s="18" t="str">
        <f ca="1"/>
        <v/>
      </c>
      <c r="CR763" s="18" t="str">
        <f ca="1"/>
        <v/>
      </c>
      <c r="CS763" s="18" t="str">
        <f ca="1"/>
        <v/>
      </c>
      <c r="CT763" s="18" t="str">
        <f ca="1"/>
        <v/>
      </c>
      <c r="CV763" s="10"/>
      <c r="CY763" s="18" t="str">
        <f ca="1"/>
        <v/>
      </c>
      <c r="CZ763" s="18" t="str">
        <f ca="1"/>
        <v/>
      </c>
      <c r="DA763" s="18" t="str">
        <f ca="1"/>
        <v/>
      </c>
      <c r="DC763" s="10"/>
    </row>
    <row r="764" spans="1:107" x14ac:dyDescent="0.25">
      <c r="A764" s="46"/>
      <c r="B764" s="52"/>
      <c r="C764" s="52"/>
      <c r="D764" s="16"/>
      <c r="E764" s="52"/>
      <c r="F764" s="52"/>
      <c r="G764" s="50"/>
      <c r="H764" s="17" t="str">
        <f ca="1">IFERROR(__xludf.DUMMYFUNCTION("""COMPUTED_VALUE"""),"")</f>
        <v/>
      </c>
      <c r="I764" s="50" t="s">
        <v>29</v>
      </c>
      <c r="J764" s="50" t="s">
        <v>29</v>
      </c>
      <c r="K764" s="50" t="s">
        <v>29</v>
      </c>
      <c r="L764" s="50" t="s">
        <v>29</v>
      </c>
      <c r="M764" s="50" t="s">
        <v>29</v>
      </c>
      <c r="N764" s="49"/>
      <c r="P764" s="19"/>
      <c r="Q764" s="18" t="str">
        <f ca="1">IFERROR(__xludf.DUMMYFUNCTION("""COMPUTED_VALUE"""),"")</f>
        <v/>
      </c>
      <c r="R764" s="19"/>
      <c r="S764" s="20"/>
      <c r="BP764" s="10"/>
      <c r="BW764" s="10"/>
      <c r="CF764" s="10"/>
      <c r="CM764" s="10"/>
      <c r="CP764" s="18" t="str">
        <f ca="1"/>
        <v/>
      </c>
      <c r="CQ764" s="18" t="str">
        <f ca="1"/>
        <v/>
      </c>
      <c r="CR764" s="18" t="str">
        <f ca="1"/>
        <v/>
      </c>
      <c r="CS764" s="18" t="str">
        <f ca="1"/>
        <v/>
      </c>
      <c r="CT764" s="18" t="str">
        <f ca="1"/>
        <v/>
      </c>
      <c r="CV764" s="10"/>
      <c r="CY764" s="18" t="str">
        <f ca="1"/>
        <v/>
      </c>
      <c r="CZ764" s="18" t="str">
        <f ca="1"/>
        <v/>
      </c>
      <c r="DA764" s="18" t="str">
        <f ca="1"/>
        <v/>
      </c>
      <c r="DC764" s="10"/>
    </row>
    <row r="765" spans="1:107" x14ac:dyDescent="0.25">
      <c r="A765" s="46"/>
      <c r="B765" s="52"/>
      <c r="C765" s="52"/>
      <c r="D765" s="16"/>
      <c r="E765" s="52"/>
      <c r="F765" s="52"/>
      <c r="G765" s="50"/>
      <c r="H765" s="17" t="str">
        <f ca="1">IFERROR(__xludf.DUMMYFUNCTION("""COMPUTED_VALUE"""),"")</f>
        <v/>
      </c>
      <c r="I765" s="50" t="s">
        <v>29</v>
      </c>
      <c r="J765" s="50" t="s">
        <v>29</v>
      </c>
      <c r="K765" s="50" t="s">
        <v>29</v>
      </c>
      <c r="L765" s="50" t="s">
        <v>29</v>
      </c>
      <c r="M765" s="50" t="s">
        <v>29</v>
      </c>
      <c r="N765" s="49"/>
      <c r="P765" s="19"/>
      <c r="Q765" s="18" t="str">
        <f ca="1">IFERROR(__xludf.DUMMYFUNCTION("""COMPUTED_VALUE"""),"")</f>
        <v/>
      </c>
      <c r="R765" s="19"/>
      <c r="S765" s="20"/>
      <c r="BP765" s="10"/>
      <c r="BW765" s="10"/>
      <c r="CF765" s="10"/>
      <c r="CM765" s="10"/>
      <c r="CP765" s="18" t="str">
        <f ca="1"/>
        <v/>
      </c>
      <c r="CQ765" s="18" t="str">
        <f ca="1"/>
        <v/>
      </c>
      <c r="CR765" s="18" t="str">
        <f ca="1"/>
        <v/>
      </c>
      <c r="CS765" s="18" t="str">
        <f ca="1"/>
        <v/>
      </c>
      <c r="CT765" s="18" t="str">
        <f ca="1"/>
        <v/>
      </c>
      <c r="CV765" s="10"/>
      <c r="CY765" s="18" t="str">
        <f ca="1"/>
        <v/>
      </c>
      <c r="CZ765" s="18" t="str">
        <f ca="1"/>
        <v/>
      </c>
      <c r="DA765" s="18" t="str">
        <f ca="1"/>
        <v/>
      </c>
      <c r="DC765" s="10"/>
    </row>
    <row r="766" spans="1:107" x14ac:dyDescent="0.25">
      <c r="A766" s="46"/>
      <c r="B766" s="52"/>
      <c r="C766" s="52"/>
      <c r="D766" s="16"/>
      <c r="E766" s="52"/>
      <c r="F766" s="52"/>
      <c r="G766" s="50"/>
      <c r="H766" s="17" t="str">
        <f ca="1">IFERROR(__xludf.DUMMYFUNCTION("""COMPUTED_VALUE"""),"")</f>
        <v/>
      </c>
      <c r="I766" s="50" t="s">
        <v>29</v>
      </c>
      <c r="J766" s="50" t="s">
        <v>29</v>
      </c>
      <c r="K766" s="50" t="s">
        <v>29</v>
      </c>
      <c r="L766" s="50" t="s">
        <v>29</v>
      </c>
      <c r="M766" s="50" t="s">
        <v>29</v>
      </c>
      <c r="N766" s="49"/>
      <c r="P766" s="19"/>
      <c r="Q766" s="18" t="str">
        <f ca="1">IFERROR(__xludf.DUMMYFUNCTION("""COMPUTED_VALUE"""),"")</f>
        <v/>
      </c>
      <c r="R766" s="19"/>
      <c r="S766" s="20"/>
      <c r="BP766" s="10"/>
      <c r="BW766" s="10"/>
      <c r="CF766" s="10"/>
      <c r="CM766" s="10"/>
      <c r="CP766" s="18" t="str">
        <f ca="1"/>
        <v/>
      </c>
      <c r="CQ766" s="18" t="str">
        <f ca="1"/>
        <v/>
      </c>
      <c r="CR766" s="18" t="str">
        <f ca="1"/>
        <v/>
      </c>
      <c r="CS766" s="18" t="str">
        <f ca="1"/>
        <v/>
      </c>
      <c r="CT766" s="18" t="str">
        <f ca="1"/>
        <v/>
      </c>
      <c r="CV766" s="10"/>
      <c r="CY766" s="18" t="str">
        <f ca="1"/>
        <v/>
      </c>
      <c r="CZ766" s="18" t="str">
        <f ca="1"/>
        <v/>
      </c>
      <c r="DA766" s="18" t="str">
        <f ca="1"/>
        <v/>
      </c>
      <c r="DC766" s="10"/>
    </row>
    <row r="767" spans="1:107" x14ac:dyDescent="0.25">
      <c r="A767" s="46"/>
      <c r="B767" s="52"/>
      <c r="C767" s="52"/>
      <c r="D767" s="16"/>
      <c r="E767" s="52"/>
      <c r="F767" s="52"/>
      <c r="G767" s="50"/>
      <c r="H767" s="17" t="str">
        <f ca="1">IFERROR(__xludf.DUMMYFUNCTION("""COMPUTED_VALUE"""),"")</f>
        <v/>
      </c>
      <c r="I767" s="50" t="s">
        <v>29</v>
      </c>
      <c r="J767" s="50" t="s">
        <v>29</v>
      </c>
      <c r="K767" s="50" t="s">
        <v>29</v>
      </c>
      <c r="L767" s="50" t="s">
        <v>29</v>
      </c>
      <c r="M767" s="50" t="s">
        <v>29</v>
      </c>
      <c r="N767" s="49"/>
      <c r="P767" s="19"/>
      <c r="Q767" s="18" t="str">
        <f ca="1">IFERROR(__xludf.DUMMYFUNCTION("""COMPUTED_VALUE"""),"")</f>
        <v/>
      </c>
      <c r="R767" s="19"/>
      <c r="S767" s="20"/>
      <c r="BP767" s="10"/>
      <c r="BW767" s="10"/>
      <c r="CF767" s="10"/>
      <c r="CM767" s="10"/>
      <c r="CP767" s="18" t="str">
        <f ca="1"/>
        <v/>
      </c>
      <c r="CQ767" s="18" t="str">
        <f ca="1"/>
        <v/>
      </c>
      <c r="CR767" s="18" t="str">
        <f ca="1"/>
        <v/>
      </c>
      <c r="CS767" s="18" t="str">
        <f ca="1"/>
        <v/>
      </c>
      <c r="CT767" s="18" t="str">
        <f ca="1"/>
        <v/>
      </c>
      <c r="CV767" s="10"/>
      <c r="CY767" s="18" t="str">
        <f ca="1"/>
        <v/>
      </c>
      <c r="CZ767" s="18" t="str">
        <f ca="1"/>
        <v/>
      </c>
      <c r="DA767" s="18" t="str">
        <f ca="1"/>
        <v/>
      </c>
      <c r="DC767" s="10"/>
    </row>
    <row r="768" spans="1:107" x14ac:dyDescent="0.25">
      <c r="A768" s="46"/>
      <c r="B768" s="52"/>
      <c r="C768" s="52"/>
      <c r="D768" s="16"/>
      <c r="E768" s="52"/>
      <c r="F768" s="52"/>
      <c r="G768" s="50"/>
      <c r="H768" s="17" t="str">
        <f ca="1">IFERROR(__xludf.DUMMYFUNCTION("""COMPUTED_VALUE"""),"")</f>
        <v/>
      </c>
      <c r="I768" s="50" t="s">
        <v>29</v>
      </c>
      <c r="J768" s="50" t="s">
        <v>29</v>
      </c>
      <c r="K768" s="50" t="s">
        <v>29</v>
      </c>
      <c r="L768" s="50" t="s">
        <v>29</v>
      </c>
      <c r="M768" s="50" t="s">
        <v>29</v>
      </c>
      <c r="N768" s="49"/>
      <c r="P768" s="19"/>
      <c r="Q768" s="18" t="str">
        <f ca="1">IFERROR(__xludf.DUMMYFUNCTION("""COMPUTED_VALUE"""),"")</f>
        <v/>
      </c>
      <c r="R768" s="19"/>
      <c r="S768" s="20"/>
      <c r="BP768" s="10"/>
      <c r="BW768" s="10"/>
      <c r="CF768" s="10"/>
      <c r="CM768" s="10"/>
      <c r="CP768" s="18" t="str">
        <f ca="1"/>
        <v/>
      </c>
      <c r="CQ768" s="18" t="str">
        <f ca="1"/>
        <v/>
      </c>
      <c r="CR768" s="18" t="str">
        <f ca="1"/>
        <v/>
      </c>
      <c r="CS768" s="18" t="str">
        <f ca="1"/>
        <v/>
      </c>
      <c r="CT768" s="18" t="str">
        <f ca="1"/>
        <v/>
      </c>
      <c r="CV768" s="10"/>
      <c r="CY768" s="18" t="str">
        <f ca="1"/>
        <v/>
      </c>
      <c r="CZ768" s="18" t="str">
        <f ca="1"/>
        <v/>
      </c>
      <c r="DA768" s="18" t="str">
        <f ca="1"/>
        <v/>
      </c>
      <c r="DC768" s="10"/>
    </row>
    <row r="769" spans="1:107" x14ac:dyDescent="0.25">
      <c r="A769" s="46"/>
      <c r="B769" s="52"/>
      <c r="C769" s="52"/>
      <c r="D769" s="16"/>
      <c r="E769" s="52"/>
      <c r="F769" s="52"/>
      <c r="G769" s="50"/>
      <c r="H769" s="17" t="str">
        <f ca="1">IFERROR(__xludf.DUMMYFUNCTION("""COMPUTED_VALUE"""),"")</f>
        <v/>
      </c>
      <c r="I769" s="50" t="s">
        <v>29</v>
      </c>
      <c r="J769" s="50" t="s">
        <v>29</v>
      </c>
      <c r="K769" s="50" t="s">
        <v>29</v>
      </c>
      <c r="L769" s="50" t="s">
        <v>29</v>
      </c>
      <c r="M769" s="50" t="s">
        <v>29</v>
      </c>
      <c r="N769" s="49"/>
      <c r="P769" s="19"/>
      <c r="Q769" s="18" t="str">
        <f ca="1">IFERROR(__xludf.DUMMYFUNCTION("""COMPUTED_VALUE"""),"")</f>
        <v/>
      </c>
      <c r="R769" s="19"/>
      <c r="S769" s="20"/>
      <c r="BP769" s="10"/>
      <c r="BW769" s="10"/>
      <c r="CF769" s="10"/>
      <c r="CM769" s="10"/>
      <c r="CP769" s="18" t="str">
        <f ca="1"/>
        <v/>
      </c>
      <c r="CQ769" s="18" t="str">
        <f ca="1"/>
        <v/>
      </c>
      <c r="CR769" s="18" t="str">
        <f ca="1"/>
        <v/>
      </c>
      <c r="CS769" s="18" t="str">
        <f ca="1"/>
        <v/>
      </c>
      <c r="CT769" s="18" t="str">
        <f ca="1"/>
        <v/>
      </c>
      <c r="CV769" s="10"/>
      <c r="CY769" s="18" t="str">
        <f ca="1"/>
        <v/>
      </c>
      <c r="CZ769" s="18" t="str">
        <f ca="1"/>
        <v/>
      </c>
      <c r="DA769" s="18" t="str">
        <f ca="1"/>
        <v/>
      </c>
      <c r="DC769" s="10"/>
    </row>
    <row r="770" spans="1:107" x14ac:dyDescent="0.25">
      <c r="A770" s="46"/>
      <c r="B770" s="52"/>
      <c r="C770" s="52"/>
      <c r="D770" s="16"/>
      <c r="E770" s="52"/>
      <c r="F770" s="52"/>
      <c r="G770" s="50"/>
      <c r="H770" s="17" t="str">
        <f ca="1">IFERROR(__xludf.DUMMYFUNCTION("""COMPUTED_VALUE"""),"")</f>
        <v/>
      </c>
      <c r="I770" s="50" t="s">
        <v>29</v>
      </c>
      <c r="J770" s="50" t="s">
        <v>29</v>
      </c>
      <c r="K770" s="50" t="s">
        <v>29</v>
      </c>
      <c r="L770" s="50" t="s">
        <v>29</v>
      </c>
      <c r="M770" s="50" t="s">
        <v>29</v>
      </c>
      <c r="N770" s="49"/>
      <c r="P770" s="19"/>
      <c r="Q770" s="18" t="str">
        <f ca="1">IFERROR(__xludf.DUMMYFUNCTION("""COMPUTED_VALUE"""),"")</f>
        <v/>
      </c>
      <c r="R770" s="19"/>
      <c r="S770" s="20"/>
      <c r="BP770" s="10"/>
      <c r="BW770" s="10"/>
      <c r="CF770" s="10"/>
      <c r="CM770" s="10"/>
      <c r="CP770" s="18" t="str">
        <f ca="1"/>
        <v/>
      </c>
      <c r="CQ770" s="18" t="str">
        <f ca="1"/>
        <v/>
      </c>
      <c r="CR770" s="18" t="str">
        <f ca="1"/>
        <v/>
      </c>
      <c r="CS770" s="18" t="str">
        <f ca="1"/>
        <v/>
      </c>
      <c r="CT770" s="18" t="str">
        <f ca="1"/>
        <v/>
      </c>
      <c r="CV770" s="10"/>
      <c r="CY770" s="18" t="str">
        <f ca="1"/>
        <v/>
      </c>
      <c r="CZ770" s="18" t="str">
        <f ca="1"/>
        <v/>
      </c>
      <c r="DA770" s="18" t="str">
        <f ca="1"/>
        <v/>
      </c>
      <c r="DC770" s="10"/>
    </row>
    <row r="771" spans="1:107" x14ac:dyDescent="0.25">
      <c r="A771" s="46"/>
      <c r="B771" s="52"/>
      <c r="C771" s="52"/>
      <c r="D771" s="16"/>
      <c r="E771" s="52"/>
      <c r="F771" s="52"/>
      <c r="G771" s="50"/>
      <c r="H771" s="17" t="str">
        <f ca="1">IFERROR(__xludf.DUMMYFUNCTION("""COMPUTED_VALUE"""),"")</f>
        <v/>
      </c>
      <c r="I771" s="50" t="s">
        <v>29</v>
      </c>
      <c r="J771" s="50" t="s">
        <v>29</v>
      </c>
      <c r="K771" s="50" t="s">
        <v>29</v>
      </c>
      <c r="L771" s="50" t="s">
        <v>29</v>
      </c>
      <c r="M771" s="50" t="s">
        <v>29</v>
      </c>
      <c r="N771" s="49"/>
      <c r="P771" s="19"/>
      <c r="Q771" s="18" t="str">
        <f ca="1">IFERROR(__xludf.DUMMYFUNCTION("""COMPUTED_VALUE"""),"")</f>
        <v/>
      </c>
      <c r="R771" s="19"/>
      <c r="S771" s="20"/>
      <c r="BP771" s="10"/>
      <c r="BW771" s="10"/>
      <c r="CF771" s="10"/>
      <c r="CM771" s="10"/>
      <c r="CP771" s="18" t="str">
        <f ca="1"/>
        <v/>
      </c>
      <c r="CQ771" s="18" t="str">
        <f ca="1"/>
        <v/>
      </c>
      <c r="CR771" s="18" t="str">
        <f ca="1"/>
        <v/>
      </c>
      <c r="CS771" s="18" t="str">
        <f ca="1"/>
        <v/>
      </c>
      <c r="CT771" s="18" t="str">
        <f ca="1"/>
        <v/>
      </c>
      <c r="CV771" s="10"/>
      <c r="CY771" s="18" t="str">
        <f ca="1"/>
        <v/>
      </c>
      <c r="CZ771" s="18" t="str">
        <f ca="1"/>
        <v/>
      </c>
      <c r="DA771" s="18" t="str">
        <f ca="1"/>
        <v/>
      </c>
      <c r="DC771" s="10"/>
    </row>
    <row r="772" spans="1:107" x14ac:dyDescent="0.25">
      <c r="A772" s="46"/>
      <c r="B772" s="52"/>
      <c r="C772" s="52"/>
      <c r="D772" s="16"/>
      <c r="E772" s="52"/>
      <c r="F772" s="52"/>
      <c r="G772" s="50"/>
      <c r="H772" s="17" t="str">
        <f ca="1">IFERROR(__xludf.DUMMYFUNCTION("""COMPUTED_VALUE"""),"")</f>
        <v/>
      </c>
      <c r="I772" s="50" t="s">
        <v>29</v>
      </c>
      <c r="J772" s="50" t="s">
        <v>29</v>
      </c>
      <c r="K772" s="50" t="s">
        <v>29</v>
      </c>
      <c r="L772" s="50" t="s">
        <v>29</v>
      </c>
      <c r="M772" s="50" t="s">
        <v>29</v>
      </c>
      <c r="N772" s="49"/>
      <c r="P772" s="19"/>
      <c r="Q772" s="18" t="str">
        <f ca="1">IFERROR(__xludf.DUMMYFUNCTION("""COMPUTED_VALUE"""),"")</f>
        <v/>
      </c>
      <c r="R772" s="19"/>
      <c r="S772" s="20"/>
      <c r="BP772" s="10"/>
      <c r="BW772" s="10"/>
      <c r="CF772" s="10"/>
      <c r="CM772" s="10"/>
      <c r="CP772" s="18" t="str">
        <f ca="1"/>
        <v/>
      </c>
      <c r="CQ772" s="18" t="str">
        <f ca="1"/>
        <v/>
      </c>
      <c r="CR772" s="18" t="str">
        <f ca="1"/>
        <v/>
      </c>
      <c r="CS772" s="18" t="str">
        <f ca="1"/>
        <v/>
      </c>
      <c r="CT772" s="18" t="str">
        <f ca="1"/>
        <v/>
      </c>
      <c r="CV772" s="10"/>
      <c r="CY772" s="18" t="str">
        <f ca="1"/>
        <v/>
      </c>
      <c r="CZ772" s="18" t="str">
        <f ca="1"/>
        <v/>
      </c>
      <c r="DA772" s="18" t="str">
        <f ca="1"/>
        <v/>
      </c>
      <c r="DC772" s="10"/>
    </row>
    <row r="773" spans="1:107" x14ac:dyDescent="0.25">
      <c r="A773" s="46"/>
      <c r="B773" s="52"/>
      <c r="C773" s="52"/>
      <c r="D773" s="16"/>
      <c r="E773" s="52"/>
      <c r="F773" s="52"/>
      <c r="G773" s="50"/>
      <c r="H773" s="17" t="str">
        <f ca="1">IFERROR(__xludf.DUMMYFUNCTION("""COMPUTED_VALUE"""),"")</f>
        <v/>
      </c>
      <c r="I773" s="50" t="s">
        <v>29</v>
      </c>
      <c r="J773" s="50" t="s">
        <v>29</v>
      </c>
      <c r="K773" s="50" t="s">
        <v>29</v>
      </c>
      <c r="L773" s="50" t="s">
        <v>29</v>
      </c>
      <c r="M773" s="50" t="s">
        <v>29</v>
      </c>
      <c r="N773" s="49"/>
      <c r="P773" s="19"/>
      <c r="Q773" s="18" t="str">
        <f ca="1">IFERROR(__xludf.DUMMYFUNCTION("""COMPUTED_VALUE"""),"")</f>
        <v/>
      </c>
      <c r="R773" s="19"/>
      <c r="S773" s="20"/>
      <c r="BP773" s="10"/>
      <c r="BW773" s="10"/>
      <c r="CF773" s="10"/>
      <c r="CM773" s="10"/>
      <c r="CP773" s="18" t="str">
        <f ca="1"/>
        <v/>
      </c>
      <c r="CQ773" s="18" t="str">
        <f ca="1"/>
        <v/>
      </c>
      <c r="CR773" s="18" t="str">
        <f ca="1"/>
        <v/>
      </c>
      <c r="CS773" s="18" t="str">
        <f ca="1"/>
        <v/>
      </c>
      <c r="CT773" s="18" t="str">
        <f ca="1"/>
        <v/>
      </c>
      <c r="CV773" s="10"/>
      <c r="CY773" s="18" t="str">
        <f ca="1"/>
        <v/>
      </c>
      <c r="CZ773" s="18" t="str">
        <f ca="1"/>
        <v/>
      </c>
      <c r="DA773" s="18" t="str">
        <f ca="1"/>
        <v/>
      </c>
      <c r="DC773" s="10"/>
    </row>
    <row r="774" spans="1:107" x14ac:dyDescent="0.25">
      <c r="A774" s="46"/>
      <c r="B774" s="52"/>
      <c r="C774" s="52"/>
      <c r="D774" s="16"/>
      <c r="E774" s="52"/>
      <c r="F774" s="52"/>
      <c r="G774" s="50"/>
      <c r="H774" s="17" t="str">
        <f ca="1">IFERROR(__xludf.DUMMYFUNCTION("""COMPUTED_VALUE"""),"")</f>
        <v/>
      </c>
      <c r="I774" s="50" t="s">
        <v>29</v>
      </c>
      <c r="J774" s="50" t="s">
        <v>29</v>
      </c>
      <c r="K774" s="50" t="s">
        <v>29</v>
      </c>
      <c r="L774" s="50" t="s">
        <v>29</v>
      </c>
      <c r="M774" s="50" t="s">
        <v>29</v>
      </c>
      <c r="N774" s="49"/>
      <c r="P774" s="19"/>
      <c r="Q774" s="18" t="str">
        <f ca="1">IFERROR(__xludf.DUMMYFUNCTION("""COMPUTED_VALUE"""),"")</f>
        <v/>
      </c>
      <c r="R774" s="19"/>
      <c r="S774" s="20"/>
      <c r="BP774" s="10"/>
      <c r="BW774" s="10"/>
      <c r="CF774" s="10"/>
      <c r="CM774" s="10"/>
      <c r="CP774" s="18" t="str">
        <f ca="1"/>
        <v/>
      </c>
      <c r="CQ774" s="18" t="str">
        <f ca="1"/>
        <v/>
      </c>
      <c r="CR774" s="18" t="str">
        <f ca="1"/>
        <v/>
      </c>
      <c r="CS774" s="18" t="str">
        <f ca="1"/>
        <v/>
      </c>
      <c r="CT774" s="18" t="str">
        <f ca="1"/>
        <v/>
      </c>
      <c r="CV774" s="10"/>
      <c r="CY774" s="18" t="str">
        <f ca="1"/>
        <v/>
      </c>
      <c r="CZ774" s="18" t="str">
        <f ca="1"/>
        <v/>
      </c>
      <c r="DA774" s="18" t="str">
        <f ca="1"/>
        <v/>
      </c>
      <c r="DC774" s="10"/>
    </row>
    <row r="775" spans="1:107" x14ac:dyDescent="0.25">
      <c r="A775" s="46"/>
      <c r="B775" s="52"/>
      <c r="C775" s="52"/>
      <c r="D775" s="16"/>
      <c r="E775" s="52"/>
      <c r="F775" s="52"/>
      <c r="G775" s="50"/>
      <c r="H775" s="17" t="str">
        <f ca="1">IFERROR(__xludf.DUMMYFUNCTION("""COMPUTED_VALUE"""),"")</f>
        <v/>
      </c>
      <c r="I775" s="50" t="s">
        <v>29</v>
      </c>
      <c r="J775" s="50" t="s">
        <v>29</v>
      </c>
      <c r="K775" s="50" t="s">
        <v>29</v>
      </c>
      <c r="L775" s="50" t="s">
        <v>29</v>
      </c>
      <c r="M775" s="50" t="s">
        <v>29</v>
      </c>
      <c r="N775" s="49"/>
      <c r="P775" s="19"/>
      <c r="Q775" s="18" t="str">
        <f ca="1">IFERROR(__xludf.DUMMYFUNCTION("""COMPUTED_VALUE"""),"")</f>
        <v/>
      </c>
      <c r="R775" s="19"/>
      <c r="S775" s="20"/>
      <c r="BP775" s="10"/>
      <c r="BW775" s="10"/>
      <c r="CF775" s="10"/>
      <c r="CM775" s="10"/>
      <c r="CP775" s="18" t="str">
        <f ca="1"/>
        <v/>
      </c>
      <c r="CQ775" s="18" t="str">
        <f ca="1"/>
        <v/>
      </c>
      <c r="CR775" s="18" t="str">
        <f ca="1"/>
        <v/>
      </c>
      <c r="CS775" s="18" t="str">
        <f ca="1"/>
        <v/>
      </c>
      <c r="CT775" s="18" t="str">
        <f ca="1"/>
        <v/>
      </c>
      <c r="CV775" s="10"/>
      <c r="CY775" s="18" t="str">
        <f ca="1"/>
        <v/>
      </c>
      <c r="CZ775" s="18" t="str">
        <f ca="1"/>
        <v/>
      </c>
      <c r="DA775" s="18" t="str">
        <f ca="1"/>
        <v/>
      </c>
      <c r="DC775" s="10"/>
    </row>
    <row r="776" spans="1:107" x14ac:dyDescent="0.25">
      <c r="A776" s="46"/>
      <c r="B776" s="52"/>
      <c r="C776" s="52"/>
      <c r="D776" s="16"/>
      <c r="E776" s="52"/>
      <c r="F776" s="52"/>
      <c r="G776" s="50"/>
      <c r="H776" s="17" t="str">
        <f ca="1">IFERROR(__xludf.DUMMYFUNCTION("""COMPUTED_VALUE"""),"")</f>
        <v/>
      </c>
      <c r="I776" s="50" t="s">
        <v>29</v>
      </c>
      <c r="J776" s="50" t="s">
        <v>29</v>
      </c>
      <c r="K776" s="50" t="s">
        <v>29</v>
      </c>
      <c r="L776" s="50" t="s">
        <v>29</v>
      </c>
      <c r="M776" s="50" t="s">
        <v>29</v>
      </c>
      <c r="N776" s="49"/>
      <c r="P776" s="19"/>
      <c r="Q776" s="18" t="str">
        <f ca="1">IFERROR(__xludf.DUMMYFUNCTION("""COMPUTED_VALUE"""),"")</f>
        <v/>
      </c>
      <c r="R776" s="19"/>
      <c r="S776" s="20"/>
      <c r="BP776" s="10"/>
      <c r="BW776" s="10"/>
      <c r="CF776" s="10"/>
      <c r="CM776" s="10"/>
      <c r="CP776" s="18" t="str">
        <f ca="1"/>
        <v/>
      </c>
      <c r="CQ776" s="18" t="str">
        <f ca="1"/>
        <v/>
      </c>
      <c r="CR776" s="18" t="str">
        <f ca="1"/>
        <v/>
      </c>
      <c r="CS776" s="18" t="str">
        <f ca="1"/>
        <v/>
      </c>
      <c r="CT776" s="18" t="str">
        <f ca="1"/>
        <v/>
      </c>
      <c r="CV776" s="10"/>
      <c r="CY776" s="18" t="str">
        <f ca="1"/>
        <v/>
      </c>
      <c r="CZ776" s="18" t="str">
        <f ca="1"/>
        <v/>
      </c>
      <c r="DA776" s="18" t="str">
        <f ca="1"/>
        <v/>
      </c>
      <c r="DC776" s="10"/>
    </row>
    <row r="777" spans="1:107" x14ac:dyDescent="0.25">
      <c r="A777" s="46"/>
      <c r="B777" s="52"/>
      <c r="C777" s="52"/>
      <c r="D777" s="16"/>
      <c r="E777" s="52"/>
      <c r="F777" s="52"/>
      <c r="G777" s="50"/>
      <c r="H777" s="17" t="str">
        <f ca="1">IFERROR(__xludf.DUMMYFUNCTION("""COMPUTED_VALUE"""),"")</f>
        <v/>
      </c>
      <c r="I777" s="50" t="s">
        <v>29</v>
      </c>
      <c r="J777" s="50" t="s">
        <v>29</v>
      </c>
      <c r="K777" s="50" t="s">
        <v>29</v>
      </c>
      <c r="L777" s="50" t="s">
        <v>29</v>
      </c>
      <c r="M777" s="50" t="s">
        <v>29</v>
      </c>
      <c r="N777" s="49"/>
      <c r="P777" s="19"/>
      <c r="Q777" s="18" t="str">
        <f ca="1">IFERROR(__xludf.DUMMYFUNCTION("""COMPUTED_VALUE"""),"")</f>
        <v/>
      </c>
      <c r="R777" s="19"/>
      <c r="S777" s="20"/>
      <c r="BP777" s="10"/>
      <c r="BW777" s="10"/>
      <c r="CF777" s="10"/>
      <c r="CM777" s="10"/>
      <c r="CP777" s="18" t="str">
        <f ca="1"/>
        <v/>
      </c>
      <c r="CQ777" s="18" t="str">
        <f ca="1"/>
        <v/>
      </c>
      <c r="CR777" s="18" t="str">
        <f ca="1"/>
        <v/>
      </c>
      <c r="CS777" s="18" t="str">
        <f ca="1"/>
        <v/>
      </c>
      <c r="CT777" s="18" t="str">
        <f ca="1"/>
        <v/>
      </c>
      <c r="CV777" s="10"/>
      <c r="CY777" s="18" t="str">
        <f ca="1"/>
        <v/>
      </c>
      <c r="CZ777" s="18" t="str">
        <f ca="1"/>
        <v/>
      </c>
      <c r="DA777" s="18" t="str">
        <f ca="1"/>
        <v/>
      </c>
      <c r="DC777" s="10"/>
    </row>
    <row r="778" spans="1:107" x14ac:dyDescent="0.25">
      <c r="A778" s="46"/>
      <c r="B778" s="52"/>
      <c r="C778" s="52"/>
      <c r="D778" s="16"/>
      <c r="E778" s="52"/>
      <c r="F778" s="52"/>
      <c r="G778" s="50"/>
      <c r="H778" s="17" t="str">
        <f ca="1">IFERROR(__xludf.DUMMYFUNCTION("""COMPUTED_VALUE"""),"")</f>
        <v/>
      </c>
      <c r="I778" s="50" t="s">
        <v>29</v>
      </c>
      <c r="J778" s="50" t="s">
        <v>29</v>
      </c>
      <c r="K778" s="50" t="s">
        <v>29</v>
      </c>
      <c r="L778" s="50" t="s">
        <v>29</v>
      </c>
      <c r="M778" s="50" t="s">
        <v>29</v>
      </c>
      <c r="N778" s="49"/>
      <c r="P778" s="19"/>
      <c r="Q778" s="18" t="str">
        <f ca="1">IFERROR(__xludf.DUMMYFUNCTION("""COMPUTED_VALUE"""),"")</f>
        <v/>
      </c>
      <c r="R778" s="19"/>
      <c r="S778" s="20"/>
      <c r="BP778" s="10"/>
      <c r="BW778" s="10"/>
      <c r="CF778" s="10"/>
      <c r="CM778" s="10"/>
      <c r="CP778" s="18" t="str">
        <f ca="1"/>
        <v/>
      </c>
      <c r="CQ778" s="18" t="str">
        <f ca="1"/>
        <v/>
      </c>
      <c r="CR778" s="18" t="str">
        <f ca="1"/>
        <v/>
      </c>
      <c r="CS778" s="18" t="str">
        <f ca="1"/>
        <v/>
      </c>
      <c r="CT778" s="18" t="str">
        <f ca="1"/>
        <v/>
      </c>
      <c r="CV778" s="10"/>
      <c r="CY778" s="18" t="str">
        <f ca="1"/>
        <v/>
      </c>
      <c r="CZ778" s="18" t="str">
        <f ca="1"/>
        <v/>
      </c>
      <c r="DA778" s="18" t="str">
        <f ca="1"/>
        <v/>
      </c>
      <c r="DC778" s="10"/>
    </row>
    <row r="779" spans="1:107" x14ac:dyDescent="0.25">
      <c r="A779" s="46"/>
      <c r="B779" s="52"/>
      <c r="C779" s="52"/>
      <c r="D779" s="16"/>
      <c r="E779" s="52"/>
      <c r="F779" s="52"/>
      <c r="G779" s="50"/>
      <c r="H779" s="17" t="str">
        <f ca="1">IFERROR(__xludf.DUMMYFUNCTION("""COMPUTED_VALUE"""),"")</f>
        <v/>
      </c>
      <c r="I779" s="50" t="s">
        <v>29</v>
      </c>
      <c r="J779" s="50" t="s">
        <v>29</v>
      </c>
      <c r="K779" s="50" t="s">
        <v>29</v>
      </c>
      <c r="L779" s="50" t="s">
        <v>29</v>
      </c>
      <c r="M779" s="50" t="s">
        <v>29</v>
      </c>
      <c r="N779" s="49"/>
      <c r="P779" s="19"/>
      <c r="Q779" s="18" t="str">
        <f ca="1">IFERROR(__xludf.DUMMYFUNCTION("""COMPUTED_VALUE"""),"")</f>
        <v/>
      </c>
      <c r="R779" s="19"/>
      <c r="S779" s="20"/>
      <c r="BP779" s="10"/>
      <c r="BW779" s="10"/>
      <c r="CF779" s="10"/>
      <c r="CM779" s="10"/>
      <c r="CP779" s="18" t="str">
        <f ca="1"/>
        <v/>
      </c>
      <c r="CQ779" s="18" t="str">
        <f ca="1"/>
        <v/>
      </c>
      <c r="CR779" s="18" t="str">
        <f ca="1"/>
        <v/>
      </c>
      <c r="CS779" s="18" t="str">
        <f ca="1"/>
        <v/>
      </c>
      <c r="CT779" s="18" t="str">
        <f ca="1"/>
        <v/>
      </c>
      <c r="CV779" s="10"/>
      <c r="CY779" s="18" t="str">
        <f ca="1"/>
        <v/>
      </c>
      <c r="CZ779" s="18" t="str">
        <f ca="1"/>
        <v/>
      </c>
      <c r="DA779" s="18" t="str">
        <f ca="1"/>
        <v/>
      </c>
      <c r="DC779" s="10"/>
    </row>
    <row r="780" spans="1:107" x14ac:dyDescent="0.25">
      <c r="A780" s="46"/>
      <c r="B780" s="52"/>
      <c r="C780" s="52"/>
      <c r="D780" s="16"/>
      <c r="E780" s="52"/>
      <c r="F780" s="52"/>
      <c r="G780" s="50"/>
      <c r="H780" s="17" t="str">
        <f ca="1">IFERROR(__xludf.DUMMYFUNCTION("""COMPUTED_VALUE"""),"")</f>
        <v/>
      </c>
      <c r="I780" s="50" t="s">
        <v>29</v>
      </c>
      <c r="J780" s="50" t="s">
        <v>29</v>
      </c>
      <c r="K780" s="50" t="s">
        <v>29</v>
      </c>
      <c r="L780" s="50" t="s">
        <v>29</v>
      </c>
      <c r="M780" s="50" t="s">
        <v>29</v>
      </c>
      <c r="N780" s="49"/>
      <c r="P780" s="19"/>
      <c r="Q780" s="18" t="str">
        <f ca="1">IFERROR(__xludf.DUMMYFUNCTION("""COMPUTED_VALUE"""),"")</f>
        <v/>
      </c>
      <c r="R780" s="19"/>
      <c r="S780" s="20"/>
      <c r="BP780" s="10"/>
      <c r="BW780" s="10"/>
      <c r="CF780" s="10"/>
      <c r="CM780" s="10"/>
      <c r="CP780" s="18" t="str">
        <f ca="1"/>
        <v/>
      </c>
      <c r="CQ780" s="18" t="str">
        <f ca="1"/>
        <v/>
      </c>
      <c r="CR780" s="18" t="str">
        <f ca="1"/>
        <v/>
      </c>
      <c r="CS780" s="18" t="str">
        <f ca="1"/>
        <v/>
      </c>
      <c r="CT780" s="18" t="str">
        <f ca="1"/>
        <v/>
      </c>
      <c r="CV780" s="10"/>
      <c r="CY780" s="18" t="str">
        <f ca="1"/>
        <v/>
      </c>
      <c r="CZ780" s="18" t="str">
        <f ca="1"/>
        <v/>
      </c>
      <c r="DA780" s="18" t="str">
        <f ca="1"/>
        <v/>
      </c>
      <c r="DC780" s="10"/>
    </row>
    <row r="781" spans="1:107" x14ac:dyDescent="0.25">
      <c r="A781" s="46"/>
      <c r="B781" s="52"/>
      <c r="C781" s="52"/>
      <c r="D781" s="16"/>
      <c r="E781" s="52"/>
      <c r="F781" s="52"/>
      <c r="G781" s="50"/>
      <c r="H781" s="17" t="str">
        <f ca="1">IFERROR(__xludf.DUMMYFUNCTION("""COMPUTED_VALUE"""),"")</f>
        <v/>
      </c>
      <c r="I781" s="50" t="s">
        <v>29</v>
      </c>
      <c r="J781" s="50" t="s">
        <v>29</v>
      </c>
      <c r="K781" s="50" t="s">
        <v>29</v>
      </c>
      <c r="L781" s="50" t="s">
        <v>29</v>
      </c>
      <c r="M781" s="50" t="s">
        <v>29</v>
      </c>
      <c r="N781" s="49"/>
      <c r="P781" s="19"/>
      <c r="Q781" s="18" t="str">
        <f ca="1">IFERROR(__xludf.DUMMYFUNCTION("""COMPUTED_VALUE"""),"")</f>
        <v/>
      </c>
      <c r="R781" s="19"/>
      <c r="S781" s="20"/>
      <c r="BP781" s="10"/>
      <c r="BW781" s="10"/>
      <c r="CF781" s="10"/>
      <c r="CM781" s="10"/>
      <c r="CP781" s="18" t="str">
        <f ca="1"/>
        <v/>
      </c>
      <c r="CQ781" s="18" t="str">
        <f ca="1"/>
        <v/>
      </c>
      <c r="CR781" s="18" t="str">
        <f ca="1"/>
        <v/>
      </c>
      <c r="CS781" s="18" t="str">
        <f ca="1"/>
        <v/>
      </c>
      <c r="CT781" s="18" t="str">
        <f ca="1"/>
        <v/>
      </c>
      <c r="CV781" s="10"/>
      <c r="CY781" s="18" t="str">
        <f ca="1"/>
        <v/>
      </c>
      <c r="CZ781" s="18" t="str">
        <f ca="1"/>
        <v/>
      </c>
      <c r="DA781" s="18" t="str">
        <f ca="1"/>
        <v/>
      </c>
      <c r="DC781" s="10"/>
    </row>
    <row r="782" spans="1:107" x14ac:dyDescent="0.25">
      <c r="A782" s="46"/>
      <c r="B782" s="52"/>
      <c r="C782" s="52"/>
      <c r="D782" s="16"/>
      <c r="E782" s="52"/>
      <c r="F782" s="52"/>
      <c r="G782" s="50"/>
      <c r="H782" s="17" t="str">
        <f ca="1">IFERROR(__xludf.DUMMYFUNCTION("""COMPUTED_VALUE"""),"")</f>
        <v/>
      </c>
      <c r="I782" s="50" t="s">
        <v>29</v>
      </c>
      <c r="J782" s="50" t="s">
        <v>29</v>
      </c>
      <c r="K782" s="50" t="s">
        <v>29</v>
      </c>
      <c r="L782" s="50" t="s">
        <v>29</v>
      </c>
      <c r="M782" s="50" t="s">
        <v>29</v>
      </c>
      <c r="N782" s="49"/>
      <c r="P782" s="19"/>
      <c r="Q782" s="18" t="str">
        <f ca="1">IFERROR(__xludf.DUMMYFUNCTION("""COMPUTED_VALUE"""),"")</f>
        <v/>
      </c>
      <c r="R782" s="19"/>
      <c r="S782" s="20"/>
      <c r="BP782" s="10"/>
      <c r="BW782" s="10"/>
      <c r="CF782" s="10"/>
      <c r="CM782" s="10"/>
      <c r="CP782" s="18" t="str">
        <f ca="1"/>
        <v/>
      </c>
      <c r="CQ782" s="18" t="str">
        <f ca="1"/>
        <v/>
      </c>
      <c r="CR782" s="18" t="str">
        <f ca="1"/>
        <v/>
      </c>
      <c r="CS782" s="18" t="str">
        <f ca="1"/>
        <v/>
      </c>
      <c r="CT782" s="18" t="str">
        <f ca="1"/>
        <v/>
      </c>
      <c r="CV782" s="10"/>
      <c r="CY782" s="18" t="str">
        <f ca="1"/>
        <v/>
      </c>
      <c r="CZ782" s="18" t="str">
        <f ca="1"/>
        <v/>
      </c>
      <c r="DA782" s="18" t="str">
        <f ca="1"/>
        <v/>
      </c>
      <c r="DC782" s="10"/>
    </row>
    <row r="783" spans="1:107" x14ac:dyDescent="0.25">
      <c r="A783" s="46"/>
      <c r="B783" s="52"/>
      <c r="C783" s="52"/>
      <c r="D783" s="16"/>
      <c r="E783" s="52"/>
      <c r="F783" s="52"/>
      <c r="G783" s="50"/>
      <c r="H783" s="17" t="str">
        <f ca="1">IFERROR(__xludf.DUMMYFUNCTION("""COMPUTED_VALUE"""),"")</f>
        <v/>
      </c>
      <c r="I783" s="50" t="s">
        <v>29</v>
      </c>
      <c r="J783" s="50" t="s">
        <v>29</v>
      </c>
      <c r="K783" s="50" t="s">
        <v>29</v>
      </c>
      <c r="L783" s="50" t="s">
        <v>29</v>
      </c>
      <c r="M783" s="50" t="s">
        <v>29</v>
      </c>
      <c r="N783" s="49"/>
      <c r="P783" s="19"/>
      <c r="Q783" s="18" t="str">
        <f ca="1">IFERROR(__xludf.DUMMYFUNCTION("""COMPUTED_VALUE"""),"")</f>
        <v/>
      </c>
      <c r="R783" s="19"/>
      <c r="S783" s="20"/>
      <c r="BP783" s="10"/>
      <c r="BW783" s="10"/>
      <c r="CF783" s="10"/>
      <c r="CM783" s="10"/>
      <c r="CP783" s="18" t="str">
        <f ca="1"/>
        <v/>
      </c>
      <c r="CQ783" s="18" t="str">
        <f ca="1"/>
        <v/>
      </c>
      <c r="CR783" s="18" t="str">
        <f ca="1"/>
        <v/>
      </c>
      <c r="CS783" s="18" t="str">
        <f ca="1"/>
        <v/>
      </c>
      <c r="CT783" s="18" t="str">
        <f ca="1"/>
        <v/>
      </c>
      <c r="CV783" s="10"/>
      <c r="CY783" s="18" t="str">
        <f ca="1"/>
        <v/>
      </c>
      <c r="CZ783" s="18" t="str">
        <f ca="1"/>
        <v/>
      </c>
      <c r="DA783" s="18" t="str">
        <f ca="1"/>
        <v/>
      </c>
      <c r="DC783" s="10"/>
    </row>
    <row r="784" spans="1:107" x14ac:dyDescent="0.25">
      <c r="A784" s="46"/>
      <c r="B784" s="52"/>
      <c r="C784" s="52"/>
      <c r="D784" s="16"/>
      <c r="E784" s="52"/>
      <c r="F784" s="52"/>
      <c r="G784" s="50"/>
      <c r="H784" s="17" t="str">
        <f ca="1">IFERROR(__xludf.DUMMYFUNCTION("""COMPUTED_VALUE"""),"")</f>
        <v/>
      </c>
      <c r="I784" s="50" t="s">
        <v>29</v>
      </c>
      <c r="J784" s="50" t="s">
        <v>29</v>
      </c>
      <c r="K784" s="50" t="s">
        <v>29</v>
      </c>
      <c r="L784" s="50" t="s">
        <v>29</v>
      </c>
      <c r="M784" s="50" t="s">
        <v>29</v>
      </c>
      <c r="N784" s="49"/>
      <c r="P784" s="19"/>
      <c r="Q784" s="18" t="str">
        <f ca="1">IFERROR(__xludf.DUMMYFUNCTION("""COMPUTED_VALUE"""),"")</f>
        <v/>
      </c>
      <c r="R784" s="19"/>
      <c r="S784" s="20"/>
      <c r="BP784" s="10"/>
      <c r="BW784" s="10"/>
      <c r="CF784" s="10"/>
      <c r="CM784" s="10"/>
      <c r="CP784" s="18" t="str">
        <f ca="1"/>
        <v/>
      </c>
      <c r="CQ784" s="18" t="str">
        <f ca="1"/>
        <v/>
      </c>
      <c r="CR784" s="18" t="str">
        <f ca="1"/>
        <v/>
      </c>
      <c r="CS784" s="18" t="str">
        <f ca="1"/>
        <v/>
      </c>
      <c r="CT784" s="18" t="str">
        <f ca="1"/>
        <v/>
      </c>
      <c r="CV784" s="10"/>
      <c r="CY784" s="18" t="str">
        <f ca="1"/>
        <v/>
      </c>
      <c r="CZ784" s="18" t="str">
        <f ca="1"/>
        <v/>
      </c>
      <c r="DA784" s="18" t="str">
        <f ca="1"/>
        <v/>
      </c>
      <c r="DC784" s="10"/>
    </row>
    <row r="785" spans="1:107" x14ac:dyDescent="0.25">
      <c r="A785" s="46"/>
      <c r="B785" s="52"/>
      <c r="C785" s="52"/>
      <c r="D785" s="16"/>
      <c r="E785" s="52"/>
      <c r="F785" s="52"/>
      <c r="G785" s="50"/>
      <c r="H785" s="17" t="str">
        <f ca="1">IFERROR(__xludf.DUMMYFUNCTION("""COMPUTED_VALUE"""),"")</f>
        <v/>
      </c>
      <c r="I785" s="50" t="s">
        <v>29</v>
      </c>
      <c r="J785" s="50" t="s">
        <v>29</v>
      </c>
      <c r="K785" s="50" t="s">
        <v>29</v>
      </c>
      <c r="L785" s="50" t="s">
        <v>29</v>
      </c>
      <c r="M785" s="50" t="s">
        <v>29</v>
      </c>
      <c r="N785" s="49"/>
      <c r="P785" s="19"/>
      <c r="Q785" s="18" t="str">
        <f ca="1">IFERROR(__xludf.DUMMYFUNCTION("""COMPUTED_VALUE"""),"")</f>
        <v/>
      </c>
      <c r="R785" s="19"/>
      <c r="S785" s="20"/>
      <c r="BP785" s="10"/>
      <c r="BW785" s="10"/>
      <c r="CF785" s="10"/>
      <c r="CM785" s="10"/>
      <c r="CP785" s="18" t="str">
        <f ca="1"/>
        <v/>
      </c>
      <c r="CQ785" s="18" t="str">
        <f ca="1"/>
        <v/>
      </c>
      <c r="CR785" s="18" t="str">
        <f ca="1"/>
        <v/>
      </c>
      <c r="CS785" s="18" t="str">
        <f ca="1"/>
        <v/>
      </c>
      <c r="CT785" s="18" t="str">
        <f ca="1"/>
        <v/>
      </c>
      <c r="CV785" s="10"/>
      <c r="CY785" s="18" t="str">
        <f ca="1"/>
        <v/>
      </c>
      <c r="CZ785" s="18" t="str">
        <f ca="1"/>
        <v/>
      </c>
      <c r="DA785" s="18" t="str">
        <f ca="1"/>
        <v/>
      </c>
      <c r="DC785" s="10"/>
    </row>
    <row r="786" spans="1:107" x14ac:dyDescent="0.25">
      <c r="A786" s="46"/>
      <c r="B786" s="52"/>
      <c r="C786" s="52"/>
      <c r="D786" s="16"/>
      <c r="E786" s="52"/>
      <c r="F786" s="52"/>
      <c r="G786" s="50"/>
      <c r="H786" s="17" t="str">
        <f ca="1">IFERROR(__xludf.DUMMYFUNCTION("""COMPUTED_VALUE"""),"")</f>
        <v/>
      </c>
      <c r="I786" s="50" t="s">
        <v>29</v>
      </c>
      <c r="J786" s="50" t="s">
        <v>29</v>
      </c>
      <c r="K786" s="50" t="s">
        <v>29</v>
      </c>
      <c r="L786" s="50" t="s">
        <v>29</v>
      </c>
      <c r="M786" s="50" t="s">
        <v>29</v>
      </c>
      <c r="N786" s="49"/>
      <c r="P786" s="19"/>
      <c r="Q786" s="18" t="str">
        <f ca="1">IFERROR(__xludf.DUMMYFUNCTION("""COMPUTED_VALUE"""),"")</f>
        <v/>
      </c>
      <c r="R786" s="19"/>
      <c r="S786" s="20"/>
      <c r="BP786" s="10"/>
      <c r="BW786" s="10"/>
      <c r="CF786" s="10"/>
      <c r="CM786" s="10"/>
      <c r="CP786" s="18" t="str">
        <f ca="1"/>
        <v/>
      </c>
      <c r="CQ786" s="18" t="str">
        <f ca="1"/>
        <v/>
      </c>
      <c r="CR786" s="18" t="str">
        <f ca="1"/>
        <v/>
      </c>
      <c r="CS786" s="18" t="str">
        <f ca="1"/>
        <v/>
      </c>
      <c r="CT786" s="18" t="str">
        <f ca="1"/>
        <v/>
      </c>
      <c r="CV786" s="10"/>
      <c r="CY786" s="18" t="str">
        <f ca="1"/>
        <v/>
      </c>
      <c r="CZ786" s="18" t="str">
        <f ca="1"/>
        <v/>
      </c>
      <c r="DA786" s="18" t="str">
        <f ca="1"/>
        <v/>
      </c>
      <c r="DC786" s="10"/>
    </row>
    <row r="787" spans="1:107" x14ac:dyDescent="0.25">
      <c r="A787" s="46"/>
      <c r="B787" s="52"/>
      <c r="C787" s="52"/>
      <c r="D787" s="16"/>
      <c r="E787" s="52"/>
      <c r="F787" s="52"/>
      <c r="G787" s="50"/>
      <c r="H787" s="17" t="str">
        <f ca="1">IFERROR(__xludf.DUMMYFUNCTION("""COMPUTED_VALUE"""),"")</f>
        <v/>
      </c>
      <c r="I787" s="50" t="s">
        <v>29</v>
      </c>
      <c r="J787" s="50" t="s">
        <v>29</v>
      </c>
      <c r="K787" s="50" t="s">
        <v>29</v>
      </c>
      <c r="L787" s="50" t="s">
        <v>29</v>
      </c>
      <c r="M787" s="50" t="s">
        <v>29</v>
      </c>
      <c r="N787" s="49"/>
      <c r="P787" s="19"/>
      <c r="Q787" s="18" t="str">
        <f ca="1">IFERROR(__xludf.DUMMYFUNCTION("""COMPUTED_VALUE"""),"")</f>
        <v/>
      </c>
      <c r="R787" s="19"/>
      <c r="S787" s="20"/>
      <c r="BP787" s="10"/>
      <c r="BW787" s="10"/>
      <c r="CF787" s="10"/>
      <c r="CM787" s="10"/>
      <c r="CP787" s="18" t="str">
        <f ca="1"/>
        <v/>
      </c>
      <c r="CQ787" s="18" t="str">
        <f ca="1"/>
        <v/>
      </c>
      <c r="CR787" s="18" t="str">
        <f ca="1"/>
        <v/>
      </c>
      <c r="CS787" s="18" t="str">
        <f ca="1"/>
        <v/>
      </c>
      <c r="CT787" s="18" t="str">
        <f ca="1"/>
        <v/>
      </c>
      <c r="CV787" s="10"/>
      <c r="CY787" s="18" t="str">
        <f ca="1"/>
        <v/>
      </c>
      <c r="CZ787" s="18" t="str">
        <f ca="1"/>
        <v/>
      </c>
      <c r="DA787" s="18" t="str">
        <f ca="1"/>
        <v/>
      </c>
      <c r="DC787" s="10"/>
    </row>
    <row r="788" spans="1:107" x14ac:dyDescent="0.25">
      <c r="A788" s="46"/>
      <c r="B788" s="52"/>
      <c r="C788" s="52"/>
      <c r="D788" s="16"/>
      <c r="E788" s="52"/>
      <c r="F788" s="52"/>
      <c r="G788" s="50"/>
      <c r="H788" s="17" t="str">
        <f ca="1">IFERROR(__xludf.DUMMYFUNCTION("""COMPUTED_VALUE"""),"")</f>
        <v/>
      </c>
      <c r="I788" s="50" t="s">
        <v>29</v>
      </c>
      <c r="J788" s="50" t="s">
        <v>29</v>
      </c>
      <c r="K788" s="50" t="s">
        <v>29</v>
      </c>
      <c r="L788" s="50" t="s">
        <v>29</v>
      </c>
      <c r="M788" s="50" t="s">
        <v>29</v>
      </c>
      <c r="N788" s="49"/>
      <c r="P788" s="19"/>
      <c r="Q788" s="18" t="str">
        <f ca="1">IFERROR(__xludf.DUMMYFUNCTION("""COMPUTED_VALUE"""),"")</f>
        <v/>
      </c>
      <c r="R788" s="19"/>
      <c r="S788" s="20"/>
      <c r="BP788" s="10"/>
      <c r="BW788" s="10"/>
      <c r="CF788" s="10"/>
      <c r="CM788" s="10"/>
      <c r="CP788" s="18" t="str">
        <f ca="1"/>
        <v/>
      </c>
      <c r="CQ788" s="18" t="str">
        <f ca="1"/>
        <v/>
      </c>
      <c r="CR788" s="18" t="str">
        <f ca="1"/>
        <v/>
      </c>
      <c r="CS788" s="18" t="str">
        <f ca="1"/>
        <v/>
      </c>
      <c r="CT788" s="18" t="str">
        <f ca="1"/>
        <v/>
      </c>
      <c r="CV788" s="10"/>
      <c r="CY788" s="18" t="str">
        <f ca="1"/>
        <v/>
      </c>
      <c r="CZ788" s="18" t="str">
        <f ca="1"/>
        <v/>
      </c>
      <c r="DA788" s="18" t="str">
        <f ca="1"/>
        <v/>
      </c>
      <c r="DC788" s="10"/>
    </row>
    <row r="789" spans="1:107" x14ac:dyDescent="0.25">
      <c r="A789" s="46"/>
      <c r="B789" s="52"/>
      <c r="C789" s="52"/>
      <c r="D789" s="16"/>
      <c r="E789" s="52"/>
      <c r="F789" s="52"/>
      <c r="G789" s="50"/>
      <c r="H789" s="17" t="str">
        <f ca="1">IFERROR(__xludf.DUMMYFUNCTION("""COMPUTED_VALUE"""),"")</f>
        <v/>
      </c>
      <c r="I789" s="50" t="s">
        <v>29</v>
      </c>
      <c r="J789" s="50" t="s">
        <v>29</v>
      </c>
      <c r="K789" s="50" t="s">
        <v>29</v>
      </c>
      <c r="L789" s="50" t="s">
        <v>29</v>
      </c>
      <c r="M789" s="50" t="s">
        <v>29</v>
      </c>
      <c r="N789" s="49"/>
      <c r="P789" s="19"/>
      <c r="Q789" s="18" t="str">
        <f ca="1">IFERROR(__xludf.DUMMYFUNCTION("""COMPUTED_VALUE"""),"")</f>
        <v/>
      </c>
      <c r="R789" s="19"/>
      <c r="S789" s="20"/>
      <c r="BP789" s="10"/>
      <c r="BW789" s="10"/>
      <c r="CF789" s="10"/>
      <c r="CM789" s="10"/>
      <c r="CP789" s="18" t="str">
        <f ca="1"/>
        <v/>
      </c>
      <c r="CQ789" s="18" t="str">
        <f ca="1"/>
        <v/>
      </c>
      <c r="CR789" s="18" t="str">
        <f ca="1"/>
        <v/>
      </c>
      <c r="CS789" s="18" t="str">
        <f ca="1"/>
        <v/>
      </c>
      <c r="CT789" s="18" t="str">
        <f ca="1"/>
        <v/>
      </c>
      <c r="CV789" s="10"/>
      <c r="CY789" s="18" t="str">
        <f ca="1"/>
        <v/>
      </c>
      <c r="CZ789" s="18" t="str">
        <f ca="1"/>
        <v/>
      </c>
      <c r="DA789" s="18" t="str">
        <f ca="1"/>
        <v/>
      </c>
      <c r="DC789" s="10"/>
    </row>
    <row r="790" spans="1:107" x14ac:dyDescent="0.25">
      <c r="A790" s="46"/>
      <c r="B790" s="52"/>
      <c r="C790" s="52"/>
      <c r="D790" s="16"/>
      <c r="E790" s="52"/>
      <c r="F790" s="52"/>
      <c r="G790" s="50"/>
      <c r="H790" s="17" t="str">
        <f ca="1">IFERROR(__xludf.DUMMYFUNCTION("""COMPUTED_VALUE"""),"")</f>
        <v/>
      </c>
      <c r="I790" s="50" t="s">
        <v>29</v>
      </c>
      <c r="J790" s="50" t="s">
        <v>29</v>
      </c>
      <c r="K790" s="50" t="s">
        <v>29</v>
      </c>
      <c r="L790" s="50" t="s">
        <v>29</v>
      </c>
      <c r="M790" s="50" t="s">
        <v>29</v>
      </c>
      <c r="N790" s="49"/>
      <c r="P790" s="19"/>
      <c r="Q790" s="18" t="str">
        <f ca="1">IFERROR(__xludf.DUMMYFUNCTION("""COMPUTED_VALUE"""),"")</f>
        <v/>
      </c>
      <c r="R790" s="19"/>
      <c r="S790" s="20"/>
      <c r="BP790" s="10"/>
      <c r="BW790" s="10"/>
      <c r="CF790" s="10"/>
      <c r="CM790" s="10"/>
      <c r="CP790" s="18" t="str">
        <f ca="1"/>
        <v/>
      </c>
      <c r="CQ790" s="18" t="str">
        <f ca="1"/>
        <v/>
      </c>
      <c r="CR790" s="18" t="str">
        <f ca="1"/>
        <v/>
      </c>
      <c r="CS790" s="18" t="str">
        <f ca="1"/>
        <v/>
      </c>
      <c r="CT790" s="18" t="str">
        <f ca="1"/>
        <v/>
      </c>
      <c r="CV790" s="10"/>
      <c r="CY790" s="18" t="str">
        <f ca="1"/>
        <v/>
      </c>
      <c r="CZ790" s="18" t="str">
        <f ca="1"/>
        <v/>
      </c>
      <c r="DA790" s="18" t="str">
        <f ca="1"/>
        <v/>
      </c>
      <c r="DC790" s="10"/>
    </row>
    <row r="791" spans="1:107" x14ac:dyDescent="0.25">
      <c r="A791" s="46"/>
      <c r="B791" s="52"/>
      <c r="C791" s="52"/>
      <c r="D791" s="16"/>
      <c r="E791" s="52"/>
      <c r="F791" s="52"/>
      <c r="G791" s="50"/>
      <c r="H791" s="17" t="str">
        <f ca="1">IFERROR(__xludf.DUMMYFUNCTION("""COMPUTED_VALUE"""),"")</f>
        <v/>
      </c>
      <c r="I791" s="50" t="s">
        <v>29</v>
      </c>
      <c r="J791" s="50" t="s">
        <v>29</v>
      </c>
      <c r="K791" s="50" t="s">
        <v>29</v>
      </c>
      <c r="L791" s="50" t="s">
        <v>29</v>
      </c>
      <c r="M791" s="50" t="s">
        <v>29</v>
      </c>
      <c r="N791" s="49"/>
      <c r="P791" s="19"/>
      <c r="Q791" s="18" t="str">
        <f ca="1">IFERROR(__xludf.DUMMYFUNCTION("""COMPUTED_VALUE"""),"")</f>
        <v/>
      </c>
      <c r="R791" s="19"/>
      <c r="S791" s="20"/>
      <c r="BP791" s="10"/>
      <c r="BW791" s="10"/>
      <c r="CF791" s="10"/>
      <c r="CM791" s="10"/>
      <c r="CP791" s="18" t="str">
        <f ca="1"/>
        <v/>
      </c>
      <c r="CQ791" s="18" t="str">
        <f ca="1"/>
        <v/>
      </c>
      <c r="CR791" s="18" t="str">
        <f ca="1"/>
        <v/>
      </c>
      <c r="CS791" s="18" t="str">
        <f ca="1"/>
        <v/>
      </c>
      <c r="CT791" s="18" t="str">
        <f ca="1"/>
        <v/>
      </c>
      <c r="CV791" s="10"/>
      <c r="CY791" s="18" t="str">
        <f ca="1"/>
        <v/>
      </c>
      <c r="CZ791" s="18" t="str">
        <f ca="1"/>
        <v/>
      </c>
      <c r="DA791" s="18" t="str">
        <f ca="1"/>
        <v/>
      </c>
      <c r="DC791" s="10"/>
    </row>
    <row r="792" spans="1:107" x14ac:dyDescent="0.25">
      <c r="A792" s="46"/>
      <c r="B792" s="52"/>
      <c r="C792" s="52"/>
      <c r="D792" s="16"/>
      <c r="E792" s="52"/>
      <c r="F792" s="52"/>
      <c r="G792" s="50"/>
      <c r="H792" s="17" t="str">
        <f ca="1">IFERROR(__xludf.DUMMYFUNCTION("""COMPUTED_VALUE"""),"")</f>
        <v/>
      </c>
      <c r="I792" s="50" t="s">
        <v>29</v>
      </c>
      <c r="J792" s="50" t="s">
        <v>29</v>
      </c>
      <c r="K792" s="50" t="s">
        <v>29</v>
      </c>
      <c r="L792" s="50" t="s">
        <v>29</v>
      </c>
      <c r="M792" s="50" t="s">
        <v>29</v>
      </c>
      <c r="N792" s="49"/>
      <c r="P792" s="19"/>
      <c r="Q792" s="18" t="str">
        <f ca="1">IFERROR(__xludf.DUMMYFUNCTION("""COMPUTED_VALUE"""),"")</f>
        <v/>
      </c>
      <c r="R792" s="19"/>
      <c r="S792" s="20"/>
      <c r="BP792" s="10"/>
      <c r="BW792" s="10"/>
      <c r="CF792" s="10"/>
      <c r="CM792" s="10"/>
      <c r="CP792" s="18" t="str">
        <f ca="1"/>
        <v/>
      </c>
      <c r="CQ792" s="18" t="str">
        <f ca="1"/>
        <v/>
      </c>
      <c r="CR792" s="18" t="str">
        <f ca="1"/>
        <v/>
      </c>
      <c r="CS792" s="18" t="str">
        <f ca="1"/>
        <v/>
      </c>
      <c r="CT792" s="18" t="str">
        <f ca="1"/>
        <v/>
      </c>
      <c r="CV792" s="10"/>
      <c r="CY792" s="18" t="str">
        <f ca="1"/>
        <v/>
      </c>
      <c r="CZ792" s="18" t="str">
        <f ca="1"/>
        <v/>
      </c>
      <c r="DA792" s="18" t="str">
        <f ca="1"/>
        <v/>
      </c>
      <c r="DC792" s="10"/>
    </row>
    <row r="793" spans="1:107" x14ac:dyDescent="0.25">
      <c r="A793" s="46"/>
      <c r="B793" s="52"/>
      <c r="C793" s="52"/>
      <c r="D793" s="16"/>
      <c r="E793" s="52"/>
      <c r="F793" s="52"/>
      <c r="G793" s="50"/>
      <c r="H793" s="17" t="str">
        <f ca="1">IFERROR(__xludf.DUMMYFUNCTION("""COMPUTED_VALUE"""),"")</f>
        <v/>
      </c>
      <c r="I793" s="50" t="s">
        <v>29</v>
      </c>
      <c r="J793" s="50" t="s">
        <v>29</v>
      </c>
      <c r="K793" s="50" t="s">
        <v>29</v>
      </c>
      <c r="L793" s="50" t="s">
        <v>29</v>
      </c>
      <c r="M793" s="50" t="s">
        <v>29</v>
      </c>
      <c r="N793" s="49"/>
      <c r="P793" s="19"/>
      <c r="Q793" s="18" t="str">
        <f ca="1">IFERROR(__xludf.DUMMYFUNCTION("""COMPUTED_VALUE"""),"")</f>
        <v/>
      </c>
      <c r="R793" s="19"/>
      <c r="S793" s="20"/>
      <c r="BP793" s="10"/>
      <c r="BW793" s="10"/>
      <c r="CF793" s="10"/>
      <c r="CM793" s="10"/>
      <c r="CP793" s="18" t="str">
        <f ca="1"/>
        <v/>
      </c>
      <c r="CQ793" s="18" t="str">
        <f ca="1"/>
        <v/>
      </c>
      <c r="CR793" s="18" t="str">
        <f ca="1"/>
        <v/>
      </c>
      <c r="CS793" s="18" t="str">
        <f ca="1"/>
        <v/>
      </c>
      <c r="CT793" s="18" t="str">
        <f ca="1"/>
        <v/>
      </c>
      <c r="CV793" s="10"/>
      <c r="CY793" s="18" t="str">
        <f ca="1"/>
        <v/>
      </c>
      <c r="CZ793" s="18" t="str">
        <f ca="1"/>
        <v/>
      </c>
      <c r="DA793" s="18" t="str">
        <f ca="1"/>
        <v/>
      </c>
      <c r="DC793" s="10"/>
    </row>
    <row r="794" spans="1:107" x14ac:dyDescent="0.25">
      <c r="A794" s="46"/>
      <c r="B794" s="52"/>
      <c r="C794" s="52"/>
      <c r="D794" s="16"/>
      <c r="E794" s="52"/>
      <c r="F794" s="52"/>
      <c r="G794" s="50"/>
      <c r="H794" s="17" t="str">
        <f ca="1">IFERROR(__xludf.DUMMYFUNCTION("""COMPUTED_VALUE"""),"")</f>
        <v/>
      </c>
      <c r="I794" s="50" t="s">
        <v>29</v>
      </c>
      <c r="J794" s="50" t="s">
        <v>29</v>
      </c>
      <c r="K794" s="50" t="s">
        <v>29</v>
      </c>
      <c r="L794" s="50" t="s">
        <v>29</v>
      </c>
      <c r="M794" s="50" t="s">
        <v>29</v>
      </c>
      <c r="N794" s="49"/>
      <c r="P794" s="19"/>
      <c r="Q794" s="18" t="str">
        <f ca="1">IFERROR(__xludf.DUMMYFUNCTION("""COMPUTED_VALUE"""),"")</f>
        <v/>
      </c>
      <c r="R794" s="19"/>
      <c r="S794" s="20"/>
      <c r="BP794" s="10"/>
      <c r="BW794" s="10"/>
      <c r="CF794" s="10"/>
      <c r="CM794" s="10"/>
      <c r="CP794" s="18" t="str">
        <f ca="1"/>
        <v/>
      </c>
      <c r="CQ794" s="18" t="str">
        <f ca="1"/>
        <v/>
      </c>
      <c r="CR794" s="18" t="str">
        <f ca="1"/>
        <v/>
      </c>
      <c r="CS794" s="18" t="str">
        <f ca="1"/>
        <v/>
      </c>
      <c r="CT794" s="18" t="str">
        <f ca="1"/>
        <v/>
      </c>
      <c r="CV794" s="10"/>
      <c r="CY794" s="18" t="str">
        <f ca="1"/>
        <v/>
      </c>
      <c r="CZ794" s="18" t="str">
        <f ca="1"/>
        <v/>
      </c>
      <c r="DA794" s="18" t="str">
        <f ca="1"/>
        <v/>
      </c>
      <c r="DC794" s="10"/>
    </row>
    <row r="795" spans="1:107" x14ac:dyDescent="0.25">
      <c r="A795" s="46"/>
      <c r="B795" s="52"/>
      <c r="C795" s="52"/>
      <c r="D795" s="16"/>
      <c r="E795" s="52"/>
      <c r="F795" s="52"/>
      <c r="G795" s="50"/>
      <c r="H795" s="17" t="str">
        <f ca="1">IFERROR(__xludf.DUMMYFUNCTION("""COMPUTED_VALUE"""),"")</f>
        <v/>
      </c>
      <c r="I795" s="50" t="s">
        <v>29</v>
      </c>
      <c r="J795" s="50" t="s">
        <v>29</v>
      </c>
      <c r="K795" s="50" t="s">
        <v>29</v>
      </c>
      <c r="L795" s="50" t="s">
        <v>29</v>
      </c>
      <c r="M795" s="50" t="s">
        <v>29</v>
      </c>
      <c r="N795" s="49"/>
      <c r="P795" s="19"/>
      <c r="Q795" s="18" t="str">
        <f ca="1">IFERROR(__xludf.DUMMYFUNCTION("""COMPUTED_VALUE"""),"")</f>
        <v/>
      </c>
      <c r="R795" s="19"/>
      <c r="S795" s="20"/>
      <c r="BP795" s="10"/>
      <c r="BW795" s="10"/>
      <c r="CF795" s="10"/>
      <c r="CM795" s="10"/>
      <c r="CP795" s="18" t="str">
        <f ca="1"/>
        <v/>
      </c>
      <c r="CQ795" s="18" t="str">
        <f ca="1"/>
        <v/>
      </c>
      <c r="CR795" s="18" t="str">
        <f ca="1"/>
        <v/>
      </c>
      <c r="CS795" s="18" t="str">
        <f ca="1"/>
        <v/>
      </c>
      <c r="CT795" s="18" t="str">
        <f ca="1"/>
        <v/>
      </c>
      <c r="CV795" s="10"/>
      <c r="CY795" s="18" t="str">
        <f ca="1"/>
        <v/>
      </c>
      <c r="CZ795" s="18" t="str">
        <f ca="1"/>
        <v/>
      </c>
      <c r="DA795" s="18" t="str">
        <f ca="1"/>
        <v/>
      </c>
      <c r="DC795" s="10"/>
    </row>
    <row r="796" spans="1:107" x14ac:dyDescent="0.25">
      <c r="A796" s="46"/>
      <c r="B796" s="52"/>
      <c r="C796" s="52"/>
      <c r="D796" s="16"/>
      <c r="E796" s="52"/>
      <c r="F796" s="52"/>
      <c r="G796" s="50"/>
      <c r="H796" s="17" t="str">
        <f ca="1">IFERROR(__xludf.DUMMYFUNCTION("""COMPUTED_VALUE"""),"")</f>
        <v/>
      </c>
      <c r="I796" s="50" t="s">
        <v>29</v>
      </c>
      <c r="J796" s="50" t="s">
        <v>29</v>
      </c>
      <c r="K796" s="50" t="s">
        <v>29</v>
      </c>
      <c r="L796" s="50" t="s">
        <v>29</v>
      </c>
      <c r="M796" s="50" t="s">
        <v>29</v>
      </c>
      <c r="N796" s="49"/>
      <c r="P796" s="19"/>
      <c r="Q796" s="18" t="str">
        <f ca="1">IFERROR(__xludf.DUMMYFUNCTION("""COMPUTED_VALUE"""),"")</f>
        <v/>
      </c>
      <c r="R796" s="19"/>
      <c r="S796" s="20"/>
      <c r="BP796" s="10"/>
      <c r="BW796" s="10"/>
      <c r="CF796" s="10"/>
      <c r="CM796" s="10"/>
      <c r="CP796" s="18" t="str">
        <f ca="1"/>
        <v/>
      </c>
      <c r="CQ796" s="18" t="str">
        <f ca="1"/>
        <v/>
      </c>
      <c r="CR796" s="18" t="str">
        <f ca="1"/>
        <v/>
      </c>
      <c r="CS796" s="18" t="str">
        <f ca="1"/>
        <v/>
      </c>
      <c r="CT796" s="18" t="str">
        <f ca="1"/>
        <v/>
      </c>
      <c r="CV796" s="10"/>
      <c r="CY796" s="18" t="str">
        <f ca="1"/>
        <v/>
      </c>
      <c r="CZ796" s="18" t="str">
        <f ca="1"/>
        <v/>
      </c>
      <c r="DA796" s="18" t="str">
        <f ca="1"/>
        <v/>
      </c>
      <c r="DC796" s="10"/>
    </row>
    <row r="797" spans="1:107" x14ac:dyDescent="0.25">
      <c r="A797" s="46"/>
      <c r="B797" s="52"/>
      <c r="C797" s="52"/>
      <c r="D797" s="16"/>
      <c r="E797" s="52"/>
      <c r="F797" s="52"/>
      <c r="G797" s="50"/>
      <c r="H797" s="17" t="str">
        <f ca="1">IFERROR(__xludf.DUMMYFUNCTION("""COMPUTED_VALUE"""),"")</f>
        <v/>
      </c>
      <c r="I797" s="50" t="s">
        <v>29</v>
      </c>
      <c r="J797" s="50" t="s">
        <v>29</v>
      </c>
      <c r="K797" s="50" t="s">
        <v>29</v>
      </c>
      <c r="L797" s="50" t="s">
        <v>29</v>
      </c>
      <c r="M797" s="50" t="s">
        <v>29</v>
      </c>
      <c r="N797" s="49"/>
      <c r="P797" s="19"/>
      <c r="Q797" s="18" t="str">
        <f ca="1">IFERROR(__xludf.DUMMYFUNCTION("""COMPUTED_VALUE"""),"")</f>
        <v/>
      </c>
      <c r="R797" s="19"/>
      <c r="S797" s="20"/>
      <c r="BP797" s="10"/>
      <c r="BW797" s="10"/>
      <c r="CF797" s="10"/>
      <c r="CM797" s="10"/>
      <c r="CP797" s="18" t="str">
        <f ca="1"/>
        <v/>
      </c>
      <c r="CQ797" s="18" t="str">
        <f ca="1"/>
        <v/>
      </c>
      <c r="CR797" s="18" t="str">
        <f ca="1"/>
        <v/>
      </c>
      <c r="CS797" s="18" t="str">
        <f ca="1"/>
        <v/>
      </c>
      <c r="CT797" s="18" t="str">
        <f ca="1"/>
        <v/>
      </c>
      <c r="CV797" s="10"/>
      <c r="CY797" s="18" t="str">
        <f ca="1"/>
        <v/>
      </c>
      <c r="CZ797" s="18" t="str">
        <f ca="1"/>
        <v/>
      </c>
      <c r="DA797" s="18" t="str">
        <f ca="1"/>
        <v/>
      </c>
      <c r="DC797" s="10"/>
    </row>
    <row r="798" spans="1:107" x14ac:dyDescent="0.25">
      <c r="A798" s="46"/>
      <c r="B798" s="52"/>
      <c r="C798" s="52"/>
      <c r="D798" s="16"/>
      <c r="E798" s="52"/>
      <c r="F798" s="52"/>
      <c r="G798" s="50"/>
      <c r="H798" s="17" t="str">
        <f ca="1">IFERROR(__xludf.DUMMYFUNCTION("""COMPUTED_VALUE"""),"")</f>
        <v/>
      </c>
      <c r="I798" s="50" t="s">
        <v>29</v>
      </c>
      <c r="J798" s="50" t="s">
        <v>29</v>
      </c>
      <c r="K798" s="50" t="s">
        <v>29</v>
      </c>
      <c r="L798" s="50" t="s">
        <v>29</v>
      </c>
      <c r="M798" s="50" t="s">
        <v>29</v>
      </c>
      <c r="N798" s="49"/>
      <c r="P798" s="19"/>
      <c r="Q798" s="18" t="str">
        <f ca="1">IFERROR(__xludf.DUMMYFUNCTION("""COMPUTED_VALUE"""),"")</f>
        <v/>
      </c>
      <c r="R798" s="19"/>
      <c r="S798" s="20"/>
      <c r="BP798" s="10"/>
      <c r="BW798" s="10"/>
      <c r="CF798" s="10"/>
      <c r="CM798" s="10"/>
      <c r="CP798" s="18" t="str">
        <f ca="1"/>
        <v/>
      </c>
      <c r="CQ798" s="18" t="str">
        <f ca="1"/>
        <v/>
      </c>
      <c r="CR798" s="18" t="str">
        <f ca="1"/>
        <v/>
      </c>
      <c r="CS798" s="18" t="str">
        <f ca="1"/>
        <v/>
      </c>
      <c r="CT798" s="18" t="str">
        <f ca="1"/>
        <v/>
      </c>
      <c r="CV798" s="10"/>
      <c r="CY798" s="18" t="str">
        <f ca="1"/>
        <v/>
      </c>
      <c r="CZ798" s="18" t="str">
        <f ca="1"/>
        <v/>
      </c>
      <c r="DA798" s="18" t="str">
        <f ca="1"/>
        <v/>
      </c>
      <c r="DC798" s="10"/>
    </row>
    <row r="799" spans="1:107" x14ac:dyDescent="0.25">
      <c r="A799" s="46"/>
      <c r="B799" s="52"/>
      <c r="C799" s="52"/>
      <c r="D799" s="16"/>
      <c r="E799" s="52"/>
      <c r="F799" s="52"/>
      <c r="G799" s="50"/>
      <c r="H799" s="17" t="str">
        <f ca="1">IFERROR(__xludf.DUMMYFUNCTION("""COMPUTED_VALUE"""),"")</f>
        <v/>
      </c>
      <c r="I799" s="50" t="s">
        <v>29</v>
      </c>
      <c r="J799" s="50" t="s">
        <v>29</v>
      </c>
      <c r="K799" s="50" t="s">
        <v>29</v>
      </c>
      <c r="L799" s="50" t="s">
        <v>29</v>
      </c>
      <c r="M799" s="50" t="s">
        <v>29</v>
      </c>
      <c r="N799" s="49"/>
      <c r="P799" s="19"/>
      <c r="Q799" s="18" t="str">
        <f ca="1">IFERROR(__xludf.DUMMYFUNCTION("""COMPUTED_VALUE"""),"")</f>
        <v/>
      </c>
      <c r="R799" s="19"/>
      <c r="S799" s="20"/>
      <c r="BP799" s="10"/>
      <c r="BW799" s="10"/>
      <c r="CF799" s="10"/>
      <c r="CM799" s="10"/>
      <c r="CP799" s="18" t="str">
        <f ca="1"/>
        <v/>
      </c>
      <c r="CQ799" s="18" t="str">
        <f ca="1"/>
        <v/>
      </c>
      <c r="CR799" s="18" t="str">
        <f ca="1"/>
        <v/>
      </c>
      <c r="CS799" s="18" t="str">
        <f ca="1"/>
        <v/>
      </c>
      <c r="CT799" s="18" t="str">
        <f ca="1"/>
        <v/>
      </c>
      <c r="CV799" s="10"/>
      <c r="CY799" s="18" t="str">
        <f ca="1"/>
        <v/>
      </c>
      <c r="CZ799" s="18" t="str">
        <f ca="1"/>
        <v/>
      </c>
      <c r="DA799" s="18" t="str">
        <f ca="1"/>
        <v/>
      </c>
      <c r="DC799" s="10"/>
    </row>
    <row r="800" spans="1:107" x14ac:dyDescent="0.25">
      <c r="A800" s="46"/>
      <c r="B800" s="52"/>
      <c r="C800" s="52"/>
      <c r="D800" s="16"/>
      <c r="E800" s="52"/>
      <c r="F800" s="52"/>
      <c r="G800" s="50"/>
      <c r="H800" s="17" t="str">
        <f ca="1">IFERROR(__xludf.DUMMYFUNCTION("""COMPUTED_VALUE"""),"")</f>
        <v/>
      </c>
      <c r="I800" s="50" t="s">
        <v>29</v>
      </c>
      <c r="J800" s="50" t="s">
        <v>29</v>
      </c>
      <c r="K800" s="50" t="s">
        <v>29</v>
      </c>
      <c r="L800" s="50" t="s">
        <v>29</v>
      </c>
      <c r="M800" s="50" t="s">
        <v>29</v>
      </c>
      <c r="N800" s="49"/>
      <c r="P800" s="19"/>
      <c r="Q800" s="18" t="str">
        <f ca="1">IFERROR(__xludf.DUMMYFUNCTION("""COMPUTED_VALUE"""),"")</f>
        <v/>
      </c>
      <c r="R800" s="19"/>
      <c r="S800" s="20"/>
      <c r="BP800" s="10"/>
      <c r="BW800" s="10"/>
      <c r="CF800" s="10"/>
      <c r="CM800" s="10"/>
      <c r="CP800" s="18" t="str">
        <f ca="1"/>
        <v/>
      </c>
      <c r="CQ800" s="18" t="str">
        <f ca="1"/>
        <v/>
      </c>
      <c r="CR800" s="18" t="str">
        <f ca="1"/>
        <v/>
      </c>
      <c r="CS800" s="18" t="str">
        <f ca="1"/>
        <v/>
      </c>
      <c r="CT800" s="18" t="str">
        <f ca="1"/>
        <v/>
      </c>
      <c r="CV800" s="10"/>
      <c r="CY800" s="18" t="str">
        <f ca="1"/>
        <v/>
      </c>
      <c r="CZ800" s="18" t="str">
        <f ca="1"/>
        <v/>
      </c>
      <c r="DA800" s="18" t="str">
        <f ca="1"/>
        <v/>
      </c>
      <c r="DC800" s="10"/>
    </row>
    <row r="801" spans="1:107" x14ac:dyDescent="0.25">
      <c r="A801" s="46"/>
      <c r="B801" s="52"/>
      <c r="C801" s="52"/>
      <c r="D801" s="16"/>
      <c r="E801" s="52"/>
      <c r="F801" s="52"/>
      <c r="G801" s="50"/>
      <c r="H801" s="17" t="str">
        <f ca="1">IFERROR(__xludf.DUMMYFUNCTION("""COMPUTED_VALUE"""),"")</f>
        <v/>
      </c>
      <c r="I801" s="50" t="s">
        <v>29</v>
      </c>
      <c r="J801" s="50" t="s">
        <v>29</v>
      </c>
      <c r="K801" s="50" t="s">
        <v>29</v>
      </c>
      <c r="L801" s="50" t="s">
        <v>29</v>
      </c>
      <c r="M801" s="50" t="s">
        <v>29</v>
      </c>
      <c r="N801" s="49"/>
      <c r="P801" s="19"/>
      <c r="Q801" s="18" t="str">
        <f ca="1">IFERROR(__xludf.DUMMYFUNCTION("""COMPUTED_VALUE"""),"")</f>
        <v/>
      </c>
      <c r="R801" s="19"/>
      <c r="S801" s="20"/>
      <c r="BP801" s="10"/>
      <c r="BW801" s="10"/>
      <c r="CF801" s="10"/>
      <c r="CM801" s="10"/>
      <c r="CP801" s="18" t="str">
        <f ca="1"/>
        <v/>
      </c>
      <c r="CQ801" s="18" t="str">
        <f ca="1"/>
        <v/>
      </c>
      <c r="CR801" s="18" t="str">
        <f ca="1"/>
        <v/>
      </c>
      <c r="CS801" s="18" t="str">
        <f ca="1"/>
        <v/>
      </c>
      <c r="CT801" s="18" t="str">
        <f ca="1"/>
        <v/>
      </c>
      <c r="CV801" s="10"/>
      <c r="CY801" s="18" t="str">
        <f ca="1"/>
        <v/>
      </c>
      <c r="CZ801" s="18" t="str">
        <f ca="1"/>
        <v/>
      </c>
      <c r="DA801" s="18" t="str">
        <f ca="1"/>
        <v/>
      </c>
      <c r="DC801" s="10"/>
    </row>
    <row r="802" spans="1:107" x14ac:dyDescent="0.25">
      <c r="A802" s="46"/>
      <c r="B802" s="52"/>
      <c r="C802" s="52"/>
      <c r="D802" s="16"/>
      <c r="E802" s="52"/>
      <c r="F802" s="52"/>
      <c r="G802" s="50"/>
      <c r="H802" s="17" t="str">
        <f ca="1">IFERROR(__xludf.DUMMYFUNCTION("""COMPUTED_VALUE"""),"")</f>
        <v/>
      </c>
      <c r="I802" s="50" t="s">
        <v>29</v>
      </c>
      <c r="J802" s="50" t="s">
        <v>29</v>
      </c>
      <c r="K802" s="50" t="s">
        <v>29</v>
      </c>
      <c r="L802" s="50" t="s">
        <v>29</v>
      </c>
      <c r="M802" s="50" t="s">
        <v>29</v>
      </c>
      <c r="N802" s="49"/>
      <c r="P802" s="19"/>
      <c r="Q802" s="18" t="str">
        <f ca="1">IFERROR(__xludf.DUMMYFUNCTION("""COMPUTED_VALUE"""),"")</f>
        <v/>
      </c>
      <c r="R802" s="19"/>
      <c r="S802" s="20"/>
      <c r="BP802" s="10"/>
      <c r="BW802" s="10"/>
      <c r="CF802" s="10"/>
      <c r="CM802" s="10"/>
      <c r="CP802" s="18" t="str">
        <f ca="1"/>
        <v/>
      </c>
      <c r="CQ802" s="18" t="str">
        <f ca="1"/>
        <v/>
      </c>
      <c r="CR802" s="18" t="str">
        <f ca="1"/>
        <v/>
      </c>
      <c r="CS802" s="18" t="str">
        <f ca="1"/>
        <v/>
      </c>
      <c r="CT802" s="18" t="str">
        <f ca="1"/>
        <v/>
      </c>
      <c r="CV802" s="10"/>
      <c r="CY802" s="18" t="str">
        <f ca="1"/>
        <v/>
      </c>
      <c r="CZ802" s="18" t="str">
        <f ca="1"/>
        <v/>
      </c>
      <c r="DA802" s="18" t="str">
        <f ca="1"/>
        <v/>
      </c>
      <c r="DC802" s="10"/>
    </row>
    <row r="803" spans="1:107" x14ac:dyDescent="0.25">
      <c r="A803" s="46"/>
      <c r="B803" s="52"/>
      <c r="C803" s="52"/>
      <c r="D803" s="16"/>
      <c r="E803" s="52"/>
      <c r="F803" s="52"/>
      <c r="G803" s="50"/>
      <c r="H803" s="17" t="str">
        <f ca="1">IFERROR(__xludf.DUMMYFUNCTION("""COMPUTED_VALUE"""),"")</f>
        <v/>
      </c>
      <c r="I803" s="50" t="s">
        <v>29</v>
      </c>
      <c r="J803" s="50" t="s">
        <v>29</v>
      </c>
      <c r="K803" s="50" t="s">
        <v>29</v>
      </c>
      <c r="L803" s="50" t="s">
        <v>29</v>
      </c>
      <c r="M803" s="50" t="s">
        <v>29</v>
      </c>
      <c r="N803" s="49"/>
      <c r="P803" s="19"/>
      <c r="Q803" s="18" t="str">
        <f ca="1">IFERROR(__xludf.DUMMYFUNCTION("""COMPUTED_VALUE"""),"")</f>
        <v/>
      </c>
      <c r="R803" s="19"/>
      <c r="S803" s="20"/>
      <c r="BP803" s="10"/>
      <c r="BW803" s="10"/>
      <c r="CF803" s="10"/>
      <c r="CM803" s="10"/>
      <c r="CP803" s="18" t="str">
        <f ca="1"/>
        <v/>
      </c>
      <c r="CQ803" s="18" t="str">
        <f ca="1"/>
        <v/>
      </c>
      <c r="CR803" s="18" t="str">
        <f ca="1"/>
        <v/>
      </c>
      <c r="CS803" s="18" t="str">
        <f ca="1"/>
        <v/>
      </c>
      <c r="CT803" s="18" t="str">
        <f ca="1"/>
        <v/>
      </c>
      <c r="CV803" s="10"/>
      <c r="CY803" s="18" t="str">
        <f ca="1"/>
        <v/>
      </c>
      <c r="CZ803" s="18" t="str">
        <f ca="1"/>
        <v/>
      </c>
      <c r="DA803" s="18" t="str">
        <f ca="1"/>
        <v/>
      </c>
      <c r="DC803" s="10"/>
    </row>
    <row r="804" spans="1:107" x14ac:dyDescent="0.25">
      <c r="A804" s="46"/>
      <c r="B804" s="52"/>
      <c r="C804" s="52"/>
      <c r="D804" s="16"/>
      <c r="E804" s="52"/>
      <c r="F804" s="52"/>
      <c r="G804" s="50"/>
      <c r="H804" s="17" t="str">
        <f ca="1">IFERROR(__xludf.DUMMYFUNCTION("""COMPUTED_VALUE"""),"")</f>
        <v/>
      </c>
      <c r="I804" s="50" t="s">
        <v>29</v>
      </c>
      <c r="J804" s="50" t="s">
        <v>29</v>
      </c>
      <c r="K804" s="50" t="s">
        <v>29</v>
      </c>
      <c r="L804" s="50" t="s">
        <v>29</v>
      </c>
      <c r="M804" s="50" t="s">
        <v>29</v>
      </c>
      <c r="N804" s="49"/>
      <c r="P804" s="19"/>
      <c r="Q804" s="18" t="str">
        <f ca="1">IFERROR(__xludf.DUMMYFUNCTION("""COMPUTED_VALUE"""),"")</f>
        <v/>
      </c>
      <c r="R804" s="19"/>
      <c r="S804" s="20"/>
      <c r="BP804" s="10"/>
      <c r="BW804" s="10"/>
      <c r="CF804" s="10"/>
      <c r="CM804" s="10"/>
      <c r="CP804" s="18" t="str">
        <f ca="1"/>
        <v/>
      </c>
      <c r="CQ804" s="18" t="str">
        <f ca="1"/>
        <v/>
      </c>
      <c r="CR804" s="18" t="str">
        <f ca="1"/>
        <v/>
      </c>
      <c r="CS804" s="18" t="str">
        <f ca="1"/>
        <v/>
      </c>
      <c r="CT804" s="18" t="str">
        <f ca="1"/>
        <v/>
      </c>
      <c r="CV804" s="10"/>
      <c r="CY804" s="18" t="str">
        <f ca="1"/>
        <v/>
      </c>
      <c r="CZ804" s="18" t="str">
        <f ca="1"/>
        <v/>
      </c>
      <c r="DA804" s="18" t="str">
        <f ca="1"/>
        <v/>
      </c>
      <c r="DC804" s="10"/>
    </row>
    <row r="805" spans="1:107" x14ac:dyDescent="0.25">
      <c r="A805" s="46"/>
      <c r="B805" s="52"/>
      <c r="C805" s="52"/>
      <c r="D805" s="16"/>
      <c r="E805" s="52"/>
      <c r="F805" s="52"/>
      <c r="G805" s="50"/>
      <c r="H805" s="17" t="str">
        <f ca="1">IFERROR(__xludf.DUMMYFUNCTION("""COMPUTED_VALUE"""),"")</f>
        <v/>
      </c>
      <c r="I805" s="50" t="s">
        <v>29</v>
      </c>
      <c r="J805" s="50" t="s">
        <v>29</v>
      </c>
      <c r="K805" s="50" t="s">
        <v>29</v>
      </c>
      <c r="L805" s="50" t="s">
        <v>29</v>
      </c>
      <c r="M805" s="50" t="s">
        <v>29</v>
      </c>
      <c r="N805" s="49"/>
      <c r="P805" s="19"/>
      <c r="Q805" s="18" t="str">
        <f ca="1">IFERROR(__xludf.DUMMYFUNCTION("""COMPUTED_VALUE"""),"")</f>
        <v/>
      </c>
      <c r="R805" s="19"/>
      <c r="S805" s="20"/>
      <c r="BP805" s="10"/>
      <c r="BW805" s="10"/>
      <c r="CF805" s="10"/>
      <c r="CM805" s="10"/>
      <c r="CP805" s="18" t="str">
        <f ca="1"/>
        <v/>
      </c>
      <c r="CQ805" s="18" t="str">
        <f ca="1"/>
        <v/>
      </c>
      <c r="CR805" s="18" t="str">
        <f ca="1"/>
        <v/>
      </c>
      <c r="CS805" s="18" t="str">
        <f ca="1"/>
        <v/>
      </c>
      <c r="CT805" s="18" t="str">
        <f ca="1"/>
        <v/>
      </c>
      <c r="CV805" s="10"/>
      <c r="CY805" s="18" t="str">
        <f ca="1"/>
        <v/>
      </c>
      <c r="CZ805" s="18" t="str">
        <f ca="1"/>
        <v/>
      </c>
      <c r="DA805" s="18" t="str">
        <f ca="1"/>
        <v/>
      </c>
      <c r="DC805" s="10"/>
    </row>
    <row r="806" spans="1:107" x14ac:dyDescent="0.25">
      <c r="A806" s="46"/>
      <c r="B806" s="52"/>
      <c r="C806" s="52"/>
      <c r="D806" s="16"/>
      <c r="E806" s="52"/>
      <c r="F806" s="52"/>
      <c r="G806" s="50"/>
      <c r="H806" s="17" t="str">
        <f ca="1">IFERROR(__xludf.DUMMYFUNCTION("""COMPUTED_VALUE"""),"")</f>
        <v/>
      </c>
      <c r="I806" s="50" t="s">
        <v>29</v>
      </c>
      <c r="J806" s="50" t="s">
        <v>29</v>
      </c>
      <c r="K806" s="50" t="s">
        <v>29</v>
      </c>
      <c r="L806" s="50" t="s">
        <v>29</v>
      </c>
      <c r="M806" s="50" t="s">
        <v>29</v>
      </c>
      <c r="N806" s="49"/>
      <c r="P806" s="19"/>
      <c r="Q806" s="18" t="str">
        <f ca="1">IFERROR(__xludf.DUMMYFUNCTION("""COMPUTED_VALUE"""),"")</f>
        <v/>
      </c>
      <c r="R806" s="19"/>
      <c r="S806" s="20"/>
      <c r="BP806" s="10"/>
      <c r="BW806" s="10"/>
      <c r="CF806" s="10"/>
      <c r="CM806" s="10"/>
      <c r="CP806" s="18" t="str">
        <f ca="1"/>
        <v/>
      </c>
      <c r="CQ806" s="18" t="str">
        <f ca="1"/>
        <v/>
      </c>
      <c r="CR806" s="18" t="str">
        <f ca="1"/>
        <v/>
      </c>
      <c r="CS806" s="18" t="str">
        <f ca="1"/>
        <v/>
      </c>
      <c r="CT806" s="18" t="str">
        <f ca="1"/>
        <v/>
      </c>
      <c r="CV806" s="10"/>
      <c r="CY806" s="18" t="str">
        <f ca="1"/>
        <v/>
      </c>
      <c r="CZ806" s="18" t="str">
        <f ca="1"/>
        <v/>
      </c>
      <c r="DA806" s="18" t="str">
        <f ca="1"/>
        <v/>
      </c>
      <c r="DC806" s="10"/>
    </row>
    <row r="807" spans="1:107" x14ac:dyDescent="0.25">
      <c r="A807" s="46"/>
      <c r="B807" s="52"/>
      <c r="C807" s="52"/>
      <c r="D807" s="16"/>
      <c r="E807" s="52"/>
      <c r="F807" s="52"/>
      <c r="G807" s="50"/>
      <c r="H807" s="17" t="str">
        <f ca="1">IFERROR(__xludf.DUMMYFUNCTION("""COMPUTED_VALUE"""),"")</f>
        <v/>
      </c>
      <c r="I807" s="50" t="s">
        <v>29</v>
      </c>
      <c r="J807" s="50" t="s">
        <v>29</v>
      </c>
      <c r="K807" s="50" t="s">
        <v>29</v>
      </c>
      <c r="L807" s="50" t="s">
        <v>29</v>
      </c>
      <c r="M807" s="50" t="s">
        <v>29</v>
      </c>
      <c r="N807" s="49"/>
      <c r="P807" s="19"/>
      <c r="Q807" s="18" t="str">
        <f ca="1">IFERROR(__xludf.DUMMYFUNCTION("""COMPUTED_VALUE"""),"")</f>
        <v/>
      </c>
      <c r="R807" s="19"/>
      <c r="S807" s="20"/>
      <c r="BP807" s="10"/>
      <c r="BW807" s="10"/>
      <c r="CF807" s="10"/>
      <c r="CM807" s="10"/>
      <c r="CP807" s="18" t="str">
        <f ca="1"/>
        <v/>
      </c>
      <c r="CQ807" s="18" t="str">
        <f ca="1"/>
        <v/>
      </c>
      <c r="CR807" s="18" t="str">
        <f ca="1"/>
        <v/>
      </c>
      <c r="CS807" s="18" t="str">
        <f ca="1"/>
        <v/>
      </c>
      <c r="CT807" s="18" t="str">
        <f ca="1"/>
        <v/>
      </c>
      <c r="CV807" s="10"/>
      <c r="CY807" s="18" t="str">
        <f ca="1"/>
        <v/>
      </c>
      <c r="CZ807" s="18" t="str">
        <f ca="1"/>
        <v/>
      </c>
      <c r="DA807" s="18" t="str">
        <f ca="1"/>
        <v/>
      </c>
      <c r="DC807" s="10"/>
    </row>
    <row r="808" spans="1:107" x14ac:dyDescent="0.25">
      <c r="A808" s="46"/>
      <c r="B808" s="52"/>
      <c r="C808" s="52"/>
      <c r="D808" s="16"/>
      <c r="E808" s="52"/>
      <c r="F808" s="52"/>
      <c r="G808" s="50"/>
      <c r="H808" s="17" t="str">
        <f ca="1">IFERROR(__xludf.DUMMYFUNCTION("""COMPUTED_VALUE"""),"")</f>
        <v/>
      </c>
      <c r="I808" s="50" t="s">
        <v>29</v>
      </c>
      <c r="J808" s="50" t="s">
        <v>29</v>
      </c>
      <c r="K808" s="50" t="s">
        <v>29</v>
      </c>
      <c r="L808" s="50" t="s">
        <v>29</v>
      </c>
      <c r="M808" s="50" t="s">
        <v>29</v>
      </c>
      <c r="N808" s="49"/>
      <c r="P808" s="19"/>
      <c r="Q808" s="18" t="str">
        <f ca="1">IFERROR(__xludf.DUMMYFUNCTION("""COMPUTED_VALUE"""),"")</f>
        <v/>
      </c>
      <c r="R808" s="19"/>
      <c r="S808" s="20"/>
      <c r="BP808" s="10"/>
      <c r="BW808" s="10"/>
      <c r="CF808" s="10"/>
      <c r="CM808" s="10"/>
      <c r="CP808" s="18" t="str">
        <f ca="1"/>
        <v/>
      </c>
      <c r="CQ808" s="18" t="str">
        <f ca="1"/>
        <v/>
      </c>
      <c r="CR808" s="18" t="str">
        <f ca="1"/>
        <v/>
      </c>
      <c r="CS808" s="18" t="str">
        <f ca="1"/>
        <v/>
      </c>
      <c r="CT808" s="18" t="str">
        <f ca="1"/>
        <v/>
      </c>
      <c r="CV808" s="10"/>
      <c r="CY808" s="18" t="str">
        <f ca="1"/>
        <v/>
      </c>
      <c r="CZ808" s="18" t="str">
        <f ca="1"/>
        <v/>
      </c>
      <c r="DA808" s="18" t="str">
        <f ca="1"/>
        <v/>
      </c>
      <c r="DC808" s="10"/>
    </row>
    <row r="809" spans="1:107" x14ac:dyDescent="0.25">
      <c r="A809" s="46"/>
      <c r="B809" s="52"/>
      <c r="C809" s="52"/>
      <c r="D809" s="16"/>
      <c r="E809" s="52"/>
      <c r="F809" s="52"/>
      <c r="G809" s="50"/>
      <c r="H809" s="17" t="str">
        <f ca="1">IFERROR(__xludf.DUMMYFUNCTION("""COMPUTED_VALUE"""),"")</f>
        <v/>
      </c>
      <c r="I809" s="50" t="s">
        <v>29</v>
      </c>
      <c r="J809" s="50" t="s">
        <v>29</v>
      </c>
      <c r="K809" s="50" t="s">
        <v>29</v>
      </c>
      <c r="L809" s="50" t="s">
        <v>29</v>
      </c>
      <c r="M809" s="50" t="s">
        <v>29</v>
      </c>
      <c r="N809" s="49"/>
      <c r="P809" s="19"/>
      <c r="Q809" s="18" t="str">
        <f ca="1">IFERROR(__xludf.DUMMYFUNCTION("""COMPUTED_VALUE"""),"")</f>
        <v/>
      </c>
      <c r="R809" s="19"/>
      <c r="S809" s="20"/>
      <c r="BP809" s="10"/>
      <c r="BW809" s="10"/>
      <c r="CF809" s="10"/>
      <c r="CM809" s="10"/>
      <c r="CP809" s="18" t="str">
        <f ca="1"/>
        <v/>
      </c>
      <c r="CQ809" s="18" t="str">
        <f ca="1"/>
        <v/>
      </c>
      <c r="CR809" s="18" t="str">
        <f ca="1"/>
        <v/>
      </c>
      <c r="CS809" s="18" t="str">
        <f ca="1"/>
        <v/>
      </c>
      <c r="CT809" s="18" t="str">
        <f ca="1"/>
        <v/>
      </c>
      <c r="CV809" s="10"/>
      <c r="CY809" s="18" t="str">
        <f ca="1"/>
        <v/>
      </c>
      <c r="CZ809" s="18" t="str">
        <f ca="1"/>
        <v/>
      </c>
      <c r="DA809" s="18" t="str">
        <f ca="1"/>
        <v/>
      </c>
      <c r="DC809" s="10"/>
    </row>
    <row r="810" spans="1:107" x14ac:dyDescent="0.25">
      <c r="A810" s="46"/>
      <c r="B810" s="52"/>
      <c r="C810" s="52"/>
      <c r="D810" s="16"/>
      <c r="E810" s="52"/>
      <c r="F810" s="52"/>
      <c r="G810" s="50"/>
      <c r="H810" s="17" t="str">
        <f ca="1">IFERROR(__xludf.DUMMYFUNCTION("""COMPUTED_VALUE"""),"")</f>
        <v/>
      </c>
      <c r="I810" s="50" t="s">
        <v>29</v>
      </c>
      <c r="J810" s="50" t="s">
        <v>29</v>
      </c>
      <c r="K810" s="50" t="s">
        <v>29</v>
      </c>
      <c r="L810" s="50" t="s">
        <v>29</v>
      </c>
      <c r="M810" s="50" t="s">
        <v>29</v>
      </c>
      <c r="N810" s="49"/>
      <c r="P810" s="19"/>
      <c r="Q810" s="18" t="str">
        <f ca="1">IFERROR(__xludf.DUMMYFUNCTION("""COMPUTED_VALUE"""),"")</f>
        <v/>
      </c>
      <c r="R810" s="19"/>
      <c r="S810" s="20"/>
      <c r="BP810" s="10"/>
      <c r="BW810" s="10"/>
      <c r="CF810" s="10"/>
      <c r="CM810" s="10"/>
      <c r="CP810" s="18" t="str">
        <f ca="1"/>
        <v/>
      </c>
      <c r="CQ810" s="18" t="str">
        <f ca="1"/>
        <v/>
      </c>
      <c r="CR810" s="18" t="str">
        <f ca="1"/>
        <v/>
      </c>
      <c r="CS810" s="18" t="str">
        <f ca="1"/>
        <v/>
      </c>
      <c r="CT810" s="18" t="str">
        <f ca="1"/>
        <v/>
      </c>
      <c r="CV810" s="10"/>
      <c r="CY810" s="18" t="str">
        <f ca="1"/>
        <v/>
      </c>
      <c r="CZ810" s="18" t="str">
        <f ca="1"/>
        <v/>
      </c>
      <c r="DA810" s="18" t="str">
        <f ca="1"/>
        <v/>
      </c>
      <c r="DC810" s="10"/>
    </row>
    <row r="811" spans="1:107" x14ac:dyDescent="0.25">
      <c r="A811" s="46"/>
      <c r="B811" s="52"/>
      <c r="C811" s="52"/>
      <c r="D811" s="16"/>
      <c r="E811" s="52"/>
      <c r="F811" s="52"/>
      <c r="G811" s="50"/>
      <c r="H811" s="17" t="str">
        <f ca="1">IFERROR(__xludf.DUMMYFUNCTION("""COMPUTED_VALUE"""),"")</f>
        <v/>
      </c>
      <c r="I811" s="50" t="s">
        <v>29</v>
      </c>
      <c r="J811" s="50" t="s">
        <v>29</v>
      </c>
      <c r="K811" s="50" t="s">
        <v>29</v>
      </c>
      <c r="L811" s="50" t="s">
        <v>29</v>
      </c>
      <c r="M811" s="50" t="s">
        <v>29</v>
      </c>
      <c r="N811" s="49"/>
      <c r="P811" s="19"/>
      <c r="Q811" s="18" t="str">
        <f ca="1">IFERROR(__xludf.DUMMYFUNCTION("""COMPUTED_VALUE"""),"")</f>
        <v/>
      </c>
      <c r="R811" s="19"/>
      <c r="S811" s="20"/>
      <c r="BP811" s="10"/>
      <c r="BW811" s="10"/>
      <c r="CF811" s="10"/>
      <c r="CM811" s="10"/>
      <c r="CP811" s="18" t="str">
        <f ca="1"/>
        <v/>
      </c>
      <c r="CQ811" s="18" t="str">
        <f ca="1"/>
        <v/>
      </c>
      <c r="CR811" s="18" t="str">
        <f ca="1"/>
        <v/>
      </c>
      <c r="CS811" s="18" t="str">
        <f ca="1"/>
        <v/>
      </c>
      <c r="CT811" s="18" t="str">
        <f ca="1"/>
        <v/>
      </c>
      <c r="CV811" s="10"/>
      <c r="CY811" s="18" t="str">
        <f ca="1"/>
        <v/>
      </c>
      <c r="CZ811" s="18" t="str">
        <f ca="1"/>
        <v/>
      </c>
      <c r="DA811" s="18" t="str">
        <f ca="1"/>
        <v/>
      </c>
      <c r="DC811" s="10"/>
    </row>
    <row r="812" spans="1:107" x14ac:dyDescent="0.25">
      <c r="A812" s="46"/>
      <c r="B812" s="52"/>
      <c r="C812" s="52"/>
      <c r="D812" s="16"/>
      <c r="E812" s="52"/>
      <c r="F812" s="52"/>
      <c r="G812" s="50"/>
      <c r="H812" s="17" t="str">
        <f ca="1">IFERROR(__xludf.DUMMYFUNCTION("""COMPUTED_VALUE"""),"")</f>
        <v/>
      </c>
      <c r="I812" s="50" t="s">
        <v>29</v>
      </c>
      <c r="J812" s="50" t="s">
        <v>29</v>
      </c>
      <c r="K812" s="50" t="s">
        <v>29</v>
      </c>
      <c r="L812" s="50" t="s">
        <v>29</v>
      </c>
      <c r="M812" s="50" t="s">
        <v>29</v>
      </c>
      <c r="N812" s="49"/>
      <c r="P812" s="19"/>
      <c r="Q812" s="18" t="str">
        <f ca="1">IFERROR(__xludf.DUMMYFUNCTION("""COMPUTED_VALUE"""),"")</f>
        <v/>
      </c>
      <c r="R812" s="19"/>
      <c r="S812" s="20"/>
      <c r="BP812" s="10"/>
      <c r="BW812" s="10"/>
      <c r="CF812" s="10"/>
      <c r="CM812" s="10"/>
      <c r="CP812" s="18" t="str">
        <f ca="1"/>
        <v/>
      </c>
      <c r="CQ812" s="18" t="str">
        <f ca="1"/>
        <v/>
      </c>
      <c r="CR812" s="18" t="str">
        <f ca="1"/>
        <v/>
      </c>
      <c r="CS812" s="18" t="str">
        <f ca="1"/>
        <v/>
      </c>
      <c r="CT812" s="18" t="str">
        <f ca="1"/>
        <v/>
      </c>
      <c r="CV812" s="10"/>
      <c r="CY812" s="18" t="str">
        <f ca="1"/>
        <v/>
      </c>
      <c r="CZ812" s="18" t="str">
        <f ca="1"/>
        <v/>
      </c>
      <c r="DA812" s="18" t="str">
        <f ca="1"/>
        <v/>
      </c>
      <c r="DC812" s="10"/>
    </row>
    <row r="813" spans="1:107" x14ac:dyDescent="0.25">
      <c r="A813" s="46"/>
      <c r="B813" s="52"/>
      <c r="C813" s="52"/>
      <c r="D813" s="16"/>
      <c r="E813" s="52"/>
      <c r="F813" s="52"/>
      <c r="G813" s="50"/>
      <c r="H813" s="17" t="str">
        <f ca="1">IFERROR(__xludf.DUMMYFUNCTION("""COMPUTED_VALUE"""),"")</f>
        <v/>
      </c>
      <c r="I813" s="50" t="s">
        <v>29</v>
      </c>
      <c r="J813" s="50" t="s">
        <v>29</v>
      </c>
      <c r="K813" s="50" t="s">
        <v>29</v>
      </c>
      <c r="L813" s="50" t="s">
        <v>29</v>
      </c>
      <c r="M813" s="50" t="s">
        <v>29</v>
      </c>
      <c r="N813" s="49"/>
      <c r="P813" s="19"/>
      <c r="Q813" s="18" t="str">
        <f ca="1">IFERROR(__xludf.DUMMYFUNCTION("""COMPUTED_VALUE"""),"")</f>
        <v/>
      </c>
      <c r="R813" s="19"/>
      <c r="S813" s="20"/>
      <c r="BP813" s="10"/>
      <c r="BW813" s="10"/>
      <c r="CF813" s="10"/>
      <c r="CM813" s="10"/>
      <c r="CP813" s="18" t="str">
        <f ca="1"/>
        <v/>
      </c>
      <c r="CQ813" s="18" t="str">
        <f ca="1"/>
        <v/>
      </c>
      <c r="CR813" s="18" t="str">
        <f ca="1"/>
        <v/>
      </c>
      <c r="CS813" s="18" t="str">
        <f ca="1"/>
        <v/>
      </c>
      <c r="CT813" s="18" t="str">
        <f ca="1"/>
        <v/>
      </c>
      <c r="CV813" s="10"/>
      <c r="CY813" s="18" t="str">
        <f ca="1"/>
        <v/>
      </c>
      <c r="CZ813" s="18" t="str">
        <f ca="1"/>
        <v/>
      </c>
      <c r="DA813" s="18" t="str">
        <f ca="1"/>
        <v/>
      </c>
      <c r="DC813" s="10"/>
    </row>
    <row r="814" spans="1:107" x14ac:dyDescent="0.25">
      <c r="A814" s="46"/>
      <c r="B814" s="52"/>
      <c r="C814" s="52"/>
      <c r="D814" s="16"/>
      <c r="E814" s="52"/>
      <c r="F814" s="52"/>
      <c r="G814" s="50"/>
      <c r="H814" s="17" t="str">
        <f ca="1">IFERROR(__xludf.DUMMYFUNCTION("""COMPUTED_VALUE"""),"")</f>
        <v/>
      </c>
      <c r="I814" s="50" t="s">
        <v>29</v>
      </c>
      <c r="J814" s="50" t="s">
        <v>29</v>
      </c>
      <c r="K814" s="50" t="s">
        <v>29</v>
      </c>
      <c r="L814" s="50" t="s">
        <v>29</v>
      </c>
      <c r="M814" s="50" t="s">
        <v>29</v>
      </c>
      <c r="N814" s="49"/>
      <c r="P814" s="19"/>
      <c r="Q814" s="18" t="str">
        <f ca="1">IFERROR(__xludf.DUMMYFUNCTION("""COMPUTED_VALUE"""),"")</f>
        <v/>
      </c>
      <c r="R814" s="19"/>
      <c r="S814" s="20"/>
      <c r="BP814" s="10"/>
      <c r="BW814" s="10"/>
      <c r="CF814" s="10"/>
      <c r="CM814" s="10"/>
      <c r="CP814" s="18" t="str">
        <f ca="1"/>
        <v/>
      </c>
      <c r="CQ814" s="18" t="str">
        <f ca="1"/>
        <v/>
      </c>
      <c r="CR814" s="18" t="str">
        <f ca="1"/>
        <v/>
      </c>
      <c r="CS814" s="18" t="str">
        <f ca="1"/>
        <v/>
      </c>
      <c r="CT814" s="18" t="str">
        <f ca="1"/>
        <v/>
      </c>
      <c r="CV814" s="10"/>
      <c r="CY814" s="18" t="str">
        <f ca="1"/>
        <v/>
      </c>
      <c r="CZ814" s="18" t="str">
        <f ca="1"/>
        <v/>
      </c>
      <c r="DA814" s="18" t="str">
        <f ca="1"/>
        <v/>
      </c>
      <c r="DC814" s="10"/>
    </row>
    <row r="815" spans="1:107" x14ac:dyDescent="0.25">
      <c r="A815" s="46"/>
      <c r="B815" s="52"/>
      <c r="C815" s="52"/>
      <c r="D815" s="16"/>
      <c r="E815" s="52"/>
      <c r="F815" s="52"/>
      <c r="G815" s="50"/>
      <c r="H815" s="17" t="str">
        <f ca="1">IFERROR(__xludf.DUMMYFUNCTION("""COMPUTED_VALUE"""),"")</f>
        <v/>
      </c>
      <c r="I815" s="50" t="s">
        <v>29</v>
      </c>
      <c r="J815" s="50" t="s">
        <v>29</v>
      </c>
      <c r="K815" s="50" t="s">
        <v>29</v>
      </c>
      <c r="L815" s="50" t="s">
        <v>29</v>
      </c>
      <c r="M815" s="50" t="s">
        <v>29</v>
      </c>
      <c r="N815" s="49"/>
      <c r="P815" s="19"/>
      <c r="Q815" s="18" t="str">
        <f ca="1">IFERROR(__xludf.DUMMYFUNCTION("""COMPUTED_VALUE"""),"")</f>
        <v/>
      </c>
      <c r="R815" s="19"/>
      <c r="S815" s="20"/>
      <c r="BP815" s="10"/>
      <c r="BW815" s="10"/>
      <c r="CF815" s="10"/>
      <c r="CM815" s="10"/>
      <c r="CP815" s="18" t="str">
        <f ca="1"/>
        <v/>
      </c>
      <c r="CQ815" s="18" t="str">
        <f ca="1"/>
        <v/>
      </c>
      <c r="CR815" s="18" t="str">
        <f ca="1"/>
        <v/>
      </c>
      <c r="CS815" s="18" t="str">
        <f ca="1"/>
        <v/>
      </c>
      <c r="CT815" s="18" t="str">
        <f ca="1"/>
        <v/>
      </c>
      <c r="CV815" s="10"/>
      <c r="CY815" s="18" t="str">
        <f ca="1"/>
        <v/>
      </c>
      <c r="CZ815" s="18" t="str">
        <f ca="1"/>
        <v/>
      </c>
      <c r="DA815" s="18" t="str">
        <f ca="1"/>
        <v/>
      </c>
      <c r="DC815" s="10"/>
    </row>
    <row r="816" spans="1:107" x14ac:dyDescent="0.25">
      <c r="A816" s="46"/>
      <c r="B816" s="52"/>
      <c r="C816" s="52"/>
      <c r="D816" s="16"/>
      <c r="E816" s="52"/>
      <c r="F816" s="52"/>
      <c r="G816" s="50"/>
      <c r="H816" s="17" t="str">
        <f ca="1">IFERROR(__xludf.DUMMYFUNCTION("""COMPUTED_VALUE"""),"")</f>
        <v/>
      </c>
      <c r="I816" s="50" t="s">
        <v>29</v>
      </c>
      <c r="J816" s="50" t="s">
        <v>29</v>
      </c>
      <c r="K816" s="50" t="s">
        <v>29</v>
      </c>
      <c r="L816" s="50" t="s">
        <v>29</v>
      </c>
      <c r="M816" s="50" t="s">
        <v>29</v>
      </c>
      <c r="N816" s="49"/>
      <c r="P816" s="19"/>
      <c r="Q816" s="18" t="str">
        <f ca="1">IFERROR(__xludf.DUMMYFUNCTION("""COMPUTED_VALUE"""),"")</f>
        <v/>
      </c>
      <c r="R816" s="19"/>
      <c r="S816" s="20"/>
      <c r="BP816" s="10"/>
      <c r="BW816" s="10"/>
      <c r="CF816" s="10"/>
      <c r="CM816" s="10"/>
      <c r="CP816" s="18" t="str">
        <f ca="1"/>
        <v/>
      </c>
      <c r="CQ816" s="18" t="str">
        <f ca="1"/>
        <v/>
      </c>
      <c r="CR816" s="18" t="str">
        <f ca="1"/>
        <v/>
      </c>
      <c r="CS816" s="18" t="str">
        <f ca="1"/>
        <v/>
      </c>
      <c r="CT816" s="18" t="str">
        <f ca="1"/>
        <v/>
      </c>
      <c r="CV816" s="10"/>
      <c r="CY816" s="18" t="str">
        <f ca="1"/>
        <v/>
      </c>
      <c r="CZ816" s="18" t="str">
        <f ca="1"/>
        <v/>
      </c>
      <c r="DA816" s="18" t="str">
        <f ca="1"/>
        <v/>
      </c>
      <c r="DC816" s="10"/>
    </row>
    <row r="817" spans="1:107" x14ac:dyDescent="0.25">
      <c r="A817" s="46"/>
      <c r="B817" s="52"/>
      <c r="C817" s="52"/>
      <c r="D817" s="16"/>
      <c r="E817" s="52"/>
      <c r="F817" s="52"/>
      <c r="G817" s="50"/>
      <c r="H817" s="17" t="str">
        <f ca="1">IFERROR(__xludf.DUMMYFUNCTION("""COMPUTED_VALUE"""),"")</f>
        <v/>
      </c>
      <c r="I817" s="50" t="s">
        <v>29</v>
      </c>
      <c r="J817" s="50" t="s">
        <v>29</v>
      </c>
      <c r="K817" s="50" t="s">
        <v>29</v>
      </c>
      <c r="L817" s="50" t="s">
        <v>29</v>
      </c>
      <c r="M817" s="50" t="s">
        <v>29</v>
      </c>
      <c r="N817" s="49"/>
      <c r="P817" s="19"/>
      <c r="Q817" s="18" t="str">
        <f ca="1">IFERROR(__xludf.DUMMYFUNCTION("""COMPUTED_VALUE"""),"")</f>
        <v/>
      </c>
      <c r="R817" s="19"/>
      <c r="S817" s="20"/>
      <c r="BP817" s="10"/>
      <c r="BW817" s="10"/>
      <c r="CF817" s="10"/>
      <c r="CM817" s="10"/>
      <c r="CP817" s="18" t="str">
        <f ca="1"/>
        <v/>
      </c>
      <c r="CQ817" s="18" t="str">
        <f ca="1"/>
        <v/>
      </c>
      <c r="CR817" s="18" t="str">
        <f ca="1"/>
        <v/>
      </c>
      <c r="CS817" s="18" t="str">
        <f ca="1"/>
        <v/>
      </c>
      <c r="CT817" s="18" t="str">
        <f ca="1"/>
        <v/>
      </c>
      <c r="CV817" s="10"/>
      <c r="CY817" s="18" t="str">
        <f ca="1"/>
        <v/>
      </c>
      <c r="CZ817" s="18" t="str">
        <f ca="1"/>
        <v/>
      </c>
      <c r="DA817" s="18" t="str">
        <f ca="1"/>
        <v/>
      </c>
      <c r="DC817" s="10"/>
    </row>
    <row r="818" spans="1:107" x14ac:dyDescent="0.25">
      <c r="A818" s="46"/>
      <c r="B818" s="52"/>
      <c r="C818" s="52"/>
      <c r="D818" s="16"/>
      <c r="E818" s="52"/>
      <c r="F818" s="52"/>
      <c r="G818" s="50"/>
      <c r="H818" s="17" t="str">
        <f ca="1">IFERROR(__xludf.DUMMYFUNCTION("""COMPUTED_VALUE"""),"")</f>
        <v/>
      </c>
      <c r="I818" s="50" t="s">
        <v>29</v>
      </c>
      <c r="J818" s="50" t="s">
        <v>29</v>
      </c>
      <c r="K818" s="50" t="s">
        <v>29</v>
      </c>
      <c r="L818" s="50" t="s">
        <v>29</v>
      </c>
      <c r="M818" s="50" t="s">
        <v>29</v>
      </c>
      <c r="N818" s="49"/>
      <c r="P818" s="19"/>
      <c r="Q818" s="18" t="str">
        <f ca="1">IFERROR(__xludf.DUMMYFUNCTION("""COMPUTED_VALUE"""),"")</f>
        <v/>
      </c>
      <c r="R818" s="19"/>
      <c r="S818" s="20"/>
      <c r="BP818" s="10"/>
      <c r="BW818" s="10"/>
      <c r="CF818" s="10"/>
      <c r="CM818" s="10"/>
      <c r="CP818" s="18" t="str">
        <f ca="1"/>
        <v/>
      </c>
      <c r="CQ818" s="18" t="str">
        <f ca="1"/>
        <v/>
      </c>
      <c r="CR818" s="18" t="str">
        <f ca="1"/>
        <v/>
      </c>
      <c r="CS818" s="18" t="str">
        <f ca="1"/>
        <v/>
      </c>
      <c r="CT818" s="18" t="str">
        <f ca="1"/>
        <v/>
      </c>
      <c r="CV818" s="10"/>
      <c r="CY818" s="18" t="str">
        <f ca="1"/>
        <v/>
      </c>
      <c r="CZ818" s="18" t="str">
        <f ca="1"/>
        <v/>
      </c>
      <c r="DA818" s="18" t="str">
        <f ca="1"/>
        <v/>
      </c>
      <c r="DC818" s="10"/>
    </row>
    <row r="819" spans="1:107" x14ac:dyDescent="0.25">
      <c r="A819" s="46"/>
      <c r="B819" s="52"/>
      <c r="C819" s="52"/>
      <c r="D819" s="16"/>
      <c r="E819" s="52"/>
      <c r="F819" s="52"/>
      <c r="G819" s="50"/>
      <c r="H819" s="17" t="str">
        <f ca="1">IFERROR(__xludf.DUMMYFUNCTION("""COMPUTED_VALUE"""),"")</f>
        <v/>
      </c>
      <c r="I819" s="50" t="s">
        <v>29</v>
      </c>
      <c r="J819" s="50" t="s">
        <v>29</v>
      </c>
      <c r="K819" s="50" t="s">
        <v>29</v>
      </c>
      <c r="L819" s="50" t="s">
        <v>29</v>
      </c>
      <c r="M819" s="50" t="s">
        <v>29</v>
      </c>
      <c r="N819" s="49"/>
      <c r="P819" s="19"/>
      <c r="Q819" s="18" t="str">
        <f ca="1">IFERROR(__xludf.DUMMYFUNCTION("""COMPUTED_VALUE"""),"")</f>
        <v/>
      </c>
      <c r="R819" s="19"/>
      <c r="S819" s="20"/>
      <c r="BP819" s="10"/>
      <c r="BW819" s="10"/>
      <c r="CF819" s="10"/>
      <c r="CM819" s="10"/>
      <c r="CP819" s="18" t="str">
        <f ca="1"/>
        <v/>
      </c>
      <c r="CQ819" s="18" t="str">
        <f ca="1"/>
        <v/>
      </c>
      <c r="CR819" s="18" t="str">
        <f ca="1"/>
        <v/>
      </c>
      <c r="CS819" s="18" t="str">
        <f ca="1"/>
        <v/>
      </c>
      <c r="CT819" s="18" t="str">
        <f ca="1"/>
        <v/>
      </c>
      <c r="CV819" s="10"/>
      <c r="CY819" s="18" t="str">
        <f ca="1"/>
        <v/>
      </c>
      <c r="CZ819" s="18" t="str">
        <f ca="1"/>
        <v/>
      </c>
      <c r="DA819" s="18" t="str">
        <f ca="1"/>
        <v/>
      </c>
      <c r="DC819" s="10"/>
    </row>
    <row r="820" spans="1:107" x14ac:dyDescent="0.25">
      <c r="A820" s="46"/>
      <c r="B820" s="52"/>
      <c r="C820" s="52"/>
      <c r="D820" s="16"/>
      <c r="E820" s="52"/>
      <c r="F820" s="52"/>
      <c r="G820" s="50"/>
      <c r="H820" s="17" t="str">
        <f ca="1">IFERROR(__xludf.DUMMYFUNCTION("""COMPUTED_VALUE"""),"")</f>
        <v/>
      </c>
      <c r="I820" s="50" t="s">
        <v>29</v>
      </c>
      <c r="J820" s="50" t="s">
        <v>29</v>
      </c>
      <c r="K820" s="50" t="s">
        <v>29</v>
      </c>
      <c r="L820" s="50" t="s">
        <v>29</v>
      </c>
      <c r="M820" s="50" t="s">
        <v>29</v>
      </c>
      <c r="N820" s="49"/>
      <c r="P820" s="19"/>
      <c r="Q820" s="18" t="str">
        <f ca="1">IFERROR(__xludf.DUMMYFUNCTION("""COMPUTED_VALUE"""),"")</f>
        <v/>
      </c>
      <c r="R820" s="19"/>
      <c r="S820" s="20"/>
      <c r="BP820" s="10"/>
      <c r="BW820" s="10"/>
      <c r="CF820" s="10"/>
      <c r="CM820" s="10"/>
      <c r="CP820" s="18" t="str">
        <f ca="1"/>
        <v/>
      </c>
      <c r="CQ820" s="18" t="str">
        <f ca="1"/>
        <v/>
      </c>
      <c r="CR820" s="18" t="str">
        <f ca="1"/>
        <v/>
      </c>
      <c r="CS820" s="18" t="str">
        <f ca="1"/>
        <v/>
      </c>
      <c r="CT820" s="18" t="str">
        <f ca="1"/>
        <v/>
      </c>
      <c r="CV820" s="10"/>
      <c r="CY820" s="18" t="str">
        <f ca="1"/>
        <v/>
      </c>
      <c r="CZ820" s="18" t="str">
        <f ca="1"/>
        <v/>
      </c>
      <c r="DA820" s="18" t="str">
        <f ca="1"/>
        <v/>
      </c>
      <c r="DC820" s="10"/>
    </row>
    <row r="821" spans="1:107" x14ac:dyDescent="0.25">
      <c r="A821" s="46"/>
      <c r="B821" s="52"/>
      <c r="C821" s="52"/>
      <c r="D821" s="16"/>
      <c r="E821" s="52"/>
      <c r="F821" s="52"/>
      <c r="G821" s="50"/>
      <c r="H821" s="17" t="str">
        <f ca="1">IFERROR(__xludf.DUMMYFUNCTION("""COMPUTED_VALUE"""),"")</f>
        <v/>
      </c>
      <c r="I821" s="50" t="s">
        <v>29</v>
      </c>
      <c r="J821" s="50" t="s">
        <v>29</v>
      </c>
      <c r="K821" s="50" t="s">
        <v>29</v>
      </c>
      <c r="L821" s="50" t="s">
        <v>29</v>
      </c>
      <c r="M821" s="50" t="s">
        <v>29</v>
      </c>
      <c r="N821" s="49"/>
      <c r="P821" s="19"/>
      <c r="Q821" s="18" t="str">
        <f ca="1">IFERROR(__xludf.DUMMYFUNCTION("""COMPUTED_VALUE"""),"")</f>
        <v/>
      </c>
      <c r="R821" s="19"/>
      <c r="S821" s="20"/>
      <c r="BP821" s="10"/>
      <c r="BW821" s="10"/>
      <c r="CF821" s="10"/>
      <c r="CM821" s="10"/>
      <c r="CP821" s="18" t="str">
        <f ca="1"/>
        <v/>
      </c>
      <c r="CQ821" s="18" t="str">
        <f ca="1"/>
        <v/>
      </c>
      <c r="CR821" s="18" t="str">
        <f ca="1"/>
        <v/>
      </c>
      <c r="CS821" s="18" t="str">
        <f ca="1"/>
        <v/>
      </c>
      <c r="CT821" s="18" t="str">
        <f ca="1"/>
        <v/>
      </c>
      <c r="CV821" s="10"/>
      <c r="CY821" s="18" t="str">
        <f ca="1"/>
        <v/>
      </c>
      <c r="CZ821" s="18" t="str">
        <f ca="1"/>
        <v/>
      </c>
      <c r="DA821" s="18" t="str">
        <f ca="1"/>
        <v/>
      </c>
      <c r="DC821" s="10"/>
    </row>
    <row r="822" spans="1:107" x14ac:dyDescent="0.25">
      <c r="A822" s="46"/>
      <c r="B822" s="52"/>
      <c r="C822" s="52"/>
      <c r="D822" s="16"/>
      <c r="E822" s="52"/>
      <c r="F822" s="52"/>
      <c r="G822" s="50"/>
      <c r="H822" s="17" t="str">
        <f ca="1">IFERROR(__xludf.DUMMYFUNCTION("""COMPUTED_VALUE"""),"")</f>
        <v/>
      </c>
      <c r="I822" s="50" t="s">
        <v>29</v>
      </c>
      <c r="J822" s="50" t="s">
        <v>29</v>
      </c>
      <c r="K822" s="50" t="s">
        <v>29</v>
      </c>
      <c r="L822" s="50" t="s">
        <v>29</v>
      </c>
      <c r="M822" s="50" t="s">
        <v>29</v>
      </c>
      <c r="N822" s="49"/>
      <c r="P822" s="19"/>
      <c r="Q822" s="18" t="str">
        <f ca="1">IFERROR(__xludf.DUMMYFUNCTION("""COMPUTED_VALUE"""),"")</f>
        <v/>
      </c>
      <c r="R822" s="19"/>
      <c r="S822" s="20"/>
      <c r="BP822" s="10"/>
      <c r="BW822" s="10"/>
      <c r="CF822" s="10"/>
      <c r="CM822" s="10"/>
      <c r="CP822" s="18" t="str">
        <f ca="1"/>
        <v/>
      </c>
      <c r="CQ822" s="18" t="str">
        <f ca="1"/>
        <v/>
      </c>
      <c r="CR822" s="18" t="str">
        <f ca="1"/>
        <v/>
      </c>
      <c r="CS822" s="18" t="str">
        <f ca="1"/>
        <v/>
      </c>
      <c r="CT822" s="18" t="str">
        <f ca="1"/>
        <v/>
      </c>
      <c r="CV822" s="10"/>
      <c r="CY822" s="18" t="str">
        <f ca="1"/>
        <v/>
      </c>
      <c r="CZ822" s="18" t="str">
        <f ca="1"/>
        <v/>
      </c>
      <c r="DA822" s="18" t="str">
        <f ca="1"/>
        <v/>
      </c>
      <c r="DC822" s="10"/>
    </row>
    <row r="823" spans="1:107" x14ac:dyDescent="0.25">
      <c r="A823" s="46"/>
      <c r="B823" s="52"/>
      <c r="C823" s="52"/>
      <c r="D823" s="16"/>
      <c r="E823" s="52"/>
      <c r="F823" s="52"/>
      <c r="G823" s="50"/>
      <c r="H823" s="17" t="str">
        <f ca="1">IFERROR(__xludf.DUMMYFUNCTION("""COMPUTED_VALUE"""),"")</f>
        <v/>
      </c>
      <c r="I823" s="50" t="s">
        <v>29</v>
      </c>
      <c r="J823" s="50" t="s">
        <v>29</v>
      </c>
      <c r="K823" s="50" t="s">
        <v>29</v>
      </c>
      <c r="L823" s="50" t="s">
        <v>29</v>
      </c>
      <c r="M823" s="50" t="s">
        <v>29</v>
      </c>
      <c r="N823" s="49"/>
      <c r="P823" s="19"/>
      <c r="Q823" s="18" t="str">
        <f ca="1">IFERROR(__xludf.DUMMYFUNCTION("""COMPUTED_VALUE"""),"")</f>
        <v/>
      </c>
      <c r="R823" s="19"/>
      <c r="S823" s="20"/>
      <c r="BP823" s="10"/>
      <c r="BW823" s="10"/>
      <c r="CF823" s="10"/>
      <c r="CM823" s="10"/>
      <c r="CP823" s="18" t="str">
        <f ca="1"/>
        <v/>
      </c>
      <c r="CQ823" s="18" t="str">
        <f ca="1"/>
        <v/>
      </c>
      <c r="CR823" s="18" t="str">
        <f ca="1"/>
        <v/>
      </c>
      <c r="CS823" s="18" t="str">
        <f ca="1"/>
        <v/>
      </c>
      <c r="CT823" s="18" t="str">
        <f ca="1"/>
        <v/>
      </c>
      <c r="CV823" s="10"/>
      <c r="CY823" s="18" t="str">
        <f ca="1"/>
        <v/>
      </c>
      <c r="CZ823" s="18" t="str">
        <f ca="1"/>
        <v/>
      </c>
      <c r="DA823" s="18" t="str">
        <f ca="1"/>
        <v/>
      </c>
      <c r="DC823" s="10"/>
    </row>
    <row r="824" spans="1:107" x14ac:dyDescent="0.25">
      <c r="A824" s="46"/>
      <c r="B824" s="52"/>
      <c r="C824" s="52"/>
      <c r="D824" s="16"/>
      <c r="E824" s="52"/>
      <c r="F824" s="52"/>
      <c r="G824" s="50"/>
      <c r="H824" s="17" t="str">
        <f ca="1">IFERROR(__xludf.DUMMYFUNCTION("""COMPUTED_VALUE"""),"")</f>
        <v/>
      </c>
      <c r="I824" s="50" t="s">
        <v>29</v>
      </c>
      <c r="J824" s="50" t="s">
        <v>29</v>
      </c>
      <c r="K824" s="50" t="s">
        <v>29</v>
      </c>
      <c r="L824" s="50" t="s">
        <v>29</v>
      </c>
      <c r="M824" s="50" t="s">
        <v>29</v>
      </c>
      <c r="N824" s="49"/>
      <c r="P824" s="19"/>
      <c r="Q824" s="18" t="str">
        <f ca="1">IFERROR(__xludf.DUMMYFUNCTION("""COMPUTED_VALUE"""),"")</f>
        <v/>
      </c>
      <c r="R824" s="19"/>
      <c r="S824" s="20"/>
      <c r="BP824" s="10"/>
      <c r="BW824" s="10"/>
      <c r="CF824" s="10"/>
      <c r="CM824" s="10"/>
      <c r="CP824" s="18" t="str">
        <f ca="1"/>
        <v/>
      </c>
      <c r="CQ824" s="18" t="str">
        <f ca="1"/>
        <v/>
      </c>
      <c r="CR824" s="18" t="str">
        <f ca="1"/>
        <v/>
      </c>
      <c r="CS824" s="18" t="str">
        <f ca="1"/>
        <v/>
      </c>
      <c r="CT824" s="18" t="str">
        <f ca="1"/>
        <v/>
      </c>
      <c r="CV824" s="10"/>
      <c r="CY824" s="18" t="str">
        <f ca="1"/>
        <v/>
      </c>
      <c r="CZ824" s="18" t="str">
        <f ca="1"/>
        <v/>
      </c>
      <c r="DA824" s="18" t="str">
        <f ca="1"/>
        <v/>
      </c>
      <c r="DC824" s="10"/>
    </row>
    <row r="825" spans="1:107" x14ac:dyDescent="0.25">
      <c r="A825" s="46"/>
      <c r="B825" s="52"/>
      <c r="C825" s="52"/>
      <c r="D825" s="16"/>
      <c r="E825" s="52"/>
      <c r="F825" s="52"/>
      <c r="G825" s="50"/>
      <c r="H825" s="17" t="str">
        <f ca="1">IFERROR(__xludf.DUMMYFUNCTION("""COMPUTED_VALUE"""),"")</f>
        <v/>
      </c>
      <c r="I825" s="50" t="s">
        <v>29</v>
      </c>
      <c r="J825" s="50" t="s">
        <v>29</v>
      </c>
      <c r="K825" s="50" t="s">
        <v>29</v>
      </c>
      <c r="L825" s="50" t="s">
        <v>29</v>
      </c>
      <c r="M825" s="50" t="s">
        <v>29</v>
      </c>
      <c r="N825" s="49"/>
      <c r="P825" s="19"/>
      <c r="Q825" s="18" t="str">
        <f ca="1">IFERROR(__xludf.DUMMYFUNCTION("""COMPUTED_VALUE"""),"")</f>
        <v/>
      </c>
      <c r="R825" s="19"/>
      <c r="S825" s="20"/>
      <c r="BP825" s="10"/>
      <c r="BW825" s="10"/>
      <c r="CF825" s="10"/>
      <c r="CM825" s="10"/>
      <c r="CP825" s="18" t="str">
        <f ca="1"/>
        <v/>
      </c>
      <c r="CQ825" s="18" t="str">
        <f ca="1"/>
        <v/>
      </c>
      <c r="CR825" s="18" t="str">
        <f ca="1"/>
        <v/>
      </c>
      <c r="CS825" s="18" t="str">
        <f ca="1"/>
        <v/>
      </c>
      <c r="CT825" s="18" t="str">
        <f ca="1"/>
        <v/>
      </c>
      <c r="CV825" s="10"/>
      <c r="CY825" s="18" t="str">
        <f ca="1"/>
        <v/>
      </c>
      <c r="CZ825" s="18" t="str">
        <f ca="1"/>
        <v/>
      </c>
      <c r="DA825" s="18" t="str">
        <f ca="1"/>
        <v/>
      </c>
      <c r="DC825" s="10"/>
    </row>
    <row r="826" spans="1:107" x14ac:dyDescent="0.25">
      <c r="A826" s="46"/>
      <c r="B826" s="52"/>
      <c r="C826" s="52"/>
      <c r="D826" s="16"/>
      <c r="E826" s="52"/>
      <c r="F826" s="52"/>
      <c r="G826" s="50"/>
      <c r="H826" s="17" t="str">
        <f ca="1">IFERROR(__xludf.DUMMYFUNCTION("""COMPUTED_VALUE"""),"")</f>
        <v/>
      </c>
      <c r="I826" s="50" t="s">
        <v>29</v>
      </c>
      <c r="J826" s="50" t="s">
        <v>29</v>
      </c>
      <c r="K826" s="50" t="s">
        <v>29</v>
      </c>
      <c r="L826" s="50" t="s">
        <v>29</v>
      </c>
      <c r="M826" s="50" t="s">
        <v>29</v>
      </c>
      <c r="N826" s="49"/>
      <c r="P826" s="19"/>
      <c r="Q826" s="18" t="str">
        <f ca="1">IFERROR(__xludf.DUMMYFUNCTION("""COMPUTED_VALUE"""),"")</f>
        <v/>
      </c>
      <c r="R826" s="19"/>
      <c r="S826" s="20"/>
      <c r="BP826" s="10"/>
      <c r="BW826" s="10"/>
      <c r="CF826" s="10"/>
      <c r="CM826" s="10"/>
      <c r="CP826" s="18" t="str">
        <f ca="1"/>
        <v/>
      </c>
      <c r="CQ826" s="18" t="str">
        <f ca="1"/>
        <v/>
      </c>
      <c r="CR826" s="18" t="str">
        <f ca="1"/>
        <v/>
      </c>
      <c r="CS826" s="18" t="str">
        <f ca="1"/>
        <v/>
      </c>
      <c r="CT826" s="18" t="str">
        <f ca="1"/>
        <v/>
      </c>
      <c r="CV826" s="10"/>
      <c r="CY826" s="18" t="str">
        <f ca="1"/>
        <v/>
      </c>
      <c r="CZ826" s="18" t="str">
        <f ca="1"/>
        <v/>
      </c>
      <c r="DA826" s="18" t="str">
        <f ca="1"/>
        <v/>
      </c>
      <c r="DC826" s="10"/>
    </row>
    <row r="827" spans="1:107" x14ac:dyDescent="0.25">
      <c r="A827" s="46"/>
      <c r="B827" s="52"/>
      <c r="C827" s="52"/>
      <c r="D827" s="16"/>
      <c r="E827" s="52"/>
      <c r="F827" s="52"/>
      <c r="G827" s="50"/>
      <c r="H827" s="17" t="str">
        <f ca="1">IFERROR(__xludf.DUMMYFUNCTION("""COMPUTED_VALUE"""),"")</f>
        <v/>
      </c>
      <c r="I827" s="50" t="s">
        <v>29</v>
      </c>
      <c r="J827" s="50" t="s">
        <v>29</v>
      </c>
      <c r="K827" s="50" t="s">
        <v>29</v>
      </c>
      <c r="L827" s="50" t="s">
        <v>29</v>
      </c>
      <c r="M827" s="50" t="s">
        <v>29</v>
      </c>
      <c r="N827" s="49"/>
      <c r="P827" s="19"/>
      <c r="Q827" s="18" t="str">
        <f ca="1">IFERROR(__xludf.DUMMYFUNCTION("""COMPUTED_VALUE"""),"")</f>
        <v/>
      </c>
      <c r="R827" s="19"/>
      <c r="S827" s="20"/>
      <c r="BP827" s="10"/>
      <c r="BW827" s="10"/>
      <c r="CF827" s="10"/>
      <c r="CM827" s="10"/>
      <c r="CP827" s="18" t="str">
        <f ca="1"/>
        <v/>
      </c>
      <c r="CQ827" s="18" t="str">
        <f ca="1"/>
        <v/>
      </c>
      <c r="CR827" s="18" t="str">
        <f ca="1"/>
        <v/>
      </c>
      <c r="CS827" s="18" t="str">
        <f ca="1"/>
        <v/>
      </c>
      <c r="CT827" s="18" t="str">
        <f ca="1"/>
        <v/>
      </c>
      <c r="CV827" s="10"/>
      <c r="CY827" s="18" t="str">
        <f ca="1"/>
        <v/>
      </c>
      <c r="CZ827" s="18" t="str">
        <f ca="1"/>
        <v/>
      </c>
      <c r="DA827" s="18" t="str">
        <f ca="1"/>
        <v/>
      </c>
      <c r="DC827" s="10"/>
    </row>
    <row r="828" spans="1:107" x14ac:dyDescent="0.25">
      <c r="A828" s="46"/>
      <c r="B828" s="52"/>
      <c r="C828" s="52"/>
      <c r="D828" s="16"/>
      <c r="E828" s="52"/>
      <c r="F828" s="52"/>
      <c r="G828" s="50"/>
      <c r="H828" s="17" t="str">
        <f ca="1">IFERROR(__xludf.DUMMYFUNCTION("""COMPUTED_VALUE"""),"")</f>
        <v/>
      </c>
      <c r="I828" s="50" t="s">
        <v>29</v>
      </c>
      <c r="J828" s="50" t="s">
        <v>29</v>
      </c>
      <c r="K828" s="50" t="s">
        <v>29</v>
      </c>
      <c r="L828" s="50" t="s">
        <v>29</v>
      </c>
      <c r="M828" s="50" t="s">
        <v>29</v>
      </c>
      <c r="N828" s="49"/>
      <c r="P828" s="19"/>
      <c r="Q828" s="18" t="str">
        <f ca="1">IFERROR(__xludf.DUMMYFUNCTION("""COMPUTED_VALUE"""),"")</f>
        <v/>
      </c>
      <c r="R828" s="19"/>
      <c r="S828" s="20"/>
      <c r="BP828" s="10"/>
      <c r="BW828" s="10"/>
      <c r="CF828" s="10"/>
      <c r="CM828" s="10"/>
      <c r="CP828" s="18" t="str">
        <f ca="1"/>
        <v/>
      </c>
      <c r="CQ828" s="18" t="str">
        <f ca="1"/>
        <v/>
      </c>
      <c r="CR828" s="18" t="str">
        <f ca="1"/>
        <v/>
      </c>
      <c r="CS828" s="18" t="str">
        <f ca="1"/>
        <v/>
      </c>
      <c r="CT828" s="18" t="str">
        <f ca="1"/>
        <v/>
      </c>
      <c r="CV828" s="10"/>
      <c r="CY828" s="18" t="str">
        <f ca="1"/>
        <v/>
      </c>
      <c r="CZ828" s="18" t="str">
        <f ca="1"/>
        <v/>
      </c>
      <c r="DA828" s="18" t="str">
        <f ca="1"/>
        <v/>
      </c>
      <c r="DC828" s="10"/>
    </row>
    <row r="829" spans="1:107" x14ac:dyDescent="0.25">
      <c r="A829" s="46"/>
      <c r="B829" s="52"/>
      <c r="C829" s="52"/>
      <c r="D829" s="16"/>
      <c r="E829" s="52"/>
      <c r="F829" s="52"/>
      <c r="G829" s="50"/>
      <c r="H829" s="17" t="str">
        <f ca="1">IFERROR(__xludf.DUMMYFUNCTION("""COMPUTED_VALUE"""),"")</f>
        <v/>
      </c>
      <c r="I829" s="50" t="s">
        <v>29</v>
      </c>
      <c r="J829" s="50" t="s">
        <v>29</v>
      </c>
      <c r="K829" s="50" t="s">
        <v>29</v>
      </c>
      <c r="L829" s="50" t="s">
        <v>29</v>
      </c>
      <c r="M829" s="50" t="s">
        <v>29</v>
      </c>
      <c r="N829" s="49"/>
      <c r="P829" s="19"/>
      <c r="Q829" s="18" t="str">
        <f ca="1">IFERROR(__xludf.DUMMYFUNCTION("""COMPUTED_VALUE"""),"")</f>
        <v/>
      </c>
      <c r="R829" s="19"/>
      <c r="S829" s="20"/>
      <c r="BP829" s="10"/>
      <c r="BW829" s="10"/>
      <c r="CF829" s="10"/>
      <c r="CM829" s="10"/>
      <c r="CP829" s="18" t="str">
        <f ca="1"/>
        <v/>
      </c>
      <c r="CQ829" s="18" t="str">
        <f ca="1"/>
        <v/>
      </c>
      <c r="CR829" s="18" t="str">
        <f ca="1"/>
        <v/>
      </c>
      <c r="CS829" s="18" t="str">
        <f ca="1"/>
        <v/>
      </c>
      <c r="CT829" s="18" t="str">
        <f ca="1"/>
        <v/>
      </c>
      <c r="CV829" s="10"/>
      <c r="CY829" s="18" t="str">
        <f ca="1"/>
        <v/>
      </c>
      <c r="CZ829" s="18" t="str">
        <f ca="1"/>
        <v/>
      </c>
      <c r="DA829" s="18" t="str">
        <f ca="1"/>
        <v/>
      </c>
      <c r="DC829" s="10"/>
    </row>
    <row r="830" spans="1:107" x14ac:dyDescent="0.25">
      <c r="A830" s="46"/>
      <c r="B830" s="52"/>
      <c r="C830" s="52"/>
      <c r="D830" s="16"/>
      <c r="E830" s="52"/>
      <c r="F830" s="52"/>
      <c r="G830" s="50"/>
      <c r="H830" s="17" t="str">
        <f ca="1">IFERROR(__xludf.DUMMYFUNCTION("""COMPUTED_VALUE"""),"")</f>
        <v/>
      </c>
      <c r="I830" s="50" t="s">
        <v>29</v>
      </c>
      <c r="J830" s="50" t="s">
        <v>29</v>
      </c>
      <c r="K830" s="50" t="s">
        <v>29</v>
      </c>
      <c r="L830" s="50" t="s">
        <v>29</v>
      </c>
      <c r="M830" s="50" t="s">
        <v>29</v>
      </c>
      <c r="N830" s="49"/>
      <c r="P830" s="19"/>
      <c r="Q830" s="18" t="str">
        <f ca="1">IFERROR(__xludf.DUMMYFUNCTION("""COMPUTED_VALUE"""),"")</f>
        <v/>
      </c>
      <c r="R830" s="19"/>
      <c r="S830" s="20"/>
      <c r="BP830" s="10"/>
      <c r="BW830" s="10"/>
      <c r="CF830" s="10"/>
      <c r="CM830" s="10"/>
      <c r="CP830" s="18" t="str">
        <f ca="1"/>
        <v/>
      </c>
      <c r="CQ830" s="18" t="str">
        <f ca="1"/>
        <v/>
      </c>
      <c r="CR830" s="18" t="str">
        <f ca="1"/>
        <v/>
      </c>
      <c r="CS830" s="18" t="str">
        <f ca="1"/>
        <v/>
      </c>
      <c r="CT830" s="18" t="str">
        <f ca="1"/>
        <v/>
      </c>
      <c r="CV830" s="10"/>
      <c r="CY830" s="18" t="str">
        <f ca="1"/>
        <v/>
      </c>
      <c r="CZ830" s="18" t="str">
        <f ca="1"/>
        <v/>
      </c>
      <c r="DA830" s="18" t="str">
        <f ca="1"/>
        <v/>
      </c>
      <c r="DC830" s="10"/>
    </row>
    <row r="831" spans="1:107" x14ac:dyDescent="0.25">
      <c r="A831" s="46"/>
      <c r="B831" s="52"/>
      <c r="C831" s="52"/>
      <c r="D831" s="16"/>
      <c r="E831" s="52"/>
      <c r="F831" s="52"/>
      <c r="G831" s="50"/>
      <c r="H831" s="17" t="str">
        <f ca="1">IFERROR(__xludf.DUMMYFUNCTION("""COMPUTED_VALUE"""),"")</f>
        <v/>
      </c>
      <c r="I831" s="50" t="s">
        <v>29</v>
      </c>
      <c r="J831" s="50" t="s">
        <v>29</v>
      </c>
      <c r="K831" s="50" t="s">
        <v>29</v>
      </c>
      <c r="L831" s="50" t="s">
        <v>29</v>
      </c>
      <c r="M831" s="50" t="s">
        <v>29</v>
      </c>
      <c r="N831" s="49"/>
      <c r="P831" s="19"/>
      <c r="Q831" s="18" t="str">
        <f ca="1">IFERROR(__xludf.DUMMYFUNCTION("""COMPUTED_VALUE"""),"")</f>
        <v/>
      </c>
      <c r="R831" s="19"/>
      <c r="S831" s="20"/>
      <c r="BP831" s="10"/>
      <c r="BW831" s="10"/>
      <c r="CF831" s="10"/>
      <c r="CM831" s="10"/>
      <c r="CP831" s="18" t="str">
        <f ca="1"/>
        <v/>
      </c>
      <c r="CQ831" s="18" t="str">
        <f ca="1"/>
        <v/>
      </c>
      <c r="CR831" s="18" t="str">
        <f ca="1"/>
        <v/>
      </c>
      <c r="CS831" s="18" t="str">
        <f ca="1"/>
        <v/>
      </c>
      <c r="CT831" s="18" t="str">
        <f ca="1"/>
        <v/>
      </c>
      <c r="CV831" s="10"/>
      <c r="CY831" s="18" t="str">
        <f ca="1"/>
        <v/>
      </c>
      <c r="CZ831" s="18" t="str">
        <f ca="1"/>
        <v/>
      </c>
      <c r="DA831" s="18" t="str">
        <f ca="1"/>
        <v/>
      </c>
      <c r="DC831" s="10"/>
    </row>
    <row r="832" spans="1:107" x14ac:dyDescent="0.25">
      <c r="A832" s="46"/>
      <c r="B832" s="52"/>
      <c r="C832" s="52"/>
      <c r="D832" s="16"/>
      <c r="E832" s="52"/>
      <c r="F832" s="52"/>
      <c r="G832" s="50"/>
      <c r="H832" s="17" t="str">
        <f ca="1">IFERROR(__xludf.DUMMYFUNCTION("""COMPUTED_VALUE"""),"")</f>
        <v/>
      </c>
      <c r="I832" s="50" t="s">
        <v>29</v>
      </c>
      <c r="J832" s="50" t="s">
        <v>29</v>
      </c>
      <c r="K832" s="50" t="s">
        <v>29</v>
      </c>
      <c r="L832" s="50" t="s">
        <v>29</v>
      </c>
      <c r="M832" s="50" t="s">
        <v>29</v>
      </c>
      <c r="N832" s="49"/>
      <c r="P832" s="19"/>
      <c r="Q832" s="18" t="str">
        <f ca="1">IFERROR(__xludf.DUMMYFUNCTION("""COMPUTED_VALUE"""),"")</f>
        <v/>
      </c>
      <c r="R832" s="19"/>
      <c r="S832" s="20"/>
      <c r="BP832" s="10"/>
      <c r="BW832" s="10"/>
      <c r="CF832" s="10"/>
      <c r="CM832" s="10"/>
      <c r="CP832" s="18" t="str">
        <f ca="1"/>
        <v/>
      </c>
      <c r="CQ832" s="18" t="str">
        <f ca="1"/>
        <v/>
      </c>
      <c r="CR832" s="18" t="str">
        <f ca="1"/>
        <v/>
      </c>
      <c r="CS832" s="18" t="str">
        <f ca="1"/>
        <v/>
      </c>
      <c r="CT832" s="18" t="str">
        <f ca="1"/>
        <v/>
      </c>
      <c r="CV832" s="10"/>
      <c r="CY832" s="18" t="str">
        <f ca="1"/>
        <v/>
      </c>
      <c r="CZ832" s="18" t="str">
        <f ca="1"/>
        <v/>
      </c>
      <c r="DA832" s="18" t="str">
        <f ca="1"/>
        <v/>
      </c>
      <c r="DC832" s="10"/>
    </row>
    <row r="833" spans="1:107" x14ac:dyDescent="0.25">
      <c r="A833" s="46"/>
      <c r="B833" s="52"/>
      <c r="C833" s="52"/>
      <c r="D833" s="16"/>
      <c r="E833" s="52"/>
      <c r="F833" s="52"/>
      <c r="G833" s="50"/>
      <c r="H833" s="17" t="str">
        <f ca="1">IFERROR(__xludf.DUMMYFUNCTION("""COMPUTED_VALUE"""),"")</f>
        <v/>
      </c>
      <c r="I833" s="50" t="s">
        <v>29</v>
      </c>
      <c r="J833" s="50" t="s">
        <v>29</v>
      </c>
      <c r="K833" s="50" t="s">
        <v>29</v>
      </c>
      <c r="L833" s="50" t="s">
        <v>29</v>
      </c>
      <c r="M833" s="50" t="s">
        <v>29</v>
      </c>
      <c r="N833" s="49"/>
      <c r="P833" s="19"/>
      <c r="Q833" s="18" t="str">
        <f ca="1">IFERROR(__xludf.DUMMYFUNCTION("""COMPUTED_VALUE"""),"")</f>
        <v/>
      </c>
      <c r="R833" s="19"/>
      <c r="S833" s="20"/>
      <c r="BP833" s="10"/>
      <c r="BW833" s="10"/>
      <c r="CF833" s="10"/>
      <c r="CM833" s="10"/>
      <c r="CP833" s="18" t="str">
        <f ca="1"/>
        <v/>
      </c>
      <c r="CQ833" s="18" t="str">
        <f ca="1"/>
        <v/>
      </c>
      <c r="CR833" s="18" t="str">
        <f ca="1"/>
        <v/>
      </c>
      <c r="CS833" s="18" t="str">
        <f ca="1"/>
        <v/>
      </c>
      <c r="CT833" s="18" t="str">
        <f ca="1"/>
        <v/>
      </c>
      <c r="CV833" s="10"/>
      <c r="CY833" s="18" t="str">
        <f ca="1"/>
        <v/>
      </c>
      <c r="CZ833" s="18" t="str">
        <f ca="1"/>
        <v/>
      </c>
      <c r="DA833" s="18" t="str">
        <f ca="1"/>
        <v/>
      </c>
      <c r="DC833" s="10"/>
    </row>
    <row r="834" spans="1:107" x14ac:dyDescent="0.25">
      <c r="A834" s="46"/>
      <c r="B834" s="52"/>
      <c r="C834" s="52"/>
      <c r="D834" s="16"/>
      <c r="E834" s="52"/>
      <c r="F834" s="52"/>
      <c r="G834" s="50"/>
      <c r="H834" s="17" t="str">
        <f ca="1">IFERROR(__xludf.DUMMYFUNCTION("""COMPUTED_VALUE"""),"")</f>
        <v/>
      </c>
      <c r="I834" s="50" t="s">
        <v>29</v>
      </c>
      <c r="J834" s="50" t="s">
        <v>29</v>
      </c>
      <c r="K834" s="50" t="s">
        <v>29</v>
      </c>
      <c r="L834" s="50" t="s">
        <v>29</v>
      </c>
      <c r="M834" s="50" t="s">
        <v>29</v>
      </c>
      <c r="N834" s="49"/>
      <c r="P834" s="19"/>
      <c r="Q834" s="18" t="str">
        <f ca="1">IFERROR(__xludf.DUMMYFUNCTION("""COMPUTED_VALUE"""),"")</f>
        <v/>
      </c>
      <c r="R834" s="19"/>
      <c r="S834" s="20"/>
      <c r="BP834" s="10"/>
      <c r="BW834" s="10"/>
      <c r="CF834" s="10"/>
      <c r="CM834" s="10"/>
      <c r="CP834" s="18" t="str">
        <f ca="1"/>
        <v/>
      </c>
      <c r="CQ834" s="18" t="str">
        <f ca="1"/>
        <v/>
      </c>
      <c r="CR834" s="18" t="str">
        <f ca="1"/>
        <v/>
      </c>
      <c r="CS834" s="18" t="str">
        <f ca="1"/>
        <v/>
      </c>
      <c r="CT834" s="18" t="str">
        <f ca="1"/>
        <v/>
      </c>
      <c r="CV834" s="10"/>
      <c r="CY834" s="18" t="str">
        <f ca="1"/>
        <v/>
      </c>
      <c r="CZ834" s="18" t="str">
        <f ca="1"/>
        <v/>
      </c>
      <c r="DA834" s="18" t="str">
        <f ca="1"/>
        <v/>
      </c>
      <c r="DC834" s="10"/>
    </row>
    <row r="835" spans="1:107" x14ac:dyDescent="0.25">
      <c r="A835" s="46"/>
      <c r="B835" s="52"/>
      <c r="C835" s="52"/>
      <c r="D835" s="16"/>
      <c r="E835" s="52"/>
      <c r="F835" s="52"/>
      <c r="G835" s="50"/>
      <c r="H835" s="17" t="str">
        <f ca="1">IFERROR(__xludf.DUMMYFUNCTION("""COMPUTED_VALUE"""),"")</f>
        <v/>
      </c>
      <c r="I835" s="50" t="s">
        <v>29</v>
      </c>
      <c r="J835" s="50" t="s">
        <v>29</v>
      </c>
      <c r="K835" s="50" t="s">
        <v>29</v>
      </c>
      <c r="L835" s="50" t="s">
        <v>29</v>
      </c>
      <c r="M835" s="50" t="s">
        <v>29</v>
      </c>
      <c r="N835" s="49"/>
      <c r="P835" s="19"/>
      <c r="Q835" s="18" t="str">
        <f ca="1">IFERROR(__xludf.DUMMYFUNCTION("""COMPUTED_VALUE"""),"")</f>
        <v/>
      </c>
      <c r="R835" s="19"/>
      <c r="S835" s="20"/>
      <c r="BP835" s="10"/>
      <c r="BW835" s="10"/>
      <c r="CF835" s="10"/>
      <c r="CM835" s="10"/>
      <c r="CP835" s="18" t="str">
        <f ca="1"/>
        <v/>
      </c>
      <c r="CQ835" s="18" t="str">
        <f ca="1"/>
        <v/>
      </c>
      <c r="CR835" s="18" t="str">
        <f ca="1"/>
        <v/>
      </c>
      <c r="CS835" s="18" t="str">
        <f ca="1"/>
        <v/>
      </c>
      <c r="CT835" s="18" t="str">
        <f ca="1"/>
        <v/>
      </c>
      <c r="CV835" s="10"/>
      <c r="CY835" s="18" t="str">
        <f ca="1"/>
        <v/>
      </c>
      <c r="CZ835" s="18" t="str">
        <f ca="1"/>
        <v/>
      </c>
      <c r="DA835" s="18" t="str">
        <f ca="1"/>
        <v/>
      </c>
      <c r="DC835" s="10"/>
    </row>
    <row r="836" spans="1:107" x14ac:dyDescent="0.25">
      <c r="A836" s="46"/>
      <c r="B836" s="52"/>
      <c r="C836" s="52"/>
      <c r="D836" s="16"/>
      <c r="E836" s="52"/>
      <c r="F836" s="52"/>
      <c r="G836" s="50"/>
      <c r="H836" s="17" t="str">
        <f ca="1">IFERROR(__xludf.DUMMYFUNCTION("""COMPUTED_VALUE"""),"")</f>
        <v/>
      </c>
      <c r="I836" s="50" t="s">
        <v>29</v>
      </c>
      <c r="J836" s="50" t="s">
        <v>29</v>
      </c>
      <c r="K836" s="50" t="s">
        <v>29</v>
      </c>
      <c r="L836" s="50" t="s">
        <v>29</v>
      </c>
      <c r="M836" s="50" t="s">
        <v>29</v>
      </c>
      <c r="N836" s="49"/>
      <c r="P836" s="19"/>
      <c r="Q836" s="18" t="str">
        <f ca="1">IFERROR(__xludf.DUMMYFUNCTION("""COMPUTED_VALUE"""),"")</f>
        <v/>
      </c>
      <c r="R836" s="19"/>
      <c r="S836" s="20"/>
      <c r="BP836" s="10"/>
      <c r="BW836" s="10"/>
      <c r="CF836" s="10"/>
      <c r="CM836" s="10"/>
      <c r="CP836" s="18" t="str">
        <f ca="1"/>
        <v/>
      </c>
      <c r="CQ836" s="18" t="str">
        <f ca="1"/>
        <v/>
      </c>
      <c r="CR836" s="18" t="str">
        <f ca="1"/>
        <v/>
      </c>
      <c r="CS836" s="18" t="str">
        <f ca="1"/>
        <v/>
      </c>
      <c r="CT836" s="18" t="str">
        <f ca="1"/>
        <v/>
      </c>
      <c r="CV836" s="10"/>
      <c r="CY836" s="18" t="str">
        <f ca="1"/>
        <v/>
      </c>
      <c r="CZ836" s="18" t="str">
        <f ca="1"/>
        <v/>
      </c>
      <c r="DA836" s="18" t="str">
        <f ca="1"/>
        <v/>
      </c>
      <c r="DC836" s="10"/>
    </row>
    <row r="837" spans="1:107" x14ac:dyDescent="0.25">
      <c r="A837" s="46"/>
      <c r="B837" s="52"/>
      <c r="C837" s="52"/>
      <c r="D837" s="16"/>
      <c r="E837" s="52"/>
      <c r="F837" s="52"/>
      <c r="G837" s="50"/>
      <c r="H837" s="17" t="str">
        <f ca="1">IFERROR(__xludf.DUMMYFUNCTION("""COMPUTED_VALUE"""),"")</f>
        <v/>
      </c>
      <c r="I837" s="50" t="s">
        <v>29</v>
      </c>
      <c r="J837" s="50" t="s">
        <v>29</v>
      </c>
      <c r="K837" s="50" t="s">
        <v>29</v>
      </c>
      <c r="L837" s="50" t="s">
        <v>29</v>
      </c>
      <c r="M837" s="50" t="s">
        <v>29</v>
      </c>
      <c r="N837" s="49"/>
      <c r="P837" s="19"/>
      <c r="Q837" s="18" t="str">
        <f ca="1">IFERROR(__xludf.DUMMYFUNCTION("""COMPUTED_VALUE"""),"")</f>
        <v/>
      </c>
      <c r="R837" s="19"/>
      <c r="S837" s="20"/>
      <c r="BP837" s="10"/>
      <c r="BW837" s="10"/>
      <c r="CF837" s="10"/>
      <c r="CM837" s="10"/>
      <c r="CP837" s="18" t="str">
        <f ca="1"/>
        <v/>
      </c>
      <c r="CQ837" s="18" t="str">
        <f ca="1"/>
        <v/>
      </c>
      <c r="CR837" s="18" t="str">
        <f ca="1"/>
        <v/>
      </c>
      <c r="CS837" s="18" t="str">
        <f ca="1"/>
        <v/>
      </c>
      <c r="CT837" s="18" t="str">
        <f ca="1"/>
        <v/>
      </c>
      <c r="CV837" s="10"/>
      <c r="CY837" s="18" t="str">
        <f ca="1"/>
        <v/>
      </c>
      <c r="CZ837" s="18" t="str">
        <f ca="1"/>
        <v/>
      </c>
      <c r="DA837" s="18" t="str">
        <f ca="1"/>
        <v/>
      </c>
      <c r="DC837" s="10"/>
    </row>
    <row r="838" spans="1:107" x14ac:dyDescent="0.25">
      <c r="A838" s="46"/>
      <c r="B838" s="52"/>
      <c r="C838" s="52"/>
      <c r="D838" s="16"/>
      <c r="E838" s="52"/>
      <c r="F838" s="52"/>
      <c r="G838" s="50"/>
      <c r="H838" s="17" t="str">
        <f ca="1">IFERROR(__xludf.DUMMYFUNCTION("""COMPUTED_VALUE"""),"")</f>
        <v/>
      </c>
      <c r="I838" s="50" t="s">
        <v>29</v>
      </c>
      <c r="J838" s="50" t="s">
        <v>29</v>
      </c>
      <c r="K838" s="50" t="s">
        <v>29</v>
      </c>
      <c r="L838" s="50" t="s">
        <v>29</v>
      </c>
      <c r="M838" s="50" t="s">
        <v>29</v>
      </c>
      <c r="N838" s="49"/>
      <c r="P838" s="19"/>
      <c r="Q838" s="18" t="str">
        <f ca="1">IFERROR(__xludf.DUMMYFUNCTION("""COMPUTED_VALUE"""),"")</f>
        <v/>
      </c>
      <c r="R838" s="19"/>
      <c r="S838" s="20"/>
      <c r="BP838" s="10"/>
      <c r="BW838" s="10"/>
      <c r="CF838" s="10"/>
      <c r="CM838" s="10"/>
      <c r="CP838" s="18" t="str">
        <f ca="1"/>
        <v/>
      </c>
      <c r="CQ838" s="18" t="str">
        <f ca="1"/>
        <v/>
      </c>
      <c r="CR838" s="18" t="str">
        <f ca="1"/>
        <v/>
      </c>
      <c r="CS838" s="18" t="str">
        <f ca="1"/>
        <v/>
      </c>
      <c r="CT838" s="18" t="str">
        <f ca="1"/>
        <v/>
      </c>
      <c r="CV838" s="10"/>
      <c r="CY838" s="18" t="str">
        <f ca="1"/>
        <v/>
      </c>
      <c r="CZ838" s="18" t="str">
        <f ca="1"/>
        <v/>
      </c>
      <c r="DA838" s="18" t="str">
        <f ca="1"/>
        <v/>
      </c>
      <c r="DC838" s="10"/>
    </row>
    <row r="839" spans="1:107" x14ac:dyDescent="0.25">
      <c r="A839" s="46"/>
      <c r="B839" s="52"/>
      <c r="C839" s="52"/>
      <c r="D839" s="16"/>
      <c r="E839" s="52"/>
      <c r="F839" s="52"/>
      <c r="G839" s="50"/>
      <c r="H839" s="17" t="str">
        <f ca="1">IFERROR(__xludf.DUMMYFUNCTION("""COMPUTED_VALUE"""),"")</f>
        <v/>
      </c>
      <c r="I839" s="50" t="s">
        <v>29</v>
      </c>
      <c r="J839" s="50" t="s">
        <v>29</v>
      </c>
      <c r="K839" s="50" t="s">
        <v>29</v>
      </c>
      <c r="L839" s="50" t="s">
        <v>29</v>
      </c>
      <c r="M839" s="50" t="s">
        <v>29</v>
      </c>
      <c r="N839" s="49"/>
      <c r="P839" s="19"/>
      <c r="Q839" s="18" t="str">
        <f ca="1">IFERROR(__xludf.DUMMYFUNCTION("""COMPUTED_VALUE"""),"")</f>
        <v/>
      </c>
      <c r="R839" s="19"/>
      <c r="S839" s="20"/>
      <c r="BP839" s="10"/>
      <c r="BW839" s="10"/>
      <c r="CF839" s="10"/>
      <c r="CM839" s="10"/>
      <c r="CP839" s="18" t="str">
        <f ca="1"/>
        <v/>
      </c>
      <c r="CQ839" s="18" t="str">
        <f ca="1"/>
        <v/>
      </c>
      <c r="CR839" s="18" t="str">
        <f ca="1"/>
        <v/>
      </c>
      <c r="CS839" s="18" t="str">
        <f ca="1"/>
        <v/>
      </c>
      <c r="CT839" s="18" t="str">
        <f ca="1"/>
        <v/>
      </c>
      <c r="CV839" s="10"/>
      <c r="CY839" s="18" t="str">
        <f ca="1"/>
        <v/>
      </c>
      <c r="CZ839" s="18" t="str">
        <f ca="1"/>
        <v/>
      </c>
      <c r="DA839" s="18" t="str">
        <f ca="1"/>
        <v/>
      </c>
      <c r="DC839" s="10"/>
    </row>
    <row r="840" spans="1:107" x14ac:dyDescent="0.25">
      <c r="A840" s="46"/>
      <c r="B840" s="52"/>
      <c r="C840" s="52"/>
      <c r="D840" s="16"/>
      <c r="E840" s="52"/>
      <c r="F840" s="52"/>
      <c r="G840" s="50"/>
      <c r="H840" s="17" t="str">
        <f ca="1">IFERROR(__xludf.DUMMYFUNCTION("""COMPUTED_VALUE"""),"")</f>
        <v/>
      </c>
      <c r="I840" s="50" t="s">
        <v>29</v>
      </c>
      <c r="J840" s="50" t="s">
        <v>29</v>
      </c>
      <c r="K840" s="50" t="s">
        <v>29</v>
      </c>
      <c r="L840" s="50" t="s">
        <v>29</v>
      </c>
      <c r="M840" s="50" t="s">
        <v>29</v>
      </c>
      <c r="N840" s="49"/>
      <c r="P840" s="19"/>
      <c r="Q840" s="18" t="str">
        <f ca="1">IFERROR(__xludf.DUMMYFUNCTION("""COMPUTED_VALUE"""),"")</f>
        <v/>
      </c>
      <c r="R840" s="19"/>
      <c r="S840" s="20"/>
      <c r="BP840" s="10"/>
      <c r="BW840" s="10"/>
      <c r="CF840" s="10"/>
      <c r="CM840" s="10"/>
      <c r="CP840" s="18" t="str">
        <f ca="1"/>
        <v/>
      </c>
      <c r="CQ840" s="18" t="str">
        <f ca="1"/>
        <v/>
      </c>
      <c r="CR840" s="18" t="str">
        <f ca="1"/>
        <v/>
      </c>
      <c r="CS840" s="18" t="str">
        <f ca="1"/>
        <v/>
      </c>
      <c r="CT840" s="18" t="str">
        <f ca="1"/>
        <v/>
      </c>
      <c r="CV840" s="10"/>
      <c r="CY840" s="18" t="str">
        <f ca="1"/>
        <v/>
      </c>
      <c r="CZ840" s="18" t="str">
        <f ca="1"/>
        <v/>
      </c>
      <c r="DA840" s="18" t="str">
        <f ca="1"/>
        <v/>
      </c>
      <c r="DC840" s="10"/>
    </row>
    <row r="841" spans="1:107" x14ac:dyDescent="0.25">
      <c r="A841" s="46"/>
      <c r="B841" s="52"/>
      <c r="C841" s="52"/>
      <c r="D841" s="16"/>
      <c r="E841" s="52"/>
      <c r="F841" s="52"/>
      <c r="G841" s="50"/>
      <c r="H841" s="17" t="str">
        <f ca="1">IFERROR(__xludf.DUMMYFUNCTION("""COMPUTED_VALUE"""),"")</f>
        <v/>
      </c>
      <c r="I841" s="50" t="s">
        <v>29</v>
      </c>
      <c r="J841" s="50" t="s">
        <v>29</v>
      </c>
      <c r="K841" s="50" t="s">
        <v>29</v>
      </c>
      <c r="L841" s="50" t="s">
        <v>29</v>
      </c>
      <c r="M841" s="50" t="s">
        <v>29</v>
      </c>
      <c r="N841" s="49"/>
      <c r="P841" s="19"/>
      <c r="Q841" s="18" t="str">
        <f ca="1">IFERROR(__xludf.DUMMYFUNCTION("""COMPUTED_VALUE"""),"")</f>
        <v/>
      </c>
      <c r="R841" s="19"/>
      <c r="S841" s="20"/>
      <c r="BP841" s="10"/>
      <c r="BW841" s="10"/>
      <c r="CF841" s="10"/>
      <c r="CM841" s="10"/>
      <c r="CP841" s="18" t="str">
        <f ca="1"/>
        <v/>
      </c>
      <c r="CQ841" s="18" t="str">
        <f ca="1"/>
        <v/>
      </c>
      <c r="CR841" s="18" t="str">
        <f ca="1"/>
        <v/>
      </c>
      <c r="CS841" s="18" t="str">
        <f ca="1"/>
        <v/>
      </c>
      <c r="CT841" s="18" t="str">
        <f ca="1"/>
        <v/>
      </c>
      <c r="CV841" s="10"/>
      <c r="CY841" s="18" t="str">
        <f ca="1"/>
        <v/>
      </c>
      <c r="CZ841" s="18" t="str">
        <f ca="1"/>
        <v/>
      </c>
      <c r="DA841" s="18" t="str">
        <f ca="1"/>
        <v/>
      </c>
      <c r="DC841" s="10"/>
    </row>
    <row r="842" spans="1:107" x14ac:dyDescent="0.25">
      <c r="A842" s="46"/>
      <c r="B842" s="52"/>
      <c r="C842" s="52"/>
      <c r="D842" s="16"/>
      <c r="E842" s="52"/>
      <c r="F842" s="52"/>
      <c r="G842" s="50"/>
      <c r="H842" s="17" t="str">
        <f ca="1">IFERROR(__xludf.DUMMYFUNCTION("""COMPUTED_VALUE"""),"")</f>
        <v/>
      </c>
      <c r="I842" s="50" t="s">
        <v>29</v>
      </c>
      <c r="J842" s="50" t="s">
        <v>29</v>
      </c>
      <c r="K842" s="50" t="s">
        <v>29</v>
      </c>
      <c r="L842" s="50" t="s">
        <v>29</v>
      </c>
      <c r="M842" s="50" t="s">
        <v>29</v>
      </c>
      <c r="N842" s="49"/>
      <c r="P842" s="19"/>
      <c r="Q842" s="18" t="str">
        <f ca="1">IFERROR(__xludf.DUMMYFUNCTION("""COMPUTED_VALUE"""),"")</f>
        <v/>
      </c>
      <c r="R842" s="19"/>
      <c r="S842" s="20"/>
      <c r="BP842" s="10"/>
      <c r="BW842" s="10"/>
      <c r="CF842" s="10"/>
      <c r="CM842" s="10"/>
      <c r="CP842" s="18" t="str">
        <f ca="1"/>
        <v/>
      </c>
      <c r="CQ842" s="18" t="str">
        <f ca="1"/>
        <v/>
      </c>
      <c r="CR842" s="18" t="str">
        <f ca="1"/>
        <v/>
      </c>
      <c r="CS842" s="18" t="str">
        <f ca="1"/>
        <v/>
      </c>
      <c r="CT842" s="18" t="str">
        <f ca="1"/>
        <v/>
      </c>
      <c r="CV842" s="10"/>
      <c r="CY842" s="18" t="str">
        <f ca="1"/>
        <v/>
      </c>
      <c r="CZ842" s="18" t="str">
        <f ca="1"/>
        <v/>
      </c>
      <c r="DA842" s="18" t="str">
        <f ca="1"/>
        <v/>
      </c>
      <c r="DC842" s="10"/>
    </row>
    <row r="843" spans="1:107" x14ac:dyDescent="0.25">
      <c r="A843" s="46"/>
      <c r="B843" s="52"/>
      <c r="C843" s="52"/>
      <c r="D843" s="16"/>
      <c r="E843" s="52"/>
      <c r="F843" s="52"/>
      <c r="G843" s="50"/>
      <c r="H843" s="17" t="str">
        <f ca="1">IFERROR(__xludf.DUMMYFUNCTION("""COMPUTED_VALUE"""),"")</f>
        <v/>
      </c>
      <c r="I843" s="50" t="s">
        <v>29</v>
      </c>
      <c r="J843" s="50" t="s">
        <v>29</v>
      </c>
      <c r="K843" s="50" t="s">
        <v>29</v>
      </c>
      <c r="L843" s="50" t="s">
        <v>29</v>
      </c>
      <c r="M843" s="50" t="s">
        <v>29</v>
      </c>
      <c r="N843" s="49"/>
      <c r="P843" s="19"/>
      <c r="Q843" s="18" t="str">
        <f ca="1">IFERROR(__xludf.DUMMYFUNCTION("""COMPUTED_VALUE"""),"")</f>
        <v/>
      </c>
      <c r="R843" s="19"/>
      <c r="S843" s="20"/>
      <c r="BP843" s="10"/>
      <c r="BW843" s="10"/>
      <c r="CF843" s="10"/>
      <c r="CM843" s="10"/>
      <c r="CP843" s="18" t="str">
        <f ca="1"/>
        <v/>
      </c>
      <c r="CQ843" s="18" t="str">
        <f ca="1"/>
        <v/>
      </c>
      <c r="CR843" s="18" t="str">
        <f ca="1"/>
        <v/>
      </c>
      <c r="CS843" s="18" t="str">
        <f ca="1"/>
        <v/>
      </c>
      <c r="CT843" s="18" t="str">
        <f ca="1"/>
        <v/>
      </c>
      <c r="CV843" s="10"/>
      <c r="CY843" s="18" t="str">
        <f ca="1"/>
        <v/>
      </c>
      <c r="CZ843" s="18" t="str">
        <f ca="1"/>
        <v/>
      </c>
      <c r="DA843" s="18" t="str">
        <f ca="1"/>
        <v/>
      </c>
      <c r="DC843" s="10"/>
    </row>
    <row r="844" spans="1:107" x14ac:dyDescent="0.25">
      <c r="A844" s="46"/>
      <c r="B844" s="52"/>
      <c r="C844" s="52"/>
      <c r="D844" s="16"/>
      <c r="E844" s="52"/>
      <c r="F844" s="52"/>
      <c r="G844" s="50"/>
      <c r="H844" s="17" t="str">
        <f ca="1">IFERROR(__xludf.DUMMYFUNCTION("""COMPUTED_VALUE"""),"")</f>
        <v/>
      </c>
      <c r="I844" s="50" t="s">
        <v>29</v>
      </c>
      <c r="J844" s="50" t="s">
        <v>29</v>
      </c>
      <c r="K844" s="50" t="s">
        <v>29</v>
      </c>
      <c r="L844" s="50" t="s">
        <v>29</v>
      </c>
      <c r="M844" s="50" t="s">
        <v>29</v>
      </c>
      <c r="N844" s="49"/>
      <c r="P844" s="19"/>
      <c r="Q844" s="18" t="str">
        <f ca="1">IFERROR(__xludf.DUMMYFUNCTION("""COMPUTED_VALUE"""),"")</f>
        <v/>
      </c>
      <c r="R844" s="19"/>
      <c r="S844" s="20"/>
      <c r="BP844" s="10"/>
      <c r="BW844" s="10"/>
      <c r="CF844" s="10"/>
      <c r="CM844" s="10"/>
      <c r="CP844" s="18" t="str">
        <f ca="1"/>
        <v/>
      </c>
      <c r="CQ844" s="18" t="str">
        <f ca="1"/>
        <v/>
      </c>
      <c r="CR844" s="18" t="str">
        <f ca="1"/>
        <v/>
      </c>
      <c r="CS844" s="18" t="str">
        <f ca="1"/>
        <v/>
      </c>
      <c r="CT844" s="18" t="str">
        <f ca="1"/>
        <v/>
      </c>
      <c r="CV844" s="10"/>
      <c r="CY844" s="18" t="str">
        <f ca="1"/>
        <v/>
      </c>
      <c r="CZ844" s="18" t="str">
        <f ca="1"/>
        <v/>
      </c>
      <c r="DA844" s="18" t="str">
        <f ca="1"/>
        <v/>
      </c>
      <c r="DC844" s="10"/>
    </row>
    <row r="845" spans="1:107" x14ac:dyDescent="0.25">
      <c r="A845" s="46"/>
      <c r="B845" s="52"/>
      <c r="C845" s="52"/>
      <c r="D845" s="16"/>
      <c r="E845" s="52"/>
      <c r="F845" s="52"/>
      <c r="G845" s="50"/>
      <c r="H845" s="17" t="str">
        <f ca="1">IFERROR(__xludf.DUMMYFUNCTION("""COMPUTED_VALUE"""),"")</f>
        <v/>
      </c>
      <c r="I845" s="50" t="s">
        <v>29</v>
      </c>
      <c r="J845" s="50" t="s">
        <v>29</v>
      </c>
      <c r="K845" s="50" t="s">
        <v>29</v>
      </c>
      <c r="L845" s="50" t="s">
        <v>29</v>
      </c>
      <c r="M845" s="50" t="s">
        <v>29</v>
      </c>
      <c r="N845" s="49"/>
      <c r="P845" s="19"/>
      <c r="Q845" s="18" t="str">
        <f ca="1">IFERROR(__xludf.DUMMYFUNCTION("""COMPUTED_VALUE"""),"")</f>
        <v/>
      </c>
      <c r="R845" s="19"/>
      <c r="S845" s="20"/>
      <c r="BP845" s="10"/>
      <c r="BW845" s="10"/>
      <c r="CF845" s="10"/>
      <c r="CM845" s="10"/>
      <c r="CP845" s="18" t="str">
        <f ca="1"/>
        <v/>
      </c>
      <c r="CQ845" s="18" t="str">
        <f ca="1"/>
        <v/>
      </c>
      <c r="CR845" s="18" t="str">
        <f ca="1"/>
        <v/>
      </c>
      <c r="CS845" s="18" t="str">
        <f ca="1"/>
        <v/>
      </c>
      <c r="CT845" s="18" t="str">
        <f ca="1"/>
        <v/>
      </c>
      <c r="CV845" s="10"/>
      <c r="CY845" s="18" t="str">
        <f ca="1"/>
        <v/>
      </c>
      <c r="CZ845" s="18" t="str">
        <f ca="1"/>
        <v/>
      </c>
      <c r="DA845" s="18" t="str">
        <f ca="1"/>
        <v/>
      </c>
      <c r="DC845" s="10"/>
    </row>
    <row r="846" spans="1:107" x14ac:dyDescent="0.25">
      <c r="A846" s="46"/>
      <c r="B846" s="52"/>
      <c r="C846" s="52"/>
      <c r="D846" s="16"/>
      <c r="E846" s="52"/>
      <c r="F846" s="52"/>
      <c r="G846" s="50"/>
      <c r="H846" s="17" t="str">
        <f ca="1">IFERROR(__xludf.DUMMYFUNCTION("""COMPUTED_VALUE"""),"")</f>
        <v/>
      </c>
      <c r="I846" s="50" t="s">
        <v>29</v>
      </c>
      <c r="J846" s="50" t="s">
        <v>29</v>
      </c>
      <c r="K846" s="50" t="s">
        <v>29</v>
      </c>
      <c r="L846" s="50" t="s">
        <v>29</v>
      </c>
      <c r="M846" s="50" t="s">
        <v>29</v>
      </c>
      <c r="N846" s="49"/>
      <c r="P846" s="19"/>
      <c r="Q846" s="18" t="str">
        <f ca="1">IFERROR(__xludf.DUMMYFUNCTION("""COMPUTED_VALUE"""),"")</f>
        <v/>
      </c>
      <c r="R846" s="19"/>
      <c r="S846" s="20"/>
      <c r="BP846" s="10"/>
      <c r="BW846" s="10"/>
      <c r="CF846" s="10"/>
      <c r="CM846" s="10"/>
      <c r="CP846" s="18" t="str">
        <f ca="1"/>
        <v/>
      </c>
      <c r="CQ846" s="18" t="str">
        <f ca="1"/>
        <v/>
      </c>
      <c r="CR846" s="18" t="str">
        <f ca="1"/>
        <v/>
      </c>
      <c r="CS846" s="18" t="str">
        <f ca="1"/>
        <v/>
      </c>
      <c r="CT846" s="18" t="str">
        <f ca="1"/>
        <v/>
      </c>
      <c r="CV846" s="10"/>
      <c r="CY846" s="18" t="str">
        <f ca="1"/>
        <v/>
      </c>
      <c r="CZ846" s="18" t="str">
        <f ca="1"/>
        <v/>
      </c>
      <c r="DA846" s="18" t="str">
        <f ca="1"/>
        <v/>
      </c>
      <c r="DC846" s="10"/>
    </row>
    <row r="847" spans="1:107" x14ac:dyDescent="0.25">
      <c r="A847" s="46"/>
      <c r="B847" s="52"/>
      <c r="C847" s="52"/>
      <c r="D847" s="16"/>
      <c r="E847" s="52"/>
      <c r="F847" s="52"/>
      <c r="G847" s="50"/>
      <c r="H847" s="17" t="str">
        <f ca="1">IFERROR(__xludf.DUMMYFUNCTION("""COMPUTED_VALUE"""),"")</f>
        <v/>
      </c>
      <c r="I847" s="50" t="s">
        <v>29</v>
      </c>
      <c r="J847" s="50" t="s">
        <v>29</v>
      </c>
      <c r="K847" s="50" t="s">
        <v>29</v>
      </c>
      <c r="L847" s="50" t="s">
        <v>29</v>
      </c>
      <c r="M847" s="50" t="s">
        <v>29</v>
      </c>
      <c r="N847" s="49"/>
      <c r="P847" s="19"/>
      <c r="Q847" s="18" t="str">
        <f ca="1">IFERROR(__xludf.DUMMYFUNCTION("""COMPUTED_VALUE"""),"")</f>
        <v/>
      </c>
      <c r="R847" s="19"/>
      <c r="S847" s="20"/>
      <c r="BP847" s="10"/>
      <c r="BW847" s="10"/>
      <c r="CF847" s="10"/>
      <c r="CM847" s="10"/>
      <c r="CP847" s="18" t="str">
        <f ca="1"/>
        <v/>
      </c>
      <c r="CQ847" s="18" t="str">
        <f ca="1"/>
        <v/>
      </c>
      <c r="CR847" s="18" t="str">
        <f ca="1"/>
        <v/>
      </c>
      <c r="CS847" s="18" t="str">
        <f ca="1"/>
        <v/>
      </c>
      <c r="CT847" s="18" t="str">
        <f ca="1"/>
        <v/>
      </c>
      <c r="CV847" s="10"/>
      <c r="CY847" s="18" t="str">
        <f ca="1"/>
        <v/>
      </c>
      <c r="CZ847" s="18" t="str">
        <f ca="1"/>
        <v/>
      </c>
      <c r="DA847" s="18" t="str">
        <f ca="1"/>
        <v/>
      </c>
      <c r="DC847" s="10"/>
    </row>
    <row r="848" spans="1:107" x14ac:dyDescent="0.25">
      <c r="A848" s="46"/>
      <c r="B848" s="52"/>
      <c r="C848" s="52"/>
      <c r="D848" s="16"/>
      <c r="E848" s="52"/>
      <c r="F848" s="52"/>
      <c r="G848" s="50"/>
      <c r="H848" s="17" t="str">
        <f ca="1">IFERROR(__xludf.DUMMYFUNCTION("""COMPUTED_VALUE"""),"")</f>
        <v/>
      </c>
      <c r="I848" s="50" t="s">
        <v>29</v>
      </c>
      <c r="J848" s="50" t="s">
        <v>29</v>
      </c>
      <c r="K848" s="50" t="s">
        <v>29</v>
      </c>
      <c r="L848" s="50" t="s">
        <v>29</v>
      </c>
      <c r="M848" s="50" t="s">
        <v>29</v>
      </c>
      <c r="N848" s="49"/>
      <c r="P848" s="19"/>
      <c r="Q848" s="18" t="str">
        <f ca="1">IFERROR(__xludf.DUMMYFUNCTION("""COMPUTED_VALUE"""),"")</f>
        <v/>
      </c>
      <c r="R848" s="19"/>
      <c r="S848" s="20"/>
      <c r="BP848" s="10"/>
      <c r="BW848" s="10"/>
      <c r="CF848" s="10"/>
      <c r="CM848" s="10"/>
      <c r="CP848" s="18" t="str">
        <f ca="1"/>
        <v/>
      </c>
      <c r="CQ848" s="18" t="str">
        <f ca="1"/>
        <v/>
      </c>
      <c r="CR848" s="18" t="str">
        <f ca="1"/>
        <v/>
      </c>
      <c r="CS848" s="18" t="str">
        <f ca="1"/>
        <v/>
      </c>
      <c r="CT848" s="18" t="str">
        <f ca="1"/>
        <v/>
      </c>
      <c r="CV848" s="10"/>
      <c r="CY848" s="18" t="str">
        <f ca="1"/>
        <v/>
      </c>
      <c r="CZ848" s="18" t="str">
        <f ca="1"/>
        <v/>
      </c>
      <c r="DA848" s="18" t="str">
        <f ca="1"/>
        <v/>
      </c>
      <c r="DC848" s="10"/>
    </row>
    <row r="849" spans="1:107" x14ac:dyDescent="0.25">
      <c r="A849" s="46"/>
      <c r="B849" s="52"/>
      <c r="C849" s="52"/>
      <c r="D849" s="16"/>
      <c r="E849" s="52"/>
      <c r="F849" s="52"/>
      <c r="G849" s="50"/>
      <c r="H849" s="17" t="str">
        <f ca="1">IFERROR(__xludf.DUMMYFUNCTION("""COMPUTED_VALUE"""),"")</f>
        <v/>
      </c>
      <c r="I849" s="50" t="s">
        <v>29</v>
      </c>
      <c r="J849" s="50" t="s">
        <v>29</v>
      </c>
      <c r="K849" s="50" t="s">
        <v>29</v>
      </c>
      <c r="L849" s="50" t="s">
        <v>29</v>
      </c>
      <c r="M849" s="50" t="s">
        <v>29</v>
      </c>
      <c r="N849" s="49"/>
      <c r="P849" s="19"/>
      <c r="Q849" s="18" t="str">
        <f ca="1">IFERROR(__xludf.DUMMYFUNCTION("""COMPUTED_VALUE"""),"")</f>
        <v/>
      </c>
      <c r="R849" s="19"/>
      <c r="S849" s="20"/>
      <c r="BP849" s="10"/>
      <c r="BW849" s="10"/>
      <c r="CF849" s="10"/>
      <c r="CM849" s="10"/>
      <c r="CP849" s="18" t="str">
        <f ca="1"/>
        <v/>
      </c>
      <c r="CQ849" s="18" t="str">
        <f ca="1"/>
        <v/>
      </c>
      <c r="CR849" s="18" t="str">
        <f ca="1"/>
        <v/>
      </c>
      <c r="CS849" s="18" t="str">
        <f ca="1"/>
        <v/>
      </c>
      <c r="CT849" s="18" t="str">
        <f ca="1"/>
        <v/>
      </c>
      <c r="CV849" s="10"/>
      <c r="CY849" s="18" t="str">
        <f ca="1"/>
        <v/>
      </c>
      <c r="CZ849" s="18" t="str">
        <f ca="1"/>
        <v/>
      </c>
      <c r="DA849" s="18" t="str">
        <f ca="1"/>
        <v/>
      </c>
      <c r="DC849" s="10"/>
    </row>
    <row r="850" spans="1:107" x14ac:dyDescent="0.25">
      <c r="A850" s="46"/>
      <c r="B850" s="52"/>
      <c r="C850" s="52"/>
      <c r="D850" s="16"/>
      <c r="E850" s="52"/>
      <c r="F850" s="52"/>
      <c r="G850" s="50"/>
      <c r="H850" s="17" t="str">
        <f ca="1">IFERROR(__xludf.DUMMYFUNCTION("""COMPUTED_VALUE"""),"")</f>
        <v/>
      </c>
      <c r="I850" s="50" t="s">
        <v>29</v>
      </c>
      <c r="J850" s="50" t="s">
        <v>29</v>
      </c>
      <c r="K850" s="50" t="s">
        <v>29</v>
      </c>
      <c r="L850" s="50" t="s">
        <v>29</v>
      </c>
      <c r="M850" s="50" t="s">
        <v>29</v>
      </c>
      <c r="N850" s="49"/>
      <c r="P850" s="19"/>
      <c r="Q850" s="18" t="str">
        <f ca="1">IFERROR(__xludf.DUMMYFUNCTION("""COMPUTED_VALUE"""),"")</f>
        <v/>
      </c>
      <c r="R850" s="19"/>
      <c r="S850" s="20"/>
      <c r="BP850" s="10"/>
      <c r="BW850" s="10"/>
      <c r="CF850" s="10"/>
      <c r="CM850" s="10"/>
      <c r="CP850" s="18" t="str">
        <f ca="1"/>
        <v/>
      </c>
      <c r="CQ850" s="18" t="str">
        <f ca="1"/>
        <v/>
      </c>
      <c r="CR850" s="18" t="str">
        <f ca="1"/>
        <v/>
      </c>
      <c r="CS850" s="18" t="str">
        <f ca="1"/>
        <v/>
      </c>
      <c r="CT850" s="18" t="str">
        <f ca="1"/>
        <v/>
      </c>
      <c r="CV850" s="10"/>
      <c r="CY850" s="18" t="str">
        <f ca="1"/>
        <v/>
      </c>
      <c r="CZ850" s="18" t="str">
        <f ca="1"/>
        <v/>
      </c>
      <c r="DA850" s="18" t="str">
        <f ca="1"/>
        <v/>
      </c>
      <c r="DC850" s="10"/>
    </row>
    <row r="851" spans="1:107" x14ac:dyDescent="0.25">
      <c r="A851" s="46"/>
      <c r="B851" s="52"/>
      <c r="C851" s="52"/>
      <c r="D851" s="16"/>
      <c r="E851" s="52"/>
      <c r="F851" s="52"/>
      <c r="G851" s="50"/>
      <c r="H851" s="17" t="str">
        <f ca="1">IFERROR(__xludf.DUMMYFUNCTION("""COMPUTED_VALUE"""),"")</f>
        <v/>
      </c>
      <c r="I851" s="50" t="s">
        <v>29</v>
      </c>
      <c r="J851" s="50" t="s">
        <v>29</v>
      </c>
      <c r="K851" s="50" t="s">
        <v>29</v>
      </c>
      <c r="L851" s="50" t="s">
        <v>29</v>
      </c>
      <c r="M851" s="50" t="s">
        <v>29</v>
      </c>
      <c r="N851" s="49"/>
      <c r="P851" s="19"/>
      <c r="Q851" s="18" t="str">
        <f ca="1">IFERROR(__xludf.DUMMYFUNCTION("""COMPUTED_VALUE"""),"")</f>
        <v/>
      </c>
      <c r="R851" s="19"/>
      <c r="S851" s="20"/>
      <c r="BP851" s="10"/>
      <c r="BW851" s="10"/>
      <c r="CF851" s="10"/>
      <c r="CM851" s="10"/>
      <c r="CP851" s="18" t="str">
        <f ca="1"/>
        <v/>
      </c>
      <c r="CQ851" s="18" t="str">
        <f ca="1"/>
        <v/>
      </c>
      <c r="CR851" s="18" t="str">
        <f ca="1"/>
        <v/>
      </c>
      <c r="CS851" s="18" t="str">
        <f ca="1"/>
        <v/>
      </c>
      <c r="CT851" s="18" t="str">
        <f ca="1"/>
        <v/>
      </c>
      <c r="CV851" s="10"/>
      <c r="CY851" s="18" t="str">
        <f ca="1"/>
        <v/>
      </c>
      <c r="CZ851" s="18" t="str">
        <f ca="1"/>
        <v/>
      </c>
      <c r="DA851" s="18" t="str">
        <f ca="1"/>
        <v/>
      </c>
      <c r="DC851" s="10"/>
    </row>
    <row r="852" spans="1:107" x14ac:dyDescent="0.25">
      <c r="A852" s="46"/>
      <c r="B852" s="52"/>
      <c r="C852" s="52"/>
      <c r="D852" s="16"/>
      <c r="E852" s="52"/>
      <c r="F852" s="52"/>
      <c r="G852" s="50"/>
      <c r="H852" s="17" t="str">
        <f ca="1">IFERROR(__xludf.DUMMYFUNCTION("""COMPUTED_VALUE"""),"")</f>
        <v/>
      </c>
      <c r="I852" s="50" t="s">
        <v>29</v>
      </c>
      <c r="J852" s="50" t="s">
        <v>29</v>
      </c>
      <c r="K852" s="50" t="s">
        <v>29</v>
      </c>
      <c r="L852" s="50" t="s">
        <v>29</v>
      </c>
      <c r="M852" s="50" t="s">
        <v>29</v>
      </c>
      <c r="N852" s="49"/>
      <c r="P852" s="19"/>
      <c r="Q852" s="18" t="str">
        <f ca="1">IFERROR(__xludf.DUMMYFUNCTION("""COMPUTED_VALUE"""),"")</f>
        <v/>
      </c>
      <c r="R852" s="19"/>
      <c r="S852" s="20"/>
      <c r="BP852" s="10"/>
      <c r="BW852" s="10"/>
      <c r="CF852" s="10"/>
      <c r="CM852" s="10"/>
      <c r="CP852" s="18" t="str">
        <f ca="1"/>
        <v/>
      </c>
      <c r="CQ852" s="18" t="str">
        <f ca="1"/>
        <v/>
      </c>
      <c r="CR852" s="18" t="str">
        <f ca="1"/>
        <v/>
      </c>
      <c r="CS852" s="18" t="str">
        <f ca="1"/>
        <v/>
      </c>
      <c r="CT852" s="18" t="str">
        <f ca="1"/>
        <v/>
      </c>
      <c r="CV852" s="10"/>
      <c r="CY852" s="18" t="str">
        <f ca="1"/>
        <v/>
      </c>
      <c r="CZ852" s="18" t="str">
        <f ca="1"/>
        <v/>
      </c>
      <c r="DA852" s="18" t="str">
        <f ca="1"/>
        <v/>
      </c>
      <c r="DC852" s="10"/>
    </row>
    <row r="853" spans="1:107" x14ac:dyDescent="0.25">
      <c r="A853" s="46"/>
      <c r="B853" s="52"/>
      <c r="C853" s="52"/>
      <c r="D853" s="16"/>
      <c r="E853" s="52"/>
      <c r="F853" s="52"/>
      <c r="G853" s="50"/>
      <c r="H853" s="17" t="str">
        <f ca="1">IFERROR(__xludf.DUMMYFUNCTION("""COMPUTED_VALUE"""),"")</f>
        <v/>
      </c>
      <c r="I853" s="50" t="s">
        <v>29</v>
      </c>
      <c r="J853" s="50" t="s">
        <v>29</v>
      </c>
      <c r="K853" s="50" t="s">
        <v>29</v>
      </c>
      <c r="L853" s="50" t="s">
        <v>29</v>
      </c>
      <c r="M853" s="50" t="s">
        <v>29</v>
      </c>
      <c r="N853" s="49"/>
      <c r="P853" s="19"/>
      <c r="Q853" s="18" t="str">
        <f ca="1">IFERROR(__xludf.DUMMYFUNCTION("""COMPUTED_VALUE"""),"")</f>
        <v/>
      </c>
      <c r="R853" s="19"/>
      <c r="S853" s="20"/>
      <c r="BP853" s="10"/>
      <c r="BW853" s="10"/>
      <c r="CF853" s="10"/>
      <c r="CM853" s="10"/>
      <c r="CP853" s="18" t="str">
        <f ca="1"/>
        <v/>
      </c>
      <c r="CQ853" s="18" t="str">
        <f ca="1"/>
        <v/>
      </c>
      <c r="CR853" s="18" t="str">
        <f ca="1"/>
        <v/>
      </c>
      <c r="CS853" s="18" t="str">
        <f ca="1"/>
        <v/>
      </c>
      <c r="CT853" s="18" t="str">
        <f ca="1"/>
        <v/>
      </c>
      <c r="CV853" s="10"/>
      <c r="CY853" s="18" t="str">
        <f ca="1"/>
        <v/>
      </c>
      <c r="CZ853" s="18" t="str">
        <f ca="1"/>
        <v/>
      </c>
      <c r="DA853" s="18" t="str">
        <f ca="1"/>
        <v/>
      </c>
      <c r="DC853" s="10"/>
    </row>
    <row r="854" spans="1:107" x14ac:dyDescent="0.25">
      <c r="A854" s="46"/>
      <c r="B854" s="52"/>
      <c r="C854" s="52"/>
      <c r="D854" s="16"/>
      <c r="E854" s="52"/>
      <c r="F854" s="52"/>
      <c r="G854" s="50"/>
      <c r="H854" s="17" t="str">
        <f ca="1">IFERROR(__xludf.DUMMYFUNCTION("""COMPUTED_VALUE"""),"")</f>
        <v/>
      </c>
      <c r="I854" s="50" t="s">
        <v>29</v>
      </c>
      <c r="J854" s="50" t="s">
        <v>29</v>
      </c>
      <c r="K854" s="50" t="s">
        <v>29</v>
      </c>
      <c r="L854" s="50" t="s">
        <v>29</v>
      </c>
      <c r="M854" s="50" t="s">
        <v>29</v>
      </c>
      <c r="N854" s="49"/>
      <c r="P854" s="19"/>
      <c r="Q854" s="18" t="str">
        <f ca="1">IFERROR(__xludf.DUMMYFUNCTION("""COMPUTED_VALUE"""),"")</f>
        <v/>
      </c>
      <c r="R854" s="19"/>
      <c r="S854" s="20"/>
      <c r="BP854" s="10"/>
      <c r="BW854" s="10"/>
      <c r="CF854" s="10"/>
      <c r="CM854" s="10"/>
      <c r="CP854" s="18" t="str">
        <f ca="1"/>
        <v/>
      </c>
      <c r="CQ854" s="18" t="str">
        <f ca="1"/>
        <v/>
      </c>
      <c r="CR854" s="18" t="str">
        <f ca="1"/>
        <v/>
      </c>
      <c r="CS854" s="18" t="str">
        <f ca="1"/>
        <v/>
      </c>
      <c r="CT854" s="18" t="str">
        <f ca="1"/>
        <v/>
      </c>
      <c r="CV854" s="10"/>
      <c r="CY854" s="18" t="str">
        <f ca="1"/>
        <v/>
      </c>
      <c r="CZ854" s="18" t="str">
        <f ca="1"/>
        <v/>
      </c>
      <c r="DA854" s="18" t="str">
        <f ca="1"/>
        <v/>
      </c>
      <c r="DC854" s="10"/>
    </row>
    <row r="855" spans="1:107" x14ac:dyDescent="0.25">
      <c r="A855" s="46"/>
      <c r="B855" s="52"/>
      <c r="C855" s="52"/>
      <c r="D855" s="16"/>
      <c r="E855" s="52"/>
      <c r="F855" s="52"/>
      <c r="G855" s="50"/>
      <c r="H855" s="17" t="str">
        <f ca="1">IFERROR(__xludf.DUMMYFUNCTION("""COMPUTED_VALUE"""),"")</f>
        <v/>
      </c>
      <c r="I855" s="50" t="s">
        <v>29</v>
      </c>
      <c r="J855" s="50" t="s">
        <v>29</v>
      </c>
      <c r="K855" s="50" t="s">
        <v>29</v>
      </c>
      <c r="L855" s="50" t="s">
        <v>29</v>
      </c>
      <c r="M855" s="50" t="s">
        <v>29</v>
      </c>
      <c r="N855" s="49"/>
      <c r="P855" s="19"/>
      <c r="Q855" s="18" t="str">
        <f ca="1">IFERROR(__xludf.DUMMYFUNCTION("""COMPUTED_VALUE"""),"")</f>
        <v/>
      </c>
      <c r="R855" s="19"/>
      <c r="S855" s="20"/>
      <c r="BP855" s="10"/>
      <c r="BW855" s="10"/>
      <c r="CF855" s="10"/>
      <c r="CM855" s="10"/>
      <c r="CP855" s="18" t="str">
        <f ca="1"/>
        <v/>
      </c>
      <c r="CQ855" s="18" t="str">
        <f ca="1"/>
        <v/>
      </c>
      <c r="CR855" s="18" t="str">
        <f ca="1"/>
        <v/>
      </c>
      <c r="CS855" s="18" t="str">
        <f ca="1"/>
        <v/>
      </c>
      <c r="CT855" s="18" t="str">
        <f ca="1"/>
        <v/>
      </c>
      <c r="CV855" s="10"/>
      <c r="CY855" s="18" t="str">
        <f ca="1"/>
        <v/>
      </c>
      <c r="CZ855" s="18" t="str">
        <f ca="1"/>
        <v/>
      </c>
      <c r="DA855" s="18" t="str">
        <f ca="1"/>
        <v/>
      </c>
      <c r="DC855" s="10"/>
    </row>
    <row r="856" spans="1:107" x14ac:dyDescent="0.25">
      <c r="A856" s="46"/>
      <c r="B856" s="52"/>
      <c r="C856" s="52"/>
      <c r="D856" s="16"/>
      <c r="E856" s="52"/>
      <c r="F856" s="52"/>
      <c r="G856" s="50"/>
      <c r="H856" s="17" t="str">
        <f ca="1">IFERROR(__xludf.DUMMYFUNCTION("""COMPUTED_VALUE"""),"")</f>
        <v/>
      </c>
      <c r="I856" s="50" t="s">
        <v>29</v>
      </c>
      <c r="J856" s="50" t="s">
        <v>29</v>
      </c>
      <c r="K856" s="50" t="s">
        <v>29</v>
      </c>
      <c r="L856" s="50" t="s">
        <v>29</v>
      </c>
      <c r="M856" s="50" t="s">
        <v>29</v>
      </c>
      <c r="N856" s="49"/>
      <c r="P856" s="19"/>
      <c r="Q856" s="18" t="str">
        <f ca="1">IFERROR(__xludf.DUMMYFUNCTION("""COMPUTED_VALUE"""),"")</f>
        <v/>
      </c>
      <c r="R856" s="19"/>
      <c r="S856" s="20"/>
      <c r="BP856" s="10"/>
      <c r="BW856" s="10"/>
      <c r="CF856" s="10"/>
      <c r="CM856" s="10"/>
      <c r="CP856" s="18" t="str">
        <f ca="1"/>
        <v/>
      </c>
      <c r="CQ856" s="18" t="str">
        <f ca="1"/>
        <v/>
      </c>
      <c r="CR856" s="18" t="str">
        <f ca="1"/>
        <v/>
      </c>
      <c r="CS856" s="18" t="str">
        <f ca="1"/>
        <v/>
      </c>
      <c r="CT856" s="18" t="str">
        <f ca="1"/>
        <v/>
      </c>
      <c r="CV856" s="10"/>
      <c r="CY856" s="18" t="str">
        <f ca="1"/>
        <v/>
      </c>
      <c r="CZ856" s="18" t="str">
        <f ca="1"/>
        <v/>
      </c>
      <c r="DA856" s="18" t="str">
        <f ca="1"/>
        <v/>
      </c>
      <c r="DC856" s="10"/>
    </row>
    <row r="857" spans="1:107" x14ac:dyDescent="0.25">
      <c r="A857" s="46"/>
      <c r="B857" s="52"/>
      <c r="C857" s="52"/>
      <c r="D857" s="16"/>
      <c r="E857" s="52"/>
      <c r="F857" s="52"/>
      <c r="G857" s="50"/>
      <c r="H857" s="17" t="str">
        <f ca="1">IFERROR(__xludf.DUMMYFUNCTION("""COMPUTED_VALUE"""),"")</f>
        <v/>
      </c>
      <c r="I857" s="50" t="s">
        <v>29</v>
      </c>
      <c r="J857" s="50" t="s">
        <v>29</v>
      </c>
      <c r="K857" s="50" t="s">
        <v>29</v>
      </c>
      <c r="L857" s="50" t="s">
        <v>29</v>
      </c>
      <c r="M857" s="50" t="s">
        <v>29</v>
      </c>
      <c r="N857" s="49"/>
      <c r="P857" s="19"/>
      <c r="Q857" s="18" t="str">
        <f ca="1">IFERROR(__xludf.DUMMYFUNCTION("""COMPUTED_VALUE"""),"")</f>
        <v/>
      </c>
      <c r="R857" s="19"/>
      <c r="S857" s="20"/>
      <c r="BP857" s="10"/>
      <c r="BW857" s="10"/>
      <c r="CF857" s="10"/>
      <c r="CM857" s="10"/>
      <c r="CP857" s="18" t="str">
        <f ca="1"/>
        <v/>
      </c>
      <c r="CQ857" s="18" t="str">
        <f ca="1"/>
        <v/>
      </c>
      <c r="CR857" s="18" t="str">
        <f ca="1"/>
        <v/>
      </c>
      <c r="CS857" s="18" t="str">
        <f ca="1"/>
        <v/>
      </c>
      <c r="CT857" s="18" t="str">
        <f ca="1"/>
        <v/>
      </c>
      <c r="CV857" s="10"/>
      <c r="CY857" s="18" t="str">
        <f ca="1"/>
        <v/>
      </c>
      <c r="CZ857" s="18" t="str">
        <f ca="1"/>
        <v/>
      </c>
      <c r="DA857" s="18" t="str">
        <f ca="1"/>
        <v/>
      </c>
      <c r="DC857" s="10"/>
    </row>
    <row r="858" spans="1:107" x14ac:dyDescent="0.25">
      <c r="A858" s="46"/>
      <c r="B858" s="52"/>
      <c r="C858" s="52"/>
      <c r="D858" s="16"/>
      <c r="E858" s="52"/>
      <c r="F858" s="52"/>
      <c r="G858" s="50"/>
      <c r="H858" s="17" t="str">
        <f ca="1">IFERROR(__xludf.DUMMYFUNCTION("""COMPUTED_VALUE"""),"")</f>
        <v/>
      </c>
      <c r="I858" s="50" t="s">
        <v>29</v>
      </c>
      <c r="J858" s="50" t="s">
        <v>29</v>
      </c>
      <c r="K858" s="50" t="s">
        <v>29</v>
      </c>
      <c r="L858" s="50" t="s">
        <v>29</v>
      </c>
      <c r="M858" s="50" t="s">
        <v>29</v>
      </c>
      <c r="N858" s="49"/>
      <c r="P858" s="19"/>
      <c r="Q858" s="18" t="str">
        <f ca="1">IFERROR(__xludf.DUMMYFUNCTION("""COMPUTED_VALUE"""),"")</f>
        <v/>
      </c>
      <c r="R858" s="19"/>
      <c r="S858" s="20"/>
      <c r="BP858" s="10"/>
      <c r="BW858" s="10"/>
      <c r="CF858" s="10"/>
      <c r="CM858" s="10"/>
      <c r="CP858" s="18" t="str">
        <f ca="1"/>
        <v/>
      </c>
      <c r="CQ858" s="18" t="str">
        <f ca="1"/>
        <v/>
      </c>
      <c r="CR858" s="18" t="str">
        <f ca="1"/>
        <v/>
      </c>
      <c r="CS858" s="18" t="str">
        <f ca="1"/>
        <v/>
      </c>
      <c r="CT858" s="18" t="str">
        <f ca="1"/>
        <v/>
      </c>
      <c r="CV858" s="10"/>
      <c r="CY858" s="18" t="str">
        <f ca="1"/>
        <v/>
      </c>
      <c r="CZ858" s="18" t="str">
        <f ca="1"/>
        <v/>
      </c>
      <c r="DA858" s="18" t="str">
        <f ca="1"/>
        <v/>
      </c>
      <c r="DC858" s="10"/>
    </row>
    <row r="859" spans="1:107" x14ac:dyDescent="0.25">
      <c r="A859" s="46"/>
      <c r="B859" s="52"/>
      <c r="C859" s="52"/>
      <c r="D859" s="16"/>
      <c r="E859" s="52"/>
      <c r="F859" s="52"/>
      <c r="G859" s="50"/>
      <c r="H859" s="17" t="str">
        <f ca="1">IFERROR(__xludf.DUMMYFUNCTION("""COMPUTED_VALUE"""),"")</f>
        <v/>
      </c>
      <c r="I859" s="50" t="s">
        <v>29</v>
      </c>
      <c r="J859" s="50" t="s">
        <v>29</v>
      </c>
      <c r="K859" s="50" t="s">
        <v>29</v>
      </c>
      <c r="L859" s="50" t="s">
        <v>29</v>
      </c>
      <c r="M859" s="50" t="s">
        <v>29</v>
      </c>
      <c r="N859" s="49"/>
      <c r="P859" s="19"/>
      <c r="Q859" s="18" t="str">
        <f ca="1">IFERROR(__xludf.DUMMYFUNCTION("""COMPUTED_VALUE"""),"")</f>
        <v/>
      </c>
      <c r="R859" s="19"/>
      <c r="S859" s="20"/>
      <c r="BP859" s="10"/>
      <c r="BW859" s="10"/>
      <c r="CF859" s="10"/>
      <c r="CM859" s="10"/>
      <c r="CP859" s="18" t="str">
        <f ca="1"/>
        <v/>
      </c>
      <c r="CQ859" s="18" t="str">
        <f ca="1"/>
        <v/>
      </c>
      <c r="CR859" s="18" t="str">
        <f ca="1"/>
        <v/>
      </c>
      <c r="CS859" s="18" t="str">
        <f ca="1"/>
        <v/>
      </c>
      <c r="CT859" s="18" t="str">
        <f ca="1"/>
        <v/>
      </c>
      <c r="CV859" s="10"/>
      <c r="CY859" s="18" t="str">
        <f ca="1"/>
        <v/>
      </c>
      <c r="CZ859" s="18" t="str">
        <f ca="1"/>
        <v/>
      </c>
      <c r="DA859" s="18" t="str">
        <f ca="1"/>
        <v/>
      </c>
      <c r="DC859" s="10"/>
    </row>
    <row r="860" spans="1:107" x14ac:dyDescent="0.25">
      <c r="A860" s="46"/>
      <c r="B860" s="52"/>
      <c r="C860" s="52"/>
      <c r="D860" s="16"/>
      <c r="E860" s="52"/>
      <c r="F860" s="52"/>
      <c r="G860" s="50"/>
      <c r="H860" s="17" t="str">
        <f ca="1">IFERROR(__xludf.DUMMYFUNCTION("""COMPUTED_VALUE"""),"")</f>
        <v/>
      </c>
      <c r="I860" s="50" t="s">
        <v>29</v>
      </c>
      <c r="J860" s="50" t="s">
        <v>29</v>
      </c>
      <c r="K860" s="50" t="s">
        <v>29</v>
      </c>
      <c r="L860" s="50" t="s">
        <v>29</v>
      </c>
      <c r="M860" s="50" t="s">
        <v>29</v>
      </c>
      <c r="N860" s="49"/>
      <c r="P860" s="19"/>
      <c r="Q860" s="18" t="str">
        <f ca="1">IFERROR(__xludf.DUMMYFUNCTION("""COMPUTED_VALUE"""),"")</f>
        <v/>
      </c>
      <c r="R860" s="19"/>
      <c r="S860" s="20"/>
      <c r="BP860" s="10"/>
      <c r="BW860" s="10"/>
      <c r="CF860" s="10"/>
      <c r="CM860" s="10"/>
      <c r="CP860" s="18" t="str">
        <f ca="1"/>
        <v/>
      </c>
      <c r="CQ860" s="18" t="str">
        <f ca="1"/>
        <v/>
      </c>
      <c r="CR860" s="18" t="str">
        <f ca="1"/>
        <v/>
      </c>
      <c r="CS860" s="18" t="str">
        <f ca="1"/>
        <v/>
      </c>
      <c r="CT860" s="18" t="str">
        <f ca="1"/>
        <v/>
      </c>
      <c r="CV860" s="10"/>
      <c r="CY860" s="18" t="str">
        <f ca="1"/>
        <v/>
      </c>
      <c r="CZ860" s="18" t="str">
        <f ca="1"/>
        <v/>
      </c>
      <c r="DA860" s="18" t="str">
        <f ca="1"/>
        <v/>
      </c>
      <c r="DC860" s="10"/>
    </row>
    <row r="861" spans="1:107" x14ac:dyDescent="0.25">
      <c r="A861" s="46"/>
      <c r="B861" s="52"/>
      <c r="C861" s="52"/>
      <c r="D861" s="16"/>
      <c r="E861" s="52"/>
      <c r="F861" s="52"/>
      <c r="G861" s="50"/>
      <c r="H861" s="17" t="str">
        <f ca="1">IFERROR(__xludf.DUMMYFUNCTION("""COMPUTED_VALUE"""),"")</f>
        <v/>
      </c>
      <c r="I861" s="50" t="s">
        <v>29</v>
      </c>
      <c r="J861" s="50" t="s">
        <v>29</v>
      </c>
      <c r="K861" s="50" t="s">
        <v>29</v>
      </c>
      <c r="L861" s="50" t="s">
        <v>29</v>
      </c>
      <c r="M861" s="50" t="s">
        <v>29</v>
      </c>
      <c r="N861" s="49"/>
      <c r="P861" s="19"/>
      <c r="Q861" s="18" t="str">
        <f ca="1">IFERROR(__xludf.DUMMYFUNCTION("""COMPUTED_VALUE"""),"")</f>
        <v/>
      </c>
      <c r="R861" s="19"/>
      <c r="S861" s="20"/>
      <c r="BP861" s="10"/>
      <c r="BW861" s="10"/>
      <c r="CF861" s="10"/>
      <c r="CM861" s="10"/>
      <c r="CP861" s="18" t="str">
        <f ca="1"/>
        <v/>
      </c>
      <c r="CQ861" s="18" t="str">
        <f ca="1"/>
        <v/>
      </c>
      <c r="CR861" s="18" t="str">
        <f ca="1"/>
        <v/>
      </c>
      <c r="CS861" s="18" t="str">
        <f ca="1"/>
        <v/>
      </c>
      <c r="CT861" s="18" t="str">
        <f ca="1"/>
        <v/>
      </c>
      <c r="CV861" s="10"/>
      <c r="CY861" s="18" t="str">
        <f ca="1"/>
        <v/>
      </c>
      <c r="CZ861" s="18" t="str">
        <f ca="1"/>
        <v/>
      </c>
      <c r="DA861" s="18" t="str">
        <f ca="1"/>
        <v/>
      </c>
      <c r="DC861" s="10"/>
    </row>
    <row r="862" spans="1:107" x14ac:dyDescent="0.25">
      <c r="A862" s="46"/>
      <c r="B862" s="52"/>
      <c r="C862" s="52"/>
      <c r="D862" s="16"/>
      <c r="E862" s="52"/>
      <c r="F862" s="52"/>
      <c r="G862" s="50"/>
      <c r="H862" s="17" t="str">
        <f ca="1">IFERROR(__xludf.DUMMYFUNCTION("""COMPUTED_VALUE"""),"")</f>
        <v/>
      </c>
      <c r="I862" s="50" t="s">
        <v>29</v>
      </c>
      <c r="J862" s="50" t="s">
        <v>29</v>
      </c>
      <c r="K862" s="50" t="s">
        <v>29</v>
      </c>
      <c r="L862" s="50" t="s">
        <v>29</v>
      </c>
      <c r="M862" s="50" t="s">
        <v>29</v>
      </c>
      <c r="N862" s="49"/>
      <c r="P862" s="19"/>
      <c r="Q862" s="18" t="str">
        <f ca="1">IFERROR(__xludf.DUMMYFUNCTION("""COMPUTED_VALUE"""),"")</f>
        <v/>
      </c>
      <c r="R862" s="19"/>
      <c r="S862" s="20"/>
      <c r="BP862" s="10"/>
      <c r="BW862" s="10"/>
      <c r="CF862" s="10"/>
      <c r="CM862" s="10"/>
      <c r="CP862" s="18" t="str">
        <f ca="1"/>
        <v/>
      </c>
      <c r="CQ862" s="18" t="str">
        <f ca="1"/>
        <v/>
      </c>
      <c r="CR862" s="18" t="str">
        <f ca="1"/>
        <v/>
      </c>
      <c r="CS862" s="18" t="str">
        <f ca="1"/>
        <v/>
      </c>
      <c r="CT862" s="18" t="str">
        <f ca="1"/>
        <v/>
      </c>
      <c r="CV862" s="10"/>
      <c r="CY862" s="18" t="str">
        <f ca="1"/>
        <v/>
      </c>
      <c r="CZ862" s="18" t="str">
        <f ca="1"/>
        <v/>
      </c>
      <c r="DA862" s="18" t="str">
        <f ca="1"/>
        <v/>
      </c>
      <c r="DC862" s="10"/>
    </row>
    <row r="863" spans="1:107" x14ac:dyDescent="0.25">
      <c r="A863" s="46"/>
      <c r="B863" s="52"/>
      <c r="C863" s="52"/>
      <c r="D863" s="16"/>
      <c r="E863" s="52"/>
      <c r="F863" s="52"/>
      <c r="G863" s="50"/>
      <c r="H863" s="17" t="str">
        <f ca="1">IFERROR(__xludf.DUMMYFUNCTION("""COMPUTED_VALUE"""),"")</f>
        <v/>
      </c>
      <c r="I863" s="50" t="s">
        <v>29</v>
      </c>
      <c r="J863" s="50" t="s">
        <v>29</v>
      </c>
      <c r="K863" s="50" t="s">
        <v>29</v>
      </c>
      <c r="L863" s="50" t="s">
        <v>29</v>
      </c>
      <c r="M863" s="50" t="s">
        <v>29</v>
      </c>
      <c r="N863" s="49"/>
      <c r="P863" s="19"/>
      <c r="Q863" s="18" t="str">
        <f ca="1">IFERROR(__xludf.DUMMYFUNCTION("""COMPUTED_VALUE"""),"")</f>
        <v/>
      </c>
      <c r="R863" s="19"/>
      <c r="S863" s="20"/>
      <c r="BP863" s="10"/>
      <c r="BW863" s="10"/>
      <c r="CF863" s="10"/>
      <c r="CM863" s="10"/>
      <c r="CP863" s="18" t="str">
        <f ca="1"/>
        <v/>
      </c>
      <c r="CQ863" s="18" t="str">
        <f ca="1"/>
        <v/>
      </c>
      <c r="CR863" s="18" t="str">
        <f ca="1"/>
        <v/>
      </c>
      <c r="CS863" s="18" t="str">
        <f ca="1"/>
        <v/>
      </c>
      <c r="CT863" s="18" t="str">
        <f ca="1"/>
        <v/>
      </c>
      <c r="CV863" s="10"/>
      <c r="CY863" s="18" t="str">
        <f ca="1"/>
        <v/>
      </c>
      <c r="CZ863" s="18" t="str">
        <f ca="1"/>
        <v/>
      </c>
      <c r="DA863" s="18" t="str">
        <f ca="1"/>
        <v/>
      </c>
      <c r="DC863" s="10"/>
    </row>
    <row r="864" spans="1:107" x14ac:dyDescent="0.25">
      <c r="A864" s="46"/>
      <c r="B864" s="52"/>
      <c r="C864" s="52"/>
      <c r="D864" s="16"/>
      <c r="E864" s="52"/>
      <c r="F864" s="52"/>
      <c r="G864" s="50"/>
      <c r="H864" s="17" t="str">
        <f ca="1">IFERROR(__xludf.DUMMYFUNCTION("""COMPUTED_VALUE"""),"")</f>
        <v/>
      </c>
      <c r="I864" s="50" t="s">
        <v>29</v>
      </c>
      <c r="J864" s="50" t="s">
        <v>29</v>
      </c>
      <c r="K864" s="50" t="s">
        <v>29</v>
      </c>
      <c r="L864" s="50" t="s">
        <v>29</v>
      </c>
      <c r="M864" s="50" t="s">
        <v>29</v>
      </c>
      <c r="N864" s="49"/>
      <c r="P864" s="19"/>
      <c r="Q864" s="18" t="str">
        <f ca="1">IFERROR(__xludf.DUMMYFUNCTION("""COMPUTED_VALUE"""),"")</f>
        <v/>
      </c>
      <c r="R864" s="19"/>
      <c r="S864" s="20"/>
      <c r="BP864" s="10"/>
      <c r="BW864" s="10"/>
      <c r="CF864" s="10"/>
      <c r="CM864" s="10"/>
      <c r="CP864" s="18" t="str">
        <f ca="1"/>
        <v/>
      </c>
      <c r="CQ864" s="18" t="str">
        <f ca="1"/>
        <v/>
      </c>
      <c r="CR864" s="18" t="str">
        <f ca="1"/>
        <v/>
      </c>
      <c r="CS864" s="18" t="str">
        <f ca="1"/>
        <v/>
      </c>
      <c r="CT864" s="18" t="str">
        <f ca="1"/>
        <v/>
      </c>
      <c r="CV864" s="10"/>
      <c r="CY864" s="18" t="str">
        <f ca="1"/>
        <v/>
      </c>
      <c r="CZ864" s="18" t="str">
        <f ca="1"/>
        <v/>
      </c>
      <c r="DA864" s="18" t="str">
        <f ca="1"/>
        <v/>
      </c>
      <c r="DC864" s="10"/>
    </row>
    <row r="865" spans="1:107" x14ac:dyDescent="0.25">
      <c r="A865" s="46"/>
      <c r="B865" s="52"/>
      <c r="C865" s="52"/>
      <c r="D865" s="16"/>
      <c r="E865" s="52"/>
      <c r="F865" s="52"/>
      <c r="G865" s="50"/>
      <c r="H865" s="17" t="str">
        <f ca="1">IFERROR(__xludf.DUMMYFUNCTION("""COMPUTED_VALUE"""),"")</f>
        <v/>
      </c>
      <c r="I865" s="50" t="s">
        <v>29</v>
      </c>
      <c r="J865" s="50" t="s">
        <v>29</v>
      </c>
      <c r="K865" s="50" t="s">
        <v>29</v>
      </c>
      <c r="L865" s="50" t="s">
        <v>29</v>
      </c>
      <c r="M865" s="50" t="s">
        <v>29</v>
      </c>
      <c r="N865" s="49"/>
      <c r="P865" s="19"/>
      <c r="Q865" s="18" t="str">
        <f ca="1">IFERROR(__xludf.DUMMYFUNCTION("""COMPUTED_VALUE"""),"")</f>
        <v/>
      </c>
      <c r="R865" s="19"/>
      <c r="S865" s="20"/>
      <c r="BP865" s="10"/>
      <c r="BW865" s="10"/>
      <c r="CF865" s="10"/>
      <c r="CM865" s="10"/>
      <c r="CP865" s="18" t="str">
        <f ca="1"/>
        <v/>
      </c>
      <c r="CQ865" s="18" t="str">
        <f ca="1"/>
        <v/>
      </c>
      <c r="CR865" s="18" t="str">
        <f ca="1"/>
        <v/>
      </c>
      <c r="CS865" s="18" t="str">
        <f ca="1"/>
        <v/>
      </c>
      <c r="CT865" s="18" t="str">
        <f ca="1"/>
        <v/>
      </c>
      <c r="CV865" s="10"/>
      <c r="CY865" s="18" t="str">
        <f ca="1"/>
        <v/>
      </c>
      <c r="CZ865" s="18" t="str">
        <f ca="1"/>
        <v/>
      </c>
      <c r="DA865" s="18" t="str">
        <f ca="1"/>
        <v/>
      </c>
      <c r="DC865" s="10"/>
    </row>
    <row r="866" spans="1:107" x14ac:dyDescent="0.25">
      <c r="A866" s="46"/>
      <c r="B866" s="52"/>
      <c r="C866" s="52"/>
      <c r="D866" s="16"/>
      <c r="E866" s="52"/>
      <c r="F866" s="52"/>
      <c r="G866" s="50"/>
      <c r="H866" s="17" t="str">
        <f ca="1">IFERROR(__xludf.DUMMYFUNCTION("""COMPUTED_VALUE"""),"")</f>
        <v/>
      </c>
      <c r="I866" s="50" t="s">
        <v>29</v>
      </c>
      <c r="J866" s="50" t="s">
        <v>29</v>
      </c>
      <c r="K866" s="50" t="s">
        <v>29</v>
      </c>
      <c r="L866" s="50" t="s">
        <v>29</v>
      </c>
      <c r="M866" s="50" t="s">
        <v>29</v>
      </c>
      <c r="N866" s="49"/>
      <c r="P866" s="19"/>
      <c r="Q866" s="18" t="str">
        <f ca="1">IFERROR(__xludf.DUMMYFUNCTION("""COMPUTED_VALUE"""),"")</f>
        <v/>
      </c>
      <c r="R866" s="19"/>
      <c r="S866" s="20"/>
      <c r="BP866" s="10"/>
      <c r="BW866" s="10"/>
      <c r="CF866" s="10"/>
      <c r="CM866" s="10"/>
      <c r="CP866" s="18" t="str">
        <f ca="1"/>
        <v/>
      </c>
      <c r="CQ866" s="18" t="str">
        <f ca="1"/>
        <v/>
      </c>
      <c r="CR866" s="18" t="str">
        <f ca="1"/>
        <v/>
      </c>
      <c r="CS866" s="18" t="str">
        <f ca="1"/>
        <v/>
      </c>
      <c r="CT866" s="18" t="str">
        <f ca="1"/>
        <v/>
      </c>
      <c r="CV866" s="10"/>
      <c r="CY866" s="18" t="str">
        <f ca="1"/>
        <v/>
      </c>
      <c r="CZ866" s="18" t="str">
        <f ca="1"/>
        <v/>
      </c>
      <c r="DA866" s="18" t="str">
        <f ca="1"/>
        <v/>
      </c>
      <c r="DC866" s="10"/>
    </row>
    <row r="867" spans="1:107" x14ac:dyDescent="0.25">
      <c r="A867" s="46"/>
      <c r="B867" s="52"/>
      <c r="C867" s="52"/>
      <c r="D867" s="16"/>
      <c r="E867" s="52"/>
      <c r="F867" s="52"/>
      <c r="G867" s="50"/>
      <c r="H867" s="17" t="str">
        <f ca="1">IFERROR(__xludf.DUMMYFUNCTION("""COMPUTED_VALUE"""),"")</f>
        <v/>
      </c>
      <c r="I867" s="50" t="s">
        <v>29</v>
      </c>
      <c r="J867" s="50" t="s">
        <v>29</v>
      </c>
      <c r="K867" s="50" t="s">
        <v>29</v>
      </c>
      <c r="L867" s="50" t="s">
        <v>29</v>
      </c>
      <c r="M867" s="50" t="s">
        <v>29</v>
      </c>
      <c r="N867" s="49"/>
      <c r="P867" s="19"/>
      <c r="Q867" s="18" t="str">
        <f ca="1">IFERROR(__xludf.DUMMYFUNCTION("""COMPUTED_VALUE"""),"")</f>
        <v/>
      </c>
      <c r="R867" s="19"/>
      <c r="S867" s="20"/>
      <c r="BP867" s="10"/>
      <c r="BW867" s="10"/>
      <c r="CF867" s="10"/>
      <c r="CM867" s="10"/>
      <c r="CP867" s="18" t="str">
        <f ca="1"/>
        <v/>
      </c>
      <c r="CQ867" s="18" t="str">
        <f ca="1"/>
        <v/>
      </c>
      <c r="CR867" s="18" t="str">
        <f ca="1"/>
        <v/>
      </c>
      <c r="CS867" s="18" t="str">
        <f ca="1"/>
        <v/>
      </c>
      <c r="CT867" s="18" t="str">
        <f ca="1"/>
        <v/>
      </c>
      <c r="CV867" s="10"/>
      <c r="CY867" s="18" t="str">
        <f ca="1"/>
        <v/>
      </c>
      <c r="CZ867" s="18" t="str">
        <f ca="1"/>
        <v/>
      </c>
      <c r="DA867" s="18" t="str">
        <f ca="1"/>
        <v/>
      </c>
      <c r="DC867" s="10"/>
    </row>
    <row r="868" spans="1:107" x14ac:dyDescent="0.25">
      <c r="A868" s="46"/>
      <c r="B868" s="52"/>
      <c r="C868" s="52"/>
      <c r="D868" s="16"/>
      <c r="E868" s="52"/>
      <c r="F868" s="52"/>
      <c r="G868" s="50"/>
      <c r="H868" s="17" t="str">
        <f ca="1">IFERROR(__xludf.DUMMYFUNCTION("""COMPUTED_VALUE"""),"")</f>
        <v/>
      </c>
      <c r="I868" s="50" t="s">
        <v>29</v>
      </c>
      <c r="J868" s="50" t="s">
        <v>29</v>
      </c>
      <c r="K868" s="50" t="s">
        <v>29</v>
      </c>
      <c r="L868" s="50" t="s">
        <v>29</v>
      </c>
      <c r="M868" s="50" t="s">
        <v>29</v>
      </c>
      <c r="N868" s="49"/>
      <c r="P868" s="19"/>
      <c r="Q868" s="18" t="str">
        <f ca="1">IFERROR(__xludf.DUMMYFUNCTION("""COMPUTED_VALUE"""),"")</f>
        <v/>
      </c>
      <c r="R868" s="19"/>
      <c r="S868" s="20"/>
      <c r="BP868" s="10"/>
      <c r="BW868" s="10"/>
      <c r="CF868" s="10"/>
      <c r="CM868" s="10"/>
      <c r="CP868" s="18" t="str">
        <f ca="1"/>
        <v/>
      </c>
      <c r="CQ868" s="18" t="str">
        <f ca="1"/>
        <v/>
      </c>
      <c r="CR868" s="18" t="str">
        <f ca="1"/>
        <v/>
      </c>
      <c r="CS868" s="18" t="str">
        <f ca="1"/>
        <v/>
      </c>
      <c r="CT868" s="18" t="str">
        <f ca="1"/>
        <v/>
      </c>
      <c r="CV868" s="10"/>
      <c r="CY868" s="18" t="str">
        <f ca="1"/>
        <v/>
      </c>
      <c r="CZ868" s="18" t="str">
        <f ca="1"/>
        <v/>
      </c>
      <c r="DA868" s="18" t="str">
        <f ca="1"/>
        <v/>
      </c>
      <c r="DC868" s="10"/>
    </row>
    <row r="869" spans="1:107" x14ac:dyDescent="0.25">
      <c r="A869" s="46"/>
      <c r="B869" s="52"/>
      <c r="C869" s="52"/>
      <c r="D869" s="16"/>
      <c r="E869" s="52"/>
      <c r="F869" s="52"/>
      <c r="G869" s="50"/>
      <c r="H869" s="17" t="str">
        <f ca="1">IFERROR(__xludf.DUMMYFUNCTION("""COMPUTED_VALUE"""),"")</f>
        <v/>
      </c>
      <c r="I869" s="50" t="s">
        <v>29</v>
      </c>
      <c r="J869" s="50" t="s">
        <v>29</v>
      </c>
      <c r="K869" s="50" t="s">
        <v>29</v>
      </c>
      <c r="L869" s="50" t="s">
        <v>29</v>
      </c>
      <c r="M869" s="50" t="s">
        <v>29</v>
      </c>
      <c r="N869" s="49"/>
      <c r="P869" s="19"/>
      <c r="Q869" s="18" t="str">
        <f ca="1">IFERROR(__xludf.DUMMYFUNCTION("""COMPUTED_VALUE"""),"")</f>
        <v/>
      </c>
      <c r="R869" s="19"/>
      <c r="S869" s="20"/>
      <c r="BP869" s="10"/>
      <c r="BW869" s="10"/>
      <c r="CF869" s="10"/>
      <c r="CM869" s="10"/>
      <c r="CP869" s="18" t="str">
        <f ca="1"/>
        <v/>
      </c>
      <c r="CQ869" s="18" t="str">
        <f ca="1"/>
        <v/>
      </c>
      <c r="CR869" s="18" t="str">
        <f ca="1"/>
        <v/>
      </c>
      <c r="CS869" s="18" t="str">
        <f ca="1"/>
        <v/>
      </c>
      <c r="CT869" s="18" t="str">
        <f ca="1"/>
        <v/>
      </c>
      <c r="CV869" s="10"/>
      <c r="CY869" s="18" t="str">
        <f ca="1"/>
        <v/>
      </c>
      <c r="CZ869" s="18" t="str">
        <f ca="1"/>
        <v/>
      </c>
      <c r="DA869" s="18" t="str">
        <f ca="1"/>
        <v/>
      </c>
      <c r="DC869" s="10"/>
    </row>
    <row r="870" spans="1:107" x14ac:dyDescent="0.25">
      <c r="A870" s="46"/>
      <c r="B870" s="52"/>
      <c r="C870" s="52"/>
      <c r="D870" s="16"/>
      <c r="E870" s="52"/>
      <c r="F870" s="52"/>
      <c r="G870" s="50"/>
      <c r="H870" s="17" t="str">
        <f ca="1">IFERROR(__xludf.DUMMYFUNCTION("""COMPUTED_VALUE"""),"")</f>
        <v/>
      </c>
      <c r="I870" s="50" t="s">
        <v>29</v>
      </c>
      <c r="J870" s="50" t="s">
        <v>29</v>
      </c>
      <c r="K870" s="50" t="s">
        <v>29</v>
      </c>
      <c r="L870" s="50" t="s">
        <v>29</v>
      </c>
      <c r="M870" s="50" t="s">
        <v>29</v>
      </c>
      <c r="N870" s="49"/>
      <c r="P870" s="19"/>
      <c r="Q870" s="18" t="str">
        <f ca="1">IFERROR(__xludf.DUMMYFUNCTION("""COMPUTED_VALUE"""),"")</f>
        <v/>
      </c>
      <c r="R870" s="19"/>
      <c r="S870" s="20"/>
      <c r="BP870" s="10"/>
      <c r="BW870" s="10"/>
      <c r="CF870" s="10"/>
      <c r="CM870" s="10"/>
      <c r="CP870" s="18" t="str">
        <f ca="1"/>
        <v/>
      </c>
      <c r="CQ870" s="18" t="str">
        <f ca="1"/>
        <v/>
      </c>
      <c r="CR870" s="18" t="str">
        <f ca="1"/>
        <v/>
      </c>
      <c r="CS870" s="18" t="str">
        <f ca="1"/>
        <v/>
      </c>
      <c r="CT870" s="18" t="str">
        <f ca="1"/>
        <v/>
      </c>
      <c r="CV870" s="10"/>
      <c r="CY870" s="18" t="str">
        <f ca="1"/>
        <v/>
      </c>
      <c r="CZ870" s="18" t="str">
        <f ca="1"/>
        <v/>
      </c>
      <c r="DA870" s="18" t="str">
        <f ca="1"/>
        <v/>
      </c>
      <c r="DC870" s="10"/>
    </row>
    <row r="871" spans="1:107" x14ac:dyDescent="0.25">
      <c r="A871" s="46"/>
      <c r="B871" s="52"/>
      <c r="C871" s="52"/>
      <c r="D871" s="16"/>
      <c r="E871" s="52"/>
      <c r="F871" s="52"/>
      <c r="G871" s="50"/>
      <c r="H871" s="17" t="str">
        <f ca="1">IFERROR(__xludf.DUMMYFUNCTION("""COMPUTED_VALUE"""),"")</f>
        <v/>
      </c>
      <c r="I871" s="50" t="s">
        <v>29</v>
      </c>
      <c r="J871" s="50" t="s">
        <v>29</v>
      </c>
      <c r="K871" s="50" t="s">
        <v>29</v>
      </c>
      <c r="L871" s="50" t="s">
        <v>29</v>
      </c>
      <c r="M871" s="50" t="s">
        <v>29</v>
      </c>
      <c r="N871" s="49"/>
      <c r="P871" s="19"/>
      <c r="Q871" s="18" t="str">
        <f ca="1">IFERROR(__xludf.DUMMYFUNCTION("""COMPUTED_VALUE"""),"")</f>
        <v/>
      </c>
      <c r="R871" s="19"/>
      <c r="S871" s="20"/>
      <c r="BP871" s="10"/>
      <c r="BW871" s="10"/>
      <c r="CF871" s="10"/>
      <c r="CM871" s="10"/>
      <c r="CP871" s="18" t="str">
        <f ca="1"/>
        <v/>
      </c>
      <c r="CQ871" s="18" t="str">
        <f ca="1"/>
        <v/>
      </c>
      <c r="CR871" s="18" t="str">
        <f ca="1"/>
        <v/>
      </c>
      <c r="CS871" s="18" t="str">
        <f ca="1"/>
        <v/>
      </c>
      <c r="CT871" s="18" t="str">
        <f ca="1"/>
        <v/>
      </c>
      <c r="CV871" s="10"/>
      <c r="CY871" s="18" t="str">
        <f ca="1"/>
        <v/>
      </c>
      <c r="CZ871" s="18" t="str">
        <f ca="1"/>
        <v/>
      </c>
      <c r="DA871" s="18" t="str">
        <f ca="1"/>
        <v/>
      </c>
      <c r="DC871" s="10"/>
    </row>
    <row r="872" spans="1:107" x14ac:dyDescent="0.25">
      <c r="A872" s="46"/>
      <c r="B872" s="52"/>
      <c r="C872" s="52"/>
      <c r="D872" s="16"/>
      <c r="E872" s="52"/>
      <c r="F872" s="52"/>
      <c r="G872" s="50"/>
      <c r="H872" s="17" t="str">
        <f ca="1">IFERROR(__xludf.DUMMYFUNCTION("""COMPUTED_VALUE"""),"")</f>
        <v/>
      </c>
      <c r="I872" s="50" t="s">
        <v>29</v>
      </c>
      <c r="J872" s="50" t="s">
        <v>29</v>
      </c>
      <c r="K872" s="50" t="s">
        <v>29</v>
      </c>
      <c r="L872" s="50" t="s">
        <v>29</v>
      </c>
      <c r="M872" s="50" t="s">
        <v>29</v>
      </c>
      <c r="N872" s="49"/>
      <c r="P872" s="19"/>
      <c r="Q872" s="18" t="str">
        <f ca="1">IFERROR(__xludf.DUMMYFUNCTION("""COMPUTED_VALUE"""),"")</f>
        <v/>
      </c>
      <c r="R872" s="19"/>
      <c r="S872" s="20"/>
      <c r="BP872" s="10"/>
      <c r="BW872" s="10"/>
      <c r="CF872" s="10"/>
      <c r="CM872" s="10"/>
      <c r="CP872" s="18" t="str">
        <f ca="1"/>
        <v/>
      </c>
      <c r="CQ872" s="18" t="str">
        <f ca="1"/>
        <v/>
      </c>
      <c r="CR872" s="18" t="str">
        <f ca="1"/>
        <v/>
      </c>
      <c r="CS872" s="18" t="str">
        <f ca="1"/>
        <v/>
      </c>
      <c r="CT872" s="18" t="str">
        <f ca="1"/>
        <v/>
      </c>
      <c r="CV872" s="10"/>
      <c r="CY872" s="18" t="str">
        <f ca="1"/>
        <v/>
      </c>
      <c r="CZ872" s="18" t="str">
        <f ca="1"/>
        <v/>
      </c>
      <c r="DA872" s="18" t="str">
        <f ca="1"/>
        <v/>
      </c>
      <c r="DC872" s="10"/>
    </row>
    <row r="873" spans="1:107" x14ac:dyDescent="0.25">
      <c r="A873" s="46"/>
      <c r="B873" s="52"/>
      <c r="C873" s="52"/>
      <c r="D873" s="16"/>
      <c r="E873" s="52"/>
      <c r="F873" s="52"/>
      <c r="G873" s="50"/>
      <c r="H873" s="17" t="str">
        <f ca="1">IFERROR(__xludf.DUMMYFUNCTION("""COMPUTED_VALUE"""),"")</f>
        <v/>
      </c>
      <c r="I873" s="50" t="s">
        <v>29</v>
      </c>
      <c r="J873" s="50" t="s">
        <v>29</v>
      </c>
      <c r="K873" s="50" t="s">
        <v>29</v>
      </c>
      <c r="L873" s="50" t="s">
        <v>29</v>
      </c>
      <c r="M873" s="50" t="s">
        <v>29</v>
      </c>
      <c r="N873" s="49"/>
      <c r="P873" s="19"/>
      <c r="Q873" s="18" t="str">
        <f ca="1">IFERROR(__xludf.DUMMYFUNCTION("""COMPUTED_VALUE"""),"")</f>
        <v/>
      </c>
      <c r="R873" s="19"/>
      <c r="S873" s="20"/>
      <c r="BP873" s="10"/>
      <c r="BW873" s="10"/>
      <c r="CF873" s="10"/>
      <c r="CM873" s="10"/>
      <c r="CP873" s="18" t="str">
        <f ca="1"/>
        <v/>
      </c>
      <c r="CQ873" s="18" t="str">
        <f ca="1"/>
        <v/>
      </c>
      <c r="CR873" s="18" t="str">
        <f ca="1"/>
        <v/>
      </c>
      <c r="CS873" s="18" t="str">
        <f ca="1"/>
        <v/>
      </c>
      <c r="CT873" s="18" t="str">
        <f ca="1"/>
        <v/>
      </c>
      <c r="CV873" s="10"/>
      <c r="CY873" s="18" t="str">
        <f ca="1"/>
        <v/>
      </c>
      <c r="CZ873" s="18" t="str">
        <f ca="1"/>
        <v/>
      </c>
      <c r="DA873" s="18" t="str">
        <f ca="1"/>
        <v/>
      </c>
      <c r="DC873" s="10"/>
    </row>
    <row r="874" spans="1:107" x14ac:dyDescent="0.25">
      <c r="A874" s="46"/>
      <c r="B874" s="52"/>
      <c r="C874" s="52"/>
      <c r="D874" s="16"/>
      <c r="E874" s="52"/>
      <c r="F874" s="52"/>
      <c r="G874" s="50"/>
      <c r="H874" s="17" t="str">
        <f ca="1">IFERROR(__xludf.DUMMYFUNCTION("""COMPUTED_VALUE"""),"")</f>
        <v/>
      </c>
      <c r="I874" s="50" t="s">
        <v>29</v>
      </c>
      <c r="J874" s="50" t="s">
        <v>29</v>
      </c>
      <c r="K874" s="50" t="s">
        <v>29</v>
      </c>
      <c r="L874" s="50" t="s">
        <v>29</v>
      </c>
      <c r="M874" s="50" t="s">
        <v>29</v>
      </c>
      <c r="N874" s="49"/>
      <c r="P874" s="19"/>
      <c r="Q874" s="18" t="str">
        <f ca="1">IFERROR(__xludf.DUMMYFUNCTION("""COMPUTED_VALUE"""),"")</f>
        <v/>
      </c>
      <c r="R874" s="19"/>
      <c r="S874" s="20"/>
      <c r="BP874" s="10"/>
      <c r="BW874" s="10"/>
      <c r="CF874" s="10"/>
      <c r="CM874" s="10"/>
      <c r="CP874" s="18" t="str">
        <f ca="1"/>
        <v/>
      </c>
      <c r="CQ874" s="18" t="str">
        <f ca="1"/>
        <v/>
      </c>
      <c r="CR874" s="18" t="str">
        <f ca="1"/>
        <v/>
      </c>
      <c r="CS874" s="18" t="str">
        <f ca="1"/>
        <v/>
      </c>
      <c r="CT874" s="18" t="str">
        <f ca="1"/>
        <v/>
      </c>
      <c r="CV874" s="10"/>
      <c r="CY874" s="18" t="str">
        <f ca="1"/>
        <v/>
      </c>
      <c r="CZ874" s="18" t="str">
        <f ca="1"/>
        <v/>
      </c>
      <c r="DA874" s="18" t="str">
        <f ca="1"/>
        <v/>
      </c>
      <c r="DC874" s="10"/>
    </row>
    <row r="875" spans="1:107" x14ac:dyDescent="0.25">
      <c r="A875" s="46"/>
      <c r="B875" s="52"/>
      <c r="C875" s="52"/>
      <c r="D875" s="16"/>
      <c r="E875" s="52"/>
      <c r="F875" s="52"/>
      <c r="G875" s="50"/>
      <c r="H875" s="17" t="str">
        <f ca="1">IFERROR(__xludf.DUMMYFUNCTION("""COMPUTED_VALUE"""),"")</f>
        <v/>
      </c>
      <c r="I875" s="50" t="s">
        <v>29</v>
      </c>
      <c r="J875" s="50" t="s">
        <v>29</v>
      </c>
      <c r="K875" s="50" t="s">
        <v>29</v>
      </c>
      <c r="L875" s="50" t="s">
        <v>29</v>
      </c>
      <c r="M875" s="50" t="s">
        <v>29</v>
      </c>
      <c r="N875" s="49"/>
      <c r="P875" s="19"/>
      <c r="Q875" s="18" t="str">
        <f ca="1">IFERROR(__xludf.DUMMYFUNCTION("""COMPUTED_VALUE"""),"")</f>
        <v/>
      </c>
      <c r="R875" s="19"/>
      <c r="S875" s="20"/>
      <c r="BP875" s="10"/>
      <c r="BW875" s="10"/>
      <c r="CF875" s="10"/>
      <c r="CM875" s="10"/>
      <c r="CP875" s="18" t="str">
        <f ca="1"/>
        <v/>
      </c>
      <c r="CQ875" s="18" t="str">
        <f ca="1"/>
        <v/>
      </c>
      <c r="CR875" s="18" t="str">
        <f ca="1"/>
        <v/>
      </c>
      <c r="CS875" s="18" t="str">
        <f ca="1"/>
        <v/>
      </c>
      <c r="CT875" s="18" t="str">
        <f ca="1"/>
        <v/>
      </c>
      <c r="CV875" s="10"/>
      <c r="CY875" s="18" t="str">
        <f ca="1"/>
        <v/>
      </c>
      <c r="CZ875" s="18" t="str">
        <f ca="1"/>
        <v/>
      </c>
      <c r="DA875" s="18" t="str">
        <f ca="1"/>
        <v/>
      </c>
      <c r="DC875" s="10"/>
    </row>
    <row r="876" spans="1:107" x14ac:dyDescent="0.25">
      <c r="A876" s="46"/>
      <c r="B876" s="52"/>
      <c r="C876" s="52"/>
      <c r="D876" s="16"/>
      <c r="E876" s="52"/>
      <c r="F876" s="52"/>
      <c r="G876" s="50"/>
      <c r="H876" s="17" t="str">
        <f ca="1">IFERROR(__xludf.DUMMYFUNCTION("""COMPUTED_VALUE"""),"")</f>
        <v/>
      </c>
      <c r="I876" s="50" t="s">
        <v>29</v>
      </c>
      <c r="J876" s="50" t="s">
        <v>29</v>
      </c>
      <c r="K876" s="50" t="s">
        <v>29</v>
      </c>
      <c r="L876" s="50" t="s">
        <v>29</v>
      </c>
      <c r="M876" s="50" t="s">
        <v>29</v>
      </c>
      <c r="N876" s="49"/>
      <c r="P876" s="19"/>
      <c r="Q876" s="18" t="str">
        <f ca="1">IFERROR(__xludf.DUMMYFUNCTION("""COMPUTED_VALUE"""),"")</f>
        <v/>
      </c>
      <c r="R876" s="19"/>
      <c r="S876" s="20"/>
      <c r="BP876" s="10"/>
      <c r="BW876" s="10"/>
      <c r="CF876" s="10"/>
      <c r="CM876" s="10"/>
      <c r="CP876" s="18" t="str">
        <f ca="1"/>
        <v/>
      </c>
      <c r="CQ876" s="18" t="str">
        <f ca="1"/>
        <v/>
      </c>
      <c r="CR876" s="18" t="str">
        <f ca="1"/>
        <v/>
      </c>
      <c r="CS876" s="18" t="str">
        <f ca="1"/>
        <v/>
      </c>
      <c r="CT876" s="18" t="str">
        <f ca="1"/>
        <v/>
      </c>
      <c r="CV876" s="10"/>
      <c r="CY876" s="18" t="str">
        <f ca="1"/>
        <v/>
      </c>
      <c r="CZ876" s="18" t="str">
        <f ca="1"/>
        <v/>
      </c>
      <c r="DA876" s="18" t="str">
        <f ca="1"/>
        <v/>
      </c>
      <c r="DC876" s="10"/>
    </row>
    <row r="877" spans="1:107" x14ac:dyDescent="0.25">
      <c r="A877" s="46"/>
      <c r="B877" s="52"/>
      <c r="C877" s="52"/>
      <c r="D877" s="16"/>
      <c r="E877" s="52"/>
      <c r="F877" s="52"/>
      <c r="G877" s="50"/>
      <c r="H877" s="17" t="str">
        <f ca="1">IFERROR(__xludf.DUMMYFUNCTION("""COMPUTED_VALUE"""),"")</f>
        <v/>
      </c>
      <c r="I877" s="50" t="s">
        <v>29</v>
      </c>
      <c r="J877" s="50" t="s">
        <v>29</v>
      </c>
      <c r="K877" s="50" t="s">
        <v>29</v>
      </c>
      <c r="L877" s="50" t="s">
        <v>29</v>
      </c>
      <c r="M877" s="50" t="s">
        <v>29</v>
      </c>
      <c r="N877" s="49"/>
      <c r="P877" s="19"/>
      <c r="Q877" s="18" t="str">
        <f ca="1">IFERROR(__xludf.DUMMYFUNCTION("""COMPUTED_VALUE"""),"")</f>
        <v/>
      </c>
      <c r="R877" s="19"/>
      <c r="S877" s="20"/>
      <c r="BP877" s="10"/>
      <c r="BW877" s="10"/>
      <c r="CF877" s="10"/>
      <c r="CM877" s="10"/>
      <c r="CP877" s="18" t="str">
        <f ca="1"/>
        <v/>
      </c>
      <c r="CQ877" s="18" t="str">
        <f ca="1"/>
        <v/>
      </c>
      <c r="CR877" s="18" t="str">
        <f ca="1"/>
        <v/>
      </c>
      <c r="CS877" s="18" t="str">
        <f ca="1"/>
        <v/>
      </c>
      <c r="CT877" s="18" t="str">
        <f ca="1"/>
        <v/>
      </c>
      <c r="CV877" s="10"/>
      <c r="CY877" s="18" t="str">
        <f ca="1"/>
        <v/>
      </c>
      <c r="CZ877" s="18" t="str">
        <f ca="1"/>
        <v/>
      </c>
      <c r="DA877" s="18" t="str">
        <f ca="1"/>
        <v/>
      </c>
      <c r="DC877" s="10"/>
    </row>
    <row r="878" spans="1:107" x14ac:dyDescent="0.25">
      <c r="A878" s="46"/>
      <c r="B878" s="52"/>
      <c r="C878" s="52"/>
      <c r="D878" s="16"/>
      <c r="E878" s="52"/>
      <c r="F878" s="52"/>
      <c r="G878" s="50"/>
      <c r="H878" s="17" t="str">
        <f ca="1">IFERROR(__xludf.DUMMYFUNCTION("""COMPUTED_VALUE"""),"")</f>
        <v/>
      </c>
      <c r="I878" s="50" t="s">
        <v>29</v>
      </c>
      <c r="J878" s="50" t="s">
        <v>29</v>
      </c>
      <c r="K878" s="50" t="s">
        <v>29</v>
      </c>
      <c r="L878" s="50" t="s">
        <v>29</v>
      </c>
      <c r="M878" s="50" t="s">
        <v>29</v>
      </c>
      <c r="N878" s="49"/>
      <c r="P878" s="19"/>
      <c r="Q878" s="18" t="str">
        <f ca="1">IFERROR(__xludf.DUMMYFUNCTION("""COMPUTED_VALUE"""),"")</f>
        <v/>
      </c>
      <c r="R878" s="19"/>
      <c r="S878" s="20"/>
      <c r="BP878" s="10"/>
      <c r="BW878" s="10"/>
      <c r="CF878" s="10"/>
      <c r="CM878" s="10"/>
      <c r="CP878" s="18" t="str">
        <f ca="1"/>
        <v/>
      </c>
      <c r="CQ878" s="18" t="str">
        <f ca="1"/>
        <v/>
      </c>
      <c r="CR878" s="18" t="str">
        <f ca="1"/>
        <v/>
      </c>
      <c r="CS878" s="18" t="str">
        <f ca="1"/>
        <v/>
      </c>
      <c r="CT878" s="18" t="str">
        <f ca="1"/>
        <v/>
      </c>
      <c r="CV878" s="10"/>
      <c r="CY878" s="18" t="str">
        <f ca="1"/>
        <v/>
      </c>
      <c r="CZ878" s="18" t="str">
        <f ca="1"/>
        <v/>
      </c>
      <c r="DA878" s="18" t="str">
        <f ca="1"/>
        <v/>
      </c>
      <c r="DC878" s="10"/>
    </row>
    <row r="879" spans="1:107" x14ac:dyDescent="0.25">
      <c r="A879" s="46"/>
      <c r="B879" s="52"/>
      <c r="C879" s="52"/>
      <c r="D879" s="16"/>
      <c r="E879" s="52"/>
      <c r="F879" s="52"/>
      <c r="G879" s="50"/>
      <c r="H879" s="17" t="str">
        <f ca="1">IFERROR(__xludf.DUMMYFUNCTION("""COMPUTED_VALUE"""),"")</f>
        <v/>
      </c>
      <c r="I879" s="50" t="s">
        <v>29</v>
      </c>
      <c r="J879" s="50" t="s">
        <v>29</v>
      </c>
      <c r="K879" s="50" t="s">
        <v>29</v>
      </c>
      <c r="L879" s="50" t="s">
        <v>29</v>
      </c>
      <c r="M879" s="50" t="s">
        <v>29</v>
      </c>
      <c r="N879" s="49"/>
      <c r="P879" s="19"/>
      <c r="Q879" s="18" t="str">
        <f ca="1">IFERROR(__xludf.DUMMYFUNCTION("""COMPUTED_VALUE"""),"")</f>
        <v/>
      </c>
      <c r="R879" s="19"/>
      <c r="S879" s="20"/>
      <c r="BP879" s="10"/>
      <c r="BW879" s="10"/>
      <c r="CF879" s="10"/>
      <c r="CM879" s="10"/>
      <c r="CP879" s="18" t="str">
        <f ca="1"/>
        <v/>
      </c>
      <c r="CQ879" s="18" t="str">
        <f ca="1"/>
        <v/>
      </c>
      <c r="CR879" s="18" t="str">
        <f ca="1"/>
        <v/>
      </c>
      <c r="CS879" s="18" t="str">
        <f ca="1"/>
        <v/>
      </c>
      <c r="CT879" s="18" t="str">
        <f ca="1"/>
        <v/>
      </c>
      <c r="CV879" s="10"/>
      <c r="CY879" s="18" t="str">
        <f ca="1"/>
        <v/>
      </c>
      <c r="CZ879" s="18" t="str">
        <f ca="1"/>
        <v/>
      </c>
      <c r="DA879" s="18" t="str">
        <f ca="1"/>
        <v/>
      </c>
      <c r="DC879" s="10"/>
    </row>
    <row r="880" spans="1:107" x14ac:dyDescent="0.25">
      <c r="A880" s="46"/>
      <c r="B880" s="52"/>
      <c r="C880" s="52"/>
      <c r="D880" s="16"/>
      <c r="E880" s="52"/>
      <c r="F880" s="52"/>
      <c r="G880" s="50"/>
      <c r="H880" s="17" t="str">
        <f ca="1">IFERROR(__xludf.DUMMYFUNCTION("""COMPUTED_VALUE"""),"")</f>
        <v/>
      </c>
      <c r="I880" s="50" t="s">
        <v>29</v>
      </c>
      <c r="J880" s="50" t="s">
        <v>29</v>
      </c>
      <c r="K880" s="50" t="s">
        <v>29</v>
      </c>
      <c r="L880" s="50" t="s">
        <v>29</v>
      </c>
      <c r="M880" s="50" t="s">
        <v>29</v>
      </c>
      <c r="N880" s="49"/>
      <c r="P880" s="19"/>
      <c r="Q880" s="18" t="str">
        <f ca="1">IFERROR(__xludf.DUMMYFUNCTION("""COMPUTED_VALUE"""),"")</f>
        <v/>
      </c>
      <c r="R880" s="19"/>
      <c r="S880" s="20"/>
      <c r="BP880" s="10"/>
      <c r="BW880" s="10"/>
      <c r="CF880" s="10"/>
      <c r="CM880" s="10"/>
      <c r="CP880" s="18" t="str">
        <f ca="1"/>
        <v/>
      </c>
      <c r="CQ880" s="18" t="str">
        <f ca="1"/>
        <v/>
      </c>
      <c r="CR880" s="18" t="str">
        <f ca="1"/>
        <v/>
      </c>
      <c r="CS880" s="18" t="str">
        <f ca="1"/>
        <v/>
      </c>
      <c r="CT880" s="18" t="str">
        <f ca="1"/>
        <v/>
      </c>
      <c r="CV880" s="10"/>
      <c r="CY880" s="18" t="str">
        <f ca="1"/>
        <v/>
      </c>
      <c r="CZ880" s="18" t="str">
        <f ca="1"/>
        <v/>
      </c>
      <c r="DA880" s="18" t="str">
        <f ca="1"/>
        <v/>
      </c>
      <c r="DC880" s="10"/>
    </row>
    <row r="881" spans="1:107" x14ac:dyDescent="0.25">
      <c r="A881" s="46"/>
      <c r="B881" s="52"/>
      <c r="C881" s="52"/>
      <c r="D881" s="16"/>
      <c r="E881" s="52"/>
      <c r="F881" s="52"/>
      <c r="G881" s="50"/>
      <c r="H881" s="17" t="str">
        <f ca="1">IFERROR(__xludf.DUMMYFUNCTION("""COMPUTED_VALUE"""),"")</f>
        <v/>
      </c>
      <c r="I881" s="50" t="s">
        <v>29</v>
      </c>
      <c r="J881" s="50" t="s">
        <v>29</v>
      </c>
      <c r="K881" s="50" t="s">
        <v>29</v>
      </c>
      <c r="L881" s="50" t="s">
        <v>29</v>
      </c>
      <c r="M881" s="50" t="s">
        <v>29</v>
      </c>
      <c r="N881" s="49"/>
      <c r="P881" s="19"/>
      <c r="Q881" s="18" t="str">
        <f ca="1">IFERROR(__xludf.DUMMYFUNCTION("""COMPUTED_VALUE"""),"")</f>
        <v/>
      </c>
      <c r="R881" s="19"/>
      <c r="S881" s="20"/>
      <c r="BP881" s="10"/>
      <c r="BW881" s="10"/>
      <c r="CF881" s="10"/>
      <c r="CM881" s="10"/>
      <c r="CP881" s="18" t="str">
        <f ca="1"/>
        <v/>
      </c>
      <c r="CQ881" s="18" t="str">
        <f ca="1"/>
        <v/>
      </c>
      <c r="CR881" s="18" t="str">
        <f ca="1"/>
        <v/>
      </c>
      <c r="CS881" s="18" t="str">
        <f ca="1"/>
        <v/>
      </c>
      <c r="CT881" s="18" t="str">
        <f ca="1"/>
        <v/>
      </c>
      <c r="CV881" s="10"/>
      <c r="CY881" s="18" t="str">
        <f ca="1"/>
        <v/>
      </c>
      <c r="CZ881" s="18" t="str">
        <f ca="1"/>
        <v/>
      </c>
      <c r="DA881" s="18" t="str">
        <f ca="1"/>
        <v/>
      </c>
      <c r="DC881" s="10"/>
    </row>
    <row r="882" spans="1:107" x14ac:dyDescent="0.25">
      <c r="A882" s="46"/>
      <c r="B882" s="52"/>
      <c r="C882" s="52"/>
      <c r="D882" s="16"/>
      <c r="E882" s="52"/>
      <c r="F882" s="52"/>
      <c r="G882" s="50"/>
      <c r="H882" s="17" t="str">
        <f ca="1">IFERROR(__xludf.DUMMYFUNCTION("""COMPUTED_VALUE"""),"")</f>
        <v/>
      </c>
      <c r="I882" s="50" t="s">
        <v>29</v>
      </c>
      <c r="J882" s="50" t="s">
        <v>29</v>
      </c>
      <c r="K882" s="50" t="s">
        <v>29</v>
      </c>
      <c r="L882" s="50" t="s">
        <v>29</v>
      </c>
      <c r="M882" s="50" t="s">
        <v>29</v>
      </c>
      <c r="N882" s="49"/>
      <c r="P882" s="19"/>
      <c r="Q882" s="18" t="str">
        <f ca="1">IFERROR(__xludf.DUMMYFUNCTION("""COMPUTED_VALUE"""),"")</f>
        <v/>
      </c>
      <c r="R882" s="19"/>
      <c r="S882" s="20"/>
      <c r="BP882" s="10"/>
      <c r="BW882" s="10"/>
      <c r="CF882" s="10"/>
      <c r="CM882" s="10"/>
      <c r="CP882" s="18" t="str">
        <f ca="1"/>
        <v/>
      </c>
      <c r="CQ882" s="18" t="str">
        <f ca="1"/>
        <v/>
      </c>
      <c r="CR882" s="18" t="str">
        <f ca="1"/>
        <v/>
      </c>
      <c r="CS882" s="18" t="str">
        <f ca="1"/>
        <v/>
      </c>
      <c r="CT882" s="18" t="str">
        <f ca="1"/>
        <v/>
      </c>
      <c r="CV882" s="10"/>
      <c r="CY882" s="18" t="str">
        <f ca="1"/>
        <v/>
      </c>
      <c r="CZ882" s="18" t="str">
        <f ca="1"/>
        <v/>
      </c>
      <c r="DA882" s="18" t="str">
        <f ca="1"/>
        <v/>
      </c>
      <c r="DC882" s="10"/>
    </row>
    <row r="883" spans="1:107" x14ac:dyDescent="0.25">
      <c r="A883" s="46"/>
      <c r="B883" s="52"/>
      <c r="C883" s="52"/>
      <c r="D883" s="16"/>
      <c r="E883" s="52"/>
      <c r="F883" s="52"/>
      <c r="G883" s="50"/>
      <c r="H883" s="17" t="str">
        <f ca="1">IFERROR(__xludf.DUMMYFUNCTION("""COMPUTED_VALUE"""),"")</f>
        <v/>
      </c>
      <c r="I883" s="50" t="s">
        <v>29</v>
      </c>
      <c r="J883" s="50" t="s">
        <v>29</v>
      </c>
      <c r="K883" s="50" t="s">
        <v>29</v>
      </c>
      <c r="L883" s="50" t="s">
        <v>29</v>
      </c>
      <c r="M883" s="50" t="s">
        <v>29</v>
      </c>
      <c r="N883" s="49"/>
      <c r="P883" s="19"/>
      <c r="Q883" s="18" t="str">
        <f ca="1">IFERROR(__xludf.DUMMYFUNCTION("""COMPUTED_VALUE"""),"")</f>
        <v/>
      </c>
      <c r="R883" s="19"/>
      <c r="S883" s="20"/>
      <c r="BP883" s="10"/>
      <c r="BW883" s="10"/>
      <c r="CF883" s="10"/>
      <c r="CM883" s="10"/>
      <c r="CP883" s="18" t="str">
        <f ca="1"/>
        <v/>
      </c>
      <c r="CQ883" s="18" t="str">
        <f ca="1"/>
        <v/>
      </c>
      <c r="CR883" s="18" t="str">
        <f ca="1"/>
        <v/>
      </c>
      <c r="CS883" s="18" t="str">
        <f ca="1"/>
        <v/>
      </c>
      <c r="CT883" s="18" t="str">
        <f ca="1"/>
        <v/>
      </c>
      <c r="CV883" s="10"/>
      <c r="CY883" s="18" t="str">
        <f ca="1"/>
        <v/>
      </c>
      <c r="CZ883" s="18" t="str">
        <f ca="1"/>
        <v/>
      </c>
      <c r="DA883" s="18" t="str">
        <f ca="1"/>
        <v/>
      </c>
      <c r="DC883" s="10"/>
    </row>
    <row r="884" spans="1:107" x14ac:dyDescent="0.25">
      <c r="A884" s="46"/>
      <c r="B884" s="52"/>
      <c r="C884" s="52"/>
      <c r="D884" s="16"/>
      <c r="E884" s="52"/>
      <c r="F884" s="52"/>
      <c r="G884" s="50"/>
      <c r="H884" s="17" t="str">
        <f ca="1">IFERROR(__xludf.DUMMYFUNCTION("""COMPUTED_VALUE"""),"")</f>
        <v/>
      </c>
      <c r="I884" s="50" t="s">
        <v>29</v>
      </c>
      <c r="J884" s="50" t="s">
        <v>29</v>
      </c>
      <c r="K884" s="50" t="s">
        <v>29</v>
      </c>
      <c r="L884" s="50" t="s">
        <v>29</v>
      </c>
      <c r="M884" s="50" t="s">
        <v>29</v>
      </c>
      <c r="N884" s="49"/>
      <c r="P884" s="19"/>
      <c r="Q884" s="18" t="str">
        <f ca="1">IFERROR(__xludf.DUMMYFUNCTION("""COMPUTED_VALUE"""),"")</f>
        <v/>
      </c>
      <c r="R884" s="19"/>
      <c r="S884" s="20"/>
      <c r="BP884" s="10"/>
      <c r="BW884" s="10"/>
      <c r="CF884" s="10"/>
      <c r="CM884" s="10"/>
      <c r="CP884" s="18" t="str">
        <f ca="1"/>
        <v/>
      </c>
      <c r="CQ884" s="18" t="str">
        <f ca="1"/>
        <v/>
      </c>
      <c r="CR884" s="18" t="str">
        <f ca="1"/>
        <v/>
      </c>
      <c r="CS884" s="18" t="str">
        <f ca="1"/>
        <v/>
      </c>
      <c r="CT884" s="18" t="str">
        <f ca="1"/>
        <v/>
      </c>
      <c r="CV884" s="10"/>
      <c r="CY884" s="18" t="str">
        <f ca="1"/>
        <v/>
      </c>
      <c r="CZ884" s="18" t="str">
        <f ca="1"/>
        <v/>
      </c>
      <c r="DA884" s="18" t="str">
        <f ca="1"/>
        <v/>
      </c>
      <c r="DC884" s="10"/>
    </row>
    <row r="885" spans="1:107" x14ac:dyDescent="0.25">
      <c r="A885" s="46"/>
      <c r="B885" s="52"/>
      <c r="C885" s="52"/>
      <c r="D885" s="16"/>
      <c r="E885" s="52"/>
      <c r="F885" s="52"/>
      <c r="G885" s="50"/>
      <c r="H885" s="17" t="str">
        <f ca="1">IFERROR(__xludf.DUMMYFUNCTION("""COMPUTED_VALUE"""),"")</f>
        <v/>
      </c>
      <c r="I885" s="50" t="s">
        <v>29</v>
      </c>
      <c r="J885" s="50" t="s">
        <v>29</v>
      </c>
      <c r="K885" s="50" t="s">
        <v>29</v>
      </c>
      <c r="L885" s="50" t="s">
        <v>29</v>
      </c>
      <c r="M885" s="50" t="s">
        <v>29</v>
      </c>
      <c r="N885" s="49"/>
      <c r="P885" s="19"/>
      <c r="Q885" s="18" t="str">
        <f ca="1">IFERROR(__xludf.DUMMYFUNCTION("""COMPUTED_VALUE"""),"")</f>
        <v/>
      </c>
      <c r="R885" s="19"/>
      <c r="S885" s="20"/>
      <c r="BP885" s="10"/>
      <c r="BW885" s="10"/>
      <c r="CF885" s="10"/>
      <c r="CM885" s="10"/>
      <c r="CP885" s="18" t="str">
        <f ca="1"/>
        <v/>
      </c>
      <c r="CQ885" s="18" t="str">
        <f ca="1"/>
        <v/>
      </c>
      <c r="CR885" s="18" t="str">
        <f ca="1"/>
        <v/>
      </c>
      <c r="CS885" s="18" t="str">
        <f ca="1"/>
        <v/>
      </c>
      <c r="CT885" s="18" t="str">
        <f ca="1"/>
        <v/>
      </c>
      <c r="CV885" s="10"/>
      <c r="CY885" s="18" t="str">
        <f ca="1"/>
        <v/>
      </c>
      <c r="CZ885" s="18" t="str">
        <f ca="1"/>
        <v/>
      </c>
      <c r="DA885" s="18" t="str">
        <f ca="1"/>
        <v/>
      </c>
      <c r="DC885" s="10"/>
    </row>
    <row r="886" spans="1:107" x14ac:dyDescent="0.25">
      <c r="A886" s="46"/>
      <c r="B886" s="52"/>
      <c r="C886" s="52"/>
      <c r="D886" s="16"/>
      <c r="E886" s="52"/>
      <c r="F886" s="52"/>
      <c r="G886" s="50"/>
      <c r="H886" s="17" t="str">
        <f ca="1">IFERROR(__xludf.DUMMYFUNCTION("""COMPUTED_VALUE"""),"")</f>
        <v/>
      </c>
      <c r="I886" s="50" t="s">
        <v>29</v>
      </c>
      <c r="J886" s="50" t="s">
        <v>29</v>
      </c>
      <c r="K886" s="50" t="s">
        <v>29</v>
      </c>
      <c r="L886" s="50" t="s">
        <v>29</v>
      </c>
      <c r="M886" s="50" t="s">
        <v>29</v>
      </c>
      <c r="N886" s="49"/>
      <c r="P886" s="19"/>
      <c r="Q886" s="18" t="str">
        <f ca="1">IFERROR(__xludf.DUMMYFUNCTION("""COMPUTED_VALUE"""),"")</f>
        <v/>
      </c>
      <c r="R886" s="19"/>
      <c r="S886" s="20"/>
      <c r="BP886" s="10"/>
      <c r="BW886" s="10"/>
      <c r="CF886" s="10"/>
      <c r="CM886" s="10"/>
      <c r="CP886" s="18" t="str">
        <f ca="1"/>
        <v/>
      </c>
      <c r="CQ886" s="18" t="str">
        <f ca="1"/>
        <v/>
      </c>
      <c r="CR886" s="18" t="str">
        <f ca="1"/>
        <v/>
      </c>
      <c r="CS886" s="18" t="str">
        <f ca="1"/>
        <v/>
      </c>
      <c r="CT886" s="18" t="str">
        <f ca="1"/>
        <v/>
      </c>
      <c r="CV886" s="10"/>
      <c r="CY886" s="18" t="str">
        <f ca="1"/>
        <v/>
      </c>
      <c r="CZ886" s="18" t="str">
        <f ca="1"/>
        <v/>
      </c>
      <c r="DA886" s="18" t="str">
        <f ca="1"/>
        <v/>
      </c>
      <c r="DC886" s="10"/>
    </row>
    <row r="887" spans="1:107" x14ac:dyDescent="0.25">
      <c r="A887" s="46"/>
      <c r="B887" s="52"/>
      <c r="C887" s="52"/>
      <c r="D887" s="16"/>
      <c r="E887" s="52"/>
      <c r="F887" s="52"/>
      <c r="G887" s="50"/>
      <c r="H887" s="17" t="str">
        <f ca="1">IFERROR(__xludf.DUMMYFUNCTION("""COMPUTED_VALUE"""),"")</f>
        <v/>
      </c>
      <c r="I887" s="50" t="s">
        <v>29</v>
      </c>
      <c r="J887" s="50" t="s">
        <v>29</v>
      </c>
      <c r="K887" s="50" t="s">
        <v>29</v>
      </c>
      <c r="L887" s="50" t="s">
        <v>29</v>
      </c>
      <c r="M887" s="50" t="s">
        <v>29</v>
      </c>
      <c r="N887" s="49"/>
      <c r="P887" s="19"/>
      <c r="Q887" s="18" t="str">
        <f ca="1">IFERROR(__xludf.DUMMYFUNCTION("""COMPUTED_VALUE"""),"")</f>
        <v/>
      </c>
      <c r="R887" s="19"/>
      <c r="S887" s="20"/>
      <c r="BP887" s="10"/>
      <c r="BW887" s="10"/>
      <c r="CF887" s="10"/>
      <c r="CM887" s="10"/>
      <c r="CP887" s="18" t="str">
        <f ca="1"/>
        <v/>
      </c>
      <c r="CQ887" s="18" t="str">
        <f ca="1"/>
        <v/>
      </c>
      <c r="CR887" s="18" t="str">
        <f ca="1"/>
        <v/>
      </c>
      <c r="CS887" s="18" t="str">
        <f ca="1"/>
        <v/>
      </c>
      <c r="CT887" s="18" t="str">
        <f ca="1"/>
        <v/>
      </c>
      <c r="CV887" s="10"/>
      <c r="CY887" s="18" t="str">
        <f ca="1"/>
        <v/>
      </c>
      <c r="CZ887" s="18" t="str">
        <f ca="1"/>
        <v/>
      </c>
      <c r="DA887" s="18" t="str">
        <f ca="1"/>
        <v/>
      </c>
      <c r="DC887" s="10"/>
    </row>
    <row r="888" spans="1:107" x14ac:dyDescent="0.25">
      <c r="A888" s="46"/>
      <c r="B888" s="52"/>
      <c r="C888" s="52"/>
      <c r="D888" s="16"/>
      <c r="E888" s="52"/>
      <c r="F888" s="52"/>
      <c r="G888" s="50"/>
      <c r="H888" s="17" t="str">
        <f ca="1">IFERROR(__xludf.DUMMYFUNCTION("""COMPUTED_VALUE"""),"")</f>
        <v/>
      </c>
      <c r="I888" s="50" t="s">
        <v>29</v>
      </c>
      <c r="J888" s="50" t="s">
        <v>29</v>
      </c>
      <c r="K888" s="50" t="s">
        <v>29</v>
      </c>
      <c r="L888" s="50" t="s">
        <v>29</v>
      </c>
      <c r="M888" s="50" t="s">
        <v>29</v>
      </c>
      <c r="N888" s="49"/>
      <c r="P888" s="19"/>
      <c r="Q888" s="18" t="str">
        <f ca="1">IFERROR(__xludf.DUMMYFUNCTION("""COMPUTED_VALUE"""),"")</f>
        <v/>
      </c>
      <c r="R888" s="19"/>
      <c r="S888" s="20"/>
      <c r="BP888" s="10"/>
      <c r="BW888" s="10"/>
      <c r="CF888" s="10"/>
      <c r="CM888" s="10"/>
      <c r="CP888" s="18" t="str">
        <f ca="1"/>
        <v/>
      </c>
      <c r="CQ888" s="18" t="str">
        <f ca="1"/>
        <v/>
      </c>
      <c r="CR888" s="18" t="str">
        <f ca="1"/>
        <v/>
      </c>
      <c r="CS888" s="18" t="str">
        <f ca="1"/>
        <v/>
      </c>
      <c r="CT888" s="18" t="str">
        <f ca="1"/>
        <v/>
      </c>
      <c r="CV888" s="10"/>
      <c r="CY888" s="18" t="str">
        <f ca="1"/>
        <v/>
      </c>
      <c r="CZ888" s="18" t="str">
        <f ca="1"/>
        <v/>
      </c>
      <c r="DA888" s="18" t="str">
        <f ca="1"/>
        <v/>
      </c>
      <c r="DC888" s="10"/>
    </row>
    <row r="889" spans="1:107" x14ac:dyDescent="0.25">
      <c r="A889" s="46"/>
      <c r="B889" s="52"/>
      <c r="C889" s="52"/>
      <c r="D889" s="16"/>
      <c r="E889" s="52"/>
      <c r="F889" s="52"/>
      <c r="G889" s="50"/>
      <c r="H889" s="17" t="str">
        <f ca="1">IFERROR(__xludf.DUMMYFUNCTION("""COMPUTED_VALUE"""),"")</f>
        <v/>
      </c>
      <c r="I889" s="50" t="s">
        <v>29</v>
      </c>
      <c r="J889" s="50" t="s">
        <v>29</v>
      </c>
      <c r="K889" s="50" t="s">
        <v>29</v>
      </c>
      <c r="L889" s="50" t="s">
        <v>29</v>
      </c>
      <c r="M889" s="50" t="s">
        <v>29</v>
      </c>
      <c r="N889" s="49"/>
      <c r="P889" s="19"/>
      <c r="Q889" s="18" t="str">
        <f ca="1">IFERROR(__xludf.DUMMYFUNCTION("""COMPUTED_VALUE"""),"")</f>
        <v/>
      </c>
      <c r="R889" s="19"/>
      <c r="S889" s="20"/>
      <c r="BP889" s="10"/>
      <c r="BW889" s="10"/>
      <c r="CF889" s="10"/>
      <c r="CM889" s="10"/>
      <c r="CP889" s="18" t="str">
        <f ca="1"/>
        <v/>
      </c>
      <c r="CQ889" s="18" t="str">
        <f ca="1"/>
        <v/>
      </c>
      <c r="CR889" s="18" t="str">
        <f ca="1"/>
        <v/>
      </c>
      <c r="CS889" s="18" t="str">
        <f ca="1"/>
        <v/>
      </c>
      <c r="CT889" s="18" t="str">
        <f ca="1"/>
        <v/>
      </c>
      <c r="CV889" s="10"/>
      <c r="CY889" s="18" t="str">
        <f ca="1"/>
        <v/>
      </c>
      <c r="CZ889" s="18" t="str">
        <f ca="1"/>
        <v/>
      </c>
      <c r="DA889" s="18" t="str">
        <f ca="1"/>
        <v/>
      </c>
      <c r="DC889" s="10"/>
    </row>
    <row r="890" spans="1:107" x14ac:dyDescent="0.25">
      <c r="A890" s="46"/>
      <c r="B890" s="52"/>
      <c r="C890" s="52"/>
      <c r="D890" s="16"/>
      <c r="E890" s="52"/>
      <c r="F890" s="52"/>
      <c r="G890" s="50"/>
      <c r="H890" s="17" t="str">
        <f ca="1">IFERROR(__xludf.DUMMYFUNCTION("""COMPUTED_VALUE"""),"")</f>
        <v/>
      </c>
      <c r="I890" s="50" t="s">
        <v>29</v>
      </c>
      <c r="J890" s="50" t="s">
        <v>29</v>
      </c>
      <c r="K890" s="50" t="s">
        <v>29</v>
      </c>
      <c r="L890" s="50" t="s">
        <v>29</v>
      </c>
      <c r="M890" s="50" t="s">
        <v>29</v>
      </c>
      <c r="N890" s="49"/>
      <c r="P890" s="19"/>
      <c r="Q890" s="18" t="str">
        <f ca="1">IFERROR(__xludf.DUMMYFUNCTION("""COMPUTED_VALUE"""),"")</f>
        <v/>
      </c>
      <c r="R890" s="19"/>
      <c r="S890" s="20"/>
      <c r="BP890" s="10"/>
      <c r="BW890" s="10"/>
      <c r="CF890" s="10"/>
      <c r="CM890" s="10"/>
      <c r="CP890" s="18" t="str">
        <f ca="1"/>
        <v/>
      </c>
      <c r="CQ890" s="18" t="str">
        <f ca="1"/>
        <v/>
      </c>
      <c r="CR890" s="18" t="str">
        <f ca="1"/>
        <v/>
      </c>
      <c r="CS890" s="18" t="str">
        <f ca="1"/>
        <v/>
      </c>
      <c r="CT890" s="18" t="str">
        <f ca="1"/>
        <v/>
      </c>
      <c r="CV890" s="10"/>
      <c r="CY890" s="18" t="str">
        <f ca="1"/>
        <v/>
      </c>
      <c r="CZ890" s="18" t="str">
        <f ca="1"/>
        <v/>
      </c>
      <c r="DA890" s="18" t="str">
        <f ca="1"/>
        <v/>
      </c>
      <c r="DC890" s="10"/>
    </row>
    <row r="891" spans="1:107" x14ac:dyDescent="0.25">
      <c r="A891" s="46"/>
      <c r="B891" s="52"/>
      <c r="C891" s="52"/>
      <c r="D891" s="16"/>
      <c r="E891" s="52"/>
      <c r="F891" s="52"/>
      <c r="G891" s="50"/>
      <c r="H891" s="17" t="str">
        <f ca="1">IFERROR(__xludf.DUMMYFUNCTION("""COMPUTED_VALUE"""),"")</f>
        <v/>
      </c>
      <c r="I891" s="50" t="s">
        <v>29</v>
      </c>
      <c r="J891" s="50" t="s">
        <v>29</v>
      </c>
      <c r="K891" s="50" t="s">
        <v>29</v>
      </c>
      <c r="L891" s="50" t="s">
        <v>29</v>
      </c>
      <c r="M891" s="50" t="s">
        <v>29</v>
      </c>
      <c r="N891" s="49"/>
      <c r="P891" s="19"/>
      <c r="Q891" s="18" t="str">
        <f ca="1">IFERROR(__xludf.DUMMYFUNCTION("""COMPUTED_VALUE"""),"")</f>
        <v/>
      </c>
      <c r="R891" s="19"/>
      <c r="S891" s="20"/>
      <c r="BP891" s="10"/>
      <c r="BW891" s="10"/>
      <c r="CF891" s="10"/>
      <c r="CM891" s="10"/>
      <c r="CP891" s="18" t="str">
        <f ca="1"/>
        <v/>
      </c>
      <c r="CQ891" s="18" t="str">
        <f ca="1"/>
        <v/>
      </c>
      <c r="CR891" s="18" t="str">
        <f ca="1"/>
        <v/>
      </c>
      <c r="CS891" s="18" t="str">
        <f ca="1"/>
        <v/>
      </c>
      <c r="CT891" s="18" t="str">
        <f ca="1"/>
        <v/>
      </c>
      <c r="CV891" s="10"/>
      <c r="CY891" s="18" t="str">
        <f ca="1"/>
        <v/>
      </c>
      <c r="CZ891" s="18" t="str">
        <f ca="1"/>
        <v/>
      </c>
      <c r="DA891" s="18" t="str">
        <f ca="1"/>
        <v/>
      </c>
      <c r="DC891" s="10"/>
    </row>
    <row r="892" spans="1:107" x14ac:dyDescent="0.25">
      <c r="A892" s="46"/>
      <c r="B892" s="52"/>
      <c r="C892" s="52"/>
      <c r="D892" s="16"/>
      <c r="E892" s="52"/>
      <c r="F892" s="52"/>
      <c r="G892" s="50"/>
      <c r="H892" s="17" t="str">
        <f ca="1">IFERROR(__xludf.DUMMYFUNCTION("""COMPUTED_VALUE"""),"")</f>
        <v/>
      </c>
      <c r="I892" s="50" t="s">
        <v>29</v>
      </c>
      <c r="J892" s="50" t="s">
        <v>29</v>
      </c>
      <c r="K892" s="50" t="s">
        <v>29</v>
      </c>
      <c r="L892" s="50" t="s">
        <v>29</v>
      </c>
      <c r="M892" s="50" t="s">
        <v>29</v>
      </c>
      <c r="N892" s="49"/>
      <c r="P892" s="19"/>
      <c r="Q892" s="18" t="str">
        <f ca="1">IFERROR(__xludf.DUMMYFUNCTION("""COMPUTED_VALUE"""),"")</f>
        <v/>
      </c>
      <c r="R892" s="19"/>
      <c r="S892" s="20"/>
      <c r="BP892" s="10"/>
      <c r="BW892" s="10"/>
      <c r="CF892" s="10"/>
      <c r="CM892" s="10"/>
      <c r="CP892" s="18" t="str">
        <f ca="1"/>
        <v/>
      </c>
      <c r="CQ892" s="18" t="str">
        <f ca="1"/>
        <v/>
      </c>
      <c r="CR892" s="18" t="str">
        <f ca="1"/>
        <v/>
      </c>
      <c r="CS892" s="18" t="str">
        <f ca="1"/>
        <v/>
      </c>
      <c r="CT892" s="18" t="str">
        <f ca="1"/>
        <v/>
      </c>
      <c r="CV892" s="10"/>
      <c r="CY892" s="18" t="str">
        <f ca="1"/>
        <v/>
      </c>
      <c r="CZ892" s="18" t="str">
        <f ca="1"/>
        <v/>
      </c>
      <c r="DA892" s="18" t="str">
        <f ca="1"/>
        <v/>
      </c>
      <c r="DC892" s="10"/>
    </row>
    <row r="893" spans="1:107" x14ac:dyDescent="0.25">
      <c r="A893" s="46"/>
      <c r="B893" s="52"/>
      <c r="C893" s="52"/>
      <c r="D893" s="16"/>
      <c r="E893" s="52"/>
      <c r="F893" s="52"/>
      <c r="G893" s="50"/>
      <c r="H893" s="17" t="str">
        <f ca="1">IFERROR(__xludf.DUMMYFUNCTION("""COMPUTED_VALUE"""),"")</f>
        <v/>
      </c>
      <c r="I893" s="50" t="s">
        <v>29</v>
      </c>
      <c r="J893" s="50" t="s">
        <v>29</v>
      </c>
      <c r="K893" s="50" t="s">
        <v>29</v>
      </c>
      <c r="L893" s="50" t="s">
        <v>29</v>
      </c>
      <c r="M893" s="50" t="s">
        <v>29</v>
      </c>
      <c r="N893" s="49"/>
      <c r="P893" s="19"/>
      <c r="Q893" s="18" t="str">
        <f ca="1">IFERROR(__xludf.DUMMYFUNCTION("""COMPUTED_VALUE"""),"")</f>
        <v/>
      </c>
      <c r="R893" s="19"/>
      <c r="S893" s="20"/>
      <c r="BP893" s="10"/>
      <c r="BW893" s="10"/>
      <c r="CF893" s="10"/>
      <c r="CM893" s="10"/>
      <c r="CP893" s="18" t="str">
        <f ca="1"/>
        <v/>
      </c>
      <c r="CQ893" s="18" t="str">
        <f ca="1"/>
        <v/>
      </c>
      <c r="CR893" s="18" t="str">
        <f ca="1"/>
        <v/>
      </c>
      <c r="CS893" s="18" t="str">
        <f ca="1"/>
        <v/>
      </c>
      <c r="CT893" s="18" t="str">
        <f ca="1"/>
        <v/>
      </c>
      <c r="CV893" s="10"/>
      <c r="CY893" s="18" t="str">
        <f ca="1"/>
        <v/>
      </c>
      <c r="CZ893" s="18" t="str">
        <f ca="1"/>
        <v/>
      </c>
      <c r="DA893" s="18" t="str">
        <f ca="1"/>
        <v/>
      </c>
      <c r="DC893" s="10"/>
    </row>
    <row r="894" spans="1:107" x14ac:dyDescent="0.25">
      <c r="A894" s="46"/>
      <c r="B894" s="52"/>
      <c r="C894" s="52"/>
      <c r="D894" s="16"/>
      <c r="E894" s="52"/>
      <c r="F894" s="52"/>
      <c r="G894" s="50"/>
      <c r="H894" s="17" t="str">
        <f ca="1">IFERROR(__xludf.DUMMYFUNCTION("""COMPUTED_VALUE"""),"")</f>
        <v/>
      </c>
      <c r="I894" s="50" t="s">
        <v>29</v>
      </c>
      <c r="J894" s="50" t="s">
        <v>29</v>
      </c>
      <c r="K894" s="50" t="s">
        <v>29</v>
      </c>
      <c r="L894" s="50" t="s">
        <v>29</v>
      </c>
      <c r="M894" s="50" t="s">
        <v>29</v>
      </c>
      <c r="N894" s="49"/>
      <c r="P894" s="19"/>
      <c r="Q894" s="18" t="str">
        <f ca="1">IFERROR(__xludf.DUMMYFUNCTION("""COMPUTED_VALUE"""),"")</f>
        <v/>
      </c>
      <c r="R894" s="19"/>
      <c r="S894" s="20"/>
      <c r="BP894" s="10"/>
      <c r="BW894" s="10"/>
      <c r="CF894" s="10"/>
      <c r="CM894" s="10"/>
      <c r="CP894" s="18" t="str">
        <f ca="1"/>
        <v/>
      </c>
      <c r="CQ894" s="18" t="str">
        <f ca="1"/>
        <v/>
      </c>
      <c r="CR894" s="18" t="str">
        <f ca="1"/>
        <v/>
      </c>
      <c r="CS894" s="18" t="str">
        <f ca="1"/>
        <v/>
      </c>
      <c r="CT894" s="18" t="str">
        <f ca="1"/>
        <v/>
      </c>
      <c r="CV894" s="10"/>
      <c r="CY894" s="18" t="str">
        <f ca="1"/>
        <v/>
      </c>
      <c r="CZ894" s="18" t="str">
        <f ca="1"/>
        <v/>
      </c>
      <c r="DA894" s="18" t="str">
        <f ca="1"/>
        <v/>
      </c>
      <c r="DC894" s="10"/>
    </row>
    <row r="895" spans="1:107" x14ac:dyDescent="0.25">
      <c r="A895" s="46"/>
      <c r="B895" s="52"/>
      <c r="C895" s="52"/>
      <c r="D895" s="16"/>
      <c r="E895" s="52"/>
      <c r="F895" s="52"/>
      <c r="G895" s="50"/>
      <c r="H895" s="17" t="str">
        <f ca="1">IFERROR(__xludf.DUMMYFUNCTION("""COMPUTED_VALUE"""),"")</f>
        <v/>
      </c>
      <c r="I895" s="50" t="s">
        <v>29</v>
      </c>
      <c r="J895" s="50" t="s">
        <v>29</v>
      </c>
      <c r="K895" s="50" t="s">
        <v>29</v>
      </c>
      <c r="L895" s="50" t="s">
        <v>29</v>
      </c>
      <c r="M895" s="50" t="s">
        <v>29</v>
      </c>
      <c r="N895" s="49"/>
      <c r="P895" s="19"/>
      <c r="Q895" s="18" t="str">
        <f ca="1">IFERROR(__xludf.DUMMYFUNCTION("""COMPUTED_VALUE"""),"")</f>
        <v/>
      </c>
      <c r="R895" s="19"/>
      <c r="S895" s="20"/>
      <c r="BP895" s="10"/>
      <c r="BW895" s="10"/>
      <c r="CF895" s="10"/>
      <c r="CM895" s="10"/>
      <c r="CP895" s="18" t="str">
        <f ca="1"/>
        <v/>
      </c>
      <c r="CQ895" s="18" t="str">
        <f ca="1"/>
        <v/>
      </c>
      <c r="CR895" s="18" t="str">
        <f ca="1"/>
        <v/>
      </c>
      <c r="CS895" s="18" t="str">
        <f ca="1"/>
        <v/>
      </c>
      <c r="CT895" s="18" t="str">
        <f ca="1"/>
        <v/>
      </c>
      <c r="CV895" s="10"/>
      <c r="CY895" s="18" t="str">
        <f ca="1"/>
        <v/>
      </c>
      <c r="CZ895" s="18" t="str">
        <f ca="1"/>
        <v/>
      </c>
      <c r="DA895" s="18" t="str">
        <f ca="1"/>
        <v/>
      </c>
      <c r="DC895" s="10"/>
    </row>
    <row r="896" spans="1:107" x14ac:dyDescent="0.25">
      <c r="A896" s="46"/>
      <c r="B896" s="52"/>
      <c r="C896" s="52"/>
      <c r="D896" s="16"/>
      <c r="E896" s="52"/>
      <c r="F896" s="52"/>
      <c r="G896" s="50"/>
      <c r="H896" s="17" t="str">
        <f ca="1">IFERROR(__xludf.DUMMYFUNCTION("""COMPUTED_VALUE"""),"")</f>
        <v/>
      </c>
      <c r="I896" s="50" t="s">
        <v>29</v>
      </c>
      <c r="J896" s="50" t="s">
        <v>29</v>
      </c>
      <c r="K896" s="50" t="s">
        <v>29</v>
      </c>
      <c r="L896" s="50" t="s">
        <v>29</v>
      </c>
      <c r="M896" s="50" t="s">
        <v>29</v>
      </c>
      <c r="N896" s="49"/>
      <c r="P896" s="19"/>
      <c r="Q896" s="18" t="str">
        <f ca="1">IFERROR(__xludf.DUMMYFUNCTION("""COMPUTED_VALUE"""),"")</f>
        <v/>
      </c>
      <c r="R896" s="19"/>
      <c r="S896" s="20"/>
      <c r="BP896" s="10"/>
      <c r="BW896" s="10"/>
      <c r="CF896" s="10"/>
      <c r="CM896" s="10"/>
      <c r="CP896" s="18" t="str">
        <f ca="1"/>
        <v/>
      </c>
      <c r="CQ896" s="18" t="str">
        <f ca="1"/>
        <v/>
      </c>
      <c r="CR896" s="18" t="str">
        <f ca="1"/>
        <v/>
      </c>
      <c r="CS896" s="18" t="str">
        <f ca="1"/>
        <v/>
      </c>
      <c r="CT896" s="18" t="str">
        <f ca="1"/>
        <v/>
      </c>
      <c r="CV896" s="10"/>
      <c r="CY896" s="18" t="str">
        <f ca="1"/>
        <v/>
      </c>
      <c r="CZ896" s="18" t="str">
        <f ca="1"/>
        <v/>
      </c>
      <c r="DA896" s="18" t="str">
        <f ca="1"/>
        <v/>
      </c>
      <c r="DC896" s="10"/>
    </row>
    <row r="897" spans="1:107" x14ac:dyDescent="0.25">
      <c r="A897" s="46"/>
      <c r="B897" s="52"/>
      <c r="C897" s="52"/>
      <c r="D897" s="16"/>
      <c r="E897" s="52"/>
      <c r="F897" s="52"/>
      <c r="G897" s="50"/>
      <c r="H897" s="17" t="str">
        <f ca="1">IFERROR(__xludf.DUMMYFUNCTION("""COMPUTED_VALUE"""),"")</f>
        <v/>
      </c>
      <c r="I897" s="50" t="s">
        <v>29</v>
      </c>
      <c r="J897" s="50" t="s">
        <v>29</v>
      </c>
      <c r="K897" s="50" t="s">
        <v>29</v>
      </c>
      <c r="L897" s="50" t="s">
        <v>29</v>
      </c>
      <c r="M897" s="50" t="s">
        <v>29</v>
      </c>
      <c r="N897" s="49"/>
      <c r="P897" s="19"/>
      <c r="Q897" s="18" t="str">
        <f ca="1">IFERROR(__xludf.DUMMYFUNCTION("""COMPUTED_VALUE"""),"")</f>
        <v/>
      </c>
      <c r="R897" s="19"/>
      <c r="S897" s="20"/>
      <c r="BP897" s="10"/>
      <c r="BW897" s="10"/>
      <c r="CF897" s="10"/>
      <c r="CM897" s="10"/>
      <c r="CP897" s="18" t="str">
        <f ca="1"/>
        <v/>
      </c>
      <c r="CQ897" s="18" t="str">
        <f ca="1"/>
        <v/>
      </c>
      <c r="CR897" s="18" t="str">
        <f ca="1"/>
        <v/>
      </c>
      <c r="CS897" s="18" t="str">
        <f ca="1"/>
        <v/>
      </c>
      <c r="CT897" s="18" t="str">
        <f ca="1"/>
        <v/>
      </c>
      <c r="CV897" s="10"/>
      <c r="CY897" s="18" t="str">
        <f ca="1"/>
        <v/>
      </c>
      <c r="CZ897" s="18" t="str">
        <f ca="1"/>
        <v/>
      </c>
      <c r="DA897" s="18" t="str">
        <f ca="1"/>
        <v/>
      </c>
      <c r="DC897" s="10"/>
    </row>
    <row r="898" spans="1:107" x14ac:dyDescent="0.25">
      <c r="A898" s="46"/>
      <c r="B898" s="52"/>
      <c r="C898" s="52"/>
      <c r="D898" s="16"/>
      <c r="E898" s="52"/>
      <c r="F898" s="52"/>
      <c r="G898" s="50"/>
      <c r="H898" s="17" t="str">
        <f ca="1">IFERROR(__xludf.DUMMYFUNCTION("""COMPUTED_VALUE"""),"")</f>
        <v/>
      </c>
      <c r="I898" s="50" t="s">
        <v>29</v>
      </c>
      <c r="J898" s="50" t="s">
        <v>29</v>
      </c>
      <c r="K898" s="50" t="s">
        <v>29</v>
      </c>
      <c r="L898" s="50" t="s">
        <v>29</v>
      </c>
      <c r="M898" s="50" t="s">
        <v>29</v>
      </c>
      <c r="N898" s="49"/>
      <c r="P898" s="19"/>
      <c r="Q898" s="18" t="str">
        <f ca="1">IFERROR(__xludf.DUMMYFUNCTION("""COMPUTED_VALUE"""),"")</f>
        <v/>
      </c>
      <c r="R898" s="19"/>
      <c r="S898" s="20"/>
      <c r="BP898" s="10"/>
      <c r="BW898" s="10"/>
      <c r="CF898" s="10"/>
      <c r="CM898" s="10"/>
      <c r="CP898" s="18" t="str">
        <f ca="1"/>
        <v/>
      </c>
      <c r="CQ898" s="18" t="str">
        <f ca="1"/>
        <v/>
      </c>
      <c r="CR898" s="18" t="str">
        <f ca="1"/>
        <v/>
      </c>
      <c r="CS898" s="18" t="str">
        <f ca="1"/>
        <v/>
      </c>
      <c r="CT898" s="18" t="str">
        <f ca="1"/>
        <v/>
      </c>
      <c r="CV898" s="10"/>
      <c r="CY898" s="18" t="str">
        <f ca="1"/>
        <v/>
      </c>
      <c r="CZ898" s="18" t="str">
        <f ca="1"/>
        <v/>
      </c>
      <c r="DA898" s="18" t="str">
        <f ca="1"/>
        <v/>
      </c>
      <c r="DC898" s="10"/>
    </row>
    <row r="899" spans="1:107" x14ac:dyDescent="0.25">
      <c r="A899" s="46"/>
      <c r="B899" s="52"/>
      <c r="C899" s="52"/>
      <c r="D899" s="16"/>
      <c r="E899" s="52"/>
      <c r="F899" s="52"/>
      <c r="G899" s="50"/>
      <c r="H899" s="17" t="str">
        <f ca="1">IFERROR(__xludf.DUMMYFUNCTION("""COMPUTED_VALUE"""),"")</f>
        <v/>
      </c>
      <c r="I899" s="50" t="s">
        <v>29</v>
      </c>
      <c r="J899" s="50" t="s">
        <v>29</v>
      </c>
      <c r="K899" s="50" t="s">
        <v>29</v>
      </c>
      <c r="L899" s="50" t="s">
        <v>29</v>
      </c>
      <c r="M899" s="50" t="s">
        <v>29</v>
      </c>
      <c r="N899" s="49"/>
      <c r="P899" s="19"/>
      <c r="Q899" s="18" t="str">
        <f ca="1">IFERROR(__xludf.DUMMYFUNCTION("""COMPUTED_VALUE"""),"")</f>
        <v/>
      </c>
      <c r="R899" s="19"/>
      <c r="S899" s="20"/>
      <c r="BP899" s="10"/>
      <c r="BW899" s="10"/>
      <c r="CF899" s="10"/>
      <c r="CM899" s="10"/>
      <c r="CP899" s="18" t="str">
        <f ca="1"/>
        <v/>
      </c>
      <c r="CQ899" s="18" t="str">
        <f ca="1"/>
        <v/>
      </c>
      <c r="CR899" s="18" t="str">
        <f ca="1"/>
        <v/>
      </c>
      <c r="CS899" s="18" t="str">
        <f ca="1"/>
        <v/>
      </c>
      <c r="CT899" s="18" t="str">
        <f ca="1"/>
        <v/>
      </c>
      <c r="CV899" s="10"/>
      <c r="CY899" s="18" t="str">
        <f ca="1"/>
        <v/>
      </c>
      <c r="CZ899" s="18" t="str">
        <f ca="1"/>
        <v/>
      </c>
      <c r="DA899" s="18" t="str">
        <f ca="1"/>
        <v/>
      </c>
      <c r="DC899" s="10"/>
    </row>
    <row r="900" spans="1:107" x14ac:dyDescent="0.25">
      <c r="A900" s="46"/>
      <c r="B900" s="52"/>
      <c r="C900" s="52"/>
      <c r="D900" s="16"/>
      <c r="E900" s="52"/>
      <c r="F900" s="52"/>
      <c r="G900" s="50"/>
      <c r="H900" s="17" t="str">
        <f ca="1">IFERROR(__xludf.DUMMYFUNCTION("""COMPUTED_VALUE"""),"")</f>
        <v/>
      </c>
      <c r="I900" s="50" t="s">
        <v>29</v>
      </c>
      <c r="J900" s="50" t="s">
        <v>29</v>
      </c>
      <c r="K900" s="50" t="s">
        <v>29</v>
      </c>
      <c r="L900" s="50" t="s">
        <v>29</v>
      </c>
      <c r="M900" s="50" t="s">
        <v>29</v>
      </c>
      <c r="N900" s="49"/>
      <c r="P900" s="19"/>
      <c r="Q900" s="18" t="str">
        <f ca="1">IFERROR(__xludf.DUMMYFUNCTION("""COMPUTED_VALUE"""),"")</f>
        <v/>
      </c>
      <c r="R900" s="19"/>
      <c r="S900" s="20"/>
      <c r="BP900" s="10"/>
      <c r="BW900" s="10"/>
      <c r="CF900" s="10"/>
      <c r="CM900" s="10"/>
      <c r="CP900" s="18" t="str">
        <f ca="1"/>
        <v/>
      </c>
      <c r="CQ900" s="18" t="str">
        <f ca="1"/>
        <v/>
      </c>
      <c r="CR900" s="18" t="str">
        <f ca="1"/>
        <v/>
      </c>
      <c r="CS900" s="18" t="str">
        <f ca="1"/>
        <v/>
      </c>
      <c r="CT900" s="18" t="str">
        <f ca="1"/>
        <v/>
      </c>
      <c r="CV900" s="10"/>
      <c r="CY900" s="18" t="str">
        <f ca="1"/>
        <v/>
      </c>
      <c r="CZ900" s="18" t="str">
        <f ca="1"/>
        <v/>
      </c>
      <c r="DA900" s="18" t="str">
        <f ca="1"/>
        <v/>
      </c>
      <c r="DC900" s="10"/>
    </row>
    <row r="901" spans="1:107" x14ac:dyDescent="0.25">
      <c r="A901" s="46"/>
      <c r="B901" s="52"/>
      <c r="C901" s="52"/>
      <c r="D901" s="16"/>
      <c r="E901" s="52"/>
      <c r="F901" s="52"/>
      <c r="G901" s="50"/>
      <c r="H901" s="17" t="str">
        <f ca="1">IFERROR(__xludf.DUMMYFUNCTION("""COMPUTED_VALUE"""),"")</f>
        <v/>
      </c>
      <c r="I901" s="50" t="s">
        <v>29</v>
      </c>
      <c r="J901" s="50" t="s">
        <v>29</v>
      </c>
      <c r="K901" s="50" t="s">
        <v>29</v>
      </c>
      <c r="L901" s="50" t="s">
        <v>29</v>
      </c>
      <c r="M901" s="50" t="s">
        <v>29</v>
      </c>
      <c r="N901" s="49"/>
      <c r="P901" s="19"/>
      <c r="Q901" s="18" t="str">
        <f ca="1">IFERROR(__xludf.DUMMYFUNCTION("""COMPUTED_VALUE"""),"")</f>
        <v/>
      </c>
      <c r="R901" s="19"/>
      <c r="S901" s="20"/>
      <c r="BP901" s="10"/>
      <c r="BW901" s="10"/>
      <c r="CF901" s="10"/>
      <c r="CM901" s="10"/>
      <c r="CP901" s="18" t="str">
        <f ca="1"/>
        <v/>
      </c>
      <c r="CQ901" s="18" t="str">
        <f ca="1"/>
        <v/>
      </c>
      <c r="CR901" s="18" t="str">
        <f ca="1"/>
        <v/>
      </c>
      <c r="CS901" s="18" t="str">
        <f ca="1"/>
        <v/>
      </c>
      <c r="CT901" s="18" t="str">
        <f ca="1"/>
        <v/>
      </c>
      <c r="CV901" s="10"/>
      <c r="CY901" s="18" t="str">
        <f ca="1"/>
        <v/>
      </c>
      <c r="CZ901" s="18" t="str">
        <f ca="1"/>
        <v/>
      </c>
      <c r="DA901" s="18" t="str">
        <f ca="1"/>
        <v/>
      </c>
      <c r="DC901" s="10"/>
    </row>
    <row r="902" spans="1:107" x14ac:dyDescent="0.25">
      <c r="A902" s="46"/>
      <c r="B902" s="52"/>
      <c r="C902" s="52"/>
      <c r="D902" s="16"/>
      <c r="E902" s="52"/>
      <c r="F902" s="52"/>
      <c r="G902" s="50"/>
      <c r="H902" s="17" t="str">
        <f ca="1">IFERROR(__xludf.DUMMYFUNCTION("""COMPUTED_VALUE"""),"")</f>
        <v/>
      </c>
      <c r="I902" s="50" t="s">
        <v>29</v>
      </c>
      <c r="J902" s="50" t="s">
        <v>29</v>
      </c>
      <c r="K902" s="50" t="s">
        <v>29</v>
      </c>
      <c r="L902" s="50" t="s">
        <v>29</v>
      </c>
      <c r="M902" s="50" t="s">
        <v>29</v>
      </c>
      <c r="N902" s="49"/>
      <c r="P902" s="19"/>
      <c r="Q902" s="18" t="str">
        <f ca="1">IFERROR(__xludf.DUMMYFUNCTION("""COMPUTED_VALUE"""),"")</f>
        <v/>
      </c>
      <c r="R902" s="19"/>
      <c r="S902" s="20"/>
      <c r="BP902" s="10"/>
      <c r="BW902" s="10"/>
      <c r="CF902" s="10"/>
      <c r="CM902" s="10"/>
      <c r="CP902" s="18" t="str">
        <f ca="1"/>
        <v/>
      </c>
      <c r="CQ902" s="18" t="str">
        <f ca="1"/>
        <v/>
      </c>
      <c r="CR902" s="18" t="str">
        <f ca="1"/>
        <v/>
      </c>
      <c r="CS902" s="18" t="str">
        <f ca="1"/>
        <v/>
      </c>
      <c r="CT902" s="18" t="str">
        <f ca="1"/>
        <v/>
      </c>
      <c r="CV902" s="10"/>
      <c r="CY902" s="18" t="str">
        <f ca="1"/>
        <v/>
      </c>
      <c r="CZ902" s="18" t="str">
        <f ca="1"/>
        <v/>
      </c>
      <c r="DA902" s="18" t="str">
        <f ca="1"/>
        <v/>
      </c>
      <c r="DC902" s="10"/>
    </row>
    <row r="903" spans="1:107" x14ac:dyDescent="0.25">
      <c r="A903" s="46"/>
      <c r="B903" s="52"/>
      <c r="C903" s="52"/>
      <c r="D903" s="16"/>
      <c r="E903" s="52"/>
      <c r="F903" s="52"/>
      <c r="G903" s="50"/>
      <c r="H903" s="17" t="str">
        <f ca="1">IFERROR(__xludf.DUMMYFUNCTION("""COMPUTED_VALUE"""),"")</f>
        <v/>
      </c>
      <c r="I903" s="50" t="s">
        <v>29</v>
      </c>
      <c r="J903" s="50" t="s">
        <v>29</v>
      </c>
      <c r="K903" s="50" t="s">
        <v>29</v>
      </c>
      <c r="L903" s="50" t="s">
        <v>29</v>
      </c>
      <c r="M903" s="50" t="s">
        <v>29</v>
      </c>
      <c r="N903" s="49"/>
      <c r="P903" s="19"/>
      <c r="Q903" s="18" t="str">
        <f ca="1">IFERROR(__xludf.DUMMYFUNCTION("""COMPUTED_VALUE"""),"")</f>
        <v/>
      </c>
      <c r="R903" s="19"/>
      <c r="S903" s="20"/>
      <c r="BP903" s="10"/>
      <c r="BW903" s="10"/>
      <c r="CF903" s="10"/>
      <c r="CM903" s="10"/>
      <c r="CP903" s="18" t="str">
        <f ca="1"/>
        <v/>
      </c>
      <c r="CQ903" s="18" t="str">
        <f ca="1"/>
        <v/>
      </c>
      <c r="CR903" s="18" t="str">
        <f ca="1"/>
        <v/>
      </c>
      <c r="CS903" s="18" t="str">
        <f ca="1"/>
        <v/>
      </c>
      <c r="CT903" s="18" t="str">
        <f ca="1"/>
        <v/>
      </c>
      <c r="CV903" s="10"/>
      <c r="CY903" s="18" t="str">
        <f ca="1"/>
        <v/>
      </c>
      <c r="CZ903" s="18" t="str">
        <f ca="1"/>
        <v/>
      </c>
      <c r="DA903" s="18" t="str">
        <f ca="1"/>
        <v/>
      </c>
      <c r="DC903" s="10"/>
    </row>
    <row r="904" spans="1:107" x14ac:dyDescent="0.25">
      <c r="A904" s="46"/>
      <c r="B904" s="52"/>
      <c r="C904" s="52"/>
      <c r="D904" s="16"/>
      <c r="E904" s="52"/>
      <c r="F904" s="52"/>
      <c r="G904" s="50"/>
      <c r="H904" s="17" t="str">
        <f ca="1">IFERROR(__xludf.DUMMYFUNCTION("""COMPUTED_VALUE"""),"")</f>
        <v/>
      </c>
      <c r="I904" s="50" t="s">
        <v>29</v>
      </c>
      <c r="J904" s="50" t="s">
        <v>29</v>
      </c>
      <c r="K904" s="50" t="s">
        <v>29</v>
      </c>
      <c r="L904" s="50" t="s">
        <v>29</v>
      </c>
      <c r="M904" s="50" t="s">
        <v>29</v>
      </c>
      <c r="N904" s="49"/>
      <c r="P904" s="19"/>
      <c r="Q904" s="18" t="str">
        <f ca="1">IFERROR(__xludf.DUMMYFUNCTION("""COMPUTED_VALUE"""),"")</f>
        <v/>
      </c>
      <c r="R904" s="19"/>
      <c r="S904" s="20"/>
      <c r="BP904" s="10"/>
      <c r="BW904" s="10"/>
      <c r="CF904" s="10"/>
      <c r="CM904" s="10"/>
      <c r="CP904" s="18" t="str">
        <f ca="1"/>
        <v/>
      </c>
      <c r="CQ904" s="18" t="str">
        <f ca="1"/>
        <v/>
      </c>
      <c r="CR904" s="18" t="str">
        <f ca="1"/>
        <v/>
      </c>
      <c r="CS904" s="18" t="str">
        <f ca="1"/>
        <v/>
      </c>
      <c r="CT904" s="18" t="str">
        <f ca="1"/>
        <v/>
      </c>
      <c r="CV904" s="10"/>
      <c r="CY904" s="18" t="str">
        <f ca="1"/>
        <v/>
      </c>
      <c r="CZ904" s="18" t="str">
        <f ca="1"/>
        <v/>
      </c>
      <c r="DA904" s="18" t="str">
        <f ca="1"/>
        <v/>
      </c>
      <c r="DC904" s="10"/>
    </row>
    <row r="905" spans="1:107" x14ac:dyDescent="0.25">
      <c r="A905" s="46"/>
      <c r="B905" s="52"/>
      <c r="C905" s="52"/>
      <c r="D905" s="16"/>
      <c r="E905" s="52"/>
      <c r="F905" s="52"/>
      <c r="G905" s="50"/>
      <c r="H905" s="17" t="str">
        <f ca="1">IFERROR(__xludf.DUMMYFUNCTION("""COMPUTED_VALUE"""),"")</f>
        <v/>
      </c>
      <c r="I905" s="50" t="s">
        <v>29</v>
      </c>
      <c r="J905" s="50" t="s">
        <v>29</v>
      </c>
      <c r="K905" s="50" t="s">
        <v>29</v>
      </c>
      <c r="L905" s="50" t="s">
        <v>29</v>
      </c>
      <c r="M905" s="50" t="s">
        <v>29</v>
      </c>
      <c r="N905" s="49"/>
      <c r="P905" s="19"/>
      <c r="Q905" s="18" t="str">
        <f ca="1">IFERROR(__xludf.DUMMYFUNCTION("""COMPUTED_VALUE"""),"")</f>
        <v/>
      </c>
      <c r="R905" s="19"/>
      <c r="S905" s="20"/>
      <c r="BP905" s="10"/>
      <c r="BW905" s="10"/>
      <c r="CF905" s="10"/>
      <c r="CM905" s="10"/>
      <c r="CP905" s="18" t="str">
        <f ca="1"/>
        <v/>
      </c>
      <c r="CQ905" s="18" t="str">
        <f ca="1"/>
        <v/>
      </c>
      <c r="CR905" s="18" t="str">
        <f ca="1"/>
        <v/>
      </c>
      <c r="CS905" s="18" t="str">
        <f ca="1"/>
        <v/>
      </c>
      <c r="CT905" s="18" t="str">
        <f ca="1"/>
        <v/>
      </c>
      <c r="CV905" s="10"/>
      <c r="CY905" s="18" t="str">
        <f ca="1"/>
        <v/>
      </c>
      <c r="CZ905" s="18" t="str">
        <f ca="1"/>
        <v/>
      </c>
      <c r="DA905" s="18" t="str">
        <f ca="1"/>
        <v/>
      </c>
      <c r="DC905" s="10"/>
    </row>
    <row r="906" spans="1:107" x14ac:dyDescent="0.25">
      <c r="A906" s="46"/>
      <c r="B906" s="52"/>
      <c r="C906" s="52"/>
      <c r="D906" s="16"/>
      <c r="E906" s="52"/>
      <c r="F906" s="52"/>
      <c r="G906" s="50"/>
      <c r="H906" s="17" t="str">
        <f ca="1">IFERROR(__xludf.DUMMYFUNCTION("""COMPUTED_VALUE"""),"")</f>
        <v/>
      </c>
      <c r="I906" s="50" t="s">
        <v>29</v>
      </c>
      <c r="J906" s="50" t="s">
        <v>29</v>
      </c>
      <c r="K906" s="50" t="s">
        <v>29</v>
      </c>
      <c r="L906" s="50" t="s">
        <v>29</v>
      </c>
      <c r="M906" s="50" t="s">
        <v>29</v>
      </c>
      <c r="N906" s="49"/>
      <c r="P906" s="19"/>
      <c r="Q906" s="18" t="str">
        <f ca="1">IFERROR(__xludf.DUMMYFUNCTION("""COMPUTED_VALUE"""),"")</f>
        <v/>
      </c>
      <c r="R906" s="19"/>
      <c r="S906" s="20"/>
      <c r="BP906" s="10"/>
      <c r="BW906" s="10"/>
      <c r="CF906" s="10"/>
      <c r="CM906" s="10"/>
      <c r="CP906" s="18" t="str">
        <f ca="1"/>
        <v/>
      </c>
      <c r="CQ906" s="18" t="str">
        <f ca="1"/>
        <v/>
      </c>
      <c r="CR906" s="18" t="str">
        <f ca="1"/>
        <v/>
      </c>
      <c r="CS906" s="18" t="str">
        <f ca="1"/>
        <v/>
      </c>
      <c r="CT906" s="18" t="str">
        <f ca="1"/>
        <v/>
      </c>
      <c r="CV906" s="10"/>
      <c r="CY906" s="18" t="str">
        <f ca="1"/>
        <v/>
      </c>
      <c r="CZ906" s="18" t="str">
        <f ca="1"/>
        <v/>
      </c>
      <c r="DA906" s="18" t="str">
        <f ca="1"/>
        <v/>
      </c>
      <c r="DC906" s="10"/>
    </row>
    <row r="907" spans="1:107" x14ac:dyDescent="0.25">
      <c r="A907" s="46"/>
      <c r="B907" s="52"/>
      <c r="C907" s="52"/>
      <c r="D907" s="16"/>
      <c r="E907" s="52"/>
      <c r="F907" s="52"/>
      <c r="G907" s="50"/>
      <c r="H907" s="17" t="str">
        <f ca="1">IFERROR(__xludf.DUMMYFUNCTION("""COMPUTED_VALUE"""),"")</f>
        <v/>
      </c>
      <c r="I907" s="50" t="s">
        <v>29</v>
      </c>
      <c r="J907" s="50" t="s">
        <v>29</v>
      </c>
      <c r="K907" s="50" t="s">
        <v>29</v>
      </c>
      <c r="L907" s="50" t="s">
        <v>29</v>
      </c>
      <c r="M907" s="50" t="s">
        <v>29</v>
      </c>
      <c r="N907" s="49"/>
      <c r="P907" s="19"/>
      <c r="Q907" s="18" t="str">
        <f ca="1">IFERROR(__xludf.DUMMYFUNCTION("""COMPUTED_VALUE"""),"")</f>
        <v/>
      </c>
      <c r="R907" s="19"/>
      <c r="S907" s="20"/>
      <c r="BP907" s="10"/>
      <c r="BW907" s="10"/>
      <c r="CF907" s="10"/>
      <c r="CM907" s="10"/>
      <c r="CP907" s="18" t="str">
        <f ca="1"/>
        <v/>
      </c>
      <c r="CQ907" s="18" t="str">
        <f ca="1"/>
        <v/>
      </c>
      <c r="CR907" s="18" t="str">
        <f ca="1"/>
        <v/>
      </c>
      <c r="CS907" s="18" t="str">
        <f ca="1"/>
        <v/>
      </c>
      <c r="CT907" s="18" t="str">
        <f ca="1"/>
        <v/>
      </c>
      <c r="CV907" s="10"/>
      <c r="CY907" s="18" t="str">
        <f ca="1"/>
        <v/>
      </c>
      <c r="CZ907" s="18" t="str">
        <f ca="1"/>
        <v/>
      </c>
      <c r="DA907" s="18" t="str">
        <f ca="1"/>
        <v/>
      </c>
      <c r="DC907" s="10"/>
    </row>
    <row r="908" spans="1:107" x14ac:dyDescent="0.25">
      <c r="A908" s="46"/>
      <c r="B908" s="52"/>
      <c r="C908" s="52"/>
      <c r="D908" s="16"/>
      <c r="E908" s="52"/>
      <c r="F908" s="52"/>
      <c r="G908" s="50"/>
      <c r="H908" s="17" t="str">
        <f ca="1">IFERROR(__xludf.DUMMYFUNCTION("""COMPUTED_VALUE"""),"")</f>
        <v/>
      </c>
      <c r="I908" s="50" t="s">
        <v>29</v>
      </c>
      <c r="J908" s="50" t="s">
        <v>29</v>
      </c>
      <c r="K908" s="50" t="s">
        <v>29</v>
      </c>
      <c r="L908" s="50" t="s">
        <v>29</v>
      </c>
      <c r="M908" s="50" t="s">
        <v>29</v>
      </c>
      <c r="N908" s="49"/>
      <c r="P908" s="19"/>
      <c r="Q908" s="18" t="str">
        <f ca="1">IFERROR(__xludf.DUMMYFUNCTION("""COMPUTED_VALUE"""),"")</f>
        <v/>
      </c>
      <c r="R908" s="19"/>
      <c r="S908" s="20"/>
      <c r="BP908" s="10"/>
      <c r="BW908" s="10"/>
      <c r="CF908" s="10"/>
      <c r="CM908" s="10"/>
      <c r="CP908" s="18" t="str">
        <f ca="1"/>
        <v/>
      </c>
      <c r="CQ908" s="18" t="str">
        <f ca="1"/>
        <v/>
      </c>
      <c r="CR908" s="18" t="str">
        <f ca="1"/>
        <v/>
      </c>
      <c r="CS908" s="18" t="str">
        <f ca="1"/>
        <v/>
      </c>
      <c r="CT908" s="18" t="str">
        <f ca="1"/>
        <v/>
      </c>
      <c r="CV908" s="10"/>
      <c r="CY908" s="18" t="str">
        <f ca="1"/>
        <v/>
      </c>
      <c r="CZ908" s="18" t="str">
        <f ca="1"/>
        <v/>
      </c>
      <c r="DA908" s="18" t="str">
        <f ca="1"/>
        <v/>
      </c>
      <c r="DC908" s="10"/>
    </row>
    <row r="909" spans="1:107" x14ac:dyDescent="0.25">
      <c r="A909" s="46"/>
      <c r="B909" s="52"/>
      <c r="C909" s="52"/>
      <c r="D909" s="16"/>
      <c r="E909" s="52"/>
      <c r="F909" s="52"/>
      <c r="G909" s="50"/>
      <c r="H909" s="17" t="str">
        <f ca="1">IFERROR(__xludf.DUMMYFUNCTION("""COMPUTED_VALUE"""),"")</f>
        <v/>
      </c>
      <c r="I909" s="50" t="s">
        <v>29</v>
      </c>
      <c r="J909" s="50" t="s">
        <v>29</v>
      </c>
      <c r="K909" s="50" t="s">
        <v>29</v>
      </c>
      <c r="L909" s="50" t="s">
        <v>29</v>
      </c>
      <c r="M909" s="50" t="s">
        <v>29</v>
      </c>
      <c r="N909" s="49"/>
      <c r="P909" s="19"/>
      <c r="Q909" s="18" t="str">
        <f ca="1">IFERROR(__xludf.DUMMYFUNCTION("""COMPUTED_VALUE"""),"")</f>
        <v/>
      </c>
      <c r="R909" s="19"/>
      <c r="S909" s="20"/>
      <c r="BP909" s="10"/>
      <c r="BW909" s="10"/>
      <c r="CF909" s="10"/>
      <c r="CM909" s="10"/>
      <c r="CP909" s="18" t="str">
        <f ca="1"/>
        <v/>
      </c>
      <c r="CQ909" s="18" t="str">
        <f ca="1"/>
        <v/>
      </c>
      <c r="CR909" s="18" t="str">
        <f ca="1"/>
        <v/>
      </c>
      <c r="CS909" s="18" t="str">
        <f ca="1"/>
        <v/>
      </c>
      <c r="CT909" s="18" t="str">
        <f ca="1"/>
        <v/>
      </c>
      <c r="CV909" s="10"/>
      <c r="CY909" s="18" t="str">
        <f ca="1"/>
        <v/>
      </c>
      <c r="CZ909" s="18" t="str">
        <f ca="1"/>
        <v/>
      </c>
      <c r="DA909" s="18" t="str">
        <f ca="1"/>
        <v/>
      </c>
      <c r="DC909" s="10"/>
    </row>
    <row r="910" spans="1:107" x14ac:dyDescent="0.25">
      <c r="A910" s="46"/>
      <c r="B910" s="52"/>
      <c r="C910" s="52"/>
      <c r="D910" s="16"/>
      <c r="E910" s="52"/>
      <c r="F910" s="52"/>
      <c r="G910" s="50"/>
      <c r="H910" s="17" t="str">
        <f ca="1">IFERROR(__xludf.DUMMYFUNCTION("""COMPUTED_VALUE"""),"")</f>
        <v/>
      </c>
      <c r="I910" s="50" t="s">
        <v>29</v>
      </c>
      <c r="J910" s="50" t="s">
        <v>29</v>
      </c>
      <c r="K910" s="50" t="s">
        <v>29</v>
      </c>
      <c r="L910" s="50" t="s">
        <v>29</v>
      </c>
      <c r="M910" s="50" t="s">
        <v>29</v>
      </c>
      <c r="N910" s="49"/>
      <c r="P910" s="19"/>
      <c r="Q910" s="18" t="str">
        <f ca="1">IFERROR(__xludf.DUMMYFUNCTION("""COMPUTED_VALUE"""),"")</f>
        <v/>
      </c>
      <c r="R910" s="19"/>
      <c r="S910" s="20"/>
      <c r="BP910" s="10"/>
      <c r="BW910" s="10"/>
      <c r="CF910" s="10"/>
      <c r="CM910" s="10"/>
      <c r="CP910" s="18" t="str">
        <f ca="1"/>
        <v/>
      </c>
      <c r="CQ910" s="18" t="str">
        <f ca="1"/>
        <v/>
      </c>
      <c r="CR910" s="18" t="str">
        <f ca="1"/>
        <v/>
      </c>
      <c r="CS910" s="18" t="str">
        <f ca="1"/>
        <v/>
      </c>
      <c r="CT910" s="18" t="str">
        <f ca="1"/>
        <v/>
      </c>
      <c r="CV910" s="10"/>
      <c r="CY910" s="18" t="str">
        <f ca="1"/>
        <v/>
      </c>
      <c r="CZ910" s="18" t="str">
        <f ca="1"/>
        <v/>
      </c>
      <c r="DA910" s="18" t="str">
        <f ca="1"/>
        <v/>
      </c>
      <c r="DC910" s="10"/>
    </row>
    <row r="911" spans="1:107" x14ac:dyDescent="0.25">
      <c r="A911" s="46"/>
      <c r="B911" s="52"/>
      <c r="C911" s="52"/>
      <c r="D911" s="16"/>
      <c r="E911" s="52"/>
      <c r="F911" s="52"/>
      <c r="G911" s="50"/>
      <c r="H911" s="17" t="str">
        <f ca="1">IFERROR(__xludf.DUMMYFUNCTION("""COMPUTED_VALUE"""),"")</f>
        <v/>
      </c>
      <c r="I911" s="50" t="s">
        <v>29</v>
      </c>
      <c r="J911" s="50" t="s">
        <v>29</v>
      </c>
      <c r="K911" s="50" t="s">
        <v>29</v>
      </c>
      <c r="L911" s="50" t="s">
        <v>29</v>
      </c>
      <c r="M911" s="50" t="s">
        <v>29</v>
      </c>
      <c r="N911" s="49"/>
      <c r="P911" s="19"/>
      <c r="Q911" s="18" t="str">
        <f ca="1">IFERROR(__xludf.DUMMYFUNCTION("""COMPUTED_VALUE"""),"")</f>
        <v/>
      </c>
      <c r="R911" s="19"/>
      <c r="S911" s="20"/>
      <c r="BP911" s="10"/>
      <c r="BW911" s="10"/>
      <c r="CF911" s="10"/>
      <c r="CM911" s="10"/>
      <c r="CP911" s="18" t="str">
        <f ca="1"/>
        <v/>
      </c>
      <c r="CQ911" s="18" t="str">
        <f ca="1"/>
        <v/>
      </c>
      <c r="CR911" s="18" t="str">
        <f ca="1"/>
        <v/>
      </c>
      <c r="CS911" s="18" t="str">
        <f ca="1"/>
        <v/>
      </c>
      <c r="CT911" s="18" t="str">
        <f ca="1"/>
        <v/>
      </c>
      <c r="CV911" s="10"/>
      <c r="CY911" s="18" t="str">
        <f ca="1"/>
        <v/>
      </c>
      <c r="CZ911" s="18" t="str">
        <f ca="1"/>
        <v/>
      </c>
      <c r="DA911" s="18" t="str">
        <f ca="1"/>
        <v/>
      </c>
      <c r="DC911" s="10"/>
    </row>
    <row r="912" spans="1:107" x14ac:dyDescent="0.25">
      <c r="A912" s="46"/>
      <c r="B912" s="52"/>
      <c r="C912" s="52"/>
      <c r="D912" s="16"/>
      <c r="E912" s="52"/>
      <c r="F912" s="52"/>
      <c r="G912" s="50"/>
      <c r="H912" s="17" t="str">
        <f ca="1">IFERROR(__xludf.DUMMYFUNCTION("""COMPUTED_VALUE"""),"")</f>
        <v/>
      </c>
      <c r="I912" s="50" t="s">
        <v>29</v>
      </c>
      <c r="J912" s="50" t="s">
        <v>29</v>
      </c>
      <c r="K912" s="50" t="s">
        <v>29</v>
      </c>
      <c r="L912" s="50" t="s">
        <v>29</v>
      </c>
      <c r="M912" s="50" t="s">
        <v>29</v>
      </c>
      <c r="N912" s="49"/>
      <c r="P912" s="19"/>
      <c r="Q912" s="18" t="str">
        <f ca="1">IFERROR(__xludf.DUMMYFUNCTION("""COMPUTED_VALUE"""),"")</f>
        <v/>
      </c>
      <c r="R912" s="19"/>
      <c r="S912" s="20"/>
      <c r="BP912" s="10"/>
      <c r="BW912" s="10"/>
      <c r="CF912" s="10"/>
      <c r="CM912" s="10"/>
      <c r="CP912" s="18" t="str">
        <f ca="1"/>
        <v/>
      </c>
      <c r="CQ912" s="18" t="str">
        <f ca="1"/>
        <v/>
      </c>
      <c r="CR912" s="18" t="str">
        <f ca="1"/>
        <v/>
      </c>
      <c r="CS912" s="18" t="str">
        <f ca="1"/>
        <v/>
      </c>
      <c r="CT912" s="18" t="str">
        <f ca="1"/>
        <v/>
      </c>
      <c r="CV912" s="10"/>
      <c r="CY912" s="18" t="str">
        <f ca="1"/>
        <v/>
      </c>
      <c r="CZ912" s="18" t="str">
        <f ca="1"/>
        <v/>
      </c>
      <c r="DA912" s="18" t="str">
        <f ca="1"/>
        <v/>
      </c>
      <c r="DC912" s="10"/>
    </row>
    <row r="913" spans="1:107" x14ac:dyDescent="0.25">
      <c r="A913" s="46"/>
      <c r="B913" s="52"/>
      <c r="C913" s="52"/>
      <c r="D913" s="16"/>
      <c r="E913" s="52"/>
      <c r="F913" s="52"/>
      <c r="G913" s="50"/>
      <c r="H913" s="17" t="str">
        <f ca="1">IFERROR(__xludf.DUMMYFUNCTION("""COMPUTED_VALUE"""),"")</f>
        <v/>
      </c>
      <c r="I913" s="50" t="s">
        <v>29</v>
      </c>
      <c r="J913" s="50" t="s">
        <v>29</v>
      </c>
      <c r="K913" s="50" t="s">
        <v>29</v>
      </c>
      <c r="L913" s="50" t="s">
        <v>29</v>
      </c>
      <c r="M913" s="50" t="s">
        <v>29</v>
      </c>
      <c r="N913" s="49"/>
      <c r="P913" s="19"/>
      <c r="Q913" s="18" t="str">
        <f ca="1">IFERROR(__xludf.DUMMYFUNCTION("""COMPUTED_VALUE"""),"")</f>
        <v/>
      </c>
      <c r="R913" s="19"/>
      <c r="S913" s="20"/>
      <c r="BP913" s="10"/>
      <c r="BW913" s="10"/>
      <c r="CF913" s="10"/>
      <c r="CM913" s="10"/>
      <c r="CP913" s="18" t="str">
        <f ca="1"/>
        <v/>
      </c>
      <c r="CQ913" s="18" t="str">
        <f ca="1"/>
        <v/>
      </c>
      <c r="CR913" s="18" t="str">
        <f ca="1"/>
        <v/>
      </c>
      <c r="CS913" s="18" t="str">
        <f ca="1"/>
        <v/>
      </c>
      <c r="CT913" s="18" t="str">
        <f ca="1"/>
        <v/>
      </c>
      <c r="CV913" s="10"/>
      <c r="CY913" s="18" t="str">
        <f ca="1"/>
        <v/>
      </c>
      <c r="CZ913" s="18" t="str">
        <f ca="1"/>
        <v/>
      </c>
      <c r="DA913" s="18" t="str">
        <f ca="1"/>
        <v/>
      </c>
      <c r="DC913" s="10"/>
    </row>
    <row r="914" spans="1:107" x14ac:dyDescent="0.25">
      <c r="A914" s="46"/>
      <c r="B914" s="52"/>
      <c r="C914" s="52"/>
      <c r="D914" s="16"/>
      <c r="E914" s="52"/>
      <c r="F914" s="52"/>
      <c r="G914" s="50"/>
      <c r="H914" s="17" t="str">
        <f ca="1">IFERROR(__xludf.DUMMYFUNCTION("""COMPUTED_VALUE"""),"")</f>
        <v/>
      </c>
      <c r="I914" s="50" t="s">
        <v>29</v>
      </c>
      <c r="J914" s="50" t="s">
        <v>29</v>
      </c>
      <c r="K914" s="50" t="s">
        <v>29</v>
      </c>
      <c r="L914" s="50" t="s">
        <v>29</v>
      </c>
      <c r="M914" s="50" t="s">
        <v>29</v>
      </c>
      <c r="N914" s="49"/>
      <c r="P914" s="19"/>
      <c r="Q914" s="18" t="str">
        <f ca="1">IFERROR(__xludf.DUMMYFUNCTION("""COMPUTED_VALUE"""),"")</f>
        <v/>
      </c>
      <c r="R914" s="19"/>
      <c r="S914" s="20"/>
      <c r="BP914" s="10"/>
      <c r="BW914" s="10"/>
      <c r="CF914" s="10"/>
      <c r="CM914" s="10"/>
      <c r="CP914" s="18" t="str">
        <f ca="1"/>
        <v/>
      </c>
      <c r="CQ914" s="18" t="str">
        <f ca="1"/>
        <v/>
      </c>
      <c r="CR914" s="18" t="str">
        <f ca="1"/>
        <v/>
      </c>
      <c r="CS914" s="18" t="str">
        <f ca="1"/>
        <v/>
      </c>
      <c r="CT914" s="18" t="str">
        <f ca="1"/>
        <v/>
      </c>
      <c r="CV914" s="10"/>
      <c r="CY914" s="18" t="str">
        <f ca="1"/>
        <v/>
      </c>
      <c r="CZ914" s="18" t="str">
        <f ca="1"/>
        <v/>
      </c>
      <c r="DA914" s="18" t="str">
        <f ca="1"/>
        <v/>
      </c>
      <c r="DC914" s="10"/>
    </row>
    <row r="915" spans="1:107" x14ac:dyDescent="0.25">
      <c r="A915" s="46"/>
      <c r="B915" s="52"/>
      <c r="C915" s="52"/>
      <c r="D915" s="16"/>
      <c r="E915" s="52"/>
      <c r="F915" s="52"/>
      <c r="G915" s="50"/>
      <c r="H915" s="17" t="str">
        <f ca="1">IFERROR(__xludf.DUMMYFUNCTION("""COMPUTED_VALUE"""),"")</f>
        <v/>
      </c>
      <c r="I915" s="50" t="s">
        <v>29</v>
      </c>
      <c r="J915" s="50" t="s">
        <v>29</v>
      </c>
      <c r="K915" s="50" t="s">
        <v>29</v>
      </c>
      <c r="L915" s="50" t="s">
        <v>29</v>
      </c>
      <c r="M915" s="50" t="s">
        <v>29</v>
      </c>
      <c r="N915" s="49"/>
      <c r="P915" s="19"/>
      <c r="Q915" s="18" t="str">
        <f ca="1">IFERROR(__xludf.DUMMYFUNCTION("""COMPUTED_VALUE"""),"")</f>
        <v/>
      </c>
      <c r="R915" s="19"/>
      <c r="S915" s="20"/>
      <c r="BP915" s="10"/>
      <c r="BW915" s="10"/>
      <c r="CF915" s="10"/>
      <c r="CM915" s="10"/>
      <c r="CP915" s="18" t="str">
        <f ca="1"/>
        <v/>
      </c>
      <c r="CQ915" s="18" t="str">
        <f ca="1"/>
        <v/>
      </c>
      <c r="CR915" s="18" t="str">
        <f ca="1"/>
        <v/>
      </c>
      <c r="CS915" s="18" t="str">
        <f ca="1"/>
        <v/>
      </c>
      <c r="CT915" s="18" t="str">
        <f ca="1"/>
        <v/>
      </c>
      <c r="CV915" s="10"/>
      <c r="CY915" s="18" t="str">
        <f ca="1"/>
        <v/>
      </c>
      <c r="CZ915" s="18" t="str">
        <f ca="1"/>
        <v/>
      </c>
      <c r="DA915" s="18" t="str">
        <f ca="1"/>
        <v/>
      </c>
      <c r="DC915" s="10"/>
    </row>
    <row r="916" spans="1:107" x14ac:dyDescent="0.25">
      <c r="A916" s="46"/>
      <c r="B916" s="52"/>
      <c r="C916" s="52"/>
      <c r="D916" s="16"/>
      <c r="E916" s="52"/>
      <c r="F916" s="52"/>
      <c r="G916" s="50"/>
      <c r="H916" s="17" t="str">
        <f ca="1">IFERROR(__xludf.DUMMYFUNCTION("""COMPUTED_VALUE"""),"")</f>
        <v/>
      </c>
      <c r="I916" s="50" t="s">
        <v>29</v>
      </c>
      <c r="J916" s="50" t="s">
        <v>29</v>
      </c>
      <c r="K916" s="50" t="s">
        <v>29</v>
      </c>
      <c r="L916" s="50" t="s">
        <v>29</v>
      </c>
      <c r="M916" s="50" t="s">
        <v>29</v>
      </c>
      <c r="N916" s="49"/>
      <c r="P916" s="19"/>
      <c r="Q916" s="18" t="str">
        <f ca="1">IFERROR(__xludf.DUMMYFUNCTION("""COMPUTED_VALUE"""),"")</f>
        <v/>
      </c>
      <c r="R916" s="19"/>
      <c r="S916" s="20"/>
      <c r="BP916" s="10"/>
      <c r="BW916" s="10"/>
      <c r="CF916" s="10"/>
      <c r="CM916" s="10"/>
      <c r="CP916" s="18" t="str">
        <f ca="1"/>
        <v/>
      </c>
      <c r="CQ916" s="18" t="str">
        <f ca="1"/>
        <v/>
      </c>
      <c r="CR916" s="18" t="str">
        <f ca="1"/>
        <v/>
      </c>
      <c r="CS916" s="18" t="str">
        <f ca="1"/>
        <v/>
      </c>
      <c r="CT916" s="18" t="str">
        <f ca="1"/>
        <v/>
      </c>
      <c r="CV916" s="10"/>
      <c r="CY916" s="18" t="str">
        <f ca="1"/>
        <v/>
      </c>
      <c r="CZ916" s="18" t="str">
        <f ca="1"/>
        <v/>
      </c>
      <c r="DA916" s="18" t="str">
        <f ca="1"/>
        <v/>
      </c>
      <c r="DC916" s="10"/>
    </row>
    <row r="917" spans="1:107" x14ac:dyDescent="0.25">
      <c r="A917" s="46"/>
      <c r="B917" s="52"/>
      <c r="C917" s="52"/>
      <c r="D917" s="16"/>
      <c r="E917" s="52"/>
      <c r="F917" s="52"/>
      <c r="G917" s="50"/>
      <c r="H917" s="17" t="str">
        <f ca="1">IFERROR(__xludf.DUMMYFUNCTION("""COMPUTED_VALUE"""),"")</f>
        <v/>
      </c>
      <c r="I917" s="50" t="s">
        <v>29</v>
      </c>
      <c r="J917" s="50" t="s">
        <v>29</v>
      </c>
      <c r="K917" s="50" t="s">
        <v>29</v>
      </c>
      <c r="L917" s="50" t="s">
        <v>29</v>
      </c>
      <c r="M917" s="50" t="s">
        <v>29</v>
      </c>
      <c r="N917" s="49"/>
      <c r="P917" s="19"/>
      <c r="Q917" s="18" t="str">
        <f ca="1">IFERROR(__xludf.DUMMYFUNCTION("""COMPUTED_VALUE"""),"")</f>
        <v/>
      </c>
      <c r="R917" s="19"/>
      <c r="S917" s="20"/>
      <c r="BP917" s="10"/>
      <c r="BW917" s="10"/>
      <c r="CF917" s="10"/>
      <c r="CM917" s="10"/>
      <c r="CP917" s="18" t="str">
        <f ca="1"/>
        <v/>
      </c>
      <c r="CQ917" s="18" t="str">
        <f ca="1"/>
        <v/>
      </c>
      <c r="CR917" s="18" t="str">
        <f ca="1"/>
        <v/>
      </c>
      <c r="CS917" s="18" t="str">
        <f ca="1"/>
        <v/>
      </c>
      <c r="CT917" s="18" t="str">
        <f ca="1"/>
        <v/>
      </c>
      <c r="CV917" s="10"/>
      <c r="CY917" s="18" t="str">
        <f ca="1"/>
        <v/>
      </c>
      <c r="CZ917" s="18" t="str">
        <f ca="1"/>
        <v/>
      </c>
      <c r="DA917" s="18" t="str">
        <f ca="1"/>
        <v/>
      </c>
      <c r="DC917" s="10"/>
    </row>
    <row r="918" spans="1:107" x14ac:dyDescent="0.25">
      <c r="A918" s="46"/>
      <c r="B918" s="52"/>
      <c r="C918" s="52"/>
      <c r="D918" s="16"/>
      <c r="E918" s="52"/>
      <c r="F918" s="52"/>
      <c r="G918" s="50"/>
      <c r="H918" s="17" t="str">
        <f ca="1">IFERROR(__xludf.DUMMYFUNCTION("""COMPUTED_VALUE"""),"")</f>
        <v/>
      </c>
      <c r="I918" s="50" t="s">
        <v>29</v>
      </c>
      <c r="J918" s="50" t="s">
        <v>29</v>
      </c>
      <c r="K918" s="50" t="s">
        <v>29</v>
      </c>
      <c r="L918" s="50" t="s">
        <v>29</v>
      </c>
      <c r="M918" s="50" t="s">
        <v>29</v>
      </c>
      <c r="N918" s="49"/>
      <c r="P918" s="19"/>
      <c r="Q918" s="18" t="str">
        <f ca="1">IFERROR(__xludf.DUMMYFUNCTION("""COMPUTED_VALUE"""),"")</f>
        <v/>
      </c>
      <c r="R918" s="19"/>
      <c r="S918" s="20"/>
      <c r="BP918" s="10"/>
      <c r="BW918" s="10"/>
      <c r="CF918" s="10"/>
      <c r="CM918" s="10"/>
      <c r="CP918" s="18" t="str">
        <f ca="1"/>
        <v/>
      </c>
      <c r="CQ918" s="18" t="str">
        <f ca="1"/>
        <v/>
      </c>
      <c r="CR918" s="18" t="str">
        <f ca="1"/>
        <v/>
      </c>
      <c r="CS918" s="18" t="str">
        <f ca="1"/>
        <v/>
      </c>
      <c r="CT918" s="18" t="str">
        <f ca="1"/>
        <v/>
      </c>
      <c r="CV918" s="10"/>
      <c r="CY918" s="18" t="str">
        <f ca="1"/>
        <v/>
      </c>
      <c r="CZ918" s="18" t="str">
        <f ca="1"/>
        <v/>
      </c>
      <c r="DA918" s="18" t="str">
        <f ca="1"/>
        <v/>
      </c>
      <c r="DC918" s="10"/>
    </row>
    <row r="919" spans="1:107" x14ac:dyDescent="0.25">
      <c r="A919" s="46"/>
      <c r="B919" s="52"/>
      <c r="C919" s="52"/>
      <c r="D919" s="16"/>
      <c r="E919" s="52"/>
      <c r="F919" s="52"/>
      <c r="G919" s="50"/>
      <c r="H919" s="17" t="str">
        <f ca="1">IFERROR(__xludf.DUMMYFUNCTION("""COMPUTED_VALUE"""),"")</f>
        <v/>
      </c>
      <c r="I919" s="50" t="s">
        <v>29</v>
      </c>
      <c r="J919" s="50" t="s">
        <v>29</v>
      </c>
      <c r="K919" s="50" t="s">
        <v>29</v>
      </c>
      <c r="L919" s="50" t="s">
        <v>29</v>
      </c>
      <c r="M919" s="50" t="s">
        <v>29</v>
      </c>
      <c r="N919" s="49"/>
      <c r="P919" s="19"/>
      <c r="Q919" s="18" t="str">
        <f ca="1">IFERROR(__xludf.DUMMYFUNCTION("""COMPUTED_VALUE"""),"")</f>
        <v/>
      </c>
      <c r="R919" s="19"/>
      <c r="S919" s="20"/>
      <c r="BP919" s="10"/>
      <c r="BW919" s="10"/>
      <c r="CF919" s="10"/>
      <c r="CM919" s="10"/>
      <c r="CP919" s="18" t="str">
        <f ca="1"/>
        <v/>
      </c>
      <c r="CQ919" s="18" t="str">
        <f ca="1"/>
        <v/>
      </c>
      <c r="CR919" s="18" t="str">
        <f ca="1"/>
        <v/>
      </c>
      <c r="CS919" s="18" t="str">
        <f ca="1"/>
        <v/>
      </c>
      <c r="CT919" s="18" t="str">
        <f ca="1"/>
        <v/>
      </c>
      <c r="CV919" s="10"/>
      <c r="CY919" s="18" t="str">
        <f ca="1"/>
        <v/>
      </c>
      <c r="CZ919" s="18" t="str">
        <f ca="1"/>
        <v/>
      </c>
      <c r="DA919" s="18" t="str">
        <f ca="1"/>
        <v/>
      </c>
      <c r="DC919" s="10"/>
    </row>
    <row r="920" spans="1:107" x14ac:dyDescent="0.25">
      <c r="A920" s="46"/>
      <c r="B920" s="52"/>
      <c r="C920" s="52"/>
      <c r="D920" s="16"/>
      <c r="E920" s="52"/>
      <c r="F920" s="52"/>
      <c r="G920" s="50"/>
      <c r="H920" s="17" t="str">
        <f ca="1">IFERROR(__xludf.DUMMYFUNCTION("""COMPUTED_VALUE"""),"")</f>
        <v/>
      </c>
      <c r="I920" s="50" t="s">
        <v>29</v>
      </c>
      <c r="J920" s="50" t="s">
        <v>29</v>
      </c>
      <c r="K920" s="50" t="s">
        <v>29</v>
      </c>
      <c r="L920" s="50" t="s">
        <v>29</v>
      </c>
      <c r="M920" s="50" t="s">
        <v>29</v>
      </c>
      <c r="N920" s="49"/>
      <c r="P920" s="19"/>
      <c r="Q920" s="18" t="str">
        <f ca="1">IFERROR(__xludf.DUMMYFUNCTION("""COMPUTED_VALUE"""),"")</f>
        <v/>
      </c>
      <c r="R920" s="19"/>
      <c r="S920" s="20"/>
      <c r="BP920" s="10"/>
      <c r="BW920" s="10"/>
      <c r="CF920" s="10"/>
      <c r="CM920" s="10"/>
      <c r="CP920" s="18" t="str">
        <f ca="1"/>
        <v/>
      </c>
      <c r="CQ920" s="18" t="str">
        <f ca="1"/>
        <v/>
      </c>
      <c r="CR920" s="18" t="str">
        <f ca="1"/>
        <v/>
      </c>
      <c r="CS920" s="18" t="str">
        <f ca="1"/>
        <v/>
      </c>
      <c r="CT920" s="18" t="str">
        <f ca="1"/>
        <v/>
      </c>
      <c r="CV920" s="10"/>
      <c r="CY920" s="18" t="str">
        <f ca="1"/>
        <v/>
      </c>
      <c r="CZ920" s="18" t="str">
        <f ca="1"/>
        <v/>
      </c>
      <c r="DA920" s="18" t="str">
        <f ca="1"/>
        <v/>
      </c>
      <c r="DC920" s="10"/>
    </row>
    <row r="921" spans="1:107" x14ac:dyDescent="0.25">
      <c r="A921" s="46"/>
      <c r="B921" s="52"/>
      <c r="C921" s="52"/>
      <c r="D921" s="16"/>
      <c r="E921" s="52"/>
      <c r="F921" s="52"/>
      <c r="G921" s="50"/>
      <c r="H921" s="17" t="str">
        <f ca="1">IFERROR(__xludf.DUMMYFUNCTION("""COMPUTED_VALUE"""),"")</f>
        <v/>
      </c>
      <c r="I921" s="50" t="s">
        <v>29</v>
      </c>
      <c r="J921" s="50" t="s">
        <v>29</v>
      </c>
      <c r="K921" s="50" t="s">
        <v>29</v>
      </c>
      <c r="L921" s="50" t="s">
        <v>29</v>
      </c>
      <c r="M921" s="50" t="s">
        <v>29</v>
      </c>
      <c r="N921" s="49"/>
      <c r="P921" s="19"/>
      <c r="Q921" s="18" t="str">
        <f ca="1">IFERROR(__xludf.DUMMYFUNCTION("""COMPUTED_VALUE"""),"")</f>
        <v/>
      </c>
      <c r="R921" s="19"/>
      <c r="S921" s="20"/>
      <c r="BP921" s="10"/>
      <c r="BW921" s="10"/>
      <c r="CF921" s="10"/>
      <c r="CM921" s="10"/>
      <c r="CP921" s="18" t="str">
        <f ca="1"/>
        <v/>
      </c>
      <c r="CQ921" s="18" t="str">
        <f ca="1"/>
        <v/>
      </c>
      <c r="CR921" s="18" t="str">
        <f ca="1"/>
        <v/>
      </c>
      <c r="CS921" s="18" t="str">
        <f ca="1"/>
        <v/>
      </c>
      <c r="CT921" s="18" t="str">
        <f ca="1"/>
        <v/>
      </c>
      <c r="CV921" s="10"/>
      <c r="CY921" s="18" t="str">
        <f ca="1"/>
        <v/>
      </c>
      <c r="CZ921" s="18" t="str">
        <f ca="1"/>
        <v/>
      </c>
      <c r="DA921" s="18" t="str">
        <f ca="1"/>
        <v/>
      </c>
      <c r="DC921" s="10"/>
    </row>
    <row r="922" spans="1:107" x14ac:dyDescent="0.25">
      <c r="A922" s="46"/>
      <c r="B922" s="52"/>
      <c r="C922" s="52"/>
      <c r="D922" s="16"/>
      <c r="E922" s="52"/>
      <c r="F922" s="52"/>
      <c r="G922" s="50"/>
      <c r="H922" s="17" t="str">
        <f ca="1">IFERROR(__xludf.DUMMYFUNCTION("""COMPUTED_VALUE"""),"")</f>
        <v/>
      </c>
      <c r="I922" s="50" t="s">
        <v>29</v>
      </c>
      <c r="J922" s="50" t="s">
        <v>29</v>
      </c>
      <c r="K922" s="50" t="s">
        <v>29</v>
      </c>
      <c r="L922" s="50" t="s">
        <v>29</v>
      </c>
      <c r="M922" s="50" t="s">
        <v>29</v>
      </c>
      <c r="N922" s="49"/>
      <c r="P922" s="19"/>
      <c r="Q922" s="18" t="str">
        <f ca="1">IFERROR(__xludf.DUMMYFUNCTION("""COMPUTED_VALUE"""),"")</f>
        <v/>
      </c>
      <c r="R922" s="19"/>
      <c r="S922" s="20"/>
      <c r="BP922" s="10"/>
      <c r="BW922" s="10"/>
      <c r="CF922" s="10"/>
      <c r="CM922" s="10"/>
      <c r="CP922" s="18" t="str">
        <f ca="1"/>
        <v/>
      </c>
      <c r="CQ922" s="18" t="str">
        <f ca="1"/>
        <v/>
      </c>
      <c r="CR922" s="18" t="str">
        <f ca="1"/>
        <v/>
      </c>
      <c r="CS922" s="18" t="str">
        <f ca="1"/>
        <v/>
      </c>
      <c r="CT922" s="18" t="str">
        <f ca="1"/>
        <v/>
      </c>
      <c r="CV922" s="10"/>
      <c r="CY922" s="18" t="str">
        <f ca="1"/>
        <v/>
      </c>
      <c r="CZ922" s="18" t="str">
        <f ca="1"/>
        <v/>
      </c>
      <c r="DA922" s="18" t="str">
        <f ca="1"/>
        <v/>
      </c>
      <c r="DC922" s="10"/>
    </row>
    <row r="923" spans="1:107" x14ac:dyDescent="0.25">
      <c r="A923" s="46"/>
      <c r="B923" s="52"/>
      <c r="C923" s="52"/>
      <c r="D923" s="16"/>
      <c r="E923" s="52"/>
      <c r="F923" s="52"/>
      <c r="G923" s="50"/>
      <c r="H923" s="17" t="str">
        <f ca="1">IFERROR(__xludf.DUMMYFUNCTION("""COMPUTED_VALUE"""),"")</f>
        <v/>
      </c>
      <c r="I923" s="50" t="s">
        <v>29</v>
      </c>
      <c r="J923" s="50" t="s">
        <v>29</v>
      </c>
      <c r="K923" s="50" t="s">
        <v>29</v>
      </c>
      <c r="L923" s="50" t="s">
        <v>29</v>
      </c>
      <c r="M923" s="50" t="s">
        <v>29</v>
      </c>
      <c r="N923" s="49"/>
      <c r="P923" s="19"/>
      <c r="Q923" s="18" t="str">
        <f ca="1">IFERROR(__xludf.DUMMYFUNCTION("""COMPUTED_VALUE"""),"")</f>
        <v/>
      </c>
      <c r="R923" s="19"/>
      <c r="S923" s="20"/>
      <c r="BP923" s="10"/>
      <c r="BW923" s="10"/>
      <c r="CF923" s="10"/>
      <c r="CM923" s="10"/>
      <c r="CP923" s="18" t="str">
        <f ca="1"/>
        <v/>
      </c>
      <c r="CQ923" s="18" t="str">
        <f ca="1"/>
        <v/>
      </c>
      <c r="CR923" s="18" t="str">
        <f ca="1"/>
        <v/>
      </c>
      <c r="CS923" s="18" t="str">
        <f ca="1"/>
        <v/>
      </c>
      <c r="CT923" s="18" t="str">
        <f ca="1"/>
        <v/>
      </c>
      <c r="CV923" s="10"/>
      <c r="CY923" s="18" t="str">
        <f ca="1"/>
        <v/>
      </c>
      <c r="CZ923" s="18" t="str">
        <f ca="1"/>
        <v/>
      </c>
      <c r="DA923" s="18" t="str">
        <f ca="1"/>
        <v/>
      </c>
      <c r="DC923" s="10"/>
    </row>
    <row r="924" spans="1:107" x14ac:dyDescent="0.25">
      <c r="A924" s="46"/>
      <c r="B924" s="52"/>
      <c r="C924" s="52"/>
      <c r="D924" s="16"/>
      <c r="E924" s="52"/>
      <c r="F924" s="52"/>
      <c r="G924" s="50"/>
      <c r="H924" s="17" t="str">
        <f ca="1">IFERROR(__xludf.DUMMYFUNCTION("""COMPUTED_VALUE"""),"")</f>
        <v/>
      </c>
      <c r="I924" s="50" t="s">
        <v>29</v>
      </c>
      <c r="J924" s="50" t="s">
        <v>29</v>
      </c>
      <c r="K924" s="50" t="s">
        <v>29</v>
      </c>
      <c r="L924" s="50" t="s">
        <v>29</v>
      </c>
      <c r="M924" s="50" t="s">
        <v>29</v>
      </c>
      <c r="N924" s="49"/>
      <c r="P924" s="19"/>
      <c r="Q924" s="18" t="str">
        <f ca="1">IFERROR(__xludf.DUMMYFUNCTION("""COMPUTED_VALUE"""),"")</f>
        <v/>
      </c>
      <c r="R924" s="19"/>
      <c r="S924" s="20"/>
      <c r="BP924" s="10"/>
      <c r="BW924" s="10"/>
      <c r="CF924" s="10"/>
      <c r="CM924" s="10"/>
      <c r="CP924" s="18" t="str">
        <f ca="1"/>
        <v/>
      </c>
      <c r="CQ924" s="18" t="str">
        <f ca="1"/>
        <v/>
      </c>
      <c r="CR924" s="18" t="str">
        <f ca="1"/>
        <v/>
      </c>
      <c r="CS924" s="18" t="str">
        <f ca="1"/>
        <v/>
      </c>
      <c r="CT924" s="18" t="str">
        <f ca="1"/>
        <v/>
      </c>
      <c r="CV924" s="10"/>
      <c r="CY924" s="18" t="str">
        <f ca="1"/>
        <v/>
      </c>
      <c r="CZ924" s="18" t="str">
        <f ca="1"/>
        <v/>
      </c>
      <c r="DA924" s="18" t="str">
        <f ca="1"/>
        <v/>
      </c>
      <c r="DC924" s="10"/>
    </row>
    <row r="925" spans="1:107" x14ac:dyDescent="0.25">
      <c r="A925" s="46"/>
      <c r="B925" s="52"/>
      <c r="C925" s="52"/>
      <c r="D925" s="16"/>
      <c r="E925" s="52"/>
      <c r="F925" s="52"/>
      <c r="G925" s="50"/>
      <c r="H925" s="17" t="str">
        <f ca="1">IFERROR(__xludf.DUMMYFUNCTION("""COMPUTED_VALUE"""),"")</f>
        <v/>
      </c>
      <c r="I925" s="50" t="s">
        <v>29</v>
      </c>
      <c r="J925" s="50" t="s">
        <v>29</v>
      </c>
      <c r="K925" s="50" t="s">
        <v>29</v>
      </c>
      <c r="L925" s="50" t="s">
        <v>29</v>
      </c>
      <c r="M925" s="50" t="s">
        <v>29</v>
      </c>
      <c r="N925" s="49"/>
      <c r="P925" s="19"/>
      <c r="Q925" s="18" t="str">
        <f ca="1">IFERROR(__xludf.DUMMYFUNCTION("""COMPUTED_VALUE"""),"")</f>
        <v/>
      </c>
      <c r="R925" s="19"/>
      <c r="S925" s="20"/>
      <c r="BP925" s="10"/>
      <c r="BW925" s="10"/>
      <c r="CF925" s="10"/>
      <c r="CM925" s="10"/>
      <c r="CP925" s="18" t="str">
        <f ca="1"/>
        <v/>
      </c>
      <c r="CQ925" s="18" t="str">
        <f ca="1"/>
        <v/>
      </c>
      <c r="CR925" s="18" t="str">
        <f ca="1"/>
        <v/>
      </c>
      <c r="CS925" s="18" t="str">
        <f ca="1"/>
        <v/>
      </c>
      <c r="CT925" s="18" t="str">
        <f ca="1"/>
        <v/>
      </c>
      <c r="CV925" s="10"/>
      <c r="CY925" s="18" t="str">
        <f ca="1"/>
        <v/>
      </c>
      <c r="CZ925" s="18" t="str">
        <f ca="1"/>
        <v/>
      </c>
      <c r="DA925" s="18" t="str">
        <f ca="1"/>
        <v/>
      </c>
      <c r="DC925" s="10"/>
    </row>
    <row r="926" spans="1:107" x14ac:dyDescent="0.25">
      <c r="A926" s="46"/>
      <c r="B926" s="52"/>
      <c r="C926" s="52"/>
      <c r="D926" s="16"/>
      <c r="E926" s="52"/>
      <c r="F926" s="52"/>
      <c r="G926" s="50"/>
      <c r="H926" s="17" t="str">
        <f ca="1">IFERROR(__xludf.DUMMYFUNCTION("""COMPUTED_VALUE"""),"")</f>
        <v/>
      </c>
      <c r="I926" s="50" t="s">
        <v>29</v>
      </c>
      <c r="J926" s="50" t="s">
        <v>29</v>
      </c>
      <c r="K926" s="50" t="s">
        <v>29</v>
      </c>
      <c r="L926" s="50" t="s">
        <v>29</v>
      </c>
      <c r="M926" s="50" t="s">
        <v>29</v>
      </c>
      <c r="N926" s="49"/>
      <c r="P926" s="19"/>
      <c r="Q926" s="18" t="str">
        <f ca="1">IFERROR(__xludf.DUMMYFUNCTION("""COMPUTED_VALUE"""),"")</f>
        <v/>
      </c>
      <c r="R926" s="19"/>
      <c r="S926" s="20"/>
      <c r="BP926" s="10"/>
      <c r="BW926" s="10"/>
      <c r="CF926" s="10"/>
      <c r="CM926" s="10"/>
      <c r="CP926" s="18" t="str">
        <f ca="1"/>
        <v/>
      </c>
      <c r="CQ926" s="18" t="str">
        <f ca="1"/>
        <v/>
      </c>
      <c r="CR926" s="18" t="str">
        <f ca="1"/>
        <v/>
      </c>
      <c r="CS926" s="18" t="str">
        <f ca="1"/>
        <v/>
      </c>
      <c r="CT926" s="18" t="str">
        <f ca="1"/>
        <v/>
      </c>
      <c r="CV926" s="10"/>
      <c r="CY926" s="18" t="str">
        <f ca="1"/>
        <v/>
      </c>
      <c r="CZ926" s="18" t="str">
        <f ca="1"/>
        <v/>
      </c>
      <c r="DA926" s="18" t="str">
        <f ca="1"/>
        <v/>
      </c>
      <c r="DC926" s="10"/>
    </row>
    <row r="927" spans="1:107" x14ac:dyDescent="0.25">
      <c r="A927" s="46"/>
      <c r="B927" s="52"/>
      <c r="C927" s="52"/>
      <c r="D927" s="16"/>
      <c r="E927" s="52"/>
      <c r="F927" s="52"/>
      <c r="G927" s="50"/>
      <c r="H927" s="17" t="str">
        <f ca="1">IFERROR(__xludf.DUMMYFUNCTION("""COMPUTED_VALUE"""),"")</f>
        <v/>
      </c>
      <c r="I927" s="50" t="s">
        <v>29</v>
      </c>
      <c r="J927" s="50" t="s">
        <v>29</v>
      </c>
      <c r="K927" s="50" t="s">
        <v>29</v>
      </c>
      <c r="L927" s="50" t="s">
        <v>29</v>
      </c>
      <c r="M927" s="50" t="s">
        <v>29</v>
      </c>
      <c r="N927" s="49"/>
      <c r="P927" s="19"/>
      <c r="Q927" s="18" t="str">
        <f ca="1">IFERROR(__xludf.DUMMYFUNCTION("""COMPUTED_VALUE"""),"")</f>
        <v/>
      </c>
      <c r="R927" s="19"/>
      <c r="S927" s="20"/>
      <c r="BP927" s="10"/>
      <c r="BW927" s="10"/>
      <c r="CF927" s="10"/>
      <c r="CM927" s="10"/>
      <c r="CP927" s="18" t="str">
        <f ca="1"/>
        <v/>
      </c>
      <c r="CQ927" s="18" t="str">
        <f ca="1"/>
        <v/>
      </c>
      <c r="CR927" s="18" t="str">
        <f ca="1"/>
        <v/>
      </c>
      <c r="CS927" s="18" t="str">
        <f ca="1"/>
        <v/>
      </c>
      <c r="CT927" s="18" t="str">
        <f ca="1"/>
        <v/>
      </c>
      <c r="CV927" s="10"/>
      <c r="CY927" s="18" t="str">
        <f ca="1"/>
        <v/>
      </c>
      <c r="CZ927" s="18" t="str">
        <f ca="1"/>
        <v/>
      </c>
      <c r="DA927" s="18" t="str">
        <f ca="1"/>
        <v/>
      </c>
      <c r="DC927" s="10"/>
    </row>
    <row r="928" spans="1:107" x14ac:dyDescent="0.25">
      <c r="A928" s="46"/>
      <c r="B928" s="52"/>
      <c r="C928" s="52"/>
      <c r="D928" s="16"/>
      <c r="E928" s="52"/>
      <c r="F928" s="52"/>
      <c r="G928" s="50"/>
      <c r="H928" s="17" t="str">
        <f ca="1">IFERROR(__xludf.DUMMYFUNCTION("""COMPUTED_VALUE"""),"")</f>
        <v/>
      </c>
      <c r="I928" s="50" t="s">
        <v>29</v>
      </c>
      <c r="J928" s="50" t="s">
        <v>29</v>
      </c>
      <c r="K928" s="50" t="s">
        <v>29</v>
      </c>
      <c r="L928" s="50" t="s">
        <v>29</v>
      </c>
      <c r="M928" s="50" t="s">
        <v>29</v>
      </c>
      <c r="N928" s="49"/>
      <c r="P928" s="19"/>
      <c r="Q928" s="18" t="str">
        <f ca="1">IFERROR(__xludf.DUMMYFUNCTION("""COMPUTED_VALUE"""),"")</f>
        <v/>
      </c>
      <c r="R928" s="19"/>
      <c r="S928" s="20"/>
      <c r="BP928" s="10"/>
      <c r="BW928" s="10"/>
      <c r="CF928" s="10"/>
      <c r="CM928" s="10"/>
      <c r="CP928" s="18" t="str">
        <f ca="1"/>
        <v/>
      </c>
      <c r="CQ928" s="18" t="str">
        <f ca="1"/>
        <v/>
      </c>
      <c r="CR928" s="18" t="str">
        <f ca="1"/>
        <v/>
      </c>
      <c r="CS928" s="18" t="str">
        <f ca="1"/>
        <v/>
      </c>
      <c r="CT928" s="18" t="str">
        <f ca="1"/>
        <v/>
      </c>
      <c r="CV928" s="10"/>
      <c r="CY928" s="18" t="str">
        <f ca="1"/>
        <v/>
      </c>
      <c r="CZ928" s="18" t="str">
        <f ca="1"/>
        <v/>
      </c>
      <c r="DA928" s="18" t="str">
        <f ca="1"/>
        <v/>
      </c>
      <c r="DC928" s="10"/>
    </row>
    <row r="929" spans="1:107" x14ac:dyDescent="0.25">
      <c r="A929" s="46"/>
      <c r="B929" s="52"/>
      <c r="C929" s="52"/>
      <c r="D929" s="16"/>
      <c r="E929" s="52"/>
      <c r="F929" s="52"/>
      <c r="G929" s="50"/>
      <c r="H929" s="17" t="str">
        <f ca="1">IFERROR(__xludf.DUMMYFUNCTION("""COMPUTED_VALUE"""),"")</f>
        <v/>
      </c>
      <c r="I929" s="50" t="s">
        <v>29</v>
      </c>
      <c r="J929" s="50" t="s">
        <v>29</v>
      </c>
      <c r="K929" s="50" t="s">
        <v>29</v>
      </c>
      <c r="L929" s="50" t="s">
        <v>29</v>
      </c>
      <c r="M929" s="50" t="s">
        <v>29</v>
      </c>
      <c r="N929" s="49"/>
      <c r="P929" s="19"/>
      <c r="Q929" s="18" t="str">
        <f ca="1">IFERROR(__xludf.DUMMYFUNCTION("""COMPUTED_VALUE"""),"")</f>
        <v/>
      </c>
      <c r="R929" s="19"/>
      <c r="S929" s="20"/>
      <c r="BP929" s="10"/>
      <c r="BW929" s="10"/>
      <c r="CF929" s="10"/>
      <c r="CM929" s="10"/>
      <c r="CP929" s="18" t="str">
        <f ca="1"/>
        <v/>
      </c>
      <c r="CQ929" s="18" t="str">
        <f ca="1"/>
        <v/>
      </c>
      <c r="CR929" s="18" t="str">
        <f ca="1"/>
        <v/>
      </c>
      <c r="CS929" s="18" t="str">
        <f ca="1"/>
        <v/>
      </c>
      <c r="CT929" s="18" t="str">
        <f ca="1"/>
        <v/>
      </c>
      <c r="CV929" s="10"/>
      <c r="CY929" s="18" t="str">
        <f ca="1"/>
        <v/>
      </c>
      <c r="CZ929" s="18" t="str">
        <f ca="1"/>
        <v/>
      </c>
      <c r="DA929" s="18" t="str">
        <f ca="1"/>
        <v/>
      </c>
      <c r="DC929" s="10"/>
    </row>
    <row r="930" spans="1:107" x14ac:dyDescent="0.25">
      <c r="A930" s="46"/>
      <c r="B930" s="52"/>
      <c r="C930" s="52"/>
      <c r="D930" s="16"/>
      <c r="E930" s="52"/>
      <c r="F930" s="52"/>
      <c r="G930" s="50"/>
      <c r="H930" s="17" t="str">
        <f ca="1">IFERROR(__xludf.DUMMYFUNCTION("""COMPUTED_VALUE"""),"")</f>
        <v/>
      </c>
      <c r="I930" s="50" t="s">
        <v>29</v>
      </c>
      <c r="J930" s="50" t="s">
        <v>29</v>
      </c>
      <c r="K930" s="50" t="s">
        <v>29</v>
      </c>
      <c r="L930" s="50" t="s">
        <v>29</v>
      </c>
      <c r="M930" s="50" t="s">
        <v>29</v>
      </c>
      <c r="N930" s="49"/>
      <c r="P930" s="19"/>
      <c r="Q930" s="18" t="str">
        <f ca="1">IFERROR(__xludf.DUMMYFUNCTION("""COMPUTED_VALUE"""),"")</f>
        <v/>
      </c>
      <c r="R930" s="19"/>
      <c r="S930" s="20"/>
      <c r="BP930" s="10"/>
      <c r="BW930" s="10"/>
      <c r="CF930" s="10"/>
      <c r="CM930" s="10"/>
      <c r="CP930" s="18" t="str">
        <f ca="1"/>
        <v/>
      </c>
      <c r="CQ930" s="18" t="str">
        <f ca="1"/>
        <v/>
      </c>
      <c r="CR930" s="18" t="str">
        <f ca="1"/>
        <v/>
      </c>
      <c r="CS930" s="18" t="str">
        <f ca="1"/>
        <v/>
      </c>
      <c r="CT930" s="18" t="str">
        <f ca="1"/>
        <v/>
      </c>
      <c r="CV930" s="10"/>
      <c r="CY930" s="18" t="str">
        <f ca="1"/>
        <v/>
      </c>
      <c r="CZ930" s="18" t="str">
        <f ca="1"/>
        <v/>
      </c>
      <c r="DA930" s="18" t="str">
        <f ca="1"/>
        <v/>
      </c>
      <c r="DC930" s="10"/>
    </row>
    <row r="931" spans="1:107" x14ac:dyDescent="0.25">
      <c r="A931" s="46"/>
      <c r="B931" s="52"/>
      <c r="C931" s="52"/>
      <c r="D931" s="16"/>
      <c r="E931" s="52"/>
      <c r="F931" s="52"/>
      <c r="G931" s="50"/>
      <c r="H931" s="17" t="str">
        <f ca="1">IFERROR(__xludf.DUMMYFUNCTION("""COMPUTED_VALUE"""),"")</f>
        <v/>
      </c>
      <c r="I931" s="50" t="s">
        <v>29</v>
      </c>
      <c r="J931" s="50" t="s">
        <v>29</v>
      </c>
      <c r="K931" s="50" t="s">
        <v>29</v>
      </c>
      <c r="L931" s="50" t="s">
        <v>29</v>
      </c>
      <c r="M931" s="50" t="s">
        <v>29</v>
      </c>
      <c r="N931" s="49"/>
      <c r="P931" s="19"/>
      <c r="Q931" s="18" t="str">
        <f ca="1">IFERROR(__xludf.DUMMYFUNCTION("""COMPUTED_VALUE"""),"")</f>
        <v/>
      </c>
      <c r="R931" s="19"/>
      <c r="S931" s="20"/>
      <c r="BP931" s="10"/>
      <c r="BW931" s="10"/>
      <c r="CF931" s="10"/>
      <c r="CM931" s="10"/>
      <c r="CP931" s="18" t="str">
        <f ca="1"/>
        <v/>
      </c>
      <c r="CQ931" s="18" t="str">
        <f ca="1"/>
        <v/>
      </c>
      <c r="CR931" s="18" t="str">
        <f ca="1"/>
        <v/>
      </c>
      <c r="CS931" s="18" t="str">
        <f ca="1"/>
        <v/>
      </c>
      <c r="CT931" s="18" t="str">
        <f ca="1"/>
        <v/>
      </c>
      <c r="CV931" s="10"/>
      <c r="CY931" s="18" t="str">
        <f ca="1"/>
        <v/>
      </c>
      <c r="CZ931" s="18" t="str">
        <f ca="1"/>
        <v/>
      </c>
      <c r="DA931" s="18" t="str">
        <f ca="1"/>
        <v/>
      </c>
      <c r="DC931" s="10"/>
    </row>
    <row r="932" spans="1:107" x14ac:dyDescent="0.25">
      <c r="A932" s="46"/>
      <c r="B932" s="52"/>
      <c r="C932" s="52"/>
      <c r="D932" s="16"/>
      <c r="E932" s="52"/>
      <c r="F932" s="52"/>
      <c r="G932" s="50"/>
      <c r="H932" s="17" t="str">
        <f ca="1">IFERROR(__xludf.DUMMYFUNCTION("""COMPUTED_VALUE"""),"")</f>
        <v/>
      </c>
      <c r="I932" s="50" t="s">
        <v>29</v>
      </c>
      <c r="J932" s="50" t="s">
        <v>29</v>
      </c>
      <c r="K932" s="50" t="s">
        <v>29</v>
      </c>
      <c r="L932" s="50" t="s">
        <v>29</v>
      </c>
      <c r="M932" s="50" t="s">
        <v>29</v>
      </c>
      <c r="N932" s="49"/>
      <c r="P932" s="19"/>
      <c r="Q932" s="18" t="str">
        <f ca="1">IFERROR(__xludf.DUMMYFUNCTION("""COMPUTED_VALUE"""),"")</f>
        <v/>
      </c>
      <c r="R932" s="19"/>
      <c r="S932" s="20"/>
      <c r="BP932" s="10"/>
      <c r="BW932" s="10"/>
      <c r="CF932" s="10"/>
      <c r="CM932" s="10"/>
      <c r="CP932" s="18" t="str">
        <f ca="1"/>
        <v/>
      </c>
      <c r="CQ932" s="18" t="str">
        <f ca="1"/>
        <v/>
      </c>
      <c r="CR932" s="18" t="str">
        <f ca="1"/>
        <v/>
      </c>
      <c r="CS932" s="18" t="str">
        <f ca="1"/>
        <v/>
      </c>
      <c r="CT932" s="18" t="str">
        <f ca="1"/>
        <v/>
      </c>
      <c r="CV932" s="10"/>
      <c r="CY932" s="18" t="str">
        <f ca="1"/>
        <v/>
      </c>
      <c r="CZ932" s="18" t="str">
        <f ca="1"/>
        <v/>
      </c>
      <c r="DA932" s="18" t="str">
        <f ca="1"/>
        <v/>
      </c>
      <c r="DC932" s="10"/>
    </row>
    <row r="933" spans="1:107" x14ac:dyDescent="0.25">
      <c r="A933" s="46"/>
      <c r="B933" s="52"/>
      <c r="C933" s="52"/>
      <c r="D933" s="16"/>
      <c r="E933" s="52"/>
      <c r="F933" s="52"/>
      <c r="G933" s="50"/>
      <c r="H933" s="17" t="str">
        <f ca="1">IFERROR(__xludf.DUMMYFUNCTION("""COMPUTED_VALUE"""),"")</f>
        <v/>
      </c>
      <c r="I933" s="50" t="s">
        <v>29</v>
      </c>
      <c r="J933" s="50" t="s">
        <v>29</v>
      </c>
      <c r="K933" s="50" t="s">
        <v>29</v>
      </c>
      <c r="L933" s="50" t="s">
        <v>29</v>
      </c>
      <c r="M933" s="50" t="s">
        <v>29</v>
      </c>
      <c r="N933" s="49"/>
      <c r="P933" s="19"/>
      <c r="Q933" s="18" t="str">
        <f ca="1">IFERROR(__xludf.DUMMYFUNCTION("""COMPUTED_VALUE"""),"")</f>
        <v/>
      </c>
      <c r="R933" s="19"/>
      <c r="S933" s="20"/>
      <c r="BP933" s="10"/>
      <c r="BW933" s="10"/>
      <c r="CF933" s="10"/>
      <c r="CM933" s="10"/>
      <c r="CP933" s="18" t="str">
        <f ca="1"/>
        <v/>
      </c>
      <c r="CQ933" s="18" t="str">
        <f ca="1"/>
        <v/>
      </c>
      <c r="CR933" s="18" t="str">
        <f ca="1"/>
        <v/>
      </c>
      <c r="CS933" s="18" t="str">
        <f ca="1"/>
        <v/>
      </c>
      <c r="CT933" s="18" t="str">
        <f ca="1"/>
        <v/>
      </c>
      <c r="CV933" s="10"/>
      <c r="CY933" s="18" t="str">
        <f ca="1"/>
        <v/>
      </c>
      <c r="CZ933" s="18" t="str">
        <f ca="1"/>
        <v/>
      </c>
      <c r="DA933" s="18" t="str">
        <f ca="1"/>
        <v/>
      </c>
      <c r="DC933" s="10"/>
    </row>
    <row r="934" spans="1:107" x14ac:dyDescent="0.25">
      <c r="A934" s="46"/>
      <c r="B934" s="52"/>
      <c r="C934" s="52"/>
      <c r="D934" s="16"/>
      <c r="E934" s="52"/>
      <c r="F934" s="52"/>
      <c r="G934" s="50"/>
      <c r="H934" s="17" t="str">
        <f ca="1">IFERROR(__xludf.DUMMYFUNCTION("""COMPUTED_VALUE"""),"")</f>
        <v/>
      </c>
      <c r="I934" s="50" t="s">
        <v>29</v>
      </c>
      <c r="J934" s="50" t="s">
        <v>29</v>
      </c>
      <c r="K934" s="50" t="s">
        <v>29</v>
      </c>
      <c r="L934" s="50" t="s">
        <v>29</v>
      </c>
      <c r="M934" s="50" t="s">
        <v>29</v>
      </c>
      <c r="N934" s="49"/>
      <c r="P934" s="19"/>
      <c r="Q934" s="18" t="str">
        <f ca="1">IFERROR(__xludf.DUMMYFUNCTION("""COMPUTED_VALUE"""),"")</f>
        <v/>
      </c>
      <c r="R934" s="19"/>
      <c r="S934" s="20"/>
      <c r="BP934" s="10"/>
      <c r="BW934" s="10"/>
      <c r="CF934" s="10"/>
      <c r="CM934" s="10"/>
      <c r="CP934" s="18" t="str">
        <f ca="1"/>
        <v/>
      </c>
      <c r="CQ934" s="18" t="str">
        <f ca="1"/>
        <v/>
      </c>
      <c r="CR934" s="18" t="str">
        <f ca="1"/>
        <v/>
      </c>
      <c r="CS934" s="18" t="str">
        <f ca="1"/>
        <v/>
      </c>
      <c r="CT934" s="18" t="str">
        <f ca="1"/>
        <v/>
      </c>
      <c r="CV934" s="10"/>
      <c r="CY934" s="18" t="str">
        <f ca="1"/>
        <v/>
      </c>
      <c r="CZ934" s="18" t="str">
        <f ca="1"/>
        <v/>
      </c>
      <c r="DA934" s="18" t="str">
        <f ca="1"/>
        <v/>
      </c>
      <c r="DC934" s="10"/>
    </row>
    <row r="935" spans="1:107" x14ac:dyDescent="0.25">
      <c r="A935" s="46"/>
      <c r="B935" s="52"/>
      <c r="C935" s="52"/>
      <c r="D935" s="16"/>
      <c r="E935" s="52"/>
      <c r="F935" s="52"/>
      <c r="G935" s="50"/>
      <c r="H935" s="17" t="str">
        <f ca="1">IFERROR(__xludf.DUMMYFUNCTION("""COMPUTED_VALUE"""),"")</f>
        <v/>
      </c>
      <c r="I935" s="50" t="s">
        <v>29</v>
      </c>
      <c r="J935" s="50" t="s">
        <v>29</v>
      </c>
      <c r="K935" s="50" t="s">
        <v>29</v>
      </c>
      <c r="L935" s="50" t="s">
        <v>29</v>
      </c>
      <c r="M935" s="50" t="s">
        <v>29</v>
      </c>
      <c r="N935" s="49"/>
      <c r="P935" s="19"/>
      <c r="Q935" s="18" t="str">
        <f ca="1">IFERROR(__xludf.DUMMYFUNCTION("""COMPUTED_VALUE"""),"")</f>
        <v/>
      </c>
      <c r="R935" s="19"/>
      <c r="S935" s="20"/>
      <c r="BP935" s="10"/>
      <c r="BW935" s="10"/>
      <c r="CF935" s="10"/>
      <c r="CM935" s="10"/>
      <c r="CP935" s="18" t="str">
        <f ca="1"/>
        <v/>
      </c>
      <c r="CQ935" s="18" t="str">
        <f ca="1"/>
        <v/>
      </c>
      <c r="CR935" s="18" t="str">
        <f ca="1"/>
        <v/>
      </c>
      <c r="CS935" s="18" t="str">
        <f ca="1"/>
        <v/>
      </c>
      <c r="CT935" s="18" t="str">
        <f ca="1"/>
        <v/>
      </c>
      <c r="CV935" s="10"/>
      <c r="CY935" s="18" t="str">
        <f ca="1"/>
        <v/>
      </c>
      <c r="CZ935" s="18" t="str">
        <f ca="1"/>
        <v/>
      </c>
      <c r="DA935" s="18" t="str">
        <f ca="1"/>
        <v/>
      </c>
      <c r="DC935" s="10"/>
    </row>
    <row r="936" spans="1:107" x14ac:dyDescent="0.25">
      <c r="A936" s="46"/>
      <c r="B936" s="52"/>
      <c r="C936" s="52"/>
      <c r="D936" s="16"/>
      <c r="E936" s="52"/>
      <c r="F936" s="52"/>
      <c r="G936" s="50"/>
      <c r="H936" s="17" t="str">
        <f ca="1">IFERROR(__xludf.DUMMYFUNCTION("""COMPUTED_VALUE"""),"")</f>
        <v/>
      </c>
      <c r="I936" s="50" t="s">
        <v>29</v>
      </c>
      <c r="J936" s="50" t="s">
        <v>29</v>
      </c>
      <c r="K936" s="50" t="s">
        <v>29</v>
      </c>
      <c r="L936" s="50" t="s">
        <v>29</v>
      </c>
      <c r="M936" s="50" t="s">
        <v>29</v>
      </c>
      <c r="N936" s="49"/>
      <c r="P936" s="19"/>
      <c r="Q936" s="18" t="str">
        <f ca="1">IFERROR(__xludf.DUMMYFUNCTION("""COMPUTED_VALUE"""),"")</f>
        <v/>
      </c>
      <c r="R936" s="19"/>
      <c r="S936" s="20"/>
      <c r="BP936" s="10"/>
      <c r="BW936" s="10"/>
      <c r="CF936" s="10"/>
      <c r="CM936" s="10"/>
      <c r="CP936" s="18" t="str">
        <f ca="1"/>
        <v/>
      </c>
      <c r="CQ936" s="18" t="str">
        <f ca="1"/>
        <v/>
      </c>
      <c r="CR936" s="18" t="str">
        <f ca="1"/>
        <v/>
      </c>
      <c r="CS936" s="18" t="str">
        <f ca="1"/>
        <v/>
      </c>
      <c r="CT936" s="18" t="str">
        <f ca="1"/>
        <v/>
      </c>
      <c r="CV936" s="10"/>
      <c r="CY936" s="18" t="str">
        <f ca="1"/>
        <v/>
      </c>
      <c r="CZ936" s="18" t="str">
        <f ca="1"/>
        <v/>
      </c>
      <c r="DA936" s="18" t="str">
        <f ca="1"/>
        <v/>
      </c>
      <c r="DC936" s="10"/>
    </row>
    <row r="937" spans="1:107" x14ac:dyDescent="0.25">
      <c r="A937" s="46"/>
      <c r="B937" s="52"/>
      <c r="C937" s="52"/>
      <c r="D937" s="16"/>
      <c r="E937" s="52"/>
      <c r="F937" s="52"/>
      <c r="G937" s="50"/>
      <c r="H937" s="17" t="str">
        <f ca="1">IFERROR(__xludf.DUMMYFUNCTION("""COMPUTED_VALUE"""),"")</f>
        <v/>
      </c>
      <c r="I937" s="50" t="s">
        <v>29</v>
      </c>
      <c r="J937" s="50" t="s">
        <v>29</v>
      </c>
      <c r="K937" s="50" t="s">
        <v>29</v>
      </c>
      <c r="L937" s="50" t="s">
        <v>29</v>
      </c>
      <c r="M937" s="50" t="s">
        <v>29</v>
      </c>
      <c r="N937" s="49"/>
      <c r="P937" s="19"/>
      <c r="Q937" s="18" t="str">
        <f ca="1">IFERROR(__xludf.DUMMYFUNCTION("""COMPUTED_VALUE"""),"")</f>
        <v/>
      </c>
      <c r="R937" s="19"/>
      <c r="S937" s="20"/>
      <c r="BP937" s="10"/>
      <c r="BW937" s="10"/>
      <c r="CF937" s="10"/>
      <c r="CM937" s="10"/>
      <c r="CP937" s="18" t="str">
        <f ca="1"/>
        <v/>
      </c>
      <c r="CQ937" s="18" t="str">
        <f ca="1"/>
        <v/>
      </c>
      <c r="CR937" s="18" t="str">
        <f ca="1"/>
        <v/>
      </c>
      <c r="CS937" s="18" t="str">
        <f ca="1"/>
        <v/>
      </c>
      <c r="CT937" s="18" t="str">
        <f ca="1"/>
        <v/>
      </c>
      <c r="CV937" s="10"/>
      <c r="CY937" s="18" t="str">
        <f ca="1"/>
        <v/>
      </c>
      <c r="CZ937" s="18" t="str">
        <f ca="1"/>
        <v/>
      </c>
      <c r="DA937" s="18" t="str">
        <f ca="1"/>
        <v/>
      </c>
      <c r="DC937" s="10"/>
    </row>
    <row r="938" spans="1:107" x14ac:dyDescent="0.25">
      <c r="A938" s="46"/>
      <c r="B938" s="52"/>
      <c r="C938" s="52"/>
      <c r="D938" s="16"/>
      <c r="E938" s="52"/>
      <c r="F938" s="52"/>
      <c r="G938" s="50"/>
      <c r="H938" s="17" t="str">
        <f ca="1">IFERROR(__xludf.DUMMYFUNCTION("""COMPUTED_VALUE"""),"")</f>
        <v/>
      </c>
      <c r="I938" s="50" t="s">
        <v>29</v>
      </c>
      <c r="J938" s="50" t="s">
        <v>29</v>
      </c>
      <c r="K938" s="50" t="s">
        <v>29</v>
      </c>
      <c r="L938" s="50" t="s">
        <v>29</v>
      </c>
      <c r="M938" s="50" t="s">
        <v>29</v>
      </c>
      <c r="N938" s="49"/>
      <c r="P938" s="19"/>
      <c r="Q938" s="18" t="str">
        <f ca="1">IFERROR(__xludf.DUMMYFUNCTION("""COMPUTED_VALUE"""),"")</f>
        <v/>
      </c>
      <c r="R938" s="19"/>
      <c r="S938" s="20"/>
      <c r="BP938" s="10"/>
      <c r="BW938" s="10"/>
      <c r="CF938" s="10"/>
      <c r="CM938" s="10"/>
      <c r="CP938" s="18" t="str">
        <f ca="1"/>
        <v/>
      </c>
      <c r="CQ938" s="18" t="str">
        <f ca="1"/>
        <v/>
      </c>
      <c r="CR938" s="18" t="str">
        <f ca="1"/>
        <v/>
      </c>
      <c r="CS938" s="18" t="str">
        <f ca="1"/>
        <v/>
      </c>
      <c r="CT938" s="18" t="str">
        <f ca="1"/>
        <v/>
      </c>
      <c r="CV938" s="10"/>
      <c r="CY938" s="18" t="str">
        <f ca="1"/>
        <v/>
      </c>
      <c r="CZ938" s="18" t="str">
        <f ca="1"/>
        <v/>
      </c>
      <c r="DA938" s="18" t="str">
        <f ca="1"/>
        <v/>
      </c>
      <c r="DC938" s="10"/>
    </row>
    <row r="939" spans="1:107" x14ac:dyDescent="0.25">
      <c r="A939" s="46"/>
      <c r="B939" s="52"/>
      <c r="C939" s="52"/>
      <c r="D939" s="16"/>
      <c r="E939" s="52"/>
      <c r="F939" s="52"/>
      <c r="G939" s="50"/>
      <c r="H939" s="17" t="str">
        <f ca="1">IFERROR(__xludf.DUMMYFUNCTION("""COMPUTED_VALUE"""),"")</f>
        <v/>
      </c>
      <c r="I939" s="50" t="s">
        <v>29</v>
      </c>
      <c r="J939" s="50" t="s">
        <v>29</v>
      </c>
      <c r="K939" s="50" t="s">
        <v>29</v>
      </c>
      <c r="L939" s="50" t="s">
        <v>29</v>
      </c>
      <c r="M939" s="50" t="s">
        <v>29</v>
      </c>
      <c r="N939" s="49"/>
      <c r="P939" s="19"/>
      <c r="Q939" s="18" t="str">
        <f ca="1">IFERROR(__xludf.DUMMYFUNCTION("""COMPUTED_VALUE"""),"")</f>
        <v/>
      </c>
      <c r="R939" s="19"/>
      <c r="S939" s="20"/>
      <c r="BP939" s="10"/>
      <c r="BW939" s="10"/>
      <c r="CF939" s="10"/>
      <c r="CM939" s="10"/>
      <c r="CP939" s="18" t="str">
        <f ca="1"/>
        <v/>
      </c>
      <c r="CQ939" s="18" t="str">
        <f ca="1"/>
        <v/>
      </c>
      <c r="CR939" s="18" t="str">
        <f ca="1"/>
        <v/>
      </c>
      <c r="CS939" s="18" t="str">
        <f ca="1"/>
        <v/>
      </c>
      <c r="CT939" s="18" t="str">
        <f ca="1"/>
        <v/>
      </c>
      <c r="CV939" s="10"/>
      <c r="CY939" s="18" t="str">
        <f ca="1"/>
        <v/>
      </c>
      <c r="CZ939" s="18" t="str">
        <f ca="1"/>
        <v/>
      </c>
      <c r="DA939" s="18" t="str">
        <f ca="1"/>
        <v/>
      </c>
      <c r="DC939" s="10"/>
    </row>
    <row r="940" spans="1:107" x14ac:dyDescent="0.25">
      <c r="A940" s="46"/>
      <c r="B940" s="52"/>
      <c r="C940" s="52"/>
      <c r="D940" s="16"/>
      <c r="E940" s="52"/>
      <c r="F940" s="52"/>
      <c r="G940" s="50"/>
      <c r="H940" s="17" t="str">
        <f ca="1">IFERROR(__xludf.DUMMYFUNCTION("""COMPUTED_VALUE"""),"")</f>
        <v/>
      </c>
      <c r="I940" s="50" t="s">
        <v>29</v>
      </c>
      <c r="J940" s="50" t="s">
        <v>29</v>
      </c>
      <c r="K940" s="50" t="s">
        <v>29</v>
      </c>
      <c r="L940" s="50" t="s">
        <v>29</v>
      </c>
      <c r="M940" s="50" t="s">
        <v>29</v>
      </c>
      <c r="N940" s="49"/>
      <c r="P940" s="19"/>
      <c r="Q940" s="18" t="str">
        <f ca="1">IFERROR(__xludf.DUMMYFUNCTION("""COMPUTED_VALUE"""),"")</f>
        <v/>
      </c>
      <c r="R940" s="19"/>
      <c r="S940" s="20"/>
      <c r="BP940" s="10"/>
      <c r="BW940" s="10"/>
      <c r="CF940" s="10"/>
      <c r="CM940" s="10"/>
      <c r="CP940" s="18" t="str">
        <f ca="1"/>
        <v/>
      </c>
      <c r="CQ940" s="18" t="str">
        <f ca="1"/>
        <v/>
      </c>
      <c r="CR940" s="18" t="str">
        <f ca="1"/>
        <v/>
      </c>
      <c r="CS940" s="18" t="str">
        <f ca="1"/>
        <v/>
      </c>
      <c r="CT940" s="18" t="str">
        <f ca="1"/>
        <v/>
      </c>
      <c r="CV940" s="10"/>
      <c r="CY940" s="18" t="str">
        <f ca="1"/>
        <v/>
      </c>
      <c r="CZ940" s="18" t="str">
        <f ca="1"/>
        <v/>
      </c>
      <c r="DA940" s="18" t="str">
        <f ca="1"/>
        <v/>
      </c>
      <c r="DC940" s="10"/>
    </row>
    <row r="941" spans="1:107" x14ac:dyDescent="0.25">
      <c r="A941" s="46"/>
      <c r="B941" s="52"/>
      <c r="C941" s="52"/>
      <c r="D941" s="16"/>
      <c r="E941" s="52"/>
      <c r="F941" s="52"/>
      <c r="G941" s="50"/>
      <c r="H941" s="17" t="str">
        <f ca="1">IFERROR(__xludf.DUMMYFUNCTION("""COMPUTED_VALUE"""),"")</f>
        <v/>
      </c>
      <c r="I941" s="50" t="s">
        <v>29</v>
      </c>
      <c r="J941" s="50" t="s">
        <v>29</v>
      </c>
      <c r="K941" s="50" t="s">
        <v>29</v>
      </c>
      <c r="L941" s="50" t="s">
        <v>29</v>
      </c>
      <c r="M941" s="50" t="s">
        <v>29</v>
      </c>
      <c r="N941" s="49"/>
      <c r="P941" s="19"/>
      <c r="Q941" s="18" t="str">
        <f ca="1">IFERROR(__xludf.DUMMYFUNCTION("""COMPUTED_VALUE"""),"")</f>
        <v/>
      </c>
      <c r="R941" s="19"/>
      <c r="S941" s="20"/>
      <c r="BP941" s="10"/>
      <c r="BW941" s="10"/>
      <c r="CF941" s="10"/>
      <c r="CM941" s="10"/>
      <c r="CP941" s="18" t="str">
        <f ca="1"/>
        <v/>
      </c>
      <c r="CQ941" s="18" t="str">
        <f ca="1"/>
        <v/>
      </c>
      <c r="CR941" s="18" t="str">
        <f ca="1"/>
        <v/>
      </c>
      <c r="CS941" s="18" t="str">
        <f ca="1"/>
        <v/>
      </c>
      <c r="CT941" s="18" t="str">
        <f ca="1"/>
        <v/>
      </c>
      <c r="CV941" s="10"/>
      <c r="CY941" s="18" t="str">
        <f ca="1"/>
        <v/>
      </c>
      <c r="CZ941" s="18" t="str">
        <f ca="1"/>
        <v/>
      </c>
      <c r="DA941" s="18" t="str">
        <f ca="1"/>
        <v/>
      </c>
      <c r="DC941" s="10"/>
    </row>
    <row r="942" spans="1:107" x14ac:dyDescent="0.25">
      <c r="A942" s="46"/>
      <c r="B942" s="52"/>
      <c r="C942" s="52"/>
      <c r="D942" s="16"/>
      <c r="E942" s="52"/>
      <c r="F942" s="52"/>
      <c r="G942" s="50"/>
      <c r="H942" s="17" t="str">
        <f ca="1">IFERROR(__xludf.DUMMYFUNCTION("""COMPUTED_VALUE"""),"")</f>
        <v/>
      </c>
      <c r="I942" s="50" t="s">
        <v>29</v>
      </c>
      <c r="J942" s="50" t="s">
        <v>29</v>
      </c>
      <c r="K942" s="50" t="s">
        <v>29</v>
      </c>
      <c r="L942" s="50" t="s">
        <v>29</v>
      </c>
      <c r="M942" s="50" t="s">
        <v>29</v>
      </c>
      <c r="N942" s="49"/>
      <c r="P942" s="19"/>
      <c r="Q942" s="18" t="str">
        <f ca="1">IFERROR(__xludf.DUMMYFUNCTION("""COMPUTED_VALUE"""),"")</f>
        <v/>
      </c>
      <c r="R942" s="19"/>
      <c r="S942" s="20"/>
      <c r="BP942" s="10"/>
      <c r="BW942" s="10"/>
      <c r="CF942" s="10"/>
      <c r="CM942" s="10"/>
      <c r="CP942" s="18" t="str">
        <f ca="1"/>
        <v/>
      </c>
      <c r="CQ942" s="18" t="str">
        <f ca="1"/>
        <v/>
      </c>
      <c r="CR942" s="18" t="str">
        <f ca="1"/>
        <v/>
      </c>
      <c r="CS942" s="18" t="str">
        <f ca="1"/>
        <v/>
      </c>
      <c r="CT942" s="18" t="str">
        <f ca="1"/>
        <v/>
      </c>
      <c r="CV942" s="10"/>
      <c r="CY942" s="18" t="str">
        <f ca="1"/>
        <v/>
      </c>
      <c r="CZ942" s="18" t="str">
        <f ca="1"/>
        <v/>
      </c>
      <c r="DA942" s="18" t="str">
        <f ca="1"/>
        <v/>
      </c>
      <c r="DC942" s="10"/>
    </row>
    <row r="943" spans="1:107" x14ac:dyDescent="0.25">
      <c r="A943" s="46"/>
      <c r="B943" s="52"/>
      <c r="C943" s="52"/>
      <c r="D943" s="16"/>
      <c r="E943" s="52"/>
      <c r="F943" s="52"/>
      <c r="G943" s="50"/>
      <c r="H943" s="17" t="str">
        <f ca="1">IFERROR(__xludf.DUMMYFUNCTION("""COMPUTED_VALUE"""),"")</f>
        <v/>
      </c>
      <c r="I943" s="50" t="s">
        <v>29</v>
      </c>
      <c r="J943" s="50" t="s">
        <v>29</v>
      </c>
      <c r="K943" s="50" t="s">
        <v>29</v>
      </c>
      <c r="L943" s="50" t="s">
        <v>29</v>
      </c>
      <c r="M943" s="50" t="s">
        <v>29</v>
      </c>
      <c r="N943" s="49"/>
      <c r="P943" s="19"/>
      <c r="Q943" s="18" t="str">
        <f ca="1">IFERROR(__xludf.DUMMYFUNCTION("""COMPUTED_VALUE"""),"")</f>
        <v/>
      </c>
      <c r="R943" s="19"/>
      <c r="S943" s="20"/>
      <c r="BP943" s="10"/>
      <c r="BW943" s="10"/>
      <c r="CF943" s="10"/>
      <c r="CM943" s="10"/>
      <c r="CP943" s="18" t="str">
        <f ca="1"/>
        <v/>
      </c>
      <c r="CQ943" s="18" t="str">
        <f ca="1"/>
        <v/>
      </c>
      <c r="CR943" s="18" t="str">
        <f ca="1"/>
        <v/>
      </c>
      <c r="CS943" s="18" t="str">
        <f ca="1"/>
        <v/>
      </c>
      <c r="CT943" s="18" t="str">
        <f ca="1"/>
        <v/>
      </c>
      <c r="CV943" s="10"/>
      <c r="CY943" s="18" t="str">
        <f ca="1"/>
        <v/>
      </c>
      <c r="CZ943" s="18" t="str">
        <f ca="1"/>
        <v/>
      </c>
      <c r="DA943" s="18" t="str">
        <f ca="1"/>
        <v/>
      </c>
      <c r="DC943" s="10"/>
    </row>
    <row r="944" spans="1:107" x14ac:dyDescent="0.25">
      <c r="A944" s="46"/>
      <c r="B944" s="52"/>
      <c r="C944" s="52"/>
      <c r="D944" s="16"/>
      <c r="E944" s="52"/>
      <c r="F944" s="52"/>
      <c r="G944" s="50"/>
      <c r="H944" s="17" t="str">
        <f ca="1">IFERROR(__xludf.DUMMYFUNCTION("""COMPUTED_VALUE"""),"")</f>
        <v/>
      </c>
      <c r="I944" s="50" t="s">
        <v>29</v>
      </c>
      <c r="J944" s="50" t="s">
        <v>29</v>
      </c>
      <c r="K944" s="50" t="s">
        <v>29</v>
      </c>
      <c r="L944" s="50" t="s">
        <v>29</v>
      </c>
      <c r="M944" s="50" t="s">
        <v>29</v>
      </c>
      <c r="N944" s="49"/>
      <c r="P944" s="19"/>
      <c r="Q944" s="18" t="str">
        <f ca="1">IFERROR(__xludf.DUMMYFUNCTION("""COMPUTED_VALUE"""),"")</f>
        <v/>
      </c>
      <c r="R944" s="19"/>
      <c r="S944" s="20"/>
      <c r="BP944" s="10"/>
      <c r="BW944" s="10"/>
      <c r="CF944" s="10"/>
      <c r="CM944" s="10"/>
      <c r="CP944" s="18" t="str">
        <f ca="1"/>
        <v/>
      </c>
      <c r="CQ944" s="18" t="str">
        <f ca="1"/>
        <v/>
      </c>
      <c r="CR944" s="18" t="str">
        <f ca="1"/>
        <v/>
      </c>
      <c r="CS944" s="18" t="str">
        <f ca="1"/>
        <v/>
      </c>
      <c r="CT944" s="18" t="str">
        <f ca="1"/>
        <v/>
      </c>
      <c r="CV944" s="10"/>
      <c r="CY944" s="18" t="str">
        <f ca="1"/>
        <v/>
      </c>
      <c r="CZ944" s="18" t="str">
        <f ca="1"/>
        <v/>
      </c>
      <c r="DA944" s="18" t="str">
        <f ca="1"/>
        <v/>
      </c>
      <c r="DC944" s="10"/>
    </row>
    <row r="945" spans="1:107" x14ac:dyDescent="0.25">
      <c r="A945" s="46"/>
      <c r="B945" s="52"/>
      <c r="C945" s="52"/>
      <c r="D945" s="16"/>
      <c r="E945" s="52"/>
      <c r="F945" s="52"/>
      <c r="G945" s="50"/>
      <c r="H945" s="17" t="str">
        <f ca="1">IFERROR(__xludf.DUMMYFUNCTION("""COMPUTED_VALUE"""),"")</f>
        <v/>
      </c>
      <c r="I945" s="50" t="s">
        <v>29</v>
      </c>
      <c r="J945" s="50" t="s">
        <v>29</v>
      </c>
      <c r="K945" s="50" t="s">
        <v>29</v>
      </c>
      <c r="L945" s="50" t="s">
        <v>29</v>
      </c>
      <c r="M945" s="50" t="s">
        <v>29</v>
      </c>
      <c r="N945" s="49"/>
      <c r="P945" s="19"/>
      <c r="Q945" s="18" t="str">
        <f ca="1">IFERROR(__xludf.DUMMYFUNCTION("""COMPUTED_VALUE"""),"")</f>
        <v/>
      </c>
      <c r="R945" s="19"/>
      <c r="S945" s="20"/>
      <c r="BP945" s="10"/>
      <c r="BW945" s="10"/>
      <c r="CF945" s="10"/>
      <c r="CM945" s="10"/>
      <c r="CP945" s="18" t="str">
        <f ca="1"/>
        <v/>
      </c>
      <c r="CQ945" s="18" t="str">
        <f ca="1"/>
        <v/>
      </c>
      <c r="CR945" s="18" t="str">
        <f ca="1"/>
        <v/>
      </c>
      <c r="CS945" s="18" t="str">
        <f ca="1"/>
        <v/>
      </c>
      <c r="CT945" s="18" t="str">
        <f ca="1"/>
        <v/>
      </c>
      <c r="CV945" s="10"/>
      <c r="CY945" s="18" t="str">
        <f ca="1"/>
        <v/>
      </c>
      <c r="CZ945" s="18" t="str">
        <f ca="1"/>
        <v/>
      </c>
      <c r="DA945" s="18" t="str">
        <f ca="1"/>
        <v/>
      </c>
      <c r="DC945" s="10"/>
    </row>
    <row r="946" spans="1:107" x14ac:dyDescent="0.25">
      <c r="A946" s="46"/>
      <c r="B946" s="52"/>
      <c r="C946" s="52"/>
      <c r="D946" s="16"/>
      <c r="E946" s="52"/>
      <c r="F946" s="52"/>
      <c r="G946" s="50"/>
      <c r="H946" s="17" t="str">
        <f ca="1">IFERROR(__xludf.DUMMYFUNCTION("""COMPUTED_VALUE"""),"")</f>
        <v/>
      </c>
      <c r="I946" s="50" t="s">
        <v>29</v>
      </c>
      <c r="J946" s="50" t="s">
        <v>29</v>
      </c>
      <c r="K946" s="50" t="s">
        <v>29</v>
      </c>
      <c r="L946" s="50" t="s">
        <v>29</v>
      </c>
      <c r="M946" s="50" t="s">
        <v>29</v>
      </c>
      <c r="N946" s="49"/>
      <c r="P946" s="19"/>
      <c r="Q946" s="18" t="str">
        <f ca="1">IFERROR(__xludf.DUMMYFUNCTION("""COMPUTED_VALUE"""),"")</f>
        <v/>
      </c>
      <c r="R946" s="19"/>
      <c r="S946" s="20"/>
      <c r="BP946" s="10"/>
      <c r="BW946" s="10"/>
      <c r="CF946" s="10"/>
      <c r="CM946" s="10"/>
      <c r="CP946" s="18" t="str">
        <f ca="1"/>
        <v/>
      </c>
      <c r="CQ946" s="18" t="str">
        <f ca="1"/>
        <v/>
      </c>
      <c r="CR946" s="18" t="str">
        <f ca="1"/>
        <v/>
      </c>
      <c r="CS946" s="18" t="str">
        <f ca="1"/>
        <v/>
      </c>
      <c r="CT946" s="18" t="str">
        <f ca="1"/>
        <v/>
      </c>
      <c r="CV946" s="10"/>
      <c r="CY946" s="18" t="str">
        <f ca="1"/>
        <v/>
      </c>
      <c r="CZ946" s="18" t="str">
        <f ca="1"/>
        <v/>
      </c>
      <c r="DA946" s="18" t="str">
        <f ca="1"/>
        <v/>
      </c>
      <c r="DC946" s="10"/>
    </row>
    <row r="947" spans="1:107" x14ac:dyDescent="0.25">
      <c r="A947" s="46"/>
      <c r="B947" s="52"/>
      <c r="C947" s="52"/>
      <c r="D947" s="16"/>
      <c r="E947" s="52"/>
      <c r="F947" s="52"/>
      <c r="G947" s="50"/>
      <c r="H947" s="17" t="str">
        <f ca="1">IFERROR(__xludf.DUMMYFUNCTION("""COMPUTED_VALUE"""),"")</f>
        <v/>
      </c>
      <c r="I947" s="50" t="s">
        <v>29</v>
      </c>
      <c r="J947" s="50" t="s">
        <v>29</v>
      </c>
      <c r="K947" s="50" t="s">
        <v>29</v>
      </c>
      <c r="L947" s="50" t="s">
        <v>29</v>
      </c>
      <c r="M947" s="50" t="s">
        <v>29</v>
      </c>
      <c r="N947" s="49"/>
      <c r="P947" s="19"/>
      <c r="Q947" s="18" t="str">
        <f ca="1">IFERROR(__xludf.DUMMYFUNCTION("""COMPUTED_VALUE"""),"")</f>
        <v/>
      </c>
      <c r="R947" s="19"/>
      <c r="S947" s="20"/>
      <c r="BP947" s="10"/>
      <c r="BW947" s="10"/>
      <c r="CF947" s="10"/>
      <c r="CM947" s="10"/>
      <c r="CP947" s="18" t="str">
        <f ca="1"/>
        <v/>
      </c>
      <c r="CQ947" s="18" t="str">
        <f ca="1"/>
        <v/>
      </c>
      <c r="CR947" s="18" t="str">
        <f ca="1"/>
        <v/>
      </c>
      <c r="CS947" s="18" t="str">
        <f ca="1"/>
        <v/>
      </c>
      <c r="CT947" s="18" t="str">
        <f ca="1"/>
        <v/>
      </c>
      <c r="CV947" s="10"/>
      <c r="CY947" s="18" t="str">
        <f ca="1"/>
        <v/>
      </c>
      <c r="CZ947" s="18" t="str">
        <f ca="1"/>
        <v/>
      </c>
      <c r="DA947" s="18" t="str">
        <f ca="1"/>
        <v/>
      </c>
      <c r="DC947" s="10"/>
    </row>
    <row r="948" spans="1:107" x14ac:dyDescent="0.25">
      <c r="A948" s="46"/>
      <c r="B948" s="52"/>
      <c r="C948" s="52"/>
      <c r="D948" s="16"/>
      <c r="E948" s="52"/>
      <c r="F948" s="52"/>
      <c r="G948" s="50"/>
      <c r="H948" s="17" t="str">
        <f ca="1">IFERROR(__xludf.DUMMYFUNCTION("""COMPUTED_VALUE"""),"")</f>
        <v/>
      </c>
      <c r="I948" s="50" t="s">
        <v>29</v>
      </c>
      <c r="J948" s="50" t="s">
        <v>29</v>
      </c>
      <c r="K948" s="50" t="s">
        <v>29</v>
      </c>
      <c r="L948" s="50" t="s">
        <v>29</v>
      </c>
      <c r="M948" s="50" t="s">
        <v>29</v>
      </c>
      <c r="N948" s="49"/>
      <c r="P948" s="19"/>
      <c r="Q948" s="18" t="str">
        <f ca="1">IFERROR(__xludf.DUMMYFUNCTION("""COMPUTED_VALUE"""),"")</f>
        <v/>
      </c>
      <c r="R948" s="19"/>
      <c r="S948" s="20"/>
      <c r="BP948" s="10"/>
      <c r="BW948" s="10"/>
      <c r="CF948" s="10"/>
      <c r="CM948" s="10"/>
      <c r="CP948" s="18" t="str">
        <f ca="1"/>
        <v/>
      </c>
      <c r="CQ948" s="18" t="str">
        <f ca="1"/>
        <v/>
      </c>
      <c r="CR948" s="18" t="str">
        <f ca="1"/>
        <v/>
      </c>
      <c r="CS948" s="18" t="str">
        <f ca="1"/>
        <v/>
      </c>
      <c r="CT948" s="18" t="str">
        <f ca="1"/>
        <v/>
      </c>
      <c r="CV948" s="10"/>
      <c r="CY948" s="18" t="str">
        <f ca="1"/>
        <v/>
      </c>
      <c r="CZ948" s="18" t="str">
        <f ca="1"/>
        <v/>
      </c>
      <c r="DA948" s="18" t="str">
        <f ca="1"/>
        <v/>
      </c>
      <c r="DC948" s="10"/>
    </row>
    <row r="949" spans="1:107" x14ac:dyDescent="0.25">
      <c r="A949" s="46"/>
      <c r="B949" s="52"/>
      <c r="C949" s="52"/>
      <c r="D949" s="16"/>
      <c r="E949" s="52"/>
      <c r="F949" s="52"/>
      <c r="G949" s="50"/>
      <c r="H949" s="17" t="str">
        <f ca="1">IFERROR(__xludf.DUMMYFUNCTION("""COMPUTED_VALUE"""),"")</f>
        <v/>
      </c>
      <c r="I949" s="50" t="s">
        <v>29</v>
      </c>
      <c r="J949" s="50" t="s">
        <v>29</v>
      </c>
      <c r="K949" s="50" t="s">
        <v>29</v>
      </c>
      <c r="L949" s="50" t="s">
        <v>29</v>
      </c>
      <c r="M949" s="50" t="s">
        <v>29</v>
      </c>
      <c r="N949" s="49"/>
      <c r="P949" s="19"/>
      <c r="Q949" s="18" t="str">
        <f ca="1">IFERROR(__xludf.DUMMYFUNCTION("""COMPUTED_VALUE"""),"")</f>
        <v/>
      </c>
      <c r="R949" s="19"/>
      <c r="S949" s="20"/>
      <c r="BP949" s="10"/>
      <c r="BW949" s="10"/>
      <c r="CF949" s="10"/>
      <c r="CM949" s="10"/>
      <c r="CP949" s="18" t="str">
        <f ca="1"/>
        <v/>
      </c>
      <c r="CQ949" s="18" t="str">
        <f ca="1"/>
        <v/>
      </c>
      <c r="CR949" s="18" t="str">
        <f ca="1"/>
        <v/>
      </c>
      <c r="CS949" s="18" t="str">
        <f ca="1"/>
        <v/>
      </c>
      <c r="CT949" s="18" t="str">
        <f ca="1"/>
        <v/>
      </c>
      <c r="CV949" s="10"/>
      <c r="CY949" s="18" t="str">
        <f ca="1"/>
        <v/>
      </c>
      <c r="CZ949" s="18" t="str">
        <f ca="1"/>
        <v/>
      </c>
      <c r="DA949" s="18" t="str">
        <f ca="1"/>
        <v/>
      </c>
      <c r="DC949" s="10"/>
    </row>
    <row r="950" spans="1:107" x14ac:dyDescent="0.25">
      <c r="A950" s="46"/>
      <c r="B950" s="52"/>
      <c r="C950" s="52"/>
      <c r="D950" s="16"/>
      <c r="E950" s="52"/>
      <c r="F950" s="52"/>
      <c r="G950" s="50"/>
      <c r="H950" s="17" t="str">
        <f ca="1">IFERROR(__xludf.DUMMYFUNCTION("""COMPUTED_VALUE"""),"")</f>
        <v/>
      </c>
      <c r="I950" s="50" t="s">
        <v>29</v>
      </c>
      <c r="J950" s="50" t="s">
        <v>29</v>
      </c>
      <c r="K950" s="50" t="s">
        <v>29</v>
      </c>
      <c r="L950" s="50" t="s">
        <v>29</v>
      </c>
      <c r="M950" s="50" t="s">
        <v>29</v>
      </c>
      <c r="N950" s="49"/>
      <c r="P950" s="19"/>
      <c r="Q950" s="18" t="str">
        <f ca="1">IFERROR(__xludf.DUMMYFUNCTION("""COMPUTED_VALUE"""),"")</f>
        <v/>
      </c>
      <c r="R950" s="19"/>
      <c r="S950" s="20"/>
      <c r="BP950" s="10"/>
      <c r="BW950" s="10"/>
      <c r="CF950" s="10"/>
      <c r="CM950" s="10"/>
      <c r="CP950" s="18" t="str">
        <f ca="1"/>
        <v/>
      </c>
      <c r="CQ950" s="18" t="str">
        <f ca="1"/>
        <v/>
      </c>
      <c r="CR950" s="18" t="str">
        <f ca="1"/>
        <v/>
      </c>
      <c r="CS950" s="18" t="str">
        <f ca="1"/>
        <v/>
      </c>
      <c r="CT950" s="18" t="str">
        <f ca="1"/>
        <v/>
      </c>
      <c r="CV950" s="10"/>
      <c r="CY950" s="18" t="str">
        <f ca="1"/>
        <v/>
      </c>
      <c r="CZ950" s="18" t="str">
        <f ca="1"/>
        <v/>
      </c>
      <c r="DA950" s="18" t="str">
        <f ca="1"/>
        <v/>
      </c>
      <c r="DC950" s="10"/>
    </row>
    <row r="951" spans="1:107" x14ac:dyDescent="0.25">
      <c r="A951" s="46"/>
      <c r="B951" s="52"/>
      <c r="C951" s="52"/>
      <c r="D951" s="16"/>
      <c r="E951" s="52"/>
      <c r="F951" s="52"/>
      <c r="G951" s="50"/>
      <c r="H951" s="17" t="str">
        <f ca="1">IFERROR(__xludf.DUMMYFUNCTION("""COMPUTED_VALUE"""),"")</f>
        <v/>
      </c>
      <c r="I951" s="50" t="s">
        <v>29</v>
      </c>
      <c r="J951" s="50" t="s">
        <v>29</v>
      </c>
      <c r="K951" s="50" t="s">
        <v>29</v>
      </c>
      <c r="L951" s="50" t="s">
        <v>29</v>
      </c>
      <c r="M951" s="50" t="s">
        <v>29</v>
      </c>
      <c r="N951" s="49"/>
      <c r="P951" s="19"/>
      <c r="Q951" s="18" t="str">
        <f ca="1">IFERROR(__xludf.DUMMYFUNCTION("""COMPUTED_VALUE"""),"")</f>
        <v/>
      </c>
      <c r="R951" s="19"/>
      <c r="S951" s="20"/>
      <c r="BP951" s="10"/>
      <c r="BW951" s="10"/>
      <c r="CF951" s="10"/>
      <c r="CM951" s="10"/>
      <c r="CP951" s="18" t="str">
        <f ca="1"/>
        <v/>
      </c>
      <c r="CQ951" s="18" t="str">
        <f ca="1"/>
        <v/>
      </c>
      <c r="CR951" s="18" t="str">
        <f ca="1"/>
        <v/>
      </c>
      <c r="CS951" s="18" t="str">
        <f ca="1"/>
        <v/>
      </c>
      <c r="CT951" s="18" t="str">
        <f ca="1"/>
        <v/>
      </c>
      <c r="CV951" s="10"/>
      <c r="CY951" s="18" t="str">
        <f ca="1"/>
        <v/>
      </c>
      <c r="CZ951" s="18" t="str">
        <f ca="1"/>
        <v/>
      </c>
      <c r="DA951" s="18" t="str">
        <f ca="1"/>
        <v/>
      </c>
      <c r="DC951" s="10"/>
    </row>
    <row r="952" spans="1:107" x14ac:dyDescent="0.25">
      <c r="A952" s="46"/>
      <c r="B952" s="52"/>
      <c r="C952" s="52"/>
      <c r="D952" s="16"/>
      <c r="E952" s="52"/>
      <c r="F952" s="52"/>
      <c r="G952" s="50"/>
      <c r="H952" s="17" t="str">
        <f ca="1">IFERROR(__xludf.DUMMYFUNCTION("""COMPUTED_VALUE"""),"")</f>
        <v/>
      </c>
      <c r="I952" s="50" t="s">
        <v>29</v>
      </c>
      <c r="J952" s="50" t="s">
        <v>29</v>
      </c>
      <c r="K952" s="50" t="s">
        <v>29</v>
      </c>
      <c r="L952" s="50" t="s">
        <v>29</v>
      </c>
      <c r="M952" s="50" t="s">
        <v>29</v>
      </c>
      <c r="N952" s="49"/>
      <c r="P952" s="19"/>
      <c r="Q952" s="18" t="str">
        <f ca="1">IFERROR(__xludf.DUMMYFUNCTION("""COMPUTED_VALUE"""),"")</f>
        <v/>
      </c>
      <c r="R952" s="19"/>
      <c r="S952" s="20"/>
      <c r="BP952" s="10"/>
      <c r="BW952" s="10"/>
      <c r="CF952" s="10"/>
      <c r="CM952" s="10"/>
      <c r="CP952" s="18" t="str">
        <f ca="1"/>
        <v/>
      </c>
      <c r="CQ952" s="18" t="str">
        <f ca="1"/>
        <v/>
      </c>
      <c r="CR952" s="18" t="str">
        <f ca="1"/>
        <v/>
      </c>
      <c r="CS952" s="18" t="str">
        <f ca="1"/>
        <v/>
      </c>
      <c r="CT952" s="18" t="str">
        <f ca="1"/>
        <v/>
      </c>
      <c r="CV952" s="10"/>
      <c r="CY952" s="18" t="str">
        <f ca="1"/>
        <v/>
      </c>
      <c r="CZ952" s="18" t="str">
        <f ca="1"/>
        <v/>
      </c>
      <c r="DA952" s="18" t="str">
        <f ca="1"/>
        <v/>
      </c>
      <c r="DC952" s="10"/>
    </row>
    <row r="953" spans="1:107" x14ac:dyDescent="0.25">
      <c r="A953" s="46"/>
      <c r="B953" s="52"/>
      <c r="C953" s="52"/>
      <c r="D953" s="16"/>
      <c r="E953" s="52"/>
      <c r="F953" s="52"/>
      <c r="G953" s="50"/>
      <c r="H953" s="17" t="str">
        <f ca="1">IFERROR(__xludf.DUMMYFUNCTION("""COMPUTED_VALUE"""),"")</f>
        <v/>
      </c>
      <c r="I953" s="50" t="s">
        <v>29</v>
      </c>
      <c r="J953" s="50" t="s">
        <v>29</v>
      </c>
      <c r="K953" s="50" t="s">
        <v>29</v>
      </c>
      <c r="L953" s="50" t="s">
        <v>29</v>
      </c>
      <c r="M953" s="50" t="s">
        <v>29</v>
      </c>
      <c r="N953" s="49"/>
      <c r="P953" s="19"/>
      <c r="Q953" s="18" t="str">
        <f ca="1">IFERROR(__xludf.DUMMYFUNCTION("""COMPUTED_VALUE"""),"")</f>
        <v/>
      </c>
      <c r="R953" s="19"/>
      <c r="S953" s="20"/>
      <c r="BP953" s="10"/>
      <c r="BW953" s="10"/>
      <c r="CF953" s="10"/>
      <c r="CM953" s="10"/>
      <c r="CP953" s="18" t="str">
        <f ca="1"/>
        <v/>
      </c>
      <c r="CQ953" s="18" t="str">
        <f ca="1"/>
        <v/>
      </c>
      <c r="CR953" s="18" t="str">
        <f ca="1"/>
        <v/>
      </c>
      <c r="CS953" s="18" t="str">
        <f ca="1"/>
        <v/>
      </c>
      <c r="CT953" s="18" t="str">
        <f ca="1"/>
        <v/>
      </c>
      <c r="CV953" s="10"/>
      <c r="CY953" s="18" t="str">
        <f ca="1"/>
        <v/>
      </c>
      <c r="CZ953" s="18" t="str">
        <f ca="1"/>
        <v/>
      </c>
      <c r="DA953" s="18" t="str">
        <f ca="1"/>
        <v/>
      </c>
      <c r="DC953" s="10"/>
    </row>
    <row r="954" spans="1:107" x14ac:dyDescent="0.25">
      <c r="A954" s="46"/>
      <c r="B954" s="52"/>
      <c r="C954" s="52"/>
      <c r="D954" s="16"/>
      <c r="E954" s="52"/>
      <c r="F954" s="52"/>
      <c r="G954" s="50"/>
      <c r="H954" s="17" t="str">
        <f ca="1">IFERROR(__xludf.DUMMYFUNCTION("""COMPUTED_VALUE"""),"")</f>
        <v/>
      </c>
      <c r="I954" s="50" t="s">
        <v>29</v>
      </c>
      <c r="J954" s="50" t="s">
        <v>29</v>
      </c>
      <c r="K954" s="50" t="s">
        <v>29</v>
      </c>
      <c r="L954" s="50" t="s">
        <v>29</v>
      </c>
      <c r="M954" s="50" t="s">
        <v>29</v>
      </c>
      <c r="N954" s="49"/>
      <c r="P954" s="19"/>
      <c r="Q954" s="18" t="str">
        <f ca="1">IFERROR(__xludf.DUMMYFUNCTION("""COMPUTED_VALUE"""),"")</f>
        <v/>
      </c>
      <c r="R954" s="19"/>
      <c r="S954" s="20"/>
      <c r="BP954" s="10"/>
      <c r="BW954" s="10"/>
      <c r="CF954" s="10"/>
      <c r="CM954" s="10"/>
      <c r="CP954" s="18" t="str">
        <f ca="1"/>
        <v/>
      </c>
      <c r="CQ954" s="18" t="str">
        <f ca="1"/>
        <v/>
      </c>
      <c r="CR954" s="18" t="str">
        <f ca="1"/>
        <v/>
      </c>
      <c r="CS954" s="18" t="str">
        <f ca="1"/>
        <v/>
      </c>
      <c r="CT954" s="18" t="str">
        <f ca="1"/>
        <v/>
      </c>
      <c r="CV954" s="10"/>
      <c r="CY954" s="18" t="str">
        <f ca="1"/>
        <v/>
      </c>
      <c r="CZ954" s="18" t="str">
        <f ca="1"/>
        <v/>
      </c>
      <c r="DA954" s="18" t="str">
        <f ca="1"/>
        <v/>
      </c>
      <c r="DC954" s="10"/>
    </row>
    <row r="955" spans="1:107" x14ac:dyDescent="0.25">
      <c r="A955" s="46"/>
      <c r="B955" s="52"/>
      <c r="C955" s="52"/>
      <c r="D955" s="16"/>
      <c r="E955" s="52"/>
      <c r="F955" s="52"/>
      <c r="G955" s="50"/>
      <c r="H955" s="17" t="str">
        <f ca="1">IFERROR(__xludf.DUMMYFUNCTION("""COMPUTED_VALUE"""),"")</f>
        <v/>
      </c>
      <c r="I955" s="50" t="s">
        <v>29</v>
      </c>
      <c r="J955" s="50" t="s">
        <v>29</v>
      </c>
      <c r="K955" s="50" t="s">
        <v>29</v>
      </c>
      <c r="L955" s="50" t="s">
        <v>29</v>
      </c>
      <c r="M955" s="50" t="s">
        <v>29</v>
      </c>
      <c r="N955" s="49"/>
      <c r="P955" s="19"/>
      <c r="Q955" s="18" t="str">
        <f ca="1">IFERROR(__xludf.DUMMYFUNCTION("""COMPUTED_VALUE"""),"")</f>
        <v/>
      </c>
      <c r="R955" s="19"/>
      <c r="S955" s="20"/>
      <c r="BP955" s="10"/>
      <c r="BW955" s="10"/>
      <c r="CF955" s="10"/>
      <c r="CM955" s="10"/>
      <c r="CP955" s="18" t="str">
        <f ca="1"/>
        <v/>
      </c>
      <c r="CQ955" s="18" t="str">
        <f ca="1"/>
        <v/>
      </c>
      <c r="CR955" s="18" t="str">
        <f ca="1"/>
        <v/>
      </c>
      <c r="CS955" s="18" t="str">
        <f ca="1"/>
        <v/>
      </c>
      <c r="CT955" s="18" t="str">
        <f ca="1"/>
        <v/>
      </c>
      <c r="CV955" s="10"/>
      <c r="CY955" s="18" t="str">
        <f ca="1"/>
        <v/>
      </c>
      <c r="CZ955" s="18" t="str">
        <f ca="1"/>
        <v/>
      </c>
      <c r="DA955" s="18" t="str">
        <f ca="1"/>
        <v/>
      </c>
      <c r="DC955" s="10"/>
    </row>
    <row r="956" spans="1:107" x14ac:dyDescent="0.25">
      <c r="A956" s="46"/>
      <c r="B956" s="52"/>
      <c r="C956" s="52"/>
      <c r="D956" s="16"/>
      <c r="E956" s="52"/>
      <c r="F956" s="52"/>
      <c r="G956" s="50"/>
      <c r="H956" s="17" t="str">
        <f ca="1">IFERROR(__xludf.DUMMYFUNCTION("""COMPUTED_VALUE"""),"")</f>
        <v/>
      </c>
      <c r="I956" s="50" t="s">
        <v>29</v>
      </c>
      <c r="J956" s="50" t="s">
        <v>29</v>
      </c>
      <c r="K956" s="50" t="s">
        <v>29</v>
      </c>
      <c r="L956" s="50" t="s">
        <v>29</v>
      </c>
      <c r="M956" s="50" t="s">
        <v>29</v>
      </c>
      <c r="N956" s="49"/>
      <c r="P956" s="19"/>
      <c r="Q956" s="18" t="str">
        <f ca="1">IFERROR(__xludf.DUMMYFUNCTION("""COMPUTED_VALUE"""),"")</f>
        <v/>
      </c>
      <c r="R956" s="19"/>
      <c r="S956" s="20"/>
      <c r="BP956" s="10"/>
      <c r="BW956" s="10"/>
      <c r="CF956" s="10"/>
      <c r="CM956" s="10"/>
      <c r="CP956" s="18" t="str">
        <f ca="1"/>
        <v/>
      </c>
      <c r="CQ956" s="18" t="str">
        <f ca="1"/>
        <v/>
      </c>
      <c r="CR956" s="18" t="str">
        <f ca="1"/>
        <v/>
      </c>
      <c r="CS956" s="18" t="str">
        <f ca="1"/>
        <v/>
      </c>
      <c r="CT956" s="18" t="str">
        <f ca="1"/>
        <v/>
      </c>
      <c r="CV956" s="10"/>
      <c r="CY956" s="18" t="str">
        <f ca="1"/>
        <v/>
      </c>
      <c r="CZ956" s="18" t="str">
        <f ca="1"/>
        <v/>
      </c>
      <c r="DA956" s="18" t="str">
        <f ca="1"/>
        <v/>
      </c>
      <c r="DC956" s="10"/>
    </row>
    <row r="957" spans="1:107" x14ac:dyDescent="0.25">
      <c r="A957" s="46"/>
      <c r="B957" s="52"/>
      <c r="C957" s="52"/>
      <c r="D957" s="16"/>
      <c r="E957" s="52"/>
      <c r="F957" s="52"/>
      <c r="G957" s="50"/>
      <c r="H957" s="17" t="str">
        <f ca="1">IFERROR(__xludf.DUMMYFUNCTION("""COMPUTED_VALUE"""),"")</f>
        <v/>
      </c>
      <c r="I957" s="50" t="s">
        <v>29</v>
      </c>
      <c r="J957" s="50" t="s">
        <v>29</v>
      </c>
      <c r="K957" s="50" t="s">
        <v>29</v>
      </c>
      <c r="L957" s="50" t="s">
        <v>29</v>
      </c>
      <c r="M957" s="50" t="s">
        <v>29</v>
      </c>
      <c r="N957" s="49"/>
      <c r="P957" s="19"/>
      <c r="Q957" s="18" t="str">
        <f ca="1">IFERROR(__xludf.DUMMYFUNCTION("""COMPUTED_VALUE"""),"")</f>
        <v/>
      </c>
      <c r="R957" s="19"/>
      <c r="S957" s="20"/>
      <c r="BP957" s="10"/>
      <c r="BW957" s="10"/>
      <c r="CF957" s="10"/>
      <c r="CM957" s="10"/>
      <c r="CP957" s="18" t="str">
        <f ca="1"/>
        <v/>
      </c>
      <c r="CQ957" s="18" t="str">
        <f ca="1"/>
        <v/>
      </c>
      <c r="CR957" s="18" t="str">
        <f ca="1"/>
        <v/>
      </c>
      <c r="CS957" s="18" t="str">
        <f ca="1"/>
        <v/>
      </c>
      <c r="CT957" s="18" t="str">
        <f ca="1"/>
        <v/>
      </c>
      <c r="CV957" s="10"/>
      <c r="CY957" s="18" t="str">
        <f ca="1"/>
        <v/>
      </c>
      <c r="CZ957" s="18" t="str">
        <f ca="1"/>
        <v/>
      </c>
      <c r="DA957" s="18" t="str">
        <f ca="1"/>
        <v/>
      </c>
      <c r="DC957" s="10"/>
    </row>
    <row r="958" spans="1:107" x14ac:dyDescent="0.25">
      <c r="A958" s="46"/>
      <c r="B958" s="52"/>
      <c r="C958" s="52"/>
      <c r="D958" s="16"/>
      <c r="E958" s="52"/>
      <c r="F958" s="52"/>
      <c r="G958" s="50"/>
      <c r="H958" s="17" t="str">
        <f ca="1">IFERROR(__xludf.DUMMYFUNCTION("""COMPUTED_VALUE"""),"")</f>
        <v/>
      </c>
      <c r="I958" s="50" t="s">
        <v>29</v>
      </c>
      <c r="J958" s="50" t="s">
        <v>29</v>
      </c>
      <c r="K958" s="50" t="s">
        <v>29</v>
      </c>
      <c r="L958" s="50" t="s">
        <v>29</v>
      </c>
      <c r="M958" s="50" t="s">
        <v>29</v>
      </c>
      <c r="N958" s="49"/>
      <c r="P958" s="19"/>
      <c r="Q958" s="18" t="str">
        <f ca="1">IFERROR(__xludf.DUMMYFUNCTION("""COMPUTED_VALUE"""),"")</f>
        <v/>
      </c>
      <c r="R958" s="19"/>
      <c r="S958" s="20"/>
      <c r="BP958" s="10"/>
      <c r="BW958" s="10"/>
      <c r="CF958" s="10"/>
      <c r="CM958" s="10"/>
      <c r="CP958" s="18" t="str">
        <f ca="1"/>
        <v/>
      </c>
      <c r="CQ958" s="18" t="str">
        <f ca="1"/>
        <v/>
      </c>
      <c r="CR958" s="18" t="str">
        <f ca="1"/>
        <v/>
      </c>
      <c r="CS958" s="18" t="str">
        <f ca="1"/>
        <v/>
      </c>
      <c r="CT958" s="18" t="str">
        <f ca="1"/>
        <v/>
      </c>
      <c r="CV958" s="10"/>
      <c r="CY958" s="18" t="str">
        <f ca="1"/>
        <v/>
      </c>
      <c r="CZ958" s="18" t="str">
        <f ca="1"/>
        <v/>
      </c>
      <c r="DA958" s="18" t="str">
        <f ca="1"/>
        <v/>
      </c>
      <c r="DC958" s="10"/>
    </row>
    <row r="959" spans="1:107" x14ac:dyDescent="0.25">
      <c r="A959" s="46"/>
      <c r="B959" s="52"/>
      <c r="C959" s="52"/>
      <c r="D959" s="16"/>
      <c r="E959" s="52"/>
      <c r="F959" s="52"/>
      <c r="G959" s="50"/>
      <c r="H959" s="17" t="str">
        <f ca="1">IFERROR(__xludf.DUMMYFUNCTION("""COMPUTED_VALUE"""),"")</f>
        <v/>
      </c>
      <c r="I959" s="50" t="s">
        <v>29</v>
      </c>
      <c r="J959" s="50" t="s">
        <v>29</v>
      </c>
      <c r="K959" s="50" t="s">
        <v>29</v>
      </c>
      <c r="L959" s="50" t="s">
        <v>29</v>
      </c>
      <c r="M959" s="50" t="s">
        <v>29</v>
      </c>
      <c r="N959" s="49"/>
      <c r="P959" s="19"/>
      <c r="Q959" s="18" t="str">
        <f ca="1">IFERROR(__xludf.DUMMYFUNCTION("""COMPUTED_VALUE"""),"")</f>
        <v/>
      </c>
      <c r="R959" s="19"/>
      <c r="S959" s="20"/>
      <c r="BP959" s="10"/>
      <c r="BW959" s="10"/>
      <c r="CF959" s="10"/>
      <c r="CM959" s="10"/>
      <c r="CP959" s="18" t="str">
        <f ca="1"/>
        <v/>
      </c>
      <c r="CQ959" s="18" t="str">
        <f ca="1"/>
        <v/>
      </c>
      <c r="CR959" s="18" t="str">
        <f ca="1"/>
        <v/>
      </c>
      <c r="CS959" s="18" t="str">
        <f ca="1"/>
        <v/>
      </c>
      <c r="CT959" s="18" t="str">
        <f ca="1"/>
        <v/>
      </c>
      <c r="CV959" s="10"/>
      <c r="CY959" s="18" t="str">
        <f ca="1"/>
        <v/>
      </c>
      <c r="CZ959" s="18" t="str">
        <f ca="1"/>
        <v/>
      </c>
      <c r="DA959" s="18" t="str">
        <f ca="1"/>
        <v/>
      </c>
      <c r="DC959" s="10"/>
    </row>
    <row r="960" spans="1:107" x14ac:dyDescent="0.25">
      <c r="A960" s="46"/>
      <c r="B960" s="52"/>
      <c r="C960" s="52"/>
      <c r="D960" s="16"/>
      <c r="E960" s="52"/>
      <c r="F960" s="52"/>
      <c r="G960" s="50"/>
      <c r="H960" s="17" t="str">
        <f ca="1">IFERROR(__xludf.DUMMYFUNCTION("""COMPUTED_VALUE"""),"")</f>
        <v/>
      </c>
      <c r="I960" s="50" t="s">
        <v>29</v>
      </c>
      <c r="J960" s="50" t="s">
        <v>29</v>
      </c>
      <c r="K960" s="50" t="s">
        <v>29</v>
      </c>
      <c r="L960" s="50" t="s">
        <v>29</v>
      </c>
      <c r="M960" s="50" t="s">
        <v>29</v>
      </c>
      <c r="N960" s="49"/>
      <c r="P960" s="19"/>
      <c r="Q960" s="18" t="str">
        <f ca="1">IFERROR(__xludf.DUMMYFUNCTION("""COMPUTED_VALUE"""),"")</f>
        <v/>
      </c>
      <c r="R960" s="19"/>
      <c r="S960" s="20"/>
      <c r="BP960" s="10"/>
      <c r="BW960" s="10"/>
      <c r="CF960" s="10"/>
      <c r="CM960" s="10"/>
      <c r="CP960" s="18" t="str">
        <f ca="1"/>
        <v/>
      </c>
      <c r="CQ960" s="18" t="str">
        <f ca="1"/>
        <v/>
      </c>
      <c r="CR960" s="18" t="str">
        <f ca="1"/>
        <v/>
      </c>
      <c r="CS960" s="18" t="str">
        <f ca="1"/>
        <v/>
      </c>
      <c r="CT960" s="18" t="str">
        <f ca="1"/>
        <v/>
      </c>
      <c r="CV960" s="10"/>
      <c r="CY960" s="18" t="str">
        <f ca="1"/>
        <v/>
      </c>
      <c r="CZ960" s="18" t="str">
        <f ca="1"/>
        <v/>
      </c>
      <c r="DA960" s="18" t="str">
        <f ca="1"/>
        <v/>
      </c>
      <c r="DC960" s="10"/>
    </row>
    <row r="961" spans="1:107" x14ac:dyDescent="0.25">
      <c r="A961" s="46"/>
      <c r="B961" s="52"/>
      <c r="C961" s="52"/>
      <c r="D961" s="16"/>
      <c r="E961" s="52"/>
      <c r="F961" s="52"/>
      <c r="G961" s="50"/>
      <c r="H961" s="17" t="str">
        <f ca="1">IFERROR(__xludf.DUMMYFUNCTION("""COMPUTED_VALUE"""),"")</f>
        <v/>
      </c>
      <c r="I961" s="50" t="s">
        <v>29</v>
      </c>
      <c r="J961" s="50" t="s">
        <v>29</v>
      </c>
      <c r="K961" s="50" t="s">
        <v>29</v>
      </c>
      <c r="L961" s="50" t="s">
        <v>29</v>
      </c>
      <c r="M961" s="50" t="s">
        <v>29</v>
      </c>
      <c r="N961" s="49"/>
      <c r="P961" s="19"/>
      <c r="Q961" s="18" t="str">
        <f ca="1">IFERROR(__xludf.DUMMYFUNCTION("""COMPUTED_VALUE"""),"")</f>
        <v/>
      </c>
      <c r="R961" s="19"/>
      <c r="S961" s="20"/>
      <c r="BP961" s="10"/>
      <c r="BW961" s="10"/>
      <c r="CF961" s="10"/>
      <c r="CM961" s="10"/>
      <c r="CP961" s="18" t="str">
        <f ca="1"/>
        <v/>
      </c>
      <c r="CQ961" s="18" t="str">
        <f ca="1"/>
        <v/>
      </c>
      <c r="CR961" s="18" t="str">
        <f ca="1"/>
        <v/>
      </c>
      <c r="CS961" s="18" t="str">
        <f ca="1"/>
        <v/>
      </c>
      <c r="CT961" s="18" t="str">
        <f ca="1"/>
        <v/>
      </c>
      <c r="CV961" s="10"/>
      <c r="CY961" s="18" t="str">
        <f ca="1"/>
        <v/>
      </c>
      <c r="CZ961" s="18" t="str">
        <f ca="1"/>
        <v/>
      </c>
      <c r="DA961" s="18" t="str">
        <f ca="1"/>
        <v/>
      </c>
      <c r="DC961" s="10"/>
    </row>
    <row r="962" spans="1:107" x14ac:dyDescent="0.25">
      <c r="A962" s="46"/>
      <c r="B962" s="52"/>
      <c r="C962" s="52"/>
      <c r="D962" s="16"/>
      <c r="E962" s="52"/>
      <c r="F962" s="52"/>
      <c r="G962" s="50"/>
      <c r="H962" s="17" t="str">
        <f ca="1">IFERROR(__xludf.DUMMYFUNCTION("""COMPUTED_VALUE"""),"")</f>
        <v/>
      </c>
      <c r="I962" s="50" t="s">
        <v>29</v>
      </c>
      <c r="J962" s="50" t="s">
        <v>29</v>
      </c>
      <c r="K962" s="50" t="s">
        <v>29</v>
      </c>
      <c r="L962" s="50" t="s">
        <v>29</v>
      </c>
      <c r="M962" s="50" t="s">
        <v>29</v>
      </c>
      <c r="N962" s="49"/>
      <c r="P962" s="19"/>
      <c r="Q962" s="18" t="str">
        <f ca="1">IFERROR(__xludf.DUMMYFUNCTION("""COMPUTED_VALUE"""),"")</f>
        <v/>
      </c>
      <c r="R962" s="19"/>
      <c r="S962" s="20"/>
      <c r="BP962" s="10"/>
      <c r="BW962" s="10"/>
      <c r="CF962" s="10"/>
      <c r="CM962" s="10"/>
      <c r="CP962" s="18" t="str">
        <f ca="1"/>
        <v/>
      </c>
      <c r="CQ962" s="18" t="str">
        <f ca="1"/>
        <v/>
      </c>
      <c r="CR962" s="18" t="str">
        <f ca="1"/>
        <v/>
      </c>
      <c r="CS962" s="18" t="str">
        <f ca="1"/>
        <v/>
      </c>
      <c r="CT962" s="18" t="str">
        <f ca="1"/>
        <v/>
      </c>
      <c r="CV962" s="10"/>
      <c r="CY962" s="18" t="str">
        <f ca="1"/>
        <v/>
      </c>
      <c r="CZ962" s="18" t="str">
        <f ca="1"/>
        <v/>
      </c>
      <c r="DA962" s="18" t="str">
        <f ca="1"/>
        <v/>
      </c>
      <c r="DC962" s="10"/>
    </row>
    <row r="963" spans="1:107" x14ac:dyDescent="0.25">
      <c r="A963" s="46"/>
      <c r="B963" s="52"/>
      <c r="C963" s="52"/>
      <c r="D963" s="16"/>
      <c r="E963" s="52"/>
      <c r="F963" s="52"/>
      <c r="G963" s="50"/>
      <c r="H963" s="17" t="str">
        <f ca="1">IFERROR(__xludf.DUMMYFUNCTION("""COMPUTED_VALUE"""),"")</f>
        <v/>
      </c>
      <c r="I963" s="50" t="s">
        <v>29</v>
      </c>
      <c r="J963" s="50" t="s">
        <v>29</v>
      </c>
      <c r="K963" s="50" t="s">
        <v>29</v>
      </c>
      <c r="L963" s="50" t="s">
        <v>29</v>
      </c>
      <c r="M963" s="50" t="s">
        <v>29</v>
      </c>
      <c r="N963" s="49"/>
      <c r="P963" s="19"/>
      <c r="Q963" s="18" t="str">
        <f ca="1">IFERROR(__xludf.DUMMYFUNCTION("""COMPUTED_VALUE"""),"")</f>
        <v/>
      </c>
      <c r="R963" s="19"/>
      <c r="S963" s="20"/>
      <c r="BP963" s="10"/>
      <c r="BW963" s="10"/>
      <c r="CF963" s="10"/>
      <c r="CM963" s="10"/>
      <c r="CP963" s="18" t="str">
        <f ca="1"/>
        <v/>
      </c>
      <c r="CQ963" s="18" t="str">
        <f ca="1"/>
        <v/>
      </c>
      <c r="CR963" s="18" t="str">
        <f ca="1"/>
        <v/>
      </c>
      <c r="CS963" s="18" t="str">
        <f ca="1"/>
        <v/>
      </c>
      <c r="CT963" s="18" t="str">
        <f ca="1"/>
        <v/>
      </c>
      <c r="CV963" s="10"/>
      <c r="CY963" s="18" t="str">
        <f ca="1"/>
        <v/>
      </c>
      <c r="CZ963" s="18" t="str">
        <f ca="1"/>
        <v/>
      </c>
      <c r="DA963" s="18" t="str">
        <f ca="1"/>
        <v/>
      </c>
      <c r="DC963" s="10"/>
    </row>
    <row r="964" spans="1:107" x14ac:dyDescent="0.25">
      <c r="A964" s="46"/>
      <c r="B964" s="52"/>
      <c r="C964" s="52"/>
      <c r="D964" s="16"/>
      <c r="E964" s="52"/>
      <c r="F964" s="52"/>
      <c r="G964" s="50"/>
      <c r="H964" s="17" t="str">
        <f ca="1">IFERROR(__xludf.DUMMYFUNCTION("""COMPUTED_VALUE"""),"")</f>
        <v/>
      </c>
      <c r="I964" s="50" t="s">
        <v>29</v>
      </c>
      <c r="J964" s="50" t="s">
        <v>29</v>
      </c>
      <c r="K964" s="50" t="s">
        <v>29</v>
      </c>
      <c r="L964" s="50" t="s">
        <v>29</v>
      </c>
      <c r="M964" s="50" t="s">
        <v>29</v>
      </c>
      <c r="N964" s="49"/>
      <c r="P964" s="19"/>
      <c r="Q964" s="18" t="str">
        <f ca="1">IFERROR(__xludf.DUMMYFUNCTION("""COMPUTED_VALUE"""),"")</f>
        <v/>
      </c>
      <c r="R964" s="19"/>
      <c r="S964" s="20"/>
      <c r="BP964" s="10"/>
      <c r="BW964" s="10"/>
      <c r="CF964" s="10"/>
      <c r="CM964" s="10"/>
      <c r="CP964" s="18" t="str">
        <f ca="1"/>
        <v/>
      </c>
      <c r="CQ964" s="18" t="str">
        <f ca="1"/>
        <v/>
      </c>
      <c r="CR964" s="18" t="str">
        <f ca="1"/>
        <v/>
      </c>
      <c r="CS964" s="18" t="str">
        <f ca="1"/>
        <v/>
      </c>
      <c r="CT964" s="18" t="str">
        <f ca="1"/>
        <v/>
      </c>
      <c r="CV964" s="10"/>
      <c r="CY964" s="18" t="str">
        <f ca="1"/>
        <v/>
      </c>
      <c r="CZ964" s="18" t="str">
        <f ca="1"/>
        <v/>
      </c>
      <c r="DA964" s="18" t="str">
        <f ca="1"/>
        <v/>
      </c>
      <c r="DC964" s="10"/>
    </row>
    <row r="965" spans="1:107" x14ac:dyDescent="0.25">
      <c r="A965" s="46"/>
      <c r="B965" s="52"/>
      <c r="C965" s="52"/>
      <c r="D965" s="16"/>
      <c r="E965" s="52"/>
      <c r="F965" s="52"/>
      <c r="G965" s="50"/>
      <c r="H965" s="17" t="str">
        <f ca="1">IFERROR(__xludf.DUMMYFUNCTION("""COMPUTED_VALUE"""),"")</f>
        <v/>
      </c>
      <c r="I965" s="50" t="s">
        <v>29</v>
      </c>
      <c r="J965" s="50" t="s">
        <v>29</v>
      </c>
      <c r="K965" s="50" t="s">
        <v>29</v>
      </c>
      <c r="L965" s="50" t="s">
        <v>29</v>
      </c>
      <c r="M965" s="50" t="s">
        <v>29</v>
      </c>
      <c r="N965" s="49"/>
      <c r="P965" s="19"/>
      <c r="Q965" s="18" t="str">
        <f ca="1">IFERROR(__xludf.DUMMYFUNCTION("""COMPUTED_VALUE"""),"")</f>
        <v/>
      </c>
      <c r="R965" s="19"/>
      <c r="S965" s="20"/>
      <c r="BP965" s="10"/>
      <c r="BW965" s="10"/>
      <c r="CF965" s="10"/>
      <c r="CM965" s="10"/>
      <c r="CP965" s="18" t="str">
        <f ca="1"/>
        <v/>
      </c>
      <c r="CQ965" s="18" t="str">
        <f ca="1"/>
        <v/>
      </c>
      <c r="CR965" s="18" t="str">
        <f ca="1"/>
        <v/>
      </c>
      <c r="CS965" s="18" t="str">
        <f ca="1"/>
        <v/>
      </c>
      <c r="CT965" s="18" t="str">
        <f ca="1"/>
        <v/>
      </c>
      <c r="CV965" s="10"/>
      <c r="CY965" s="18" t="str">
        <f ca="1"/>
        <v/>
      </c>
      <c r="CZ965" s="18" t="str">
        <f ca="1"/>
        <v/>
      </c>
      <c r="DA965" s="18" t="str">
        <f ca="1"/>
        <v/>
      </c>
      <c r="DC965" s="10"/>
    </row>
    <row r="966" spans="1:107" x14ac:dyDescent="0.25">
      <c r="A966" s="46"/>
      <c r="B966" s="52"/>
      <c r="C966" s="52"/>
      <c r="D966" s="16"/>
      <c r="E966" s="52"/>
      <c r="F966" s="52"/>
      <c r="G966" s="50"/>
      <c r="H966" s="17" t="str">
        <f ca="1">IFERROR(__xludf.DUMMYFUNCTION("""COMPUTED_VALUE"""),"")</f>
        <v/>
      </c>
      <c r="I966" s="50" t="s">
        <v>29</v>
      </c>
      <c r="J966" s="50" t="s">
        <v>29</v>
      </c>
      <c r="K966" s="50" t="s">
        <v>29</v>
      </c>
      <c r="L966" s="50" t="s">
        <v>29</v>
      </c>
      <c r="M966" s="50" t="s">
        <v>29</v>
      </c>
      <c r="N966" s="49"/>
      <c r="P966" s="19"/>
      <c r="Q966" s="18" t="str">
        <f ca="1">IFERROR(__xludf.DUMMYFUNCTION("""COMPUTED_VALUE"""),"")</f>
        <v/>
      </c>
      <c r="R966" s="19"/>
      <c r="S966" s="20"/>
      <c r="BP966" s="10"/>
      <c r="BW966" s="10"/>
      <c r="CF966" s="10"/>
      <c r="CM966" s="10"/>
      <c r="CP966" s="18" t="str">
        <f ca="1"/>
        <v/>
      </c>
      <c r="CQ966" s="18" t="str">
        <f ca="1"/>
        <v/>
      </c>
      <c r="CR966" s="18" t="str">
        <f ca="1"/>
        <v/>
      </c>
      <c r="CS966" s="18" t="str">
        <f ca="1"/>
        <v/>
      </c>
      <c r="CT966" s="18" t="str">
        <f ca="1"/>
        <v/>
      </c>
      <c r="CV966" s="10"/>
      <c r="CY966" s="18" t="str">
        <f ca="1"/>
        <v/>
      </c>
      <c r="CZ966" s="18" t="str">
        <f ca="1"/>
        <v/>
      </c>
      <c r="DA966" s="18" t="str">
        <f ca="1"/>
        <v/>
      </c>
      <c r="DC966" s="10"/>
    </row>
    <row r="967" spans="1:107" x14ac:dyDescent="0.25">
      <c r="A967" s="46"/>
      <c r="B967" s="52"/>
      <c r="C967" s="52"/>
      <c r="D967" s="16"/>
      <c r="E967" s="52"/>
      <c r="F967" s="52"/>
      <c r="G967" s="50"/>
      <c r="H967" s="17" t="str">
        <f ca="1">IFERROR(__xludf.DUMMYFUNCTION("""COMPUTED_VALUE"""),"")</f>
        <v/>
      </c>
      <c r="I967" s="50" t="s">
        <v>29</v>
      </c>
      <c r="J967" s="50" t="s">
        <v>29</v>
      </c>
      <c r="K967" s="50" t="s">
        <v>29</v>
      </c>
      <c r="L967" s="50" t="s">
        <v>29</v>
      </c>
      <c r="M967" s="50" t="s">
        <v>29</v>
      </c>
      <c r="N967" s="49"/>
      <c r="P967" s="19"/>
      <c r="Q967" s="18" t="str">
        <f ca="1">IFERROR(__xludf.DUMMYFUNCTION("""COMPUTED_VALUE"""),"")</f>
        <v/>
      </c>
      <c r="R967" s="19"/>
      <c r="S967" s="20"/>
      <c r="BP967" s="10"/>
      <c r="BW967" s="10"/>
      <c r="CF967" s="10"/>
      <c r="CM967" s="10"/>
      <c r="CP967" s="18" t="str">
        <f ca="1"/>
        <v/>
      </c>
      <c r="CQ967" s="18" t="str">
        <f ca="1"/>
        <v/>
      </c>
      <c r="CR967" s="18" t="str">
        <f ca="1"/>
        <v/>
      </c>
      <c r="CS967" s="18" t="str">
        <f ca="1"/>
        <v/>
      </c>
      <c r="CT967" s="18" t="str">
        <f ca="1"/>
        <v/>
      </c>
      <c r="CV967" s="10"/>
      <c r="CY967" s="18" t="str">
        <f ca="1"/>
        <v/>
      </c>
      <c r="CZ967" s="18" t="str">
        <f ca="1"/>
        <v/>
      </c>
      <c r="DA967" s="18" t="str">
        <f ca="1"/>
        <v/>
      </c>
      <c r="DC967" s="10"/>
    </row>
    <row r="968" spans="1:107" x14ac:dyDescent="0.25">
      <c r="A968" s="46"/>
      <c r="B968" s="52"/>
      <c r="C968" s="52"/>
      <c r="D968" s="16"/>
      <c r="E968" s="52"/>
      <c r="F968" s="52"/>
      <c r="G968" s="50"/>
      <c r="H968" s="17" t="str">
        <f ca="1">IFERROR(__xludf.DUMMYFUNCTION("""COMPUTED_VALUE"""),"")</f>
        <v/>
      </c>
      <c r="I968" s="50" t="s">
        <v>29</v>
      </c>
      <c r="J968" s="50" t="s">
        <v>29</v>
      </c>
      <c r="K968" s="50" t="s">
        <v>29</v>
      </c>
      <c r="L968" s="50" t="s">
        <v>29</v>
      </c>
      <c r="M968" s="50" t="s">
        <v>29</v>
      </c>
      <c r="N968" s="49"/>
      <c r="P968" s="19"/>
      <c r="Q968" s="18" t="str">
        <f ca="1">IFERROR(__xludf.DUMMYFUNCTION("""COMPUTED_VALUE"""),"")</f>
        <v/>
      </c>
      <c r="R968" s="19"/>
      <c r="S968" s="20"/>
      <c r="BP968" s="10"/>
      <c r="BW968" s="10"/>
      <c r="CF968" s="10"/>
      <c r="CM968" s="10"/>
      <c r="CP968" s="18" t="str">
        <f ca="1"/>
        <v/>
      </c>
      <c r="CQ968" s="18" t="str">
        <f ca="1"/>
        <v/>
      </c>
      <c r="CR968" s="18" t="str">
        <f ca="1"/>
        <v/>
      </c>
      <c r="CS968" s="18" t="str">
        <f ca="1"/>
        <v/>
      </c>
      <c r="CT968" s="18" t="str">
        <f ca="1"/>
        <v/>
      </c>
      <c r="CV968" s="10"/>
      <c r="CY968" s="18" t="str">
        <f ca="1"/>
        <v/>
      </c>
      <c r="CZ968" s="18" t="str">
        <f ca="1"/>
        <v/>
      </c>
      <c r="DA968" s="18" t="str">
        <f ca="1"/>
        <v/>
      </c>
      <c r="DC968" s="10"/>
    </row>
    <row r="969" spans="1:107" x14ac:dyDescent="0.25">
      <c r="A969" s="46"/>
      <c r="B969" s="52"/>
      <c r="C969" s="52"/>
      <c r="D969" s="16"/>
      <c r="E969" s="52"/>
      <c r="F969" s="52"/>
      <c r="G969" s="50"/>
      <c r="H969" s="17" t="str">
        <f ca="1">IFERROR(__xludf.DUMMYFUNCTION("""COMPUTED_VALUE"""),"")</f>
        <v/>
      </c>
      <c r="I969" s="50" t="s">
        <v>29</v>
      </c>
      <c r="J969" s="50" t="s">
        <v>29</v>
      </c>
      <c r="K969" s="50" t="s">
        <v>29</v>
      </c>
      <c r="L969" s="50" t="s">
        <v>29</v>
      </c>
      <c r="M969" s="50" t="s">
        <v>29</v>
      </c>
      <c r="N969" s="49"/>
      <c r="P969" s="19"/>
      <c r="Q969" s="18" t="str">
        <f ca="1">IFERROR(__xludf.DUMMYFUNCTION("""COMPUTED_VALUE"""),"")</f>
        <v/>
      </c>
      <c r="R969" s="19"/>
      <c r="S969" s="20"/>
      <c r="BP969" s="10"/>
      <c r="BW969" s="10"/>
      <c r="CF969" s="10"/>
      <c r="CM969" s="10"/>
      <c r="CP969" s="18" t="str">
        <f ca="1"/>
        <v/>
      </c>
      <c r="CQ969" s="18" t="str">
        <f ca="1"/>
        <v/>
      </c>
      <c r="CR969" s="18" t="str">
        <f ca="1"/>
        <v/>
      </c>
      <c r="CS969" s="18" t="str">
        <f ca="1"/>
        <v/>
      </c>
      <c r="CT969" s="18" t="str">
        <f ca="1"/>
        <v/>
      </c>
      <c r="CV969" s="10"/>
      <c r="CY969" s="18" t="str">
        <f ca="1"/>
        <v/>
      </c>
      <c r="CZ969" s="18" t="str">
        <f ca="1"/>
        <v/>
      </c>
      <c r="DA969" s="18" t="str">
        <f ca="1"/>
        <v/>
      </c>
      <c r="DC969" s="10"/>
    </row>
    <row r="970" spans="1:107" x14ac:dyDescent="0.25">
      <c r="A970" s="46"/>
      <c r="B970" s="52"/>
      <c r="C970" s="52"/>
      <c r="D970" s="16"/>
      <c r="E970" s="52"/>
      <c r="F970" s="52"/>
      <c r="G970" s="50"/>
      <c r="H970" s="17" t="str">
        <f ca="1">IFERROR(__xludf.DUMMYFUNCTION("""COMPUTED_VALUE"""),"")</f>
        <v/>
      </c>
      <c r="I970" s="50" t="s">
        <v>29</v>
      </c>
      <c r="J970" s="50" t="s">
        <v>29</v>
      </c>
      <c r="K970" s="50" t="s">
        <v>29</v>
      </c>
      <c r="L970" s="50" t="s">
        <v>29</v>
      </c>
      <c r="M970" s="50" t="s">
        <v>29</v>
      </c>
      <c r="N970" s="49"/>
      <c r="P970" s="19"/>
      <c r="Q970" s="18" t="str">
        <f ca="1">IFERROR(__xludf.DUMMYFUNCTION("""COMPUTED_VALUE"""),"")</f>
        <v/>
      </c>
      <c r="R970" s="19"/>
      <c r="S970" s="20"/>
      <c r="BP970" s="10"/>
      <c r="BW970" s="10"/>
      <c r="CF970" s="10"/>
      <c r="CM970" s="10"/>
      <c r="CP970" s="18" t="str">
        <f ca="1"/>
        <v/>
      </c>
      <c r="CQ970" s="18" t="str">
        <f ca="1"/>
        <v/>
      </c>
      <c r="CR970" s="18" t="str">
        <f ca="1"/>
        <v/>
      </c>
      <c r="CS970" s="18" t="str">
        <f ca="1"/>
        <v/>
      </c>
      <c r="CT970" s="18" t="str">
        <f ca="1"/>
        <v/>
      </c>
      <c r="CV970" s="10"/>
      <c r="CY970" s="18" t="str">
        <f ca="1"/>
        <v/>
      </c>
      <c r="CZ970" s="18" t="str">
        <f ca="1"/>
        <v/>
      </c>
      <c r="DA970" s="18" t="str">
        <f ca="1"/>
        <v/>
      </c>
      <c r="DC970" s="10"/>
    </row>
    <row r="971" spans="1:107" x14ac:dyDescent="0.25">
      <c r="A971" s="46"/>
      <c r="B971" s="52"/>
      <c r="C971" s="52"/>
      <c r="D971" s="16"/>
      <c r="E971" s="52"/>
      <c r="F971" s="52"/>
      <c r="G971" s="50"/>
      <c r="H971" s="17" t="str">
        <f ca="1">IFERROR(__xludf.DUMMYFUNCTION("""COMPUTED_VALUE"""),"")</f>
        <v/>
      </c>
      <c r="I971" s="50" t="s">
        <v>29</v>
      </c>
      <c r="J971" s="50" t="s">
        <v>29</v>
      </c>
      <c r="K971" s="50" t="s">
        <v>29</v>
      </c>
      <c r="L971" s="50" t="s">
        <v>29</v>
      </c>
      <c r="M971" s="50" t="s">
        <v>29</v>
      </c>
      <c r="N971" s="49"/>
      <c r="P971" s="19"/>
      <c r="Q971" s="18" t="str">
        <f ca="1">IFERROR(__xludf.DUMMYFUNCTION("""COMPUTED_VALUE"""),"")</f>
        <v/>
      </c>
      <c r="R971" s="19"/>
      <c r="S971" s="20"/>
      <c r="BP971" s="10"/>
      <c r="BW971" s="10"/>
      <c r="CF971" s="10"/>
      <c r="CM971" s="10"/>
      <c r="CP971" s="18" t="str">
        <f ca="1"/>
        <v/>
      </c>
      <c r="CQ971" s="18" t="str">
        <f ca="1"/>
        <v/>
      </c>
      <c r="CR971" s="18" t="str">
        <f ca="1"/>
        <v/>
      </c>
      <c r="CS971" s="18" t="str">
        <f ca="1"/>
        <v/>
      </c>
      <c r="CT971" s="18" t="str">
        <f ca="1"/>
        <v/>
      </c>
      <c r="CV971" s="10"/>
      <c r="CY971" s="18" t="str">
        <f ca="1"/>
        <v/>
      </c>
      <c r="CZ971" s="18" t="str">
        <f ca="1"/>
        <v/>
      </c>
      <c r="DA971" s="18" t="str">
        <f ca="1"/>
        <v/>
      </c>
      <c r="DC971" s="10"/>
    </row>
    <row r="972" spans="1:107" x14ac:dyDescent="0.25">
      <c r="A972" s="46"/>
      <c r="B972" s="52"/>
      <c r="C972" s="52"/>
      <c r="D972" s="16"/>
      <c r="E972" s="52"/>
      <c r="F972" s="52"/>
      <c r="G972" s="50"/>
      <c r="H972" s="17" t="str">
        <f ca="1">IFERROR(__xludf.DUMMYFUNCTION("""COMPUTED_VALUE"""),"")</f>
        <v/>
      </c>
      <c r="I972" s="50" t="s">
        <v>29</v>
      </c>
      <c r="J972" s="50" t="s">
        <v>29</v>
      </c>
      <c r="K972" s="50" t="s">
        <v>29</v>
      </c>
      <c r="L972" s="50" t="s">
        <v>29</v>
      </c>
      <c r="M972" s="50" t="s">
        <v>29</v>
      </c>
      <c r="N972" s="49"/>
      <c r="P972" s="19"/>
      <c r="Q972" s="18" t="str">
        <f ca="1">IFERROR(__xludf.DUMMYFUNCTION("""COMPUTED_VALUE"""),"")</f>
        <v/>
      </c>
      <c r="R972" s="19"/>
      <c r="S972" s="20"/>
      <c r="BP972" s="10"/>
      <c r="BW972" s="10"/>
      <c r="CF972" s="10"/>
      <c r="CM972" s="10"/>
      <c r="CP972" s="18" t="str">
        <f ca="1"/>
        <v/>
      </c>
      <c r="CQ972" s="18" t="str">
        <f ca="1"/>
        <v/>
      </c>
      <c r="CR972" s="18" t="str">
        <f ca="1"/>
        <v/>
      </c>
      <c r="CS972" s="18" t="str">
        <f ca="1"/>
        <v/>
      </c>
      <c r="CT972" s="18" t="str">
        <f ca="1"/>
        <v/>
      </c>
      <c r="CV972" s="10"/>
      <c r="CY972" s="18" t="str">
        <f ca="1"/>
        <v/>
      </c>
      <c r="CZ972" s="18" t="str">
        <f ca="1"/>
        <v/>
      </c>
      <c r="DA972" s="18" t="str">
        <f ca="1"/>
        <v/>
      </c>
      <c r="DC972" s="10"/>
    </row>
    <row r="973" spans="1:107" x14ac:dyDescent="0.25">
      <c r="A973" s="46"/>
      <c r="B973" s="52"/>
      <c r="C973" s="52"/>
      <c r="D973" s="16"/>
      <c r="E973" s="52"/>
      <c r="F973" s="52"/>
      <c r="G973" s="50"/>
      <c r="H973" s="17" t="str">
        <f ca="1">IFERROR(__xludf.DUMMYFUNCTION("""COMPUTED_VALUE"""),"")</f>
        <v/>
      </c>
      <c r="I973" s="50" t="s">
        <v>29</v>
      </c>
      <c r="J973" s="50" t="s">
        <v>29</v>
      </c>
      <c r="K973" s="50" t="s">
        <v>29</v>
      </c>
      <c r="L973" s="50" t="s">
        <v>29</v>
      </c>
      <c r="M973" s="50" t="s">
        <v>29</v>
      </c>
      <c r="N973" s="49"/>
      <c r="P973" s="19"/>
      <c r="Q973" s="18" t="str">
        <f ca="1">IFERROR(__xludf.DUMMYFUNCTION("""COMPUTED_VALUE"""),"")</f>
        <v/>
      </c>
      <c r="R973" s="19"/>
      <c r="S973" s="20"/>
      <c r="BP973" s="10"/>
      <c r="BW973" s="10"/>
      <c r="CF973" s="10"/>
      <c r="CM973" s="10"/>
      <c r="CP973" s="18" t="str">
        <f ca="1"/>
        <v/>
      </c>
      <c r="CQ973" s="18" t="str">
        <f ca="1"/>
        <v/>
      </c>
      <c r="CR973" s="18" t="str">
        <f ca="1"/>
        <v/>
      </c>
      <c r="CS973" s="18" t="str">
        <f ca="1"/>
        <v/>
      </c>
      <c r="CT973" s="18" t="str">
        <f ca="1"/>
        <v/>
      </c>
      <c r="CV973" s="10"/>
      <c r="CY973" s="18" t="str">
        <f ca="1"/>
        <v/>
      </c>
      <c r="CZ973" s="18" t="str">
        <f ca="1"/>
        <v/>
      </c>
      <c r="DA973" s="18" t="str">
        <f ca="1"/>
        <v/>
      </c>
      <c r="DC973" s="10"/>
    </row>
    <row r="974" spans="1:107" x14ac:dyDescent="0.25">
      <c r="A974" s="46"/>
      <c r="B974" s="52"/>
      <c r="C974" s="52"/>
      <c r="D974" s="16"/>
      <c r="E974" s="52"/>
      <c r="F974" s="52"/>
      <c r="G974" s="50"/>
      <c r="H974" s="17" t="str">
        <f ca="1">IFERROR(__xludf.DUMMYFUNCTION("""COMPUTED_VALUE"""),"")</f>
        <v/>
      </c>
      <c r="I974" s="50" t="s">
        <v>29</v>
      </c>
      <c r="J974" s="50" t="s">
        <v>29</v>
      </c>
      <c r="K974" s="50" t="s">
        <v>29</v>
      </c>
      <c r="L974" s="50" t="s">
        <v>29</v>
      </c>
      <c r="M974" s="50" t="s">
        <v>29</v>
      </c>
      <c r="N974" s="49"/>
      <c r="P974" s="19"/>
      <c r="Q974" s="18" t="str">
        <f ca="1">IFERROR(__xludf.DUMMYFUNCTION("""COMPUTED_VALUE"""),"")</f>
        <v/>
      </c>
      <c r="R974" s="19"/>
      <c r="S974" s="20"/>
      <c r="BP974" s="10"/>
      <c r="BW974" s="10"/>
      <c r="CF974" s="10"/>
      <c r="CM974" s="10"/>
      <c r="CP974" s="18" t="str">
        <f ca="1"/>
        <v/>
      </c>
      <c r="CQ974" s="18" t="str">
        <f ca="1"/>
        <v/>
      </c>
      <c r="CR974" s="18" t="str">
        <f ca="1"/>
        <v/>
      </c>
      <c r="CS974" s="18" t="str">
        <f ca="1"/>
        <v/>
      </c>
      <c r="CT974" s="18" t="str">
        <f ca="1"/>
        <v/>
      </c>
      <c r="CV974" s="10"/>
      <c r="CY974" s="18" t="str">
        <f ca="1"/>
        <v/>
      </c>
      <c r="CZ974" s="18" t="str">
        <f ca="1"/>
        <v/>
      </c>
      <c r="DA974" s="18" t="str">
        <f ca="1"/>
        <v/>
      </c>
      <c r="DC974" s="10"/>
    </row>
    <row r="975" spans="1:107" x14ac:dyDescent="0.25">
      <c r="A975" s="46"/>
      <c r="B975" s="52"/>
      <c r="C975" s="52"/>
      <c r="D975" s="16"/>
      <c r="E975" s="52"/>
      <c r="F975" s="52"/>
      <c r="G975" s="50"/>
      <c r="H975" s="17" t="str">
        <f ca="1">IFERROR(__xludf.DUMMYFUNCTION("""COMPUTED_VALUE"""),"")</f>
        <v/>
      </c>
      <c r="I975" s="50" t="s">
        <v>29</v>
      </c>
      <c r="J975" s="50" t="s">
        <v>29</v>
      </c>
      <c r="K975" s="50" t="s">
        <v>29</v>
      </c>
      <c r="L975" s="50" t="s">
        <v>29</v>
      </c>
      <c r="M975" s="50" t="s">
        <v>29</v>
      </c>
      <c r="N975" s="49"/>
      <c r="P975" s="19"/>
      <c r="Q975" s="18" t="str">
        <f ca="1">IFERROR(__xludf.DUMMYFUNCTION("""COMPUTED_VALUE"""),"")</f>
        <v/>
      </c>
      <c r="R975" s="19"/>
      <c r="S975" s="20"/>
      <c r="BP975" s="10"/>
      <c r="BW975" s="10"/>
      <c r="CF975" s="10"/>
      <c r="CM975" s="10"/>
      <c r="CP975" s="18" t="str">
        <f ca="1"/>
        <v/>
      </c>
      <c r="CQ975" s="18" t="str">
        <f ca="1"/>
        <v/>
      </c>
      <c r="CR975" s="18" t="str">
        <f ca="1"/>
        <v/>
      </c>
      <c r="CS975" s="18" t="str">
        <f ca="1"/>
        <v/>
      </c>
      <c r="CT975" s="18" t="str">
        <f ca="1"/>
        <v/>
      </c>
      <c r="CV975" s="10"/>
      <c r="CY975" s="18" t="str">
        <f ca="1"/>
        <v/>
      </c>
      <c r="CZ975" s="18" t="str">
        <f ca="1"/>
        <v/>
      </c>
      <c r="DA975" s="18" t="str">
        <f ca="1"/>
        <v/>
      </c>
      <c r="DC975" s="10"/>
    </row>
    <row r="976" spans="1:107" x14ac:dyDescent="0.25">
      <c r="A976" s="46"/>
      <c r="B976" s="52"/>
      <c r="C976" s="52"/>
      <c r="D976" s="16"/>
      <c r="E976" s="52"/>
      <c r="F976" s="52"/>
      <c r="G976" s="50"/>
      <c r="H976" s="17" t="str">
        <f ca="1">IFERROR(__xludf.DUMMYFUNCTION("""COMPUTED_VALUE"""),"")</f>
        <v/>
      </c>
      <c r="I976" s="50" t="s">
        <v>29</v>
      </c>
      <c r="J976" s="50" t="s">
        <v>29</v>
      </c>
      <c r="K976" s="50" t="s">
        <v>29</v>
      </c>
      <c r="L976" s="50" t="s">
        <v>29</v>
      </c>
      <c r="M976" s="50" t="s">
        <v>29</v>
      </c>
      <c r="N976" s="49"/>
      <c r="P976" s="19"/>
      <c r="Q976" s="18" t="str">
        <f ca="1">IFERROR(__xludf.DUMMYFUNCTION("""COMPUTED_VALUE"""),"")</f>
        <v/>
      </c>
      <c r="R976" s="19"/>
      <c r="S976" s="20"/>
      <c r="BP976" s="10"/>
      <c r="BW976" s="10"/>
      <c r="CF976" s="10"/>
      <c r="CM976" s="10"/>
      <c r="CP976" s="18" t="str">
        <f ca="1"/>
        <v/>
      </c>
      <c r="CQ976" s="18" t="str">
        <f ca="1"/>
        <v/>
      </c>
      <c r="CR976" s="18" t="str">
        <f ca="1"/>
        <v/>
      </c>
      <c r="CS976" s="18" t="str">
        <f ca="1"/>
        <v/>
      </c>
      <c r="CT976" s="18" t="str">
        <f ca="1"/>
        <v/>
      </c>
      <c r="CV976" s="10"/>
      <c r="CY976" s="18" t="str">
        <f ca="1"/>
        <v/>
      </c>
      <c r="CZ976" s="18" t="str">
        <f ca="1"/>
        <v/>
      </c>
      <c r="DA976" s="18" t="str">
        <f ca="1"/>
        <v/>
      </c>
      <c r="DC976" s="10"/>
    </row>
    <row r="977" spans="1:107" x14ac:dyDescent="0.25">
      <c r="A977" s="46"/>
      <c r="B977" s="52"/>
      <c r="C977" s="52"/>
      <c r="D977" s="16"/>
      <c r="E977" s="52"/>
      <c r="F977" s="52"/>
      <c r="G977" s="50"/>
      <c r="H977" s="17" t="str">
        <f ca="1">IFERROR(__xludf.DUMMYFUNCTION("""COMPUTED_VALUE"""),"")</f>
        <v/>
      </c>
      <c r="I977" s="50" t="s">
        <v>29</v>
      </c>
      <c r="J977" s="50" t="s">
        <v>29</v>
      </c>
      <c r="K977" s="50" t="s">
        <v>29</v>
      </c>
      <c r="L977" s="50" t="s">
        <v>29</v>
      </c>
      <c r="M977" s="50" t="s">
        <v>29</v>
      </c>
      <c r="N977" s="49"/>
      <c r="P977" s="19"/>
      <c r="Q977" s="18" t="str">
        <f ca="1">IFERROR(__xludf.DUMMYFUNCTION("""COMPUTED_VALUE"""),"")</f>
        <v/>
      </c>
      <c r="R977" s="19"/>
      <c r="S977" s="20"/>
      <c r="BP977" s="10"/>
      <c r="BW977" s="10"/>
      <c r="CF977" s="10"/>
      <c r="CM977" s="10"/>
      <c r="CP977" s="18" t="str">
        <f ca="1"/>
        <v/>
      </c>
      <c r="CQ977" s="18" t="str">
        <f ca="1"/>
        <v/>
      </c>
      <c r="CR977" s="18" t="str">
        <f ca="1"/>
        <v/>
      </c>
      <c r="CS977" s="18" t="str">
        <f ca="1"/>
        <v/>
      </c>
      <c r="CT977" s="18" t="str">
        <f ca="1"/>
        <v/>
      </c>
      <c r="CV977" s="10"/>
      <c r="CY977" s="18" t="str">
        <f ca="1"/>
        <v/>
      </c>
      <c r="CZ977" s="18" t="str">
        <f ca="1"/>
        <v/>
      </c>
      <c r="DA977" s="18" t="str">
        <f ca="1"/>
        <v/>
      </c>
      <c r="DC977" s="10"/>
    </row>
    <row r="978" spans="1:107" x14ac:dyDescent="0.25">
      <c r="A978" s="46"/>
      <c r="B978" s="52"/>
      <c r="C978" s="52"/>
      <c r="D978" s="16"/>
      <c r="E978" s="52"/>
      <c r="F978" s="52"/>
      <c r="G978" s="50"/>
      <c r="H978" s="17" t="str">
        <f ca="1">IFERROR(__xludf.DUMMYFUNCTION("""COMPUTED_VALUE"""),"")</f>
        <v/>
      </c>
      <c r="I978" s="50" t="s">
        <v>29</v>
      </c>
      <c r="J978" s="50" t="s">
        <v>29</v>
      </c>
      <c r="K978" s="50" t="s">
        <v>29</v>
      </c>
      <c r="L978" s="50" t="s">
        <v>29</v>
      </c>
      <c r="M978" s="50" t="s">
        <v>29</v>
      </c>
      <c r="N978" s="49"/>
      <c r="P978" s="19"/>
      <c r="Q978" s="18" t="str">
        <f ca="1">IFERROR(__xludf.DUMMYFUNCTION("""COMPUTED_VALUE"""),"")</f>
        <v/>
      </c>
      <c r="R978" s="19"/>
      <c r="S978" s="20"/>
      <c r="BP978" s="10"/>
      <c r="BW978" s="10"/>
      <c r="CF978" s="10"/>
      <c r="CM978" s="10"/>
      <c r="CP978" s="18" t="str">
        <f ca="1"/>
        <v/>
      </c>
      <c r="CQ978" s="18" t="str">
        <f ca="1"/>
        <v/>
      </c>
      <c r="CR978" s="18" t="str">
        <f ca="1"/>
        <v/>
      </c>
      <c r="CS978" s="18" t="str">
        <f ca="1"/>
        <v/>
      </c>
      <c r="CT978" s="18" t="str">
        <f ca="1"/>
        <v/>
      </c>
      <c r="CV978" s="10"/>
      <c r="CY978" s="18" t="str">
        <f ca="1"/>
        <v/>
      </c>
      <c r="CZ978" s="18" t="str">
        <f ca="1"/>
        <v/>
      </c>
      <c r="DA978" s="18" t="str">
        <f ca="1"/>
        <v/>
      </c>
      <c r="DC978" s="10"/>
    </row>
    <row r="979" spans="1:107" x14ac:dyDescent="0.25">
      <c r="A979" s="46"/>
      <c r="B979" s="52"/>
      <c r="C979" s="52"/>
      <c r="D979" s="16"/>
      <c r="E979" s="52"/>
      <c r="F979" s="52"/>
      <c r="G979" s="50"/>
      <c r="H979" s="17" t="str">
        <f ca="1">IFERROR(__xludf.DUMMYFUNCTION("""COMPUTED_VALUE"""),"")</f>
        <v/>
      </c>
      <c r="I979" s="50" t="s">
        <v>29</v>
      </c>
      <c r="J979" s="50" t="s">
        <v>29</v>
      </c>
      <c r="K979" s="50" t="s">
        <v>29</v>
      </c>
      <c r="L979" s="50" t="s">
        <v>29</v>
      </c>
      <c r="M979" s="50" t="s">
        <v>29</v>
      </c>
      <c r="N979" s="49"/>
      <c r="P979" s="19"/>
      <c r="Q979" s="18" t="str">
        <f ca="1">IFERROR(__xludf.DUMMYFUNCTION("""COMPUTED_VALUE"""),"")</f>
        <v/>
      </c>
      <c r="R979" s="19"/>
      <c r="S979" s="20"/>
      <c r="BP979" s="10"/>
      <c r="BW979" s="10"/>
      <c r="CF979" s="10"/>
      <c r="CM979" s="10"/>
      <c r="CP979" s="18" t="str">
        <f ca="1"/>
        <v/>
      </c>
      <c r="CQ979" s="18" t="str">
        <f ca="1"/>
        <v/>
      </c>
      <c r="CR979" s="18" t="str">
        <f ca="1"/>
        <v/>
      </c>
      <c r="CS979" s="18" t="str">
        <f ca="1"/>
        <v/>
      </c>
      <c r="CT979" s="18" t="str">
        <f ca="1"/>
        <v/>
      </c>
      <c r="CV979" s="10"/>
      <c r="CY979" s="18" t="str">
        <f ca="1"/>
        <v/>
      </c>
      <c r="CZ979" s="18" t="str">
        <f ca="1"/>
        <v/>
      </c>
      <c r="DA979" s="18" t="str">
        <f ca="1"/>
        <v/>
      </c>
      <c r="DC979" s="10"/>
    </row>
    <row r="980" spans="1:107" x14ac:dyDescent="0.25">
      <c r="A980" s="46"/>
      <c r="B980" s="52"/>
      <c r="C980" s="52"/>
      <c r="D980" s="16"/>
      <c r="E980" s="52"/>
      <c r="F980" s="52"/>
      <c r="G980" s="50"/>
      <c r="H980" s="17" t="str">
        <f ca="1">IFERROR(__xludf.DUMMYFUNCTION("""COMPUTED_VALUE"""),"")</f>
        <v/>
      </c>
      <c r="I980" s="50" t="s">
        <v>29</v>
      </c>
      <c r="J980" s="50" t="s">
        <v>29</v>
      </c>
      <c r="K980" s="50" t="s">
        <v>29</v>
      </c>
      <c r="L980" s="50" t="s">
        <v>29</v>
      </c>
      <c r="M980" s="50" t="s">
        <v>29</v>
      </c>
      <c r="N980" s="49"/>
      <c r="P980" s="19"/>
      <c r="Q980" s="18" t="str">
        <f ca="1">IFERROR(__xludf.DUMMYFUNCTION("""COMPUTED_VALUE"""),"")</f>
        <v/>
      </c>
      <c r="R980" s="19"/>
      <c r="S980" s="20"/>
      <c r="BP980" s="10"/>
      <c r="BW980" s="10"/>
      <c r="CF980" s="10"/>
      <c r="CM980" s="10"/>
      <c r="CP980" s="18" t="str">
        <f ca="1"/>
        <v/>
      </c>
      <c r="CQ980" s="18" t="str">
        <f ca="1"/>
        <v/>
      </c>
      <c r="CR980" s="18" t="str">
        <f ca="1"/>
        <v/>
      </c>
      <c r="CS980" s="18" t="str">
        <f ca="1"/>
        <v/>
      </c>
      <c r="CT980" s="18" t="str">
        <f ca="1"/>
        <v/>
      </c>
      <c r="CV980" s="10"/>
      <c r="CY980" s="18" t="str">
        <f ca="1"/>
        <v/>
      </c>
      <c r="CZ980" s="18" t="str">
        <f ca="1"/>
        <v/>
      </c>
      <c r="DA980" s="18" t="str">
        <f ca="1"/>
        <v/>
      </c>
      <c r="DC980" s="10"/>
    </row>
    <row r="981" spans="1:107" x14ac:dyDescent="0.25">
      <c r="A981" s="46"/>
      <c r="B981" s="52"/>
      <c r="C981" s="52"/>
      <c r="D981" s="16"/>
      <c r="E981" s="52"/>
      <c r="F981" s="52"/>
      <c r="G981" s="50"/>
      <c r="H981" s="17" t="str">
        <f ca="1">IFERROR(__xludf.DUMMYFUNCTION("""COMPUTED_VALUE"""),"")</f>
        <v/>
      </c>
      <c r="I981" s="50" t="s">
        <v>29</v>
      </c>
      <c r="J981" s="50" t="s">
        <v>29</v>
      </c>
      <c r="K981" s="50" t="s">
        <v>29</v>
      </c>
      <c r="L981" s="50" t="s">
        <v>29</v>
      </c>
      <c r="M981" s="50" t="s">
        <v>29</v>
      </c>
      <c r="N981" s="49"/>
      <c r="P981" s="19"/>
      <c r="Q981" s="18" t="str">
        <f ca="1">IFERROR(__xludf.DUMMYFUNCTION("""COMPUTED_VALUE"""),"")</f>
        <v/>
      </c>
      <c r="R981" s="19"/>
      <c r="S981" s="20"/>
      <c r="BP981" s="10"/>
      <c r="BW981" s="10"/>
      <c r="CF981" s="10"/>
      <c r="CM981" s="10"/>
      <c r="CP981" s="18" t="str">
        <f ca="1"/>
        <v/>
      </c>
      <c r="CQ981" s="18" t="str">
        <f ca="1"/>
        <v/>
      </c>
      <c r="CR981" s="18" t="str">
        <f ca="1"/>
        <v/>
      </c>
      <c r="CS981" s="18" t="str">
        <f ca="1"/>
        <v/>
      </c>
      <c r="CT981" s="18" t="str">
        <f ca="1"/>
        <v/>
      </c>
      <c r="CV981" s="10"/>
      <c r="CY981" s="18" t="str">
        <f ca="1"/>
        <v/>
      </c>
      <c r="CZ981" s="18" t="str">
        <f ca="1"/>
        <v/>
      </c>
      <c r="DA981" s="18" t="str">
        <f ca="1"/>
        <v/>
      </c>
      <c r="DC981" s="10"/>
    </row>
    <row r="982" spans="1:107" x14ac:dyDescent="0.25">
      <c r="A982" s="46"/>
      <c r="B982" s="52"/>
      <c r="C982" s="52"/>
      <c r="D982" s="16"/>
      <c r="E982" s="52"/>
      <c r="F982" s="52"/>
      <c r="G982" s="50"/>
      <c r="H982" s="17" t="str">
        <f ca="1">IFERROR(__xludf.DUMMYFUNCTION("""COMPUTED_VALUE"""),"")</f>
        <v/>
      </c>
      <c r="I982" s="50" t="s">
        <v>29</v>
      </c>
      <c r="J982" s="50" t="s">
        <v>29</v>
      </c>
      <c r="K982" s="50" t="s">
        <v>29</v>
      </c>
      <c r="L982" s="50" t="s">
        <v>29</v>
      </c>
      <c r="M982" s="50" t="s">
        <v>29</v>
      </c>
      <c r="N982" s="49"/>
      <c r="P982" s="19"/>
      <c r="Q982" s="18" t="str">
        <f ca="1">IFERROR(__xludf.DUMMYFUNCTION("""COMPUTED_VALUE"""),"")</f>
        <v/>
      </c>
      <c r="R982" s="19"/>
      <c r="S982" s="20"/>
      <c r="BP982" s="10"/>
      <c r="BW982" s="10"/>
      <c r="CF982" s="10"/>
      <c r="CM982" s="10"/>
      <c r="CP982" s="18" t="str">
        <f ca="1"/>
        <v/>
      </c>
      <c r="CQ982" s="18" t="str">
        <f ca="1"/>
        <v/>
      </c>
      <c r="CR982" s="18" t="str">
        <f ca="1"/>
        <v/>
      </c>
      <c r="CS982" s="18" t="str">
        <f ca="1"/>
        <v/>
      </c>
      <c r="CT982" s="18" t="str">
        <f ca="1"/>
        <v/>
      </c>
      <c r="CV982" s="10"/>
      <c r="CY982" s="18" t="str">
        <f ca="1"/>
        <v/>
      </c>
      <c r="CZ982" s="18" t="str">
        <f ca="1"/>
        <v/>
      </c>
      <c r="DA982" s="18" t="str">
        <f ca="1"/>
        <v/>
      </c>
      <c r="DC982" s="10"/>
    </row>
    <row r="983" spans="1:107" x14ac:dyDescent="0.25">
      <c r="A983" s="46"/>
      <c r="B983" s="52"/>
      <c r="C983" s="52"/>
      <c r="D983" s="16"/>
      <c r="E983" s="52"/>
      <c r="F983" s="52"/>
      <c r="G983" s="50"/>
      <c r="H983" s="17" t="str">
        <f ca="1">IFERROR(__xludf.DUMMYFUNCTION("""COMPUTED_VALUE"""),"")</f>
        <v/>
      </c>
      <c r="I983" s="50" t="s">
        <v>29</v>
      </c>
      <c r="J983" s="50" t="s">
        <v>29</v>
      </c>
      <c r="K983" s="50" t="s">
        <v>29</v>
      </c>
      <c r="L983" s="50" t="s">
        <v>29</v>
      </c>
      <c r="M983" s="50" t="s">
        <v>29</v>
      </c>
      <c r="N983" s="49"/>
      <c r="P983" s="19"/>
      <c r="Q983" s="18" t="str">
        <f ca="1">IFERROR(__xludf.DUMMYFUNCTION("""COMPUTED_VALUE"""),"")</f>
        <v/>
      </c>
      <c r="R983" s="19"/>
      <c r="S983" s="20"/>
      <c r="BP983" s="10"/>
      <c r="BW983" s="10"/>
      <c r="CF983" s="10"/>
      <c r="CM983" s="10"/>
      <c r="CP983" s="18" t="str">
        <f ca="1"/>
        <v/>
      </c>
      <c r="CQ983" s="18" t="str">
        <f ca="1"/>
        <v/>
      </c>
      <c r="CR983" s="18" t="str">
        <f ca="1"/>
        <v/>
      </c>
      <c r="CS983" s="18" t="str">
        <f ca="1"/>
        <v/>
      </c>
      <c r="CT983" s="18" t="str">
        <f ca="1"/>
        <v/>
      </c>
      <c r="CV983" s="10"/>
      <c r="CY983" s="18" t="str">
        <f ca="1"/>
        <v/>
      </c>
      <c r="CZ983" s="18" t="str">
        <f ca="1"/>
        <v/>
      </c>
      <c r="DA983" s="18" t="str">
        <f ca="1"/>
        <v/>
      </c>
      <c r="DC983" s="10"/>
    </row>
    <row r="984" spans="1:107" x14ac:dyDescent="0.25">
      <c r="A984" s="46"/>
      <c r="B984" s="52"/>
      <c r="C984" s="52"/>
      <c r="D984" s="16"/>
      <c r="E984" s="52"/>
      <c r="F984" s="52"/>
      <c r="G984" s="50"/>
      <c r="H984" s="17" t="str">
        <f ca="1">IFERROR(__xludf.DUMMYFUNCTION("""COMPUTED_VALUE"""),"")</f>
        <v/>
      </c>
      <c r="I984" s="50" t="s">
        <v>29</v>
      </c>
      <c r="J984" s="50" t="s">
        <v>29</v>
      </c>
      <c r="K984" s="50" t="s">
        <v>29</v>
      </c>
      <c r="L984" s="50" t="s">
        <v>29</v>
      </c>
      <c r="M984" s="50" t="s">
        <v>29</v>
      </c>
      <c r="N984" s="49"/>
      <c r="P984" s="19"/>
      <c r="Q984" s="18" t="str">
        <f ca="1">IFERROR(__xludf.DUMMYFUNCTION("""COMPUTED_VALUE"""),"")</f>
        <v/>
      </c>
      <c r="R984" s="19"/>
      <c r="S984" s="20"/>
      <c r="BP984" s="10"/>
      <c r="BW984" s="10"/>
      <c r="CF984" s="10"/>
      <c r="CM984" s="10"/>
      <c r="CP984" s="18" t="str">
        <f ca="1"/>
        <v/>
      </c>
      <c r="CQ984" s="18" t="str">
        <f ca="1"/>
        <v/>
      </c>
      <c r="CR984" s="18" t="str">
        <f ca="1"/>
        <v/>
      </c>
      <c r="CS984" s="18" t="str">
        <f ca="1"/>
        <v/>
      </c>
      <c r="CT984" s="18" t="str">
        <f ca="1"/>
        <v/>
      </c>
      <c r="CV984" s="10"/>
      <c r="CY984" s="18" t="str">
        <f ca="1"/>
        <v/>
      </c>
      <c r="CZ984" s="18" t="str">
        <f ca="1"/>
        <v/>
      </c>
      <c r="DA984" s="18" t="str">
        <f ca="1"/>
        <v/>
      </c>
      <c r="DC984" s="10"/>
    </row>
    <row r="985" spans="1:107" x14ac:dyDescent="0.25">
      <c r="A985" s="46"/>
      <c r="B985" s="52"/>
      <c r="C985" s="52"/>
      <c r="D985" s="16"/>
      <c r="E985" s="52"/>
      <c r="F985" s="52"/>
      <c r="G985" s="50"/>
      <c r="H985" s="17" t="str">
        <f ca="1">IFERROR(__xludf.DUMMYFUNCTION("""COMPUTED_VALUE"""),"")</f>
        <v/>
      </c>
      <c r="I985" s="50" t="s">
        <v>29</v>
      </c>
      <c r="J985" s="50" t="s">
        <v>29</v>
      </c>
      <c r="K985" s="50" t="s">
        <v>29</v>
      </c>
      <c r="L985" s="50" t="s">
        <v>29</v>
      </c>
      <c r="M985" s="50" t="s">
        <v>29</v>
      </c>
      <c r="N985" s="49"/>
      <c r="P985" s="19"/>
      <c r="Q985" s="18" t="str">
        <f ca="1">IFERROR(__xludf.DUMMYFUNCTION("""COMPUTED_VALUE"""),"")</f>
        <v/>
      </c>
      <c r="R985" s="19"/>
      <c r="S985" s="20"/>
      <c r="BP985" s="10"/>
      <c r="BW985" s="10"/>
      <c r="CF985" s="10"/>
      <c r="CM985" s="10"/>
      <c r="CP985" s="18" t="str">
        <f ca="1"/>
        <v/>
      </c>
      <c r="CQ985" s="18" t="str">
        <f ca="1"/>
        <v/>
      </c>
      <c r="CR985" s="18" t="str">
        <f ca="1"/>
        <v/>
      </c>
      <c r="CS985" s="18" t="str">
        <f ca="1"/>
        <v/>
      </c>
      <c r="CT985" s="18" t="str">
        <f ca="1"/>
        <v/>
      </c>
      <c r="CV985" s="10"/>
      <c r="CY985" s="18" t="str">
        <f ca="1"/>
        <v/>
      </c>
      <c r="CZ985" s="18" t="str">
        <f ca="1"/>
        <v/>
      </c>
      <c r="DA985" s="18" t="str">
        <f ca="1"/>
        <v/>
      </c>
      <c r="DC985" s="10"/>
    </row>
    <row r="986" spans="1:107" x14ac:dyDescent="0.25">
      <c r="A986" s="46"/>
      <c r="B986" s="52"/>
      <c r="C986" s="52"/>
      <c r="D986" s="16"/>
      <c r="E986" s="52"/>
      <c r="F986" s="52"/>
      <c r="G986" s="50"/>
      <c r="H986" s="17" t="str">
        <f ca="1">IFERROR(__xludf.DUMMYFUNCTION("""COMPUTED_VALUE"""),"")</f>
        <v/>
      </c>
      <c r="I986" s="50" t="s">
        <v>29</v>
      </c>
      <c r="J986" s="50" t="s">
        <v>29</v>
      </c>
      <c r="K986" s="50" t="s">
        <v>29</v>
      </c>
      <c r="L986" s="50" t="s">
        <v>29</v>
      </c>
      <c r="M986" s="50" t="s">
        <v>29</v>
      </c>
      <c r="N986" s="49"/>
      <c r="P986" s="19"/>
      <c r="Q986" s="18" t="str">
        <f ca="1">IFERROR(__xludf.DUMMYFUNCTION("""COMPUTED_VALUE"""),"")</f>
        <v/>
      </c>
      <c r="R986" s="19"/>
      <c r="S986" s="20"/>
      <c r="BP986" s="10"/>
      <c r="BW986" s="10"/>
      <c r="CF986" s="10"/>
      <c r="CM986" s="10"/>
      <c r="CP986" s="18" t="str">
        <f ca="1"/>
        <v/>
      </c>
      <c r="CQ986" s="18" t="str">
        <f ca="1"/>
        <v/>
      </c>
      <c r="CR986" s="18" t="str">
        <f ca="1"/>
        <v/>
      </c>
      <c r="CS986" s="18" t="str">
        <f ca="1"/>
        <v/>
      </c>
      <c r="CT986" s="18" t="str">
        <f ca="1"/>
        <v/>
      </c>
      <c r="CV986" s="10"/>
      <c r="CY986" s="18" t="str">
        <f ca="1"/>
        <v/>
      </c>
      <c r="CZ986" s="18" t="str">
        <f ca="1"/>
        <v/>
      </c>
      <c r="DA986" s="18" t="str">
        <f ca="1"/>
        <v/>
      </c>
      <c r="DC986" s="10"/>
    </row>
    <row r="987" spans="1:107" x14ac:dyDescent="0.25">
      <c r="A987" s="46"/>
      <c r="B987" s="52"/>
      <c r="C987" s="52"/>
      <c r="D987" s="16"/>
      <c r="E987" s="52"/>
      <c r="F987" s="52"/>
      <c r="G987" s="50"/>
      <c r="H987" s="17" t="str">
        <f ca="1">IFERROR(__xludf.DUMMYFUNCTION("""COMPUTED_VALUE"""),"")</f>
        <v/>
      </c>
      <c r="I987" s="50" t="s">
        <v>29</v>
      </c>
      <c r="J987" s="50" t="s">
        <v>29</v>
      </c>
      <c r="K987" s="50" t="s">
        <v>29</v>
      </c>
      <c r="L987" s="50" t="s">
        <v>29</v>
      </c>
      <c r="M987" s="50" t="s">
        <v>29</v>
      </c>
      <c r="N987" s="49"/>
      <c r="P987" s="19"/>
      <c r="Q987" s="18" t="str">
        <f ca="1">IFERROR(__xludf.DUMMYFUNCTION("""COMPUTED_VALUE"""),"")</f>
        <v/>
      </c>
      <c r="R987" s="19"/>
      <c r="S987" s="20"/>
      <c r="BP987" s="10"/>
      <c r="BW987" s="10"/>
      <c r="CF987" s="10"/>
      <c r="CM987" s="10"/>
      <c r="CP987" s="18" t="str">
        <f ca="1"/>
        <v/>
      </c>
      <c r="CQ987" s="18" t="str">
        <f ca="1"/>
        <v/>
      </c>
      <c r="CR987" s="18" t="str">
        <f ca="1"/>
        <v/>
      </c>
      <c r="CS987" s="18" t="str">
        <f ca="1"/>
        <v/>
      </c>
      <c r="CT987" s="18" t="str">
        <f ca="1"/>
        <v/>
      </c>
      <c r="CV987" s="10"/>
      <c r="CY987" s="18" t="str">
        <f ca="1"/>
        <v/>
      </c>
      <c r="CZ987" s="18" t="str">
        <f ca="1"/>
        <v/>
      </c>
      <c r="DA987" s="18" t="str">
        <f ca="1"/>
        <v/>
      </c>
      <c r="DC987" s="10"/>
    </row>
    <row r="988" spans="1:107" x14ac:dyDescent="0.25">
      <c r="A988" s="46"/>
      <c r="B988" s="52"/>
      <c r="C988" s="52"/>
      <c r="D988" s="16"/>
      <c r="E988" s="52"/>
      <c r="F988" s="52"/>
      <c r="G988" s="50"/>
      <c r="H988" s="17" t="str">
        <f ca="1">IFERROR(__xludf.DUMMYFUNCTION("""COMPUTED_VALUE"""),"")</f>
        <v/>
      </c>
      <c r="I988" s="50" t="s">
        <v>29</v>
      </c>
      <c r="J988" s="50" t="s">
        <v>29</v>
      </c>
      <c r="K988" s="50" t="s">
        <v>29</v>
      </c>
      <c r="L988" s="50" t="s">
        <v>29</v>
      </c>
      <c r="M988" s="50" t="s">
        <v>29</v>
      </c>
      <c r="N988" s="49"/>
      <c r="P988" s="19"/>
      <c r="Q988" s="18" t="str">
        <f ca="1">IFERROR(__xludf.DUMMYFUNCTION("""COMPUTED_VALUE"""),"")</f>
        <v/>
      </c>
      <c r="R988" s="19"/>
      <c r="S988" s="20"/>
      <c r="BP988" s="10"/>
      <c r="BW988" s="10"/>
      <c r="CF988" s="10"/>
      <c r="CM988" s="10"/>
      <c r="CP988" s="18" t="str">
        <f ca="1"/>
        <v/>
      </c>
      <c r="CQ988" s="18" t="str">
        <f ca="1"/>
        <v/>
      </c>
      <c r="CR988" s="18" t="str">
        <f ca="1"/>
        <v/>
      </c>
      <c r="CS988" s="18" t="str">
        <f ca="1"/>
        <v/>
      </c>
      <c r="CT988" s="18" t="str">
        <f ca="1"/>
        <v/>
      </c>
      <c r="CV988" s="10"/>
      <c r="CY988" s="18" t="str">
        <f ca="1"/>
        <v/>
      </c>
      <c r="CZ988" s="18" t="str">
        <f ca="1"/>
        <v/>
      </c>
      <c r="DA988" s="18" t="str">
        <f ca="1"/>
        <v/>
      </c>
      <c r="DC988" s="10"/>
    </row>
    <row r="989" spans="1:107" x14ac:dyDescent="0.25">
      <c r="A989" s="46"/>
      <c r="B989" s="52"/>
      <c r="C989" s="52"/>
      <c r="D989" s="16"/>
      <c r="E989" s="52"/>
      <c r="F989" s="52"/>
      <c r="G989" s="50"/>
      <c r="H989" s="17" t="str">
        <f ca="1">IFERROR(__xludf.DUMMYFUNCTION("""COMPUTED_VALUE"""),"")</f>
        <v/>
      </c>
      <c r="I989" s="50" t="s">
        <v>29</v>
      </c>
      <c r="J989" s="50" t="s">
        <v>29</v>
      </c>
      <c r="K989" s="50" t="s">
        <v>29</v>
      </c>
      <c r="L989" s="50" t="s">
        <v>29</v>
      </c>
      <c r="M989" s="50" t="s">
        <v>29</v>
      </c>
      <c r="N989" s="49"/>
      <c r="P989" s="19"/>
      <c r="Q989" s="18" t="str">
        <f ca="1">IFERROR(__xludf.DUMMYFUNCTION("""COMPUTED_VALUE"""),"")</f>
        <v/>
      </c>
      <c r="R989" s="19"/>
      <c r="S989" s="20"/>
      <c r="BP989" s="10"/>
      <c r="BW989" s="10"/>
      <c r="CF989" s="10"/>
      <c r="CM989" s="10"/>
      <c r="CP989" s="18" t="str">
        <f ca="1"/>
        <v/>
      </c>
      <c r="CQ989" s="18" t="str">
        <f ca="1"/>
        <v/>
      </c>
      <c r="CR989" s="18" t="str">
        <f ca="1"/>
        <v/>
      </c>
      <c r="CS989" s="18" t="str">
        <f ca="1"/>
        <v/>
      </c>
      <c r="CT989" s="18" t="str">
        <f ca="1"/>
        <v/>
      </c>
      <c r="CV989" s="10"/>
      <c r="CY989" s="18" t="str">
        <f ca="1"/>
        <v/>
      </c>
      <c r="CZ989" s="18" t="str">
        <f ca="1"/>
        <v/>
      </c>
      <c r="DA989" s="18" t="str">
        <f ca="1"/>
        <v/>
      </c>
      <c r="DC989" s="10"/>
    </row>
    <row r="990" spans="1:107" x14ac:dyDescent="0.25">
      <c r="A990" s="46"/>
      <c r="B990" s="52"/>
      <c r="C990" s="52"/>
      <c r="D990" s="16"/>
      <c r="E990" s="52"/>
      <c r="F990" s="52"/>
      <c r="G990" s="50"/>
      <c r="H990" s="17" t="str">
        <f ca="1">IFERROR(__xludf.DUMMYFUNCTION("""COMPUTED_VALUE"""),"")</f>
        <v/>
      </c>
      <c r="I990" s="50" t="s">
        <v>29</v>
      </c>
      <c r="J990" s="50" t="s">
        <v>29</v>
      </c>
      <c r="K990" s="50" t="s">
        <v>29</v>
      </c>
      <c r="L990" s="50" t="s">
        <v>29</v>
      </c>
      <c r="M990" s="50" t="s">
        <v>29</v>
      </c>
      <c r="N990" s="49"/>
      <c r="P990" s="19"/>
      <c r="Q990" s="18" t="str">
        <f ca="1">IFERROR(__xludf.DUMMYFUNCTION("""COMPUTED_VALUE"""),"")</f>
        <v/>
      </c>
      <c r="R990" s="19"/>
      <c r="S990" s="20"/>
      <c r="BP990" s="10"/>
      <c r="BW990" s="10"/>
      <c r="CF990" s="10"/>
      <c r="CM990" s="10"/>
      <c r="CP990" s="18" t="str">
        <f ca="1"/>
        <v/>
      </c>
      <c r="CQ990" s="18" t="str">
        <f ca="1"/>
        <v/>
      </c>
      <c r="CR990" s="18" t="str">
        <f ca="1"/>
        <v/>
      </c>
      <c r="CS990" s="18" t="str">
        <f ca="1"/>
        <v/>
      </c>
      <c r="CT990" s="18" t="str">
        <f ca="1"/>
        <v/>
      </c>
      <c r="CV990" s="10"/>
      <c r="CY990" s="18" t="str">
        <f ca="1"/>
        <v/>
      </c>
      <c r="CZ990" s="18" t="str">
        <f ca="1"/>
        <v/>
      </c>
      <c r="DA990" s="18" t="str">
        <f ca="1"/>
        <v/>
      </c>
      <c r="DC990" s="10"/>
    </row>
    <row r="991" spans="1:107" x14ac:dyDescent="0.25">
      <c r="A991" s="46"/>
      <c r="B991" s="52"/>
      <c r="C991" s="52"/>
      <c r="D991" s="16"/>
      <c r="E991" s="52"/>
      <c r="F991" s="52"/>
      <c r="G991" s="50"/>
      <c r="H991" s="17" t="str">
        <f ca="1">IFERROR(__xludf.DUMMYFUNCTION("""COMPUTED_VALUE"""),"")</f>
        <v/>
      </c>
      <c r="I991" s="50" t="s">
        <v>29</v>
      </c>
      <c r="J991" s="50" t="s">
        <v>29</v>
      </c>
      <c r="K991" s="50" t="s">
        <v>29</v>
      </c>
      <c r="L991" s="50" t="s">
        <v>29</v>
      </c>
      <c r="M991" s="50" t="s">
        <v>29</v>
      </c>
      <c r="N991" s="49"/>
      <c r="P991" s="19"/>
      <c r="Q991" s="18" t="str">
        <f ca="1">IFERROR(__xludf.DUMMYFUNCTION("""COMPUTED_VALUE"""),"")</f>
        <v/>
      </c>
      <c r="R991" s="19"/>
      <c r="S991" s="20"/>
      <c r="BP991" s="10"/>
      <c r="BW991" s="10"/>
      <c r="CF991" s="10"/>
      <c r="CM991" s="10"/>
      <c r="CP991" s="18" t="str">
        <f ca="1"/>
        <v/>
      </c>
      <c r="CQ991" s="18" t="str">
        <f ca="1"/>
        <v/>
      </c>
      <c r="CR991" s="18" t="str">
        <f ca="1"/>
        <v/>
      </c>
      <c r="CS991" s="18" t="str">
        <f ca="1"/>
        <v/>
      </c>
      <c r="CT991" s="18" t="str">
        <f ca="1"/>
        <v/>
      </c>
      <c r="CV991" s="10"/>
      <c r="CY991" s="18" t="str">
        <f ca="1"/>
        <v/>
      </c>
      <c r="CZ991" s="18" t="str">
        <f ca="1"/>
        <v/>
      </c>
      <c r="DA991" s="18" t="str">
        <f ca="1"/>
        <v/>
      </c>
      <c r="DC991" s="10"/>
    </row>
    <row r="992" spans="1:107" x14ac:dyDescent="0.25">
      <c r="A992" s="46"/>
      <c r="B992" s="52"/>
      <c r="C992" s="52"/>
      <c r="D992" s="16"/>
      <c r="E992" s="52"/>
      <c r="F992" s="52"/>
      <c r="G992" s="50"/>
      <c r="H992" s="17" t="str">
        <f ca="1">IFERROR(__xludf.DUMMYFUNCTION("""COMPUTED_VALUE"""),"")</f>
        <v/>
      </c>
      <c r="I992" s="50" t="s">
        <v>29</v>
      </c>
      <c r="J992" s="50" t="s">
        <v>29</v>
      </c>
      <c r="K992" s="50" t="s">
        <v>29</v>
      </c>
      <c r="L992" s="50" t="s">
        <v>29</v>
      </c>
      <c r="M992" s="50" t="s">
        <v>29</v>
      </c>
      <c r="N992" s="49"/>
      <c r="P992" s="19"/>
      <c r="Q992" s="18" t="str">
        <f ca="1">IFERROR(__xludf.DUMMYFUNCTION("""COMPUTED_VALUE"""),"")</f>
        <v/>
      </c>
      <c r="R992" s="19"/>
      <c r="S992" s="20"/>
      <c r="BP992" s="10"/>
      <c r="BW992" s="10"/>
      <c r="CF992" s="10"/>
      <c r="CM992" s="10"/>
      <c r="CP992" s="18" t="str">
        <f ca="1"/>
        <v/>
      </c>
      <c r="CQ992" s="18" t="str">
        <f ca="1"/>
        <v/>
      </c>
      <c r="CR992" s="18" t="str">
        <f ca="1"/>
        <v/>
      </c>
      <c r="CS992" s="18" t="str">
        <f ca="1"/>
        <v/>
      </c>
      <c r="CT992" s="18" t="str">
        <f ca="1"/>
        <v/>
      </c>
      <c r="CV992" s="10"/>
      <c r="CY992" s="18" t="str">
        <f ca="1"/>
        <v/>
      </c>
      <c r="CZ992" s="18" t="str">
        <f ca="1"/>
        <v/>
      </c>
      <c r="DA992" s="18" t="str">
        <f ca="1"/>
        <v/>
      </c>
      <c r="DC992" s="10"/>
    </row>
    <row r="993" spans="1:107" x14ac:dyDescent="0.25">
      <c r="A993" s="46"/>
      <c r="B993" s="52"/>
      <c r="C993" s="52"/>
      <c r="D993" s="16"/>
      <c r="E993" s="52"/>
      <c r="F993" s="52"/>
      <c r="G993" s="50"/>
      <c r="H993" s="17" t="str">
        <f ca="1">IFERROR(__xludf.DUMMYFUNCTION("""COMPUTED_VALUE"""),"")</f>
        <v/>
      </c>
      <c r="I993" s="50" t="s">
        <v>29</v>
      </c>
      <c r="J993" s="50" t="s">
        <v>29</v>
      </c>
      <c r="K993" s="50" t="s">
        <v>29</v>
      </c>
      <c r="L993" s="50" t="s">
        <v>29</v>
      </c>
      <c r="M993" s="50" t="s">
        <v>29</v>
      </c>
      <c r="N993" s="49"/>
      <c r="P993" s="19"/>
      <c r="Q993" s="18" t="str">
        <f ca="1">IFERROR(__xludf.DUMMYFUNCTION("""COMPUTED_VALUE"""),"")</f>
        <v/>
      </c>
      <c r="R993" s="19"/>
      <c r="S993" s="20"/>
      <c r="BP993" s="10"/>
      <c r="BW993" s="10"/>
      <c r="CF993" s="10"/>
      <c r="CM993" s="10"/>
      <c r="CP993" s="18" t="str">
        <f ca="1"/>
        <v/>
      </c>
      <c r="CQ993" s="18" t="str">
        <f ca="1"/>
        <v/>
      </c>
      <c r="CR993" s="18" t="str">
        <f ca="1"/>
        <v/>
      </c>
      <c r="CS993" s="18" t="str">
        <f ca="1"/>
        <v/>
      </c>
      <c r="CT993" s="18" t="str">
        <f ca="1"/>
        <v/>
      </c>
      <c r="CV993" s="10"/>
      <c r="CY993" s="18" t="str">
        <f ca="1"/>
        <v/>
      </c>
      <c r="CZ993" s="18" t="str">
        <f ca="1"/>
        <v/>
      </c>
      <c r="DA993" s="18" t="str">
        <f ca="1"/>
        <v/>
      </c>
      <c r="DC993" s="10"/>
    </row>
    <row r="994" spans="1:107" x14ac:dyDescent="0.25">
      <c r="A994" s="46"/>
      <c r="B994" s="52"/>
      <c r="C994" s="52"/>
      <c r="D994" s="16"/>
      <c r="E994" s="52"/>
      <c r="F994" s="52"/>
      <c r="G994" s="50"/>
      <c r="H994" s="17" t="str">
        <f ca="1">IFERROR(__xludf.DUMMYFUNCTION("""COMPUTED_VALUE"""),"")</f>
        <v/>
      </c>
      <c r="I994" s="50" t="s">
        <v>29</v>
      </c>
      <c r="J994" s="50" t="s">
        <v>29</v>
      </c>
      <c r="K994" s="50" t="s">
        <v>29</v>
      </c>
      <c r="L994" s="50" t="s">
        <v>29</v>
      </c>
      <c r="M994" s="50" t="s">
        <v>29</v>
      </c>
      <c r="N994" s="49"/>
      <c r="P994" s="19"/>
      <c r="Q994" s="18" t="str">
        <f ca="1">IFERROR(__xludf.DUMMYFUNCTION("""COMPUTED_VALUE"""),"")</f>
        <v/>
      </c>
      <c r="R994" s="19"/>
      <c r="S994" s="20"/>
      <c r="BP994" s="10"/>
      <c r="BW994" s="10"/>
      <c r="CF994" s="10"/>
      <c r="CM994" s="10"/>
      <c r="CP994" s="18" t="str">
        <f ca="1"/>
        <v/>
      </c>
      <c r="CQ994" s="18" t="str">
        <f ca="1"/>
        <v/>
      </c>
      <c r="CR994" s="18" t="str">
        <f ca="1"/>
        <v/>
      </c>
      <c r="CS994" s="18" t="str">
        <f ca="1"/>
        <v/>
      </c>
      <c r="CT994" s="18" t="str">
        <f ca="1"/>
        <v/>
      </c>
      <c r="CV994" s="10"/>
      <c r="CY994" s="18" t="str">
        <f ca="1"/>
        <v/>
      </c>
      <c r="CZ994" s="18" t="str">
        <f ca="1"/>
        <v/>
      </c>
      <c r="DA994" s="18" t="str">
        <f ca="1"/>
        <v/>
      </c>
      <c r="DC994" s="10"/>
    </row>
    <row r="995" spans="1:107" x14ac:dyDescent="0.25">
      <c r="A995" s="46"/>
      <c r="B995" s="52"/>
      <c r="C995" s="52"/>
      <c r="D995" s="16"/>
      <c r="E995" s="52"/>
      <c r="F995" s="52"/>
      <c r="G995" s="50"/>
      <c r="H995" s="17" t="str">
        <f ca="1">IFERROR(__xludf.DUMMYFUNCTION("""COMPUTED_VALUE"""),"")</f>
        <v/>
      </c>
      <c r="I995" s="50" t="s">
        <v>29</v>
      </c>
      <c r="J995" s="50" t="s">
        <v>29</v>
      </c>
      <c r="K995" s="50" t="s">
        <v>29</v>
      </c>
      <c r="L995" s="50" t="s">
        <v>29</v>
      </c>
      <c r="M995" s="50" t="s">
        <v>29</v>
      </c>
      <c r="N995" s="49"/>
      <c r="P995" s="19"/>
      <c r="Q995" s="18" t="str">
        <f ca="1">IFERROR(__xludf.DUMMYFUNCTION("""COMPUTED_VALUE"""),"")</f>
        <v/>
      </c>
      <c r="R995" s="19"/>
      <c r="S995" s="20"/>
      <c r="BP995" s="10"/>
      <c r="BW995" s="10"/>
      <c r="CF995" s="10"/>
      <c r="CM995" s="10"/>
      <c r="CP995" s="18" t="str">
        <f ca="1"/>
        <v/>
      </c>
      <c r="CQ995" s="18" t="str">
        <f ca="1"/>
        <v/>
      </c>
      <c r="CR995" s="18" t="str">
        <f ca="1"/>
        <v/>
      </c>
      <c r="CS995" s="18" t="str">
        <f ca="1"/>
        <v/>
      </c>
      <c r="CT995" s="18" t="str">
        <f ca="1"/>
        <v/>
      </c>
      <c r="CV995" s="10"/>
      <c r="CY995" s="18" t="str">
        <f ca="1"/>
        <v/>
      </c>
      <c r="CZ995" s="18" t="str">
        <f ca="1"/>
        <v/>
      </c>
      <c r="DA995" s="18" t="str">
        <f ca="1"/>
        <v/>
      </c>
      <c r="DC995" s="10"/>
    </row>
    <row r="996" spans="1:107" x14ac:dyDescent="0.25">
      <c r="A996" s="46"/>
      <c r="B996" s="52"/>
      <c r="C996" s="52"/>
      <c r="D996" s="16"/>
      <c r="E996" s="52"/>
      <c r="F996" s="52"/>
      <c r="G996" s="50"/>
      <c r="H996" s="17" t="str">
        <f ca="1">IFERROR(__xludf.DUMMYFUNCTION("""COMPUTED_VALUE"""),"")</f>
        <v/>
      </c>
      <c r="I996" s="50" t="s">
        <v>29</v>
      </c>
      <c r="J996" s="50" t="s">
        <v>29</v>
      </c>
      <c r="K996" s="50" t="s">
        <v>29</v>
      </c>
      <c r="L996" s="50" t="s">
        <v>29</v>
      </c>
      <c r="M996" s="50" t="s">
        <v>29</v>
      </c>
      <c r="N996" s="49"/>
      <c r="P996" s="19"/>
      <c r="Q996" s="18" t="str">
        <f ca="1">IFERROR(__xludf.DUMMYFUNCTION("""COMPUTED_VALUE"""),"")</f>
        <v/>
      </c>
      <c r="R996" s="19"/>
      <c r="S996" s="20"/>
      <c r="BP996" s="10"/>
      <c r="BW996" s="10"/>
      <c r="CF996" s="10"/>
      <c r="CM996" s="10"/>
      <c r="CP996" s="18" t="str">
        <f ca="1"/>
        <v/>
      </c>
      <c r="CQ996" s="18" t="str">
        <f ca="1"/>
        <v/>
      </c>
      <c r="CR996" s="18" t="str">
        <f ca="1"/>
        <v/>
      </c>
      <c r="CS996" s="18" t="str">
        <f ca="1"/>
        <v/>
      </c>
      <c r="CT996" s="18" t="str">
        <f ca="1"/>
        <v/>
      </c>
      <c r="CV996" s="10"/>
      <c r="CY996" s="18" t="str">
        <f ca="1"/>
        <v/>
      </c>
      <c r="CZ996" s="18" t="str">
        <f ca="1"/>
        <v/>
      </c>
      <c r="DA996" s="18" t="str">
        <f ca="1"/>
        <v/>
      </c>
      <c r="DC996" s="10"/>
    </row>
    <row r="997" spans="1:107" x14ac:dyDescent="0.25">
      <c r="A997" s="46"/>
      <c r="B997" s="52"/>
      <c r="C997" s="52"/>
      <c r="D997" s="16"/>
      <c r="E997" s="52"/>
      <c r="F997" s="52"/>
      <c r="G997" s="50"/>
      <c r="H997" s="17" t="str">
        <f ca="1">IFERROR(__xludf.DUMMYFUNCTION("""COMPUTED_VALUE"""),"")</f>
        <v/>
      </c>
      <c r="I997" s="50" t="s">
        <v>29</v>
      </c>
      <c r="J997" s="50" t="s">
        <v>29</v>
      </c>
      <c r="K997" s="50" t="s">
        <v>29</v>
      </c>
      <c r="L997" s="50" t="s">
        <v>29</v>
      </c>
      <c r="M997" s="50" t="s">
        <v>29</v>
      </c>
      <c r="N997" s="49"/>
      <c r="P997" s="19"/>
      <c r="Q997" s="18" t="str">
        <f ca="1">IFERROR(__xludf.DUMMYFUNCTION("""COMPUTED_VALUE"""),"")</f>
        <v/>
      </c>
      <c r="R997" s="19"/>
      <c r="S997" s="20"/>
      <c r="BP997" s="10"/>
      <c r="BW997" s="10"/>
      <c r="CF997" s="10"/>
      <c r="CM997" s="10"/>
      <c r="CP997" s="18" t="str">
        <f ca="1"/>
        <v/>
      </c>
      <c r="CQ997" s="18" t="str">
        <f ca="1"/>
        <v/>
      </c>
      <c r="CR997" s="18" t="str">
        <f ca="1"/>
        <v/>
      </c>
      <c r="CS997" s="18" t="str">
        <f ca="1"/>
        <v/>
      </c>
      <c r="CT997" s="18" t="str">
        <f ca="1"/>
        <v/>
      </c>
      <c r="CV997" s="10"/>
      <c r="CY997" s="18" t="str">
        <f ca="1"/>
        <v/>
      </c>
      <c r="CZ997" s="18" t="str">
        <f ca="1"/>
        <v/>
      </c>
      <c r="DA997" s="18" t="str">
        <f ca="1"/>
        <v/>
      </c>
      <c r="DC997" s="10"/>
    </row>
    <row r="998" spans="1:107" x14ac:dyDescent="0.25">
      <c r="A998" s="46"/>
      <c r="B998" s="52"/>
      <c r="C998" s="52"/>
      <c r="D998" s="16"/>
      <c r="E998" s="52"/>
      <c r="F998" s="52"/>
      <c r="G998" s="50"/>
      <c r="H998" s="17" t="str">
        <f ca="1">IFERROR(__xludf.DUMMYFUNCTION("""COMPUTED_VALUE"""),"")</f>
        <v/>
      </c>
      <c r="I998" s="50" t="s">
        <v>29</v>
      </c>
      <c r="J998" s="50" t="s">
        <v>29</v>
      </c>
      <c r="K998" s="50" t="s">
        <v>29</v>
      </c>
      <c r="L998" s="50" t="s">
        <v>29</v>
      </c>
      <c r="M998" s="50" t="s">
        <v>29</v>
      </c>
      <c r="N998" s="49"/>
      <c r="P998" s="19"/>
      <c r="Q998" s="18" t="str">
        <f ca="1">IFERROR(__xludf.DUMMYFUNCTION("""COMPUTED_VALUE"""),"")</f>
        <v/>
      </c>
      <c r="R998" s="19"/>
      <c r="S998" s="20"/>
      <c r="BP998" s="10"/>
      <c r="BW998" s="10"/>
      <c r="CF998" s="10"/>
      <c r="CM998" s="10"/>
      <c r="CP998" s="18" t="str">
        <f ca="1"/>
        <v/>
      </c>
      <c r="CQ998" s="18" t="str">
        <f ca="1"/>
        <v/>
      </c>
      <c r="CR998" s="18" t="str">
        <f ca="1"/>
        <v/>
      </c>
      <c r="CS998" s="18" t="str">
        <f ca="1"/>
        <v/>
      </c>
      <c r="CT998" s="18" t="str">
        <f ca="1"/>
        <v/>
      </c>
      <c r="CV998" s="10"/>
      <c r="CY998" s="18" t="str">
        <f ca="1"/>
        <v/>
      </c>
      <c r="CZ998" s="18" t="str">
        <f ca="1"/>
        <v/>
      </c>
      <c r="DA998" s="18" t="str">
        <f ca="1"/>
        <v/>
      </c>
      <c r="DC998" s="10"/>
    </row>
    <row r="999" spans="1:107" x14ac:dyDescent="0.25">
      <c r="A999" s="46"/>
      <c r="B999" s="52"/>
      <c r="C999" s="52"/>
      <c r="D999" s="16"/>
      <c r="E999" s="52"/>
      <c r="F999" s="52"/>
      <c r="G999" s="50"/>
      <c r="H999" s="17" t="str">
        <f ca="1">IFERROR(__xludf.DUMMYFUNCTION("""COMPUTED_VALUE"""),"")</f>
        <v/>
      </c>
      <c r="I999" s="50" t="s">
        <v>29</v>
      </c>
      <c r="J999" s="50" t="s">
        <v>29</v>
      </c>
      <c r="K999" s="50" t="s">
        <v>29</v>
      </c>
      <c r="L999" s="50" t="s">
        <v>29</v>
      </c>
      <c r="M999" s="50" t="s">
        <v>29</v>
      </c>
      <c r="N999" s="49"/>
      <c r="P999" s="19"/>
      <c r="Q999" s="18" t="str">
        <f ca="1">IFERROR(__xludf.DUMMYFUNCTION("""COMPUTED_VALUE"""),"")</f>
        <v/>
      </c>
      <c r="R999" s="19"/>
      <c r="S999" s="20"/>
      <c r="BP999" s="10"/>
      <c r="BW999" s="10"/>
      <c r="CF999" s="10"/>
      <c r="CM999" s="10"/>
      <c r="CP999" s="18" t="str">
        <f ca="1"/>
        <v/>
      </c>
      <c r="CQ999" s="18" t="str">
        <f ca="1"/>
        <v/>
      </c>
      <c r="CR999" s="18" t="str">
        <f ca="1"/>
        <v/>
      </c>
      <c r="CS999" s="18" t="str">
        <f ca="1"/>
        <v/>
      </c>
      <c r="CT999" s="18" t="str">
        <f ca="1"/>
        <v/>
      </c>
      <c r="CV999" s="10"/>
      <c r="CY999" s="18" t="str">
        <f ca="1"/>
        <v/>
      </c>
      <c r="CZ999" s="18" t="str">
        <f ca="1"/>
        <v/>
      </c>
      <c r="DA999" s="18" t="str">
        <f ca="1"/>
        <v/>
      </c>
      <c r="DC999" s="10"/>
    </row>
    <row r="1000" spans="1:107" x14ac:dyDescent="0.25">
      <c r="A1000" s="46"/>
      <c r="B1000" s="52"/>
      <c r="C1000" s="52"/>
      <c r="D1000" s="16"/>
      <c r="E1000" s="52"/>
      <c r="F1000" s="52"/>
      <c r="G1000" s="50"/>
      <c r="H1000" s="17" t="str">
        <f ca="1">IFERROR(__xludf.DUMMYFUNCTION("""COMPUTED_VALUE"""),"")</f>
        <v/>
      </c>
      <c r="I1000" s="50" t="s">
        <v>29</v>
      </c>
      <c r="J1000" s="50" t="s">
        <v>29</v>
      </c>
      <c r="K1000" s="50" t="s">
        <v>29</v>
      </c>
      <c r="L1000" s="50" t="s">
        <v>29</v>
      </c>
      <c r="M1000" s="50" t="s">
        <v>29</v>
      </c>
      <c r="N1000" s="49"/>
      <c r="P1000" s="19"/>
      <c r="Q1000" s="18" t="str">
        <f ca="1">IFERROR(__xludf.DUMMYFUNCTION("""COMPUTED_VALUE"""),"")</f>
        <v/>
      </c>
      <c r="R1000" s="19"/>
      <c r="S1000" s="20"/>
      <c r="BP1000" s="10"/>
      <c r="BW1000" s="10"/>
      <c r="CF1000" s="10"/>
      <c r="CM1000" s="10"/>
      <c r="CP1000" s="18" t="str">
        <f ca="1"/>
        <v/>
      </c>
      <c r="CQ1000" s="18" t="str">
        <f ca="1"/>
        <v/>
      </c>
      <c r="CR1000" s="18" t="str">
        <f ca="1"/>
        <v/>
      </c>
      <c r="CS1000" s="18" t="str">
        <f ca="1"/>
        <v/>
      </c>
      <c r="CT1000" s="18" t="str">
        <f ca="1"/>
        <v/>
      </c>
      <c r="CV1000" s="10"/>
      <c r="CY1000" s="18" t="str">
        <f ca="1"/>
        <v/>
      </c>
      <c r="CZ1000" s="18" t="str">
        <f ca="1"/>
        <v/>
      </c>
      <c r="DA1000" s="18" t="str">
        <f ca="1"/>
        <v/>
      </c>
      <c r="DC1000" s="10"/>
    </row>
    <row r="1001" spans="1:107" x14ac:dyDescent="0.25">
      <c r="A1001" s="46"/>
      <c r="B1001" s="52"/>
      <c r="C1001" s="52"/>
      <c r="D1001" s="16"/>
      <c r="E1001" s="52"/>
      <c r="F1001" s="52"/>
      <c r="G1001" s="50"/>
      <c r="H1001" s="17" t="str">
        <f ca="1">IFERROR(__xludf.DUMMYFUNCTION("""COMPUTED_VALUE"""),"")</f>
        <v/>
      </c>
      <c r="I1001" s="50" t="s">
        <v>29</v>
      </c>
      <c r="J1001" s="50" t="s">
        <v>29</v>
      </c>
      <c r="K1001" s="50" t="s">
        <v>29</v>
      </c>
      <c r="L1001" s="50" t="s">
        <v>29</v>
      </c>
      <c r="M1001" s="50" t="s">
        <v>29</v>
      </c>
      <c r="N1001" s="49"/>
      <c r="P1001" s="19"/>
      <c r="Q1001" s="18" t="str">
        <f ca="1">IFERROR(__xludf.DUMMYFUNCTION("""COMPUTED_VALUE"""),"")</f>
        <v/>
      </c>
      <c r="R1001" s="19"/>
      <c r="S1001" s="20"/>
      <c r="BP1001" s="10"/>
      <c r="BW1001" s="10"/>
      <c r="CF1001" s="10"/>
      <c r="CM1001" s="10"/>
      <c r="CP1001" s="18" t="str">
        <f ca="1"/>
        <v/>
      </c>
      <c r="CQ1001" s="18" t="str">
        <f ca="1"/>
        <v/>
      </c>
      <c r="CR1001" s="18" t="str">
        <f ca="1"/>
        <v/>
      </c>
      <c r="CS1001" s="18" t="str">
        <f ca="1"/>
        <v/>
      </c>
      <c r="CT1001" s="18" t="str">
        <f ca="1"/>
        <v/>
      </c>
      <c r="CV1001" s="10"/>
      <c r="CY1001" s="18" t="str">
        <f ca="1"/>
        <v/>
      </c>
      <c r="CZ1001" s="18" t="str">
        <f ca="1"/>
        <v/>
      </c>
      <c r="DA1001" s="18" t="str">
        <f ca="1"/>
        <v/>
      </c>
      <c r="DC1001" s="10"/>
    </row>
    <row r="1002" spans="1:107" x14ac:dyDescent="0.25">
      <c r="A1002" s="46"/>
      <c r="B1002" s="52"/>
      <c r="C1002" s="52"/>
      <c r="D1002" s="16"/>
      <c r="E1002" s="52"/>
      <c r="F1002" s="52"/>
      <c r="G1002" s="50"/>
      <c r="H1002" s="17" t="str">
        <f ca="1">IFERROR(__xludf.DUMMYFUNCTION("""COMPUTED_VALUE"""),"")</f>
        <v/>
      </c>
      <c r="I1002" s="50" t="s">
        <v>29</v>
      </c>
      <c r="J1002" s="50" t="s">
        <v>29</v>
      </c>
      <c r="K1002" s="50" t="s">
        <v>29</v>
      </c>
      <c r="L1002" s="50" t="s">
        <v>29</v>
      </c>
      <c r="M1002" s="50" t="s">
        <v>29</v>
      </c>
      <c r="N1002" s="49"/>
      <c r="P1002" s="19"/>
      <c r="Q1002" s="18" t="str">
        <f ca="1">IFERROR(__xludf.DUMMYFUNCTION("""COMPUTED_VALUE"""),"")</f>
        <v/>
      </c>
      <c r="R1002" s="19"/>
      <c r="S1002" s="20"/>
      <c r="BP1002" s="10"/>
      <c r="BW1002" s="10"/>
      <c r="CF1002" s="10"/>
      <c r="CM1002" s="10"/>
      <c r="CP1002" s="18" t="str">
        <f ca="1"/>
        <v/>
      </c>
      <c r="CQ1002" s="18" t="str">
        <f ca="1"/>
        <v/>
      </c>
      <c r="CR1002" s="18" t="str">
        <f ca="1"/>
        <v/>
      </c>
      <c r="CS1002" s="18" t="str">
        <f ca="1"/>
        <v/>
      </c>
      <c r="CT1002" s="18" t="str">
        <f ca="1"/>
        <v/>
      </c>
      <c r="CV1002" s="10"/>
      <c r="CY1002" s="18" t="str">
        <f ca="1"/>
        <v/>
      </c>
      <c r="CZ1002" s="18" t="str">
        <f ca="1"/>
        <v/>
      </c>
      <c r="DA1002" s="18" t="str">
        <f ca="1"/>
        <v/>
      </c>
      <c r="DC1002" s="10"/>
    </row>
    <row r="1003" spans="1:107" x14ac:dyDescent="0.25">
      <c r="A1003" s="46"/>
      <c r="B1003" s="52"/>
      <c r="C1003" s="52"/>
      <c r="D1003" s="16"/>
      <c r="E1003" s="52"/>
      <c r="F1003" s="52"/>
      <c r="G1003" s="50"/>
      <c r="H1003" s="17" t="str">
        <f ca="1">IFERROR(__xludf.DUMMYFUNCTION("""COMPUTED_VALUE"""),"")</f>
        <v/>
      </c>
      <c r="I1003" s="50" t="s">
        <v>29</v>
      </c>
      <c r="J1003" s="50" t="s">
        <v>29</v>
      </c>
      <c r="K1003" s="50" t="s">
        <v>29</v>
      </c>
      <c r="L1003" s="50" t="s">
        <v>29</v>
      </c>
      <c r="M1003" s="50" t="s">
        <v>29</v>
      </c>
      <c r="N1003" s="49"/>
      <c r="P1003" s="19"/>
      <c r="Q1003" s="18" t="str">
        <f ca="1">IFERROR(__xludf.DUMMYFUNCTION("""COMPUTED_VALUE"""),"")</f>
        <v/>
      </c>
      <c r="R1003" s="19"/>
      <c r="S1003" s="20"/>
      <c r="BP1003" s="10"/>
      <c r="BW1003" s="10"/>
      <c r="CF1003" s="10"/>
      <c r="CM1003" s="10"/>
      <c r="CP1003" s="18" t="str">
        <f ca="1"/>
        <v/>
      </c>
      <c r="CQ1003" s="18" t="str">
        <f ca="1"/>
        <v/>
      </c>
      <c r="CR1003" s="18" t="str">
        <f ca="1"/>
        <v/>
      </c>
      <c r="CS1003" s="18" t="str">
        <f ca="1"/>
        <v/>
      </c>
      <c r="CT1003" s="18" t="str">
        <f ca="1"/>
        <v/>
      </c>
      <c r="CV1003" s="10"/>
      <c r="CY1003" s="18" t="str">
        <f ca="1"/>
        <v/>
      </c>
      <c r="CZ1003" s="18" t="str">
        <f ca="1"/>
        <v/>
      </c>
      <c r="DA1003" s="18" t="str">
        <f ca="1"/>
        <v/>
      </c>
      <c r="DC1003" s="10"/>
    </row>
    <row r="1004" spans="1:107" x14ac:dyDescent="0.25">
      <c r="A1004" s="46"/>
      <c r="B1004" s="52"/>
      <c r="C1004" s="52"/>
      <c r="D1004" s="16"/>
      <c r="E1004" s="52"/>
      <c r="F1004" s="52"/>
      <c r="G1004" s="50"/>
      <c r="H1004" s="17" t="str">
        <f ca="1">IFERROR(__xludf.DUMMYFUNCTION("""COMPUTED_VALUE"""),"")</f>
        <v/>
      </c>
      <c r="I1004" s="50" t="s">
        <v>29</v>
      </c>
      <c r="J1004" s="50" t="s">
        <v>29</v>
      </c>
      <c r="K1004" s="50" t="s">
        <v>29</v>
      </c>
      <c r="L1004" s="50" t="s">
        <v>29</v>
      </c>
      <c r="M1004" s="50" t="s">
        <v>29</v>
      </c>
      <c r="N1004" s="49"/>
      <c r="P1004" s="19"/>
      <c r="Q1004" s="18" t="str">
        <f ca="1">IFERROR(__xludf.DUMMYFUNCTION("""COMPUTED_VALUE"""),"")</f>
        <v/>
      </c>
      <c r="R1004" s="19"/>
      <c r="S1004" s="20"/>
      <c r="BP1004" s="10"/>
      <c r="BW1004" s="10"/>
      <c r="CF1004" s="10"/>
      <c r="CM1004" s="10"/>
      <c r="CP1004" s="18" t="str">
        <f ca="1"/>
        <v/>
      </c>
      <c r="CQ1004" s="18" t="str">
        <f ca="1"/>
        <v/>
      </c>
      <c r="CR1004" s="18" t="str">
        <f ca="1"/>
        <v/>
      </c>
      <c r="CS1004" s="18" t="str">
        <f ca="1"/>
        <v/>
      </c>
      <c r="CT1004" s="18" t="str">
        <f ca="1"/>
        <v/>
      </c>
      <c r="CV1004" s="10"/>
      <c r="CY1004" s="18" t="str">
        <f ca="1"/>
        <v/>
      </c>
      <c r="CZ1004" s="18" t="str">
        <f ca="1"/>
        <v/>
      </c>
      <c r="DA1004" s="18" t="str">
        <f ca="1"/>
        <v/>
      </c>
      <c r="DC1004" s="10"/>
    </row>
    <row r="1005" spans="1:107" x14ac:dyDescent="0.25">
      <c r="A1005" s="46"/>
      <c r="B1005" s="52"/>
      <c r="C1005" s="52"/>
      <c r="D1005" s="16"/>
      <c r="E1005" s="52"/>
      <c r="F1005" s="52"/>
      <c r="G1005" s="50"/>
      <c r="H1005" s="17" t="str">
        <f ca="1">IFERROR(__xludf.DUMMYFUNCTION("""COMPUTED_VALUE"""),"")</f>
        <v/>
      </c>
      <c r="I1005" s="50" t="s">
        <v>29</v>
      </c>
      <c r="J1005" s="50" t="s">
        <v>29</v>
      </c>
      <c r="K1005" s="50" t="s">
        <v>29</v>
      </c>
      <c r="L1005" s="50" t="s">
        <v>29</v>
      </c>
      <c r="M1005" s="50" t="s">
        <v>29</v>
      </c>
      <c r="N1005" s="49"/>
      <c r="P1005" s="19"/>
      <c r="Q1005" s="18" t="str">
        <f ca="1">IFERROR(__xludf.DUMMYFUNCTION("""COMPUTED_VALUE"""),"")</f>
        <v/>
      </c>
      <c r="R1005" s="19"/>
      <c r="S1005" s="20"/>
      <c r="BP1005" s="10"/>
      <c r="BW1005" s="10"/>
      <c r="CF1005" s="10"/>
      <c r="CM1005" s="10"/>
      <c r="CP1005" s="18" t="str">
        <f ca="1"/>
        <v/>
      </c>
      <c r="CQ1005" s="18" t="str">
        <f ca="1"/>
        <v/>
      </c>
      <c r="CR1005" s="18" t="str">
        <f ca="1"/>
        <v/>
      </c>
      <c r="CS1005" s="18" t="str">
        <f ca="1"/>
        <v/>
      </c>
      <c r="CT1005" s="18" t="str">
        <f ca="1"/>
        <v/>
      </c>
      <c r="CV1005" s="10"/>
      <c r="CY1005" s="18" t="str">
        <f ca="1"/>
        <v/>
      </c>
      <c r="CZ1005" s="18" t="str">
        <f ca="1"/>
        <v/>
      </c>
      <c r="DA1005" s="18" t="str">
        <f ca="1"/>
        <v/>
      </c>
      <c r="DC1005" s="10"/>
    </row>
    <row r="1006" spans="1:107" x14ac:dyDescent="0.25">
      <c r="A1006" s="46"/>
      <c r="B1006" s="52"/>
      <c r="C1006" s="52"/>
      <c r="D1006" s="16"/>
      <c r="E1006" s="52"/>
      <c r="F1006" s="52"/>
      <c r="G1006" s="50"/>
      <c r="H1006" s="17" t="str">
        <f ca="1">IFERROR(__xludf.DUMMYFUNCTION("""COMPUTED_VALUE"""),"")</f>
        <v/>
      </c>
      <c r="I1006" s="50" t="s">
        <v>29</v>
      </c>
      <c r="J1006" s="50" t="s">
        <v>29</v>
      </c>
      <c r="K1006" s="50" t="s">
        <v>29</v>
      </c>
      <c r="L1006" s="50" t="s">
        <v>29</v>
      </c>
      <c r="M1006" s="50" t="s">
        <v>29</v>
      </c>
      <c r="N1006" s="49"/>
      <c r="P1006" s="19"/>
      <c r="Q1006" s="18" t="str">
        <f ca="1">IFERROR(__xludf.DUMMYFUNCTION("""COMPUTED_VALUE"""),"")</f>
        <v/>
      </c>
      <c r="R1006" s="19"/>
      <c r="S1006" s="20"/>
      <c r="BP1006" s="10"/>
      <c r="BW1006" s="10"/>
      <c r="CF1006" s="10"/>
      <c r="CM1006" s="10"/>
      <c r="CP1006" s="18" t="str">
        <f ca="1"/>
        <v/>
      </c>
      <c r="CQ1006" s="18" t="str">
        <f ca="1"/>
        <v/>
      </c>
      <c r="CR1006" s="18" t="str">
        <f ca="1"/>
        <v/>
      </c>
      <c r="CS1006" s="18" t="str">
        <f ca="1"/>
        <v/>
      </c>
      <c r="CT1006" s="18" t="str">
        <f ca="1"/>
        <v/>
      </c>
      <c r="CV1006" s="10"/>
      <c r="CY1006" s="18" t="str">
        <f ca="1"/>
        <v/>
      </c>
      <c r="CZ1006" s="18" t="str">
        <f ca="1"/>
        <v/>
      </c>
      <c r="DA1006" s="18" t="str">
        <f ca="1"/>
        <v/>
      </c>
      <c r="DC1006" s="10"/>
    </row>
    <row r="1007" spans="1:107" x14ac:dyDescent="0.25">
      <c r="A1007" s="46"/>
      <c r="B1007" s="52"/>
      <c r="C1007" s="52"/>
      <c r="D1007" s="16"/>
      <c r="E1007" s="52"/>
      <c r="F1007" s="52"/>
      <c r="G1007" s="50"/>
      <c r="H1007" s="17" t="str">
        <f ca="1">IFERROR(__xludf.DUMMYFUNCTION("""COMPUTED_VALUE"""),"")</f>
        <v/>
      </c>
      <c r="I1007" s="50" t="s">
        <v>29</v>
      </c>
      <c r="J1007" s="50" t="s">
        <v>29</v>
      </c>
      <c r="K1007" s="50" t="s">
        <v>29</v>
      </c>
      <c r="L1007" s="50" t="s">
        <v>29</v>
      </c>
      <c r="M1007" s="50" t="s">
        <v>29</v>
      </c>
      <c r="N1007" s="49"/>
      <c r="P1007" s="19"/>
      <c r="Q1007" s="18" t="str">
        <f ca="1">IFERROR(__xludf.DUMMYFUNCTION("""COMPUTED_VALUE"""),"")</f>
        <v/>
      </c>
      <c r="R1007" s="19"/>
      <c r="S1007" s="20"/>
      <c r="BP1007" s="10"/>
      <c r="BW1007" s="10"/>
      <c r="CF1007" s="10"/>
      <c r="CM1007" s="10"/>
      <c r="CP1007" s="18" t="str">
        <f ca="1"/>
        <v/>
      </c>
      <c r="CQ1007" s="18" t="str">
        <f ca="1"/>
        <v/>
      </c>
      <c r="CR1007" s="18" t="str">
        <f ca="1"/>
        <v/>
      </c>
      <c r="CS1007" s="18" t="str">
        <f ca="1"/>
        <v/>
      </c>
      <c r="CT1007" s="18" t="str">
        <f ca="1"/>
        <v/>
      </c>
      <c r="CV1007" s="10"/>
      <c r="CY1007" s="18" t="str">
        <f ca="1"/>
        <v/>
      </c>
      <c r="CZ1007" s="18" t="str">
        <f ca="1"/>
        <v/>
      </c>
      <c r="DA1007" s="18" t="str">
        <f ca="1"/>
        <v/>
      </c>
      <c r="DC1007" s="10"/>
    </row>
    <row r="1008" spans="1:107" x14ac:dyDescent="0.25">
      <c r="A1008" s="46"/>
      <c r="B1008" s="52"/>
      <c r="C1008" s="52"/>
      <c r="D1008" s="16"/>
      <c r="E1008" s="52"/>
      <c r="F1008" s="52"/>
      <c r="G1008" s="50"/>
      <c r="H1008" s="17" t="str">
        <f ca="1">IFERROR(__xludf.DUMMYFUNCTION("""COMPUTED_VALUE"""),"")</f>
        <v/>
      </c>
      <c r="I1008" s="50" t="s">
        <v>29</v>
      </c>
      <c r="J1008" s="50" t="s">
        <v>29</v>
      </c>
      <c r="K1008" s="50" t="s">
        <v>29</v>
      </c>
      <c r="L1008" s="50" t="s">
        <v>29</v>
      </c>
      <c r="M1008" s="50" t="s">
        <v>29</v>
      </c>
      <c r="N1008" s="49"/>
      <c r="P1008" s="19"/>
      <c r="Q1008" s="18" t="str">
        <f ca="1">IFERROR(__xludf.DUMMYFUNCTION("""COMPUTED_VALUE"""),"")</f>
        <v/>
      </c>
      <c r="R1008" s="19"/>
      <c r="S1008" s="20"/>
      <c r="BP1008" s="10"/>
      <c r="BW1008" s="10"/>
      <c r="CF1008" s="10"/>
      <c r="CM1008" s="10"/>
      <c r="CP1008" s="18" t="str">
        <f ca="1"/>
        <v/>
      </c>
      <c r="CQ1008" s="18" t="str">
        <f ca="1"/>
        <v/>
      </c>
      <c r="CR1008" s="18" t="str">
        <f ca="1"/>
        <v/>
      </c>
      <c r="CS1008" s="18" t="str">
        <f ca="1"/>
        <v/>
      </c>
      <c r="CT1008" s="18" t="str">
        <f ca="1"/>
        <v/>
      </c>
      <c r="CV1008" s="10"/>
      <c r="CY1008" s="18" t="str">
        <f ca="1"/>
        <v/>
      </c>
      <c r="CZ1008" s="18" t="str">
        <f ca="1"/>
        <v/>
      </c>
      <c r="DA1008" s="18" t="str">
        <f ca="1"/>
        <v/>
      </c>
      <c r="DC1008" s="10"/>
    </row>
    <row r="1009" spans="1:107" x14ac:dyDescent="0.25">
      <c r="A1009" s="46"/>
      <c r="B1009" s="52"/>
      <c r="C1009" s="52"/>
      <c r="D1009" s="16"/>
      <c r="E1009" s="52"/>
      <c r="F1009" s="52"/>
      <c r="G1009" s="50"/>
      <c r="H1009" s="17" t="str">
        <f ca="1">IFERROR(__xludf.DUMMYFUNCTION("""COMPUTED_VALUE"""),"")</f>
        <v/>
      </c>
      <c r="I1009" s="50" t="s">
        <v>29</v>
      </c>
      <c r="J1009" s="50" t="s">
        <v>29</v>
      </c>
      <c r="K1009" s="50" t="s">
        <v>29</v>
      </c>
      <c r="L1009" s="50" t="s">
        <v>29</v>
      </c>
      <c r="M1009" s="50" t="s">
        <v>29</v>
      </c>
      <c r="N1009" s="49"/>
      <c r="P1009" s="19"/>
      <c r="Q1009" s="18" t="str">
        <f ca="1">IFERROR(__xludf.DUMMYFUNCTION("""COMPUTED_VALUE"""),"")</f>
        <v/>
      </c>
      <c r="R1009" s="19"/>
      <c r="S1009" s="20"/>
      <c r="BP1009" s="10"/>
      <c r="BW1009" s="10"/>
      <c r="CF1009" s="10"/>
      <c r="CM1009" s="10"/>
      <c r="CP1009" s="18" t="str">
        <f ca="1"/>
        <v/>
      </c>
      <c r="CQ1009" s="18" t="str">
        <f ca="1"/>
        <v/>
      </c>
      <c r="CR1009" s="18" t="str">
        <f ca="1"/>
        <v/>
      </c>
      <c r="CS1009" s="18" t="str">
        <f ca="1"/>
        <v/>
      </c>
      <c r="CT1009" s="18" t="str">
        <f ca="1"/>
        <v/>
      </c>
      <c r="CV1009" s="10"/>
      <c r="CY1009" s="18" t="str">
        <f ca="1"/>
        <v/>
      </c>
      <c r="CZ1009" s="18" t="str">
        <f ca="1"/>
        <v/>
      </c>
      <c r="DA1009" s="18" t="str">
        <f ca="1"/>
        <v/>
      </c>
      <c r="DC1009" s="10"/>
    </row>
    <row r="1010" spans="1:107" x14ac:dyDescent="0.25">
      <c r="A1010" s="46"/>
      <c r="B1010" s="52"/>
      <c r="C1010" s="52"/>
      <c r="D1010" s="16"/>
      <c r="E1010" s="52"/>
      <c r="F1010" s="52"/>
      <c r="G1010" s="50"/>
      <c r="H1010" s="17" t="str">
        <f ca="1">IFERROR(__xludf.DUMMYFUNCTION("""COMPUTED_VALUE"""),"")</f>
        <v/>
      </c>
      <c r="I1010" s="50" t="s">
        <v>29</v>
      </c>
      <c r="J1010" s="50" t="s">
        <v>29</v>
      </c>
      <c r="K1010" s="50" t="s">
        <v>29</v>
      </c>
      <c r="L1010" s="50" t="s">
        <v>29</v>
      </c>
      <c r="M1010" s="50" t="s">
        <v>29</v>
      </c>
      <c r="N1010" s="49"/>
      <c r="P1010" s="19"/>
      <c r="Q1010" s="18" t="str">
        <f ca="1">IFERROR(__xludf.DUMMYFUNCTION("""COMPUTED_VALUE"""),"")</f>
        <v/>
      </c>
      <c r="R1010" s="19"/>
      <c r="S1010" s="20"/>
      <c r="BP1010" s="10"/>
      <c r="BW1010" s="10"/>
      <c r="CF1010" s="10"/>
      <c r="CM1010" s="10"/>
      <c r="CP1010" s="18" t="str">
        <f ca="1"/>
        <v/>
      </c>
      <c r="CQ1010" s="18" t="str">
        <f ca="1"/>
        <v/>
      </c>
      <c r="CR1010" s="18" t="str">
        <f ca="1"/>
        <v/>
      </c>
      <c r="CS1010" s="18" t="str">
        <f ca="1"/>
        <v/>
      </c>
      <c r="CT1010" s="18" t="str">
        <f ca="1"/>
        <v/>
      </c>
      <c r="CV1010" s="10"/>
      <c r="CY1010" s="18" t="str">
        <f ca="1"/>
        <v/>
      </c>
      <c r="CZ1010" s="18" t="str">
        <f ca="1"/>
        <v/>
      </c>
      <c r="DA1010" s="18" t="str">
        <f ca="1"/>
        <v/>
      </c>
      <c r="DC1010" s="10"/>
    </row>
    <row r="1011" spans="1:107" x14ac:dyDescent="0.25">
      <c r="A1011" s="46"/>
      <c r="B1011" s="52"/>
      <c r="C1011" s="52"/>
      <c r="D1011" s="16"/>
      <c r="E1011" s="52"/>
      <c r="F1011" s="52"/>
      <c r="G1011" s="50"/>
      <c r="H1011" s="17" t="str">
        <f ca="1">IFERROR(__xludf.DUMMYFUNCTION("""COMPUTED_VALUE"""),"")</f>
        <v/>
      </c>
      <c r="I1011" s="50" t="s">
        <v>29</v>
      </c>
      <c r="J1011" s="50" t="s">
        <v>29</v>
      </c>
      <c r="K1011" s="50" t="s">
        <v>29</v>
      </c>
      <c r="L1011" s="50" t="s">
        <v>29</v>
      </c>
      <c r="M1011" s="50" t="s">
        <v>29</v>
      </c>
      <c r="N1011" s="49"/>
      <c r="P1011" s="19"/>
      <c r="Q1011" s="18" t="str">
        <f ca="1">IFERROR(__xludf.DUMMYFUNCTION("""COMPUTED_VALUE"""),"")</f>
        <v/>
      </c>
      <c r="R1011" s="19"/>
      <c r="S1011" s="20"/>
      <c r="BP1011" s="10"/>
      <c r="BW1011" s="10"/>
      <c r="CF1011" s="10"/>
      <c r="CM1011" s="10"/>
      <c r="CP1011" s="18" t="str">
        <f ca="1"/>
        <v/>
      </c>
      <c r="CQ1011" s="18" t="str">
        <f ca="1"/>
        <v/>
      </c>
      <c r="CR1011" s="18" t="str">
        <f ca="1"/>
        <v/>
      </c>
      <c r="CS1011" s="18" t="str">
        <f ca="1"/>
        <v/>
      </c>
      <c r="CT1011" s="18" t="str">
        <f ca="1"/>
        <v/>
      </c>
      <c r="CV1011" s="10"/>
      <c r="CY1011" s="18" t="str">
        <f ca="1"/>
        <v/>
      </c>
      <c r="CZ1011" s="18" t="str">
        <f ca="1"/>
        <v/>
      </c>
      <c r="DA1011" s="18" t="str">
        <f ca="1"/>
        <v/>
      </c>
      <c r="DC1011" s="10"/>
    </row>
    <row r="1012" spans="1:107" x14ac:dyDescent="0.25">
      <c r="A1012" s="46"/>
      <c r="B1012" s="52"/>
      <c r="C1012" s="52"/>
      <c r="D1012" s="16"/>
      <c r="E1012" s="52"/>
      <c r="F1012" s="52"/>
      <c r="G1012" s="50"/>
      <c r="H1012" s="17" t="str">
        <f ca="1">IFERROR(__xludf.DUMMYFUNCTION("""COMPUTED_VALUE"""),"")</f>
        <v/>
      </c>
      <c r="I1012" s="50" t="s">
        <v>29</v>
      </c>
      <c r="J1012" s="50" t="s">
        <v>29</v>
      </c>
      <c r="K1012" s="50" t="s">
        <v>29</v>
      </c>
      <c r="L1012" s="50" t="s">
        <v>29</v>
      </c>
      <c r="M1012" s="50" t="s">
        <v>29</v>
      </c>
      <c r="N1012" s="49"/>
      <c r="P1012" s="19"/>
      <c r="Q1012" s="18" t="str">
        <f ca="1">IFERROR(__xludf.DUMMYFUNCTION("""COMPUTED_VALUE"""),"")</f>
        <v/>
      </c>
      <c r="R1012" s="19"/>
      <c r="S1012" s="20"/>
      <c r="BP1012" s="10"/>
      <c r="BW1012" s="10"/>
      <c r="CF1012" s="10"/>
      <c r="CM1012" s="10"/>
      <c r="CP1012" s="18" t="str">
        <f ca="1"/>
        <v/>
      </c>
      <c r="CQ1012" s="18" t="str">
        <f ca="1"/>
        <v/>
      </c>
      <c r="CR1012" s="18" t="str">
        <f ca="1"/>
        <v/>
      </c>
      <c r="CS1012" s="18" t="str">
        <f ca="1"/>
        <v/>
      </c>
      <c r="CT1012" s="18" t="str">
        <f ca="1"/>
        <v/>
      </c>
      <c r="CV1012" s="10"/>
      <c r="CY1012" s="18" t="str">
        <f ca="1"/>
        <v/>
      </c>
      <c r="CZ1012" s="18" t="str">
        <f ca="1"/>
        <v/>
      </c>
      <c r="DA1012" s="18" t="str">
        <f ca="1"/>
        <v/>
      </c>
      <c r="DC1012" s="10"/>
    </row>
    <row r="1013" spans="1:107" x14ac:dyDescent="0.25">
      <c r="A1013" s="46"/>
      <c r="B1013" s="52"/>
      <c r="C1013" s="52"/>
      <c r="D1013" s="16"/>
      <c r="E1013" s="52"/>
      <c r="F1013" s="52"/>
      <c r="G1013" s="50"/>
      <c r="H1013" s="17" t="str">
        <f ca="1">IFERROR(__xludf.DUMMYFUNCTION("""COMPUTED_VALUE"""),"")</f>
        <v/>
      </c>
      <c r="I1013" s="50" t="s">
        <v>29</v>
      </c>
      <c r="J1013" s="50" t="s">
        <v>29</v>
      </c>
      <c r="K1013" s="50" t="s">
        <v>29</v>
      </c>
      <c r="L1013" s="50" t="s">
        <v>29</v>
      </c>
      <c r="M1013" s="50" t="s">
        <v>29</v>
      </c>
      <c r="N1013" s="49"/>
      <c r="P1013" s="19"/>
      <c r="Q1013" s="18" t="str">
        <f ca="1">IFERROR(__xludf.DUMMYFUNCTION("""COMPUTED_VALUE"""),"")</f>
        <v/>
      </c>
      <c r="R1013" s="19"/>
      <c r="S1013" s="20"/>
      <c r="BP1013" s="10"/>
      <c r="BW1013" s="10"/>
      <c r="CF1013" s="10"/>
      <c r="CM1013" s="10"/>
      <c r="CP1013" s="18" t="str">
        <f ca="1"/>
        <v/>
      </c>
      <c r="CQ1013" s="18" t="str">
        <f ca="1"/>
        <v/>
      </c>
      <c r="CR1013" s="18" t="str">
        <f ca="1"/>
        <v/>
      </c>
      <c r="CS1013" s="18" t="str">
        <f ca="1"/>
        <v/>
      </c>
      <c r="CT1013" s="18" t="str">
        <f ca="1"/>
        <v/>
      </c>
      <c r="CV1013" s="10"/>
      <c r="CY1013" s="18" t="str">
        <f ca="1"/>
        <v/>
      </c>
      <c r="CZ1013" s="18" t="str">
        <f ca="1"/>
        <v/>
      </c>
      <c r="DA1013" s="18" t="str">
        <f ca="1"/>
        <v/>
      </c>
      <c r="DC1013" s="10"/>
    </row>
    <row r="1014" spans="1:107" x14ac:dyDescent="0.25">
      <c r="A1014" s="46"/>
      <c r="B1014" s="52"/>
      <c r="C1014" s="52"/>
      <c r="D1014" s="16"/>
      <c r="E1014" s="52"/>
      <c r="F1014" s="52"/>
      <c r="G1014" s="50"/>
      <c r="H1014" s="17" t="str">
        <f ca="1">IFERROR(__xludf.DUMMYFUNCTION("""COMPUTED_VALUE"""),"")</f>
        <v/>
      </c>
      <c r="I1014" s="50" t="s">
        <v>29</v>
      </c>
      <c r="J1014" s="50" t="s">
        <v>29</v>
      </c>
      <c r="K1014" s="50" t="s">
        <v>29</v>
      </c>
      <c r="L1014" s="50" t="s">
        <v>29</v>
      </c>
      <c r="M1014" s="50" t="s">
        <v>29</v>
      </c>
      <c r="N1014" s="49"/>
      <c r="P1014" s="19"/>
      <c r="Q1014" s="18" t="str">
        <f ca="1">IFERROR(__xludf.DUMMYFUNCTION("""COMPUTED_VALUE"""),"")</f>
        <v/>
      </c>
      <c r="R1014" s="19"/>
      <c r="S1014" s="20"/>
      <c r="BP1014" s="10"/>
      <c r="BW1014" s="10"/>
      <c r="CF1014" s="10"/>
      <c r="CM1014" s="10"/>
      <c r="CP1014" s="18" t="str">
        <f ca="1"/>
        <v/>
      </c>
      <c r="CQ1014" s="18" t="str">
        <f ca="1"/>
        <v/>
      </c>
      <c r="CR1014" s="18" t="str">
        <f ca="1"/>
        <v/>
      </c>
      <c r="CS1014" s="18" t="str">
        <f ca="1"/>
        <v/>
      </c>
      <c r="CT1014" s="18" t="str">
        <f ca="1"/>
        <v/>
      </c>
      <c r="CV1014" s="10"/>
      <c r="CY1014" s="18" t="str">
        <f ca="1"/>
        <v/>
      </c>
      <c r="CZ1014" s="18" t="str">
        <f ca="1"/>
        <v/>
      </c>
      <c r="DA1014" s="18" t="str">
        <f ca="1"/>
        <v/>
      </c>
      <c r="DC1014" s="10"/>
    </row>
    <row r="1015" spans="1:107" x14ac:dyDescent="0.25">
      <c r="A1015" s="46"/>
      <c r="B1015" s="52"/>
      <c r="C1015" s="52"/>
      <c r="D1015" s="16"/>
      <c r="E1015" s="52"/>
      <c r="F1015" s="52"/>
      <c r="G1015" s="50"/>
      <c r="H1015" s="17" t="str">
        <f ca="1">IFERROR(__xludf.DUMMYFUNCTION("""COMPUTED_VALUE"""),"")</f>
        <v/>
      </c>
      <c r="I1015" s="50" t="s">
        <v>29</v>
      </c>
      <c r="J1015" s="50" t="s">
        <v>29</v>
      </c>
      <c r="K1015" s="50" t="s">
        <v>29</v>
      </c>
      <c r="L1015" s="50" t="s">
        <v>29</v>
      </c>
      <c r="M1015" s="50" t="s">
        <v>29</v>
      </c>
      <c r="N1015" s="49"/>
      <c r="P1015" s="19"/>
      <c r="Q1015" s="18" t="str">
        <f ca="1">IFERROR(__xludf.DUMMYFUNCTION("""COMPUTED_VALUE"""),"")</f>
        <v/>
      </c>
      <c r="R1015" s="19"/>
      <c r="S1015" s="20"/>
      <c r="BP1015" s="10"/>
      <c r="BW1015" s="10"/>
      <c r="CF1015" s="10"/>
      <c r="CM1015" s="10"/>
      <c r="CP1015" s="18" t="str">
        <f ca="1"/>
        <v/>
      </c>
      <c r="CQ1015" s="18" t="str">
        <f ca="1"/>
        <v/>
      </c>
      <c r="CR1015" s="18" t="str">
        <f ca="1"/>
        <v/>
      </c>
      <c r="CS1015" s="18" t="str">
        <f ca="1"/>
        <v/>
      </c>
      <c r="CT1015" s="18" t="str">
        <f ca="1"/>
        <v/>
      </c>
      <c r="CV1015" s="10"/>
      <c r="CY1015" s="18" t="str">
        <f ca="1"/>
        <v/>
      </c>
      <c r="CZ1015" s="18" t="str">
        <f ca="1"/>
        <v/>
      </c>
      <c r="DA1015" s="18" t="str">
        <f ca="1"/>
        <v/>
      </c>
      <c r="DC1015" s="10"/>
    </row>
    <row r="1016" spans="1:107" x14ac:dyDescent="0.25">
      <c r="A1016" s="46"/>
      <c r="B1016" s="52"/>
      <c r="C1016" s="52"/>
      <c r="D1016" s="16"/>
      <c r="E1016" s="52"/>
      <c r="F1016" s="52"/>
      <c r="G1016" s="50"/>
      <c r="H1016" s="17" t="str">
        <f ca="1">IFERROR(__xludf.DUMMYFUNCTION("""COMPUTED_VALUE"""),"")</f>
        <v/>
      </c>
      <c r="I1016" s="50" t="s">
        <v>29</v>
      </c>
      <c r="J1016" s="50" t="s">
        <v>29</v>
      </c>
      <c r="K1016" s="50" t="s">
        <v>29</v>
      </c>
      <c r="L1016" s="50" t="s">
        <v>29</v>
      </c>
      <c r="M1016" s="50" t="s">
        <v>29</v>
      </c>
      <c r="N1016" s="49"/>
      <c r="P1016" s="19"/>
      <c r="Q1016" s="18" t="str">
        <f ca="1">IFERROR(__xludf.DUMMYFUNCTION("""COMPUTED_VALUE"""),"")</f>
        <v/>
      </c>
      <c r="R1016" s="19"/>
      <c r="S1016" s="20"/>
      <c r="BP1016" s="10"/>
      <c r="BW1016" s="10"/>
      <c r="CF1016" s="10"/>
      <c r="CM1016" s="10"/>
      <c r="CP1016" s="18" t="str">
        <f ca="1"/>
        <v/>
      </c>
      <c r="CQ1016" s="18" t="str">
        <f ca="1"/>
        <v/>
      </c>
      <c r="CR1016" s="18" t="str">
        <f ca="1"/>
        <v/>
      </c>
      <c r="CS1016" s="18" t="str">
        <f ca="1"/>
        <v/>
      </c>
      <c r="CT1016" s="18" t="str">
        <f ca="1"/>
        <v/>
      </c>
      <c r="CV1016" s="10"/>
      <c r="CY1016" s="18" t="str">
        <f ca="1"/>
        <v/>
      </c>
      <c r="CZ1016" s="18" t="str">
        <f ca="1"/>
        <v/>
      </c>
      <c r="DA1016" s="18" t="str">
        <f ca="1"/>
        <v/>
      </c>
      <c r="DC1016" s="10"/>
    </row>
    <row r="1017" spans="1:107" x14ac:dyDescent="0.25">
      <c r="A1017" s="46"/>
      <c r="B1017" s="52"/>
      <c r="C1017" s="52"/>
      <c r="D1017" s="16"/>
      <c r="E1017" s="52"/>
      <c r="F1017" s="52"/>
      <c r="G1017" s="50"/>
      <c r="H1017" s="17" t="str">
        <f ca="1">IFERROR(__xludf.DUMMYFUNCTION("""COMPUTED_VALUE"""),"")</f>
        <v/>
      </c>
      <c r="I1017" s="50" t="s">
        <v>29</v>
      </c>
      <c r="J1017" s="50" t="s">
        <v>29</v>
      </c>
      <c r="K1017" s="50" t="s">
        <v>29</v>
      </c>
      <c r="L1017" s="50" t="s">
        <v>29</v>
      </c>
      <c r="M1017" s="50" t="s">
        <v>29</v>
      </c>
      <c r="N1017" s="49"/>
      <c r="P1017" s="19"/>
      <c r="Q1017" s="18" t="str">
        <f ca="1">IFERROR(__xludf.DUMMYFUNCTION("""COMPUTED_VALUE"""),"")</f>
        <v/>
      </c>
      <c r="R1017" s="19"/>
      <c r="S1017" s="20"/>
      <c r="BP1017" s="10"/>
      <c r="BW1017" s="10"/>
      <c r="CF1017" s="10"/>
      <c r="CM1017" s="10"/>
      <c r="CP1017" s="18" t="str">
        <f ca="1"/>
        <v/>
      </c>
      <c r="CQ1017" s="18" t="str">
        <f ca="1"/>
        <v/>
      </c>
      <c r="CR1017" s="18" t="str">
        <f ca="1"/>
        <v/>
      </c>
      <c r="CS1017" s="18" t="str">
        <f ca="1"/>
        <v/>
      </c>
      <c r="CT1017" s="18" t="str">
        <f ca="1"/>
        <v/>
      </c>
      <c r="CV1017" s="10"/>
      <c r="CY1017" s="18" t="str">
        <f ca="1"/>
        <v/>
      </c>
      <c r="CZ1017" s="18" t="str">
        <f ca="1"/>
        <v/>
      </c>
      <c r="DA1017" s="18" t="str">
        <f ca="1"/>
        <v/>
      </c>
      <c r="DC1017" s="10"/>
    </row>
    <row r="1018" spans="1:107" x14ac:dyDescent="0.25">
      <c r="A1018" s="46"/>
      <c r="B1018" s="52"/>
      <c r="C1018" s="52"/>
      <c r="D1018" s="16"/>
      <c r="E1018" s="52"/>
      <c r="F1018" s="52"/>
      <c r="G1018" s="50"/>
      <c r="H1018" s="17" t="str">
        <f ca="1">IFERROR(__xludf.DUMMYFUNCTION("""COMPUTED_VALUE"""),"")</f>
        <v/>
      </c>
      <c r="I1018" s="50" t="s">
        <v>29</v>
      </c>
      <c r="J1018" s="50" t="s">
        <v>29</v>
      </c>
      <c r="K1018" s="50" t="s">
        <v>29</v>
      </c>
      <c r="L1018" s="50" t="s">
        <v>29</v>
      </c>
      <c r="M1018" s="50" t="s">
        <v>29</v>
      </c>
      <c r="N1018" s="49"/>
      <c r="P1018" s="19"/>
      <c r="Q1018" s="18" t="str">
        <f ca="1">IFERROR(__xludf.DUMMYFUNCTION("""COMPUTED_VALUE"""),"")</f>
        <v/>
      </c>
      <c r="R1018" s="19"/>
      <c r="S1018" s="20"/>
      <c r="BP1018" s="10"/>
      <c r="BW1018" s="10"/>
      <c r="CF1018" s="10"/>
      <c r="CM1018" s="10"/>
      <c r="CP1018" s="18" t="str">
        <f ca="1"/>
        <v/>
      </c>
      <c r="CQ1018" s="18" t="str">
        <f ca="1"/>
        <v/>
      </c>
      <c r="CR1018" s="18" t="str">
        <f ca="1"/>
        <v/>
      </c>
      <c r="CS1018" s="18" t="str">
        <f ca="1"/>
        <v/>
      </c>
      <c r="CT1018" s="18" t="str">
        <f ca="1"/>
        <v/>
      </c>
      <c r="CV1018" s="10"/>
      <c r="CY1018" s="18" t="str">
        <f ca="1"/>
        <v/>
      </c>
      <c r="CZ1018" s="18" t="str">
        <f ca="1"/>
        <v/>
      </c>
      <c r="DA1018" s="18" t="str">
        <f ca="1"/>
        <v/>
      </c>
      <c r="DC1018" s="10"/>
    </row>
    <row r="1019" spans="1:107" x14ac:dyDescent="0.25">
      <c r="A1019" s="46"/>
      <c r="B1019" s="52"/>
      <c r="C1019" s="52"/>
      <c r="D1019" s="16"/>
      <c r="E1019" s="52"/>
      <c r="F1019" s="52"/>
      <c r="G1019" s="50"/>
      <c r="H1019" s="17" t="str">
        <f ca="1">IFERROR(__xludf.DUMMYFUNCTION("""COMPUTED_VALUE"""),"")</f>
        <v/>
      </c>
      <c r="I1019" s="50" t="s">
        <v>29</v>
      </c>
      <c r="J1019" s="50" t="s">
        <v>29</v>
      </c>
      <c r="K1019" s="50" t="s">
        <v>29</v>
      </c>
      <c r="L1019" s="50" t="s">
        <v>29</v>
      </c>
      <c r="M1019" s="50" t="s">
        <v>29</v>
      </c>
      <c r="N1019" s="49"/>
      <c r="P1019" s="19"/>
      <c r="Q1019" s="18" t="str">
        <f ca="1">IFERROR(__xludf.DUMMYFUNCTION("""COMPUTED_VALUE"""),"")</f>
        <v/>
      </c>
      <c r="R1019" s="19"/>
      <c r="S1019" s="20"/>
      <c r="BP1019" s="10"/>
      <c r="BW1019" s="10"/>
      <c r="CF1019" s="10"/>
      <c r="CM1019" s="10"/>
      <c r="CP1019" s="18" t="str">
        <f ca="1"/>
        <v/>
      </c>
      <c r="CQ1019" s="18" t="str">
        <f ca="1"/>
        <v/>
      </c>
      <c r="CR1019" s="18" t="str">
        <f ca="1"/>
        <v/>
      </c>
      <c r="CS1019" s="18" t="str">
        <f ca="1"/>
        <v/>
      </c>
      <c r="CT1019" s="18" t="str">
        <f ca="1"/>
        <v/>
      </c>
      <c r="CV1019" s="10"/>
      <c r="CY1019" s="18" t="str">
        <f ca="1"/>
        <v/>
      </c>
      <c r="CZ1019" s="18" t="str">
        <f ca="1"/>
        <v/>
      </c>
      <c r="DA1019" s="18" t="str">
        <f ca="1"/>
        <v/>
      </c>
      <c r="DC1019" s="10"/>
    </row>
    <row r="1020" spans="1:107" x14ac:dyDescent="0.25">
      <c r="A1020" s="46"/>
      <c r="B1020" s="52"/>
      <c r="C1020" s="52"/>
      <c r="D1020" s="16"/>
      <c r="E1020" s="52"/>
      <c r="F1020" s="52"/>
      <c r="G1020" s="50"/>
      <c r="H1020" s="17" t="str">
        <f ca="1">IFERROR(__xludf.DUMMYFUNCTION("""COMPUTED_VALUE"""),"")</f>
        <v/>
      </c>
      <c r="I1020" s="50" t="s">
        <v>29</v>
      </c>
      <c r="J1020" s="50" t="s">
        <v>29</v>
      </c>
      <c r="K1020" s="50" t="s">
        <v>29</v>
      </c>
      <c r="L1020" s="50" t="s">
        <v>29</v>
      </c>
      <c r="M1020" s="50" t="s">
        <v>29</v>
      </c>
      <c r="N1020" s="49"/>
      <c r="P1020" s="19"/>
      <c r="Q1020" s="18" t="str">
        <f ca="1">IFERROR(__xludf.DUMMYFUNCTION("""COMPUTED_VALUE"""),"")</f>
        <v/>
      </c>
      <c r="R1020" s="19"/>
      <c r="S1020" s="20"/>
      <c r="BP1020" s="10"/>
      <c r="BW1020" s="10"/>
      <c r="CF1020" s="10"/>
      <c r="CM1020" s="10"/>
      <c r="CP1020" s="18" t="str">
        <f ca="1"/>
        <v/>
      </c>
      <c r="CQ1020" s="18" t="str">
        <f ca="1"/>
        <v/>
      </c>
      <c r="CR1020" s="18" t="str">
        <f ca="1"/>
        <v/>
      </c>
      <c r="CS1020" s="18" t="str">
        <f ca="1"/>
        <v/>
      </c>
      <c r="CT1020" s="18" t="str">
        <f ca="1"/>
        <v/>
      </c>
      <c r="CV1020" s="10"/>
      <c r="CY1020" s="18" t="str">
        <f ca="1"/>
        <v/>
      </c>
      <c r="CZ1020" s="18" t="str">
        <f ca="1"/>
        <v/>
      </c>
      <c r="DA1020" s="18" t="str">
        <f ca="1"/>
        <v/>
      </c>
      <c r="DC1020" s="10"/>
    </row>
    <row r="1021" spans="1:107" x14ac:dyDescent="0.25">
      <c r="A1021" s="46"/>
      <c r="B1021" s="52"/>
      <c r="C1021" s="52"/>
      <c r="D1021" s="16"/>
      <c r="E1021" s="52"/>
      <c r="F1021" s="52"/>
      <c r="G1021" s="50"/>
      <c r="H1021" s="17" t="str">
        <f ca="1">IFERROR(__xludf.DUMMYFUNCTION("""COMPUTED_VALUE"""),"")</f>
        <v/>
      </c>
      <c r="I1021" s="50" t="s">
        <v>29</v>
      </c>
      <c r="J1021" s="50" t="s">
        <v>29</v>
      </c>
      <c r="K1021" s="50" t="s">
        <v>29</v>
      </c>
      <c r="L1021" s="50" t="s">
        <v>29</v>
      </c>
      <c r="M1021" s="50" t="s">
        <v>29</v>
      </c>
      <c r="N1021" s="49"/>
      <c r="P1021" s="19"/>
      <c r="Q1021" s="18" t="str">
        <f ca="1">IFERROR(__xludf.DUMMYFUNCTION("""COMPUTED_VALUE"""),"")</f>
        <v/>
      </c>
      <c r="R1021" s="19"/>
      <c r="S1021" s="20"/>
      <c r="BP1021" s="10"/>
      <c r="BW1021" s="10"/>
      <c r="CF1021" s="10"/>
      <c r="CM1021" s="10"/>
      <c r="CP1021" s="18" t="str">
        <f ca="1"/>
        <v/>
      </c>
      <c r="CQ1021" s="18" t="str">
        <f ca="1"/>
        <v/>
      </c>
      <c r="CR1021" s="18" t="str">
        <f ca="1"/>
        <v/>
      </c>
      <c r="CS1021" s="18" t="str">
        <f ca="1"/>
        <v/>
      </c>
      <c r="CT1021" s="18" t="str">
        <f ca="1"/>
        <v/>
      </c>
      <c r="CV1021" s="10"/>
      <c r="CY1021" s="18" t="str">
        <f ca="1"/>
        <v/>
      </c>
      <c r="CZ1021" s="18" t="str">
        <f ca="1"/>
        <v/>
      </c>
      <c r="DA1021" s="18" t="str">
        <f ca="1"/>
        <v/>
      </c>
      <c r="DC1021" s="10"/>
    </row>
    <row r="1022" spans="1:107" x14ac:dyDescent="0.25">
      <c r="A1022" s="46"/>
      <c r="B1022" s="52"/>
      <c r="C1022" s="52"/>
      <c r="D1022" s="16"/>
      <c r="E1022" s="52"/>
      <c r="F1022" s="52"/>
      <c r="G1022" s="50"/>
      <c r="H1022" s="17" t="str">
        <f ca="1">IFERROR(__xludf.DUMMYFUNCTION("""COMPUTED_VALUE"""),"")</f>
        <v/>
      </c>
      <c r="I1022" s="50" t="s">
        <v>29</v>
      </c>
      <c r="J1022" s="50" t="s">
        <v>29</v>
      </c>
      <c r="K1022" s="50" t="s">
        <v>29</v>
      </c>
      <c r="L1022" s="50" t="s">
        <v>29</v>
      </c>
      <c r="M1022" s="50" t="s">
        <v>29</v>
      </c>
      <c r="N1022" s="49"/>
      <c r="P1022" s="19"/>
      <c r="Q1022" s="18" t="str">
        <f ca="1">IFERROR(__xludf.DUMMYFUNCTION("""COMPUTED_VALUE"""),"")</f>
        <v/>
      </c>
      <c r="R1022" s="19"/>
      <c r="S1022" s="20"/>
      <c r="BP1022" s="10"/>
      <c r="BW1022" s="10"/>
      <c r="CF1022" s="10"/>
      <c r="CM1022" s="10"/>
      <c r="CP1022" s="18" t="str">
        <f ca="1"/>
        <v/>
      </c>
      <c r="CQ1022" s="18" t="str">
        <f ca="1"/>
        <v/>
      </c>
      <c r="CR1022" s="18" t="str">
        <f ca="1"/>
        <v/>
      </c>
      <c r="CS1022" s="18" t="str">
        <f ca="1"/>
        <v/>
      </c>
      <c r="CT1022" s="18" t="str">
        <f ca="1"/>
        <v/>
      </c>
      <c r="CV1022" s="10"/>
      <c r="CY1022" s="18" t="str">
        <f ca="1"/>
        <v/>
      </c>
      <c r="CZ1022" s="18" t="str">
        <f ca="1"/>
        <v/>
      </c>
      <c r="DA1022" s="18" t="str">
        <f ca="1"/>
        <v/>
      </c>
      <c r="DC1022" s="10"/>
    </row>
    <row r="1023" spans="1:107" x14ac:dyDescent="0.25">
      <c r="A1023" s="46"/>
      <c r="B1023" s="52"/>
      <c r="C1023" s="52"/>
      <c r="D1023" s="16"/>
      <c r="E1023" s="52"/>
      <c r="F1023" s="52"/>
      <c r="G1023" s="50"/>
      <c r="H1023" s="17" t="str">
        <f ca="1">IFERROR(__xludf.DUMMYFUNCTION("""COMPUTED_VALUE"""),"")</f>
        <v/>
      </c>
      <c r="I1023" s="50" t="s">
        <v>29</v>
      </c>
      <c r="J1023" s="50" t="s">
        <v>29</v>
      </c>
      <c r="K1023" s="50" t="s">
        <v>29</v>
      </c>
      <c r="L1023" s="50" t="s">
        <v>29</v>
      </c>
      <c r="M1023" s="50" t="s">
        <v>29</v>
      </c>
      <c r="N1023" s="49"/>
      <c r="P1023" s="19"/>
      <c r="Q1023" s="18" t="str">
        <f ca="1">IFERROR(__xludf.DUMMYFUNCTION("""COMPUTED_VALUE"""),"")</f>
        <v/>
      </c>
      <c r="R1023" s="19"/>
      <c r="S1023" s="20"/>
      <c r="BP1023" s="10"/>
      <c r="BW1023" s="10"/>
      <c r="CF1023" s="10"/>
      <c r="CM1023" s="10"/>
      <c r="CP1023" s="18" t="str">
        <f ca="1"/>
        <v/>
      </c>
      <c r="CQ1023" s="18" t="str">
        <f ca="1"/>
        <v/>
      </c>
      <c r="CR1023" s="18" t="str">
        <f ca="1"/>
        <v/>
      </c>
      <c r="CS1023" s="18" t="str">
        <f ca="1"/>
        <v/>
      </c>
      <c r="CT1023" s="18" t="str">
        <f ca="1"/>
        <v/>
      </c>
      <c r="CV1023" s="10"/>
      <c r="CY1023" s="18" t="str">
        <f ca="1"/>
        <v/>
      </c>
      <c r="CZ1023" s="18" t="str">
        <f ca="1"/>
        <v/>
      </c>
      <c r="DA1023" s="18" t="str">
        <f ca="1"/>
        <v/>
      </c>
      <c r="DC1023" s="10"/>
    </row>
    <row r="1024" spans="1:107" x14ac:dyDescent="0.25">
      <c r="A1024" s="46"/>
      <c r="B1024" s="52"/>
      <c r="C1024" s="52"/>
      <c r="D1024" s="16"/>
      <c r="E1024" s="52"/>
      <c r="F1024" s="52"/>
      <c r="G1024" s="50"/>
      <c r="H1024" s="17" t="str">
        <f ca="1">IFERROR(__xludf.DUMMYFUNCTION("""COMPUTED_VALUE"""),"")</f>
        <v/>
      </c>
      <c r="I1024" s="50" t="s">
        <v>29</v>
      </c>
      <c r="J1024" s="50" t="s">
        <v>29</v>
      </c>
      <c r="K1024" s="50" t="s">
        <v>29</v>
      </c>
      <c r="L1024" s="50" t="s">
        <v>29</v>
      </c>
      <c r="M1024" s="50" t="s">
        <v>29</v>
      </c>
      <c r="N1024" s="49"/>
      <c r="P1024" s="19"/>
      <c r="Q1024" s="18" t="str">
        <f ca="1">IFERROR(__xludf.DUMMYFUNCTION("""COMPUTED_VALUE"""),"")</f>
        <v/>
      </c>
      <c r="R1024" s="19"/>
      <c r="S1024" s="20"/>
      <c r="BP1024" s="10"/>
      <c r="BW1024" s="10"/>
      <c r="CF1024" s="10"/>
      <c r="CM1024" s="10"/>
      <c r="CP1024" s="18" t="str">
        <f ca="1"/>
        <v/>
      </c>
      <c r="CQ1024" s="18" t="str">
        <f ca="1"/>
        <v/>
      </c>
      <c r="CR1024" s="18" t="str">
        <f ca="1"/>
        <v/>
      </c>
      <c r="CS1024" s="18" t="str">
        <f ca="1"/>
        <v/>
      </c>
      <c r="CT1024" s="18" t="str">
        <f ca="1"/>
        <v/>
      </c>
      <c r="CV1024" s="10"/>
      <c r="CY1024" s="18" t="str">
        <f ca="1"/>
        <v/>
      </c>
      <c r="CZ1024" s="18" t="str">
        <f ca="1"/>
        <v/>
      </c>
      <c r="DA1024" s="18" t="str">
        <f ca="1"/>
        <v/>
      </c>
      <c r="DC1024" s="10"/>
    </row>
    <row r="1025" spans="1:107" x14ac:dyDescent="0.25">
      <c r="A1025" s="46"/>
      <c r="B1025" s="52"/>
      <c r="C1025" s="52"/>
      <c r="D1025" s="16"/>
      <c r="E1025" s="52"/>
      <c r="F1025" s="52"/>
      <c r="G1025" s="50"/>
      <c r="H1025" s="17" t="str">
        <f ca="1">IFERROR(__xludf.DUMMYFUNCTION("""COMPUTED_VALUE"""),"")</f>
        <v/>
      </c>
      <c r="I1025" s="50" t="s">
        <v>29</v>
      </c>
      <c r="J1025" s="50" t="s">
        <v>29</v>
      </c>
      <c r="K1025" s="50" t="s">
        <v>29</v>
      </c>
      <c r="L1025" s="50" t="s">
        <v>29</v>
      </c>
      <c r="M1025" s="50" t="s">
        <v>29</v>
      </c>
      <c r="N1025" s="49"/>
      <c r="P1025" s="19"/>
      <c r="Q1025" s="18" t="str">
        <f ca="1">IFERROR(__xludf.DUMMYFUNCTION("""COMPUTED_VALUE"""),"")</f>
        <v/>
      </c>
      <c r="R1025" s="19"/>
      <c r="S1025" s="20"/>
      <c r="BP1025" s="10"/>
      <c r="BW1025" s="10"/>
      <c r="CF1025" s="10"/>
      <c r="CM1025" s="10"/>
      <c r="CP1025" s="18" t="str">
        <f ca="1"/>
        <v/>
      </c>
      <c r="CQ1025" s="18" t="str">
        <f ca="1"/>
        <v/>
      </c>
      <c r="CR1025" s="18" t="str">
        <f ca="1"/>
        <v/>
      </c>
      <c r="CS1025" s="18" t="str">
        <f ca="1"/>
        <v/>
      </c>
      <c r="CT1025" s="18" t="str">
        <f ca="1"/>
        <v/>
      </c>
      <c r="CV1025" s="10"/>
      <c r="CY1025" s="18" t="str">
        <f ca="1"/>
        <v/>
      </c>
      <c r="CZ1025" s="18" t="str">
        <f ca="1"/>
        <v/>
      </c>
      <c r="DA1025" s="18" t="str">
        <f ca="1"/>
        <v/>
      </c>
      <c r="DC1025" s="10"/>
    </row>
    <row r="1026" spans="1:107" x14ac:dyDescent="0.25">
      <c r="A1026" s="46"/>
      <c r="B1026" s="52"/>
      <c r="C1026" s="52"/>
      <c r="D1026" s="16"/>
      <c r="E1026" s="52"/>
      <c r="F1026" s="52"/>
      <c r="G1026" s="50"/>
      <c r="H1026" s="17" t="str">
        <f ca="1">IFERROR(__xludf.DUMMYFUNCTION("""COMPUTED_VALUE"""),"")</f>
        <v/>
      </c>
      <c r="I1026" s="50" t="s">
        <v>29</v>
      </c>
      <c r="J1026" s="50" t="s">
        <v>29</v>
      </c>
      <c r="K1026" s="50" t="s">
        <v>29</v>
      </c>
      <c r="L1026" s="50" t="s">
        <v>29</v>
      </c>
      <c r="M1026" s="50" t="s">
        <v>29</v>
      </c>
      <c r="N1026" s="49"/>
      <c r="P1026" s="19"/>
      <c r="Q1026" s="18" t="str">
        <f ca="1">IFERROR(__xludf.DUMMYFUNCTION("""COMPUTED_VALUE"""),"")</f>
        <v/>
      </c>
      <c r="R1026" s="19"/>
      <c r="S1026" s="20"/>
      <c r="BP1026" s="10"/>
      <c r="BW1026" s="10"/>
      <c r="CF1026" s="10"/>
      <c r="CM1026" s="10"/>
      <c r="CP1026" s="18" t="str">
        <f ca="1"/>
        <v/>
      </c>
      <c r="CQ1026" s="18" t="str">
        <f ca="1"/>
        <v/>
      </c>
      <c r="CR1026" s="18" t="str">
        <f ca="1"/>
        <v/>
      </c>
      <c r="CS1026" s="18" t="str">
        <f ca="1"/>
        <v/>
      </c>
      <c r="CT1026" s="18" t="str">
        <f ca="1"/>
        <v/>
      </c>
      <c r="CV1026" s="10"/>
      <c r="CY1026" s="18" t="str">
        <f ca="1"/>
        <v/>
      </c>
      <c r="CZ1026" s="18" t="str">
        <f ca="1"/>
        <v/>
      </c>
      <c r="DA1026" s="18" t="str">
        <f ca="1"/>
        <v/>
      </c>
      <c r="DC1026" s="10"/>
    </row>
    <row r="1027" spans="1:107" x14ac:dyDescent="0.25">
      <c r="A1027" s="46"/>
      <c r="B1027" s="52"/>
      <c r="C1027" s="52"/>
      <c r="D1027" s="16"/>
      <c r="E1027" s="52"/>
      <c r="F1027" s="52"/>
      <c r="G1027" s="50"/>
      <c r="H1027" s="17" t="str">
        <f ca="1">IFERROR(__xludf.DUMMYFUNCTION("""COMPUTED_VALUE"""),"")</f>
        <v/>
      </c>
      <c r="I1027" s="50" t="s">
        <v>29</v>
      </c>
      <c r="J1027" s="50" t="s">
        <v>29</v>
      </c>
      <c r="K1027" s="50" t="s">
        <v>29</v>
      </c>
      <c r="L1027" s="50" t="s">
        <v>29</v>
      </c>
      <c r="M1027" s="50" t="s">
        <v>29</v>
      </c>
      <c r="N1027" s="49"/>
      <c r="P1027" s="19"/>
      <c r="Q1027" s="18" t="str">
        <f ca="1">IFERROR(__xludf.DUMMYFUNCTION("""COMPUTED_VALUE"""),"")</f>
        <v/>
      </c>
      <c r="R1027" s="19"/>
      <c r="S1027" s="20"/>
      <c r="BP1027" s="10"/>
      <c r="BW1027" s="10"/>
      <c r="CF1027" s="10"/>
      <c r="CM1027" s="10"/>
      <c r="CP1027" s="18" t="str">
        <f ca="1"/>
        <v/>
      </c>
      <c r="CQ1027" s="18" t="str">
        <f ca="1"/>
        <v/>
      </c>
      <c r="CR1027" s="18" t="str">
        <f ca="1"/>
        <v/>
      </c>
      <c r="CS1027" s="18" t="str">
        <f ca="1"/>
        <v/>
      </c>
      <c r="CT1027" s="18" t="str">
        <f ca="1"/>
        <v/>
      </c>
      <c r="CV1027" s="10"/>
      <c r="CY1027" s="18" t="str">
        <f ca="1"/>
        <v/>
      </c>
      <c r="CZ1027" s="18" t="str">
        <f ca="1"/>
        <v/>
      </c>
      <c r="DA1027" s="18" t="str">
        <f ca="1"/>
        <v/>
      </c>
      <c r="DC1027" s="10"/>
    </row>
    <row r="1028" spans="1:107" x14ac:dyDescent="0.25">
      <c r="A1028" s="46"/>
      <c r="B1028" s="52"/>
      <c r="C1028" s="52"/>
      <c r="D1028" s="16"/>
      <c r="E1028" s="52"/>
      <c r="F1028" s="52"/>
      <c r="G1028" s="50"/>
      <c r="H1028" s="17" t="str">
        <f ca="1">IFERROR(__xludf.DUMMYFUNCTION("""COMPUTED_VALUE"""),"")</f>
        <v/>
      </c>
      <c r="I1028" s="50" t="s">
        <v>29</v>
      </c>
      <c r="J1028" s="50" t="s">
        <v>29</v>
      </c>
      <c r="K1028" s="50" t="s">
        <v>29</v>
      </c>
      <c r="L1028" s="50" t="s">
        <v>29</v>
      </c>
      <c r="M1028" s="50" t="s">
        <v>29</v>
      </c>
      <c r="N1028" s="49"/>
      <c r="P1028" s="19"/>
      <c r="Q1028" s="18" t="str">
        <f ca="1">IFERROR(__xludf.DUMMYFUNCTION("""COMPUTED_VALUE"""),"")</f>
        <v/>
      </c>
      <c r="R1028" s="19"/>
      <c r="S1028" s="20"/>
      <c r="BP1028" s="10"/>
      <c r="BW1028" s="10"/>
      <c r="CF1028" s="10"/>
      <c r="CM1028" s="10"/>
      <c r="CP1028" s="18" t="str">
        <f ca="1"/>
        <v/>
      </c>
      <c r="CQ1028" s="18" t="str">
        <f ca="1"/>
        <v/>
      </c>
      <c r="CR1028" s="18" t="str">
        <f ca="1"/>
        <v/>
      </c>
      <c r="CS1028" s="18" t="str">
        <f ca="1"/>
        <v/>
      </c>
      <c r="CT1028" s="18" t="str">
        <f ca="1"/>
        <v/>
      </c>
      <c r="CV1028" s="10"/>
      <c r="CY1028" s="18" t="str">
        <f ca="1"/>
        <v/>
      </c>
      <c r="CZ1028" s="18" t="str">
        <f ca="1"/>
        <v/>
      </c>
      <c r="DA1028" s="18" t="str">
        <f ca="1"/>
        <v/>
      </c>
      <c r="DC1028" s="10"/>
    </row>
    <row r="1029" spans="1:107" x14ac:dyDescent="0.25">
      <c r="A1029" s="46"/>
      <c r="B1029" s="52"/>
      <c r="C1029" s="52"/>
      <c r="D1029" s="16"/>
      <c r="E1029" s="52"/>
      <c r="F1029" s="52"/>
      <c r="G1029" s="50"/>
      <c r="H1029" s="17" t="str">
        <f ca="1">IFERROR(__xludf.DUMMYFUNCTION("""COMPUTED_VALUE"""),"")</f>
        <v/>
      </c>
      <c r="I1029" s="50" t="s">
        <v>29</v>
      </c>
      <c r="J1029" s="50" t="s">
        <v>29</v>
      </c>
      <c r="K1029" s="50" t="s">
        <v>29</v>
      </c>
      <c r="L1029" s="50" t="s">
        <v>29</v>
      </c>
      <c r="M1029" s="50" t="s">
        <v>29</v>
      </c>
      <c r="N1029" s="49"/>
      <c r="P1029" s="19"/>
      <c r="Q1029" s="18" t="str">
        <f ca="1">IFERROR(__xludf.DUMMYFUNCTION("""COMPUTED_VALUE"""),"")</f>
        <v/>
      </c>
      <c r="R1029" s="19"/>
      <c r="S1029" s="20"/>
      <c r="BP1029" s="10"/>
      <c r="BW1029" s="10"/>
      <c r="CF1029" s="10"/>
      <c r="CM1029" s="10"/>
      <c r="CP1029" s="18" t="str">
        <f ca="1"/>
        <v/>
      </c>
      <c r="CQ1029" s="18" t="str">
        <f ca="1"/>
        <v/>
      </c>
      <c r="CR1029" s="18" t="str">
        <f ca="1"/>
        <v/>
      </c>
      <c r="CS1029" s="18" t="str">
        <f ca="1"/>
        <v/>
      </c>
      <c r="CT1029" s="18" t="str">
        <f ca="1"/>
        <v/>
      </c>
      <c r="CV1029" s="10"/>
      <c r="CY1029" s="18" t="str">
        <f ca="1"/>
        <v/>
      </c>
      <c r="CZ1029" s="18" t="str">
        <f ca="1"/>
        <v/>
      </c>
      <c r="DA1029" s="18" t="str">
        <f ca="1"/>
        <v/>
      </c>
      <c r="DC1029" s="10"/>
    </row>
    <row r="1030" spans="1:107" x14ac:dyDescent="0.25">
      <c r="A1030" s="46"/>
      <c r="B1030" s="52"/>
      <c r="C1030" s="52"/>
      <c r="D1030" s="16"/>
      <c r="E1030" s="52"/>
      <c r="F1030" s="52"/>
      <c r="G1030" s="50"/>
      <c r="H1030" s="17" t="str">
        <f ca="1">IFERROR(__xludf.DUMMYFUNCTION("""COMPUTED_VALUE"""),"")</f>
        <v/>
      </c>
      <c r="I1030" s="50" t="s">
        <v>29</v>
      </c>
      <c r="J1030" s="50" t="s">
        <v>29</v>
      </c>
      <c r="K1030" s="50" t="s">
        <v>29</v>
      </c>
      <c r="L1030" s="50" t="s">
        <v>29</v>
      </c>
      <c r="M1030" s="50" t="s">
        <v>29</v>
      </c>
      <c r="N1030" s="49"/>
      <c r="P1030" s="19"/>
      <c r="Q1030" s="18" t="str">
        <f ca="1">IFERROR(__xludf.DUMMYFUNCTION("""COMPUTED_VALUE"""),"")</f>
        <v/>
      </c>
      <c r="R1030" s="19"/>
      <c r="S1030" s="20"/>
      <c r="BP1030" s="10"/>
      <c r="BW1030" s="10"/>
      <c r="CF1030" s="10"/>
      <c r="CM1030" s="10"/>
      <c r="CP1030" s="18" t="str">
        <f ca="1"/>
        <v/>
      </c>
      <c r="CQ1030" s="18" t="str">
        <f ca="1"/>
        <v/>
      </c>
      <c r="CR1030" s="18" t="str">
        <f ca="1"/>
        <v/>
      </c>
      <c r="CS1030" s="18" t="str">
        <f ca="1"/>
        <v/>
      </c>
      <c r="CT1030" s="18" t="str">
        <f ca="1"/>
        <v/>
      </c>
      <c r="CV1030" s="10"/>
      <c r="CY1030" s="18" t="str">
        <f ca="1"/>
        <v/>
      </c>
      <c r="CZ1030" s="18" t="str">
        <f ca="1"/>
        <v/>
      </c>
      <c r="DA1030" s="18" t="str">
        <f ca="1"/>
        <v/>
      </c>
      <c r="DC1030" s="10"/>
    </row>
    <row r="1031" spans="1:107" x14ac:dyDescent="0.25">
      <c r="A1031" s="46"/>
      <c r="B1031" s="52"/>
      <c r="C1031" s="52"/>
      <c r="D1031" s="16"/>
      <c r="E1031" s="52"/>
      <c r="F1031" s="52"/>
      <c r="G1031" s="50"/>
      <c r="H1031" s="17" t="str">
        <f ca="1">IFERROR(__xludf.DUMMYFUNCTION("""COMPUTED_VALUE"""),"")</f>
        <v/>
      </c>
      <c r="I1031" s="50" t="s">
        <v>29</v>
      </c>
      <c r="J1031" s="50" t="s">
        <v>29</v>
      </c>
      <c r="K1031" s="50" t="s">
        <v>29</v>
      </c>
      <c r="L1031" s="50" t="s">
        <v>29</v>
      </c>
      <c r="M1031" s="50" t="s">
        <v>29</v>
      </c>
      <c r="N1031" s="49"/>
      <c r="P1031" s="19"/>
      <c r="Q1031" s="18" t="str">
        <f ca="1">IFERROR(__xludf.DUMMYFUNCTION("""COMPUTED_VALUE"""),"")</f>
        <v/>
      </c>
      <c r="R1031" s="19"/>
      <c r="S1031" s="20"/>
      <c r="BP1031" s="10"/>
      <c r="BW1031" s="10"/>
      <c r="CF1031" s="10"/>
      <c r="CM1031" s="10"/>
      <c r="CP1031" s="18" t="str">
        <f ca="1"/>
        <v/>
      </c>
      <c r="CQ1031" s="18" t="str">
        <f ca="1"/>
        <v/>
      </c>
      <c r="CR1031" s="18" t="str">
        <f ca="1"/>
        <v/>
      </c>
      <c r="CS1031" s="18" t="str">
        <f ca="1"/>
        <v/>
      </c>
      <c r="CT1031" s="18" t="str">
        <f ca="1"/>
        <v/>
      </c>
      <c r="CV1031" s="10"/>
      <c r="CY1031" s="18" t="str">
        <f ca="1"/>
        <v/>
      </c>
      <c r="CZ1031" s="18" t="str">
        <f ca="1"/>
        <v/>
      </c>
      <c r="DA1031" s="18" t="str">
        <f ca="1"/>
        <v/>
      </c>
      <c r="DC1031" s="10"/>
    </row>
    <row r="1032" spans="1:107" x14ac:dyDescent="0.25">
      <c r="A1032" s="46"/>
      <c r="B1032" s="52"/>
      <c r="C1032" s="52"/>
      <c r="D1032" s="16"/>
      <c r="E1032" s="52"/>
      <c r="F1032" s="52"/>
      <c r="G1032" s="50"/>
      <c r="H1032" s="17" t="str">
        <f ca="1">IFERROR(__xludf.DUMMYFUNCTION("""COMPUTED_VALUE"""),"")</f>
        <v/>
      </c>
      <c r="I1032" s="50" t="s">
        <v>29</v>
      </c>
      <c r="J1032" s="50" t="s">
        <v>29</v>
      </c>
      <c r="K1032" s="50" t="s">
        <v>29</v>
      </c>
      <c r="L1032" s="50" t="s">
        <v>29</v>
      </c>
      <c r="M1032" s="50" t="s">
        <v>29</v>
      </c>
      <c r="N1032" s="49"/>
      <c r="P1032" s="19"/>
      <c r="Q1032" s="18" t="str">
        <f ca="1">IFERROR(__xludf.DUMMYFUNCTION("""COMPUTED_VALUE"""),"")</f>
        <v/>
      </c>
      <c r="R1032" s="19"/>
      <c r="S1032" s="20"/>
      <c r="BP1032" s="10"/>
      <c r="BW1032" s="10"/>
      <c r="CF1032" s="10"/>
      <c r="CM1032" s="10"/>
      <c r="CP1032" s="18" t="str">
        <f ca="1"/>
        <v/>
      </c>
      <c r="CQ1032" s="18" t="str">
        <f ca="1"/>
        <v/>
      </c>
      <c r="CR1032" s="18" t="str">
        <f ca="1"/>
        <v/>
      </c>
      <c r="CS1032" s="18" t="str">
        <f ca="1"/>
        <v/>
      </c>
      <c r="CT1032" s="18" t="str">
        <f ca="1"/>
        <v/>
      </c>
      <c r="CV1032" s="10"/>
      <c r="CY1032" s="18" t="str">
        <f ca="1"/>
        <v/>
      </c>
      <c r="CZ1032" s="18" t="str">
        <f ca="1"/>
        <v/>
      </c>
      <c r="DA1032" s="18" t="str">
        <f ca="1"/>
        <v/>
      </c>
      <c r="DC1032" s="10"/>
    </row>
    <row r="1033" spans="1:107" x14ac:dyDescent="0.25">
      <c r="A1033" s="46"/>
      <c r="B1033" s="52"/>
      <c r="C1033" s="52"/>
      <c r="D1033" s="16"/>
      <c r="E1033" s="52"/>
      <c r="F1033" s="52"/>
      <c r="G1033" s="50"/>
      <c r="H1033" s="17" t="str">
        <f ca="1">IFERROR(__xludf.DUMMYFUNCTION("""COMPUTED_VALUE"""),"")</f>
        <v/>
      </c>
      <c r="I1033" s="50" t="s">
        <v>29</v>
      </c>
      <c r="J1033" s="50" t="s">
        <v>29</v>
      </c>
      <c r="K1033" s="50" t="s">
        <v>29</v>
      </c>
      <c r="L1033" s="50" t="s">
        <v>29</v>
      </c>
      <c r="M1033" s="50" t="s">
        <v>29</v>
      </c>
      <c r="N1033" s="49"/>
      <c r="P1033" s="19"/>
      <c r="Q1033" s="18" t="str">
        <f ca="1">IFERROR(__xludf.DUMMYFUNCTION("""COMPUTED_VALUE"""),"")</f>
        <v/>
      </c>
      <c r="R1033" s="19"/>
      <c r="S1033" s="20"/>
      <c r="BP1033" s="10"/>
      <c r="BW1033" s="10"/>
      <c r="CF1033" s="10"/>
      <c r="CM1033" s="10"/>
      <c r="CP1033" s="18" t="str">
        <f ca="1"/>
        <v/>
      </c>
      <c r="CQ1033" s="18" t="str">
        <f ca="1"/>
        <v/>
      </c>
      <c r="CR1033" s="18" t="str">
        <f ca="1"/>
        <v/>
      </c>
      <c r="CS1033" s="18" t="str">
        <f ca="1"/>
        <v/>
      </c>
      <c r="CT1033" s="18" t="str">
        <f ca="1"/>
        <v/>
      </c>
      <c r="CV1033" s="10"/>
      <c r="CY1033" s="18" t="str">
        <f ca="1"/>
        <v/>
      </c>
      <c r="CZ1033" s="18" t="str">
        <f ca="1"/>
        <v/>
      </c>
      <c r="DA1033" s="18" t="str">
        <f ca="1"/>
        <v/>
      </c>
      <c r="DC1033" s="10"/>
    </row>
    <row r="1034" spans="1:107" x14ac:dyDescent="0.25">
      <c r="A1034" s="46"/>
      <c r="B1034" s="52"/>
      <c r="C1034" s="52"/>
      <c r="D1034" s="16"/>
      <c r="E1034" s="52"/>
      <c r="F1034" s="52"/>
      <c r="G1034" s="50"/>
      <c r="H1034" s="17" t="str">
        <f ca="1">IFERROR(__xludf.DUMMYFUNCTION("""COMPUTED_VALUE"""),"")</f>
        <v/>
      </c>
      <c r="I1034" s="50" t="s">
        <v>29</v>
      </c>
      <c r="J1034" s="50" t="s">
        <v>29</v>
      </c>
      <c r="K1034" s="50" t="s">
        <v>29</v>
      </c>
      <c r="L1034" s="50" t="s">
        <v>29</v>
      </c>
      <c r="M1034" s="50" t="s">
        <v>29</v>
      </c>
      <c r="N1034" s="49"/>
      <c r="P1034" s="19"/>
      <c r="Q1034" s="18" t="str">
        <f ca="1">IFERROR(__xludf.DUMMYFUNCTION("""COMPUTED_VALUE"""),"")</f>
        <v/>
      </c>
      <c r="R1034" s="19"/>
      <c r="S1034" s="20"/>
      <c r="BP1034" s="10"/>
      <c r="BW1034" s="10"/>
      <c r="CF1034" s="10"/>
      <c r="CM1034" s="10"/>
      <c r="CP1034" s="18" t="str">
        <f ca="1"/>
        <v/>
      </c>
      <c r="CQ1034" s="18" t="str">
        <f ca="1"/>
        <v/>
      </c>
      <c r="CR1034" s="18" t="str">
        <f ca="1"/>
        <v/>
      </c>
      <c r="CS1034" s="18" t="str">
        <f ca="1"/>
        <v/>
      </c>
      <c r="CT1034" s="18" t="str">
        <f ca="1"/>
        <v/>
      </c>
      <c r="CV1034" s="10"/>
      <c r="CY1034" s="18" t="str">
        <f ca="1"/>
        <v/>
      </c>
      <c r="CZ1034" s="18" t="str">
        <f ca="1"/>
        <v/>
      </c>
      <c r="DA1034" s="18" t="str">
        <f ca="1"/>
        <v/>
      </c>
      <c r="DC1034" s="10"/>
    </row>
    <row r="1035" spans="1:107" x14ac:dyDescent="0.25">
      <c r="A1035" s="46"/>
      <c r="B1035" s="52"/>
      <c r="C1035" s="52"/>
      <c r="D1035" s="16"/>
      <c r="E1035" s="52"/>
      <c r="F1035" s="52"/>
      <c r="G1035" s="50"/>
      <c r="H1035" s="17" t="str">
        <f ca="1">IFERROR(__xludf.DUMMYFUNCTION("""COMPUTED_VALUE"""),"")</f>
        <v/>
      </c>
      <c r="I1035" s="50" t="s">
        <v>29</v>
      </c>
      <c r="J1035" s="50" t="s">
        <v>29</v>
      </c>
      <c r="K1035" s="50" t="s">
        <v>29</v>
      </c>
      <c r="L1035" s="50" t="s">
        <v>29</v>
      </c>
      <c r="M1035" s="50" t="s">
        <v>29</v>
      </c>
      <c r="N1035" s="49"/>
      <c r="P1035" s="19"/>
      <c r="Q1035" s="18" t="str">
        <f ca="1">IFERROR(__xludf.DUMMYFUNCTION("""COMPUTED_VALUE"""),"")</f>
        <v/>
      </c>
      <c r="R1035" s="19"/>
      <c r="S1035" s="20"/>
      <c r="BP1035" s="10"/>
      <c r="BW1035" s="10"/>
      <c r="CF1035" s="10"/>
      <c r="CM1035" s="10"/>
      <c r="CP1035" s="18" t="str">
        <f ca="1"/>
        <v/>
      </c>
      <c r="CQ1035" s="18" t="str">
        <f ca="1"/>
        <v/>
      </c>
      <c r="CR1035" s="18" t="str">
        <f ca="1"/>
        <v/>
      </c>
      <c r="CS1035" s="18" t="str">
        <f ca="1"/>
        <v/>
      </c>
      <c r="CT1035" s="18" t="str">
        <f ca="1"/>
        <v/>
      </c>
      <c r="CV1035" s="10"/>
      <c r="CY1035" s="18" t="str">
        <f ca="1"/>
        <v/>
      </c>
      <c r="CZ1035" s="18" t="str">
        <f ca="1"/>
        <v/>
      </c>
      <c r="DA1035" s="18" t="str">
        <f ca="1"/>
        <v/>
      </c>
      <c r="DC1035" s="10"/>
    </row>
    <row r="1036" spans="1:107" x14ac:dyDescent="0.25">
      <c r="A1036" s="46"/>
      <c r="B1036" s="52"/>
      <c r="C1036" s="52"/>
      <c r="D1036" s="16"/>
      <c r="E1036" s="52"/>
      <c r="F1036" s="52"/>
      <c r="G1036" s="50"/>
      <c r="H1036" s="17" t="str">
        <f ca="1">IFERROR(__xludf.DUMMYFUNCTION("""COMPUTED_VALUE"""),"")</f>
        <v/>
      </c>
      <c r="I1036" s="50" t="s">
        <v>29</v>
      </c>
      <c r="J1036" s="50" t="s">
        <v>29</v>
      </c>
      <c r="K1036" s="50" t="s">
        <v>29</v>
      </c>
      <c r="L1036" s="50" t="s">
        <v>29</v>
      </c>
      <c r="M1036" s="50" t="s">
        <v>29</v>
      </c>
      <c r="N1036" s="49"/>
      <c r="P1036" s="19"/>
      <c r="Q1036" s="18" t="str">
        <f ca="1">IFERROR(__xludf.DUMMYFUNCTION("""COMPUTED_VALUE"""),"")</f>
        <v/>
      </c>
      <c r="R1036" s="19"/>
      <c r="S1036" s="20"/>
      <c r="BP1036" s="10"/>
      <c r="BW1036" s="10"/>
      <c r="CF1036" s="10"/>
      <c r="CM1036" s="10"/>
      <c r="CP1036" s="18" t="str">
        <f ca="1"/>
        <v/>
      </c>
      <c r="CQ1036" s="18" t="str">
        <f ca="1"/>
        <v/>
      </c>
      <c r="CR1036" s="18" t="str">
        <f ca="1"/>
        <v/>
      </c>
      <c r="CS1036" s="18" t="str">
        <f ca="1"/>
        <v/>
      </c>
      <c r="CT1036" s="18" t="str">
        <f ca="1"/>
        <v/>
      </c>
      <c r="CV1036" s="10"/>
      <c r="CY1036" s="18" t="str">
        <f ca="1"/>
        <v/>
      </c>
      <c r="CZ1036" s="18" t="str">
        <f ca="1"/>
        <v/>
      </c>
      <c r="DA1036" s="18" t="str">
        <f ca="1"/>
        <v/>
      </c>
      <c r="DC1036" s="10"/>
    </row>
    <row r="1037" spans="1:107" x14ac:dyDescent="0.25">
      <c r="A1037" s="46"/>
      <c r="B1037" s="52"/>
      <c r="C1037" s="52"/>
      <c r="D1037" s="16"/>
      <c r="E1037" s="52"/>
      <c r="F1037" s="52"/>
      <c r="G1037" s="50"/>
      <c r="H1037" s="17" t="str">
        <f ca="1">IFERROR(__xludf.DUMMYFUNCTION("""COMPUTED_VALUE"""),"")</f>
        <v/>
      </c>
      <c r="I1037" s="50" t="s">
        <v>29</v>
      </c>
      <c r="J1037" s="50" t="s">
        <v>29</v>
      </c>
      <c r="K1037" s="50" t="s">
        <v>29</v>
      </c>
      <c r="L1037" s="50" t="s">
        <v>29</v>
      </c>
      <c r="M1037" s="50" t="s">
        <v>29</v>
      </c>
      <c r="N1037" s="49"/>
      <c r="P1037" s="19"/>
      <c r="Q1037" s="18" t="str">
        <f ca="1">IFERROR(__xludf.DUMMYFUNCTION("""COMPUTED_VALUE"""),"")</f>
        <v/>
      </c>
      <c r="R1037" s="19"/>
      <c r="S1037" s="20"/>
      <c r="BP1037" s="10"/>
      <c r="BW1037" s="10"/>
      <c r="CF1037" s="10"/>
      <c r="CM1037" s="10"/>
      <c r="CP1037" s="18" t="str">
        <f ca="1"/>
        <v/>
      </c>
      <c r="CQ1037" s="18" t="str">
        <f ca="1"/>
        <v/>
      </c>
      <c r="CR1037" s="18" t="str">
        <f ca="1"/>
        <v/>
      </c>
      <c r="CS1037" s="18" t="str">
        <f ca="1"/>
        <v/>
      </c>
      <c r="CT1037" s="18" t="str">
        <f ca="1"/>
        <v/>
      </c>
      <c r="CV1037" s="10"/>
      <c r="CY1037" s="18" t="str">
        <f ca="1"/>
        <v/>
      </c>
      <c r="CZ1037" s="18" t="str">
        <f ca="1"/>
        <v/>
      </c>
      <c r="DA1037" s="18" t="str">
        <f ca="1"/>
        <v/>
      </c>
      <c r="DC1037" s="10"/>
    </row>
    <row r="1038" spans="1:107" x14ac:dyDescent="0.25">
      <c r="A1038" s="46"/>
      <c r="B1038" s="52"/>
      <c r="C1038" s="52"/>
      <c r="D1038" s="16"/>
      <c r="E1038" s="52"/>
      <c r="F1038" s="52"/>
      <c r="G1038" s="50"/>
      <c r="H1038" s="17" t="str">
        <f ca="1">IFERROR(__xludf.DUMMYFUNCTION("""COMPUTED_VALUE"""),"")</f>
        <v/>
      </c>
      <c r="I1038" s="50" t="s">
        <v>29</v>
      </c>
      <c r="J1038" s="50" t="s">
        <v>29</v>
      </c>
      <c r="K1038" s="50" t="s">
        <v>29</v>
      </c>
      <c r="L1038" s="50" t="s">
        <v>29</v>
      </c>
      <c r="M1038" s="50" t="s">
        <v>29</v>
      </c>
      <c r="N1038" s="49"/>
      <c r="P1038" s="19"/>
      <c r="Q1038" s="18" t="str">
        <f ca="1">IFERROR(__xludf.DUMMYFUNCTION("""COMPUTED_VALUE"""),"")</f>
        <v/>
      </c>
      <c r="R1038" s="19"/>
      <c r="S1038" s="20"/>
      <c r="BP1038" s="10"/>
      <c r="BW1038" s="10"/>
      <c r="CF1038" s="10"/>
      <c r="CM1038" s="10"/>
      <c r="CP1038" s="18" t="str">
        <f ca="1"/>
        <v/>
      </c>
      <c r="CQ1038" s="18" t="str">
        <f ca="1"/>
        <v/>
      </c>
      <c r="CR1038" s="18" t="str">
        <f ca="1"/>
        <v/>
      </c>
      <c r="CS1038" s="18" t="str">
        <f ca="1"/>
        <v/>
      </c>
      <c r="CT1038" s="18" t="str">
        <f ca="1"/>
        <v/>
      </c>
      <c r="CV1038" s="10"/>
      <c r="CY1038" s="18" t="str">
        <f ca="1"/>
        <v/>
      </c>
      <c r="CZ1038" s="18" t="str">
        <f ca="1"/>
        <v/>
      </c>
      <c r="DA1038" s="18" t="str">
        <f ca="1"/>
        <v/>
      </c>
      <c r="DC1038" s="10"/>
    </row>
    <row r="1039" spans="1:107" x14ac:dyDescent="0.25">
      <c r="A1039" s="46"/>
      <c r="B1039" s="52"/>
      <c r="C1039" s="52"/>
      <c r="D1039" s="16"/>
      <c r="E1039" s="52"/>
      <c r="F1039" s="52"/>
      <c r="G1039" s="50"/>
      <c r="H1039" s="17" t="str">
        <f ca="1">IFERROR(__xludf.DUMMYFUNCTION("""COMPUTED_VALUE"""),"")</f>
        <v/>
      </c>
      <c r="I1039" s="50" t="s">
        <v>29</v>
      </c>
      <c r="J1039" s="50" t="s">
        <v>29</v>
      </c>
      <c r="K1039" s="50" t="s">
        <v>29</v>
      </c>
      <c r="L1039" s="50" t="s">
        <v>29</v>
      </c>
      <c r="M1039" s="50" t="s">
        <v>29</v>
      </c>
      <c r="N1039" s="49"/>
      <c r="P1039" s="19"/>
      <c r="Q1039" s="18" t="str">
        <f ca="1">IFERROR(__xludf.DUMMYFUNCTION("""COMPUTED_VALUE"""),"")</f>
        <v/>
      </c>
      <c r="R1039" s="19"/>
      <c r="S1039" s="20"/>
      <c r="BP1039" s="10"/>
      <c r="BW1039" s="10"/>
      <c r="CF1039" s="10"/>
      <c r="CM1039" s="10"/>
      <c r="CP1039" s="18" t="str">
        <f ca="1"/>
        <v/>
      </c>
      <c r="CQ1039" s="18" t="str">
        <f ca="1"/>
        <v/>
      </c>
      <c r="CR1039" s="18" t="str">
        <f ca="1"/>
        <v/>
      </c>
      <c r="CS1039" s="18" t="str">
        <f ca="1"/>
        <v/>
      </c>
      <c r="CT1039" s="18" t="str">
        <f ca="1"/>
        <v/>
      </c>
      <c r="CV1039" s="10"/>
      <c r="CY1039" s="18" t="str">
        <f ca="1"/>
        <v/>
      </c>
      <c r="CZ1039" s="18" t="str">
        <f ca="1"/>
        <v/>
      </c>
      <c r="DA1039" s="18" t="str">
        <f ca="1"/>
        <v/>
      </c>
      <c r="DC1039" s="10"/>
    </row>
    <row r="1040" spans="1:107" x14ac:dyDescent="0.25">
      <c r="A1040" s="46"/>
      <c r="B1040" s="52"/>
      <c r="C1040" s="52"/>
      <c r="D1040" s="16"/>
      <c r="E1040" s="52"/>
      <c r="F1040" s="52"/>
      <c r="G1040" s="50"/>
      <c r="H1040" s="17" t="str">
        <f ca="1">IFERROR(__xludf.DUMMYFUNCTION("""COMPUTED_VALUE"""),"")</f>
        <v/>
      </c>
      <c r="I1040" s="50" t="s">
        <v>29</v>
      </c>
      <c r="J1040" s="50" t="s">
        <v>29</v>
      </c>
      <c r="K1040" s="50" t="s">
        <v>29</v>
      </c>
      <c r="L1040" s="50" t="s">
        <v>29</v>
      </c>
      <c r="M1040" s="50" t="s">
        <v>29</v>
      </c>
      <c r="N1040" s="49"/>
      <c r="P1040" s="19"/>
      <c r="Q1040" s="18" t="str">
        <f ca="1">IFERROR(__xludf.DUMMYFUNCTION("""COMPUTED_VALUE"""),"")</f>
        <v/>
      </c>
      <c r="R1040" s="19"/>
      <c r="S1040" s="20"/>
      <c r="BP1040" s="10"/>
      <c r="BW1040" s="10"/>
      <c r="CF1040" s="10"/>
      <c r="CM1040" s="10"/>
      <c r="CP1040" s="18" t="str">
        <f ca="1"/>
        <v/>
      </c>
      <c r="CQ1040" s="18" t="str">
        <f ca="1"/>
        <v/>
      </c>
      <c r="CR1040" s="18" t="str">
        <f ca="1"/>
        <v/>
      </c>
      <c r="CS1040" s="18" t="str">
        <f ca="1"/>
        <v/>
      </c>
      <c r="CT1040" s="18" t="str">
        <f ca="1"/>
        <v/>
      </c>
      <c r="CV1040" s="10"/>
      <c r="CY1040" s="18" t="str">
        <f ca="1"/>
        <v/>
      </c>
      <c r="CZ1040" s="18" t="str">
        <f ca="1"/>
        <v/>
      </c>
      <c r="DA1040" s="18" t="str">
        <f ca="1"/>
        <v/>
      </c>
      <c r="DC1040" s="10"/>
    </row>
    <row r="1041" spans="1:107" x14ac:dyDescent="0.25">
      <c r="A1041" s="46"/>
      <c r="B1041" s="52"/>
      <c r="C1041" s="52"/>
      <c r="D1041" s="16"/>
      <c r="E1041" s="52"/>
      <c r="F1041" s="52"/>
      <c r="G1041" s="50"/>
      <c r="H1041" s="17" t="str">
        <f ca="1">IFERROR(__xludf.DUMMYFUNCTION("""COMPUTED_VALUE"""),"")</f>
        <v/>
      </c>
      <c r="I1041" s="50" t="s">
        <v>29</v>
      </c>
      <c r="J1041" s="50" t="s">
        <v>29</v>
      </c>
      <c r="K1041" s="50" t="s">
        <v>29</v>
      </c>
      <c r="L1041" s="50" t="s">
        <v>29</v>
      </c>
      <c r="M1041" s="50" t="s">
        <v>29</v>
      </c>
      <c r="N1041" s="49"/>
      <c r="P1041" s="19"/>
      <c r="Q1041" s="18" t="str">
        <f ca="1">IFERROR(__xludf.DUMMYFUNCTION("""COMPUTED_VALUE"""),"")</f>
        <v/>
      </c>
      <c r="R1041" s="19"/>
      <c r="S1041" s="20"/>
      <c r="BP1041" s="10"/>
      <c r="BW1041" s="10"/>
      <c r="CF1041" s="10"/>
      <c r="CM1041" s="10"/>
      <c r="CP1041" s="18" t="str">
        <f ca="1"/>
        <v/>
      </c>
      <c r="CQ1041" s="18" t="str">
        <f ca="1"/>
        <v/>
      </c>
      <c r="CR1041" s="18" t="str">
        <f ca="1"/>
        <v/>
      </c>
      <c r="CS1041" s="18" t="str">
        <f ca="1"/>
        <v/>
      </c>
      <c r="CT1041" s="18" t="str">
        <f ca="1"/>
        <v/>
      </c>
      <c r="CV1041" s="10"/>
      <c r="CY1041" s="18" t="str">
        <f ca="1"/>
        <v/>
      </c>
      <c r="CZ1041" s="18" t="str">
        <f ca="1"/>
        <v/>
      </c>
      <c r="DA1041" s="18" t="str">
        <f ca="1"/>
        <v/>
      </c>
      <c r="DC1041" s="10"/>
    </row>
    <row r="1042" spans="1:107" x14ac:dyDescent="0.25">
      <c r="A1042" s="46"/>
      <c r="B1042" s="52"/>
      <c r="C1042" s="52"/>
      <c r="D1042" s="16"/>
      <c r="E1042" s="52"/>
      <c r="F1042" s="52"/>
      <c r="G1042" s="50"/>
      <c r="H1042" s="17" t="str">
        <f ca="1">IFERROR(__xludf.DUMMYFUNCTION("""COMPUTED_VALUE"""),"")</f>
        <v/>
      </c>
      <c r="I1042" s="50" t="s">
        <v>29</v>
      </c>
      <c r="J1042" s="50" t="s">
        <v>29</v>
      </c>
      <c r="K1042" s="50" t="s">
        <v>29</v>
      </c>
      <c r="L1042" s="50" t="s">
        <v>29</v>
      </c>
      <c r="M1042" s="50" t="s">
        <v>29</v>
      </c>
      <c r="N1042" s="49"/>
      <c r="P1042" s="19"/>
      <c r="Q1042" s="18" t="str">
        <f ca="1">IFERROR(__xludf.DUMMYFUNCTION("""COMPUTED_VALUE"""),"")</f>
        <v/>
      </c>
      <c r="R1042" s="19"/>
      <c r="S1042" s="20"/>
      <c r="BP1042" s="10"/>
      <c r="BW1042" s="10"/>
      <c r="CF1042" s="10"/>
      <c r="CM1042" s="10"/>
      <c r="CP1042" s="18" t="str">
        <f ca="1"/>
        <v/>
      </c>
      <c r="CQ1042" s="18" t="str">
        <f ca="1"/>
        <v/>
      </c>
      <c r="CR1042" s="18" t="str">
        <f ca="1"/>
        <v/>
      </c>
      <c r="CS1042" s="18" t="str">
        <f ca="1"/>
        <v/>
      </c>
      <c r="CT1042" s="18" t="str">
        <f ca="1"/>
        <v/>
      </c>
      <c r="CV1042" s="10"/>
      <c r="CY1042" s="18" t="str">
        <f ca="1"/>
        <v/>
      </c>
      <c r="CZ1042" s="18" t="str">
        <f ca="1"/>
        <v/>
      </c>
      <c r="DA1042" s="18" t="str">
        <f ca="1"/>
        <v/>
      </c>
      <c r="DC1042" s="10"/>
    </row>
    <row r="1043" spans="1:107" x14ac:dyDescent="0.25">
      <c r="A1043" s="46"/>
      <c r="B1043" s="52"/>
      <c r="C1043" s="52"/>
      <c r="D1043" s="16"/>
      <c r="E1043" s="52"/>
      <c r="F1043" s="52"/>
      <c r="G1043" s="50"/>
      <c r="H1043" s="17" t="str">
        <f ca="1">IFERROR(__xludf.DUMMYFUNCTION("""COMPUTED_VALUE"""),"")</f>
        <v/>
      </c>
      <c r="I1043" s="50" t="s">
        <v>29</v>
      </c>
      <c r="J1043" s="50" t="s">
        <v>29</v>
      </c>
      <c r="K1043" s="50" t="s">
        <v>29</v>
      </c>
      <c r="L1043" s="50" t="s">
        <v>29</v>
      </c>
      <c r="M1043" s="50" t="s">
        <v>29</v>
      </c>
      <c r="N1043" s="49"/>
      <c r="P1043" s="19"/>
      <c r="Q1043" s="18" t="str">
        <f ca="1">IFERROR(__xludf.DUMMYFUNCTION("""COMPUTED_VALUE"""),"")</f>
        <v/>
      </c>
      <c r="R1043" s="19"/>
      <c r="S1043" s="20"/>
      <c r="BP1043" s="10"/>
      <c r="BW1043" s="10"/>
      <c r="CF1043" s="10"/>
      <c r="CM1043" s="10"/>
      <c r="CP1043" s="18" t="str">
        <f ca="1"/>
        <v/>
      </c>
      <c r="CQ1043" s="18" t="str">
        <f ca="1"/>
        <v/>
      </c>
      <c r="CR1043" s="18" t="str">
        <f ca="1"/>
        <v/>
      </c>
      <c r="CS1043" s="18" t="str">
        <f ca="1"/>
        <v/>
      </c>
      <c r="CT1043" s="18" t="str">
        <f ca="1"/>
        <v/>
      </c>
      <c r="CV1043" s="10"/>
      <c r="CY1043" s="18" t="str">
        <f ca="1"/>
        <v/>
      </c>
      <c r="CZ1043" s="18" t="str">
        <f ca="1"/>
        <v/>
      </c>
      <c r="DA1043" s="18" t="str">
        <f ca="1"/>
        <v/>
      </c>
      <c r="DC1043" s="10"/>
    </row>
    <row r="1044" spans="1:107" x14ac:dyDescent="0.25">
      <c r="A1044" s="46"/>
      <c r="B1044" s="52"/>
      <c r="C1044" s="52"/>
      <c r="D1044" s="16"/>
      <c r="E1044" s="52"/>
      <c r="F1044" s="52"/>
      <c r="G1044" s="50"/>
      <c r="H1044" s="17" t="str">
        <f ca="1">IFERROR(__xludf.DUMMYFUNCTION("""COMPUTED_VALUE"""),"")</f>
        <v/>
      </c>
      <c r="I1044" s="50" t="s">
        <v>29</v>
      </c>
      <c r="J1044" s="50" t="s">
        <v>29</v>
      </c>
      <c r="K1044" s="50" t="s">
        <v>29</v>
      </c>
      <c r="L1044" s="50" t="s">
        <v>29</v>
      </c>
      <c r="M1044" s="50" t="s">
        <v>29</v>
      </c>
      <c r="N1044" s="49"/>
      <c r="P1044" s="19"/>
      <c r="Q1044" s="18" t="str">
        <f ca="1">IFERROR(__xludf.DUMMYFUNCTION("""COMPUTED_VALUE"""),"")</f>
        <v/>
      </c>
      <c r="R1044" s="19"/>
      <c r="S1044" s="20"/>
      <c r="BP1044" s="10"/>
      <c r="BW1044" s="10"/>
      <c r="CF1044" s="10"/>
      <c r="CM1044" s="10"/>
      <c r="CP1044" s="18" t="str">
        <f ca="1"/>
        <v/>
      </c>
      <c r="CQ1044" s="18" t="str">
        <f ca="1"/>
        <v/>
      </c>
      <c r="CR1044" s="18" t="str">
        <f ca="1"/>
        <v/>
      </c>
      <c r="CS1044" s="18" t="str">
        <f ca="1"/>
        <v/>
      </c>
      <c r="CT1044" s="18" t="str">
        <f ca="1"/>
        <v/>
      </c>
      <c r="CV1044" s="10"/>
      <c r="CY1044" s="18" t="str">
        <f ca="1"/>
        <v/>
      </c>
      <c r="CZ1044" s="18" t="str">
        <f ca="1"/>
        <v/>
      </c>
      <c r="DA1044" s="18" t="str">
        <f ca="1"/>
        <v/>
      </c>
      <c r="DC1044" s="10"/>
    </row>
    <row r="1045" spans="1:107" x14ac:dyDescent="0.25">
      <c r="A1045" s="46"/>
      <c r="B1045" s="52"/>
      <c r="C1045" s="52"/>
      <c r="D1045" s="16"/>
      <c r="E1045" s="52"/>
      <c r="F1045" s="52"/>
      <c r="G1045" s="50"/>
      <c r="H1045" s="17" t="str">
        <f ca="1">IFERROR(__xludf.DUMMYFUNCTION("""COMPUTED_VALUE"""),"")</f>
        <v/>
      </c>
      <c r="I1045" s="50" t="s">
        <v>29</v>
      </c>
      <c r="J1045" s="50" t="s">
        <v>29</v>
      </c>
      <c r="K1045" s="50" t="s">
        <v>29</v>
      </c>
      <c r="L1045" s="50" t="s">
        <v>29</v>
      </c>
      <c r="M1045" s="50" t="s">
        <v>29</v>
      </c>
      <c r="N1045" s="49"/>
      <c r="P1045" s="19"/>
      <c r="Q1045" s="18" t="str">
        <f ca="1">IFERROR(__xludf.DUMMYFUNCTION("""COMPUTED_VALUE"""),"")</f>
        <v/>
      </c>
      <c r="R1045" s="19"/>
      <c r="S1045" s="20"/>
      <c r="BP1045" s="10"/>
      <c r="BW1045" s="10"/>
      <c r="CF1045" s="10"/>
      <c r="CM1045" s="10"/>
      <c r="CP1045" s="18" t="str">
        <f ca="1"/>
        <v/>
      </c>
      <c r="CQ1045" s="18" t="str">
        <f ca="1"/>
        <v/>
      </c>
      <c r="CR1045" s="18" t="str">
        <f ca="1"/>
        <v/>
      </c>
      <c r="CS1045" s="18" t="str">
        <f ca="1"/>
        <v/>
      </c>
      <c r="CT1045" s="18" t="str">
        <f ca="1"/>
        <v/>
      </c>
      <c r="CV1045" s="10"/>
      <c r="CY1045" s="18" t="str">
        <f ca="1"/>
        <v/>
      </c>
      <c r="CZ1045" s="18" t="str">
        <f ca="1"/>
        <v/>
      </c>
      <c r="DA1045" s="18" t="str">
        <f ca="1"/>
        <v/>
      </c>
      <c r="DC1045" s="10"/>
    </row>
    <row r="1046" spans="1:107" x14ac:dyDescent="0.25">
      <c r="A1046" s="46"/>
      <c r="B1046" s="52"/>
      <c r="C1046" s="52"/>
      <c r="D1046" s="16"/>
      <c r="E1046" s="52"/>
      <c r="F1046" s="52"/>
      <c r="G1046" s="50"/>
      <c r="H1046" s="17" t="str">
        <f ca="1">IFERROR(__xludf.DUMMYFUNCTION("""COMPUTED_VALUE"""),"")</f>
        <v/>
      </c>
      <c r="I1046" s="50" t="s">
        <v>29</v>
      </c>
      <c r="J1046" s="50" t="s">
        <v>29</v>
      </c>
      <c r="K1046" s="50" t="s">
        <v>29</v>
      </c>
      <c r="L1046" s="50" t="s">
        <v>29</v>
      </c>
      <c r="M1046" s="50" t="s">
        <v>29</v>
      </c>
      <c r="N1046" s="49"/>
      <c r="P1046" s="19"/>
      <c r="Q1046" s="18" t="str">
        <f ca="1">IFERROR(__xludf.DUMMYFUNCTION("""COMPUTED_VALUE"""),"")</f>
        <v/>
      </c>
      <c r="R1046" s="19"/>
      <c r="S1046" s="20"/>
      <c r="BP1046" s="10"/>
      <c r="BW1046" s="10"/>
      <c r="CF1046" s="10"/>
      <c r="CM1046" s="10"/>
      <c r="CP1046" s="18" t="str">
        <f ca="1"/>
        <v/>
      </c>
      <c r="CQ1046" s="18" t="str">
        <f ca="1"/>
        <v/>
      </c>
      <c r="CR1046" s="18" t="str">
        <f ca="1"/>
        <v/>
      </c>
      <c r="CS1046" s="18" t="str">
        <f ca="1"/>
        <v/>
      </c>
      <c r="CT1046" s="18" t="str">
        <f ca="1"/>
        <v/>
      </c>
      <c r="CV1046" s="10"/>
      <c r="CY1046" s="18" t="str">
        <f ca="1"/>
        <v/>
      </c>
      <c r="CZ1046" s="18" t="str">
        <f ca="1"/>
        <v/>
      </c>
      <c r="DA1046" s="18" t="str">
        <f ca="1"/>
        <v/>
      </c>
      <c r="DC1046" s="10"/>
    </row>
    <row r="1047" spans="1:107" x14ac:dyDescent="0.25">
      <c r="A1047" s="46"/>
      <c r="B1047" s="52"/>
      <c r="C1047" s="52"/>
      <c r="D1047" s="16"/>
      <c r="E1047" s="52"/>
      <c r="F1047" s="52"/>
      <c r="G1047" s="50"/>
      <c r="H1047" s="17" t="str">
        <f ca="1">IFERROR(__xludf.DUMMYFUNCTION("""COMPUTED_VALUE"""),"")</f>
        <v/>
      </c>
      <c r="I1047" s="50" t="s">
        <v>29</v>
      </c>
      <c r="J1047" s="50" t="s">
        <v>29</v>
      </c>
      <c r="K1047" s="50" t="s">
        <v>29</v>
      </c>
      <c r="L1047" s="50" t="s">
        <v>29</v>
      </c>
      <c r="M1047" s="50" t="s">
        <v>29</v>
      </c>
      <c r="N1047" s="49"/>
      <c r="P1047" s="19"/>
      <c r="Q1047" s="18" t="str">
        <f ca="1">IFERROR(__xludf.DUMMYFUNCTION("""COMPUTED_VALUE"""),"")</f>
        <v/>
      </c>
      <c r="R1047" s="19"/>
      <c r="S1047" s="20"/>
      <c r="BP1047" s="10"/>
      <c r="BW1047" s="10"/>
      <c r="CF1047" s="10"/>
      <c r="CM1047" s="10"/>
      <c r="CP1047" s="18" t="str">
        <f ca="1"/>
        <v/>
      </c>
      <c r="CQ1047" s="18" t="str">
        <f ca="1"/>
        <v/>
      </c>
      <c r="CR1047" s="18" t="str">
        <f ca="1"/>
        <v/>
      </c>
      <c r="CS1047" s="18" t="str">
        <f ca="1"/>
        <v/>
      </c>
      <c r="CT1047" s="18" t="str">
        <f ca="1"/>
        <v/>
      </c>
      <c r="CV1047" s="10"/>
      <c r="CY1047" s="18" t="str">
        <f ca="1"/>
        <v/>
      </c>
      <c r="CZ1047" s="18" t="str">
        <f ca="1"/>
        <v/>
      </c>
      <c r="DA1047" s="18" t="str">
        <f ca="1"/>
        <v/>
      </c>
      <c r="DC1047" s="10"/>
    </row>
    <row r="1048" spans="1:107" x14ac:dyDescent="0.25">
      <c r="A1048" s="46"/>
      <c r="B1048" s="52"/>
      <c r="C1048" s="52"/>
      <c r="D1048" s="16"/>
      <c r="E1048" s="52"/>
      <c r="F1048" s="52"/>
      <c r="G1048" s="50"/>
      <c r="H1048" s="17" t="str">
        <f ca="1">IFERROR(__xludf.DUMMYFUNCTION("""COMPUTED_VALUE"""),"")</f>
        <v/>
      </c>
      <c r="I1048" s="50" t="s">
        <v>29</v>
      </c>
      <c r="J1048" s="50" t="s">
        <v>29</v>
      </c>
      <c r="K1048" s="50" t="s">
        <v>29</v>
      </c>
      <c r="L1048" s="50" t="s">
        <v>29</v>
      </c>
      <c r="M1048" s="50" t="s">
        <v>29</v>
      </c>
      <c r="N1048" s="49"/>
      <c r="P1048" s="19"/>
      <c r="Q1048" s="18" t="str">
        <f ca="1">IFERROR(__xludf.DUMMYFUNCTION("""COMPUTED_VALUE"""),"")</f>
        <v/>
      </c>
      <c r="R1048" s="19"/>
      <c r="S1048" s="20"/>
      <c r="BP1048" s="10"/>
      <c r="BW1048" s="10"/>
      <c r="CF1048" s="10"/>
      <c r="CM1048" s="10"/>
      <c r="CP1048" s="18" t="str">
        <f ca="1"/>
        <v/>
      </c>
      <c r="CQ1048" s="18" t="str">
        <f ca="1"/>
        <v/>
      </c>
      <c r="CR1048" s="18" t="str">
        <f ca="1"/>
        <v/>
      </c>
      <c r="CS1048" s="18" t="str">
        <f ca="1"/>
        <v/>
      </c>
      <c r="CT1048" s="18" t="str">
        <f ca="1"/>
        <v/>
      </c>
      <c r="CV1048" s="10"/>
      <c r="CY1048" s="18" t="str">
        <f ca="1"/>
        <v/>
      </c>
      <c r="CZ1048" s="18" t="str">
        <f ca="1"/>
        <v/>
      </c>
      <c r="DA1048" s="18" t="str">
        <f ca="1"/>
        <v/>
      </c>
      <c r="DC1048" s="10"/>
    </row>
    <row r="1049" spans="1:107" x14ac:dyDescent="0.25">
      <c r="A1049" s="46"/>
      <c r="B1049" s="52"/>
      <c r="C1049" s="52"/>
      <c r="D1049" s="16"/>
      <c r="E1049" s="52"/>
      <c r="F1049" s="52"/>
      <c r="G1049" s="50"/>
      <c r="H1049" s="17" t="str">
        <f ca="1">IFERROR(__xludf.DUMMYFUNCTION("""COMPUTED_VALUE"""),"")</f>
        <v/>
      </c>
      <c r="I1049" s="50" t="s">
        <v>29</v>
      </c>
      <c r="J1049" s="50" t="s">
        <v>29</v>
      </c>
      <c r="K1049" s="50" t="s">
        <v>29</v>
      </c>
      <c r="L1049" s="50" t="s">
        <v>29</v>
      </c>
      <c r="M1049" s="50" t="s">
        <v>29</v>
      </c>
      <c r="N1049" s="49"/>
      <c r="P1049" s="19"/>
      <c r="Q1049" s="18" t="str">
        <f ca="1">IFERROR(__xludf.DUMMYFUNCTION("""COMPUTED_VALUE"""),"")</f>
        <v/>
      </c>
      <c r="R1049" s="19"/>
      <c r="S1049" s="20"/>
      <c r="BP1049" s="10"/>
      <c r="BW1049" s="10"/>
      <c r="CF1049" s="10"/>
      <c r="CM1049" s="10"/>
      <c r="CP1049" s="18" t="str">
        <f ca="1"/>
        <v/>
      </c>
      <c r="CQ1049" s="18" t="str">
        <f ca="1"/>
        <v/>
      </c>
      <c r="CR1049" s="18" t="str">
        <f ca="1"/>
        <v/>
      </c>
      <c r="CS1049" s="18" t="str">
        <f ca="1"/>
        <v/>
      </c>
      <c r="CT1049" s="18" t="str">
        <f ca="1"/>
        <v/>
      </c>
      <c r="CV1049" s="10"/>
      <c r="CY1049" s="18" t="str">
        <f ca="1"/>
        <v/>
      </c>
      <c r="CZ1049" s="18" t="str">
        <f ca="1"/>
        <v/>
      </c>
      <c r="DA1049" s="18" t="str">
        <f ca="1"/>
        <v/>
      </c>
      <c r="DC1049" s="10"/>
    </row>
    <row r="1050" spans="1:107" x14ac:dyDescent="0.25">
      <c r="A1050" s="46"/>
      <c r="B1050" s="52"/>
      <c r="C1050" s="52"/>
      <c r="D1050" s="16"/>
      <c r="E1050" s="52"/>
      <c r="F1050" s="52"/>
      <c r="G1050" s="50"/>
      <c r="H1050" s="17" t="str">
        <f ca="1">IFERROR(__xludf.DUMMYFUNCTION("""COMPUTED_VALUE"""),"")</f>
        <v/>
      </c>
      <c r="I1050" s="50" t="s">
        <v>29</v>
      </c>
      <c r="J1050" s="50" t="s">
        <v>29</v>
      </c>
      <c r="K1050" s="50" t="s">
        <v>29</v>
      </c>
      <c r="L1050" s="50" t="s">
        <v>29</v>
      </c>
      <c r="M1050" s="50" t="s">
        <v>29</v>
      </c>
      <c r="N1050" s="49"/>
      <c r="P1050" s="19"/>
      <c r="Q1050" s="18" t="str">
        <f ca="1">IFERROR(__xludf.DUMMYFUNCTION("""COMPUTED_VALUE"""),"")</f>
        <v/>
      </c>
      <c r="R1050" s="19"/>
      <c r="S1050" s="20"/>
      <c r="BP1050" s="10"/>
      <c r="BW1050" s="10"/>
      <c r="CF1050" s="10"/>
      <c r="CM1050" s="10"/>
      <c r="CP1050" s="18" t="str">
        <f ca="1"/>
        <v/>
      </c>
      <c r="CQ1050" s="18" t="str">
        <f ca="1"/>
        <v/>
      </c>
      <c r="CR1050" s="18" t="str">
        <f ca="1"/>
        <v/>
      </c>
      <c r="CS1050" s="18" t="str">
        <f ca="1"/>
        <v/>
      </c>
      <c r="CT1050" s="18" t="str">
        <f ca="1"/>
        <v/>
      </c>
      <c r="CV1050" s="10"/>
      <c r="CY1050" s="18" t="str">
        <f ca="1"/>
        <v/>
      </c>
      <c r="CZ1050" s="18" t="str">
        <f ca="1"/>
        <v/>
      </c>
      <c r="DA1050" s="18" t="str">
        <f ca="1"/>
        <v/>
      </c>
      <c r="DC1050" s="10"/>
    </row>
    <row r="1051" spans="1:107" x14ac:dyDescent="0.25">
      <c r="A1051" s="46"/>
      <c r="B1051" s="52"/>
      <c r="C1051" s="52"/>
      <c r="D1051" s="16"/>
      <c r="E1051" s="52"/>
      <c r="F1051" s="52"/>
      <c r="G1051" s="50"/>
      <c r="H1051" s="17" t="str">
        <f ca="1">IFERROR(__xludf.DUMMYFUNCTION("""COMPUTED_VALUE"""),"")</f>
        <v/>
      </c>
      <c r="I1051" s="50" t="s">
        <v>29</v>
      </c>
      <c r="J1051" s="50" t="s">
        <v>29</v>
      </c>
      <c r="K1051" s="50" t="s">
        <v>29</v>
      </c>
      <c r="L1051" s="50" t="s">
        <v>29</v>
      </c>
      <c r="M1051" s="50" t="s">
        <v>29</v>
      </c>
      <c r="N1051" s="49"/>
      <c r="P1051" s="19"/>
      <c r="Q1051" s="18" t="str">
        <f ca="1">IFERROR(__xludf.DUMMYFUNCTION("""COMPUTED_VALUE"""),"")</f>
        <v/>
      </c>
      <c r="R1051" s="19"/>
      <c r="S1051" s="20"/>
      <c r="BP1051" s="10"/>
      <c r="BW1051" s="10"/>
      <c r="CF1051" s="10"/>
      <c r="CM1051" s="10"/>
      <c r="CP1051" s="18" t="str">
        <f ca="1"/>
        <v/>
      </c>
      <c r="CQ1051" s="18" t="str">
        <f ca="1"/>
        <v/>
      </c>
      <c r="CR1051" s="18" t="str">
        <f ca="1"/>
        <v/>
      </c>
      <c r="CS1051" s="18" t="str">
        <f ca="1"/>
        <v/>
      </c>
      <c r="CT1051" s="18" t="str">
        <f ca="1"/>
        <v/>
      </c>
      <c r="CV1051" s="10"/>
      <c r="CY1051" s="18" t="str">
        <f ca="1"/>
        <v/>
      </c>
      <c r="CZ1051" s="18" t="str">
        <f ca="1"/>
        <v/>
      </c>
      <c r="DA1051" s="18" t="str">
        <f ca="1"/>
        <v/>
      </c>
      <c r="DC1051" s="10"/>
    </row>
    <row r="1052" spans="1:107" x14ac:dyDescent="0.25">
      <c r="A1052" s="46"/>
      <c r="B1052" s="52"/>
      <c r="C1052" s="52"/>
      <c r="D1052" s="16"/>
      <c r="E1052" s="52"/>
      <c r="F1052" s="52"/>
      <c r="G1052" s="50"/>
      <c r="H1052" s="17" t="str">
        <f ca="1">IFERROR(__xludf.DUMMYFUNCTION("""COMPUTED_VALUE"""),"")</f>
        <v/>
      </c>
      <c r="I1052" s="50" t="s">
        <v>29</v>
      </c>
      <c r="J1052" s="50" t="s">
        <v>29</v>
      </c>
      <c r="K1052" s="50" t="s">
        <v>29</v>
      </c>
      <c r="L1052" s="50" t="s">
        <v>29</v>
      </c>
      <c r="M1052" s="50" t="s">
        <v>29</v>
      </c>
      <c r="N1052" s="49"/>
      <c r="P1052" s="19"/>
      <c r="Q1052" s="18" t="str">
        <f ca="1">IFERROR(__xludf.DUMMYFUNCTION("""COMPUTED_VALUE"""),"")</f>
        <v/>
      </c>
      <c r="R1052" s="19"/>
      <c r="S1052" s="20"/>
      <c r="BP1052" s="10"/>
      <c r="BW1052" s="10"/>
      <c r="CF1052" s="10"/>
      <c r="CM1052" s="10"/>
      <c r="CP1052" s="18" t="str">
        <f ca="1"/>
        <v/>
      </c>
      <c r="CQ1052" s="18" t="str">
        <f ca="1"/>
        <v/>
      </c>
      <c r="CR1052" s="18" t="str">
        <f ca="1"/>
        <v/>
      </c>
      <c r="CS1052" s="18" t="str">
        <f ca="1"/>
        <v/>
      </c>
      <c r="CT1052" s="18" t="str">
        <f ca="1"/>
        <v/>
      </c>
      <c r="CV1052" s="10"/>
      <c r="CY1052" s="18" t="str">
        <f ca="1"/>
        <v/>
      </c>
      <c r="CZ1052" s="18" t="str">
        <f ca="1"/>
        <v/>
      </c>
      <c r="DA1052" s="18" t="str">
        <f ca="1"/>
        <v/>
      </c>
      <c r="DC1052" s="10"/>
    </row>
    <row r="1053" spans="1:107" x14ac:dyDescent="0.25">
      <c r="A1053" s="46"/>
      <c r="B1053" s="52"/>
      <c r="C1053" s="52"/>
      <c r="D1053" s="16"/>
      <c r="E1053" s="52"/>
      <c r="F1053" s="52"/>
      <c r="G1053" s="50"/>
      <c r="H1053" s="17" t="str">
        <f ca="1">IFERROR(__xludf.DUMMYFUNCTION("""COMPUTED_VALUE"""),"")</f>
        <v/>
      </c>
      <c r="I1053" s="50" t="s">
        <v>29</v>
      </c>
      <c r="J1053" s="50" t="s">
        <v>29</v>
      </c>
      <c r="K1053" s="50" t="s">
        <v>29</v>
      </c>
      <c r="L1053" s="50" t="s">
        <v>29</v>
      </c>
      <c r="M1053" s="50" t="s">
        <v>29</v>
      </c>
      <c r="N1053" s="49"/>
      <c r="P1053" s="19"/>
      <c r="Q1053" s="18" t="str">
        <f ca="1">IFERROR(__xludf.DUMMYFUNCTION("""COMPUTED_VALUE"""),"")</f>
        <v/>
      </c>
      <c r="R1053" s="19"/>
      <c r="S1053" s="20"/>
      <c r="BP1053" s="10"/>
      <c r="BW1053" s="10"/>
      <c r="CF1053" s="10"/>
      <c r="CM1053" s="10"/>
      <c r="CP1053" s="18" t="str">
        <f ca="1"/>
        <v/>
      </c>
      <c r="CQ1053" s="18" t="str">
        <f ca="1"/>
        <v/>
      </c>
      <c r="CR1053" s="18" t="str">
        <f ca="1"/>
        <v/>
      </c>
      <c r="CS1053" s="18" t="str">
        <f ca="1"/>
        <v/>
      </c>
      <c r="CT1053" s="18" t="str">
        <f ca="1"/>
        <v/>
      </c>
      <c r="CV1053" s="10"/>
      <c r="CY1053" s="18" t="str">
        <f ca="1"/>
        <v/>
      </c>
      <c r="CZ1053" s="18" t="str">
        <f ca="1"/>
        <v/>
      </c>
      <c r="DA1053" s="18" t="str">
        <f ca="1"/>
        <v/>
      </c>
      <c r="DC1053" s="10"/>
    </row>
    <row r="1054" spans="1:107" x14ac:dyDescent="0.25">
      <c r="A1054" s="46"/>
      <c r="B1054" s="52"/>
      <c r="C1054" s="52"/>
      <c r="D1054" s="16"/>
      <c r="E1054" s="52"/>
      <c r="F1054" s="52"/>
      <c r="G1054" s="50"/>
      <c r="H1054" s="17" t="str">
        <f ca="1">IFERROR(__xludf.DUMMYFUNCTION("""COMPUTED_VALUE"""),"")</f>
        <v/>
      </c>
      <c r="I1054" s="50" t="s">
        <v>29</v>
      </c>
      <c r="J1054" s="50" t="s">
        <v>29</v>
      </c>
      <c r="K1054" s="50" t="s">
        <v>29</v>
      </c>
      <c r="L1054" s="50" t="s">
        <v>29</v>
      </c>
      <c r="M1054" s="50" t="s">
        <v>29</v>
      </c>
      <c r="N1054" s="49"/>
      <c r="P1054" s="19"/>
      <c r="Q1054" s="18" t="str">
        <f ca="1">IFERROR(__xludf.DUMMYFUNCTION("""COMPUTED_VALUE"""),"")</f>
        <v/>
      </c>
      <c r="R1054" s="19"/>
      <c r="S1054" s="20"/>
      <c r="BP1054" s="10"/>
      <c r="BW1054" s="10"/>
      <c r="CF1054" s="10"/>
      <c r="CM1054" s="10"/>
      <c r="CP1054" s="18" t="str">
        <f ca="1"/>
        <v/>
      </c>
      <c r="CQ1054" s="18" t="str">
        <f ca="1"/>
        <v/>
      </c>
      <c r="CR1054" s="18" t="str">
        <f ca="1"/>
        <v/>
      </c>
      <c r="CS1054" s="18" t="str">
        <f ca="1"/>
        <v/>
      </c>
      <c r="CT1054" s="18" t="str">
        <f ca="1"/>
        <v/>
      </c>
      <c r="CV1054" s="10"/>
      <c r="CY1054" s="18" t="str">
        <f ca="1"/>
        <v/>
      </c>
      <c r="CZ1054" s="18" t="str">
        <f ca="1"/>
        <v/>
      </c>
      <c r="DA1054" s="18" t="str">
        <f ca="1"/>
        <v/>
      </c>
      <c r="DC1054" s="10"/>
    </row>
    <row r="1055" spans="1:107" x14ac:dyDescent="0.25">
      <c r="A1055" s="46"/>
      <c r="B1055" s="52"/>
      <c r="C1055" s="52"/>
      <c r="D1055" s="16"/>
      <c r="E1055" s="52"/>
      <c r="F1055" s="52"/>
      <c r="G1055" s="50"/>
      <c r="H1055" s="17" t="str">
        <f ca="1">IFERROR(__xludf.DUMMYFUNCTION("""COMPUTED_VALUE"""),"")</f>
        <v/>
      </c>
      <c r="I1055" s="50" t="s">
        <v>29</v>
      </c>
      <c r="J1055" s="50" t="s">
        <v>29</v>
      </c>
      <c r="K1055" s="50" t="s">
        <v>29</v>
      </c>
      <c r="L1055" s="50" t="s">
        <v>29</v>
      </c>
      <c r="M1055" s="50" t="s">
        <v>29</v>
      </c>
      <c r="N1055" s="49"/>
      <c r="P1055" s="19"/>
      <c r="Q1055" s="18" t="str">
        <f ca="1">IFERROR(__xludf.DUMMYFUNCTION("""COMPUTED_VALUE"""),"")</f>
        <v/>
      </c>
      <c r="R1055" s="19"/>
      <c r="S1055" s="20"/>
      <c r="BP1055" s="10"/>
      <c r="BW1055" s="10"/>
      <c r="CF1055" s="10"/>
      <c r="CM1055" s="10"/>
      <c r="CP1055" s="18" t="str">
        <f ca="1"/>
        <v/>
      </c>
      <c r="CQ1055" s="18" t="str">
        <f ca="1"/>
        <v/>
      </c>
      <c r="CR1055" s="18" t="str">
        <f ca="1"/>
        <v/>
      </c>
      <c r="CS1055" s="18" t="str">
        <f ca="1"/>
        <v/>
      </c>
      <c r="CT1055" s="18" t="str">
        <f ca="1"/>
        <v/>
      </c>
      <c r="CV1055" s="10"/>
      <c r="CY1055" s="18" t="str">
        <f ca="1"/>
        <v/>
      </c>
      <c r="CZ1055" s="18" t="str">
        <f ca="1"/>
        <v/>
      </c>
      <c r="DA1055" s="18" t="str">
        <f ca="1"/>
        <v/>
      </c>
      <c r="DC1055" s="10"/>
    </row>
    <row r="1056" spans="1:107" x14ac:dyDescent="0.25">
      <c r="A1056" s="46"/>
      <c r="B1056" s="52"/>
      <c r="C1056" s="52"/>
      <c r="D1056" s="16"/>
      <c r="E1056" s="52"/>
      <c r="F1056" s="52"/>
      <c r="G1056" s="50"/>
      <c r="H1056" s="17" t="str">
        <f ca="1">IFERROR(__xludf.DUMMYFUNCTION("""COMPUTED_VALUE"""),"")</f>
        <v/>
      </c>
      <c r="I1056" s="50" t="s">
        <v>29</v>
      </c>
      <c r="J1056" s="50" t="s">
        <v>29</v>
      </c>
      <c r="K1056" s="50" t="s">
        <v>29</v>
      </c>
      <c r="L1056" s="50" t="s">
        <v>29</v>
      </c>
      <c r="M1056" s="50" t="s">
        <v>29</v>
      </c>
      <c r="N1056" s="49"/>
      <c r="P1056" s="19"/>
      <c r="Q1056" s="18" t="str">
        <f ca="1">IFERROR(__xludf.DUMMYFUNCTION("""COMPUTED_VALUE"""),"")</f>
        <v/>
      </c>
      <c r="R1056" s="19"/>
      <c r="S1056" s="20"/>
      <c r="BP1056" s="10"/>
      <c r="BW1056" s="10"/>
      <c r="CF1056" s="10"/>
      <c r="CM1056" s="10"/>
      <c r="CP1056" s="18" t="str">
        <f ca="1"/>
        <v/>
      </c>
      <c r="CQ1056" s="18" t="str">
        <f ca="1"/>
        <v/>
      </c>
      <c r="CR1056" s="18" t="str">
        <f ca="1"/>
        <v/>
      </c>
      <c r="CS1056" s="18" t="str">
        <f ca="1"/>
        <v/>
      </c>
      <c r="CT1056" s="18" t="str">
        <f ca="1"/>
        <v/>
      </c>
      <c r="CV1056" s="10"/>
      <c r="CY1056" s="18" t="str">
        <f ca="1"/>
        <v/>
      </c>
      <c r="CZ1056" s="18" t="str">
        <f ca="1"/>
        <v/>
      </c>
      <c r="DA1056" s="18" t="str">
        <f ca="1"/>
        <v/>
      </c>
      <c r="DC1056" s="10"/>
    </row>
    <row r="1057" spans="1:107" x14ac:dyDescent="0.25">
      <c r="A1057" s="46"/>
      <c r="B1057" s="52"/>
      <c r="C1057" s="52"/>
      <c r="D1057" s="16"/>
      <c r="E1057" s="52"/>
      <c r="F1057" s="52"/>
      <c r="G1057" s="50"/>
      <c r="H1057" s="17" t="str">
        <f ca="1">IFERROR(__xludf.DUMMYFUNCTION("""COMPUTED_VALUE"""),"")</f>
        <v/>
      </c>
      <c r="I1057" s="50" t="s">
        <v>29</v>
      </c>
      <c r="J1057" s="50" t="s">
        <v>29</v>
      </c>
      <c r="K1057" s="50" t="s">
        <v>29</v>
      </c>
      <c r="L1057" s="50" t="s">
        <v>29</v>
      </c>
      <c r="M1057" s="50" t="s">
        <v>29</v>
      </c>
      <c r="N1057" s="49"/>
      <c r="P1057" s="19"/>
      <c r="Q1057" s="18" t="str">
        <f ca="1">IFERROR(__xludf.DUMMYFUNCTION("""COMPUTED_VALUE"""),"")</f>
        <v/>
      </c>
      <c r="R1057" s="19"/>
      <c r="S1057" s="20"/>
      <c r="BP1057" s="10"/>
      <c r="BW1057" s="10"/>
      <c r="CF1057" s="10"/>
      <c r="CM1057" s="10"/>
      <c r="CP1057" s="18" t="str">
        <f ca="1"/>
        <v/>
      </c>
      <c r="CQ1057" s="18" t="str">
        <f ca="1"/>
        <v/>
      </c>
      <c r="CR1057" s="18" t="str">
        <f ca="1"/>
        <v/>
      </c>
      <c r="CS1057" s="18" t="str">
        <f ca="1"/>
        <v/>
      </c>
      <c r="CT1057" s="18" t="str">
        <f ca="1"/>
        <v/>
      </c>
      <c r="CV1057" s="10"/>
      <c r="CY1057" s="18" t="str">
        <f ca="1"/>
        <v/>
      </c>
      <c r="CZ1057" s="18" t="str">
        <f ca="1"/>
        <v/>
      </c>
      <c r="DA1057" s="18" t="str">
        <f ca="1"/>
        <v/>
      </c>
      <c r="DC1057" s="10"/>
    </row>
    <row r="1058" spans="1:107" x14ac:dyDescent="0.25">
      <c r="A1058" s="46"/>
      <c r="B1058" s="52"/>
      <c r="C1058" s="52"/>
      <c r="D1058" s="16"/>
      <c r="E1058" s="52"/>
      <c r="F1058" s="52"/>
      <c r="G1058" s="50"/>
      <c r="H1058" s="17" t="str">
        <f ca="1">IFERROR(__xludf.DUMMYFUNCTION("""COMPUTED_VALUE"""),"")</f>
        <v/>
      </c>
      <c r="I1058" s="50" t="s">
        <v>29</v>
      </c>
      <c r="J1058" s="50" t="s">
        <v>29</v>
      </c>
      <c r="K1058" s="50" t="s">
        <v>29</v>
      </c>
      <c r="L1058" s="50" t="s">
        <v>29</v>
      </c>
      <c r="M1058" s="50" t="s">
        <v>29</v>
      </c>
      <c r="N1058" s="49"/>
      <c r="P1058" s="19"/>
      <c r="Q1058" s="18" t="str">
        <f ca="1">IFERROR(__xludf.DUMMYFUNCTION("""COMPUTED_VALUE"""),"")</f>
        <v/>
      </c>
      <c r="R1058" s="19"/>
      <c r="S1058" s="20"/>
      <c r="BP1058" s="10"/>
      <c r="BW1058" s="10"/>
      <c r="CF1058" s="10"/>
      <c r="CM1058" s="10"/>
      <c r="CP1058" s="18" t="str">
        <f ca="1"/>
        <v/>
      </c>
      <c r="CQ1058" s="18" t="str">
        <f ca="1"/>
        <v/>
      </c>
      <c r="CR1058" s="18" t="str">
        <f ca="1"/>
        <v/>
      </c>
      <c r="CS1058" s="18" t="str">
        <f ca="1"/>
        <v/>
      </c>
      <c r="CT1058" s="18" t="str">
        <f ca="1"/>
        <v/>
      </c>
      <c r="CV1058" s="10"/>
      <c r="CY1058" s="18" t="str">
        <f ca="1"/>
        <v/>
      </c>
      <c r="CZ1058" s="18" t="str">
        <f ca="1"/>
        <v/>
      </c>
      <c r="DA1058" s="18" t="str">
        <f ca="1"/>
        <v/>
      </c>
      <c r="DC1058" s="10"/>
    </row>
    <row r="1059" spans="1:107" x14ac:dyDescent="0.25">
      <c r="A1059" s="46"/>
      <c r="B1059" s="52"/>
      <c r="C1059" s="52"/>
      <c r="D1059" s="16"/>
      <c r="E1059" s="52"/>
      <c r="F1059" s="52"/>
      <c r="G1059" s="50"/>
      <c r="H1059" s="17" t="str">
        <f ca="1">IFERROR(__xludf.DUMMYFUNCTION("""COMPUTED_VALUE"""),"")</f>
        <v/>
      </c>
      <c r="I1059" s="50" t="s">
        <v>29</v>
      </c>
      <c r="J1059" s="50" t="s">
        <v>29</v>
      </c>
      <c r="K1059" s="50" t="s">
        <v>29</v>
      </c>
      <c r="L1059" s="50" t="s">
        <v>29</v>
      </c>
      <c r="M1059" s="50" t="s">
        <v>29</v>
      </c>
      <c r="N1059" s="49"/>
      <c r="P1059" s="19"/>
      <c r="Q1059" s="18" t="str">
        <f ca="1">IFERROR(__xludf.DUMMYFUNCTION("""COMPUTED_VALUE"""),"")</f>
        <v/>
      </c>
      <c r="R1059" s="19"/>
      <c r="S1059" s="20"/>
      <c r="BP1059" s="10"/>
      <c r="BW1059" s="10"/>
      <c r="CF1059" s="10"/>
      <c r="CM1059" s="10"/>
      <c r="CP1059" s="18" t="str">
        <f ca="1"/>
        <v/>
      </c>
      <c r="CQ1059" s="18" t="str">
        <f ca="1"/>
        <v/>
      </c>
      <c r="CR1059" s="18" t="str">
        <f ca="1"/>
        <v/>
      </c>
      <c r="CS1059" s="18" t="str">
        <f ca="1"/>
        <v/>
      </c>
      <c r="CT1059" s="18" t="str">
        <f ca="1"/>
        <v/>
      </c>
      <c r="CV1059" s="10"/>
      <c r="CY1059" s="18" t="str">
        <f ca="1"/>
        <v/>
      </c>
      <c r="CZ1059" s="18" t="str">
        <f ca="1"/>
        <v/>
      </c>
      <c r="DA1059" s="18" t="str">
        <f ca="1"/>
        <v/>
      </c>
      <c r="DC1059" s="10"/>
    </row>
    <row r="1060" spans="1:107" x14ac:dyDescent="0.25">
      <c r="A1060" s="46"/>
      <c r="B1060" s="52"/>
      <c r="C1060" s="52"/>
      <c r="D1060" s="16"/>
      <c r="E1060" s="52"/>
      <c r="F1060" s="52"/>
      <c r="G1060" s="50"/>
      <c r="H1060" s="17" t="str">
        <f ca="1">IFERROR(__xludf.DUMMYFUNCTION("""COMPUTED_VALUE"""),"")</f>
        <v/>
      </c>
      <c r="I1060" s="50" t="s">
        <v>29</v>
      </c>
      <c r="J1060" s="50" t="s">
        <v>29</v>
      </c>
      <c r="K1060" s="50" t="s">
        <v>29</v>
      </c>
      <c r="L1060" s="50" t="s">
        <v>29</v>
      </c>
      <c r="M1060" s="50" t="s">
        <v>29</v>
      </c>
      <c r="N1060" s="49"/>
      <c r="P1060" s="19"/>
      <c r="Q1060" s="18" t="str">
        <f ca="1">IFERROR(__xludf.DUMMYFUNCTION("""COMPUTED_VALUE"""),"")</f>
        <v/>
      </c>
      <c r="R1060" s="19"/>
      <c r="S1060" s="20"/>
      <c r="BP1060" s="10"/>
      <c r="BW1060" s="10"/>
      <c r="CF1060" s="10"/>
      <c r="CM1060" s="10"/>
      <c r="CP1060" s="18" t="str">
        <f ca="1"/>
        <v/>
      </c>
      <c r="CQ1060" s="18" t="str">
        <f ca="1"/>
        <v/>
      </c>
      <c r="CR1060" s="18" t="str">
        <f ca="1"/>
        <v/>
      </c>
      <c r="CS1060" s="18" t="str">
        <f ca="1"/>
        <v/>
      </c>
      <c r="CT1060" s="18" t="str">
        <f ca="1"/>
        <v/>
      </c>
      <c r="CV1060" s="10"/>
      <c r="CY1060" s="18" t="str">
        <f ca="1"/>
        <v/>
      </c>
      <c r="CZ1060" s="18" t="str">
        <f ca="1"/>
        <v/>
      </c>
      <c r="DA1060" s="18" t="str">
        <f ca="1"/>
        <v/>
      </c>
      <c r="DC1060" s="10"/>
    </row>
    <row r="1061" spans="1:107" x14ac:dyDescent="0.25">
      <c r="A1061" s="46"/>
      <c r="B1061" s="52"/>
      <c r="C1061" s="52"/>
      <c r="D1061" s="16"/>
      <c r="E1061" s="52"/>
      <c r="F1061" s="52"/>
      <c r="G1061" s="50"/>
      <c r="H1061" s="17" t="str">
        <f ca="1">IFERROR(__xludf.DUMMYFUNCTION("""COMPUTED_VALUE"""),"")</f>
        <v/>
      </c>
      <c r="I1061" s="50" t="s">
        <v>29</v>
      </c>
      <c r="J1061" s="50" t="s">
        <v>29</v>
      </c>
      <c r="K1061" s="50" t="s">
        <v>29</v>
      </c>
      <c r="L1061" s="50" t="s">
        <v>29</v>
      </c>
      <c r="M1061" s="50" t="s">
        <v>29</v>
      </c>
      <c r="N1061" s="49"/>
      <c r="P1061" s="19"/>
      <c r="Q1061" s="18" t="str">
        <f ca="1">IFERROR(__xludf.DUMMYFUNCTION("""COMPUTED_VALUE"""),"")</f>
        <v/>
      </c>
      <c r="R1061" s="19"/>
      <c r="S1061" s="20"/>
      <c r="BP1061" s="10"/>
      <c r="BW1061" s="10"/>
      <c r="CF1061" s="10"/>
      <c r="CM1061" s="10"/>
      <c r="CP1061" s="18" t="str">
        <f ca="1"/>
        <v/>
      </c>
      <c r="CQ1061" s="18" t="str">
        <f ca="1"/>
        <v/>
      </c>
      <c r="CR1061" s="18" t="str">
        <f ca="1"/>
        <v/>
      </c>
      <c r="CS1061" s="18" t="str">
        <f ca="1"/>
        <v/>
      </c>
      <c r="CT1061" s="18" t="str">
        <f ca="1"/>
        <v/>
      </c>
      <c r="CV1061" s="10"/>
      <c r="CY1061" s="18" t="str">
        <f ca="1"/>
        <v/>
      </c>
      <c r="CZ1061" s="18" t="str">
        <f ca="1"/>
        <v/>
      </c>
      <c r="DA1061" s="18" t="str">
        <f ca="1"/>
        <v/>
      </c>
      <c r="DC1061" s="10"/>
    </row>
    <row r="1062" spans="1:107" x14ac:dyDescent="0.25">
      <c r="A1062" s="46"/>
      <c r="B1062" s="52"/>
      <c r="C1062" s="52"/>
      <c r="D1062" s="16"/>
      <c r="E1062" s="52"/>
      <c r="F1062" s="52"/>
      <c r="G1062" s="50"/>
      <c r="H1062" s="17" t="str">
        <f ca="1">IFERROR(__xludf.DUMMYFUNCTION("""COMPUTED_VALUE"""),"")</f>
        <v/>
      </c>
      <c r="I1062" s="50" t="s">
        <v>29</v>
      </c>
      <c r="J1062" s="50" t="s">
        <v>29</v>
      </c>
      <c r="K1062" s="50" t="s">
        <v>29</v>
      </c>
      <c r="L1062" s="50" t="s">
        <v>29</v>
      </c>
      <c r="M1062" s="50" t="s">
        <v>29</v>
      </c>
      <c r="N1062" s="49"/>
      <c r="P1062" s="19"/>
      <c r="Q1062" s="18" t="str">
        <f ca="1">IFERROR(__xludf.DUMMYFUNCTION("""COMPUTED_VALUE"""),"")</f>
        <v/>
      </c>
      <c r="R1062" s="19"/>
      <c r="S1062" s="20"/>
      <c r="BP1062" s="10"/>
      <c r="BW1062" s="10"/>
      <c r="CF1062" s="10"/>
      <c r="CM1062" s="10"/>
      <c r="CP1062" s="18" t="str">
        <f ca="1"/>
        <v/>
      </c>
      <c r="CQ1062" s="18" t="str">
        <f ca="1"/>
        <v/>
      </c>
      <c r="CR1062" s="18" t="str">
        <f ca="1"/>
        <v/>
      </c>
      <c r="CS1062" s="18" t="str">
        <f ca="1"/>
        <v/>
      </c>
      <c r="CT1062" s="18" t="str">
        <f ca="1"/>
        <v/>
      </c>
      <c r="CV1062" s="10"/>
      <c r="CY1062" s="18" t="str">
        <f ca="1"/>
        <v/>
      </c>
      <c r="CZ1062" s="18" t="str">
        <f ca="1"/>
        <v/>
      </c>
      <c r="DA1062" s="18" t="str">
        <f ca="1"/>
        <v/>
      </c>
      <c r="DC1062" s="10"/>
    </row>
    <row r="1063" spans="1:107" x14ac:dyDescent="0.25">
      <c r="A1063" s="46"/>
      <c r="B1063" s="52"/>
      <c r="C1063" s="52"/>
      <c r="D1063" s="16"/>
      <c r="E1063" s="52"/>
      <c r="F1063" s="52"/>
      <c r="G1063" s="50"/>
      <c r="H1063" s="17" t="str">
        <f ca="1">IFERROR(__xludf.DUMMYFUNCTION("""COMPUTED_VALUE"""),"")</f>
        <v/>
      </c>
      <c r="I1063" s="50" t="s">
        <v>29</v>
      </c>
      <c r="J1063" s="50" t="s">
        <v>29</v>
      </c>
      <c r="K1063" s="50" t="s">
        <v>29</v>
      </c>
      <c r="L1063" s="50" t="s">
        <v>29</v>
      </c>
      <c r="M1063" s="50" t="s">
        <v>29</v>
      </c>
      <c r="N1063" s="49"/>
      <c r="P1063" s="19"/>
      <c r="Q1063" s="18" t="str">
        <f ca="1">IFERROR(__xludf.DUMMYFUNCTION("""COMPUTED_VALUE"""),"")</f>
        <v/>
      </c>
      <c r="R1063" s="19"/>
      <c r="S1063" s="20"/>
      <c r="BP1063" s="10"/>
      <c r="BW1063" s="10"/>
      <c r="CF1063" s="10"/>
      <c r="CM1063" s="10"/>
      <c r="CP1063" s="18" t="str">
        <f ca="1"/>
        <v/>
      </c>
      <c r="CQ1063" s="18" t="str">
        <f ca="1"/>
        <v/>
      </c>
      <c r="CR1063" s="18" t="str">
        <f ca="1"/>
        <v/>
      </c>
      <c r="CS1063" s="18" t="str">
        <f ca="1"/>
        <v/>
      </c>
      <c r="CT1063" s="18" t="str">
        <f ca="1"/>
        <v/>
      </c>
      <c r="CV1063" s="10"/>
      <c r="CY1063" s="18" t="str">
        <f ca="1"/>
        <v/>
      </c>
      <c r="CZ1063" s="18" t="str">
        <f ca="1"/>
        <v/>
      </c>
      <c r="DA1063" s="18" t="str">
        <f ca="1"/>
        <v/>
      </c>
      <c r="DC1063" s="10"/>
    </row>
    <row r="1064" spans="1:107" x14ac:dyDescent="0.25">
      <c r="A1064" s="46"/>
      <c r="B1064" s="52"/>
      <c r="C1064" s="52"/>
      <c r="D1064" s="16"/>
      <c r="E1064" s="52"/>
      <c r="F1064" s="52"/>
      <c r="G1064" s="50"/>
      <c r="H1064" s="17" t="str">
        <f ca="1">IFERROR(__xludf.DUMMYFUNCTION("""COMPUTED_VALUE"""),"")</f>
        <v/>
      </c>
      <c r="I1064" s="50" t="s">
        <v>29</v>
      </c>
      <c r="J1064" s="50" t="s">
        <v>29</v>
      </c>
      <c r="K1064" s="50" t="s">
        <v>29</v>
      </c>
      <c r="L1064" s="50" t="s">
        <v>29</v>
      </c>
      <c r="M1064" s="50" t="s">
        <v>29</v>
      </c>
      <c r="N1064" s="49"/>
      <c r="P1064" s="19"/>
      <c r="Q1064" s="18" t="str">
        <f ca="1">IFERROR(__xludf.DUMMYFUNCTION("""COMPUTED_VALUE"""),"")</f>
        <v/>
      </c>
      <c r="R1064" s="19"/>
      <c r="S1064" s="20"/>
      <c r="BP1064" s="10"/>
      <c r="BW1064" s="10"/>
      <c r="CF1064" s="10"/>
      <c r="CM1064" s="10"/>
      <c r="CP1064" s="18" t="str">
        <f ca="1"/>
        <v/>
      </c>
      <c r="CQ1064" s="18" t="str">
        <f ca="1"/>
        <v/>
      </c>
      <c r="CR1064" s="18" t="str">
        <f ca="1"/>
        <v/>
      </c>
      <c r="CS1064" s="18" t="str">
        <f ca="1"/>
        <v/>
      </c>
      <c r="CT1064" s="18" t="str">
        <f ca="1"/>
        <v/>
      </c>
      <c r="CV1064" s="10"/>
      <c r="CY1064" s="18" t="str">
        <f ca="1"/>
        <v/>
      </c>
      <c r="CZ1064" s="18" t="str">
        <f ca="1"/>
        <v/>
      </c>
      <c r="DA1064" s="18" t="str">
        <f ca="1"/>
        <v/>
      </c>
      <c r="DC1064" s="10"/>
    </row>
    <row r="1065" spans="1:107" x14ac:dyDescent="0.25">
      <c r="A1065" s="46"/>
      <c r="B1065" s="52"/>
      <c r="C1065" s="52"/>
      <c r="D1065" s="16"/>
      <c r="E1065" s="52"/>
      <c r="F1065" s="52"/>
      <c r="G1065" s="50"/>
      <c r="H1065" s="17" t="str">
        <f ca="1">IFERROR(__xludf.DUMMYFUNCTION("""COMPUTED_VALUE"""),"")</f>
        <v/>
      </c>
      <c r="I1065" s="50" t="s">
        <v>29</v>
      </c>
      <c r="J1065" s="50" t="s">
        <v>29</v>
      </c>
      <c r="K1065" s="50" t="s">
        <v>29</v>
      </c>
      <c r="L1065" s="50" t="s">
        <v>29</v>
      </c>
      <c r="M1065" s="50" t="s">
        <v>29</v>
      </c>
      <c r="N1065" s="49"/>
      <c r="P1065" s="19"/>
      <c r="Q1065" s="18" t="str">
        <f ca="1">IFERROR(__xludf.DUMMYFUNCTION("""COMPUTED_VALUE"""),"")</f>
        <v/>
      </c>
      <c r="R1065" s="19"/>
      <c r="S1065" s="20"/>
      <c r="BP1065" s="10"/>
      <c r="BW1065" s="10"/>
      <c r="CF1065" s="10"/>
      <c r="CM1065" s="10"/>
      <c r="CP1065" s="18" t="str">
        <f ca="1"/>
        <v/>
      </c>
      <c r="CQ1065" s="18" t="str">
        <f ca="1"/>
        <v/>
      </c>
      <c r="CR1065" s="18" t="str">
        <f ca="1"/>
        <v/>
      </c>
      <c r="CS1065" s="18" t="str">
        <f ca="1"/>
        <v/>
      </c>
      <c r="CT1065" s="18" t="str">
        <f ca="1"/>
        <v/>
      </c>
      <c r="CV1065" s="10"/>
      <c r="CY1065" s="18" t="str">
        <f ca="1"/>
        <v/>
      </c>
      <c r="CZ1065" s="18" t="str">
        <f ca="1"/>
        <v/>
      </c>
      <c r="DA1065" s="18" t="str">
        <f ca="1"/>
        <v/>
      </c>
      <c r="DC1065" s="10"/>
    </row>
    <row r="1066" spans="1:107" x14ac:dyDescent="0.25">
      <c r="A1066" s="46"/>
      <c r="B1066" s="52"/>
      <c r="C1066" s="52"/>
      <c r="D1066" s="16"/>
      <c r="E1066" s="52"/>
      <c r="F1066" s="52"/>
      <c r="G1066" s="50"/>
      <c r="H1066" s="17" t="str">
        <f ca="1">IFERROR(__xludf.DUMMYFUNCTION("""COMPUTED_VALUE"""),"")</f>
        <v/>
      </c>
      <c r="I1066" s="50" t="s">
        <v>29</v>
      </c>
      <c r="J1066" s="50" t="s">
        <v>29</v>
      </c>
      <c r="K1066" s="50" t="s">
        <v>29</v>
      </c>
      <c r="L1066" s="50" t="s">
        <v>29</v>
      </c>
      <c r="M1066" s="50" t="s">
        <v>29</v>
      </c>
      <c r="N1066" s="49"/>
      <c r="P1066" s="19"/>
      <c r="Q1066" s="18" t="str">
        <f ca="1">IFERROR(__xludf.DUMMYFUNCTION("""COMPUTED_VALUE"""),"")</f>
        <v/>
      </c>
      <c r="R1066" s="19"/>
      <c r="S1066" s="20"/>
      <c r="BP1066" s="10"/>
      <c r="BW1066" s="10"/>
      <c r="CF1066" s="10"/>
      <c r="CM1066" s="10"/>
      <c r="CP1066" s="18" t="str">
        <f ca="1"/>
        <v/>
      </c>
      <c r="CQ1066" s="18" t="str">
        <f ca="1"/>
        <v/>
      </c>
      <c r="CR1066" s="18" t="str">
        <f ca="1"/>
        <v/>
      </c>
      <c r="CS1066" s="18" t="str">
        <f ca="1"/>
        <v/>
      </c>
      <c r="CT1066" s="18" t="str">
        <f ca="1"/>
        <v/>
      </c>
      <c r="CV1066" s="10"/>
      <c r="CY1066" s="18" t="str">
        <f ca="1"/>
        <v/>
      </c>
      <c r="CZ1066" s="18" t="str">
        <f ca="1"/>
        <v/>
      </c>
      <c r="DA1066" s="18" t="str">
        <f ca="1"/>
        <v/>
      </c>
      <c r="DC1066" s="10"/>
    </row>
    <row r="1067" spans="1:107" x14ac:dyDescent="0.25">
      <c r="A1067" s="46"/>
      <c r="B1067" s="52"/>
      <c r="C1067" s="52"/>
      <c r="D1067" s="16"/>
      <c r="E1067" s="52"/>
      <c r="F1067" s="52"/>
      <c r="G1067" s="50"/>
      <c r="H1067" s="17" t="str">
        <f ca="1">IFERROR(__xludf.DUMMYFUNCTION("""COMPUTED_VALUE"""),"")</f>
        <v/>
      </c>
      <c r="I1067" s="50" t="s">
        <v>29</v>
      </c>
      <c r="J1067" s="50" t="s">
        <v>29</v>
      </c>
      <c r="K1067" s="50" t="s">
        <v>29</v>
      </c>
      <c r="L1067" s="50" t="s">
        <v>29</v>
      </c>
      <c r="M1067" s="50" t="s">
        <v>29</v>
      </c>
      <c r="N1067" s="49"/>
      <c r="P1067" s="19"/>
      <c r="Q1067" s="18" t="str">
        <f ca="1">IFERROR(__xludf.DUMMYFUNCTION("""COMPUTED_VALUE"""),"")</f>
        <v/>
      </c>
      <c r="R1067" s="19"/>
      <c r="S1067" s="20"/>
      <c r="BP1067" s="10"/>
      <c r="BW1067" s="10"/>
      <c r="CF1067" s="10"/>
      <c r="CM1067" s="10"/>
      <c r="CP1067" s="18" t="str">
        <f ca="1"/>
        <v/>
      </c>
      <c r="CQ1067" s="18" t="str">
        <f ca="1"/>
        <v/>
      </c>
      <c r="CR1067" s="18" t="str">
        <f ca="1"/>
        <v/>
      </c>
      <c r="CS1067" s="18" t="str">
        <f ca="1"/>
        <v/>
      </c>
      <c r="CT1067" s="18" t="str">
        <f ca="1"/>
        <v/>
      </c>
      <c r="CV1067" s="10"/>
      <c r="CY1067" s="18" t="str">
        <f ca="1"/>
        <v/>
      </c>
      <c r="CZ1067" s="18" t="str">
        <f ca="1"/>
        <v/>
      </c>
      <c r="DA1067" s="18" t="str">
        <f ca="1"/>
        <v/>
      </c>
      <c r="DC1067" s="10"/>
    </row>
    <row r="1068" spans="1:107" x14ac:dyDescent="0.25">
      <c r="A1068" s="46"/>
      <c r="B1068" s="52"/>
      <c r="C1068" s="52"/>
      <c r="D1068" s="16"/>
      <c r="E1068" s="52"/>
      <c r="F1068" s="52"/>
      <c r="G1068" s="50"/>
      <c r="H1068" s="17" t="str">
        <f ca="1">IFERROR(__xludf.DUMMYFUNCTION("""COMPUTED_VALUE"""),"")</f>
        <v/>
      </c>
      <c r="I1068" s="50" t="s">
        <v>29</v>
      </c>
      <c r="J1068" s="50" t="s">
        <v>29</v>
      </c>
      <c r="K1068" s="50" t="s">
        <v>29</v>
      </c>
      <c r="L1068" s="50" t="s">
        <v>29</v>
      </c>
      <c r="M1068" s="50" t="s">
        <v>29</v>
      </c>
      <c r="N1068" s="49"/>
      <c r="P1068" s="19"/>
      <c r="Q1068" s="18" t="str">
        <f ca="1">IFERROR(__xludf.DUMMYFUNCTION("""COMPUTED_VALUE"""),"")</f>
        <v/>
      </c>
      <c r="R1068" s="19"/>
      <c r="S1068" s="20"/>
      <c r="BP1068" s="10"/>
      <c r="BW1068" s="10"/>
      <c r="CF1068" s="10"/>
      <c r="CM1068" s="10"/>
      <c r="CP1068" s="18" t="str">
        <f ca="1"/>
        <v/>
      </c>
      <c r="CQ1068" s="18" t="str">
        <f ca="1"/>
        <v/>
      </c>
      <c r="CR1068" s="18" t="str">
        <f ca="1"/>
        <v/>
      </c>
      <c r="CS1068" s="18" t="str">
        <f ca="1"/>
        <v/>
      </c>
      <c r="CT1068" s="18" t="str">
        <f ca="1"/>
        <v/>
      </c>
      <c r="CV1068" s="10"/>
      <c r="CY1068" s="18" t="str">
        <f ca="1"/>
        <v/>
      </c>
      <c r="CZ1068" s="18" t="str">
        <f ca="1"/>
        <v/>
      </c>
      <c r="DA1068" s="18" t="str">
        <f ca="1"/>
        <v/>
      </c>
      <c r="DC1068" s="10"/>
    </row>
    <row r="1069" spans="1:107" x14ac:dyDescent="0.25">
      <c r="A1069" s="46"/>
      <c r="B1069" s="52"/>
      <c r="C1069" s="52"/>
      <c r="D1069" s="16"/>
      <c r="E1069" s="52"/>
      <c r="F1069" s="52"/>
      <c r="G1069" s="50"/>
      <c r="H1069" s="17" t="str">
        <f ca="1">IFERROR(__xludf.DUMMYFUNCTION("""COMPUTED_VALUE"""),"")</f>
        <v/>
      </c>
      <c r="I1069" s="50" t="s">
        <v>29</v>
      </c>
      <c r="J1069" s="50" t="s">
        <v>29</v>
      </c>
      <c r="K1069" s="50" t="s">
        <v>29</v>
      </c>
      <c r="L1069" s="50" t="s">
        <v>29</v>
      </c>
      <c r="M1069" s="50" t="s">
        <v>29</v>
      </c>
      <c r="N1069" s="49"/>
      <c r="P1069" s="19"/>
      <c r="Q1069" s="18" t="str">
        <f ca="1">IFERROR(__xludf.DUMMYFUNCTION("""COMPUTED_VALUE"""),"")</f>
        <v/>
      </c>
      <c r="R1069" s="19"/>
      <c r="S1069" s="20"/>
      <c r="BP1069" s="10"/>
      <c r="BW1069" s="10"/>
      <c r="CF1069" s="10"/>
      <c r="CM1069" s="10"/>
      <c r="CP1069" s="18" t="str">
        <f ca="1"/>
        <v/>
      </c>
      <c r="CQ1069" s="18" t="str">
        <f ca="1"/>
        <v/>
      </c>
      <c r="CR1069" s="18" t="str">
        <f ca="1"/>
        <v/>
      </c>
      <c r="CS1069" s="18" t="str">
        <f ca="1"/>
        <v/>
      </c>
      <c r="CT1069" s="18" t="str">
        <f ca="1"/>
        <v/>
      </c>
      <c r="CV1069" s="10"/>
      <c r="CY1069" s="18" t="str">
        <f ca="1"/>
        <v/>
      </c>
      <c r="CZ1069" s="18" t="str">
        <f ca="1"/>
        <v/>
      </c>
      <c r="DA1069" s="18" t="str">
        <f ca="1"/>
        <v/>
      </c>
      <c r="DC1069" s="10"/>
    </row>
    <row r="1070" spans="1:107" x14ac:dyDescent="0.25">
      <c r="A1070" s="46"/>
      <c r="B1070" s="52"/>
      <c r="C1070" s="52"/>
      <c r="D1070" s="16"/>
      <c r="E1070" s="52"/>
      <c r="F1070" s="52"/>
      <c r="G1070" s="50"/>
      <c r="H1070" s="17" t="str">
        <f ca="1">IFERROR(__xludf.DUMMYFUNCTION("""COMPUTED_VALUE"""),"")</f>
        <v/>
      </c>
      <c r="I1070" s="50" t="s">
        <v>29</v>
      </c>
      <c r="J1070" s="50" t="s">
        <v>29</v>
      </c>
      <c r="K1070" s="50" t="s">
        <v>29</v>
      </c>
      <c r="L1070" s="50" t="s">
        <v>29</v>
      </c>
      <c r="M1070" s="50" t="s">
        <v>29</v>
      </c>
      <c r="N1070" s="49"/>
      <c r="P1070" s="19"/>
      <c r="Q1070" s="18" t="str">
        <f ca="1">IFERROR(__xludf.DUMMYFUNCTION("""COMPUTED_VALUE"""),"")</f>
        <v/>
      </c>
      <c r="R1070" s="19"/>
      <c r="S1070" s="20"/>
      <c r="BP1070" s="10"/>
      <c r="BW1070" s="10"/>
      <c r="CF1070" s="10"/>
      <c r="CM1070" s="10"/>
      <c r="CP1070" s="18" t="str">
        <f ca="1"/>
        <v/>
      </c>
      <c r="CQ1070" s="18" t="str">
        <f ca="1"/>
        <v/>
      </c>
      <c r="CR1070" s="18" t="str">
        <f ca="1"/>
        <v/>
      </c>
      <c r="CS1070" s="18" t="str">
        <f ca="1"/>
        <v/>
      </c>
      <c r="CT1070" s="18" t="str">
        <f ca="1"/>
        <v/>
      </c>
      <c r="CV1070" s="10"/>
      <c r="CY1070" s="18" t="str">
        <f ca="1"/>
        <v/>
      </c>
      <c r="CZ1070" s="18" t="str">
        <f ca="1"/>
        <v/>
      </c>
      <c r="DA1070" s="18" t="str">
        <f ca="1"/>
        <v/>
      </c>
      <c r="DC1070" s="10"/>
    </row>
    <row r="1071" spans="1:107" x14ac:dyDescent="0.25">
      <c r="A1071" s="46"/>
      <c r="B1071" s="52"/>
      <c r="C1071" s="52"/>
      <c r="D1071" s="16"/>
      <c r="E1071" s="52"/>
      <c r="F1071" s="52"/>
      <c r="G1071" s="50"/>
      <c r="H1071" s="17" t="str">
        <f ca="1">IFERROR(__xludf.DUMMYFUNCTION("""COMPUTED_VALUE"""),"")</f>
        <v/>
      </c>
      <c r="I1071" s="50" t="s">
        <v>29</v>
      </c>
      <c r="J1071" s="50" t="s">
        <v>29</v>
      </c>
      <c r="K1071" s="50" t="s">
        <v>29</v>
      </c>
      <c r="L1071" s="50" t="s">
        <v>29</v>
      </c>
      <c r="M1071" s="50" t="s">
        <v>29</v>
      </c>
      <c r="N1071" s="49"/>
      <c r="P1071" s="19"/>
      <c r="Q1071" s="18" t="str">
        <f ca="1">IFERROR(__xludf.DUMMYFUNCTION("""COMPUTED_VALUE"""),"")</f>
        <v/>
      </c>
      <c r="R1071" s="19"/>
      <c r="S1071" s="20"/>
      <c r="BP1071" s="10"/>
      <c r="BW1071" s="10"/>
      <c r="CF1071" s="10"/>
      <c r="CM1071" s="10"/>
      <c r="CP1071" s="18" t="str">
        <f ca="1"/>
        <v/>
      </c>
      <c r="CQ1071" s="18" t="str">
        <f ca="1"/>
        <v/>
      </c>
      <c r="CR1071" s="18" t="str">
        <f ca="1"/>
        <v/>
      </c>
      <c r="CS1071" s="18" t="str">
        <f ca="1"/>
        <v/>
      </c>
      <c r="CT1071" s="18" t="str">
        <f ca="1"/>
        <v/>
      </c>
      <c r="CV1071" s="10"/>
      <c r="CY1071" s="18" t="str">
        <f ca="1"/>
        <v/>
      </c>
      <c r="CZ1071" s="18" t="str">
        <f ca="1"/>
        <v/>
      </c>
      <c r="DA1071" s="18" t="str">
        <f ca="1"/>
        <v/>
      </c>
      <c r="DC1071" s="10"/>
    </row>
    <row r="1072" spans="1:107" x14ac:dyDescent="0.25">
      <c r="A1072" s="46"/>
      <c r="B1072" s="52"/>
      <c r="C1072" s="52"/>
      <c r="D1072" s="16"/>
      <c r="E1072" s="52"/>
      <c r="F1072" s="52"/>
      <c r="G1072" s="50"/>
      <c r="H1072" s="17" t="str">
        <f ca="1">IFERROR(__xludf.DUMMYFUNCTION("""COMPUTED_VALUE"""),"")</f>
        <v/>
      </c>
      <c r="I1072" s="50" t="s">
        <v>29</v>
      </c>
      <c r="J1072" s="50" t="s">
        <v>29</v>
      </c>
      <c r="K1072" s="50" t="s">
        <v>29</v>
      </c>
      <c r="L1072" s="50" t="s">
        <v>29</v>
      </c>
      <c r="M1072" s="50" t="s">
        <v>29</v>
      </c>
      <c r="N1072" s="49"/>
      <c r="P1072" s="19"/>
      <c r="Q1072" s="18" t="str">
        <f ca="1">IFERROR(__xludf.DUMMYFUNCTION("""COMPUTED_VALUE"""),"")</f>
        <v/>
      </c>
      <c r="R1072" s="19"/>
      <c r="S1072" s="20"/>
      <c r="BP1072" s="10"/>
      <c r="BW1072" s="10"/>
      <c r="CF1072" s="10"/>
      <c r="CM1072" s="10"/>
      <c r="CP1072" s="18" t="str">
        <f ca="1"/>
        <v/>
      </c>
      <c r="CQ1072" s="18" t="str">
        <f ca="1"/>
        <v/>
      </c>
      <c r="CR1072" s="18" t="str">
        <f ca="1"/>
        <v/>
      </c>
      <c r="CS1072" s="18" t="str">
        <f ca="1"/>
        <v/>
      </c>
      <c r="CT1072" s="18" t="str">
        <f ca="1"/>
        <v/>
      </c>
      <c r="CV1072" s="10"/>
      <c r="CY1072" s="18" t="str">
        <f ca="1"/>
        <v/>
      </c>
      <c r="CZ1072" s="18" t="str">
        <f ca="1"/>
        <v/>
      </c>
      <c r="DA1072" s="18" t="str">
        <f ca="1"/>
        <v/>
      </c>
      <c r="DC1072" s="10"/>
    </row>
    <row r="1073" spans="1:107" x14ac:dyDescent="0.25">
      <c r="A1073" s="46"/>
      <c r="B1073" s="52"/>
      <c r="C1073" s="52"/>
      <c r="D1073" s="16"/>
      <c r="E1073" s="52"/>
      <c r="F1073" s="52"/>
      <c r="G1073" s="50"/>
      <c r="H1073" s="17" t="str">
        <f ca="1">IFERROR(__xludf.DUMMYFUNCTION("""COMPUTED_VALUE"""),"")</f>
        <v/>
      </c>
      <c r="I1073" s="50" t="s">
        <v>29</v>
      </c>
      <c r="J1073" s="50" t="s">
        <v>29</v>
      </c>
      <c r="K1073" s="50" t="s">
        <v>29</v>
      </c>
      <c r="L1073" s="50" t="s">
        <v>29</v>
      </c>
      <c r="M1073" s="50" t="s">
        <v>29</v>
      </c>
      <c r="N1073" s="49"/>
      <c r="P1073" s="19"/>
      <c r="Q1073" s="18" t="str">
        <f ca="1">IFERROR(__xludf.DUMMYFUNCTION("""COMPUTED_VALUE"""),"")</f>
        <v/>
      </c>
      <c r="R1073" s="19"/>
      <c r="S1073" s="20"/>
      <c r="BP1073" s="10"/>
      <c r="BW1073" s="10"/>
      <c r="CF1073" s="10"/>
      <c r="CM1073" s="10"/>
      <c r="CP1073" s="18" t="str">
        <f ca="1"/>
        <v/>
      </c>
      <c r="CQ1073" s="18" t="str">
        <f ca="1"/>
        <v/>
      </c>
      <c r="CR1073" s="18" t="str">
        <f ca="1"/>
        <v/>
      </c>
      <c r="CS1073" s="18" t="str">
        <f ca="1"/>
        <v/>
      </c>
      <c r="CT1073" s="18" t="str">
        <f ca="1"/>
        <v/>
      </c>
      <c r="CV1073" s="10"/>
      <c r="CY1073" s="18" t="str">
        <f ca="1"/>
        <v/>
      </c>
      <c r="CZ1073" s="18" t="str">
        <f ca="1"/>
        <v/>
      </c>
      <c r="DA1073" s="18" t="str">
        <f ca="1"/>
        <v/>
      </c>
      <c r="DC1073" s="10"/>
    </row>
    <row r="1074" spans="1:107" x14ac:dyDescent="0.25">
      <c r="A1074" s="46"/>
      <c r="B1074" s="52"/>
      <c r="C1074" s="52"/>
      <c r="D1074" s="16"/>
      <c r="E1074" s="52"/>
      <c r="F1074" s="52"/>
      <c r="G1074" s="50"/>
      <c r="H1074" s="17" t="str">
        <f ca="1">IFERROR(__xludf.DUMMYFUNCTION("""COMPUTED_VALUE"""),"")</f>
        <v/>
      </c>
      <c r="I1074" s="50" t="s">
        <v>29</v>
      </c>
      <c r="J1074" s="50" t="s">
        <v>29</v>
      </c>
      <c r="K1074" s="50" t="s">
        <v>29</v>
      </c>
      <c r="L1074" s="50" t="s">
        <v>29</v>
      </c>
      <c r="M1074" s="50" t="s">
        <v>29</v>
      </c>
      <c r="N1074" s="49"/>
      <c r="P1074" s="19"/>
      <c r="Q1074" s="18" t="str">
        <f ca="1">IFERROR(__xludf.DUMMYFUNCTION("""COMPUTED_VALUE"""),"")</f>
        <v/>
      </c>
      <c r="R1074" s="19"/>
      <c r="S1074" s="20"/>
      <c r="BP1074" s="10"/>
      <c r="BW1074" s="10"/>
      <c r="CF1074" s="10"/>
      <c r="CM1074" s="10"/>
      <c r="CP1074" s="18" t="str">
        <f ca="1"/>
        <v/>
      </c>
      <c r="CQ1074" s="18" t="str">
        <f ca="1"/>
        <v/>
      </c>
      <c r="CR1074" s="18" t="str">
        <f ca="1"/>
        <v/>
      </c>
      <c r="CS1074" s="18" t="str">
        <f ca="1"/>
        <v/>
      </c>
      <c r="CT1074" s="18" t="str">
        <f ca="1"/>
        <v/>
      </c>
      <c r="CV1074" s="10"/>
      <c r="CY1074" s="18" t="str">
        <f ca="1"/>
        <v/>
      </c>
      <c r="CZ1074" s="18" t="str">
        <f ca="1"/>
        <v/>
      </c>
      <c r="DA1074" s="18" t="str">
        <f ca="1"/>
        <v/>
      </c>
      <c r="DC1074" s="10"/>
    </row>
    <row r="1075" spans="1:107" x14ac:dyDescent="0.25">
      <c r="A1075" s="46"/>
      <c r="B1075" s="52"/>
      <c r="C1075" s="52"/>
      <c r="D1075" s="16"/>
      <c r="E1075" s="52"/>
      <c r="F1075" s="52"/>
      <c r="G1075" s="50"/>
      <c r="H1075" s="17" t="str">
        <f ca="1">IFERROR(__xludf.DUMMYFUNCTION("""COMPUTED_VALUE"""),"")</f>
        <v/>
      </c>
      <c r="I1075" s="50" t="s">
        <v>29</v>
      </c>
      <c r="J1075" s="50" t="s">
        <v>29</v>
      </c>
      <c r="K1075" s="50" t="s">
        <v>29</v>
      </c>
      <c r="L1075" s="50" t="s">
        <v>29</v>
      </c>
      <c r="M1075" s="50" t="s">
        <v>29</v>
      </c>
      <c r="N1075" s="49"/>
      <c r="P1075" s="19"/>
      <c r="Q1075" s="18" t="str">
        <f ca="1">IFERROR(__xludf.DUMMYFUNCTION("""COMPUTED_VALUE"""),"")</f>
        <v/>
      </c>
      <c r="R1075" s="19"/>
      <c r="S1075" s="20"/>
      <c r="BP1075" s="10"/>
      <c r="BW1075" s="10"/>
      <c r="CF1075" s="10"/>
      <c r="CM1075" s="10"/>
      <c r="CP1075" s="18" t="str">
        <f ca="1"/>
        <v/>
      </c>
      <c r="CQ1075" s="18" t="str">
        <f ca="1"/>
        <v/>
      </c>
      <c r="CR1075" s="18" t="str">
        <f ca="1"/>
        <v/>
      </c>
      <c r="CS1075" s="18" t="str">
        <f ca="1"/>
        <v/>
      </c>
      <c r="CT1075" s="18" t="str">
        <f ca="1"/>
        <v/>
      </c>
      <c r="CV1075" s="10"/>
      <c r="CY1075" s="18" t="str">
        <f ca="1"/>
        <v/>
      </c>
      <c r="CZ1075" s="18" t="str">
        <f ca="1"/>
        <v/>
      </c>
      <c r="DA1075" s="18" t="str">
        <f ca="1"/>
        <v/>
      </c>
      <c r="DC1075" s="10"/>
    </row>
    <row r="1076" spans="1:107" x14ac:dyDescent="0.25">
      <c r="A1076" s="46"/>
      <c r="B1076" s="52"/>
      <c r="C1076" s="52"/>
      <c r="D1076" s="16"/>
      <c r="E1076" s="52"/>
      <c r="F1076" s="52"/>
      <c r="G1076" s="50"/>
      <c r="H1076" s="17" t="str">
        <f ca="1">IFERROR(__xludf.DUMMYFUNCTION("""COMPUTED_VALUE"""),"")</f>
        <v/>
      </c>
      <c r="I1076" s="50" t="s">
        <v>29</v>
      </c>
      <c r="J1076" s="50" t="s">
        <v>29</v>
      </c>
      <c r="K1076" s="50" t="s">
        <v>29</v>
      </c>
      <c r="L1076" s="50" t="s">
        <v>29</v>
      </c>
      <c r="M1076" s="50" t="s">
        <v>29</v>
      </c>
      <c r="N1076" s="49"/>
      <c r="P1076" s="19"/>
      <c r="Q1076" s="18" t="str">
        <f ca="1">IFERROR(__xludf.DUMMYFUNCTION("""COMPUTED_VALUE"""),"")</f>
        <v/>
      </c>
      <c r="R1076" s="19"/>
      <c r="S1076" s="20"/>
      <c r="BP1076" s="10"/>
      <c r="BW1076" s="10"/>
      <c r="CF1076" s="10"/>
      <c r="CM1076" s="10"/>
      <c r="CP1076" s="18" t="str">
        <f ca="1"/>
        <v/>
      </c>
      <c r="CQ1076" s="18" t="str">
        <f ca="1"/>
        <v/>
      </c>
      <c r="CR1076" s="18" t="str">
        <f ca="1"/>
        <v/>
      </c>
      <c r="CS1076" s="18" t="str">
        <f ca="1"/>
        <v/>
      </c>
      <c r="CT1076" s="18" t="str">
        <f ca="1"/>
        <v/>
      </c>
      <c r="CV1076" s="10"/>
      <c r="CY1076" s="18" t="str">
        <f ca="1"/>
        <v/>
      </c>
      <c r="CZ1076" s="18" t="str">
        <f ca="1"/>
        <v/>
      </c>
      <c r="DA1076" s="18" t="str">
        <f ca="1"/>
        <v/>
      </c>
      <c r="DC1076" s="10"/>
    </row>
    <row r="1077" spans="1:107" x14ac:dyDescent="0.25">
      <c r="A1077" s="46"/>
      <c r="B1077" s="52"/>
      <c r="C1077" s="52"/>
      <c r="D1077" s="16"/>
      <c r="E1077" s="52"/>
      <c r="F1077" s="52"/>
      <c r="G1077" s="50"/>
      <c r="H1077" s="17" t="str">
        <f ca="1">IFERROR(__xludf.DUMMYFUNCTION("""COMPUTED_VALUE"""),"")</f>
        <v/>
      </c>
      <c r="I1077" s="50" t="s">
        <v>29</v>
      </c>
      <c r="J1077" s="50" t="s">
        <v>29</v>
      </c>
      <c r="K1077" s="50" t="s">
        <v>29</v>
      </c>
      <c r="L1077" s="50" t="s">
        <v>29</v>
      </c>
      <c r="M1077" s="50" t="s">
        <v>29</v>
      </c>
      <c r="N1077" s="49"/>
      <c r="P1077" s="19"/>
      <c r="Q1077" s="18" t="str">
        <f ca="1">IFERROR(__xludf.DUMMYFUNCTION("""COMPUTED_VALUE"""),"")</f>
        <v/>
      </c>
      <c r="R1077" s="19"/>
      <c r="S1077" s="20"/>
      <c r="BP1077" s="10"/>
      <c r="BW1077" s="10"/>
      <c r="CF1077" s="10"/>
      <c r="CM1077" s="10"/>
      <c r="CP1077" s="18" t="str">
        <f ca="1"/>
        <v/>
      </c>
      <c r="CQ1077" s="18" t="str">
        <f ca="1"/>
        <v/>
      </c>
      <c r="CR1077" s="18" t="str">
        <f ca="1"/>
        <v/>
      </c>
      <c r="CS1077" s="18" t="str">
        <f ca="1"/>
        <v/>
      </c>
      <c r="CT1077" s="18" t="str">
        <f ca="1"/>
        <v/>
      </c>
      <c r="CV1077" s="10"/>
      <c r="CY1077" s="18" t="str">
        <f ca="1"/>
        <v/>
      </c>
      <c r="CZ1077" s="18" t="str">
        <f ca="1"/>
        <v/>
      </c>
      <c r="DA1077" s="18" t="str">
        <f ca="1"/>
        <v/>
      </c>
      <c r="DC1077" s="10"/>
    </row>
    <row r="1078" spans="1:107" x14ac:dyDescent="0.25">
      <c r="A1078" s="46"/>
      <c r="B1078" s="52"/>
      <c r="C1078" s="52"/>
      <c r="D1078" s="16"/>
      <c r="E1078" s="52"/>
      <c r="F1078" s="52"/>
      <c r="G1078" s="50"/>
      <c r="H1078" s="17" t="str">
        <f ca="1">IFERROR(__xludf.DUMMYFUNCTION("""COMPUTED_VALUE"""),"")</f>
        <v/>
      </c>
      <c r="I1078" s="50" t="s">
        <v>29</v>
      </c>
      <c r="J1078" s="50" t="s">
        <v>29</v>
      </c>
      <c r="K1078" s="50" t="s">
        <v>29</v>
      </c>
      <c r="L1078" s="50" t="s">
        <v>29</v>
      </c>
      <c r="M1078" s="50" t="s">
        <v>29</v>
      </c>
      <c r="N1078" s="49"/>
      <c r="P1078" s="19"/>
      <c r="Q1078" s="18" t="str">
        <f ca="1">IFERROR(__xludf.DUMMYFUNCTION("""COMPUTED_VALUE"""),"")</f>
        <v/>
      </c>
      <c r="R1078" s="19"/>
      <c r="S1078" s="20"/>
      <c r="BP1078" s="10"/>
      <c r="BW1078" s="10"/>
      <c r="CF1078" s="10"/>
      <c r="CM1078" s="10"/>
      <c r="CP1078" s="18" t="str">
        <f ca="1"/>
        <v/>
      </c>
      <c r="CQ1078" s="18" t="str">
        <f ca="1"/>
        <v/>
      </c>
      <c r="CR1078" s="18" t="str">
        <f ca="1"/>
        <v/>
      </c>
      <c r="CS1078" s="18" t="str">
        <f ca="1"/>
        <v/>
      </c>
      <c r="CT1078" s="18" t="str">
        <f ca="1"/>
        <v/>
      </c>
      <c r="CV1078" s="10"/>
      <c r="CY1078" s="18" t="str">
        <f ca="1"/>
        <v/>
      </c>
      <c r="CZ1078" s="18" t="str">
        <f ca="1"/>
        <v/>
      </c>
      <c r="DA1078" s="18" t="str">
        <f ca="1"/>
        <v/>
      </c>
      <c r="DC1078" s="10"/>
    </row>
    <row r="1079" spans="1:107" x14ac:dyDescent="0.25">
      <c r="A1079" s="46"/>
      <c r="B1079" s="52"/>
      <c r="C1079" s="52"/>
      <c r="D1079" s="16"/>
      <c r="E1079" s="52"/>
      <c r="F1079" s="52"/>
      <c r="G1079" s="50"/>
      <c r="H1079" s="17" t="str">
        <f ca="1">IFERROR(__xludf.DUMMYFUNCTION("""COMPUTED_VALUE"""),"")</f>
        <v/>
      </c>
      <c r="I1079" s="50" t="s">
        <v>29</v>
      </c>
      <c r="J1079" s="50" t="s">
        <v>29</v>
      </c>
      <c r="K1079" s="50" t="s">
        <v>29</v>
      </c>
      <c r="L1079" s="50" t="s">
        <v>29</v>
      </c>
      <c r="M1079" s="50" t="s">
        <v>29</v>
      </c>
      <c r="N1079" s="49"/>
      <c r="P1079" s="19"/>
      <c r="Q1079" s="18" t="str">
        <f ca="1">IFERROR(__xludf.DUMMYFUNCTION("""COMPUTED_VALUE"""),"")</f>
        <v/>
      </c>
      <c r="R1079" s="19"/>
      <c r="S1079" s="20"/>
      <c r="BP1079" s="10"/>
      <c r="BW1079" s="10"/>
      <c r="CF1079" s="10"/>
      <c r="CM1079" s="10"/>
      <c r="CP1079" s="18" t="str">
        <f ca="1"/>
        <v/>
      </c>
      <c r="CQ1079" s="18" t="str">
        <f ca="1"/>
        <v/>
      </c>
      <c r="CR1079" s="18" t="str">
        <f ca="1"/>
        <v/>
      </c>
      <c r="CS1079" s="18" t="str">
        <f ca="1"/>
        <v/>
      </c>
      <c r="CT1079" s="18" t="str">
        <f ca="1"/>
        <v/>
      </c>
      <c r="CV1079" s="10"/>
      <c r="CY1079" s="18" t="str">
        <f ca="1"/>
        <v/>
      </c>
      <c r="CZ1079" s="18" t="str">
        <f ca="1"/>
        <v/>
      </c>
      <c r="DA1079" s="18" t="str">
        <f ca="1"/>
        <v/>
      </c>
      <c r="DC1079" s="10"/>
    </row>
    <row r="1080" spans="1:107" x14ac:dyDescent="0.25">
      <c r="A1080" s="46"/>
      <c r="B1080" s="52"/>
      <c r="C1080" s="52"/>
      <c r="D1080" s="16"/>
      <c r="E1080" s="52"/>
      <c r="F1080" s="52"/>
      <c r="G1080" s="50"/>
      <c r="H1080" s="17" t="str">
        <f ca="1">IFERROR(__xludf.DUMMYFUNCTION("""COMPUTED_VALUE"""),"")</f>
        <v/>
      </c>
      <c r="I1080" s="50" t="s">
        <v>29</v>
      </c>
      <c r="J1080" s="50" t="s">
        <v>29</v>
      </c>
      <c r="K1080" s="50" t="s">
        <v>29</v>
      </c>
      <c r="L1080" s="50" t="s">
        <v>29</v>
      </c>
      <c r="M1080" s="50" t="s">
        <v>29</v>
      </c>
      <c r="N1080" s="49"/>
      <c r="P1080" s="19"/>
      <c r="Q1080" s="18" t="str">
        <f ca="1">IFERROR(__xludf.DUMMYFUNCTION("""COMPUTED_VALUE"""),"")</f>
        <v/>
      </c>
      <c r="R1080" s="19"/>
      <c r="S1080" s="20"/>
      <c r="BP1080" s="10"/>
      <c r="BW1080" s="10"/>
      <c r="CF1080" s="10"/>
      <c r="CM1080" s="10"/>
      <c r="CP1080" s="18" t="str">
        <f ca="1"/>
        <v/>
      </c>
      <c r="CQ1080" s="18" t="str">
        <f ca="1"/>
        <v/>
      </c>
      <c r="CR1080" s="18" t="str">
        <f ca="1"/>
        <v/>
      </c>
      <c r="CS1080" s="18" t="str">
        <f ca="1"/>
        <v/>
      </c>
      <c r="CT1080" s="18" t="str">
        <f ca="1"/>
        <v/>
      </c>
      <c r="CV1080" s="10"/>
      <c r="CY1080" s="18" t="str">
        <f ca="1"/>
        <v/>
      </c>
      <c r="CZ1080" s="18" t="str">
        <f ca="1"/>
        <v/>
      </c>
      <c r="DA1080" s="18" t="str">
        <f ca="1"/>
        <v/>
      </c>
      <c r="DC1080" s="10"/>
    </row>
    <row r="1081" spans="1:107" x14ac:dyDescent="0.25">
      <c r="A1081" s="46"/>
      <c r="B1081" s="52"/>
      <c r="C1081" s="52"/>
      <c r="D1081" s="16"/>
      <c r="E1081" s="52"/>
      <c r="F1081" s="52"/>
      <c r="G1081" s="50"/>
      <c r="H1081" s="17" t="str">
        <f ca="1">IFERROR(__xludf.DUMMYFUNCTION("""COMPUTED_VALUE"""),"")</f>
        <v/>
      </c>
      <c r="I1081" s="50" t="s">
        <v>29</v>
      </c>
      <c r="J1081" s="50" t="s">
        <v>29</v>
      </c>
      <c r="K1081" s="50" t="s">
        <v>29</v>
      </c>
      <c r="L1081" s="50" t="s">
        <v>29</v>
      </c>
      <c r="M1081" s="50" t="s">
        <v>29</v>
      </c>
      <c r="N1081" s="49"/>
      <c r="P1081" s="19"/>
      <c r="Q1081" s="18" t="str">
        <f ca="1">IFERROR(__xludf.DUMMYFUNCTION("""COMPUTED_VALUE"""),"")</f>
        <v/>
      </c>
      <c r="R1081" s="19"/>
      <c r="S1081" s="20"/>
      <c r="BP1081" s="10"/>
      <c r="BW1081" s="10"/>
      <c r="CF1081" s="10"/>
      <c r="CM1081" s="10"/>
      <c r="CP1081" s="18" t="str">
        <f ca="1"/>
        <v/>
      </c>
      <c r="CQ1081" s="18" t="str">
        <f ca="1"/>
        <v/>
      </c>
      <c r="CR1081" s="18" t="str">
        <f ca="1"/>
        <v/>
      </c>
      <c r="CS1081" s="18" t="str">
        <f ca="1"/>
        <v/>
      </c>
      <c r="CT1081" s="18" t="str">
        <f ca="1"/>
        <v/>
      </c>
      <c r="CV1081" s="10"/>
      <c r="CY1081" s="18" t="str">
        <f ca="1"/>
        <v/>
      </c>
      <c r="CZ1081" s="18" t="str">
        <f ca="1"/>
        <v/>
      </c>
      <c r="DA1081" s="18" t="str">
        <f ca="1"/>
        <v/>
      </c>
      <c r="DC1081" s="10"/>
    </row>
    <row r="1082" spans="1:107" x14ac:dyDescent="0.25">
      <c r="A1082" s="46"/>
      <c r="B1082" s="52"/>
      <c r="C1082" s="52"/>
      <c r="D1082" s="16"/>
      <c r="E1082" s="52"/>
      <c r="F1082" s="52"/>
      <c r="G1082" s="50"/>
      <c r="H1082" s="17" t="str">
        <f ca="1">IFERROR(__xludf.DUMMYFUNCTION("""COMPUTED_VALUE"""),"")</f>
        <v/>
      </c>
      <c r="I1082" s="50" t="s">
        <v>29</v>
      </c>
      <c r="J1082" s="50" t="s">
        <v>29</v>
      </c>
      <c r="K1082" s="50" t="s">
        <v>29</v>
      </c>
      <c r="L1082" s="50" t="s">
        <v>29</v>
      </c>
      <c r="M1082" s="50" t="s">
        <v>29</v>
      </c>
      <c r="N1082" s="49"/>
      <c r="P1082" s="19"/>
      <c r="Q1082" s="18" t="str">
        <f ca="1">IFERROR(__xludf.DUMMYFUNCTION("""COMPUTED_VALUE"""),"")</f>
        <v/>
      </c>
      <c r="R1082" s="19"/>
      <c r="S1082" s="20"/>
      <c r="BP1082" s="10"/>
      <c r="BW1082" s="10"/>
      <c r="CF1082" s="10"/>
      <c r="CM1082" s="10"/>
      <c r="CP1082" s="18" t="str">
        <f ca="1"/>
        <v/>
      </c>
      <c r="CQ1082" s="18" t="str">
        <f ca="1"/>
        <v/>
      </c>
      <c r="CR1082" s="18" t="str">
        <f ca="1"/>
        <v/>
      </c>
      <c r="CS1082" s="18" t="str">
        <f ca="1"/>
        <v/>
      </c>
      <c r="CT1082" s="18" t="str">
        <f ca="1"/>
        <v/>
      </c>
      <c r="CV1082" s="10"/>
      <c r="CY1082" s="18" t="str">
        <f ca="1"/>
        <v/>
      </c>
      <c r="CZ1082" s="18" t="str">
        <f ca="1"/>
        <v/>
      </c>
      <c r="DA1082" s="18" t="str">
        <f ca="1"/>
        <v/>
      </c>
      <c r="DC1082" s="10"/>
    </row>
    <row r="1083" spans="1:107" x14ac:dyDescent="0.25">
      <c r="A1083" s="46"/>
      <c r="B1083" s="52"/>
      <c r="C1083" s="52"/>
      <c r="D1083" s="16"/>
      <c r="E1083" s="52"/>
      <c r="F1083" s="52"/>
      <c r="G1083" s="50"/>
      <c r="H1083" s="17" t="str">
        <f ca="1">IFERROR(__xludf.DUMMYFUNCTION("""COMPUTED_VALUE"""),"")</f>
        <v/>
      </c>
      <c r="I1083" s="50" t="s">
        <v>29</v>
      </c>
      <c r="J1083" s="50" t="s">
        <v>29</v>
      </c>
      <c r="K1083" s="50" t="s">
        <v>29</v>
      </c>
      <c r="L1083" s="50" t="s">
        <v>29</v>
      </c>
      <c r="M1083" s="50" t="s">
        <v>29</v>
      </c>
      <c r="N1083" s="49"/>
      <c r="P1083" s="19"/>
      <c r="Q1083" s="18" t="str">
        <f ca="1">IFERROR(__xludf.DUMMYFUNCTION("""COMPUTED_VALUE"""),"")</f>
        <v/>
      </c>
      <c r="R1083" s="19"/>
      <c r="S1083" s="20"/>
      <c r="BP1083" s="10"/>
      <c r="BW1083" s="10"/>
      <c r="CF1083" s="10"/>
      <c r="CM1083" s="10"/>
      <c r="CP1083" s="18" t="str">
        <f ca="1"/>
        <v/>
      </c>
      <c r="CQ1083" s="18" t="str">
        <f ca="1"/>
        <v/>
      </c>
      <c r="CR1083" s="18" t="str">
        <f ca="1"/>
        <v/>
      </c>
      <c r="CS1083" s="18" t="str">
        <f ca="1"/>
        <v/>
      </c>
      <c r="CT1083" s="18" t="str">
        <f ca="1"/>
        <v/>
      </c>
      <c r="CV1083" s="10"/>
      <c r="CY1083" s="18" t="str">
        <f ca="1"/>
        <v/>
      </c>
      <c r="CZ1083" s="18" t="str">
        <f ca="1"/>
        <v/>
      </c>
      <c r="DA1083" s="18" t="str">
        <f ca="1"/>
        <v/>
      </c>
      <c r="DC1083" s="10"/>
    </row>
    <row r="1084" spans="1:107" x14ac:dyDescent="0.25">
      <c r="A1084" s="46"/>
      <c r="B1084" s="52"/>
      <c r="C1084" s="52"/>
      <c r="D1084" s="16"/>
      <c r="E1084" s="52"/>
      <c r="F1084" s="52"/>
      <c r="G1084" s="50"/>
      <c r="H1084" s="17" t="str">
        <f ca="1">IFERROR(__xludf.DUMMYFUNCTION("""COMPUTED_VALUE"""),"")</f>
        <v/>
      </c>
      <c r="I1084" s="50" t="s">
        <v>29</v>
      </c>
      <c r="J1084" s="50" t="s">
        <v>29</v>
      </c>
      <c r="K1084" s="50" t="s">
        <v>29</v>
      </c>
      <c r="L1084" s="50" t="s">
        <v>29</v>
      </c>
      <c r="M1084" s="50" t="s">
        <v>29</v>
      </c>
      <c r="N1084" s="49"/>
      <c r="P1084" s="19"/>
      <c r="Q1084" s="18" t="str">
        <f ca="1">IFERROR(__xludf.DUMMYFUNCTION("""COMPUTED_VALUE"""),"")</f>
        <v/>
      </c>
      <c r="R1084" s="19"/>
      <c r="S1084" s="20"/>
      <c r="BP1084" s="10"/>
      <c r="BW1084" s="10"/>
      <c r="CF1084" s="10"/>
      <c r="CM1084" s="10"/>
      <c r="CP1084" s="18" t="str">
        <f ca="1"/>
        <v/>
      </c>
      <c r="CQ1084" s="18" t="str">
        <f ca="1"/>
        <v/>
      </c>
      <c r="CR1084" s="18" t="str">
        <f ca="1"/>
        <v/>
      </c>
      <c r="CS1084" s="18" t="str">
        <f ca="1"/>
        <v/>
      </c>
      <c r="CT1084" s="18" t="str">
        <f ca="1"/>
        <v/>
      </c>
      <c r="CV1084" s="10"/>
      <c r="CY1084" s="18" t="str">
        <f ca="1"/>
        <v/>
      </c>
      <c r="CZ1084" s="18" t="str">
        <f ca="1"/>
        <v/>
      </c>
      <c r="DA1084" s="18" t="str">
        <f ca="1"/>
        <v/>
      </c>
      <c r="DC1084" s="10"/>
    </row>
    <row r="1085" spans="1:107" x14ac:dyDescent="0.25">
      <c r="A1085" s="46"/>
      <c r="B1085" s="52"/>
      <c r="C1085" s="52"/>
      <c r="D1085" s="16"/>
      <c r="E1085" s="52"/>
      <c r="F1085" s="52"/>
      <c r="G1085" s="50"/>
      <c r="H1085" s="17" t="str">
        <f ca="1">IFERROR(__xludf.DUMMYFUNCTION("""COMPUTED_VALUE"""),"")</f>
        <v/>
      </c>
      <c r="I1085" s="50" t="s">
        <v>29</v>
      </c>
      <c r="J1085" s="50" t="s">
        <v>29</v>
      </c>
      <c r="K1085" s="50" t="s">
        <v>29</v>
      </c>
      <c r="L1085" s="50" t="s">
        <v>29</v>
      </c>
      <c r="M1085" s="50" t="s">
        <v>29</v>
      </c>
      <c r="N1085" s="49"/>
      <c r="P1085" s="19"/>
      <c r="Q1085" s="18" t="str">
        <f ca="1">IFERROR(__xludf.DUMMYFUNCTION("""COMPUTED_VALUE"""),"")</f>
        <v/>
      </c>
      <c r="R1085" s="19"/>
      <c r="S1085" s="20"/>
      <c r="BP1085" s="10"/>
      <c r="BW1085" s="10"/>
      <c r="CF1085" s="10"/>
      <c r="CM1085" s="10"/>
      <c r="CP1085" s="18" t="str">
        <f ca="1"/>
        <v/>
      </c>
      <c r="CQ1085" s="18" t="str">
        <f ca="1"/>
        <v/>
      </c>
      <c r="CR1085" s="18" t="str">
        <f ca="1"/>
        <v/>
      </c>
      <c r="CS1085" s="18" t="str">
        <f ca="1"/>
        <v/>
      </c>
      <c r="CT1085" s="18" t="str">
        <f ca="1"/>
        <v/>
      </c>
      <c r="CV1085" s="10"/>
      <c r="CY1085" s="18" t="str">
        <f ca="1"/>
        <v/>
      </c>
      <c r="CZ1085" s="18" t="str">
        <f ca="1"/>
        <v/>
      </c>
      <c r="DA1085" s="18" t="str">
        <f ca="1"/>
        <v/>
      </c>
      <c r="DC1085" s="10"/>
    </row>
    <row r="1086" spans="1:107" x14ac:dyDescent="0.25">
      <c r="A1086" s="46"/>
      <c r="B1086" s="52"/>
      <c r="C1086" s="52"/>
      <c r="D1086" s="16"/>
      <c r="E1086" s="52"/>
      <c r="F1086" s="52"/>
      <c r="G1086" s="50"/>
      <c r="H1086" s="17" t="str">
        <f ca="1">IFERROR(__xludf.DUMMYFUNCTION("""COMPUTED_VALUE"""),"")</f>
        <v/>
      </c>
      <c r="I1086" s="50" t="s">
        <v>29</v>
      </c>
      <c r="J1086" s="50" t="s">
        <v>29</v>
      </c>
      <c r="K1086" s="50" t="s">
        <v>29</v>
      </c>
      <c r="L1086" s="50" t="s">
        <v>29</v>
      </c>
      <c r="M1086" s="50" t="s">
        <v>29</v>
      </c>
      <c r="N1086" s="49"/>
      <c r="P1086" s="19"/>
      <c r="Q1086" s="18" t="str">
        <f ca="1">IFERROR(__xludf.DUMMYFUNCTION("""COMPUTED_VALUE"""),"")</f>
        <v/>
      </c>
      <c r="R1086" s="19"/>
      <c r="S1086" s="20"/>
      <c r="BP1086" s="10"/>
      <c r="BW1086" s="10"/>
      <c r="CF1086" s="10"/>
      <c r="CM1086" s="10"/>
      <c r="CP1086" s="18" t="str">
        <f ca="1"/>
        <v/>
      </c>
      <c r="CQ1086" s="18" t="str">
        <f ca="1"/>
        <v/>
      </c>
      <c r="CR1086" s="18" t="str">
        <f ca="1"/>
        <v/>
      </c>
      <c r="CS1086" s="18" t="str">
        <f ca="1"/>
        <v/>
      </c>
      <c r="CT1086" s="18" t="str">
        <f ca="1"/>
        <v/>
      </c>
      <c r="CV1086" s="10"/>
      <c r="CY1086" s="18" t="str">
        <f ca="1"/>
        <v/>
      </c>
      <c r="CZ1086" s="18" t="str">
        <f ca="1"/>
        <v/>
      </c>
      <c r="DA1086" s="18" t="str">
        <f ca="1"/>
        <v/>
      </c>
      <c r="DC1086" s="10"/>
    </row>
    <row r="1087" spans="1:107" x14ac:dyDescent="0.25">
      <c r="A1087" s="46"/>
      <c r="B1087" s="52"/>
      <c r="C1087" s="52"/>
      <c r="D1087" s="16"/>
      <c r="E1087" s="52"/>
      <c r="F1087" s="52"/>
      <c r="G1087" s="50"/>
      <c r="H1087" s="17" t="str">
        <f ca="1">IFERROR(__xludf.DUMMYFUNCTION("""COMPUTED_VALUE"""),"")</f>
        <v/>
      </c>
      <c r="I1087" s="50" t="s">
        <v>29</v>
      </c>
      <c r="J1087" s="50" t="s">
        <v>29</v>
      </c>
      <c r="K1087" s="50" t="s">
        <v>29</v>
      </c>
      <c r="L1087" s="50" t="s">
        <v>29</v>
      </c>
      <c r="M1087" s="50" t="s">
        <v>29</v>
      </c>
      <c r="N1087" s="49"/>
      <c r="P1087" s="19"/>
      <c r="Q1087" s="18" t="str">
        <f ca="1">IFERROR(__xludf.DUMMYFUNCTION("""COMPUTED_VALUE"""),"")</f>
        <v/>
      </c>
      <c r="R1087" s="19"/>
      <c r="S1087" s="20"/>
      <c r="BP1087" s="10"/>
      <c r="BW1087" s="10"/>
      <c r="CF1087" s="10"/>
      <c r="CM1087" s="10"/>
      <c r="CP1087" s="18" t="str">
        <f ca="1"/>
        <v/>
      </c>
      <c r="CQ1087" s="18" t="str">
        <f ca="1"/>
        <v/>
      </c>
      <c r="CR1087" s="18" t="str">
        <f ca="1"/>
        <v/>
      </c>
      <c r="CS1087" s="18" t="str">
        <f ca="1"/>
        <v/>
      </c>
      <c r="CT1087" s="18" t="str">
        <f ca="1"/>
        <v/>
      </c>
      <c r="CV1087" s="10"/>
      <c r="CY1087" s="18" t="str">
        <f ca="1"/>
        <v/>
      </c>
      <c r="CZ1087" s="18" t="str">
        <f ca="1"/>
        <v/>
      </c>
      <c r="DA1087" s="18" t="str">
        <f ca="1"/>
        <v/>
      </c>
      <c r="DC1087" s="10"/>
    </row>
    <row r="1088" spans="1:107" x14ac:dyDescent="0.25">
      <c r="A1088" s="46"/>
      <c r="B1088" s="52"/>
      <c r="C1088" s="52"/>
      <c r="D1088" s="16"/>
      <c r="E1088" s="52"/>
      <c r="F1088" s="52"/>
      <c r="G1088" s="50"/>
      <c r="H1088" s="17" t="str">
        <f ca="1">IFERROR(__xludf.DUMMYFUNCTION("""COMPUTED_VALUE"""),"")</f>
        <v/>
      </c>
      <c r="I1088" s="50" t="s">
        <v>29</v>
      </c>
      <c r="J1088" s="50" t="s">
        <v>29</v>
      </c>
      <c r="K1088" s="50" t="s">
        <v>29</v>
      </c>
      <c r="L1088" s="50" t="s">
        <v>29</v>
      </c>
      <c r="M1088" s="50" t="s">
        <v>29</v>
      </c>
      <c r="N1088" s="49"/>
      <c r="P1088" s="19"/>
      <c r="Q1088" s="18" t="str">
        <f ca="1">IFERROR(__xludf.DUMMYFUNCTION("""COMPUTED_VALUE"""),"")</f>
        <v/>
      </c>
      <c r="R1088" s="19"/>
      <c r="S1088" s="20"/>
      <c r="BP1088" s="10"/>
      <c r="BW1088" s="10"/>
      <c r="CF1088" s="10"/>
      <c r="CM1088" s="10"/>
      <c r="CP1088" s="18" t="str">
        <f ca="1"/>
        <v/>
      </c>
      <c r="CQ1088" s="18" t="str">
        <f ca="1"/>
        <v/>
      </c>
      <c r="CR1088" s="18" t="str">
        <f ca="1"/>
        <v/>
      </c>
      <c r="CS1088" s="18" t="str">
        <f ca="1"/>
        <v/>
      </c>
      <c r="CT1088" s="18" t="str">
        <f ca="1"/>
        <v/>
      </c>
      <c r="CV1088" s="10"/>
      <c r="CY1088" s="18" t="str">
        <f ca="1"/>
        <v/>
      </c>
      <c r="CZ1088" s="18" t="str">
        <f ca="1"/>
        <v/>
      </c>
      <c r="DA1088" s="18" t="str">
        <f ca="1"/>
        <v/>
      </c>
      <c r="DC1088" s="10"/>
    </row>
    <row r="1089" spans="1:107" x14ac:dyDescent="0.25">
      <c r="A1089" s="46"/>
      <c r="B1089" s="52"/>
      <c r="C1089" s="52"/>
      <c r="D1089" s="16"/>
      <c r="E1089" s="52"/>
      <c r="F1089" s="52"/>
      <c r="G1089" s="50"/>
      <c r="H1089" s="17" t="str">
        <f ca="1">IFERROR(__xludf.DUMMYFUNCTION("""COMPUTED_VALUE"""),"")</f>
        <v/>
      </c>
      <c r="I1089" s="50" t="s">
        <v>29</v>
      </c>
      <c r="J1089" s="50" t="s">
        <v>29</v>
      </c>
      <c r="K1089" s="50" t="s">
        <v>29</v>
      </c>
      <c r="L1089" s="50" t="s">
        <v>29</v>
      </c>
      <c r="M1089" s="50" t="s">
        <v>29</v>
      </c>
      <c r="N1089" s="49"/>
      <c r="P1089" s="19"/>
      <c r="Q1089" s="18" t="str">
        <f ca="1">IFERROR(__xludf.DUMMYFUNCTION("""COMPUTED_VALUE"""),"")</f>
        <v/>
      </c>
      <c r="R1089" s="19"/>
      <c r="S1089" s="20"/>
      <c r="BP1089" s="10"/>
      <c r="BW1089" s="10"/>
      <c r="CF1089" s="10"/>
      <c r="CM1089" s="10"/>
      <c r="CP1089" s="18" t="str">
        <f ca="1"/>
        <v/>
      </c>
      <c r="CQ1089" s="18" t="str">
        <f ca="1"/>
        <v/>
      </c>
      <c r="CR1089" s="18" t="str">
        <f ca="1"/>
        <v/>
      </c>
      <c r="CS1089" s="18" t="str">
        <f ca="1"/>
        <v/>
      </c>
      <c r="CT1089" s="18" t="str">
        <f ca="1"/>
        <v/>
      </c>
      <c r="CV1089" s="10"/>
      <c r="CY1089" s="18" t="str">
        <f ca="1"/>
        <v/>
      </c>
      <c r="CZ1089" s="18" t="str">
        <f ca="1"/>
        <v/>
      </c>
      <c r="DA1089" s="18" t="str">
        <f ca="1"/>
        <v/>
      </c>
      <c r="DC1089" s="10"/>
    </row>
    <row r="1090" spans="1:107" x14ac:dyDescent="0.25">
      <c r="A1090" s="46"/>
      <c r="B1090" s="52"/>
      <c r="C1090" s="52"/>
      <c r="D1090" s="16"/>
      <c r="E1090" s="52"/>
      <c r="F1090" s="52"/>
      <c r="G1090" s="50"/>
      <c r="H1090" s="17" t="str">
        <f ca="1">IFERROR(__xludf.DUMMYFUNCTION("""COMPUTED_VALUE"""),"")</f>
        <v/>
      </c>
      <c r="I1090" s="50" t="s">
        <v>29</v>
      </c>
      <c r="J1090" s="50" t="s">
        <v>29</v>
      </c>
      <c r="K1090" s="50" t="s">
        <v>29</v>
      </c>
      <c r="L1090" s="50" t="s">
        <v>29</v>
      </c>
      <c r="M1090" s="50" t="s">
        <v>29</v>
      </c>
      <c r="N1090" s="49"/>
      <c r="P1090" s="19"/>
      <c r="Q1090" s="18" t="str">
        <f ca="1">IFERROR(__xludf.DUMMYFUNCTION("""COMPUTED_VALUE"""),"")</f>
        <v/>
      </c>
      <c r="R1090" s="19"/>
      <c r="S1090" s="20"/>
      <c r="BP1090" s="10"/>
      <c r="BW1090" s="10"/>
      <c r="CF1090" s="10"/>
      <c r="CM1090" s="10"/>
      <c r="CP1090" s="18" t="str">
        <f ca="1"/>
        <v/>
      </c>
      <c r="CQ1090" s="18" t="str">
        <f ca="1"/>
        <v/>
      </c>
      <c r="CR1090" s="18" t="str">
        <f ca="1"/>
        <v/>
      </c>
      <c r="CS1090" s="18" t="str">
        <f ca="1"/>
        <v/>
      </c>
      <c r="CT1090" s="18" t="str">
        <f ca="1"/>
        <v/>
      </c>
      <c r="CV1090" s="10"/>
      <c r="CY1090" s="18" t="str">
        <f ca="1"/>
        <v/>
      </c>
      <c r="CZ1090" s="18" t="str">
        <f ca="1"/>
        <v/>
      </c>
      <c r="DA1090" s="18" t="str">
        <f ca="1"/>
        <v/>
      </c>
      <c r="DC1090" s="10"/>
    </row>
    <row r="1091" spans="1:107" x14ac:dyDescent="0.25">
      <c r="A1091" s="46"/>
      <c r="B1091" s="52"/>
      <c r="C1091" s="52"/>
      <c r="D1091" s="16"/>
      <c r="E1091" s="52"/>
      <c r="F1091" s="52"/>
      <c r="G1091" s="50"/>
      <c r="H1091" s="17" t="str">
        <f ca="1">IFERROR(__xludf.DUMMYFUNCTION("""COMPUTED_VALUE"""),"")</f>
        <v/>
      </c>
      <c r="I1091" s="50" t="s">
        <v>29</v>
      </c>
      <c r="J1091" s="50" t="s">
        <v>29</v>
      </c>
      <c r="K1091" s="50" t="s">
        <v>29</v>
      </c>
      <c r="L1091" s="50" t="s">
        <v>29</v>
      </c>
      <c r="M1091" s="50" t="s">
        <v>29</v>
      </c>
      <c r="N1091" s="49"/>
      <c r="P1091" s="19"/>
      <c r="Q1091" s="18" t="str">
        <f ca="1">IFERROR(__xludf.DUMMYFUNCTION("""COMPUTED_VALUE"""),"")</f>
        <v/>
      </c>
      <c r="R1091" s="19"/>
      <c r="S1091" s="20"/>
      <c r="BP1091" s="10"/>
      <c r="BW1091" s="10"/>
      <c r="CF1091" s="10"/>
      <c r="CM1091" s="10"/>
      <c r="CP1091" s="18" t="str">
        <f ca="1"/>
        <v/>
      </c>
      <c r="CQ1091" s="18" t="str">
        <f ca="1"/>
        <v/>
      </c>
      <c r="CR1091" s="18" t="str">
        <f ca="1"/>
        <v/>
      </c>
      <c r="CS1091" s="18" t="str">
        <f ca="1"/>
        <v/>
      </c>
      <c r="CT1091" s="18" t="str">
        <f ca="1"/>
        <v/>
      </c>
      <c r="CV1091" s="10"/>
      <c r="CY1091" s="18" t="str">
        <f ca="1"/>
        <v/>
      </c>
      <c r="CZ1091" s="18" t="str">
        <f ca="1"/>
        <v/>
      </c>
      <c r="DA1091" s="18" t="str">
        <f ca="1"/>
        <v/>
      </c>
      <c r="DC1091" s="10"/>
    </row>
    <row r="1092" spans="1:107" x14ac:dyDescent="0.25">
      <c r="A1092" s="46"/>
      <c r="B1092" s="52"/>
      <c r="C1092" s="52"/>
      <c r="D1092" s="16"/>
      <c r="E1092" s="52"/>
      <c r="F1092" s="52"/>
      <c r="G1092" s="50"/>
      <c r="H1092" s="17" t="str">
        <f ca="1">IFERROR(__xludf.DUMMYFUNCTION("""COMPUTED_VALUE"""),"")</f>
        <v/>
      </c>
      <c r="I1092" s="50" t="s">
        <v>29</v>
      </c>
      <c r="J1092" s="50" t="s">
        <v>29</v>
      </c>
      <c r="K1092" s="50" t="s">
        <v>29</v>
      </c>
      <c r="L1092" s="50" t="s">
        <v>29</v>
      </c>
      <c r="M1092" s="50" t="s">
        <v>29</v>
      </c>
      <c r="N1092" s="49"/>
      <c r="P1092" s="19"/>
      <c r="Q1092" s="18" t="str">
        <f ca="1">IFERROR(__xludf.DUMMYFUNCTION("""COMPUTED_VALUE"""),"")</f>
        <v/>
      </c>
      <c r="R1092" s="19"/>
      <c r="S1092" s="20"/>
      <c r="BP1092" s="10"/>
      <c r="BW1092" s="10"/>
      <c r="CF1092" s="10"/>
      <c r="CM1092" s="10"/>
      <c r="CP1092" s="18" t="str">
        <f ca="1"/>
        <v/>
      </c>
      <c r="CQ1092" s="18" t="str">
        <f ca="1"/>
        <v/>
      </c>
      <c r="CR1092" s="18" t="str">
        <f ca="1"/>
        <v/>
      </c>
      <c r="CS1092" s="18" t="str">
        <f ca="1"/>
        <v/>
      </c>
      <c r="CT1092" s="18" t="str">
        <f ca="1"/>
        <v/>
      </c>
      <c r="CV1092" s="10"/>
      <c r="CY1092" s="18" t="str">
        <f ca="1"/>
        <v/>
      </c>
      <c r="CZ1092" s="18" t="str">
        <f ca="1"/>
        <v/>
      </c>
      <c r="DA1092" s="18" t="str">
        <f ca="1"/>
        <v/>
      </c>
      <c r="DC1092" s="10"/>
    </row>
    <row r="1093" spans="1:107" x14ac:dyDescent="0.25">
      <c r="A1093" s="46"/>
      <c r="B1093" s="52"/>
      <c r="C1093" s="52"/>
      <c r="D1093" s="16"/>
      <c r="E1093" s="52"/>
      <c r="F1093" s="52"/>
      <c r="G1093" s="50"/>
      <c r="H1093" s="17" t="str">
        <f ca="1">IFERROR(__xludf.DUMMYFUNCTION("""COMPUTED_VALUE"""),"")</f>
        <v/>
      </c>
      <c r="I1093" s="50" t="s">
        <v>29</v>
      </c>
      <c r="J1093" s="50" t="s">
        <v>29</v>
      </c>
      <c r="K1093" s="50" t="s">
        <v>29</v>
      </c>
      <c r="L1093" s="50" t="s">
        <v>29</v>
      </c>
      <c r="M1093" s="50" t="s">
        <v>29</v>
      </c>
      <c r="N1093" s="49"/>
      <c r="P1093" s="19"/>
      <c r="Q1093" s="18" t="str">
        <f ca="1">IFERROR(__xludf.DUMMYFUNCTION("""COMPUTED_VALUE"""),"")</f>
        <v/>
      </c>
      <c r="R1093" s="19"/>
      <c r="S1093" s="20"/>
      <c r="BP1093" s="10"/>
      <c r="BW1093" s="10"/>
      <c r="CF1093" s="10"/>
      <c r="CM1093" s="10"/>
      <c r="CP1093" s="18" t="str">
        <f ca="1"/>
        <v/>
      </c>
      <c r="CQ1093" s="18" t="str">
        <f ca="1"/>
        <v/>
      </c>
      <c r="CR1093" s="18" t="str">
        <f ca="1"/>
        <v/>
      </c>
      <c r="CS1093" s="18" t="str">
        <f ca="1"/>
        <v/>
      </c>
      <c r="CT1093" s="18" t="str">
        <f ca="1"/>
        <v/>
      </c>
      <c r="CV1093" s="10"/>
      <c r="CY1093" s="18" t="str">
        <f ca="1"/>
        <v/>
      </c>
      <c r="CZ1093" s="18" t="str">
        <f ca="1"/>
        <v/>
      </c>
      <c r="DA1093" s="18" t="str">
        <f ca="1"/>
        <v/>
      </c>
      <c r="DC1093" s="10"/>
    </row>
    <row r="1094" spans="1:107" x14ac:dyDescent="0.25">
      <c r="A1094" s="46"/>
      <c r="B1094" s="52"/>
      <c r="C1094" s="52"/>
      <c r="D1094" s="16"/>
      <c r="E1094" s="52"/>
      <c r="F1094" s="52"/>
      <c r="G1094" s="50"/>
      <c r="H1094" s="17" t="str">
        <f ca="1">IFERROR(__xludf.DUMMYFUNCTION("""COMPUTED_VALUE"""),"")</f>
        <v/>
      </c>
      <c r="I1094" s="50" t="s">
        <v>29</v>
      </c>
      <c r="J1094" s="50" t="s">
        <v>29</v>
      </c>
      <c r="K1094" s="50" t="s">
        <v>29</v>
      </c>
      <c r="L1094" s="50" t="s">
        <v>29</v>
      </c>
      <c r="M1094" s="50" t="s">
        <v>29</v>
      </c>
      <c r="N1094" s="49"/>
      <c r="P1094" s="19"/>
      <c r="Q1094" s="18" t="str">
        <f ca="1">IFERROR(__xludf.DUMMYFUNCTION("""COMPUTED_VALUE"""),"")</f>
        <v/>
      </c>
      <c r="R1094" s="19"/>
      <c r="S1094" s="20"/>
      <c r="BP1094" s="10"/>
      <c r="BW1094" s="10"/>
      <c r="CF1094" s="10"/>
      <c r="CM1094" s="10"/>
      <c r="CP1094" s="18" t="str">
        <f ca="1"/>
        <v/>
      </c>
      <c r="CQ1094" s="18" t="str">
        <f ca="1"/>
        <v/>
      </c>
      <c r="CR1094" s="18" t="str">
        <f ca="1"/>
        <v/>
      </c>
      <c r="CS1094" s="18" t="str">
        <f ca="1"/>
        <v/>
      </c>
      <c r="CT1094" s="18" t="str">
        <f ca="1"/>
        <v/>
      </c>
      <c r="CV1094" s="10"/>
      <c r="CY1094" s="18" t="str">
        <f ca="1"/>
        <v/>
      </c>
      <c r="CZ1094" s="18" t="str">
        <f ca="1"/>
        <v/>
      </c>
      <c r="DA1094" s="18" t="str">
        <f ca="1"/>
        <v/>
      </c>
      <c r="DC1094" s="10"/>
    </row>
    <row r="1095" spans="1:107" x14ac:dyDescent="0.25">
      <c r="A1095" s="46"/>
      <c r="B1095" s="52"/>
      <c r="C1095" s="52"/>
      <c r="D1095" s="16"/>
      <c r="E1095" s="52"/>
      <c r="F1095" s="52"/>
      <c r="G1095" s="50"/>
      <c r="H1095" s="17" t="str">
        <f ca="1">IFERROR(__xludf.DUMMYFUNCTION("""COMPUTED_VALUE"""),"")</f>
        <v/>
      </c>
      <c r="I1095" s="50" t="s">
        <v>29</v>
      </c>
      <c r="J1095" s="50" t="s">
        <v>29</v>
      </c>
      <c r="K1095" s="50" t="s">
        <v>29</v>
      </c>
      <c r="L1095" s="50" t="s">
        <v>29</v>
      </c>
      <c r="M1095" s="50" t="s">
        <v>29</v>
      </c>
      <c r="N1095" s="49"/>
      <c r="P1095" s="19"/>
      <c r="Q1095" s="18" t="str">
        <f ca="1">IFERROR(__xludf.DUMMYFUNCTION("""COMPUTED_VALUE"""),"")</f>
        <v/>
      </c>
      <c r="R1095" s="19"/>
      <c r="S1095" s="20"/>
      <c r="BP1095" s="10"/>
      <c r="BW1095" s="10"/>
      <c r="CF1095" s="10"/>
      <c r="CM1095" s="10"/>
      <c r="CP1095" s="18" t="str">
        <f ca="1"/>
        <v/>
      </c>
      <c r="CQ1095" s="18" t="str">
        <f ca="1"/>
        <v/>
      </c>
      <c r="CR1095" s="18" t="str">
        <f ca="1"/>
        <v/>
      </c>
      <c r="CS1095" s="18" t="str">
        <f ca="1"/>
        <v/>
      </c>
      <c r="CT1095" s="18" t="str">
        <f ca="1"/>
        <v/>
      </c>
      <c r="CV1095" s="10"/>
      <c r="CY1095" s="18" t="str">
        <f ca="1"/>
        <v/>
      </c>
      <c r="CZ1095" s="18" t="str">
        <f ca="1"/>
        <v/>
      </c>
      <c r="DA1095" s="18" t="str">
        <f ca="1"/>
        <v/>
      </c>
      <c r="DC1095" s="10"/>
    </row>
    <row r="1096" spans="1:107" x14ac:dyDescent="0.25">
      <c r="A1096" s="46"/>
      <c r="B1096" s="52"/>
      <c r="C1096" s="52"/>
      <c r="D1096" s="16"/>
      <c r="E1096" s="52"/>
      <c r="F1096" s="52"/>
      <c r="G1096" s="50"/>
      <c r="H1096" s="17" t="str">
        <f ca="1">IFERROR(__xludf.DUMMYFUNCTION("""COMPUTED_VALUE"""),"")</f>
        <v/>
      </c>
      <c r="I1096" s="50" t="s">
        <v>29</v>
      </c>
      <c r="J1096" s="50" t="s">
        <v>29</v>
      </c>
      <c r="K1096" s="50" t="s">
        <v>29</v>
      </c>
      <c r="L1096" s="50" t="s">
        <v>29</v>
      </c>
      <c r="M1096" s="50" t="s">
        <v>29</v>
      </c>
      <c r="N1096" s="49"/>
      <c r="P1096" s="19"/>
      <c r="Q1096" s="18" t="str">
        <f ca="1">IFERROR(__xludf.DUMMYFUNCTION("""COMPUTED_VALUE"""),"")</f>
        <v/>
      </c>
      <c r="R1096" s="19"/>
      <c r="S1096" s="20"/>
      <c r="BP1096" s="10"/>
      <c r="BW1096" s="10"/>
      <c r="CF1096" s="10"/>
      <c r="CM1096" s="10"/>
      <c r="CP1096" s="18" t="str">
        <f ca="1"/>
        <v/>
      </c>
      <c r="CQ1096" s="18" t="str">
        <f ca="1"/>
        <v/>
      </c>
      <c r="CR1096" s="18" t="str">
        <f ca="1"/>
        <v/>
      </c>
      <c r="CS1096" s="18" t="str">
        <f ca="1"/>
        <v/>
      </c>
      <c r="CT1096" s="18" t="str">
        <f ca="1"/>
        <v/>
      </c>
      <c r="CV1096" s="10"/>
      <c r="CY1096" s="18" t="str">
        <f ca="1"/>
        <v/>
      </c>
      <c r="CZ1096" s="18" t="str">
        <f ca="1"/>
        <v/>
      </c>
      <c r="DA1096" s="18" t="str">
        <f ca="1"/>
        <v/>
      </c>
      <c r="DC1096" s="10"/>
    </row>
    <row r="1097" spans="1:107" x14ac:dyDescent="0.25">
      <c r="A1097" s="46"/>
      <c r="B1097" s="52"/>
      <c r="C1097" s="52"/>
      <c r="D1097" s="16"/>
      <c r="E1097" s="52"/>
      <c r="F1097" s="52"/>
      <c r="G1097" s="50"/>
      <c r="H1097" s="17" t="str">
        <f ca="1">IFERROR(__xludf.DUMMYFUNCTION("""COMPUTED_VALUE"""),"")</f>
        <v/>
      </c>
      <c r="I1097" s="50" t="s">
        <v>29</v>
      </c>
      <c r="J1097" s="50" t="s">
        <v>29</v>
      </c>
      <c r="K1097" s="50" t="s">
        <v>29</v>
      </c>
      <c r="L1097" s="50" t="s">
        <v>29</v>
      </c>
      <c r="M1097" s="50" t="s">
        <v>29</v>
      </c>
      <c r="N1097" s="49"/>
      <c r="P1097" s="19"/>
      <c r="Q1097" s="18" t="str">
        <f ca="1">IFERROR(__xludf.DUMMYFUNCTION("""COMPUTED_VALUE"""),"")</f>
        <v/>
      </c>
      <c r="R1097" s="19"/>
      <c r="S1097" s="20"/>
      <c r="BP1097" s="10"/>
      <c r="BW1097" s="10"/>
      <c r="CF1097" s="10"/>
      <c r="CM1097" s="10"/>
      <c r="CP1097" s="18" t="str">
        <f ca="1"/>
        <v/>
      </c>
      <c r="CQ1097" s="18" t="str">
        <f ca="1"/>
        <v/>
      </c>
      <c r="CR1097" s="18" t="str">
        <f ca="1"/>
        <v/>
      </c>
      <c r="CS1097" s="18" t="str">
        <f ca="1"/>
        <v/>
      </c>
      <c r="CT1097" s="18" t="str">
        <f ca="1"/>
        <v/>
      </c>
      <c r="CV1097" s="10"/>
      <c r="CY1097" s="18" t="str">
        <f ca="1"/>
        <v/>
      </c>
      <c r="CZ1097" s="18" t="str">
        <f ca="1"/>
        <v/>
      </c>
      <c r="DA1097" s="18" t="str">
        <f ca="1"/>
        <v/>
      </c>
      <c r="DC1097" s="10"/>
    </row>
    <row r="1098" spans="1:107" x14ac:dyDescent="0.25">
      <c r="A1098" s="46"/>
      <c r="B1098" s="52"/>
      <c r="C1098" s="52"/>
      <c r="D1098" s="16"/>
      <c r="E1098" s="52"/>
      <c r="F1098" s="52"/>
      <c r="G1098" s="50"/>
      <c r="H1098" s="17" t="str">
        <f ca="1">IFERROR(__xludf.DUMMYFUNCTION("""COMPUTED_VALUE"""),"")</f>
        <v/>
      </c>
      <c r="I1098" s="50" t="s">
        <v>29</v>
      </c>
      <c r="J1098" s="50" t="s">
        <v>29</v>
      </c>
      <c r="K1098" s="50" t="s">
        <v>29</v>
      </c>
      <c r="L1098" s="50" t="s">
        <v>29</v>
      </c>
      <c r="M1098" s="50" t="s">
        <v>29</v>
      </c>
      <c r="N1098" s="49"/>
      <c r="P1098" s="19"/>
      <c r="Q1098" s="18" t="str">
        <f ca="1">IFERROR(__xludf.DUMMYFUNCTION("""COMPUTED_VALUE"""),"")</f>
        <v/>
      </c>
      <c r="R1098" s="19"/>
      <c r="S1098" s="20"/>
      <c r="BP1098" s="10"/>
      <c r="BW1098" s="10"/>
      <c r="CF1098" s="10"/>
      <c r="CM1098" s="10"/>
      <c r="CP1098" s="18" t="str">
        <f ca="1"/>
        <v/>
      </c>
      <c r="CQ1098" s="18" t="str">
        <f ca="1"/>
        <v/>
      </c>
      <c r="CR1098" s="18" t="str">
        <f ca="1"/>
        <v/>
      </c>
      <c r="CS1098" s="18" t="str">
        <f ca="1"/>
        <v/>
      </c>
      <c r="CT1098" s="18" t="str">
        <f ca="1"/>
        <v/>
      </c>
      <c r="CV1098" s="10"/>
      <c r="CY1098" s="18" t="str">
        <f ca="1"/>
        <v/>
      </c>
      <c r="CZ1098" s="18" t="str">
        <f ca="1"/>
        <v/>
      </c>
      <c r="DA1098" s="18" t="str">
        <f ca="1"/>
        <v/>
      </c>
      <c r="DC1098" s="10"/>
    </row>
    <row r="1099" spans="1:107" x14ac:dyDescent="0.25">
      <c r="A1099" s="46"/>
      <c r="B1099" s="52"/>
      <c r="C1099" s="52"/>
      <c r="D1099" s="16"/>
      <c r="E1099" s="52"/>
      <c r="F1099" s="52"/>
      <c r="G1099" s="50"/>
      <c r="H1099" s="17" t="str">
        <f ca="1">IFERROR(__xludf.DUMMYFUNCTION("""COMPUTED_VALUE"""),"")</f>
        <v/>
      </c>
      <c r="I1099" s="50" t="s">
        <v>29</v>
      </c>
      <c r="J1099" s="50" t="s">
        <v>29</v>
      </c>
      <c r="K1099" s="50" t="s">
        <v>29</v>
      </c>
      <c r="L1099" s="50" t="s">
        <v>29</v>
      </c>
      <c r="M1099" s="50" t="s">
        <v>29</v>
      </c>
      <c r="N1099" s="49"/>
      <c r="P1099" s="19"/>
      <c r="Q1099" s="18" t="str">
        <f ca="1">IFERROR(__xludf.DUMMYFUNCTION("""COMPUTED_VALUE"""),"")</f>
        <v/>
      </c>
      <c r="R1099" s="19"/>
      <c r="S1099" s="20"/>
      <c r="BP1099" s="10"/>
      <c r="BW1099" s="10"/>
      <c r="CF1099" s="10"/>
      <c r="CM1099" s="10"/>
      <c r="CP1099" s="18" t="str">
        <f ca="1"/>
        <v/>
      </c>
      <c r="CQ1099" s="18" t="str">
        <f ca="1"/>
        <v/>
      </c>
      <c r="CR1099" s="18" t="str">
        <f ca="1"/>
        <v/>
      </c>
      <c r="CS1099" s="18" t="str">
        <f ca="1"/>
        <v/>
      </c>
      <c r="CT1099" s="18" t="str">
        <f ca="1"/>
        <v/>
      </c>
      <c r="CV1099" s="10"/>
      <c r="CY1099" s="18" t="str">
        <f ca="1"/>
        <v/>
      </c>
      <c r="CZ1099" s="18" t="str">
        <f ca="1"/>
        <v/>
      </c>
      <c r="DA1099" s="18" t="str">
        <f ca="1"/>
        <v/>
      </c>
      <c r="DC1099" s="10"/>
    </row>
    <row r="1100" spans="1:107" x14ac:dyDescent="0.25">
      <c r="A1100" s="46"/>
      <c r="B1100" s="52"/>
      <c r="C1100" s="52"/>
      <c r="D1100" s="16"/>
      <c r="E1100" s="52"/>
      <c r="F1100" s="52"/>
      <c r="G1100" s="50"/>
      <c r="H1100" s="17" t="str">
        <f ca="1">IFERROR(__xludf.DUMMYFUNCTION("""COMPUTED_VALUE"""),"")</f>
        <v/>
      </c>
      <c r="I1100" s="50" t="s">
        <v>29</v>
      </c>
      <c r="J1100" s="50" t="s">
        <v>29</v>
      </c>
      <c r="K1100" s="50" t="s">
        <v>29</v>
      </c>
      <c r="L1100" s="50" t="s">
        <v>29</v>
      </c>
      <c r="M1100" s="50" t="s">
        <v>29</v>
      </c>
      <c r="N1100" s="49"/>
      <c r="P1100" s="19"/>
      <c r="Q1100" s="18" t="str">
        <f ca="1">IFERROR(__xludf.DUMMYFUNCTION("""COMPUTED_VALUE"""),"")</f>
        <v/>
      </c>
      <c r="R1100" s="19"/>
      <c r="S1100" s="20"/>
      <c r="BP1100" s="10"/>
      <c r="BW1100" s="10"/>
      <c r="CF1100" s="10"/>
      <c r="CM1100" s="10"/>
      <c r="CP1100" s="18" t="str">
        <f ca="1"/>
        <v/>
      </c>
      <c r="CQ1100" s="18" t="str">
        <f ca="1"/>
        <v/>
      </c>
      <c r="CR1100" s="18" t="str">
        <f ca="1"/>
        <v/>
      </c>
      <c r="CS1100" s="18" t="str">
        <f ca="1"/>
        <v/>
      </c>
      <c r="CT1100" s="18" t="str">
        <f ca="1"/>
        <v/>
      </c>
      <c r="CV1100" s="10"/>
      <c r="CY1100" s="18" t="str">
        <f ca="1"/>
        <v/>
      </c>
      <c r="CZ1100" s="18" t="str">
        <f ca="1"/>
        <v/>
      </c>
      <c r="DA1100" s="18" t="str">
        <f ca="1"/>
        <v/>
      </c>
      <c r="DC1100" s="10"/>
    </row>
    <row r="1101" spans="1:107" x14ac:dyDescent="0.25">
      <c r="A1101" s="46"/>
      <c r="B1101" s="52"/>
      <c r="C1101" s="52"/>
      <c r="D1101" s="16"/>
      <c r="E1101" s="52"/>
      <c r="F1101" s="52"/>
      <c r="G1101" s="50"/>
      <c r="H1101" s="17" t="str">
        <f ca="1">IFERROR(__xludf.DUMMYFUNCTION("""COMPUTED_VALUE"""),"")</f>
        <v/>
      </c>
      <c r="I1101" s="50" t="s">
        <v>29</v>
      </c>
      <c r="J1101" s="50" t="s">
        <v>29</v>
      </c>
      <c r="K1101" s="50" t="s">
        <v>29</v>
      </c>
      <c r="L1101" s="50" t="s">
        <v>29</v>
      </c>
      <c r="M1101" s="50" t="s">
        <v>29</v>
      </c>
      <c r="N1101" s="49"/>
      <c r="P1101" s="19"/>
      <c r="Q1101" s="18" t="str">
        <f ca="1">IFERROR(__xludf.DUMMYFUNCTION("""COMPUTED_VALUE"""),"")</f>
        <v/>
      </c>
      <c r="R1101" s="19"/>
      <c r="S1101" s="20"/>
      <c r="BP1101" s="10"/>
      <c r="BW1101" s="10"/>
      <c r="CF1101" s="10"/>
      <c r="CM1101" s="10"/>
      <c r="CP1101" s="18" t="str">
        <f ca="1"/>
        <v/>
      </c>
      <c r="CQ1101" s="18" t="str">
        <f ca="1"/>
        <v/>
      </c>
      <c r="CR1101" s="18" t="str">
        <f ca="1"/>
        <v/>
      </c>
      <c r="CS1101" s="18" t="str">
        <f ca="1"/>
        <v/>
      </c>
      <c r="CT1101" s="18" t="str">
        <f ca="1"/>
        <v/>
      </c>
      <c r="CV1101" s="10"/>
      <c r="CY1101" s="18" t="str">
        <f ca="1"/>
        <v/>
      </c>
      <c r="CZ1101" s="18" t="str">
        <f ca="1"/>
        <v/>
      </c>
      <c r="DA1101" s="18" t="str">
        <f ca="1"/>
        <v/>
      </c>
      <c r="DC1101" s="10"/>
    </row>
    <row r="1102" spans="1:107" x14ac:dyDescent="0.25">
      <c r="A1102" s="46"/>
      <c r="B1102" s="52"/>
      <c r="C1102" s="52"/>
      <c r="D1102" s="16"/>
      <c r="E1102" s="52"/>
      <c r="F1102" s="52"/>
      <c r="G1102" s="50"/>
      <c r="H1102" s="17" t="str">
        <f ca="1">IFERROR(__xludf.DUMMYFUNCTION("""COMPUTED_VALUE"""),"")</f>
        <v/>
      </c>
      <c r="I1102" s="50" t="s">
        <v>29</v>
      </c>
      <c r="J1102" s="50" t="s">
        <v>29</v>
      </c>
      <c r="K1102" s="50" t="s">
        <v>29</v>
      </c>
      <c r="L1102" s="50" t="s">
        <v>29</v>
      </c>
      <c r="M1102" s="50" t="s">
        <v>29</v>
      </c>
      <c r="N1102" s="49"/>
      <c r="P1102" s="19"/>
      <c r="Q1102" s="18" t="str">
        <f ca="1">IFERROR(__xludf.DUMMYFUNCTION("""COMPUTED_VALUE"""),"")</f>
        <v/>
      </c>
      <c r="R1102" s="19"/>
      <c r="S1102" s="20"/>
      <c r="BP1102" s="10"/>
      <c r="BW1102" s="10"/>
      <c r="CF1102" s="10"/>
      <c r="CM1102" s="10"/>
      <c r="CP1102" s="18" t="str">
        <f ca="1"/>
        <v/>
      </c>
      <c r="CQ1102" s="18" t="str">
        <f ca="1"/>
        <v/>
      </c>
      <c r="CR1102" s="18" t="str">
        <f ca="1"/>
        <v/>
      </c>
      <c r="CS1102" s="18" t="str">
        <f ca="1"/>
        <v/>
      </c>
      <c r="CT1102" s="18" t="str">
        <f ca="1"/>
        <v/>
      </c>
      <c r="CV1102" s="10"/>
      <c r="CY1102" s="18" t="str">
        <f ca="1"/>
        <v/>
      </c>
      <c r="CZ1102" s="18" t="str">
        <f ca="1"/>
        <v/>
      </c>
      <c r="DA1102" s="18" t="str">
        <f ca="1"/>
        <v/>
      </c>
      <c r="DC1102" s="10"/>
    </row>
    <row r="1103" spans="1:107" x14ac:dyDescent="0.25">
      <c r="A1103" s="46"/>
      <c r="B1103" s="52"/>
      <c r="C1103" s="52"/>
      <c r="D1103" s="16"/>
      <c r="E1103" s="52"/>
      <c r="F1103" s="52"/>
      <c r="G1103" s="50"/>
      <c r="H1103" s="17" t="str">
        <f ca="1">IFERROR(__xludf.DUMMYFUNCTION("""COMPUTED_VALUE"""),"")</f>
        <v/>
      </c>
      <c r="I1103" s="50" t="s">
        <v>29</v>
      </c>
      <c r="J1103" s="50" t="s">
        <v>29</v>
      </c>
      <c r="K1103" s="50" t="s">
        <v>29</v>
      </c>
      <c r="L1103" s="50" t="s">
        <v>29</v>
      </c>
      <c r="M1103" s="50" t="s">
        <v>29</v>
      </c>
      <c r="N1103" s="49"/>
      <c r="P1103" s="19"/>
      <c r="Q1103" s="18" t="str">
        <f ca="1">IFERROR(__xludf.DUMMYFUNCTION("""COMPUTED_VALUE"""),"")</f>
        <v/>
      </c>
      <c r="R1103" s="19"/>
      <c r="S1103" s="20"/>
      <c r="BP1103" s="10"/>
      <c r="BW1103" s="10"/>
      <c r="CF1103" s="10"/>
      <c r="CM1103" s="10"/>
      <c r="CP1103" s="18" t="str">
        <f ca="1"/>
        <v/>
      </c>
      <c r="CQ1103" s="18" t="str">
        <f ca="1"/>
        <v/>
      </c>
      <c r="CR1103" s="18" t="str">
        <f ca="1"/>
        <v/>
      </c>
      <c r="CS1103" s="18" t="str">
        <f ca="1"/>
        <v/>
      </c>
      <c r="CT1103" s="18" t="str">
        <f ca="1"/>
        <v/>
      </c>
      <c r="CV1103" s="10"/>
      <c r="CY1103" s="18" t="str">
        <f ca="1"/>
        <v/>
      </c>
      <c r="CZ1103" s="18" t="str">
        <f ca="1"/>
        <v/>
      </c>
      <c r="DA1103" s="18" t="str">
        <f ca="1"/>
        <v/>
      </c>
      <c r="DC1103" s="10"/>
    </row>
    <row r="1104" spans="1:107" x14ac:dyDescent="0.25">
      <c r="A1104" s="46"/>
      <c r="B1104" s="52"/>
      <c r="C1104" s="52"/>
      <c r="D1104" s="16"/>
      <c r="E1104" s="52"/>
      <c r="F1104" s="52"/>
      <c r="G1104" s="50"/>
      <c r="H1104" s="17" t="str">
        <f ca="1">IFERROR(__xludf.DUMMYFUNCTION("""COMPUTED_VALUE"""),"")</f>
        <v/>
      </c>
      <c r="I1104" s="50" t="s">
        <v>29</v>
      </c>
      <c r="J1104" s="50" t="s">
        <v>29</v>
      </c>
      <c r="K1104" s="50" t="s">
        <v>29</v>
      </c>
      <c r="L1104" s="50" t="s">
        <v>29</v>
      </c>
      <c r="M1104" s="50" t="s">
        <v>29</v>
      </c>
      <c r="N1104" s="49"/>
      <c r="P1104" s="19"/>
      <c r="Q1104" s="18" t="str">
        <f ca="1">IFERROR(__xludf.DUMMYFUNCTION("""COMPUTED_VALUE"""),"")</f>
        <v/>
      </c>
      <c r="R1104" s="19"/>
      <c r="S1104" s="20"/>
      <c r="BP1104" s="10"/>
      <c r="BW1104" s="10"/>
      <c r="CF1104" s="10"/>
      <c r="CM1104" s="10"/>
      <c r="CP1104" s="18" t="str">
        <f ca="1"/>
        <v/>
      </c>
      <c r="CQ1104" s="18" t="str">
        <f ca="1"/>
        <v/>
      </c>
      <c r="CR1104" s="18" t="str">
        <f ca="1"/>
        <v/>
      </c>
      <c r="CS1104" s="18" t="str">
        <f ca="1"/>
        <v/>
      </c>
      <c r="CT1104" s="18" t="str">
        <f ca="1"/>
        <v/>
      </c>
      <c r="CV1104" s="10"/>
      <c r="CY1104" s="18" t="str">
        <f ca="1"/>
        <v/>
      </c>
      <c r="CZ1104" s="18" t="str">
        <f ca="1"/>
        <v/>
      </c>
      <c r="DA1104" s="18" t="str">
        <f ca="1"/>
        <v/>
      </c>
      <c r="DC1104" s="10"/>
    </row>
    <row r="1105" spans="1:107" x14ac:dyDescent="0.25">
      <c r="A1105" s="46"/>
      <c r="B1105" s="52"/>
      <c r="C1105" s="52"/>
      <c r="D1105" s="16"/>
      <c r="E1105" s="52"/>
      <c r="F1105" s="52"/>
      <c r="G1105" s="50"/>
      <c r="H1105" s="17" t="str">
        <f ca="1">IFERROR(__xludf.DUMMYFUNCTION("""COMPUTED_VALUE"""),"")</f>
        <v/>
      </c>
      <c r="I1105" s="50" t="s">
        <v>29</v>
      </c>
      <c r="J1105" s="50" t="s">
        <v>29</v>
      </c>
      <c r="K1105" s="50" t="s">
        <v>29</v>
      </c>
      <c r="L1105" s="50" t="s">
        <v>29</v>
      </c>
      <c r="M1105" s="50" t="s">
        <v>29</v>
      </c>
      <c r="N1105" s="49"/>
      <c r="P1105" s="19"/>
      <c r="Q1105" s="18" t="str">
        <f ca="1">IFERROR(__xludf.DUMMYFUNCTION("""COMPUTED_VALUE"""),"")</f>
        <v/>
      </c>
      <c r="R1105" s="19"/>
      <c r="S1105" s="20"/>
      <c r="BP1105" s="10"/>
      <c r="BW1105" s="10"/>
      <c r="CF1105" s="10"/>
      <c r="CM1105" s="10"/>
      <c r="CP1105" s="18" t="str">
        <f ca="1"/>
        <v/>
      </c>
      <c r="CQ1105" s="18" t="str">
        <f ca="1"/>
        <v/>
      </c>
      <c r="CR1105" s="18" t="str">
        <f ca="1"/>
        <v/>
      </c>
      <c r="CS1105" s="18" t="str">
        <f ca="1"/>
        <v/>
      </c>
      <c r="CT1105" s="18" t="str">
        <f ca="1"/>
        <v/>
      </c>
      <c r="CV1105" s="10"/>
      <c r="CY1105" s="18" t="str">
        <f ca="1"/>
        <v/>
      </c>
      <c r="CZ1105" s="18" t="str">
        <f ca="1"/>
        <v/>
      </c>
      <c r="DA1105" s="18" t="str">
        <f ca="1"/>
        <v/>
      </c>
      <c r="DC1105" s="10"/>
    </row>
    <row r="1106" spans="1:107" x14ac:dyDescent="0.25">
      <c r="A1106" s="46"/>
      <c r="B1106" s="52"/>
      <c r="C1106" s="52"/>
      <c r="D1106" s="16"/>
      <c r="E1106" s="52"/>
      <c r="F1106" s="52"/>
      <c r="G1106" s="50"/>
      <c r="H1106" s="17" t="str">
        <f ca="1">IFERROR(__xludf.DUMMYFUNCTION("""COMPUTED_VALUE"""),"")</f>
        <v/>
      </c>
      <c r="I1106" s="50" t="s">
        <v>29</v>
      </c>
      <c r="J1106" s="50" t="s">
        <v>29</v>
      </c>
      <c r="K1106" s="50" t="s">
        <v>29</v>
      </c>
      <c r="L1106" s="50" t="s">
        <v>29</v>
      </c>
      <c r="M1106" s="50" t="s">
        <v>29</v>
      </c>
      <c r="N1106" s="49"/>
      <c r="P1106" s="19"/>
      <c r="Q1106" s="18" t="str">
        <f ca="1">IFERROR(__xludf.DUMMYFUNCTION("""COMPUTED_VALUE"""),"")</f>
        <v/>
      </c>
      <c r="R1106" s="19"/>
      <c r="S1106" s="20"/>
      <c r="BP1106" s="10"/>
      <c r="BW1106" s="10"/>
      <c r="CF1106" s="10"/>
      <c r="CM1106" s="10"/>
      <c r="CP1106" s="18" t="str">
        <f ca="1"/>
        <v/>
      </c>
      <c r="CQ1106" s="18" t="str">
        <f ca="1"/>
        <v/>
      </c>
      <c r="CR1106" s="18" t="str">
        <f ca="1"/>
        <v/>
      </c>
      <c r="CS1106" s="18" t="str">
        <f ca="1"/>
        <v/>
      </c>
      <c r="CT1106" s="18" t="str">
        <f ca="1"/>
        <v/>
      </c>
      <c r="CV1106" s="10"/>
      <c r="CY1106" s="18" t="str">
        <f ca="1"/>
        <v/>
      </c>
      <c r="CZ1106" s="18" t="str">
        <f ca="1"/>
        <v/>
      </c>
      <c r="DA1106" s="18" t="str">
        <f ca="1"/>
        <v/>
      </c>
      <c r="DC1106" s="10"/>
    </row>
    <row r="1107" spans="1:107" x14ac:dyDescent="0.25">
      <c r="A1107" s="46"/>
      <c r="B1107" s="52"/>
      <c r="C1107" s="52"/>
      <c r="D1107" s="16"/>
      <c r="E1107" s="52"/>
      <c r="F1107" s="52"/>
      <c r="G1107" s="50"/>
      <c r="H1107" s="17" t="str">
        <f ca="1">IFERROR(__xludf.DUMMYFUNCTION("""COMPUTED_VALUE"""),"")</f>
        <v/>
      </c>
      <c r="I1107" s="50" t="s">
        <v>29</v>
      </c>
      <c r="J1107" s="50" t="s">
        <v>29</v>
      </c>
      <c r="K1107" s="50" t="s">
        <v>29</v>
      </c>
      <c r="L1107" s="50" t="s">
        <v>29</v>
      </c>
      <c r="M1107" s="50" t="s">
        <v>29</v>
      </c>
      <c r="N1107" s="49"/>
      <c r="P1107" s="19"/>
      <c r="Q1107" s="18" t="str">
        <f ca="1">IFERROR(__xludf.DUMMYFUNCTION("""COMPUTED_VALUE"""),"")</f>
        <v/>
      </c>
      <c r="R1107" s="19"/>
      <c r="S1107" s="20"/>
      <c r="BP1107" s="10"/>
      <c r="BW1107" s="10"/>
      <c r="CF1107" s="10"/>
      <c r="CM1107" s="10"/>
      <c r="CP1107" s="18" t="str">
        <f ca="1"/>
        <v/>
      </c>
      <c r="CQ1107" s="18" t="str">
        <f ca="1"/>
        <v/>
      </c>
      <c r="CR1107" s="18" t="str">
        <f ca="1"/>
        <v/>
      </c>
      <c r="CS1107" s="18" t="str">
        <f ca="1"/>
        <v/>
      </c>
      <c r="CT1107" s="18" t="str">
        <f ca="1"/>
        <v/>
      </c>
      <c r="CV1107" s="10"/>
      <c r="CY1107" s="18" t="str">
        <f ca="1"/>
        <v/>
      </c>
      <c r="CZ1107" s="18" t="str">
        <f ca="1"/>
        <v/>
      </c>
      <c r="DA1107" s="18" t="str">
        <f ca="1"/>
        <v/>
      </c>
      <c r="DC1107" s="10"/>
    </row>
    <row r="1108" spans="1:107" x14ac:dyDescent="0.25">
      <c r="A1108" s="46"/>
      <c r="B1108" s="52"/>
      <c r="C1108" s="52"/>
      <c r="D1108" s="16"/>
      <c r="E1108" s="52"/>
      <c r="F1108" s="52"/>
      <c r="G1108" s="50"/>
      <c r="H1108" s="17" t="str">
        <f ca="1">IFERROR(__xludf.DUMMYFUNCTION("""COMPUTED_VALUE"""),"")</f>
        <v/>
      </c>
      <c r="I1108" s="50" t="s">
        <v>29</v>
      </c>
      <c r="J1108" s="50" t="s">
        <v>29</v>
      </c>
      <c r="K1108" s="50" t="s">
        <v>29</v>
      </c>
      <c r="L1108" s="50" t="s">
        <v>29</v>
      </c>
      <c r="M1108" s="50" t="s">
        <v>29</v>
      </c>
      <c r="N1108" s="49"/>
      <c r="P1108" s="19"/>
      <c r="Q1108" s="18" t="str">
        <f ca="1">IFERROR(__xludf.DUMMYFUNCTION("""COMPUTED_VALUE"""),"")</f>
        <v/>
      </c>
      <c r="R1108" s="19"/>
      <c r="S1108" s="20"/>
      <c r="BP1108" s="10"/>
      <c r="BW1108" s="10"/>
      <c r="CF1108" s="10"/>
      <c r="CM1108" s="10"/>
      <c r="CP1108" s="18" t="str">
        <f ca="1"/>
        <v/>
      </c>
      <c r="CQ1108" s="18" t="str">
        <f ca="1"/>
        <v/>
      </c>
      <c r="CR1108" s="18" t="str">
        <f ca="1"/>
        <v/>
      </c>
      <c r="CS1108" s="18" t="str">
        <f ca="1"/>
        <v/>
      </c>
      <c r="CT1108" s="18" t="str">
        <f ca="1"/>
        <v/>
      </c>
      <c r="CV1108" s="10"/>
      <c r="CY1108" s="18" t="str">
        <f ca="1"/>
        <v/>
      </c>
      <c r="CZ1108" s="18" t="str">
        <f ca="1"/>
        <v/>
      </c>
      <c r="DA1108" s="18" t="str">
        <f ca="1"/>
        <v/>
      </c>
      <c r="DC1108" s="10"/>
    </row>
    <row r="1109" spans="1:107" x14ac:dyDescent="0.25">
      <c r="A1109" s="46"/>
      <c r="B1109" s="52"/>
      <c r="C1109" s="52"/>
      <c r="D1109" s="16"/>
      <c r="E1109" s="52"/>
      <c r="F1109" s="52"/>
      <c r="G1109" s="50"/>
      <c r="H1109" s="17" t="str">
        <f ca="1">IFERROR(__xludf.DUMMYFUNCTION("""COMPUTED_VALUE"""),"")</f>
        <v/>
      </c>
      <c r="I1109" s="50" t="s">
        <v>29</v>
      </c>
      <c r="J1109" s="50" t="s">
        <v>29</v>
      </c>
      <c r="K1109" s="50" t="s">
        <v>29</v>
      </c>
      <c r="L1109" s="50" t="s">
        <v>29</v>
      </c>
      <c r="M1109" s="50" t="s">
        <v>29</v>
      </c>
      <c r="N1109" s="49"/>
      <c r="P1109" s="19"/>
      <c r="Q1109" s="18" t="str">
        <f ca="1">IFERROR(__xludf.DUMMYFUNCTION("""COMPUTED_VALUE"""),"")</f>
        <v/>
      </c>
      <c r="R1109" s="19"/>
      <c r="S1109" s="20"/>
      <c r="BP1109" s="10"/>
      <c r="BW1109" s="10"/>
      <c r="CF1109" s="10"/>
      <c r="CM1109" s="10"/>
      <c r="CP1109" s="18" t="str">
        <f ca="1"/>
        <v/>
      </c>
      <c r="CQ1109" s="18" t="str">
        <f ca="1"/>
        <v/>
      </c>
      <c r="CR1109" s="18" t="str">
        <f ca="1"/>
        <v/>
      </c>
      <c r="CS1109" s="18" t="str">
        <f ca="1"/>
        <v/>
      </c>
      <c r="CT1109" s="18" t="str">
        <f ca="1"/>
        <v/>
      </c>
      <c r="CV1109" s="10"/>
      <c r="CY1109" s="18" t="str">
        <f ca="1"/>
        <v/>
      </c>
      <c r="CZ1109" s="18" t="str">
        <f ca="1"/>
        <v/>
      </c>
      <c r="DA1109" s="18" t="str">
        <f ca="1"/>
        <v/>
      </c>
      <c r="DC1109" s="10"/>
    </row>
    <row r="1110" spans="1:107" x14ac:dyDescent="0.25">
      <c r="A1110" s="46"/>
      <c r="B1110" s="52"/>
      <c r="C1110" s="52"/>
      <c r="D1110" s="16"/>
      <c r="E1110" s="52"/>
      <c r="F1110" s="52"/>
      <c r="G1110" s="50"/>
      <c r="H1110" s="17" t="str">
        <f ca="1">IFERROR(__xludf.DUMMYFUNCTION("""COMPUTED_VALUE"""),"")</f>
        <v/>
      </c>
      <c r="I1110" s="50" t="s">
        <v>29</v>
      </c>
      <c r="J1110" s="50" t="s">
        <v>29</v>
      </c>
      <c r="K1110" s="50" t="s">
        <v>29</v>
      </c>
      <c r="L1110" s="50" t="s">
        <v>29</v>
      </c>
      <c r="M1110" s="50" t="s">
        <v>29</v>
      </c>
      <c r="N1110" s="49"/>
      <c r="P1110" s="19"/>
      <c r="Q1110" s="18" t="str">
        <f ca="1">IFERROR(__xludf.DUMMYFUNCTION("""COMPUTED_VALUE"""),"")</f>
        <v/>
      </c>
      <c r="R1110" s="19"/>
      <c r="S1110" s="20"/>
      <c r="BP1110" s="10"/>
      <c r="BW1110" s="10"/>
      <c r="CF1110" s="10"/>
      <c r="CM1110" s="10"/>
      <c r="CP1110" s="18" t="str">
        <f ca="1"/>
        <v/>
      </c>
      <c r="CQ1110" s="18" t="str">
        <f ca="1"/>
        <v/>
      </c>
      <c r="CR1110" s="18" t="str">
        <f ca="1"/>
        <v/>
      </c>
      <c r="CS1110" s="18" t="str">
        <f ca="1"/>
        <v/>
      </c>
      <c r="CT1110" s="18" t="str">
        <f ca="1"/>
        <v/>
      </c>
      <c r="CV1110" s="10"/>
      <c r="CY1110" s="18" t="str">
        <f ca="1"/>
        <v/>
      </c>
      <c r="CZ1110" s="18" t="str">
        <f ca="1"/>
        <v/>
      </c>
      <c r="DA1110" s="18" t="str">
        <f ca="1"/>
        <v/>
      </c>
      <c r="DC1110" s="10"/>
    </row>
    <row r="1111" spans="1:107" x14ac:dyDescent="0.25">
      <c r="A1111" s="46"/>
      <c r="B1111" s="52"/>
      <c r="C1111" s="52"/>
      <c r="D1111" s="16"/>
      <c r="E1111" s="52"/>
      <c r="F1111" s="52"/>
      <c r="G1111" s="50"/>
      <c r="H1111" s="17" t="str">
        <f ca="1">IFERROR(__xludf.DUMMYFUNCTION("""COMPUTED_VALUE"""),"")</f>
        <v/>
      </c>
      <c r="I1111" s="50" t="s">
        <v>29</v>
      </c>
      <c r="J1111" s="50" t="s">
        <v>29</v>
      </c>
      <c r="K1111" s="50" t="s">
        <v>29</v>
      </c>
      <c r="L1111" s="50" t="s">
        <v>29</v>
      </c>
      <c r="M1111" s="50" t="s">
        <v>29</v>
      </c>
      <c r="N1111" s="49"/>
      <c r="P1111" s="19"/>
      <c r="Q1111" s="18" t="str">
        <f ca="1">IFERROR(__xludf.DUMMYFUNCTION("""COMPUTED_VALUE"""),"")</f>
        <v/>
      </c>
      <c r="R1111" s="19"/>
      <c r="S1111" s="20"/>
      <c r="BP1111" s="10"/>
      <c r="BW1111" s="10"/>
      <c r="CF1111" s="10"/>
      <c r="CM1111" s="10"/>
      <c r="CP1111" s="18" t="str">
        <f ca="1"/>
        <v/>
      </c>
      <c r="CQ1111" s="18" t="str">
        <f ca="1"/>
        <v/>
      </c>
      <c r="CR1111" s="18" t="str">
        <f ca="1"/>
        <v/>
      </c>
      <c r="CS1111" s="18" t="str">
        <f ca="1"/>
        <v/>
      </c>
      <c r="CT1111" s="18" t="str">
        <f ca="1"/>
        <v/>
      </c>
      <c r="CV1111" s="10"/>
      <c r="CY1111" s="18" t="str">
        <f ca="1"/>
        <v/>
      </c>
      <c r="CZ1111" s="18" t="str">
        <f ca="1"/>
        <v/>
      </c>
      <c r="DA1111" s="18" t="str">
        <f ca="1"/>
        <v/>
      </c>
      <c r="DC1111" s="10"/>
    </row>
    <row r="1112" spans="1:107" x14ac:dyDescent="0.25">
      <c r="A1112" s="46"/>
      <c r="B1112" s="52"/>
      <c r="C1112" s="52"/>
      <c r="D1112" s="16"/>
      <c r="E1112" s="52"/>
      <c r="F1112" s="52"/>
      <c r="G1112" s="50"/>
      <c r="H1112" s="17" t="str">
        <f ca="1">IFERROR(__xludf.DUMMYFUNCTION("""COMPUTED_VALUE"""),"")</f>
        <v/>
      </c>
      <c r="I1112" s="50" t="s">
        <v>29</v>
      </c>
      <c r="J1112" s="50" t="s">
        <v>29</v>
      </c>
      <c r="K1112" s="50" t="s">
        <v>29</v>
      </c>
      <c r="L1112" s="50" t="s">
        <v>29</v>
      </c>
      <c r="M1112" s="50" t="s">
        <v>29</v>
      </c>
      <c r="N1112" s="49"/>
      <c r="P1112" s="19"/>
      <c r="Q1112" s="18" t="str">
        <f ca="1">IFERROR(__xludf.DUMMYFUNCTION("""COMPUTED_VALUE"""),"")</f>
        <v/>
      </c>
      <c r="R1112" s="19"/>
      <c r="S1112" s="20"/>
      <c r="BP1112" s="10"/>
      <c r="BW1112" s="10"/>
      <c r="CF1112" s="10"/>
      <c r="CM1112" s="10"/>
      <c r="CP1112" s="18" t="str">
        <f ca="1"/>
        <v/>
      </c>
      <c r="CQ1112" s="18" t="str">
        <f ca="1"/>
        <v/>
      </c>
      <c r="CR1112" s="18" t="str">
        <f ca="1"/>
        <v/>
      </c>
      <c r="CS1112" s="18" t="str">
        <f ca="1"/>
        <v/>
      </c>
      <c r="CT1112" s="18" t="str">
        <f ca="1"/>
        <v/>
      </c>
      <c r="CV1112" s="10"/>
      <c r="CY1112" s="18" t="str">
        <f ca="1"/>
        <v/>
      </c>
      <c r="CZ1112" s="18" t="str">
        <f ca="1"/>
        <v/>
      </c>
      <c r="DA1112" s="18" t="str">
        <f ca="1"/>
        <v/>
      </c>
      <c r="DC1112" s="10"/>
    </row>
    <row r="1113" spans="1:107" x14ac:dyDescent="0.25">
      <c r="A1113" s="46"/>
      <c r="B1113" s="52"/>
      <c r="C1113" s="52"/>
      <c r="D1113" s="16"/>
      <c r="E1113" s="52"/>
      <c r="F1113" s="52"/>
      <c r="G1113" s="50"/>
      <c r="H1113" s="17" t="str">
        <f ca="1">IFERROR(__xludf.DUMMYFUNCTION("""COMPUTED_VALUE"""),"")</f>
        <v/>
      </c>
      <c r="I1113" s="50" t="s">
        <v>29</v>
      </c>
      <c r="J1113" s="50" t="s">
        <v>29</v>
      </c>
      <c r="K1113" s="50" t="s">
        <v>29</v>
      </c>
      <c r="L1113" s="50" t="s">
        <v>29</v>
      </c>
      <c r="M1113" s="50" t="s">
        <v>29</v>
      </c>
      <c r="N1113" s="49"/>
      <c r="P1113" s="19"/>
      <c r="Q1113" s="18" t="str">
        <f ca="1">IFERROR(__xludf.DUMMYFUNCTION("""COMPUTED_VALUE"""),"")</f>
        <v/>
      </c>
      <c r="R1113" s="19"/>
      <c r="S1113" s="20"/>
      <c r="BP1113" s="10"/>
      <c r="BW1113" s="10"/>
      <c r="CF1113" s="10"/>
      <c r="CM1113" s="10"/>
      <c r="CP1113" s="18" t="str">
        <f ca="1"/>
        <v/>
      </c>
      <c r="CQ1113" s="18" t="str">
        <f ca="1"/>
        <v/>
      </c>
      <c r="CR1113" s="18" t="str">
        <f ca="1"/>
        <v/>
      </c>
      <c r="CS1113" s="18" t="str">
        <f ca="1"/>
        <v/>
      </c>
      <c r="CT1113" s="18" t="str">
        <f ca="1"/>
        <v/>
      </c>
      <c r="CV1113" s="10"/>
      <c r="CY1113" s="18" t="str">
        <f ca="1"/>
        <v/>
      </c>
      <c r="CZ1113" s="18" t="str">
        <f ca="1"/>
        <v/>
      </c>
      <c r="DA1113" s="18" t="str">
        <f ca="1"/>
        <v/>
      </c>
      <c r="DC1113" s="10"/>
    </row>
    <row r="1114" spans="1:107" x14ac:dyDescent="0.25">
      <c r="A1114" s="46"/>
      <c r="B1114" s="52"/>
      <c r="C1114" s="52"/>
      <c r="D1114" s="16"/>
      <c r="E1114" s="52"/>
      <c r="F1114" s="52"/>
      <c r="G1114" s="50"/>
      <c r="H1114" s="17" t="str">
        <f ca="1">IFERROR(__xludf.DUMMYFUNCTION("""COMPUTED_VALUE"""),"")</f>
        <v/>
      </c>
      <c r="I1114" s="50" t="s">
        <v>29</v>
      </c>
      <c r="J1114" s="50" t="s">
        <v>29</v>
      </c>
      <c r="K1114" s="50" t="s">
        <v>29</v>
      </c>
      <c r="L1114" s="50" t="s">
        <v>29</v>
      </c>
      <c r="M1114" s="50" t="s">
        <v>29</v>
      </c>
      <c r="N1114" s="49"/>
      <c r="P1114" s="19"/>
      <c r="Q1114" s="18" t="str">
        <f ca="1">IFERROR(__xludf.DUMMYFUNCTION("""COMPUTED_VALUE"""),"")</f>
        <v/>
      </c>
      <c r="R1114" s="19"/>
      <c r="S1114" s="20"/>
      <c r="BP1114" s="10"/>
      <c r="BW1114" s="10"/>
      <c r="CF1114" s="10"/>
      <c r="CM1114" s="10"/>
      <c r="CP1114" s="18" t="str">
        <f ca="1"/>
        <v/>
      </c>
      <c r="CQ1114" s="18" t="str">
        <f ca="1"/>
        <v/>
      </c>
      <c r="CR1114" s="18" t="str">
        <f ca="1"/>
        <v/>
      </c>
      <c r="CS1114" s="18" t="str">
        <f ca="1"/>
        <v/>
      </c>
      <c r="CT1114" s="18" t="str">
        <f ca="1"/>
        <v/>
      </c>
      <c r="CV1114" s="10"/>
      <c r="CY1114" s="18" t="str">
        <f ca="1"/>
        <v/>
      </c>
      <c r="CZ1114" s="18" t="str">
        <f ca="1"/>
        <v/>
      </c>
      <c r="DA1114" s="18" t="str">
        <f ca="1"/>
        <v/>
      </c>
      <c r="DC1114" s="10"/>
    </row>
    <row r="1115" spans="1:107" x14ac:dyDescent="0.25">
      <c r="A1115" s="46"/>
      <c r="B1115" s="52"/>
      <c r="C1115" s="52"/>
      <c r="D1115" s="16"/>
      <c r="E1115" s="52"/>
      <c r="F1115" s="52"/>
      <c r="G1115" s="50"/>
      <c r="H1115" s="17" t="str">
        <f ca="1">IFERROR(__xludf.DUMMYFUNCTION("""COMPUTED_VALUE"""),"")</f>
        <v/>
      </c>
      <c r="I1115" s="50" t="s">
        <v>29</v>
      </c>
      <c r="J1115" s="50" t="s">
        <v>29</v>
      </c>
      <c r="K1115" s="50" t="s">
        <v>29</v>
      </c>
      <c r="L1115" s="50" t="s">
        <v>29</v>
      </c>
      <c r="M1115" s="50" t="s">
        <v>29</v>
      </c>
      <c r="N1115" s="49"/>
      <c r="P1115" s="19"/>
      <c r="Q1115" s="18" t="str">
        <f ca="1">IFERROR(__xludf.DUMMYFUNCTION("""COMPUTED_VALUE"""),"")</f>
        <v/>
      </c>
      <c r="R1115" s="19"/>
      <c r="S1115" s="20"/>
      <c r="BP1115" s="10"/>
      <c r="BW1115" s="10"/>
      <c r="CF1115" s="10"/>
      <c r="CM1115" s="10"/>
      <c r="CP1115" s="18" t="str">
        <f ca="1"/>
        <v/>
      </c>
      <c r="CQ1115" s="18" t="str">
        <f ca="1"/>
        <v/>
      </c>
      <c r="CR1115" s="18" t="str">
        <f ca="1"/>
        <v/>
      </c>
      <c r="CS1115" s="18" t="str">
        <f ca="1"/>
        <v/>
      </c>
      <c r="CT1115" s="18" t="str">
        <f ca="1"/>
        <v/>
      </c>
      <c r="CV1115" s="10"/>
      <c r="CY1115" s="18" t="str">
        <f ca="1"/>
        <v/>
      </c>
      <c r="CZ1115" s="18" t="str">
        <f ca="1"/>
        <v/>
      </c>
      <c r="DA1115" s="18" t="str">
        <f ca="1"/>
        <v/>
      </c>
      <c r="DC1115" s="10"/>
    </row>
    <row r="1116" spans="1:107" x14ac:dyDescent="0.25">
      <c r="A1116" s="46"/>
      <c r="B1116" s="52"/>
      <c r="C1116" s="52"/>
      <c r="D1116" s="16"/>
      <c r="E1116" s="52"/>
      <c r="F1116" s="52"/>
      <c r="G1116" s="50"/>
      <c r="H1116" s="17" t="str">
        <f ca="1">IFERROR(__xludf.DUMMYFUNCTION("""COMPUTED_VALUE"""),"")</f>
        <v/>
      </c>
      <c r="I1116" s="50" t="s">
        <v>29</v>
      </c>
      <c r="J1116" s="50" t="s">
        <v>29</v>
      </c>
      <c r="K1116" s="50" t="s">
        <v>29</v>
      </c>
      <c r="L1116" s="50" t="s">
        <v>29</v>
      </c>
      <c r="M1116" s="50" t="s">
        <v>29</v>
      </c>
      <c r="N1116" s="49"/>
      <c r="P1116" s="19"/>
      <c r="Q1116" s="18" t="str">
        <f ca="1">IFERROR(__xludf.DUMMYFUNCTION("""COMPUTED_VALUE"""),"")</f>
        <v/>
      </c>
      <c r="R1116" s="19"/>
      <c r="S1116" s="20"/>
      <c r="BP1116" s="10"/>
      <c r="BW1116" s="10"/>
      <c r="CF1116" s="10"/>
      <c r="CM1116" s="10"/>
      <c r="CP1116" s="18" t="str">
        <f ca="1"/>
        <v/>
      </c>
      <c r="CQ1116" s="18" t="str">
        <f ca="1"/>
        <v/>
      </c>
      <c r="CR1116" s="18" t="str">
        <f ca="1"/>
        <v/>
      </c>
      <c r="CS1116" s="18" t="str">
        <f ca="1"/>
        <v/>
      </c>
      <c r="CT1116" s="18" t="str">
        <f ca="1"/>
        <v/>
      </c>
      <c r="CV1116" s="10"/>
      <c r="CY1116" s="18" t="str">
        <f ca="1"/>
        <v/>
      </c>
      <c r="CZ1116" s="18" t="str">
        <f ca="1"/>
        <v/>
      </c>
      <c r="DA1116" s="18" t="str">
        <f ca="1"/>
        <v/>
      </c>
      <c r="DC1116" s="10"/>
    </row>
    <row r="1117" spans="1:107" x14ac:dyDescent="0.25">
      <c r="A1117" s="46"/>
      <c r="B1117" s="52"/>
      <c r="C1117" s="52"/>
      <c r="D1117" s="16"/>
      <c r="E1117" s="52"/>
      <c r="F1117" s="52"/>
      <c r="G1117" s="50"/>
      <c r="H1117" s="17" t="str">
        <f ca="1">IFERROR(__xludf.DUMMYFUNCTION("""COMPUTED_VALUE"""),"")</f>
        <v/>
      </c>
      <c r="I1117" s="50" t="s">
        <v>29</v>
      </c>
      <c r="J1117" s="50" t="s">
        <v>29</v>
      </c>
      <c r="K1117" s="50" t="s">
        <v>29</v>
      </c>
      <c r="L1117" s="50" t="s">
        <v>29</v>
      </c>
      <c r="M1117" s="50" t="s">
        <v>29</v>
      </c>
      <c r="N1117" s="49"/>
      <c r="P1117" s="19"/>
      <c r="Q1117" s="18" t="str">
        <f ca="1">IFERROR(__xludf.DUMMYFUNCTION("""COMPUTED_VALUE"""),"")</f>
        <v/>
      </c>
      <c r="R1117" s="19"/>
      <c r="S1117" s="20"/>
      <c r="BP1117" s="10"/>
      <c r="BW1117" s="10"/>
      <c r="CF1117" s="10"/>
      <c r="CM1117" s="10"/>
      <c r="CP1117" s="18" t="str">
        <f ca="1"/>
        <v/>
      </c>
      <c r="CQ1117" s="18" t="str">
        <f ca="1"/>
        <v/>
      </c>
      <c r="CR1117" s="18" t="str">
        <f ca="1"/>
        <v/>
      </c>
      <c r="CS1117" s="18" t="str">
        <f ca="1"/>
        <v/>
      </c>
      <c r="CT1117" s="18" t="str">
        <f ca="1"/>
        <v/>
      </c>
      <c r="CV1117" s="10"/>
      <c r="CY1117" s="18" t="str">
        <f ca="1"/>
        <v/>
      </c>
      <c r="CZ1117" s="18" t="str">
        <f ca="1"/>
        <v/>
      </c>
      <c r="DA1117" s="18" t="str">
        <f ca="1"/>
        <v/>
      </c>
      <c r="DC1117" s="10"/>
    </row>
    <row r="1118" spans="1:107" x14ac:dyDescent="0.25">
      <c r="A1118" s="46"/>
      <c r="B1118" s="52"/>
      <c r="C1118" s="52"/>
      <c r="D1118" s="16"/>
      <c r="E1118" s="52"/>
      <c r="F1118" s="52"/>
      <c r="G1118" s="50"/>
      <c r="H1118" s="17" t="str">
        <f ca="1">IFERROR(__xludf.DUMMYFUNCTION("""COMPUTED_VALUE"""),"")</f>
        <v/>
      </c>
      <c r="I1118" s="50" t="s">
        <v>29</v>
      </c>
      <c r="J1118" s="50" t="s">
        <v>29</v>
      </c>
      <c r="K1118" s="50" t="s">
        <v>29</v>
      </c>
      <c r="L1118" s="50" t="s">
        <v>29</v>
      </c>
      <c r="M1118" s="50" t="s">
        <v>29</v>
      </c>
      <c r="N1118" s="49"/>
      <c r="P1118" s="19"/>
      <c r="Q1118" s="18" t="str">
        <f ca="1">IFERROR(__xludf.DUMMYFUNCTION("""COMPUTED_VALUE"""),"")</f>
        <v/>
      </c>
      <c r="R1118" s="19"/>
      <c r="S1118" s="20"/>
      <c r="BP1118" s="10"/>
      <c r="BW1118" s="10"/>
      <c r="CF1118" s="10"/>
      <c r="CM1118" s="10"/>
      <c r="CP1118" s="18" t="str">
        <f ca="1"/>
        <v/>
      </c>
      <c r="CQ1118" s="18" t="str">
        <f ca="1"/>
        <v/>
      </c>
      <c r="CR1118" s="18" t="str">
        <f ca="1"/>
        <v/>
      </c>
      <c r="CS1118" s="18" t="str">
        <f ca="1"/>
        <v/>
      </c>
      <c r="CT1118" s="18" t="str">
        <f ca="1"/>
        <v/>
      </c>
      <c r="CV1118" s="10"/>
      <c r="CY1118" s="18" t="str">
        <f ca="1"/>
        <v/>
      </c>
      <c r="CZ1118" s="18" t="str">
        <f ca="1"/>
        <v/>
      </c>
      <c r="DA1118" s="18" t="str">
        <f ca="1"/>
        <v/>
      </c>
      <c r="DC1118" s="10"/>
    </row>
    <row r="1119" spans="1:107" x14ac:dyDescent="0.25">
      <c r="A1119" s="46"/>
      <c r="B1119" s="52"/>
      <c r="C1119" s="52"/>
      <c r="D1119" s="16"/>
      <c r="E1119" s="52"/>
      <c r="F1119" s="52"/>
      <c r="G1119" s="50"/>
      <c r="H1119" s="17" t="str">
        <f ca="1">IFERROR(__xludf.DUMMYFUNCTION("""COMPUTED_VALUE"""),"")</f>
        <v/>
      </c>
      <c r="I1119" s="50" t="s">
        <v>29</v>
      </c>
      <c r="J1119" s="50" t="s">
        <v>29</v>
      </c>
      <c r="K1119" s="50" t="s">
        <v>29</v>
      </c>
      <c r="L1119" s="50" t="s">
        <v>29</v>
      </c>
      <c r="M1119" s="50" t="s">
        <v>29</v>
      </c>
      <c r="N1119" s="49"/>
      <c r="P1119" s="19"/>
      <c r="Q1119" s="18" t="str">
        <f ca="1">IFERROR(__xludf.DUMMYFUNCTION("""COMPUTED_VALUE"""),"")</f>
        <v/>
      </c>
      <c r="R1119" s="19"/>
      <c r="S1119" s="20"/>
      <c r="BP1119" s="10"/>
      <c r="BW1119" s="10"/>
      <c r="CF1119" s="10"/>
      <c r="CM1119" s="10"/>
      <c r="CP1119" s="18" t="str">
        <f ca="1"/>
        <v/>
      </c>
      <c r="CQ1119" s="18" t="str">
        <f ca="1"/>
        <v/>
      </c>
      <c r="CR1119" s="18" t="str">
        <f ca="1"/>
        <v/>
      </c>
      <c r="CS1119" s="18" t="str">
        <f ca="1"/>
        <v/>
      </c>
      <c r="CT1119" s="18" t="str">
        <f ca="1"/>
        <v/>
      </c>
      <c r="CV1119" s="10"/>
      <c r="CY1119" s="18" t="str">
        <f ca="1"/>
        <v/>
      </c>
      <c r="CZ1119" s="18" t="str">
        <f ca="1"/>
        <v/>
      </c>
      <c r="DA1119" s="18" t="str">
        <f ca="1"/>
        <v/>
      </c>
      <c r="DC1119" s="10"/>
    </row>
    <row r="1120" spans="1:107" x14ac:dyDescent="0.25">
      <c r="A1120" s="46"/>
      <c r="B1120" s="52"/>
      <c r="C1120" s="52"/>
      <c r="D1120" s="16"/>
      <c r="E1120" s="52"/>
      <c r="F1120" s="52"/>
      <c r="G1120" s="50"/>
      <c r="H1120" s="17" t="str">
        <f ca="1">IFERROR(__xludf.DUMMYFUNCTION("""COMPUTED_VALUE"""),"")</f>
        <v/>
      </c>
      <c r="I1120" s="50" t="s">
        <v>29</v>
      </c>
      <c r="J1120" s="50" t="s">
        <v>29</v>
      </c>
      <c r="K1120" s="50" t="s">
        <v>29</v>
      </c>
      <c r="L1120" s="50" t="s">
        <v>29</v>
      </c>
      <c r="M1120" s="50" t="s">
        <v>29</v>
      </c>
      <c r="N1120" s="49"/>
      <c r="P1120" s="19"/>
      <c r="Q1120" s="18" t="str">
        <f ca="1">IFERROR(__xludf.DUMMYFUNCTION("""COMPUTED_VALUE"""),"")</f>
        <v/>
      </c>
      <c r="R1120" s="19"/>
      <c r="S1120" s="20"/>
      <c r="BP1120" s="10"/>
      <c r="BW1120" s="10"/>
      <c r="CF1120" s="10"/>
      <c r="CM1120" s="10"/>
      <c r="CP1120" s="18" t="str">
        <f ca="1"/>
        <v/>
      </c>
      <c r="CQ1120" s="18" t="str">
        <f ca="1"/>
        <v/>
      </c>
      <c r="CR1120" s="18" t="str">
        <f ca="1"/>
        <v/>
      </c>
      <c r="CS1120" s="18" t="str">
        <f ca="1"/>
        <v/>
      </c>
      <c r="CT1120" s="18" t="str">
        <f ca="1"/>
        <v/>
      </c>
      <c r="CV1120" s="10"/>
      <c r="CY1120" s="18" t="str">
        <f ca="1"/>
        <v/>
      </c>
      <c r="CZ1120" s="18" t="str">
        <f ca="1"/>
        <v/>
      </c>
      <c r="DA1120" s="18" t="str">
        <f ca="1"/>
        <v/>
      </c>
      <c r="DC1120" s="10"/>
    </row>
    <row r="1121" spans="1:107" x14ac:dyDescent="0.25">
      <c r="A1121" s="46"/>
      <c r="B1121" s="52"/>
      <c r="C1121" s="52"/>
      <c r="D1121" s="16"/>
      <c r="E1121" s="52"/>
      <c r="F1121" s="52"/>
      <c r="G1121" s="50"/>
      <c r="H1121" s="17" t="str">
        <f ca="1">IFERROR(__xludf.DUMMYFUNCTION("""COMPUTED_VALUE"""),"")</f>
        <v/>
      </c>
      <c r="I1121" s="50" t="s">
        <v>29</v>
      </c>
      <c r="J1121" s="50" t="s">
        <v>29</v>
      </c>
      <c r="K1121" s="50" t="s">
        <v>29</v>
      </c>
      <c r="L1121" s="50" t="s">
        <v>29</v>
      </c>
      <c r="M1121" s="50" t="s">
        <v>29</v>
      </c>
      <c r="N1121" s="49"/>
      <c r="P1121" s="19"/>
      <c r="Q1121" s="18" t="str">
        <f ca="1">IFERROR(__xludf.DUMMYFUNCTION("""COMPUTED_VALUE"""),"")</f>
        <v/>
      </c>
      <c r="R1121" s="19"/>
      <c r="S1121" s="20"/>
      <c r="BP1121" s="10"/>
      <c r="BW1121" s="10"/>
      <c r="CF1121" s="10"/>
      <c r="CM1121" s="10"/>
      <c r="CP1121" s="18" t="str">
        <f ca="1"/>
        <v/>
      </c>
      <c r="CQ1121" s="18" t="str">
        <f ca="1"/>
        <v/>
      </c>
      <c r="CR1121" s="18" t="str">
        <f ca="1"/>
        <v/>
      </c>
      <c r="CS1121" s="18" t="str">
        <f ca="1"/>
        <v/>
      </c>
      <c r="CT1121" s="18" t="str">
        <f ca="1"/>
        <v/>
      </c>
      <c r="CV1121" s="10"/>
      <c r="CY1121" s="18" t="str">
        <f ca="1"/>
        <v/>
      </c>
      <c r="CZ1121" s="18" t="str">
        <f ca="1"/>
        <v/>
      </c>
      <c r="DA1121" s="18" t="str">
        <f ca="1"/>
        <v/>
      </c>
      <c r="DC1121" s="10"/>
    </row>
    <row r="1122" spans="1:107" x14ac:dyDescent="0.25">
      <c r="A1122" s="46"/>
      <c r="B1122" s="52"/>
      <c r="C1122" s="52"/>
      <c r="D1122" s="16"/>
      <c r="E1122" s="52"/>
      <c r="F1122" s="52"/>
      <c r="G1122" s="50"/>
      <c r="H1122" s="17" t="str">
        <f ca="1">IFERROR(__xludf.DUMMYFUNCTION("""COMPUTED_VALUE"""),"")</f>
        <v/>
      </c>
      <c r="I1122" s="50" t="s">
        <v>29</v>
      </c>
      <c r="J1122" s="50" t="s">
        <v>29</v>
      </c>
      <c r="K1122" s="50" t="s">
        <v>29</v>
      </c>
      <c r="L1122" s="50" t="s">
        <v>29</v>
      </c>
      <c r="M1122" s="50" t="s">
        <v>29</v>
      </c>
      <c r="N1122" s="49"/>
      <c r="P1122" s="19"/>
      <c r="Q1122" s="18" t="str">
        <f ca="1">IFERROR(__xludf.DUMMYFUNCTION("""COMPUTED_VALUE"""),"")</f>
        <v/>
      </c>
      <c r="R1122" s="19"/>
      <c r="S1122" s="20"/>
      <c r="BP1122" s="10"/>
      <c r="BW1122" s="10"/>
      <c r="CF1122" s="10"/>
      <c r="CM1122" s="10"/>
      <c r="CP1122" s="18" t="str">
        <f ca="1"/>
        <v/>
      </c>
      <c r="CQ1122" s="18" t="str">
        <f ca="1"/>
        <v/>
      </c>
      <c r="CR1122" s="18" t="str">
        <f ca="1"/>
        <v/>
      </c>
      <c r="CS1122" s="18" t="str">
        <f ca="1"/>
        <v/>
      </c>
      <c r="CT1122" s="18" t="str">
        <f ca="1"/>
        <v/>
      </c>
      <c r="CV1122" s="10"/>
      <c r="CY1122" s="18" t="str">
        <f ca="1"/>
        <v/>
      </c>
      <c r="CZ1122" s="18" t="str">
        <f ca="1"/>
        <v/>
      </c>
      <c r="DA1122" s="18" t="str">
        <f ca="1"/>
        <v/>
      </c>
      <c r="DC1122" s="10"/>
    </row>
    <row r="1123" spans="1:107" x14ac:dyDescent="0.25">
      <c r="A1123" s="46"/>
      <c r="B1123" s="52"/>
      <c r="C1123" s="52"/>
      <c r="D1123" s="16"/>
      <c r="E1123" s="52"/>
      <c r="F1123" s="52"/>
      <c r="G1123" s="50"/>
      <c r="H1123" s="17" t="str">
        <f ca="1">IFERROR(__xludf.DUMMYFUNCTION("""COMPUTED_VALUE"""),"")</f>
        <v/>
      </c>
      <c r="I1123" s="50" t="s">
        <v>29</v>
      </c>
      <c r="J1123" s="50" t="s">
        <v>29</v>
      </c>
      <c r="K1123" s="50" t="s">
        <v>29</v>
      </c>
      <c r="L1123" s="50" t="s">
        <v>29</v>
      </c>
      <c r="M1123" s="50" t="s">
        <v>29</v>
      </c>
      <c r="N1123" s="49"/>
      <c r="P1123" s="19"/>
      <c r="Q1123" s="18" t="str">
        <f ca="1">IFERROR(__xludf.DUMMYFUNCTION("""COMPUTED_VALUE"""),"")</f>
        <v/>
      </c>
      <c r="R1123" s="19"/>
      <c r="S1123" s="20"/>
      <c r="BP1123" s="10"/>
      <c r="BW1123" s="10"/>
      <c r="CF1123" s="10"/>
      <c r="CM1123" s="10"/>
      <c r="CP1123" s="18" t="str">
        <f ca="1"/>
        <v/>
      </c>
      <c r="CQ1123" s="18" t="str">
        <f ca="1"/>
        <v/>
      </c>
      <c r="CR1123" s="18" t="str">
        <f ca="1"/>
        <v/>
      </c>
      <c r="CS1123" s="18" t="str">
        <f ca="1"/>
        <v/>
      </c>
      <c r="CT1123" s="18" t="str">
        <f ca="1"/>
        <v/>
      </c>
      <c r="CV1123" s="10"/>
      <c r="CY1123" s="18" t="str">
        <f ca="1"/>
        <v/>
      </c>
      <c r="CZ1123" s="18" t="str">
        <f ca="1"/>
        <v/>
      </c>
      <c r="DA1123" s="18" t="str">
        <f ca="1"/>
        <v/>
      </c>
      <c r="DC1123" s="10"/>
    </row>
    <row r="1124" spans="1:107" x14ac:dyDescent="0.25">
      <c r="A1124" s="46"/>
      <c r="B1124" s="52"/>
      <c r="C1124" s="52"/>
      <c r="D1124" s="16"/>
      <c r="E1124" s="52"/>
      <c r="F1124" s="52"/>
      <c r="G1124" s="50"/>
      <c r="H1124" s="17" t="str">
        <f ca="1">IFERROR(__xludf.DUMMYFUNCTION("""COMPUTED_VALUE"""),"")</f>
        <v/>
      </c>
      <c r="I1124" s="50" t="s">
        <v>29</v>
      </c>
      <c r="J1124" s="50" t="s">
        <v>29</v>
      </c>
      <c r="K1124" s="50" t="s">
        <v>29</v>
      </c>
      <c r="L1124" s="50" t="s">
        <v>29</v>
      </c>
      <c r="M1124" s="50" t="s">
        <v>29</v>
      </c>
      <c r="N1124" s="49"/>
      <c r="P1124" s="19"/>
      <c r="Q1124" s="18" t="str">
        <f ca="1">IFERROR(__xludf.DUMMYFUNCTION("""COMPUTED_VALUE"""),"")</f>
        <v/>
      </c>
      <c r="R1124" s="19"/>
      <c r="S1124" s="20"/>
      <c r="BP1124" s="10"/>
      <c r="BW1124" s="10"/>
      <c r="CF1124" s="10"/>
      <c r="CM1124" s="10"/>
      <c r="CP1124" s="18" t="str">
        <f ca="1"/>
        <v/>
      </c>
      <c r="CQ1124" s="18" t="str">
        <f ca="1"/>
        <v/>
      </c>
      <c r="CR1124" s="18" t="str">
        <f ca="1"/>
        <v/>
      </c>
      <c r="CS1124" s="18" t="str">
        <f ca="1"/>
        <v/>
      </c>
      <c r="CT1124" s="18" t="str">
        <f ca="1"/>
        <v/>
      </c>
      <c r="CV1124" s="10"/>
      <c r="CY1124" s="18" t="str">
        <f ca="1"/>
        <v/>
      </c>
      <c r="CZ1124" s="18" t="str">
        <f ca="1"/>
        <v/>
      </c>
      <c r="DA1124" s="18" t="str">
        <f ca="1"/>
        <v/>
      </c>
      <c r="DC1124" s="10"/>
    </row>
    <row r="1125" spans="1:107" x14ac:dyDescent="0.25">
      <c r="A1125" s="46"/>
      <c r="B1125" s="52"/>
      <c r="C1125" s="52"/>
      <c r="D1125" s="16"/>
      <c r="E1125" s="52"/>
      <c r="F1125" s="52"/>
      <c r="G1125" s="50"/>
      <c r="H1125" s="17" t="str">
        <f ca="1">IFERROR(__xludf.DUMMYFUNCTION("""COMPUTED_VALUE"""),"")</f>
        <v/>
      </c>
      <c r="I1125" s="50" t="s">
        <v>29</v>
      </c>
      <c r="J1125" s="50" t="s">
        <v>29</v>
      </c>
      <c r="K1125" s="50" t="s">
        <v>29</v>
      </c>
      <c r="L1125" s="50" t="s">
        <v>29</v>
      </c>
      <c r="M1125" s="50" t="s">
        <v>29</v>
      </c>
      <c r="N1125" s="49"/>
      <c r="P1125" s="19"/>
      <c r="Q1125" s="18" t="str">
        <f ca="1">IFERROR(__xludf.DUMMYFUNCTION("""COMPUTED_VALUE"""),"")</f>
        <v/>
      </c>
      <c r="R1125" s="19"/>
      <c r="S1125" s="20"/>
      <c r="BP1125" s="10"/>
      <c r="BW1125" s="10"/>
      <c r="CF1125" s="10"/>
      <c r="CM1125" s="10"/>
      <c r="CP1125" s="18" t="str">
        <f ca="1"/>
        <v/>
      </c>
      <c r="CQ1125" s="18" t="str">
        <f ca="1"/>
        <v/>
      </c>
      <c r="CR1125" s="18" t="str">
        <f ca="1"/>
        <v/>
      </c>
      <c r="CS1125" s="18" t="str">
        <f ca="1"/>
        <v/>
      </c>
      <c r="CT1125" s="18" t="str">
        <f ca="1"/>
        <v/>
      </c>
      <c r="CV1125" s="10"/>
      <c r="CY1125" s="18" t="str">
        <f ca="1"/>
        <v/>
      </c>
      <c r="CZ1125" s="18" t="str">
        <f ca="1"/>
        <v/>
      </c>
      <c r="DA1125" s="18" t="str">
        <f ca="1"/>
        <v/>
      </c>
      <c r="DC1125" s="10"/>
    </row>
    <row r="1126" spans="1:107" x14ac:dyDescent="0.25">
      <c r="A1126" s="46"/>
      <c r="B1126" s="52"/>
      <c r="C1126" s="52"/>
      <c r="D1126" s="16"/>
      <c r="E1126" s="52"/>
      <c r="F1126" s="52"/>
      <c r="G1126" s="50"/>
      <c r="H1126" s="17" t="str">
        <f ca="1">IFERROR(__xludf.DUMMYFUNCTION("""COMPUTED_VALUE"""),"")</f>
        <v/>
      </c>
      <c r="I1126" s="50" t="s">
        <v>29</v>
      </c>
      <c r="J1126" s="50" t="s">
        <v>29</v>
      </c>
      <c r="K1126" s="50" t="s">
        <v>29</v>
      </c>
      <c r="L1126" s="50" t="s">
        <v>29</v>
      </c>
      <c r="M1126" s="50" t="s">
        <v>29</v>
      </c>
      <c r="N1126" s="49"/>
      <c r="P1126" s="19"/>
      <c r="Q1126" s="18" t="str">
        <f ca="1">IFERROR(__xludf.DUMMYFUNCTION("""COMPUTED_VALUE"""),"")</f>
        <v/>
      </c>
      <c r="R1126" s="19"/>
      <c r="S1126" s="20"/>
      <c r="BP1126" s="10"/>
      <c r="BW1126" s="10"/>
      <c r="CF1126" s="10"/>
      <c r="CM1126" s="10"/>
      <c r="CP1126" s="18" t="str">
        <f ca="1"/>
        <v/>
      </c>
      <c r="CQ1126" s="18" t="str">
        <f ca="1"/>
        <v/>
      </c>
      <c r="CR1126" s="18" t="str">
        <f ca="1"/>
        <v/>
      </c>
      <c r="CS1126" s="18" t="str">
        <f ca="1"/>
        <v/>
      </c>
      <c r="CT1126" s="18" t="str">
        <f ca="1"/>
        <v/>
      </c>
      <c r="CV1126" s="10"/>
      <c r="CY1126" s="18" t="str">
        <f ca="1"/>
        <v/>
      </c>
      <c r="CZ1126" s="18" t="str">
        <f ca="1"/>
        <v/>
      </c>
      <c r="DA1126" s="18" t="str">
        <f ca="1"/>
        <v/>
      </c>
      <c r="DC1126" s="10"/>
    </row>
    <row r="1127" spans="1:107" x14ac:dyDescent="0.25">
      <c r="A1127" s="46"/>
      <c r="B1127" s="52"/>
      <c r="C1127" s="52"/>
      <c r="D1127" s="16"/>
      <c r="E1127" s="52"/>
      <c r="F1127" s="52"/>
      <c r="G1127" s="50"/>
      <c r="H1127" s="17" t="str">
        <f ca="1">IFERROR(__xludf.DUMMYFUNCTION("""COMPUTED_VALUE"""),"")</f>
        <v/>
      </c>
      <c r="I1127" s="50" t="s">
        <v>29</v>
      </c>
      <c r="J1127" s="50" t="s">
        <v>29</v>
      </c>
      <c r="K1127" s="50" t="s">
        <v>29</v>
      </c>
      <c r="L1127" s="50" t="s">
        <v>29</v>
      </c>
      <c r="M1127" s="50" t="s">
        <v>29</v>
      </c>
      <c r="N1127" s="49"/>
      <c r="P1127" s="19"/>
      <c r="Q1127" s="18" t="str">
        <f ca="1">IFERROR(__xludf.DUMMYFUNCTION("""COMPUTED_VALUE"""),"")</f>
        <v/>
      </c>
      <c r="R1127" s="19"/>
      <c r="S1127" s="20"/>
      <c r="BP1127" s="10"/>
      <c r="BW1127" s="10"/>
      <c r="CF1127" s="10"/>
      <c r="CM1127" s="10"/>
      <c r="CP1127" s="18" t="str">
        <f ca="1"/>
        <v/>
      </c>
      <c r="CQ1127" s="18" t="str">
        <f ca="1"/>
        <v/>
      </c>
      <c r="CR1127" s="18" t="str">
        <f ca="1"/>
        <v/>
      </c>
      <c r="CS1127" s="18" t="str">
        <f ca="1"/>
        <v/>
      </c>
      <c r="CT1127" s="18" t="str">
        <f ca="1"/>
        <v/>
      </c>
      <c r="CV1127" s="10"/>
      <c r="CY1127" s="18" t="str">
        <f ca="1"/>
        <v/>
      </c>
      <c r="CZ1127" s="18" t="str">
        <f ca="1"/>
        <v/>
      </c>
      <c r="DA1127" s="18" t="str">
        <f ca="1"/>
        <v/>
      </c>
      <c r="DC1127" s="10"/>
    </row>
    <row r="1128" spans="1:107" x14ac:dyDescent="0.25">
      <c r="A1128" s="46"/>
      <c r="B1128" s="52"/>
      <c r="C1128" s="52"/>
      <c r="D1128" s="16"/>
      <c r="E1128" s="52"/>
      <c r="F1128" s="52"/>
      <c r="G1128" s="50"/>
      <c r="H1128" s="17" t="str">
        <f ca="1">IFERROR(__xludf.DUMMYFUNCTION("""COMPUTED_VALUE"""),"")</f>
        <v/>
      </c>
      <c r="I1128" s="50" t="s">
        <v>29</v>
      </c>
      <c r="J1128" s="50" t="s">
        <v>29</v>
      </c>
      <c r="K1128" s="50" t="s">
        <v>29</v>
      </c>
      <c r="L1128" s="50" t="s">
        <v>29</v>
      </c>
      <c r="M1128" s="50" t="s">
        <v>29</v>
      </c>
      <c r="N1128" s="49"/>
      <c r="P1128" s="19"/>
      <c r="Q1128" s="18" t="str">
        <f ca="1">IFERROR(__xludf.DUMMYFUNCTION("""COMPUTED_VALUE"""),"")</f>
        <v/>
      </c>
      <c r="R1128" s="19"/>
      <c r="S1128" s="20"/>
      <c r="BP1128" s="10"/>
      <c r="BW1128" s="10"/>
      <c r="CF1128" s="10"/>
      <c r="CM1128" s="10"/>
      <c r="CP1128" s="18" t="str">
        <f ca="1"/>
        <v/>
      </c>
      <c r="CQ1128" s="18" t="str">
        <f ca="1"/>
        <v/>
      </c>
      <c r="CR1128" s="18" t="str">
        <f ca="1"/>
        <v/>
      </c>
      <c r="CS1128" s="18" t="str">
        <f ca="1"/>
        <v/>
      </c>
      <c r="CT1128" s="18" t="str">
        <f ca="1"/>
        <v/>
      </c>
      <c r="CV1128" s="10"/>
      <c r="CY1128" s="18" t="str">
        <f ca="1"/>
        <v/>
      </c>
      <c r="CZ1128" s="18" t="str">
        <f ca="1"/>
        <v/>
      </c>
      <c r="DA1128" s="18" t="str">
        <f ca="1"/>
        <v/>
      </c>
      <c r="DC1128" s="10"/>
    </row>
    <row r="1129" spans="1:107" x14ac:dyDescent="0.25">
      <c r="A1129" s="46"/>
      <c r="B1129" s="52"/>
      <c r="C1129" s="52"/>
      <c r="D1129" s="16"/>
      <c r="E1129" s="52"/>
      <c r="F1129" s="52"/>
      <c r="G1129" s="50"/>
      <c r="H1129" s="17" t="str">
        <f ca="1">IFERROR(__xludf.DUMMYFUNCTION("""COMPUTED_VALUE"""),"")</f>
        <v/>
      </c>
      <c r="I1129" s="50" t="s">
        <v>29</v>
      </c>
      <c r="J1129" s="50" t="s">
        <v>29</v>
      </c>
      <c r="K1129" s="50" t="s">
        <v>29</v>
      </c>
      <c r="L1129" s="50" t="s">
        <v>29</v>
      </c>
      <c r="M1129" s="50" t="s">
        <v>29</v>
      </c>
      <c r="N1129" s="49"/>
      <c r="P1129" s="19"/>
      <c r="Q1129" s="18" t="str">
        <f ca="1">IFERROR(__xludf.DUMMYFUNCTION("""COMPUTED_VALUE"""),"")</f>
        <v/>
      </c>
      <c r="R1129" s="19"/>
      <c r="S1129" s="20"/>
      <c r="BP1129" s="10"/>
      <c r="BW1129" s="10"/>
      <c r="CF1129" s="10"/>
      <c r="CM1129" s="10"/>
      <c r="CP1129" s="18" t="str">
        <f ca="1"/>
        <v/>
      </c>
      <c r="CQ1129" s="18" t="str">
        <f ca="1"/>
        <v/>
      </c>
      <c r="CR1129" s="18" t="str">
        <f ca="1"/>
        <v/>
      </c>
      <c r="CS1129" s="18" t="str">
        <f ca="1"/>
        <v/>
      </c>
      <c r="CT1129" s="18" t="str">
        <f ca="1"/>
        <v/>
      </c>
      <c r="CV1129" s="10"/>
      <c r="CY1129" s="18" t="str">
        <f ca="1"/>
        <v/>
      </c>
      <c r="CZ1129" s="18" t="str">
        <f ca="1"/>
        <v/>
      </c>
      <c r="DA1129" s="18" t="str">
        <f ca="1"/>
        <v/>
      </c>
      <c r="DC1129" s="10"/>
    </row>
    <row r="1130" spans="1:107" x14ac:dyDescent="0.25">
      <c r="A1130" s="46"/>
      <c r="B1130" s="52"/>
      <c r="C1130" s="52"/>
      <c r="D1130" s="16"/>
      <c r="E1130" s="52"/>
      <c r="F1130" s="52"/>
      <c r="G1130" s="50"/>
      <c r="H1130" s="17" t="str">
        <f ca="1">IFERROR(__xludf.DUMMYFUNCTION("""COMPUTED_VALUE"""),"")</f>
        <v/>
      </c>
      <c r="I1130" s="50" t="s">
        <v>29</v>
      </c>
      <c r="J1130" s="50" t="s">
        <v>29</v>
      </c>
      <c r="K1130" s="50" t="s">
        <v>29</v>
      </c>
      <c r="L1130" s="50" t="s">
        <v>29</v>
      </c>
      <c r="M1130" s="50" t="s">
        <v>29</v>
      </c>
      <c r="N1130" s="49"/>
      <c r="P1130" s="19"/>
      <c r="Q1130" s="18" t="str">
        <f ca="1">IFERROR(__xludf.DUMMYFUNCTION("""COMPUTED_VALUE"""),"")</f>
        <v/>
      </c>
      <c r="R1130" s="19"/>
      <c r="S1130" s="20"/>
      <c r="BP1130" s="10"/>
      <c r="BW1130" s="10"/>
      <c r="CF1130" s="10"/>
      <c r="CM1130" s="10"/>
      <c r="CP1130" s="18" t="str">
        <f ca="1"/>
        <v/>
      </c>
      <c r="CQ1130" s="18" t="str">
        <f ca="1"/>
        <v/>
      </c>
      <c r="CR1130" s="18" t="str">
        <f ca="1"/>
        <v/>
      </c>
      <c r="CS1130" s="18" t="str">
        <f ca="1"/>
        <v/>
      </c>
      <c r="CT1130" s="18" t="str">
        <f ca="1"/>
        <v/>
      </c>
      <c r="CV1130" s="10"/>
      <c r="CY1130" s="18" t="str">
        <f ca="1"/>
        <v/>
      </c>
      <c r="CZ1130" s="18" t="str">
        <f ca="1"/>
        <v/>
      </c>
      <c r="DA1130" s="18" t="str">
        <f ca="1"/>
        <v/>
      </c>
      <c r="DC1130" s="10"/>
    </row>
    <row r="1131" spans="1:107" x14ac:dyDescent="0.25">
      <c r="A1131" s="46"/>
      <c r="B1131" s="52"/>
      <c r="C1131" s="52"/>
      <c r="D1131" s="16"/>
      <c r="E1131" s="52"/>
      <c r="F1131" s="52"/>
      <c r="G1131" s="50"/>
      <c r="H1131" s="17" t="str">
        <f ca="1">IFERROR(__xludf.DUMMYFUNCTION("""COMPUTED_VALUE"""),"")</f>
        <v/>
      </c>
      <c r="I1131" s="50" t="s">
        <v>29</v>
      </c>
      <c r="J1131" s="50" t="s">
        <v>29</v>
      </c>
      <c r="K1131" s="50" t="s">
        <v>29</v>
      </c>
      <c r="L1131" s="50" t="s">
        <v>29</v>
      </c>
      <c r="M1131" s="50" t="s">
        <v>29</v>
      </c>
      <c r="N1131" s="49"/>
      <c r="P1131" s="19"/>
      <c r="Q1131" s="18" t="str">
        <f ca="1">IFERROR(__xludf.DUMMYFUNCTION("""COMPUTED_VALUE"""),"")</f>
        <v/>
      </c>
      <c r="R1131" s="19"/>
      <c r="S1131" s="20"/>
      <c r="BP1131" s="10"/>
      <c r="BW1131" s="10"/>
      <c r="CF1131" s="10"/>
      <c r="CM1131" s="10"/>
      <c r="CP1131" s="18" t="str">
        <f ca="1"/>
        <v/>
      </c>
      <c r="CQ1131" s="18" t="str">
        <f ca="1"/>
        <v/>
      </c>
      <c r="CR1131" s="18" t="str">
        <f ca="1"/>
        <v/>
      </c>
      <c r="CS1131" s="18" t="str">
        <f ca="1"/>
        <v/>
      </c>
      <c r="CT1131" s="18" t="str">
        <f ca="1"/>
        <v/>
      </c>
      <c r="CV1131" s="10"/>
      <c r="CY1131" s="18" t="str">
        <f ca="1"/>
        <v/>
      </c>
      <c r="CZ1131" s="18" t="str">
        <f ca="1"/>
        <v/>
      </c>
      <c r="DA1131" s="18" t="str">
        <f ca="1"/>
        <v/>
      </c>
      <c r="DC1131" s="10"/>
    </row>
    <row r="1132" spans="1:107" x14ac:dyDescent="0.25">
      <c r="A1132" s="46"/>
      <c r="B1132" s="52"/>
      <c r="C1132" s="52"/>
      <c r="D1132" s="16"/>
      <c r="E1132" s="52"/>
      <c r="F1132" s="52"/>
      <c r="G1132" s="50"/>
      <c r="H1132" s="17" t="str">
        <f ca="1">IFERROR(__xludf.DUMMYFUNCTION("""COMPUTED_VALUE"""),"")</f>
        <v/>
      </c>
      <c r="I1132" s="50" t="s">
        <v>29</v>
      </c>
      <c r="J1132" s="50" t="s">
        <v>29</v>
      </c>
      <c r="K1132" s="50" t="s">
        <v>29</v>
      </c>
      <c r="L1132" s="50" t="s">
        <v>29</v>
      </c>
      <c r="M1132" s="50" t="s">
        <v>29</v>
      </c>
      <c r="N1132" s="49"/>
      <c r="P1132" s="19"/>
      <c r="Q1132" s="18" t="str">
        <f ca="1">IFERROR(__xludf.DUMMYFUNCTION("""COMPUTED_VALUE"""),"")</f>
        <v/>
      </c>
      <c r="R1132" s="19"/>
      <c r="S1132" s="20"/>
      <c r="BP1132" s="10"/>
      <c r="BW1132" s="10"/>
      <c r="CF1132" s="10"/>
      <c r="CM1132" s="10"/>
      <c r="CP1132" s="18" t="str">
        <f ca="1"/>
        <v/>
      </c>
      <c r="CQ1132" s="18" t="str">
        <f ca="1"/>
        <v/>
      </c>
      <c r="CR1132" s="18" t="str">
        <f ca="1"/>
        <v/>
      </c>
      <c r="CS1132" s="18" t="str">
        <f ca="1"/>
        <v/>
      </c>
      <c r="CT1132" s="18" t="str">
        <f ca="1"/>
        <v/>
      </c>
      <c r="CV1132" s="10"/>
      <c r="CY1132" s="18" t="str">
        <f ca="1"/>
        <v/>
      </c>
      <c r="CZ1132" s="18" t="str">
        <f ca="1"/>
        <v/>
      </c>
      <c r="DA1132" s="18" t="str">
        <f ca="1"/>
        <v/>
      </c>
      <c r="DC1132" s="10"/>
    </row>
    <row r="1133" spans="1:107" x14ac:dyDescent="0.25">
      <c r="A1133" s="46"/>
      <c r="B1133" s="52"/>
      <c r="C1133" s="52"/>
      <c r="D1133" s="16"/>
      <c r="E1133" s="52"/>
      <c r="F1133" s="52"/>
      <c r="G1133" s="50"/>
      <c r="H1133" s="17" t="str">
        <f ca="1">IFERROR(__xludf.DUMMYFUNCTION("""COMPUTED_VALUE"""),"")</f>
        <v/>
      </c>
      <c r="I1133" s="50" t="s">
        <v>29</v>
      </c>
      <c r="J1133" s="50" t="s">
        <v>29</v>
      </c>
      <c r="K1133" s="50" t="s">
        <v>29</v>
      </c>
      <c r="L1133" s="50" t="s">
        <v>29</v>
      </c>
      <c r="M1133" s="50" t="s">
        <v>29</v>
      </c>
      <c r="N1133" s="49"/>
      <c r="P1133" s="19"/>
      <c r="Q1133" s="18" t="str">
        <f ca="1">IFERROR(__xludf.DUMMYFUNCTION("""COMPUTED_VALUE"""),"")</f>
        <v/>
      </c>
      <c r="R1133" s="19"/>
      <c r="S1133" s="20"/>
      <c r="BP1133" s="10"/>
      <c r="BW1133" s="10"/>
      <c r="CF1133" s="10"/>
      <c r="CM1133" s="10"/>
      <c r="CP1133" s="18" t="str">
        <f ca="1"/>
        <v/>
      </c>
      <c r="CQ1133" s="18" t="str">
        <f ca="1"/>
        <v/>
      </c>
      <c r="CR1133" s="18" t="str">
        <f ca="1"/>
        <v/>
      </c>
      <c r="CS1133" s="18" t="str">
        <f ca="1"/>
        <v/>
      </c>
      <c r="CT1133" s="18" t="str">
        <f ca="1"/>
        <v/>
      </c>
      <c r="CV1133" s="10"/>
      <c r="CY1133" s="18" t="str">
        <f ca="1"/>
        <v/>
      </c>
      <c r="CZ1133" s="18" t="str">
        <f ca="1"/>
        <v/>
      </c>
      <c r="DA1133" s="18" t="str">
        <f ca="1"/>
        <v/>
      </c>
      <c r="DC1133" s="10"/>
    </row>
    <row r="1134" spans="1:107" x14ac:dyDescent="0.25">
      <c r="A1134" s="46"/>
      <c r="B1134" s="52"/>
      <c r="C1134" s="52"/>
      <c r="D1134" s="16"/>
      <c r="E1134" s="52"/>
      <c r="F1134" s="52"/>
      <c r="G1134" s="50"/>
      <c r="H1134" s="17" t="str">
        <f ca="1">IFERROR(__xludf.DUMMYFUNCTION("""COMPUTED_VALUE"""),"")</f>
        <v/>
      </c>
      <c r="I1134" s="50" t="s">
        <v>29</v>
      </c>
      <c r="J1134" s="50" t="s">
        <v>29</v>
      </c>
      <c r="K1134" s="50" t="s">
        <v>29</v>
      </c>
      <c r="L1134" s="50" t="s">
        <v>29</v>
      </c>
      <c r="M1134" s="50" t="s">
        <v>29</v>
      </c>
      <c r="N1134" s="49"/>
      <c r="P1134" s="19"/>
      <c r="Q1134" s="18" t="str">
        <f ca="1">IFERROR(__xludf.DUMMYFUNCTION("""COMPUTED_VALUE"""),"")</f>
        <v/>
      </c>
      <c r="R1134" s="19"/>
      <c r="S1134" s="20"/>
      <c r="BP1134" s="10"/>
      <c r="BW1134" s="10"/>
      <c r="CF1134" s="10"/>
      <c r="CM1134" s="10"/>
      <c r="CP1134" s="18" t="str">
        <f ca="1"/>
        <v/>
      </c>
      <c r="CQ1134" s="18" t="str">
        <f ca="1"/>
        <v/>
      </c>
      <c r="CR1134" s="18" t="str">
        <f ca="1"/>
        <v/>
      </c>
      <c r="CS1134" s="18" t="str">
        <f ca="1"/>
        <v/>
      </c>
      <c r="CT1134" s="18" t="str">
        <f ca="1"/>
        <v/>
      </c>
      <c r="CV1134" s="10"/>
      <c r="CY1134" s="18" t="str">
        <f ca="1"/>
        <v/>
      </c>
      <c r="CZ1134" s="18" t="str">
        <f ca="1"/>
        <v/>
      </c>
      <c r="DA1134" s="18" t="str">
        <f ca="1"/>
        <v/>
      </c>
      <c r="DC1134" s="10"/>
    </row>
    <row r="1135" spans="1:107" x14ac:dyDescent="0.25">
      <c r="A1135" s="46"/>
      <c r="B1135" s="52"/>
      <c r="C1135" s="52"/>
      <c r="D1135" s="16"/>
      <c r="E1135" s="52"/>
      <c r="F1135" s="52"/>
      <c r="G1135" s="50"/>
      <c r="H1135" s="17" t="str">
        <f ca="1">IFERROR(__xludf.DUMMYFUNCTION("""COMPUTED_VALUE"""),"")</f>
        <v/>
      </c>
      <c r="I1135" s="50" t="s">
        <v>29</v>
      </c>
      <c r="J1135" s="50" t="s">
        <v>29</v>
      </c>
      <c r="K1135" s="50" t="s">
        <v>29</v>
      </c>
      <c r="L1135" s="50" t="s">
        <v>29</v>
      </c>
      <c r="M1135" s="50" t="s">
        <v>29</v>
      </c>
      <c r="N1135" s="49"/>
      <c r="P1135" s="19"/>
      <c r="Q1135" s="18" t="str">
        <f ca="1">IFERROR(__xludf.DUMMYFUNCTION("""COMPUTED_VALUE"""),"")</f>
        <v/>
      </c>
      <c r="R1135" s="19"/>
      <c r="S1135" s="20"/>
      <c r="BP1135" s="10"/>
      <c r="BW1135" s="10"/>
      <c r="CF1135" s="10"/>
      <c r="CM1135" s="10"/>
      <c r="CP1135" s="18" t="str">
        <f ca="1"/>
        <v/>
      </c>
      <c r="CQ1135" s="18" t="str">
        <f ca="1"/>
        <v/>
      </c>
      <c r="CR1135" s="18" t="str">
        <f ca="1"/>
        <v/>
      </c>
      <c r="CS1135" s="18" t="str">
        <f ca="1"/>
        <v/>
      </c>
      <c r="CT1135" s="18" t="str">
        <f ca="1"/>
        <v/>
      </c>
      <c r="CV1135" s="10"/>
      <c r="CY1135" s="18" t="str">
        <f ca="1"/>
        <v/>
      </c>
      <c r="CZ1135" s="18" t="str">
        <f ca="1"/>
        <v/>
      </c>
      <c r="DA1135" s="18" t="str">
        <f ca="1"/>
        <v/>
      </c>
      <c r="DC1135" s="10"/>
    </row>
    <row r="1136" spans="1:107" x14ac:dyDescent="0.25">
      <c r="A1136" s="46"/>
      <c r="B1136" s="52"/>
      <c r="C1136" s="52"/>
      <c r="D1136" s="16"/>
      <c r="E1136" s="52"/>
      <c r="F1136" s="52"/>
      <c r="G1136" s="50"/>
      <c r="H1136" s="17" t="str">
        <f ca="1">IFERROR(__xludf.DUMMYFUNCTION("""COMPUTED_VALUE"""),"")</f>
        <v/>
      </c>
      <c r="I1136" s="50" t="s">
        <v>29</v>
      </c>
      <c r="J1136" s="50" t="s">
        <v>29</v>
      </c>
      <c r="K1136" s="50" t="s">
        <v>29</v>
      </c>
      <c r="L1136" s="50" t="s">
        <v>29</v>
      </c>
      <c r="M1136" s="50" t="s">
        <v>29</v>
      </c>
      <c r="N1136" s="49"/>
      <c r="P1136" s="19"/>
      <c r="Q1136" s="18" t="str">
        <f ca="1">IFERROR(__xludf.DUMMYFUNCTION("""COMPUTED_VALUE"""),"")</f>
        <v/>
      </c>
      <c r="R1136" s="19"/>
      <c r="S1136" s="20"/>
      <c r="BP1136" s="10"/>
      <c r="BW1136" s="10"/>
      <c r="CF1136" s="10"/>
      <c r="CM1136" s="10"/>
      <c r="CP1136" s="18" t="str">
        <f ca="1"/>
        <v/>
      </c>
      <c r="CQ1136" s="18" t="str">
        <f ca="1"/>
        <v/>
      </c>
      <c r="CR1136" s="18" t="str">
        <f ca="1"/>
        <v/>
      </c>
      <c r="CS1136" s="18" t="str">
        <f ca="1"/>
        <v/>
      </c>
      <c r="CT1136" s="18" t="str">
        <f ca="1"/>
        <v/>
      </c>
      <c r="CV1136" s="10"/>
      <c r="CY1136" s="18" t="str">
        <f ca="1"/>
        <v/>
      </c>
      <c r="CZ1136" s="18" t="str">
        <f ca="1"/>
        <v/>
      </c>
      <c r="DA1136" s="18" t="str">
        <f ca="1"/>
        <v/>
      </c>
      <c r="DC1136" s="10"/>
    </row>
    <row r="1137" spans="1:107" x14ac:dyDescent="0.25">
      <c r="A1137" s="46"/>
      <c r="B1137" s="52"/>
      <c r="C1137" s="52"/>
      <c r="D1137" s="16"/>
      <c r="E1137" s="52"/>
      <c r="F1137" s="52"/>
      <c r="G1137" s="50"/>
      <c r="H1137" s="17" t="str">
        <f ca="1">IFERROR(__xludf.DUMMYFUNCTION("""COMPUTED_VALUE"""),"")</f>
        <v/>
      </c>
      <c r="I1137" s="50" t="s">
        <v>29</v>
      </c>
      <c r="J1137" s="50" t="s">
        <v>29</v>
      </c>
      <c r="K1137" s="50" t="s">
        <v>29</v>
      </c>
      <c r="L1137" s="50" t="s">
        <v>29</v>
      </c>
      <c r="M1137" s="50" t="s">
        <v>29</v>
      </c>
      <c r="N1137" s="49"/>
      <c r="P1137" s="19"/>
      <c r="Q1137" s="18" t="str">
        <f ca="1">IFERROR(__xludf.DUMMYFUNCTION("""COMPUTED_VALUE"""),"")</f>
        <v/>
      </c>
      <c r="R1137" s="19"/>
      <c r="S1137" s="20"/>
      <c r="BP1137" s="10"/>
      <c r="BW1137" s="10"/>
      <c r="CF1137" s="10"/>
      <c r="CM1137" s="10"/>
      <c r="CP1137" s="18" t="str">
        <f ca="1"/>
        <v/>
      </c>
      <c r="CQ1137" s="18" t="str">
        <f ca="1"/>
        <v/>
      </c>
      <c r="CR1137" s="18" t="str">
        <f ca="1"/>
        <v/>
      </c>
      <c r="CS1137" s="18" t="str">
        <f ca="1"/>
        <v/>
      </c>
      <c r="CT1137" s="18" t="str">
        <f ca="1"/>
        <v/>
      </c>
      <c r="CV1137" s="10"/>
      <c r="CY1137" s="18" t="str">
        <f ca="1"/>
        <v/>
      </c>
      <c r="CZ1137" s="18" t="str">
        <f ca="1"/>
        <v/>
      </c>
      <c r="DA1137" s="18" t="str">
        <f ca="1"/>
        <v/>
      </c>
      <c r="DC1137" s="10"/>
    </row>
    <row r="1138" spans="1:107" x14ac:dyDescent="0.25">
      <c r="A1138" s="46"/>
      <c r="B1138" s="52"/>
      <c r="C1138" s="52"/>
      <c r="D1138" s="16"/>
      <c r="E1138" s="52"/>
      <c r="F1138" s="52"/>
      <c r="G1138" s="50"/>
      <c r="H1138" s="17" t="str">
        <f ca="1">IFERROR(__xludf.DUMMYFUNCTION("""COMPUTED_VALUE"""),"")</f>
        <v/>
      </c>
      <c r="I1138" s="50" t="s">
        <v>29</v>
      </c>
      <c r="J1138" s="50" t="s">
        <v>29</v>
      </c>
      <c r="K1138" s="50" t="s">
        <v>29</v>
      </c>
      <c r="L1138" s="50" t="s">
        <v>29</v>
      </c>
      <c r="M1138" s="50" t="s">
        <v>29</v>
      </c>
      <c r="N1138" s="49"/>
      <c r="P1138" s="19"/>
      <c r="Q1138" s="18" t="str">
        <f ca="1">IFERROR(__xludf.DUMMYFUNCTION("""COMPUTED_VALUE"""),"")</f>
        <v/>
      </c>
      <c r="R1138" s="19"/>
      <c r="S1138" s="20"/>
      <c r="BP1138" s="10"/>
      <c r="BW1138" s="10"/>
      <c r="CF1138" s="10"/>
      <c r="CM1138" s="10"/>
      <c r="CP1138" s="18" t="str">
        <f ca="1"/>
        <v/>
      </c>
      <c r="CQ1138" s="18" t="str">
        <f ca="1"/>
        <v/>
      </c>
      <c r="CR1138" s="18" t="str">
        <f ca="1"/>
        <v/>
      </c>
      <c r="CS1138" s="18" t="str">
        <f ca="1"/>
        <v/>
      </c>
      <c r="CT1138" s="18" t="str">
        <f ca="1"/>
        <v/>
      </c>
      <c r="CV1138" s="10"/>
      <c r="CY1138" s="18" t="str">
        <f ca="1"/>
        <v/>
      </c>
      <c r="CZ1138" s="18" t="str">
        <f ca="1"/>
        <v/>
      </c>
      <c r="DA1138" s="18" t="str">
        <f ca="1"/>
        <v/>
      </c>
      <c r="DC1138" s="10"/>
    </row>
    <row r="1139" spans="1:107" x14ac:dyDescent="0.25">
      <c r="A1139" s="46"/>
      <c r="B1139" s="52"/>
      <c r="C1139" s="52"/>
      <c r="D1139" s="16"/>
      <c r="E1139" s="52"/>
      <c r="F1139" s="52"/>
      <c r="G1139" s="50"/>
      <c r="H1139" s="17" t="str">
        <f ca="1">IFERROR(__xludf.DUMMYFUNCTION("""COMPUTED_VALUE"""),"")</f>
        <v/>
      </c>
      <c r="I1139" s="50" t="s">
        <v>29</v>
      </c>
      <c r="J1139" s="50" t="s">
        <v>29</v>
      </c>
      <c r="K1139" s="50" t="s">
        <v>29</v>
      </c>
      <c r="L1139" s="50" t="s">
        <v>29</v>
      </c>
      <c r="M1139" s="50" t="s">
        <v>29</v>
      </c>
      <c r="N1139" s="49"/>
      <c r="P1139" s="19"/>
      <c r="Q1139" s="18" t="str">
        <f ca="1">IFERROR(__xludf.DUMMYFUNCTION("""COMPUTED_VALUE"""),"")</f>
        <v/>
      </c>
      <c r="R1139" s="19"/>
      <c r="S1139" s="20"/>
      <c r="BP1139" s="10"/>
      <c r="BW1139" s="10"/>
      <c r="CF1139" s="10"/>
      <c r="CM1139" s="10"/>
      <c r="CP1139" s="18" t="str">
        <f ca="1"/>
        <v/>
      </c>
      <c r="CQ1139" s="18" t="str">
        <f ca="1"/>
        <v/>
      </c>
      <c r="CR1139" s="18" t="str">
        <f ca="1"/>
        <v/>
      </c>
      <c r="CS1139" s="18" t="str">
        <f ca="1"/>
        <v/>
      </c>
      <c r="CT1139" s="18" t="str">
        <f ca="1"/>
        <v/>
      </c>
      <c r="CV1139" s="10"/>
      <c r="CY1139" s="18" t="str">
        <f ca="1"/>
        <v/>
      </c>
      <c r="CZ1139" s="18" t="str">
        <f ca="1"/>
        <v/>
      </c>
      <c r="DA1139" s="18" t="str">
        <f ca="1"/>
        <v/>
      </c>
      <c r="DC1139" s="10"/>
    </row>
    <row r="1140" spans="1:107" x14ac:dyDescent="0.25">
      <c r="A1140" s="46"/>
      <c r="B1140" s="52"/>
      <c r="C1140" s="52"/>
      <c r="D1140" s="16"/>
      <c r="E1140" s="52"/>
      <c r="F1140" s="52"/>
      <c r="G1140" s="50"/>
      <c r="H1140" s="17" t="str">
        <f ca="1">IFERROR(__xludf.DUMMYFUNCTION("""COMPUTED_VALUE"""),"")</f>
        <v/>
      </c>
      <c r="I1140" s="50" t="s">
        <v>29</v>
      </c>
      <c r="J1140" s="50" t="s">
        <v>29</v>
      </c>
      <c r="K1140" s="50" t="s">
        <v>29</v>
      </c>
      <c r="L1140" s="50" t="s">
        <v>29</v>
      </c>
      <c r="M1140" s="50" t="s">
        <v>29</v>
      </c>
      <c r="N1140" s="49"/>
      <c r="P1140" s="19"/>
      <c r="Q1140" s="18" t="str">
        <f ca="1">IFERROR(__xludf.DUMMYFUNCTION("""COMPUTED_VALUE"""),"")</f>
        <v/>
      </c>
      <c r="R1140" s="19"/>
      <c r="S1140" s="20"/>
      <c r="BP1140" s="10"/>
      <c r="BW1140" s="10"/>
      <c r="CF1140" s="10"/>
      <c r="CM1140" s="10"/>
      <c r="CP1140" s="18" t="str">
        <f ca="1"/>
        <v/>
      </c>
      <c r="CQ1140" s="18" t="str">
        <f ca="1"/>
        <v/>
      </c>
      <c r="CR1140" s="18" t="str">
        <f ca="1"/>
        <v/>
      </c>
      <c r="CS1140" s="18" t="str">
        <f ca="1"/>
        <v/>
      </c>
      <c r="CT1140" s="18" t="str">
        <f ca="1"/>
        <v/>
      </c>
      <c r="CV1140" s="10"/>
      <c r="CY1140" s="18" t="str">
        <f ca="1"/>
        <v/>
      </c>
      <c r="CZ1140" s="18" t="str">
        <f ca="1"/>
        <v/>
      </c>
      <c r="DA1140" s="18" t="str">
        <f ca="1"/>
        <v/>
      </c>
      <c r="DC1140" s="10"/>
    </row>
    <row r="1141" spans="1:107" x14ac:dyDescent="0.25">
      <c r="A1141" s="46"/>
      <c r="B1141" s="52"/>
      <c r="C1141" s="52"/>
      <c r="D1141" s="16"/>
      <c r="E1141" s="52"/>
      <c r="F1141" s="52"/>
      <c r="G1141" s="50"/>
      <c r="H1141" s="17" t="str">
        <f ca="1">IFERROR(__xludf.DUMMYFUNCTION("""COMPUTED_VALUE"""),"")</f>
        <v/>
      </c>
      <c r="I1141" s="50" t="s">
        <v>29</v>
      </c>
      <c r="J1141" s="50" t="s">
        <v>29</v>
      </c>
      <c r="K1141" s="50" t="s">
        <v>29</v>
      </c>
      <c r="L1141" s="50" t="s">
        <v>29</v>
      </c>
      <c r="M1141" s="50" t="s">
        <v>29</v>
      </c>
      <c r="N1141" s="49"/>
      <c r="P1141" s="19"/>
      <c r="Q1141" s="18" t="str">
        <f ca="1">IFERROR(__xludf.DUMMYFUNCTION("""COMPUTED_VALUE"""),"")</f>
        <v/>
      </c>
      <c r="R1141" s="19"/>
      <c r="S1141" s="20"/>
      <c r="BP1141" s="10"/>
      <c r="BW1141" s="10"/>
      <c r="CF1141" s="10"/>
      <c r="CM1141" s="10"/>
      <c r="CP1141" s="18" t="str">
        <f ca="1"/>
        <v/>
      </c>
      <c r="CQ1141" s="18" t="str">
        <f ca="1"/>
        <v/>
      </c>
      <c r="CR1141" s="18" t="str">
        <f ca="1"/>
        <v/>
      </c>
      <c r="CS1141" s="18" t="str">
        <f ca="1"/>
        <v/>
      </c>
      <c r="CT1141" s="18" t="str">
        <f ca="1"/>
        <v/>
      </c>
      <c r="CV1141" s="10"/>
      <c r="CY1141" s="18" t="str">
        <f ca="1"/>
        <v/>
      </c>
      <c r="CZ1141" s="18" t="str">
        <f ca="1"/>
        <v/>
      </c>
      <c r="DA1141" s="18" t="str">
        <f ca="1"/>
        <v/>
      </c>
      <c r="DC1141" s="10"/>
    </row>
    <row r="1142" spans="1:107" x14ac:dyDescent="0.25">
      <c r="A1142" s="46"/>
      <c r="B1142" s="52"/>
      <c r="C1142" s="52"/>
      <c r="D1142" s="16"/>
      <c r="E1142" s="52"/>
      <c r="F1142" s="52"/>
      <c r="G1142" s="50"/>
      <c r="H1142" s="17" t="str">
        <f ca="1">IFERROR(__xludf.DUMMYFUNCTION("""COMPUTED_VALUE"""),"")</f>
        <v/>
      </c>
      <c r="I1142" s="50" t="s">
        <v>29</v>
      </c>
      <c r="J1142" s="50" t="s">
        <v>29</v>
      </c>
      <c r="K1142" s="50" t="s">
        <v>29</v>
      </c>
      <c r="L1142" s="50" t="s">
        <v>29</v>
      </c>
      <c r="M1142" s="50" t="s">
        <v>29</v>
      </c>
      <c r="N1142" s="49"/>
      <c r="P1142" s="19"/>
      <c r="Q1142" s="18" t="str">
        <f ca="1">IFERROR(__xludf.DUMMYFUNCTION("""COMPUTED_VALUE"""),"")</f>
        <v/>
      </c>
      <c r="R1142" s="19"/>
      <c r="S1142" s="20"/>
      <c r="BP1142" s="10"/>
      <c r="BW1142" s="10"/>
      <c r="CF1142" s="10"/>
      <c r="CM1142" s="10"/>
      <c r="CP1142" s="18" t="str">
        <f ca="1"/>
        <v/>
      </c>
      <c r="CQ1142" s="18" t="str">
        <f ca="1"/>
        <v/>
      </c>
      <c r="CR1142" s="18" t="str">
        <f ca="1"/>
        <v/>
      </c>
      <c r="CS1142" s="18" t="str">
        <f ca="1"/>
        <v/>
      </c>
      <c r="CT1142" s="18" t="str">
        <f ca="1"/>
        <v/>
      </c>
      <c r="CV1142" s="10"/>
      <c r="CY1142" s="18" t="str">
        <f ca="1"/>
        <v/>
      </c>
      <c r="CZ1142" s="18" t="str">
        <f ca="1"/>
        <v/>
      </c>
      <c r="DA1142" s="18" t="str">
        <f ca="1"/>
        <v/>
      </c>
      <c r="DC1142" s="10"/>
    </row>
    <row r="1143" spans="1:107" x14ac:dyDescent="0.25">
      <c r="A1143" s="46"/>
      <c r="B1143" s="52"/>
      <c r="C1143" s="52"/>
      <c r="D1143" s="16"/>
      <c r="E1143" s="52"/>
      <c r="F1143" s="52"/>
      <c r="G1143" s="50"/>
      <c r="H1143" s="17" t="str">
        <f ca="1">IFERROR(__xludf.DUMMYFUNCTION("""COMPUTED_VALUE"""),"")</f>
        <v/>
      </c>
      <c r="I1143" s="50" t="s">
        <v>29</v>
      </c>
      <c r="J1143" s="50" t="s">
        <v>29</v>
      </c>
      <c r="K1143" s="50" t="s">
        <v>29</v>
      </c>
      <c r="L1143" s="50" t="s">
        <v>29</v>
      </c>
      <c r="M1143" s="50" t="s">
        <v>29</v>
      </c>
      <c r="N1143" s="49"/>
      <c r="P1143" s="19"/>
      <c r="Q1143" s="18" t="str">
        <f ca="1">IFERROR(__xludf.DUMMYFUNCTION("""COMPUTED_VALUE"""),"")</f>
        <v/>
      </c>
      <c r="R1143" s="19"/>
      <c r="S1143" s="20"/>
      <c r="BP1143" s="10"/>
      <c r="BW1143" s="10"/>
      <c r="CF1143" s="10"/>
      <c r="CM1143" s="10"/>
      <c r="CP1143" s="18" t="str">
        <f ca="1"/>
        <v/>
      </c>
      <c r="CQ1143" s="18" t="str">
        <f ca="1"/>
        <v/>
      </c>
      <c r="CR1143" s="18" t="str">
        <f ca="1"/>
        <v/>
      </c>
      <c r="CS1143" s="18" t="str">
        <f ca="1"/>
        <v/>
      </c>
      <c r="CT1143" s="18" t="str">
        <f ca="1"/>
        <v/>
      </c>
      <c r="CV1143" s="10"/>
      <c r="CY1143" s="18" t="str">
        <f ca="1"/>
        <v/>
      </c>
      <c r="CZ1143" s="18" t="str">
        <f ca="1"/>
        <v/>
      </c>
      <c r="DA1143" s="18" t="str">
        <f ca="1"/>
        <v/>
      </c>
      <c r="DC1143" s="10"/>
    </row>
    <row r="1144" spans="1:107" x14ac:dyDescent="0.25">
      <c r="A1144" s="46"/>
      <c r="B1144" s="52"/>
      <c r="C1144" s="52"/>
      <c r="D1144" s="16"/>
      <c r="E1144" s="52"/>
      <c r="F1144" s="52"/>
      <c r="G1144" s="50"/>
      <c r="H1144" s="17" t="str">
        <f ca="1">IFERROR(__xludf.DUMMYFUNCTION("""COMPUTED_VALUE"""),"")</f>
        <v/>
      </c>
      <c r="I1144" s="50" t="s">
        <v>29</v>
      </c>
      <c r="J1144" s="50" t="s">
        <v>29</v>
      </c>
      <c r="K1144" s="50" t="s">
        <v>29</v>
      </c>
      <c r="L1144" s="50" t="s">
        <v>29</v>
      </c>
      <c r="M1144" s="50" t="s">
        <v>29</v>
      </c>
      <c r="N1144" s="49"/>
      <c r="P1144" s="19"/>
      <c r="Q1144" s="18" t="str">
        <f ca="1">IFERROR(__xludf.DUMMYFUNCTION("""COMPUTED_VALUE"""),"")</f>
        <v/>
      </c>
      <c r="R1144" s="19"/>
      <c r="S1144" s="20"/>
      <c r="BP1144" s="10"/>
      <c r="BW1144" s="10"/>
      <c r="CF1144" s="10"/>
      <c r="CM1144" s="10"/>
      <c r="CP1144" s="18" t="str">
        <f ca="1"/>
        <v/>
      </c>
      <c r="CQ1144" s="18" t="str">
        <f ca="1"/>
        <v/>
      </c>
      <c r="CR1144" s="18" t="str">
        <f ca="1"/>
        <v/>
      </c>
      <c r="CS1144" s="18" t="str">
        <f ca="1"/>
        <v/>
      </c>
      <c r="CT1144" s="18" t="str">
        <f ca="1"/>
        <v/>
      </c>
      <c r="CV1144" s="10"/>
      <c r="CY1144" s="18" t="str">
        <f ca="1"/>
        <v/>
      </c>
      <c r="CZ1144" s="18" t="str">
        <f ca="1"/>
        <v/>
      </c>
      <c r="DA1144" s="18" t="str">
        <f ca="1"/>
        <v/>
      </c>
      <c r="DC1144" s="10"/>
    </row>
    <row r="1145" spans="1:107" x14ac:dyDescent="0.25">
      <c r="A1145" s="46"/>
      <c r="B1145" s="52"/>
      <c r="C1145" s="52"/>
      <c r="D1145" s="16"/>
      <c r="E1145" s="52"/>
      <c r="F1145" s="52"/>
      <c r="G1145" s="50"/>
      <c r="H1145" s="17" t="str">
        <f ca="1">IFERROR(__xludf.DUMMYFUNCTION("""COMPUTED_VALUE"""),"")</f>
        <v/>
      </c>
      <c r="I1145" s="50" t="s">
        <v>29</v>
      </c>
      <c r="J1145" s="50" t="s">
        <v>29</v>
      </c>
      <c r="K1145" s="50" t="s">
        <v>29</v>
      </c>
      <c r="L1145" s="50" t="s">
        <v>29</v>
      </c>
      <c r="M1145" s="50" t="s">
        <v>29</v>
      </c>
      <c r="N1145" s="49"/>
      <c r="P1145" s="19"/>
      <c r="Q1145" s="18" t="str">
        <f ca="1">IFERROR(__xludf.DUMMYFUNCTION("""COMPUTED_VALUE"""),"")</f>
        <v/>
      </c>
      <c r="R1145" s="19"/>
      <c r="S1145" s="20"/>
      <c r="BP1145" s="10"/>
      <c r="BW1145" s="10"/>
      <c r="CF1145" s="10"/>
      <c r="CM1145" s="10"/>
      <c r="CP1145" s="18" t="str">
        <f ca="1"/>
        <v/>
      </c>
      <c r="CQ1145" s="18" t="str">
        <f ca="1"/>
        <v/>
      </c>
      <c r="CR1145" s="18" t="str">
        <f ca="1"/>
        <v/>
      </c>
      <c r="CS1145" s="18" t="str">
        <f ca="1"/>
        <v/>
      </c>
      <c r="CT1145" s="18" t="str">
        <f ca="1"/>
        <v/>
      </c>
      <c r="CV1145" s="10"/>
      <c r="CY1145" s="18" t="str">
        <f ca="1"/>
        <v/>
      </c>
      <c r="CZ1145" s="18" t="str">
        <f ca="1"/>
        <v/>
      </c>
      <c r="DA1145" s="18" t="str">
        <f ca="1"/>
        <v/>
      </c>
      <c r="DC1145" s="10"/>
    </row>
    <row r="1146" spans="1:107" x14ac:dyDescent="0.25">
      <c r="A1146" s="46"/>
      <c r="B1146" s="52"/>
      <c r="C1146" s="52"/>
      <c r="D1146" s="16"/>
      <c r="E1146" s="52"/>
      <c r="F1146" s="52"/>
      <c r="G1146" s="50"/>
      <c r="H1146" s="17" t="str">
        <f ca="1">IFERROR(__xludf.DUMMYFUNCTION("""COMPUTED_VALUE"""),"")</f>
        <v/>
      </c>
      <c r="I1146" s="50" t="s">
        <v>29</v>
      </c>
      <c r="J1146" s="50" t="s">
        <v>29</v>
      </c>
      <c r="K1146" s="50" t="s">
        <v>29</v>
      </c>
      <c r="L1146" s="50" t="s">
        <v>29</v>
      </c>
      <c r="M1146" s="50" t="s">
        <v>29</v>
      </c>
      <c r="N1146" s="49"/>
      <c r="P1146" s="19"/>
      <c r="Q1146" s="18" t="str">
        <f ca="1">IFERROR(__xludf.DUMMYFUNCTION("""COMPUTED_VALUE"""),"")</f>
        <v/>
      </c>
      <c r="R1146" s="19"/>
      <c r="S1146" s="20"/>
      <c r="BP1146" s="10"/>
      <c r="BW1146" s="10"/>
      <c r="CF1146" s="10"/>
      <c r="CM1146" s="10"/>
      <c r="CP1146" s="18" t="str">
        <f ca="1"/>
        <v/>
      </c>
      <c r="CQ1146" s="18" t="str">
        <f ca="1"/>
        <v/>
      </c>
      <c r="CR1146" s="18" t="str">
        <f ca="1"/>
        <v/>
      </c>
      <c r="CS1146" s="18" t="str">
        <f ca="1"/>
        <v/>
      </c>
      <c r="CT1146" s="18" t="str">
        <f ca="1"/>
        <v/>
      </c>
      <c r="CV1146" s="10"/>
      <c r="CY1146" s="18" t="str">
        <f ca="1"/>
        <v/>
      </c>
      <c r="CZ1146" s="18" t="str">
        <f ca="1"/>
        <v/>
      </c>
      <c r="DA1146" s="18" t="str">
        <f ca="1"/>
        <v/>
      </c>
      <c r="DC1146" s="10"/>
    </row>
    <row r="1147" spans="1:107" x14ac:dyDescent="0.25">
      <c r="A1147" s="46"/>
      <c r="B1147" s="52"/>
      <c r="C1147" s="52"/>
      <c r="D1147" s="16"/>
      <c r="E1147" s="52"/>
      <c r="F1147" s="52"/>
      <c r="G1147" s="50"/>
      <c r="H1147" s="17" t="str">
        <f ca="1">IFERROR(__xludf.DUMMYFUNCTION("""COMPUTED_VALUE"""),"")</f>
        <v/>
      </c>
      <c r="I1147" s="50" t="s">
        <v>29</v>
      </c>
      <c r="J1147" s="50" t="s">
        <v>29</v>
      </c>
      <c r="K1147" s="50" t="s">
        <v>29</v>
      </c>
      <c r="L1147" s="50" t="s">
        <v>29</v>
      </c>
      <c r="M1147" s="50" t="s">
        <v>29</v>
      </c>
      <c r="N1147" s="49"/>
      <c r="P1147" s="19"/>
      <c r="Q1147" s="18" t="str">
        <f ca="1">IFERROR(__xludf.DUMMYFUNCTION("""COMPUTED_VALUE"""),"")</f>
        <v/>
      </c>
      <c r="R1147" s="19"/>
      <c r="S1147" s="20"/>
      <c r="BP1147" s="10"/>
      <c r="BW1147" s="10"/>
      <c r="CF1147" s="10"/>
      <c r="CM1147" s="10"/>
      <c r="CP1147" s="18" t="str">
        <f ca="1"/>
        <v/>
      </c>
      <c r="CQ1147" s="18" t="str">
        <f ca="1"/>
        <v/>
      </c>
      <c r="CR1147" s="18" t="str">
        <f ca="1"/>
        <v/>
      </c>
      <c r="CS1147" s="18" t="str">
        <f ca="1"/>
        <v/>
      </c>
      <c r="CT1147" s="18" t="str">
        <f ca="1"/>
        <v/>
      </c>
      <c r="CV1147" s="10"/>
      <c r="CY1147" s="18" t="str">
        <f ca="1"/>
        <v/>
      </c>
      <c r="CZ1147" s="18" t="str">
        <f ca="1"/>
        <v/>
      </c>
      <c r="DA1147" s="18" t="str">
        <f ca="1"/>
        <v/>
      </c>
      <c r="DC1147" s="10"/>
    </row>
    <row r="1148" spans="1:107" x14ac:dyDescent="0.25">
      <c r="A1148" s="46"/>
      <c r="B1148" s="52"/>
      <c r="C1148" s="52"/>
      <c r="D1148" s="16"/>
      <c r="E1148" s="52"/>
      <c r="F1148" s="52"/>
      <c r="G1148" s="50"/>
      <c r="H1148" s="17" t="str">
        <f ca="1">IFERROR(__xludf.DUMMYFUNCTION("""COMPUTED_VALUE"""),"")</f>
        <v/>
      </c>
      <c r="I1148" s="50" t="s">
        <v>29</v>
      </c>
      <c r="J1148" s="50" t="s">
        <v>29</v>
      </c>
      <c r="K1148" s="50" t="s">
        <v>29</v>
      </c>
      <c r="L1148" s="50" t="s">
        <v>29</v>
      </c>
      <c r="M1148" s="50" t="s">
        <v>29</v>
      </c>
      <c r="N1148" s="49"/>
      <c r="P1148" s="19"/>
      <c r="Q1148" s="18" t="str">
        <f ca="1">IFERROR(__xludf.DUMMYFUNCTION("""COMPUTED_VALUE"""),"")</f>
        <v/>
      </c>
      <c r="R1148" s="19"/>
      <c r="S1148" s="20"/>
      <c r="BP1148" s="10"/>
      <c r="BW1148" s="10"/>
      <c r="CF1148" s="10"/>
      <c r="CM1148" s="10"/>
      <c r="CP1148" s="18" t="str">
        <f ca="1"/>
        <v/>
      </c>
      <c r="CQ1148" s="18" t="str">
        <f ca="1"/>
        <v/>
      </c>
      <c r="CR1148" s="18" t="str">
        <f ca="1"/>
        <v/>
      </c>
      <c r="CS1148" s="18" t="str">
        <f ca="1"/>
        <v/>
      </c>
      <c r="CT1148" s="18" t="str">
        <f ca="1"/>
        <v/>
      </c>
      <c r="CV1148" s="10"/>
      <c r="CY1148" s="18" t="str">
        <f ca="1"/>
        <v/>
      </c>
      <c r="CZ1148" s="18" t="str">
        <f ca="1"/>
        <v/>
      </c>
      <c r="DA1148" s="18" t="str">
        <f ca="1"/>
        <v/>
      </c>
      <c r="DC1148" s="10"/>
    </row>
    <row r="1149" spans="1:107" x14ac:dyDescent="0.25">
      <c r="A1149" s="46"/>
      <c r="B1149" s="52"/>
      <c r="C1149" s="52"/>
      <c r="D1149" s="16"/>
      <c r="E1149" s="52"/>
      <c r="F1149" s="52"/>
      <c r="G1149" s="50"/>
      <c r="H1149" s="17" t="str">
        <f ca="1">IFERROR(__xludf.DUMMYFUNCTION("""COMPUTED_VALUE"""),"")</f>
        <v/>
      </c>
      <c r="I1149" s="50" t="s">
        <v>29</v>
      </c>
      <c r="J1149" s="50" t="s">
        <v>29</v>
      </c>
      <c r="K1149" s="50" t="s">
        <v>29</v>
      </c>
      <c r="L1149" s="50" t="s">
        <v>29</v>
      </c>
      <c r="M1149" s="50" t="s">
        <v>29</v>
      </c>
      <c r="N1149" s="49"/>
      <c r="P1149" s="19"/>
      <c r="Q1149" s="18" t="str">
        <f ca="1">IFERROR(__xludf.DUMMYFUNCTION("""COMPUTED_VALUE"""),"")</f>
        <v/>
      </c>
      <c r="R1149" s="19"/>
      <c r="S1149" s="20"/>
      <c r="BP1149" s="10"/>
      <c r="BW1149" s="10"/>
      <c r="CF1149" s="10"/>
      <c r="CM1149" s="10"/>
      <c r="CP1149" s="18" t="str">
        <f ca="1"/>
        <v/>
      </c>
      <c r="CQ1149" s="18" t="str">
        <f ca="1"/>
        <v/>
      </c>
      <c r="CR1149" s="18" t="str">
        <f ca="1"/>
        <v/>
      </c>
      <c r="CS1149" s="18" t="str">
        <f ca="1"/>
        <v/>
      </c>
      <c r="CT1149" s="18" t="str">
        <f ca="1"/>
        <v/>
      </c>
      <c r="CV1149" s="10"/>
      <c r="CY1149" s="18" t="str">
        <f ca="1"/>
        <v/>
      </c>
      <c r="CZ1149" s="18" t="str">
        <f ca="1"/>
        <v/>
      </c>
      <c r="DA1149" s="18" t="str">
        <f ca="1"/>
        <v/>
      </c>
      <c r="DC1149" s="10"/>
    </row>
    <row r="1150" spans="1:107" x14ac:dyDescent="0.25">
      <c r="A1150" s="46"/>
      <c r="B1150" s="52"/>
      <c r="C1150" s="52"/>
      <c r="D1150" s="16"/>
      <c r="E1150" s="52"/>
      <c r="F1150" s="52"/>
      <c r="G1150" s="50"/>
      <c r="H1150" s="17" t="str">
        <f ca="1">IFERROR(__xludf.DUMMYFUNCTION("""COMPUTED_VALUE"""),"")</f>
        <v/>
      </c>
      <c r="I1150" s="50" t="s">
        <v>29</v>
      </c>
      <c r="J1150" s="50" t="s">
        <v>29</v>
      </c>
      <c r="K1150" s="50" t="s">
        <v>29</v>
      </c>
      <c r="L1150" s="50" t="s">
        <v>29</v>
      </c>
      <c r="M1150" s="50" t="s">
        <v>29</v>
      </c>
      <c r="N1150" s="49"/>
      <c r="P1150" s="19"/>
      <c r="Q1150" s="18" t="str">
        <f ca="1">IFERROR(__xludf.DUMMYFUNCTION("""COMPUTED_VALUE"""),"")</f>
        <v/>
      </c>
      <c r="R1150" s="19"/>
      <c r="S1150" s="20"/>
      <c r="BP1150" s="10"/>
      <c r="BW1150" s="10"/>
      <c r="CF1150" s="10"/>
      <c r="CM1150" s="10"/>
      <c r="CP1150" s="18" t="str">
        <f ca="1"/>
        <v/>
      </c>
      <c r="CQ1150" s="18" t="str">
        <f ca="1"/>
        <v/>
      </c>
      <c r="CR1150" s="18" t="str">
        <f ca="1"/>
        <v/>
      </c>
      <c r="CS1150" s="18" t="str">
        <f ca="1"/>
        <v/>
      </c>
      <c r="CT1150" s="18" t="str">
        <f ca="1"/>
        <v/>
      </c>
      <c r="CV1150" s="10"/>
      <c r="CY1150" s="18" t="str">
        <f ca="1"/>
        <v/>
      </c>
      <c r="CZ1150" s="18" t="str">
        <f ca="1"/>
        <v/>
      </c>
      <c r="DA1150" s="18" t="str">
        <f ca="1"/>
        <v/>
      </c>
      <c r="DC1150" s="10"/>
    </row>
    <row r="1151" spans="1:107" x14ac:dyDescent="0.25">
      <c r="A1151" s="46"/>
      <c r="B1151" s="52"/>
      <c r="C1151" s="52"/>
      <c r="D1151" s="16"/>
      <c r="E1151" s="52"/>
      <c r="F1151" s="52"/>
      <c r="G1151" s="50"/>
      <c r="H1151" s="17" t="str">
        <f ca="1">IFERROR(__xludf.DUMMYFUNCTION("""COMPUTED_VALUE"""),"")</f>
        <v/>
      </c>
      <c r="I1151" s="50" t="s">
        <v>29</v>
      </c>
      <c r="J1151" s="50" t="s">
        <v>29</v>
      </c>
      <c r="K1151" s="50" t="s">
        <v>29</v>
      </c>
      <c r="L1151" s="50" t="s">
        <v>29</v>
      </c>
      <c r="M1151" s="50" t="s">
        <v>29</v>
      </c>
      <c r="N1151" s="49"/>
      <c r="P1151" s="19"/>
      <c r="Q1151" s="18" t="str">
        <f ca="1">IFERROR(__xludf.DUMMYFUNCTION("""COMPUTED_VALUE"""),"")</f>
        <v/>
      </c>
      <c r="R1151" s="19"/>
      <c r="S1151" s="20"/>
      <c r="BP1151" s="10"/>
      <c r="BW1151" s="10"/>
      <c r="CF1151" s="10"/>
      <c r="CM1151" s="10"/>
      <c r="CP1151" s="18" t="str">
        <f ca="1"/>
        <v/>
      </c>
      <c r="CQ1151" s="18" t="str">
        <f ca="1"/>
        <v/>
      </c>
      <c r="CR1151" s="18" t="str">
        <f ca="1"/>
        <v/>
      </c>
      <c r="CS1151" s="18" t="str">
        <f ca="1"/>
        <v/>
      </c>
      <c r="CT1151" s="18" t="str">
        <f ca="1"/>
        <v/>
      </c>
      <c r="CV1151" s="10"/>
      <c r="CY1151" s="18" t="str">
        <f ca="1"/>
        <v/>
      </c>
      <c r="CZ1151" s="18" t="str">
        <f ca="1"/>
        <v/>
      </c>
      <c r="DA1151" s="18" t="str">
        <f ca="1"/>
        <v/>
      </c>
      <c r="DC1151" s="10"/>
    </row>
    <row r="1152" spans="1:107" x14ac:dyDescent="0.25">
      <c r="A1152" s="46"/>
      <c r="B1152" s="52"/>
      <c r="C1152" s="52"/>
      <c r="D1152" s="16"/>
      <c r="E1152" s="52"/>
      <c r="F1152" s="52"/>
      <c r="G1152" s="50"/>
      <c r="H1152" s="17" t="str">
        <f ca="1">IFERROR(__xludf.DUMMYFUNCTION("""COMPUTED_VALUE"""),"")</f>
        <v/>
      </c>
      <c r="I1152" s="50" t="s">
        <v>29</v>
      </c>
      <c r="J1152" s="50" t="s">
        <v>29</v>
      </c>
      <c r="K1152" s="50" t="s">
        <v>29</v>
      </c>
      <c r="L1152" s="50" t="s">
        <v>29</v>
      </c>
      <c r="M1152" s="50" t="s">
        <v>29</v>
      </c>
      <c r="N1152" s="49"/>
      <c r="P1152" s="19"/>
      <c r="Q1152" s="18" t="str">
        <f ca="1">IFERROR(__xludf.DUMMYFUNCTION("""COMPUTED_VALUE"""),"")</f>
        <v/>
      </c>
      <c r="R1152" s="19"/>
      <c r="S1152" s="20"/>
      <c r="BP1152" s="10"/>
      <c r="BW1152" s="10"/>
      <c r="CF1152" s="10"/>
      <c r="CM1152" s="10"/>
      <c r="CP1152" s="18" t="str">
        <f ca="1"/>
        <v/>
      </c>
      <c r="CQ1152" s="18" t="str">
        <f ca="1"/>
        <v/>
      </c>
      <c r="CR1152" s="18" t="str">
        <f ca="1"/>
        <v/>
      </c>
      <c r="CS1152" s="18" t="str">
        <f ca="1"/>
        <v/>
      </c>
      <c r="CT1152" s="18" t="str">
        <f ca="1"/>
        <v/>
      </c>
      <c r="CV1152" s="10"/>
      <c r="CY1152" s="18" t="str">
        <f ca="1"/>
        <v/>
      </c>
      <c r="CZ1152" s="18" t="str">
        <f ca="1"/>
        <v/>
      </c>
      <c r="DA1152" s="18" t="str">
        <f ca="1"/>
        <v/>
      </c>
      <c r="DC1152" s="10"/>
    </row>
    <row r="1153" spans="1:107" x14ac:dyDescent="0.25">
      <c r="A1153" s="46"/>
      <c r="B1153" s="52"/>
      <c r="C1153" s="52"/>
      <c r="D1153" s="16"/>
      <c r="E1153" s="52"/>
      <c r="F1153" s="52"/>
      <c r="G1153" s="50"/>
      <c r="H1153" s="17" t="str">
        <f ca="1">IFERROR(__xludf.DUMMYFUNCTION("""COMPUTED_VALUE"""),"")</f>
        <v/>
      </c>
      <c r="I1153" s="50" t="s">
        <v>29</v>
      </c>
      <c r="J1153" s="50" t="s">
        <v>29</v>
      </c>
      <c r="K1153" s="50" t="s">
        <v>29</v>
      </c>
      <c r="L1153" s="50" t="s">
        <v>29</v>
      </c>
      <c r="M1153" s="50" t="s">
        <v>29</v>
      </c>
      <c r="N1153" s="49"/>
      <c r="P1153" s="19"/>
      <c r="Q1153" s="18" t="str">
        <f ca="1">IFERROR(__xludf.DUMMYFUNCTION("""COMPUTED_VALUE"""),"")</f>
        <v/>
      </c>
      <c r="R1153" s="19"/>
      <c r="S1153" s="20"/>
      <c r="BP1153" s="10"/>
      <c r="BW1153" s="10"/>
      <c r="CF1153" s="10"/>
      <c r="CM1153" s="10"/>
      <c r="CP1153" s="18" t="str">
        <f ca="1"/>
        <v/>
      </c>
      <c r="CQ1153" s="18" t="str">
        <f ca="1"/>
        <v/>
      </c>
      <c r="CR1153" s="18" t="str">
        <f ca="1"/>
        <v/>
      </c>
      <c r="CS1153" s="18" t="str">
        <f ca="1"/>
        <v/>
      </c>
      <c r="CT1153" s="18" t="str">
        <f ca="1"/>
        <v/>
      </c>
      <c r="CV1153" s="10"/>
      <c r="CY1153" s="18" t="str">
        <f ca="1"/>
        <v/>
      </c>
      <c r="CZ1153" s="18" t="str">
        <f ca="1"/>
        <v/>
      </c>
      <c r="DA1153" s="18" t="str">
        <f ca="1"/>
        <v/>
      </c>
      <c r="DC1153" s="10"/>
    </row>
    <row r="1154" spans="1:107" x14ac:dyDescent="0.25">
      <c r="A1154" s="46"/>
      <c r="B1154" s="52"/>
      <c r="C1154" s="52"/>
      <c r="D1154" s="16"/>
      <c r="E1154" s="52"/>
      <c r="F1154" s="52"/>
      <c r="G1154" s="50"/>
      <c r="H1154" s="17" t="str">
        <f ca="1">IFERROR(__xludf.DUMMYFUNCTION("""COMPUTED_VALUE"""),"")</f>
        <v/>
      </c>
      <c r="I1154" s="50" t="s">
        <v>29</v>
      </c>
      <c r="J1154" s="50" t="s">
        <v>29</v>
      </c>
      <c r="K1154" s="50" t="s">
        <v>29</v>
      </c>
      <c r="L1154" s="50" t="s">
        <v>29</v>
      </c>
      <c r="M1154" s="50" t="s">
        <v>29</v>
      </c>
      <c r="N1154" s="49"/>
      <c r="P1154" s="19"/>
      <c r="Q1154" s="18" t="str">
        <f ca="1">IFERROR(__xludf.DUMMYFUNCTION("""COMPUTED_VALUE"""),"")</f>
        <v/>
      </c>
      <c r="R1154" s="19"/>
      <c r="S1154" s="20"/>
      <c r="BP1154" s="10"/>
      <c r="BW1154" s="10"/>
      <c r="CF1154" s="10"/>
      <c r="CM1154" s="10"/>
      <c r="CP1154" s="18" t="str">
        <f ca="1"/>
        <v/>
      </c>
      <c r="CQ1154" s="18" t="str">
        <f ca="1"/>
        <v/>
      </c>
      <c r="CR1154" s="18" t="str">
        <f ca="1"/>
        <v/>
      </c>
      <c r="CS1154" s="18" t="str">
        <f ca="1"/>
        <v/>
      </c>
      <c r="CT1154" s="18" t="str">
        <f ca="1"/>
        <v/>
      </c>
      <c r="CV1154" s="10"/>
      <c r="CY1154" s="18" t="str">
        <f ca="1"/>
        <v/>
      </c>
      <c r="CZ1154" s="18" t="str">
        <f ca="1"/>
        <v/>
      </c>
      <c r="DA1154" s="18" t="str">
        <f ca="1"/>
        <v/>
      </c>
      <c r="DC1154" s="10"/>
    </row>
    <row r="1155" spans="1:107" x14ac:dyDescent="0.25">
      <c r="A1155" s="46"/>
      <c r="B1155" s="52"/>
      <c r="C1155" s="52"/>
      <c r="D1155" s="16"/>
      <c r="E1155" s="52"/>
      <c r="F1155" s="52"/>
      <c r="G1155" s="50"/>
      <c r="H1155" s="17" t="str">
        <f ca="1">IFERROR(__xludf.DUMMYFUNCTION("""COMPUTED_VALUE"""),"")</f>
        <v/>
      </c>
      <c r="I1155" s="50" t="s">
        <v>29</v>
      </c>
      <c r="J1155" s="50" t="s">
        <v>29</v>
      </c>
      <c r="K1155" s="50" t="s">
        <v>29</v>
      </c>
      <c r="L1155" s="50" t="s">
        <v>29</v>
      </c>
      <c r="M1155" s="50" t="s">
        <v>29</v>
      </c>
      <c r="N1155" s="49"/>
      <c r="P1155" s="19"/>
      <c r="Q1155" s="18" t="str">
        <f ca="1">IFERROR(__xludf.DUMMYFUNCTION("""COMPUTED_VALUE"""),"")</f>
        <v/>
      </c>
      <c r="R1155" s="19"/>
      <c r="S1155" s="20"/>
      <c r="BP1155" s="10"/>
      <c r="BW1155" s="10"/>
      <c r="CF1155" s="10"/>
      <c r="CM1155" s="10"/>
      <c r="CP1155" s="18" t="str">
        <f ca="1"/>
        <v/>
      </c>
      <c r="CQ1155" s="18" t="str">
        <f ca="1"/>
        <v/>
      </c>
      <c r="CR1155" s="18" t="str">
        <f ca="1"/>
        <v/>
      </c>
      <c r="CS1155" s="18" t="str">
        <f ca="1"/>
        <v/>
      </c>
      <c r="CT1155" s="18" t="str">
        <f ca="1"/>
        <v/>
      </c>
      <c r="CV1155" s="10"/>
      <c r="CY1155" s="18" t="str">
        <f ca="1"/>
        <v/>
      </c>
      <c r="CZ1155" s="18" t="str">
        <f ca="1"/>
        <v/>
      </c>
      <c r="DA1155" s="18" t="str">
        <f ca="1"/>
        <v/>
      </c>
      <c r="DC1155" s="10"/>
    </row>
    <row r="1156" spans="1:107" x14ac:dyDescent="0.25">
      <c r="A1156" s="46"/>
      <c r="B1156" s="52"/>
      <c r="C1156" s="52"/>
      <c r="D1156" s="16"/>
      <c r="E1156" s="52"/>
      <c r="F1156" s="52"/>
      <c r="G1156" s="50"/>
      <c r="H1156" s="17" t="str">
        <f ca="1">IFERROR(__xludf.DUMMYFUNCTION("""COMPUTED_VALUE"""),"")</f>
        <v/>
      </c>
      <c r="I1156" s="50" t="s">
        <v>29</v>
      </c>
      <c r="J1156" s="50" t="s">
        <v>29</v>
      </c>
      <c r="K1156" s="50" t="s">
        <v>29</v>
      </c>
      <c r="L1156" s="50" t="s">
        <v>29</v>
      </c>
      <c r="M1156" s="50" t="s">
        <v>29</v>
      </c>
      <c r="N1156" s="49"/>
      <c r="P1156" s="19"/>
      <c r="Q1156" s="18" t="str">
        <f ca="1">IFERROR(__xludf.DUMMYFUNCTION("""COMPUTED_VALUE"""),"")</f>
        <v/>
      </c>
      <c r="R1156" s="19"/>
      <c r="S1156" s="20"/>
      <c r="BP1156" s="10"/>
      <c r="BW1156" s="10"/>
      <c r="CF1156" s="10"/>
      <c r="CM1156" s="10"/>
      <c r="CP1156" s="18" t="str">
        <f ca="1"/>
        <v/>
      </c>
      <c r="CQ1156" s="18" t="str">
        <f ca="1"/>
        <v/>
      </c>
      <c r="CR1156" s="18" t="str">
        <f ca="1"/>
        <v/>
      </c>
      <c r="CS1156" s="18" t="str">
        <f ca="1"/>
        <v/>
      </c>
      <c r="CT1156" s="18" t="str">
        <f ca="1"/>
        <v/>
      </c>
      <c r="CV1156" s="10"/>
      <c r="CY1156" s="18" t="str">
        <f ca="1"/>
        <v/>
      </c>
      <c r="CZ1156" s="18" t="str">
        <f ca="1"/>
        <v/>
      </c>
      <c r="DA1156" s="18" t="str">
        <f ca="1"/>
        <v/>
      </c>
      <c r="DC1156" s="10"/>
    </row>
    <row r="1157" spans="1:107" x14ac:dyDescent="0.25">
      <c r="A1157" s="46"/>
      <c r="B1157" s="52"/>
      <c r="C1157" s="52"/>
      <c r="D1157" s="16"/>
      <c r="E1157" s="52"/>
      <c r="F1157" s="52"/>
      <c r="G1157" s="50"/>
      <c r="H1157" s="17" t="str">
        <f ca="1">IFERROR(__xludf.DUMMYFUNCTION("""COMPUTED_VALUE"""),"")</f>
        <v/>
      </c>
      <c r="I1157" s="50" t="s">
        <v>29</v>
      </c>
      <c r="J1157" s="50" t="s">
        <v>29</v>
      </c>
      <c r="K1157" s="50" t="s">
        <v>29</v>
      </c>
      <c r="L1157" s="50" t="s">
        <v>29</v>
      </c>
      <c r="M1157" s="50" t="s">
        <v>29</v>
      </c>
      <c r="N1157" s="49"/>
      <c r="P1157" s="19"/>
      <c r="Q1157" s="18" t="str">
        <f ca="1">IFERROR(__xludf.DUMMYFUNCTION("""COMPUTED_VALUE"""),"")</f>
        <v/>
      </c>
      <c r="R1157" s="19"/>
      <c r="S1157" s="20"/>
      <c r="BP1157" s="10"/>
      <c r="BW1157" s="10"/>
      <c r="CF1157" s="10"/>
      <c r="CM1157" s="10"/>
      <c r="CP1157" s="18" t="str">
        <f ca="1"/>
        <v/>
      </c>
      <c r="CQ1157" s="18" t="str">
        <f ca="1"/>
        <v/>
      </c>
      <c r="CR1157" s="18" t="str">
        <f ca="1"/>
        <v/>
      </c>
      <c r="CS1157" s="18" t="str">
        <f ca="1"/>
        <v/>
      </c>
      <c r="CT1157" s="18" t="str">
        <f ca="1"/>
        <v/>
      </c>
      <c r="CV1157" s="10"/>
      <c r="CY1157" s="18" t="str">
        <f ca="1"/>
        <v/>
      </c>
      <c r="CZ1157" s="18" t="str">
        <f ca="1"/>
        <v/>
      </c>
      <c r="DA1157" s="18" t="str">
        <f ca="1"/>
        <v/>
      </c>
      <c r="DC1157" s="10"/>
    </row>
    <row r="1158" spans="1:107" x14ac:dyDescent="0.25">
      <c r="A1158" s="46"/>
      <c r="B1158" s="52"/>
      <c r="C1158" s="52"/>
      <c r="D1158" s="16"/>
      <c r="E1158" s="52"/>
      <c r="F1158" s="52"/>
      <c r="G1158" s="50"/>
      <c r="H1158" s="17" t="str">
        <f ca="1">IFERROR(__xludf.DUMMYFUNCTION("""COMPUTED_VALUE"""),"")</f>
        <v/>
      </c>
      <c r="I1158" s="50" t="s">
        <v>29</v>
      </c>
      <c r="J1158" s="50" t="s">
        <v>29</v>
      </c>
      <c r="K1158" s="50" t="s">
        <v>29</v>
      </c>
      <c r="L1158" s="50" t="s">
        <v>29</v>
      </c>
      <c r="M1158" s="50" t="s">
        <v>29</v>
      </c>
      <c r="N1158" s="49"/>
      <c r="P1158" s="19"/>
      <c r="Q1158" s="18" t="str">
        <f ca="1">IFERROR(__xludf.DUMMYFUNCTION("""COMPUTED_VALUE"""),"")</f>
        <v/>
      </c>
      <c r="R1158" s="19"/>
      <c r="S1158" s="20"/>
      <c r="BP1158" s="10"/>
      <c r="BW1158" s="10"/>
      <c r="CF1158" s="10"/>
      <c r="CM1158" s="10"/>
      <c r="CP1158" s="18" t="str">
        <f ca="1"/>
        <v/>
      </c>
      <c r="CQ1158" s="18" t="str">
        <f ca="1"/>
        <v/>
      </c>
      <c r="CR1158" s="18" t="str">
        <f ca="1"/>
        <v/>
      </c>
      <c r="CS1158" s="18" t="str">
        <f ca="1"/>
        <v/>
      </c>
      <c r="CT1158" s="18" t="str">
        <f ca="1"/>
        <v/>
      </c>
      <c r="CV1158" s="10"/>
      <c r="CY1158" s="18" t="str">
        <f ca="1"/>
        <v/>
      </c>
      <c r="CZ1158" s="18" t="str">
        <f ca="1"/>
        <v/>
      </c>
      <c r="DA1158" s="18" t="str">
        <f ca="1"/>
        <v/>
      </c>
      <c r="DC1158" s="10"/>
    </row>
    <row r="1159" spans="1:107" x14ac:dyDescent="0.25">
      <c r="A1159" s="46"/>
      <c r="B1159" s="52"/>
      <c r="C1159" s="52"/>
      <c r="D1159" s="16"/>
      <c r="E1159" s="52"/>
      <c r="F1159" s="52"/>
      <c r="G1159" s="50"/>
      <c r="H1159" s="17" t="str">
        <f ca="1">IFERROR(__xludf.DUMMYFUNCTION("""COMPUTED_VALUE"""),"")</f>
        <v/>
      </c>
      <c r="I1159" s="50" t="s">
        <v>29</v>
      </c>
      <c r="J1159" s="50" t="s">
        <v>29</v>
      </c>
      <c r="K1159" s="50" t="s">
        <v>29</v>
      </c>
      <c r="L1159" s="50" t="s">
        <v>29</v>
      </c>
      <c r="M1159" s="50" t="s">
        <v>29</v>
      </c>
      <c r="N1159" s="49"/>
      <c r="P1159" s="19"/>
      <c r="Q1159" s="18" t="str">
        <f ca="1">IFERROR(__xludf.DUMMYFUNCTION("""COMPUTED_VALUE"""),"")</f>
        <v/>
      </c>
      <c r="R1159" s="19"/>
      <c r="S1159" s="20"/>
      <c r="BP1159" s="10"/>
      <c r="BW1159" s="10"/>
      <c r="CF1159" s="10"/>
      <c r="CM1159" s="10"/>
      <c r="CP1159" s="18" t="str">
        <f ca="1"/>
        <v/>
      </c>
      <c r="CQ1159" s="18" t="str">
        <f ca="1"/>
        <v/>
      </c>
      <c r="CR1159" s="18" t="str">
        <f ca="1"/>
        <v/>
      </c>
      <c r="CS1159" s="18" t="str">
        <f ca="1"/>
        <v/>
      </c>
      <c r="CT1159" s="18" t="str">
        <f ca="1"/>
        <v/>
      </c>
      <c r="CV1159" s="10"/>
      <c r="CY1159" s="18" t="str">
        <f ca="1"/>
        <v/>
      </c>
      <c r="CZ1159" s="18" t="str">
        <f ca="1"/>
        <v/>
      </c>
      <c r="DA1159" s="18" t="str">
        <f ca="1"/>
        <v/>
      </c>
      <c r="DC1159" s="10"/>
    </row>
    <row r="1160" spans="1:107" x14ac:dyDescent="0.25">
      <c r="A1160" s="46"/>
      <c r="B1160" s="52"/>
      <c r="C1160" s="52"/>
      <c r="D1160" s="16"/>
      <c r="E1160" s="52"/>
      <c r="F1160" s="52"/>
      <c r="G1160" s="50"/>
      <c r="H1160" s="17" t="str">
        <f ca="1">IFERROR(__xludf.DUMMYFUNCTION("""COMPUTED_VALUE"""),"")</f>
        <v/>
      </c>
      <c r="I1160" s="50" t="s">
        <v>29</v>
      </c>
      <c r="J1160" s="50" t="s">
        <v>29</v>
      </c>
      <c r="K1160" s="50" t="s">
        <v>29</v>
      </c>
      <c r="L1160" s="50" t="s">
        <v>29</v>
      </c>
      <c r="M1160" s="50" t="s">
        <v>29</v>
      </c>
      <c r="N1160" s="49"/>
      <c r="P1160" s="19"/>
      <c r="Q1160" s="18" t="str">
        <f ca="1">IFERROR(__xludf.DUMMYFUNCTION("""COMPUTED_VALUE"""),"")</f>
        <v/>
      </c>
      <c r="R1160" s="19"/>
      <c r="S1160" s="20"/>
      <c r="BP1160" s="10"/>
      <c r="BW1160" s="10"/>
      <c r="CF1160" s="10"/>
      <c r="CM1160" s="10"/>
      <c r="CP1160" s="18" t="str">
        <f ca="1"/>
        <v/>
      </c>
      <c r="CQ1160" s="18" t="str">
        <f ca="1"/>
        <v/>
      </c>
      <c r="CR1160" s="18" t="str">
        <f ca="1"/>
        <v/>
      </c>
      <c r="CS1160" s="18" t="str">
        <f ca="1"/>
        <v/>
      </c>
      <c r="CT1160" s="18" t="str">
        <f ca="1"/>
        <v/>
      </c>
      <c r="CV1160" s="10"/>
      <c r="CY1160" s="18" t="str">
        <f ca="1"/>
        <v/>
      </c>
      <c r="CZ1160" s="18" t="str">
        <f ca="1"/>
        <v/>
      </c>
      <c r="DA1160" s="18" t="str">
        <f ca="1"/>
        <v/>
      </c>
      <c r="DC1160" s="10"/>
    </row>
    <row r="1161" spans="1:107" x14ac:dyDescent="0.25">
      <c r="A1161" s="46"/>
      <c r="B1161" s="52"/>
      <c r="C1161" s="52"/>
      <c r="D1161" s="16"/>
      <c r="E1161" s="52"/>
      <c r="F1161" s="52"/>
      <c r="G1161" s="50"/>
      <c r="H1161" s="17" t="str">
        <f ca="1">IFERROR(__xludf.DUMMYFUNCTION("""COMPUTED_VALUE"""),"")</f>
        <v/>
      </c>
      <c r="I1161" s="50" t="s">
        <v>29</v>
      </c>
      <c r="J1161" s="50" t="s">
        <v>29</v>
      </c>
      <c r="K1161" s="50" t="s">
        <v>29</v>
      </c>
      <c r="L1161" s="50" t="s">
        <v>29</v>
      </c>
      <c r="M1161" s="50" t="s">
        <v>29</v>
      </c>
      <c r="N1161" s="49"/>
      <c r="P1161" s="19"/>
      <c r="Q1161" s="18" t="str">
        <f ca="1">IFERROR(__xludf.DUMMYFUNCTION("""COMPUTED_VALUE"""),"")</f>
        <v/>
      </c>
      <c r="R1161" s="19"/>
      <c r="S1161" s="20"/>
      <c r="BP1161" s="10"/>
      <c r="BW1161" s="10"/>
      <c r="CF1161" s="10"/>
      <c r="CM1161" s="10"/>
      <c r="CP1161" s="18" t="str">
        <f ca="1"/>
        <v/>
      </c>
      <c r="CQ1161" s="18" t="str">
        <f ca="1"/>
        <v/>
      </c>
      <c r="CR1161" s="18" t="str">
        <f ca="1"/>
        <v/>
      </c>
      <c r="CS1161" s="18" t="str">
        <f ca="1"/>
        <v/>
      </c>
      <c r="CT1161" s="18" t="str">
        <f ca="1"/>
        <v/>
      </c>
      <c r="CV1161" s="10"/>
      <c r="CY1161" s="18" t="str">
        <f ca="1"/>
        <v/>
      </c>
      <c r="CZ1161" s="18" t="str">
        <f ca="1"/>
        <v/>
      </c>
      <c r="DA1161" s="18" t="str">
        <f ca="1"/>
        <v/>
      </c>
      <c r="DC1161" s="10"/>
    </row>
    <row r="1162" spans="1:107" x14ac:dyDescent="0.25">
      <c r="A1162" s="46"/>
      <c r="B1162" s="52"/>
      <c r="C1162" s="52"/>
      <c r="D1162" s="16"/>
      <c r="E1162" s="52"/>
      <c r="F1162" s="52"/>
      <c r="G1162" s="50"/>
      <c r="H1162" s="17" t="str">
        <f ca="1">IFERROR(__xludf.DUMMYFUNCTION("""COMPUTED_VALUE"""),"")</f>
        <v/>
      </c>
      <c r="I1162" s="50" t="s">
        <v>29</v>
      </c>
      <c r="J1162" s="50" t="s">
        <v>29</v>
      </c>
      <c r="K1162" s="50" t="s">
        <v>29</v>
      </c>
      <c r="L1162" s="50" t="s">
        <v>29</v>
      </c>
      <c r="M1162" s="50" t="s">
        <v>29</v>
      </c>
      <c r="N1162" s="49"/>
      <c r="P1162" s="19"/>
      <c r="Q1162" s="18" t="str">
        <f ca="1">IFERROR(__xludf.DUMMYFUNCTION("""COMPUTED_VALUE"""),"")</f>
        <v/>
      </c>
      <c r="R1162" s="19"/>
      <c r="S1162" s="20"/>
      <c r="BP1162" s="10"/>
      <c r="BW1162" s="10"/>
      <c r="CF1162" s="10"/>
      <c r="CM1162" s="10"/>
      <c r="CP1162" s="18" t="str">
        <f ca="1"/>
        <v/>
      </c>
      <c r="CQ1162" s="18" t="str">
        <f ca="1"/>
        <v/>
      </c>
      <c r="CR1162" s="18" t="str">
        <f ca="1"/>
        <v/>
      </c>
      <c r="CS1162" s="18" t="str">
        <f ca="1"/>
        <v/>
      </c>
      <c r="CT1162" s="18" t="str">
        <f ca="1"/>
        <v/>
      </c>
      <c r="CV1162" s="10"/>
      <c r="CY1162" s="18" t="str">
        <f ca="1"/>
        <v/>
      </c>
      <c r="CZ1162" s="18" t="str">
        <f ca="1"/>
        <v/>
      </c>
      <c r="DA1162" s="18" t="str">
        <f ca="1"/>
        <v/>
      </c>
      <c r="DC1162" s="10"/>
    </row>
    <row r="1163" spans="1:107" x14ac:dyDescent="0.25">
      <c r="A1163" s="46"/>
      <c r="B1163" s="52"/>
      <c r="C1163" s="52"/>
      <c r="D1163" s="16"/>
      <c r="E1163" s="52"/>
      <c r="F1163" s="52"/>
      <c r="G1163" s="50"/>
      <c r="H1163" s="17" t="str">
        <f ca="1">IFERROR(__xludf.DUMMYFUNCTION("""COMPUTED_VALUE"""),"")</f>
        <v/>
      </c>
      <c r="I1163" s="50" t="s">
        <v>29</v>
      </c>
      <c r="J1163" s="50" t="s">
        <v>29</v>
      </c>
      <c r="K1163" s="50" t="s">
        <v>29</v>
      </c>
      <c r="L1163" s="50" t="s">
        <v>29</v>
      </c>
      <c r="M1163" s="50" t="s">
        <v>29</v>
      </c>
      <c r="N1163" s="49"/>
      <c r="P1163" s="19"/>
      <c r="Q1163" s="18" t="str">
        <f ca="1">IFERROR(__xludf.DUMMYFUNCTION("""COMPUTED_VALUE"""),"")</f>
        <v/>
      </c>
      <c r="R1163" s="19"/>
      <c r="S1163" s="20"/>
      <c r="BP1163" s="10"/>
      <c r="BW1163" s="10"/>
      <c r="CF1163" s="10"/>
      <c r="CM1163" s="10"/>
      <c r="CP1163" s="18" t="str">
        <f ca="1"/>
        <v/>
      </c>
      <c r="CQ1163" s="18" t="str">
        <f ca="1"/>
        <v/>
      </c>
      <c r="CR1163" s="18" t="str">
        <f ca="1"/>
        <v/>
      </c>
      <c r="CS1163" s="18" t="str">
        <f ca="1"/>
        <v/>
      </c>
      <c r="CT1163" s="18" t="str">
        <f ca="1"/>
        <v/>
      </c>
      <c r="CV1163" s="10"/>
      <c r="CY1163" s="18" t="str">
        <f ca="1"/>
        <v/>
      </c>
      <c r="CZ1163" s="18" t="str">
        <f ca="1"/>
        <v/>
      </c>
      <c r="DA1163" s="18" t="str">
        <f ca="1"/>
        <v/>
      </c>
      <c r="DC1163" s="10"/>
    </row>
    <row r="1164" spans="1:107" x14ac:dyDescent="0.25">
      <c r="A1164" s="46"/>
      <c r="B1164" s="52"/>
      <c r="C1164" s="52"/>
      <c r="D1164" s="16"/>
      <c r="E1164" s="52"/>
      <c r="F1164" s="52"/>
      <c r="G1164" s="50"/>
      <c r="H1164" s="17" t="str">
        <f ca="1">IFERROR(__xludf.DUMMYFUNCTION("""COMPUTED_VALUE"""),"")</f>
        <v/>
      </c>
      <c r="I1164" s="50" t="s">
        <v>29</v>
      </c>
      <c r="J1164" s="50" t="s">
        <v>29</v>
      </c>
      <c r="K1164" s="50" t="s">
        <v>29</v>
      </c>
      <c r="L1164" s="50" t="s">
        <v>29</v>
      </c>
      <c r="M1164" s="50" t="s">
        <v>29</v>
      </c>
      <c r="N1164" s="49"/>
      <c r="P1164" s="19"/>
      <c r="Q1164" s="18" t="str">
        <f ca="1">IFERROR(__xludf.DUMMYFUNCTION("""COMPUTED_VALUE"""),"")</f>
        <v/>
      </c>
      <c r="R1164" s="19"/>
      <c r="S1164" s="20"/>
      <c r="BP1164" s="10"/>
      <c r="BW1164" s="10"/>
      <c r="CF1164" s="10"/>
      <c r="CM1164" s="10"/>
      <c r="CP1164" s="18" t="str">
        <f ca="1"/>
        <v/>
      </c>
      <c r="CQ1164" s="18" t="str">
        <f ca="1"/>
        <v/>
      </c>
      <c r="CR1164" s="18" t="str">
        <f ca="1"/>
        <v/>
      </c>
      <c r="CS1164" s="18" t="str">
        <f ca="1"/>
        <v/>
      </c>
      <c r="CT1164" s="18" t="str">
        <f ca="1"/>
        <v/>
      </c>
      <c r="CV1164" s="10"/>
      <c r="CY1164" s="18" t="str">
        <f ca="1"/>
        <v/>
      </c>
      <c r="CZ1164" s="18" t="str">
        <f ca="1"/>
        <v/>
      </c>
      <c r="DA1164" s="18" t="str">
        <f ca="1"/>
        <v/>
      </c>
      <c r="DC1164" s="10"/>
    </row>
    <row r="1165" spans="1:107" x14ac:dyDescent="0.25">
      <c r="A1165" s="46"/>
      <c r="B1165" s="52"/>
      <c r="C1165" s="52"/>
      <c r="D1165" s="16"/>
      <c r="E1165" s="52"/>
      <c r="F1165" s="52"/>
      <c r="G1165" s="50"/>
      <c r="H1165" s="17" t="str">
        <f ca="1">IFERROR(__xludf.DUMMYFUNCTION("""COMPUTED_VALUE"""),"")</f>
        <v/>
      </c>
      <c r="I1165" s="50" t="s">
        <v>29</v>
      </c>
      <c r="J1165" s="50" t="s">
        <v>29</v>
      </c>
      <c r="K1165" s="50" t="s">
        <v>29</v>
      </c>
      <c r="L1165" s="50" t="s">
        <v>29</v>
      </c>
      <c r="M1165" s="50" t="s">
        <v>29</v>
      </c>
      <c r="N1165" s="49"/>
      <c r="P1165" s="19"/>
      <c r="Q1165" s="18" t="str">
        <f ca="1">IFERROR(__xludf.DUMMYFUNCTION("""COMPUTED_VALUE"""),"")</f>
        <v/>
      </c>
      <c r="R1165" s="19"/>
      <c r="S1165" s="20"/>
      <c r="BP1165" s="10"/>
      <c r="BW1165" s="10"/>
      <c r="CF1165" s="10"/>
      <c r="CM1165" s="10"/>
      <c r="CP1165" s="18" t="str">
        <f ca="1"/>
        <v/>
      </c>
      <c r="CQ1165" s="18" t="str">
        <f ca="1"/>
        <v/>
      </c>
      <c r="CR1165" s="18" t="str">
        <f ca="1"/>
        <v/>
      </c>
      <c r="CS1165" s="18" t="str">
        <f ca="1"/>
        <v/>
      </c>
      <c r="CT1165" s="18" t="str">
        <f ca="1"/>
        <v/>
      </c>
      <c r="CV1165" s="10"/>
      <c r="CY1165" s="18" t="str">
        <f ca="1"/>
        <v/>
      </c>
      <c r="CZ1165" s="18" t="str">
        <f ca="1"/>
        <v/>
      </c>
      <c r="DA1165" s="18" t="str">
        <f ca="1"/>
        <v/>
      </c>
      <c r="DC1165" s="10"/>
    </row>
    <row r="1166" spans="1:107" x14ac:dyDescent="0.25">
      <c r="A1166" s="46"/>
      <c r="B1166" s="52"/>
      <c r="C1166" s="52"/>
      <c r="D1166" s="16"/>
      <c r="E1166" s="52"/>
      <c r="F1166" s="52"/>
      <c r="G1166" s="50"/>
      <c r="H1166" s="17" t="str">
        <f ca="1">IFERROR(__xludf.DUMMYFUNCTION("""COMPUTED_VALUE"""),"")</f>
        <v/>
      </c>
      <c r="I1166" s="50" t="s">
        <v>29</v>
      </c>
      <c r="J1166" s="50" t="s">
        <v>29</v>
      </c>
      <c r="K1166" s="50" t="s">
        <v>29</v>
      </c>
      <c r="L1166" s="50" t="s">
        <v>29</v>
      </c>
      <c r="M1166" s="50" t="s">
        <v>29</v>
      </c>
      <c r="N1166" s="49"/>
      <c r="P1166" s="19"/>
      <c r="Q1166" s="18" t="str">
        <f ca="1">IFERROR(__xludf.DUMMYFUNCTION("""COMPUTED_VALUE"""),"")</f>
        <v/>
      </c>
      <c r="R1166" s="19"/>
      <c r="S1166" s="20"/>
      <c r="BP1166" s="10"/>
      <c r="BW1166" s="10"/>
      <c r="CF1166" s="10"/>
      <c r="CM1166" s="10"/>
      <c r="CP1166" s="18" t="str">
        <f ca="1"/>
        <v/>
      </c>
      <c r="CQ1166" s="18" t="str">
        <f ca="1"/>
        <v/>
      </c>
      <c r="CR1166" s="18" t="str">
        <f ca="1"/>
        <v/>
      </c>
      <c r="CS1166" s="18" t="str">
        <f ca="1"/>
        <v/>
      </c>
      <c r="CT1166" s="18" t="str">
        <f ca="1"/>
        <v/>
      </c>
      <c r="CV1166" s="10"/>
      <c r="CY1166" s="18" t="str">
        <f ca="1"/>
        <v/>
      </c>
      <c r="CZ1166" s="18" t="str">
        <f ca="1"/>
        <v/>
      </c>
      <c r="DA1166" s="18" t="str">
        <f ca="1"/>
        <v/>
      </c>
      <c r="DC1166" s="10"/>
    </row>
    <row r="1167" spans="1:107" x14ac:dyDescent="0.25">
      <c r="A1167" s="46"/>
      <c r="B1167" s="52"/>
      <c r="C1167" s="52"/>
      <c r="D1167" s="16"/>
      <c r="E1167" s="52"/>
      <c r="F1167" s="52"/>
      <c r="G1167" s="50"/>
      <c r="H1167" s="17" t="str">
        <f ca="1">IFERROR(__xludf.DUMMYFUNCTION("""COMPUTED_VALUE"""),"")</f>
        <v/>
      </c>
      <c r="I1167" s="50" t="s">
        <v>29</v>
      </c>
      <c r="J1167" s="50" t="s">
        <v>29</v>
      </c>
      <c r="K1167" s="50" t="s">
        <v>29</v>
      </c>
      <c r="L1167" s="50" t="s">
        <v>29</v>
      </c>
      <c r="M1167" s="50" t="s">
        <v>29</v>
      </c>
      <c r="N1167" s="49"/>
      <c r="P1167" s="19"/>
      <c r="Q1167" s="18" t="str">
        <f ca="1">IFERROR(__xludf.DUMMYFUNCTION("""COMPUTED_VALUE"""),"")</f>
        <v/>
      </c>
      <c r="R1167" s="19"/>
      <c r="S1167" s="20"/>
      <c r="BP1167" s="10"/>
      <c r="BW1167" s="10"/>
      <c r="CF1167" s="10"/>
      <c r="CM1167" s="10"/>
      <c r="CP1167" s="18" t="str">
        <f ca="1"/>
        <v/>
      </c>
      <c r="CQ1167" s="18" t="str">
        <f ca="1"/>
        <v/>
      </c>
      <c r="CR1167" s="18" t="str">
        <f ca="1"/>
        <v/>
      </c>
      <c r="CS1167" s="18" t="str">
        <f ca="1"/>
        <v/>
      </c>
      <c r="CT1167" s="18" t="str">
        <f ca="1"/>
        <v/>
      </c>
      <c r="CV1167" s="10"/>
      <c r="CY1167" s="18" t="str">
        <f ca="1"/>
        <v/>
      </c>
      <c r="CZ1167" s="18" t="str">
        <f ca="1"/>
        <v/>
      </c>
      <c r="DA1167" s="18" t="str">
        <f ca="1"/>
        <v/>
      </c>
      <c r="DC1167" s="10"/>
    </row>
    <row r="1168" spans="1:107" x14ac:dyDescent="0.25">
      <c r="A1168" s="46"/>
      <c r="B1168" s="52"/>
      <c r="C1168" s="52"/>
      <c r="D1168" s="16"/>
      <c r="E1168" s="52"/>
      <c r="F1168" s="52"/>
      <c r="G1168" s="50"/>
      <c r="H1168" s="17" t="str">
        <f ca="1">IFERROR(__xludf.DUMMYFUNCTION("""COMPUTED_VALUE"""),"")</f>
        <v/>
      </c>
      <c r="I1168" s="50" t="s">
        <v>29</v>
      </c>
      <c r="J1168" s="50" t="s">
        <v>29</v>
      </c>
      <c r="K1168" s="50" t="s">
        <v>29</v>
      </c>
      <c r="L1168" s="50" t="s">
        <v>29</v>
      </c>
      <c r="M1168" s="50" t="s">
        <v>29</v>
      </c>
      <c r="N1168" s="49"/>
      <c r="P1168" s="19"/>
      <c r="Q1168" s="18" t="str">
        <f ca="1">IFERROR(__xludf.DUMMYFUNCTION("""COMPUTED_VALUE"""),"")</f>
        <v/>
      </c>
      <c r="R1168" s="19"/>
      <c r="S1168" s="20"/>
      <c r="BP1168" s="10"/>
      <c r="BW1168" s="10"/>
      <c r="CF1168" s="10"/>
      <c r="CM1168" s="10"/>
      <c r="CP1168" s="18" t="str">
        <f ca="1"/>
        <v/>
      </c>
      <c r="CQ1168" s="18" t="str">
        <f ca="1"/>
        <v/>
      </c>
      <c r="CR1168" s="18" t="str">
        <f ca="1"/>
        <v/>
      </c>
      <c r="CS1168" s="18" t="str">
        <f ca="1"/>
        <v/>
      </c>
      <c r="CT1168" s="18" t="str">
        <f ca="1"/>
        <v/>
      </c>
      <c r="CV1168" s="10"/>
      <c r="CY1168" s="18" t="str">
        <f ca="1"/>
        <v/>
      </c>
      <c r="CZ1168" s="18" t="str">
        <f ca="1"/>
        <v/>
      </c>
      <c r="DA1168" s="18" t="str">
        <f ca="1"/>
        <v/>
      </c>
      <c r="DC1168" s="10"/>
    </row>
    <row r="1169" spans="1:107" x14ac:dyDescent="0.25">
      <c r="A1169" s="46"/>
      <c r="B1169" s="52"/>
      <c r="C1169" s="52"/>
      <c r="D1169" s="16"/>
      <c r="E1169" s="52"/>
      <c r="F1169" s="52"/>
      <c r="G1169" s="50"/>
      <c r="H1169" s="17" t="str">
        <f ca="1">IFERROR(__xludf.DUMMYFUNCTION("""COMPUTED_VALUE"""),"")</f>
        <v/>
      </c>
      <c r="I1169" s="50" t="s">
        <v>29</v>
      </c>
      <c r="J1169" s="50" t="s">
        <v>29</v>
      </c>
      <c r="K1169" s="50" t="s">
        <v>29</v>
      </c>
      <c r="L1169" s="50" t="s">
        <v>29</v>
      </c>
      <c r="M1169" s="50" t="s">
        <v>29</v>
      </c>
      <c r="N1169" s="49"/>
      <c r="P1169" s="19"/>
      <c r="Q1169" s="18" t="str">
        <f ca="1">IFERROR(__xludf.DUMMYFUNCTION("""COMPUTED_VALUE"""),"")</f>
        <v/>
      </c>
      <c r="R1169" s="19"/>
      <c r="S1169" s="20"/>
      <c r="BP1169" s="10"/>
      <c r="BW1169" s="10"/>
      <c r="CF1169" s="10"/>
      <c r="CM1169" s="10"/>
      <c r="CP1169" s="18" t="str">
        <f ca="1"/>
        <v/>
      </c>
      <c r="CQ1169" s="18" t="str">
        <f ca="1"/>
        <v/>
      </c>
      <c r="CR1169" s="18" t="str">
        <f ca="1"/>
        <v/>
      </c>
      <c r="CS1169" s="18" t="str">
        <f ca="1"/>
        <v/>
      </c>
      <c r="CT1169" s="18" t="str">
        <f ca="1"/>
        <v/>
      </c>
      <c r="CV1169" s="10"/>
      <c r="CY1169" s="18" t="str">
        <f ca="1"/>
        <v/>
      </c>
      <c r="CZ1169" s="18" t="str">
        <f ca="1"/>
        <v/>
      </c>
      <c r="DA1169" s="18" t="str">
        <f ca="1"/>
        <v/>
      </c>
      <c r="DC1169" s="10"/>
    </row>
    <row r="1170" spans="1:107" x14ac:dyDescent="0.25">
      <c r="A1170" s="46"/>
      <c r="B1170" s="52"/>
      <c r="C1170" s="52"/>
      <c r="D1170" s="16"/>
      <c r="E1170" s="52"/>
      <c r="F1170" s="52"/>
      <c r="G1170" s="50"/>
      <c r="H1170" s="17" t="str">
        <f ca="1">IFERROR(__xludf.DUMMYFUNCTION("""COMPUTED_VALUE"""),"")</f>
        <v/>
      </c>
      <c r="I1170" s="50" t="s">
        <v>29</v>
      </c>
      <c r="J1170" s="50" t="s">
        <v>29</v>
      </c>
      <c r="K1170" s="50" t="s">
        <v>29</v>
      </c>
      <c r="L1170" s="50" t="s">
        <v>29</v>
      </c>
      <c r="M1170" s="50" t="s">
        <v>29</v>
      </c>
      <c r="N1170" s="49"/>
      <c r="P1170" s="19"/>
      <c r="Q1170" s="18" t="str">
        <f ca="1">IFERROR(__xludf.DUMMYFUNCTION("""COMPUTED_VALUE"""),"")</f>
        <v/>
      </c>
      <c r="R1170" s="19"/>
      <c r="S1170" s="20"/>
      <c r="BP1170" s="10"/>
      <c r="BW1170" s="10"/>
      <c r="CF1170" s="10"/>
      <c r="CM1170" s="10"/>
      <c r="CP1170" s="18" t="str">
        <f ca="1"/>
        <v/>
      </c>
      <c r="CQ1170" s="18" t="str">
        <f ca="1"/>
        <v/>
      </c>
      <c r="CR1170" s="18" t="str">
        <f ca="1"/>
        <v/>
      </c>
      <c r="CS1170" s="18" t="str">
        <f ca="1"/>
        <v/>
      </c>
      <c r="CT1170" s="18" t="str">
        <f ca="1"/>
        <v/>
      </c>
      <c r="CV1170" s="10"/>
      <c r="CY1170" s="18" t="str">
        <f ca="1"/>
        <v/>
      </c>
      <c r="CZ1170" s="18" t="str">
        <f ca="1"/>
        <v/>
      </c>
      <c r="DA1170" s="18" t="str">
        <f ca="1"/>
        <v/>
      </c>
      <c r="DC1170" s="10"/>
    </row>
    <row r="1171" spans="1:107" x14ac:dyDescent="0.25">
      <c r="A1171" s="46"/>
      <c r="B1171" s="52"/>
      <c r="C1171" s="52"/>
      <c r="D1171" s="16"/>
      <c r="E1171" s="52"/>
      <c r="F1171" s="52"/>
      <c r="G1171" s="50"/>
      <c r="H1171" s="17" t="str">
        <f ca="1">IFERROR(__xludf.DUMMYFUNCTION("""COMPUTED_VALUE"""),"")</f>
        <v/>
      </c>
      <c r="I1171" s="50" t="s">
        <v>29</v>
      </c>
      <c r="J1171" s="50" t="s">
        <v>29</v>
      </c>
      <c r="K1171" s="50" t="s">
        <v>29</v>
      </c>
      <c r="L1171" s="50" t="s">
        <v>29</v>
      </c>
      <c r="M1171" s="50" t="s">
        <v>29</v>
      </c>
      <c r="N1171" s="49"/>
      <c r="P1171" s="19"/>
      <c r="Q1171" s="18" t="str">
        <f ca="1">IFERROR(__xludf.DUMMYFUNCTION("""COMPUTED_VALUE"""),"")</f>
        <v/>
      </c>
      <c r="R1171" s="19"/>
      <c r="S1171" s="20"/>
      <c r="BP1171" s="10"/>
      <c r="BW1171" s="10"/>
      <c r="CF1171" s="10"/>
      <c r="CM1171" s="10"/>
      <c r="CP1171" s="18" t="str">
        <f ca="1"/>
        <v/>
      </c>
      <c r="CQ1171" s="18" t="str">
        <f ca="1"/>
        <v/>
      </c>
      <c r="CR1171" s="18" t="str">
        <f ca="1"/>
        <v/>
      </c>
      <c r="CS1171" s="18" t="str">
        <f ca="1"/>
        <v/>
      </c>
      <c r="CT1171" s="18" t="str">
        <f ca="1"/>
        <v/>
      </c>
      <c r="CV1171" s="10"/>
      <c r="CY1171" s="18" t="str">
        <f ca="1"/>
        <v/>
      </c>
      <c r="CZ1171" s="18" t="str">
        <f ca="1"/>
        <v/>
      </c>
      <c r="DA1171" s="18" t="str">
        <f ca="1"/>
        <v/>
      </c>
      <c r="DC1171" s="10"/>
    </row>
    <row r="1172" spans="1:107" x14ac:dyDescent="0.25">
      <c r="A1172" s="46"/>
      <c r="B1172" s="52"/>
      <c r="C1172" s="52"/>
      <c r="D1172" s="16"/>
      <c r="E1172" s="52"/>
      <c r="F1172" s="52"/>
      <c r="G1172" s="50"/>
      <c r="H1172" s="17" t="str">
        <f ca="1">IFERROR(__xludf.DUMMYFUNCTION("""COMPUTED_VALUE"""),"")</f>
        <v/>
      </c>
      <c r="I1172" s="50" t="s">
        <v>29</v>
      </c>
      <c r="J1172" s="50" t="s">
        <v>29</v>
      </c>
      <c r="K1172" s="50" t="s">
        <v>29</v>
      </c>
      <c r="L1172" s="50" t="s">
        <v>29</v>
      </c>
      <c r="M1172" s="50" t="s">
        <v>29</v>
      </c>
      <c r="N1172" s="49"/>
      <c r="P1172" s="19"/>
      <c r="Q1172" s="18" t="str">
        <f ca="1">IFERROR(__xludf.DUMMYFUNCTION("""COMPUTED_VALUE"""),"")</f>
        <v/>
      </c>
      <c r="R1172" s="19"/>
      <c r="S1172" s="20"/>
      <c r="BP1172" s="10"/>
      <c r="BW1172" s="10"/>
      <c r="CF1172" s="10"/>
      <c r="CM1172" s="10"/>
      <c r="CP1172" s="18" t="str">
        <f ca="1"/>
        <v/>
      </c>
      <c r="CQ1172" s="18" t="str">
        <f ca="1"/>
        <v/>
      </c>
      <c r="CR1172" s="18" t="str">
        <f ca="1"/>
        <v/>
      </c>
      <c r="CS1172" s="18" t="str">
        <f ca="1"/>
        <v/>
      </c>
      <c r="CT1172" s="18" t="str">
        <f ca="1"/>
        <v/>
      </c>
      <c r="CV1172" s="10"/>
      <c r="CY1172" s="18" t="str">
        <f ca="1"/>
        <v/>
      </c>
      <c r="CZ1172" s="18" t="str">
        <f ca="1"/>
        <v/>
      </c>
      <c r="DA1172" s="18" t="str">
        <f ca="1"/>
        <v/>
      </c>
      <c r="DC1172" s="10"/>
    </row>
    <row r="1173" spans="1:107" x14ac:dyDescent="0.25">
      <c r="A1173" s="46"/>
      <c r="B1173" s="52"/>
      <c r="C1173" s="52"/>
      <c r="D1173" s="16"/>
      <c r="E1173" s="52"/>
      <c r="F1173" s="52"/>
      <c r="G1173" s="50"/>
      <c r="H1173" s="17" t="str">
        <f ca="1">IFERROR(__xludf.DUMMYFUNCTION("""COMPUTED_VALUE"""),"")</f>
        <v/>
      </c>
      <c r="I1173" s="50" t="s">
        <v>29</v>
      </c>
      <c r="J1173" s="50" t="s">
        <v>29</v>
      </c>
      <c r="K1173" s="50" t="s">
        <v>29</v>
      </c>
      <c r="L1173" s="50" t="s">
        <v>29</v>
      </c>
      <c r="M1173" s="50" t="s">
        <v>29</v>
      </c>
      <c r="N1173" s="49"/>
      <c r="P1173" s="19"/>
      <c r="Q1173" s="18" t="str">
        <f ca="1">IFERROR(__xludf.DUMMYFUNCTION("""COMPUTED_VALUE"""),"")</f>
        <v/>
      </c>
      <c r="R1173" s="19"/>
      <c r="S1173" s="20"/>
      <c r="BP1173" s="10"/>
      <c r="BW1173" s="10"/>
      <c r="CF1173" s="10"/>
      <c r="CM1173" s="10"/>
      <c r="CP1173" s="18" t="str">
        <f ca="1"/>
        <v/>
      </c>
      <c r="CQ1173" s="18" t="str">
        <f ca="1"/>
        <v/>
      </c>
      <c r="CR1173" s="18" t="str">
        <f ca="1"/>
        <v/>
      </c>
      <c r="CS1173" s="18" t="str">
        <f ca="1"/>
        <v/>
      </c>
      <c r="CT1173" s="18" t="str">
        <f ca="1"/>
        <v/>
      </c>
      <c r="CV1173" s="10"/>
      <c r="CY1173" s="18" t="str">
        <f ca="1"/>
        <v/>
      </c>
      <c r="CZ1173" s="18" t="str">
        <f ca="1"/>
        <v/>
      </c>
      <c r="DA1173" s="18" t="str">
        <f ca="1"/>
        <v/>
      </c>
      <c r="DC1173" s="10"/>
    </row>
    <row r="1174" spans="1:107" x14ac:dyDescent="0.25">
      <c r="A1174" s="46"/>
      <c r="B1174" s="52"/>
      <c r="C1174" s="52"/>
      <c r="D1174" s="16"/>
      <c r="E1174" s="52"/>
      <c r="F1174" s="52"/>
      <c r="G1174" s="50"/>
      <c r="H1174" s="17" t="str">
        <f ca="1">IFERROR(__xludf.DUMMYFUNCTION("""COMPUTED_VALUE"""),"")</f>
        <v/>
      </c>
      <c r="I1174" s="50" t="s">
        <v>29</v>
      </c>
      <c r="J1174" s="50" t="s">
        <v>29</v>
      </c>
      <c r="K1174" s="50" t="s">
        <v>29</v>
      </c>
      <c r="L1174" s="50" t="s">
        <v>29</v>
      </c>
      <c r="M1174" s="50" t="s">
        <v>29</v>
      </c>
      <c r="N1174" s="49"/>
      <c r="P1174" s="19"/>
      <c r="Q1174" s="18" t="str">
        <f ca="1">IFERROR(__xludf.DUMMYFUNCTION("""COMPUTED_VALUE"""),"")</f>
        <v/>
      </c>
      <c r="R1174" s="19"/>
      <c r="S1174" s="20"/>
      <c r="BP1174" s="10"/>
      <c r="BW1174" s="10"/>
      <c r="CF1174" s="10"/>
      <c r="CM1174" s="10"/>
      <c r="CP1174" s="18" t="str">
        <f ca="1"/>
        <v/>
      </c>
      <c r="CQ1174" s="18" t="str">
        <f ca="1"/>
        <v/>
      </c>
      <c r="CR1174" s="18" t="str">
        <f ca="1"/>
        <v/>
      </c>
      <c r="CS1174" s="18" t="str">
        <f ca="1"/>
        <v/>
      </c>
      <c r="CT1174" s="18" t="str">
        <f ca="1"/>
        <v/>
      </c>
      <c r="CV1174" s="10"/>
      <c r="CY1174" s="18" t="str">
        <f ca="1"/>
        <v/>
      </c>
      <c r="CZ1174" s="18" t="str">
        <f ca="1"/>
        <v/>
      </c>
      <c r="DA1174" s="18" t="str">
        <f ca="1"/>
        <v/>
      </c>
      <c r="DC1174" s="10"/>
    </row>
    <row r="1175" spans="1:107" x14ac:dyDescent="0.25">
      <c r="A1175" s="46"/>
      <c r="B1175" s="52"/>
      <c r="C1175" s="52"/>
      <c r="D1175" s="16"/>
      <c r="E1175" s="52"/>
      <c r="F1175" s="52"/>
      <c r="G1175" s="50"/>
      <c r="H1175" s="17" t="str">
        <f ca="1">IFERROR(__xludf.DUMMYFUNCTION("""COMPUTED_VALUE"""),"")</f>
        <v/>
      </c>
      <c r="I1175" s="50" t="s">
        <v>29</v>
      </c>
      <c r="J1175" s="50" t="s">
        <v>29</v>
      </c>
      <c r="K1175" s="50" t="s">
        <v>29</v>
      </c>
      <c r="L1175" s="50" t="s">
        <v>29</v>
      </c>
      <c r="M1175" s="50" t="s">
        <v>29</v>
      </c>
      <c r="N1175" s="49"/>
      <c r="P1175" s="19"/>
      <c r="Q1175" s="18" t="str">
        <f ca="1">IFERROR(__xludf.DUMMYFUNCTION("""COMPUTED_VALUE"""),"")</f>
        <v/>
      </c>
      <c r="R1175" s="19"/>
      <c r="S1175" s="20"/>
      <c r="BP1175" s="10"/>
      <c r="BW1175" s="10"/>
      <c r="CF1175" s="10"/>
      <c r="CM1175" s="10"/>
      <c r="CP1175" s="18" t="str">
        <f ca="1"/>
        <v/>
      </c>
      <c r="CQ1175" s="18" t="str">
        <f ca="1"/>
        <v/>
      </c>
      <c r="CR1175" s="18" t="str">
        <f ca="1"/>
        <v/>
      </c>
      <c r="CS1175" s="18" t="str">
        <f ca="1"/>
        <v/>
      </c>
      <c r="CT1175" s="18" t="str">
        <f ca="1"/>
        <v/>
      </c>
      <c r="CV1175" s="10"/>
      <c r="CY1175" s="18" t="str">
        <f ca="1"/>
        <v/>
      </c>
      <c r="CZ1175" s="18" t="str">
        <f ca="1"/>
        <v/>
      </c>
      <c r="DA1175" s="18" t="str">
        <f ca="1"/>
        <v/>
      </c>
      <c r="DC1175" s="10"/>
    </row>
    <row r="1176" spans="1:107" x14ac:dyDescent="0.25">
      <c r="A1176" s="46"/>
      <c r="B1176" s="52"/>
      <c r="C1176" s="52"/>
      <c r="D1176" s="16"/>
      <c r="E1176" s="52"/>
      <c r="F1176" s="52"/>
      <c r="G1176" s="50"/>
      <c r="H1176" s="17" t="str">
        <f ca="1">IFERROR(__xludf.DUMMYFUNCTION("""COMPUTED_VALUE"""),"")</f>
        <v/>
      </c>
      <c r="I1176" s="50" t="s">
        <v>29</v>
      </c>
      <c r="J1176" s="50" t="s">
        <v>29</v>
      </c>
      <c r="K1176" s="50" t="s">
        <v>29</v>
      </c>
      <c r="L1176" s="50" t="s">
        <v>29</v>
      </c>
      <c r="M1176" s="50" t="s">
        <v>29</v>
      </c>
      <c r="N1176" s="49"/>
      <c r="P1176" s="19"/>
      <c r="Q1176" s="18" t="str">
        <f ca="1">IFERROR(__xludf.DUMMYFUNCTION("""COMPUTED_VALUE"""),"")</f>
        <v/>
      </c>
      <c r="R1176" s="19"/>
      <c r="S1176" s="20"/>
      <c r="BP1176" s="10"/>
      <c r="BW1176" s="10"/>
      <c r="CF1176" s="10"/>
      <c r="CM1176" s="10"/>
      <c r="CP1176" s="18" t="str">
        <f ca="1"/>
        <v/>
      </c>
      <c r="CQ1176" s="18" t="str">
        <f ca="1"/>
        <v/>
      </c>
      <c r="CR1176" s="18" t="str">
        <f ca="1"/>
        <v/>
      </c>
      <c r="CS1176" s="18" t="str">
        <f ca="1"/>
        <v/>
      </c>
      <c r="CT1176" s="18" t="str">
        <f ca="1"/>
        <v/>
      </c>
      <c r="CV1176" s="10"/>
      <c r="CY1176" s="18" t="str">
        <f ca="1"/>
        <v/>
      </c>
      <c r="CZ1176" s="18" t="str">
        <f ca="1"/>
        <v/>
      </c>
      <c r="DA1176" s="18" t="str">
        <f ca="1"/>
        <v/>
      </c>
      <c r="DC1176" s="10"/>
    </row>
    <row r="1177" spans="1:107" x14ac:dyDescent="0.25">
      <c r="A1177" s="46"/>
      <c r="B1177" s="52"/>
      <c r="C1177" s="52"/>
      <c r="D1177" s="16"/>
      <c r="E1177" s="52"/>
      <c r="F1177" s="52"/>
      <c r="G1177" s="50"/>
      <c r="H1177" s="17" t="str">
        <f ca="1">IFERROR(__xludf.DUMMYFUNCTION("""COMPUTED_VALUE"""),"")</f>
        <v/>
      </c>
      <c r="I1177" s="50" t="s">
        <v>29</v>
      </c>
      <c r="J1177" s="50" t="s">
        <v>29</v>
      </c>
      <c r="K1177" s="50" t="s">
        <v>29</v>
      </c>
      <c r="L1177" s="50" t="s">
        <v>29</v>
      </c>
      <c r="M1177" s="50" t="s">
        <v>29</v>
      </c>
      <c r="N1177" s="49"/>
      <c r="P1177" s="19"/>
      <c r="Q1177" s="18" t="str">
        <f ca="1">IFERROR(__xludf.DUMMYFUNCTION("""COMPUTED_VALUE"""),"")</f>
        <v/>
      </c>
      <c r="R1177" s="19"/>
      <c r="S1177" s="20"/>
      <c r="BP1177" s="10"/>
      <c r="BW1177" s="10"/>
      <c r="CF1177" s="10"/>
      <c r="CM1177" s="10"/>
      <c r="CP1177" s="18" t="str">
        <f ca="1"/>
        <v/>
      </c>
      <c r="CQ1177" s="18" t="str">
        <f ca="1"/>
        <v/>
      </c>
      <c r="CR1177" s="18" t="str">
        <f ca="1"/>
        <v/>
      </c>
      <c r="CS1177" s="18" t="str">
        <f ca="1"/>
        <v/>
      </c>
      <c r="CT1177" s="18" t="str">
        <f ca="1"/>
        <v/>
      </c>
      <c r="CV1177" s="10"/>
      <c r="CY1177" s="18" t="str">
        <f ca="1"/>
        <v/>
      </c>
      <c r="CZ1177" s="18" t="str">
        <f ca="1"/>
        <v/>
      </c>
      <c r="DA1177" s="18" t="str">
        <f ca="1"/>
        <v/>
      </c>
      <c r="DC1177" s="10"/>
    </row>
    <row r="1178" spans="1:107" x14ac:dyDescent="0.25">
      <c r="A1178" s="46"/>
      <c r="B1178" s="52"/>
      <c r="C1178" s="52"/>
      <c r="D1178" s="16"/>
      <c r="E1178" s="52"/>
      <c r="F1178" s="52"/>
      <c r="G1178" s="50"/>
      <c r="H1178" s="17" t="str">
        <f ca="1">IFERROR(__xludf.DUMMYFUNCTION("""COMPUTED_VALUE"""),"")</f>
        <v/>
      </c>
      <c r="I1178" s="50" t="s">
        <v>29</v>
      </c>
      <c r="J1178" s="50" t="s">
        <v>29</v>
      </c>
      <c r="K1178" s="50" t="s">
        <v>29</v>
      </c>
      <c r="L1178" s="50" t="s">
        <v>29</v>
      </c>
      <c r="M1178" s="50" t="s">
        <v>29</v>
      </c>
      <c r="N1178" s="49"/>
      <c r="P1178" s="19"/>
      <c r="Q1178" s="18" t="str">
        <f ca="1">IFERROR(__xludf.DUMMYFUNCTION("""COMPUTED_VALUE"""),"")</f>
        <v/>
      </c>
      <c r="R1178" s="19"/>
      <c r="S1178" s="20"/>
      <c r="BP1178" s="10"/>
      <c r="BW1178" s="10"/>
      <c r="CF1178" s="10"/>
      <c r="CM1178" s="10"/>
      <c r="CP1178" s="18" t="str">
        <f ca="1"/>
        <v/>
      </c>
      <c r="CQ1178" s="18" t="str">
        <f ca="1"/>
        <v/>
      </c>
      <c r="CR1178" s="18" t="str">
        <f ca="1"/>
        <v/>
      </c>
      <c r="CS1178" s="18" t="str">
        <f ca="1"/>
        <v/>
      </c>
      <c r="CT1178" s="18" t="str">
        <f ca="1"/>
        <v/>
      </c>
      <c r="CV1178" s="10"/>
      <c r="CY1178" s="18" t="str">
        <f ca="1"/>
        <v/>
      </c>
      <c r="CZ1178" s="18" t="str">
        <f ca="1"/>
        <v/>
      </c>
      <c r="DA1178" s="18" t="str">
        <f ca="1"/>
        <v/>
      </c>
      <c r="DC1178" s="10"/>
    </row>
    <row r="1179" spans="1:107" x14ac:dyDescent="0.25">
      <c r="A1179" s="46"/>
      <c r="B1179" s="52"/>
      <c r="C1179" s="52"/>
      <c r="D1179" s="16"/>
      <c r="E1179" s="52"/>
      <c r="F1179" s="52"/>
      <c r="G1179" s="50"/>
      <c r="H1179" s="17" t="str">
        <f ca="1">IFERROR(__xludf.DUMMYFUNCTION("""COMPUTED_VALUE"""),"")</f>
        <v/>
      </c>
      <c r="I1179" s="50" t="s">
        <v>29</v>
      </c>
      <c r="J1179" s="50" t="s">
        <v>29</v>
      </c>
      <c r="K1179" s="50" t="s">
        <v>29</v>
      </c>
      <c r="L1179" s="50" t="s">
        <v>29</v>
      </c>
      <c r="M1179" s="50" t="s">
        <v>29</v>
      </c>
      <c r="N1179" s="49"/>
      <c r="P1179" s="19"/>
      <c r="Q1179" s="18" t="str">
        <f ca="1">IFERROR(__xludf.DUMMYFUNCTION("""COMPUTED_VALUE"""),"")</f>
        <v/>
      </c>
      <c r="R1179" s="19"/>
      <c r="S1179" s="20"/>
      <c r="BP1179" s="10"/>
      <c r="BW1179" s="10"/>
      <c r="CF1179" s="10"/>
      <c r="CM1179" s="10"/>
      <c r="CP1179" s="18" t="str">
        <f ca="1"/>
        <v/>
      </c>
      <c r="CQ1179" s="18" t="str">
        <f ca="1"/>
        <v/>
      </c>
      <c r="CR1179" s="18" t="str">
        <f ca="1"/>
        <v/>
      </c>
      <c r="CS1179" s="18" t="str">
        <f ca="1"/>
        <v/>
      </c>
      <c r="CT1179" s="18" t="str">
        <f ca="1"/>
        <v/>
      </c>
      <c r="CV1179" s="10"/>
      <c r="CY1179" s="18" t="str">
        <f ca="1"/>
        <v/>
      </c>
      <c r="CZ1179" s="18" t="str">
        <f ca="1"/>
        <v/>
      </c>
      <c r="DA1179" s="18" t="str">
        <f ca="1"/>
        <v/>
      </c>
      <c r="DC1179" s="10"/>
    </row>
    <row r="1180" spans="1:107" x14ac:dyDescent="0.25">
      <c r="A1180" s="46"/>
      <c r="B1180" s="52"/>
      <c r="C1180" s="52"/>
      <c r="D1180" s="16"/>
      <c r="E1180" s="52"/>
      <c r="F1180" s="52"/>
      <c r="G1180" s="50"/>
      <c r="H1180" s="17" t="str">
        <f ca="1">IFERROR(__xludf.DUMMYFUNCTION("""COMPUTED_VALUE"""),"")</f>
        <v/>
      </c>
      <c r="I1180" s="50" t="s">
        <v>29</v>
      </c>
      <c r="J1180" s="50" t="s">
        <v>29</v>
      </c>
      <c r="K1180" s="50" t="s">
        <v>29</v>
      </c>
      <c r="L1180" s="50" t="s">
        <v>29</v>
      </c>
      <c r="M1180" s="50" t="s">
        <v>29</v>
      </c>
      <c r="N1180" s="49"/>
      <c r="P1180" s="19"/>
      <c r="Q1180" s="18" t="str">
        <f ca="1">IFERROR(__xludf.DUMMYFUNCTION("""COMPUTED_VALUE"""),"")</f>
        <v/>
      </c>
      <c r="R1180" s="19"/>
      <c r="S1180" s="20"/>
      <c r="BP1180" s="10"/>
      <c r="BW1180" s="10"/>
      <c r="CF1180" s="10"/>
      <c r="CM1180" s="10"/>
      <c r="CP1180" s="18" t="str">
        <f ca="1"/>
        <v/>
      </c>
      <c r="CQ1180" s="18" t="str">
        <f ca="1"/>
        <v/>
      </c>
      <c r="CR1180" s="18" t="str">
        <f ca="1"/>
        <v/>
      </c>
      <c r="CS1180" s="18" t="str">
        <f ca="1"/>
        <v/>
      </c>
      <c r="CT1180" s="18" t="str">
        <f ca="1"/>
        <v/>
      </c>
      <c r="CV1180" s="10"/>
      <c r="CY1180" s="18" t="str">
        <f ca="1"/>
        <v/>
      </c>
      <c r="CZ1180" s="18" t="str">
        <f ca="1"/>
        <v/>
      </c>
      <c r="DA1180" s="18" t="str">
        <f ca="1"/>
        <v/>
      </c>
      <c r="DC1180" s="10"/>
    </row>
    <row r="1181" spans="1:107" x14ac:dyDescent="0.25">
      <c r="A1181" s="46"/>
      <c r="B1181" s="52"/>
      <c r="C1181" s="52"/>
      <c r="D1181" s="16"/>
      <c r="E1181" s="52"/>
      <c r="F1181" s="52"/>
      <c r="G1181" s="50"/>
      <c r="H1181" s="17" t="str">
        <f ca="1">IFERROR(__xludf.DUMMYFUNCTION("""COMPUTED_VALUE"""),"")</f>
        <v/>
      </c>
      <c r="I1181" s="50" t="s">
        <v>29</v>
      </c>
      <c r="J1181" s="50" t="s">
        <v>29</v>
      </c>
      <c r="K1181" s="50" t="s">
        <v>29</v>
      </c>
      <c r="L1181" s="50" t="s">
        <v>29</v>
      </c>
      <c r="M1181" s="50" t="s">
        <v>29</v>
      </c>
      <c r="N1181" s="49"/>
      <c r="P1181" s="19"/>
      <c r="Q1181" s="18" t="str">
        <f ca="1">IFERROR(__xludf.DUMMYFUNCTION("""COMPUTED_VALUE"""),"")</f>
        <v/>
      </c>
      <c r="R1181" s="19"/>
      <c r="S1181" s="20"/>
      <c r="BP1181" s="10"/>
      <c r="BW1181" s="10"/>
      <c r="CF1181" s="10"/>
      <c r="CM1181" s="10"/>
      <c r="CP1181" s="18" t="str">
        <f ca="1"/>
        <v/>
      </c>
      <c r="CQ1181" s="18" t="str">
        <f ca="1"/>
        <v/>
      </c>
      <c r="CR1181" s="18" t="str">
        <f ca="1"/>
        <v/>
      </c>
      <c r="CS1181" s="18" t="str">
        <f ca="1"/>
        <v/>
      </c>
      <c r="CT1181" s="18" t="str">
        <f ca="1"/>
        <v/>
      </c>
      <c r="CV1181" s="10"/>
      <c r="CY1181" s="18" t="str">
        <f ca="1"/>
        <v/>
      </c>
      <c r="CZ1181" s="18" t="str">
        <f ca="1"/>
        <v/>
      </c>
      <c r="DA1181" s="18" t="str">
        <f ca="1"/>
        <v/>
      </c>
      <c r="DC1181" s="10"/>
    </row>
    <row r="1182" spans="1:107" x14ac:dyDescent="0.25">
      <c r="A1182" s="46"/>
      <c r="B1182" s="52"/>
      <c r="C1182" s="52"/>
      <c r="D1182" s="16"/>
      <c r="E1182" s="52"/>
      <c r="F1182" s="52"/>
      <c r="G1182" s="50"/>
      <c r="H1182" s="17" t="str">
        <f ca="1">IFERROR(__xludf.DUMMYFUNCTION("""COMPUTED_VALUE"""),"")</f>
        <v/>
      </c>
      <c r="I1182" s="50" t="s">
        <v>29</v>
      </c>
      <c r="J1182" s="50" t="s">
        <v>29</v>
      </c>
      <c r="K1182" s="50" t="s">
        <v>29</v>
      </c>
      <c r="L1182" s="50" t="s">
        <v>29</v>
      </c>
      <c r="M1182" s="50" t="s">
        <v>29</v>
      </c>
      <c r="N1182" s="49"/>
      <c r="P1182" s="19"/>
      <c r="Q1182" s="18" t="str">
        <f ca="1">IFERROR(__xludf.DUMMYFUNCTION("""COMPUTED_VALUE"""),"")</f>
        <v/>
      </c>
      <c r="R1182" s="19"/>
      <c r="S1182" s="20"/>
      <c r="BP1182" s="10"/>
      <c r="BW1182" s="10"/>
      <c r="CF1182" s="10"/>
      <c r="CM1182" s="10"/>
      <c r="CP1182" s="18" t="str">
        <f ca="1"/>
        <v/>
      </c>
      <c r="CQ1182" s="18" t="str">
        <f ca="1"/>
        <v/>
      </c>
      <c r="CR1182" s="18" t="str">
        <f ca="1"/>
        <v/>
      </c>
      <c r="CS1182" s="18" t="str">
        <f ca="1"/>
        <v/>
      </c>
      <c r="CT1182" s="18" t="str">
        <f ca="1"/>
        <v/>
      </c>
      <c r="CV1182" s="10"/>
      <c r="CY1182" s="18" t="str">
        <f ca="1"/>
        <v/>
      </c>
      <c r="CZ1182" s="18" t="str">
        <f ca="1"/>
        <v/>
      </c>
      <c r="DA1182" s="18" t="str">
        <f ca="1"/>
        <v/>
      </c>
      <c r="DC1182" s="10"/>
    </row>
    <row r="1183" spans="1:107" x14ac:dyDescent="0.25">
      <c r="A1183" s="46"/>
      <c r="B1183" s="52"/>
      <c r="C1183" s="52"/>
      <c r="D1183" s="16"/>
      <c r="E1183" s="52"/>
      <c r="F1183" s="52"/>
      <c r="G1183" s="50"/>
      <c r="H1183" s="17" t="str">
        <f ca="1">IFERROR(__xludf.DUMMYFUNCTION("""COMPUTED_VALUE"""),"")</f>
        <v/>
      </c>
      <c r="I1183" s="50" t="s">
        <v>29</v>
      </c>
      <c r="J1183" s="50" t="s">
        <v>29</v>
      </c>
      <c r="K1183" s="50" t="s">
        <v>29</v>
      </c>
      <c r="L1183" s="50" t="s">
        <v>29</v>
      </c>
      <c r="M1183" s="50" t="s">
        <v>29</v>
      </c>
      <c r="N1183" s="49"/>
      <c r="P1183" s="19"/>
      <c r="Q1183" s="18" t="str">
        <f ca="1">IFERROR(__xludf.DUMMYFUNCTION("""COMPUTED_VALUE"""),"")</f>
        <v/>
      </c>
      <c r="R1183" s="19"/>
      <c r="S1183" s="20"/>
      <c r="BP1183" s="10"/>
      <c r="BW1183" s="10"/>
      <c r="CF1183" s="10"/>
      <c r="CM1183" s="10"/>
      <c r="CP1183" s="18" t="str">
        <f ca="1"/>
        <v/>
      </c>
      <c r="CQ1183" s="18" t="str">
        <f ca="1"/>
        <v/>
      </c>
      <c r="CR1183" s="18" t="str">
        <f ca="1"/>
        <v/>
      </c>
      <c r="CS1183" s="18" t="str">
        <f ca="1"/>
        <v/>
      </c>
      <c r="CT1183" s="18" t="str">
        <f ca="1"/>
        <v/>
      </c>
      <c r="CV1183" s="10"/>
      <c r="CY1183" s="18" t="str">
        <f ca="1"/>
        <v/>
      </c>
      <c r="CZ1183" s="18" t="str">
        <f ca="1"/>
        <v/>
      </c>
      <c r="DA1183" s="18" t="str">
        <f ca="1"/>
        <v/>
      </c>
      <c r="DC1183" s="10"/>
    </row>
    <row r="1184" spans="1:107" x14ac:dyDescent="0.25">
      <c r="A1184" s="46"/>
      <c r="B1184" s="52"/>
      <c r="C1184" s="52"/>
      <c r="D1184" s="16"/>
      <c r="E1184" s="52"/>
      <c r="F1184" s="52"/>
      <c r="G1184" s="50"/>
      <c r="H1184" s="17" t="str">
        <f ca="1">IFERROR(__xludf.DUMMYFUNCTION("""COMPUTED_VALUE"""),"")</f>
        <v/>
      </c>
      <c r="I1184" s="50" t="s">
        <v>29</v>
      </c>
      <c r="J1184" s="50" t="s">
        <v>29</v>
      </c>
      <c r="K1184" s="50" t="s">
        <v>29</v>
      </c>
      <c r="L1184" s="50" t="s">
        <v>29</v>
      </c>
      <c r="M1184" s="50" t="s">
        <v>29</v>
      </c>
      <c r="N1184" s="49"/>
      <c r="P1184" s="19"/>
      <c r="Q1184" s="18" t="str">
        <f ca="1">IFERROR(__xludf.DUMMYFUNCTION("""COMPUTED_VALUE"""),"")</f>
        <v/>
      </c>
      <c r="R1184" s="19"/>
      <c r="S1184" s="20"/>
      <c r="BP1184" s="10"/>
      <c r="BW1184" s="10"/>
      <c r="CF1184" s="10"/>
      <c r="CM1184" s="10"/>
      <c r="CP1184" s="18" t="str">
        <f ca="1"/>
        <v/>
      </c>
      <c r="CQ1184" s="18" t="str">
        <f ca="1"/>
        <v/>
      </c>
      <c r="CR1184" s="18" t="str">
        <f ca="1"/>
        <v/>
      </c>
      <c r="CS1184" s="18" t="str">
        <f ca="1"/>
        <v/>
      </c>
      <c r="CT1184" s="18" t="str">
        <f ca="1"/>
        <v/>
      </c>
      <c r="CV1184" s="10"/>
      <c r="CY1184" s="18" t="str">
        <f ca="1"/>
        <v/>
      </c>
      <c r="CZ1184" s="18" t="str">
        <f ca="1"/>
        <v/>
      </c>
      <c r="DA1184" s="18" t="str">
        <f ca="1"/>
        <v/>
      </c>
      <c r="DC1184" s="10"/>
    </row>
    <row r="1185" spans="1:107" x14ac:dyDescent="0.25">
      <c r="A1185" s="46"/>
      <c r="B1185" s="52"/>
      <c r="C1185" s="52"/>
      <c r="D1185" s="16"/>
      <c r="E1185" s="52"/>
      <c r="F1185" s="52"/>
      <c r="G1185" s="50"/>
      <c r="H1185" s="17" t="str">
        <f ca="1">IFERROR(__xludf.DUMMYFUNCTION("""COMPUTED_VALUE"""),"")</f>
        <v/>
      </c>
      <c r="I1185" s="50" t="s">
        <v>29</v>
      </c>
      <c r="J1185" s="50" t="s">
        <v>29</v>
      </c>
      <c r="K1185" s="50" t="s">
        <v>29</v>
      </c>
      <c r="L1185" s="50" t="s">
        <v>29</v>
      </c>
      <c r="M1185" s="50" t="s">
        <v>29</v>
      </c>
      <c r="N1185" s="49"/>
      <c r="P1185" s="19"/>
      <c r="Q1185" s="18" t="str">
        <f ca="1">IFERROR(__xludf.DUMMYFUNCTION("""COMPUTED_VALUE"""),"")</f>
        <v/>
      </c>
      <c r="R1185" s="19"/>
      <c r="S1185" s="20"/>
      <c r="BP1185" s="10"/>
      <c r="BW1185" s="10"/>
      <c r="CF1185" s="10"/>
      <c r="CM1185" s="10"/>
      <c r="CP1185" s="18" t="str">
        <f ca="1"/>
        <v/>
      </c>
      <c r="CQ1185" s="18" t="str">
        <f ca="1"/>
        <v/>
      </c>
      <c r="CR1185" s="18" t="str">
        <f ca="1"/>
        <v/>
      </c>
      <c r="CS1185" s="18" t="str">
        <f ca="1"/>
        <v/>
      </c>
      <c r="CT1185" s="18" t="str">
        <f ca="1"/>
        <v/>
      </c>
      <c r="CV1185" s="10"/>
      <c r="CY1185" s="18" t="str">
        <f ca="1"/>
        <v/>
      </c>
      <c r="CZ1185" s="18" t="str">
        <f ca="1"/>
        <v/>
      </c>
      <c r="DA1185" s="18" t="str">
        <f ca="1"/>
        <v/>
      </c>
      <c r="DC1185" s="10"/>
    </row>
    <row r="1186" spans="1:107" x14ac:dyDescent="0.25">
      <c r="A1186" s="46"/>
      <c r="B1186" s="52"/>
      <c r="C1186" s="52"/>
      <c r="D1186" s="16"/>
      <c r="E1186" s="52"/>
      <c r="F1186" s="52"/>
      <c r="G1186" s="50"/>
      <c r="H1186" s="17" t="str">
        <f ca="1">IFERROR(__xludf.DUMMYFUNCTION("""COMPUTED_VALUE"""),"")</f>
        <v/>
      </c>
      <c r="I1186" s="50" t="s">
        <v>29</v>
      </c>
      <c r="J1186" s="50" t="s">
        <v>29</v>
      </c>
      <c r="K1186" s="50" t="s">
        <v>29</v>
      </c>
      <c r="L1186" s="50" t="s">
        <v>29</v>
      </c>
      <c r="M1186" s="50" t="s">
        <v>29</v>
      </c>
      <c r="N1186" s="49"/>
      <c r="P1186" s="19"/>
      <c r="Q1186" s="18" t="str">
        <f ca="1">IFERROR(__xludf.DUMMYFUNCTION("""COMPUTED_VALUE"""),"")</f>
        <v/>
      </c>
      <c r="R1186" s="19"/>
      <c r="S1186" s="20"/>
      <c r="BP1186" s="10"/>
      <c r="BW1186" s="10"/>
      <c r="CF1186" s="10"/>
      <c r="CM1186" s="10"/>
      <c r="CP1186" s="18" t="str">
        <f ca="1"/>
        <v/>
      </c>
      <c r="CQ1186" s="18" t="str">
        <f ca="1"/>
        <v/>
      </c>
      <c r="CR1186" s="18" t="str">
        <f ca="1"/>
        <v/>
      </c>
      <c r="CS1186" s="18" t="str">
        <f ca="1"/>
        <v/>
      </c>
      <c r="CT1186" s="18" t="str">
        <f ca="1"/>
        <v/>
      </c>
      <c r="CV1186" s="10"/>
      <c r="CY1186" s="18" t="str">
        <f ca="1"/>
        <v/>
      </c>
      <c r="CZ1186" s="18" t="str">
        <f ca="1"/>
        <v/>
      </c>
      <c r="DA1186" s="18" t="str">
        <f ca="1"/>
        <v/>
      </c>
      <c r="DC1186" s="10"/>
    </row>
    <row r="1187" spans="1:107" x14ac:dyDescent="0.25">
      <c r="A1187" s="46"/>
      <c r="B1187" s="52"/>
      <c r="C1187" s="52"/>
      <c r="D1187" s="16"/>
      <c r="E1187" s="52"/>
      <c r="F1187" s="52"/>
      <c r="G1187" s="50"/>
      <c r="H1187" s="17" t="str">
        <f ca="1">IFERROR(__xludf.DUMMYFUNCTION("""COMPUTED_VALUE"""),"")</f>
        <v/>
      </c>
      <c r="I1187" s="50" t="s">
        <v>29</v>
      </c>
      <c r="J1187" s="50" t="s">
        <v>29</v>
      </c>
      <c r="K1187" s="50" t="s">
        <v>29</v>
      </c>
      <c r="L1187" s="50" t="s">
        <v>29</v>
      </c>
      <c r="M1187" s="50" t="s">
        <v>29</v>
      </c>
      <c r="N1187" s="49"/>
      <c r="P1187" s="19"/>
      <c r="Q1187" s="18" t="str">
        <f ca="1">IFERROR(__xludf.DUMMYFUNCTION("""COMPUTED_VALUE"""),"")</f>
        <v/>
      </c>
      <c r="R1187" s="19"/>
      <c r="S1187" s="20"/>
      <c r="BP1187" s="10"/>
      <c r="BW1187" s="10"/>
      <c r="CF1187" s="10"/>
      <c r="CM1187" s="10"/>
      <c r="CP1187" s="18" t="str">
        <f ca="1"/>
        <v/>
      </c>
      <c r="CQ1187" s="18" t="str">
        <f ca="1"/>
        <v/>
      </c>
      <c r="CR1187" s="18" t="str">
        <f ca="1"/>
        <v/>
      </c>
      <c r="CS1187" s="18" t="str">
        <f ca="1"/>
        <v/>
      </c>
      <c r="CT1187" s="18" t="str">
        <f ca="1"/>
        <v/>
      </c>
      <c r="CV1187" s="10"/>
      <c r="CY1187" s="18" t="str">
        <f ca="1"/>
        <v/>
      </c>
      <c r="CZ1187" s="18" t="str">
        <f ca="1"/>
        <v/>
      </c>
      <c r="DA1187" s="18" t="str">
        <f ca="1"/>
        <v/>
      </c>
      <c r="DC1187" s="10"/>
    </row>
    <row r="1188" spans="1:107" x14ac:dyDescent="0.25">
      <c r="A1188" s="46"/>
      <c r="B1188" s="52"/>
      <c r="C1188" s="52"/>
      <c r="D1188" s="16"/>
      <c r="E1188" s="52"/>
      <c r="F1188" s="52"/>
      <c r="G1188" s="50"/>
      <c r="H1188" s="17" t="str">
        <f ca="1">IFERROR(__xludf.DUMMYFUNCTION("""COMPUTED_VALUE"""),"")</f>
        <v/>
      </c>
      <c r="I1188" s="50" t="s">
        <v>29</v>
      </c>
      <c r="J1188" s="50" t="s">
        <v>29</v>
      </c>
      <c r="K1188" s="50" t="s">
        <v>29</v>
      </c>
      <c r="L1188" s="50" t="s">
        <v>29</v>
      </c>
      <c r="M1188" s="50" t="s">
        <v>29</v>
      </c>
      <c r="N1188" s="49"/>
      <c r="P1188" s="19"/>
      <c r="Q1188" s="18" t="str">
        <f ca="1">IFERROR(__xludf.DUMMYFUNCTION("""COMPUTED_VALUE"""),"")</f>
        <v/>
      </c>
      <c r="R1188" s="19"/>
      <c r="S1188" s="20"/>
      <c r="BP1188" s="10"/>
      <c r="BW1188" s="10"/>
      <c r="CF1188" s="10"/>
      <c r="CM1188" s="10"/>
      <c r="CP1188" s="18" t="str">
        <f ca="1"/>
        <v/>
      </c>
      <c r="CQ1188" s="18" t="str">
        <f ca="1"/>
        <v/>
      </c>
      <c r="CR1188" s="18" t="str">
        <f ca="1"/>
        <v/>
      </c>
      <c r="CS1188" s="18" t="str">
        <f ca="1"/>
        <v/>
      </c>
      <c r="CT1188" s="18" t="str">
        <f ca="1"/>
        <v/>
      </c>
      <c r="CV1188" s="10"/>
      <c r="CY1188" s="18" t="str">
        <f ca="1"/>
        <v/>
      </c>
      <c r="CZ1188" s="18" t="str">
        <f ca="1"/>
        <v/>
      </c>
      <c r="DA1188" s="18" t="str">
        <f ca="1"/>
        <v/>
      </c>
      <c r="DC1188" s="10"/>
    </row>
    <row r="1189" spans="1:107" x14ac:dyDescent="0.25">
      <c r="A1189" s="46"/>
      <c r="B1189" s="52"/>
      <c r="C1189" s="52"/>
      <c r="D1189" s="16"/>
      <c r="E1189" s="52"/>
      <c r="F1189" s="52"/>
      <c r="G1189" s="50"/>
      <c r="H1189" s="17" t="str">
        <f ca="1">IFERROR(__xludf.DUMMYFUNCTION("""COMPUTED_VALUE"""),"")</f>
        <v/>
      </c>
      <c r="I1189" s="50" t="s">
        <v>29</v>
      </c>
      <c r="J1189" s="50" t="s">
        <v>29</v>
      </c>
      <c r="K1189" s="50" t="s">
        <v>29</v>
      </c>
      <c r="L1189" s="50" t="s">
        <v>29</v>
      </c>
      <c r="M1189" s="50" t="s">
        <v>29</v>
      </c>
      <c r="N1189" s="49"/>
      <c r="P1189" s="19"/>
      <c r="Q1189" s="18" t="str">
        <f ca="1">IFERROR(__xludf.DUMMYFUNCTION("""COMPUTED_VALUE"""),"")</f>
        <v/>
      </c>
      <c r="R1189" s="19"/>
      <c r="S1189" s="20"/>
      <c r="BP1189" s="10"/>
      <c r="BW1189" s="10"/>
      <c r="CF1189" s="10"/>
      <c r="CM1189" s="10"/>
      <c r="CP1189" s="18" t="str">
        <f ca="1"/>
        <v/>
      </c>
      <c r="CQ1189" s="18" t="str">
        <f ca="1"/>
        <v/>
      </c>
      <c r="CR1189" s="18" t="str">
        <f ca="1"/>
        <v/>
      </c>
      <c r="CS1189" s="18" t="str">
        <f ca="1"/>
        <v/>
      </c>
      <c r="CT1189" s="18" t="str">
        <f ca="1"/>
        <v/>
      </c>
      <c r="CV1189" s="10"/>
      <c r="CY1189" s="18" t="str">
        <f ca="1"/>
        <v/>
      </c>
      <c r="CZ1189" s="18" t="str">
        <f ca="1"/>
        <v/>
      </c>
      <c r="DA1189" s="18" t="str">
        <f ca="1"/>
        <v/>
      </c>
      <c r="DC1189" s="10"/>
    </row>
    <row r="1190" spans="1:107" x14ac:dyDescent="0.25">
      <c r="A1190" s="46"/>
      <c r="B1190" s="52"/>
      <c r="C1190" s="52"/>
      <c r="D1190" s="16"/>
      <c r="E1190" s="52"/>
      <c r="F1190" s="52"/>
      <c r="G1190" s="50"/>
      <c r="H1190" s="17" t="str">
        <f ca="1">IFERROR(__xludf.DUMMYFUNCTION("""COMPUTED_VALUE"""),"")</f>
        <v/>
      </c>
      <c r="I1190" s="50" t="s">
        <v>29</v>
      </c>
      <c r="J1190" s="50" t="s">
        <v>29</v>
      </c>
      <c r="K1190" s="50" t="s">
        <v>29</v>
      </c>
      <c r="L1190" s="50" t="s">
        <v>29</v>
      </c>
      <c r="M1190" s="50" t="s">
        <v>29</v>
      </c>
      <c r="N1190" s="49"/>
      <c r="P1190" s="19"/>
      <c r="Q1190" s="18" t="str">
        <f ca="1">IFERROR(__xludf.DUMMYFUNCTION("""COMPUTED_VALUE"""),"")</f>
        <v/>
      </c>
      <c r="R1190" s="19"/>
      <c r="S1190" s="20"/>
      <c r="BP1190" s="10"/>
      <c r="BW1190" s="10"/>
      <c r="CF1190" s="10"/>
      <c r="CM1190" s="10"/>
      <c r="CP1190" s="18" t="str">
        <f ca="1"/>
        <v/>
      </c>
      <c r="CQ1190" s="18" t="str">
        <f ca="1"/>
        <v/>
      </c>
      <c r="CR1190" s="18" t="str">
        <f ca="1"/>
        <v/>
      </c>
      <c r="CS1190" s="18" t="str">
        <f ca="1"/>
        <v/>
      </c>
      <c r="CT1190" s="18" t="str">
        <f ca="1"/>
        <v/>
      </c>
      <c r="CV1190" s="10"/>
      <c r="CY1190" s="18" t="str">
        <f ca="1"/>
        <v/>
      </c>
      <c r="CZ1190" s="18" t="str">
        <f ca="1"/>
        <v/>
      </c>
      <c r="DA1190" s="18" t="str">
        <f ca="1"/>
        <v/>
      </c>
      <c r="DC1190" s="10"/>
    </row>
    <row r="1191" spans="1:107" x14ac:dyDescent="0.25">
      <c r="A1191" s="46"/>
      <c r="B1191" s="52"/>
      <c r="C1191" s="52"/>
      <c r="D1191" s="16"/>
      <c r="E1191" s="52"/>
      <c r="F1191" s="52"/>
      <c r="G1191" s="50"/>
      <c r="H1191" s="17" t="str">
        <f ca="1">IFERROR(__xludf.DUMMYFUNCTION("""COMPUTED_VALUE"""),"")</f>
        <v/>
      </c>
      <c r="I1191" s="50" t="s">
        <v>29</v>
      </c>
      <c r="J1191" s="50" t="s">
        <v>29</v>
      </c>
      <c r="K1191" s="50" t="s">
        <v>29</v>
      </c>
      <c r="L1191" s="50" t="s">
        <v>29</v>
      </c>
      <c r="M1191" s="50" t="s">
        <v>29</v>
      </c>
      <c r="N1191" s="49"/>
      <c r="P1191" s="19"/>
      <c r="Q1191" s="18" t="str">
        <f ca="1">IFERROR(__xludf.DUMMYFUNCTION("""COMPUTED_VALUE"""),"")</f>
        <v/>
      </c>
      <c r="R1191" s="19"/>
      <c r="S1191" s="20"/>
      <c r="BP1191" s="10"/>
      <c r="BW1191" s="10"/>
      <c r="CF1191" s="10"/>
      <c r="CM1191" s="10"/>
      <c r="CP1191" s="18" t="str">
        <f ca="1"/>
        <v/>
      </c>
      <c r="CQ1191" s="18" t="str">
        <f ca="1"/>
        <v/>
      </c>
      <c r="CR1191" s="18" t="str">
        <f ca="1"/>
        <v/>
      </c>
      <c r="CS1191" s="18" t="str">
        <f ca="1"/>
        <v/>
      </c>
      <c r="CT1191" s="18" t="str">
        <f ca="1"/>
        <v/>
      </c>
      <c r="CV1191" s="10"/>
      <c r="CY1191" s="18" t="str">
        <f ca="1"/>
        <v/>
      </c>
      <c r="CZ1191" s="18" t="str">
        <f ca="1"/>
        <v/>
      </c>
      <c r="DA1191" s="18" t="str">
        <f ca="1"/>
        <v/>
      </c>
      <c r="DC1191" s="10"/>
    </row>
    <row r="1192" spans="1:107" x14ac:dyDescent="0.25">
      <c r="A1192" s="46"/>
      <c r="B1192" s="52"/>
      <c r="C1192" s="52"/>
      <c r="D1192" s="16"/>
      <c r="E1192" s="52"/>
      <c r="F1192" s="52"/>
      <c r="G1192" s="50"/>
      <c r="H1192" s="17" t="str">
        <f ca="1">IFERROR(__xludf.DUMMYFUNCTION("""COMPUTED_VALUE"""),"")</f>
        <v/>
      </c>
      <c r="I1192" s="50" t="s">
        <v>29</v>
      </c>
      <c r="J1192" s="50" t="s">
        <v>29</v>
      </c>
      <c r="K1192" s="50" t="s">
        <v>29</v>
      </c>
      <c r="L1192" s="50" t="s">
        <v>29</v>
      </c>
      <c r="M1192" s="50" t="s">
        <v>29</v>
      </c>
      <c r="N1192" s="49"/>
      <c r="P1192" s="19"/>
      <c r="Q1192" s="18" t="str">
        <f ca="1">IFERROR(__xludf.DUMMYFUNCTION("""COMPUTED_VALUE"""),"")</f>
        <v/>
      </c>
      <c r="R1192" s="19"/>
      <c r="S1192" s="20"/>
      <c r="BP1192" s="10"/>
      <c r="BW1192" s="10"/>
      <c r="CF1192" s="10"/>
      <c r="CM1192" s="10"/>
      <c r="CP1192" s="18" t="str">
        <f ca="1"/>
        <v/>
      </c>
      <c r="CQ1192" s="18" t="str">
        <f ca="1"/>
        <v/>
      </c>
      <c r="CR1192" s="18" t="str">
        <f ca="1"/>
        <v/>
      </c>
      <c r="CS1192" s="18" t="str">
        <f ca="1"/>
        <v/>
      </c>
      <c r="CT1192" s="18" t="str">
        <f ca="1"/>
        <v/>
      </c>
      <c r="CV1192" s="10"/>
      <c r="CY1192" s="18" t="str">
        <f ca="1"/>
        <v/>
      </c>
      <c r="CZ1192" s="18" t="str">
        <f ca="1"/>
        <v/>
      </c>
      <c r="DA1192" s="18" t="str">
        <f ca="1"/>
        <v/>
      </c>
      <c r="DC1192" s="10"/>
    </row>
    <row r="1193" spans="1:107" x14ac:dyDescent="0.25">
      <c r="A1193" s="46"/>
      <c r="B1193" s="52"/>
      <c r="C1193" s="52"/>
      <c r="D1193" s="16"/>
      <c r="E1193" s="52"/>
      <c r="F1193" s="52"/>
      <c r="G1193" s="50"/>
      <c r="H1193" s="17" t="str">
        <f ca="1">IFERROR(__xludf.DUMMYFUNCTION("""COMPUTED_VALUE"""),"")</f>
        <v/>
      </c>
      <c r="I1193" s="50" t="s">
        <v>29</v>
      </c>
      <c r="J1193" s="50" t="s">
        <v>29</v>
      </c>
      <c r="K1193" s="50" t="s">
        <v>29</v>
      </c>
      <c r="L1193" s="50" t="s">
        <v>29</v>
      </c>
      <c r="M1193" s="50" t="s">
        <v>29</v>
      </c>
      <c r="N1193" s="49"/>
      <c r="P1193" s="19"/>
      <c r="Q1193" s="18" t="str">
        <f ca="1">IFERROR(__xludf.DUMMYFUNCTION("""COMPUTED_VALUE"""),"")</f>
        <v/>
      </c>
      <c r="R1193" s="19"/>
      <c r="S1193" s="20"/>
      <c r="BP1193" s="10"/>
      <c r="BW1193" s="10"/>
      <c r="CF1193" s="10"/>
      <c r="CM1193" s="10"/>
      <c r="CP1193" s="18" t="str">
        <f ca="1"/>
        <v/>
      </c>
      <c r="CQ1193" s="18" t="str">
        <f ca="1"/>
        <v/>
      </c>
      <c r="CR1193" s="18" t="str">
        <f ca="1"/>
        <v/>
      </c>
      <c r="CS1193" s="18" t="str">
        <f ca="1"/>
        <v/>
      </c>
      <c r="CT1193" s="18" t="str">
        <f ca="1"/>
        <v/>
      </c>
      <c r="CV1193" s="10"/>
      <c r="CY1193" s="18" t="str">
        <f ca="1"/>
        <v/>
      </c>
      <c r="CZ1193" s="18" t="str">
        <f ca="1"/>
        <v/>
      </c>
      <c r="DA1193" s="18" t="str">
        <f ca="1"/>
        <v/>
      </c>
      <c r="DC1193" s="10"/>
    </row>
    <row r="1194" spans="1:107" x14ac:dyDescent="0.25">
      <c r="A1194" s="46"/>
      <c r="B1194" s="52"/>
      <c r="C1194" s="52"/>
      <c r="D1194" s="16"/>
      <c r="E1194" s="52"/>
      <c r="F1194" s="52"/>
      <c r="G1194" s="50"/>
      <c r="H1194" s="17" t="str">
        <f ca="1">IFERROR(__xludf.DUMMYFUNCTION("""COMPUTED_VALUE"""),"")</f>
        <v/>
      </c>
      <c r="I1194" s="50" t="s">
        <v>29</v>
      </c>
      <c r="J1194" s="50" t="s">
        <v>29</v>
      </c>
      <c r="K1194" s="50" t="s">
        <v>29</v>
      </c>
      <c r="L1194" s="50" t="s">
        <v>29</v>
      </c>
      <c r="M1194" s="50" t="s">
        <v>29</v>
      </c>
      <c r="N1194" s="49"/>
      <c r="P1194" s="19"/>
      <c r="Q1194" s="18" t="str">
        <f ca="1">IFERROR(__xludf.DUMMYFUNCTION("""COMPUTED_VALUE"""),"")</f>
        <v/>
      </c>
      <c r="R1194" s="19"/>
      <c r="S1194" s="20"/>
      <c r="BP1194" s="10"/>
      <c r="BW1194" s="10"/>
      <c r="CF1194" s="10"/>
      <c r="CM1194" s="10"/>
      <c r="CP1194" s="18" t="str">
        <f ca="1"/>
        <v/>
      </c>
      <c r="CQ1194" s="18" t="str">
        <f ca="1"/>
        <v/>
      </c>
      <c r="CR1194" s="18" t="str">
        <f ca="1"/>
        <v/>
      </c>
      <c r="CS1194" s="18" t="str">
        <f ca="1"/>
        <v/>
      </c>
      <c r="CT1194" s="18" t="str">
        <f ca="1"/>
        <v/>
      </c>
      <c r="CV1194" s="10"/>
      <c r="CY1194" s="18" t="str">
        <f ca="1"/>
        <v/>
      </c>
      <c r="CZ1194" s="18" t="str">
        <f ca="1"/>
        <v/>
      </c>
      <c r="DA1194" s="18" t="str">
        <f ca="1"/>
        <v/>
      </c>
      <c r="DC1194" s="10"/>
    </row>
    <row r="1195" spans="1:107" x14ac:dyDescent="0.25">
      <c r="A1195" s="46"/>
      <c r="B1195" s="52"/>
      <c r="C1195" s="52"/>
      <c r="D1195" s="16"/>
      <c r="E1195" s="52"/>
      <c r="F1195" s="52"/>
      <c r="G1195" s="50"/>
      <c r="H1195" s="17" t="str">
        <f ca="1">IFERROR(__xludf.DUMMYFUNCTION("""COMPUTED_VALUE"""),"")</f>
        <v/>
      </c>
      <c r="I1195" s="50" t="s">
        <v>29</v>
      </c>
      <c r="J1195" s="50" t="s">
        <v>29</v>
      </c>
      <c r="K1195" s="50" t="s">
        <v>29</v>
      </c>
      <c r="L1195" s="50" t="s">
        <v>29</v>
      </c>
      <c r="M1195" s="50" t="s">
        <v>29</v>
      </c>
      <c r="N1195" s="49"/>
      <c r="P1195" s="19"/>
      <c r="Q1195" s="18" t="str">
        <f ca="1">IFERROR(__xludf.DUMMYFUNCTION("""COMPUTED_VALUE"""),"")</f>
        <v/>
      </c>
      <c r="R1195" s="19"/>
      <c r="S1195" s="20"/>
      <c r="BP1195" s="10"/>
      <c r="BW1195" s="10"/>
      <c r="CF1195" s="10"/>
      <c r="CM1195" s="10"/>
      <c r="CP1195" s="18" t="str">
        <f ca="1"/>
        <v/>
      </c>
      <c r="CQ1195" s="18" t="str">
        <f ca="1"/>
        <v/>
      </c>
      <c r="CR1195" s="18" t="str">
        <f ca="1"/>
        <v/>
      </c>
      <c r="CS1195" s="18" t="str">
        <f ca="1"/>
        <v/>
      </c>
      <c r="CT1195" s="18" t="str">
        <f ca="1"/>
        <v/>
      </c>
      <c r="CV1195" s="10"/>
      <c r="CY1195" s="18" t="str">
        <f ca="1"/>
        <v/>
      </c>
      <c r="CZ1195" s="18" t="str">
        <f ca="1"/>
        <v/>
      </c>
      <c r="DA1195" s="18" t="str">
        <f ca="1"/>
        <v/>
      </c>
      <c r="DC1195" s="10"/>
    </row>
    <row r="1196" spans="1:107" x14ac:dyDescent="0.25">
      <c r="A1196" s="46"/>
      <c r="B1196" s="52"/>
      <c r="C1196" s="52"/>
      <c r="D1196" s="16"/>
      <c r="E1196" s="52"/>
      <c r="F1196" s="52"/>
      <c r="G1196" s="50"/>
      <c r="H1196" s="17" t="str">
        <f ca="1">IFERROR(__xludf.DUMMYFUNCTION("""COMPUTED_VALUE"""),"")</f>
        <v/>
      </c>
      <c r="I1196" s="50" t="s">
        <v>29</v>
      </c>
      <c r="J1196" s="50" t="s">
        <v>29</v>
      </c>
      <c r="K1196" s="50" t="s">
        <v>29</v>
      </c>
      <c r="L1196" s="50" t="s">
        <v>29</v>
      </c>
      <c r="M1196" s="50" t="s">
        <v>29</v>
      </c>
      <c r="N1196" s="49"/>
      <c r="P1196" s="19"/>
      <c r="Q1196" s="18" t="str">
        <f ca="1">IFERROR(__xludf.DUMMYFUNCTION("""COMPUTED_VALUE"""),"")</f>
        <v/>
      </c>
      <c r="R1196" s="19"/>
      <c r="S1196" s="20"/>
      <c r="BP1196" s="10"/>
      <c r="BW1196" s="10"/>
      <c r="CF1196" s="10"/>
      <c r="CM1196" s="10"/>
      <c r="CP1196" s="18" t="str">
        <f ca="1"/>
        <v/>
      </c>
      <c r="CQ1196" s="18" t="str">
        <f ca="1"/>
        <v/>
      </c>
      <c r="CR1196" s="18" t="str">
        <f ca="1"/>
        <v/>
      </c>
      <c r="CS1196" s="18" t="str">
        <f ca="1"/>
        <v/>
      </c>
      <c r="CT1196" s="18" t="str">
        <f ca="1"/>
        <v/>
      </c>
      <c r="CV1196" s="10"/>
      <c r="CY1196" s="18" t="str">
        <f ca="1"/>
        <v/>
      </c>
      <c r="CZ1196" s="18" t="str">
        <f ca="1"/>
        <v/>
      </c>
      <c r="DA1196" s="18" t="str">
        <f ca="1"/>
        <v/>
      </c>
      <c r="DC1196" s="10"/>
    </row>
    <row r="1197" spans="1:107" x14ac:dyDescent="0.25">
      <c r="A1197" s="46"/>
      <c r="B1197" s="52"/>
      <c r="C1197" s="52"/>
      <c r="D1197" s="16"/>
      <c r="E1197" s="52"/>
      <c r="F1197" s="52"/>
      <c r="G1197" s="50"/>
      <c r="H1197" s="17" t="str">
        <f ca="1">IFERROR(__xludf.DUMMYFUNCTION("""COMPUTED_VALUE"""),"")</f>
        <v/>
      </c>
      <c r="I1197" s="50" t="s">
        <v>29</v>
      </c>
      <c r="J1197" s="50" t="s">
        <v>29</v>
      </c>
      <c r="K1197" s="50" t="s">
        <v>29</v>
      </c>
      <c r="L1197" s="50" t="s">
        <v>29</v>
      </c>
      <c r="M1197" s="50" t="s">
        <v>29</v>
      </c>
      <c r="N1197" s="49"/>
      <c r="P1197" s="19"/>
      <c r="Q1197" s="18" t="str">
        <f ca="1">IFERROR(__xludf.DUMMYFUNCTION("""COMPUTED_VALUE"""),"")</f>
        <v/>
      </c>
      <c r="R1197" s="19"/>
      <c r="S1197" s="20"/>
      <c r="BP1197" s="10"/>
      <c r="BW1197" s="10"/>
      <c r="CF1197" s="10"/>
      <c r="CM1197" s="10"/>
      <c r="CP1197" s="18" t="str">
        <f ca="1"/>
        <v/>
      </c>
      <c r="CQ1197" s="18" t="str">
        <f ca="1"/>
        <v/>
      </c>
      <c r="CR1197" s="18" t="str">
        <f ca="1"/>
        <v/>
      </c>
      <c r="CS1197" s="18" t="str">
        <f ca="1"/>
        <v/>
      </c>
      <c r="CT1197" s="18" t="str">
        <f ca="1"/>
        <v/>
      </c>
      <c r="CV1197" s="10"/>
      <c r="CY1197" s="18" t="str">
        <f ca="1"/>
        <v/>
      </c>
      <c r="CZ1197" s="18" t="str">
        <f ca="1"/>
        <v/>
      </c>
      <c r="DA1197" s="18" t="str">
        <f ca="1"/>
        <v/>
      </c>
      <c r="DC1197" s="10"/>
    </row>
    <row r="1198" spans="1:107" x14ac:dyDescent="0.25">
      <c r="A1198" s="46"/>
      <c r="B1198" s="52"/>
      <c r="C1198" s="52"/>
      <c r="D1198" s="16"/>
      <c r="E1198" s="52"/>
      <c r="F1198" s="52"/>
      <c r="G1198" s="50"/>
      <c r="H1198" s="17" t="str">
        <f ca="1">IFERROR(__xludf.DUMMYFUNCTION("""COMPUTED_VALUE"""),"")</f>
        <v/>
      </c>
      <c r="I1198" s="50" t="s">
        <v>29</v>
      </c>
      <c r="J1198" s="50" t="s">
        <v>29</v>
      </c>
      <c r="K1198" s="50" t="s">
        <v>29</v>
      </c>
      <c r="L1198" s="50" t="s">
        <v>29</v>
      </c>
      <c r="M1198" s="50" t="s">
        <v>29</v>
      </c>
      <c r="N1198" s="49"/>
      <c r="P1198" s="19"/>
      <c r="Q1198" s="18" t="str">
        <f ca="1">IFERROR(__xludf.DUMMYFUNCTION("""COMPUTED_VALUE"""),"")</f>
        <v/>
      </c>
      <c r="R1198" s="19"/>
      <c r="S1198" s="20"/>
      <c r="BP1198" s="10"/>
      <c r="BW1198" s="10"/>
      <c r="CF1198" s="10"/>
      <c r="CM1198" s="10"/>
      <c r="CP1198" s="18" t="str">
        <f ca="1"/>
        <v/>
      </c>
      <c r="CQ1198" s="18" t="str">
        <f ca="1"/>
        <v/>
      </c>
      <c r="CR1198" s="18" t="str">
        <f ca="1"/>
        <v/>
      </c>
      <c r="CS1198" s="18" t="str">
        <f ca="1"/>
        <v/>
      </c>
      <c r="CT1198" s="18" t="str">
        <f ca="1"/>
        <v/>
      </c>
      <c r="CV1198" s="10"/>
      <c r="CY1198" s="18" t="str">
        <f ca="1"/>
        <v/>
      </c>
      <c r="CZ1198" s="18" t="str">
        <f ca="1"/>
        <v/>
      </c>
      <c r="DA1198" s="18" t="str">
        <f ca="1"/>
        <v/>
      </c>
      <c r="DC1198" s="10"/>
    </row>
    <row r="1199" spans="1:107" x14ac:dyDescent="0.25">
      <c r="A1199" s="46"/>
      <c r="B1199" s="52"/>
      <c r="C1199" s="52"/>
      <c r="D1199" s="16"/>
      <c r="E1199" s="52"/>
      <c r="F1199" s="52"/>
      <c r="G1199" s="50"/>
      <c r="H1199" s="17" t="str">
        <f ca="1">IFERROR(__xludf.DUMMYFUNCTION("""COMPUTED_VALUE"""),"")</f>
        <v/>
      </c>
      <c r="I1199" s="50" t="s">
        <v>29</v>
      </c>
      <c r="J1199" s="50" t="s">
        <v>29</v>
      </c>
      <c r="K1199" s="50" t="s">
        <v>29</v>
      </c>
      <c r="L1199" s="50" t="s">
        <v>29</v>
      </c>
      <c r="M1199" s="50" t="s">
        <v>29</v>
      </c>
      <c r="N1199" s="49"/>
      <c r="P1199" s="19"/>
      <c r="Q1199" s="18" t="str">
        <f ca="1">IFERROR(__xludf.DUMMYFUNCTION("""COMPUTED_VALUE"""),"")</f>
        <v/>
      </c>
      <c r="R1199" s="19"/>
      <c r="S1199" s="20"/>
      <c r="BP1199" s="10"/>
      <c r="BW1199" s="10"/>
      <c r="CF1199" s="10"/>
      <c r="CM1199" s="10"/>
      <c r="CP1199" s="18" t="str">
        <f ca="1"/>
        <v/>
      </c>
      <c r="CQ1199" s="18" t="str">
        <f ca="1"/>
        <v/>
      </c>
      <c r="CR1199" s="18" t="str">
        <f ca="1"/>
        <v/>
      </c>
      <c r="CS1199" s="18" t="str">
        <f ca="1"/>
        <v/>
      </c>
      <c r="CT1199" s="18" t="str">
        <f ca="1"/>
        <v/>
      </c>
      <c r="CV1199" s="10"/>
      <c r="CY1199" s="18" t="str">
        <f ca="1"/>
        <v/>
      </c>
      <c r="CZ1199" s="18" t="str">
        <f ca="1"/>
        <v/>
      </c>
      <c r="DA1199" s="18" t="str">
        <f ca="1"/>
        <v/>
      </c>
      <c r="DC1199" s="10"/>
    </row>
    <row r="1200" spans="1:107" x14ac:dyDescent="0.25">
      <c r="A1200" s="46"/>
      <c r="B1200" s="52"/>
      <c r="C1200" s="52"/>
      <c r="D1200" s="16"/>
      <c r="E1200" s="52"/>
      <c r="F1200" s="52"/>
      <c r="G1200" s="50"/>
      <c r="H1200" s="17" t="str">
        <f ca="1">IFERROR(__xludf.DUMMYFUNCTION("""COMPUTED_VALUE"""),"")</f>
        <v/>
      </c>
      <c r="I1200" s="50" t="s">
        <v>29</v>
      </c>
      <c r="J1200" s="50" t="s">
        <v>29</v>
      </c>
      <c r="K1200" s="50" t="s">
        <v>29</v>
      </c>
      <c r="L1200" s="50" t="s">
        <v>29</v>
      </c>
      <c r="M1200" s="50" t="s">
        <v>29</v>
      </c>
      <c r="N1200" s="49"/>
      <c r="P1200" s="19"/>
      <c r="Q1200" s="18" t="str">
        <f ca="1">IFERROR(__xludf.DUMMYFUNCTION("""COMPUTED_VALUE"""),"")</f>
        <v/>
      </c>
      <c r="R1200" s="19"/>
      <c r="S1200" s="20"/>
      <c r="BP1200" s="10"/>
      <c r="BW1200" s="10"/>
      <c r="CF1200" s="10"/>
      <c r="CM1200" s="10"/>
      <c r="CP1200" s="18" t="str">
        <f ca="1"/>
        <v/>
      </c>
      <c r="CQ1200" s="18" t="str">
        <f ca="1"/>
        <v/>
      </c>
      <c r="CR1200" s="18" t="str">
        <f ca="1"/>
        <v/>
      </c>
      <c r="CS1200" s="18" t="str">
        <f ca="1"/>
        <v/>
      </c>
      <c r="CT1200" s="18" t="str">
        <f ca="1"/>
        <v/>
      </c>
      <c r="CV1200" s="10"/>
      <c r="CY1200" s="18" t="str">
        <f ca="1"/>
        <v/>
      </c>
      <c r="CZ1200" s="18" t="str">
        <f ca="1"/>
        <v/>
      </c>
      <c r="DA1200" s="18" t="str">
        <f ca="1"/>
        <v/>
      </c>
      <c r="DC1200" s="10"/>
    </row>
    <row r="1201" spans="1:107" x14ac:dyDescent="0.25">
      <c r="A1201" s="46"/>
      <c r="B1201" s="52"/>
      <c r="C1201" s="52"/>
      <c r="D1201" s="16"/>
      <c r="E1201" s="52"/>
      <c r="F1201" s="52"/>
      <c r="G1201" s="50"/>
      <c r="H1201" s="17" t="str">
        <f ca="1">IFERROR(__xludf.DUMMYFUNCTION("""COMPUTED_VALUE"""),"")</f>
        <v/>
      </c>
      <c r="I1201" s="50" t="s">
        <v>29</v>
      </c>
      <c r="J1201" s="50" t="s">
        <v>29</v>
      </c>
      <c r="K1201" s="50" t="s">
        <v>29</v>
      </c>
      <c r="L1201" s="50" t="s">
        <v>29</v>
      </c>
      <c r="M1201" s="50" t="s">
        <v>29</v>
      </c>
      <c r="N1201" s="49"/>
      <c r="P1201" s="19"/>
      <c r="Q1201" s="18" t="str">
        <f ca="1">IFERROR(__xludf.DUMMYFUNCTION("""COMPUTED_VALUE"""),"")</f>
        <v/>
      </c>
      <c r="R1201" s="19"/>
      <c r="S1201" s="20"/>
      <c r="BP1201" s="10"/>
      <c r="BW1201" s="10"/>
      <c r="CF1201" s="10"/>
      <c r="CM1201" s="10"/>
      <c r="CP1201" s="18" t="str">
        <f ca="1"/>
        <v/>
      </c>
      <c r="CQ1201" s="18" t="str">
        <f ca="1"/>
        <v/>
      </c>
      <c r="CR1201" s="18" t="str">
        <f ca="1"/>
        <v/>
      </c>
      <c r="CS1201" s="18" t="str">
        <f ca="1"/>
        <v/>
      </c>
      <c r="CT1201" s="18" t="str">
        <f ca="1"/>
        <v/>
      </c>
      <c r="CV1201" s="10"/>
      <c r="CY1201" s="18" t="str">
        <f ca="1"/>
        <v/>
      </c>
      <c r="CZ1201" s="18" t="str">
        <f ca="1"/>
        <v/>
      </c>
      <c r="DA1201" s="18" t="str">
        <f ca="1"/>
        <v/>
      </c>
      <c r="DC1201" s="10"/>
    </row>
    <row r="1202" spans="1:107" x14ac:dyDescent="0.25">
      <c r="A1202" s="46"/>
      <c r="B1202" s="52"/>
      <c r="C1202" s="52"/>
      <c r="D1202" s="16"/>
      <c r="E1202" s="52"/>
      <c r="F1202" s="52"/>
      <c r="G1202" s="50"/>
      <c r="H1202" s="17" t="str">
        <f ca="1">IFERROR(__xludf.DUMMYFUNCTION("""COMPUTED_VALUE"""),"")</f>
        <v/>
      </c>
      <c r="I1202" s="50" t="s">
        <v>29</v>
      </c>
      <c r="J1202" s="50" t="s">
        <v>29</v>
      </c>
      <c r="K1202" s="50" t="s">
        <v>29</v>
      </c>
      <c r="L1202" s="50" t="s">
        <v>29</v>
      </c>
      <c r="M1202" s="50" t="s">
        <v>29</v>
      </c>
      <c r="N1202" s="49"/>
      <c r="P1202" s="19"/>
      <c r="Q1202" s="18" t="str">
        <f ca="1">IFERROR(__xludf.DUMMYFUNCTION("""COMPUTED_VALUE"""),"")</f>
        <v/>
      </c>
      <c r="R1202" s="19"/>
      <c r="S1202" s="20"/>
      <c r="BP1202" s="10"/>
      <c r="BW1202" s="10"/>
      <c r="CF1202" s="10"/>
      <c r="CM1202" s="10"/>
      <c r="CP1202" s="18" t="str">
        <f ca="1"/>
        <v/>
      </c>
      <c r="CQ1202" s="18" t="str">
        <f ca="1"/>
        <v/>
      </c>
      <c r="CR1202" s="18" t="str">
        <f ca="1"/>
        <v/>
      </c>
      <c r="CS1202" s="18" t="str">
        <f ca="1"/>
        <v/>
      </c>
      <c r="CT1202" s="18" t="str">
        <f ca="1"/>
        <v/>
      </c>
      <c r="CV1202" s="10"/>
      <c r="CY1202" s="18" t="str">
        <f ca="1"/>
        <v/>
      </c>
      <c r="CZ1202" s="18" t="str">
        <f ca="1"/>
        <v/>
      </c>
      <c r="DA1202" s="18" t="str">
        <f ca="1"/>
        <v/>
      </c>
      <c r="DC1202" s="10"/>
    </row>
    <row r="1203" spans="1:107" x14ac:dyDescent="0.25">
      <c r="A1203" s="46"/>
      <c r="B1203" s="52"/>
      <c r="C1203" s="52"/>
      <c r="D1203" s="16"/>
      <c r="E1203" s="52"/>
      <c r="F1203" s="52"/>
      <c r="G1203" s="50"/>
      <c r="H1203" s="17" t="str">
        <f ca="1">IFERROR(__xludf.DUMMYFUNCTION("""COMPUTED_VALUE"""),"")</f>
        <v/>
      </c>
      <c r="I1203" s="50" t="s">
        <v>29</v>
      </c>
      <c r="J1203" s="50" t="s">
        <v>29</v>
      </c>
      <c r="K1203" s="50" t="s">
        <v>29</v>
      </c>
      <c r="L1203" s="50" t="s">
        <v>29</v>
      </c>
      <c r="M1203" s="50" t="s">
        <v>29</v>
      </c>
      <c r="N1203" s="49"/>
      <c r="P1203" s="19"/>
      <c r="Q1203" s="18" t="str">
        <f ca="1">IFERROR(__xludf.DUMMYFUNCTION("""COMPUTED_VALUE"""),"")</f>
        <v/>
      </c>
      <c r="R1203" s="19"/>
      <c r="S1203" s="20"/>
      <c r="BP1203" s="10"/>
      <c r="BW1203" s="10"/>
      <c r="CF1203" s="10"/>
      <c r="CM1203" s="10"/>
      <c r="CP1203" s="18" t="str">
        <f ca="1"/>
        <v/>
      </c>
      <c r="CQ1203" s="18" t="str">
        <f ca="1"/>
        <v/>
      </c>
      <c r="CR1203" s="18" t="str">
        <f ca="1"/>
        <v/>
      </c>
      <c r="CS1203" s="18" t="str">
        <f ca="1"/>
        <v/>
      </c>
      <c r="CT1203" s="18" t="str">
        <f ca="1"/>
        <v/>
      </c>
      <c r="CV1203" s="10"/>
      <c r="CY1203" s="18" t="str">
        <f ca="1"/>
        <v/>
      </c>
      <c r="CZ1203" s="18" t="str">
        <f ca="1"/>
        <v/>
      </c>
      <c r="DA1203" s="18" t="str">
        <f ca="1"/>
        <v/>
      </c>
      <c r="DC1203" s="10"/>
    </row>
    <row r="1204" spans="1:107" x14ac:dyDescent="0.25">
      <c r="A1204" s="46"/>
      <c r="B1204" s="52"/>
      <c r="C1204" s="52"/>
      <c r="D1204" s="16"/>
      <c r="E1204" s="52"/>
      <c r="F1204" s="52"/>
      <c r="G1204" s="50"/>
      <c r="H1204" s="17" t="str">
        <f ca="1">IFERROR(__xludf.DUMMYFUNCTION("""COMPUTED_VALUE"""),"")</f>
        <v/>
      </c>
      <c r="I1204" s="50" t="s">
        <v>29</v>
      </c>
      <c r="J1204" s="50" t="s">
        <v>29</v>
      </c>
      <c r="K1204" s="50" t="s">
        <v>29</v>
      </c>
      <c r="L1204" s="50" t="s">
        <v>29</v>
      </c>
      <c r="M1204" s="50" t="s">
        <v>29</v>
      </c>
      <c r="N1204" s="49"/>
      <c r="P1204" s="19"/>
      <c r="Q1204" s="18" t="str">
        <f ca="1">IFERROR(__xludf.DUMMYFUNCTION("""COMPUTED_VALUE"""),"")</f>
        <v/>
      </c>
      <c r="R1204" s="19"/>
      <c r="S1204" s="20"/>
      <c r="BP1204" s="10"/>
      <c r="BW1204" s="10"/>
      <c r="CF1204" s="10"/>
      <c r="CM1204" s="10"/>
      <c r="CP1204" s="18" t="str">
        <f ca="1"/>
        <v/>
      </c>
      <c r="CQ1204" s="18" t="str">
        <f ca="1"/>
        <v/>
      </c>
      <c r="CR1204" s="18" t="str">
        <f ca="1"/>
        <v/>
      </c>
      <c r="CS1204" s="18" t="str">
        <f ca="1"/>
        <v/>
      </c>
      <c r="CT1204" s="18" t="str">
        <f ca="1"/>
        <v/>
      </c>
      <c r="CV1204" s="10"/>
      <c r="CY1204" s="18" t="str">
        <f ca="1"/>
        <v/>
      </c>
      <c r="CZ1204" s="18" t="str">
        <f ca="1"/>
        <v/>
      </c>
      <c r="DA1204" s="18" t="str">
        <f ca="1"/>
        <v/>
      </c>
      <c r="DC1204" s="10"/>
    </row>
    <row r="1205" spans="1:107" x14ac:dyDescent="0.25">
      <c r="A1205" s="46"/>
      <c r="B1205" s="52"/>
      <c r="C1205" s="52"/>
      <c r="D1205" s="16"/>
      <c r="E1205" s="52"/>
      <c r="F1205" s="52"/>
      <c r="G1205" s="50"/>
      <c r="H1205" s="17" t="str">
        <f ca="1">IFERROR(__xludf.DUMMYFUNCTION("""COMPUTED_VALUE"""),"")</f>
        <v/>
      </c>
      <c r="I1205" s="50" t="s">
        <v>29</v>
      </c>
      <c r="J1205" s="50" t="s">
        <v>29</v>
      </c>
      <c r="K1205" s="50" t="s">
        <v>29</v>
      </c>
      <c r="L1205" s="50" t="s">
        <v>29</v>
      </c>
      <c r="M1205" s="50" t="s">
        <v>29</v>
      </c>
      <c r="N1205" s="49"/>
      <c r="P1205" s="19"/>
      <c r="Q1205" s="18" t="str">
        <f ca="1">IFERROR(__xludf.DUMMYFUNCTION("""COMPUTED_VALUE"""),"")</f>
        <v/>
      </c>
      <c r="R1205" s="19"/>
      <c r="S1205" s="20"/>
      <c r="BP1205" s="10"/>
      <c r="BW1205" s="10"/>
      <c r="CF1205" s="10"/>
      <c r="CM1205" s="10"/>
      <c r="CP1205" s="18" t="str">
        <f ca="1"/>
        <v/>
      </c>
      <c r="CQ1205" s="18" t="str">
        <f ca="1"/>
        <v/>
      </c>
      <c r="CR1205" s="18" t="str">
        <f ca="1"/>
        <v/>
      </c>
      <c r="CS1205" s="18" t="str">
        <f ca="1"/>
        <v/>
      </c>
      <c r="CT1205" s="18" t="str">
        <f ca="1"/>
        <v/>
      </c>
      <c r="CV1205" s="10"/>
      <c r="CY1205" s="18" t="str">
        <f ca="1"/>
        <v/>
      </c>
      <c r="CZ1205" s="18" t="str">
        <f ca="1"/>
        <v/>
      </c>
      <c r="DA1205" s="18" t="str">
        <f ca="1"/>
        <v/>
      </c>
      <c r="DC1205" s="10"/>
    </row>
    <row r="1206" spans="1:107" x14ac:dyDescent="0.25">
      <c r="A1206" s="46"/>
      <c r="B1206" s="52"/>
      <c r="C1206" s="52"/>
      <c r="D1206" s="16"/>
      <c r="E1206" s="52"/>
      <c r="F1206" s="52"/>
      <c r="G1206" s="50"/>
      <c r="H1206" s="17" t="str">
        <f ca="1">IFERROR(__xludf.DUMMYFUNCTION("""COMPUTED_VALUE"""),"")</f>
        <v/>
      </c>
      <c r="I1206" s="50" t="s">
        <v>29</v>
      </c>
      <c r="J1206" s="50" t="s">
        <v>29</v>
      </c>
      <c r="K1206" s="50" t="s">
        <v>29</v>
      </c>
      <c r="L1206" s="50" t="s">
        <v>29</v>
      </c>
      <c r="M1206" s="50" t="s">
        <v>29</v>
      </c>
      <c r="N1206" s="49"/>
      <c r="P1206" s="19"/>
      <c r="Q1206" s="18" t="str">
        <f ca="1">IFERROR(__xludf.DUMMYFUNCTION("""COMPUTED_VALUE"""),"")</f>
        <v/>
      </c>
      <c r="R1206" s="19"/>
      <c r="S1206" s="20"/>
      <c r="BP1206" s="10"/>
      <c r="BW1206" s="10"/>
      <c r="CF1206" s="10"/>
      <c r="CM1206" s="10"/>
      <c r="CP1206" s="18" t="str">
        <f ca="1"/>
        <v/>
      </c>
      <c r="CQ1206" s="18" t="str">
        <f ca="1"/>
        <v/>
      </c>
      <c r="CR1206" s="18" t="str">
        <f ca="1"/>
        <v/>
      </c>
      <c r="CS1206" s="18" t="str">
        <f ca="1"/>
        <v/>
      </c>
      <c r="CT1206" s="18" t="str">
        <f ca="1"/>
        <v/>
      </c>
      <c r="CV1206" s="10"/>
      <c r="CY1206" s="18" t="str">
        <f ca="1"/>
        <v/>
      </c>
      <c r="CZ1206" s="18" t="str">
        <f ca="1"/>
        <v/>
      </c>
      <c r="DA1206" s="18" t="str">
        <f ca="1"/>
        <v/>
      </c>
      <c r="DC1206" s="10"/>
    </row>
    <row r="1207" spans="1:107" x14ac:dyDescent="0.25">
      <c r="A1207" s="46"/>
      <c r="B1207" s="52"/>
      <c r="C1207" s="52"/>
      <c r="D1207" s="16"/>
      <c r="E1207" s="52"/>
      <c r="F1207" s="52"/>
      <c r="G1207" s="50"/>
      <c r="H1207" s="17" t="str">
        <f ca="1">IFERROR(__xludf.DUMMYFUNCTION("""COMPUTED_VALUE"""),"")</f>
        <v/>
      </c>
      <c r="I1207" s="50" t="s">
        <v>29</v>
      </c>
      <c r="J1207" s="50" t="s">
        <v>29</v>
      </c>
      <c r="K1207" s="50" t="s">
        <v>29</v>
      </c>
      <c r="L1207" s="50" t="s">
        <v>29</v>
      </c>
      <c r="M1207" s="50" t="s">
        <v>29</v>
      </c>
      <c r="N1207" s="49"/>
      <c r="P1207" s="19"/>
      <c r="Q1207" s="18" t="str">
        <f ca="1">IFERROR(__xludf.DUMMYFUNCTION("""COMPUTED_VALUE"""),"")</f>
        <v/>
      </c>
      <c r="R1207" s="19"/>
      <c r="S1207" s="20"/>
      <c r="BP1207" s="10"/>
      <c r="BW1207" s="10"/>
      <c r="CF1207" s="10"/>
      <c r="CM1207" s="10"/>
      <c r="CP1207" s="18" t="str">
        <f ca="1"/>
        <v/>
      </c>
      <c r="CQ1207" s="18" t="str">
        <f ca="1"/>
        <v/>
      </c>
      <c r="CR1207" s="18" t="str">
        <f ca="1"/>
        <v/>
      </c>
      <c r="CS1207" s="18" t="str">
        <f ca="1"/>
        <v/>
      </c>
      <c r="CT1207" s="18" t="str">
        <f ca="1"/>
        <v/>
      </c>
      <c r="CV1207" s="10"/>
      <c r="CY1207" s="18" t="str">
        <f ca="1"/>
        <v/>
      </c>
      <c r="CZ1207" s="18" t="str">
        <f ca="1"/>
        <v/>
      </c>
      <c r="DA1207" s="18" t="str">
        <f ca="1"/>
        <v/>
      </c>
      <c r="DC1207" s="10"/>
    </row>
    <row r="1208" spans="1:107" x14ac:dyDescent="0.25">
      <c r="A1208" s="46"/>
      <c r="B1208" s="52"/>
      <c r="C1208" s="52"/>
      <c r="D1208" s="16"/>
      <c r="E1208" s="52"/>
      <c r="F1208" s="52"/>
      <c r="G1208" s="50"/>
      <c r="H1208" s="17" t="str">
        <f ca="1">IFERROR(__xludf.DUMMYFUNCTION("""COMPUTED_VALUE"""),"")</f>
        <v/>
      </c>
      <c r="I1208" s="50" t="s">
        <v>29</v>
      </c>
      <c r="J1208" s="50" t="s">
        <v>29</v>
      </c>
      <c r="K1208" s="50" t="s">
        <v>29</v>
      </c>
      <c r="L1208" s="50" t="s">
        <v>29</v>
      </c>
      <c r="M1208" s="50" t="s">
        <v>29</v>
      </c>
      <c r="N1208" s="49"/>
      <c r="P1208" s="19"/>
      <c r="Q1208" s="18" t="str">
        <f ca="1">IFERROR(__xludf.DUMMYFUNCTION("""COMPUTED_VALUE"""),"")</f>
        <v/>
      </c>
      <c r="R1208" s="19"/>
      <c r="S1208" s="20"/>
      <c r="BP1208" s="10"/>
      <c r="BW1208" s="10"/>
      <c r="CF1208" s="10"/>
      <c r="CM1208" s="10"/>
      <c r="CP1208" s="18" t="str">
        <f ca="1"/>
        <v/>
      </c>
      <c r="CQ1208" s="18" t="str">
        <f ca="1"/>
        <v/>
      </c>
      <c r="CR1208" s="18" t="str">
        <f ca="1"/>
        <v/>
      </c>
      <c r="CS1208" s="18" t="str">
        <f ca="1"/>
        <v/>
      </c>
      <c r="CT1208" s="18" t="str">
        <f ca="1"/>
        <v/>
      </c>
      <c r="CV1208" s="10"/>
      <c r="CY1208" s="18" t="str">
        <f ca="1"/>
        <v/>
      </c>
      <c r="CZ1208" s="18" t="str">
        <f ca="1"/>
        <v/>
      </c>
      <c r="DA1208" s="18" t="str">
        <f ca="1"/>
        <v/>
      </c>
      <c r="DC1208" s="10"/>
    </row>
    <row r="1209" spans="1:107" x14ac:dyDescent="0.25">
      <c r="A1209" s="46"/>
      <c r="B1209" s="52"/>
      <c r="C1209" s="52"/>
      <c r="D1209" s="16"/>
      <c r="E1209" s="52"/>
      <c r="F1209" s="52"/>
      <c r="G1209" s="50"/>
      <c r="H1209" s="17" t="str">
        <f ca="1">IFERROR(__xludf.DUMMYFUNCTION("""COMPUTED_VALUE"""),"")</f>
        <v/>
      </c>
      <c r="I1209" s="50" t="s">
        <v>29</v>
      </c>
      <c r="J1209" s="50" t="s">
        <v>29</v>
      </c>
      <c r="K1209" s="50" t="s">
        <v>29</v>
      </c>
      <c r="L1209" s="50" t="s">
        <v>29</v>
      </c>
      <c r="M1209" s="50" t="s">
        <v>29</v>
      </c>
      <c r="N1209" s="49"/>
      <c r="P1209" s="19"/>
      <c r="Q1209" s="18" t="str">
        <f ca="1">IFERROR(__xludf.DUMMYFUNCTION("""COMPUTED_VALUE"""),"")</f>
        <v/>
      </c>
      <c r="R1209" s="19"/>
      <c r="S1209" s="20"/>
      <c r="BP1209" s="10"/>
      <c r="BW1209" s="10"/>
      <c r="CF1209" s="10"/>
      <c r="CM1209" s="10"/>
      <c r="CP1209" s="18" t="str">
        <f ca="1"/>
        <v/>
      </c>
      <c r="CQ1209" s="18" t="str">
        <f ca="1"/>
        <v/>
      </c>
      <c r="CR1209" s="18" t="str">
        <f ca="1"/>
        <v/>
      </c>
      <c r="CS1209" s="18" t="str">
        <f ca="1"/>
        <v/>
      </c>
      <c r="CT1209" s="18" t="str">
        <f ca="1"/>
        <v/>
      </c>
      <c r="CV1209" s="10"/>
      <c r="CY1209" s="18" t="str">
        <f ca="1"/>
        <v/>
      </c>
      <c r="CZ1209" s="18" t="str">
        <f ca="1"/>
        <v/>
      </c>
      <c r="DA1209" s="18" t="str">
        <f ca="1"/>
        <v/>
      </c>
      <c r="DC1209" s="10"/>
    </row>
    <row r="1210" spans="1:107" x14ac:dyDescent="0.25">
      <c r="A1210" s="46"/>
      <c r="B1210" s="52"/>
      <c r="C1210" s="52"/>
      <c r="D1210" s="16"/>
      <c r="E1210" s="52"/>
      <c r="F1210" s="52"/>
      <c r="G1210" s="50"/>
      <c r="H1210" s="17" t="str">
        <f ca="1">IFERROR(__xludf.DUMMYFUNCTION("""COMPUTED_VALUE"""),"")</f>
        <v/>
      </c>
      <c r="I1210" s="50" t="s">
        <v>29</v>
      </c>
      <c r="J1210" s="50" t="s">
        <v>29</v>
      </c>
      <c r="K1210" s="50" t="s">
        <v>29</v>
      </c>
      <c r="L1210" s="50" t="s">
        <v>29</v>
      </c>
      <c r="M1210" s="50" t="s">
        <v>29</v>
      </c>
      <c r="N1210" s="49"/>
      <c r="P1210" s="19"/>
      <c r="Q1210" s="18" t="str">
        <f ca="1">IFERROR(__xludf.DUMMYFUNCTION("""COMPUTED_VALUE"""),"")</f>
        <v/>
      </c>
      <c r="R1210" s="19"/>
      <c r="S1210" s="20"/>
      <c r="BP1210" s="10"/>
      <c r="BW1210" s="10"/>
      <c r="CF1210" s="10"/>
      <c r="CM1210" s="10"/>
      <c r="CP1210" s="18" t="str">
        <f ca="1"/>
        <v/>
      </c>
      <c r="CQ1210" s="18" t="str">
        <f ca="1"/>
        <v/>
      </c>
      <c r="CR1210" s="18" t="str">
        <f ca="1"/>
        <v/>
      </c>
      <c r="CS1210" s="18" t="str">
        <f ca="1"/>
        <v/>
      </c>
      <c r="CT1210" s="18" t="str">
        <f ca="1"/>
        <v/>
      </c>
      <c r="CV1210" s="10"/>
      <c r="CY1210" s="18" t="str">
        <f ca="1"/>
        <v/>
      </c>
      <c r="CZ1210" s="18" t="str">
        <f ca="1"/>
        <v/>
      </c>
      <c r="DA1210" s="18" t="str">
        <f ca="1"/>
        <v/>
      </c>
      <c r="DC1210" s="10"/>
    </row>
    <row r="1211" spans="1:107" x14ac:dyDescent="0.25">
      <c r="A1211" s="46"/>
      <c r="B1211" s="52"/>
      <c r="C1211" s="52"/>
      <c r="D1211" s="16"/>
      <c r="E1211" s="52"/>
      <c r="F1211" s="52"/>
      <c r="G1211" s="50"/>
      <c r="H1211" s="17" t="str">
        <f ca="1">IFERROR(__xludf.DUMMYFUNCTION("""COMPUTED_VALUE"""),"")</f>
        <v/>
      </c>
      <c r="I1211" s="50" t="s">
        <v>29</v>
      </c>
      <c r="J1211" s="50" t="s">
        <v>29</v>
      </c>
      <c r="K1211" s="50" t="s">
        <v>29</v>
      </c>
      <c r="L1211" s="50" t="s">
        <v>29</v>
      </c>
      <c r="M1211" s="50" t="s">
        <v>29</v>
      </c>
      <c r="N1211" s="49"/>
      <c r="P1211" s="19"/>
      <c r="Q1211" s="18" t="str">
        <f ca="1">IFERROR(__xludf.DUMMYFUNCTION("""COMPUTED_VALUE"""),"")</f>
        <v/>
      </c>
      <c r="R1211" s="19"/>
      <c r="S1211" s="20"/>
      <c r="BP1211" s="10"/>
      <c r="BW1211" s="10"/>
      <c r="CF1211" s="10"/>
      <c r="CM1211" s="10"/>
      <c r="CP1211" s="18" t="str">
        <f ca="1"/>
        <v/>
      </c>
      <c r="CQ1211" s="18" t="str">
        <f ca="1"/>
        <v/>
      </c>
      <c r="CR1211" s="18" t="str">
        <f ca="1"/>
        <v/>
      </c>
      <c r="CS1211" s="18" t="str">
        <f ca="1"/>
        <v/>
      </c>
      <c r="CT1211" s="18" t="str">
        <f ca="1"/>
        <v/>
      </c>
      <c r="CV1211" s="10"/>
      <c r="CY1211" s="18" t="str">
        <f ca="1"/>
        <v/>
      </c>
      <c r="CZ1211" s="18" t="str">
        <f ca="1"/>
        <v/>
      </c>
      <c r="DA1211" s="18" t="str">
        <f ca="1"/>
        <v/>
      </c>
      <c r="DC1211" s="10"/>
    </row>
    <row r="1212" spans="1:107" x14ac:dyDescent="0.25">
      <c r="A1212" s="46"/>
      <c r="B1212" s="52"/>
      <c r="C1212" s="52"/>
      <c r="D1212" s="16"/>
      <c r="E1212" s="52"/>
      <c r="F1212" s="52"/>
      <c r="G1212" s="50"/>
      <c r="H1212" s="17" t="str">
        <f ca="1">IFERROR(__xludf.DUMMYFUNCTION("""COMPUTED_VALUE"""),"")</f>
        <v/>
      </c>
      <c r="I1212" s="50" t="s">
        <v>29</v>
      </c>
      <c r="J1212" s="50" t="s">
        <v>29</v>
      </c>
      <c r="K1212" s="50" t="s">
        <v>29</v>
      </c>
      <c r="L1212" s="50" t="s">
        <v>29</v>
      </c>
      <c r="M1212" s="50" t="s">
        <v>29</v>
      </c>
      <c r="N1212" s="49"/>
      <c r="P1212" s="19"/>
      <c r="Q1212" s="18" t="str">
        <f ca="1">IFERROR(__xludf.DUMMYFUNCTION("""COMPUTED_VALUE"""),"")</f>
        <v/>
      </c>
      <c r="R1212" s="19"/>
      <c r="S1212" s="20"/>
      <c r="BP1212" s="10"/>
      <c r="BW1212" s="10"/>
      <c r="CF1212" s="10"/>
      <c r="CM1212" s="10"/>
      <c r="CP1212" s="18" t="str">
        <f ca="1"/>
        <v/>
      </c>
      <c r="CQ1212" s="18" t="str">
        <f ca="1"/>
        <v/>
      </c>
      <c r="CR1212" s="18" t="str">
        <f ca="1"/>
        <v/>
      </c>
      <c r="CS1212" s="18" t="str">
        <f ca="1"/>
        <v/>
      </c>
      <c r="CT1212" s="18" t="str">
        <f ca="1"/>
        <v/>
      </c>
      <c r="CV1212" s="10"/>
      <c r="CY1212" s="18" t="str">
        <f ca="1"/>
        <v/>
      </c>
      <c r="CZ1212" s="18" t="str">
        <f ca="1"/>
        <v/>
      </c>
      <c r="DA1212" s="18" t="str">
        <f ca="1"/>
        <v/>
      </c>
      <c r="DC1212" s="10"/>
    </row>
    <row r="1213" spans="1:107" x14ac:dyDescent="0.25">
      <c r="A1213" s="46"/>
      <c r="B1213" s="52"/>
      <c r="C1213" s="52"/>
      <c r="D1213" s="16"/>
      <c r="E1213" s="52"/>
      <c r="F1213" s="52"/>
      <c r="G1213" s="50"/>
      <c r="H1213" s="17" t="str">
        <f ca="1">IFERROR(__xludf.DUMMYFUNCTION("""COMPUTED_VALUE"""),"")</f>
        <v/>
      </c>
      <c r="I1213" s="50" t="s">
        <v>29</v>
      </c>
      <c r="J1213" s="50" t="s">
        <v>29</v>
      </c>
      <c r="K1213" s="50" t="s">
        <v>29</v>
      </c>
      <c r="L1213" s="50" t="s">
        <v>29</v>
      </c>
      <c r="M1213" s="50" t="s">
        <v>29</v>
      </c>
      <c r="N1213" s="49"/>
      <c r="P1213" s="19"/>
      <c r="Q1213" s="18" t="str">
        <f ca="1">IFERROR(__xludf.DUMMYFUNCTION("""COMPUTED_VALUE"""),"")</f>
        <v/>
      </c>
      <c r="R1213" s="19"/>
      <c r="S1213" s="20"/>
      <c r="BP1213" s="10"/>
      <c r="BW1213" s="10"/>
      <c r="CF1213" s="10"/>
      <c r="CM1213" s="10"/>
      <c r="CP1213" s="18" t="str">
        <f ca="1"/>
        <v/>
      </c>
      <c r="CQ1213" s="18" t="str">
        <f ca="1"/>
        <v/>
      </c>
      <c r="CR1213" s="18" t="str">
        <f ca="1"/>
        <v/>
      </c>
      <c r="CS1213" s="18" t="str">
        <f ca="1"/>
        <v/>
      </c>
      <c r="CT1213" s="18" t="str">
        <f ca="1"/>
        <v/>
      </c>
      <c r="CV1213" s="10"/>
      <c r="CY1213" s="18" t="str">
        <f ca="1"/>
        <v/>
      </c>
      <c r="CZ1213" s="18" t="str">
        <f ca="1"/>
        <v/>
      </c>
      <c r="DA1213" s="18" t="str">
        <f ca="1"/>
        <v/>
      </c>
      <c r="DC1213" s="10"/>
    </row>
    <row r="1214" spans="1:107" x14ac:dyDescent="0.25">
      <c r="A1214" s="46"/>
      <c r="B1214" s="52"/>
      <c r="C1214" s="52"/>
      <c r="D1214" s="16"/>
      <c r="E1214" s="52"/>
      <c r="F1214" s="52"/>
      <c r="G1214" s="50"/>
      <c r="H1214" s="17" t="str">
        <f ca="1">IFERROR(__xludf.DUMMYFUNCTION("""COMPUTED_VALUE"""),"")</f>
        <v/>
      </c>
      <c r="I1214" s="50" t="s">
        <v>29</v>
      </c>
      <c r="J1214" s="50" t="s">
        <v>29</v>
      </c>
      <c r="K1214" s="50" t="s">
        <v>29</v>
      </c>
      <c r="L1214" s="50" t="s">
        <v>29</v>
      </c>
      <c r="M1214" s="50" t="s">
        <v>29</v>
      </c>
      <c r="N1214" s="49"/>
      <c r="P1214" s="19"/>
      <c r="Q1214" s="18" t="str">
        <f ca="1">IFERROR(__xludf.DUMMYFUNCTION("""COMPUTED_VALUE"""),"")</f>
        <v/>
      </c>
      <c r="R1214" s="19"/>
      <c r="S1214" s="20"/>
      <c r="BP1214" s="10"/>
      <c r="BW1214" s="10"/>
      <c r="CF1214" s="10"/>
      <c r="CM1214" s="10"/>
      <c r="CP1214" s="18" t="str">
        <f ca="1"/>
        <v/>
      </c>
      <c r="CQ1214" s="18" t="str">
        <f ca="1"/>
        <v/>
      </c>
      <c r="CR1214" s="18" t="str">
        <f ca="1"/>
        <v/>
      </c>
      <c r="CS1214" s="18" t="str">
        <f ca="1"/>
        <v/>
      </c>
      <c r="CT1214" s="18" t="str">
        <f ca="1"/>
        <v/>
      </c>
      <c r="CV1214" s="10"/>
      <c r="CY1214" s="18" t="str">
        <f ca="1"/>
        <v/>
      </c>
      <c r="CZ1214" s="18" t="str">
        <f ca="1"/>
        <v/>
      </c>
      <c r="DA1214" s="18" t="str">
        <f ca="1"/>
        <v/>
      </c>
      <c r="DC1214" s="10"/>
    </row>
    <row r="1215" spans="1:107" x14ac:dyDescent="0.25">
      <c r="A1215" s="46"/>
      <c r="B1215" s="52"/>
      <c r="C1215" s="52"/>
      <c r="D1215" s="16"/>
      <c r="E1215" s="52"/>
      <c r="F1215" s="52"/>
      <c r="G1215" s="50"/>
      <c r="H1215" s="17" t="str">
        <f ca="1">IFERROR(__xludf.DUMMYFUNCTION("""COMPUTED_VALUE"""),"")</f>
        <v/>
      </c>
      <c r="I1215" s="50" t="s">
        <v>29</v>
      </c>
      <c r="J1215" s="50" t="s">
        <v>29</v>
      </c>
      <c r="K1215" s="50" t="s">
        <v>29</v>
      </c>
      <c r="L1215" s="50" t="s">
        <v>29</v>
      </c>
      <c r="M1215" s="50" t="s">
        <v>29</v>
      </c>
      <c r="N1215" s="49"/>
      <c r="P1215" s="19"/>
      <c r="Q1215" s="18" t="str">
        <f ca="1">IFERROR(__xludf.DUMMYFUNCTION("""COMPUTED_VALUE"""),"")</f>
        <v/>
      </c>
      <c r="R1215" s="19"/>
      <c r="S1215" s="20"/>
      <c r="BP1215" s="10"/>
      <c r="BW1215" s="10"/>
      <c r="CF1215" s="10"/>
      <c r="CM1215" s="10"/>
      <c r="CP1215" s="18" t="str">
        <f ca="1"/>
        <v/>
      </c>
      <c r="CQ1215" s="18" t="str">
        <f ca="1"/>
        <v/>
      </c>
      <c r="CR1215" s="18" t="str">
        <f ca="1"/>
        <v/>
      </c>
      <c r="CS1215" s="18" t="str">
        <f ca="1"/>
        <v/>
      </c>
      <c r="CT1215" s="18" t="str">
        <f ca="1"/>
        <v/>
      </c>
      <c r="CV1215" s="10"/>
      <c r="CY1215" s="18" t="str">
        <f ca="1"/>
        <v/>
      </c>
      <c r="CZ1215" s="18" t="str">
        <f ca="1"/>
        <v/>
      </c>
      <c r="DA1215" s="18" t="str">
        <f ca="1"/>
        <v/>
      </c>
      <c r="DC1215" s="10"/>
    </row>
    <row r="1216" spans="1:107" x14ac:dyDescent="0.25">
      <c r="A1216" s="46"/>
      <c r="B1216" s="52"/>
      <c r="C1216" s="52"/>
      <c r="D1216" s="16"/>
      <c r="E1216" s="52"/>
      <c r="F1216" s="52"/>
      <c r="G1216" s="50"/>
      <c r="H1216" s="17" t="str">
        <f ca="1">IFERROR(__xludf.DUMMYFUNCTION("""COMPUTED_VALUE"""),"")</f>
        <v/>
      </c>
      <c r="I1216" s="50" t="s">
        <v>29</v>
      </c>
      <c r="J1216" s="50" t="s">
        <v>29</v>
      </c>
      <c r="K1216" s="50" t="s">
        <v>29</v>
      </c>
      <c r="L1216" s="50" t="s">
        <v>29</v>
      </c>
      <c r="M1216" s="50" t="s">
        <v>29</v>
      </c>
      <c r="N1216" s="49"/>
      <c r="P1216" s="19"/>
      <c r="Q1216" s="18" t="str">
        <f ca="1">IFERROR(__xludf.DUMMYFUNCTION("""COMPUTED_VALUE"""),"")</f>
        <v/>
      </c>
      <c r="R1216" s="19"/>
      <c r="S1216" s="20"/>
      <c r="BP1216" s="10"/>
      <c r="BW1216" s="10"/>
      <c r="CF1216" s="10"/>
      <c r="CM1216" s="10"/>
      <c r="CP1216" s="18" t="str">
        <f ca="1"/>
        <v/>
      </c>
      <c r="CQ1216" s="18" t="str">
        <f ca="1"/>
        <v/>
      </c>
      <c r="CR1216" s="18" t="str">
        <f ca="1"/>
        <v/>
      </c>
      <c r="CS1216" s="18" t="str">
        <f ca="1"/>
        <v/>
      </c>
      <c r="CT1216" s="18" t="str">
        <f ca="1"/>
        <v/>
      </c>
      <c r="CV1216" s="10"/>
      <c r="CY1216" s="18" t="str">
        <f ca="1"/>
        <v/>
      </c>
      <c r="CZ1216" s="18" t="str">
        <f ca="1"/>
        <v/>
      </c>
      <c r="DA1216" s="18" t="str">
        <f ca="1"/>
        <v/>
      </c>
      <c r="DC1216" s="10"/>
    </row>
    <row r="1217" spans="1:107" x14ac:dyDescent="0.25">
      <c r="A1217" s="46"/>
      <c r="B1217" s="52"/>
      <c r="C1217" s="52"/>
      <c r="D1217" s="16"/>
      <c r="E1217" s="52"/>
      <c r="F1217" s="52"/>
      <c r="G1217" s="50"/>
      <c r="H1217" s="17" t="str">
        <f ca="1">IFERROR(__xludf.DUMMYFUNCTION("""COMPUTED_VALUE"""),"")</f>
        <v/>
      </c>
      <c r="I1217" s="50" t="s">
        <v>29</v>
      </c>
      <c r="J1217" s="50" t="s">
        <v>29</v>
      </c>
      <c r="K1217" s="50" t="s">
        <v>29</v>
      </c>
      <c r="L1217" s="50" t="s">
        <v>29</v>
      </c>
      <c r="M1217" s="50" t="s">
        <v>29</v>
      </c>
      <c r="N1217" s="49"/>
      <c r="P1217" s="19"/>
      <c r="Q1217" s="18" t="str">
        <f ca="1">IFERROR(__xludf.DUMMYFUNCTION("""COMPUTED_VALUE"""),"")</f>
        <v/>
      </c>
      <c r="R1217" s="19"/>
      <c r="S1217" s="20"/>
      <c r="BP1217" s="10"/>
      <c r="BW1217" s="10"/>
      <c r="CF1217" s="10"/>
      <c r="CM1217" s="10"/>
      <c r="CP1217" s="18" t="str">
        <f ca="1"/>
        <v/>
      </c>
      <c r="CQ1217" s="18" t="str">
        <f ca="1"/>
        <v/>
      </c>
      <c r="CR1217" s="18" t="str">
        <f ca="1"/>
        <v/>
      </c>
      <c r="CS1217" s="18" t="str">
        <f ca="1"/>
        <v/>
      </c>
      <c r="CT1217" s="18" t="str">
        <f ca="1"/>
        <v/>
      </c>
      <c r="CV1217" s="10"/>
      <c r="CY1217" s="18" t="str">
        <f ca="1"/>
        <v/>
      </c>
      <c r="CZ1217" s="18" t="str">
        <f ca="1"/>
        <v/>
      </c>
      <c r="DA1217" s="18" t="str">
        <f ca="1"/>
        <v/>
      </c>
      <c r="DC1217" s="10"/>
    </row>
    <row r="1218" spans="1:107" x14ac:dyDescent="0.25">
      <c r="A1218" s="46"/>
      <c r="B1218" s="52"/>
      <c r="C1218" s="52"/>
      <c r="D1218" s="16"/>
      <c r="E1218" s="52"/>
      <c r="F1218" s="52"/>
      <c r="G1218" s="50"/>
      <c r="H1218" s="17" t="str">
        <f ca="1">IFERROR(__xludf.DUMMYFUNCTION("""COMPUTED_VALUE"""),"")</f>
        <v/>
      </c>
      <c r="I1218" s="50" t="s">
        <v>29</v>
      </c>
      <c r="J1218" s="50" t="s">
        <v>29</v>
      </c>
      <c r="K1218" s="50" t="s">
        <v>29</v>
      </c>
      <c r="L1218" s="50" t="s">
        <v>29</v>
      </c>
      <c r="M1218" s="50" t="s">
        <v>29</v>
      </c>
      <c r="N1218" s="49"/>
      <c r="P1218" s="19"/>
      <c r="Q1218" s="18" t="str">
        <f ca="1">IFERROR(__xludf.DUMMYFUNCTION("""COMPUTED_VALUE"""),"")</f>
        <v/>
      </c>
      <c r="R1218" s="19"/>
      <c r="S1218" s="20"/>
      <c r="BP1218" s="10"/>
      <c r="BW1218" s="10"/>
      <c r="CF1218" s="10"/>
      <c r="CM1218" s="10"/>
      <c r="CP1218" s="18" t="str">
        <f ca="1"/>
        <v/>
      </c>
      <c r="CQ1218" s="18" t="str">
        <f ca="1"/>
        <v/>
      </c>
      <c r="CR1218" s="18" t="str">
        <f ca="1"/>
        <v/>
      </c>
      <c r="CS1218" s="18" t="str">
        <f ca="1"/>
        <v/>
      </c>
      <c r="CT1218" s="18" t="str">
        <f ca="1"/>
        <v/>
      </c>
      <c r="CV1218" s="10"/>
      <c r="CY1218" s="18" t="str">
        <f ca="1"/>
        <v/>
      </c>
      <c r="CZ1218" s="18" t="str">
        <f ca="1"/>
        <v/>
      </c>
      <c r="DA1218" s="18" t="str">
        <f ca="1"/>
        <v/>
      </c>
      <c r="DC1218" s="10"/>
    </row>
    <row r="1219" spans="1:107" x14ac:dyDescent="0.25">
      <c r="A1219" s="46"/>
      <c r="B1219" s="52"/>
      <c r="C1219" s="52"/>
      <c r="D1219" s="16"/>
      <c r="E1219" s="52"/>
      <c r="F1219" s="52"/>
      <c r="G1219" s="50"/>
      <c r="H1219" s="17" t="str">
        <f ca="1">IFERROR(__xludf.DUMMYFUNCTION("""COMPUTED_VALUE"""),"")</f>
        <v/>
      </c>
      <c r="I1219" s="50" t="s">
        <v>29</v>
      </c>
      <c r="J1219" s="50" t="s">
        <v>29</v>
      </c>
      <c r="K1219" s="50" t="s">
        <v>29</v>
      </c>
      <c r="L1219" s="50" t="s">
        <v>29</v>
      </c>
      <c r="M1219" s="50" t="s">
        <v>29</v>
      </c>
      <c r="N1219" s="49"/>
      <c r="P1219" s="19"/>
      <c r="Q1219" s="18" t="str">
        <f ca="1">IFERROR(__xludf.DUMMYFUNCTION("""COMPUTED_VALUE"""),"")</f>
        <v/>
      </c>
      <c r="R1219" s="19"/>
      <c r="S1219" s="20"/>
      <c r="BP1219" s="10"/>
      <c r="BW1219" s="10"/>
      <c r="CF1219" s="10"/>
      <c r="CM1219" s="10"/>
      <c r="CP1219" s="18" t="str">
        <f ca="1"/>
        <v/>
      </c>
      <c r="CQ1219" s="18" t="str">
        <f ca="1"/>
        <v/>
      </c>
      <c r="CR1219" s="18" t="str">
        <f ca="1"/>
        <v/>
      </c>
      <c r="CS1219" s="18" t="str">
        <f ca="1"/>
        <v/>
      </c>
      <c r="CT1219" s="18" t="str">
        <f ca="1"/>
        <v/>
      </c>
      <c r="CV1219" s="10"/>
      <c r="CY1219" s="18" t="str">
        <f ca="1"/>
        <v/>
      </c>
      <c r="CZ1219" s="18" t="str">
        <f ca="1"/>
        <v/>
      </c>
      <c r="DA1219" s="18" t="str">
        <f ca="1"/>
        <v/>
      </c>
      <c r="DC1219" s="10"/>
    </row>
    <row r="1220" spans="1:107" x14ac:dyDescent="0.25">
      <c r="A1220" s="46"/>
      <c r="B1220" s="52"/>
      <c r="C1220" s="52"/>
      <c r="D1220" s="16"/>
      <c r="E1220" s="52"/>
      <c r="F1220" s="52"/>
      <c r="G1220" s="50"/>
      <c r="H1220" s="17" t="str">
        <f ca="1">IFERROR(__xludf.DUMMYFUNCTION("""COMPUTED_VALUE"""),"")</f>
        <v/>
      </c>
      <c r="I1220" s="50" t="s">
        <v>29</v>
      </c>
      <c r="J1220" s="50" t="s">
        <v>29</v>
      </c>
      <c r="K1220" s="50" t="s">
        <v>29</v>
      </c>
      <c r="L1220" s="50" t="s">
        <v>29</v>
      </c>
      <c r="M1220" s="50" t="s">
        <v>29</v>
      </c>
      <c r="N1220" s="49"/>
      <c r="P1220" s="19"/>
      <c r="Q1220" s="18" t="str">
        <f ca="1">IFERROR(__xludf.DUMMYFUNCTION("""COMPUTED_VALUE"""),"")</f>
        <v/>
      </c>
      <c r="R1220" s="19"/>
      <c r="S1220" s="20"/>
      <c r="BP1220" s="10"/>
      <c r="BW1220" s="10"/>
      <c r="CF1220" s="10"/>
      <c r="CM1220" s="10"/>
      <c r="CP1220" s="18" t="str">
        <f ca="1"/>
        <v/>
      </c>
      <c r="CQ1220" s="18" t="str">
        <f ca="1"/>
        <v/>
      </c>
      <c r="CR1220" s="18" t="str">
        <f ca="1"/>
        <v/>
      </c>
      <c r="CS1220" s="18" t="str">
        <f ca="1"/>
        <v/>
      </c>
      <c r="CT1220" s="18" t="str">
        <f ca="1"/>
        <v/>
      </c>
      <c r="CV1220" s="10"/>
      <c r="CY1220" s="18" t="str">
        <f ca="1"/>
        <v/>
      </c>
      <c r="CZ1220" s="18" t="str">
        <f ca="1"/>
        <v/>
      </c>
      <c r="DA1220" s="18" t="str">
        <f ca="1"/>
        <v/>
      </c>
      <c r="DC1220" s="10"/>
    </row>
    <row r="1221" spans="1:107" x14ac:dyDescent="0.25">
      <c r="A1221" s="46"/>
      <c r="B1221" s="52"/>
      <c r="C1221" s="52"/>
      <c r="D1221" s="16"/>
      <c r="E1221" s="52"/>
      <c r="F1221" s="52"/>
      <c r="G1221" s="50"/>
      <c r="H1221" s="17" t="str">
        <f ca="1">IFERROR(__xludf.DUMMYFUNCTION("""COMPUTED_VALUE"""),"")</f>
        <v/>
      </c>
      <c r="I1221" s="50" t="s">
        <v>29</v>
      </c>
      <c r="J1221" s="50" t="s">
        <v>29</v>
      </c>
      <c r="K1221" s="50" t="s">
        <v>29</v>
      </c>
      <c r="L1221" s="50" t="s">
        <v>29</v>
      </c>
      <c r="M1221" s="50" t="s">
        <v>29</v>
      </c>
      <c r="N1221" s="49"/>
      <c r="P1221" s="19"/>
      <c r="Q1221" s="18" t="str">
        <f ca="1">IFERROR(__xludf.DUMMYFUNCTION("""COMPUTED_VALUE"""),"")</f>
        <v/>
      </c>
      <c r="R1221" s="19"/>
      <c r="S1221" s="20"/>
      <c r="BP1221" s="10"/>
      <c r="BW1221" s="10"/>
      <c r="CF1221" s="10"/>
      <c r="CM1221" s="10"/>
      <c r="CP1221" s="18" t="str">
        <f ca="1"/>
        <v/>
      </c>
      <c r="CQ1221" s="18" t="str">
        <f ca="1"/>
        <v/>
      </c>
      <c r="CR1221" s="18" t="str">
        <f ca="1"/>
        <v/>
      </c>
      <c r="CS1221" s="18" t="str">
        <f ca="1"/>
        <v/>
      </c>
      <c r="CT1221" s="18" t="str">
        <f ca="1"/>
        <v/>
      </c>
      <c r="CV1221" s="10"/>
      <c r="CY1221" s="18" t="str">
        <f ca="1"/>
        <v/>
      </c>
      <c r="CZ1221" s="18" t="str">
        <f ca="1"/>
        <v/>
      </c>
      <c r="DA1221" s="18" t="str">
        <f ca="1"/>
        <v/>
      </c>
      <c r="DC1221" s="10"/>
    </row>
    <row r="1222" spans="1:107" x14ac:dyDescent="0.25">
      <c r="A1222" s="46"/>
      <c r="B1222" s="52"/>
      <c r="C1222" s="52"/>
      <c r="D1222" s="16"/>
      <c r="E1222" s="52"/>
      <c r="F1222" s="52"/>
      <c r="G1222" s="50"/>
      <c r="H1222" s="17" t="str">
        <f ca="1">IFERROR(__xludf.DUMMYFUNCTION("""COMPUTED_VALUE"""),"")</f>
        <v/>
      </c>
      <c r="I1222" s="50" t="s">
        <v>29</v>
      </c>
      <c r="J1222" s="50" t="s">
        <v>29</v>
      </c>
      <c r="K1222" s="50" t="s">
        <v>29</v>
      </c>
      <c r="L1222" s="50" t="s">
        <v>29</v>
      </c>
      <c r="M1222" s="50" t="s">
        <v>29</v>
      </c>
      <c r="N1222" s="49"/>
      <c r="P1222" s="19"/>
      <c r="Q1222" s="18" t="str">
        <f ca="1">IFERROR(__xludf.DUMMYFUNCTION("""COMPUTED_VALUE"""),"")</f>
        <v/>
      </c>
      <c r="R1222" s="19"/>
      <c r="S1222" s="20"/>
      <c r="BP1222" s="10"/>
      <c r="BW1222" s="10"/>
      <c r="CF1222" s="10"/>
      <c r="CM1222" s="10"/>
      <c r="CP1222" s="18" t="str">
        <f ca="1"/>
        <v/>
      </c>
      <c r="CQ1222" s="18" t="str">
        <f ca="1"/>
        <v/>
      </c>
      <c r="CR1222" s="18" t="str">
        <f ca="1"/>
        <v/>
      </c>
      <c r="CS1222" s="18" t="str">
        <f ca="1"/>
        <v/>
      </c>
      <c r="CT1222" s="18" t="str">
        <f ca="1"/>
        <v/>
      </c>
      <c r="CV1222" s="10"/>
      <c r="CY1222" s="18" t="str">
        <f ca="1"/>
        <v/>
      </c>
      <c r="CZ1222" s="18" t="str">
        <f ca="1"/>
        <v/>
      </c>
      <c r="DA1222" s="18" t="str">
        <f ca="1"/>
        <v/>
      </c>
      <c r="DC1222" s="10"/>
    </row>
    <row r="1223" spans="1:107" x14ac:dyDescent="0.25">
      <c r="A1223" s="46"/>
      <c r="B1223" s="52"/>
      <c r="C1223" s="52"/>
      <c r="D1223" s="16"/>
      <c r="E1223" s="52"/>
      <c r="F1223" s="52"/>
      <c r="G1223" s="50"/>
      <c r="H1223" s="17" t="str">
        <f ca="1">IFERROR(__xludf.DUMMYFUNCTION("""COMPUTED_VALUE"""),"")</f>
        <v/>
      </c>
      <c r="I1223" s="50" t="s">
        <v>29</v>
      </c>
      <c r="J1223" s="50" t="s">
        <v>29</v>
      </c>
      <c r="K1223" s="50" t="s">
        <v>29</v>
      </c>
      <c r="L1223" s="50" t="s">
        <v>29</v>
      </c>
      <c r="M1223" s="50" t="s">
        <v>29</v>
      </c>
      <c r="N1223" s="49"/>
      <c r="P1223" s="19"/>
      <c r="Q1223" s="18" t="str">
        <f ca="1">IFERROR(__xludf.DUMMYFUNCTION("""COMPUTED_VALUE"""),"")</f>
        <v/>
      </c>
      <c r="R1223" s="19"/>
      <c r="S1223" s="20"/>
      <c r="BP1223" s="10"/>
      <c r="BW1223" s="10"/>
      <c r="CF1223" s="10"/>
      <c r="CM1223" s="10"/>
      <c r="CP1223" s="18" t="str">
        <f ca="1"/>
        <v/>
      </c>
      <c r="CQ1223" s="18" t="str">
        <f ca="1"/>
        <v/>
      </c>
      <c r="CR1223" s="18" t="str">
        <f ca="1"/>
        <v/>
      </c>
      <c r="CS1223" s="18" t="str">
        <f ca="1"/>
        <v/>
      </c>
      <c r="CT1223" s="18" t="str">
        <f ca="1"/>
        <v/>
      </c>
      <c r="CV1223" s="10"/>
      <c r="CY1223" s="18" t="str">
        <f ca="1"/>
        <v/>
      </c>
      <c r="CZ1223" s="18" t="str">
        <f ca="1"/>
        <v/>
      </c>
      <c r="DA1223" s="18" t="str">
        <f ca="1"/>
        <v/>
      </c>
      <c r="DC1223" s="10"/>
    </row>
    <row r="1224" spans="1:107" x14ac:dyDescent="0.25">
      <c r="A1224" s="46"/>
      <c r="B1224" s="52"/>
      <c r="C1224" s="52"/>
      <c r="D1224" s="16"/>
      <c r="E1224" s="52"/>
      <c r="F1224" s="52"/>
      <c r="G1224" s="50"/>
      <c r="H1224" s="17" t="str">
        <f ca="1">IFERROR(__xludf.DUMMYFUNCTION("""COMPUTED_VALUE"""),"")</f>
        <v/>
      </c>
      <c r="I1224" s="50" t="s">
        <v>29</v>
      </c>
      <c r="J1224" s="50" t="s">
        <v>29</v>
      </c>
      <c r="K1224" s="50" t="s">
        <v>29</v>
      </c>
      <c r="L1224" s="50" t="s">
        <v>29</v>
      </c>
      <c r="M1224" s="50" t="s">
        <v>29</v>
      </c>
      <c r="N1224" s="49"/>
      <c r="P1224" s="19"/>
      <c r="Q1224" s="18" t="str">
        <f ca="1">IFERROR(__xludf.DUMMYFUNCTION("""COMPUTED_VALUE"""),"")</f>
        <v/>
      </c>
      <c r="R1224" s="19"/>
      <c r="S1224" s="20"/>
      <c r="BP1224" s="10"/>
      <c r="BW1224" s="10"/>
      <c r="CF1224" s="10"/>
      <c r="CM1224" s="10"/>
      <c r="CP1224" s="18" t="str">
        <f ca="1"/>
        <v/>
      </c>
      <c r="CQ1224" s="18" t="str">
        <f ca="1"/>
        <v/>
      </c>
      <c r="CR1224" s="18" t="str">
        <f ca="1"/>
        <v/>
      </c>
      <c r="CS1224" s="18" t="str">
        <f ca="1"/>
        <v/>
      </c>
      <c r="CT1224" s="18" t="str">
        <f ca="1"/>
        <v/>
      </c>
      <c r="CV1224" s="10"/>
      <c r="CY1224" s="18" t="str">
        <f ca="1"/>
        <v/>
      </c>
      <c r="CZ1224" s="18" t="str">
        <f ca="1"/>
        <v/>
      </c>
      <c r="DA1224" s="18" t="str">
        <f ca="1"/>
        <v/>
      </c>
      <c r="DC1224" s="10"/>
    </row>
    <row r="1225" spans="1:107" x14ac:dyDescent="0.25">
      <c r="A1225" s="46"/>
      <c r="B1225" s="52"/>
      <c r="C1225" s="52"/>
      <c r="D1225" s="16"/>
      <c r="E1225" s="52"/>
      <c r="F1225" s="52"/>
      <c r="G1225" s="50"/>
      <c r="H1225" s="17" t="str">
        <f ca="1">IFERROR(__xludf.DUMMYFUNCTION("""COMPUTED_VALUE"""),"")</f>
        <v/>
      </c>
      <c r="I1225" s="50" t="s">
        <v>29</v>
      </c>
      <c r="J1225" s="50" t="s">
        <v>29</v>
      </c>
      <c r="K1225" s="50" t="s">
        <v>29</v>
      </c>
      <c r="L1225" s="50" t="s">
        <v>29</v>
      </c>
      <c r="M1225" s="50" t="s">
        <v>29</v>
      </c>
      <c r="N1225" s="49"/>
      <c r="P1225" s="19"/>
      <c r="Q1225" s="18" t="str">
        <f ca="1">IFERROR(__xludf.DUMMYFUNCTION("""COMPUTED_VALUE"""),"")</f>
        <v/>
      </c>
      <c r="R1225" s="19"/>
      <c r="S1225" s="20"/>
      <c r="BP1225" s="10"/>
      <c r="BW1225" s="10"/>
      <c r="CF1225" s="10"/>
      <c r="CM1225" s="10"/>
      <c r="CP1225" s="18" t="str">
        <f ca="1"/>
        <v/>
      </c>
      <c r="CQ1225" s="18" t="str">
        <f ca="1"/>
        <v/>
      </c>
      <c r="CR1225" s="18" t="str">
        <f ca="1"/>
        <v/>
      </c>
      <c r="CS1225" s="18" t="str">
        <f ca="1"/>
        <v/>
      </c>
      <c r="CT1225" s="18" t="str">
        <f ca="1"/>
        <v/>
      </c>
      <c r="CV1225" s="10"/>
      <c r="CY1225" s="18" t="str">
        <f ca="1"/>
        <v/>
      </c>
      <c r="CZ1225" s="18" t="str">
        <f ca="1"/>
        <v/>
      </c>
      <c r="DA1225" s="18" t="str">
        <f ca="1"/>
        <v/>
      </c>
      <c r="DC1225" s="10"/>
    </row>
    <row r="1226" spans="1:107" x14ac:dyDescent="0.25">
      <c r="A1226" s="46"/>
      <c r="B1226" s="52"/>
      <c r="C1226" s="52"/>
      <c r="D1226" s="16"/>
      <c r="E1226" s="52"/>
      <c r="F1226" s="52"/>
      <c r="G1226" s="50"/>
      <c r="H1226" s="17" t="str">
        <f ca="1">IFERROR(__xludf.DUMMYFUNCTION("""COMPUTED_VALUE"""),"")</f>
        <v/>
      </c>
      <c r="I1226" s="50" t="s">
        <v>29</v>
      </c>
      <c r="J1226" s="50" t="s">
        <v>29</v>
      </c>
      <c r="K1226" s="50" t="s">
        <v>29</v>
      </c>
      <c r="L1226" s="50" t="s">
        <v>29</v>
      </c>
      <c r="M1226" s="50" t="s">
        <v>29</v>
      </c>
      <c r="N1226" s="49"/>
      <c r="P1226" s="19"/>
      <c r="Q1226" s="18" t="str">
        <f ca="1">IFERROR(__xludf.DUMMYFUNCTION("""COMPUTED_VALUE"""),"")</f>
        <v/>
      </c>
      <c r="R1226" s="19"/>
      <c r="S1226" s="20"/>
      <c r="BP1226" s="10"/>
      <c r="BW1226" s="10"/>
      <c r="CF1226" s="10"/>
      <c r="CM1226" s="10"/>
      <c r="CP1226" s="18" t="str">
        <f ca="1"/>
        <v/>
      </c>
      <c r="CQ1226" s="18" t="str">
        <f ca="1"/>
        <v/>
      </c>
      <c r="CR1226" s="18" t="str">
        <f ca="1"/>
        <v/>
      </c>
      <c r="CS1226" s="18" t="str">
        <f ca="1"/>
        <v/>
      </c>
      <c r="CT1226" s="18" t="str">
        <f ca="1"/>
        <v/>
      </c>
      <c r="CV1226" s="10"/>
      <c r="CY1226" s="18" t="str">
        <f ca="1"/>
        <v/>
      </c>
      <c r="CZ1226" s="18" t="str">
        <f ca="1"/>
        <v/>
      </c>
      <c r="DA1226" s="18" t="str">
        <f ca="1"/>
        <v/>
      </c>
      <c r="DC1226" s="10"/>
    </row>
    <row r="1227" spans="1:107" x14ac:dyDescent="0.25">
      <c r="A1227" s="46"/>
      <c r="B1227" s="52"/>
      <c r="C1227" s="52"/>
      <c r="D1227" s="16"/>
      <c r="E1227" s="52"/>
      <c r="F1227" s="52"/>
      <c r="G1227" s="50"/>
      <c r="H1227" s="17" t="str">
        <f ca="1">IFERROR(__xludf.DUMMYFUNCTION("""COMPUTED_VALUE"""),"")</f>
        <v/>
      </c>
      <c r="I1227" s="50" t="s">
        <v>29</v>
      </c>
      <c r="J1227" s="50" t="s">
        <v>29</v>
      </c>
      <c r="K1227" s="50" t="s">
        <v>29</v>
      </c>
      <c r="L1227" s="50" t="s">
        <v>29</v>
      </c>
      <c r="M1227" s="50" t="s">
        <v>29</v>
      </c>
      <c r="N1227" s="49"/>
      <c r="P1227" s="19"/>
      <c r="Q1227" s="18" t="str">
        <f ca="1">IFERROR(__xludf.DUMMYFUNCTION("""COMPUTED_VALUE"""),"")</f>
        <v/>
      </c>
      <c r="R1227" s="19"/>
      <c r="S1227" s="20"/>
      <c r="BP1227" s="10"/>
      <c r="BW1227" s="10"/>
      <c r="CF1227" s="10"/>
      <c r="CM1227" s="10"/>
      <c r="CP1227" s="18" t="str">
        <f ca="1"/>
        <v/>
      </c>
      <c r="CQ1227" s="18" t="str">
        <f ca="1"/>
        <v/>
      </c>
      <c r="CR1227" s="18" t="str">
        <f ca="1"/>
        <v/>
      </c>
      <c r="CS1227" s="18" t="str">
        <f ca="1"/>
        <v/>
      </c>
      <c r="CT1227" s="18" t="str">
        <f ca="1"/>
        <v/>
      </c>
      <c r="CV1227" s="10"/>
      <c r="CY1227" s="18" t="str">
        <f ca="1"/>
        <v/>
      </c>
      <c r="CZ1227" s="18" t="str">
        <f ca="1"/>
        <v/>
      </c>
      <c r="DA1227" s="18" t="str">
        <f ca="1"/>
        <v/>
      </c>
      <c r="DC1227" s="10"/>
    </row>
    <row r="1228" spans="1:107" x14ac:dyDescent="0.25">
      <c r="A1228" s="46"/>
      <c r="B1228" s="52"/>
      <c r="C1228" s="52"/>
      <c r="D1228" s="16"/>
      <c r="E1228" s="52"/>
      <c r="F1228" s="52"/>
      <c r="G1228" s="50"/>
      <c r="H1228" s="17" t="str">
        <f ca="1">IFERROR(__xludf.DUMMYFUNCTION("""COMPUTED_VALUE"""),"")</f>
        <v/>
      </c>
      <c r="I1228" s="50" t="s">
        <v>29</v>
      </c>
      <c r="J1228" s="50" t="s">
        <v>29</v>
      </c>
      <c r="K1228" s="50" t="s">
        <v>29</v>
      </c>
      <c r="L1228" s="50" t="s">
        <v>29</v>
      </c>
      <c r="M1228" s="50" t="s">
        <v>29</v>
      </c>
      <c r="N1228" s="49"/>
      <c r="P1228" s="19"/>
      <c r="Q1228" s="18" t="str">
        <f ca="1">IFERROR(__xludf.DUMMYFUNCTION("""COMPUTED_VALUE"""),"")</f>
        <v/>
      </c>
      <c r="R1228" s="19"/>
      <c r="S1228" s="20"/>
      <c r="BP1228" s="10"/>
      <c r="BW1228" s="10"/>
      <c r="CF1228" s="10"/>
      <c r="CM1228" s="10"/>
      <c r="CP1228" s="18" t="str">
        <f ca="1"/>
        <v/>
      </c>
      <c r="CQ1228" s="18" t="str">
        <f ca="1"/>
        <v/>
      </c>
      <c r="CR1228" s="18" t="str">
        <f ca="1"/>
        <v/>
      </c>
      <c r="CS1228" s="18" t="str">
        <f ca="1"/>
        <v/>
      </c>
      <c r="CT1228" s="18" t="str">
        <f ca="1"/>
        <v/>
      </c>
      <c r="CV1228" s="10"/>
      <c r="CY1228" s="18" t="str">
        <f ca="1"/>
        <v/>
      </c>
      <c r="CZ1228" s="18" t="str">
        <f ca="1"/>
        <v/>
      </c>
      <c r="DA1228" s="18" t="str">
        <f ca="1"/>
        <v/>
      </c>
      <c r="DC1228" s="10"/>
    </row>
    <row r="1229" spans="1:107" x14ac:dyDescent="0.25">
      <c r="A1229" s="46"/>
      <c r="B1229" s="52"/>
      <c r="C1229" s="52"/>
      <c r="D1229" s="16"/>
      <c r="E1229" s="52"/>
      <c r="F1229" s="52"/>
      <c r="G1229" s="50"/>
      <c r="H1229" s="17" t="str">
        <f ca="1">IFERROR(__xludf.DUMMYFUNCTION("""COMPUTED_VALUE"""),"")</f>
        <v/>
      </c>
      <c r="I1229" s="50" t="s">
        <v>29</v>
      </c>
      <c r="J1229" s="50" t="s">
        <v>29</v>
      </c>
      <c r="K1229" s="50" t="s">
        <v>29</v>
      </c>
      <c r="L1229" s="50" t="s">
        <v>29</v>
      </c>
      <c r="M1229" s="50" t="s">
        <v>29</v>
      </c>
      <c r="N1229" s="49"/>
      <c r="P1229" s="19"/>
      <c r="Q1229" s="18" t="str">
        <f ca="1">IFERROR(__xludf.DUMMYFUNCTION("""COMPUTED_VALUE"""),"")</f>
        <v/>
      </c>
      <c r="R1229" s="19"/>
      <c r="S1229" s="20"/>
      <c r="BP1229" s="10"/>
      <c r="BW1229" s="10"/>
      <c r="CF1229" s="10"/>
      <c r="CM1229" s="10"/>
      <c r="CP1229" s="18" t="str">
        <f ca="1"/>
        <v/>
      </c>
      <c r="CQ1229" s="18" t="str">
        <f ca="1"/>
        <v/>
      </c>
      <c r="CR1229" s="18" t="str">
        <f ca="1"/>
        <v/>
      </c>
      <c r="CS1229" s="18" t="str">
        <f ca="1"/>
        <v/>
      </c>
      <c r="CT1229" s="18" t="str">
        <f ca="1"/>
        <v/>
      </c>
      <c r="CV1229" s="10"/>
      <c r="CY1229" s="18" t="str">
        <f ca="1"/>
        <v/>
      </c>
      <c r="CZ1229" s="18" t="str">
        <f ca="1"/>
        <v/>
      </c>
      <c r="DA1229" s="18" t="str">
        <f ca="1"/>
        <v/>
      </c>
      <c r="DC1229" s="10"/>
    </row>
    <row r="1230" spans="1:107" x14ac:dyDescent="0.25">
      <c r="A1230" s="46"/>
      <c r="B1230" s="52"/>
      <c r="C1230" s="52"/>
      <c r="D1230" s="16"/>
      <c r="E1230" s="52"/>
      <c r="F1230" s="52"/>
      <c r="G1230" s="50"/>
      <c r="H1230" s="17" t="str">
        <f ca="1">IFERROR(__xludf.DUMMYFUNCTION("""COMPUTED_VALUE"""),"")</f>
        <v/>
      </c>
      <c r="I1230" s="50" t="s">
        <v>29</v>
      </c>
      <c r="J1230" s="50" t="s">
        <v>29</v>
      </c>
      <c r="K1230" s="50" t="s">
        <v>29</v>
      </c>
      <c r="L1230" s="50" t="s">
        <v>29</v>
      </c>
      <c r="M1230" s="50" t="s">
        <v>29</v>
      </c>
      <c r="N1230" s="49"/>
      <c r="P1230" s="19"/>
      <c r="Q1230" s="18" t="str">
        <f ca="1">IFERROR(__xludf.DUMMYFUNCTION("""COMPUTED_VALUE"""),"")</f>
        <v/>
      </c>
      <c r="R1230" s="19"/>
      <c r="S1230" s="20"/>
      <c r="BP1230" s="10"/>
      <c r="BW1230" s="10"/>
      <c r="CF1230" s="10"/>
      <c r="CM1230" s="10"/>
      <c r="CP1230" s="18" t="str">
        <f ca="1"/>
        <v/>
      </c>
      <c r="CQ1230" s="18" t="str">
        <f ca="1"/>
        <v/>
      </c>
      <c r="CR1230" s="18" t="str">
        <f ca="1"/>
        <v/>
      </c>
      <c r="CS1230" s="18" t="str">
        <f ca="1"/>
        <v/>
      </c>
      <c r="CT1230" s="18" t="str">
        <f ca="1"/>
        <v/>
      </c>
      <c r="CV1230" s="10"/>
      <c r="CY1230" s="18" t="str">
        <f ca="1"/>
        <v/>
      </c>
      <c r="CZ1230" s="18" t="str">
        <f ca="1"/>
        <v/>
      </c>
      <c r="DA1230" s="18" t="str">
        <f ca="1"/>
        <v/>
      </c>
      <c r="DC1230" s="10"/>
    </row>
    <row r="1231" spans="1:107" x14ac:dyDescent="0.25">
      <c r="A1231" s="46"/>
      <c r="B1231" s="52"/>
      <c r="C1231" s="52"/>
      <c r="D1231" s="16"/>
      <c r="E1231" s="52"/>
      <c r="F1231" s="52"/>
      <c r="G1231" s="50"/>
      <c r="H1231" s="17" t="str">
        <f ca="1">IFERROR(__xludf.DUMMYFUNCTION("""COMPUTED_VALUE"""),"")</f>
        <v/>
      </c>
      <c r="I1231" s="50" t="s">
        <v>29</v>
      </c>
      <c r="J1231" s="50" t="s">
        <v>29</v>
      </c>
      <c r="K1231" s="50" t="s">
        <v>29</v>
      </c>
      <c r="L1231" s="50" t="s">
        <v>29</v>
      </c>
      <c r="M1231" s="50" t="s">
        <v>29</v>
      </c>
      <c r="N1231" s="49"/>
      <c r="P1231" s="19"/>
      <c r="Q1231" s="18" t="str">
        <f ca="1">IFERROR(__xludf.DUMMYFUNCTION("""COMPUTED_VALUE"""),"")</f>
        <v/>
      </c>
      <c r="R1231" s="19"/>
      <c r="S1231" s="20"/>
      <c r="BP1231" s="10"/>
      <c r="BW1231" s="10"/>
      <c r="CF1231" s="10"/>
      <c r="CM1231" s="10"/>
      <c r="CP1231" s="18" t="str">
        <f ca="1"/>
        <v/>
      </c>
      <c r="CQ1231" s="18" t="str">
        <f ca="1"/>
        <v/>
      </c>
      <c r="CR1231" s="18" t="str">
        <f ca="1"/>
        <v/>
      </c>
      <c r="CS1231" s="18" t="str">
        <f ca="1"/>
        <v/>
      </c>
      <c r="CT1231" s="18" t="str">
        <f ca="1"/>
        <v/>
      </c>
      <c r="CV1231" s="10"/>
      <c r="CY1231" s="18" t="str">
        <f ca="1"/>
        <v/>
      </c>
      <c r="CZ1231" s="18" t="str">
        <f ca="1"/>
        <v/>
      </c>
      <c r="DA1231" s="18" t="str">
        <f ca="1"/>
        <v/>
      </c>
      <c r="DC1231" s="10"/>
    </row>
    <row r="1232" spans="1:107" x14ac:dyDescent="0.25">
      <c r="A1232" s="46"/>
      <c r="B1232" s="52"/>
      <c r="C1232" s="52"/>
      <c r="D1232" s="16"/>
      <c r="E1232" s="52"/>
      <c r="F1232" s="52"/>
      <c r="G1232" s="50"/>
      <c r="H1232" s="17" t="str">
        <f ca="1">IFERROR(__xludf.DUMMYFUNCTION("""COMPUTED_VALUE"""),"")</f>
        <v/>
      </c>
      <c r="I1232" s="50" t="s">
        <v>29</v>
      </c>
      <c r="J1232" s="50" t="s">
        <v>29</v>
      </c>
      <c r="K1232" s="50" t="s">
        <v>29</v>
      </c>
      <c r="L1232" s="50" t="s">
        <v>29</v>
      </c>
      <c r="M1232" s="50" t="s">
        <v>29</v>
      </c>
      <c r="N1232" s="49"/>
      <c r="P1232" s="19"/>
      <c r="Q1232" s="18" t="str">
        <f ca="1">IFERROR(__xludf.DUMMYFUNCTION("""COMPUTED_VALUE"""),"")</f>
        <v/>
      </c>
      <c r="R1232" s="19"/>
      <c r="S1232" s="20"/>
      <c r="BP1232" s="10"/>
      <c r="BW1232" s="10"/>
      <c r="CF1232" s="10"/>
      <c r="CM1232" s="10"/>
      <c r="CP1232" s="18" t="str">
        <f ca="1"/>
        <v/>
      </c>
      <c r="CQ1232" s="18" t="str">
        <f ca="1"/>
        <v/>
      </c>
      <c r="CR1232" s="18" t="str">
        <f ca="1"/>
        <v/>
      </c>
      <c r="CS1232" s="18" t="str">
        <f ca="1"/>
        <v/>
      </c>
      <c r="CT1232" s="18" t="str">
        <f ca="1"/>
        <v/>
      </c>
      <c r="CV1232" s="10"/>
      <c r="CY1232" s="18" t="str">
        <f ca="1"/>
        <v/>
      </c>
      <c r="CZ1232" s="18" t="str">
        <f ca="1"/>
        <v/>
      </c>
      <c r="DA1232" s="18" t="str">
        <f ca="1"/>
        <v/>
      </c>
      <c r="DC1232" s="10"/>
    </row>
    <row r="1233" spans="1:107" x14ac:dyDescent="0.25">
      <c r="A1233" s="46"/>
      <c r="B1233" s="52"/>
      <c r="C1233" s="52"/>
      <c r="D1233" s="16"/>
      <c r="E1233" s="52"/>
      <c r="F1233" s="52"/>
      <c r="G1233" s="50"/>
      <c r="H1233" s="17" t="str">
        <f ca="1">IFERROR(__xludf.DUMMYFUNCTION("""COMPUTED_VALUE"""),"")</f>
        <v/>
      </c>
      <c r="I1233" s="50" t="s">
        <v>29</v>
      </c>
      <c r="J1233" s="50" t="s">
        <v>29</v>
      </c>
      <c r="K1233" s="50" t="s">
        <v>29</v>
      </c>
      <c r="L1233" s="50" t="s">
        <v>29</v>
      </c>
      <c r="M1233" s="50" t="s">
        <v>29</v>
      </c>
      <c r="N1233" s="49"/>
      <c r="P1233" s="19"/>
      <c r="Q1233" s="18" t="str">
        <f ca="1">IFERROR(__xludf.DUMMYFUNCTION("""COMPUTED_VALUE"""),"")</f>
        <v/>
      </c>
      <c r="R1233" s="19"/>
      <c r="S1233" s="20"/>
      <c r="BP1233" s="10"/>
      <c r="BW1233" s="10"/>
      <c r="CF1233" s="10"/>
      <c r="CM1233" s="10"/>
      <c r="CP1233" s="18" t="str">
        <f ca="1"/>
        <v/>
      </c>
      <c r="CQ1233" s="18" t="str">
        <f ca="1"/>
        <v/>
      </c>
      <c r="CR1233" s="18" t="str">
        <f ca="1"/>
        <v/>
      </c>
      <c r="CS1233" s="18" t="str">
        <f ca="1"/>
        <v/>
      </c>
      <c r="CT1233" s="18" t="str">
        <f ca="1"/>
        <v/>
      </c>
      <c r="CV1233" s="10"/>
      <c r="CY1233" s="18" t="str">
        <f ca="1"/>
        <v/>
      </c>
      <c r="CZ1233" s="18" t="str">
        <f ca="1"/>
        <v/>
      </c>
      <c r="DA1233" s="18" t="str">
        <f ca="1"/>
        <v/>
      </c>
      <c r="DC1233" s="10"/>
    </row>
    <row r="1234" spans="1:107" x14ac:dyDescent="0.25">
      <c r="A1234" s="46"/>
      <c r="B1234" s="52"/>
      <c r="C1234" s="52"/>
      <c r="D1234" s="16"/>
      <c r="E1234" s="52"/>
      <c r="F1234" s="52"/>
      <c r="G1234" s="50"/>
      <c r="H1234" s="17" t="str">
        <f ca="1">IFERROR(__xludf.DUMMYFUNCTION("""COMPUTED_VALUE"""),"")</f>
        <v/>
      </c>
      <c r="I1234" s="50" t="s">
        <v>29</v>
      </c>
      <c r="J1234" s="50" t="s">
        <v>29</v>
      </c>
      <c r="K1234" s="50" t="s">
        <v>29</v>
      </c>
      <c r="L1234" s="50" t="s">
        <v>29</v>
      </c>
      <c r="M1234" s="50" t="s">
        <v>29</v>
      </c>
      <c r="N1234" s="49"/>
      <c r="P1234" s="19"/>
      <c r="Q1234" s="18" t="str">
        <f ca="1">IFERROR(__xludf.DUMMYFUNCTION("""COMPUTED_VALUE"""),"")</f>
        <v/>
      </c>
      <c r="R1234" s="19"/>
      <c r="S1234" s="20"/>
      <c r="BP1234" s="10"/>
      <c r="BW1234" s="10"/>
      <c r="CF1234" s="10"/>
      <c r="CM1234" s="10"/>
      <c r="CP1234" s="18" t="str">
        <f ca="1"/>
        <v/>
      </c>
      <c r="CQ1234" s="18" t="str">
        <f ca="1"/>
        <v/>
      </c>
      <c r="CR1234" s="18" t="str">
        <f ca="1"/>
        <v/>
      </c>
      <c r="CS1234" s="18" t="str">
        <f ca="1"/>
        <v/>
      </c>
      <c r="CT1234" s="18" t="str">
        <f ca="1"/>
        <v/>
      </c>
      <c r="CV1234" s="10"/>
      <c r="CY1234" s="18" t="str">
        <f ca="1"/>
        <v/>
      </c>
      <c r="CZ1234" s="18" t="str">
        <f ca="1"/>
        <v/>
      </c>
      <c r="DA1234" s="18" t="str">
        <f ca="1"/>
        <v/>
      </c>
      <c r="DC1234" s="10"/>
    </row>
    <row r="1235" spans="1:107" x14ac:dyDescent="0.25">
      <c r="A1235" s="46"/>
      <c r="B1235" s="52"/>
      <c r="C1235" s="52"/>
      <c r="D1235" s="16"/>
      <c r="E1235" s="52"/>
      <c r="F1235" s="52"/>
      <c r="G1235" s="50"/>
      <c r="H1235" s="17" t="str">
        <f ca="1">IFERROR(__xludf.DUMMYFUNCTION("""COMPUTED_VALUE"""),"")</f>
        <v/>
      </c>
      <c r="I1235" s="50" t="s">
        <v>29</v>
      </c>
      <c r="J1235" s="50" t="s">
        <v>29</v>
      </c>
      <c r="K1235" s="50" t="s">
        <v>29</v>
      </c>
      <c r="L1235" s="50" t="s">
        <v>29</v>
      </c>
      <c r="M1235" s="50" t="s">
        <v>29</v>
      </c>
      <c r="N1235" s="49"/>
      <c r="P1235" s="19"/>
      <c r="Q1235" s="18" t="str">
        <f ca="1">IFERROR(__xludf.DUMMYFUNCTION("""COMPUTED_VALUE"""),"")</f>
        <v/>
      </c>
      <c r="R1235" s="19"/>
      <c r="S1235" s="20"/>
      <c r="BP1235" s="10"/>
      <c r="BW1235" s="10"/>
      <c r="CF1235" s="10"/>
      <c r="CM1235" s="10"/>
      <c r="CP1235" s="18" t="str">
        <f ca="1"/>
        <v/>
      </c>
      <c r="CQ1235" s="18" t="str">
        <f ca="1"/>
        <v/>
      </c>
      <c r="CR1235" s="18" t="str">
        <f ca="1"/>
        <v/>
      </c>
      <c r="CS1235" s="18" t="str">
        <f ca="1"/>
        <v/>
      </c>
      <c r="CT1235" s="18" t="str">
        <f ca="1"/>
        <v/>
      </c>
      <c r="CV1235" s="10"/>
      <c r="CY1235" s="18" t="str">
        <f ca="1"/>
        <v/>
      </c>
      <c r="CZ1235" s="18" t="str">
        <f ca="1"/>
        <v/>
      </c>
      <c r="DA1235" s="18" t="str">
        <f ca="1"/>
        <v/>
      </c>
      <c r="DC1235" s="10"/>
    </row>
    <row r="1236" spans="1:107" x14ac:dyDescent="0.25">
      <c r="A1236" s="46"/>
      <c r="B1236" s="52"/>
      <c r="C1236" s="52"/>
      <c r="D1236" s="16"/>
      <c r="E1236" s="52"/>
      <c r="F1236" s="52"/>
      <c r="G1236" s="50"/>
      <c r="H1236" s="17" t="str">
        <f ca="1">IFERROR(__xludf.DUMMYFUNCTION("""COMPUTED_VALUE"""),"")</f>
        <v/>
      </c>
      <c r="I1236" s="50" t="s">
        <v>29</v>
      </c>
      <c r="J1236" s="50" t="s">
        <v>29</v>
      </c>
      <c r="K1236" s="50" t="s">
        <v>29</v>
      </c>
      <c r="L1236" s="50" t="s">
        <v>29</v>
      </c>
      <c r="M1236" s="50" t="s">
        <v>29</v>
      </c>
      <c r="N1236" s="49"/>
      <c r="P1236" s="19"/>
      <c r="Q1236" s="18" t="str">
        <f ca="1">IFERROR(__xludf.DUMMYFUNCTION("""COMPUTED_VALUE"""),"")</f>
        <v/>
      </c>
      <c r="R1236" s="19"/>
      <c r="S1236" s="20"/>
      <c r="BP1236" s="10"/>
      <c r="BW1236" s="10"/>
      <c r="CF1236" s="10"/>
      <c r="CM1236" s="10"/>
      <c r="CP1236" s="18" t="str">
        <f ca="1"/>
        <v/>
      </c>
      <c r="CQ1236" s="18" t="str">
        <f ca="1"/>
        <v/>
      </c>
      <c r="CR1236" s="18" t="str">
        <f ca="1"/>
        <v/>
      </c>
      <c r="CS1236" s="18" t="str">
        <f ca="1"/>
        <v/>
      </c>
      <c r="CT1236" s="18" t="str">
        <f ca="1"/>
        <v/>
      </c>
      <c r="CV1236" s="10"/>
      <c r="CY1236" s="18" t="str">
        <f ca="1"/>
        <v/>
      </c>
      <c r="CZ1236" s="18" t="str">
        <f ca="1"/>
        <v/>
      </c>
      <c r="DA1236" s="18" t="str">
        <f ca="1"/>
        <v/>
      </c>
      <c r="DC1236" s="10"/>
    </row>
    <row r="1237" spans="1:107" x14ac:dyDescent="0.25">
      <c r="A1237" s="46"/>
      <c r="B1237" s="52"/>
      <c r="C1237" s="52"/>
      <c r="D1237" s="16"/>
      <c r="E1237" s="52"/>
      <c r="F1237" s="52"/>
      <c r="G1237" s="50"/>
      <c r="H1237" s="17" t="str">
        <f ca="1">IFERROR(__xludf.DUMMYFUNCTION("""COMPUTED_VALUE"""),"")</f>
        <v/>
      </c>
      <c r="I1237" s="50" t="s">
        <v>29</v>
      </c>
      <c r="J1237" s="50" t="s">
        <v>29</v>
      </c>
      <c r="K1237" s="50" t="s">
        <v>29</v>
      </c>
      <c r="L1237" s="50" t="s">
        <v>29</v>
      </c>
      <c r="M1237" s="50" t="s">
        <v>29</v>
      </c>
      <c r="N1237" s="49"/>
      <c r="P1237" s="19"/>
      <c r="Q1237" s="18" t="str">
        <f ca="1">IFERROR(__xludf.DUMMYFUNCTION("""COMPUTED_VALUE"""),"")</f>
        <v/>
      </c>
      <c r="R1237" s="19"/>
      <c r="S1237" s="20"/>
      <c r="BP1237" s="10"/>
      <c r="BW1237" s="10"/>
      <c r="CF1237" s="10"/>
      <c r="CM1237" s="10"/>
      <c r="CP1237" s="18" t="str">
        <f ca="1"/>
        <v/>
      </c>
      <c r="CQ1237" s="18" t="str">
        <f ca="1"/>
        <v/>
      </c>
      <c r="CR1237" s="18" t="str">
        <f ca="1"/>
        <v/>
      </c>
      <c r="CS1237" s="18" t="str">
        <f ca="1"/>
        <v/>
      </c>
      <c r="CT1237" s="18" t="str">
        <f ca="1"/>
        <v/>
      </c>
      <c r="CV1237" s="10"/>
      <c r="CY1237" s="18" t="str">
        <f ca="1"/>
        <v/>
      </c>
      <c r="CZ1237" s="18" t="str">
        <f ca="1"/>
        <v/>
      </c>
      <c r="DA1237" s="18" t="str">
        <f ca="1"/>
        <v/>
      </c>
      <c r="DC1237" s="10"/>
    </row>
    <row r="1238" spans="1:107" x14ac:dyDescent="0.25">
      <c r="A1238" s="46"/>
      <c r="B1238" s="52"/>
      <c r="C1238" s="52"/>
      <c r="D1238" s="16"/>
      <c r="E1238" s="52"/>
      <c r="F1238" s="52"/>
      <c r="G1238" s="50"/>
      <c r="H1238" s="17" t="str">
        <f ca="1">IFERROR(__xludf.DUMMYFUNCTION("""COMPUTED_VALUE"""),"")</f>
        <v/>
      </c>
      <c r="I1238" s="50" t="s">
        <v>29</v>
      </c>
      <c r="J1238" s="50" t="s">
        <v>29</v>
      </c>
      <c r="K1238" s="50" t="s">
        <v>29</v>
      </c>
      <c r="L1238" s="50" t="s">
        <v>29</v>
      </c>
      <c r="M1238" s="50" t="s">
        <v>29</v>
      </c>
      <c r="N1238" s="49"/>
      <c r="P1238" s="19"/>
      <c r="Q1238" s="18" t="str">
        <f ca="1">IFERROR(__xludf.DUMMYFUNCTION("""COMPUTED_VALUE"""),"")</f>
        <v/>
      </c>
      <c r="R1238" s="19"/>
      <c r="S1238" s="20"/>
      <c r="BP1238" s="10"/>
      <c r="BW1238" s="10"/>
      <c r="CF1238" s="10"/>
      <c r="CM1238" s="10"/>
      <c r="CP1238" s="18" t="str">
        <f ca="1"/>
        <v/>
      </c>
      <c r="CQ1238" s="18" t="str">
        <f ca="1"/>
        <v/>
      </c>
      <c r="CR1238" s="18" t="str">
        <f ca="1"/>
        <v/>
      </c>
      <c r="CS1238" s="18" t="str">
        <f ca="1"/>
        <v/>
      </c>
      <c r="CT1238" s="18" t="str">
        <f ca="1"/>
        <v/>
      </c>
      <c r="CV1238" s="10"/>
      <c r="CY1238" s="18" t="str">
        <f ca="1"/>
        <v/>
      </c>
      <c r="CZ1238" s="18" t="str">
        <f ca="1"/>
        <v/>
      </c>
      <c r="DA1238" s="18" t="str">
        <f ca="1"/>
        <v/>
      </c>
      <c r="DC1238" s="10"/>
    </row>
    <row r="1239" spans="1:107" x14ac:dyDescent="0.25">
      <c r="A1239" s="46"/>
      <c r="B1239" s="52"/>
      <c r="C1239" s="52"/>
      <c r="D1239" s="16"/>
      <c r="E1239" s="52"/>
      <c r="F1239" s="52"/>
      <c r="G1239" s="50"/>
      <c r="H1239" s="17" t="str">
        <f ca="1">IFERROR(__xludf.DUMMYFUNCTION("""COMPUTED_VALUE"""),"")</f>
        <v/>
      </c>
      <c r="I1239" s="50" t="s">
        <v>29</v>
      </c>
      <c r="J1239" s="50" t="s">
        <v>29</v>
      </c>
      <c r="K1239" s="50" t="s">
        <v>29</v>
      </c>
      <c r="L1239" s="50" t="s">
        <v>29</v>
      </c>
      <c r="M1239" s="50" t="s">
        <v>29</v>
      </c>
      <c r="N1239" s="49"/>
      <c r="P1239" s="19"/>
      <c r="Q1239" s="18" t="str">
        <f ca="1">IFERROR(__xludf.DUMMYFUNCTION("""COMPUTED_VALUE"""),"")</f>
        <v/>
      </c>
      <c r="R1239" s="19"/>
      <c r="S1239" s="20"/>
      <c r="BP1239" s="10"/>
      <c r="BW1239" s="10"/>
      <c r="CF1239" s="10"/>
      <c r="CM1239" s="10"/>
      <c r="CP1239" s="18" t="str">
        <f ca="1"/>
        <v/>
      </c>
      <c r="CQ1239" s="18" t="str">
        <f ca="1"/>
        <v/>
      </c>
      <c r="CR1239" s="18" t="str">
        <f ca="1"/>
        <v/>
      </c>
      <c r="CS1239" s="18" t="str">
        <f ca="1"/>
        <v/>
      </c>
      <c r="CT1239" s="18" t="str">
        <f ca="1"/>
        <v/>
      </c>
      <c r="CV1239" s="10"/>
      <c r="CY1239" s="18" t="str">
        <f ca="1"/>
        <v/>
      </c>
      <c r="CZ1239" s="18" t="str">
        <f ca="1"/>
        <v/>
      </c>
      <c r="DA1239" s="18" t="str">
        <f ca="1"/>
        <v/>
      </c>
      <c r="DC1239" s="10"/>
    </row>
    <row r="1240" spans="1:107" x14ac:dyDescent="0.25">
      <c r="A1240" s="46"/>
      <c r="B1240" s="52"/>
      <c r="C1240" s="52"/>
      <c r="D1240" s="16"/>
      <c r="E1240" s="52"/>
      <c r="F1240" s="52"/>
      <c r="G1240" s="50"/>
      <c r="H1240" s="17" t="str">
        <f ca="1">IFERROR(__xludf.DUMMYFUNCTION("""COMPUTED_VALUE"""),"")</f>
        <v/>
      </c>
      <c r="I1240" s="50" t="s">
        <v>29</v>
      </c>
      <c r="J1240" s="50" t="s">
        <v>29</v>
      </c>
      <c r="K1240" s="50" t="s">
        <v>29</v>
      </c>
      <c r="L1240" s="50" t="s">
        <v>29</v>
      </c>
      <c r="M1240" s="50" t="s">
        <v>29</v>
      </c>
      <c r="N1240" s="49"/>
      <c r="P1240" s="19"/>
      <c r="Q1240" s="18" t="str">
        <f ca="1">IFERROR(__xludf.DUMMYFUNCTION("""COMPUTED_VALUE"""),"")</f>
        <v/>
      </c>
      <c r="R1240" s="19"/>
      <c r="S1240" s="20"/>
      <c r="BP1240" s="10"/>
      <c r="BW1240" s="10"/>
      <c r="CF1240" s="10"/>
      <c r="CM1240" s="10"/>
      <c r="CP1240" s="18" t="str">
        <f ca="1"/>
        <v/>
      </c>
      <c r="CQ1240" s="18" t="str">
        <f ca="1"/>
        <v/>
      </c>
      <c r="CR1240" s="18" t="str">
        <f ca="1"/>
        <v/>
      </c>
      <c r="CS1240" s="18" t="str">
        <f ca="1"/>
        <v/>
      </c>
      <c r="CT1240" s="18" t="str">
        <f ca="1"/>
        <v/>
      </c>
      <c r="CV1240" s="10"/>
      <c r="CY1240" s="18" t="str">
        <f ca="1"/>
        <v/>
      </c>
      <c r="CZ1240" s="18" t="str">
        <f ca="1"/>
        <v/>
      </c>
      <c r="DA1240" s="18" t="str">
        <f ca="1"/>
        <v/>
      </c>
      <c r="DC1240" s="10"/>
    </row>
    <row r="1241" spans="1:107" x14ac:dyDescent="0.25">
      <c r="A1241" s="46"/>
      <c r="B1241" s="52"/>
      <c r="C1241" s="52"/>
      <c r="D1241" s="16"/>
      <c r="E1241" s="52"/>
      <c r="F1241" s="52"/>
      <c r="G1241" s="50"/>
      <c r="H1241" s="17" t="str">
        <f ca="1">IFERROR(__xludf.DUMMYFUNCTION("""COMPUTED_VALUE"""),"")</f>
        <v/>
      </c>
      <c r="I1241" s="50" t="s">
        <v>29</v>
      </c>
      <c r="J1241" s="50" t="s">
        <v>29</v>
      </c>
      <c r="K1241" s="50" t="s">
        <v>29</v>
      </c>
      <c r="L1241" s="50" t="s">
        <v>29</v>
      </c>
      <c r="M1241" s="50" t="s">
        <v>29</v>
      </c>
      <c r="N1241" s="49"/>
      <c r="P1241" s="19"/>
      <c r="Q1241" s="18" t="str">
        <f ca="1">IFERROR(__xludf.DUMMYFUNCTION("""COMPUTED_VALUE"""),"")</f>
        <v/>
      </c>
      <c r="R1241" s="19"/>
      <c r="S1241" s="20"/>
      <c r="BP1241" s="10"/>
      <c r="BW1241" s="10"/>
      <c r="CF1241" s="10"/>
      <c r="CM1241" s="10"/>
      <c r="CP1241" s="18" t="str">
        <f ca="1"/>
        <v/>
      </c>
      <c r="CQ1241" s="18" t="str">
        <f ca="1"/>
        <v/>
      </c>
      <c r="CR1241" s="18" t="str">
        <f ca="1"/>
        <v/>
      </c>
      <c r="CS1241" s="18" t="str">
        <f ca="1"/>
        <v/>
      </c>
      <c r="CT1241" s="18" t="str">
        <f ca="1"/>
        <v/>
      </c>
      <c r="CV1241" s="10"/>
      <c r="CY1241" s="18" t="str">
        <f ca="1"/>
        <v/>
      </c>
      <c r="CZ1241" s="18" t="str">
        <f ca="1"/>
        <v/>
      </c>
      <c r="DA1241" s="18" t="str">
        <f ca="1"/>
        <v/>
      </c>
      <c r="DC1241" s="10"/>
    </row>
    <row r="1242" spans="1:107" x14ac:dyDescent="0.25">
      <c r="A1242" s="46"/>
      <c r="B1242" s="52"/>
      <c r="C1242" s="52"/>
      <c r="D1242" s="16"/>
      <c r="E1242" s="52"/>
      <c r="F1242" s="52"/>
      <c r="G1242" s="50"/>
      <c r="H1242" s="17" t="str">
        <f ca="1">IFERROR(__xludf.DUMMYFUNCTION("""COMPUTED_VALUE"""),"")</f>
        <v/>
      </c>
      <c r="I1242" s="50" t="s">
        <v>29</v>
      </c>
      <c r="J1242" s="50" t="s">
        <v>29</v>
      </c>
      <c r="K1242" s="50" t="s">
        <v>29</v>
      </c>
      <c r="L1242" s="50" t="s">
        <v>29</v>
      </c>
      <c r="M1242" s="50" t="s">
        <v>29</v>
      </c>
      <c r="N1242" s="49"/>
      <c r="P1242" s="19"/>
      <c r="Q1242" s="18" t="str">
        <f ca="1">IFERROR(__xludf.DUMMYFUNCTION("""COMPUTED_VALUE"""),"")</f>
        <v/>
      </c>
      <c r="R1242" s="19"/>
      <c r="S1242" s="20"/>
      <c r="BP1242" s="10"/>
      <c r="BW1242" s="10"/>
      <c r="CF1242" s="10"/>
      <c r="CM1242" s="10"/>
      <c r="CP1242" s="18" t="str">
        <f ca="1"/>
        <v/>
      </c>
      <c r="CQ1242" s="18" t="str">
        <f ca="1"/>
        <v/>
      </c>
      <c r="CR1242" s="18" t="str">
        <f ca="1"/>
        <v/>
      </c>
      <c r="CS1242" s="18" t="str">
        <f ca="1"/>
        <v/>
      </c>
      <c r="CT1242" s="18" t="str">
        <f ca="1"/>
        <v/>
      </c>
      <c r="CV1242" s="10"/>
      <c r="CY1242" s="18" t="str">
        <f ca="1"/>
        <v/>
      </c>
      <c r="CZ1242" s="18" t="str">
        <f ca="1"/>
        <v/>
      </c>
      <c r="DA1242" s="18" t="str">
        <f ca="1"/>
        <v/>
      </c>
      <c r="DC1242" s="10"/>
    </row>
    <row r="1243" spans="1:107" x14ac:dyDescent="0.25">
      <c r="A1243" s="46"/>
      <c r="B1243" s="52"/>
      <c r="C1243" s="52"/>
      <c r="D1243" s="16"/>
      <c r="E1243" s="52"/>
      <c r="F1243" s="52"/>
      <c r="G1243" s="50"/>
      <c r="H1243" s="17" t="str">
        <f ca="1">IFERROR(__xludf.DUMMYFUNCTION("""COMPUTED_VALUE"""),"")</f>
        <v/>
      </c>
      <c r="I1243" s="50" t="s">
        <v>29</v>
      </c>
      <c r="J1243" s="50" t="s">
        <v>29</v>
      </c>
      <c r="K1243" s="50" t="s">
        <v>29</v>
      </c>
      <c r="L1243" s="50" t="s">
        <v>29</v>
      </c>
      <c r="M1243" s="50" t="s">
        <v>29</v>
      </c>
      <c r="N1243" s="49"/>
      <c r="P1243" s="19"/>
      <c r="Q1243" s="18" t="str">
        <f ca="1">IFERROR(__xludf.DUMMYFUNCTION("""COMPUTED_VALUE"""),"")</f>
        <v/>
      </c>
      <c r="R1243" s="19"/>
      <c r="S1243" s="20"/>
      <c r="BP1243" s="10"/>
      <c r="BW1243" s="10"/>
      <c r="CF1243" s="10"/>
      <c r="CM1243" s="10"/>
      <c r="CP1243" s="18" t="str">
        <f ca="1"/>
        <v/>
      </c>
      <c r="CQ1243" s="18" t="str">
        <f ca="1"/>
        <v/>
      </c>
      <c r="CR1243" s="18" t="str">
        <f ca="1"/>
        <v/>
      </c>
      <c r="CS1243" s="18" t="str">
        <f ca="1"/>
        <v/>
      </c>
      <c r="CT1243" s="18" t="str">
        <f ca="1"/>
        <v/>
      </c>
      <c r="CV1243" s="10"/>
      <c r="CY1243" s="18" t="str">
        <f ca="1"/>
        <v/>
      </c>
      <c r="CZ1243" s="18" t="str">
        <f ca="1"/>
        <v/>
      </c>
      <c r="DA1243" s="18" t="str">
        <f ca="1"/>
        <v/>
      </c>
      <c r="DC1243" s="10"/>
    </row>
    <row r="1244" spans="1:107" x14ac:dyDescent="0.25">
      <c r="A1244" s="46"/>
      <c r="B1244" s="52"/>
      <c r="C1244" s="52"/>
      <c r="D1244" s="16"/>
      <c r="E1244" s="52"/>
      <c r="F1244" s="52"/>
      <c r="G1244" s="50"/>
      <c r="H1244" s="17" t="str">
        <f ca="1">IFERROR(__xludf.DUMMYFUNCTION("""COMPUTED_VALUE"""),"")</f>
        <v/>
      </c>
      <c r="I1244" s="50" t="s">
        <v>29</v>
      </c>
      <c r="J1244" s="50" t="s">
        <v>29</v>
      </c>
      <c r="K1244" s="50" t="s">
        <v>29</v>
      </c>
      <c r="L1244" s="50" t="s">
        <v>29</v>
      </c>
      <c r="M1244" s="50" t="s">
        <v>29</v>
      </c>
      <c r="N1244" s="49"/>
      <c r="P1244" s="19"/>
      <c r="Q1244" s="18" t="str">
        <f ca="1">IFERROR(__xludf.DUMMYFUNCTION("""COMPUTED_VALUE"""),"")</f>
        <v/>
      </c>
      <c r="R1244" s="19"/>
      <c r="S1244" s="20"/>
      <c r="BP1244" s="10"/>
      <c r="BW1244" s="10"/>
      <c r="CF1244" s="10"/>
      <c r="CM1244" s="10"/>
      <c r="CP1244" s="18" t="str">
        <f ca="1"/>
        <v/>
      </c>
      <c r="CQ1244" s="18" t="str">
        <f ca="1"/>
        <v/>
      </c>
      <c r="CR1244" s="18" t="str">
        <f ca="1"/>
        <v/>
      </c>
      <c r="CS1244" s="18" t="str">
        <f ca="1"/>
        <v/>
      </c>
      <c r="CT1244" s="18" t="str">
        <f ca="1"/>
        <v/>
      </c>
      <c r="CV1244" s="10"/>
      <c r="CY1244" s="18" t="str">
        <f ca="1"/>
        <v/>
      </c>
      <c r="CZ1244" s="18" t="str">
        <f ca="1"/>
        <v/>
      </c>
      <c r="DA1244" s="18" t="str">
        <f ca="1"/>
        <v/>
      </c>
      <c r="DC1244" s="10"/>
    </row>
    <row r="1245" spans="1:107" x14ac:dyDescent="0.25">
      <c r="A1245" s="46"/>
      <c r="B1245" s="52"/>
      <c r="C1245" s="52"/>
      <c r="D1245" s="16"/>
      <c r="E1245" s="52"/>
      <c r="F1245" s="52"/>
      <c r="G1245" s="50"/>
      <c r="H1245" s="17" t="str">
        <f ca="1">IFERROR(__xludf.DUMMYFUNCTION("""COMPUTED_VALUE"""),"")</f>
        <v/>
      </c>
      <c r="I1245" s="50" t="s">
        <v>29</v>
      </c>
      <c r="J1245" s="50" t="s">
        <v>29</v>
      </c>
      <c r="K1245" s="50" t="s">
        <v>29</v>
      </c>
      <c r="L1245" s="50" t="s">
        <v>29</v>
      </c>
      <c r="M1245" s="50" t="s">
        <v>29</v>
      </c>
      <c r="N1245" s="49"/>
      <c r="P1245" s="19"/>
      <c r="Q1245" s="18" t="str">
        <f ca="1">IFERROR(__xludf.DUMMYFUNCTION("""COMPUTED_VALUE"""),"")</f>
        <v/>
      </c>
      <c r="R1245" s="19"/>
      <c r="S1245" s="20"/>
      <c r="BP1245" s="10"/>
      <c r="BW1245" s="10"/>
      <c r="CF1245" s="10"/>
      <c r="CM1245" s="10"/>
      <c r="CP1245" s="18" t="str">
        <f ca="1"/>
        <v/>
      </c>
      <c r="CQ1245" s="18" t="str">
        <f ca="1"/>
        <v/>
      </c>
      <c r="CR1245" s="18" t="str">
        <f ca="1"/>
        <v/>
      </c>
      <c r="CS1245" s="18" t="str">
        <f ca="1"/>
        <v/>
      </c>
      <c r="CT1245" s="18" t="str">
        <f ca="1"/>
        <v/>
      </c>
      <c r="CV1245" s="10"/>
      <c r="CY1245" s="18" t="str">
        <f ca="1"/>
        <v/>
      </c>
      <c r="CZ1245" s="18" t="str">
        <f ca="1"/>
        <v/>
      </c>
      <c r="DA1245" s="18" t="str">
        <f ca="1"/>
        <v/>
      </c>
      <c r="DC1245" s="10"/>
    </row>
    <row r="1246" spans="1:107" x14ac:dyDescent="0.25">
      <c r="A1246" s="46"/>
      <c r="B1246" s="52"/>
      <c r="C1246" s="52"/>
      <c r="D1246" s="16"/>
      <c r="E1246" s="52"/>
      <c r="F1246" s="52"/>
      <c r="G1246" s="50"/>
      <c r="H1246" s="17" t="str">
        <f ca="1">IFERROR(__xludf.DUMMYFUNCTION("""COMPUTED_VALUE"""),"")</f>
        <v/>
      </c>
      <c r="I1246" s="50" t="s">
        <v>29</v>
      </c>
      <c r="J1246" s="50" t="s">
        <v>29</v>
      </c>
      <c r="K1246" s="50" t="s">
        <v>29</v>
      </c>
      <c r="L1246" s="50" t="s">
        <v>29</v>
      </c>
      <c r="M1246" s="50" t="s">
        <v>29</v>
      </c>
      <c r="N1246" s="49"/>
      <c r="P1246" s="19"/>
      <c r="Q1246" s="18" t="str">
        <f ca="1">IFERROR(__xludf.DUMMYFUNCTION("""COMPUTED_VALUE"""),"")</f>
        <v/>
      </c>
      <c r="R1246" s="19"/>
      <c r="S1246" s="20"/>
      <c r="BP1246" s="10"/>
      <c r="BW1246" s="10"/>
      <c r="CF1246" s="10"/>
      <c r="CM1246" s="10"/>
      <c r="CP1246" s="18" t="str">
        <f ca="1"/>
        <v/>
      </c>
      <c r="CQ1246" s="18" t="str">
        <f ca="1"/>
        <v/>
      </c>
      <c r="CR1246" s="18" t="str">
        <f ca="1"/>
        <v/>
      </c>
      <c r="CS1246" s="18" t="str">
        <f ca="1"/>
        <v/>
      </c>
      <c r="CT1246" s="18" t="str">
        <f ca="1"/>
        <v/>
      </c>
      <c r="CV1246" s="10"/>
      <c r="CY1246" s="18" t="str">
        <f ca="1"/>
        <v/>
      </c>
      <c r="CZ1246" s="18" t="str">
        <f ca="1"/>
        <v/>
      </c>
      <c r="DA1246" s="18" t="str">
        <f ca="1"/>
        <v/>
      </c>
      <c r="DC1246" s="10"/>
    </row>
    <row r="1247" spans="1:107" x14ac:dyDescent="0.25">
      <c r="A1247" s="46"/>
      <c r="B1247" s="52"/>
      <c r="C1247" s="52"/>
      <c r="D1247" s="16"/>
      <c r="E1247" s="52"/>
      <c r="F1247" s="52"/>
      <c r="G1247" s="50"/>
      <c r="H1247" s="17" t="str">
        <f ca="1">IFERROR(__xludf.DUMMYFUNCTION("""COMPUTED_VALUE"""),"")</f>
        <v/>
      </c>
      <c r="I1247" s="50" t="s">
        <v>29</v>
      </c>
      <c r="J1247" s="50" t="s">
        <v>29</v>
      </c>
      <c r="K1247" s="50" t="s">
        <v>29</v>
      </c>
      <c r="L1247" s="50" t="s">
        <v>29</v>
      </c>
      <c r="M1247" s="50" t="s">
        <v>29</v>
      </c>
      <c r="N1247" s="49"/>
      <c r="P1247" s="19"/>
      <c r="Q1247" s="18" t="str">
        <f ca="1">IFERROR(__xludf.DUMMYFUNCTION("""COMPUTED_VALUE"""),"")</f>
        <v/>
      </c>
      <c r="R1247" s="19"/>
      <c r="S1247" s="20"/>
      <c r="BP1247" s="10"/>
      <c r="BW1247" s="10"/>
      <c r="CF1247" s="10"/>
      <c r="CM1247" s="10"/>
      <c r="CP1247" s="18" t="str">
        <f ca="1"/>
        <v/>
      </c>
      <c r="CQ1247" s="18" t="str">
        <f ca="1"/>
        <v/>
      </c>
      <c r="CR1247" s="18" t="str">
        <f ca="1"/>
        <v/>
      </c>
      <c r="CS1247" s="18" t="str">
        <f ca="1"/>
        <v/>
      </c>
      <c r="CT1247" s="18" t="str">
        <f ca="1"/>
        <v/>
      </c>
      <c r="CV1247" s="10"/>
      <c r="CY1247" s="18" t="str">
        <f ca="1"/>
        <v/>
      </c>
      <c r="CZ1247" s="18" t="str">
        <f ca="1"/>
        <v/>
      </c>
      <c r="DA1247" s="18" t="str">
        <f ca="1"/>
        <v/>
      </c>
      <c r="DC1247" s="10"/>
    </row>
    <row r="1248" spans="1:107" x14ac:dyDescent="0.25">
      <c r="A1248" s="46"/>
      <c r="B1248" s="52"/>
      <c r="C1248" s="52"/>
      <c r="D1248" s="16"/>
      <c r="E1248" s="52"/>
      <c r="F1248" s="52"/>
      <c r="G1248" s="50"/>
      <c r="H1248" s="17" t="str">
        <f ca="1">IFERROR(__xludf.DUMMYFUNCTION("""COMPUTED_VALUE"""),"")</f>
        <v/>
      </c>
      <c r="I1248" s="50" t="s">
        <v>29</v>
      </c>
      <c r="J1248" s="50" t="s">
        <v>29</v>
      </c>
      <c r="K1248" s="50" t="s">
        <v>29</v>
      </c>
      <c r="L1248" s="50" t="s">
        <v>29</v>
      </c>
      <c r="M1248" s="50" t="s">
        <v>29</v>
      </c>
      <c r="N1248" s="49"/>
      <c r="P1248" s="19"/>
      <c r="Q1248" s="18" t="str">
        <f ca="1">IFERROR(__xludf.DUMMYFUNCTION("""COMPUTED_VALUE"""),"")</f>
        <v/>
      </c>
      <c r="R1248" s="19"/>
      <c r="S1248" s="20"/>
      <c r="BP1248" s="10"/>
      <c r="BW1248" s="10"/>
      <c r="CF1248" s="10"/>
      <c r="CM1248" s="10"/>
      <c r="CP1248" s="18" t="str">
        <f ca="1"/>
        <v/>
      </c>
      <c r="CQ1248" s="18" t="str">
        <f ca="1"/>
        <v/>
      </c>
      <c r="CR1248" s="18" t="str">
        <f ca="1"/>
        <v/>
      </c>
      <c r="CS1248" s="18" t="str">
        <f ca="1"/>
        <v/>
      </c>
      <c r="CT1248" s="18" t="str">
        <f ca="1"/>
        <v/>
      </c>
      <c r="CV1248" s="10"/>
      <c r="CY1248" s="18" t="str">
        <f ca="1"/>
        <v/>
      </c>
      <c r="CZ1248" s="18" t="str">
        <f ca="1"/>
        <v/>
      </c>
      <c r="DA1248" s="18" t="str">
        <f ca="1"/>
        <v/>
      </c>
      <c r="DC1248" s="10"/>
    </row>
    <row r="1249" spans="1:107" x14ac:dyDescent="0.25">
      <c r="A1249" s="46"/>
      <c r="B1249" s="52"/>
      <c r="C1249" s="52"/>
      <c r="D1249" s="16"/>
      <c r="E1249" s="52"/>
      <c r="F1249" s="52"/>
      <c r="G1249" s="50"/>
      <c r="H1249" s="17" t="str">
        <f ca="1">IFERROR(__xludf.DUMMYFUNCTION("""COMPUTED_VALUE"""),"")</f>
        <v/>
      </c>
      <c r="I1249" s="50" t="s">
        <v>29</v>
      </c>
      <c r="J1249" s="50" t="s">
        <v>29</v>
      </c>
      <c r="K1249" s="50" t="s">
        <v>29</v>
      </c>
      <c r="L1249" s="50" t="s">
        <v>29</v>
      </c>
      <c r="M1249" s="50" t="s">
        <v>29</v>
      </c>
      <c r="N1249" s="49"/>
      <c r="P1249" s="19"/>
      <c r="Q1249" s="18" t="str">
        <f ca="1">IFERROR(__xludf.DUMMYFUNCTION("""COMPUTED_VALUE"""),"")</f>
        <v/>
      </c>
      <c r="R1249" s="19"/>
      <c r="S1249" s="20"/>
      <c r="BP1249" s="10"/>
      <c r="BW1249" s="10"/>
      <c r="CF1249" s="10"/>
      <c r="CM1249" s="10"/>
      <c r="CP1249" s="18" t="str">
        <f ca="1"/>
        <v/>
      </c>
      <c r="CQ1249" s="18" t="str">
        <f ca="1"/>
        <v/>
      </c>
      <c r="CR1249" s="18" t="str">
        <f ca="1"/>
        <v/>
      </c>
      <c r="CS1249" s="18" t="str">
        <f ca="1"/>
        <v/>
      </c>
      <c r="CT1249" s="18" t="str">
        <f ca="1"/>
        <v/>
      </c>
      <c r="CV1249" s="10"/>
      <c r="CY1249" s="18" t="str">
        <f ca="1"/>
        <v/>
      </c>
      <c r="CZ1249" s="18" t="str">
        <f ca="1"/>
        <v/>
      </c>
      <c r="DA1249" s="18" t="str">
        <f ca="1"/>
        <v/>
      </c>
      <c r="DC1249" s="10"/>
    </row>
    <row r="1250" spans="1:107" x14ac:dyDescent="0.25">
      <c r="A1250" s="46"/>
      <c r="B1250" s="52"/>
      <c r="C1250" s="52"/>
      <c r="D1250" s="16"/>
      <c r="E1250" s="52"/>
      <c r="F1250" s="52"/>
      <c r="G1250" s="50"/>
      <c r="H1250" s="17" t="str">
        <f ca="1">IFERROR(__xludf.DUMMYFUNCTION("""COMPUTED_VALUE"""),"")</f>
        <v/>
      </c>
      <c r="I1250" s="50" t="s">
        <v>29</v>
      </c>
      <c r="J1250" s="50" t="s">
        <v>29</v>
      </c>
      <c r="K1250" s="50" t="s">
        <v>29</v>
      </c>
      <c r="L1250" s="50" t="s">
        <v>29</v>
      </c>
      <c r="M1250" s="50" t="s">
        <v>29</v>
      </c>
      <c r="N1250" s="49"/>
      <c r="P1250" s="19"/>
      <c r="Q1250" s="18" t="str">
        <f ca="1">IFERROR(__xludf.DUMMYFUNCTION("""COMPUTED_VALUE"""),"")</f>
        <v/>
      </c>
      <c r="R1250" s="19"/>
      <c r="S1250" s="20"/>
      <c r="BP1250" s="10"/>
      <c r="BW1250" s="10"/>
      <c r="CF1250" s="10"/>
      <c r="CM1250" s="10"/>
      <c r="CP1250" s="18" t="str">
        <f ca="1"/>
        <v/>
      </c>
      <c r="CQ1250" s="18" t="str">
        <f ca="1"/>
        <v/>
      </c>
      <c r="CR1250" s="18" t="str">
        <f ca="1"/>
        <v/>
      </c>
      <c r="CS1250" s="18" t="str">
        <f ca="1"/>
        <v/>
      </c>
      <c r="CT1250" s="18" t="str">
        <f ca="1"/>
        <v/>
      </c>
      <c r="CV1250" s="10"/>
      <c r="CY1250" s="18" t="str">
        <f ca="1"/>
        <v/>
      </c>
      <c r="CZ1250" s="18" t="str">
        <f ca="1"/>
        <v/>
      </c>
      <c r="DA1250" s="18" t="str">
        <f ca="1"/>
        <v/>
      </c>
      <c r="DC1250" s="10"/>
    </row>
    <row r="1251" spans="1:107" x14ac:dyDescent="0.25">
      <c r="A1251" s="46"/>
      <c r="B1251" s="52"/>
      <c r="C1251" s="52"/>
      <c r="D1251" s="16"/>
      <c r="E1251" s="52"/>
      <c r="F1251" s="52"/>
      <c r="G1251" s="50"/>
      <c r="H1251" s="17" t="str">
        <f ca="1">IFERROR(__xludf.DUMMYFUNCTION("""COMPUTED_VALUE"""),"")</f>
        <v/>
      </c>
      <c r="I1251" s="50" t="s">
        <v>29</v>
      </c>
      <c r="J1251" s="50" t="s">
        <v>29</v>
      </c>
      <c r="K1251" s="50" t="s">
        <v>29</v>
      </c>
      <c r="L1251" s="50" t="s">
        <v>29</v>
      </c>
      <c r="M1251" s="50" t="s">
        <v>29</v>
      </c>
      <c r="N1251" s="49"/>
      <c r="P1251" s="19"/>
      <c r="Q1251" s="18" t="str">
        <f ca="1">IFERROR(__xludf.DUMMYFUNCTION("""COMPUTED_VALUE"""),"")</f>
        <v/>
      </c>
      <c r="R1251" s="19"/>
      <c r="S1251" s="20"/>
      <c r="BP1251" s="10"/>
      <c r="BW1251" s="10"/>
      <c r="CF1251" s="10"/>
      <c r="CM1251" s="10"/>
      <c r="CP1251" s="18" t="str">
        <f ca="1"/>
        <v/>
      </c>
      <c r="CQ1251" s="18" t="str">
        <f ca="1"/>
        <v/>
      </c>
      <c r="CR1251" s="18" t="str">
        <f ca="1"/>
        <v/>
      </c>
      <c r="CS1251" s="18" t="str">
        <f ca="1"/>
        <v/>
      </c>
      <c r="CT1251" s="18" t="str">
        <f ca="1"/>
        <v/>
      </c>
      <c r="CV1251" s="10"/>
      <c r="CY1251" s="18" t="str">
        <f ca="1"/>
        <v/>
      </c>
      <c r="CZ1251" s="18" t="str">
        <f ca="1"/>
        <v/>
      </c>
      <c r="DA1251" s="18" t="str">
        <f ca="1"/>
        <v/>
      </c>
      <c r="DC1251" s="10"/>
    </row>
    <row r="1252" spans="1:107" x14ac:dyDescent="0.25">
      <c r="A1252" s="46"/>
      <c r="B1252" s="52"/>
      <c r="C1252" s="52"/>
      <c r="D1252" s="16"/>
      <c r="E1252" s="52"/>
      <c r="F1252" s="52"/>
      <c r="G1252" s="50"/>
      <c r="H1252" s="17" t="str">
        <f ca="1">IFERROR(__xludf.DUMMYFUNCTION("""COMPUTED_VALUE"""),"")</f>
        <v/>
      </c>
      <c r="I1252" s="50" t="s">
        <v>29</v>
      </c>
      <c r="J1252" s="50" t="s">
        <v>29</v>
      </c>
      <c r="K1252" s="50" t="s">
        <v>29</v>
      </c>
      <c r="L1252" s="50" t="s">
        <v>29</v>
      </c>
      <c r="M1252" s="50" t="s">
        <v>29</v>
      </c>
      <c r="N1252" s="49"/>
      <c r="P1252" s="19"/>
      <c r="Q1252" s="18" t="str">
        <f ca="1">IFERROR(__xludf.DUMMYFUNCTION("""COMPUTED_VALUE"""),"")</f>
        <v/>
      </c>
      <c r="R1252" s="19"/>
      <c r="S1252" s="20"/>
      <c r="BP1252" s="10"/>
      <c r="BW1252" s="10"/>
      <c r="CF1252" s="10"/>
      <c r="CM1252" s="10"/>
      <c r="CP1252" s="18" t="str">
        <f ca="1"/>
        <v/>
      </c>
      <c r="CQ1252" s="18" t="str">
        <f ca="1"/>
        <v/>
      </c>
      <c r="CR1252" s="18" t="str">
        <f ca="1"/>
        <v/>
      </c>
      <c r="CS1252" s="18" t="str">
        <f ca="1"/>
        <v/>
      </c>
      <c r="CT1252" s="18" t="str">
        <f ca="1"/>
        <v/>
      </c>
      <c r="CV1252" s="10"/>
      <c r="CY1252" s="18" t="str">
        <f ca="1"/>
        <v/>
      </c>
      <c r="CZ1252" s="18" t="str">
        <f ca="1"/>
        <v/>
      </c>
      <c r="DA1252" s="18" t="str">
        <f ca="1"/>
        <v/>
      </c>
      <c r="DC1252" s="10"/>
    </row>
    <row r="1253" spans="1:107" x14ac:dyDescent="0.25">
      <c r="A1253" s="46"/>
      <c r="B1253" s="52"/>
      <c r="C1253" s="52"/>
      <c r="D1253" s="16"/>
      <c r="E1253" s="52"/>
      <c r="F1253" s="52"/>
      <c r="G1253" s="50"/>
      <c r="H1253" s="17" t="str">
        <f ca="1">IFERROR(__xludf.DUMMYFUNCTION("""COMPUTED_VALUE"""),"")</f>
        <v/>
      </c>
      <c r="I1253" s="50" t="s">
        <v>29</v>
      </c>
      <c r="J1253" s="50" t="s">
        <v>29</v>
      </c>
      <c r="K1253" s="50" t="s">
        <v>29</v>
      </c>
      <c r="L1253" s="50" t="s">
        <v>29</v>
      </c>
      <c r="M1253" s="50" t="s">
        <v>29</v>
      </c>
      <c r="N1253" s="49"/>
      <c r="P1253" s="19"/>
      <c r="Q1253" s="18" t="str">
        <f ca="1">IFERROR(__xludf.DUMMYFUNCTION("""COMPUTED_VALUE"""),"")</f>
        <v/>
      </c>
      <c r="R1253" s="19"/>
      <c r="S1253" s="20"/>
      <c r="BP1253" s="10"/>
      <c r="BW1253" s="10"/>
      <c r="CF1253" s="10"/>
      <c r="CM1253" s="10"/>
      <c r="CP1253" s="18" t="str">
        <f ca="1"/>
        <v/>
      </c>
      <c r="CQ1253" s="18" t="str">
        <f ca="1"/>
        <v/>
      </c>
      <c r="CR1253" s="18" t="str">
        <f ca="1"/>
        <v/>
      </c>
      <c r="CS1253" s="18" t="str">
        <f ca="1"/>
        <v/>
      </c>
      <c r="CT1253" s="18" t="str">
        <f ca="1"/>
        <v/>
      </c>
      <c r="CV1253" s="10"/>
      <c r="CY1253" s="18" t="str">
        <f ca="1"/>
        <v/>
      </c>
      <c r="CZ1253" s="18" t="str">
        <f ca="1"/>
        <v/>
      </c>
      <c r="DA1253" s="18" t="str">
        <f ca="1"/>
        <v/>
      </c>
      <c r="DC1253" s="10"/>
    </row>
    <row r="1254" spans="1:107" x14ac:dyDescent="0.25">
      <c r="A1254" s="46"/>
      <c r="B1254" s="52"/>
      <c r="C1254" s="52"/>
      <c r="D1254" s="16"/>
      <c r="E1254" s="52"/>
      <c r="F1254" s="52"/>
      <c r="G1254" s="50"/>
      <c r="H1254" s="17" t="str">
        <f ca="1">IFERROR(__xludf.DUMMYFUNCTION("""COMPUTED_VALUE"""),"")</f>
        <v/>
      </c>
      <c r="I1254" s="50" t="s">
        <v>29</v>
      </c>
      <c r="J1254" s="50" t="s">
        <v>29</v>
      </c>
      <c r="K1254" s="50" t="s">
        <v>29</v>
      </c>
      <c r="L1254" s="50" t="s">
        <v>29</v>
      </c>
      <c r="M1254" s="50" t="s">
        <v>29</v>
      </c>
      <c r="N1254" s="49"/>
      <c r="P1254" s="19"/>
      <c r="Q1254" s="18" t="str">
        <f ca="1">IFERROR(__xludf.DUMMYFUNCTION("""COMPUTED_VALUE"""),"")</f>
        <v/>
      </c>
      <c r="R1254" s="19"/>
      <c r="S1254" s="20"/>
      <c r="BP1254" s="10"/>
      <c r="BW1254" s="10"/>
      <c r="CF1254" s="10"/>
      <c r="CM1254" s="10"/>
      <c r="CP1254" s="18" t="str">
        <f ca="1"/>
        <v/>
      </c>
      <c r="CQ1254" s="18" t="str">
        <f ca="1"/>
        <v/>
      </c>
      <c r="CR1254" s="18" t="str">
        <f ca="1"/>
        <v/>
      </c>
      <c r="CS1254" s="18" t="str">
        <f ca="1"/>
        <v/>
      </c>
      <c r="CT1254" s="18" t="str">
        <f ca="1"/>
        <v/>
      </c>
      <c r="CV1254" s="10"/>
      <c r="CY1254" s="18" t="str">
        <f ca="1"/>
        <v/>
      </c>
      <c r="CZ1254" s="18" t="str">
        <f ca="1"/>
        <v/>
      </c>
      <c r="DA1254" s="18" t="str">
        <f ca="1"/>
        <v/>
      </c>
      <c r="DC1254" s="10"/>
    </row>
    <row r="1255" spans="1:107" x14ac:dyDescent="0.25">
      <c r="A1255" s="46"/>
      <c r="B1255" s="52"/>
      <c r="C1255" s="52"/>
      <c r="D1255" s="16"/>
      <c r="E1255" s="52"/>
      <c r="F1255" s="52"/>
      <c r="G1255" s="50"/>
      <c r="H1255" s="17" t="str">
        <f ca="1">IFERROR(__xludf.DUMMYFUNCTION("""COMPUTED_VALUE"""),"")</f>
        <v/>
      </c>
      <c r="I1255" s="50" t="s">
        <v>29</v>
      </c>
      <c r="J1255" s="50" t="s">
        <v>29</v>
      </c>
      <c r="K1255" s="50" t="s">
        <v>29</v>
      </c>
      <c r="L1255" s="50" t="s">
        <v>29</v>
      </c>
      <c r="M1255" s="50" t="s">
        <v>29</v>
      </c>
      <c r="N1255" s="49"/>
      <c r="P1255" s="19"/>
      <c r="Q1255" s="18" t="str">
        <f ca="1">IFERROR(__xludf.DUMMYFUNCTION("""COMPUTED_VALUE"""),"")</f>
        <v/>
      </c>
      <c r="R1255" s="19"/>
      <c r="S1255" s="20"/>
      <c r="BP1255" s="10"/>
      <c r="BW1255" s="10"/>
      <c r="CF1255" s="10"/>
      <c r="CM1255" s="10"/>
      <c r="CP1255" s="18" t="str">
        <f ca="1"/>
        <v/>
      </c>
      <c r="CQ1255" s="18" t="str">
        <f ca="1"/>
        <v/>
      </c>
      <c r="CR1255" s="18" t="str">
        <f ca="1"/>
        <v/>
      </c>
      <c r="CS1255" s="18" t="str">
        <f ca="1"/>
        <v/>
      </c>
      <c r="CT1255" s="18" t="str">
        <f ca="1"/>
        <v/>
      </c>
      <c r="CV1255" s="10"/>
      <c r="CY1255" s="18" t="str">
        <f ca="1"/>
        <v/>
      </c>
      <c r="CZ1255" s="18" t="str">
        <f ca="1"/>
        <v/>
      </c>
      <c r="DA1255" s="18" t="str">
        <f ca="1"/>
        <v/>
      </c>
      <c r="DC1255" s="10"/>
    </row>
    <row r="1256" spans="1:107" x14ac:dyDescent="0.25">
      <c r="A1256" s="46"/>
      <c r="B1256" s="52"/>
      <c r="C1256" s="52"/>
      <c r="D1256" s="16"/>
      <c r="E1256" s="52"/>
      <c r="F1256" s="52"/>
      <c r="G1256" s="50"/>
      <c r="H1256" s="17" t="str">
        <f ca="1">IFERROR(__xludf.DUMMYFUNCTION("""COMPUTED_VALUE"""),"")</f>
        <v/>
      </c>
      <c r="I1256" s="50" t="s">
        <v>29</v>
      </c>
      <c r="J1256" s="50" t="s">
        <v>29</v>
      </c>
      <c r="K1256" s="50" t="s">
        <v>29</v>
      </c>
      <c r="L1256" s="50" t="s">
        <v>29</v>
      </c>
      <c r="M1256" s="50" t="s">
        <v>29</v>
      </c>
      <c r="N1256" s="49"/>
      <c r="P1256" s="19"/>
      <c r="Q1256" s="18" t="str">
        <f ca="1">IFERROR(__xludf.DUMMYFUNCTION("""COMPUTED_VALUE"""),"")</f>
        <v/>
      </c>
      <c r="R1256" s="19"/>
      <c r="S1256" s="20"/>
      <c r="BP1256" s="10"/>
      <c r="BW1256" s="10"/>
      <c r="CF1256" s="10"/>
      <c r="CM1256" s="10"/>
      <c r="CP1256" s="18" t="str">
        <f ca="1"/>
        <v/>
      </c>
      <c r="CQ1256" s="18" t="str">
        <f ca="1"/>
        <v/>
      </c>
      <c r="CR1256" s="18" t="str">
        <f ca="1"/>
        <v/>
      </c>
      <c r="CS1256" s="18" t="str">
        <f ca="1"/>
        <v/>
      </c>
      <c r="CT1256" s="18" t="str">
        <f ca="1"/>
        <v/>
      </c>
      <c r="CV1256" s="10"/>
      <c r="CY1256" s="18" t="str">
        <f ca="1"/>
        <v/>
      </c>
      <c r="CZ1256" s="18" t="str">
        <f ca="1"/>
        <v/>
      </c>
      <c r="DA1256" s="18" t="str">
        <f ca="1"/>
        <v/>
      </c>
      <c r="DC1256" s="10"/>
    </row>
    <row r="1257" spans="1:107" x14ac:dyDescent="0.25">
      <c r="A1257" s="46"/>
      <c r="B1257" s="52"/>
      <c r="C1257" s="52"/>
      <c r="D1257" s="16"/>
      <c r="E1257" s="52"/>
      <c r="F1257" s="52"/>
      <c r="G1257" s="50"/>
      <c r="H1257" s="17" t="str">
        <f ca="1">IFERROR(__xludf.DUMMYFUNCTION("""COMPUTED_VALUE"""),"")</f>
        <v/>
      </c>
      <c r="I1257" s="50" t="s">
        <v>29</v>
      </c>
      <c r="J1257" s="50" t="s">
        <v>29</v>
      </c>
      <c r="K1257" s="50" t="s">
        <v>29</v>
      </c>
      <c r="L1257" s="50" t="s">
        <v>29</v>
      </c>
      <c r="M1257" s="50" t="s">
        <v>29</v>
      </c>
      <c r="N1257" s="49"/>
      <c r="P1257" s="19"/>
      <c r="Q1257" s="18" t="str">
        <f ca="1">IFERROR(__xludf.DUMMYFUNCTION("""COMPUTED_VALUE"""),"")</f>
        <v/>
      </c>
      <c r="R1257" s="19"/>
      <c r="S1257" s="20"/>
      <c r="BP1257" s="10"/>
      <c r="BW1257" s="10"/>
      <c r="CF1257" s="10"/>
      <c r="CM1257" s="10"/>
      <c r="CP1257" s="18" t="str">
        <f ca="1"/>
        <v/>
      </c>
      <c r="CQ1257" s="18" t="str">
        <f ca="1"/>
        <v/>
      </c>
      <c r="CR1257" s="18" t="str">
        <f ca="1"/>
        <v/>
      </c>
      <c r="CS1257" s="18" t="str">
        <f ca="1"/>
        <v/>
      </c>
      <c r="CT1257" s="18" t="str">
        <f ca="1"/>
        <v/>
      </c>
      <c r="CV1257" s="10"/>
      <c r="CY1257" s="18" t="str">
        <f ca="1"/>
        <v/>
      </c>
      <c r="CZ1257" s="18" t="str">
        <f ca="1"/>
        <v/>
      </c>
      <c r="DA1257" s="18" t="str">
        <f ca="1"/>
        <v/>
      </c>
      <c r="DC1257" s="10"/>
    </row>
    <row r="1258" spans="1:107" x14ac:dyDescent="0.25">
      <c r="A1258" s="46"/>
      <c r="B1258" s="52"/>
      <c r="C1258" s="52"/>
      <c r="D1258" s="16"/>
      <c r="E1258" s="52"/>
      <c r="F1258" s="52"/>
      <c r="G1258" s="50"/>
      <c r="H1258" s="17" t="str">
        <f ca="1">IFERROR(__xludf.DUMMYFUNCTION("""COMPUTED_VALUE"""),"")</f>
        <v/>
      </c>
      <c r="I1258" s="50" t="s">
        <v>29</v>
      </c>
      <c r="J1258" s="50" t="s">
        <v>29</v>
      </c>
      <c r="K1258" s="50" t="s">
        <v>29</v>
      </c>
      <c r="L1258" s="50" t="s">
        <v>29</v>
      </c>
      <c r="M1258" s="50" t="s">
        <v>29</v>
      </c>
      <c r="N1258" s="49"/>
      <c r="P1258" s="19"/>
      <c r="Q1258" s="18" t="str">
        <f ca="1">IFERROR(__xludf.DUMMYFUNCTION("""COMPUTED_VALUE"""),"")</f>
        <v/>
      </c>
      <c r="R1258" s="19"/>
      <c r="S1258" s="20"/>
      <c r="BP1258" s="10"/>
      <c r="BW1258" s="10"/>
      <c r="CF1258" s="10"/>
      <c r="CM1258" s="10"/>
      <c r="CP1258" s="18" t="str">
        <f ca="1"/>
        <v/>
      </c>
      <c r="CQ1258" s="18" t="str">
        <f ca="1"/>
        <v/>
      </c>
      <c r="CR1258" s="18" t="str">
        <f ca="1"/>
        <v/>
      </c>
      <c r="CS1258" s="18" t="str">
        <f ca="1"/>
        <v/>
      </c>
      <c r="CT1258" s="18" t="str">
        <f ca="1"/>
        <v/>
      </c>
      <c r="CV1258" s="10"/>
      <c r="CY1258" s="18" t="str">
        <f ca="1"/>
        <v/>
      </c>
      <c r="CZ1258" s="18" t="str">
        <f ca="1"/>
        <v/>
      </c>
      <c r="DA1258" s="18" t="str">
        <f ca="1"/>
        <v/>
      </c>
      <c r="DC1258" s="10"/>
    </row>
    <row r="1259" spans="1:107" x14ac:dyDescent="0.25">
      <c r="A1259" s="46"/>
      <c r="B1259" s="52"/>
      <c r="C1259" s="52"/>
      <c r="D1259" s="16"/>
      <c r="E1259" s="52"/>
      <c r="F1259" s="52"/>
      <c r="G1259" s="50"/>
      <c r="H1259" s="17" t="str">
        <f ca="1">IFERROR(__xludf.DUMMYFUNCTION("""COMPUTED_VALUE"""),"")</f>
        <v/>
      </c>
      <c r="I1259" s="50" t="s">
        <v>29</v>
      </c>
      <c r="J1259" s="50" t="s">
        <v>29</v>
      </c>
      <c r="K1259" s="50" t="s">
        <v>29</v>
      </c>
      <c r="L1259" s="50" t="s">
        <v>29</v>
      </c>
      <c r="M1259" s="50" t="s">
        <v>29</v>
      </c>
      <c r="N1259" s="49"/>
      <c r="P1259" s="19"/>
      <c r="Q1259" s="18" t="str">
        <f ca="1">IFERROR(__xludf.DUMMYFUNCTION("""COMPUTED_VALUE"""),"")</f>
        <v/>
      </c>
      <c r="R1259" s="19"/>
      <c r="S1259" s="20"/>
      <c r="BP1259" s="10"/>
      <c r="BW1259" s="10"/>
      <c r="CF1259" s="10"/>
      <c r="CM1259" s="10"/>
      <c r="CP1259" s="18" t="str">
        <f ca="1"/>
        <v/>
      </c>
      <c r="CQ1259" s="18" t="str">
        <f ca="1"/>
        <v/>
      </c>
      <c r="CR1259" s="18" t="str">
        <f ca="1"/>
        <v/>
      </c>
      <c r="CS1259" s="18" t="str">
        <f ca="1"/>
        <v/>
      </c>
      <c r="CT1259" s="18" t="str">
        <f ca="1"/>
        <v/>
      </c>
      <c r="CV1259" s="10"/>
      <c r="CY1259" s="18" t="str">
        <f ca="1"/>
        <v/>
      </c>
      <c r="CZ1259" s="18" t="str">
        <f ca="1"/>
        <v/>
      </c>
      <c r="DA1259" s="18" t="str">
        <f ca="1"/>
        <v/>
      </c>
      <c r="DC1259" s="10"/>
    </row>
    <row r="1260" spans="1:107" x14ac:dyDescent="0.25">
      <c r="A1260" s="46"/>
      <c r="B1260" s="52"/>
      <c r="C1260" s="52"/>
      <c r="D1260" s="16"/>
      <c r="E1260" s="52"/>
      <c r="F1260" s="52"/>
      <c r="G1260" s="50"/>
      <c r="H1260" s="17" t="str">
        <f ca="1">IFERROR(__xludf.DUMMYFUNCTION("""COMPUTED_VALUE"""),"")</f>
        <v/>
      </c>
      <c r="I1260" s="50" t="s">
        <v>29</v>
      </c>
      <c r="J1260" s="50" t="s">
        <v>29</v>
      </c>
      <c r="K1260" s="50" t="s">
        <v>29</v>
      </c>
      <c r="L1260" s="50" t="s">
        <v>29</v>
      </c>
      <c r="M1260" s="50" t="s">
        <v>29</v>
      </c>
      <c r="N1260" s="49"/>
      <c r="P1260" s="19"/>
      <c r="Q1260" s="18" t="str">
        <f ca="1">IFERROR(__xludf.DUMMYFUNCTION("""COMPUTED_VALUE"""),"")</f>
        <v/>
      </c>
      <c r="R1260" s="19"/>
      <c r="S1260" s="20"/>
      <c r="BP1260" s="10"/>
      <c r="BW1260" s="10"/>
      <c r="CF1260" s="10"/>
      <c r="CM1260" s="10"/>
      <c r="CP1260" s="18" t="str">
        <f ca="1"/>
        <v/>
      </c>
      <c r="CQ1260" s="18" t="str">
        <f ca="1"/>
        <v/>
      </c>
      <c r="CR1260" s="18" t="str">
        <f ca="1"/>
        <v/>
      </c>
      <c r="CS1260" s="18" t="str">
        <f ca="1"/>
        <v/>
      </c>
      <c r="CT1260" s="18" t="str">
        <f ca="1"/>
        <v/>
      </c>
      <c r="CV1260" s="10"/>
      <c r="CY1260" s="18" t="str">
        <f ca="1"/>
        <v/>
      </c>
      <c r="CZ1260" s="18" t="str">
        <f ca="1"/>
        <v/>
      </c>
      <c r="DA1260" s="18" t="str">
        <f ca="1"/>
        <v/>
      </c>
      <c r="DC1260" s="10"/>
    </row>
    <row r="1261" spans="1:107" x14ac:dyDescent="0.25">
      <c r="A1261" s="46"/>
      <c r="B1261" s="52"/>
      <c r="C1261" s="52"/>
      <c r="D1261" s="16"/>
      <c r="E1261" s="52"/>
      <c r="F1261" s="52"/>
      <c r="G1261" s="50"/>
      <c r="H1261" s="17" t="str">
        <f ca="1">IFERROR(__xludf.DUMMYFUNCTION("""COMPUTED_VALUE"""),"")</f>
        <v/>
      </c>
      <c r="I1261" s="50" t="s">
        <v>29</v>
      </c>
      <c r="J1261" s="50" t="s">
        <v>29</v>
      </c>
      <c r="K1261" s="50" t="s">
        <v>29</v>
      </c>
      <c r="L1261" s="50" t="s">
        <v>29</v>
      </c>
      <c r="M1261" s="50" t="s">
        <v>29</v>
      </c>
      <c r="N1261" s="49"/>
      <c r="P1261" s="19"/>
      <c r="Q1261" s="18" t="str">
        <f ca="1">IFERROR(__xludf.DUMMYFUNCTION("""COMPUTED_VALUE"""),"")</f>
        <v/>
      </c>
      <c r="R1261" s="19"/>
      <c r="S1261" s="20"/>
      <c r="BP1261" s="10"/>
      <c r="BW1261" s="10"/>
      <c r="CF1261" s="10"/>
      <c r="CM1261" s="10"/>
      <c r="CP1261" s="18" t="str">
        <f ca="1"/>
        <v/>
      </c>
      <c r="CQ1261" s="18" t="str">
        <f ca="1"/>
        <v/>
      </c>
      <c r="CR1261" s="18" t="str">
        <f ca="1"/>
        <v/>
      </c>
      <c r="CS1261" s="18" t="str">
        <f ca="1"/>
        <v/>
      </c>
      <c r="CT1261" s="18" t="str">
        <f ca="1"/>
        <v/>
      </c>
      <c r="CV1261" s="10"/>
      <c r="CY1261" s="18" t="str">
        <f ca="1"/>
        <v/>
      </c>
      <c r="CZ1261" s="18" t="str">
        <f ca="1"/>
        <v/>
      </c>
      <c r="DA1261" s="18" t="str">
        <f ca="1"/>
        <v/>
      </c>
      <c r="DC1261" s="10"/>
    </row>
    <row r="1262" spans="1:107" x14ac:dyDescent="0.25">
      <c r="A1262" s="46"/>
      <c r="B1262" s="52"/>
      <c r="C1262" s="52"/>
      <c r="D1262" s="16"/>
      <c r="E1262" s="52"/>
      <c r="F1262" s="52"/>
      <c r="G1262" s="50"/>
      <c r="H1262" s="17" t="str">
        <f ca="1">IFERROR(__xludf.DUMMYFUNCTION("""COMPUTED_VALUE"""),"")</f>
        <v/>
      </c>
      <c r="I1262" s="50" t="s">
        <v>29</v>
      </c>
      <c r="J1262" s="50" t="s">
        <v>29</v>
      </c>
      <c r="K1262" s="50" t="s">
        <v>29</v>
      </c>
      <c r="L1262" s="50" t="s">
        <v>29</v>
      </c>
      <c r="M1262" s="50" t="s">
        <v>29</v>
      </c>
      <c r="N1262" s="49"/>
      <c r="P1262" s="19"/>
      <c r="Q1262" s="18" t="str">
        <f ca="1">IFERROR(__xludf.DUMMYFUNCTION("""COMPUTED_VALUE"""),"")</f>
        <v/>
      </c>
      <c r="R1262" s="19"/>
      <c r="S1262" s="20"/>
      <c r="BP1262" s="10"/>
      <c r="BW1262" s="10"/>
      <c r="CF1262" s="10"/>
      <c r="CM1262" s="10"/>
      <c r="CP1262" s="18" t="str">
        <f ca="1"/>
        <v/>
      </c>
      <c r="CQ1262" s="18" t="str">
        <f ca="1"/>
        <v/>
      </c>
      <c r="CR1262" s="18" t="str">
        <f ca="1"/>
        <v/>
      </c>
      <c r="CS1262" s="18" t="str">
        <f ca="1"/>
        <v/>
      </c>
      <c r="CT1262" s="18" t="str">
        <f ca="1"/>
        <v/>
      </c>
      <c r="CV1262" s="10"/>
      <c r="CY1262" s="18" t="str">
        <f ca="1"/>
        <v/>
      </c>
      <c r="CZ1262" s="18" t="str">
        <f ca="1"/>
        <v/>
      </c>
      <c r="DA1262" s="18" t="str">
        <f ca="1"/>
        <v/>
      </c>
      <c r="DC1262" s="10"/>
    </row>
    <row r="1263" spans="1:107" x14ac:dyDescent="0.25">
      <c r="A1263" s="46"/>
      <c r="B1263" s="52"/>
      <c r="C1263" s="52"/>
      <c r="D1263" s="16"/>
      <c r="E1263" s="52"/>
      <c r="F1263" s="52"/>
      <c r="G1263" s="50"/>
      <c r="H1263" s="17" t="str">
        <f ca="1">IFERROR(__xludf.DUMMYFUNCTION("""COMPUTED_VALUE"""),"")</f>
        <v/>
      </c>
      <c r="I1263" s="50" t="s">
        <v>29</v>
      </c>
      <c r="J1263" s="50" t="s">
        <v>29</v>
      </c>
      <c r="K1263" s="50" t="s">
        <v>29</v>
      </c>
      <c r="L1263" s="50" t="s">
        <v>29</v>
      </c>
      <c r="M1263" s="50" t="s">
        <v>29</v>
      </c>
      <c r="N1263" s="49"/>
      <c r="P1263" s="19"/>
      <c r="Q1263" s="18" t="str">
        <f ca="1">IFERROR(__xludf.DUMMYFUNCTION("""COMPUTED_VALUE"""),"")</f>
        <v/>
      </c>
      <c r="R1263" s="19"/>
      <c r="S1263" s="20"/>
      <c r="BP1263" s="10"/>
      <c r="BW1263" s="10"/>
      <c r="CF1263" s="10"/>
      <c r="CM1263" s="10"/>
      <c r="CP1263" s="18" t="str">
        <f ca="1"/>
        <v/>
      </c>
      <c r="CQ1263" s="18" t="str">
        <f ca="1"/>
        <v/>
      </c>
      <c r="CR1263" s="18" t="str">
        <f ca="1"/>
        <v/>
      </c>
      <c r="CS1263" s="18" t="str">
        <f ca="1"/>
        <v/>
      </c>
      <c r="CT1263" s="18" t="str">
        <f ca="1"/>
        <v/>
      </c>
      <c r="CV1263" s="10"/>
      <c r="CY1263" s="18" t="str">
        <f ca="1"/>
        <v/>
      </c>
      <c r="CZ1263" s="18" t="str">
        <f ca="1"/>
        <v/>
      </c>
      <c r="DA1263" s="18" t="str">
        <f ca="1"/>
        <v/>
      </c>
      <c r="DC1263" s="10"/>
    </row>
    <row r="1264" spans="1:107" x14ac:dyDescent="0.25">
      <c r="A1264" s="46"/>
      <c r="B1264" s="52"/>
      <c r="C1264" s="52"/>
      <c r="D1264" s="16"/>
      <c r="E1264" s="52"/>
      <c r="F1264" s="52"/>
      <c r="G1264" s="50"/>
      <c r="H1264" s="17" t="str">
        <f ca="1">IFERROR(__xludf.DUMMYFUNCTION("""COMPUTED_VALUE"""),"")</f>
        <v/>
      </c>
      <c r="I1264" s="50" t="s">
        <v>29</v>
      </c>
      <c r="J1264" s="50" t="s">
        <v>29</v>
      </c>
      <c r="K1264" s="50" t="s">
        <v>29</v>
      </c>
      <c r="L1264" s="50" t="s">
        <v>29</v>
      </c>
      <c r="M1264" s="50" t="s">
        <v>29</v>
      </c>
      <c r="N1264" s="49"/>
      <c r="P1264" s="19"/>
      <c r="Q1264" s="18" t="str">
        <f ca="1">IFERROR(__xludf.DUMMYFUNCTION("""COMPUTED_VALUE"""),"")</f>
        <v/>
      </c>
      <c r="R1264" s="19"/>
      <c r="S1264" s="20"/>
      <c r="BP1264" s="10"/>
      <c r="BW1264" s="10"/>
      <c r="CF1264" s="10"/>
      <c r="CM1264" s="10"/>
      <c r="CP1264" s="18" t="str">
        <f ca="1"/>
        <v/>
      </c>
      <c r="CQ1264" s="18" t="str">
        <f ca="1"/>
        <v/>
      </c>
      <c r="CR1264" s="18" t="str">
        <f ca="1"/>
        <v/>
      </c>
      <c r="CS1264" s="18" t="str">
        <f ca="1"/>
        <v/>
      </c>
      <c r="CT1264" s="18" t="str">
        <f ca="1"/>
        <v/>
      </c>
      <c r="CV1264" s="10"/>
      <c r="CY1264" s="18" t="str">
        <f ca="1"/>
        <v/>
      </c>
      <c r="CZ1264" s="18" t="str">
        <f ca="1"/>
        <v/>
      </c>
      <c r="DA1264" s="18" t="str">
        <f ca="1"/>
        <v/>
      </c>
      <c r="DC1264" s="10"/>
    </row>
    <row r="1265" spans="1:107" x14ac:dyDescent="0.25">
      <c r="A1265" s="46"/>
      <c r="B1265" s="52"/>
      <c r="C1265" s="52"/>
      <c r="D1265" s="16"/>
      <c r="E1265" s="52"/>
      <c r="F1265" s="52"/>
      <c r="G1265" s="50"/>
      <c r="H1265" s="17" t="str">
        <f ca="1">IFERROR(__xludf.DUMMYFUNCTION("""COMPUTED_VALUE"""),"")</f>
        <v/>
      </c>
      <c r="I1265" s="50" t="s">
        <v>29</v>
      </c>
      <c r="J1265" s="50" t="s">
        <v>29</v>
      </c>
      <c r="K1265" s="50" t="s">
        <v>29</v>
      </c>
      <c r="L1265" s="50" t="s">
        <v>29</v>
      </c>
      <c r="M1265" s="50" t="s">
        <v>29</v>
      </c>
      <c r="N1265" s="49"/>
      <c r="P1265" s="19"/>
      <c r="Q1265" s="18" t="str">
        <f ca="1">IFERROR(__xludf.DUMMYFUNCTION("""COMPUTED_VALUE"""),"")</f>
        <v/>
      </c>
      <c r="R1265" s="19"/>
      <c r="S1265" s="20"/>
      <c r="BP1265" s="10"/>
      <c r="BW1265" s="10"/>
      <c r="CF1265" s="10"/>
      <c r="CM1265" s="10"/>
      <c r="CP1265" s="18" t="str">
        <f ca="1"/>
        <v/>
      </c>
      <c r="CQ1265" s="18" t="str">
        <f ca="1"/>
        <v/>
      </c>
      <c r="CR1265" s="18" t="str">
        <f ca="1"/>
        <v/>
      </c>
      <c r="CS1265" s="18" t="str">
        <f ca="1"/>
        <v/>
      </c>
      <c r="CT1265" s="18" t="str">
        <f ca="1"/>
        <v/>
      </c>
      <c r="CV1265" s="10"/>
      <c r="CY1265" s="18" t="str">
        <f ca="1"/>
        <v/>
      </c>
      <c r="CZ1265" s="18" t="str">
        <f ca="1"/>
        <v/>
      </c>
      <c r="DA1265" s="18" t="str">
        <f ca="1"/>
        <v/>
      </c>
      <c r="DC1265" s="10"/>
    </row>
    <row r="1266" spans="1:107" x14ac:dyDescent="0.25">
      <c r="A1266" s="46"/>
      <c r="B1266" s="52"/>
      <c r="C1266" s="52"/>
      <c r="D1266" s="16"/>
      <c r="E1266" s="52"/>
      <c r="F1266" s="52"/>
      <c r="G1266" s="50"/>
      <c r="H1266" s="17" t="str">
        <f ca="1">IFERROR(__xludf.DUMMYFUNCTION("""COMPUTED_VALUE"""),"")</f>
        <v/>
      </c>
      <c r="I1266" s="50" t="s">
        <v>29</v>
      </c>
      <c r="J1266" s="50" t="s">
        <v>29</v>
      </c>
      <c r="K1266" s="50" t="s">
        <v>29</v>
      </c>
      <c r="L1266" s="50" t="s">
        <v>29</v>
      </c>
      <c r="M1266" s="50" t="s">
        <v>29</v>
      </c>
      <c r="N1266" s="49"/>
      <c r="P1266" s="19"/>
      <c r="Q1266" s="18" t="str">
        <f ca="1">IFERROR(__xludf.DUMMYFUNCTION("""COMPUTED_VALUE"""),"")</f>
        <v/>
      </c>
      <c r="R1266" s="19"/>
      <c r="S1266" s="20"/>
      <c r="BP1266" s="10"/>
      <c r="BW1266" s="10"/>
      <c r="CF1266" s="10"/>
      <c r="CM1266" s="10"/>
      <c r="CP1266" s="18" t="str">
        <f ca="1"/>
        <v/>
      </c>
      <c r="CQ1266" s="18" t="str">
        <f ca="1"/>
        <v/>
      </c>
      <c r="CR1266" s="18" t="str">
        <f ca="1"/>
        <v/>
      </c>
      <c r="CS1266" s="18" t="str">
        <f ca="1"/>
        <v/>
      </c>
      <c r="CT1266" s="18" t="str">
        <f ca="1"/>
        <v/>
      </c>
      <c r="CV1266" s="10"/>
      <c r="CY1266" s="18" t="str">
        <f ca="1"/>
        <v/>
      </c>
      <c r="CZ1266" s="18" t="str">
        <f ca="1"/>
        <v/>
      </c>
      <c r="DA1266" s="18" t="str">
        <f ca="1"/>
        <v/>
      </c>
      <c r="DC1266" s="10"/>
    </row>
    <row r="1267" spans="1:107" x14ac:dyDescent="0.25">
      <c r="A1267" s="46"/>
      <c r="B1267" s="52"/>
      <c r="C1267" s="52"/>
      <c r="D1267" s="16"/>
      <c r="E1267" s="52"/>
      <c r="F1267" s="52"/>
      <c r="G1267" s="50"/>
      <c r="H1267" s="17" t="str">
        <f ca="1">IFERROR(__xludf.DUMMYFUNCTION("""COMPUTED_VALUE"""),"")</f>
        <v/>
      </c>
      <c r="I1267" s="50" t="s">
        <v>29</v>
      </c>
      <c r="J1267" s="50" t="s">
        <v>29</v>
      </c>
      <c r="K1267" s="50" t="s">
        <v>29</v>
      </c>
      <c r="L1267" s="50" t="s">
        <v>29</v>
      </c>
      <c r="M1267" s="50" t="s">
        <v>29</v>
      </c>
      <c r="N1267" s="49"/>
      <c r="P1267" s="19"/>
      <c r="Q1267" s="18" t="str">
        <f ca="1">IFERROR(__xludf.DUMMYFUNCTION("""COMPUTED_VALUE"""),"")</f>
        <v/>
      </c>
      <c r="R1267" s="19"/>
      <c r="S1267" s="20"/>
      <c r="BP1267" s="10"/>
      <c r="BW1267" s="10"/>
      <c r="CF1267" s="10"/>
      <c r="CM1267" s="10"/>
      <c r="CP1267" s="18" t="str">
        <f ca="1"/>
        <v/>
      </c>
      <c r="CQ1267" s="18" t="str">
        <f ca="1"/>
        <v/>
      </c>
      <c r="CR1267" s="18" t="str">
        <f ca="1"/>
        <v/>
      </c>
      <c r="CS1267" s="18" t="str">
        <f ca="1"/>
        <v/>
      </c>
      <c r="CT1267" s="18" t="str">
        <f ca="1"/>
        <v/>
      </c>
      <c r="CV1267" s="10"/>
      <c r="CY1267" s="18" t="str">
        <f ca="1"/>
        <v/>
      </c>
      <c r="CZ1267" s="18" t="str">
        <f ca="1"/>
        <v/>
      </c>
      <c r="DA1267" s="18" t="str">
        <f ca="1"/>
        <v/>
      </c>
      <c r="DC1267" s="10"/>
    </row>
    <row r="1268" spans="1:107" x14ac:dyDescent="0.25">
      <c r="A1268" s="46"/>
      <c r="B1268" s="52"/>
      <c r="C1268" s="52"/>
      <c r="D1268" s="16"/>
      <c r="E1268" s="52"/>
      <c r="F1268" s="52"/>
      <c r="G1268" s="50"/>
      <c r="H1268" s="17" t="str">
        <f ca="1">IFERROR(__xludf.DUMMYFUNCTION("""COMPUTED_VALUE"""),"")</f>
        <v/>
      </c>
      <c r="I1268" s="50" t="s">
        <v>29</v>
      </c>
      <c r="J1268" s="50" t="s">
        <v>29</v>
      </c>
      <c r="K1268" s="50" t="s">
        <v>29</v>
      </c>
      <c r="L1268" s="50" t="s">
        <v>29</v>
      </c>
      <c r="M1268" s="50" t="s">
        <v>29</v>
      </c>
      <c r="N1268" s="49"/>
      <c r="P1268" s="19"/>
      <c r="Q1268" s="18" t="str">
        <f ca="1">IFERROR(__xludf.DUMMYFUNCTION("""COMPUTED_VALUE"""),"")</f>
        <v/>
      </c>
      <c r="R1268" s="19"/>
      <c r="S1268" s="20"/>
      <c r="BP1268" s="10"/>
      <c r="BW1268" s="10"/>
      <c r="CF1268" s="10"/>
      <c r="CM1268" s="10"/>
      <c r="CP1268" s="18" t="str">
        <f ca="1"/>
        <v/>
      </c>
      <c r="CQ1268" s="18" t="str">
        <f ca="1"/>
        <v/>
      </c>
      <c r="CR1268" s="18" t="str">
        <f ca="1"/>
        <v/>
      </c>
      <c r="CS1268" s="18" t="str">
        <f ca="1"/>
        <v/>
      </c>
      <c r="CT1268" s="18" t="str">
        <f ca="1"/>
        <v/>
      </c>
      <c r="CV1268" s="10"/>
      <c r="CY1268" s="18" t="str">
        <f ca="1"/>
        <v/>
      </c>
      <c r="CZ1268" s="18" t="str">
        <f ca="1"/>
        <v/>
      </c>
      <c r="DA1268" s="18" t="str">
        <f ca="1"/>
        <v/>
      </c>
      <c r="DC1268" s="10"/>
    </row>
    <row r="1269" spans="1:107" x14ac:dyDescent="0.25">
      <c r="A1269" s="46"/>
      <c r="B1269" s="52"/>
      <c r="C1269" s="52"/>
      <c r="D1269" s="16"/>
      <c r="E1269" s="52"/>
      <c r="F1269" s="52"/>
      <c r="G1269" s="50"/>
      <c r="H1269" s="17" t="str">
        <f ca="1">IFERROR(__xludf.DUMMYFUNCTION("""COMPUTED_VALUE"""),"")</f>
        <v/>
      </c>
      <c r="I1269" s="50" t="s">
        <v>29</v>
      </c>
      <c r="J1269" s="50" t="s">
        <v>29</v>
      </c>
      <c r="K1269" s="50" t="s">
        <v>29</v>
      </c>
      <c r="L1269" s="50" t="s">
        <v>29</v>
      </c>
      <c r="M1269" s="50" t="s">
        <v>29</v>
      </c>
      <c r="N1269" s="49"/>
      <c r="P1269" s="19"/>
      <c r="Q1269" s="18" t="str">
        <f ca="1">IFERROR(__xludf.DUMMYFUNCTION("""COMPUTED_VALUE"""),"")</f>
        <v/>
      </c>
      <c r="R1269" s="19"/>
      <c r="S1269" s="20"/>
      <c r="BP1269" s="10"/>
      <c r="BW1269" s="10"/>
      <c r="CF1269" s="10"/>
      <c r="CM1269" s="10"/>
      <c r="CP1269" s="18" t="str">
        <f ca="1"/>
        <v/>
      </c>
      <c r="CQ1269" s="18" t="str">
        <f ca="1"/>
        <v/>
      </c>
      <c r="CR1269" s="18" t="str">
        <f ca="1"/>
        <v/>
      </c>
      <c r="CS1269" s="18" t="str">
        <f ca="1"/>
        <v/>
      </c>
      <c r="CT1269" s="18" t="str">
        <f ca="1"/>
        <v/>
      </c>
      <c r="CV1269" s="10"/>
      <c r="CY1269" s="18" t="str">
        <f ca="1"/>
        <v/>
      </c>
      <c r="CZ1269" s="18" t="str">
        <f ca="1"/>
        <v/>
      </c>
      <c r="DA1269" s="18" t="str">
        <f ca="1"/>
        <v/>
      </c>
      <c r="DC1269" s="10"/>
    </row>
    <row r="1270" spans="1:107" x14ac:dyDescent="0.25">
      <c r="A1270" s="46"/>
      <c r="B1270" s="52"/>
      <c r="C1270" s="52"/>
      <c r="D1270" s="16"/>
      <c r="E1270" s="52"/>
      <c r="F1270" s="52"/>
      <c r="G1270" s="50"/>
      <c r="H1270" s="17" t="str">
        <f ca="1">IFERROR(__xludf.DUMMYFUNCTION("""COMPUTED_VALUE"""),"")</f>
        <v/>
      </c>
      <c r="I1270" s="50" t="s">
        <v>29</v>
      </c>
      <c r="J1270" s="50" t="s">
        <v>29</v>
      </c>
      <c r="K1270" s="50" t="s">
        <v>29</v>
      </c>
      <c r="L1270" s="50" t="s">
        <v>29</v>
      </c>
      <c r="M1270" s="50" t="s">
        <v>29</v>
      </c>
      <c r="N1270" s="49"/>
      <c r="P1270" s="19"/>
      <c r="Q1270" s="18" t="str">
        <f ca="1">IFERROR(__xludf.DUMMYFUNCTION("""COMPUTED_VALUE"""),"")</f>
        <v/>
      </c>
      <c r="R1270" s="19"/>
      <c r="S1270" s="20"/>
      <c r="BP1270" s="10"/>
      <c r="BW1270" s="10"/>
      <c r="CF1270" s="10"/>
      <c r="CM1270" s="10"/>
      <c r="CP1270" s="18" t="str">
        <f ca="1"/>
        <v/>
      </c>
      <c r="CQ1270" s="18" t="str">
        <f ca="1"/>
        <v/>
      </c>
      <c r="CR1270" s="18" t="str">
        <f ca="1"/>
        <v/>
      </c>
      <c r="CS1270" s="18" t="str">
        <f ca="1"/>
        <v/>
      </c>
      <c r="CT1270" s="18" t="str">
        <f ca="1"/>
        <v/>
      </c>
      <c r="CV1270" s="10"/>
      <c r="CY1270" s="18" t="str">
        <f ca="1"/>
        <v/>
      </c>
      <c r="CZ1270" s="18" t="str">
        <f ca="1"/>
        <v/>
      </c>
      <c r="DA1270" s="18" t="str">
        <f ca="1"/>
        <v/>
      </c>
      <c r="DC1270" s="10"/>
    </row>
    <row r="1271" spans="1:107" x14ac:dyDescent="0.25">
      <c r="A1271" s="46"/>
      <c r="B1271" s="52"/>
      <c r="C1271" s="52"/>
      <c r="D1271" s="16"/>
      <c r="E1271" s="52"/>
      <c r="F1271" s="52"/>
      <c r="G1271" s="50"/>
      <c r="H1271" s="17" t="str">
        <f ca="1">IFERROR(__xludf.DUMMYFUNCTION("""COMPUTED_VALUE"""),"")</f>
        <v/>
      </c>
      <c r="I1271" s="50" t="s">
        <v>29</v>
      </c>
      <c r="J1271" s="50" t="s">
        <v>29</v>
      </c>
      <c r="K1271" s="50" t="s">
        <v>29</v>
      </c>
      <c r="L1271" s="50" t="s">
        <v>29</v>
      </c>
      <c r="M1271" s="50" t="s">
        <v>29</v>
      </c>
      <c r="N1271" s="49"/>
      <c r="P1271" s="19"/>
      <c r="Q1271" s="18" t="str">
        <f ca="1">IFERROR(__xludf.DUMMYFUNCTION("""COMPUTED_VALUE"""),"")</f>
        <v/>
      </c>
      <c r="R1271" s="19"/>
      <c r="S1271" s="20"/>
      <c r="BP1271" s="10"/>
      <c r="BW1271" s="10"/>
      <c r="CF1271" s="10"/>
      <c r="CM1271" s="10"/>
      <c r="CP1271" s="18" t="str">
        <f ca="1"/>
        <v/>
      </c>
      <c r="CQ1271" s="18" t="str">
        <f ca="1"/>
        <v/>
      </c>
      <c r="CR1271" s="18" t="str">
        <f ca="1"/>
        <v/>
      </c>
      <c r="CS1271" s="18" t="str">
        <f ca="1"/>
        <v/>
      </c>
      <c r="CT1271" s="18" t="str">
        <f ca="1"/>
        <v/>
      </c>
      <c r="CV1271" s="10"/>
      <c r="CY1271" s="18" t="str">
        <f ca="1"/>
        <v/>
      </c>
      <c r="CZ1271" s="18" t="str">
        <f ca="1"/>
        <v/>
      </c>
      <c r="DA1271" s="18" t="str">
        <f ca="1"/>
        <v/>
      </c>
      <c r="DC1271" s="10"/>
    </row>
    <row r="1272" spans="1:107" x14ac:dyDescent="0.25">
      <c r="A1272" s="46"/>
      <c r="B1272" s="52"/>
      <c r="C1272" s="52"/>
      <c r="D1272" s="16"/>
      <c r="E1272" s="52"/>
      <c r="F1272" s="52"/>
      <c r="G1272" s="50"/>
      <c r="H1272" s="17" t="str">
        <f ca="1">IFERROR(__xludf.DUMMYFUNCTION("""COMPUTED_VALUE"""),"")</f>
        <v/>
      </c>
      <c r="I1272" s="50" t="s">
        <v>29</v>
      </c>
      <c r="J1272" s="50" t="s">
        <v>29</v>
      </c>
      <c r="K1272" s="50" t="s">
        <v>29</v>
      </c>
      <c r="L1272" s="50" t="s">
        <v>29</v>
      </c>
      <c r="M1272" s="50" t="s">
        <v>29</v>
      </c>
      <c r="N1272" s="49"/>
      <c r="P1272" s="19"/>
      <c r="Q1272" s="18" t="str">
        <f ca="1">IFERROR(__xludf.DUMMYFUNCTION("""COMPUTED_VALUE"""),"")</f>
        <v/>
      </c>
      <c r="R1272" s="19"/>
      <c r="S1272" s="20"/>
      <c r="BP1272" s="10"/>
      <c r="BW1272" s="10"/>
      <c r="CF1272" s="10"/>
      <c r="CM1272" s="10"/>
      <c r="CP1272" s="18" t="str">
        <f ca="1"/>
        <v/>
      </c>
      <c r="CQ1272" s="18" t="str">
        <f ca="1"/>
        <v/>
      </c>
      <c r="CR1272" s="18" t="str">
        <f ca="1"/>
        <v/>
      </c>
      <c r="CS1272" s="18" t="str">
        <f ca="1"/>
        <v/>
      </c>
      <c r="CT1272" s="18" t="str">
        <f ca="1"/>
        <v/>
      </c>
      <c r="CV1272" s="10"/>
      <c r="CY1272" s="18" t="str">
        <f ca="1"/>
        <v/>
      </c>
      <c r="CZ1272" s="18" t="str">
        <f ca="1"/>
        <v/>
      </c>
      <c r="DA1272" s="18" t="str">
        <f ca="1"/>
        <v/>
      </c>
      <c r="DC1272" s="10"/>
    </row>
    <row r="1273" spans="1:107" x14ac:dyDescent="0.25">
      <c r="A1273" s="46"/>
      <c r="B1273" s="52"/>
      <c r="C1273" s="52"/>
      <c r="D1273" s="16"/>
      <c r="E1273" s="52"/>
      <c r="F1273" s="52"/>
      <c r="G1273" s="50"/>
      <c r="H1273" s="17" t="str">
        <f ca="1">IFERROR(__xludf.DUMMYFUNCTION("""COMPUTED_VALUE"""),"")</f>
        <v/>
      </c>
      <c r="I1273" s="50" t="s">
        <v>29</v>
      </c>
      <c r="J1273" s="50" t="s">
        <v>29</v>
      </c>
      <c r="K1273" s="50" t="s">
        <v>29</v>
      </c>
      <c r="L1273" s="50" t="s">
        <v>29</v>
      </c>
      <c r="M1273" s="50" t="s">
        <v>29</v>
      </c>
      <c r="N1273" s="49"/>
      <c r="P1273" s="19"/>
      <c r="Q1273" s="18" t="str">
        <f ca="1">IFERROR(__xludf.DUMMYFUNCTION("""COMPUTED_VALUE"""),"")</f>
        <v/>
      </c>
      <c r="R1273" s="19"/>
      <c r="S1273" s="20"/>
      <c r="BP1273" s="10"/>
      <c r="BW1273" s="10"/>
      <c r="CF1273" s="10"/>
      <c r="CM1273" s="10"/>
      <c r="CP1273" s="18" t="str">
        <f ca="1"/>
        <v/>
      </c>
      <c r="CQ1273" s="18" t="str">
        <f ca="1"/>
        <v/>
      </c>
      <c r="CR1273" s="18" t="str">
        <f ca="1"/>
        <v/>
      </c>
      <c r="CS1273" s="18" t="str">
        <f ca="1"/>
        <v/>
      </c>
      <c r="CT1273" s="18" t="str">
        <f ca="1"/>
        <v/>
      </c>
      <c r="CV1273" s="10"/>
      <c r="CY1273" s="18" t="str">
        <f ca="1"/>
        <v/>
      </c>
      <c r="CZ1273" s="18" t="str">
        <f ca="1"/>
        <v/>
      </c>
      <c r="DA1273" s="18" t="str">
        <f ca="1"/>
        <v/>
      </c>
      <c r="DC1273" s="10"/>
    </row>
    <row r="1274" spans="1:107" x14ac:dyDescent="0.25">
      <c r="A1274" s="46"/>
      <c r="B1274" s="52"/>
      <c r="C1274" s="52"/>
      <c r="D1274" s="16"/>
      <c r="E1274" s="52"/>
      <c r="F1274" s="52"/>
      <c r="G1274" s="50"/>
      <c r="H1274" s="17" t="str">
        <f ca="1">IFERROR(__xludf.DUMMYFUNCTION("""COMPUTED_VALUE"""),"")</f>
        <v/>
      </c>
      <c r="I1274" s="50" t="s">
        <v>29</v>
      </c>
      <c r="J1274" s="50" t="s">
        <v>29</v>
      </c>
      <c r="K1274" s="50" t="s">
        <v>29</v>
      </c>
      <c r="L1274" s="50" t="s">
        <v>29</v>
      </c>
      <c r="M1274" s="50" t="s">
        <v>29</v>
      </c>
      <c r="N1274" s="49"/>
      <c r="P1274" s="19"/>
      <c r="Q1274" s="18" t="str">
        <f ca="1">IFERROR(__xludf.DUMMYFUNCTION("""COMPUTED_VALUE"""),"")</f>
        <v/>
      </c>
      <c r="R1274" s="19"/>
      <c r="S1274" s="20"/>
      <c r="BP1274" s="10"/>
      <c r="BW1274" s="10"/>
      <c r="CF1274" s="10"/>
      <c r="CM1274" s="10"/>
      <c r="CP1274" s="18" t="str">
        <f ca="1"/>
        <v/>
      </c>
      <c r="CQ1274" s="18" t="str">
        <f ca="1"/>
        <v/>
      </c>
      <c r="CR1274" s="18" t="str">
        <f ca="1"/>
        <v/>
      </c>
      <c r="CS1274" s="18" t="str">
        <f ca="1"/>
        <v/>
      </c>
      <c r="CT1274" s="18" t="str">
        <f ca="1"/>
        <v/>
      </c>
      <c r="CV1274" s="10"/>
      <c r="CY1274" s="18" t="str">
        <f ca="1"/>
        <v/>
      </c>
      <c r="CZ1274" s="18" t="str">
        <f ca="1"/>
        <v/>
      </c>
      <c r="DA1274" s="18" t="str">
        <f ca="1"/>
        <v/>
      </c>
      <c r="DC1274" s="10"/>
    </row>
    <row r="1275" spans="1:107" x14ac:dyDescent="0.25">
      <c r="A1275" s="46"/>
      <c r="B1275" s="52"/>
      <c r="C1275" s="52"/>
      <c r="D1275" s="16"/>
      <c r="E1275" s="52"/>
      <c r="F1275" s="52"/>
      <c r="G1275" s="50"/>
      <c r="H1275" s="17" t="str">
        <f ca="1">IFERROR(__xludf.DUMMYFUNCTION("""COMPUTED_VALUE"""),"")</f>
        <v/>
      </c>
      <c r="I1275" s="50" t="s">
        <v>29</v>
      </c>
      <c r="J1275" s="50" t="s">
        <v>29</v>
      </c>
      <c r="K1275" s="50" t="s">
        <v>29</v>
      </c>
      <c r="L1275" s="50" t="s">
        <v>29</v>
      </c>
      <c r="M1275" s="50" t="s">
        <v>29</v>
      </c>
      <c r="N1275" s="49"/>
      <c r="P1275" s="19"/>
      <c r="Q1275" s="18" t="str">
        <f ca="1">IFERROR(__xludf.DUMMYFUNCTION("""COMPUTED_VALUE"""),"")</f>
        <v/>
      </c>
      <c r="R1275" s="19"/>
      <c r="S1275" s="20"/>
      <c r="BP1275" s="10"/>
      <c r="BW1275" s="10"/>
      <c r="CF1275" s="10"/>
      <c r="CM1275" s="10"/>
      <c r="CP1275" s="18" t="str">
        <f ca="1"/>
        <v/>
      </c>
      <c r="CQ1275" s="18" t="str">
        <f ca="1"/>
        <v/>
      </c>
      <c r="CR1275" s="18" t="str">
        <f ca="1"/>
        <v/>
      </c>
      <c r="CS1275" s="18" t="str">
        <f ca="1"/>
        <v/>
      </c>
      <c r="CT1275" s="18" t="str">
        <f ca="1"/>
        <v/>
      </c>
      <c r="CV1275" s="10"/>
      <c r="CY1275" s="18" t="str">
        <f ca="1"/>
        <v/>
      </c>
      <c r="CZ1275" s="18" t="str">
        <f ca="1"/>
        <v/>
      </c>
      <c r="DA1275" s="18" t="str">
        <f ca="1"/>
        <v/>
      </c>
      <c r="DC1275" s="10"/>
    </row>
    <row r="1276" spans="1:107" x14ac:dyDescent="0.25">
      <c r="A1276" s="46"/>
      <c r="B1276" s="52"/>
      <c r="C1276" s="52"/>
      <c r="D1276" s="16"/>
      <c r="E1276" s="52"/>
      <c r="F1276" s="52"/>
      <c r="G1276" s="50"/>
      <c r="H1276" s="17" t="str">
        <f ca="1">IFERROR(__xludf.DUMMYFUNCTION("""COMPUTED_VALUE"""),"")</f>
        <v/>
      </c>
      <c r="I1276" s="50" t="s">
        <v>29</v>
      </c>
      <c r="J1276" s="50" t="s">
        <v>29</v>
      </c>
      <c r="K1276" s="50" t="s">
        <v>29</v>
      </c>
      <c r="L1276" s="50" t="s">
        <v>29</v>
      </c>
      <c r="M1276" s="50" t="s">
        <v>29</v>
      </c>
      <c r="N1276" s="49"/>
      <c r="P1276" s="19"/>
      <c r="Q1276" s="18" t="str">
        <f ca="1">IFERROR(__xludf.DUMMYFUNCTION("""COMPUTED_VALUE"""),"")</f>
        <v/>
      </c>
      <c r="R1276" s="19"/>
      <c r="S1276" s="20"/>
      <c r="BP1276" s="10"/>
      <c r="BW1276" s="10"/>
      <c r="CF1276" s="10"/>
      <c r="CM1276" s="10"/>
      <c r="CP1276" s="18" t="str">
        <f ca="1"/>
        <v/>
      </c>
      <c r="CQ1276" s="18" t="str">
        <f ca="1"/>
        <v/>
      </c>
      <c r="CR1276" s="18" t="str">
        <f ca="1"/>
        <v/>
      </c>
      <c r="CS1276" s="18" t="str">
        <f ca="1"/>
        <v/>
      </c>
      <c r="CT1276" s="18" t="str">
        <f ca="1"/>
        <v/>
      </c>
      <c r="CV1276" s="10"/>
      <c r="CY1276" s="18" t="str">
        <f ca="1"/>
        <v/>
      </c>
      <c r="CZ1276" s="18" t="str">
        <f ca="1"/>
        <v/>
      </c>
      <c r="DA1276" s="18" t="str">
        <f ca="1"/>
        <v/>
      </c>
      <c r="DC1276" s="10"/>
    </row>
    <row r="1277" spans="1:107" x14ac:dyDescent="0.25">
      <c r="A1277" s="46"/>
      <c r="B1277" s="52"/>
      <c r="C1277" s="52"/>
      <c r="D1277" s="16"/>
      <c r="E1277" s="52"/>
      <c r="F1277" s="52"/>
      <c r="G1277" s="50"/>
      <c r="H1277" s="17" t="str">
        <f ca="1">IFERROR(__xludf.DUMMYFUNCTION("""COMPUTED_VALUE"""),"")</f>
        <v/>
      </c>
      <c r="I1277" s="50" t="s">
        <v>29</v>
      </c>
      <c r="J1277" s="50" t="s">
        <v>29</v>
      </c>
      <c r="K1277" s="50" t="s">
        <v>29</v>
      </c>
      <c r="L1277" s="50" t="s">
        <v>29</v>
      </c>
      <c r="M1277" s="50" t="s">
        <v>29</v>
      </c>
      <c r="N1277" s="49"/>
      <c r="P1277" s="19"/>
      <c r="Q1277" s="18" t="str">
        <f ca="1">IFERROR(__xludf.DUMMYFUNCTION("""COMPUTED_VALUE"""),"")</f>
        <v/>
      </c>
      <c r="R1277" s="19"/>
      <c r="S1277" s="20"/>
      <c r="BP1277" s="10"/>
      <c r="BW1277" s="10"/>
      <c r="CF1277" s="10"/>
      <c r="CM1277" s="10"/>
      <c r="CP1277" s="18" t="str">
        <f ca="1"/>
        <v/>
      </c>
      <c r="CQ1277" s="18" t="str">
        <f ca="1"/>
        <v/>
      </c>
      <c r="CR1277" s="18" t="str">
        <f ca="1"/>
        <v/>
      </c>
      <c r="CS1277" s="18" t="str">
        <f ca="1"/>
        <v/>
      </c>
      <c r="CT1277" s="18" t="str">
        <f ca="1"/>
        <v/>
      </c>
      <c r="CV1277" s="10"/>
      <c r="CY1277" s="18" t="str">
        <f ca="1"/>
        <v/>
      </c>
      <c r="CZ1277" s="18" t="str">
        <f ca="1"/>
        <v/>
      </c>
      <c r="DA1277" s="18" t="str">
        <f ca="1"/>
        <v/>
      </c>
      <c r="DC1277" s="10"/>
    </row>
    <row r="1278" spans="1:107" x14ac:dyDescent="0.25">
      <c r="A1278" s="46"/>
      <c r="B1278" s="52"/>
      <c r="C1278" s="52"/>
      <c r="D1278" s="16"/>
      <c r="E1278" s="52"/>
      <c r="F1278" s="52"/>
      <c r="G1278" s="50"/>
      <c r="H1278" s="17" t="str">
        <f ca="1">IFERROR(__xludf.DUMMYFUNCTION("""COMPUTED_VALUE"""),"")</f>
        <v/>
      </c>
      <c r="I1278" s="50" t="s">
        <v>29</v>
      </c>
      <c r="J1278" s="50" t="s">
        <v>29</v>
      </c>
      <c r="K1278" s="50" t="s">
        <v>29</v>
      </c>
      <c r="L1278" s="50" t="s">
        <v>29</v>
      </c>
      <c r="M1278" s="50" t="s">
        <v>29</v>
      </c>
      <c r="N1278" s="49"/>
      <c r="P1278" s="19"/>
      <c r="Q1278" s="18" t="str">
        <f ca="1">IFERROR(__xludf.DUMMYFUNCTION("""COMPUTED_VALUE"""),"")</f>
        <v/>
      </c>
      <c r="R1278" s="19"/>
      <c r="S1278" s="20"/>
      <c r="BP1278" s="10"/>
      <c r="BW1278" s="10"/>
      <c r="CF1278" s="10"/>
      <c r="CM1278" s="10"/>
      <c r="CP1278" s="18" t="str">
        <f ca="1"/>
        <v/>
      </c>
      <c r="CQ1278" s="18" t="str">
        <f ca="1"/>
        <v/>
      </c>
      <c r="CR1278" s="18" t="str">
        <f ca="1"/>
        <v/>
      </c>
      <c r="CS1278" s="18" t="str">
        <f ca="1"/>
        <v/>
      </c>
      <c r="CT1278" s="18" t="str">
        <f ca="1"/>
        <v/>
      </c>
      <c r="CV1278" s="10"/>
      <c r="CY1278" s="18" t="str">
        <f ca="1"/>
        <v/>
      </c>
      <c r="CZ1278" s="18" t="str">
        <f ca="1"/>
        <v/>
      </c>
      <c r="DA1278" s="18" t="str">
        <f ca="1"/>
        <v/>
      </c>
      <c r="DC1278" s="10"/>
    </row>
    <row r="1279" spans="1:107" x14ac:dyDescent="0.25">
      <c r="A1279" s="46"/>
      <c r="B1279" s="52"/>
      <c r="C1279" s="52"/>
      <c r="D1279" s="16"/>
      <c r="E1279" s="52"/>
      <c r="F1279" s="52"/>
      <c r="G1279" s="50"/>
      <c r="H1279" s="17" t="str">
        <f ca="1">IFERROR(__xludf.DUMMYFUNCTION("""COMPUTED_VALUE"""),"")</f>
        <v/>
      </c>
      <c r="I1279" s="50" t="s">
        <v>29</v>
      </c>
      <c r="J1279" s="50" t="s">
        <v>29</v>
      </c>
      <c r="K1279" s="50" t="s">
        <v>29</v>
      </c>
      <c r="L1279" s="50" t="s">
        <v>29</v>
      </c>
      <c r="M1279" s="50" t="s">
        <v>29</v>
      </c>
      <c r="N1279" s="49"/>
      <c r="P1279" s="19"/>
      <c r="Q1279" s="18" t="str">
        <f ca="1">IFERROR(__xludf.DUMMYFUNCTION("""COMPUTED_VALUE"""),"")</f>
        <v/>
      </c>
      <c r="R1279" s="19"/>
      <c r="S1279" s="20"/>
      <c r="BP1279" s="10"/>
      <c r="BW1279" s="10"/>
      <c r="CF1279" s="10"/>
      <c r="CM1279" s="10"/>
      <c r="CP1279" s="18" t="str">
        <f ca="1"/>
        <v/>
      </c>
      <c r="CQ1279" s="18" t="str">
        <f ca="1"/>
        <v/>
      </c>
      <c r="CR1279" s="18" t="str">
        <f ca="1"/>
        <v/>
      </c>
      <c r="CS1279" s="18" t="str">
        <f ca="1"/>
        <v/>
      </c>
      <c r="CT1279" s="18" t="str">
        <f ca="1"/>
        <v/>
      </c>
      <c r="CV1279" s="10"/>
      <c r="CY1279" s="18" t="str">
        <f ca="1"/>
        <v/>
      </c>
      <c r="CZ1279" s="18" t="str">
        <f ca="1"/>
        <v/>
      </c>
      <c r="DA1279" s="18" t="str">
        <f ca="1"/>
        <v/>
      </c>
      <c r="DC1279" s="10"/>
    </row>
    <row r="1280" spans="1:107" x14ac:dyDescent="0.25">
      <c r="A1280" s="46"/>
      <c r="B1280" s="52"/>
      <c r="C1280" s="52"/>
      <c r="D1280" s="16"/>
      <c r="E1280" s="52"/>
      <c r="F1280" s="52"/>
      <c r="G1280" s="50"/>
      <c r="H1280" s="17" t="str">
        <f ca="1">IFERROR(__xludf.DUMMYFUNCTION("""COMPUTED_VALUE"""),"")</f>
        <v/>
      </c>
      <c r="I1280" s="50" t="s">
        <v>29</v>
      </c>
      <c r="J1280" s="50" t="s">
        <v>29</v>
      </c>
      <c r="K1280" s="50" t="s">
        <v>29</v>
      </c>
      <c r="L1280" s="50" t="s">
        <v>29</v>
      </c>
      <c r="M1280" s="50" t="s">
        <v>29</v>
      </c>
      <c r="N1280" s="49"/>
      <c r="P1280" s="19"/>
      <c r="Q1280" s="18" t="str">
        <f ca="1">IFERROR(__xludf.DUMMYFUNCTION("""COMPUTED_VALUE"""),"")</f>
        <v/>
      </c>
      <c r="R1280" s="19"/>
      <c r="S1280" s="20"/>
      <c r="BP1280" s="10"/>
      <c r="BW1280" s="10"/>
      <c r="CF1280" s="10"/>
      <c r="CM1280" s="10"/>
      <c r="CP1280" s="18" t="str">
        <f ca="1"/>
        <v/>
      </c>
      <c r="CQ1280" s="18" t="str">
        <f ca="1"/>
        <v/>
      </c>
      <c r="CR1280" s="18" t="str">
        <f ca="1"/>
        <v/>
      </c>
      <c r="CS1280" s="18" t="str">
        <f ca="1"/>
        <v/>
      </c>
      <c r="CT1280" s="18" t="str">
        <f ca="1"/>
        <v/>
      </c>
      <c r="CV1280" s="10"/>
      <c r="CY1280" s="18" t="str">
        <f ca="1"/>
        <v/>
      </c>
      <c r="CZ1280" s="18" t="str">
        <f ca="1"/>
        <v/>
      </c>
      <c r="DA1280" s="18" t="str">
        <f ca="1"/>
        <v/>
      </c>
      <c r="DC1280" s="10"/>
    </row>
    <row r="1281" spans="1:107" x14ac:dyDescent="0.25">
      <c r="A1281" s="46"/>
      <c r="B1281" s="52"/>
      <c r="C1281" s="52"/>
      <c r="D1281" s="16"/>
      <c r="E1281" s="52"/>
      <c r="F1281" s="52"/>
      <c r="G1281" s="50"/>
      <c r="H1281" s="17" t="str">
        <f ca="1">IFERROR(__xludf.DUMMYFUNCTION("""COMPUTED_VALUE"""),"")</f>
        <v/>
      </c>
      <c r="I1281" s="50" t="s">
        <v>29</v>
      </c>
      <c r="J1281" s="50" t="s">
        <v>29</v>
      </c>
      <c r="K1281" s="50" t="s">
        <v>29</v>
      </c>
      <c r="L1281" s="50" t="s">
        <v>29</v>
      </c>
      <c r="M1281" s="50" t="s">
        <v>29</v>
      </c>
      <c r="N1281" s="49"/>
      <c r="P1281" s="19"/>
      <c r="Q1281" s="18" t="str">
        <f ca="1">IFERROR(__xludf.DUMMYFUNCTION("""COMPUTED_VALUE"""),"")</f>
        <v/>
      </c>
      <c r="R1281" s="19"/>
      <c r="S1281" s="20"/>
      <c r="BP1281" s="10"/>
      <c r="BW1281" s="10"/>
      <c r="CF1281" s="10"/>
      <c r="CM1281" s="10"/>
      <c r="CP1281" s="18" t="str">
        <f ca="1"/>
        <v/>
      </c>
      <c r="CQ1281" s="18" t="str">
        <f ca="1"/>
        <v/>
      </c>
      <c r="CR1281" s="18" t="str">
        <f ca="1"/>
        <v/>
      </c>
      <c r="CS1281" s="18" t="str">
        <f ca="1"/>
        <v/>
      </c>
      <c r="CT1281" s="18" t="str">
        <f ca="1"/>
        <v/>
      </c>
      <c r="CV1281" s="10"/>
      <c r="CY1281" s="18" t="str">
        <f ca="1"/>
        <v/>
      </c>
      <c r="CZ1281" s="18" t="str">
        <f ca="1"/>
        <v/>
      </c>
      <c r="DA1281" s="18" t="str">
        <f ca="1"/>
        <v/>
      </c>
      <c r="DC1281" s="10"/>
    </row>
    <row r="1282" spans="1:107" x14ac:dyDescent="0.25">
      <c r="A1282" s="46"/>
      <c r="B1282" s="52"/>
      <c r="C1282" s="52"/>
      <c r="D1282" s="16"/>
      <c r="E1282" s="52"/>
      <c r="F1282" s="52"/>
      <c r="G1282" s="50"/>
      <c r="H1282" s="17" t="str">
        <f ca="1">IFERROR(__xludf.DUMMYFUNCTION("""COMPUTED_VALUE"""),"")</f>
        <v/>
      </c>
      <c r="I1282" s="50" t="s">
        <v>29</v>
      </c>
      <c r="J1282" s="50" t="s">
        <v>29</v>
      </c>
      <c r="K1282" s="50" t="s">
        <v>29</v>
      </c>
      <c r="L1282" s="50" t="s">
        <v>29</v>
      </c>
      <c r="M1282" s="50" t="s">
        <v>29</v>
      </c>
      <c r="N1282" s="49"/>
      <c r="P1282" s="19"/>
      <c r="Q1282" s="18" t="str">
        <f ca="1">IFERROR(__xludf.DUMMYFUNCTION("""COMPUTED_VALUE"""),"")</f>
        <v/>
      </c>
      <c r="R1282" s="19"/>
      <c r="S1282" s="20"/>
      <c r="BP1282" s="10"/>
      <c r="BW1282" s="10"/>
      <c r="CF1282" s="10"/>
      <c r="CM1282" s="10"/>
      <c r="CP1282" s="18" t="str">
        <f ca="1"/>
        <v/>
      </c>
      <c r="CQ1282" s="18" t="str">
        <f ca="1"/>
        <v/>
      </c>
      <c r="CR1282" s="18" t="str">
        <f ca="1"/>
        <v/>
      </c>
      <c r="CS1282" s="18" t="str">
        <f ca="1"/>
        <v/>
      </c>
      <c r="CT1282" s="18" t="str">
        <f ca="1"/>
        <v/>
      </c>
      <c r="CV1282" s="10"/>
      <c r="CY1282" s="18" t="str">
        <f ca="1"/>
        <v/>
      </c>
      <c r="CZ1282" s="18" t="str">
        <f ca="1"/>
        <v/>
      </c>
      <c r="DA1282" s="18" t="str">
        <f ca="1"/>
        <v/>
      </c>
      <c r="DC1282" s="10"/>
    </row>
    <row r="1283" spans="1:107" x14ac:dyDescent="0.25">
      <c r="A1283" s="46"/>
      <c r="B1283" s="52"/>
      <c r="C1283" s="52"/>
      <c r="D1283" s="16"/>
      <c r="E1283" s="52"/>
      <c r="F1283" s="52"/>
      <c r="G1283" s="50"/>
      <c r="H1283" s="17" t="str">
        <f ca="1">IFERROR(__xludf.DUMMYFUNCTION("""COMPUTED_VALUE"""),"")</f>
        <v/>
      </c>
      <c r="I1283" s="50" t="s">
        <v>29</v>
      </c>
      <c r="J1283" s="50" t="s">
        <v>29</v>
      </c>
      <c r="K1283" s="50" t="s">
        <v>29</v>
      </c>
      <c r="L1283" s="50" t="s">
        <v>29</v>
      </c>
      <c r="M1283" s="50" t="s">
        <v>29</v>
      </c>
      <c r="N1283" s="49"/>
      <c r="P1283" s="19"/>
      <c r="Q1283" s="18" t="str">
        <f ca="1">IFERROR(__xludf.DUMMYFUNCTION("""COMPUTED_VALUE"""),"")</f>
        <v/>
      </c>
      <c r="R1283" s="19"/>
      <c r="S1283" s="20"/>
      <c r="BP1283" s="10"/>
      <c r="BW1283" s="10"/>
      <c r="CF1283" s="10"/>
      <c r="CM1283" s="10"/>
      <c r="CP1283" s="18" t="str">
        <f ca="1"/>
        <v/>
      </c>
      <c r="CQ1283" s="18" t="str">
        <f ca="1"/>
        <v/>
      </c>
      <c r="CR1283" s="18" t="str">
        <f ca="1"/>
        <v/>
      </c>
      <c r="CS1283" s="18" t="str">
        <f ca="1"/>
        <v/>
      </c>
      <c r="CT1283" s="18" t="str">
        <f ca="1"/>
        <v/>
      </c>
      <c r="CV1283" s="10"/>
      <c r="CY1283" s="18" t="str">
        <f ca="1"/>
        <v/>
      </c>
      <c r="CZ1283" s="18" t="str">
        <f ca="1"/>
        <v/>
      </c>
      <c r="DA1283" s="18" t="str">
        <f ca="1"/>
        <v/>
      </c>
      <c r="DC1283" s="10"/>
    </row>
    <row r="1284" spans="1:107" x14ac:dyDescent="0.25">
      <c r="A1284" s="46"/>
      <c r="B1284" s="52"/>
      <c r="C1284" s="52"/>
      <c r="D1284" s="16"/>
      <c r="E1284" s="52"/>
      <c r="F1284" s="52"/>
      <c r="G1284" s="50"/>
      <c r="H1284" s="17" t="str">
        <f ca="1">IFERROR(__xludf.DUMMYFUNCTION("""COMPUTED_VALUE"""),"")</f>
        <v/>
      </c>
      <c r="I1284" s="50" t="s">
        <v>29</v>
      </c>
      <c r="J1284" s="50" t="s">
        <v>29</v>
      </c>
      <c r="K1284" s="50" t="s">
        <v>29</v>
      </c>
      <c r="L1284" s="50" t="s">
        <v>29</v>
      </c>
      <c r="M1284" s="50" t="s">
        <v>29</v>
      </c>
      <c r="N1284" s="49"/>
      <c r="P1284" s="19"/>
      <c r="Q1284" s="18" t="str">
        <f ca="1">IFERROR(__xludf.DUMMYFUNCTION("""COMPUTED_VALUE"""),"")</f>
        <v/>
      </c>
      <c r="R1284" s="19"/>
      <c r="S1284" s="20"/>
      <c r="BP1284" s="10"/>
      <c r="BW1284" s="10"/>
      <c r="CF1284" s="10"/>
      <c r="CM1284" s="10"/>
      <c r="CP1284" s="18" t="str">
        <f ca="1"/>
        <v/>
      </c>
      <c r="CQ1284" s="18" t="str">
        <f ca="1"/>
        <v/>
      </c>
      <c r="CR1284" s="18" t="str">
        <f ca="1"/>
        <v/>
      </c>
      <c r="CS1284" s="18" t="str">
        <f ca="1"/>
        <v/>
      </c>
      <c r="CT1284" s="18" t="str">
        <f ca="1"/>
        <v/>
      </c>
      <c r="CV1284" s="10"/>
      <c r="CY1284" s="18" t="str">
        <f ca="1"/>
        <v/>
      </c>
      <c r="CZ1284" s="18" t="str">
        <f ca="1"/>
        <v/>
      </c>
      <c r="DA1284" s="18" t="str">
        <f ca="1"/>
        <v/>
      </c>
      <c r="DC1284" s="10"/>
    </row>
    <row r="1285" spans="1:107" x14ac:dyDescent="0.25">
      <c r="A1285" s="46"/>
      <c r="B1285" s="52"/>
      <c r="C1285" s="52"/>
      <c r="D1285" s="16"/>
      <c r="E1285" s="52"/>
      <c r="F1285" s="52"/>
      <c r="G1285" s="50"/>
      <c r="H1285" s="17" t="str">
        <f ca="1">IFERROR(__xludf.DUMMYFUNCTION("""COMPUTED_VALUE"""),"")</f>
        <v/>
      </c>
      <c r="I1285" s="50" t="s">
        <v>29</v>
      </c>
      <c r="J1285" s="50" t="s">
        <v>29</v>
      </c>
      <c r="K1285" s="50" t="s">
        <v>29</v>
      </c>
      <c r="L1285" s="50" t="s">
        <v>29</v>
      </c>
      <c r="M1285" s="50" t="s">
        <v>29</v>
      </c>
      <c r="N1285" s="49"/>
      <c r="P1285" s="19"/>
      <c r="Q1285" s="18" t="str">
        <f ca="1">IFERROR(__xludf.DUMMYFUNCTION("""COMPUTED_VALUE"""),"")</f>
        <v/>
      </c>
      <c r="R1285" s="19"/>
      <c r="S1285" s="20"/>
      <c r="BP1285" s="10"/>
      <c r="BW1285" s="10"/>
      <c r="CF1285" s="10"/>
      <c r="CM1285" s="10"/>
      <c r="CP1285" s="18" t="str">
        <f ca="1"/>
        <v/>
      </c>
      <c r="CQ1285" s="18" t="str">
        <f ca="1"/>
        <v/>
      </c>
      <c r="CR1285" s="18" t="str">
        <f ca="1"/>
        <v/>
      </c>
      <c r="CS1285" s="18" t="str">
        <f ca="1"/>
        <v/>
      </c>
      <c r="CT1285" s="18" t="str">
        <f ca="1"/>
        <v/>
      </c>
      <c r="CV1285" s="10"/>
      <c r="CY1285" s="18" t="str">
        <f ca="1"/>
        <v/>
      </c>
      <c r="CZ1285" s="18" t="str">
        <f ca="1"/>
        <v/>
      </c>
      <c r="DA1285" s="18" t="str">
        <f ca="1"/>
        <v/>
      </c>
      <c r="DC1285" s="10"/>
    </row>
    <row r="1286" spans="1:107" x14ac:dyDescent="0.25">
      <c r="A1286" s="46"/>
      <c r="B1286" s="52"/>
      <c r="C1286" s="52"/>
      <c r="D1286" s="16"/>
      <c r="E1286" s="52"/>
      <c r="F1286" s="52"/>
      <c r="G1286" s="50"/>
      <c r="H1286" s="17" t="str">
        <f ca="1">IFERROR(__xludf.DUMMYFUNCTION("""COMPUTED_VALUE"""),"")</f>
        <v/>
      </c>
      <c r="I1286" s="50" t="s">
        <v>29</v>
      </c>
      <c r="J1286" s="50" t="s">
        <v>29</v>
      </c>
      <c r="K1286" s="50" t="s">
        <v>29</v>
      </c>
      <c r="L1286" s="50" t="s">
        <v>29</v>
      </c>
      <c r="M1286" s="50" t="s">
        <v>29</v>
      </c>
      <c r="N1286" s="49"/>
      <c r="P1286" s="19"/>
      <c r="Q1286" s="18" t="str">
        <f ca="1">IFERROR(__xludf.DUMMYFUNCTION("""COMPUTED_VALUE"""),"")</f>
        <v/>
      </c>
      <c r="R1286" s="19"/>
      <c r="S1286" s="20"/>
      <c r="BP1286" s="10"/>
      <c r="BW1286" s="10"/>
      <c r="CF1286" s="10"/>
      <c r="CM1286" s="10"/>
      <c r="CP1286" s="18" t="str">
        <f ca="1"/>
        <v/>
      </c>
      <c r="CQ1286" s="18" t="str">
        <f ca="1"/>
        <v/>
      </c>
      <c r="CR1286" s="18" t="str">
        <f ca="1"/>
        <v/>
      </c>
      <c r="CS1286" s="18" t="str">
        <f ca="1"/>
        <v/>
      </c>
      <c r="CT1286" s="18" t="str">
        <f ca="1"/>
        <v/>
      </c>
      <c r="CV1286" s="10"/>
      <c r="CY1286" s="18" t="str">
        <f ca="1"/>
        <v/>
      </c>
      <c r="CZ1286" s="18" t="str">
        <f ca="1"/>
        <v/>
      </c>
      <c r="DA1286" s="18" t="str">
        <f ca="1"/>
        <v/>
      </c>
      <c r="DC1286" s="10"/>
    </row>
    <row r="1287" spans="1:107" x14ac:dyDescent="0.25">
      <c r="A1287" s="46"/>
      <c r="B1287" s="52"/>
      <c r="C1287" s="52"/>
      <c r="D1287" s="16"/>
      <c r="E1287" s="52"/>
      <c r="F1287" s="52"/>
      <c r="G1287" s="50"/>
      <c r="H1287" s="17" t="str">
        <f ca="1">IFERROR(__xludf.DUMMYFUNCTION("""COMPUTED_VALUE"""),"")</f>
        <v/>
      </c>
      <c r="I1287" s="50" t="s">
        <v>29</v>
      </c>
      <c r="J1287" s="50" t="s">
        <v>29</v>
      </c>
      <c r="K1287" s="50" t="s">
        <v>29</v>
      </c>
      <c r="L1287" s="50" t="s">
        <v>29</v>
      </c>
      <c r="M1287" s="50" t="s">
        <v>29</v>
      </c>
      <c r="N1287" s="49"/>
      <c r="P1287" s="19"/>
      <c r="Q1287" s="18" t="str">
        <f ca="1">IFERROR(__xludf.DUMMYFUNCTION("""COMPUTED_VALUE"""),"")</f>
        <v/>
      </c>
      <c r="R1287" s="19"/>
      <c r="S1287" s="20"/>
      <c r="BP1287" s="10"/>
      <c r="BW1287" s="10"/>
      <c r="CF1287" s="10"/>
      <c r="CM1287" s="10"/>
      <c r="CP1287" s="18" t="str">
        <f ca="1"/>
        <v/>
      </c>
      <c r="CQ1287" s="18" t="str">
        <f ca="1"/>
        <v/>
      </c>
      <c r="CR1287" s="18" t="str">
        <f ca="1"/>
        <v/>
      </c>
      <c r="CS1287" s="18" t="str">
        <f ca="1"/>
        <v/>
      </c>
      <c r="CT1287" s="18" t="str">
        <f ca="1"/>
        <v/>
      </c>
      <c r="CV1287" s="10"/>
      <c r="CY1287" s="18" t="str">
        <f ca="1"/>
        <v/>
      </c>
      <c r="CZ1287" s="18" t="str">
        <f ca="1"/>
        <v/>
      </c>
      <c r="DA1287" s="18" t="str">
        <f ca="1"/>
        <v/>
      </c>
      <c r="DC1287" s="10"/>
    </row>
    <row r="1288" spans="1:107" x14ac:dyDescent="0.25">
      <c r="A1288" s="46"/>
      <c r="B1288" s="52"/>
      <c r="C1288" s="52"/>
      <c r="D1288" s="16"/>
      <c r="E1288" s="52"/>
      <c r="F1288" s="52"/>
      <c r="G1288" s="50"/>
      <c r="H1288" s="17" t="str">
        <f ca="1">IFERROR(__xludf.DUMMYFUNCTION("""COMPUTED_VALUE"""),"")</f>
        <v/>
      </c>
      <c r="I1288" s="50" t="s">
        <v>29</v>
      </c>
      <c r="J1288" s="50" t="s">
        <v>29</v>
      </c>
      <c r="K1288" s="50" t="s">
        <v>29</v>
      </c>
      <c r="L1288" s="50" t="s">
        <v>29</v>
      </c>
      <c r="M1288" s="50" t="s">
        <v>29</v>
      </c>
      <c r="N1288" s="49"/>
      <c r="P1288" s="19"/>
      <c r="Q1288" s="18" t="str">
        <f ca="1">IFERROR(__xludf.DUMMYFUNCTION("""COMPUTED_VALUE"""),"")</f>
        <v/>
      </c>
      <c r="R1288" s="19"/>
      <c r="S1288" s="20"/>
      <c r="BP1288" s="10"/>
      <c r="BW1288" s="10"/>
      <c r="CF1288" s="10"/>
      <c r="CM1288" s="10"/>
      <c r="CP1288" s="18" t="str">
        <f ca="1"/>
        <v/>
      </c>
      <c r="CQ1288" s="18" t="str">
        <f ca="1"/>
        <v/>
      </c>
      <c r="CR1288" s="18" t="str">
        <f ca="1"/>
        <v/>
      </c>
      <c r="CS1288" s="18" t="str">
        <f ca="1"/>
        <v/>
      </c>
      <c r="CT1288" s="18" t="str">
        <f ca="1"/>
        <v/>
      </c>
      <c r="CV1288" s="10"/>
      <c r="CY1288" s="18" t="str">
        <f ca="1"/>
        <v/>
      </c>
      <c r="CZ1288" s="18" t="str">
        <f ca="1"/>
        <v/>
      </c>
      <c r="DA1288" s="18" t="str">
        <f ca="1"/>
        <v/>
      </c>
      <c r="DC1288" s="10"/>
    </row>
    <row r="1289" spans="1:107" x14ac:dyDescent="0.25">
      <c r="A1289" s="46"/>
      <c r="B1289" s="52"/>
      <c r="C1289" s="52"/>
      <c r="D1289" s="16"/>
      <c r="E1289" s="52"/>
      <c r="F1289" s="52"/>
      <c r="G1289" s="50"/>
      <c r="H1289" s="17" t="str">
        <f ca="1">IFERROR(__xludf.DUMMYFUNCTION("""COMPUTED_VALUE"""),"")</f>
        <v/>
      </c>
      <c r="I1289" s="50" t="s">
        <v>29</v>
      </c>
      <c r="J1289" s="50" t="s">
        <v>29</v>
      </c>
      <c r="K1289" s="50" t="s">
        <v>29</v>
      </c>
      <c r="L1289" s="50" t="s">
        <v>29</v>
      </c>
      <c r="M1289" s="50" t="s">
        <v>29</v>
      </c>
      <c r="N1289" s="49"/>
      <c r="P1289" s="19"/>
      <c r="Q1289" s="18" t="str">
        <f ca="1">IFERROR(__xludf.DUMMYFUNCTION("""COMPUTED_VALUE"""),"")</f>
        <v/>
      </c>
      <c r="R1289" s="19"/>
      <c r="S1289" s="20"/>
      <c r="BP1289" s="10"/>
      <c r="BW1289" s="10"/>
      <c r="CF1289" s="10"/>
      <c r="CM1289" s="10"/>
      <c r="CP1289" s="18" t="str">
        <f ca="1"/>
        <v/>
      </c>
      <c r="CQ1289" s="18" t="str">
        <f ca="1"/>
        <v/>
      </c>
      <c r="CR1289" s="18" t="str">
        <f ca="1"/>
        <v/>
      </c>
      <c r="CS1289" s="18" t="str">
        <f ca="1"/>
        <v/>
      </c>
      <c r="CT1289" s="18" t="str">
        <f ca="1"/>
        <v/>
      </c>
      <c r="CV1289" s="10"/>
      <c r="CY1289" s="18" t="str">
        <f ca="1"/>
        <v/>
      </c>
      <c r="CZ1289" s="18" t="str">
        <f ca="1"/>
        <v/>
      </c>
      <c r="DA1289" s="18" t="str">
        <f ca="1"/>
        <v/>
      </c>
      <c r="DC1289" s="10"/>
    </row>
    <row r="1290" spans="1:107" x14ac:dyDescent="0.25">
      <c r="A1290" s="46"/>
      <c r="B1290" s="52"/>
      <c r="C1290" s="52"/>
      <c r="D1290" s="16"/>
      <c r="E1290" s="52"/>
      <c r="F1290" s="52"/>
      <c r="G1290" s="50"/>
      <c r="H1290" s="17" t="str">
        <f ca="1">IFERROR(__xludf.DUMMYFUNCTION("""COMPUTED_VALUE"""),"")</f>
        <v/>
      </c>
      <c r="I1290" s="50" t="s">
        <v>29</v>
      </c>
      <c r="J1290" s="50" t="s">
        <v>29</v>
      </c>
      <c r="K1290" s="50" t="s">
        <v>29</v>
      </c>
      <c r="L1290" s="50" t="s">
        <v>29</v>
      </c>
      <c r="M1290" s="50" t="s">
        <v>29</v>
      </c>
      <c r="N1290" s="49"/>
      <c r="P1290" s="19"/>
      <c r="Q1290" s="18" t="str">
        <f ca="1">IFERROR(__xludf.DUMMYFUNCTION("""COMPUTED_VALUE"""),"")</f>
        <v/>
      </c>
      <c r="R1290" s="19"/>
      <c r="S1290" s="20"/>
      <c r="BP1290" s="10"/>
      <c r="BW1290" s="10"/>
      <c r="CF1290" s="10"/>
      <c r="CM1290" s="10"/>
      <c r="CP1290" s="18" t="str">
        <f ca="1"/>
        <v/>
      </c>
      <c r="CQ1290" s="18" t="str">
        <f ca="1"/>
        <v/>
      </c>
      <c r="CR1290" s="18" t="str">
        <f ca="1"/>
        <v/>
      </c>
      <c r="CS1290" s="18" t="str">
        <f ca="1"/>
        <v/>
      </c>
      <c r="CT1290" s="18" t="str">
        <f ca="1"/>
        <v/>
      </c>
      <c r="CV1290" s="10"/>
      <c r="CY1290" s="18" t="str">
        <f ca="1"/>
        <v/>
      </c>
      <c r="CZ1290" s="18" t="str">
        <f ca="1"/>
        <v/>
      </c>
      <c r="DA1290" s="18" t="str">
        <f ca="1"/>
        <v/>
      </c>
      <c r="DC1290" s="10"/>
    </row>
    <row r="1291" spans="1:107" x14ac:dyDescent="0.25">
      <c r="A1291" s="46"/>
      <c r="B1291" s="52"/>
      <c r="C1291" s="52"/>
      <c r="D1291" s="16"/>
      <c r="E1291" s="52"/>
      <c r="F1291" s="52"/>
      <c r="G1291" s="50"/>
      <c r="H1291" s="17" t="str">
        <f ca="1">IFERROR(__xludf.DUMMYFUNCTION("""COMPUTED_VALUE"""),"")</f>
        <v/>
      </c>
      <c r="I1291" s="50" t="s">
        <v>29</v>
      </c>
      <c r="J1291" s="50" t="s">
        <v>29</v>
      </c>
      <c r="K1291" s="50" t="s">
        <v>29</v>
      </c>
      <c r="L1291" s="50" t="s">
        <v>29</v>
      </c>
      <c r="M1291" s="50" t="s">
        <v>29</v>
      </c>
      <c r="N1291" s="49"/>
      <c r="P1291" s="19"/>
      <c r="Q1291" s="18" t="str">
        <f ca="1">IFERROR(__xludf.DUMMYFUNCTION("""COMPUTED_VALUE"""),"")</f>
        <v/>
      </c>
      <c r="R1291" s="19"/>
      <c r="S1291" s="20"/>
      <c r="BP1291" s="10"/>
      <c r="BW1291" s="10"/>
      <c r="CF1291" s="10"/>
      <c r="CM1291" s="10"/>
      <c r="CP1291" s="18" t="str">
        <f ca="1"/>
        <v/>
      </c>
      <c r="CQ1291" s="18" t="str">
        <f ca="1"/>
        <v/>
      </c>
      <c r="CR1291" s="18" t="str">
        <f ca="1"/>
        <v/>
      </c>
      <c r="CS1291" s="18" t="str">
        <f ca="1"/>
        <v/>
      </c>
      <c r="CT1291" s="18" t="str">
        <f ca="1"/>
        <v/>
      </c>
      <c r="CV1291" s="10"/>
      <c r="CY1291" s="18" t="str">
        <f ca="1"/>
        <v/>
      </c>
      <c r="CZ1291" s="18" t="str">
        <f ca="1"/>
        <v/>
      </c>
      <c r="DA1291" s="18" t="str">
        <f ca="1"/>
        <v/>
      </c>
      <c r="DC1291" s="10"/>
    </row>
    <row r="1292" spans="1:107" x14ac:dyDescent="0.25">
      <c r="A1292" s="46"/>
      <c r="B1292" s="52"/>
      <c r="C1292" s="52"/>
      <c r="D1292" s="16"/>
      <c r="E1292" s="52"/>
      <c r="F1292" s="52"/>
      <c r="G1292" s="50"/>
      <c r="H1292" s="17" t="str">
        <f ca="1">IFERROR(__xludf.DUMMYFUNCTION("""COMPUTED_VALUE"""),"")</f>
        <v/>
      </c>
      <c r="I1292" s="50" t="s">
        <v>29</v>
      </c>
      <c r="J1292" s="50" t="s">
        <v>29</v>
      </c>
      <c r="K1292" s="50" t="s">
        <v>29</v>
      </c>
      <c r="L1292" s="50" t="s">
        <v>29</v>
      </c>
      <c r="M1292" s="50" t="s">
        <v>29</v>
      </c>
      <c r="N1292" s="49"/>
      <c r="P1292" s="19"/>
      <c r="Q1292" s="18" t="str">
        <f ca="1">IFERROR(__xludf.DUMMYFUNCTION("""COMPUTED_VALUE"""),"")</f>
        <v/>
      </c>
      <c r="R1292" s="19"/>
      <c r="S1292" s="20"/>
      <c r="BP1292" s="10"/>
      <c r="BW1292" s="10"/>
      <c r="CF1292" s="10"/>
      <c r="CM1292" s="10"/>
      <c r="CP1292" s="18" t="str">
        <f ca="1"/>
        <v/>
      </c>
      <c r="CQ1292" s="18" t="str">
        <f ca="1"/>
        <v/>
      </c>
      <c r="CR1292" s="18" t="str">
        <f ca="1"/>
        <v/>
      </c>
      <c r="CS1292" s="18" t="str">
        <f ca="1"/>
        <v/>
      </c>
      <c r="CT1292" s="18" t="str">
        <f ca="1"/>
        <v/>
      </c>
      <c r="CV1292" s="10"/>
      <c r="CY1292" s="18" t="str">
        <f ca="1"/>
        <v/>
      </c>
      <c r="CZ1292" s="18" t="str">
        <f ca="1"/>
        <v/>
      </c>
      <c r="DA1292" s="18" t="str">
        <f ca="1"/>
        <v/>
      </c>
      <c r="DC1292" s="10"/>
    </row>
    <row r="1293" spans="1:107" x14ac:dyDescent="0.25">
      <c r="A1293" s="46"/>
      <c r="B1293" s="52"/>
      <c r="C1293" s="52"/>
      <c r="D1293" s="16"/>
      <c r="E1293" s="52"/>
      <c r="F1293" s="52"/>
      <c r="G1293" s="50"/>
      <c r="H1293" s="17" t="str">
        <f ca="1">IFERROR(__xludf.DUMMYFUNCTION("""COMPUTED_VALUE"""),"")</f>
        <v/>
      </c>
      <c r="I1293" s="50" t="s">
        <v>29</v>
      </c>
      <c r="J1293" s="50" t="s">
        <v>29</v>
      </c>
      <c r="K1293" s="50" t="s">
        <v>29</v>
      </c>
      <c r="L1293" s="50" t="s">
        <v>29</v>
      </c>
      <c r="M1293" s="50" t="s">
        <v>29</v>
      </c>
      <c r="N1293" s="49"/>
      <c r="P1293" s="19"/>
      <c r="Q1293" s="18" t="str">
        <f ca="1">IFERROR(__xludf.DUMMYFUNCTION("""COMPUTED_VALUE"""),"")</f>
        <v/>
      </c>
      <c r="R1293" s="19"/>
      <c r="S1293" s="20"/>
      <c r="BP1293" s="10"/>
      <c r="BW1293" s="10"/>
      <c r="CF1293" s="10"/>
      <c r="CM1293" s="10"/>
      <c r="CP1293" s="18" t="str">
        <f ca="1"/>
        <v/>
      </c>
      <c r="CQ1293" s="18" t="str">
        <f ca="1"/>
        <v/>
      </c>
      <c r="CR1293" s="18" t="str">
        <f ca="1"/>
        <v/>
      </c>
      <c r="CS1293" s="18" t="str">
        <f ca="1"/>
        <v/>
      </c>
      <c r="CT1293" s="18" t="str">
        <f ca="1"/>
        <v/>
      </c>
      <c r="CV1293" s="10"/>
      <c r="CY1293" s="18" t="str">
        <f ca="1"/>
        <v/>
      </c>
      <c r="CZ1293" s="18" t="str">
        <f ca="1"/>
        <v/>
      </c>
      <c r="DA1293" s="18" t="str">
        <f ca="1"/>
        <v/>
      </c>
      <c r="DC1293" s="10"/>
    </row>
    <row r="1294" spans="1:107" x14ac:dyDescent="0.25">
      <c r="A1294" s="46"/>
      <c r="B1294" s="52"/>
      <c r="C1294" s="52"/>
      <c r="D1294" s="16"/>
      <c r="E1294" s="52"/>
      <c r="F1294" s="52"/>
      <c r="G1294" s="50"/>
      <c r="H1294" s="17" t="str">
        <f ca="1">IFERROR(__xludf.DUMMYFUNCTION("""COMPUTED_VALUE"""),"")</f>
        <v/>
      </c>
      <c r="I1294" s="50" t="s">
        <v>29</v>
      </c>
      <c r="J1294" s="50" t="s">
        <v>29</v>
      </c>
      <c r="K1294" s="50" t="s">
        <v>29</v>
      </c>
      <c r="L1294" s="50" t="s">
        <v>29</v>
      </c>
      <c r="M1294" s="50" t="s">
        <v>29</v>
      </c>
      <c r="N1294" s="49"/>
      <c r="P1294" s="19"/>
      <c r="Q1294" s="18" t="str">
        <f ca="1">IFERROR(__xludf.DUMMYFUNCTION("""COMPUTED_VALUE"""),"")</f>
        <v/>
      </c>
      <c r="R1294" s="19"/>
      <c r="S1294" s="20"/>
      <c r="BP1294" s="10"/>
      <c r="BW1294" s="10"/>
      <c r="CF1294" s="10"/>
      <c r="CM1294" s="10"/>
      <c r="CP1294" s="18" t="str">
        <f ca="1"/>
        <v/>
      </c>
      <c r="CQ1294" s="18" t="str">
        <f ca="1"/>
        <v/>
      </c>
      <c r="CR1294" s="18" t="str">
        <f ca="1"/>
        <v/>
      </c>
      <c r="CS1294" s="18" t="str">
        <f ca="1"/>
        <v/>
      </c>
      <c r="CT1294" s="18" t="str">
        <f ca="1"/>
        <v/>
      </c>
      <c r="CV1294" s="10"/>
      <c r="CY1294" s="18" t="str">
        <f ca="1"/>
        <v/>
      </c>
      <c r="CZ1294" s="18" t="str">
        <f ca="1"/>
        <v/>
      </c>
      <c r="DA1294" s="18" t="str">
        <f ca="1"/>
        <v/>
      </c>
      <c r="DC1294" s="10"/>
    </row>
    <row r="1295" spans="1:107" x14ac:dyDescent="0.25">
      <c r="A1295" s="46"/>
      <c r="B1295" s="52"/>
      <c r="C1295" s="52"/>
      <c r="D1295" s="16"/>
      <c r="E1295" s="52"/>
      <c r="F1295" s="52"/>
      <c r="G1295" s="50"/>
      <c r="H1295" s="17" t="str">
        <f ca="1">IFERROR(__xludf.DUMMYFUNCTION("""COMPUTED_VALUE"""),"")</f>
        <v/>
      </c>
      <c r="I1295" s="50" t="s">
        <v>29</v>
      </c>
      <c r="J1295" s="50" t="s">
        <v>29</v>
      </c>
      <c r="K1295" s="50" t="s">
        <v>29</v>
      </c>
      <c r="L1295" s="50" t="s">
        <v>29</v>
      </c>
      <c r="M1295" s="50" t="s">
        <v>29</v>
      </c>
      <c r="N1295" s="49"/>
      <c r="P1295" s="19"/>
      <c r="Q1295" s="18" t="str">
        <f ca="1">IFERROR(__xludf.DUMMYFUNCTION("""COMPUTED_VALUE"""),"")</f>
        <v/>
      </c>
      <c r="R1295" s="19"/>
      <c r="S1295" s="20"/>
      <c r="BP1295" s="10"/>
      <c r="BW1295" s="10"/>
      <c r="CF1295" s="10"/>
      <c r="CM1295" s="10"/>
      <c r="CP1295" s="18" t="str">
        <f ca="1"/>
        <v/>
      </c>
      <c r="CQ1295" s="18" t="str">
        <f ca="1"/>
        <v/>
      </c>
      <c r="CR1295" s="18" t="str">
        <f ca="1"/>
        <v/>
      </c>
      <c r="CS1295" s="18" t="str">
        <f ca="1"/>
        <v/>
      </c>
      <c r="CT1295" s="18" t="str">
        <f ca="1"/>
        <v/>
      </c>
      <c r="CV1295" s="10"/>
      <c r="CY1295" s="18" t="str">
        <f ca="1"/>
        <v/>
      </c>
      <c r="CZ1295" s="18" t="str">
        <f ca="1"/>
        <v/>
      </c>
      <c r="DA1295" s="18" t="str">
        <f ca="1"/>
        <v/>
      </c>
      <c r="DC1295" s="10"/>
    </row>
    <row r="1296" spans="1:107" x14ac:dyDescent="0.25">
      <c r="A1296" s="46"/>
      <c r="B1296" s="52"/>
      <c r="C1296" s="52"/>
      <c r="D1296" s="16"/>
      <c r="E1296" s="52"/>
      <c r="F1296" s="52"/>
      <c r="G1296" s="50"/>
      <c r="H1296" s="17" t="str">
        <f ca="1">IFERROR(__xludf.DUMMYFUNCTION("""COMPUTED_VALUE"""),"")</f>
        <v/>
      </c>
      <c r="I1296" s="50" t="s">
        <v>29</v>
      </c>
      <c r="J1296" s="50" t="s">
        <v>29</v>
      </c>
      <c r="K1296" s="50" t="s">
        <v>29</v>
      </c>
      <c r="L1296" s="50" t="s">
        <v>29</v>
      </c>
      <c r="M1296" s="50" t="s">
        <v>29</v>
      </c>
      <c r="N1296" s="49"/>
      <c r="P1296" s="19"/>
      <c r="Q1296" s="18" t="str">
        <f ca="1">IFERROR(__xludf.DUMMYFUNCTION("""COMPUTED_VALUE"""),"")</f>
        <v/>
      </c>
      <c r="R1296" s="19"/>
      <c r="S1296" s="20"/>
      <c r="BP1296" s="10"/>
      <c r="BW1296" s="10"/>
      <c r="CF1296" s="10"/>
      <c r="CM1296" s="10"/>
      <c r="CP1296" s="18" t="str">
        <f ca="1"/>
        <v/>
      </c>
      <c r="CQ1296" s="18" t="str">
        <f ca="1"/>
        <v/>
      </c>
      <c r="CR1296" s="18" t="str">
        <f ca="1"/>
        <v/>
      </c>
      <c r="CS1296" s="18" t="str">
        <f ca="1"/>
        <v/>
      </c>
      <c r="CT1296" s="18" t="str">
        <f ca="1"/>
        <v/>
      </c>
      <c r="CV1296" s="10"/>
      <c r="CY1296" s="18" t="str">
        <f ca="1"/>
        <v/>
      </c>
      <c r="CZ1296" s="18" t="str">
        <f ca="1"/>
        <v/>
      </c>
      <c r="DA1296" s="18" t="str">
        <f ca="1"/>
        <v/>
      </c>
      <c r="DC1296" s="10"/>
    </row>
    <row r="1297" spans="1:107" x14ac:dyDescent="0.25">
      <c r="A1297" s="46"/>
      <c r="B1297" s="52"/>
      <c r="C1297" s="52"/>
      <c r="D1297" s="16"/>
      <c r="E1297" s="52"/>
      <c r="F1297" s="52"/>
      <c r="G1297" s="50"/>
      <c r="H1297" s="17" t="str">
        <f ca="1">IFERROR(__xludf.DUMMYFUNCTION("""COMPUTED_VALUE"""),"")</f>
        <v/>
      </c>
      <c r="I1297" s="50" t="s">
        <v>29</v>
      </c>
      <c r="J1297" s="50" t="s">
        <v>29</v>
      </c>
      <c r="K1297" s="50" t="s">
        <v>29</v>
      </c>
      <c r="L1297" s="50" t="s">
        <v>29</v>
      </c>
      <c r="M1297" s="50" t="s">
        <v>29</v>
      </c>
      <c r="N1297" s="49"/>
      <c r="P1297" s="19"/>
      <c r="Q1297" s="18" t="str">
        <f ca="1">IFERROR(__xludf.DUMMYFUNCTION("""COMPUTED_VALUE"""),"")</f>
        <v/>
      </c>
      <c r="R1297" s="19"/>
      <c r="S1297" s="20"/>
      <c r="BP1297" s="10"/>
      <c r="BW1297" s="10"/>
      <c r="CF1297" s="10"/>
      <c r="CM1297" s="10"/>
      <c r="CP1297" s="18" t="str">
        <f ca="1"/>
        <v/>
      </c>
      <c r="CQ1297" s="18" t="str">
        <f ca="1"/>
        <v/>
      </c>
      <c r="CR1297" s="18" t="str">
        <f ca="1"/>
        <v/>
      </c>
      <c r="CS1297" s="18" t="str">
        <f ca="1"/>
        <v/>
      </c>
      <c r="CT1297" s="18" t="str">
        <f ca="1"/>
        <v/>
      </c>
      <c r="CV1297" s="10"/>
      <c r="CY1297" s="18" t="str">
        <f ca="1"/>
        <v/>
      </c>
      <c r="CZ1297" s="18" t="str">
        <f ca="1"/>
        <v/>
      </c>
      <c r="DA1297" s="18" t="str">
        <f ca="1"/>
        <v/>
      </c>
      <c r="DC1297" s="10"/>
    </row>
    <row r="1298" spans="1:107" x14ac:dyDescent="0.25">
      <c r="A1298" s="46"/>
      <c r="B1298" s="52"/>
      <c r="C1298" s="52"/>
      <c r="D1298" s="16"/>
      <c r="E1298" s="52"/>
      <c r="F1298" s="52"/>
      <c r="G1298" s="50"/>
      <c r="H1298" s="17" t="str">
        <f ca="1">IFERROR(__xludf.DUMMYFUNCTION("""COMPUTED_VALUE"""),"")</f>
        <v/>
      </c>
      <c r="I1298" s="50" t="s">
        <v>29</v>
      </c>
      <c r="J1298" s="50" t="s">
        <v>29</v>
      </c>
      <c r="K1298" s="50" t="s">
        <v>29</v>
      </c>
      <c r="L1298" s="50" t="s">
        <v>29</v>
      </c>
      <c r="M1298" s="50" t="s">
        <v>29</v>
      </c>
      <c r="N1298" s="49"/>
      <c r="P1298" s="19"/>
      <c r="Q1298" s="18" t="str">
        <f ca="1">IFERROR(__xludf.DUMMYFUNCTION("""COMPUTED_VALUE"""),"")</f>
        <v/>
      </c>
      <c r="R1298" s="19"/>
      <c r="S1298" s="20"/>
      <c r="BP1298" s="10"/>
      <c r="BW1298" s="10"/>
      <c r="CF1298" s="10"/>
      <c r="CM1298" s="10"/>
      <c r="CP1298" s="18" t="str">
        <f ca="1"/>
        <v/>
      </c>
      <c r="CQ1298" s="18" t="str">
        <f ca="1"/>
        <v/>
      </c>
      <c r="CR1298" s="18" t="str">
        <f ca="1"/>
        <v/>
      </c>
      <c r="CS1298" s="18" t="str">
        <f ca="1"/>
        <v/>
      </c>
      <c r="CT1298" s="18" t="str">
        <f ca="1"/>
        <v/>
      </c>
      <c r="CV1298" s="10"/>
      <c r="CY1298" s="18" t="str">
        <f ca="1"/>
        <v/>
      </c>
      <c r="CZ1298" s="18" t="str">
        <f ca="1"/>
        <v/>
      </c>
      <c r="DA1298" s="18" t="str">
        <f ca="1"/>
        <v/>
      </c>
      <c r="DC1298" s="10"/>
    </row>
    <row r="1299" spans="1:107" x14ac:dyDescent="0.25">
      <c r="A1299" s="46"/>
      <c r="B1299" s="52"/>
      <c r="C1299" s="52"/>
      <c r="D1299" s="16"/>
      <c r="E1299" s="52"/>
      <c r="F1299" s="52"/>
      <c r="G1299" s="50"/>
      <c r="H1299" s="17" t="str">
        <f ca="1">IFERROR(__xludf.DUMMYFUNCTION("""COMPUTED_VALUE"""),"")</f>
        <v/>
      </c>
      <c r="I1299" s="50" t="s">
        <v>29</v>
      </c>
      <c r="J1299" s="50" t="s">
        <v>29</v>
      </c>
      <c r="K1299" s="50" t="s">
        <v>29</v>
      </c>
      <c r="L1299" s="50" t="s">
        <v>29</v>
      </c>
      <c r="M1299" s="50" t="s">
        <v>29</v>
      </c>
      <c r="N1299" s="49"/>
      <c r="P1299" s="19"/>
      <c r="Q1299" s="18" t="str">
        <f ca="1">IFERROR(__xludf.DUMMYFUNCTION("""COMPUTED_VALUE"""),"")</f>
        <v/>
      </c>
      <c r="R1299" s="19"/>
      <c r="S1299" s="20"/>
      <c r="BP1299" s="10"/>
      <c r="BW1299" s="10"/>
      <c r="CF1299" s="10"/>
      <c r="CM1299" s="10"/>
      <c r="CP1299" s="18" t="str">
        <f ca="1"/>
        <v/>
      </c>
      <c r="CQ1299" s="18" t="str">
        <f ca="1"/>
        <v/>
      </c>
      <c r="CR1299" s="18" t="str">
        <f ca="1"/>
        <v/>
      </c>
      <c r="CS1299" s="18" t="str">
        <f ca="1"/>
        <v/>
      </c>
      <c r="CT1299" s="18" t="str">
        <f ca="1"/>
        <v/>
      </c>
      <c r="CV1299" s="10"/>
      <c r="CY1299" s="18" t="str">
        <f ca="1"/>
        <v/>
      </c>
      <c r="CZ1299" s="18" t="str">
        <f ca="1"/>
        <v/>
      </c>
      <c r="DA1299" s="18" t="str">
        <f ca="1"/>
        <v/>
      </c>
      <c r="DC1299" s="10"/>
    </row>
    <row r="1300" spans="1:107" x14ac:dyDescent="0.25">
      <c r="A1300" s="46"/>
      <c r="B1300" s="52"/>
      <c r="C1300" s="52"/>
      <c r="D1300" s="16"/>
      <c r="E1300" s="52"/>
      <c r="F1300" s="52"/>
      <c r="G1300" s="50"/>
      <c r="H1300" s="17" t="str">
        <f ca="1">IFERROR(__xludf.DUMMYFUNCTION("""COMPUTED_VALUE"""),"")</f>
        <v/>
      </c>
      <c r="I1300" s="50" t="s">
        <v>29</v>
      </c>
      <c r="J1300" s="50" t="s">
        <v>29</v>
      </c>
      <c r="K1300" s="50" t="s">
        <v>29</v>
      </c>
      <c r="L1300" s="50" t="s">
        <v>29</v>
      </c>
      <c r="M1300" s="50" t="s">
        <v>29</v>
      </c>
      <c r="N1300" s="49"/>
      <c r="P1300" s="19"/>
      <c r="Q1300" s="18" t="str">
        <f ca="1">IFERROR(__xludf.DUMMYFUNCTION("""COMPUTED_VALUE"""),"")</f>
        <v/>
      </c>
      <c r="R1300" s="19"/>
      <c r="S1300" s="20"/>
      <c r="BP1300" s="10"/>
      <c r="BW1300" s="10"/>
      <c r="CF1300" s="10"/>
      <c r="CM1300" s="10"/>
      <c r="CP1300" s="18" t="str">
        <f ca="1"/>
        <v/>
      </c>
      <c r="CQ1300" s="18" t="str">
        <f ca="1"/>
        <v/>
      </c>
      <c r="CR1300" s="18" t="str">
        <f ca="1"/>
        <v/>
      </c>
      <c r="CS1300" s="18" t="str">
        <f ca="1"/>
        <v/>
      </c>
      <c r="CT1300" s="18" t="str">
        <f ca="1"/>
        <v/>
      </c>
      <c r="CV1300" s="10"/>
      <c r="CY1300" s="18" t="str">
        <f ca="1"/>
        <v/>
      </c>
      <c r="CZ1300" s="18" t="str">
        <f ca="1"/>
        <v/>
      </c>
      <c r="DA1300" s="18" t="str">
        <f ca="1"/>
        <v/>
      </c>
      <c r="DC1300" s="10"/>
    </row>
    <row r="1301" spans="1:107" x14ac:dyDescent="0.25">
      <c r="A1301" s="46"/>
      <c r="B1301" s="52"/>
      <c r="C1301" s="52"/>
      <c r="D1301" s="16"/>
      <c r="E1301" s="52"/>
      <c r="F1301" s="52"/>
      <c r="G1301" s="50"/>
      <c r="H1301" s="17" t="str">
        <f ca="1">IFERROR(__xludf.DUMMYFUNCTION("""COMPUTED_VALUE"""),"")</f>
        <v/>
      </c>
      <c r="I1301" s="50" t="s">
        <v>29</v>
      </c>
      <c r="J1301" s="50" t="s">
        <v>29</v>
      </c>
      <c r="K1301" s="50" t="s">
        <v>29</v>
      </c>
      <c r="L1301" s="50" t="s">
        <v>29</v>
      </c>
      <c r="M1301" s="50" t="s">
        <v>29</v>
      </c>
      <c r="N1301" s="49"/>
      <c r="P1301" s="19"/>
      <c r="Q1301" s="18" t="str">
        <f ca="1">IFERROR(__xludf.DUMMYFUNCTION("""COMPUTED_VALUE"""),"")</f>
        <v/>
      </c>
      <c r="R1301" s="19"/>
      <c r="S1301" s="20"/>
      <c r="BP1301" s="10"/>
      <c r="BW1301" s="10"/>
      <c r="CF1301" s="10"/>
      <c r="CM1301" s="10"/>
      <c r="CP1301" s="18" t="str">
        <f ca="1"/>
        <v/>
      </c>
      <c r="CQ1301" s="18" t="str">
        <f ca="1"/>
        <v/>
      </c>
      <c r="CR1301" s="18" t="str">
        <f ca="1"/>
        <v/>
      </c>
      <c r="CS1301" s="18" t="str">
        <f ca="1"/>
        <v/>
      </c>
      <c r="CT1301" s="18" t="str">
        <f ca="1"/>
        <v/>
      </c>
      <c r="CV1301" s="10"/>
      <c r="CY1301" s="18" t="str">
        <f ca="1"/>
        <v/>
      </c>
      <c r="CZ1301" s="18" t="str">
        <f ca="1"/>
        <v/>
      </c>
      <c r="DA1301" s="18" t="str">
        <f ca="1"/>
        <v/>
      </c>
      <c r="DC1301" s="10"/>
    </row>
    <row r="1302" spans="1:107" x14ac:dyDescent="0.25">
      <c r="A1302" s="46"/>
      <c r="B1302" s="52"/>
      <c r="C1302" s="52"/>
      <c r="D1302" s="16"/>
      <c r="E1302" s="52"/>
      <c r="F1302" s="52"/>
      <c r="G1302" s="50"/>
      <c r="H1302" s="17" t="str">
        <f ca="1">IFERROR(__xludf.DUMMYFUNCTION("""COMPUTED_VALUE"""),"")</f>
        <v/>
      </c>
      <c r="I1302" s="50" t="s">
        <v>29</v>
      </c>
      <c r="J1302" s="50" t="s">
        <v>29</v>
      </c>
      <c r="K1302" s="50" t="s">
        <v>29</v>
      </c>
      <c r="L1302" s="50" t="s">
        <v>29</v>
      </c>
      <c r="M1302" s="50" t="s">
        <v>29</v>
      </c>
      <c r="N1302" s="49"/>
      <c r="P1302" s="19"/>
      <c r="Q1302" s="18" t="str">
        <f ca="1">IFERROR(__xludf.DUMMYFUNCTION("""COMPUTED_VALUE"""),"")</f>
        <v/>
      </c>
      <c r="R1302" s="19"/>
      <c r="S1302" s="20"/>
      <c r="BP1302" s="10"/>
      <c r="BW1302" s="10"/>
      <c r="CF1302" s="10"/>
      <c r="CM1302" s="10"/>
      <c r="CP1302" s="18" t="str">
        <f ca="1"/>
        <v/>
      </c>
      <c r="CQ1302" s="18" t="str">
        <f ca="1"/>
        <v/>
      </c>
      <c r="CR1302" s="18" t="str">
        <f ca="1"/>
        <v/>
      </c>
      <c r="CS1302" s="18" t="str">
        <f ca="1"/>
        <v/>
      </c>
      <c r="CT1302" s="18" t="str">
        <f ca="1"/>
        <v/>
      </c>
      <c r="CV1302" s="10"/>
      <c r="CY1302" s="18" t="str">
        <f ca="1"/>
        <v/>
      </c>
      <c r="CZ1302" s="18" t="str">
        <f ca="1"/>
        <v/>
      </c>
      <c r="DA1302" s="18" t="str">
        <f ca="1"/>
        <v/>
      </c>
      <c r="DC1302" s="10"/>
    </row>
    <row r="1303" spans="1:107" x14ac:dyDescent="0.25">
      <c r="A1303" s="46"/>
      <c r="B1303" s="52"/>
      <c r="C1303" s="52"/>
      <c r="D1303" s="16"/>
      <c r="E1303" s="52"/>
      <c r="F1303" s="52"/>
      <c r="G1303" s="50"/>
      <c r="H1303" s="17" t="str">
        <f ca="1">IFERROR(__xludf.DUMMYFUNCTION("""COMPUTED_VALUE"""),"")</f>
        <v/>
      </c>
      <c r="I1303" s="50" t="s">
        <v>29</v>
      </c>
      <c r="J1303" s="50" t="s">
        <v>29</v>
      </c>
      <c r="K1303" s="50" t="s">
        <v>29</v>
      </c>
      <c r="L1303" s="50" t="s">
        <v>29</v>
      </c>
      <c r="M1303" s="50" t="s">
        <v>29</v>
      </c>
      <c r="N1303" s="49"/>
      <c r="P1303" s="19"/>
      <c r="Q1303" s="18" t="str">
        <f ca="1">IFERROR(__xludf.DUMMYFUNCTION("""COMPUTED_VALUE"""),"")</f>
        <v/>
      </c>
      <c r="R1303" s="19"/>
      <c r="S1303" s="20"/>
      <c r="BP1303" s="10"/>
      <c r="BW1303" s="10"/>
      <c r="CF1303" s="10"/>
      <c r="CM1303" s="10"/>
      <c r="CP1303" s="18" t="str">
        <f ca="1"/>
        <v/>
      </c>
      <c r="CQ1303" s="18" t="str">
        <f ca="1"/>
        <v/>
      </c>
      <c r="CR1303" s="18" t="str">
        <f ca="1"/>
        <v/>
      </c>
      <c r="CS1303" s="18" t="str">
        <f ca="1"/>
        <v/>
      </c>
      <c r="CT1303" s="18" t="str">
        <f ca="1"/>
        <v/>
      </c>
      <c r="CV1303" s="10"/>
      <c r="CY1303" s="18" t="str">
        <f ca="1"/>
        <v/>
      </c>
      <c r="CZ1303" s="18" t="str">
        <f ca="1"/>
        <v/>
      </c>
      <c r="DA1303" s="18" t="str">
        <f ca="1"/>
        <v/>
      </c>
      <c r="DC1303" s="10"/>
    </row>
    <row r="1304" spans="1:107" x14ac:dyDescent="0.25">
      <c r="A1304" s="46"/>
      <c r="B1304" s="52"/>
      <c r="C1304" s="52"/>
      <c r="D1304" s="16"/>
      <c r="E1304" s="52"/>
      <c r="F1304" s="52"/>
      <c r="G1304" s="50"/>
      <c r="H1304" s="17" t="str">
        <f ca="1">IFERROR(__xludf.DUMMYFUNCTION("""COMPUTED_VALUE"""),"")</f>
        <v/>
      </c>
      <c r="I1304" s="50" t="s">
        <v>29</v>
      </c>
      <c r="J1304" s="50" t="s">
        <v>29</v>
      </c>
      <c r="K1304" s="50" t="s">
        <v>29</v>
      </c>
      <c r="L1304" s="50" t="s">
        <v>29</v>
      </c>
      <c r="M1304" s="50" t="s">
        <v>29</v>
      </c>
      <c r="N1304" s="49"/>
      <c r="P1304" s="19"/>
      <c r="Q1304" s="18" t="str">
        <f ca="1">IFERROR(__xludf.DUMMYFUNCTION("""COMPUTED_VALUE"""),"")</f>
        <v/>
      </c>
      <c r="R1304" s="19"/>
      <c r="S1304" s="20"/>
      <c r="BP1304" s="10"/>
      <c r="BW1304" s="10"/>
      <c r="CF1304" s="10"/>
      <c r="CM1304" s="10"/>
      <c r="CP1304" s="18" t="str">
        <f ca="1"/>
        <v/>
      </c>
      <c r="CQ1304" s="18" t="str">
        <f ca="1"/>
        <v/>
      </c>
      <c r="CR1304" s="18" t="str">
        <f ca="1"/>
        <v/>
      </c>
      <c r="CS1304" s="18" t="str">
        <f ca="1"/>
        <v/>
      </c>
      <c r="CT1304" s="18" t="str">
        <f ca="1"/>
        <v/>
      </c>
      <c r="CV1304" s="10"/>
      <c r="CY1304" s="18" t="str">
        <f ca="1"/>
        <v/>
      </c>
      <c r="CZ1304" s="18" t="str">
        <f ca="1"/>
        <v/>
      </c>
      <c r="DA1304" s="18" t="str">
        <f ca="1"/>
        <v/>
      </c>
      <c r="DC1304" s="10"/>
    </row>
    <row r="1305" spans="1:107" x14ac:dyDescent="0.25">
      <c r="A1305" s="46"/>
      <c r="B1305" s="52"/>
      <c r="C1305" s="52"/>
      <c r="D1305" s="16"/>
      <c r="E1305" s="52"/>
      <c r="F1305" s="52"/>
      <c r="G1305" s="50"/>
      <c r="H1305" s="17" t="str">
        <f ca="1">IFERROR(__xludf.DUMMYFUNCTION("""COMPUTED_VALUE"""),"")</f>
        <v/>
      </c>
      <c r="I1305" s="50" t="s">
        <v>29</v>
      </c>
      <c r="J1305" s="50" t="s">
        <v>29</v>
      </c>
      <c r="K1305" s="50" t="s">
        <v>29</v>
      </c>
      <c r="L1305" s="50" t="s">
        <v>29</v>
      </c>
      <c r="M1305" s="50" t="s">
        <v>29</v>
      </c>
      <c r="N1305" s="49"/>
      <c r="P1305" s="19"/>
      <c r="Q1305" s="18" t="str">
        <f ca="1">IFERROR(__xludf.DUMMYFUNCTION("""COMPUTED_VALUE"""),"")</f>
        <v/>
      </c>
      <c r="R1305" s="19"/>
      <c r="S1305" s="20"/>
      <c r="BP1305" s="10"/>
      <c r="BW1305" s="10"/>
      <c r="CF1305" s="10"/>
      <c r="CM1305" s="10"/>
      <c r="CP1305" s="18" t="str">
        <f ca="1"/>
        <v/>
      </c>
      <c r="CQ1305" s="18" t="str">
        <f ca="1"/>
        <v/>
      </c>
      <c r="CR1305" s="18" t="str">
        <f ca="1"/>
        <v/>
      </c>
      <c r="CS1305" s="18" t="str">
        <f ca="1"/>
        <v/>
      </c>
      <c r="CT1305" s="18" t="str">
        <f ca="1"/>
        <v/>
      </c>
      <c r="CV1305" s="10"/>
      <c r="CY1305" s="18" t="str">
        <f ca="1"/>
        <v/>
      </c>
      <c r="CZ1305" s="18" t="str">
        <f ca="1"/>
        <v/>
      </c>
      <c r="DA1305" s="18" t="str">
        <f ca="1"/>
        <v/>
      </c>
      <c r="DC1305" s="10"/>
    </row>
    <row r="1306" spans="1:107" x14ac:dyDescent="0.25">
      <c r="A1306" s="46"/>
      <c r="B1306" s="52"/>
      <c r="C1306" s="52"/>
      <c r="D1306" s="16"/>
      <c r="E1306" s="52"/>
      <c r="F1306" s="52"/>
      <c r="G1306" s="50"/>
      <c r="H1306" s="17" t="str">
        <f ca="1">IFERROR(__xludf.DUMMYFUNCTION("""COMPUTED_VALUE"""),"")</f>
        <v/>
      </c>
      <c r="I1306" s="50" t="s">
        <v>29</v>
      </c>
      <c r="J1306" s="50" t="s">
        <v>29</v>
      </c>
      <c r="K1306" s="50" t="s">
        <v>29</v>
      </c>
      <c r="L1306" s="50" t="s">
        <v>29</v>
      </c>
      <c r="M1306" s="50" t="s">
        <v>29</v>
      </c>
      <c r="N1306" s="49"/>
      <c r="P1306" s="19"/>
      <c r="Q1306" s="18" t="str">
        <f ca="1">IFERROR(__xludf.DUMMYFUNCTION("""COMPUTED_VALUE"""),"")</f>
        <v/>
      </c>
      <c r="R1306" s="19"/>
      <c r="S1306" s="20"/>
      <c r="BP1306" s="10"/>
      <c r="BW1306" s="10"/>
      <c r="CF1306" s="10"/>
      <c r="CM1306" s="10"/>
      <c r="CP1306" s="18" t="str">
        <f ca="1"/>
        <v/>
      </c>
      <c r="CQ1306" s="18" t="str">
        <f ca="1"/>
        <v/>
      </c>
      <c r="CR1306" s="18" t="str">
        <f ca="1"/>
        <v/>
      </c>
      <c r="CS1306" s="18" t="str">
        <f ca="1"/>
        <v/>
      </c>
      <c r="CT1306" s="18" t="str">
        <f ca="1"/>
        <v/>
      </c>
      <c r="CV1306" s="10"/>
      <c r="CY1306" s="18" t="str">
        <f ca="1"/>
        <v/>
      </c>
      <c r="CZ1306" s="18" t="str">
        <f ca="1"/>
        <v/>
      </c>
      <c r="DA1306" s="18" t="str">
        <f ca="1"/>
        <v/>
      </c>
      <c r="DC1306" s="10"/>
    </row>
    <row r="1307" spans="1:107" x14ac:dyDescent="0.25">
      <c r="A1307" s="46"/>
      <c r="B1307" s="52"/>
      <c r="C1307" s="52"/>
      <c r="D1307" s="16"/>
      <c r="E1307" s="52"/>
      <c r="F1307" s="52"/>
      <c r="G1307" s="50"/>
      <c r="H1307" s="17" t="str">
        <f ca="1">IFERROR(__xludf.DUMMYFUNCTION("""COMPUTED_VALUE"""),"")</f>
        <v/>
      </c>
      <c r="I1307" s="50" t="s">
        <v>29</v>
      </c>
      <c r="J1307" s="50" t="s">
        <v>29</v>
      </c>
      <c r="K1307" s="50" t="s">
        <v>29</v>
      </c>
      <c r="L1307" s="50" t="s">
        <v>29</v>
      </c>
      <c r="M1307" s="50" t="s">
        <v>29</v>
      </c>
      <c r="N1307" s="49"/>
      <c r="P1307" s="19"/>
      <c r="Q1307" s="18" t="str">
        <f ca="1">IFERROR(__xludf.DUMMYFUNCTION("""COMPUTED_VALUE"""),"")</f>
        <v/>
      </c>
      <c r="R1307" s="19"/>
      <c r="S1307" s="20"/>
      <c r="BP1307" s="10"/>
      <c r="BW1307" s="10"/>
      <c r="CF1307" s="10"/>
      <c r="CM1307" s="10"/>
      <c r="CP1307" s="18" t="str">
        <f ca="1"/>
        <v/>
      </c>
      <c r="CQ1307" s="18" t="str">
        <f ca="1"/>
        <v/>
      </c>
      <c r="CR1307" s="18" t="str">
        <f ca="1"/>
        <v/>
      </c>
      <c r="CS1307" s="18" t="str">
        <f ca="1"/>
        <v/>
      </c>
      <c r="CT1307" s="18" t="str">
        <f ca="1"/>
        <v/>
      </c>
      <c r="CV1307" s="10"/>
      <c r="CY1307" s="18" t="str">
        <f ca="1"/>
        <v/>
      </c>
      <c r="CZ1307" s="18" t="str">
        <f ca="1"/>
        <v/>
      </c>
      <c r="DA1307" s="18" t="str">
        <f ca="1"/>
        <v/>
      </c>
      <c r="DC1307" s="10"/>
    </row>
    <row r="1308" spans="1:107" x14ac:dyDescent="0.25">
      <c r="A1308" s="46"/>
      <c r="B1308" s="52"/>
      <c r="C1308" s="52"/>
      <c r="D1308" s="16"/>
      <c r="E1308" s="52"/>
      <c r="F1308" s="52"/>
      <c r="G1308" s="50"/>
      <c r="H1308" s="17" t="str">
        <f ca="1">IFERROR(__xludf.DUMMYFUNCTION("""COMPUTED_VALUE"""),"")</f>
        <v/>
      </c>
      <c r="I1308" s="50" t="s">
        <v>29</v>
      </c>
      <c r="J1308" s="50" t="s">
        <v>29</v>
      </c>
      <c r="K1308" s="50" t="s">
        <v>29</v>
      </c>
      <c r="L1308" s="50" t="s">
        <v>29</v>
      </c>
      <c r="M1308" s="50" t="s">
        <v>29</v>
      </c>
      <c r="N1308" s="49"/>
      <c r="P1308" s="19"/>
      <c r="Q1308" s="18" t="str">
        <f ca="1">IFERROR(__xludf.DUMMYFUNCTION("""COMPUTED_VALUE"""),"")</f>
        <v/>
      </c>
      <c r="R1308" s="19"/>
      <c r="S1308" s="20"/>
      <c r="BP1308" s="10"/>
      <c r="BW1308" s="10"/>
      <c r="CF1308" s="10"/>
      <c r="CM1308" s="10"/>
      <c r="CP1308" s="18" t="str">
        <f ca="1"/>
        <v/>
      </c>
      <c r="CQ1308" s="18" t="str">
        <f ca="1"/>
        <v/>
      </c>
      <c r="CR1308" s="18" t="str">
        <f ca="1"/>
        <v/>
      </c>
      <c r="CS1308" s="18" t="str">
        <f ca="1"/>
        <v/>
      </c>
      <c r="CT1308" s="18" t="str">
        <f ca="1"/>
        <v/>
      </c>
      <c r="CV1308" s="10"/>
      <c r="CY1308" s="18" t="str">
        <f ca="1"/>
        <v/>
      </c>
      <c r="CZ1308" s="18" t="str">
        <f ca="1"/>
        <v/>
      </c>
      <c r="DA1308" s="18" t="str">
        <f ca="1"/>
        <v/>
      </c>
      <c r="DC1308" s="10"/>
    </row>
    <row r="1309" spans="1:107" x14ac:dyDescent="0.25">
      <c r="A1309" s="46"/>
      <c r="B1309" s="52"/>
      <c r="C1309" s="52"/>
      <c r="D1309" s="16"/>
      <c r="E1309" s="52"/>
      <c r="F1309" s="52"/>
      <c r="G1309" s="50"/>
      <c r="H1309" s="17" t="str">
        <f ca="1">IFERROR(__xludf.DUMMYFUNCTION("""COMPUTED_VALUE"""),"")</f>
        <v/>
      </c>
      <c r="I1309" s="50" t="s">
        <v>29</v>
      </c>
      <c r="J1309" s="50" t="s">
        <v>29</v>
      </c>
      <c r="K1309" s="50" t="s">
        <v>29</v>
      </c>
      <c r="L1309" s="50" t="s">
        <v>29</v>
      </c>
      <c r="M1309" s="50" t="s">
        <v>29</v>
      </c>
      <c r="N1309" s="49"/>
      <c r="P1309" s="19"/>
      <c r="Q1309" s="18" t="str">
        <f ca="1">IFERROR(__xludf.DUMMYFUNCTION("""COMPUTED_VALUE"""),"")</f>
        <v/>
      </c>
      <c r="R1309" s="19"/>
      <c r="S1309" s="20"/>
      <c r="BP1309" s="10"/>
      <c r="BW1309" s="10"/>
      <c r="CF1309" s="10"/>
      <c r="CM1309" s="10"/>
      <c r="CP1309" s="18" t="str">
        <f ca="1"/>
        <v/>
      </c>
      <c r="CQ1309" s="18" t="str">
        <f ca="1"/>
        <v/>
      </c>
      <c r="CR1309" s="18" t="str">
        <f ca="1"/>
        <v/>
      </c>
      <c r="CS1309" s="18" t="str">
        <f ca="1"/>
        <v/>
      </c>
      <c r="CT1309" s="18" t="str">
        <f ca="1"/>
        <v/>
      </c>
      <c r="CV1309" s="10"/>
      <c r="CY1309" s="18" t="str">
        <f ca="1"/>
        <v/>
      </c>
      <c r="CZ1309" s="18" t="str">
        <f ca="1"/>
        <v/>
      </c>
      <c r="DA1309" s="18" t="str">
        <f ca="1"/>
        <v/>
      </c>
      <c r="DC1309" s="10"/>
    </row>
    <row r="1310" spans="1:107" x14ac:dyDescent="0.25">
      <c r="A1310" s="46"/>
      <c r="B1310" s="52"/>
      <c r="C1310" s="52"/>
      <c r="D1310" s="16"/>
      <c r="E1310" s="52"/>
      <c r="F1310" s="52"/>
      <c r="G1310" s="50"/>
      <c r="H1310" s="17" t="str">
        <f ca="1">IFERROR(__xludf.DUMMYFUNCTION("""COMPUTED_VALUE"""),"")</f>
        <v/>
      </c>
      <c r="I1310" s="50" t="s">
        <v>29</v>
      </c>
      <c r="J1310" s="50" t="s">
        <v>29</v>
      </c>
      <c r="K1310" s="50" t="s">
        <v>29</v>
      </c>
      <c r="L1310" s="50" t="s">
        <v>29</v>
      </c>
      <c r="M1310" s="50" t="s">
        <v>29</v>
      </c>
      <c r="N1310" s="49"/>
      <c r="P1310" s="19"/>
      <c r="Q1310" s="18" t="str">
        <f ca="1">IFERROR(__xludf.DUMMYFUNCTION("""COMPUTED_VALUE"""),"")</f>
        <v/>
      </c>
      <c r="R1310" s="19"/>
      <c r="S1310" s="20"/>
      <c r="BP1310" s="10"/>
      <c r="BW1310" s="10"/>
      <c r="CF1310" s="10"/>
      <c r="CM1310" s="10"/>
      <c r="CP1310" s="18" t="str">
        <f ca="1"/>
        <v/>
      </c>
      <c r="CQ1310" s="18" t="str">
        <f ca="1"/>
        <v/>
      </c>
      <c r="CR1310" s="18" t="str">
        <f ca="1"/>
        <v/>
      </c>
      <c r="CS1310" s="18" t="str">
        <f ca="1"/>
        <v/>
      </c>
      <c r="CT1310" s="18" t="str">
        <f ca="1"/>
        <v/>
      </c>
      <c r="CV1310" s="10"/>
      <c r="CY1310" s="18" t="str">
        <f ca="1"/>
        <v/>
      </c>
      <c r="CZ1310" s="18" t="str">
        <f ca="1"/>
        <v/>
      </c>
      <c r="DA1310" s="18" t="str">
        <f ca="1"/>
        <v/>
      </c>
      <c r="DC1310" s="10"/>
    </row>
    <row r="1311" spans="1:107" x14ac:dyDescent="0.25">
      <c r="A1311" s="46"/>
      <c r="B1311" s="52"/>
      <c r="C1311" s="52"/>
      <c r="D1311" s="16"/>
      <c r="E1311" s="52"/>
      <c r="F1311" s="52"/>
      <c r="G1311" s="50"/>
      <c r="H1311" s="17" t="str">
        <f ca="1">IFERROR(__xludf.DUMMYFUNCTION("""COMPUTED_VALUE"""),"")</f>
        <v/>
      </c>
      <c r="I1311" s="50" t="s">
        <v>29</v>
      </c>
      <c r="J1311" s="50" t="s">
        <v>29</v>
      </c>
      <c r="K1311" s="50" t="s">
        <v>29</v>
      </c>
      <c r="L1311" s="50" t="s">
        <v>29</v>
      </c>
      <c r="M1311" s="50" t="s">
        <v>29</v>
      </c>
      <c r="N1311" s="49"/>
      <c r="P1311" s="19"/>
      <c r="Q1311" s="18" t="str">
        <f ca="1">IFERROR(__xludf.DUMMYFUNCTION("""COMPUTED_VALUE"""),"")</f>
        <v/>
      </c>
      <c r="R1311" s="19"/>
      <c r="S1311" s="20"/>
      <c r="BP1311" s="10"/>
      <c r="BW1311" s="10"/>
      <c r="CF1311" s="10"/>
      <c r="CM1311" s="10"/>
      <c r="CP1311" s="18" t="str">
        <f ca="1"/>
        <v/>
      </c>
      <c r="CQ1311" s="18" t="str">
        <f ca="1"/>
        <v/>
      </c>
      <c r="CR1311" s="18" t="str">
        <f ca="1"/>
        <v/>
      </c>
      <c r="CS1311" s="18" t="str">
        <f ca="1"/>
        <v/>
      </c>
      <c r="CT1311" s="18" t="str">
        <f ca="1"/>
        <v/>
      </c>
      <c r="CV1311" s="10"/>
      <c r="CY1311" s="18" t="str">
        <f ca="1"/>
        <v/>
      </c>
      <c r="CZ1311" s="18" t="str">
        <f ca="1"/>
        <v/>
      </c>
      <c r="DA1311" s="18" t="str">
        <f ca="1"/>
        <v/>
      </c>
      <c r="DC1311" s="10"/>
    </row>
    <row r="1312" spans="1:107" x14ac:dyDescent="0.25">
      <c r="A1312" s="46"/>
      <c r="B1312" s="52"/>
      <c r="C1312" s="52"/>
      <c r="D1312" s="16"/>
      <c r="E1312" s="52"/>
      <c r="F1312" s="52"/>
      <c r="G1312" s="50"/>
      <c r="H1312" s="17" t="str">
        <f ca="1">IFERROR(__xludf.DUMMYFUNCTION("""COMPUTED_VALUE"""),"")</f>
        <v/>
      </c>
      <c r="I1312" s="50" t="s">
        <v>29</v>
      </c>
      <c r="J1312" s="50" t="s">
        <v>29</v>
      </c>
      <c r="K1312" s="50" t="s">
        <v>29</v>
      </c>
      <c r="L1312" s="50" t="s">
        <v>29</v>
      </c>
      <c r="M1312" s="50" t="s">
        <v>29</v>
      </c>
      <c r="N1312" s="49"/>
      <c r="P1312" s="19"/>
      <c r="Q1312" s="18" t="str">
        <f ca="1">IFERROR(__xludf.DUMMYFUNCTION("""COMPUTED_VALUE"""),"")</f>
        <v/>
      </c>
      <c r="R1312" s="19"/>
      <c r="S1312" s="20"/>
      <c r="BP1312" s="10"/>
      <c r="BW1312" s="10"/>
      <c r="CF1312" s="10"/>
      <c r="CM1312" s="10"/>
      <c r="CP1312" s="18" t="str">
        <f ca="1"/>
        <v/>
      </c>
      <c r="CQ1312" s="18" t="str">
        <f ca="1"/>
        <v/>
      </c>
      <c r="CR1312" s="18" t="str">
        <f ca="1"/>
        <v/>
      </c>
      <c r="CS1312" s="18" t="str">
        <f ca="1"/>
        <v/>
      </c>
      <c r="CT1312" s="18" t="str">
        <f ca="1"/>
        <v/>
      </c>
      <c r="CV1312" s="10"/>
      <c r="CY1312" s="18" t="str">
        <f ca="1"/>
        <v/>
      </c>
      <c r="CZ1312" s="18" t="str">
        <f ca="1"/>
        <v/>
      </c>
      <c r="DA1312" s="18" t="str">
        <f ca="1"/>
        <v/>
      </c>
      <c r="DC1312" s="10"/>
    </row>
    <row r="1313" spans="1:107" x14ac:dyDescent="0.25">
      <c r="A1313" s="46"/>
      <c r="B1313" s="52"/>
      <c r="C1313" s="52"/>
      <c r="D1313" s="16"/>
      <c r="E1313" s="52"/>
      <c r="F1313" s="52"/>
      <c r="G1313" s="50"/>
      <c r="H1313" s="17" t="str">
        <f ca="1">IFERROR(__xludf.DUMMYFUNCTION("""COMPUTED_VALUE"""),"")</f>
        <v/>
      </c>
      <c r="I1313" s="50" t="s">
        <v>29</v>
      </c>
      <c r="J1313" s="50" t="s">
        <v>29</v>
      </c>
      <c r="K1313" s="50" t="s">
        <v>29</v>
      </c>
      <c r="L1313" s="50" t="s">
        <v>29</v>
      </c>
      <c r="M1313" s="50" t="s">
        <v>29</v>
      </c>
      <c r="N1313" s="49"/>
      <c r="P1313" s="19"/>
      <c r="Q1313" s="18" t="str">
        <f ca="1">IFERROR(__xludf.DUMMYFUNCTION("""COMPUTED_VALUE"""),"")</f>
        <v/>
      </c>
      <c r="R1313" s="19"/>
      <c r="S1313" s="20"/>
      <c r="BP1313" s="10"/>
      <c r="BW1313" s="10"/>
      <c r="CF1313" s="10"/>
      <c r="CM1313" s="10"/>
      <c r="CP1313" s="18" t="str">
        <f ca="1"/>
        <v/>
      </c>
      <c r="CQ1313" s="18" t="str">
        <f ca="1"/>
        <v/>
      </c>
      <c r="CR1313" s="18" t="str">
        <f ca="1"/>
        <v/>
      </c>
      <c r="CS1313" s="18" t="str">
        <f ca="1"/>
        <v/>
      </c>
      <c r="CT1313" s="18" t="str">
        <f ca="1"/>
        <v/>
      </c>
      <c r="CV1313" s="10"/>
      <c r="CY1313" s="18" t="str">
        <f ca="1"/>
        <v/>
      </c>
      <c r="CZ1313" s="18" t="str">
        <f ca="1"/>
        <v/>
      </c>
      <c r="DA1313" s="18" t="str">
        <f ca="1"/>
        <v/>
      </c>
      <c r="DC1313" s="10"/>
    </row>
    <row r="1314" spans="1:107" x14ac:dyDescent="0.25">
      <c r="A1314" s="46"/>
      <c r="B1314" s="52"/>
      <c r="C1314" s="52"/>
      <c r="D1314" s="16"/>
      <c r="E1314" s="52"/>
      <c r="F1314" s="52"/>
      <c r="G1314" s="50"/>
      <c r="H1314" s="17" t="str">
        <f ca="1">IFERROR(__xludf.DUMMYFUNCTION("""COMPUTED_VALUE"""),"")</f>
        <v/>
      </c>
      <c r="I1314" s="50" t="s">
        <v>29</v>
      </c>
      <c r="J1314" s="50" t="s">
        <v>29</v>
      </c>
      <c r="K1314" s="50" t="s">
        <v>29</v>
      </c>
      <c r="L1314" s="50" t="s">
        <v>29</v>
      </c>
      <c r="M1314" s="50" t="s">
        <v>29</v>
      </c>
      <c r="N1314" s="49"/>
      <c r="P1314" s="19"/>
      <c r="Q1314" s="18" t="str">
        <f ca="1">IFERROR(__xludf.DUMMYFUNCTION("""COMPUTED_VALUE"""),"")</f>
        <v/>
      </c>
      <c r="R1314" s="19"/>
      <c r="S1314" s="20"/>
      <c r="BP1314" s="10"/>
      <c r="BW1314" s="10"/>
      <c r="CF1314" s="10"/>
      <c r="CM1314" s="10"/>
      <c r="CP1314" s="18" t="str">
        <f ca="1"/>
        <v/>
      </c>
      <c r="CQ1314" s="18" t="str">
        <f ca="1"/>
        <v/>
      </c>
      <c r="CR1314" s="18" t="str">
        <f ca="1"/>
        <v/>
      </c>
      <c r="CS1314" s="18" t="str">
        <f ca="1"/>
        <v/>
      </c>
      <c r="CT1314" s="18" t="str">
        <f ca="1"/>
        <v/>
      </c>
      <c r="CV1314" s="10"/>
      <c r="CY1314" s="18" t="str">
        <f ca="1"/>
        <v/>
      </c>
      <c r="CZ1314" s="18" t="str">
        <f ca="1"/>
        <v/>
      </c>
      <c r="DA1314" s="18" t="str">
        <f ca="1"/>
        <v/>
      </c>
      <c r="DC1314" s="10"/>
    </row>
    <row r="1315" spans="1:107" x14ac:dyDescent="0.25">
      <c r="A1315" s="46"/>
      <c r="B1315" s="52"/>
      <c r="C1315" s="52"/>
      <c r="D1315" s="16"/>
      <c r="E1315" s="52"/>
      <c r="F1315" s="52"/>
      <c r="G1315" s="50"/>
      <c r="H1315" s="17" t="str">
        <f ca="1">IFERROR(__xludf.DUMMYFUNCTION("""COMPUTED_VALUE"""),"")</f>
        <v/>
      </c>
      <c r="I1315" s="50" t="s">
        <v>29</v>
      </c>
      <c r="J1315" s="50" t="s">
        <v>29</v>
      </c>
      <c r="K1315" s="50" t="s">
        <v>29</v>
      </c>
      <c r="L1315" s="50" t="s">
        <v>29</v>
      </c>
      <c r="M1315" s="50" t="s">
        <v>29</v>
      </c>
      <c r="N1315" s="49"/>
      <c r="P1315" s="19"/>
      <c r="Q1315" s="18" t="str">
        <f ca="1">IFERROR(__xludf.DUMMYFUNCTION("""COMPUTED_VALUE"""),"")</f>
        <v/>
      </c>
      <c r="R1315" s="19"/>
      <c r="S1315" s="20"/>
      <c r="BP1315" s="10"/>
      <c r="BW1315" s="10"/>
      <c r="CF1315" s="10"/>
      <c r="CM1315" s="10"/>
      <c r="CP1315" s="18" t="str">
        <f ca="1"/>
        <v/>
      </c>
      <c r="CQ1315" s="18" t="str">
        <f ca="1"/>
        <v/>
      </c>
      <c r="CR1315" s="18" t="str">
        <f ca="1"/>
        <v/>
      </c>
      <c r="CS1315" s="18" t="str">
        <f ca="1"/>
        <v/>
      </c>
      <c r="CT1315" s="18" t="str">
        <f ca="1"/>
        <v/>
      </c>
      <c r="CV1315" s="10"/>
      <c r="CY1315" s="18" t="str">
        <f ca="1"/>
        <v/>
      </c>
      <c r="CZ1315" s="18" t="str">
        <f ca="1"/>
        <v/>
      </c>
      <c r="DA1315" s="18" t="str">
        <f ca="1"/>
        <v/>
      </c>
      <c r="DC1315" s="10"/>
    </row>
    <row r="1316" spans="1:107" x14ac:dyDescent="0.25">
      <c r="A1316" s="46"/>
      <c r="B1316" s="52"/>
      <c r="C1316" s="52"/>
      <c r="D1316" s="16"/>
      <c r="E1316" s="52"/>
      <c r="F1316" s="52"/>
      <c r="G1316" s="50"/>
      <c r="H1316" s="17" t="str">
        <f ca="1">IFERROR(__xludf.DUMMYFUNCTION("""COMPUTED_VALUE"""),"")</f>
        <v/>
      </c>
      <c r="I1316" s="50" t="s">
        <v>29</v>
      </c>
      <c r="J1316" s="50" t="s">
        <v>29</v>
      </c>
      <c r="K1316" s="50" t="s">
        <v>29</v>
      </c>
      <c r="L1316" s="50" t="s">
        <v>29</v>
      </c>
      <c r="M1316" s="50" t="s">
        <v>29</v>
      </c>
      <c r="N1316" s="49"/>
      <c r="P1316" s="19"/>
      <c r="Q1316" s="18" t="str">
        <f ca="1">IFERROR(__xludf.DUMMYFUNCTION("""COMPUTED_VALUE"""),"")</f>
        <v/>
      </c>
      <c r="R1316" s="19"/>
      <c r="S1316" s="20"/>
      <c r="BP1316" s="10"/>
      <c r="BW1316" s="10"/>
      <c r="CF1316" s="10"/>
      <c r="CM1316" s="10"/>
      <c r="CP1316" s="18" t="str">
        <f ca="1"/>
        <v/>
      </c>
      <c r="CQ1316" s="18" t="str">
        <f ca="1"/>
        <v/>
      </c>
      <c r="CR1316" s="18" t="str">
        <f ca="1"/>
        <v/>
      </c>
      <c r="CS1316" s="18" t="str">
        <f ca="1"/>
        <v/>
      </c>
      <c r="CT1316" s="18" t="str">
        <f ca="1"/>
        <v/>
      </c>
      <c r="CV1316" s="10"/>
      <c r="CY1316" s="18" t="str">
        <f ca="1"/>
        <v/>
      </c>
      <c r="CZ1316" s="18" t="str">
        <f ca="1"/>
        <v/>
      </c>
      <c r="DA1316" s="18" t="str">
        <f ca="1"/>
        <v/>
      </c>
      <c r="DC1316" s="10"/>
    </row>
    <row r="1317" spans="1:107" x14ac:dyDescent="0.25">
      <c r="A1317" s="46"/>
      <c r="B1317" s="52"/>
      <c r="C1317" s="52"/>
      <c r="D1317" s="16"/>
      <c r="E1317" s="52"/>
      <c r="F1317" s="52"/>
      <c r="G1317" s="50"/>
      <c r="H1317" s="17" t="str">
        <f ca="1">IFERROR(__xludf.DUMMYFUNCTION("""COMPUTED_VALUE"""),"")</f>
        <v/>
      </c>
      <c r="I1317" s="50" t="s">
        <v>29</v>
      </c>
      <c r="J1317" s="50" t="s">
        <v>29</v>
      </c>
      <c r="K1317" s="50" t="s">
        <v>29</v>
      </c>
      <c r="L1317" s="50" t="s">
        <v>29</v>
      </c>
      <c r="M1317" s="50" t="s">
        <v>29</v>
      </c>
      <c r="N1317" s="49"/>
      <c r="P1317" s="19"/>
      <c r="Q1317" s="18" t="str">
        <f ca="1">IFERROR(__xludf.DUMMYFUNCTION("""COMPUTED_VALUE"""),"")</f>
        <v/>
      </c>
      <c r="R1317" s="19"/>
      <c r="S1317" s="20"/>
      <c r="BP1317" s="10"/>
      <c r="BW1317" s="10"/>
      <c r="CF1317" s="10"/>
      <c r="CM1317" s="10"/>
      <c r="CP1317" s="18" t="str">
        <f ca="1"/>
        <v/>
      </c>
      <c r="CQ1317" s="18" t="str">
        <f ca="1"/>
        <v/>
      </c>
      <c r="CR1317" s="18" t="str">
        <f ca="1"/>
        <v/>
      </c>
      <c r="CS1317" s="18" t="str">
        <f ca="1"/>
        <v/>
      </c>
      <c r="CT1317" s="18" t="str">
        <f ca="1"/>
        <v/>
      </c>
      <c r="CV1317" s="10"/>
      <c r="CY1317" s="18" t="str">
        <f ca="1"/>
        <v/>
      </c>
      <c r="CZ1317" s="18" t="str">
        <f ca="1"/>
        <v/>
      </c>
      <c r="DA1317" s="18" t="str">
        <f ca="1"/>
        <v/>
      </c>
      <c r="DC1317" s="10"/>
    </row>
    <row r="1318" spans="1:107" x14ac:dyDescent="0.25">
      <c r="A1318" s="46"/>
      <c r="B1318" s="52"/>
      <c r="C1318" s="52"/>
      <c r="D1318" s="16"/>
      <c r="E1318" s="52"/>
      <c r="F1318" s="52"/>
      <c r="G1318" s="50"/>
      <c r="H1318" s="17" t="str">
        <f ca="1">IFERROR(__xludf.DUMMYFUNCTION("""COMPUTED_VALUE"""),"")</f>
        <v/>
      </c>
      <c r="I1318" s="50" t="s">
        <v>29</v>
      </c>
      <c r="J1318" s="50" t="s">
        <v>29</v>
      </c>
      <c r="K1318" s="50" t="s">
        <v>29</v>
      </c>
      <c r="L1318" s="50" t="s">
        <v>29</v>
      </c>
      <c r="M1318" s="50" t="s">
        <v>29</v>
      </c>
      <c r="N1318" s="49"/>
      <c r="P1318" s="19"/>
      <c r="Q1318" s="18" t="str">
        <f ca="1">IFERROR(__xludf.DUMMYFUNCTION("""COMPUTED_VALUE"""),"")</f>
        <v/>
      </c>
      <c r="R1318" s="19"/>
      <c r="S1318" s="20"/>
      <c r="BP1318" s="10"/>
      <c r="BW1318" s="10"/>
      <c r="CF1318" s="10"/>
      <c r="CM1318" s="10"/>
      <c r="CP1318" s="18" t="str">
        <f ca="1"/>
        <v/>
      </c>
      <c r="CQ1318" s="18" t="str">
        <f ca="1"/>
        <v/>
      </c>
      <c r="CR1318" s="18" t="str">
        <f ca="1"/>
        <v/>
      </c>
      <c r="CS1318" s="18" t="str">
        <f ca="1"/>
        <v/>
      </c>
      <c r="CT1318" s="18" t="str">
        <f ca="1"/>
        <v/>
      </c>
      <c r="CV1318" s="10"/>
      <c r="CY1318" s="18" t="str">
        <f ca="1"/>
        <v/>
      </c>
      <c r="CZ1318" s="18" t="str">
        <f ca="1"/>
        <v/>
      </c>
      <c r="DA1318" s="18" t="str">
        <f ca="1"/>
        <v/>
      </c>
      <c r="DC1318" s="10"/>
    </row>
    <row r="1319" spans="1:107" x14ac:dyDescent="0.25">
      <c r="A1319" s="46"/>
      <c r="B1319" s="52"/>
      <c r="C1319" s="52"/>
      <c r="D1319" s="16"/>
      <c r="E1319" s="52"/>
      <c r="F1319" s="52"/>
      <c r="G1319" s="50"/>
      <c r="H1319" s="17" t="str">
        <f ca="1">IFERROR(__xludf.DUMMYFUNCTION("""COMPUTED_VALUE"""),"")</f>
        <v/>
      </c>
      <c r="I1319" s="50" t="s">
        <v>29</v>
      </c>
      <c r="J1319" s="50" t="s">
        <v>29</v>
      </c>
      <c r="K1319" s="50" t="s">
        <v>29</v>
      </c>
      <c r="L1319" s="50" t="s">
        <v>29</v>
      </c>
      <c r="M1319" s="50" t="s">
        <v>29</v>
      </c>
      <c r="N1319" s="49"/>
      <c r="P1319" s="19"/>
      <c r="Q1319" s="18" t="str">
        <f ca="1">IFERROR(__xludf.DUMMYFUNCTION("""COMPUTED_VALUE"""),"")</f>
        <v/>
      </c>
      <c r="R1319" s="19"/>
      <c r="S1319" s="20"/>
      <c r="BP1319" s="10"/>
      <c r="BW1319" s="10"/>
      <c r="CF1319" s="10"/>
      <c r="CM1319" s="10"/>
      <c r="CP1319" s="18" t="str">
        <f ca="1"/>
        <v/>
      </c>
      <c r="CQ1319" s="18" t="str">
        <f ca="1"/>
        <v/>
      </c>
      <c r="CR1319" s="18" t="str">
        <f ca="1"/>
        <v/>
      </c>
      <c r="CS1319" s="18" t="str">
        <f ca="1"/>
        <v/>
      </c>
      <c r="CT1319" s="18" t="str">
        <f ca="1"/>
        <v/>
      </c>
      <c r="CV1319" s="10"/>
      <c r="CY1319" s="18" t="str">
        <f ca="1"/>
        <v/>
      </c>
      <c r="CZ1319" s="18" t="str">
        <f ca="1"/>
        <v/>
      </c>
      <c r="DA1319" s="18" t="str">
        <f ca="1"/>
        <v/>
      </c>
      <c r="DC1319" s="10"/>
    </row>
    <row r="1320" spans="1:107" x14ac:dyDescent="0.25">
      <c r="A1320" s="46"/>
      <c r="B1320" s="52"/>
      <c r="C1320" s="52"/>
      <c r="D1320" s="16"/>
      <c r="E1320" s="52"/>
      <c r="F1320" s="52"/>
      <c r="G1320" s="50"/>
      <c r="H1320" s="17" t="str">
        <f ca="1">IFERROR(__xludf.DUMMYFUNCTION("""COMPUTED_VALUE"""),"")</f>
        <v/>
      </c>
      <c r="I1320" s="50" t="s">
        <v>29</v>
      </c>
      <c r="J1320" s="50" t="s">
        <v>29</v>
      </c>
      <c r="K1320" s="50" t="s">
        <v>29</v>
      </c>
      <c r="L1320" s="50" t="s">
        <v>29</v>
      </c>
      <c r="M1320" s="50" t="s">
        <v>29</v>
      </c>
      <c r="N1320" s="49"/>
      <c r="P1320" s="19"/>
      <c r="Q1320" s="18" t="str">
        <f ca="1">IFERROR(__xludf.DUMMYFUNCTION("""COMPUTED_VALUE"""),"")</f>
        <v/>
      </c>
      <c r="R1320" s="19"/>
      <c r="S1320" s="20"/>
      <c r="BP1320" s="10"/>
      <c r="BW1320" s="10"/>
      <c r="CF1320" s="10"/>
      <c r="CM1320" s="10"/>
      <c r="CP1320" s="18" t="str">
        <f ca="1"/>
        <v/>
      </c>
      <c r="CQ1320" s="18" t="str">
        <f ca="1"/>
        <v/>
      </c>
      <c r="CR1320" s="18" t="str">
        <f ca="1"/>
        <v/>
      </c>
      <c r="CS1320" s="18" t="str">
        <f ca="1"/>
        <v/>
      </c>
      <c r="CT1320" s="18" t="str">
        <f ca="1"/>
        <v/>
      </c>
      <c r="CV1320" s="10"/>
      <c r="CY1320" s="18" t="str">
        <f ca="1"/>
        <v/>
      </c>
      <c r="CZ1320" s="18" t="str">
        <f ca="1"/>
        <v/>
      </c>
      <c r="DA1320" s="18" t="str">
        <f ca="1"/>
        <v/>
      </c>
      <c r="DC1320" s="10"/>
    </row>
    <row r="1321" spans="1:107" x14ac:dyDescent="0.25">
      <c r="A1321" s="46"/>
      <c r="B1321" s="52"/>
      <c r="C1321" s="52"/>
      <c r="D1321" s="16"/>
      <c r="E1321" s="52"/>
      <c r="F1321" s="52"/>
      <c r="G1321" s="50"/>
      <c r="H1321" s="17" t="str">
        <f ca="1">IFERROR(__xludf.DUMMYFUNCTION("""COMPUTED_VALUE"""),"")</f>
        <v/>
      </c>
      <c r="I1321" s="50" t="s">
        <v>29</v>
      </c>
      <c r="J1321" s="50" t="s">
        <v>29</v>
      </c>
      <c r="K1321" s="50" t="s">
        <v>29</v>
      </c>
      <c r="L1321" s="50" t="s">
        <v>29</v>
      </c>
      <c r="M1321" s="50" t="s">
        <v>29</v>
      </c>
      <c r="N1321" s="49"/>
      <c r="P1321" s="19"/>
      <c r="Q1321" s="18" t="str">
        <f ca="1">IFERROR(__xludf.DUMMYFUNCTION("""COMPUTED_VALUE"""),"")</f>
        <v/>
      </c>
      <c r="R1321" s="19"/>
      <c r="S1321" s="20"/>
      <c r="BP1321" s="10"/>
      <c r="BW1321" s="10"/>
      <c r="CF1321" s="10"/>
      <c r="CM1321" s="10"/>
      <c r="CP1321" s="18" t="str">
        <f ca="1"/>
        <v/>
      </c>
      <c r="CQ1321" s="18" t="str">
        <f ca="1"/>
        <v/>
      </c>
      <c r="CR1321" s="18" t="str">
        <f ca="1"/>
        <v/>
      </c>
      <c r="CS1321" s="18" t="str">
        <f ca="1"/>
        <v/>
      </c>
      <c r="CT1321" s="18" t="str">
        <f ca="1"/>
        <v/>
      </c>
      <c r="CV1321" s="10"/>
      <c r="CY1321" s="18" t="str">
        <f ca="1"/>
        <v/>
      </c>
      <c r="CZ1321" s="18" t="str">
        <f ca="1"/>
        <v/>
      </c>
      <c r="DA1321" s="18" t="str">
        <f ca="1"/>
        <v/>
      </c>
      <c r="DC1321" s="10"/>
    </row>
    <row r="1322" spans="1:107" x14ac:dyDescent="0.25">
      <c r="A1322" s="46"/>
      <c r="B1322" s="52"/>
      <c r="C1322" s="52"/>
      <c r="D1322" s="16"/>
      <c r="E1322" s="52"/>
      <c r="F1322" s="52"/>
      <c r="G1322" s="50"/>
      <c r="H1322" s="17" t="str">
        <f ca="1">IFERROR(__xludf.DUMMYFUNCTION("""COMPUTED_VALUE"""),"")</f>
        <v/>
      </c>
      <c r="I1322" s="50" t="s">
        <v>29</v>
      </c>
      <c r="J1322" s="50" t="s">
        <v>29</v>
      </c>
      <c r="K1322" s="50" t="s">
        <v>29</v>
      </c>
      <c r="L1322" s="50" t="s">
        <v>29</v>
      </c>
      <c r="M1322" s="50" t="s">
        <v>29</v>
      </c>
      <c r="N1322" s="49"/>
      <c r="P1322" s="19"/>
      <c r="Q1322" s="18" t="str">
        <f ca="1">IFERROR(__xludf.DUMMYFUNCTION("""COMPUTED_VALUE"""),"")</f>
        <v/>
      </c>
      <c r="R1322" s="19"/>
      <c r="S1322" s="20"/>
      <c r="BP1322" s="10"/>
      <c r="BW1322" s="10"/>
      <c r="CF1322" s="10"/>
      <c r="CM1322" s="10"/>
      <c r="CP1322" s="18" t="str">
        <f ca="1"/>
        <v/>
      </c>
      <c r="CQ1322" s="18" t="str">
        <f ca="1"/>
        <v/>
      </c>
      <c r="CR1322" s="18" t="str">
        <f ca="1"/>
        <v/>
      </c>
      <c r="CS1322" s="18" t="str">
        <f ca="1"/>
        <v/>
      </c>
      <c r="CT1322" s="18" t="str">
        <f ca="1"/>
        <v/>
      </c>
      <c r="CV1322" s="10"/>
      <c r="CY1322" s="18" t="str">
        <f ca="1"/>
        <v/>
      </c>
      <c r="CZ1322" s="18" t="str">
        <f ca="1"/>
        <v/>
      </c>
      <c r="DA1322" s="18" t="str">
        <f ca="1"/>
        <v/>
      </c>
      <c r="DC1322" s="10"/>
    </row>
    <row r="1323" spans="1:107" x14ac:dyDescent="0.25">
      <c r="A1323" s="46"/>
      <c r="B1323" s="52"/>
      <c r="C1323" s="52"/>
      <c r="D1323" s="16"/>
      <c r="E1323" s="52"/>
      <c r="F1323" s="52"/>
      <c r="G1323" s="50"/>
      <c r="H1323" s="17" t="str">
        <f ca="1">IFERROR(__xludf.DUMMYFUNCTION("""COMPUTED_VALUE"""),"")</f>
        <v/>
      </c>
      <c r="I1323" s="50" t="s">
        <v>29</v>
      </c>
      <c r="J1323" s="50" t="s">
        <v>29</v>
      </c>
      <c r="K1323" s="50" t="s">
        <v>29</v>
      </c>
      <c r="L1323" s="50" t="s">
        <v>29</v>
      </c>
      <c r="M1323" s="50" t="s">
        <v>29</v>
      </c>
      <c r="N1323" s="49"/>
      <c r="P1323" s="19"/>
      <c r="Q1323" s="18" t="str">
        <f ca="1">IFERROR(__xludf.DUMMYFUNCTION("""COMPUTED_VALUE"""),"")</f>
        <v/>
      </c>
      <c r="R1323" s="19"/>
      <c r="S1323" s="20"/>
      <c r="BP1323" s="10"/>
      <c r="BW1323" s="10"/>
      <c r="CF1323" s="10"/>
      <c r="CM1323" s="10"/>
      <c r="CP1323" s="18" t="str">
        <f ca="1"/>
        <v/>
      </c>
      <c r="CQ1323" s="18" t="str">
        <f ca="1"/>
        <v/>
      </c>
      <c r="CR1323" s="18" t="str">
        <f ca="1"/>
        <v/>
      </c>
      <c r="CS1323" s="18" t="str">
        <f ca="1"/>
        <v/>
      </c>
      <c r="CT1323" s="18" t="str">
        <f ca="1"/>
        <v/>
      </c>
      <c r="CV1323" s="10"/>
      <c r="CY1323" s="18" t="str">
        <f ca="1"/>
        <v/>
      </c>
      <c r="CZ1323" s="18" t="str">
        <f ca="1"/>
        <v/>
      </c>
      <c r="DA1323" s="18" t="str">
        <f ca="1"/>
        <v/>
      </c>
      <c r="DC1323" s="10"/>
    </row>
    <row r="1324" spans="1:107" x14ac:dyDescent="0.25">
      <c r="A1324" s="46"/>
      <c r="B1324" s="52"/>
      <c r="C1324" s="52"/>
      <c r="D1324" s="16"/>
      <c r="E1324" s="52"/>
      <c r="F1324" s="52"/>
      <c r="G1324" s="50"/>
      <c r="H1324" s="17" t="str">
        <f ca="1">IFERROR(__xludf.DUMMYFUNCTION("""COMPUTED_VALUE"""),"")</f>
        <v/>
      </c>
      <c r="I1324" s="50" t="s">
        <v>29</v>
      </c>
      <c r="J1324" s="50" t="s">
        <v>29</v>
      </c>
      <c r="K1324" s="50" t="s">
        <v>29</v>
      </c>
      <c r="L1324" s="50" t="s">
        <v>29</v>
      </c>
      <c r="M1324" s="50" t="s">
        <v>29</v>
      </c>
      <c r="N1324" s="49"/>
      <c r="P1324" s="19"/>
      <c r="Q1324" s="18" t="str">
        <f ca="1">IFERROR(__xludf.DUMMYFUNCTION("""COMPUTED_VALUE"""),"")</f>
        <v/>
      </c>
      <c r="R1324" s="19"/>
      <c r="S1324" s="20"/>
      <c r="BP1324" s="10"/>
      <c r="BW1324" s="10"/>
      <c r="CF1324" s="10"/>
      <c r="CM1324" s="10"/>
      <c r="CP1324" s="18" t="str">
        <f ca="1"/>
        <v/>
      </c>
      <c r="CQ1324" s="18" t="str">
        <f ca="1"/>
        <v/>
      </c>
      <c r="CR1324" s="18" t="str">
        <f ca="1"/>
        <v/>
      </c>
      <c r="CS1324" s="18" t="str">
        <f ca="1"/>
        <v/>
      </c>
      <c r="CT1324" s="18" t="str">
        <f ca="1"/>
        <v/>
      </c>
      <c r="CV1324" s="10"/>
      <c r="CY1324" s="18" t="str">
        <f ca="1"/>
        <v/>
      </c>
      <c r="CZ1324" s="18" t="str">
        <f ca="1"/>
        <v/>
      </c>
      <c r="DA1324" s="18" t="str">
        <f ca="1"/>
        <v/>
      </c>
      <c r="DC1324" s="10"/>
    </row>
    <row r="1325" spans="1:107" x14ac:dyDescent="0.25">
      <c r="A1325" s="46"/>
      <c r="B1325" s="52"/>
      <c r="C1325" s="52"/>
      <c r="D1325" s="16"/>
      <c r="E1325" s="52"/>
      <c r="F1325" s="52"/>
      <c r="G1325" s="50"/>
      <c r="H1325" s="17" t="str">
        <f ca="1">IFERROR(__xludf.DUMMYFUNCTION("""COMPUTED_VALUE"""),"")</f>
        <v/>
      </c>
      <c r="I1325" s="50" t="s">
        <v>29</v>
      </c>
      <c r="J1325" s="50" t="s">
        <v>29</v>
      </c>
      <c r="K1325" s="50" t="s">
        <v>29</v>
      </c>
      <c r="L1325" s="50" t="s">
        <v>29</v>
      </c>
      <c r="M1325" s="50" t="s">
        <v>29</v>
      </c>
      <c r="N1325" s="49"/>
      <c r="P1325" s="19"/>
      <c r="Q1325" s="18" t="str">
        <f ca="1">IFERROR(__xludf.DUMMYFUNCTION("""COMPUTED_VALUE"""),"")</f>
        <v/>
      </c>
      <c r="R1325" s="19"/>
      <c r="S1325" s="20"/>
      <c r="BP1325" s="10"/>
      <c r="BW1325" s="10"/>
      <c r="CF1325" s="10"/>
      <c r="CM1325" s="10"/>
      <c r="CP1325" s="18" t="str">
        <f ca="1"/>
        <v/>
      </c>
      <c r="CQ1325" s="18" t="str">
        <f ca="1"/>
        <v/>
      </c>
      <c r="CR1325" s="18" t="str">
        <f ca="1"/>
        <v/>
      </c>
      <c r="CS1325" s="18" t="str">
        <f ca="1"/>
        <v/>
      </c>
      <c r="CT1325" s="18" t="str">
        <f ca="1"/>
        <v/>
      </c>
      <c r="CV1325" s="10"/>
      <c r="CY1325" s="18" t="str">
        <f ca="1"/>
        <v/>
      </c>
      <c r="CZ1325" s="18" t="str">
        <f ca="1"/>
        <v/>
      </c>
      <c r="DA1325" s="18" t="str">
        <f ca="1"/>
        <v/>
      </c>
      <c r="DC1325" s="10"/>
    </row>
    <row r="1326" spans="1:107" x14ac:dyDescent="0.25">
      <c r="A1326" s="46"/>
      <c r="B1326" s="52"/>
      <c r="C1326" s="52"/>
      <c r="D1326" s="16"/>
      <c r="E1326" s="52"/>
      <c r="F1326" s="52"/>
      <c r="G1326" s="50"/>
      <c r="H1326" s="17" t="str">
        <f ca="1">IFERROR(__xludf.DUMMYFUNCTION("""COMPUTED_VALUE"""),"")</f>
        <v/>
      </c>
      <c r="I1326" s="50" t="s">
        <v>29</v>
      </c>
      <c r="J1326" s="50" t="s">
        <v>29</v>
      </c>
      <c r="K1326" s="50" t="s">
        <v>29</v>
      </c>
      <c r="L1326" s="50" t="s">
        <v>29</v>
      </c>
      <c r="M1326" s="50" t="s">
        <v>29</v>
      </c>
      <c r="N1326" s="49"/>
      <c r="P1326" s="19"/>
      <c r="Q1326" s="18" t="str">
        <f ca="1">IFERROR(__xludf.DUMMYFUNCTION("""COMPUTED_VALUE"""),"")</f>
        <v/>
      </c>
      <c r="R1326" s="19"/>
      <c r="S1326" s="20"/>
      <c r="BP1326" s="10"/>
      <c r="BW1326" s="10"/>
      <c r="CF1326" s="10"/>
      <c r="CM1326" s="10"/>
      <c r="CP1326" s="18" t="str">
        <f ca="1"/>
        <v/>
      </c>
      <c r="CQ1326" s="18" t="str">
        <f ca="1"/>
        <v/>
      </c>
      <c r="CR1326" s="18" t="str">
        <f ca="1"/>
        <v/>
      </c>
      <c r="CS1326" s="18" t="str">
        <f ca="1"/>
        <v/>
      </c>
      <c r="CT1326" s="18" t="str">
        <f ca="1"/>
        <v/>
      </c>
      <c r="CV1326" s="10"/>
      <c r="CY1326" s="18" t="str">
        <f ca="1"/>
        <v/>
      </c>
      <c r="CZ1326" s="18" t="str">
        <f ca="1"/>
        <v/>
      </c>
      <c r="DA1326" s="18" t="str">
        <f ca="1"/>
        <v/>
      </c>
      <c r="DC1326" s="10"/>
    </row>
    <row r="1327" spans="1:107" x14ac:dyDescent="0.25">
      <c r="A1327" s="46"/>
      <c r="B1327" s="52"/>
      <c r="C1327" s="52"/>
      <c r="D1327" s="16"/>
      <c r="E1327" s="52"/>
      <c r="F1327" s="52"/>
      <c r="G1327" s="50"/>
      <c r="H1327" s="17" t="str">
        <f ca="1">IFERROR(__xludf.DUMMYFUNCTION("""COMPUTED_VALUE"""),"")</f>
        <v/>
      </c>
      <c r="I1327" s="50" t="s">
        <v>29</v>
      </c>
      <c r="J1327" s="50" t="s">
        <v>29</v>
      </c>
      <c r="K1327" s="50" t="s">
        <v>29</v>
      </c>
      <c r="L1327" s="50" t="s">
        <v>29</v>
      </c>
      <c r="M1327" s="50" t="s">
        <v>29</v>
      </c>
      <c r="N1327" s="49"/>
      <c r="P1327" s="19"/>
      <c r="Q1327" s="18" t="str">
        <f ca="1">IFERROR(__xludf.DUMMYFUNCTION("""COMPUTED_VALUE"""),"")</f>
        <v/>
      </c>
      <c r="R1327" s="19"/>
      <c r="S1327" s="20"/>
      <c r="BP1327" s="10"/>
      <c r="BW1327" s="10"/>
      <c r="CF1327" s="10"/>
      <c r="CM1327" s="10"/>
      <c r="CP1327" s="18" t="str">
        <f ca="1"/>
        <v/>
      </c>
      <c r="CQ1327" s="18" t="str">
        <f ca="1"/>
        <v/>
      </c>
      <c r="CR1327" s="18" t="str">
        <f ca="1"/>
        <v/>
      </c>
      <c r="CS1327" s="18" t="str">
        <f ca="1"/>
        <v/>
      </c>
      <c r="CT1327" s="18" t="str">
        <f ca="1"/>
        <v/>
      </c>
      <c r="CV1327" s="10"/>
      <c r="CY1327" s="18" t="str">
        <f ca="1"/>
        <v/>
      </c>
      <c r="CZ1327" s="18" t="str">
        <f ca="1"/>
        <v/>
      </c>
      <c r="DA1327" s="18" t="str">
        <f ca="1"/>
        <v/>
      </c>
      <c r="DC1327" s="10"/>
    </row>
    <row r="1328" spans="1:107" x14ac:dyDescent="0.25">
      <c r="A1328" s="46"/>
      <c r="B1328" s="52"/>
      <c r="C1328" s="52"/>
      <c r="D1328" s="16"/>
      <c r="E1328" s="52"/>
      <c r="F1328" s="52"/>
      <c r="G1328" s="50"/>
      <c r="H1328" s="17" t="str">
        <f ca="1">IFERROR(__xludf.DUMMYFUNCTION("""COMPUTED_VALUE"""),"")</f>
        <v/>
      </c>
      <c r="I1328" s="50" t="s">
        <v>29</v>
      </c>
      <c r="J1328" s="50" t="s">
        <v>29</v>
      </c>
      <c r="K1328" s="50" t="s">
        <v>29</v>
      </c>
      <c r="L1328" s="50" t="s">
        <v>29</v>
      </c>
      <c r="M1328" s="50" t="s">
        <v>29</v>
      </c>
      <c r="N1328" s="49"/>
      <c r="P1328" s="19"/>
      <c r="Q1328" s="18" t="str">
        <f ca="1">IFERROR(__xludf.DUMMYFUNCTION("""COMPUTED_VALUE"""),"")</f>
        <v/>
      </c>
      <c r="R1328" s="19"/>
      <c r="S1328" s="20"/>
      <c r="BP1328" s="10"/>
      <c r="BW1328" s="10"/>
      <c r="CF1328" s="10"/>
      <c r="CM1328" s="10"/>
      <c r="CP1328" s="18" t="str">
        <f ca="1"/>
        <v/>
      </c>
      <c r="CQ1328" s="18" t="str">
        <f ca="1"/>
        <v/>
      </c>
      <c r="CR1328" s="18" t="str">
        <f ca="1"/>
        <v/>
      </c>
      <c r="CS1328" s="18" t="str">
        <f ca="1"/>
        <v/>
      </c>
      <c r="CT1328" s="18" t="str">
        <f ca="1"/>
        <v/>
      </c>
      <c r="CV1328" s="10"/>
      <c r="CY1328" s="18" t="str">
        <f ca="1"/>
        <v/>
      </c>
      <c r="CZ1328" s="18" t="str">
        <f ca="1"/>
        <v/>
      </c>
      <c r="DA1328" s="18" t="str">
        <f ca="1"/>
        <v/>
      </c>
      <c r="DC1328" s="10"/>
    </row>
    <row r="1329" spans="1:107" x14ac:dyDescent="0.25">
      <c r="A1329" s="46"/>
      <c r="B1329" s="52"/>
      <c r="C1329" s="52"/>
      <c r="D1329" s="16"/>
      <c r="E1329" s="52"/>
      <c r="F1329" s="52"/>
      <c r="G1329" s="50"/>
      <c r="H1329" s="17" t="str">
        <f ca="1">IFERROR(__xludf.DUMMYFUNCTION("""COMPUTED_VALUE"""),"")</f>
        <v/>
      </c>
      <c r="I1329" s="50" t="s">
        <v>29</v>
      </c>
      <c r="J1329" s="50" t="s">
        <v>29</v>
      </c>
      <c r="K1329" s="50" t="s">
        <v>29</v>
      </c>
      <c r="L1329" s="50" t="s">
        <v>29</v>
      </c>
      <c r="M1329" s="50" t="s">
        <v>29</v>
      </c>
      <c r="N1329" s="49"/>
      <c r="P1329" s="19"/>
      <c r="Q1329" s="18" t="str">
        <f ca="1">IFERROR(__xludf.DUMMYFUNCTION("""COMPUTED_VALUE"""),"")</f>
        <v/>
      </c>
      <c r="R1329" s="19"/>
      <c r="S1329" s="20"/>
      <c r="BP1329" s="10"/>
      <c r="BW1329" s="10"/>
      <c r="CF1329" s="10"/>
      <c r="CM1329" s="10"/>
      <c r="CP1329" s="18" t="str">
        <f ca="1"/>
        <v/>
      </c>
      <c r="CQ1329" s="18" t="str">
        <f ca="1"/>
        <v/>
      </c>
      <c r="CR1329" s="18" t="str">
        <f ca="1"/>
        <v/>
      </c>
      <c r="CS1329" s="18" t="str">
        <f ca="1"/>
        <v/>
      </c>
      <c r="CT1329" s="18" t="str">
        <f ca="1"/>
        <v/>
      </c>
      <c r="CV1329" s="10"/>
      <c r="CY1329" s="18" t="str">
        <f ca="1"/>
        <v/>
      </c>
      <c r="CZ1329" s="18" t="str">
        <f ca="1"/>
        <v/>
      </c>
      <c r="DA1329" s="18" t="str">
        <f ca="1"/>
        <v/>
      </c>
      <c r="DC1329" s="10"/>
    </row>
    <row r="1330" spans="1:107" x14ac:dyDescent="0.25">
      <c r="A1330" s="46"/>
      <c r="B1330" s="52"/>
      <c r="C1330" s="52"/>
      <c r="D1330" s="16"/>
      <c r="E1330" s="52"/>
      <c r="F1330" s="52"/>
      <c r="G1330" s="50"/>
      <c r="H1330" s="17" t="str">
        <f ca="1">IFERROR(__xludf.DUMMYFUNCTION("""COMPUTED_VALUE"""),"")</f>
        <v/>
      </c>
      <c r="I1330" s="50" t="s">
        <v>29</v>
      </c>
      <c r="J1330" s="50" t="s">
        <v>29</v>
      </c>
      <c r="K1330" s="50" t="s">
        <v>29</v>
      </c>
      <c r="L1330" s="50" t="s">
        <v>29</v>
      </c>
      <c r="M1330" s="50" t="s">
        <v>29</v>
      </c>
      <c r="N1330" s="49"/>
      <c r="P1330" s="19"/>
      <c r="Q1330" s="18" t="str">
        <f ca="1">IFERROR(__xludf.DUMMYFUNCTION("""COMPUTED_VALUE"""),"")</f>
        <v/>
      </c>
      <c r="R1330" s="19"/>
      <c r="S1330" s="20"/>
      <c r="BP1330" s="10"/>
      <c r="BW1330" s="10"/>
      <c r="CF1330" s="10"/>
      <c r="CM1330" s="10"/>
      <c r="CP1330" s="18" t="str">
        <f ca="1"/>
        <v/>
      </c>
      <c r="CQ1330" s="18" t="str">
        <f ca="1"/>
        <v/>
      </c>
      <c r="CR1330" s="18" t="str">
        <f ca="1"/>
        <v/>
      </c>
      <c r="CS1330" s="18" t="str">
        <f ca="1"/>
        <v/>
      </c>
      <c r="CT1330" s="18" t="str">
        <f ca="1"/>
        <v/>
      </c>
      <c r="CV1330" s="10"/>
      <c r="CY1330" s="18" t="str">
        <f ca="1"/>
        <v/>
      </c>
      <c r="CZ1330" s="18" t="str">
        <f ca="1"/>
        <v/>
      </c>
      <c r="DA1330" s="18" t="str">
        <f ca="1"/>
        <v/>
      </c>
      <c r="DC1330" s="10"/>
    </row>
    <row r="1331" spans="1:107" x14ac:dyDescent="0.25">
      <c r="A1331" s="46"/>
      <c r="B1331" s="52"/>
      <c r="C1331" s="52"/>
      <c r="D1331" s="16"/>
      <c r="E1331" s="52"/>
      <c r="F1331" s="52"/>
      <c r="G1331" s="50"/>
      <c r="H1331" s="17" t="str">
        <f ca="1">IFERROR(__xludf.DUMMYFUNCTION("""COMPUTED_VALUE"""),"")</f>
        <v/>
      </c>
      <c r="I1331" s="50" t="s">
        <v>29</v>
      </c>
      <c r="J1331" s="50" t="s">
        <v>29</v>
      </c>
      <c r="K1331" s="50" t="s">
        <v>29</v>
      </c>
      <c r="L1331" s="50" t="s">
        <v>29</v>
      </c>
      <c r="M1331" s="50" t="s">
        <v>29</v>
      </c>
      <c r="N1331" s="49"/>
      <c r="P1331" s="19"/>
      <c r="Q1331" s="18" t="str">
        <f ca="1">IFERROR(__xludf.DUMMYFUNCTION("""COMPUTED_VALUE"""),"")</f>
        <v/>
      </c>
      <c r="R1331" s="19"/>
      <c r="S1331" s="20"/>
      <c r="BP1331" s="10"/>
      <c r="BW1331" s="10"/>
      <c r="CF1331" s="10"/>
      <c r="CM1331" s="10"/>
      <c r="CP1331" s="18" t="str">
        <f ca="1"/>
        <v/>
      </c>
      <c r="CQ1331" s="18" t="str">
        <f ca="1"/>
        <v/>
      </c>
      <c r="CR1331" s="18" t="str">
        <f ca="1"/>
        <v/>
      </c>
      <c r="CS1331" s="18" t="str">
        <f ca="1"/>
        <v/>
      </c>
      <c r="CT1331" s="18" t="str">
        <f ca="1"/>
        <v/>
      </c>
      <c r="CV1331" s="10"/>
      <c r="CY1331" s="18" t="str">
        <f ca="1"/>
        <v/>
      </c>
      <c r="CZ1331" s="18" t="str">
        <f ca="1"/>
        <v/>
      </c>
      <c r="DA1331" s="18" t="str">
        <f ca="1"/>
        <v/>
      </c>
      <c r="DC1331" s="10"/>
    </row>
    <row r="1332" spans="1:107" x14ac:dyDescent="0.25">
      <c r="A1332" s="46"/>
      <c r="B1332" s="52"/>
      <c r="C1332" s="52"/>
      <c r="D1332" s="16"/>
      <c r="E1332" s="52"/>
      <c r="F1332" s="52"/>
      <c r="G1332" s="50"/>
      <c r="H1332" s="17" t="str">
        <f ca="1">IFERROR(__xludf.DUMMYFUNCTION("""COMPUTED_VALUE"""),"")</f>
        <v/>
      </c>
      <c r="I1332" s="50" t="s">
        <v>29</v>
      </c>
      <c r="J1332" s="50" t="s">
        <v>29</v>
      </c>
      <c r="K1332" s="50" t="s">
        <v>29</v>
      </c>
      <c r="L1332" s="50" t="s">
        <v>29</v>
      </c>
      <c r="M1332" s="50" t="s">
        <v>29</v>
      </c>
      <c r="N1332" s="49"/>
      <c r="P1332" s="19"/>
      <c r="Q1332" s="18" t="str">
        <f ca="1">IFERROR(__xludf.DUMMYFUNCTION("""COMPUTED_VALUE"""),"")</f>
        <v/>
      </c>
      <c r="R1332" s="19"/>
      <c r="S1332" s="20"/>
      <c r="BP1332" s="10"/>
      <c r="BW1332" s="10"/>
      <c r="CF1332" s="10"/>
      <c r="CM1332" s="10"/>
      <c r="CP1332" s="18" t="str">
        <f ca="1"/>
        <v/>
      </c>
      <c r="CQ1332" s="18" t="str">
        <f ca="1"/>
        <v/>
      </c>
      <c r="CR1332" s="18" t="str">
        <f ca="1"/>
        <v/>
      </c>
      <c r="CS1332" s="18" t="str">
        <f ca="1"/>
        <v/>
      </c>
      <c r="CT1332" s="18" t="str">
        <f ca="1"/>
        <v/>
      </c>
      <c r="CV1332" s="10"/>
      <c r="CY1332" s="18" t="str">
        <f ca="1"/>
        <v/>
      </c>
      <c r="CZ1332" s="18" t="str">
        <f ca="1"/>
        <v/>
      </c>
      <c r="DA1332" s="18" t="str">
        <f ca="1"/>
        <v/>
      </c>
      <c r="DC1332" s="10"/>
    </row>
    <row r="1333" spans="1:107" x14ac:dyDescent="0.25">
      <c r="A1333" s="46"/>
      <c r="B1333" s="52"/>
      <c r="C1333" s="52"/>
      <c r="D1333" s="16"/>
      <c r="E1333" s="52"/>
      <c r="F1333" s="52"/>
      <c r="G1333" s="50"/>
      <c r="H1333" s="17" t="str">
        <f ca="1">IFERROR(__xludf.DUMMYFUNCTION("""COMPUTED_VALUE"""),"")</f>
        <v/>
      </c>
      <c r="I1333" s="50" t="s">
        <v>29</v>
      </c>
      <c r="J1333" s="50" t="s">
        <v>29</v>
      </c>
      <c r="K1333" s="50" t="s">
        <v>29</v>
      </c>
      <c r="L1333" s="50" t="s">
        <v>29</v>
      </c>
      <c r="M1333" s="50" t="s">
        <v>29</v>
      </c>
      <c r="N1333" s="49"/>
      <c r="P1333" s="19"/>
      <c r="Q1333" s="18" t="str">
        <f ca="1">IFERROR(__xludf.DUMMYFUNCTION("""COMPUTED_VALUE"""),"")</f>
        <v/>
      </c>
      <c r="R1333" s="19"/>
      <c r="S1333" s="20"/>
      <c r="BP1333" s="10"/>
      <c r="BW1333" s="10"/>
      <c r="CF1333" s="10"/>
      <c r="CM1333" s="10"/>
      <c r="CP1333" s="18" t="str">
        <f ca="1"/>
        <v/>
      </c>
      <c r="CQ1333" s="18" t="str">
        <f ca="1"/>
        <v/>
      </c>
      <c r="CR1333" s="18" t="str">
        <f ca="1"/>
        <v/>
      </c>
      <c r="CS1333" s="18" t="str">
        <f ca="1"/>
        <v/>
      </c>
      <c r="CT1333" s="18" t="str">
        <f ca="1"/>
        <v/>
      </c>
      <c r="CV1333" s="10"/>
      <c r="CY1333" s="18" t="str">
        <f ca="1"/>
        <v/>
      </c>
      <c r="CZ1333" s="18" t="str">
        <f ca="1"/>
        <v/>
      </c>
      <c r="DA1333" s="18" t="str">
        <f ca="1"/>
        <v/>
      </c>
      <c r="DC1333" s="10"/>
    </row>
    <row r="1334" spans="1:107" x14ac:dyDescent="0.25">
      <c r="A1334" s="46"/>
      <c r="B1334" s="52"/>
      <c r="C1334" s="52"/>
      <c r="D1334" s="16"/>
      <c r="E1334" s="52"/>
      <c r="F1334" s="52"/>
      <c r="G1334" s="50"/>
      <c r="H1334" s="17" t="str">
        <f ca="1">IFERROR(__xludf.DUMMYFUNCTION("""COMPUTED_VALUE"""),"")</f>
        <v/>
      </c>
      <c r="I1334" s="50" t="s">
        <v>29</v>
      </c>
      <c r="J1334" s="50" t="s">
        <v>29</v>
      </c>
      <c r="K1334" s="50" t="s">
        <v>29</v>
      </c>
      <c r="L1334" s="50" t="s">
        <v>29</v>
      </c>
      <c r="M1334" s="50" t="s">
        <v>29</v>
      </c>
      <c r="N1334" s="49"/>
      <c r="P1334" s="19"/>
      <c r="Q1334" s="18" t="str">
        <f ca="1">IFERROR(__xludf.DUMMYFUNCTION("""COMPUTED_VALUE"""),"")</f>
        <v/>
      </c>
      <c r="R1334" s="19"/>
      <c r="S1334" s="20"/>
      <c r="BP1334" s="10"/>
      <c r="BW1334" s="10"/>
      <c r="CF1334" s="10"/>
      <c r="CM1334" s="10"/>
      <c r="CP1334" s="18" t="str">
        <f ca="1"/>
        <v/>
      </c>
      <c r="CQ1334" s="18" t="str">
        <f ca="1"/>
        <v/>
      </c>
      <c r="CR1334" s="18" t="str">
        <f ca="1"/>
        <v/>
      </c>
      <c r="CS1334" s="18" t="str">
        <f ca="1"/>
        <v/>
      </c>
      <c r="CT1334" s="18" t="str">
        <f ca="1"/>
        <v/>
      </c>
      <c r="CV1334" s="10"/>
      <c r="CY1334" s="18" t="str">
        <f ca="1"/>
        <v/>
      </c>
      <c r="CZ1334" s="18" t="str">
        <f ca="1"/>
        <v/>
      </c>
      <c r="DA1334" s="18" t="str">
        <f ca="1"/>
        <v/>
      </c>
      <c r="DC1334" s="10"/>
    </row>
    <row r="1335" spans="1:107" x14ac:dyDescent="0.25">
      <c r="A1335" s="46"/>
      <c r="B1335" s="52"/>
      <c r="C1335" s="52"/>
      <c r="D1335" s="16"/>
      <c r="E1335" s="52"/>
      <c r="F1335" s="52"/>
      <c r="G1335" s="50"/>
      <c r="H1335" s="17" t="str">
        <f ca="1">IFERROR(__xludf.DUMMYFUNCTION("""COMPUTED_VALUE"""),"")</f>
        <v/>
      </c>
      <c r="I1335" s="50" t="s">
        <v>29</v>
      </c>
      <c r="J1335" s="50" t="s">
        <v>29</v>
      </c>
      <c r="K1335" s="50" t="s">
        <v>29</v>
      </c>
      <c r="L1335" s="50" t="s">
        <v>29</v>
      </c>
      <c r="M1335" s="50" t="s">
        <v>29</v>
      </c>
      <c r="N1335" s="49"/>
      <c r="P1335" s="19"/>
      <c r="Q1335" s="18" t="str">
        <f ca="1">IFERROR(__xludf.DUMMYFUNCTION("""COMPUTED_VALUE"""),"")</f>
        <v/>
      </c>
      <c r="R1335" s="19"/>
      <c r="S1335" s="20"/>
      <c r="BP1335" s="10"/>
      <c r="BW1335" s="10"/>
      <c r="CF1335" s="10"/>
      <c r="CM1335" s="10"/>
      <c r="CP1335" s="18" t="str">
        <f ca="1"/>
        <v/>
      </c>
      <c r="CQ1335" s="18" t="str">
        <f ca="1"/>
        <v/>
      </c>
      <c r="CR1335" s="18" t="str">
        <f ca="1"/>
        <v/>
      </c>
      <c r="CS1335" s="18" t="str">
        <f ca="1"/>
        <v/>
      </c>
      <c r="CT1335" s="18" t="str">
        <f ca="1"/>
        <v/>
      </c>
      <c r="CV1335" s="10"/>
      <c r="CY1335" s="18" t="str">
        <f ca="1"/>
        <v/>
      </c>
      <c r="CZ1335" s="18" t="str">
        <f ca="1"/>
        <v/>
      </c>
      <c r="DA1335" s="18" t="str">
        <f ca="1"/>
        <v/>
      </c>
      <c r="DC1335" s="10"/>
    </row>
    <row r="1336" spans="1:107" x14ac:dyDescent="0.25">
      <c r="A1336" s="46"/>
      <c r="B1336" s="52"/>
      <c r="C1336" s="52"/>
      <c r="D1336" s="16"/>
      <c r="E1336" s="52"/>
      <c r="F1336" s="52"/>
      <c r="G1336" s="50"/>
      <c r="H1336" s="17" t="str">
        <f ca="1">IFERROR(__xludf.DUMMYFUNCTION("""COMPUTED_VALUE"""),"")</f>
        <v/>
      </c>
      <c r="I1336" s="50" t="s">
        <v>29</v>
      </c>
      <c r="J1336" s="50" t="s">
        <v>29</v>
      </c>
      <c r="K1336" s="50" t="s">
        <v>29</v>
      </c>
      <c r="L1336" s="50" t="s">
        <v>29</v>
      </c>
      <c r="M1336" s="50" t="s">
        <v>29</v>
      </c>
      <c r="N1336" s="49"/>
      <c r="P1336" s="19"/>
      <c r="Q1336" s="18" t="str">
        <f ca="1">IFERROR(__xludf.DUMMYFUNCTION("""COMPUTED_VALUE"""),"")</f>
        <v/>
      </c>
      <c r="R1336" s="19"/>
      <c r="S1336" s="20"/>
      <c r="BP1336" s="10"/>
      <c r="BW1336" s="10"/>
      <c r="CF1336" s="10"/>
      <c r="CM1336" s="10"/>
      <c r="CP1336" s="18" t="str">
        <f ca="1"/>
        <v/>
      </c>
      <c r="CQ1336" s="18" t="str">
        <f ca="1"/>
        <v/>
      </c>
      <c r="CR1336" s="18" t="str">
        <f ca="1"/>
        <v/>
      </c>
      <c r="CS1336" s="18" t="str">
        <f ca="1"/>
        <v/>
      </c>
      <c r="CT1336" s="18" t="str">
        <f ca="1"/>
        <v/>
      </c>
      <c r="CV1336" s="10"/>
      <c r="CY1336" s="18" t="str">
        <f ca="1"/>
        <v/>
      </c>
      <c r="CZ1336" s="18" t="str">
        <f ca="1"/>
        <v/>
      </c>
      <c r="DA1336" s="18" t="str">
        <f ca="1"/>
        <v/>
      </c>
      <c r="DC1336" s="10"/>
    </row>
    <row r="1337" spans="1:107" x14ac:dyDescent="0.25">
      <c r="A1337" s="46"/>
      <c r="B1337" s="52"/>
      <c r="C1337" s="52"/>
      <c r="D1337" s="16"/>
      <c r="E1337" s="52"/>
      <c r="F1337" s="52"/>
      <c r="G1337" s="50"/>
      <c r="H1337" s="17" t="str">
        <f ca="1">IFERROR(__xludf.DUMMYFUNCTION("""COMPUTED_VALUE"""),"")</f>
        <v/>
      </c>
      <c r="I1337" s="50" t="s">
        <v>29</v>
      </c>
      <c r="J1337" s="50" t="s">
        <v>29</v>
      </c>
      <c r="K1337" s="50" t="s">
        <v>29</v>
      </c>
      <c r="L1337" s="50" t="s">
        <v>29</v>
      </c>
      <c r="M1337" s="50" t="s">
        <v>29</v>
      </c>
      <c r="N1337" s="49"/>
      <c r="P1337" s="19"/>
      <c r="Q1337" s="18" t="str">
        <f ca="1">IFERROR(__xludf.DUMMYFUNCTION("""COMPUTED_VALUE"""),"")</f>
        <v/>
      </c>
      <c r="R1337" s="19"/>
      <c r="S1337" s="20"/>
      <c r="BP1337" s="10"/>
      <c r="BW1337" s="10"/>
      <c r="CF1337" s="10"/>
      <c r="CM1337" s="10"/>
      <c r="CP1337" s="18" t="str">
        <f ca="1"/>
        <v/>
      </c>
      <c r="CQ1337" s="18" t="str">
        <f ca="1"/>
        <v/>
      </c>
      <c r="CR1337" s="18" t="str">
        <f ca="1"/>
        <v/>
      </c>
      <c r="CS1337" s="18" t="str">
        <f ca="1"/>
        <v/>
      </c>
      <c r="CT1337" s="18" t="str">
        <f ca="1"/>
        <v/>
      </c>
      <c r="CV1337" s="10"/>
      <c r="CY1337" s="18" t="str">
        <f ca="1"/>
        <v/>
      </c>
      <c r="CZ1337" s="18" t="str">
        <f ca="1"/>
        <v/>
      </c>
      <c r="DA1337" s="18" t="str">
        <f ca="1"/>
        <v/>
      </c>
      <c r="DC1337" s="10"/>
    </row>
    <row r="1338" spans="1:107" x14ac:dyDescent="0.25">
      <c r="A1338" s="46"/>
      <c r="B1338" s="52"/>
      <c r="C1338" s="52"/>
      <c r="D1338" s="16"/>
      <c r="E1338" s="52"/>
      <c r="F1338" s="52"/>
      <c r="G1338" s="50"/>
      <c r="H1338" s="17" t="str">
        <f ca="1">IFERROR(__xludf.DUMMYFUNCTION("""COMPUTED_VALUE"""),"")</f>
        <v/>
      </c>
      <c r="I1338" s="50" t="s">
        <v>29</v>
      </c>
      <c r="J1338" s="50" t="s">
        <v>29</v>
      </c>
      <c r="K1338" s="50" t="s">
        <v>29</v>
      </c>
      <c r="L1338" s="50" t="s">
        <v>29</v>
      </c>
      <c r="M1338" s="50" t="s">
        <v>29</v>
      </c>
      <c r="N1338" s="49"/>
      <c r="P1338" s="19"/>
      <c r="Q1338" s="18" t="str">
        <f ca="1">IFERROR(__xludf.DUMMYFUNCTION("""COMPUTED_VALUE"""),"")</f>
        <v/>
      </c>
      <c r="R1338" s="19"/>
      <c r="S1338" s="20"/>
      <c r="BP1338" s="10"/>
      <c r="BW1338" s="10"/>
      <c r="CF1338" s="10"/>
      <c r="CM1338" s="10"/>
      <c r="CP1338" s="18" t="str">
        <f ca="1"/>
        <v/>
      </c>
      <c r="CQ1338" s="18" t="str">
        <f ca="1"/>
        <v/>
      </c>
      <c r="CR1338" s="18" t="str">
        <f ca="1"/>
        <v/>
      </c>
      <c r="CS1338" s="18" t="str">
        <f ca="1"/>
        <v/>
      </c>
      <c r="CT1338" s="18" t="str">
        <f ca="1"/>
        <v/>
      </c>
      <c r="CV1338" s="10"/>
      <c r="CY1338" s="18" t="str">
        <f ca="1"/>
        <v/>
      </c>
      <c r="CZ1338" s="18" t="str">
        <f ca="1"/>
        <v/>
      </c>
      <c r="DA1338" s="18" t="str">
        <f ca="1"/>
        <v/>
      </c>
      <c r="DC1338" s="10"/>
    </row>
    <row r="1339" spans="1:107" x14ac:dyDescent="0.25">
      <c r="A1339" s="46"/>
      <c r="B1339" s="52"/>
      <c r="C1339" s="52"/>
      <c r="D1339" s="16"/>
      <c r="E1339" s="52"/>
      <c r="F1339" s="52"/>
      <c r="G1339" s="50"/>
      <c r="H1339" s="17" t="str">
        <f ca="1">IFERROR(__xludf.DUMMYFUNCTION("""COMPUTED_VALUE"""),"")</f>
        <v/>
      </c>
      <c r="I1339" s="50" t="s">
        <v>29</v>
      </c>
      <c r="J1339" s="50" t="s">
        <v>29</v>
      </c>
      <c r="K1339" s="50" t="s">
        <v>29</v>
      </c>
      <c r="L1339" s="50" t="s">
        <v>29</v>
      </c>
      <c r="M1339" s="50" t="s">
        <v>29</v>
      </c>
      <c r="N1339" s="49"/>
      <c r="P1339" s="19"/>
      <c r="Q1339" s="18" t="str">
        <f ca="1">IFERROR(__xludf.DUMMYFUNCTION("""COMPUTED_VALUE"""),"")</f>
        <v/>
      </c>
      <c r="R1339" s="19"/>
      <c r="S1339" s="20"/>
      <c r="BP1339" s="10"/>
      <c r="BW1339" s="10"/>
      <c r="CF1339" s="10"/>
      <c r="CM1339" s="10"/>
      <c r="CP1339" s="18" t="str">
        <f ca="1"/>
        <v/>
      </c>
      <c r="CQ1339" s="18" t="str">
        <f ca="1"/>
        <v/>
      </c>
      <c r="CR1339" s="18" t="str">
        <f ca="1"/>
        <v/>
      </c>
      <c r="CS1339" s="18" t="str">
        <f ca="1"/>
        <v/>
      </c>
      <c r="CT1339" s="18" t="str">
        <f ca="1"/>
        <v/>
      </c>
      <c r="CV1339" s="10"/>
      <c r="CY1339" s="18" t="str">
        <f ca="1"/>
        <v/>
      </c>
      <c r="CZ1339" s="18" t="str">
        <f ca="1"/>
        <v/>
      </c>
      <c r="DA1339" s="18" t="str">
        <f ca="1"/>
        <v/>
      </c>
      <c r="DC1339" s="10"/>
    </row>
    <row r="1340" spans="1:107" x14ac:dyDescent="0.25">
      <c r="A1340" s="46"/>
      <c r="B1340" s="52"/>
      <c r="C1340" s="52"/>
      <c r="D1340" s="16"/>
      <c r="E1340" s="52"/>
      <c r="F1340" s="52"/>
      <c r="G1340" s="50"/>
      <c r="H1340" s="17" t="str">
        <f ca="1">IFERROR(__xludf.DUMMYFUNCTION("""COMPUTED_VALUE"""),"")</f>
        <v/>
      </c>
      <c r="I1340" s="50" t="s">
        <v>29</v>
      </c>
      <c r="J1340" s="50" t="s">
        <v>29</v>
      </c>
      <c r="K1340" s="50" t="s">
        <v>29</v>
      </c>
      <c r="L1340" s="50" t="s">
        <v>29</v>
      </c>
      <c r="M1340" s="50" t="s">
        <v>29</v>
      </c>
      <c r="N1340" s="49"/>
      <c r="P1340" s="19"/>
      <c r="Q1340" s="18" t="str">
        <f ca="1">IFERROR(__xludf.DUMMYFUNCTION("""COMPUTED_VALUE"""),"")</f>
        <v/>
      </c>
      <c r="R1340" s="19"/>
      <c r="S1340" s="20"/>
      <c r="BP1340" s="10"/>
      <c r="BW1340" s="10"/>
      <c r="CF1340" s="10"/>
      <c r="CM1340" s="10"/>
      <c r="CP1340" s="18" t="str">
        <f ca="1"/>
        <v/>
      </c>
      <c r="CQ1340" s="18" t="str">
        <f ca="1"/>
        <v/>
      </c>
      <c r="CR1340" s="18" t="str">
        <f ca="1"/>
        <v/>
      </c>
      <c r="CS1340" s="18" t="str">
        <f ca="1"/>
        <v/>
      </c>
      <c r="CT1340" s="18" t="str">
        <f ca="1"/>
        <v/>
      </c>
      <c r="CV1340" s="10"/>
      <c r="CY1340" s="18" t="str">
        <f ca="1"/>
        <v/>
      </c>
      <c r="CZ1340" s="18" t="str">
        <f ca="1"/>
        <v/>
      </c>
      <c r="DA1340" s="18" t="str">
        <f ca="1"/>
        <v/>
      </c>
      <c r="DC1340" s="10"/>
    </row>
    <row r="1341" spans="1:107" x14ac:dyDescent="0.25">
      <c r="A1341" s="46"/>
      <c r="B1341" s="52"/>
      <c r="C1341" s="52"/>
      <c r="D1341" s="16"/>
      <c r="E1341" s="52"/>
      <c r="F1341" s="52"/>
      <c r="G1341" s="50"/>
      <c r="H1341" s="17" t="str">
        <f ca="1">IFERROR(__xludf.DUMMYFUNCTION("""COMPUTED_VALUE"""),"")</f>
        <v/>
      </c>
      <c r="I1341" s="50" t="s">
        <v>29</v>
      </c>
      <c r="J1341" s="50" t="s">
        <v>29</v>
      </c>
      <c r="K1341" s="50" t="s">
        <v>29</v>
      </c>
      <c r="L1341" s="50" t="s">
        <v>29</v>
      </c>
      <c r="M1341" s="50" t="s">
        <v>29</v>
      </c>
      <c r="N1341" s="49"/>
      <c r="P1341" s="19"/>
      <c r="Q1341" s="18" t="str">
        <f ca="1">IFERROR(__xludf.DUMMYFUNCTION("""COMPUTED_VALUE"""),"")</f>
        <v/>
      </c>
      <c r="R1341" s="19"/>
      <c r="S1341" s="20"/>
      <c r="BP1341" s="10"/>
      <c r="BW1341" s="10"/>
      <c r="CF1341" s="10"/>
      <c r="CM1341" s="10"/>
      <c r="CP1341" s="18" t="str">
        <f ca="1"/>
        <v/>
      </c>
      <c r="CQ1341" s="18" t="str">
        <f ca="1"/>
        <v/>
      </c>
      <c r="CR1341" s="18" t="str">
        <f ca="1"/>
        <v/>
      </c>
      <c r="CS1341" s="18" t="str">
        <f ca="1"/>
        <v/>
      </c>
      <c r="CT1341" s="18" t="str">
        <f ca="1"/>
        <v/>
      </c>
      <c r="CV1341" s="10"/>
      <c r="CY1341" s="18" t="str">
        <f ca="1"/>
        <v/>
      </c>
      <c r="CZ1341" s="18" t="str">
        <f ca="1"/>
        <v/>
      </c>
      <c r="DA1341" s="18" t="str">
        <f ca="1"/>
        <v/>
      </c>
      <c r="DC1341" s="10"/>
    </row>
    <row r="1342" spans="1:107" x14ac:dyDescent="0.25">
      <c r="A1342" s="46"/>
      <c r="B1342" s="52"/>
      <c r="C1342" s="52"/>
      <c r="D1342" s="16"/>
      <c r="E1342" s="52"/>
      <c r="F1342" s="52"/>
      <c r="G1342" s="50"/>
      <c r="H1342" s="17" t="str">
        <f ca="1">IFERROR(__xludf.DUMMYFUNCTION("""COMPUTED_VALUE"""),"")</f>
        <v/>
      </c>
      <c r="I1342" s="50" t="s">
        <v>29</v>
      </c>
      <c r="J1342" s="50" t="s">
        <v>29</v>
      </c>
      <c r="K1342" s="50" t="s">
        <v>29</v>
      </c>
      <c r="L1342" s="50" t="s">
        <v>29</v>
      </c>
      <c r="M1342" s="50" t="s">
        <v>29</v>
      </c>
      <c r="N1342" s="49"/>
      <c r="P1342" s="19"/>
      <c r="Q1342" s="18" t="str">
        <f ca="1">IFERROR(__xludf.DUMMYFUNCTION("""COMPUTED_VALUE"""),"")</f>
        <v/>
      </c>
      <c r="R1342" s="19"/>
      <c r="S1342" s="20"/>
      <c r="BP1342" s="10"/>
      <c r="BW1342" s="10"/>
      <c r="CF1342" s="10"/>
      <c r="CM1342" s="10"/>
      <c r="CP1342" s="18" t="str">
        <f ca="1"/>
        <v/>
      </c>
      <c r="CQ1342" s="18" t="str">
        <f ca="1"/>
        <v/>
      </c>
      <c r="CR1342" s="18" t="str">
        <f ca="1"/>
        <v/>
      </c>
      <c r="CS1342" s="18" t="str">
        <f ca="1"/>
        <v/>
      </c>
      <c r="CT1342" s="18" t="str">
        <f ca="1"/>
        <v/>
      </c>
      <c r="CV1342" s="10"/>
      <c r="CY1342" s="18" t="str">
        <f ca="1"/>
        <v/>
      </c>
      <c r="CZ1342" s="18" t="str">
        <f ca="1"/>
        <v/>
      </c>
      <c r="DA1342" s="18" t="str">
        <f ca="1"/>
        <v/>
      </c>
      <c r="DC1342" s="10"/>
    </row>
    <row r="1343" spans="1:107" x14ac:dyDescent="0.25">
      <c r="A1343" s="46"/>
      <c r="B1343" s="52"/>
      <c r="C1343" s="52"/>
      <c r="D1343" s="16"/>
      <c r="E1343" s="52"/>
      <c r="F1343" s="52"/>
      <c r="G1343" s="50"/>
      <c r="H1343" s="17" t="str">
        <f ca="1">IFERROR(__xludf.DUMMYFUNCTION("""COMPUTED_VALUE"""),"")</f>
        <v/>
      </c>
      <c r="I1343" s="50" t="s">
        <v>29</v>
      </c>
      <c r="J1343" s="50" t="s">
        <v>29</v>
      </c>
      <c r="K1343" s="50" t="s">
        <v>29</v>
      </c>
      <c r="L1343" s="50" t="s">
        <v>29</v>
      </c>
      <c r="M1343" s="50" t="s">
        <v>29</v>
      </c>
      <c r="N1343" s="49"/>
      <c r="P1343" s="19"/>
      <c r="Q1343" s="18" t="str">
        <f ca="1">IFERROR(__xludf.DUMMYFUNCTION("""COMPUTED_VALUE"""),"")</f>
        <v/>
      </c>
      <c r="R1343" s="19"/>
      <c r="S1343" s="20"/>
      <c r="BP1343" s="10"/>
      <c r="BW1343" s="10"/>
      <c r="CF1343" s="10"/>
      <c r="CM1343" s="10"/>
      <c r="CP1343" s="18" t="str">
        <f ca="1"/>
        <v/>
      </c>
      <c r="CQ1343" s="18" t="str">
        <f ca="1"/>
        <v/>
      </c>
      <c r="CR1343" s="18" t="str">
        <f ca="1"/>
        <v/>
      </c>
      <c r="CS1343" s="18" t="str">
        <f ca="1"/>
        <v/>
      </c>
      <c r="CT1343" s="18" t="str">
        <f ca="1"/>
        <v/>
      </c>
      <c r="CV1343" s="10"/>
      <c r="CY1343" s="18" t="str">
        <f ca="1"/>
        <v/>
      </c>
      <c r="CZ1343" s="18" t="str">
        <f ca="1"/>
        <v/>
      </c>
      <c r="DA1343" s="18" t="str">
        <f ca="1"/>
        <v/>
      </c>
      <c r="DC1343" s="10"/>
    </row>
    <row r="1344" spans="1:107" x14ac:dyDescent="0.25">
      <c r="A1344" s="46"/>
      <c r="B1344" s="52"/>
      <c r="C1344" s="52"/>
      <c r="D1344" s="16"/>
      <c r="E1344" s="52"/>
      <c r="F1344" s="52"/>
      <c r="G1344" s="50"/>
      <c r="H1344" s="17" t="str">
        <f ca="1">IFERROR(__xludf.DUMMYFUNCTION("""COMPUTED_VALUE"""),"")</f>
        <v/>
      </c>
      <c r="I1344" s="50" t="s">
        <v>29</v>
      </c>
      <c r="J1344" s="50" t="s">
        <v>29</v>
      </c>
      <c r="K1344" s="50" t="s">
        <v>29</v>
      </c>
      <c r="L1344" s="50" t="s">
        <v>29</v>
      </c>
      <c r="M1344" s="50" t="s">
        <v>29</v>
      </c>
      <c r="N1344" s="49"/>
      <c r="P1344" s="19"/>
      <c r="Q1344" s="18" t="str">
        <f ca="1">IFERROR(__xludf.DUMMYFUNCTION("""COMPUTED_VALUE"""),"")</f>
        <v/>
      </c>
      <c r="R1344" s="19"/>
      <c r="S1344" s="20"/>
      <c r="BP1344" s="10"/>
      <c r="BW1344" s="10"/>
      <c r="CF1344" s="10"/>
      <c r="CM1344" s="10"/>
      <c r="CP1344" s="18" t="str">
        <f ca="1"/>
        <v/>
      </c>
      <c r="CQ1344" s="18" t="str">
        <f ca="1"/>
        <v/>
      </c>
      <c r="CR1344" s="18" t="str">
        <f ca="1"/>
        <v/>
      </c>
      <c r="CS1344" s="18" t="str">
        <f ca="1"/>
        <v/>
      </c>
      <c r="CT1344" s="18" t="str">
        <f ca="1"/>
        <v/>
      </c>
      <c r="CV1344" s="10"/>
      <c r="CY1344" s="18" t="str">
        <f ca="1"/>
        <v/>
      </c>
      <c r="CZ1344" s="18" t="str">
        <f ca="1"/>
        <v/>
      </c>
      <c r="DA1344" s="18" t="str">
        <f ca="1"/>
        <v/>
      </c>
      <c r="DC1344" s="10"/>
    </row>
    <row r="1345" spans="1:107" x14ac:dyDescent="0.25">
      <c r="A1345" s="46"/>
      <c r="B1345" s="52"/>
      <c r="C1345" s="52"/>
      <c r="D1345" s="16"/>
      <c r="E1345" s="52"/>
      <c r="F1345" s="52"/>
      <c r="G1345" s="50"/>
      <c r="H1345" s="17" t="str">
        <f ca="1">IFERROR(__xludf.DUMMYFUNCTION("""COMPUTED_VALUE"""),"")</f>
        <v/>
      </c>
      <c r="I1345" s="50" t="s">
        <v>29</v>
      </c>
      <c r="J1345" s="50" t="s">
        <v>29</v>
      </c>
      <c r="K1345" s="50" t="s">
        <v>29</v>
      </c>
      <c r="L1345" s="50" t="s">
        <v>29</v>
      </c>
      <c r="M1345" s="50" t="s">
        <v>29</v>
      </c>
      <c r="N1345" s="49"/>
      <c r="P1345" s="19"/>
      <c r="Q1345" s="18" t="str">
        <f ca="1">IFERROR(__xludf.DUMMYFUNCTION("""COMPUTED_VALUE"""),"")</f>
        <v/>
      </c>
      <c r="R1345" s="19"/>
      <c r="S1345" s="20"/>
      <c r="BP1345" s="10"/>
      <c r="BW1345" s="10"/>
      <c r="CF1345" s="10"/>
      <c r="CM1345" s="10"/>
      <c r="CP1345" s="18" t="str">
        <f ca="1"/>
        <v/>
      </c>
      <c r="CQ1345" s="18" t="str">
        <f ca="1"/>
        <v/>
      </c>
      <c r="CR1345" s="18" t="str">
        <f ca="1"/>
        <v/>
      </c>
      <c r="CS1345" s="18" t="str">
        <f ca="1"/>
        <v/>
      </c>
      <c r="CT1345" s="18" t="str">
        <f ca="1"/>
        <v/>
      </c>
      <c r="CV1345" s="10"/>
      <c r="CY1345" s="18" t="str">
        <f ca="1"/>
        <v/>
      </c>
      <c r="CZ1345" s="18" t="str">
        <f ca="1"/>
        <v/>
      </c>
      <c r="DA1345" s="18" t="str">
        <f ca="1"/>
        <v/>
      </c>
      <c r="DC1345" s="10"/>
    </row>
    <row r="1346" spans="1:107" x14ac:dyDescent="0.25">
      <c r="A1346" s="46"/>
      <c r="B1346" s="52"/>
      <c r="C1346" s="52"/>
      <c r="D1346" s="16"/>
      <c r="E1346" s="52"/>
      <c r="F1346" s="52"/>
      <c r="G1346" s="50"/>
      <c r="H1346" s="17" t="str">
        <f ca="1">IFERROR(__xludf.DUMMYFUNCTION("""COMPUTED_VALUE"""),"")</f>
        <v/>
      </c>
      <c r="I1346" s="50" t="s">
        <v>29</v>
      </c>
      <c r="J1346" s="50" t="s">
        <v>29</v>
      </c>
      <c r="K1346" s="50" t="s">
        <v>29</v>
      </c>
      <c r="L1346" s="50" t="s">
        <v>29</v>
      </c>
      <c r="M1346" s="50" t="s">
        <v>29</v>
      </c>
      <c r="N1346" s="49"/>
      <c r="P1346" s="19"/>
      <c r="Q1346" s="18" t="str">
        <f ca="1">IFERROR(__xludf.DUMMYFUNCTION("""COMPUTED_VALUE"""),"")</f>
        <v/>
      </c>
      <c r="R1346" s="19"/>
      <c r="S1346" s="20"/>
      <c r="BP1346" s="10"/>
      <c r="BW1346" s="10"/>
      <c r="CF1346" s="10"/>
      <c r="CM1346" s="10"/>
      <c r="CP1346" s="18" t="str">
        <f ca="1"/>
        <v/>
      </c>
      <c r="CQ1346" s="18" t="str">
        <f ca="1"/>
        <v/>
      </c>
      <c r="CR1346" s="18" t="str">
        <f ca="1"/>
        <v/>
      </c>
      <c r="CS1346" s="18" t="str">
        <f ca="1"/>
        <v/>
      </c>
      <c r="CT1346" s="18" t="str">
        <f ca="1"/>
        <v/>
      </c>
      <c r="CV1346" s="10"/>
      <c r="CY1346" s="18" t="str">
        <f ca="1"/>
        <v/>
      </c>
      <c r="CZ1346" s="18" t="str">
        <f ca="1"/>
        <v/>
      </c>
      <c r="DA1346" s="18" t="str">
        <f ca="1"/>
        <v/>
      </c>
      <c r="DC1346" s="10"/>
    </row>
    <row r="1347" spans="1:107" x14ac:dyDescent="0.25">
      <c r="A1347" s="46"/>
      <c r="B1347" s="52"/>
      <c r="C1347" s="52"/>
      <c r="D1347" s="16"/>
      <c r="E1347" s="52"/>
      <c r="F1347" s="52"/>
      <c r="G1347" s="50"/>
      <c r="H1347" s="17" t="str">
        <f ca="1">IFERROR(__xludf.DUMMYFUNCTION("""COMPUTED_VALUE"""),"")</f>
        <v/>
      </c>
      <c r="I1347" s="50" t="s">
        <v>29</v>
      </c>
      <c r="J1347" s="50" t="s">
        <v>29</v>
      </c>
      <c r="K1347" s="50" t="s">
        <v>29</v>
      </c>
      <c r="L1347" s="50" t="s">
        <v>29</v>
      </c>
      <c r="M1347" s="50" t="s">
        <v>29</v>
      </c>
      <c r="N1347" s="49"/>
      <c r="P1347" s="19"/>
      <c r="Q1347" s="18" t="str">
        <f ca="1">IFERROR(__xludf.DUMMYFUNCTION("""COMPUTED_VALUE"""),"")</f>
        <v/>
      </c>
      <c r="R1347" s="19"/>
      <c r="S1347" s="20"/>
      <c r="BP1347" s="10"/>
      <c r="BW1347" s="10"/>
      <c r="CF1347" s="10"/>
      <c r="CM1347" s="10"/>
      <c r="CP1347" s="18" t="str">
        <f ca="1"/>
        <v/>
      </c>
      <c r="CQ1347" s="18" t="str">
        <f ca="1"/>
        <v/>
      </c>
      <c r="CR1347" s="18" t="str">
        <f ca="1"/>
        <v/>
      </c>
      <c r="CS1347" s="18" t="str">
        <f ca="1"/>
        <v/>
      </c>
      <c r="CT1347" s="18" t="str">
        <f ca="1"/>
        <v/>
      </c>
      <c r="CV1347" s="10"/>
      <c r="CY1347" s="18" t="str">
        <f ca="1"/>
        <v/>
      </c>
      <c r="CZ1347" s="18" t="str">
        <f ca="1"/>
        <v/>
      </c>
      <c r="DA1347" s="18" t="str">
        <f ca="1"/>
        <v/>
      </c>
      <c r="DC1347" s="10"/>
    </row>
    <row r="1348" spans="1:107" x14ac:dyDescent="0.25">
      <c r="A1348" s="46"/>
      <c r="B1348" s="52"/>
      <c r="C1348" s="52"/>
      <c r="D1348" s="16"/>
      <c r="E1348" s="52"/>
      <c r="F1348" s="52"/>
      <c r="G1348" s="50"/>
      <c r="H1348" s="17" t="str">
        <f ca="1">IFERROR(__xludf.DUMMYFUNCTION("""COMPUTED_VALUE"""),"")</f>
        <v/>
      </c>
      <c r="I1348" s="50" t="s">
        <v>29</v>
      </c>
      <c r="J1348" s="50" t="s">
        <v>29</v>
      </c>
      <c r="K1348" s="50" t="s">
        <v>29</v>
      </c>
      <c r="L1348" s="50" t="s">
        <v>29</v>
      </c>
      <c r="M1348" s="50" t="s">
        <v>29</v>
      </c>
      <c r="N1348" s="49"/>
      <c r="P1348" s="19"/>
      <c r="Q1348" s="18" t="str">
        <f ca="1">IFERROR(__xludf.DUMMYFUNCTION("""COMPUTED_VALUE"""),"")</f>
        <v/>
      </c>
      <c r="R1348" s="19"/>
      <c r="S1348" s="20"/>
      <c r="BP1348" s="10"/>
      <c r="BW1348" s="10"/>
      <c r="CF1348" s="10"/>
      <c r="CM1348" s="10"/>
      <c r="CP1348" s="18" t="str">
        <f ca="1"/>
        <v/>
      </c>
      <c r="CQ1348" s="18" t="str">
        <f ca="1"/>
        <v/>
      </c>
      <c r="CR1348" s="18" t="str">
        <f ca="1"/>
        <v/>
      </c>
      <c r="CS1348" s="18" t="str">
        <f ca="1"/>
        <v/>
      </c>
      <c r="CT1348" s="18" t="str">
        <f ca="1"/>
        <v/>
      </c>
      <c r="CV1348" s="10"/>
      <c r="CY1348" s="18" t="str">
        <f ca="1"/>
        <v/>
      </c>
      <c r="CZ1348" s="18" t="str">
        <f ca="1"/>
        <v/>
      </c>
      <c r="DA1348" s="18" t="str">
        <f ca="1"/>
        <v/>
      </c>
      <c r="DC1348" s="10"/>
    </row>
    <row r="1349" spans="1:107" x14ac:dyDescent="0.25">
      <c r="A1349" s="46"/>
      <c r="B1349" s="52"/>
      <c r="C1349" s="52"/>
      <c r="D1349" s="16"/>
      <c r="E1349" s="52"/>
      <c r="F1349" s="52"/>
      <c r="G1349" s="50"/>
      <c r="H1349" s="17" t="str">
        <f ca="1">IFERROR(__xludf.DUMMYFUNCTION("""COMPUTED_VALUE"""),"")</f>
        <v/>
      </c>
      <c r="I1349" s="50" t="s">
        <v>29</v>
      </c>
      <c r="J1349" s="50" t="s">
        <v>29</v>
      </c>
      <c r="K1349" s="50" t="s">
        <v>29</v>
      </c>
      <c r="L1349" s="50" t="s">
        <v>29</v>
      </c>
      <c r="M1349" s="50" t="s">
        <v>29</v>
      </c>
      <c r="N1349" s="49"/>
      <c r="P1349" s="19"/>
      <c r="Q1349" s="18" t="str">
        <f ca="1">IFERROR(__xludf.DUMMYFUNCTION("""COMPUTED_VALUE"""),"")</f>
        <v/>
      </c>
      <c r="R1349" s="19"/>
      <c r="S1349" s="20"/>
      <c r="BP1349" s="10"/>
      <c r="BW1349" s="10"/>
      <c r="CF1349" s="10"/>
      <c r="CM1349" s="10"/>
      <c r="CP1349" s="18" t="str">
        <f ca="1"/>
        <v/>
      </c>
      <c r="CQ1349" s="18" t="str">
        <f ca="1"/>
        <v/>
      </c>
      <c r="CR1349" s="18" t="str">
        <f ca="1"/>
        <v/>
      </c>
      <c r="CS1349" s="18" t="str">
        <f ca="1"/>
        <v/>
      </c>
      <c r="CT1349" s="18" t="str">
        <f ca="1"/>
        <v/>
      </c>
      <c r="CV1349" s="10"/>
      <c r="CY1349" s="18" t="str">
        <f ca="1"/>
        <v/>
      </c>
      <c r="CZ1349" s="18" t="str">
        <f ca="1"/>
        <v/>
      </c>
      <c r="DA1349" s="18" t="str">
        <f ca="1"/>
        <v/>
      </c>
      <c r="DC1349" s="10"/>
    </row>
    <row r="1350" spans="1:107" x14ac:dyDescent="0.25">
      <c r="A1350" s="46"/>
      <c r="B1350" s="52"/>
      <c r="C1350" s="52"/>
      <c r="D1350" s="16"/>
      <c r="E1350" s="52"/>
      <c r="F1350" s="52"/>
      <c r="G1350" s="50"/>
      <c r="H1350" s="17" t="str">
        <f ca="1">IFERROR(__xludf.DUMMYFUNCTION("""COMPUTED_VALUE"""),"")</f>
        <v/>
      </c>
      <c r="I1350" s="50" t="s">
        <v>29</v>
      </c>
      <c r="J1350" s="50" t="s">
        <v>29</v>
      </c>
      <c r="K1350" s="50" t="s">
        <v>29</v>
      </c>
      <c r="L1350" s="50" t="s">
        <v>29</v>
      </c>
      <c r="M1350" s="50" t="s">
        <v>29</v>
      </c>
      <c r="N1350" s="49"/>
      <c r="P1350" s="19"/>
      <c r="Q1350" s="18" t="str">
        <f ca="1">IFERROR(__xludf.DUMMYFUNCTION("""COMPUTED_VALUE"""),"")</f>
        <v/>
      </c>
      <c r="R1350" s="19"/>
      <c r="S1350" s="20"/>
      <c r="BP1350" s="10"/>
      <c r="BW1350" s="10"/>
      <c r="CF1350" s="10"/>
      <c r="CM1350" s="10"/>
      <c r="CP1350" s="18" t="str">
        <f ca="1"/>
        <v/>
      </c>
      <c r="CQ1350" s="18" t="str">
        <f ca="1"/>
        <v/>
      </c>
      <c r="CR1350" s="18" t="str">
        <f ca="1"/>
        <v/>
      </c>
      <c r="CS1350" s="18" t="str">
        <f ca="1"/>
        <v/>
      </c>
      <c r="CT1350" s="18" t="str">
        <f ca="1"/>
        <v/>
      </c>
      <c r="CV1350" s="10"/>
      <c r="CY1350" s="18" t="str">
        <f ca="1"/>
        <v/>
      </c>
      <c r="CZ1350" s="18" t="str">
        <f ca="1"/>
        <v/>
      </c>
      <c r="DA1350" s="18" t="str">
        <f ca="1"/>
        <v/>
      </c>
      <c r="DC1350" s="10"/>
    </row>
    <row r="1351" spans="1:107" x14ac:dyDescent="0.25">
      <c r="A1351" s="46"/>
      <c r="B1351" s="52"/>
      <c r="C1351" s="52"/>
      <c r="D1351" s="16"/>
      <c r="E1351" s="52"/>
      <c r="F1351" s="52"/>
      <c r="G1351" s="50"/>
      <c r="H1351" s="17" t="str">
        <f ca="1">IFERROR(__xludf.DUMMYFUNCTION("""COMPUTED_VALUE"""),"")</f>
        <v/>
      </c>
      <c r="I1351" s="50" t="s">
        <v>29</v>
      </c>
      <c r="J1351" s="50" t="s">
        <v>29</v>
      </c>
      <c r="K1351" s="50" t="s">
        <v>29</v>
      </c>
      <c r="L1351" s="50" t="s">
        <v>29</v>
      </c>
      <c r="M1351" s="50" t="s">
        <v>29</v>
      </c>
      <c r="N1351" s="49"/>
      <c r="P1351" s="19"/>
      <c r="Q1351" s="18" t="str">
        <f ca="1">IFERROR(__xludf.DUMMYFUNCTION("""COMPUTED_VALUE"""),"")</f>
        <v/>
      </c>
      <c r="R1351" s="19"/>
      <c r="S1351" s="20"/>
      <c r="BP1351" s="10"/>
      <c r="BW1351" s="10"/>
      <c r="CF1351" s="10"/>
      <c r="CM1351" s="10"/>
      <c r="CP1351" s="18" t="str">
        <f ca="1"/>
        <v/>
      </c>
      <c r="CQ1351" s="18" t="str">
        <f ca="1"/>
        <v/>
      </c>
      <c r="CR1351" s="18" t="str">
        <f ca="1"/>
        <v/>
      </c>
      <c r="CS1351" s="18" t="str">
        <f ca="1"/>
        <v/>
      </c>
      <c r="CT1351" s="18" t="str">
        <f ca="1"/>
        <v/>
      </c>
      <c r="CV1351" s="10"/>
      <c r="CY1351" s="18" t="str">
        <f ca="1"/>
        <v/>
      </c>
      <c r="CZ1351" s="18" t="str">
        <f ca="1"/>
        <v/>
      </c>
      <c r="DA1351" s="18" t="str">
        <f ca="1"/>
        <v/>
      </c>
      <c r="DC1351" s="10"/>
    </row>
    <row r="1352" spans="1:107" x14ac:dyDescent="0.25">
      <c r="A1352" s="46"/>
      <c r="B1352" s="52"/>
      <c r="C1352" s="52"/>
      <c r="D1352" s="16"/>
      <c r="E1352" s="52"/>
      <c r="F1352" s="52"/>
      <c r="G1352" s="50"/>
      <c r="H1352" s="17" t="str">
        <f ca="1">IFERROR(__xludf.DUMMYFUNCTION("""COMPUTED_VALUE"""),"")</f>
        <v/>
      </c>
      <c r="I1352" s="50" t="s">
        <v>29</v>
      </c>
      <c r="J1352" s="50" t="s">
        <v>29</v>
      </c>
      <c r="K1352" s="50" t="s">
        <v>29</v>
      </c>
      <c r="L1352" s="50" t="s">
        <v>29</v>
      </c>
      <c r="M1352" s="50" t="s">
        <v>29</v>
      </c>
      <c r="N1352" s="49"/>
      <c r="P1352" s="19"/>
      <c r="Q1352" s="18" t="str">
        <f ca="1">IFERROR(__xludf.DUMMYFUNCTION("""COMPUTED_VALUE"""),"")</f>
        <v/>
      </c>
      <c r="R1352" s="19"/>
      <c r="S1352" s="20"/>
      <c r="BP1352" s="10"/>
      <c r="BW1352" s="10"/>
      <c r="CF1352" s="10"/>
      <c r="CM1352" s="10"/>
      <c r="CP1352" s="18" t="str">
        <f ca="1"/>
        <v/>
      </c>
      <c r="CQ1352" s="18" t="str">
        <f ca="1"/>
        <v/>
      </c>
      <c r="CR1352" s="18" t="str">
        <f ca="1"/>
        <v/>
      </c>
      <c r="CS1352" s="18" t="str">
        <f ca="1"/>
        <v/>
      </c>
      <c r="CT1352" s="18" t="str">
        <f ca="1"/>
        <v/>
      </c>
      <c r="CV1352" s="10"/>
      <c r="CY1352" s="18" t="str">
        <f ca="1"/>
        <v/>
      </c>
      <c r="CZ1352" s="18" t="str">
        <f ca="1"/>
        <v/>
      </c>
      <c r="DA1352" s="18" t="str">
        <f ca="1"/>
        <v/>
      </c>
      <c r="DC1352" s="10"/>
    </row>
    <row r="1353" spans="1:107" x14ac:dyDescent="0.25">
      <c r="A1353" s="46"/>
      <c r="B1353" s="52"/>
      <c r="C1353" s="52"/>
      <c r="D1353" s="16"/>
      <c r="E1353" s="52"/>
      <c r="F1353" s="52"/>
      <c r="G1353" s="50"/>
      <c r="H1353" s="17" t="str">
        <f ca="1">IFERROR(__xludf.DUMMYFUNCTION("""COMPUTED_VALUE"""),"")</f>
        <v/>
      </c>
      <c r="I1353" s="50" t="s">
        <v>29</v>
      </c>
      <c r="J1353" s="50" t="s">
        <v>29</v>
      </c>
      <c r="K1353" s="50" t="s">
        <v>29</v>
      </c>
      <c r="L1353" s="50" t="s">
        <v>29</v>
      </c>
      <c r="M1353" s="50" t="s">
        <v>29</v>
      </c>
      <c r="N1353" s="49"/>
      <c r="P1353" s="19"/>
      <c r="Q1353" s="18" t="str">
        <f ca="1">IFERROR(__xludf.DUMMYFUNCTION("""COMPUTED_VALUE"""),"")</f>
        <v/>
      </c>
      <c r="R1353" s="19"/>
      <c r="S1353" s="20"/>
      <c r="BP1353" s="10"/>
      <c r="BW1353" s="10"/>
      <c r="CF1353" s="10"/>
      <c r="CM1353" s="10"/>
      <c r="CP1353" s="18" t="str">
        <f ca="1"/>
        <v/>
      </c>
      <c r="CQ1353" s="18" t="str">
        <f ca="1"/>
        <v/>
      </c>
      <c r="CR1353" s="18" t="str">
        <f ca="1"/>
        <v/>
      </c>
      <c r="CS1353" s="18" t="str">
        <f ca="1"/>
        <v/>
      </c>
      <c r="CT1353" s="18" t="str">
        <f ca="1"/>
        <v/>
      </c>
      <c r="CV1353" s="10"/>
      <c r="CY1353" s="18" t="str">
        <f ca="1"/>
        <v/>
      </c>
      <c r="CZ1353" s="18" t="str">
        <f ca="1"/>
        <v/>
      </c>
      <c r="DA1353" s="18" t="str">
        <f ca="1"/>
        <v/>
      </c>
      <c r="DC1353" s="10"/>
    </row>
    <row r="1354" spans="1:107" x14ac:dyDescent="0.25">
      <c r="A1354" s="46"/>
      <c r="B1354" s="52"/>
      <c r="C1354" s="52"/>
      <c r="D1354" s="16"/>
      <c r="E1354" s="52"/>
      <c r="F1354" s="52"/>
      <c r="G1354" s="50"/>
      <c r="H1354" s="17" t="str">
        <f ca="1">IFERROR(__xludf.DUMMYFUNCTION("""COMPUTED_VALUE"""),"")</f>
        <v/>
      </c>
      <c r="I1354" s="50" t="s">
        <v>29</v>
      </c>
      <c r="J1354" s="50" t="s">
        <v>29</v>
      </c>
      <c r="K1354" s="50" t="s">
        <v>29</v>
      </c>
      <c r="L1354" s="50" t="s">
        <v>29</v>
      </c>
      <c r="M1354" s="50" t="s">
        <v>29</v>
      </c>
      <c r="N1354" s="49"/>
      <c r="P1354" s="19"/>
      <c r="Q1354" s="18" t="str">
        <f ca="1">IFERROR(__xludf.DUMMYFUNCTION("""COMPUTED_VALUE"""),"")</f>
        <v/>
      </c>
      <c r="R1354" s="19"/>
      <c r="S1354" s="20"/>
      <c r="BP1354" s="10"/>
      <c r="BW1354" s="10"/>
      <c r="CF1354" s="10"/>
      <c r="CM1354" s="10"/>
      <c r="CP1354" s="18" t="str">
        <f ca="1"/>
        <v/>
      </c>
      <c r="CQ1354" s="18" t="str">
        <f ca="1"/>
        <v/>
      </c>
      <c r="CR1354" s="18" t="str">
        <f ca="1"/>
        <v/>
      </c>
      <c r="CS1354" s="18" t="str">
        <f ca="1"/>
        <v/>
      </c>
      <c r="CT1354" s="18" t="str">
        <f ca="1"/>
        <v/>
      </c>
      <c r="CV1354" s="10"/>
      <c r="CY1354" s="18" t="str">
        <f ca="1"/>
        <v/>
      </c>
      <c r="CZ1354" s="18" t="str">
        <f ca="1"/>
        <v/>
      </c>
      <c r="DA1354" s="18" t="str">
        <f ca="1"/>
        <v/>
      </c>
      <c r="DC1354" s="10"/>
    </row>
    <row r="1355" spans="1:107" x14ac:dyDescent="0.25">
      <c r="A1355" s="46"/>
      <c r="B1355" s="52"/>
      <c r="C1355" s="52"/>
      <c r="D1355" s="16"/>
      <c r="E1355" s="52"/>
      <c r="F1355" s="52"/>
      <c r="G1355" s="50"/>
      <c r="H1355" s="17" t="str">
        <f ca="1">IFERROR(__xludf.DUMMYFUNCTION("""COMPUTED_VALUE"""),"")</f>
        <v/>
      </c>
      <c r="I1355" s="50" t="s">
        <v>29</v>
      </c>
      <c r="J1355" s="50" t="s">
        <v>29</v>
      </c>
      <c r="K1355" s="50" t="s">
        <v>29</v>
      </c>
      <c r="L1355" s="50" t="s">
        <v>29</v>
      </c>
      <c r="M1355" s="50" t="s">
        <v>29</v>
      </c>
      <c r="N1355" s="49"/>
      <c r="P1355" s="19"/>
      <c r="Q1355" s="18" t="str">
        <f ca="1">IFERROR(__xludf.DUMMYFUNCTION("""COMPUTED_VALUE"""),"")</f>
        <v/>
      </c>
      <c r="R1355" s="19"/>
      <c r="S1355" s="20"/>
      <c r="BP1355" s="10"/>
      <c r="BW1355" s="10"/>
      <c r="CF1355" s="10"/>
      <c r="CM1355" s="10"/>
      <c r="CP1355" s="18" t="str">
        <f ca="1"/>
        <v/>
      </c>
      <c r="CQ1355" s="18" t="str">
        <f ca="1"/>
        <v/>
      </c>
      <c r="CR1355" s="18" t="str">
        <f ca="1"/>
        <v/>
      </c>
      <c r="CS1355" s="18" t="str">
        <f ca="1"/>
        <v/>
      </c>
      <c r="CT1355" s="18" t="str">
        <f ca="1"/>
        <v/>
      </c>
      <c r="CV1355" s="10"/>
      <c r="CY1355" s="18" t="str">
        <f ca="1"/>
        <v/>
      </c>
      <c r="CZ1355" s="18" t="str">
        <f ca="1"/>
        <v/>
      </c>
      <c r="DA1355" s="18" t="str">
        <f ca="1"/>
        <v/>
      </c>
      <c r="DC1355" s="10"/>
    </row>
    <row r="1356" spans="1:107" x14ac:dyDescent="0.25">
      <c r="A1356" s="46"/>
      <c r="B1356" s="52"/>
      <c r="C1356" s="52"/>
      <c r="D1356" s="16"/>
      <c r="E1356" s="52"/>
      <c r="F1356" s="52"/>
      <c r="G1356" s="50"/>
      <c r="H1356" s="17" t="str">
        <f ca="1">IFERROR(__xludf.DUMMYFUNCTION("""COMPUTED_VALUE"""),"")</f>
        <v/>
      </c>
      <c r="I1356" s="50" t="s">
        <v>29</v>
      </c>
      <c r="J1356" s="50" t="s">
        <v>29</v>
      </c>
      <c r="K1356" s="50" t="s">
        <v>29</v>
      </c>
      <c r="L1356" s="50" t="s">
        <v>29</v>
      </c>
      <c r="M1356" s="50" t="s">
        <v>29</v>
      </c>
      <c r="N1356" s="49"/>
      <c r="P1356" s="19"/>
      <c r="Q1356" s="18" t="str">
        <f ca="1">IFERROR(__xludf.DUMMYFUNCTION("""COMPUTED_VALUE"""),"")</f>
        <v/>
      </c>
      <c r="R1356" s="19"/>
      <c r="S1356" s="20"/>
      <c r="BP1356" s="10"/>
      <c r="BW1356" s="10"/>
      <c r="CF1356" s="10"/>
      <c r="CM1356" s="10"/>
      <c r="CP1356" s="18" t="str">
        <f ca="1"/>
        <v/>
      </c>
      <c r="CQ1356" s="18" t="str">
        <f ca="1"/>
        <v/>
      </c>
      <c r="CR1356" s="18" t="str">
        <f ca="1"/>
        <v/>
      </c>
      <c r="CS1356" s="18" t="str">
        <f ca="1"/>
        <v/>
      </c>
      <c r="CT1356" s="18" t="str">
        <f ca="1"/>
        <v/>
      </c>
      <c r="CV1356" s="10"/>
      <c r="CY1356" s="18" t="str">
        <f ca="1"/>
        <v/>
      </c>
      <c r="CZ1356" s="18" t="str">
        <f ca="1"/>
        <v/>
      </c>
      <c r="DA1356" s="18" t="str">
        <f ca="1"/>
        <v/>
      </c>
      <c r="DC1356" s="10"/>
    </row>
    <row r="1357" spans="1:107" x14ac:dyDescent="0.25">
      <c r="A1357" s="46"/>
      <c r="B1357" s="52"/>
      <c r="C1357" s="52"/>
      <c r="D1357" s="16"/>
      <c r="E1357" s="52"/>
      <c r="F1357" s="52"/>
      <c r="G1357" s="50"/>
      <c r="H1357" s="17" t="str">
        <f ca="1">IFERROR(__xludf.DUMMYFUNCTION("""COMPUTED_VALUE"""),"")</f>
        <v/>
      </c>
      <c r="I1357" s="50" t="s">
        <v>29</v>
      </c>
      <c r="J1357" s="50" t="s">
        <v>29</v>
      </c>
      <c r="K1357" s="50" t="s">
        <v>29</v>
      </c>
      <c r="L1357" s="50" t="s">
        <v>29</v>
      </c>
      <c r="M1357" s="50" t="s">
        <v>29</v>
      </c>
      <c r="N1357" s="49"/>
      <c r="P1357" s="19"/>
      <c r="Q1357" s="18" t="str">
        <f ca="1">IFERROR(__xludf.DUMMYFUNCTION("""COMPUTED_VALUE"""),"")</f>
        <v/>
      </c>
      <c r="R1357" s="19"/>
      <c r="S1357" s="20"/>
      <c r="BP1357" s="10"/>
      <c r="BW1357" s="10"/>
      <c r="CF1357" s="10"/>
      <c r="CM1357" s="10"/>
      <c r="CP1357" s="18" t="str">
        <f ca="1"/>
        <v/>
      </c>
      <c r="CQ1357" s="18" t="str">
        <f ca="1"/>
        <v/>
      </c>
      <c r="CR1357" s="18" t="str">
        <f ca="1"/>
        <v/>
      </c>
      <c r="CS1357" s="18" t="str">
        <f ca="1"/>
        <v/>
      </c>
      <c r="CT1357" s="18" t="str">
        <f ca="1"/>
        <v/>
      </c>
      <c r="CV1357" s="10"/>
      <c r="CY1357" s="18" t="str">
        <f ca="1"/>
        <v/>
      </c>
      <c r="CZ1357" s="18" t="str">
        <f ca="1"/>
        <v/>
      </c>
      <c r="DA1357" s="18" t="str">
        <f ca="1"/>
        <v/>
      </c>
      <c r="DC1357" s="10"/>
    </row>
    <row r="1358" spans="1:107" x14ac:dyDescent="0.25">
      <c r="A1358" s="46"/>
      <c r="B1358" s="52"/>
      <c r="C1358" s="52"/>
      <c r="D1358" s="16"/>
      <c r="E1358" s="52"/>
      <c r="F1358" s="52"/>
      <c r="G1358" s="50"/>
      <c r="H1358" s="17" t="str">
        <f ca="1">IFERROR(__xludf.DUMMYFUNCTION("""COMPUTED_VALUE"""),"")</f>
        <v/>
      </c>
      <c r="I1358" s="50" t="s">
        <v>29</v>
      </c>
      <c r="J1358" s="50" t="s">
        <v>29</v>
      </c>
      <c r="K1358" s="50" t="s">
        <v>29</v>
      </c>
      <c r="L1358" s="50" t="s">
        <v>29</v>
      </c>
      <c r="M1358" s="50" t="s">
        <v>29</v>
      </c>
      <c r="N1358" s="49"/>
      <c r="P1358" s="19"/>
      <c r="Q1358" s="18" t="str">
        <f ca="1">IFERROR(__xludf.DUMMYFUNCTION("""COMPUTED_VALUE"""),"")</f>
        <v/>
      </c>
      <c r="R1358" s="19"/>
      <c r="S1358" s="20"/>
      <c r="BP1358" s="10"/>
      <c r="BW1358" s="10"/>
      <c r="CF1358" s="10"/>
      <c r="CM1358" s="10"/>
      <c r="CP1358" s="18" t="str">
        <f ca="1"/>
        <v/>
      </c>
      <c r="CQ1358" s="18" t="str">
        <f ca="1"/>
        <v/>
      </c>
      <c r="CR1358" s="18" t="str">
        <f ca="1"/>
        <v/>
      </c>
      <c r="CS1358" s="18" t="str">
        <f ca="1"/>
        <v/>
      </c>
      <c r="CT1358" s="18" t="str">
        <f ca="1"/>
        <v/>
      </c>
      <c r="CV1358" s="10"/>
      <c r="CY1358" s="18" t="str">
        <f ca="1"/>
        <v/>
      </c>
      <c r="CZ1358" s="18" t="str">
        <f ca="1"/>
        <v/>
      </c>
      <c r="DA1358" s="18" t="str">
        <f ca="1"/>
        <v/>
      </c>
      <c r="DC1358" s="10"/>
    </row>
    <row r="1359" spans="1:107" x14ac:dyDescent="0.25">
      <c r="A1359" s="46"/>
      <c r="B1359" s="52"/>
      <c r="C1359" s="52"/>
      <c r="D1359" s="16"/>
      <c r="E1359" s="52"/>
      <c r="F1359" s="52"/>
      <c r="G1359" s="50"/>
      <c r="H1359" s="17" t="str">
        <f ca="1">IFERROR(__xludf.DUMMYFUNCTION("""COMPUTED_VALUE"""),"")</f>
        <v/>
      </c>
      <c r="I1359" s="50" t="s">
        <v>29</v>
      </c>
      <c r="J1359" s="50" t="s">
        <v>29</v>
      </c>
      <c r="K1359" s="50" t="s">
        <v>29</v>
      </c>
      <c r="L1359" s="50" t="s">
        <v>29</v>
      </c>
      <c r="M1359" s="50" t="s">
        <v>29</v>
      </c>
      <c r="N1359" s="49"/>
      <c r="P1359" s="19"/>
      <c r="Q1359" s="18" t="str">
        <f ca="1">IFERROR(__xludf.DUMMYFUNCTION("""COMPUTED_VALUE"""),"")</f>
        <v/>
      </c>
      <c r="R1359" s="19"/>
      <c r="S1359" s="20"/>
      <c r="BP1359" s="10"/>
      <c r="BW1359" s="10"/>
      <c r="CF1359" s="10"/>
      <c r="CM1359" s="10"/>
      <c r="CP1359" s="18" t="str">
        <f ca="1"/>
        <v/>
      </c>
      <c r="CQ1359" s="18" t="str">
        <f ca="1"/>
        <v/>
      </c>
      <c r="CR1359" s="18" t="str">
        <f ca="1"/>
        <v/>
      </c>
      <c r="CS1359" s="18" t="str">
        <f ca="1"/>
        <v/>
      </c>
      <c r="CT1359" s="18" t="str">
        <f ca="1"/>
        <v/>
      </c>
      <c r="CV1359" s="10"/>
      <c r="CY1359" s="18" t="str">
        <f ca="1"/>
        <v/>
      </c>
      <c r="CZ1359" s="18" t="str">
        <f ca="1"/>
        <v/>
      </c>
      <c r="DA1359" s="18" t="str">
        <f ca="1"/>
        <v/>
      </c>
      <c r="DC1359" s="10"/>
    </row>
    <row r="1360" spans="1:107" x14ac:dyDescent="0.25">
      <c r="A1360" s="46"/>
      <c r="B1360" s="52"/>
      <c r="C1360" s="52"/>
      <c r="D1360" s="16"/>
      <c r="E1360" s="52"/>
      <c r="F1360" s="52"/>
      <c r="G1360" s="50"/>
      <c r="H1360" s="17" t="str">
        <f ca="1">IFERROR(__xludf.DUMMYFUNCTION("""COMPUTED_VALUE"""),"")</f>
        <v/>
      </c>
      <c r="I1360" s="50" t="s">
        <v>29</v>
      </c>
      <c r="J1360" s="50" t="s">
        <v>29</v>
      </c>
      <c r="K1360" s="50" t="s">
        <v>29</v>
      </c>
      <c r="L1360" s="50" t="s">
        <v>29</v>
      </c>
      <c r="M1360" s="50" t="s">
        <v>29</v>
      </c>
      <c r="N1360" s="49"/>
      <c r="P1360" s="19"/>
      <c r="Q1360" s="18" t="str">
        <f ca="1">IFERROR(__xludf.DUMMYFUNCTION("""COMPUTED_VALUE"""),"")</f>
        <v/>
      </c>
      <c r="R1360" s="19"/>
      <c r="S1360" s="20"/>
      <c r="BP1360" s="10"/>
      <c r="BW1360" s="10"/>
      <c r="CF1360" s="10"/>
      <c r="CM1360" s="10"/>
      <c r="CP1360" s="18" t="str">
        <f ca="1"/>
        <v/>
      </c>
      <c r="CQ1360" s="18" t="str">
        <f ca="1"/>
        <v/>
      </c>
      <c r="CR1360" s="18" t="str">
        <f ca="1"/>
        <v/>
      </c>
      <c r="CS1360" s="18" t="str">
        <f ca="1"/>
        <v/>
      </c>
      <c r="CT1360" s="18" t="str">
        <f ca="1"/>
        <v/>
      </c>
      <c r="CV1360" s="10"/>
      <c r="CY1360" s="18" t="str">
        <f ca="1"/>
        <v/>
      </c>
      <c r="CZ1360" s="18" t="str">
        <f ca="1"/>
        <v/>
      </c>
      <c r="DA1360" s="18" t="str">
        <f ca="1"/>
        <v/>
      </c>
      <c r="DC1360" s="10"/>
    </row>
    <row r="1361" spans="1:107" x14ac:dyDescent="0.25">
      <c r="A1361" s="46"/>
      <c r="B1361" s="52"/>
      <c r="C1361" s="52"/>
      <c r="D1361" s="16"/>
      <c r="E1361" s="52"/>
      <c r="F1361" s="52"/>
      <c r="G1361" s="50"/>
      <c r="H1361" s="17" t="str">
        <f ca="1">IFERROR(__xludf.DUMMYFUNCTION("""COMPUTED_VALUE"""),"")</f>
        <v/>
      </c>
      <c r="I1361" s="50" t="s">
        <v>29</v>
      </c>
      <c r="J1361" s="50" t="s">
        <v>29</v>
      </c>
      <c r="K1361" s="50" t="s">
        <v>29</v>
      </c>
      <c r="L1361" s="50" t="s">
        <v>29</v>
      </c>
      <c r="M1361" s="50" t="s">
        <v>29</v>
      </c>
      <c r="N1361" s="49"/>
      <c r="P1361" s="19"/>
      <c r="Q1361" s="18" t="str">
        <f ca="1">IFERROR(__xludf.DUMMYFUNCTION("""COMPUTED_VALUE"""),"")</f>
        <v/>
      </c>
      <c r="R1361" s="19"/>
      <c r="S1361" s="20"/>
      <c r="BP1361" s="10"/>
      <c r="BW1361" s="10"/>
      <c r="CF1361" s="10"/>
      <c r="CM1361" s="10"/>
      <c r="CP1361" s="18" t="str">
        <f ca="1"/>
        <v/>
      </c>
      <c r="CQ1361" s="18" t="str">
        <f ca="1"/>
        <v/>
      </c>
      <c r="CR1361" s="18" t="str">
        <f ca="1"/>
        <v/>
      </c>
      <c r="CS1361" s="18" t="str">
        <f ca="1"/>
        <v/>
      </c>
      <c r="CT1361" s="18" t="str">
        <f ca="1"/>
        <v/>
      </c>
      <c r="CV1361" s="10"/>
      <c r="CY1361" s="18" t="str">
        <f ca="1"/>
        <v/>
      </c>
      <c r="CZ1361" s="18" t="str">
        <f ca="1"/>
        <v/>
      </c>
      <c r="DA1361" s="18" t="str">
        <f ca="1"/>
        <v/>
      </c>
      <c r="DC1361" s="10"/>
    </row>
    <row r="1362" spans="1:107" x14ac:dyDescent="0.25">
      <c r="A1362" s="46"/>
      <c r="B1362" s="52"/>
      <c r="C1362" s="52"/>
      <c r="D1362" s="16"/>
      <c r="E1362" s="52"/>
      <c r="F1362" s="52"/>
      <c r="G1362" s="50"/>
      <c r="H1362" s="17" t="str">
        <f ca="1">IFERROR(__xludf.DUMMYFUNCTION("""COMPUTED_VALUE"""),"")</f>
        <v/>
      </c>
      <c r="I1362" s="50" t="s">
        <v>29</v>
      </c>
      <c r="J1362" s="50" t="s">
        <v>29</v>
      </c>
      <c r="K1362" s="50" t="s">
        <v>29</v>
      </c>
      <c r="L1362" s="50" t="s">
        <v>29</v>
      </c>
      <c r="M1362" s="50" t="s">
        <v>29</v>
      </c>
      <c r="N1362" s="49"/>
      <c r="P1362" s="19"/>
      <c r="Q1362" s="18" t="str">
        <f ca="1">IFERROR(__xludf.DUMMYFUNCTION("""COMPUTED_VALUE"""),"")</f>
        <v/>
      </c>
      <c r="R1362" s="19"/>
      <c r="S1362" s="20"/>
      <c r="BP1362" s="10"/>
      <c r="BW1362" s="10"/>
      <c r="CF1362" s="10"/>
      <c r="CM1362" s="10"/>
      <c r="CP1362" s="18" t="str">
        <f ca="1"/>
        <v/>
      </c>
      <c r="CQ1362" s="18" t="str">
        <f ca="1"/>
        <v/>
      </c>
      <c r="CR1362" s="18" t="str">
        <f ca="1"/>
        <v/>
      </c>
      <c r="CS1362" s="18" t="str">
        <f ca="1"/>
        <v/>
      </c>
      <c r="CT1362" s="18" t="str">
        <f ca="1"/>
        <v/>
      </c>
      <c r="CV1362" s="10"/>
      <c r="CY1362" s="18" t="str">
        <f ca="1"/>
        <v/>
      </c>
      <c r="CZ1362" s="18" t="str">
        <f ca="1"/>
        <v/>
      </c>
      <c r="DA1362" s="18" t="str">
        <f ca="1"/>
        <v/>
      </c>
      <c r="DC1362" s="10"/>
    </row>
    <row r="1363" spans="1:107" x14ac:dyDescent="0.25">
      <c r="A1363" s="46"/>
      <c r="B1363" s="52"/>
      <c r="C1363" s="52"/>
      <c r="D1363" s="16"/>
      <c r="E1363" s="52"/>
      <c r="F1363" s="52"/>
      <c r="G1363" s="50"/>
      <c r="H1363" s="17" t="str">
        <f ca="1">IFERROR(__xludf.DUMMYFUNCTION("""COMPUTED_VALUE"""),"")</f>
        <v/>
      </c>
      <c r="I1363" s="50" t="s">
        <v>29</v>
      </c>
      <c r="J1363" s="50" t="s">
        <v>29</v>
      </c>
      <c r="K1363" s="50" t="s">
        <v>29</v>
      </c>
      <c r="L1363" s="50" t="s">
        <v>29</v>
      </c>
      <c r="M1363" s="50" t="s">
        <v>29</v>
      </c>
      <c r="N1363" s="49"/>
      <c r="P1363" s="19"/>
      <c r="Q1363" s="18" t="str">
        <f ca="1">IFERROR(__xludf.DUMMYFUNCTION("""COMPUTED_VALUE"""),"")</f>
        <v/>
      </c>
      <c r="R1363" s="19"/>
      <c r="S1363" s="20"/>
      <c r="BP1363" s="10"/>
      <c r="BW1363" s="10"/>
      <c r="CF1363" s="10"/>
      <c r="CM1363" s="10"/>
      <c r="CP1363" s="18" t="str">
        <f ca="1"/>
        <v/>
      </c>
      <c r="CQ1363" s="18" t="str">
        <f ca="1"/>
        <v/>
      </c>
      <c r="CR1363" s="18" t="str">
        <f ca="1"/>
        <v/>
      </c>
      <c r="CS1363" s="18" t="str">
        <f ca="1"/>
        <v/>
      </c>
      <c r="CT1363" s="18" t="str">
        <f ca="1"/>
        <v/>
      </c>
      <c r="CV1363" s="10"/>
      <c r="CY1363" s="18" t="str">
        <f ca="1"/>
        <v/>
      </c>
      <c r="CZ1363" s="18" t="str">
        <f ca="1"/>
        <v/>
      </c>
      <c r="DA1363" s="18" t="str">
        <f ca="1"/>
        <v/>
      </c>
      <c r="DC1363" s="10"/>
    </row>
    <row r="1364" spans="1:107" x14ac:dyDescent="0.25">
      <c r="A1364" s="46"/>
      <c r="B1364" s="52"/>
      <c r="C1364" s="52"/>
      <c r="D1364" s="16"/>
      <c r="E1364" s="52"/>
      <c r="F1364" s="52"/>
      <c r="G1364" s="50"/>
      <c r="H1364" s="17" t="str">
        <f ca="1">IFERROR(__xludf.DUMMYFUNCTION("""COMPUTED_VALUE"""),"")</f>
        <v/>
      </c>
      <c r="I1364" s="50" t="s">
        <v>29</v>
      </c>
      <c r="J1364" s="50" t="s">
        <v>29</v>
      </c>
      <c r="K1364" s="50" t="s">
        <v>29</v>
      </c>
      <c r="L1364" s="50" t="s">
        <v>29</v>
      </c>
      <c r="M1364" s="50" t="s">
        <v>29</v>
      </c>
      <c r="N1364" s="49"/>
      <c r="P1364" s="19"/>
      <c r="Q1364" s="18" t="str">
        <f ca="1">IFERROR(__xludf.DUMMYFUNCTION("""COMPUTED_VALUE"""),"")</f>
        <v/>
      </c>
      <c r="R1364" s="19"/>
      <c r="S1364" s="20"/>
      <c r="BP1364" s="10"/>
      <c r="BW1364" s="10"/>
      <c r="CF1364" s="10"/>
      <c r="CM1364" s="10"/>
      <c r="CP1364" s="18" t="str">
        <f ca="1"/>
        <v/>
      </c>
      <c r="CQ1364" s="18" t="str">
        <f ca="1"/>
        <v/>
      </c>
      <c r="CR1364" s="18" t="str">
        <f ca="1"/>
        <v/>
      </c>
      <c r="CS1364" s="18" t="str">
        <f ca="1"/>
        <v/>
      </c>
      <c r="CT1364" s="18" t="str">
        <f ca="1"/>
        <v/>
      </c>
      <c r="CV1364" s="10"/>
      <c r="CY1364" s="18" t="str">
        <f ca="1"/>
        <v/>
      </c>
      <c r="CZ1364" s="18" t="str">
        <f ca="1"/>
        <v/>
      </c>
      <c r="DA1364" s="18" t="str">
        <f ca="1"/>
        <v/>
      </c>
      <c r="DC1364" s="10"/>
    </row>
    <row r="1365" spans="1:107" x14ac:dyDescent="0.25">
      <c r="A1365" s="46"/>
      <c r="B1365" s="52"/>
      <c r="C1365" s="52"/>
      <c r="D1365" s="16"/>
      <c r="E1365" s="52"/>
      <c r="F1365" s="52"/>
      <c r="G1365" s="50"/>
      <c r="H1365" s="17" t="str">
        <f ca="1">IFERROR(__xludf.DUMMYFUNCTION("""COMPUTED_VALUE"""),"")</f>
        <v/>
      </c>
      <c r="I1365" s="50" t="s">
        <v>29</v>
      </c>
      <c r="J1365" s="50" t="s">
        <v>29</v>
      </c>
      <c r="K1365" s="50" t="s">
        <v>29</v>
      </c>
      <c r="L1365" s="50" t="s">
        <v>29</v>
      </c>
      <c r="M1365" s="50" t="s">
        <v>29</v>
      </c>
      <c r="N1365" s="49"/>
      <c r="P1365" s="19"/>
      <c r="Q1365" s="18" t="str">
        <f ca="1">IFERROR(__xludf.DUMMYFUNCTION("""COMPUTED_VALUE"""),"")</f>
        <v/>
      </c>
      <c r="R1365" s="19"/>
      <c r="S1365" s="20"/>
      <c r="BP1365" s="10"/>
      <c r="BW1365" s="10"/>
      <c r="CF1365" s="10"/>
      <c r="CM1365" s="10"/>
      <c r="CP1365" s="18" t="str">
        <f ca="1"/>
        <v/>
      </c>
      <c r="CQ1365" s="18" t="str">
        <f ca="1"/>
        <v/>
      </c>
      <c r="CR1365" s="18" t="str">
        <f ca="1"/>
        <v/>
      </c>
      <c r="CS1365" s="18" t="str">
        <f ca="1"/>
        <v/>
      </c>
      <c r="CT1365" s="18" t="str">
        <f ca="1"/>
        <v/>
      </c>
      <c r="CV1365" s="10"/>
      <c r="CY1365" s="18" t="str">
        <f ca="1"/>
        <v/>
      </c>
      <c r="CZ1365" s="18" t="str">
        <f ca="1"/>
        <v/>
      </c>
      <c r="DA1365" s="18" t="str">
        <f ca="1"/>
        <v/>
      </c>
      <c r="DC1365" s="10"/>
    </row>
    <row r="1366" spans="1:107" x14ac:dyDescent="0.25">
      <c r="A1366" s="46"/>
      <c r="B1366" s="52"/>
      <c r="C1366" s="52"/>
      <c r="D1366" s="16"/>
      <c r="E1366" s="52"/>
      <c r="F1366" s="52"/>
      <c r="G1366" s="50"/>
      <c r="H1366" s="17" t="str">
        <f ca="1">IFERROR(__xludf.DUMMYFUNCTION("""COMPUTED_VALUE"""),"")</f>
        <v/>
      </c>
      <c r="I1366" s="50" t="s">
        <v>29</v>
      </c>
      <c r="J1366" s="50" t="s">
        <v>29</v>
      </c>
      <c r="K1366" s="50" t="s">
        <v>29</v>
      </c>
      <c r="L1366" s="50" t="s">
        <v>29</v>
      </c>
      <c r="M1366" s="50" t="s">
        <v>29</v>
      </c>
      <c r="N1366" s="49"/>
      <c r="P1366" s="19"/>
      <c r="Q1366" s="18" t="str">
        <f ca="1">IFERROR(__xludf.DUMMYFUNCTION("""COMPUTED_VALUE"""),"")</f>
        <v/>
      </c>
      <c r="R1366" s="19"/>
      <c r="S1366" s="20"/>
      <c r="BP1366" s="10"/>
      <c r="BW1366" s="10"/>
      <c r="CF1366" s="10"/>
      <c r="CM1366" s="10"/>
      <c r="CP1366" s="18" t="str">
        <f ca="1"/>
        <v/>
      </c>
      <c r="CQ1366" s="18" t="str">
        <f ca="1"/>
        <v/>
      </c>
      <c r="CR1366" s="18" t="str">
        <f ca="1"/>
        <v/>
      </c>
      <c r="CS1366" s="18" t="str">
        <f ca="1"/>
        <v/>
      </c>
      <c r="CT1366" s="18" t="str">
        <f ca="1"/>
        <v/>
      </c>
      <c r="CV1366" s="10"/>
      <c r="CY1366" s="18" t="str">
        <f ca="1"/>
        <v/>
      </c>
      <c r="CZ1366" s="18" t="str">
        <f ca="1"/>
        <v/>
      </c>
      <c r="DA1366" s="18" t="str">
        <f ca="1"/>
        <v/>
      </c>
      <c r="DC1366" s="10"/>
    </row>
    <row r="1367" spans="1:107" x14ac:dyDescent="0.25">
      <c r="A1367" s="46"/>
      <c r="B1367" s="52"/>
      <c r="C1367" s="52"/>
      <c r="D1367" s="16"/>
      <c r="E1367" s="52"/>
      <c r="F1367" s="52"/>
      <c r="G1367" s="50"/>
      <c r="H1367" s="17" t="str">
        <f ca="1">IFERROR(__xludf.DUMMYFUNCTION("""COMPUTED_VALUE"""),"")</f>
        <v/>
      </c>
      <c r="I1367" s="50" t="s">
        <v>29</v>
      </c>
      <c r="J1367" s="50" t="s">
        <v>29</v>
      </c>
      <c r="K1367" s="50" t="s">
        <v>29</v>
      </c>
      <c r="L1367" s="50" t="s">
        <v>29</v>
      </c>
      <c r="M1367" s="50" t="s">
        <v>29</v>
      </c>
      <c r="N1367" s="49"/>
      <c r="P1367" s="19"/>
      <c r="Q1367" s="18" t="str">
        <f ca="1">IFERROR(__xludf.DUMMYFUNCTION("""COMPUTED_VALUE"""),"")</f>
        <v/>
      </c>
      <c r="R1367" s="19"/>
      <c r="S1367" s="20"/>
      <c r="BP1367" s="10"/>
      <c r="BW1367" s="10"/>
      <c r="CF1367" s="10"/>
      <c r="CM1367" s="10"/>
      <c r="CP1367" s="18" t="str">
        <f ca="1"/>
        <v/>
      </c>
      <c r="CQ1367" s="18" t="str">
        <f ca="1"/>
        <v/>
      </c>
      <c r="CR1367" s="18" t="str">
        <f ca="1"/>
        <v/>
      </c>
      <c r="CS1367" s="18" t="str">
        <f ca="1"/>
        <v/>
      </c>
      <c r="CT1367" s="18" t="str">
        <f ca="1"/>
        <v/>
      </c>
      <c r="CV1367" s="10"/>
      <c r="CY1367" s="18" t="str">
        <f ca="1"/>
        <v/>
      </c>
      <c r="CZ1367" s="18" t="str">
        <f ca="1"/>
        <v/>
      </c>
      <c r="DA1367" s="18" t="str">
        <f ca="1"/>
        <v/>
      </c>
      <c r="DC1367" s="10"/>
    </row>
    <row r="1368" spans="1:107" x14ac:dyDescent="0.25">
      <c r="A1368" s="46"/>
      <c r="B1368" s="52"/>
      <c r="C1368" s="52"/>
      <c r="D1368" s="16"/>
      <c r="E1368" s="52"/>
      <c r="F1368" s="52"/>
      <c r="G1368" s="50"/>
      <c r="H1368" s="17" t="str">
        <f ca="1">IFERROR(__xludf.DUMMYFUNCTION("""COMPUTED_VALUE"""),"")</f>
        <v/>
      </c>
      <c r="I1368" s="50" t="s">
        <v>29</v>
      </c>
      <c r="J1368" s="50" t="s">
        <v>29</v>
      </c>
      <c r="K1368" s="50" t="s">
        <v>29</v>
      </c>
      <c r="L1368" s="50" t="s">
        <v>29</v>
      </c>
      <c r="M1368" s="50" t="s">
        <v>29</v>
      </c>
      <c r="N1368" s="49"/>
      <c r="P1368" s="19"/>
      <c r="Q1368" s="18" t="str">
        <f ca="1">IFERROR(__xludf.DUMMYFUNCTION("""COMPUTED_VALUE"""),"")</f>
        <v/>
      </c>
      <c r="R1368" s="19"/>
      <c r="S1368" s="20"/>
      <c r="BP1368" s="10"/>
      <c r="BW1368" s="10"/>
      <c r="CF1368" s="10"/>
      <c r="CM1368" s="10"/>
      <c r="CP1368" s="18" t="str">
        <f ca="1"/>
        <v/>
      </c>
      <c r="CQ1368" s="18" t="str">
        <f ca="1"/>
        <v/>
      </c>
      <c r="CR1368" s="18" t="str">
        <f ca="1"/>
        <v/>
      </c>
      <c r="CS1368" s="18" t="str">
        <f ca="1"/>
        <v/>
      </c>
      <c r="CT1368" s="18" t="str">
        <f ca="1"/>
        <v/>
      </c>
      <c r="CV1368" s="10"/>
      <c r="CY1368" s="18" t="str">
        <f ca="1"/>
        <v/>
      </c>
      <c r="CZ1368" s="18" t="str">
        <f ca="1"/>
        <v/>
      </c>
      <c r="DA1368" s="18" t="str">
        <f ca="1"/>
        <v/>
      </c>
      <c r="DC1368" s="10"/>
    </row>
    <row r="1369" spans="1:107" x14ac:dyDescent="0.25">
      <c r="A1369" s="46"/>
      <c r="B1369" s="52"/>
      <c r="C1369" s="52"/>
      <c r="D1369" s="16"/>
      <c r="E1369" s="52"/>
      <c r="F1369" s="52"/>
      <c r="G1369" s="50"/>
      <c r="H1369" s="17" t="str">
        <f ca="1">IFERROR(__xludf.DUMMYFUNCTION("""COMPUTED_VALUE"""),"")</f>
        <v/>
      </c>
      <c r="I1369" s="50" t="s">
        <v>29</v>
      </c>
      <c r="J1369" s="50" t="s">
        <v>29</v>
      </c>
      <c r="K1369" s="50" t="s">
        <v>29</v>
      </c>
      <c r="L1369" s="50" t="s">
        <v>29</v>
      </c>
      <c r="M1369" s="50" t="s">
        <v>29</v>
      </c>
      <c r="N1369" s="49"/>
      <c r="P1369" s="19"/>
      <c r="Q1369" s="18" t="str">
        <f ca="1">IFERROR(__xludf.DUMMYFUNCTION("""COMPUTED_VALUE"""),"")</f>
        <v/>
      </c>
      <c r="R1369" s="19"/>
      <c r="S1369" s="20"/>
      <c r="BP1369" s="10"/>
      <c r="BW1369" s="10"/>
      <c r="CF1369" s="10"/>
      <c r="CM1369" s="10"/>
      <c r="CP1369" s="18" t="str">
        <f ca="1"/>
        <v/>
      </c>
      <c r="CQ1369" s="18" t="str">
        <f ca="1"/>
        <v/>
      </c>
      <c r="CR1369" s="18" t="str">
        <f ca="1"/>
        <v/>
      </c>
      <c r="CS1369" s="18" t="str">
        <f ca="1"/>
        <v/>
      </c>
      <c r="CT1369" s="18" t="str">
        <f ca="1"/>
        <v/>
      </c>
      <c r="CV1369" s="10"/>
      <c r="CY1369" s="18" t="str">
        <f ca="1"/>
        <v/>
      </c>
      <c r="CZ1369" s="18" t="str">
        <f ca="1"/>
        <v/>
      </c>
      <c r="DA1369" s="18" t="str">
        <f ca="1"/>
        <v/>
      </c>
      <c r="DC1369" s="10"/>
    </row>
    <row r="1370" spans="1:107" x14ac:dyDescent="0.25">
      <c r="A1370" s="46"/>
      <c r="B1370" s="52"/>
      <c r="C1370" s="52"/>
      <c r="D1370" s="16"/>
      <c r="E1370" s="52"/>
      <c r="F1370" s="52"/>
      <c r="G1370" s="50"/>
      <c r="H1370" s="17" t="str">
        <f ca="1">IFERROR(__xludf.DUMMYFUNCTION("""COMPUTED_VALUE"""),"")</f>
        <v/>
      </c>
      <c r="I1370" s="50" t="s">
        <v>29</v>
      </c>
      <c r="J1370" s="50" t="s">
        <v>29</v>
      </c>
      <c r="K1370" s="50" t="s">
        <v>29</v>
      </c>
      <c r="L1370" s="50" t="s">
        <v>29</v>
      </c>
      <c r="M1370" s="50" t="s">
        <v>29</v>
      </c>
      <c r="N1370" s="49"/>
      <c r="P1370" s="19"/>
      <c r="Q1370" s="18" t="str">
        <f ca="1">IFERROR(__xludf.DUMMYFUNCTION("""COMPUTED_VALUE"""),"")</f>
        <v/>
      </c>
      <c r="R1370" s="19"/>
      <c r="S1370" s="20"/>
      <c r="BP1370" s="10"/>
      <c r="BW1370" s="10"/>
      <c r="CF1370" s="10"/>
      <c r="CM1370" s="10"/>
      <c r="CP1370" s="18" t="str">
        <f ca="1"/>
        <v/>
      </c>
      <c r="CQ1370" s="18" t="str">
        <f ca="1"/>
        <v/>
      </c>
      <c r="CR1370" s="18" t="str">
        <f ca="1"/>
        <v/>
      </c>
      <c r="CS1370" s="18" t="str">
        <f ca="1"/>
        <v/>
      </c>
      <c r="CT1370" s="18" t="str">
        <f ca="1"/>
        <v/>
      </c>
      <c r="CV1370" s="10"/>
      <c r="CY1370" s="18" t="str">
        <f ca="1"/>
        <v/>
      </c>
      <c r="CZ1370" s="18" t="str">
        <f ca="1"/>
        <v/>
      </c>
      <c r="DA1370" s="18" t="str">
        <f ca="1"/>
        <v/>
      </c>
      <c r="DC1370" s="10"/>
    </row>
    <row r="1371" spans="1:107" x14ac:dyDescent="0.25">
      <c r="A1371" s="46"/>
      <c r="B1371" s="52"/>
      <c r="C1371" s="52"/>
      <c r="D1371" s="16"/>
      <c r="E1371" s="52"/>
      <c r="F1371" s="52"/>
      <c r="G1371" s="50"/>
      <c r="H1371" s="17" t="str">
        <f ca="1">IFERROR(__xludf.DUMMYFUNCTION("""COMPUTED_VALUE"""),"")</f>
        <v/>
      </c>
      <c r="I1371" s="50" t="s">
        <v>29</v>
      </c>
      <c r="J1371" s="50" t="s">
        <v>29</v>
      </c>
      <c r="K1371" s="50" t="s">
        <v>29</v>
      </c>
      <c r="L1371" s="50" t="s">
        <v>29</v>
      </c>
      <c r="M1371" s="50" t="s">
        <v>29</v>
      </c>
      <c r="N1371" s="49"/>
      <c r="P1371" s="19"/>
      <c r="Q1371" s="18" t="str">
        <f ca="1">IFERROR(__xludf.DUMMYFUNCTION("""COMPUTED_VALUE"""),"")</f>
        <v/>
      </c>
      <c r="R1371" s="19"/>
      <c r="S1371" s="20"/>
      <c r="BP1371" s="10"/>
      <c r="BW1371" s="10"/>
      <c r="CF1371" s="10"/>
      <c r="CM1371" s="10"/>
      <c r="CP1371" s="18" t="str">
        <f ca="1"/>
        <v/>
      </c>
      <c r="CQ1371" s="18" t="str">
        <f ca="1"/>
        <v/>
      </c>
      <c r="CR1371" s="18" t="str">
        <f ca="1"/>
        <v/>
      </c>
      <c r="CS1371" s="18" t="str">
        <f ca="1"/>
        <v/>
      </c>
      <c r="CT1371" s="18" t="str">
        <f ca="1"/>
        <v/>
      </c>
      <c r="CV1371" s="10"/>
      <c r="CY1371" s="18" t="str">
        <f ca="1"/>
        <v/>
      </c>
      <c r="CZ1371" s="18" t="str">
        <f ca="1"/>
        <v/>
      </c>
      <c r="DA1371" s="18" t="str">
        <f ca="1"/>
        <v/>
      </c>
      <c r="DC1371" s="10"/>
    </row>
    <row r="1372" spans="1:107" x14ac:dyDescent="0.25">
      <c r="A1372" s="46"/>
      <c r="B1372" s="52"/>
      <c r="C1372" s="52"/>
      <c r="D1372" s="16"/>
      <c r="E1372" s="52"/>
      <c r="F1372" s="52"/>
      <c r="G1372" s="50"/>
      <c r="H1372" s="17" t="str">
        <f ca="1">IFERROR(__xludf.DUMMYFUNCTION("""COMPUTED_VALUE"""),"")</f>
        <v/>
      </c>
      <c r="I1372" s="50" t="s">
        <v>29</v>
      </c>
      <c r="J1372" s="50" t="s">
        <v>29</v>
      </c>
      <c r="K1372" s="50" t="s">
        <v>29</v>
      </c>
      <c r="L1372" s="50" t="s">
        <v>29</v>
      </c>
      <c r="M1372" s="50" t="s">
        <v>29</v>
      </c>
      <c r="N1372" s="49"/>
      <c r="P1372" s="19"/>
      <c r="Q1372" s="18" t="str">
        <f ca="1">IFERROR(__xludf.DUMMYFUNCTION("""COMPUTED_VALUE"""),"")</f>
        <v/>
      </c>
      <c r="R1372" s="19"/>
      <c r="S1372" s="20"/>
      <c r="BP1372" s="10"/>
      <c r="BW1372" s="10"/>
      <c r="CF1372" s="10"/>
      <c r="CM1372" s="10"/>
      <c r="CP1372" s="18" t="str">
        <f ca="1"/>
        <v/>
      </c>
      <c r="CQ1372" s="18" t="str">
        <f ca="1"/>
        <v/>
      </c>
      <c r="CR1372" s="18" t="str">
        <f ca="1"/>
        <v/>
      </c>
      <c r="CS1372" s="18" t="str">
        <f ca="1"/>
        <v/>
      </c>
      <c r="CT1372" s="18" t="str">
        <f ca="1"/>
        <v/>
      </c>
      <c r="CV1372" s="10"/>
      <c r="CY1372" s="18" t="str">
        <f ca="1"/>
        <v/>
      </c>
      <c r="CZ1372" s="18" t="str">
        <f ca="1"/>
        <v/>
      </c>
      <c r="DA1372" s="18" t="str">
        <f ca="1"/>
        <v/>
      </c>
      <c r="DC1372" s="10"/>
    </row>
    <row r="1373" spans="1:107" x14ac:dyDescent="0.25">
      <c r="A1373" s="46"/>
      <c r="B1373" s="52"/>
      <c r="C1373" s="52"/>
      <c r="D1373" s="16"/>
      <c r="E1373" s="52"/>
      <c r="F1373" s="52"/>
      <c r="G1373" s="50"/>
      <c r="H1373" s="17" t="str">
        <f ca="1">IFERROR(__xludf.DUMMYFUNCTION("""COMPUTED_VALUE"""),"")</f>
        <v/>
      </c>
      <c r="I1373" s="50" t="s">
        <v>29</v>
      </c>
      <c r="J1373" s="50" t="s">
        <v>29</v>
      </c>
      <c r="K1373" s="50" t="s">
        <v>29</v>
      </c>
      <c r="L1373" s="50" t="s">
        <v>29</v>
      </c>
      <c r="M1373" s="50" t="s">
        <v>29</v>
      </c>
      <c r="N1373" s="49"/>
      <c r="P1373" s="19"/>
      <c r="Q1373" s="18" t="str">
        <f ca="1">IFERROR(__xludf.DUMMYFUNCTION("""COMPUTED_VALUE"""),"")</f>
        <v/>
      </c>
      <c r="R1373" s="19"/>
      <c r="S1373" s="20"/>
      <c r="BP1373" s="10"/>
      <c r="BW1373" s="10"/>
      <c r="CF1373" s="10"/>
      <c r="CM1373" s="10"/>
      <c r="CP1373" s="18" t="str">
        <f ca="1"/>
        <v/>
      </c>
      <c r="CQ1373" s="18" t="str">
        <f ca="1"/>
        <v/>
      </c>
      <c r="CR1373" s="18" t="str">
        <f ca="1"/>
        <v/>
      </c>
      <c r="CS1373" s="18" t="str">
        <f ca="1"/>
        <v/>
      </c>
      <c r="CT1373" s="18" t="str">
        <f ca="1"/>
        <v/>
      </c>
      <c r="CV1373" s="10"/>
      <c r="CY1373" s="18" t="str">
        <f ca="1"/>
        <v/>
      </c>
      <c r="CZ1373" s="18" t="str">
        <f ca="1"/>
        <v/>
      </c>
      <c r="DA1373" s="18" t="str">
        <f ca="1"/>
        <v/>
      </c>
      <c r="DC1373" s="10"/>
    </row>
    <row r="1374" spans="1:107" x14ac:dyDescent="0.25">
      <c r="A1374" s="46"/>
      <c r="B1374" s="52"/>
      <c r="C1374" s="52"/>
      <c r="D1374" s="16"/>
      <c r="E1374" s="52"/>
      <c r="F1374" s="52"/>
      <c r="G1374" s="50"/>
      <c r="H1374" s="17" t="str">
        <f ca="1">IFERROR(__xludf.DUMMYFUNCTION("""COMPUTED_VALUE"""),"")</f>
        <v/>
      </c>
      <c r="I1374" s="50" t="s">
        <v>29</v>
      </c>
      <c r="J1374" s="50" t="s">
        <v>29</v>
      </c>
      <c r="K1374" s="50" t="s">
        <v>29</v>
      </c>
      <c r="L1374" s="50" t="s">
        <v>29</v>
      </c>
      <c r="M1374" s="50" t="s">
        <v>29</v>
      </c>
      <c r="N1374" s="49"/>
      <c r="P1374" s="19"/>
      <c r="Q1374" s="18" t="str">
        <f ca="1">IFERROR(__xludf.DUMMYFUNCTION("""COMPUTED_VALUE"""),"")</f>
        <v/>
      </c>
      <c r="R1374" s="19"/>
      <c r="S1374" s="20"/>
      <c r="BP1374" s="10"/>
      <c r="BW1374" s="10"/>
      <c r="CF1374" s="10"/>
      <c r="CM1374" s="10"/>
      <c r="CP1374" s="18" t="str">
        <f ca="1"/>
        <v/>
      </c>
      <c r="CQ1374" s="18" t="str">
        <f ca="1"/>
        <v/>
      </c>
      <c r="CR1374" s="18" t="str">
        <f ca="1"/>
        <v/>
      </c>
      <c r="CS1374" s="18" t="str">
        <f ca="1"/>
        <v/>
      </c>
      <c r="CT1374" s="18" t="str">
        <f ca="1"/>
        <v/>
      </c>
      <c r="CV1374" s="10"/>
      <c r="CY1374" s="18" t="str">
        <f ca="1"/>
        <v/>
      </c>
      <c r="CZ1374" s="18" t="str">
        <f ca="1"/>
        <v/>
      </c>
      <c r="DA1374" s="18" t="str">
        <f ca="1"/>
        <v/>
      </c>
      <c r="DC1374" s="10"/>
    </row>
    <row r="1375" spans="1:107" x14ac:dyDescent="0.25">
      <c r="A1375" s="46"/>
      <c r="B1375" s="52"/>
      <c r="C1375" s="52"/>
      <c r="D1375" s="16"/>
      <c r="E1375" s="52"/>
      <c r="F1375" s="52"/>
      <c r="G1375" s="50"/>
      <c r="H1375" s="17" t="str">
        <f ca="1">IFERROR(__xludf.DUMMYFUNCTION("""COMPUTED_VALUE"""),"")</f>
        <v/>
      </c>
      <c r="I1375" s="50" t="s">
        <v>29</v>
      </c>
      <c r="J1375" s="50" t="s">
        <v>29</v>
      </c>
      <c r="K1375" s="50" t="s">
        <v>29</v>
      </c>
      <c r="L1375" s="50" t="s">
        <v>29</v>
      </c>
      <c r="M1375" s="50" t="s">
        <v>29</v>
      </c>
      <c r="N1375" s="49"/>
      <c r="P1375" s="19"/>
      <c r="Q1375" s="18" t="str">
        <f ca="1">IFERROR(__xludf.DUMMYFUNCTION("""COMPUTED_VALUE"""),"")</f>
        <v/>
      </c>
      <c r="R1375" s="19"/>
      <c r="S1375" s="20"/>
      <c r="BP1375" s="10"/>
      <c r="BW1375" s="10"/>
      <c r="CF1375" s="10"/>
      <c r="CM1375" s="10"/>
      <c r="CP1375" s="18" t="str">
        <f ca="1"/>
        <v/>
      </c>
      <c r="CQ1375" s="18" t="str">
        <f ca="1"/>
        <v/>
      </c>
      <c r="CR1375" s="18" t="str">
        <f ca="1"/>
        <v/>
      </c>
      <c r="CS1375" s="18" t="str">
        <f ca="1"/>
        <v/>
      </c>
      <c r="CT1375" s="18" t="str">
        <f ca="1"/>
        <v/>
      </c>
      <c r="CV1375" s="10"/>
      <c r="CY1375" s="18" t="str">
        <f ca="1"/>
        <v/>
      </c>
      <c r="CZ1375" s="18" t="str">
        <f ca="1"/>
        <v/>
      </c>
      <c r="DA1375" s="18" t="str">
        <f ca="1"/>
        <v/>
      </c>
      <c r="DC1375" s="10"/>
    </row>
    <row r="1376" spans="1:107" x14ac:dyDescent="0.25">
      <c r="A1376" s="46"/>
      <c r="B1376" s="52"/>
      <c r="C1376" s="52"/>
      <c r="D1376" s="16"/>
      <c r="E1376" s="52"/>
      <c r="F1376" s="52"/>
      <c r="G1376" s="50"/>
      <c r="H1376" s="17" t="str">
        <f ca="1">IFERROR(__xludf.DUMMYFUNCTION("""COMPUTED_VALUE"""),"")</f>
        <v/>
      </c>
      <c r="I1376" s="50" t="s">
        <v>29</v>
      </c>
      <c r="J1376" s="50" t="s">
        <v>29</v>
      </c>
      <c r="K1376" s="50" t="s">
        <v>29</v>
      </c>
      <c r="L1376" s="50" t="s">
        <v>29</v>
      </c>
      <c r="M1376" s="50" t="s">
        <v>29</v>
      </c>
      <c r="N1376" s="49"/>
      <c r="P1376" s="19"/>
      <c r="Q1376" s="18" t="str">
        <f ca="1">IFERROR(__xludf.DUMMYFUNCTION("""COMPUTED_VALUE"""),"")</f>
        <v/>
      </c>
      <c r="R1376" s="19"/>
      <c r="S1376" s="20"/>
      <c r="BP1376" s="10"/>
      <c r="BW1376" s="10"/>
      <c r="CF1376" s="10"/>
      <c r="CM1376" s="10"/>
      <c r="CP1376" s="18" t="str">
        <f ca="1"/>
        <v/>
      </c>
      <c r="CQ1376" s="18" t="str">
        <f ca="1"/>
        <v/>
      </c>
      <c r="CR1376" s="18" t="str">
        <f ca="1"/>
        <v/>
      </c>
      <c r="CS1376" s="18" t="str">
        <f ca="1"/>
        <v/>
      </c>
      <c r="CT1376" s="18" t="str">
        <f ca="1"/>
        <v/>
      </c>
      <c r="CV1376" s="10"/>
      <c r="CY1376" s="18" t="str">
        <f ca="1"/>
        <v/>
      </c>
      <c r="CZ1376" s="18" t="str">
        <f ca="1"/>
        <v/>
      </c>
      <c r="DA1376" s="18" t="str">
        <f ca="1"/>
        <v/>
      </c>
      <c r="DC1376" s="10"/>
    </row>
    <row r="1377" spans="1:107" x14ac:dyDescent="0.25">
      <c r="A1377" s="46"/>
      <c r="B1377" s="52"/>
      <c r="C1377" s="52"/>
      <c r="D1377" s="16"/>
      <c r="E1377" s="52"/>
      <c r="F1377" s="52"/>
      <c r="G1377" s="50"/>
      <c r="H1377" s="17" t="str">
        <f ca="1">IFERROR(__xludf.DUMMYFUNCTION("""COMPUTED_VALUE"""),"")</f>
        <v/>
      </c>
      <c r="I1377" s="50" t="s">
        <v>29</v>
      </c>
      <c r="J1377" s="50" t="s">
        <v>29</v>
      </c>
      <c r="K1377" s="50" t="s">
        <v>29</v>
      </c>
      <c r="L1377" s="50" t="s">
        <v>29</v>
      </c>
      <c r="M1377" s="50" t="s">
        <v>29</v>
      </c>
      <c r="N1377" s="49"/>
      <c r="P1377" s="19"/>
      <c r="Q1377" s="18" t="str">
        <f ca="1">IFERROR(__xludf.DUMMYFUNCTION("""COMPUTED_VALUE"""),"")</f>
        <v/>
      </c>
      <c r="R1377" s="19"/>
      <c r="S1377" s="20"/>
      <c r="BP1377" s="10"/>
      <c r="BW1377" s="10"/>
      <c r="CF1377" s="10"/>
      <c r="CM1377" s="10"/>
      <c r="CP1377" s="18" t="str">
        <f ca="1"/>
        <v/>
      </c>
      <c r="CQ1377" s="18" t="str">
        <f ca="1"/>
        <v/>
      </c>
      <c r="CR1377" s="18" t="str">
        <f ca="1"/>
        <v/>
      </c>
      <c r="CS1377" s="18" t="str">
        <f ca="1"/>
        <v/>
      </c>
      <c r="CT1377" s="18" t="str">
        <f ca="1"/>
        <v/>
      </c>
      <c r="CV1377" s="10"/>
      <c r="CY1377" s="18" t="str">
        <f ca="1"/>
        <v/>
      </c>
      <c r="CZ1377" s="18" t="str">
        <f ca="1"/>
        <v/>
      </c>
      <c r="DA1377" s="18" t="str">
        <f ca="1"/>
        <v/>
      </c>
      <c r="DC1377" s="10"/>
    </row>
    <row r="1378" spans="1:107" x14ac:dyDescent="0.25">
      <c r="A1378" s="46"/>
      <c r="B1378" s="52"/>
      <c r="C1378" s="52"/>
      <c r="D1378" s="16"/>
      <c r="E1378" s="52"/>
      <c r="F1378" s="52"/>
      <c r="G1378" s="50"/>
      <c r="H1378" s="17" t="str">
        <f ca="1">IFERROR(__xludf.DUMMYFUNCTION("""COMPUTED_VALUE"""),"")</f>
        <v/>
      </c>
      <c r="I1378" s="50" t="s">
        <v>29</v>
      </c>
      <c r="J1378" s="50" t="s">
        <v>29</v>
      </c>
      <c r="K1378" s="50" t="s">
        <v>29</v>
      </c>
      <c r="L1378" s="50" t="s">
        <v>29</v>
      </c>
      <c r="M1378" s="50" t="s">
        <v>29</v>
      </c>
      <c r="N1378" s="49"/>
      <c r="P1378" s="19"/>
      <c r="Q1378" s="18" t="str">
        <f ca="1">IFERROR(__xludf.DUMMYFUNCTION("""COMPUTED_VALUE"""),"")</f>
        <v/>
      </c>
      <c r="R1378" s="19"/>
      <c r="S1378" s="20"/>
      <c r="BP1378" s="10"/>
      <c r="BW1378" s="10"/>
      <c r="CF1378" s="10"/>
      <c r="CM1378" s="10"/>
      <c r="CP1378" s="18" t="str">
        <f ca="1"/>
        <v/>
      </c>
      <c r="CQ1378" s="18" t="str">
        <f ca="1"/>
        <v/>
      </c>
      <c r="CR1378" s="18" t="str">
        <f ca="1"/>
        <v/>
      </c>
      <c r="CS1378" s="18" t="str">
        <f ca="1"/>
        <v/>
      </c>
      <c r="CT1378" s="18" t="str">
        <f ca="1"/>
        <v/>
      </c>
      <c r="CV1378" s="10"/>
      <c r="CY1378" s="18" t="str">
        <f ca="1"/>
        <v/>
      </c>
      <c r="CZ1378" s="18" t="str">
        <f ca="1"/>
        <v/>
      </c>
      <c r="DA1378" s="18" t="str">
        <f ca="1"/>
        <v/>
      </c>
      <c r="DC1378" s="10"/>
    </row>
    <row r="1379" spans="1:107" x14ac:dyDescent="0.25">
      <c r="A1379" s="46"/>
      <c r="B1379" s="52"/>
      <c r="C1379" s="52"/>
      <c r="D1379" s="16"/>
      <c r="E1379" s="52"/>
      <c r="F1379" s="52"/>
      <c r="G1379" s="50"/>
      <c r="H1379" s="17" t="str">
        <f ca="1">IFERROR(__xludf.DUMMYFUNCTION("""COMPUTED_VALUE"""),"")</f>
        <v/>
      </c>
      <c r="I1379" s="50" t="s">
        <v>29</v>
      </c>
      <c r="J1379" s="50" t="s">
        <v>29</v>
      </c>
      <c r="K1379" s="50" t="s">
        <v>29</v>
      </c>
      <c r="L1379" s="50" t="s">
        <v>29</v>
      </c>
      <c r="M1379" s="50" t="s">
        <v>29</v>
      </c>
      <c r="N1379" s="49"/>
      <c r="P1379" s="19"/>
      <c r="Q1379" s="18" t="str">
        <f ca="1">IFERROR(__xludf.DUMMYFUNCTION("""COMPUTED_VALUE"""),"")</f>
        <v/>
      </c>
      <c r="R1379" s="19"/>
      <c r="S1379" s="20"/>
      <c r="BP1379" s="10"/>
      <c r="BW1379" s="10"/>
      <c r="CF1379" s="10"/>
      <c r="CM1379" s="10"/>
      <c r="CP1379" s="18" t="str">
        <f ca="1"/>
        <v/>
      </c>
      <c r="CQ1379" s="18" t="str">
        <f ca="1"/>
        <v/>
      </c>
      <c r="CR1379" s="18" t="str">
        <f ca="1"/>
        <v/>
      </c>
      <c r="CS1379" s="18" t="str">
        <f ca="1"/>
        <v/>
      </c>
      <c r="CT1379" s="18" t="str">
        <f ca="1"/>
        <v/>
      </c>
      <c r="CV1379" s="10"/>
      <c r="CY1379" s="18" t="str">
        <f ca="1"/>
        <v/>
      </c>
      <c r="CZ1379" s="18" t="str">
        <f ca="1"/>
        <v/>
      </c>
      <c r="DA1379" s="18" t="str">
        <f ca="1"/>
        <v/>
      </c>
      <c r="DC1379" s="10"/>
    </row>
    <row r="1380" spans="1:107" x14ac:dyDescent="0.25">
      <c r="A1380" s="46"/>
      <c r="B1380" s="52"/>
      <c r="C1380" s="52"/>
      <c r="D1380" s="16"/>
      <c r="E1380" s="52"/>
      <c r="F1380" s="52"/>
      <c r="G1380" s="50"/>
      <c r="H1380" s="17" t="str">
        <f ca="1">IFERROR(__xludf.DUMMYFUNCTION("""COMPUTED_VALUE"""),"")</f>
        <v/>
      </c>
      <c r="I1380" s="50" t="s">
        <v>29</v>
      </c>
      <c r="J1380" s="50" t="s">
        <v>29</v>
      </c>
      <c r="K1380" s="50" t="s">
        <v>29</v>
      </c>
      <c r="L1380" s="50" t="s">
        <v>29</v>
      </c>
      <c r="M1380" s="50" t="s">
        <v>29</v>
      </c>
      <c r="N1380" s="49"/>
      <c r="P1380" s="19"/>
      <c r="Q1380" s="18" t="str">
        <f ca="1">IFERROR(__xludf.DUMMYFUNCTION("""COMPUTED_VALUE"""),"")</f>
        <v/>
      </c>
      <c r="R1380" s="19"/>
      <c r="S1380" s="20"/>
      <c r="BP1380" s="10"/>
      <c r="BW1380" s="10"/>
      <c r="CF1380" s="10"/>
      <c r="CM1380" s="10"/>
      <c r="CP1380" s="18" t="str">
        <f ca="1"/>
        <v/>
      </c>
      <c r="CQ1380" s="18" t="str">
        <f ca="1"/>
        <v/>
      </c>
      <c r="CR1380" s="18" t="str">
        <f ca="1"/>
        <v/>
      </c>
      <c r="CS1380" s="18" t="str">
        <f ca="1"/>
        <v/>
      </c>
      <c r="CT1380" s="18" t="str">
        <f ca="1"/>
        <v/>
      </c>
      <c r="CV1380" s="10"/>
      <c r="CY1380" s="18" t="str">
        <f ca="1"/>
        <v/>
      </c>
      <c r="CZ1380" s="18" t="str">
        <f ca="1"/>
        <v/>
      </c>
      <c r="DA1380" s="18" t="str">
        <f ca="1"/>
        <v/>
      </c>
      <c r="DC1380" s="10"/>
    </row>
    <row r="1381" spans="1:107" x14ac:dyDescent="0.25">
      <c r="A1381" s="46"/>
      <c r="B1381" s="52"/>
      <c r="C1381" s="52"/>
      <c r="D1381" s="16"/>
      <c r="E1381" s="52"/>
      <c r="F1381" s="52"/>
      <c r="G1381" s="50"/>
      <c r="H1381" s="17" t="str">
        <f ca="1">IFERROR(__xludf.DUMMYFUNCTION("""COMPUTED_VALUE"""),"")</f>
        <v/>
      </c>
      <c r="I1381" s="50" t="s">
        <v>29</v>
      </c>
      <c r="J1381" s="50" t="s">
        <v>29</v>
      </c>
      <c r="K1381" s="50" t="s">
        <v>29</v>
      </c>
      <c r="L1381" s="50" t="s">
        <v>29</v>
      </c>
      <c r="M1381" s="50" t="s">
        <v>29</v>
      </c>
      <c r="N1381" s="49"/>
      <c r="P1381" s="19"/>
      <c r="Q1381" s="18" t="str">
        <f ca="1">IFERROR(__xludf.DUMMYFUNCTION("""COMPUTED_VALUE"""),"")</f>
        <v/>
      </c>
      <c r="R1381" s="19"/>
      <c r="S1381" s="20"/>
      <c r="BP1381" s="10"/>
      <c r="BW1381" s="10"/>
      <c r="CF1381" s="10"/>
      <c r="CM1381" s="10"/>
      <c r="CP1381" s="18" t="str">
        <f ca="1"/>
        <v/>
      </c>
      <c r="CQ1381" s="18" t="str">
        <f ca="1"/>
        <v/>
      </c>
      <c r="CR1381" s="18" t="str">
        <f ca="1"/>
        <v/>
      </c>
      <c r="CS1381" s="18" t="str">
        <f ca="1"/>
        <v/>
      </c>
      <c r="CT1381" s="18" t="str">
        <f ca="1"/>
        <v/>
      </c>
      <c r="CV1381" s="10"/>
      <c r="CY1381" s="18" t="str">
        <f ca="1"/>
        <v/>
      </c>
      <c r="CZ1381" s="18" t="str">
        <f ca="1"/>
        <v/>
      </c>
      <c r="DA1381" s="18" t="str">
        <f ca="1"/>
        <v/>
      </c>
      <c r="DC1381" s="10"/>
    </row>
    <row r="1382" spans="1:107" x14ac:dyDescent="0.25">
      <c r="A1382" s="46"/>
      <c r="B1382" s="52"/>
      <c r="C1382" s="52"/>
      <c r="D1382" s="16"/>
      <c r="E1382" s="52"/>
      <c r="F1382" s="52"/>
      <c r="G1382" s="50"/>
      <c r="H1382" s="17" t="str">
        <f ca="1">IFERROR(__xludf.DUMMYFUNCTION("""COMPUTED_VALUE"""),"")</f>
        <v/>
      </c>
      <c r="I1382" s="50" t="s">
        <v>29</v>
      </c>
      <c r="J1382" s="50" t="s">
        <v>29</v>
      </c>
      <c r="K1382" s="50" t="s">
        <v>29</v>
      </c>
      <c r="L1382" s="50" t="s">
        <v>29</v>
      </c>
      <c r="M1382" s="50" t="s">
        <v>29</v>
      </c>
      <c r="N1382" s="49"/>
      <c r="P1382" s="19"/>
      <c r="Q1382" s="18" t="str">
        <f ca="1">IFERROR(__xludf.DUMMYFUNCTION("""COMPUTED_VALUE"""),"")</f>
        <v/>
      </c>
      <c r="R1382" s="19"/>
      <c r="S1382" s="20"/>
      <c r="BP1382" s="10"/>
      <c r="BW1382" s="10"/>
      <c r="CF1382" s="10"/>
      <c r="CM1382" s="10"/>
      <c r="CP1382" s="18" t="str">
        <f ca="1"/>
        <v/>
      </c>
      <c r="CQ1382" s="18" t="str">
        <f ca="1"/>
        <v/>
      </c>
      <c r="CR1382" s="18" t="str">
        <f ca="1"/>
        <v/>
      </c>
      <c r="CS1382" s="18" t="str">
        <f ca="1"/>
        <v/>
      </c>
      <c r="CT1382" s="18" t="str">
        <f ca="1"/>
        <v/>
      </c>
      <c r="CV1382" s="10"/>
      <c r="CY1382" s="18" t="str">
        <f ca="1"/>
        <v/>
      </c>
      <c r="CZ1382" s="18" t="str">
        <f ca="1"/>
        <v/>
      </c>
      <c r="DA1382" s="18" t="str">
        <f ca="1"/>
        <v/>
      </c>
      <c r="DC1382" s="10"/>
    </row>
    <row r="1383" spans="1:107" x14ac:dyDescent="0.25">
      <c r="A1383" s="46"/>
      <c r="B1383" s="52"/>
      <c r="C1383" s="52"/>
      <c r="D1383" s="16"/>
      <c r="E1383" s="52"/>
      <c r="F1383" s="52"/>
      <c r="G1383" s="50"/>
      <c r="H1383" s="17" t="str">
        <f ca="1">IFERROR(__xludf.DUMMYFUNCTION("""COMPUTED_VALUE"""),"")</f>
        <v/>
      </c>
      <c r="I1383" s="50" t="s">
        <v>29</v>
      </c>
      <c r="J1383" s="50" t="s">
        <v>29</v>
      </c>
      <c r="K1383" s="50" t="s">
        <v>29</v>
      </c>
      <c r="L1383" s="50" t="s">
        <v>29</v>
      </c>
      <c r="M1383" s="50" t="s">
        <v>29</v>
      </c>
      <c r="N1383" s="49"/>
      <c r="P1383" s="19"/>
      <c r="Q1383" s="18" t="str">
        <f ca="1">IFERROR(__xludf.DUMMYFUNCTION("""COMPUTED_VALUE"""),"")</f>
        <v/>
      </c>
      <c r="R1383" s="19"/>
      <c r="S1383" s="20"/>
      <c r="BP1383" s="10"/>
      <c r="BW1383" s="10"/>
      <c r="CF1383" s="10"/>
      <c r="CM1383" s="10"/>
      <c r="CP1383" s="18" t="str">
        <f ca="1"/>
        <v/>
      </c>
      <c r="CQ1383" s="18" t="str">
        <f ca="1"/>
        <v/>
      </c>
      <c r="CR1383" s="18" t="str">
        <f ca="1"/>
        <v/>
      </c>
      <c r="CS1383" s="18" t="str">
        <f ca="1"/>
        <v/>
      </c>
      <c r="CT1383" s="18" t="str">
        <f ca="1"/>
        <v/>
      </c>
      <c r="CV1383" s="10"/>
      <c r="CY1383" s="18" t="str">
        <f ca="1"/>
        <v/>
      </c>
      <c r="CZ1383" s="18" t="str">
        <f ca="1"/>
        <v/>
      </c>
      <c r="DA1383" s="18" t="str">
        <f ca="1"/>
        <v/>
      </c>
      <c r="DC1383" s="10"/>
    </row>
    <row r="1384" spans="1:107" x14ac:dyDescent="0.25">
      <c r="A1384" s="46"/>
      <c r="B1384" s="52"/>
      <c r="C1384" s="52"/>
      <c r="D1384" s="16"/>
      <c r="E1384" s="52"/>
      <c r="F1384" s="52"/>
      <c r="G1384" s="50"/>
      <c r="H1384" s="17" t="str">
        <f ca="1">IFERROR(__xludf.DUMMYFUNCTION("""COMPUTED_VALUE"""),"")</f>
        <v/>
      </c>
      <c r="I1384" s="50" t="s">
        <v>29</v>
      </c>
      <c r="J1384" s="50" t="s">
        <v>29</v>
      </c>
      <c r="K1384" s="50" t="s">
        <v>29</v>
      </c>
      <c r="L1384" s="50" t="s">
        <v>29</v>
      </c>
      <c r="M1384" s="50" t="s">
        <v>29</v>
      </c>
      <c r="N1384" s="49"/>
      <c r="P1384" s="19"/>
      <c r="Q1384" s="18" t="str">
        <f ca="1">IFERROR(__xludf.DUMMYFUNCTION("""COMPUTED_VALUE"""),"")</f>
        <v/>
      </c>
      <c r="R1384" s="19"/>
      <c r="S1384" s="20"/>
      <c r="BP1384" s="10"/>
      <c r="BW1384" s="10"/>
      <c r="CF1384" s="10"/>
      <c r="CM1384" s="10"/>
      <c r="CP1384" s="18" t="str">
        <f ca="1"/>
        <v/>
      </c>
      <c r="CQ1384" s="18" t="str">
        <f ca="1"/>
        <v/>
      </c>
      <c r="CR1384" s="18" t="str">
        <f ca="1"/>
        <v/>
      </c>
      <c r="CS1384" s="18" t="str">
        <f ca="1"/>
        <v/>
      </c>
      <c r="CT1384" s="18" t="str">
        <f ca="1"/>
        <v/>
      </c>
      <c r="CV1384" s="10"/>
      <c r="CY1384" s="18" t="str">
        <f ca="1"/>
        <v/>
      </c>
      <c r="CZ1384" s="18" t="str">
        <f ca="1"/>
        <v/>
      </c>
      <c r="DA1384" s="18" t="str">
        <f ca="1"/>
        <v/>
      </c>
      <c r="DC1384" s="10"/>
    </row>
    <row r="1385" spans="1:107" x14ac:dyDescent="0.25">
      <c r="A1385" s="46"/>
      <c r="B1385" s="52"/>
      <c r="C1385" s="52"/>
      <c r="D1385" s="16"/>
      <c r="E1385" s="52"/>
      <c r="F1385" s="52"/>
      <c r="G1385" s="50"/>
      <c r="H1385" s="17" t="str">
        <f ca="1">IFERROR(__xludf.DUMMYFUNCTION("""COMPUTED_VALUE"""),"")</f>
        <v/>
      </c>
      <c r="I1385" s="50" t="s">
        <v>29</v>
      </c>
      <c r="J1385" s="50" t="s">
        <v>29</v>
      </c>
      <c r="K1385" s="50" t="s">
        <v>29</v>
      </c>
      <c r="L1385" s="50" t="s">
        <v>29</v>
      </c>
      <c r="M1385" s="50" t="s">
        <v>29</v>
      </c>
      <c r="N1385" s="49"/>
      <c r="P1385" s="19"/>
      <c r="Q1385" s="18" t="str">
        <f ca="1">IFERROR(__xludf.DUMMYFUNCTION("""COMPUTED_VALUE"""),"")</f>
        <v/>
      </c>
      <c r="R1385" s="19"/>
      <c r="S1385" s="20"/>
      <c r="BP1385" s="10"/>
      <c r="BW1385" s="10"/>
      <c r="CF1385" s="10"/>
      <c r="CM1385" s="10"/>
      <c r="CP1385" s="18" t="str">
        <f ca="1"/>
        <v/>
      </c>
      <c r="CQ1385" s="18" t="str">
        <f ca="1"/>
        <v/>
      </c>
      <c r="CR1385" s="18" t="str">
        <f ca="1"/>
        <v/>
      </c>
      <c r="CS1385" s="18" t="str">
        <f ca="1"/>
        <v/>
      </c>
      <c r="CT1385" s="18" t="str">
        <f ca="1"/>
        <v/>
      </c>
      <c r="CV1385" s="10"/>
      <c r="CY1385" s="18" t="str">
        <f ca="1"/>
        <v/>
      </c>
      <c r="CZ1385" s="18" t="str">
        <f ca="1"/>
        <v/>
      </c>
      <c r="DA1385" s="18" t="str">
        <f ca="1"/>
        <v/>
      </c>
      <c r="DC1385" s="10"/>
    </row>
    <row r="1386" spans="1:107" x14ac:dyDescent="0.25">
      <c r="A1386" s="46"/>
      <c r="B1386" s="52"/>
      <c r="C1386" s="52"/>
      <c r="D1386" s="16"/>
      <c r="E1386" s="52"/>
      <c r="F1386" s="52"/>
      <c r="G1386" s="50"/>
      <c r="H1386" s="17" t="str">
        <f ca="1">IFERROR(__xludf.DUMMYFUNCTION("""COMPUTED_VALUE"""),"")</f>
        <v/>
      </c>
      <c r="I1386" s="50" t="s">
        <v>29</v>
      </c>
      <c r="J1386" s="50" t="s">
        <v>29</v>
      </c>
      <c r="K1386" s="50" t="s">
        <v>29</v>
      </c>
      <c r="L1386" s="50" t="s">
        <v>29</v>
      </c>
      <c r="M1386" s="50" t="s">
        <v>29</v>
      </c>
      <c r="N1386" s="49"/>
      <c r="P1386" s="19"/>
      <c r="Q1386" s="18" t="str">
        <f ca="1">IFERROR(__xludf.DUMMYFUNCTION("""COMPUTED_VALUE"""),"")</f>
        <v/>
      </c>
      <c r="R1386" s="19"/>
      <c r="S1386" s="20"/>
      <c r="BP1386" s="10"/>
      <c r="BW1386" s="10"/>
      <c r="CF1386" s="10"/>
      <c r="CM1386" s="10"/>
      <c r="CP1386" s="18" t="str">
        <f ca="1"/>
        <v/>
      </c>
      <c r="CQ1386" s="18" t="str">
        <f ca="1"/>
        <v/>
      </c>
      <c r="CR1386" s="18" t="str">
        <f ca="1"/>
        <v/>
      </c>
      <c r="CS1386" s="18" t="str">
        <f ca="1"/>
        <v/>
      </c>
      <c r="CT1386" s="18" t="str">
        <f ca="1"/>
        <v/>
      </c>
      <c r="CV1386" s="10"/>
      <c r="CY1386" s="18" t="str">
        <f ca="1"/>
        <v/>
      </c>
      <c r="CZ1386" s="18" t="str">
        <f ca="1"/>
        <v/>
      </c>
      <c r="DA1386" s="18" t="str">
        <f ca="1"/>
        <v/>
      </c>
      <c r="DC1386" s="10"/>
    </row>
    <row r="1387" spans="1:107" x14ac:dyDescent="0.25">
      <c r="A1387" s="46"/>
      <c r="B1387" s="52"/>
      <c r="C1387" s="52"/>
      <c r="D1387" s="16"/>
      <c r="E1387" s="52"/>
      <c r="F1387" s="52"/>
      <c r="G1387" s="50"/>
      <c r="H1387" s="17" t="str">
        <f ca="1">IFERROR(__xludf.DUMMYFUNCTION("""COMPUTED_VALUE"""),"")</f>
        <v/>
      </c>
      <c r="I1387" s="50" t="s">
        <v>29</v>
      </c>
      <c r="J1387" s="50" t="s">
        <v>29</v>
      </c>
      <c r="K1387" s="50" t="s">
        <v>29</v>
      </c>
      <c r="L1387" s="50" t="s">
        <v>29</v>
      </c>
      <c r="M1387" s="50" t="s">
        <v>29</v>
      </c>
      <c r="N1387" s="49"/>
      <c r="P1387" s="19"/>
      <c r="Q1387" s="18" t="str">
        <f ca="1">IFERROR(__xludf.DUMMYFUNCTION("""COMPUTED_VALUE"""),"")</f>
        <v/>
      </c>
      <c r="R1387" s="19"/>
      <c r="S1387" s="20"/>
      <c r="BP1387" s="10"/>
      <c r="BW1387" s="10"/>
      <c r="CF1387" s="10"/>
      <c r="CM1387" s="10"/>
      <c r="CP1387" s="18" t="str">
        <f ca="1"/>
        <v/>
      </c>
      <c r="CQ1387" s="18" t="str">
        <f ca="1"/>
        <v/>
      </c>
      <c r="CR1387" s="18" t="str">
        <f ca="1"/>
        <v/>
      </c>
      <c r="CS1387" s="18" t="str">
        <f ca="1"/>
        <v/>
      </c>
      <c r="CT1387" s="18" t="str">
        <f ca="1"/>
        <v/>
      </c>
      <c r="CV1387" s="10"/>
      <c r="CY1387" s="18" t="str">
        <f ca="1"/>
        <v/>
      </c>
      <c r="CZ1387" s="18" t="str">
        <f ca="1"/>
        <v/>
      </c>
      <c r="DA1387" s="18" t="str">
        <f ca="1"/>
        <v/>
      </c>
      <c r="DC1387" s="10"/>
    </row>
    <row r="1388" spans="1:107" x14ac:dyDescent="0.25">
      <c r="A1388" s="46"/>
      <c r="B1388" s="52"/>
      <c r="C1388" s="52"/>
      <c r="D1388" s="16"/>
      <c r="E1388" s="52"/>
      <c r="F1388" s="52"/>
      <c r="G1388" s="50"/>
      <c r="H1388" s="17" t="str">
        <f ca="1">IFERROR(__xludf.DUMMYFUNCTION("""COMPUTED_VALUE"""),"")</f>
        <v/>
      </c>
      <c r="I1388" s="50" t="s">
        <v>29</v>
      </c>
      <c r="J1388" s="50" t="s">
        <v>29</v>
      </c>
      <c r="K1388" s="50" t="s">
        <v>29</v>
      </c>
      <c r="L1388" s="50" t="s">
        <v>29</v>
      </c>
      <c r="M1388" s="50" t="s">
        <v>29</v>
      </c>
      <c r="N1388" s="49"/>
      <c r="P1388" s="19"/>
      <c r="Q1388" s="18" t="str">
        <f ca="1">IFERROR(__xludf.DUMMYFUNCTION("""COMPUTED_VALUE"""),"")</f>
        <v/>
      </c>
      <c r="R1388" s="19"/>
      <c r="S1388" s="20"/>
      <c r="BP1388" s="10"/>
      <c r="BW1388" s="10"/>
      <c r="CF1388" s="10"/>
      <c r="CM1388" s="10"/>
      <c r="CP1388" s="18" t="str">
        <f ca="1"/>
        <v/>
      </c>
      <c r="CQ1388" s="18" t="str">
        <f ca="1"/>
        <v/>
      </c>
      <c r="CR1388" s="18" t="str">
        <f ca="1"/>
        <v/>
      </c>
      <c r="CS1388" s="18" t="str">
        <f ca="1"/>
        <v/>
      </c>
      <c r="CT1388" s="18" t="str">
        <f ca="1"/>
        <v/>
      </c>
      <c r="CV1388" s="10"/>
      <c r="CY1388" s="18" t="str">
        <f ca="1"/>
        <v/>
      </c>
      <c r="CZ1388" s="18" t="str">
        <f ca="1"/>
        <v/>
      </c>
      <c r="DA1388" s="18" t="str">
        <f ca="1"/>
        <v/>
      </c>
      <c r="DC1388" s="10"/>
    </row>
    <row r="1389" spans="1:107" x14ac:dyDescent="0.25">
      <c r="A1389" s="46"/>
      <c r="B1389" s="52"/>
      <c r="C1389" s="52"/>
      <c r="D1389" s="16"/>
      <c r="E1389" s="52"/>
      <c r="F1389" s="52"/>
      <c r="G1389" s="50"/>
      <c r="H1389" s="17" t="str">
        <f ca="1">IFERROR(__xludf.DUMMYFUNCTION("""COMPUTED_VALUE"""),"")</f>
        <v/>
      </c>
      <c r="I1389" s="50" t="s">
        <v>29</v>
      </c>
      <c r="J1389" s="50" t="s">
        <v>29</v>
      </c>
      <c r="K1389" s="50" t="s">
        <v>29</v>
      </c>
      <c r="L1389" s="50" t="s">
        <v>29</v>
      </c>
      <c r="M1389" s="50" t="s">
        <v>29</v>
      </c>
      <c r="N1389" s="49"/>
      <c r="P1389" s="19"/>
      <c r="Q1389" s="18" t="str">
        <f ca="1">IFERROR(__xludf.DUMMYFUNCTION("""COMPUTED_VALUE"""),"")</f>
        <v/>
      </c>
      <c r="R1389" s="19"/>
      <c r="S1389" s="20"/>
      <c r="BP1389" s="10"/>
      <c r="BW1389" s="10"/>
      <c r="CF1389" s="10"/>
      <c r="CM1389" s="10"/>
      <c r="CP1389" s="18" t="str">
        <f ca="1"/>
        <v/>
      </c>
      <c r="CQ1389" s="18" t="str">
        <f ca="1"/>
        <v/>
      </c>
      <c r="CR1389" s="18" t="str">
        <f ca="1"/>
        <v/>
      </c>
      <c r="CS1389" s="18" t="str">
        <f ca="1"/>
        <v/>
      </c>
      <c r="CT1389" s="18" t="str">
        <f ca="1"/>
        <v/>
      </c>
      <c r="CV1389" s="10"/>
      <c r="CY1389" s="18" t="str">
        <f ca="1"/>
        <v/>
      </c>
      <c r="CZ1389" s="18" t="str">
        <f ca="1"/>
        <v/>
      </c>
      <c r="DA1389" s="18" t="str">
        <f ca="1"/>
        <v/>
      </c>
      <c r="DC1389" s="10"/>
    </row>
    <row r="1390" spans="1:107" x14ac:dyDescent="0.25">
      <c r="A1390" s="46"/>
      <c r="B1390" s="52"/>
      <c r="C1390" s="52"/>
      <c r="D1390" s="16"/>
      <c r="E1390" s="52"/>
      <c r="F1390" s="52"/>
      <c r="G1390" s="50"/>
      <c r="H1390" s="17" t="str">
        <f ca="1">IFERROR(__xludf.DUMMYFUNCTION("""COMPUTED_VALUE"""),"")</f>
        <v/>
      </c>
      <c r="I1390" s="50" t="s">
        <v>29</v>
      </c>
      <c r="J1390" s="50" t="s">
        <v>29</v>
      </c>
      <c r="K1390" s="50" t="s">
        <v>29</v>
      </c>
      <c r="L1390" s="50" t="s">
        <v>29</v>
      </c>
      <c r="M1390" s="50" t="s">
        <v>29</v>
      </c>
      <c r="N1390" s="49"/>
      <c r="P1390" s="19"/>
      <c r="Q1390" s="18" t="str">
        <f ca="1">IFERROR(__xludf.DUMMYFUNCTION("""COMPUTED_VALUE"""),"")</f>
        <v/>
      </c>
      <c r="R1390" s="19"/>
      <c r="S1390" s="20"/>
      <c r="BP1390" s="10"/>
      <c r="BW1390" s="10"/>
      <c r="CF1390" s="10"/>
      <c r="CM1390" s="10"/>
      <c r="CP1390" s="18" t="str">
        <f ca="1"/>
        <v/>
      </c>
      <c r="CQ1390" s="18" t="str">
        <f ca="1"/>
        <v/>
      </c>
      <c r="CR1390" s="18" t="str">
        <f ca="1"/>
        <v/>
      </c>
      <c r="CS1390" s="18" t="str">
        <f ca="1"/>
        <v/>
      </c>
      <c r="CT1390" s="18" t="str">
        <f ca="1"/>
        <v/>
      </c>
      <c r="CV1390" s="10"/>
      <c r="CY1390" s="18" t="str">
        <f ca="1"/>
        <v/>
      </c>
      <c r="CZ1390" s="18" t="str">
        <f ca="1"/>
        <v/>
      </c>
      <c r="DA1390" s="18" t="str">
        <f ca="1"/>
        <v/>
      </c>
      <c r="DC1390" s="10"/>
    </row>
    <row r="1391" spans="1:107" x14ac:dyDescent="0.25">
      <c r="A1391" s="46"/>
      <c r="B1391" s="52"/>
      <c r="C1391" s="52"/>
      <c r="D1391" s="16"/>
      <c r="E1391" s="52"/>
      <c r="F1391" s="52"/>
      <c r="G1391" s="50"/>
      <c r="H1391" s="17" t="str">
        <f ca="1">IFERROR(__xludf.DUMMYFUNCTION("""COMPUTED_VALUE"""),"")</f>
        <v/>
      </c>
      <c r="I1391" s="50" t="s">
        <v>29</v>
      </c>
      <c r="J1391" s="50" t="s">
        <v>29</v>
      </c>
      <c r="K1391" s="50" t="s">
        <v>29</v>
      </c>
      <c r="L1391" s="50" t="s">
        <v>29</v>
      </c>
      <c r="M1391" s="50" t="s">
        <v>29</v>
      </c>
      <c r="N1391" s="49"/>
      <c r="P1391" s="19"/>
      <c r="Q1391" s="18" t="str">
        <f ca="1">IFERROR(__xludf.DUMMYFUNCTION("""COMPUTED_VALUE"""),"")</f>
        <v/>
      </c>
      <c r="R1391" s="19"/>
      <c r="S1391" s="20"/>
      <c r="BP1391" s="10"/>
      <c r="BW1391" s="10"/>
      <c r="CF1391" s="10"/>
      <c r="CM1391" s="10"/>
      <c r="CP1391" s="18" t="str">
        <f ca="1"/>
        <v/>
      </c>
      <c r="CQ1391" s="18" t="str">
        <f ca="1"/>
        <v/>
      </c>
      <c r="CR1391" s="18" t="str">
        <f ca="1"/>
        <v/>
      </c>
      <c r="CS1391" s="18" t="str">
        <f ca="1"/>
        <v/>
      </c>
      <c r="CT1391" s="18" t="str">
        <f ca="1"/>
        <v/>
      </c>
      <c r="CV1391" s="10"/>
      <c r="CY1391" s="18" t="str">
        <f ca="1"/>
        <v/>
      </c>
      <c r="CZ1391" s="18" t="str">
        <f ca="1"/>
        <v/>
      </c>
      <c r="DA1391" s="18" t="str">
        <f ca="1"/>
        <v/>
      </c>
      <c r="DC1391" s="10"/>
    </row>
    <row r="1392" spans="1:107" x14ac:dyDescent="0.25">
      <c r="A1392" s="46"/>
      <c r="B1392" s="52"/>
      <c r="C1392" s="52"/>
      <c r="D1392" s="16"/>
      <c r="E1392" s="52"/>
      <c r="F1392" s="52"/>
      <c r="G1392" s="50"/>
      <c r="H1392" s="17" t="str">
        <f ca="1">IFERROR(__xludf.DUMMYFUNCTION("""COMPUTED_VALUE"""),"")</f>
        <v/>
      </c>
      <c r="I1392" s="50" t="s">
        <v>29</v>
      </c>
      <c r="J1392" s="50" t="s">
        <v>29</v>
      </c>
      <c r="K1392" s="50" t="s">
        <v>29</v>
      </c>
      <c r="L1392" s="50" t="s">
        <v>29</v>
      </c>
      <c r="M1392" s="50" t="s">
        <v>29</v>
      </c>
      <c r="N1392" s="49"/>
      <c r="P1392" s="19"/>
      <c r="Q1392" s="18" t="str">
        <f ca="1">IFERROR(__xludf.DUMMYFUNCTION("""COMPUTED_VALUE"""),"")</f>
        <v/>
      </c>
      <c r="R1392" s="19"/>
      <c r="S1392" s="20"/>
      <c r="BP1392" s="10"/>
      <c r="BW1392" s="10"/>
      <c r="CF1392" s="10"/>
      <c r="CM1392" s="10"/>
      <c r="CP1392" s="18" t="str">
        <f ca="1"/>
        <v/>
      </c>
      <c r="CQ1392" s="18" t="str">
        <f ca="1"/>
        <v/>
      </c>
      <c r="CR1392" s="18" t="str">
        <f ca="1"/>
        <v/>
      </c>
      <c r="CS1392" s="18" t="str">
        <f ca="1"/>
        <v/>
      </c>
      <c r="CT1392" s="18" t="str">
        <f ca="1"/>
        <v/>
      </c>
      <c r="CV1392" s="10"/>
      <c r="CY1392" s="18" t="str">
        <f ca="1"/>
        <v/>
      </c>
      <c r="CZ1392" s="18" t="str">
        <f ca="1"/>
        <v/>
      </c>
      <c r="DA1392" s="18" t="str">
        <f ca="1"/>
        <v/>
      </c>
      <c r="DC1392" s="10"/>
    </row>
    <row r="1393" spans="1:107" x14ac:dyDescent="0.25">
      <c r="A1393" s="46"/>
      <c r="B1393" s="52"/>
      <c r="C1393" s="52"/>
      <c r="D1393" s="16"/>
      <c r="E1393" s="52"/>
      <c r="F1393" s="52"/>
      <c r="G1393" s="50"/>
      <c r="H1393" s="17" t="str">
        <f ca="1">IFERROR(__xludf.DUMMYFUNCTION("""COMPUTED_VALUE"""),"")</f>
        <v/>
      </c>
      <c r="I1393" s="50" t="s">
        <v>29</v>
      </c>
      <c r="J1393" s="50" t="s">
        <v>29</v>
      </c>
      <c r="K1393" s="50" t="s">
        <v>29</v>
      </c>
      <c r="L1393" s="50" t="s">
        <v>29</v>
      </c>
      <c r="M1393" s="50" t="s">
        <v>29</v>
      </c>
      <c r="N1393" s="49"/>
      <c r="P1393" s="19"/>
      <c r="Q1393" s="18" t="str">
        <f ca="1">IFERROR(__xludf.DUMMYFUNCTION("""COMPUTED_VALUE"""),"")</f>
        <v/>
      </c>
      <c r="R1393" s="19"/>
      <c r="S1393" s="20"/>
      <c r="BP1393" s="10"/>
      <c r="BW1393" s="10"/>
      <c r="CF1393" s="10"/>
      <c r="CM1393" s="10"/>
      <c r="CP1393" s="18" t="str">
        <f ca="1"/>
        <v/>
      </c>
      <c r="CQ1393" s="18" t="str">
        <f ca="1"/>
        <v/>
      </c>
      <c r="CR1393" s="18" t="str">
        <f ca="1"/>
        <v/>
      </c>
      <c r="CS1393" s="18" t="str">
        <f ca="1"/>
        <v/>
      </c>
      <c r="CT1393" s="18" t="str">
        <f ca="1"/>
        <v/>
      </c>
      <c r="CV1393" s="10"/>
      <c r="CY1393" s="18" t="str">
        <f ca="1"/>
        <v/>
      </c>
      <c r="CZ1393" s="18" t="str">
        <f ca="1"/>
        <v/>
      </c>
      <c r="DA1393" s="18" t="str">
        <f ca="1"/>
        <v/>
      </c>
      <c r="DC1393" s="10"/>
    </row>
    <row r="1394" spans="1:107" x14ac:dyDescent="0.25">
      <c r="A1394" s="46"/>
      <c r="B1394" s="52"/>
      <c r="C1394" s="52"/>
      <c r="D1394" s="16"/>
      <c r="E1394" s="52"/>
      <c r="F1394" s="52"/>
      <c r="G1394" s="50"/>
      <c r="H1394" s="17" t="str">
        <f ca="1">IFERROR(__xludf.DUMMYFUNCTION("""COMPUTED_VALUE"""),"")</f>
        <v/>
      </c>
      <c r="I1394" s="50" t="s">
        <v>29</v>
      </c>
      <c r="J1394" s="50" t="s">
        <v>29</v>
      </c>
      <c r="K1394" s="50" t="s">
        <v>29</v>
      </c>
      <c r="L1394" s="50" t="s">
        <v>29</v>
      </c>
      <c r="M1394" s="50" t="s">
        <v>29</v>
      </c>
      <c r="N1394" s="49"/>
      <c r="P1394" s="19"/>
      <c r="Q1394" s="18" t="str">
        <f ca="1">IFERROR(__xludf.DUMMYFUNCTION("""COMPUTED_VALUE"""),"")</f>
        <v/>
      </c>
      <c r="R1394" s="19"/>
      <c r="S1394" s="20"/>
      <c r="BP1394" s="10"/>
      <c r="BW1394" s="10"/>
      <c r="CF1394" s="10"/>
      <c r="CM1394" s="10"/>
      <c r="CP1394" s="18" t="str">
        <f ca="1"/>
        <v/>
      </c>
      <c r="CQ1394" s="18" t="str">
        <f ca="1"/>
        <v/>
      </c>
      <c r="CR1394" s="18" t="str">
        <f ca="1"/>
        <v/>
      </c>
      <c r="CS1394" s="18" t="str">
        <f ca="1"/>
        <v/>
      </c>
      <c r="CT1394" s="18" t="str">
        <f ca="1"/>
        <v/>
      </c>
      <c r="CV1394" s="10"/>
      <c r="CY1394" s="18" t="str">
        <f ca="1"/>
        <v/>
      </c>
      <c r="CZ1394" s="18" t="str">
        <f ca="1"/>
        <v/>
      </c>
      <c r="DA1394" s="18" t="str">
        <f ca="1"/>
        <v/>
      </c>
      <c r="DC1394" s="10"/>
    </row>
    <row r="1395" spans="1:107" x14ac:dyDescent="0.25">
      <c r="A1395" s="46"/>
      <c r="B1395" s="52"/>
      <c r="C1395" s="52"/>
      <c r="D1395" s="16"/>
      <c r="E1395" s="52"/>
      <c r="F1395" s="52"/>
      <c r="G1395" s="50"/>
      <c r="H1395" s="17" t="str">
        <f ca="1">IFERROR(__xludf.DUMMYFUNCTION("""COMPUTED_VALUE"""),"")</f>
        <v/>
      </c>
      <c r="I1395" s="50" t="s">
        <v>29</v>
      </c>
      <c r="J1395" s="50" t="s">
        <v>29</v>
      </c>
      <c r="K1395" s="50" t="s">
        <v>29</v>
      </c>
      <c r="L1395" s="50" t="s">
        <v>29</v>
      </c>
      <c r="M1395" s="50" t="s">
        <v>29</v>
      </c>
      <c r="N1395" s="49"/>
      <c r="P1395" s="19"/>
      <c r="Q1395" s="18" t="str">
        <f ca="1">IFERROR(__xludf.DUMMYFUNCTION("""COMPUTED_VALUE"""),"")</f>
        <v/>
      </c>
      <c r="R1395" s="19"/>
      <c r="S1395" s="20"/>
      <c r="BP1395" s="10"/>
      <c r="BW1395" s="10"/>
      <c r="CF1395" s="10"/>
      <c r="CM1395" s="10"/>
      <c r="CP1395" s="18" t="str">
        <f ca="1"/>
        <v/>
      </c>
      <c r="CQ1395" s="18" t="str">
        <f ca="1"/>
        <v/>
      </c>
      <c r="CR1395" s="18" t="str">
        <f ca="1"/>
        <v/>
      </c>
      <c r="CS1395" s="18" t="str">
        <f ca="1"/>
        <v/>
      </c>
      <c r="CT1395" s="18" t="str">
        <f ca="1"/>
        <v/>
      </c>
      <c r="CV1395" s="10"/>
      <c r="CY1395" s="18" t="str">
        <f ca="1"/>
        <v/>
      </c>
      <c r="CZ1395" s="18" t="str">
        <f ca="1"/>
        <v/>
      </c>
      <c r="DA1395" s="18" t="str">
        <f ca="1"/>
        <v/>
      </c>
      <c r="DC1395" s="10"/>
    </row>
    <row r="1396" spans="1:107" x14ac:dyDescent="0.25">
      <c r="A1396" s="46"/>
      <c r="B1396" s="52"/>
      <c r="C1396" s="52"/>
      <c r="D1396" s="16"/>
      <c r="E1396" s="52"/>
      <c r="F1396" s="52"/>
      <c r="G1396" s="50"/>
      <c r="H1396" s="17" t="str">
        <f ca="1">IFERROR(__xludf.DUMMYFUNCTION("""COMPUTED_VALUE"""),"")</f>
        <v/>
      </c>
      <c r="I1396" s="50" t="s">
        <v>29</v>
      </c>
      <c r="J1396" s="50" t="s">
        <v>29</v>
      </c>
      <c r="K1396" s="50" t="s">
        <v>29</v>
      </c>
      <c r="L1396" s="50" t="s">
        <v>29</v>
      </c>
      <c r="M1396" s="50" t="s">
        <v>29</v>
      </c>
      <c r="N1396" s="49"/>
      <c r="P1396" s="19"/>
      <c r="Q1396" s="18" t="str">
        <f ca="1">IFERROR(__xludf.DUMMYFUNCTION("""COMPUTED_VALUE"""),"")</f>
        <v/>
      </c>
      <c r="R1396" s="19"/>
      <c r="S1396" s="20"/>
      <c r="BP1396" s="10"/>
      <c r="BW1396" s="10"/>
      <c r="CF1396" s="10"/>
      <c r="CM1396" s="10"/>
      <c r="CP1396" s="18" t="str">
        <f ca="1"/>
        <v/>
      </c>
      <c r="CQ1396" s="18" t="str">
        <f ca="1"/>
        <v/>
      </c>
      <c r="CR1396" s="18" t="str">
        <f ca="1"/>
        <v/>
      </c>
      <c r="CS1396" s="18" t="str">
        <f ca="1"/>
        <v/>
      </c>
      <c r="CT1396" s="18" t="str">
        <f ca="1"/>
        <v/>
      </c>
      <c r="CV1396" s="10"/>
      <c r="CY1396" s="18" t="str">
        <f ca="1"/>
        <v/>
      </c>
      <c r="CZ1396" s="18" t="str">
        <f ca="1"/>
        <v/>
      </c>
      <c r="DA1396" s="18" t="str">
        <f ca="1"/>
        <v/>
      </c>
      <c r="DC1396" s="10"/>
    </row>
    <row r="1397" spans="1:107" x14ac:dyDescent="0.25">
      <c r="A1397" s="46"/>
      <c r="B1397" s="52"/>
      <c r="C1397" s="52"/>
      <c r="D1397" s="16"/>
      <c r="E1397" s="52"/>
      <c r="F1397" s="52"/>
      <c r="G1397" s="50"/>
      <c r="H1397" s="17" t="str">
        <f ca="1">IFERROR(__xludf.DUMMYFUNCTION("""COMPUTED_VALUE"""),"")</f>
        <v/>
      </c>
      <c r="I1397" s="50" t="s">
        <v>29</v>
      </c>
      <c r="J1397" s="50" t="s">
        <v>29</v>
      </c>
      <c r="K1397" s="50" t="s">
        <v>29</v>
      </c>
      <c r="L1397" s="50" t="s">
        <v>29</v>
      </c>
      <c r="M1397" s="50" t="s">
        <v>29</v>
      </c>
      <c r="N1397" s="49"/>
      <c r="P1397" s="19"/>
      <c r="Q1397" s="18" t="str">
        <f ca="1">IFERROR(__xludf.DUMMYFUNCTION("""COMPUTED_VALUE"""),"")</f>
        <v/>
      </c>
      <c r="R1397" s="19"/>
      <c r="S1397" s="20"/>
      <c r="BP1397" s="10"/>
      <c r="BW1397" s="10"/>
      <c r="CF1397" s="10"/>
      <c r="CM1397" s="10"/>
      <c r="CP1397" s="18" t="str">
        <f ca="1"/>
        <v/>
      </c>
      <c r="CQ1397" s="18" t="str">
        <f ca="1"/>
        <v/>
      </c>
      <c r="CR1397" s="18" t="str">
        <f ca="1"/>
        <v/>
      </c>
      <c r="CS1397" s="18" t="str">
        <f ca="1"/>
        <v/>
      </c>
      <c r="CT1397" s="18" t="str">
        <f ca="1"/>
        <v/>
      </c>
      <c r="CV1397" s="10"/>
      <c r="CY1397" s="18" t="str">
        <f ca="1"/>
        <v/>
      </c>
      <c r="CZ1397" s="18" t="str">
        <f ca="1"/>
        <v/>
      </c>
      <c r="DA1397" s="18" t="str">
        <f ca="1"/>
        <v/>
      </c>
      <c r="DC1397" s="10"/>
    </row>
    <row r="1398" spans="1:107" x14ac:dyDescent="0.25">
      <c r="A1398" s="46"/>
      <c r="B1398" s="52"/>
      <c r="C1398" s="52"/>
      <c r="D1398" s="16"/>
      <c r="E1398" s="52"/>
      <c r="F1398" s="52"/>
      <c r="G1398" s="50"/>
      <c r="H1398" s="17" t="str">
        <f ca="1">IFERROR(__xludf.DUMMYFUNCTION("""COMPUTED_VALUE"""),"")</f>
        <v/>
      </c>
      <c r="I1398" s="50" t="s">
        <v>29</v>
      </c>
      <c r="J1398" s="50" t="s">
        <v>29</v>
      </c>
      <c r="K1398" s="50" t="s">
        <v>29</v>
      </c>
      <c r="L1398" s="50" t="s">
        <v>29</v>
      </c>
      <c r="M1398" s="50" t="s">
        <v>29</v>
      </c>
      <c r="N1398" s="49"/>
      <c r="P1398" s="19"/>
      <c r="Q1398" s="18" t="str">
        <f ca="1">IFERROR(__xludf.DUMMYFUNCTION("""COMPUTED_VALUE"""),"")</f>
        <v/>
      </c>
      <c r="R1398" s="19"/>
      <c r="S1398" s="20"/>
      <c r="BP1398" s="10"/>
      <c r="BW1398" s="10"/>
      <c r="CF1398" s="10"/>
      <c r="CM1398" s="10"/>
      <c r="CP1398" s="18" t="str">
        <f ca="1"/>
        <v/>
      </c>
      <c r="CQ1398" s="18" t="str">
        <f ca="1"/>
        <v/>
      </c>
      <c r="CR1398" s="18" t="str">
        <f ca="1"/>
        <v/>
      </c>
      <c r="CS1398" s="18" t="str">
        <f ca="1"/>
        <v/>
      </c>
      <c r="CT1398" s="18" t="str">
        <f ca="1"/>
        <v/>
      </c>
      <c r="CV1398" s="10"/>
      <c r="CY1398" s="18" t="str">
        <f ca="1"/>
        <v/>
      </c>
      <c r="CZ1398" s="18" t="str">
        <f ca="1"/>
        <v/>
      </c>
      <c r="DA1398" s="18" t="str">
        <f ca="1"/>
        <v/>
      </c>
      <c r="DC1398" s="10"/>
    </row>
    <row r="1399" spans="1:107" x14ac:dyDescent="0.25">
      <c r="A1399" s="46"/>
      <c r="B1399" s="52"/>
      <c r="C1399" s="52"/>
      <c r="D1399" s="16"/>
      <c r="E1399" s="52"/>
      <c r="F1399" s="52"/>
      <c r="G1399" s="50"/>
      <c r="H1399" s="17" t="str">
        <f ca="1">IFERROR(__xludf.DUMMYFUNCTION("""COMPUTED_VALUE"""),"")</f>
        <v/>
      </c>
      <c r="I1399" s="50" t="s">
        <v>29</v>
      </c>
      <c r="J1399" s="50" t="s">
        <v>29</v>
      </c>
      <c r="K1399" s="50" t="s">
        <v>29</v>
      </c>
      <c r="L1399" s="50" t="s">
        <v>29</v>
      </c>
      <c r="M1399" s="50" t="s">
        <v>29</v>
      </c>
      <c r="N1399" s="49"/>
      <c r="P1399" s="19"/>
      <c r="Q1399" s="18" t="str">
        <f ca="1">IFERROR(__xludf.DUMMYFUNCTION("""COMPUTED_VALUE"""),"")</f>
        <v/>
      </c>
      <c r="R1399" s="19"/>
      <c r="S1399" s="20"/>
      <c r="BP1399" s="10"/>
      <c r="BW1399" s="10"/>
      <c r="CF1399" s="10"/>
      <c r="CM1399" s="10"/>
      <c r="CP1399" s="18" t="str">
        <f ca="1"/>
        <v/>
      </c>
      <c r="CQ1399" s="18" t="str">
        <f ca="1"/>
        <v/>
      </c>
      <c r="CR1399" s="18" t="str">
        <f ca="1"/>
        <v/>
      </c>
      <c r="CS1399" s="18" t="str">
        <f ca="1"/>
        <v/>
      </c>
      <c r="CT1399" s="18" t="str">
        <f ca="1"/>
        <v/>
      </c>
      <c r="CV1399" s="10"/>
      <c r="CY1399" s="18" t="str">
        <f ca="1"/>
        <v/>
      </c>
      <c r="CZ1399" s="18" t="str">
        <f ca="1"/>
        <v/>
      </c>
      <c r="DA1399" s="18" t="str">
        <f ca="1"/>
        <v/>
      </c>
      <c r="DC1399" s="10"/>
    </row>
    <row r="1400" spans="1:107" x14ac:dyDescent="0.25">
      <c r="A1400" s="46"/>
      <c r="B1400" s="52"/>
      <c r="C1400" s="52"/>
      <c r="D1400" s="16"/>
      <c r="E1400" s="52"/>
      <c r="F1400" s="52"/>
      <c r="G1400" s="50"/>
      <c r="H1400" s="17" t="str">
        <f ca="1">IFERROR(__xludf.DUMMYFUNCTION("""COMPUTED_VALUE"""),"")</f>
        <v/>
      </c>
      <c r="I1400" s="50" t="s">
        <v>29</v>
      </c>
      <c r="J1400" s="50" t="s">
        <v>29</v>
      </c>
      <c r="K1400" s="50" t="s">
        <v>29</v>
      </c>
      <c r="L1400" s="50" t="s">
        <v>29</v>
      </c>
      <c r="M1400" s="50" t="s">
        <v>29</v>
      </c>
      <c r="N1400" s="49"/>
      <c r="P1400" s="19"/>
      <c r="Q1400" s="18" t="str">
        <f ca="1">IFERROR(__xludf.DUMMYFUNCTION("""COMPUTED_VALUE"""),"")</f>
        <v/>
      </c>
      <c r="R1400" s="19"/>
      <c r="S1400" s="20"/>
      <c r="BP1400" s="10"/>
      <c r="BW1400" s="10"/>
      <c r="CF1400" s="10"/>
      <c r="CM1400" s="10"/>
      <c r="CP1400" s="18" t="str">
        <f ca="1"/>
        <v/>
      </c>
      <c r="CQ1400" s="18" t="str">
        <f ca="1"/>
        <v/>
      </c>
      <c r="CR1400" s="18" t="str">
        <f ca="1"/>
        <v/>
      </c>
      <c r="CS1400" s="18" t="str">
        <f ca="1"/>
        <v/>
      </c>
      <c r="CT1400" s="18" t="str">
        <f ca="1"/>
        <v/>
      </c>
      <c r="CV1400" s="10"/>
      <c r="CY1400" s="18" t="str">
        <f ca="1"/>
        <v/>
      </c>
      <c r="CZ1400" s="18" t="str">
        <f ca="1"/>
        <v/>
      </c>
      <c r="DA1400" s="18" t="str">
        <f ca="1"/>
        <v/>
      </c>
      <c r="DC1400" s="10"/>
    </row>
    <row r="1401" spans="1:107" x14ac:dyDescent="0.25">
      <c r="A1401" s="46"/>
      <c r="B1401" s="52"/>
      <c r="C1401" s="52"/>
      <c r="D1401" s="16"/>
      <c r="E1401" s="52"/>
      <c r="F1401" s="52"/>
      <c r="G1401" s="50"/>
      <c r="H1401" s="17" t="str">
        <f ca="1">IFERROR(__xludf.DUMMYFUNCTION("""COMPUTED_VALUE"""),"")</f>
        <v/>
      </c>
      <c r="I1401" s="50" t="s">
        <v>29</v>
      </c>
      <c r="J1401" s="50" t="s">
        <v>29</v>
      </c>
      <c r="K1401" s="50" t="s">
        <v>29</v>
      </c>
      <c r="L1401" s="50" t="s">
        <v>29</v>
      </c>
      <c r="M1401" s="50" t="s">
        <v>29</v>
      </c>
      <c r="N1401" s="49"/>
      <c r="P1401" s="19"/>
      <c r="Q1401" s="18" t="str">
        <f ca="1">IFERROR(__xludf.DUMMYFUNCTION("""COMPUTED_VALUE"""),"")</f>
        <v/>
      </c>
      <c r="R1401" s="19"/>
      <c r="S1401" s="20"/>
      <c r="BP1401" s="10"/>
      <c r="BW1401" s="10"/>
      <c r="CF1401" s="10"/>
      <c r="CM1401" s="10"/>
      <c r="CP1401" s="18" t="str">
        <f ca="1"/>
        <v/>
      </c>
      <c r="CQ1401" s="18" t="str">
        <f ca="1"/>
        <v/>
      </c>
      <c r="CR1401" s="18" t="str">
        <f ca="1"/>
        <v/>
      </c>
      <c r="CS1401" s="18" t="str">
        <f ca="1"/>
        <v/>
      </c>
      <c r="CT1401" s="18" t="str">
        <f ca="1"/>
        <v/>
      </c>
      <c r="CV1401" s="10"/>
      <c r="CY1401" s="18" t="str">
        <f ca="1"/>
        <v/>
      </c>
      <c r="CZ1401" s="18" t="str">
        <f ca="1"/>
        <v/>
      </c>
      <c r="DA1401" s="18" t="str">
        <f ca="1"/>
        <v/>
      </c>
      <c r="DC1401" s="10"/>
    </row>
    <row r="1402" spans="1:107" x14ac:dyDescent="0.25">
      <c r="A1402" s="46"/>
      <c r="B1402" s="52"/>
      <c r="C1402" s="52"/>
      <c r="D1402" s="16"/>
      <c r="E1402" s="52"/>
      <c r="F1402" s="52"/>
      <c r="G1402" s="50"/>
      <c r="H1402" s="17" t="str">
        <f ca="1">IFERROR(__xludf.DUMMYFUNCTION("""COMPUTED_VALUE"""),"")</f>
        <v/>
      </c>
      <c r="I1402" s="50" t="s">
        <v>29</v>
      </c>
      <c r="J1402" s="50" t="s">
        <v>29</v>
      </c>
      <c r="K1402" s="50" t="s">
        <v>29</v>
      </c>
      <c r="L1402" s="50" t="s">
        <v>29</v>
      </c>
      <c r="M1402" s="50" t="s">
        <v>29</v>
      </c>
      <c r="N1402" s="49"/>
      <c r="P1402" s="19"/>
      <c r="Q1402" s="18" t="str">
        <f ca="1">IFERROR(__xludf.DUMMYFUNCTION("""COMPUTED_VALUE"""),"")</f>
        <v/>
      </c>
      <c r="R1402" s="19"/>
      <c r="S1402" s="20"/>
      <c r="BP1402" s="10"/>
      <c r="BW1402" s="10"/>
      <c r="CF1402" s="10"/>
      <c r="CM1402" s="10"/>
      <c r="CP1402" s="18" t="str">
        <f ca="1"/>
        <v/>
      </c>
      <c r="CQ1402" s="18" t="str">
        <f ca="1"/>
        <v/>
      </c>
      <c r="CR1402" s="18" t="str">
        <f ca="1"/>
        <v/>
      </c>
      <c r="CS1402" s="18" t="str">
        <f ca="1"/>
        <v/>
      </c>
      <c r="CT1402" s="18" t="str">
        <f ca="1"/>
        <v/>
      </c>
      <c r="CV1402" s="10"/>
      <c r="CY1402" s="18" t="str">
        <f ca="1"/>
        <v/>
      </c>
      <c r="CZ1402" s="18" t="str">
        <f ca="1"/>
        <v/>
      </c>
      <c r="DA1402" s="18" t="str">
        <f ca="1"/>
        <v/>
      </c>
      <c r="DC1402" s="10"/>
    </row>
    <row r="1403" spans="1:107" x14ac:dyDescent="0.25">
      <c r="A1403" s="46"/>
      <c r="B1403" s="52"/>
      <c r="C1403" s="52"/>
      <c r="D1403" s="16"/>
      <c r="E1403" s="52"/>
      <c r="F1403" s="52"/>
      <c r="G1403" s="50"/>
      <c r="H1403" s="17" t="str">
        <f ca="1">IFERROR(__xludf.DUMMYFUNCTION("""COMPUTED_VALUE"""),"")</f>
        <v/>
      </c>
      <c r="I1403" s="50" t="s">
        <v>29</v>
      </c>
      <c r="J1403" s="50" t="s">
        <v>29</v>
      </c>
      <c r="K1403" s="50" t="s">
        <v>29</v>
      </c>
      <c r="L1403" s="50" t="s">
        <v>29</v>
      </c>
      <c r="M1403" s="50" t="s">
        <v>29</v>
      </c>
      <c r="N1403" s="49"/>
      <c r="P1403" s="19"/>
      <c r="Q1403" s="18" t="str">
        <f ca="1">IFERROR(__xludf.DUMMYFUNCTION("""COMPUTED_VALUE"""),"")</f>
        <v/>
      </c>
      <c r="R1403" s="19"/>
      <c r="S1403" s="20"/>
      <c r="BP1403" s="10"/>
      <c r="BW1403" s="10"/>
      <c r="CF1403" s="10"/>
      <c r="CM1403" s="10"/>
      <c r="CP1403" s="18" t="str">
        <f ca="1"/>
        <v/>
      </c>
      <c r="CQ1403" s="18" t="str">
        <f ca="1"/>
        <v/>
      </c>
      <c r="CR1403" s="18" t="str">
        <f ca="1"/>
        <v/>
      </c>
      <c r="CS1403" s="18" t="str">
        <f ca="1"/>
        <v/>
      </c>
      <c r="CT1403" s="18" t="str">
        <f ca="1"/>
        <v/>
      </c>
      <c r="CV1403" s="10"/>
      <c r="CY1403" s="18" t="str">
        <f ca="1"/>
        <v/>
      </c>
      <c r="CZ1403" s="18" t="str">
        <f ca="1"/>
        <v/>
      </c>
      <c r="DA1403" s="18" t="str">
        <f ca="1"/>
        <v/>
      </c>
      <c r="DC1403" s="10"/>
    </row>
    <row r="1404" spans="1:107" x14ac:dyDescent="0.25">
      <c r="A1404" s="46"/>
      <c r="B1404" s="52"/>
      <c r="C1404" s="52"/>
      <c r="D1404" s="16"/>
      <c r="E1404" s="52"/>
      <c r="F1404" s="52"/>
      <c r="G1404" s="50"/>
      <c r="H1404" s="17" t="str">
        <f ca="1">IFERROR(__xludf.DUMMYFUNCTION("""COMPUTED_VALUE"""),"")</f>
        <v/>
      </c>
      <c r="I1404" s="50" t="s">
        <v>29</v>
      </c>
      <c r="J1404" s="50" t="s">
        <v>29</v>
      </c>
      <c r="K1404" s="50" t="s">
        <v>29</v>
      </c>
      <c r="L1404" s="50" t="s">
        <v>29</v>
      </c>
      <c r="M1404" s="50" t="s">
        <v>29</v>
      </c>
      <c r="N1404" s="49"/>
      <c r="P1404" s="19"/>
      <c r="Q1404" s="18" t="str">
        <f ca="1">IFERROR(__xludf.DUMMYFUNCTION("""COMPUTED_VALUE"""),"")</f>
        <v/>
      </c>
      <c r="R1404" s="19"/>
      <c r="S1404" s="20"/>
      <c r="BP1404" s="10"/>
      <c r="BW1404" s="10"/>
      <c r="CF1404" s="10"/>
      <c r="CM1404" s="10"/>
      <c r="CP1404" s="18" t="str">
        <f ca="1"/>
        <v/>
      </c>
      <c r="CQ1404" s="18" t="str">
        <f ca="1"/>
        <v/>
      </c>
      <c r="CR1404" s="18" t="str">
        <f ca="1"/>
        <v/>
      </c>
      <c r="CS1404" s="18" t="str">
        <f ca="1"/>
        <v/>
      </c>
      <c r="CT1404" s="18" t="str">
        <f ca="1"/>
        <v/>
      </c>
      <c r="CV1404" s="10"/>
      <c r="CY1404" s="18" t="str">
        <f ca="1"/>
        <v/>
      </c>
      <c r="CZ1404" s="18" t="str">
        <f ca="1"/>
        <v/>
      </c>
      <c r="DA1404" s="18" t="str">
        <f ca="1"/>
        <v/>
      </c>
      <c r="DC1404" s="10"/>
    </row>
    <row r="1405" spans="1:107" x14ac:dyDescent="0.25">
      <c r="A1405" s="46"/>
      <c r="B1405" s="52"/>
      <c r="C1405" s="52"/>
      <c r="D1405" s="16"/>
      <c r="E1405" s="52"/>
      <c r="F1405" s="52"/>
      <c r="G1405" s="50"/>
      <c r="H1405" s="17" t="str">
        <f ca="1">IFERROR(__xludf.DUMMYFUNCTION("""COMPUTED_VALUE"""),"")</f>
        <v/>
      </c>
      <c r="I1405" s="50" t="s">
        <v>29</v>
      </c>
      <c r="J1405" s="50" t="s">
        <v>29</v>
      </c>
      <c r="K1405" s="50" t="s">
        <v>29</v>
      </c>
      <c r="L1405" s="50" t="s">
        <v>29</v>
      </c>
      <c r="M1405" s="50" t="s">
        <v>29</v>
      </c>
      <c r="N1405" s="49"/>
      <c r="P1405" s="19"/>
      <c r="Q1405" s="18" t="str">
        <f ca="1">IFERROR(__xludf.DUMMYFUNCTION("""COMPUTED_VALUE"""),"")</f>
        <v/>
      </c>
      <c r="R1405" s="19"/>
      <c r="S1405" s="20"/>
      <c r="BP1405" s="10"/>
      <c r="BW1405" s="10"/>
      <c r="CF1405" s="10"/>
      <c r="CM1405" s="10"/>
      <c r="CP1405" s="18" t="str">
        <f ca="1"/>
        <v/>
      </c>
      <c r="CQ1405" s="18" t="str">
        <f ca="1"/>
        <v/>
      </c>
      <c r="CR1405" s="18" t="str">
        <f ca="1"/>
        <v/>
      </c>
      <c r="CS1405" s="18" t="str">
        <f ca="1"/>
        <v/>
      </c>
      <c r="CT1405" s="18" t="str">
        <f ca="1"/>
        <v/>
      </c>
      <c r="CV1405" s="10"/>
      <c r="CY1405" s="18" t="str">
        <f ca="1"/>
        <v/>
      </c>
      <c r="CZ1405" s="18" t="str">
        <f ca="1"/>
        <v/>
      </c>
      <c r="DA1405" s="18" t="str">
        <f ca="1"/>
        <v/>
      </c>
      <c r="DC1405" s="10"/>
    </row>
    <row r="1406" spans="1:107" x14ac:dyDescent="0.25">
      <c r="A1406" s="46"/>
      <c r="B1406" s="52"/>
      <c r="C1406" s="52"/>
      <c r="D1406" s="16"/>
      <c r="E1406" s="52"/>
      <c r="F1406" s="52"/>
      <c r="G1406" s="50"/>
      <c r="H1406" s="17" t="str">
        <f ca="1">IFERROR(__xludf.DUMMYFUNCTION("""COMPUTED_VALUE"""),"")</f>
        <v/>
      </c>
      <c r="I1406" s="50" t="s">
        <v>29</v>
      </c>
      <c r="J1406" s="50" t="s">
        <v>29</v>
      </c>
      <c r="K1406" s="50" t="s">
        <v>29</v>
      </c>
      <c r="L1406" s="50" t="s">
        <v>29</v>
      </c>
      <c r="M1406" s="50" t="s">
        <v>29</v>
      </c>
      <c r="N1406" s="49"/>
      <c r="P1406" s="19"/>
      <c r="Q1406" s="18" t="str">
        <f ca="1">IFERROR(__xludf.DUMMYFUNCTION("""COMPUTED_VALUE"""),"")</f>
        <v/>
      </c>
      <c r="R1406" s="19"/>
      <c r="S1406" s="20"/>
      <c r="BP1406" s="10"/>
      <c r="BW1406" s="10"/>
      <c r="CF1406" s="10"/>
      <c r="CM1406" s="10"/>
      <c r="CP1406" s="18" t="str">
        <f ca="1"/>
        <v/>
      </c>
      <c r="CQ1406" s="18" t="str">
        <f ca="1"/>
        <v/>
      </c>
      <c r="CR1406" s="18" t="str">
        <f ca="1"/>
        <v/>
      </c>
      <c r="CS1406" s="18" t="str">
        <f ca="1"/>
        <v/>
      </c>
      <c r="CT1406" s="18" t="str">
        <f ca="1"/>
        <v/>
      </c>
      <c r="CV1406" s="10"/>
      <c r="CY1406" s="18" t="str">
        <f ca="1"/>
        <v/>
      </c>
      <c r="CZ1406" s="18" t="str">
        <f ca="1"/>
        <v/>
      </c>
      <c r="DA1406" s="18" t="str">
        <f ca="1"/>
        <v/>
      </c>
      <c r="DC1406" s="10"/>
    </row>
    <row r="1407" spans="1:107" x14ac:dyDescent="0.25">
      <c r="A1407" s="46"/>
      <c r="B1407" s="52"/>
      <c r="C1407" s="52"/>
      <c r="D1407" s="16"/>
      <c r="E1407" s="52"/>
      <c r="F1407" s="52"/>
      <c r="G1407" s="50"/>
      <c r="H1407" s="17" t="str">
        <f ca="1">IFERROR(__xludf.DUMMYFUNCTION("""COMPUTED_VALUE"""),"")</f>
        <v/>
      </c>
      <c r="I1407" s="50" t="s">
        <v>29</v>
      </c>
      <c r="J1407" s="50" t="s">
        <v>29</v>
      </c>
      <c r="K1407" s="50" t="s">
        <v>29</v>
      </c>
      <c r="L1407" s="50" t="s">
        <v>29</v>
      </c>
      <c r="M1407" s="50" t="s">
        <v>29</v>
      </c>
      <c r="N1407" s="49"/>
      <c r="P1407" s="19"/>
      <c r="Q1407" s="18" t="str">
        <f ca="1">IFERROR(__xludf.DUMMYFUNCTION("""COMPUTED_VALUE"""),"")</f>
        <v/>
      </c>
      <c r="R1407" s="19"/>
      <c r="S1407" s="20"/>
      <c r="BP1407" s="10"/>
      <c r="BW1407" s="10"/>
      <c r="CF1407" s="10"/>
      <c r="CM1407" s="10"/>
      <c r="CP1407" s="18" t="str">
        <f ca="1"/>
        <v/>
      </c>
      <c r="CQ1407" s="18" t="str">
        <f ca="1"/>
        <v/>
      </c>
      <c r="CR1407" s="18" t="str">
        <f ca="1"/>
        <v/>
      </c>
      <c r="CS1407" s="18" t="str">
        <f ca="1"/>
        <v/>
      </c>
      <c r="CT1407" s="18" t="str">
        <f ca="1"/>
        <v/>
      </c>
      <c r="CV1407" s="10"/>
      <c r="CY1407" s="18" t="str">
        <f ca="1"/>
        <v/>
      </c>
      <c r="CZ1407" s="18" t="str">
        <f ca="1"/>
        <v/>
      </c>
      <c r="DA1407" s="18" t="str">
        <f ca="1"/>
        <v/>
      </c>
      <c r="DC1407" s="10"/>
    </row>
    <row r="1408" spans="1:107" x14ac:dyDescent="0.25">
      <c r="A1408" s="46"/>
      <c r="B1408" s="52"/>
      <c r="C1408" s="52"/>
      <c r="D1408" s="16"/>
      <c r="E1408" s="52"/>
      <c r="F1408" s="52"/>
      <c r="G1408" s="50"/>
      <c r="H1408" s="17" t="str">
        <f ca="1">IFERROR(__xludf.DUMMYFUNCTION("""COMPUTED_VALUE"""),"")</f>
        <v/>
      </c>
      <c r="I1408" s="50" t="s">
        <v>29</v>
      </c>
      <c r="J1408" s="50" t="s">
        <v>29</v>
      </c>
      <c r="K1408" s="50" t="s">
        <v>29</v>
      </c>
      <c r="L1408" s="50" t="s">
        <v>29</v>
      </c>
      <c r="M1408" s="50" t="s">
        <v>29</v>
      </c>
      <c r="N1408" s="49"/>
      <c r="P1408" s="19"/>
      <c r="Q1408" s="18" t="str">
        <f ca="1">IFERROR(__xludf.DUMMYFUNCTION("""COMPUTED_VALUE"""),"")</f>
        <v/>
      </c>
      <c r="R1408" s="19"/>
      <c r="S1408" s="20"/>
      <c r="BP1408" s="10"/>
      <c r="BW1408" s="10"/>
      <c r="CF1408" s="10"/>
      <c r="CM1408" s="10"/>
      <c r="CP1408" s="18" t="str">
        <f ca="1"/>
        <v/>
      </c>
      <c r="CQ1408" s="18" t="str">
        <f ca="1"/>
        <v/>
      </c>
      <c r="CR1408" s="18" t="str">
        <f ca="1"/>
        <v/>
      </c>
      <c r="CS1408" s="18" t="str">
        <f ca="1"/>
        <v/>
      </c>
      <c r="CT1408" s="18" t="str">
        <f ca="1"/>
        <v/>
      </c>
      <c r="CV1408" s="10"/>
      <c r="CY1408" s="18" t="str">
        <f ca="1"/>
        <v/>
      </c>
      <c r="CZ1408" s="18" t="str">
        <f ca="1"/>
        <v/>
      </c>
      <c r="DA1408" s="18" t="str">
        <f ca="1"/>
        <v/>
      </c>
      <c r="DC1408" s="10"/>
    </row>
    <row r="1409" spans="1:107" x14ac:dyDescent="0.25">
      <c r="A1409" s="46"/>
      <c r="B1409" s="52"/>
      <c r="C1409" s="52"/>
      <c r="D1409" s="16"/>
      <c r="E1409" s="52"/>
      <c r="F1409" s="52"/>
      <c r="G1409" s="50"/>
      <c r="H1409" s="17" t="str">
        <f ca="1">IFERROR(__xludf.DUMMYFUNCTION("""COMPUTED_VALUE"""),"")</f>
        <v/>
      </c>
      <c r="I1409" s="50" t="s">
        <v>29</v>
      </c>
      <c r="J1409" s="50" t="s">
        <v>29</v>
      </c>
      <c r="K1409" s="50" t="s">
        <v>29</v>
      </c>
      <c r="L1409" s="50" t="s">
        <v>29</v>
      </c>
      <c r="M1409" s="50" t="s">
        <v>29</v>
      </c>
      <c r="N1409" s="49"/>
      <c r="P1409" s="19"/>
      <c r="Q1409" s="18" t="str">
        <f ca="1">IFERROR(__xludf.DUMMYFUNCTION("""COMPUTED_VALUE"""),"")</f>
        <v/>
      </c>
      <c r="R1409" s="19"/>
      <c r="S1409" s="20"/>
      <c r="BP1409" s="10"/>
      <c r="BW1409" s="10"/>
      <c r="CF1409" s="10"/>
      <c r="CM1409" s="10"/>
      <c r="CP1409" s="18" t="str">
        <f ca="1"/>
        <v/>
      </c>
      <c r="CQ1409" s="18" t="str">
        <f ca="1"/>
        <v/>
      </c>
      <c r="CR1409" s="18" t="str">
        <f ca="1"/>
        <v/>
      </c>
      <c r="CS1409" s="18" t="str">
        <f ca="1"/>
        <v/>
      </c>
      <c r="CT1409" s="18" t="str">
        <f ca="1"/>
        <v/>
      </c>
      <c r="CV1409" s="10"/>
      <c r="CY1409" s="18" t="str">
        <f ca="1"/>
        <v/>
      </c>
      <c r="CZ1409" s="18" t="str">
        <f ca="1"/>
        <v/>
      </c>
      <c r="DA1409" s="18" t="str">
        <f ca="1"/>
        <v/>
      </c>
      <c r="DC1409" s="10"/>
    </row>
    <row r="1410" spans="1:107" x14ac:dyDescent="0.25">
      <c r="A1410" s="46"/>
      <c r="B1410" s="52"/>
      <c r="C1410" s="52"/>
      <c r="D1410" s="16"/>
      <c r="E1410" s="52"/>
      <c r="F1410" s="52"/>
      <c r="G1410" s="50"/>
      <c r="H1410" s="17" t="str">
        <f ca="1">IFERROR(__xludf.DUMMYFUNCTION("""COMPUTED_VALUE"""),"")</f>
        <v/>
      </c>
      <c r="I1410" s="50" t="s">
        <v>29</v>
      </c>
      <c r="J1410" s="50" t="s">
        <v>29</v>
      </c>
      <c r="K1410" s="50" t="s">
        <v>29</v>
      </c>
      <c r="L1410" s="50" t="s">
        <v>29</v>
      </c>
      <c r="M1410" s="50" t="s">
        <v>29</v>
      </c>
      <c r="N1410" s="49"/>
      <c r="P1410" s="19"/>
      <c r="Q1410" s="18" t="str">
        <f ca="1">IFERROR(__xludf.DUMMYFUNCTION("""COMPUTED_VALUE"""),"")</f>
        <v/>
      </c>
      <c r="R1410" s="19"/>
      <c r="S1410" s="20"/>
      <c r="BP1410" s="10"/>
      <c r="BW1410" s="10"/>
      <c r="CF1410" s="10"/>
      <c r="CM1410" s="10"/>
      <c r="CP1410" s="18" t="str">
        <f ca="1"/>
        <v/>
      </c>
      <c r="CQ1410" s="18" t="str">
        <f ca="1"/>
        <v/>
      </c>
      <c r="CR1410" s="18" t="str">
        <f ca="1"/>
        <v/>
      </c>
      <c r="CS1410" s="18" t="str">
        <f ca="1"/>
        <v/>
      </c>
      <c r="CT1410" s="18" t="str">
        <f ca="1"/>
        <v/>
      </c>
      <c r="CV1410" s="10"/>
      <c r="CY1410" s="18" t="str">
        <f ca="1"/>
        <v/>
      </c>
      <c r="CZ1410" s="18" t="str">
        <f ca="1"/>
        <v/>
      </c>
      <c r="DA1410" s="18" t="str">
        <f ca="1"/>
        <v/>
      </c>
      <c r="DC1410" s="10"/>
    </row>
    <row r="1411" spans="1:107" x14ac:dyDescent="0.25">
      <c r="A1411" s="46"/>
      <c r="B1411" s="52"/>
      <c r="C1411" s="52"/>
      <c r="D1411" s="16"/>
      <c r="E1411" s="52"/>
      <c r="F1411" s="52"/>
      <c r="G1411" s="50"/>
      <c r="H1411" s="17" t="str">
        <f ca="1">IFERROR(__xludf.DUMMYFUNCTION("""COMPUTED_VALUE"""),"")</f>
        <v/>
      </c>
      <c r="I1411" s="50" t="s">
        <v>29</v>
      </c>
      <c r="J1411" s="50" t="s">
        <v>29</v>
      </c>
      <c r="K1411" s="50" t="s">
        <v>29</v>
      </c>
      <c r="L1411" s="50" t="s">
        <v>29</v>
      </c>
      <c r="M1411" s="50" t="s">
        <v>29</v>
      </c>
      <c r="N1411" s="49"/>
      <c r="P1411" s="19"/>
      <c r="Q1411" s="18" t="str">
        <f ca="1">IFERROR(__xludf.DUMMYFUNCTION("""COMPUTED_VALUE"""),"")</f>
        <v/>
      </c>
      <c r="R1411" s="19"/>
      <c r="S1411" s="20"/>
      <c r="BP1411" s="10"/>
      <c r="BW1411" s="10"/>
      <c r="CF1411" s="10"/>
      <c r="CM1411" s="10"/>
      <c r="CP1411" s="18" t="str">
        <f ca="1"/>
        <v/>
      </c>
      <c r="CQ1411" s="18" t="str">
        <f ca="1"/>
        <v/>
      </c>
      <c r="CR1411" s="18" t="str">
        <f ca="1"/>
        <v/>
      </c>
      <c r="CS1411" s="18" t="str">
        <f ca="1"/>
        <v/>
      </c>
      <c r="CT1411" s="18" t="str">
        <f ca="1"/>
        <v/>
      </c>
      <c r="CV1411" s="10"/>
      <c r="CY1411" s="18" t="str">
        <f ca="1"/>
        <v/>
      </c>
      <c r="CZ1411" s="18" t="str">
        <f ca="1"/>
        <v/>
      </c>
      <c r="DA1411" s="18" t="str">
        <f ca="1"/>
        <v/>
      </c>
      <c r="DC1411" s="10"/>
    </row>
    <row r="1412" spans="1:107" x14ac:dyDescent="0.25">
      <c r="A1412" s="46"/>
      <c r="B1412" s="52"/>
      <c r="C1412" s="52"/>
      <c r="D1412" s="16"/>
      <c r="E1412" s="52"/>
      <c r="F1412" s="52"/>
      <c r="G1412" s="50"/>
      <c r="H1412" s="17" t="str">
        <f ca="1">IFERROR(__xludf.DUMMYFUNCTION("""COMPUTED_VALUE"""),"")</f>
        <v/>
      </c>
      <c r="I1412" s="50" t="s">
        <v>29</v>
      </c>
      <c r="J1412" s="50" t="s">
        <v>29</v>
      </c>
      <c r="K1412" s="50" t="s">
        <v>29</v>
      </c>
      <c r="L1412" s="50" t="s">
        <v>29</v>
      </c>
      <c r="M1412" s="50" t="s">
        <v>29</v>
      </c>
      <c r="N1412" s="49"/>
      <c r="P1412" s="19"/>
      <c r="Q1412" s="18" t="str">
        <f ca="1">IFERROR(__xludf.DUMMYFUNCTION("""COMPUTED_VALUE"""),"")</f>
        <v/>
      </c>
      <c r="R1412" s="19"/>
      <c r="S1412" s="20"/>
      <c r="BP1412" s="10"/>
      <c r="BW1412" s="10"/>
      <c r="CF1412" s="10"/>
      <c r="CM1412" s="10"/>
      <c r="CP1412" s="18" t="str">
        <f ca="1"/>
        <v/>
      </c>
      <c r="CQ1412" s="18" t="str">
        <f ca="1"/>
        <v/>
      </c>
      <c r="CR1412" s="18" t="str">
        <f ca="1"/>
        <v/>
      </c>
      <c r="CS1412" s="18" t="str">
        <f ca="1"/>
        <v/>
      </c>
      <c r="CT1412" s="18" t="str">
        <f ca="1"/>
        <v/>
      </c>
      <c r="CV1412" s="10"/>
      <c r="CY1412" s="18" t="str">
        <f ca="1"/>
        <v/>
      </c>
      <c r="CZ1412" s="18" t="str">
        <f ca="1"/>
        <v/>
      </c>
      <c r="DA1412" s="18" t="str">
        <f ca="1"/>
        <v/>
      </c>
      <c r="DC1412" s="10"/>
    </row>
    <row r="1413" spans="1:107" x14ac:dyDescent="0.25">
      <c r="A1413" s="46"/>
      <c r="B1413" s="52"/>
      <c r="C1413" s="52"/>
      <c r="D1413" s="16"/>
      <c r="E1413" s="52"/>
      <c r="F1413" s="52"/>
      <c r="G1413" s="50"/>
      <c r="H1413" s="17" t="str">
        <f ca="1">IFERROR(__xludf.DUMMYFUNCTION("""COMPUTED_VALUE"""),"")</f>
        <v/>
      </c>
      <c r="I1413" s="50" t="s">
        <v>29</v>
      </c>
      <c r="J1413" s="50" t="s">
        <v>29</v>
      </c>
      <c r="K1413" s="50" t="s">
        <v>29</v>
      </c>
      <c r="L1413" s="50" t="s">
        <v>29</v>
      </c>
      <c r="M1413" s="50" t="s">
        <v>29</v>
      </c>
      <c r="N1413" s="49"/>
      <c r="P1413" s="19"/>
      <c r="Q1413" s="18" t="str">
        <f ca="1">IFERROR(__xludf.DUMMYFUNCTION("""COMPUTED_VALUE"""),"")</f>
        <v/>
      </c>
      <c r="R1413" s="19"/>
      <c r="S1413" s="20"/>
      <c r="BP1413" s="10"/>
      <c r="BW1413" s="10"/>
      <c r="CF1413" s="10"/>
      <c r="CM1413" s="10"/>
      <c r="CP1413" s="18" t="str">
        <f ca="1"/>
        <v/>
      </c>
      <c r="CQ1413" s="18" t="str">
        <f ca="1"/>
        <v/>
      </c>
      <c r="CR1413" s="18" t="str">
        <f ca="1"/>
        <v/>
      </c>
      <c r="CS1413" s="18" t="str">
        <f ca="1"/>
        <v/>
      </c>
      <c r="CT1413" s="18" t="str">
        <f ca="1"/>
        <v/>
      </c>
      <c r="CV1413" s="10"/>
      <c r="CY1413" s="18" t="str">
        <f ca="1"/>
        <v/>
      </c>
      <c r="CZ1413" s="18" t="str">
        <f ca="1"/>
        <v/>
      </c>
      <c r="DA1413" s="18" t="str">
        <f ca="1"/>
        <v/>
      </c>
      <c r="DC1413" s="10"/>
    </row>
    <row r="1414" spans="1:107" x14ac:dyDescent="0.25">
      <c r="A1414" s="46"/>
      <c r="B1414" s="52"/>
      <c r="C1414" s="52"/>
      <c r="D1414" s="16"/>
      <c r="E1414" s="52"/>
      <c r="F1414" s="52"/>
      <c r="G1414" s="50"/>
      <c r="H1414" s="17" t="str">
        <f ca="1">IFERROR(__xludf.DUMMYFUNCTION("""COMPUTED_VALUE"""),"")</f>
        <v/>
      </c>
      <c r="I1414" s="50" t="s">
        <v>29</v>
      </c>
      <c r="J1414" s="50" t="s">
        <v>29</v>
      </c>
      <c r="K1414" s="50" t="s">
        <v>29</v>
      </c>
      <c r="L1414" s="50" t="s">
        <v>29</v>
      </c>
      <c r="M1414" s="50" t="s">
        <v>29</v>
      </c>
      <c r="N1414" s="49"/>
      <c r="P1414" s="19"/>
      <c r="Q1414" s="18" t="str">
        <f ca="1">IFERROR(__xludf.DUMMYFUNCTION("""COMPUTED_VALUE"""),"")</f>
        <v/>
      </c>
      <c r="R1414" s="19"/>
      <c r="S1414" s="20"/>
      <c r="BP1414" s="10"/>
      <c r="BW1414" s="10"/>
      <c r="CF1414" s="10"/>
      <c r="CM1414" s="10"/>
      <c r="CP1414" s="18" t="str">
        <f ca="1"/>
        <v/>
      </c>
      <c r="CQ1414" s="18" t="str">
        <f ca="1"/>
        <v/>
      </c>
      <c r="CR1414" s="18" t="str">
        <f ca="1"/>
        <v/>
      </c>
      <c r="CS1414" s="18" t="str">
        <f ca="1"/>
        <v/>
      </c>
      <c r="CT1414" s="18" t="str">
        <f ca="1"/>
        <v/>
      </c>
      <c r="CV1414" s="10"/>
      <c r="CY1414" s="18" t="str">
        <f ca="1"/>
        <v/>
      </c>
      <c r="CZ1414" s="18" t="str">
        <f ca="1"/>
        <v/>
      </c>
      <c r="DA1414" s="18" t="str">
        <f ca="1"/>
        <v/>
      </c>
      <c r="DC1414" s="10"/>
    </row>
    <row r="1415" spans="1:107" x14ac:dyDescent="0.25">
      <c r="A1415" s="46"/>
      <c r="B1415" s="52"/>
      <c r="C1415" s="52"/>
      <c r="D1415" s="16"/>
      <c r="E1415" s="52"/>
      <c r="F1415" s="52"/>
      <c r="G1415" s="50"/>
      <c r="H1415" s="17" t="str">
        <f ca="1">IFERROR(__xludf.DUMMYFUNCTION("""COMPUTED_VALUE"""),"")</f>
        <v/>
      </c>
      <c r="I1415" s="50" t="s">
        <v>29</v>
      </c>
      <c r="J1415" s="50" t="s">
        <v>29</v>
      </c>
      <c r="K1415" s="50" t="s">
        <v>29</v>
      </c>
      <c r="L1415" s="50" t="s">
        <v>29</v>
      </c>
      <c r="M1415" s="50" t="s">
        <v>29</v>
      </c>
      <c r="N1415" s="49"/>
      <c r="P1415" s="19"/>
      <c r="Q1415" s="18" t="str">
        <f ca="1">IFERROR(__xludf.DUMMYFUNCTION("""COMPUTED_VALUE"""),"")</f>
        <v/>
      </c>
      <c r="R1415" s="19"/>
      <c r="S1415" s="20"/>
      <c r="BP1415" s="10"/>
      <c r="BW1415" s="10"/>
      <c r="CF1415" s="10"/>
      <c r="CM1415" s="10"/>
      <c r="CP1415" s="18" t="str">
        <f ca="1"/>
        <v/>
      </c>
      <c r="CQ1415" s="18" t="str">
        <f ca="1"/>
        <v/>
      </c>
      <c r="CR1415" s="18" t="str">
        <f ca="1"/>
        <v/>
      </c>
      <c r="CS1415" s="18" t="str">
        <f ca="1"/>
        <v/>
      </c>
      <c r="CT1415" s="18" t="str">
        <f ca="1"/>
        <v/>
      </c>
      <c r="CV1415" s="10"/>
      <c r="CY1415" s="18" t="str">
        <f ca="1"/>
        <v/>
      </c>
      <c r="CZ1415" s="18" t="str">
        <f ca="1"/>
        <v/>
      </c>
      <c r="DA1415" s="18" t="str">
        <f ca="1"/>
        <v/>
      </c>
      <c r="DC1415" s="10"/>
    </row>
    <row r="1416" spans="1:107" x14ac:dyDescent="0.25">
      <c r="A1416" s="46"/>
      <c r="B1416" s="52"/>
      <c r="C1416" s="52"/>
      <c r="D1416" s="16"/>
      <c r="E1416" s="52"/>
      <c r="F1416" s="52"/>
      <c r="G1416" s="50"/>
      <c r="H1416" s="17" t="str">
        <f ca="1">IFERROR(__xludf.DUMMYFUNCTION("""COMPUTED_VALUE"""),"")</f>
        <v/>
      </c>
      <c r="I1416" s="50" t="s">
        <v>29</v>
      </c>
      <c r="J1416" s="50" t="s">
        <v>29</v>
      </c>
      <c r="K1416" s="50" t="s">
        <v>29</v>
      </c>
      <c r="L1416" s="50" t="s">
        <v>29</v>
      </c>
      <c r="M1416" s="50" t="s">
        <v>29</v>
      </c>
      <c r="N1416" s="49"/>
      <c r="P1416" s="19"/>
      <c r="Q1416" s="18" t="str">
        <f ca="1">IFERROR(__xludf.DUMMYFUNCTION("""COMPUTED_VALUE"""),"")</f>
        <v/>
      </c>
      <c r="R1416" s="19"/>
      <c r="S1416" s="20"/>
      <c r="BP1416" s="10"/>
      <c r="BW1416" s="10"/>
      <c r="CF1416" s="10"/>
      <c r="CM1416" s="10"/>
      <c r="CP1416" s="18" t="str">
        <f ca="1"/>
        <v/>
      </c>
      <c r="CQ1416" s="18" t="str">
        <f ca="1"/>
        <v/>
      </c>
      <c r="CR1416" s="18" t="str">
        <f ca="1"/>
        <v/>
      </c>
      <c r="CS1416" s="18" t="str">
        <f ca="1"/>
        <v/>
      </c>
      <c r="CT1416" s="18" t="str">
        <f ca="1"/>
        <v/>
      </c>
      <c r="CV1416" s="10"/>
      <c r="CY1416" s="18" t="str">
        <f ca="1"/>
        <v/>
      </c>
      <c r="CZ1416" s="18" t="str">
        <f ca="1"/>
        <v/>
      </c>
      <c r="DA1416" s="18" t="str">
        <f ca="1"/>
        <v/>
      </c>
      <c r="DC1416" s="10"/>
    </row>
    <row r="1417" spans="1:107" x14ac:dyDescent="0.25">
      <c r="A1417" s="46"/>
      <c r="B1417" s="52"/>
      <c r="C1417" s="52"/>
      <c r="D1417" s="16"/>
      <c r="E1417" s="52"/>
      <c r="F1417" s="52"/>
      <c r="G1417" s="50"/>
      <c r="H1417" s="17" t="str">
        <f ca="1">IFERROR(__xludf.DUMMYFUNCTION("""COMPUTED_VALUE"""),"")</f>
        <v/>
      </c>
      <c r="I1417" s="50" t="s">
        <v>29</v>
      </c>
      <c r="J1417" s="50" t="s">
        <v>29</v>
      </c>
      <c r="K1417" s="50" t="s">
        <v>29</v>
      </c>
      <c r="L1417" s="50" t="s">
        <v>29</v>
      </c>
      <c r="M1417" s="50" t="s">
        <v>29</v>
      </c>
      <c r="N1417" s="49"/>
      <c r="P1417" s="19"/>
      <c r="Q1417" s="18" t="str">
        <f ca="1">IFERROR(__xludf.DUMMYFUNCTION("""COMPUTED_VALUE"""),"")</f>
        <v/>
      </c>
      <c r="R1417" s="19"/>
      <c r="S1417" s="20"/>
      <c r="BP1417" s="10"/>
      <c r="BW1417" s="10"/>
      <c r="CF1417" s="10"/>
      <c r="CM1417" s="10"/>
      <c r="CP1417" s="18" t="str">
        <f ca="1"/>
        <v/>
      </c>
      <c r="CQ1417" s="18" t="str">
        <f ca="1"/>
        <v/>
      </c>
      <c r="CR1417" s="18" t="str">
        <f ca="1"/>
        <v/>
      </c>
      <c r="CS1417" s="18" t="str">
        <f ca="1"/>
        <v/>
      </c>
      <c r="CT1417" s="18" t="str">
        <f ca="1"/>
        <v/>
      </c>
      <c r="CV1417" s="10"/>
      <c r="CY1417" s="18" t="str">
        <f ca="1"/>
        <v/>
      </c>
      <c r="CZ1417" s="18" t="str">
        <f ca="1"/>
        <v/>
      </c>
      <c r="DA1417" s="18" t="str">
        <f ca="1"/>
        <v/>
      </c>
      <c r="DC1417" s="10"/>
    </row>
    <row r="1418" spans="1:107" x14ac:dyDescent="0.25">
      <c r="A1418" s="46"/>
      <c r="B1418" s="52"/>
      <c r="C1418" s="52"/>
      <c r="D1418" s="16"/>
      <c r="E1418" s="52"/>
      <c r="F1418" s="52"/>
      <c r="G1418" s="50"/>
      <c r="H1418" s="17" t="str">
        <f ca="1">IFERROR(__xludf.DUMMYFUNCTION("""COMPUTED_VALUE"""),"")</f>
        <v/>
      </c>
      <c r="I1418" s="50" t="s">
        <v>29</v>
      </c>
      <c r="J1418" s="50" t="s">
        <v>29</v>
      </c>
      <c r="K1418" s="50" t="s">
        <v>29</v>
      </c>
      <c r="L1418" s="50" t="s">
        <v>29</v>
      </c>
      <c r="M1418" s="50" t="s">
        <v>29</v>
      </c>
      <c r="N1418" s="49"/>
      <c r="P1418" s="19"/>
      <c r="Q1418" s="18" t="str">
        <f ca="1">IFERROR(__xludf.DUMMYFUNCTION("""COMPUTED_VALUE"""),"")</f>
        <v/>
      </c>
      <c r="R1418" s="19"/>
      <c r="S1418" s="20"/>
      <c r="BP1418" s="10"/>
      <c r="BW1418" s="10"/>
      <c r="CF1418" s="10"/>
      <c r="CM1418" s="10"/>
      <c r="CP1418" s="18" t="str">
        <f ca="1"/>
        <v/>
      </c>
      <c r="CQ1418" s="18" t="str">
        <f ca="1"/>
        <v/>
      </c>
      <c r="CR1418" s="18" t="str">
        <f ca="1"/>
        <v/>
      </c>
      <c r="CS1418" s="18" t="str">
        <f ca="1"/>
        <v/>
      </c>
      <c r="CT1418" s="18" t="str">
        <f ca="1"/>
        <v/>
      </c>
      <c r="CV1418" s="10"/>
      <c r="CY1418" s="18" t="str">
        <f ca="1"/>
        <v/>
      </c>
      <c r="CZ1418" s="18" t="str">
        <f ca="1"/>
        <v/>
      </c>
      <c r="DA1418" s="18" t="str">
        <f ca="1"/>
        <v/>
      </c>
      <c r="DC1418" s="10"/>
    </row>
    <row r="1419" spans="1:107" x14ac:dyDescent="0.25">
      <c r="A1419" s="46"/>
      <c r="B1419" s="52"/>
      <c r="C1419" s="52"/>
      <c r="D1419" s="16"/>
      <c r="E1419" s="52"/>
      <c r="F1419" s="52"/>
      <c r="G1419" s="50"/>
      <c r="H1419" s="17" t="str">
        <f ca="1">IFERROR(__xludf.DUMMYFUNCTION("""COMPUTED_VALUE"""),"")</f>
        <v/>
      </c>
      <c r="I1419" s="50" t="s">
        <v>29</v>
      </c>
      <c r="J1419" s="50" t="s">
        <v>29</v>
      </c>
      <c r="K1419" s="50" t="s">
        <v>29</v>
      </c>
      <c r="L1419" s="50" t="s">
        <v>29</v>
      </c>
      <c r="M1419" s="50" t="s">
        <v>29</v>
      </c>
      <c r="N1419" s="49"/>
      <c r="P1419" s="19"/>
      <c r="Q1419" s="18" t="str">
        <f ca="1">IFERROR(__xludf.DUMMYFUNCTION("""COMPUTED_VALUE"""),"")</f>
        <v/>
      </c>
      <c r="R1419" s="19"/>
      <c r="S1419" s="20"/>
      <c r="BP1419" s="10"/>
      <c r="BW1419" s="10"/>
      <c r="CF1419" s="10"/>
      <c r="CM1419" s="10"/>
      <c r="CP1419" s="18" t="str">
        <f ca="1"/>
        <v/>
      </c>
      <c r="CQ1419" s="18" t="str">
        <f ca="1"/>
        <v/>
      </c>
      <c r="CR1419" s="18" t="str">
        <f ca="1"/>
        <v/>
      </c>
      <c r="CS1419" s="18" t="str">
        <f ca="1"/>
        <v/>
      </c>
      <c r="CT1419" s="18" t="str">
        <f ca="1"/>
        <v/>
      </c>
      <c r="CV1419" s="10"/>
      <c r="CY1419" s="18" t="str">
        <f ca="1"/>
        <v/>
      </c>
      <c r="CZ1419" s="18" t="str">
        <f ca="1"/>
        <v/>
      </c>
      <c r="DA1419" s="18" t="str">
        <f ca="1"/>
        <v/>
      </c>
      <c r="DC1419" s="10"/>
    </row>
    <row r="1420" spans="1:107" x14ac:dyDescent="0.25">
      <c r="A1420" s="46"/>
      <c r="B1420" s="52"/>
      <c r="C1420" s="52"/>
      <c r="D1420" s="16"/>
      <c r="E1420" s="52"/>
      <c r="F1420" s="52"/>
      <c r="G1420" s="50"/>
      <c r="H1420" s="17" t="str">
        <f ca="1">IFERROR(__xludf.DUMMYFUNCTION("""COMPUTED_VALUE"""),"")</f>
        <v/>
      </c>
      <c r="I1420" s="50" t="s">
        <v>29</v>
      </c>
      <c r="J1420" s="50" t="s">
        <v>29</v>
      </c>
      <c r="K1420" s="50" t="s">
        <v>29</v>
      </c>
      <c r="L1420" s="50" t="s">
        <v>29</v>
      </c>
      <c r="M1420" s="50" t="s">
        <v>29</v>
      </c>
      <c r="N1420" s="49"/>
      <c r="P1420" s="19"/>
      <c r="Q1420" s="18" t="str">
        <f ca="1">IFERROR(__xludf.DUMMYFUNCTION("""COMPUTED_VALUE"""),"")</f>
        <v/>
      </c>
      <c r="R1420" s="19"/>
      <c r="S1420" s="20"/>
      <c r="BP1420" s="10"/>
      <c r="BW1420" s="10"/>
      <c r="CF1420" s="10"/>
      <c r="CM1420" s="10"/>
      <c r="CP1420" s="18" t="str">
        <f ca="1"/>
        <v/>
      </c>
      <c r="CQ1420" s="18" t="str">
        <f ca="1"/>
        <v/>
      </c>
      <c r="CR1420" s="18" t="str">
        <f ca="1"/>
        <v/>
      </c>
      <c r="CS1420" s="18" t="str">
        <f ca="1"/>
        <v/>
      </c>
      <c r="CT1420" s="18" t="str">
        <f ca="1"/>
        <v/>
      </c>
      <c r="CV1420" s="10"/>
      <c r="CY1420" s="18" t="str">
        <f ca="1"/>
        <v/>
      </c>
      <c r="CZ1420" s="18" t="str">
        <f ca="1"/>
        <v/>
      </c>
      <c r="DA1420" s="18" t="str">
        <f ca="1"/>
        <v/>
      </c>
      <c r="DC1420" s="10"/>
    </row>
    <row r="1421" spans="1:107" x14ac:dyDescent="0.25">
      <c r="A1421" s="46"/>
      <c r="B1421" s="52"/>
      <c r="C1421" s="52"/>
      <c r="D1421" s="16"/>
      <c r="E1421" s="52"/>
      <c r="F1421" s="52"/>
      <c r="G1421" s="50"/>
      <c r="H1421" s="17" t="str">
        <f ca="1">IFERROR(__xludf.DUMMYFUNCTION("""COMPUTED_VALUE"""),"")</f>
        <v/>
      </c>
      <c r="I1421" s="50" t="s">
        <v>29</v>
      </c>
      <c r="J1421" s="50" t="s">
        <v>29</v>
      </c>
      <c r="K1421" s="50" t="s">
        <v>29</v>
      </c>
      <c r="L1421" s="50" t="s">
        <v>29</v>
      </c>
      <c r="M1421" s="50" t="s">
        <v>29</v>
      </c>
      <c r="N1421" s="49"/>
      <c r="P1421" s="19"/>
      <c r="Q1421" s="18" t="str">
        <f ca="1">IFERROR(__xludf.DUMMYFUNCTION("""COMPUTED_VALUE"""),"")</f>
        <v/>
      </c>
      <c r="R1421" s="19"/>
      <c r="S1421" s="20"/>
      <c r="BP1421" s="10"/>
      <c r="BW1421" s="10"/>
      <c r="CF1421" s="10"/>
      <c r="CM1421" s="10"/>
      <c r="CP1421" s="18" t="str">
        <f ca="1"/>
        <v/>
      </c>
      <c r="CQ1421" s="18" t="str">
        <f ca="1"/>
        <v/>
      </c>
      <c r="CR1421" s="18" t="str">
        <f ca="1"/>
        <v/>
      </c>
      <c r="CS1421" s="18" t="str">
        <f ca="1"/>
        <v/>
      </c>
      <c r="CT1421" s="18" t="str">
        <f ca="1"/>
        <v/>
      </c>
      <c r="CV1421" s="10"/>
      <c r="CY1421" s="18" t="str">
        <f ca="1"/>
        <v/>
      </c>
      <c r="CZ1421" s="18" t="str">
        <f ca="1"/>
        <v/>
      </c>
      <c r="DA1421" s="18" t="str">
        <f ca="1"/>
        <v/>
      </c>
      <c r="DC1421" s="10"/>
    </row>
    <row r="1422" spans="1:107" x14ac:dyDescent="0.25">
      <c r="A1422" s="46"/>
      <c r="B1422" s="52"/>
      <c r="C1422" s="52"/>
      <c r="D1422" s="16"/>
      <c r="E1422" s="52"/>
      <c r="F1422" s="52"/>
      <c r="G1422" s="50"/>
      <c r="H1422" s="17" t="str">
        <f ca="1">IFERROR(__xludf.DUMMYFUNCTION("""COMPUTED_VALUE"""),"")</f>
        <v/>
      </c>
      <c r="I1422" s="50" t="s">
        <v>29</v>
      </c>
      <c r="J1422" s="50" t="s">
        <v>29</v>
      </c>
      <c r="K1422" s="50" t="s">
        <v>29</v>
      </c>
      <c r="L1422" s="50" t="s">
        <v>29</v>
      </c>
      <c r="M1422" s="50" t="s">
        <v>29</v>
      </c>
      <c r="N1422" s="49"/>
      <c r="P1422" s="19"/>
      <c r="Q1422" s="18" t="str">
        <f ca="1">IFERROR(__xludf.DUMMYFUNCTION("""COMPUTED_VALUE"""),"")</f>
        <v/>
      </c>
      <c r="R1422" s="19"/>
      <c r="S1422" s="20"/>
      <c r="BP1422" s="10"/>
      <c r="BW1422" s="10"/>
      <c r="CF1422" s="10"/>
      <c r="CM1422" s="10"/>
      <c r="CP1422" s="18" t="str">
        <f ca="1"/>
        <v/>
      </c>
      <c r="CQ1422" s="18" t="str">
        <f ca="1"/>
        <v/>
      </c>
      <c r="CR1422" s="18" t="str">
        <f ca="1"/>
        <v/>
      </c>
      <c r="CS1422" s="18" t="str">
        <f ca="1"/>
        <v/>
      </c>
      <c r="CT1422" s="18" t="str">
        <f ca="1"/>
        <v/>
      </c>
      <c r="CV1422" s="10"/>
      <c r="CY1422" s="18" t="str">
        <f ca="1"/>
        <v/>
      </c>
      <c r="CZ1422" s="18" t="str">
        <f ca="1"/>
        <v/>
      </c>
      <c r="DA1422" s="18" t="str">
        <f ca="1"/>
        <v/>
      </c>
      <c r="DC1422" s="10"/>
    </row>
    <row r="1423" spans="1:107" x14ac:dyDescent="0.25">
      <c r="A1423" s="46"/>
      <c r="B1423" s="52"/>
      <c r="C1423" s="52"/>
      <c r="D1423" s="16"/>
      <c r="E1423" s="52"/>
      <c r="F1423" s="52"/>
      <c r="G1423" s="50"/>
      <c r="H1423" s="17" t="str">
        <f ca="1">IFERROR(__xludf.DUMMYFUNCTION("""COMPUTED_VALUE"""),"")</f>
        <v/>
      </c>
      <c r="I1423" s="50" t="s">
        <v>29</v>
      </c>
      <c r="J1423" s="50" t="s">
        <v>29</v>
      </c>
      <c r="K1423" s="50" t="s">
        <v>29</v>
      </c>
      <c r="L1423" s="50" t="s">
        <v>29</v>
      </c>
      <c r="M1423" s="50" t="s">
        <v>29</v>
      </c>
      <c r="N1423" s="49"/>
      <c r="P1423" s="19"/>
      <c r="Q1423" s="18" t="str">
        <f ca="1">IFERROR(__xludf.DUMMYFUNCTION("""COMPUTED_VALUE"""),"")</f>
        <v/>
      </c>
      <c r="R1423" s="19"/>
      <c r="S1423" s="20"/>
      <c r="BP1423" s="10"/>
      <c r="BW1423" s="10"/>
      <c r="CF1423" s="10"/>
      <c r="CM1423" s="10"/>
      <c r="CP1423" s="18" t="str">
        <f ca="1"/>
        <v/>
      </c>
      <c r="CQ1423" s="18" t="str">
        <f ca="1"/>
        <v/>
      </c>
      <c r="CR1423" s="18" t="str">
        <f ca="1"/>
        <v/>
      </c>
      <c r="CS1423" s="18" t="str">
        <f ca="1"/>
        <v/>
      </c>
      <c r="CT1423" s="18" t="str">
        <f ca="1"/>
        <v/>
      </c>
      <c r="CV1423" s="10"/>
      <c r="CY1423" s="18" t="str">
        <f ca="1"/>
        <v/>
      </c>
      <c r="CZ1423" s="18" t="str">
        <f ca="1"/>
        <v/>
      </c>
      <c r="DA1423" s="18" t="str">
        <f ca="1"/>
        <v/>
      </c>
      <c r="DC1423" s="10"/>
    </row>
    <row r="1424" spans="1:107" x14ac:dyDescent="0.25">
      <c r="A1424" s="46"/>
      <c r="B1424" s="52"/>
      <c r="C1424" s="52"/>
      <c r="D1424" s="16"/>
      <c r="E1424" s="52"/>
      <c r="F1424" s="52"/>
      <c r="G1424" s="50"/>
      <c r="H1424" s="17" t="str">
        <f ca="1">IFERROR(__xludf.DUMMYFUNCTION("""COMPUTED_VALUE"""),"")</f>
        <v/>
      </c>
      <c r="I1424" s="50" t="s">
        <v>29</v>
      </c>
      <c r="J1424" s="50" t="s">
        <v>29</v>
      </c>
      <c r="K1424" s="50" t="s">
        <v>29</v>
      </c>
      <c r="L1424" s="50" t="s">
        <v>29</v>
      </c>
      <c r="M1424" s="50" t="s">
        <v>29</v>
      </c>
      <c r="N1424" s="49"/>
      <c r="P1424" s="19"/>
      <c r="Q1424" s="18" t="str">
        <f ca="1">IFERROR(__xludf.DUMMYFUNCTION("""COMPUTED_VALUE"""),"")</f>
        <v/>
      </c>
      <c r="R1424" s="19"/>
      <c r="S1424" s="20"/>
      <c r="BP1424" s="10"/>
      <c r="BW1424" s="10"/>
      <c r="CF1424" s="10"/>
      <c r="CM1424" s="10"/>
      <c r="CP1424" s="18" t="str">
        <f ca="1"/>
        <v/>
      </c>
      <c r="CQ1424" s="18" t="str">
        <f ca="1"/>
        <v/>
      </c>
      <c r="CR1424" s="18" t="str">
        <f ca="1"/>
        <v/>
      </c>
      <c r="CS1424" s="18" t="str">
        <f ca="1"/>
        <v/>
      </c>
      <c r="CT1424" s="18" t="str">
        <f ca="1"/>
        <v/>
      </c>
      <c r="CV1424" s="10"/>
      <c r="CY1424" s="18" t="str">
        <f ca="1"/>
        <v/>
      </c>
      <c r="CZ1424" s="18" t="str">
        <f ca="1"/>
        <v/>
      </c>
      <c r="DA1424" s="18" t="str">
        <f ca="1"/>
        <v/>
      </c>
      <c r="DC1424" s="10"/>
    </row>
    <row r="1425" spans="1:107" x14ac:dyDescent="0.25">
      <c r="A1425" s="46"/>
      <c r="B1425" s="52"/>
      <c r="C1425" s="52"/>
      <c r="D1425" s="16"/>
      <c r="E1425" s="52"/>
      <c r="F1425" s="52"/>
      <c r="G1425" s="50"/>
      <c r="H1425" s="17" t="str">
        <f ca="1">IFERROR(__xludf.DUMMYFUNCTION("""COMPUTED_VALUE"""),"")</f>
        <v/>
      </c>
      <c r="I1425" s="50" t="s">
        <v>29</v>
      </c>
      <c r="J1425" s="50" t="s">
        <v>29</v>
      </c>
      <c r="K1425" s="50" t="s">
        <v>29</v>
      </c>
      <c r="L1425" s="50" t="s">
        <v>29</v>
      </c>
      <c r="M1425" s="50" t="s">
        <v>29</v>
      </c>
      <c r="N1425" s="49"/>
      <c r="P1425" s="19"/>
      <c r="Q1425" s="18" t="str">
        <f ca="1">IFERROR(__xludf.DUMMYFUNCTION("""COMPUTED_VALUE"""),"")</f>
        <v/>
      </c>
      <c r="R1425" s="19"/>
      <c r="S1425" s="20"/>
      <c r="BP1425" s="10"/>
      <c r="BW1425" s="10"/>
      <c r="CF1425" s="10"/>
      <c r="CM1425" s="10"/>
      <c r="CP1425" s="18" t="str">
        <f ca="1"/>
        <v/>
      </c>
      <c r="CQ1425" s="18" t="str">
        <f ca="1"/>
        <v/>
      </c>
      <c r="CR1425" s="18" t="str">
        <f ca="1"/>
        <v/>
      </c>
      <c r="CS1425" s="18" t="str">
        <f ca="1"/>
        <v/>
      </c>
      <c r="CT1425" s="18" t="str">
        <f ca="1"/>
        <v/>
      </c>
      <c r="CV1425" s="10"/>
      <c r="CY1425" s="18" t="str">
        <f ca="1"/>
        <v/>
      </c>
      <c r="CZ1425" s="18" t="str">
        <f ca="1"/>
        <v/>
      </c>
      <c r="DA1425" s="18" t="str">
        <f ca="1"/>
        <v/>
      </c>
      <c r="DC1425" s="10"/>
    </row>
    <row r="1426" spans="1:107" x14ac:dyDescent="0.25">
      <c r="A1426" s="46"/>
      <c r="B1426" s="52"/>
      <c r="C1426" s="52"/>
      <c r="D1426" s="16"/>
      <c r="E1426" s="52"/>
      <c r="F1426" s="52"/>
      <c r="G1426" s="50"/>
      <c r="H1426" s="17" t="str">
        <f ca="1">IFERROR(__xludf.DUMMYFUNCTION("""COMPUTED_VALUE"""),"")</f>
        <v/>
      </c>
      <c r="I1426" s="50" t="s">
        <v>29</v>
      </c>
      <c r="J1426" s="50" t="s">
        <v>29</v>
      </c>
      <c r="K1426" s="50" t="s">
        <v>29</v>
      </c>
      <c r="L1426" s="50" t="s">
        <v>29</v>
      </c>
      <c r="M1426" s="50" t="s">
        <v>29</v>
      </c>
      <c r="N1426" s="49"/>
      <c r="P1426" s="19"/>
      <c r="Q1426" s="18" t="str">
        <f ca="1">IFERROR(__xludf.DUMMYFUNCTION("""COMPUTED_VALUE"""),"")</f>
        <v/>
      </c>
      <c r="R1426" s="19"/>
      <c r="S1426" s="20"/>
      <c r="BP1426" s="10"/>
      <c r="BW1426" s="10"/>
      <c r="CF1426" s="10"/>
      <c r="CM1426" s="10"/>
      <c r="CP1426" s="18" t="str">
        <f ca="1"/>
        <v/>
      </c>
      <c r="CQ1426" s="18" t="str">
        <f ca="1"/>
        <v/>
      </c>
      <c r="CR1426" s="18" t="str">
        <f ca="1"/>
        <v/>
      </c>
      <c r="CS1426" s="18" t="str">
        <f ca="1"/>
        <v/>
      </c>
      <c r="CT1426" s="18" t="str">
        <f ca="1"/>
        <v/>
      </c>
      <c r="CV1426" s="10"/>
      <c r="CY1426" s="18" t="str">
        <f ca="1"/>
        <v/>
      </c>
      <c r="CZ1426" s="18" t="str">
        <f ca="1"/>
        <v/>
      </c>
      <c r="DA1426" s="18" t="str">
        <f ca="1"/>
        <v/>
      </c>
      <c r="DC1426" s="10"/>
    </row>
    <row r="1427" spans="1:107" x14ac:dyDescent="0.25">
      <c r="A1427" s="46"/>
      <c r="B1427" s="52"/>
      <c r="C1427" s="52"/>
      <c r="D1427" s="16"/>
      <c r="E1427" s="52"/>
      <c r="F1427" s="52"/>
      <c r="G1427" s="50"/>
      <c r="H1427" s="17" t="str">
        <f ca="1">IFERROR(__xludf.DUMMYFUNCTION("""COMPUTED_VALUE"""),"")</f>
        <v/>
      </c>
      <c r="I1427" s="50" t="s">
        <v>29</v>
      </c>
      <c r="J1427" s="50" t="s">
        <v>29</v>
      </c>
      <c r="K1427" s="50" t="s">
        <v>29</v>
      </c>
      <c r="L1427" s="50" t="s">
        <v>29</v>
      </c>
      <c r="M1427" s="50" t="s">
        <v>29</v>
      </c>
      <c r="N1427" s="49"/>
      <c r="P1427" s="19"/>
      <c r="Q1427" s="18" t="str">
        <f ca="1">IFERROR(__xludf.DUMMYFUNCTION("""COMPUTED_VALUE"""),"")</f>
        <v/>
      </c>
      <c r="R1427" s="19"/>
      <c r="S1427" s="20"/>
      <c r="BP1427" s="10"/>
      <c r="BW1427" s="10"/>
      <c r="CF1427" s="10"/>
      <c r="CM1427" s="10"/>
      <c r="CP1427" s="18" t="str">
        <f ca="1"/>
        <v/>
      </c>
      <c r="CQ1427" s="18" t="str">
        <f ca="1"/>
        <v/>
      </c>
      <c r="CR1427" s="18" t="str">
        <f ca="1"/>
        <v/>
      </c>
      <c r="CS1427" s="18" t="str">
        <f ca="1"/>
        <v/>
      </c>
      <c r="CT1427" s="18" t="str">
        <f ca="1"/>
        <v/>
      </c>
      <c r="CV1427" s="10"/>
      <c r="CY1427" s="18" t="str">
        <f ca="1"/>
        <v/>
      </c>
      <c r="CZ1427" s="18" t="str">
        <f ca="1"/>
        <v/>
      </c>
      <c r="DA1427" s="18" t="str">
        <f ca="1"/>
        <v/>
      </c>
      <c r="DC1427" s="10"/>
    </row>
    <row r="1428" spans="1:107" x14ac:dyDescent="0.25">
      <c r="A1428" s="46"/>
      <c r="B1428" s="52"/>
      <c r="C1428" s="52"/>
      <c r="D1428" s="16"/>
      <c r="E1428" s="52"/>
      <c r="F1428" s="52"/>
      <c r="G1428" s="50"/>
      <c r="H1428" s="17" t="str">
        <f ca="1">IFERROR(__xludf.DUMMYFUNCTION("""COMPUTED_VALUE"""),"")</f>
        <v/>
      </c>
      <c r="I1428" s="50" t="s">
        <v>29</v>
      </c>
      <c r="J1428" s="50" t="s">
        <v>29</v>
      </c>
      <c r="K1428" s="50" t="s">
        <v>29</v>
      </c>
      <c r="L1428" s="50" t="s">
        <v>29</v>
      </c>
      <c r="M1428" s="50" t="s">
        <v>29</v>
      </c>
      <c r="N1428" s="49"/>
      <c r="P1428" s="19"/>
      <c r="Q1428" s="18" t="str">
        <f ca="1">IFERROR(__xludf.DUMMYFUNCTION("""COMPUTED_VALUE"""),"")</f>
        <v/>
      </c>
      <c r="R1428" s="19"/>
      <c r="S1428" s="20"/>
      <c r="BP1428" s="10"/>
      <c r="BW1428" s="10"/>
      <c r="CF1428" s="10"/>
      <c r="CM1428" s="10"/>
      <c r="CP1428" s="18" t="str">
        <f ca="1"/>
        <v/>
      </c>
      <c r="CQ1428" s="18" t="str">
        <f ca="1"/>
        <v/>
      </c>
      <c r="CR1428" s="18" t="str">
        <f ca="1"/>
        <v/>
      </c>
      <c r="CS1428" s="18" t="str">
        <f ca="1"/>
        <v/>
      </c>
      <c r="CT1428" s="18" t="str">
        <f ca="1"/>
        <v/>
      </c>
      <c r="CV1428" s="10"/>
      <c r="CY1428" s="18" t="str">
        <f ca="1"/>
        <v/>
      </c>
      <c r="CZ1428" s="18" t="str">
        <f ca="1"/>
        <v/>
      </c>
      <c r="DA1428" s="18" t="str">
        <f ca="1"/>
        <v/>
      </c>
      <c r="DC1428" s="10"/>
    </row>
    <row r="1429" spans="1:107" x14ac:dyDescent="0.25">
      <c r="A1429" s="46"/>
      <c r="B1429" s="52"/>
      <c r="C1429" s="52"/>
      <c r="D1429" s="16"/>
      <c r="E1429" s="52"/>
      <c r="F1429" s="52"/>
      <c r="G1429" s="50"/>
      <c r="H1429" s="17" t="str">
        <f ca="1">IFERROR(__xludf.DUMMYFUNCTION("""COMPUTED_VALUE"""),"")</f>
        <v/>
      </c>
      <c r="I1429" s="50" t="s">
        <v>29</v>
      </c>
      <c r="J1429" s="50" t="s">
        <v>29</v>
      </c>
      <c r="K1429" s="50" t="s">
        <v>29</v>
      </c>
      <c r="L1429" s="50" t="s">
        <v>29</v>
      </c>
      <c r="M1429" s="50" t="s">
        <v>29</v>
      </c>
      <c r="N1429" s="49"/>
      <c r="P1429" s="19"/>
      <c r="Q1429" s="18" t="str">
        <f ca="1">IFERROR(__xludf.DUMMYFUNCTION("""COMPUTED_VALUE"""),"")</f>
        <v/>
      </c>
      <c r="R1429" s="19"/>
      <c r="S1429" s="20"/>
      <c r="BP1429" s="10"/>
      <c r="BW1429" s="10"/>
      <c r="CF1429" s="10"/>
      <c r="CM1429" s="10"/>
      <c r="CP1429" s="18" t="str">
        <f ca="1"/>
        <v/>
      </c>
      <c r="CQ1429" s="18" t="str">
        <f ca="1"/>
        <v/>
      </c>
      <c r="CR1429" s="18" t="str">
        <f ca="1"/>
        <v/>
      </c>
      <c r="CS1429" s="18" t="str">
        <f ca="1"/>
        <v/>
      </c>
      <c r="CT1429" s="18" t="str">
        <f ca="1"/>
        <v/>
      </c>
      <c r="CV1429" s="10"/>
      <c r="CY1429" s="18" t="str">
        <f ca="1"/>
        <v/>
      </c>
      <c r="CZ1429" s="18" t="str">
        <f ca="1"/>
        <v/>
      </c>
      <c r="DA1429" s="18" t="str">
        <f ca="1"/>
        <v/>
      </c>
      <c r="DC1429" s="10"/>
    </row>
    <row r="1430" spans="1:107" x14ac:dyDescent="0.25">
      <c r="A1430" s="46"/>
      <c r="B1430" s="52"/>
      <c r="C1430" s="52"/>
      <c r="D1430" s="16"/>
      <c r="E1430" s="52"/>
      <c r="F1430" s="52"/>
      <c r="G1430" s="50"/>
      <c r="H1430" s="17" t="str">
        <f ca="1">IFERROR(__xludf.DUMMYFUNCTION("""COMPUTED_VALUE"""),"")</f>
        <v/>
      </c>
      <c r="I1430" s="50" t="s">
        <v>29</v>
      </c>
      <c r="J1430" s="50" t="s">
        <v>29</v>
      </c>
      <c r="K1430" s="50" t="s">
        <v>29</v>
      </c>
      <c r="L1430" s="50" t="s">
        <v>29</v>
      </c>
      <c r="M1430" s="50" t="s">
        <v>29</v>
      </c>
      <c r="N1430" s="49"/>
      <c r="P1430" s="19"/>
      <c r="Q1430" s="18" t="str">
        <f ca="1">IFERROR(__xludf.DUMMYFUNCTION("""COMPUTED_VALUE"""),"")</f>
        <v/>
      </c>
      <c r="R1430" s="19"/>
      <c r="S1430" s="20"/>
      <c r="BP1430" s="10"/>
      <c r="BW1430" s="10"/>
      <c r="CF1430" s="10"/>
      <c r="CM1430" s="10"/>
      <c r="CP1430" s="18" t="str">
        <f ca="1"/>
        <v/>
      </c>
      <c r="CQ1430" s="18" t="str">
        <f ca="1"/>
        <v/>
      </c>
      <c r="CR1430" s="18" t="str">
        <f ca="1"/>
        <v/>
      </c>
      <c r="CS1430" s="18" t="str">
        <f ca="1"/>
        <v/>
      </c>
      <c r="CT1430" s="18" t="str">
        <f ca="1"/>
        <v/>
      </c>
      <c r="CV1430" s="10"/>
      <c r="CY1430" s="18" t="str">
        <f ca="1"/>
        <v/>
      </c>
      <c r="CZ1430" s="18" t="str">
        <f ca="1"/>
        <v/>
      </c>
      <c r="DA1430" s="18" t="str">
        <f ca="1"/>
        <v/>
      </c>
      <c r="DC1430" s="10"/>
    </row>
    <row r="1431" spans="1:107" x14ac:dyDescent="0.25">
      <c r="A1431" s="46"/>
      <c r="B1431" s="52"/>
      <c r="C1431" s="52"/>
      <c r="D1431" s="16"/>
      <c r="E1431" s="52"/>
      <c r="F1431" s="52"/>
      <c r="G1431" s="50"/>
      <c r="H1431" s="17" t="str">
        <f ca="1">IFERROR(__xludf.DUMMYFUNCTION("""COMPUTED_VALUE"""),"")</f>
        <v/>
      </c>
      <c r="I1431" s="50" t="s">
        <v>29</v>
      </c>
      <c r="J1431" s="50" t="s">
        <v>29</v>
      </c>
      <c r="K1431" s="50" t="s">
        <v>29</v>
      </c>
      <c r="L1431" s="50" t="s">
        <v>29</v>
      </c>
      <c r="M1431" s="50" t="s">
        <v>29</v>
      </c>
      <c r="N1431" s="49"/>
      <c r="P1431" s="19"/>
      <c r="Q1431" s="18" t="str">
        <f ca="1">IFERROR(__xludf.DUMMYFUNCTION("""COMPUTED_VALUE"""),"")</f>
        <v/>
      </c>
      <c r="R1431" s="19"/>
      <c r="S1431" s="20"/>
      <c r="BP1431" s="10"/>
      <c r="BW1431" s="10"/>
      <c r="CF1431" s="10"/>
      <c r="CM1431" s="10"/>
      <c r="CP1431" s="18" t="str">
        <f ca="1"/>
        <v/>
      </c>
      <c r="CQ1431" s="18" t="str">
        <f ca="1"/>
        <v/>
      </c>
      <c r="CR1431" s="18" t="str">
        <f ca="1"/>
        <v/>
      </c>
      <c r="CS1431" s="18" t="str">
        <f ca="1"/>
        <v/>
      </c>
      <c r="CT1431" s="18" t="str">
        <f ca="1"/>
        <v/>
      </c>
      <c r="CV1431" s="10"/>
      <c r="CY1431" s="18" t="str">
        <f ca="1"/>
        <v/>
      </c>
      <c r="CZ1431" s="18" t="str">
        <f ca="1"/>
        <v/>
      </c>
      <c r="DA1431" s="18" t="str">
        <f ca="1"/>
        <v/>
      </c>
      <c r="DC1431" s="10"/>
    </row>
    <row r="1432" spans="1:107" x14ac:dyDescent="0.25">
      <c r="A1432" s="46"/>
      <c r="B1432" s="52"/>
      <c r="C1432" s="52"/>
      <c r="D1432" s="16"/>
      <c r="E1432" s="52"/>
      <c r="F1432" s="52"/>
      <c r="G1432" s="50"/>
      <c r="H1432" s="17" t="str">
        <f ca="1">IFERROR(__xludf.DUMMYFUNCTION("""COMPUTED_VALUE"""),"")</f>
        <v/>
      </c>
      <c r="I1432" s="50" t="s">
        <v>29</v>
      </c>
      <c r="J1432" s="50" t="s">
        <v>29</v>
      </c>
      <c r="K1432" s="50" t="s">
        <v>29</v>
      </c>
      <c r="L1432" s="50" t="s">
        <v>29</v>
      </c>
      <c r="M1432" s="50" t="s">
        <v>29</v>
      </c>
      <c r="N1432" s="49"/>
      <c r="P1432" s="19"/>
      <c r="Q1432" s="18" t="str">
        <f ca="1">IFERROR(__xludf.DUMMYFUNCTION("""COMPUTED_VALUE"""),"")</f>
        <v/>
      </c>
      <c r="R1432" s="19"/>
      <c r="S1432" s="20"/>
      <c r="BP1432" s="10"/>
      <c r="BW1432" s="10"/>
      <c r="CF1432" s="10"/>
      <c r="CM1432" s="10"/>
      <c r="CP1432" s="18" t="str">
        <f ca="1"/>
        <v/>
      </c>
      <c r="CQ1432" s="18" t="str">
        <f ca="1"/>
        <v/>
      </c>
      <c r="CR1432" s="18" t="str">
        <f ca="1"/>
        <v/>
      </c>
      <c r="CS1432" s="18" t="str">
        <f ca="1"/>
        <v/>
      </c>
      <c r="CT1432" s="18" t="str">
        <f ca="1"/>
        <v/>
      </c>
      <c r="CV1432" s="10"/>
      <c r="CY1432" s="18" t="str">
        <f ca="1"/>
        <v/>
      </c>
      <c r="CZ1432" s="18" t="str">
        <f ca="1"/>
        <v/>
      </c>
      <c r="DA1432" s="18" t="str">
        <f ca="1"/>
        <v/>
      </c>
      <c r="DC1432" s="10"/>
    </row>
    <row r="1433" spans="1:107" x14ac:dyDescent="0.25">
      <c r="A1433" s="46"/>
      <c r="B1433" s="52"/>
      <c r="C1433" s="52"/>
      <c r="D1433" s="16"/>
      <c r="E1433" s="52"/>
      <c r="F1433" s="52"/>
      <c r="G1433" s="50"/>
      <c r="H1433" s="17" t="str">
        <f ca="1">IFERROR(__xludf.DUMMYFUNCTION("""COMPUTED_VALUE"""),"")</f>
        <v/>
      </c>
      <c r="I1433" s="50" t="s">
        <v>29</v>
      </c>
      <c r="J1433" s="50" t="s">
        <v>29</v>
      </c>
      <c r="K1433" s="50" t="s">
        <v>29</v>
      </c>
      <c r="L1433" s="50" t="s">
        <v>29</v>
      </c>
      <c r="M1433" s="50" t="s">
        <v>29</v>
      </c>
      <c r="N1433" s="49"/>
      <c r="P1433" s="19"/>
      <c r="Q1433" s="18" t="str">
        <f ca="1">IFERROR(__xludf.DUMMYFUNCTION("""COMPUTED_VALUE"""),"")</f>
        <v/>
      </c>
      <c r="R1433" s="19"/>
      <c r="S1433" s="20"/>
      <c r="BP1433" s="10"/>
      <c r="BW1433" s="10"/>
      <c r="CF1433" s="10"/>
      <c r="CM1433" s="10"/>
      <c r="CP1433" s="18" t="str">
        <f ca="1"/>
        <v/>
      </c>
      <c r="CQ1433" s="18" t="str">
        <f ca="1"/>
        <v/>
      </c>
      <c r="CR1433" s="18" t="str">
        <f ca="1"/>
        <v/>
      </c>
      <c r="CS1433" s="18" t="str">
        <f ca="1"/>
        <v/>
      </c>
      <c r="CT1433" s="18" t="str">
        <f ca="1"/>
        <v/>
      </c>
      <c r="CV1433" s="10"/>
      <c r="CY1433" s="18" t="str">
        <f ca="1"/>
        <v/>
      </c>
      <c r="CZ1433" s="18" t="str">
        <f ca="1"/>
        <v/>
      </c>
      <c r="DA1433" s="18" t="str">
        <f ca="1"/>
        <v/>
      </c>
      <c r="DC1433" s="10"/>
    </row>
    <row r="1434" spans="1:107" x14ac:dyDescent="0.25">
      <c r="A1434" s="46"/>
      <c r="B1434" s="52"/>
      <c r="C1434" s="52"/>
      <c r="D1434" s="16"/>
      <c r="E1434" s="52"/>
      <c r="F1434" s="52"/>
      <c r="G1434" s="50"/>
      <c r="H1434" s="17" t="str">
        <f ca="1">IFERROR(__xludf.DUMMYFUNCTION("""COMPUTED_VALUE"""),"")</f>
        <v/>
      </c>
      <c r="I1434" s="50" t="s">
        <v>29</v>
      </c>
      <c r="J1434" s="50" t="s">
        <v>29</v>
      </c>
      <c r="K1434" s="50" t="s">
        <v>29</v>
      </c>
      <c r="L1434" s="50" t="s">
        <v>29</v>
      </c>
      <c r="M1434" s="50" t="s">
        <v>29</v>
      </c>
      <c r="N1434" s="49"/>
      <c r="P1434" s="19"/>
      <c r="Q1434" s="18" t="str">
        <f ca="1">IFERROR(__xludf.DUMMYFUNCTION("""COMPUTED_VALUE"""),"")</f>
        <v/>
      </c>
      <c r="R1434" s="19"/>
      <c r="S1434" s="20"/>
      <c r="BP1434" s="10"/>
      <c r="BW1434" s="10"/>
      <c r="CF1434" s="10"/>
      <c r="CM1434" s="10"/>
      <c r="CP1434" s="18" t="str">
        <f ca="1"/>
        <v/>
      </c>
      <c r="CQ1434" s="18" t="str">
        <f ca="1"/>
        <v/>
      </c>
      <c r="CR1434" s="18" t="str">
        <f ca="1"/>
        <v/>
      </c>
      <c r="CS1434" s="18" t="str">
        <f ca="1"/>
        <v/>
      </c>
      <c r="CT1434" s="18" t="str">
        <f ca="1"/>
        <v/>
      </c>
      <c r="CV1434" s="10"/>
      <c r="CY1434" s="18" t="str">
        <f ca="1"/>
        <v/>
      </c>
      <c r="CZ1434" s="18" t="str">
        <f ca="1"/>
        <v/>
      </c>
      <c r="DA1434" s="18" t="str">
        <f ca="1"/>
        <v/>
      </c>
      <c r="DC1434" s="10"/>
    </row>
    <row r="1435" spans="1:107" x14ac:dyDescent="0.25">
      <c r="A1435" s="46"/>
      <c r="B1435" s="52"/>
      <c r="C1435" s="52"/>
      <c r="D1435" s="16"/>
      <c r="E1435" s="52"/>
      <c r="F1435" s="52"/>
      <c r="G1435" s="50"/>
      <c r="H1435" s="17" t="str">
        <f ca="1">IFERROR(__xludf.DUMMYFUNCTION("""COMPUTED_VALUE"""),"")</f>
        <v/>
      </c>
      <c r="I1435" s="50" t="s">
        <v>29</v>
      </c>
      <c r="J1435" s="50" t="s">
        <v>29</v>
      </c>
      <c r="K1435" s="50" t="s">
        <v>29</v>
      </c>
      <c r="L1435" s="50" t="s">
        <v>29</v>
      </c>
      <c r="M1435" s="50" t="s">
        <v>29</v>
      </c>
      <c r="N1435" s="49"/>
      <c r="P1435" s="19"/>
      <c r="Q1435" s="18" t="str">
        <f ca="1">IFERROR(__xludf.DUMMYFUNCTION("""COMPUTED_VALUE"""),"")</f>
        <v/>
      </c>
      <c r="R1435" s="19"/>
      <c r="S1435" s="20"/>
      <c r="BP1435" s="10"/>
      <c r="BW1435" s="10"/>
      <c r="CF1435" s="10"/>
      <c r="CM1435" s="10"/>
      <c r="CP1435" s="18" t="str">
        <f ca="1"/>
        <v/>
      </c>
      <c r="CQ1435" s="18" t="str">
        <f ca="1"/>
        <v/>
      </c>
      <c r="CR1435" s="18" t="str">
        <f ca="1"/>
        <v/>
      </c>
      <c r="CS1435" s="18" t="str">
        <f ca="1"/>
        <v/>
      </c>
      <c r="CT1435" s="18" t="str">
        <f ca="1"/>
        <v/>
      </c>
      <c r="CV1435" s="10"/>
      <c r="CY1435" s="18" t="str">
        <f ca="1"/>
        <v/>
      </c>
      <c r="CZ1435" s="18" t="str">
        <f ca="1"/>
        <v/>
      </c>
      <c r="DA1435" s="18" t="str">
        <f ca="1"/>
        <v/>
      </c>
      <c r="DC1435" s="10"/>
    </row>
    <row r="1436" spans="1:107" x14ac:dyDescent="0.25">
      <c r="A1436" s="46"/>
      <c r="B1436" s="52"/>
      <c r="C1436" s="52"/>
      <c r="D1436" s="16"/>
      <c r="E1436" s="52"/>
      <c r="F1436" s="52"/>
      <c r="G1436" s="50"/>
      <c r="H1436" s="17" t="str">
        <f ca="1">IFERROR(__xludf.DUMMYFUNCTION("""COMPUTED_VALUE"""),"")</f>
        <v/>
      </c>
      <c r="I1436" s="50" t="s">
        <v>29</v>
      </c>
      <c r="J1436" s="50" t="s">
        <v>29</v>
      </c>
      <c r="K1436" s="50" t="s">
        <v>29</v>
      </c>
      <c r="L1436" s="50" t="s">
        <v>29</v>
      </c>
      <c r="M1436" s="50" t="s">
        <v>29</v>
      </c>
      <c r="N1436" s="49"/>
      <c r="P1436" s="19"/>
      <c r="Q1436" s="18" t="str">
        <f ca="1">IFERROR(__xludf.DUMMYFUNCTION("""COMPUTED_VALUE"""),"")</f>
        <v/>
      </c>
      <c r="R1436" s="19"/>
      <c r="S1436" s="20"/>
      <c r="BP1436" s="10"/>
      <c r="BW1436" s="10"/>
      <c r="CF1436" s="10"/>
      <c r="CM1436" s="10"/>
      <c r="CP1436" s="18" t="str">
        <f ca="1"/>
        <v/>
      </c>
      <c r="CQ1436" s="18" t="str">
        <f ca="1"/>
        <v/>
      </c>
      <c r="CR1436" s="18" t="str">
        <f ca="1"/>
        <v/>
      </c>
      <c r="CS1436" s="18" t="str">
        <f ca="1"/>
        <v/>
      </c>
      <c r="CT1436" s="18" t="str">
        <f ca="1"/>
        <v/>
      </c>
      <c r="CV1436" s="10"/>
      <c r="CY1436" s="18" t="str">
        <f ca="1"/>
        <v/>
      </c>
      <c r="CZ1436" s="18" t="str">
        <f ca="1"/>
        <v/>
      </c>
      <c r="DA1436" s="18" t="str">
        <f ca="1"/>
        <v/>
      </c>
      <c r="DC1436" s="10"/>
    </row>
    <row r="1437" spans="1:107" x14ac:dyDescent="0.25">
      <c r="A1437" s="46"/>
      <c r="B1437" s="52"/>
      <c r="C1437" s="52"/>
      <c r="D1437" s="16"/>
      <c r="E1437" s="52"/>
      <c r="F1437" s="52"/>
      <c r="G1437" s="50"/>
      <c r="H1437" s="17" t="str">
        <f ca="1">IFERROR(__xludf.DUMMYFUNCTION("""COMPUTED_VALUE"""),"")</f>
        <v/>
      </c>
      <c r="I1437" s="50" t="s">
        <v>29</v>
      </c>
      <c r="J1437" s="50" t="s">
        <v>29</v>
      </c>
      <c r="K1437" s="50" t="s">
        <v>29</v>
      </c>
      <c r="L1437" s="50" t="s">
        <v>29</v>
      </c>
      <c r="M1437" s="50" t="s">
        <v>29</v>
      </c>
      <c r="N1437" s="49"/>
      <c r="P1437" s="19"/>
      <c r="Q1437" s="18" t="str">
        <f ca="1">IFERROR(__xludf.DUMMYFUNCTION("""COMPUTED_VALUE"""),"")</f>
        <v/>
      </c>
      <c r="R1437" s="19"/>
      <c r="S1437" s="20"/>
      <c r="BP1437" s="10"/>
      <c r="BW1437" s="10"/>
      <c r="CF1437" s="10"/>
      <c r="CM1437" s="10"/>
      <c r="CP1437" s="18" t="str">
        <f ca="1"/>
        <v/>
      </c>
      <c r="CQ1437" s="18" t="str">
        <f ca="1"/>
        <v/>
      </c>
      <c r="CR1437" s="18" t="str">
        <f ca="1"/>
        <v/>
      </c>
      <c r="CS1437" s="18" t="str">
        <f ca="1"/>
        <v/>
      </c>
      <c r="CT1437" s="18" t="str">
        <f ca="1"/>
        <v/>
      </c>
      <c r="CV1437" s="10"/>
      <c r="CY1437" s="18" t="str">
        <f ca="1"/>
        <v/>
      </c>
      <c r="CZ1437" s="18" t="str">
        <f ca="1"/>
        <v/>
      </c>
      <c r="DA1437" s="18" t="str">
        <f ca="1"/>
        <v/>
      </c>
      <c r="DC1437" s="10"/>
    </row>
    <row r="1438" spans="1:107" x14ac:dyDescent="0.25">
      <c r="A1438" s="46"/>
      <c r="B1438" s="52"/>
      <c r="C1438" s="52"/>
      <c r="D1438" s="16"/>
      <c r="E1438" s="52"/>
      <c r="F1438" s="52"/>
      <c r="G1438" s="50"/>
      <c r="H1438" s="17" t="str">
        <f ca="1">IFERROR(__xludf.DUMMYFUNCTION("""COMPUTED_VALUE"""),"")</f>
        <v/>
      </c>
      <c r="I1438" s="50" t="s">
        <v>29</v>
      </c>
      <c r="J1438" s="50" t="s">
        <v>29</v>
      </c>
      <c r="K1438" s="50" t="s">
        <v>29</v>
      </c>
      <c r="L1438" s="50" t="s">
        <v>29</v>
      </c>
      <c r="M1438" s="50" t="s">
        <v>29</v>
      </c>
      <c r="N1438" s="49"/>
      <c r="P1438" s="19"/>
      <c r="Q1438" s="18" t="str">
        <f ca="1">IFERROR(__xludf.DUMMYFUNCTION("""COMPUTED_VALUE"""),"")</f>
        <v/>
      </c>
      <c r="R1438" s="19"/>
      <c r="S1438" s="20"/>
      <c r="BP1438" s="10"/>
      <c r="BW1438" s="10"/>
      <c r="CF1438" s="10"/>
      <c r="CM1438" s="10"/>
      <c r="CP1438" s="18" t="str">
        <f ca="1"/>
        <v/>
      </c>
      <c r="CQ1438" s="18" t="str">
        <f ca="1"/>
        <v/>
      </c>
      <c r="CR1438" s="18" t="str">
        <f ca="1"/>
        <v/>
      </c>
      <c r="CS1438" s="18" t="str">
        <f ca="1"/>
        <v/>
      </c>
      <c r="CT1438" s="18" t="str">
        <f ca="1"/>
        <v/>
      </c>
      <c r="CV1438" s="10"/>
      <c r="CY1438" s="18" t="str">
        <f ca="1"/>
        <v/>
      </c>
      <c r="CZ1438" s="18" t="str">
        <f ca="1"/>
        <v/>
      </c>
      <c r="DA1438" s="18" t="str">
        <f ca="1"/>
        <v/>
      </c>
      <c r="DC1438" s="10"/>
    </row>
    <row r="1439" spans="1:107" x14ac:dyDescent="0.25">
      <c r="A1439" s="46"/>
      <c r="B1439" s="52"/>
      <c r="C1439" s="52"/>
      <c r="D1439" s="16"/>
      <c r="E1439" s="52"/>
      <c r="F1439" s="52"/>
      <c r="G1439" s="50"/>
      <c r="H1439" s="17" t="str">
        <f ca="1">IFERROR(__xludf.DUMMYFUNCTION("""COMPUTED_VALUE"""),"")</f>
        <v/>
      </c>
      <c r="I1439" s="50" t="s">
        <v>29</v>
      </c>
      <c r="J1439" s="50" t="s">
        <v>29</v>
      </c>
      <c r="K1439" s="50" t="s">
        <v>29</v>
      </c>
      <c r="L1439" s="50" t="s">
        <v>29</v>
      </c>
      <c r="M1439" s="50" t="s">
        <v>29</v>
      </c>
      <c r="N1439" s="49"/>
      <c r="P1439" s="19"/>
      <c r="Q1439" s="18" t="str">
        <f ca="1">IFERROR(__xludf.DUMMYFUNCTION("""COMPUTED_VALUE"""),"")</f>
        <v/>
      </c>
      <c r="R1439" s="19"/>
      <c r="S1439" s="20"/>
      <c r="BP1439" s="10"/>
      <c r="BW1439" s="10"/>
      <c r="CF1439" s="10"/>
      <c r="CM1439" s="10"/>
      <c r="CP1439" s="18" t="str">
        <f ca="1"/>
        <v/>
      </c>
      <c r="CQ1439" s="18" t="str">
        <f ca="1"/>
        <v/>
      </c>
      <c r="CR1439" s="18" t="str">
        <f ca="1"/>
        <v/>
      </c>
      <c r="CS1439" s="18" t="str">
        <f ca="1"/>
        <v/>
      </c>
      <c r="CT1439" s="18" t="str">
        <f ca="1"/>
        <v/>
      </c>
      <c r="CV1439" s="10"/>
      <c r="CY1439" s="18" t="str">
        <f ca="1"/>
        <v/>
      </c>
      <c r="CZ1439" s="18" t="str">
        <f ca="1"/>
        <v/>
      </c>
      <c r="DA1439" s="18" t="str">
        <f ca="1"/>
        <v/>
      </c>
      <c r="DC1439" s="10"/>
    </row>
    <row r="1440" spans="1:107" x14ac:dyDescent="0.25">
      <c r="A1440" s="46"/>
      <c r="B1440" s="52"/>
      <c r="C1440" s="52"/>
      <c r="D1440" s="16"/>
      <c r="E1440" s="52"/>
      <c r="F1440" s="52"/>
      <c r="G1440" s="50"/>
      <c r="H1440" s="17" t="str">
        <f ca="1">IFERROR(__xludf.DUMMYFUNCTION("""COMPUTED_VALUE"""),"")</f>
        <v/>
      </c>
      <c r="I1440" s="50" t="s">
        <v>29</v>
      </c>
      <c r="J1440" s="50" t="s">
        <v>29</v>
      </c>
      <c r="K1440" s="50" t="s">
        <v>29</v>
      </c>
      <c r="L1440" s="50" t="s">
        <v>29</v>
      </c>
      <c r="M1440" s="50" t="s">
        <v>29</v>
      </c>
      <c r="N1440" s="49"/>
      <c r="P1440" s="19"/>
      <c r="Q1440" s="18" t="str">
        <f ca="1">IFERROR(__xludf.DUMMYFUNCTION("""COMPUTED_VALUE"""),"")</f>
        <v/>
      </c>
      <c r="R1440" s="19"/>
      <c r="S1440" s="20"/>
      <c r="BP1440" s="10"/>
      <c r="BW1440" s="10"/>
      <c r="CF1440" s="10"/>
      <c r="CM1440" s="10"/>
      <c r="CP1440" s="18" t="str">
        <f ca="1"/>
        <v/>
      </c>
      <c r="CQ1440" s="18" t="str">
        <f ca="1"/>
        <v/>
      </c>
      <c r="CR1440" s="18" t="str">
        <f ca="1"/>
        <v/>
      </c>
      <c r="CS1440" s="18" t="str">
        <f ca="1"/>
        <v/>
      </c>
      <c r="CT1440" s="18" t="str">
        <f ca="1"/>
        <v/>
      </c>
      <c r="CV1440" s="10"/>
      <c r="CY1440" s="18" t="str">
        <f ca="1"/>
        <v/>
      </c>
      <c r="CZ1440" s="18" t="str">
        <f ca="1"/>
        <v/>
      </c>
      <c r="DA1440" s="18" t="str">
        <f ca="1"/>
        <v/>
      </c>
      <c r="DC1440" s="10"/>
    </row>
    <row r="1441" spans="1:107" x14ac:dyDescent="0.25">
      <c r="A1441" s="46"/>
      <c r="B1441" s="52"/>
      <c r="C1441" s="52"/>
      <c r="D1441" s="16"/>
      <c r="E1441" s="52"/>
      <c r="F1441" s="52"/>
      <c r="G1441" s="50"/>
      <c r="H1441" s="17" t="str">
        <f ca="1">IFERROR(__xludf.DUMMYFUNCTION("""COMPUTED_VALUE"""),"")</f>
        <v/>
      </c>
      <c r="I1441" s="50" t="s">
        <v>29</v>
      </c>
      <c r="J1441" s="50" t="s">
        <v>29</v>
      </c>
      <c r="K1441" s="50" t="s">
        <v>29</v>
      </c>
      <c r="L1441" s="50" t="s">
        <v>29</v>
      </c>
      <c r="M1441" s="50" t="s">
        <v>29</v>
      </c>
      <c r="N1441" s="49"/>
      <c r="P1441" s="19"/>
      <c r="Q1441" s="18" t="str">
        <f ca="1">IFERROR(__xludf.DUMMYFUNCTION("""COMPUTED_VALUE"""),"")</f>
        <v/>
      </c>
      <c r="R1441" s="19"/>
      <c r="S1441" s="20"/>
      <c r="BP1441" s="10"/>
      <c r="BW1441" s="10"/>
      <c r="CF1441" s="10"/>
      <c r="CM1441" s="10"/>
      <c r="CP1441" s="18" t="str">
        <f ca="1"/>
        <v/>
      </c>
      <c r="CQ1441" s="18" t="str">
        <f ca="1"/>
        <v/>
      </c>
      <c r="CR1441" s="18" t="str">
        <f ca="1"/>
        <v/>
      </c>
      <c r="CS1441" s="18" t="str">
        <f ca="1"/>
        <v/>
      </c>
      <c r="CT1441" s="18" t="str">
        <f ca="1"/>
        <v/>
      </c>
      <c r="CV1441" s="10"/>
      <c r="CY1441" s="18" t="str">
        <f ca="1"/>
        <v/>
      </c>
      <c r="CZ1441" s="18" t="str">
        <f ca="1"/>
        <v/>
      </c>
      <c r="DA1441" s="18" t="str">
        <f ca="1"/>
        <v/>
      </c>
      <c r="DC1441" s="10"/>
    </row>
    <row r="1442" spans="1:107" x14ac:dyDescent="0.25">
      <c r="A1442" s="46"/>
      <c r="B1442" s="52"/>
      <c r="C1442" s="52"/>
      <c r="D1442" s="16"/>
      <c r="E1442" s="52"/>
      <c r="F1442" s="52"/>
      <c r="G1442" s="50"/>
      <c r="H1442" s="17" t="str">
        <f ca="1">IFERROR(__xludf.DUMMYFUNCTION("""COMPUTED_VALUE"""),"")</f>
        <v/>
      </c>
      <c r="I1442" s="50" t="s">
        <v>29</v>
      </c>
      <c r="J1442" s="50" t="s">
        <v>29</v>
      </c>
      <c r="K1442" s="50" t="s">
        <v>29</v>
      </c>
      <c r="L1442" s="50" t="s">
        <v>29</v>
      </c>
      <c r="M1442" s="50" t="s">
        <v>29</v>
      </c>
      <c r="N1442" s="49"/>
      <c r="P1442" s="19"/>
      <c r="Q1442" s="18" t="str">
        <f ca="1">IFERROR(__xludf.DUMMYFUNCTION("""COMPUTED_VALUE"""),"")</f>
        <v/>
      </c>
      <c r="R1442" s="19"/>
      <c r="S1442" s="20"/>
      <c r="BP1442" s="10"/>
      <c r="BW1442" s="10"/>
      <c r="CF1442" s="10"/>
      <c r="CM1442" s="10"/>
      <c r="CP1442" s="18" t="str">
        <f ca="1"/>
        <v/>
      </c>
      <c r="CQ1442" s="18" t="str">
        <f ca="1"/>
        <v/>
      </c>
      <c r="CR1442" s="18" t="str">
        <f ca="1"/>
        <v/>
      </c>
      <c r="CS1442" s="18" t="str">
        <f ca="1"/>
        <v/>
      </c>
      <c r="CT1442" s="18" t="str">
        <f ca="1"/>
        <v/>
      </c>
      <c r="CV1442" s="10"/>
      <c r="CY1442" s="18" t="str">
        <f ca="1"/>
        <v/>
      </c>
      <c r="CZ1442" s="18" t="str">
        <f ca="1"/>
        <v/>
      </c>
      <c r="DA1442" s="18" t="str">
        <f ca="1"/>
        <v/>
      </c>
      <c r="DC1442" s="10"/>
    </row>
    <row r="1443" spans="1:107" x14ac:dyDescent="0.25">
      <c r="A1443" s="46"/>
      <c r="B1443" s="52"/>
      <c r="C1443" s="52"/>
      <c r="D1443" s="16"/>
      <c r="E1443" s="52"/>
      <c r="F1443" s="52"/>
      <c r="G1443" s="50"/>
      <c r="H1443" s="17" t="str">
        <f ca="1">IFERROR(__xludf.DUMMYFUNCTION("""COMPUTED_VALUE"""),"")</f>
        <v/>
      </c>
      <c r="I1443" s="50" t="s">
        <v>29</v>
      </c>
      <c r="J1443" s="50" t="s">
        <v>29</v>
      </c>
      <c r="K1443" s="50" t="s">
        <v>29</v>
      </c>
      <c r="L1443" s="50" t="s">
        <v>29</v>
      </c>
      <c r="M1443" s="50" t="s">
        <v>29</v>
      </c>
      <c r="N1443" s="49"/>
      <c r="P1443" s="19"/>
      <c r="Q1443" s="18" t="str">
        <f ca="1">IFERROR(__xludf.DUMMYFUNCTION("""COMPUTED_VALUE"""),"")</f>
        <v/>
      </c>
      <c r="R1443" s="19"/>
      <c r="S1443" s="20"/>
      <c r="BP1443" s="10"/>
      <c r="BW1443" s="10"/>
      <c r="CF1443" s="10"/>
      <c r="CM1443" s="10"/>
      <c r="CP1443" s="18" t="str">
        <f ca="1"/>
        <v/>
      </c>
      <c r="CQ1443" s="18" t="str">
        <f ca="1"/>
        <v/>
      </c>
      <c r="CR1443" s="18" t="str">
        <f ca="1"/>
        <v/>
      </c>
      <c r="CS1443" s="18" t="str">
        <f ca="1"/>
        <v/>
      </c>
      <c r="CT1443" s="18" t="str">
        <f ca="1"/>
        <v/>
      </c>
      <c r="CV1443" s="10"/>
      <c r="CY1443" s="18" t="str">
        <f ca="1"/>
        <v/>
      </c>
      <c r="CZ1443" s="18" t="str">
        <f ca="1"/>
        <v/>
      </c>
      <c r="DA1443" s="18" t="str">
        <f ca="1"/>
        <v/>
      </c>
      <c r="DC1443" s="10"/>
    </row>
    <row r="1444" spans="1:107" x14ac:dyDescent="0.25">
      <c r="A1444" s="46"/>
      <c r="B1444" s="52"/>
      <c r="C1444" s="52"/>
      <c r="D1444" s="16"/>
      <c r="E1444" s="52"/>
      <c r="F1444" s="52"/>
      <c r="G1444" s="50"/>
      <c r="H1444" s="17" t="str">
        <f ca="1">IFERROR(__xludf.DUMMYFUNCTION("""COMPUTED_VALUE"""),"")</f>
        <v/>
      </c>
      <c r="I1444" s="50" t="s">
        <v>29</v>
      </c>
      <c r="J1444" s="50" t="s">
        <v>29</v>
      </c>
      <c r="K1444" s="50" t="s">
        <v>29</v>
      </c>
      <c r="L1444" s="50" t="s">
        <v>29</v>
      </c>
      <c r="M1444" s="50" t="s">
        <v>29</v>
      </c>
      <c r="N1444" s="49"/>
      <c r="P1444" s="19"/>
      <c r="Q1444" s="18" t="str">
        <f ca="1">IFERROR(__xludf.DUMMYFUNCTION("""COMPUTED_VALUE"""),"")</f>
        <v/>
      </c>
      <c r="R1444" s="19"/>
      <c r="S1444" s="20"/>
      <c r="BP1444" s="10"/>
      <c r="BW1444" s="10"/>
      <c r="CF1444" s="10"/>
      <c r="CM1444" s="10"/>
      <c r="CP1444" s="18" t="str">
        <f ca="1"/>
        <v/>
      </c>
      <c r="CQ1444" s="18" t="str">
        <f ca="1"/>
        <v/>
      </c>
      <c r="CR1444" s="18" t="str">
        <f ca="1"/>
        <v/>
      </c>
      <c r="CS1444" s="18" t="str">
        <f ca="1"/>
        <v/>
      </c>
      <c r="CT1444" s="18" t="str">
        <f ca="1"/>
        <v/>
      </c>
      <c r="CV1444" s="10"/>
      <c r="CY1444" s="18" t="str">
        <f ca="1"/>
        <v/>
      </c>
      <c r="CZ1444" s="18" t="str">
        <f ca="1"/>
        <v/>
      </c>
      <c r="DA1444" s="18" t="str">
        <f ca="1"/>
        <v/>
      </c>
      <c r="DC1444" s="10"/>
    </row>
    <row r="1445" spans="1:107" x14ac:dyDescent="0.25">
      <c r="A1445" s="46"/>
      <c r="B1445" s="52"/>
      <c r="C1445" s="52"/>
      <c r="D1445" s="16"/>
      <c r="E1445" s="52"/>
      <c r="F1445" s="52"/>
      <c r="G1445" s="50"/>
      <c r="H1445" s="17" t="str">
        <f ca="1">IFERROR(__xludf.DUMMYFUNCTION("""COMPUTED_VALUE"""),"")</f>
        <v/>
      </c>
      <c r="I1445" s="50" t="s">
        <v>29</v>
      </c>
      <c r="J1445" s="50" t="s">
        <v>29</v>
      </c>
      <c r="K1445" s="50" t="s">
        <v>29</v>
      </c>
      <c r="L1445" s="50" t="s">
        <v>29</v>
      </c>
      <c r="M1445" s="50" t="s">
        <v>29</v>
      </c>
      <c r="N1445" s="49"/>
      <c r="P1445" s="19"/>
      <c r="Q1445" s="18" t="str">
        <f ca="1">IFERROR(__xludf.DUMMYFUNCTION("""COMPUTED_VALUE"""),"")</f>
        <v/>
      </c>
      <c r="R1445" s="19"/>
      <c r="S1445" s="20"/>
      <c r="BP1445" s="10"/>
      <c r="BW1445" s="10"/>
      <c r="CF1445" s="10"/>
      <c r="CM1445" s="10"/>
      <c r="CP1445" s="18" t="str">
        <f ca="1"/>
        <v/>
      </c>
      <c r="CQ1445" s="18" t="str">
        <f ca="1"/>
        <v/>
      </c>
      <c r="CR1445" s="18" t="str">
        <f ca="1"/>
        <v/>
      </c>
      <c r="CS1445" s="18" t="str">
        <f ca="1"/>
        <v/>
      </c>
      <c r="CT1445" s="18" t="str">
        <f ca="1"/>
        <v/>
      </c>
      <c r="CV1445" s="10"/>
      <c r="CY1445" s="18" t="str">
        <f ca="1"/>
        <v/>
      </c>
      <c r="CZ1445" s="18" t="str">
        <f ca="1"/>
        <v/>
      </c>
      <c r="DA1445" s="18" t="str">
        <f ca="1"/>
        <v/>
      </c>
      <c r="DC1445" s="10"/>
    </row>
    <row r="1446" spans="1:107" x14ac:dyDescent="0.25">
      <c r="A1446" s="46"/>
      <c r="B1446" s="52"/>
      <c r="C1446" s="52"/>
      <c r="D1446" s="16"/>
      <c r="E1446" s="52"/>
      <c r="F1446" s="52"/>
      <c r="G1446" s="50"/>
      <c r="H1446" s="17" t="str">
        <f ca="1">IFERROR(__xludf.DUMMYFUNCTION("""COMPUTED_VALUE"""),"")</f>
        <v/>
      </c>
      <c r="I1446" s="50" t="s">
        <v>29</v>
      </c>
      <c r="J1446" s="50" t="s">
        <v>29</v>
      </c>
      <c r="K1446" s="50" t="s">
        <v>29</v>
      </c>
      <c r="L1446" s="50" t="s">
        <v>29</v>
      </c>
      <c r="M1446" s="50" t="s">
        <v>29</v>
      </c>
      <c r="N1446" s="49"/>
      <c r="P1446" s="19"/>
      <c r="Q1446" s="18" t="str">
        <f ca="1">IFERROR(__xludf.DUMMYFUNCTION("""COMPUTED_VALUE"""),"")</f>
        <v/>
      </c>
      <c r="R1446" s="19"/>
      <c r="S1446" s="20"/>
      <c r="BP1446" s="10"/>
      <c r="BW1446" s="10"/>
      <c r="CF1446" s="10"/>
      <c r="CM1446" s="10"/>
      <c r="CP1446" s="18" t="str">
        <f ca="1"/>
        <v/>
      </c>
      <c r="CQ1446" s="18" t="str">
        <f ca="1"/>
        <v/>
      </c>
      <c r="CR1446" s="18" t="str">
        <f ca="1"/>
        <v/>
      </c>
      <c r="CS1446" s="18" t="str">
        <f ca="1"/>
        <v/>
      </c>
      <c r="CT1446" s="18" t="str">
        <f ca="1"/>
        <v/>
      </c>
      <c r="CV1446" s="10"/>
      <c r="CY1446" s="18" t="str">
        <f ca="1"/>
        <v/>
      </c>
      <c r="CZ1446" s="18" t="str">
        <f ca="1"/>
        <v/>
      </c>
      <c r="DA1446" s="18" t="str">
        <f ca="1"/>
        <v/>
      </c>
      <c r="DC1446" s="10"/>
    </row>
    <row r="1447" spans="1:107" x14ac:dyDescent="0.25">
      <c r="A1447" s="46"/>
      <c r="B1447" s="52"/>
      <c r="C1447" s="52"/>
      <c r="D1447" s="16"/>
      <c r="E1447" s="52"/>
      <c r="F1447" s="52"/>
      <c r="G1447" s="50"/>
      <c r="H1447" s="17" t="str">
        <f ca="1">IFERROR(__xludf.DUMMYFUNCTION("""COMPUTED_VALUE"""),"")</f>
        <v/>
      </c>
      <c r="I1447" s="50" t="s">
        <v>29</v>
      </c>
      <c r="J1447" s="50" t="s">
        <v>29</v>
      </c>
      <c r="K1447" s="50" t="s">
        <v>29</v>
      </c>
      <c r="L1447" s="50" t="s">
        <v>29</v>
      </c>
      <c r="M1447" s="50" t="s">
        <v>29</v>
      </c>
      <c r="N1447" s="49"/>
      <c r="P1447" s="19"/>
      <c r="Q1447" s="18" t="str">
        <f ca="1">IFERROR(__xludf.DUMMYFUNCTION("""COMPUTED_VALUE"""),"")</f>
        <v/>
      </c>
      <c r="R1447" s="19"/>
      <c r="S1447" s="20"/>
      <c r="BP1447" s="10"/>
      <c r="BW1447" s="10"/>
      <c r="CF1447" s="10"/>
      <c r="CM1447" s="10"/>
      <c r="CP1447" s="18" t="str">
        <f ca="1"/>
        <v/>
      </c>
      <c r="CQ1447" s="18" t="str">
        <f ca="1"/>
        <v/>
      </c>
      <c r="CR1447" s="18" t="str">
        <f ca="1"/>
        <v/>
      </c>
      <c r="CS1447" s="18" t="str">
        <f ca="1"/>
        <v/>
      </c>
      <c r="CT1447" s="18" t="str">
        <f ca="1"/>
        <v/>
      </c>
      <c r="CV1447" s="10"/>
      <c r="CY1447" s="18" t="str">
        <f ca="1"/>
        <v/>
      </c>
      <c r="CZ1447" s="18" t="str">
        <f ca="1"/>
        <v/>
      </c>
      <c r="DA1447" s="18" t="str">
        <f ca="1"/>
        <v/>
      </c>
      <c r="DC1447" s="10"/>
    </row>
    <row r="1448" spans="1:107" x14ac:dyDescent="0.25">
      <c r="A1448" s="46"/>
      <c r="B1448" s="52"/>
      <c r="C1448" s="52"/>
      <c r="D1448" s="16"/>
      <c r="E1448" s="52"/>
      <c r="F1448" s="52"/>
      <c r="G1448" s="50"/>
      <c r="H1448" s="17" t="str">
        <f ca="1">IFERROR(__xludf.DUMMYFUNCTION("""COMPUTED_VALUE"""),"")</f>
        <v/>
      </c>
      <c r="I1448" s="50" t="s">
        <v>29</v>
      </c>
      <c r="J1448" s="50" t="s">
        <v>29</v>
      </c>
      <c r="K1448" s="50" t="s">
        <v>29</v>
      </c>
      <c r="L1448" s="50" t="s">
        <v>29</v>
      </c>
      <c r="M1448" s="50" t="s">
        <v>29</v>
      </c>
      <c r="N1448" s="49"/>
      <c r="P1448" s="19"/>
      <c r="Q1448" s="18" t="str">
        <f ca="1">IFERROR(__xludf.DUMMYFUNCTION("""COMPUTED_VALUE"""),"")</f>
        <v/>
      </c>
      <c r="R1448" s="19"/>
      <c r="S1448" s="20"/>
      <c r="BP1448" s="10"/>
      <c r="BW1448" s="10"/>
      <c r="CF1448" s="10"/>
      <c r="CM1448" s="10"/>
      <c r="CP1448" s="18" t="str">
        <f ca="1"/>
        <v/>
      </c>
      <c r="CQ1448" s="18" t="str">
        <f ca="1"/>
        <v/>
      </c>
      <c r="CR1448" s="18" t="str">
        <f ca="1"/>
        <v/>
      </c>
      <c r="CS1448" s="18" t="str">
        <f ca="1"/>
        <v/>
      </c>
      <c r="CT1448" s="18" t="str">
        <f ca="1"/>
        <v/>
      </c>
      <c r="CV1448" s="10"/>
      <c r="CY1448" s="18" t="str">
        <f ca="1"/>
        <v/>
      </c>
      <c r="CZ1448" s="18" t="str">
        <f ca="1"/>
        <v/>
      </c>
      <c r="DA1448" s="18" t="str">
        <f ca="1"/>
        <v/>
      </c>
      <c r="DC1448" s="10"/>
    </row>
    <row r="1449" spans="1:107" x14ac:dyDescent="0.25">
      <c r="A1449" s="46"/>
      <c r="B1449" s="52"/>
      <c r="C1449" s="52"/>
      <c r="D1449" s="16"/>
      <c r="E1449" s="52"/>
      <c r="F1449" s="52"/>
      <c r="G1449" s="50"/>
      <c r="H1449" s="17" t="str">
        <f ca="1">IFERROR(__xludf.DUMMYFUNCTION("""COMPUTED_VALUE"""),"")</f>
        <v/>
      </c>
      <c r="I1449" s="50" t="s">
        <v>29</v>
      </c>
      <c r="J1449" s="50" t="s">
        <v>29</v>
      </c>
      <c r="K1449" s="50" t="s">
        <v>29</v>
      </c>
      <c r="L1449" s="50" t="s">
        <v>29</v>
      </c>
      <c r="M1449" s="50" t="s">
        <v>29</v>
      </c>
      <c r="N1449" s="49"/>
      <c r="P1449" s="19"/>
      <c r="Q1449" s="18" t="str">
        <f ca="1">IFERROR(__xludf.DUMMYFUNCTION("""COMPUTED_VALUE"""),"")</f>
        <v/>
      </c>
      <c r="R1449" s="19"/>
      <c r="S1449" s="20"/>
      <c r="BP1449" s="10"/>
      <c r="BW1449" s="10"/>
      <c r="CF1449" s="10"/>
      <c r="CM1449" s="10"/>
      <c r="CP1449" s="18" t="str">
        <f ca="1"/>
        <v/>
      </c>
      <c r="CQ1449" s="18" t="str">
        <f ca="1"/>
        <v/>
      </c>
      <c r="CR1449" s="18" t="str">
        <f ca="1"/>
        <v/>
      </c>
      <c r="CS1449" s="18" t="str">
        <f ca="1"/>
        <v/>
      </c>
      <c r="CT1449" s="18" t="str">
        <f ca="1"/>
        <v/>
      </c>
      <c r="CV1449" s="10"/>
      <c r="CY1449" s="18" t="str">
        <f ca="1"/>
        <v/>
      </c>
      <c r="CZ1449" s="18" t="str">
        <f ca="1"/>
        <v/>
      </c>
      <c r="DA1449" s="18" t="str">
        <f ca="1"/>
        <v/>
      </c>
      <c r="DC1449" s="10"/>
    </row>
    <row r="1450" spans="1:107" x14ac:dyDescent="0.25">
      <c r="A1450" s="46"/>
      <c r="B1450" s="52"/>
      <c r="C1450" s="52"/>
      <c r="D1450" s="16"/>
      <c r="E1450" s="52"/>
      <c r="F1450" s="52"/>
      <c r="G1450" s="50"/>
      <c r="H1450" s="17" t="str">
        <f ca="1">IFERROR(__xludf.DUMMYFUNCTION("""COMPUTED_VALUE"""),"")</f>
        <v/>
      </c>
      <c r="I1450" s="50" t="s">
        <v>29</v>
      </c>
      <c r="J1450" s="50" t="s">
        <v>29</v>
      </c>
      <c r="K1450" s="50" t="s">
        <v>29</v>
      </c>
      <c r="L1450" s="50" t="s">
        <v>29</v>
      </c>
      <c r="M1450" s="50" t="s">
        <v>29</v>
      </c>
      <c r="N1450" s="49"/>
      <c r="P1450" s="19"/>
      <c r="Q1450" s="18" t="str">
        <f ca="1">IFERROR(__xludf.DUMMYFUNCTION("""COMPUTED_VALUE"""),"")</f>
        <v/>
      </c>
      <c r="R1450" s="19"/>
      <c r="S1450" s="20"/>
      <c r="BP1450" s="10"/>
      <c r="BW1450" s="10"/>
      <c r="CF1450" s="10"/>
      <c r="CM1450" s="10"/>
      <c r="CP1450" s="18" t="str">
        <f ca="1"/>
        <v/>
      </c>
      <c r="CQ1450" s="18" t="str">
        <f ca="1"/>
        <v/>
      </c>
      <c r="CR1450" s="18" t="str">
        <f ca="1"/>
        <v/>
      </c>
      <c r="CS1450" s="18" t="str">
        <f ca="1"/>
        <v/>
      </c>
      <c r="CT1450" s="18" t="str">
        <f ca="1"/>
        <v/>
      </c>
      <c r="CV1450" s="10"/>
      <c r="CY1450" s="18" t="str">
        <f ca="1"/>
        <v/>
      </c>
      <c r="CZ1450" s="18" t="str">
        <f ca="1"/>
        <v/>
      </c>
      <c r="DA1450" s="18" t="str">
        <f ca="1"/>
        <v/>
      </c>
      <c r="DC1450" s="10"/>
    </row>
    <row r="1451" spans="1:107" x14ac:dyDescent="0.25">
      <c r="A1451" s="46"/>
      <c r="B1451" s="52"/>
      <c r="C1451" s="52"/>
      <c r="D1451" s="16"/>
      <c r="E1451" s="52"/>
      <c r="F1451" s="52"/>
      <c r="G1451" s="50"/>
      <c r="H1451" s="17" t="str">
        <f ca="1">IFERROR(__xludf.DUMMYFUNCTION("""COMPUTED_VALUE"""),"")</f>
        <v/>
      </c>
      <c r="I1451" s="50" t="s">
        <v>29</v>
      </c>
      <c r="J1451" s="50" t="s">
        <v>29</v>
      </c>
      <c r="K1451" s="50" t="s">
        <v>29</v>
      </c>
      <c r="L1451" s="50" t="s">
        <v>29</v>
      </c>
      <c r="M1451" s="50" t="s">
        <v>29</v>
      </c>
      <c r="N1451" s="49"/>
      <c r="P1451" s="19"/>
      <c r="Q1451" s="18" t="str">
        <f ca="1">IFERROR(__xludf.DUMMYFUNCTION("""COMPUTED_VALUE"""),"")</f>
        <v/>
      </c>
      <c r="R1451" s="19"/>
      <c r="S1451" s="20"/>
      <c r="BP1451" s="10"/>
      <c r="BW1451" s="10"/>
      <c r="CF1451" s="10"/>
      <c r="CM1451" s="10"/>
      <c r="CP1451" s="18" t="str">
        <f ca="1"/>
        <v/>
      </c>
      <c r="CQ1451" s="18" t="str">
        <f ca="1"/>
        <v/>
      </c>
      <c r="CR1451" s="18" t="str">
        <f ca="1"/>
        <v/>
      </c>
      <c r="CS1451" s="18" t="str">
        <f ca="1"/>
        <v/>
      </c>
      <c r="CT1451" s="18" t="str">
        <f ca="1"/>
        <v/>
      </c>
      <c r="CV1451" s="10"/>
      <c r="CY1451" s="18" t="str">
        <f ca="1"/>
        <v/>
      </c>
      <c r="CZ1451" s="18" t="str">
        <f ca="1"/>
        <v/>
      </c>
      <c r="DA1451" s="18" t="str">
        <f ca="1"/>
        <v/>
      </c>
      <c r="DC1451" s="10"/>
    </row>
    <row r="1452" spans="1:107" x14ac:dyDescent="0.25">
      <c r="A1452" s="46"/>
      <c r="B1452" s="52"/>
      <c r="C1452" s="52"/>
      <c r="D1452" s="16"/>
      <c r="E1452" s="52"/>
      <c r="F1452" s="52"/>
      <c r="G1452" s="50"/>
      <c r="H1452" s="17" t="str">
        <f ca="1">IFERROR(__xludf.DUMMYFUNCTION("""COMPUTED_VALUE"""),"")</f>
        <v/>
      </c>
      <c r="I1452" s="50" t="s">
        <v>29</v>
      </c>
      <c r="J1452" s="50" t="s">
        <v>29</v>
      </c>
      <c r="K1452" s="50" t="s">
        <v>29</v>
      </c>
      <c r="L1452" s="50" t="s">
        <v>29</v>
      </c>
      <c r="M1452" s="50" t="s">
        <v>29</v>
      </c>
      <c r="N1452" s="49"/>
      <c r="P1452" s="19"/>
      <c r="Q1452" s="18" t="str">
        <f ca="1">IFERROR(__xludf.DUMMYFUNCTION("""COMPUTED_VALUE"""),"")</f>
        <v/>
      </c>
      <c r="R1452" s="19"/>
      <c r="S1452" s="20"/>
      <c r="BP1452" s="10"/>
      <c r="BW1452" s="10"/>
      <c r="CF1452" s="10"/>
      <c r="CM1452" s="10"/>
      <c r="CP1452" s="18" t="str">
        <f ca="1"/>
        <v/>
      </c>
      <c r="CQ1452" s="18" t="str">
        <f ca="1"/>
        <v/>
      </c>
      <c r="CR1452" s="18" t="str">
        <f ca="1"/>
        <v/>
      </c>
      <c r="CS1452" s="18" t="str">
        <f ca="1"/>
        <v/>
      </c>
      <c r="CT1452" s="18" t="str">
        <f ca="1"/>
        <v/>
      </c>
      <c r="CV1452" s="10"/>
      <c r="CY1452" s="18" t="str">
        <f ca="1"/>
        <v/>
      </c>
      <c r="CZ1452" s="18" t="str">
        <f ca="1"/>
        <v/>
      </c>
      <c r="DA1452" s="18" t="str">
        <f ca="1"/>
        <v/>
      </c>
      <c r="DC1452" s="10"/>
    </row>
    <row r="1453" spans="1:107" x14ac:dyDescent="0.25">
      <c r="A1453" s="46"/>
      <c r="B1453" s="52"/>
      <c r="C1453" s="52"/>
      <c r="D1453" s="16"/>
      <c r="E1453" s="52"/>
      <c r="F1453" s="52"/>
      <c r="G1453" s="50"/>
      <c r="H1453" s="17" t="str">
        <f ca="1">IFERROR(__xludf.DUMMYFUNCTION("""COMPUTED_VALUE"""),"")</f>
        <v/>
      </c>
      <c r="I1453" s="50" t="s">
        <v>29</v>
      </c>
      <c r="J1453" s="50" t="s">
        <v>29</v>
      </c>
      <c r="K1453" s="50" t="s">
        <v>29</v>
      </c>
      <c r="L1453" s="50" t="s">
        <v>29</v>
      </c>
      <c r="M1453" s="50" t="s">
        <v>29</v>
      </c>
      <c r="N1453" s="49"/>
      <c r="P1453" s="19"/>
      <c r="Q1453" s="18" t="str">
        <f ca="1">IFERROR(__xludf.DUMMYFUNCTION("""COMPUTED_VALUE"""),"")</f>
        <v/>
      </c>
      <c r="R1453" s="19"/>
      <c r="S1453" s="20"/>
      <c r="BP1453" s="10"/>
      <c r="BW1453" s="10"/>
      <c r="CF1453" s="10"/>
      <c r="CM1453" s="10"/>
      <c r="CP1453" s="18" t="str">
        <f ca="1"/>
        <v/>
      </c>
      <c r="CQ1453" s="18" t="str">
        <f ca="1"/>
        <v/>
      </c>
      <c r="CR1453" s="18" t="str">
        <f ca="1"/>
        <v/>
      </c>
      <c r="CS1453" s="18" t="str">
        <f ca="1"/>
        <v/>
      </c>
      <c r="CT1453" s="18" t="str">
        <f ca="1"/>
        <v/>
      </c>
      <c r="CV1453" s="10"/>
      <c r="CY1453" s="18" t="str">
        <f ca="1"/>
        <v/>
      </c>
      <c r="CZ1453" s="18" t="str">
        <f ca="1"/>
        <v/>
      </c>
      <c r="DA1453" s="18" t="str">
        <f ca="1"/>
        <v/>
      </c>
      <c r="DC1453" s="10"/>
    </row>
    <row r="1454" spans="1:107" x14ac:dyDescent="0.25">
      <c r="A1454" s="46"/>
      <c r="B1454" s="52"/>
      <c r="C1454" s="52"/>
      <c r="D1454" s="16"/>
      <c r="E1454" s="52"/>
      <c r="F1454" s="52"/>
      <c r="G1454" s="50"/>
      <c r="H1454" s="17" t="str">
        <f ca="1">IFERROR(__xludf.DUMMYFUNCTION("""COMPUTED_VALUE"""),"")</f>
        <v/>
      </c>
      <c r="I1454" s="50" t="s">
        <v>29</v>
      </c>
      <c r="J1454" s="50" t="s">
        <v>29</v>
      </c>
      <c r="K1454" s="50" t="s">
        <v>29</v>
      </c>
      <c r="L1454" s="50" t="s">
        <v>29</v>
      </c>
      <c r="M1454" s="50" t="s">
        <v>29</v>
      </c>
      <c r="N1454" s="49"/>
      <c r="P1454" s="19"/>
      <c r="Q1454" s="18" t="str">
        <f ca="1">IFERROR(__xludf.DUMMYFUNCTION("""COMPUTED_VALUE"""),"")</f>
        <v/>
      </c>
      <c r="R1454" s="19"/>
      <c r="S1454" s="20"/>
      <c r="BP1454" s="10"/>
      <c r="BW1454" s="10"/>
      <c r="CF1454" s="10"/>
      <c r="CM1454" s="10"/>
      <c r="CP1454" s="18" t="str">
        <f ca="1"/>
        <v/>
      </c>
      <c r="CQ1454" s="18" t="str">
        <f ca="1"/>
        <v/>
      </c>
      <c r="CR1454" s="18" t="str">
        <f ca="1"/>
        <v/>
      </c>
      <c r="CS1454" s="18" t="str">
        <f ca="1"/>
        <v/>
      </c>
      <c r="CT1454" s="18" t="str">
        <f ca="1"/>
        <v/>
      </c>
      <c r="CV1454" s="10"/>
      <c r="CY1454" s="18" t="str">
        <f ca="1"/>
        <v/>
      </c>
      <c r="CZ1454" s="18" t="str">
        <f ca="1"/>
        <v/>
      </c>
      <c r="DA1454" s="18" t="str">
        <f ca="1"/>
        <v/>
      </c>
      <c r="DC1454" s="10"/>
    </row>
    <row r="1455" spans="1:107" x14ac:dyDescent="0.25">
      <c r="A1455" s="46"/>
      <c r="B1455" s="52"/>
      <c r="C1455" s="52"/>
      <c r="D1455" s="16"/>
      <c r="E1455" s="52"/>
      <c r="F1455" s="52"/>
      <c r="G1455" s="50"/>
      <c r="H1455" s="17" t="str">
        <f ca="1">IFERROR(__xludf.DUMMYFUNCTION("""COMPUTED_VALUE"""),"")</f>
        <v/>
      </c>
      <c r="I1455" s="50" t="s">
        <v>29</v>
      </c>
      <c r="J1455" s="50" t="s">
        <v>29</v>
      </c>
      <c r="K1455" s="50" t="s">
        <v>29</v>
      </c>
      <c r="L1455" s="50" t="s">
        <v>29</v>
      </c>
      <c r="M1455" s="50" t="s">
        <v>29</v>
      </c>
      <c r="N1455" s="49"/>
      <c r="P1455" s="19"/>
      <c r="Q1455" s="18" t="str">
        <f ca="1">IFERROR(__xludf.DUMMYFUNCTION("""COMPUTED_VALUE"""),"")</f>
        <v/>
      </c>
      <c r="R1455" s="19"/>
      <c r="S1455" s="20"/>
      <c r="BP1455" s="10"/>
      <c r="BW1455" s="10"/>
      <c r="CF1455" s="10"/>
      <c r="CM1455" s="10"/>
      <c r="CP1455" s="18" t="str">
        <f ca="1"/>
        <v/>
      </c>
      <c r="CQ1455" s="18" t="str">
        <f ca="1"/>
        <v/>
      </c>
      <c r="CR1455" s="18" t="str">
        <f ca="1"/>
        <v/>
      </c>
      <c r="CS1455" s="18" t="str">
        <f ca="1"/>
        <v/>
      </c>
      <c r="CT1455" s="18" t="str">
        <f ca="1"/>
        <v/>
      </c>
      <c r="CV1455" s="10"/>
      <c r="CY1455" s="18" t="str">
        <f ca="1"/>
        <v/>
      </c>
      <c r="CZ1455" s="18" t="str">
        <f ca="1"/>
        <v/>
      </c>
      <c r="DA1455" s="18" t="str">
        <f ca="1"/>
        <v/>
      </c>
      <c r="DC1455" s="10"/>
    </row>
    <row r="1456" spans="1:107" x14ac:dyDescent="0.25">
      <c r="A1456" s="46"/>
      <c r="B1456" s="52"/>
      <c r="C1456" s="52"/>
      <c r="D1456" s="16"/>
      <c r="E1456" s="52"/>
      <c r="F1456" s="52"/>
      <c r="G1456" s="50"/>
      <c r="H1456" s="17" t="str">
        <f ca="1">IFERROR(__xludf.DUMMYFUNCTION("""COMPUTED_VALUE"""),"")</f>
        <v/>
      </c>
      <c r="I1456" s="50" t="s">
        <v>29</v>
      </c>
      <c r="J1456" s="50" t="s">
        <v>29</v>
      </c>
      <c r="K1456" s="50" t="s">
        <v>29</v>
      </c>
      <c r="L1456" s="50" t="s">
        <v>29</v>
      </c>
      <c r="M1456" s="50" t="s">
        <v>29</v>
      </c>
      <c r="N1456" s="49"/>
      <c r="P1456" s="19"/>
      <c r="Q1456" s="18" t="str">
        <f ca="1">IFERROR(__xludf.DUMMYFUNCTION("""COMPUTED_VALUE"""),"")</f>
        <v/>
      </c>
      <c r="R1456" s="19"/>
      <c r="S1456" s="20"/>
      <c r="BP1456" s="10"/>
      <c r="BW1456" s="10"/>
      <c r="CF1456" s="10"/>
      <c r="CM1456" s="10"/>
      <c r="CP1456" s="18" t="str">
        <f ca="1"/>
        <v/>
      </c>
      <c r="CQ1456" s="18" t="str">
        <f ca="1"/>
        <v/>
      </c>
      <c r="CR1456" s="18" t="str">
        <f ca="1"/>
        <v/>
      </c>
      <c r="CS1456" s="18" t="str">
        <f ca="1"/>
        <v/>
      </c>
      <c r="CT1456" s="18" t="str">
        <f ca="1"/>
        <v/>
      </c>
      <c r="CV1456" s="10"/>
      <c r="CY1456" s="18" t="str">
        <f ca="1"/>
        <v/>
      </c>
      <c r="CZ1456" s="18" t="str">
        <f ca="1"/>
        <v/>
      </c>
      <c r="DA1456" s="18" t="str">
        <f ca="1"/>
        <v/>
      </c>
      <c r="DC1456" s="10"/>
    </row>
    <row r="1457" spans="1:107" x14ac:dyDescent="0.25">
      <c r="A1457" s="46"/>
      <c r="B1457" s="52"/>
      <c r="C1457" s="52"/>
      <c r="D1457" s="16"/>
      <c r="E1457" s="52"/>
      <c r="F1457" s="52"/>
      <c r="G1457" s="50"/>
      <c r="H1457" s="17" t="str">
        <f ca="1">IFERROR(__xludf.DUMMYFUNCTION("""COMPUTED_VALUE"""),"")</f>
        <v/>
      </c>
      <c r="I1457" s="50" t="s">
        <v>29</v>
      </c>
      <c r="J1457" s="50" t="s">
        <v>29</v>
      </c>
      <c r="K1457" s="50" t="s">
        <v>29</v>
      </c>
      <c r="L1457" s="50" t="s">
        <v>29</v>
      </c>
      <c r="M1457" s="50" t="s">
        <v>29</v>
      </c>
      <c r="N1457" s="49"/>
      <c r="P1457" s="19"/>
      <c r="Q1457" s="18" t="str">
        <f ca="1">IFERROR(__xludf.DUMMYFUNCTION("""COMPUTED_VALUE"""),"")</f>
        <v/>
      </c>
      <c r="R1457" s="19"/>
      <c r="S1457" s="20"/>
      <c r="BP1457" s="10"/>
      <c r="BW1457" s="10"/>
      <c r="CF1457" s="10"/>
      <c r="CM1457" s="10"/>
      <c r="CP1457" s="18" t="str">
        <f ca="1"/>
        <v/>
      </c>
      <c r="CQ1457" s="18" t="str">
        <f ca="1"/>
        <v/>
      </c>
      <c r="CR1457" s="18" t="str">
        <f ca="1"/>
        <v/>
      </c>
      <c r="CS1457" s="18" t="str">
        <f ca="1"/>
        <v/>
      </c>
      <c r="CT1457" s="18" t="str">
        <f ca="1"/>
        <v/>
      </c>
      <c r="CV1457" s="10"/>
      <c r="CY1457" s="18" t="str">
        <f ca="1"/>
        <v/>
      </c>
      <c r="CZ1457" s="18" t="str">
        <f ca="1"/>
        <v/>
      </c>
      <c r="DA1457" s="18" t="str">
        <f ca="1"/>
        <v/>
      </c>
      <c r="DC1457" s="10"/>
    </row>
    <row r="1458" spans="1:107" x14ac:dyDescent="0.25">
      <c r="A1458" s="46"/>
      <c r="B1458" s="52"/>
      <c r="C1458" s="52"/>
      <c r="D1458" s="16"/>
      <c r="E1458" s="52"/>
      <c r="F1458" s="52"/>
      <c r="G1458" s="50"/>
      <c r="H1458" s="17" t="str">
        <f ca="1">IFERROR(__xludf.DUMMYFUNCTION("""COMPUTED_VALUE"""),"")</f>
        <v/>
      </c>
      <c r="I1458" s="50" t="s">
        <v>29</v>
      </c>
      <c r="J1458" s="50" t="s">
        <v>29</v>
      </c>
      <c r="K1458" s="50" t="s">
        <v>29</v>
      </c>
      <c r="L1458" s="50" t="s">
        <v>29</v>
      </c>
      <c r="M1458" s="50" t="s">
        <v>29</v>
      </c>
      <c r="N1458" s="49"/>
      <c r="P1458" s="19"/>
      <c r="Q1458" s="18" t="str">
        <f ca="1">IFERROR(__xludf.DUMMYFUNCTION("""COMPUTED_VALUE"""),"")</f>
        <v/>
      </c>
      <c r="R1458" s="19"/>
      <c r="S1458" s="20"/>
      <c r="BP1458" s="10"/>
      <c r="BW1458" s="10"/>
      <c r="CF1458" s="10"/>
      <c r="CM1458" s="10"/>
      <c r="CP1458" s="18" t="str">
        <f ca="1"/>
        <v/>
      </c>
      <c r="CQ1458" s="18" t="str">
        <f ca="1"/>
        <v/>
      </c>
      <c r="CR1458" s="18" t="str">
        <f ca="1"/>
        <v/>
      </c>
      <c r="CS1458" s="18" t="str">
        <f ca="1"/>
        <v/>
      </c>
      <c r="CT1458" s="18" t="str">
        <f ca="1"/>
        <v/>
      </c>
      <c r="CV1458" s="10"/>
      <c r="CY1458" s="18" t="str">
        <f ca="1"/>
        <v/>
      </c>
      <c r="CZ1458" s="18" t="str">
        <f ca="1"/>
        <v/>
      </c>
      <c r="DA1458" s="18" t="str">
        <f ca="1"/>
        <v/>
      </c>
      <c r="DC1458" s="10"/>
    </row>
    <row r="1459" spans="1:107" x14ac:dyDescent="0.25">
      <c r="A1459" s="46"/>
      <c r="B1459" s="52"/>
      <c r="C1459" s="52"/>
      <c r="D1459" s="16"/>
      <c r="E1459" s="52"/>
      <c r="F1459" s="52"/>
      <c r="G1459" s="50"/>
      <c r="H1459" s="17" t="str">
        <f ca="1">IFERROR(__xludf.DUMMYFUNCTION("""COMPUTED_VALUE"""),"")</f>
        <v/>
      </c>
      <c r="I1459" s="50" t="s">
        <v>29</v>
      </c>
      <c r="J1459" s="50" t="s">
        <v>29</v>
      </c>
      <c r="K1459" s="50" t="s">
        <v>29</v>
      </c>
      <c r="L1459" s="50" t="s">
        <v>29</v>
      </c>
      <c r="M1459" s="50" t="s">
        <v>29</v>
      </c>
      <c r="N1459" s="49"/>
      <c r="P1459" s="19"/>
      <c r="Q1459" s="18" t="str">
        <f ca="1">IFERROR(__xludf.DUMMYFUNCTION("""COMPUTED_VALUE"""),"")</f>
        <v/>
      </c>
      <c r="R1459" s="19"/>
      <c r="S1459" s="20"/>
      <c r="BP1459" s="10"/>
      <c r="BW1459" s="10"/>
      <c r="CF1459" s="10"/>
      <c r="CM1459" s="10"/>
      <c r="CP1459" s="18" t="str">
        <f ca="1"/>
        <v/>
      </c>
      <c r="CQ1459" s="18" t="str">
        <f ca="1"/>
        <v/>
      </c>
      <c r="CR1459" s="18" t="str">
        <f ca="1"/>
        <v/>
      </c>
      <c r="CS1459" s="18" t="str">
        <f ca="1"/>
        <v/>
      </c>
      <c r="CT1459" s="18" t="str">
        <f ca="1"/>
        <v/>
      </c>
      <c r="CV1459" s="10"/>
      <c r="CY1459" s="18" t="str">
        <f ca="1"/>
        <v/>
      </c>
      <c r="CZ1459" s="18" t="str">
        <f ca="1"/>
        <v/>
      </c>
      <c r="DA1459" s="18" t="str">
        <f ca="1"/>
        <v/>
      </c>
      <c r="DC1459" s="10"/>
    </row>
    <row r="1460" spans="1:107" x14ac:dyDescent="0.25">
      <c r="A1460" s="46"/>
      <c r="B1460" s="52"/>
      <c r="C1460" s="52"/>
      <c r="D1460" s="16"/>
      <c r="E1460" s="52"/>
      <c r="F1460" s="52"/>
      <c r="G1460" s="50"/>
      <c r="H1460" s="17" t="str">
        <f ca="1">IFERROR(__xludf.DUMMYFUNCTION("""COMPUTED_VALUE"""),"")</f>
        <v/>
      </c>
      <c r="I1460" s="50" t="s">
        <v>29</v>
      </c>
      <c r="J1460" s="50" t="s">
        <v>29</v>
      </c>
      <c r="K1460" s="50" t="s">
        <v>29</v>
      </c>
      <c r="L1460" s="50" t="s">
        <v>29</v>
      </c>
      <c r="M1460" s="50" t="s">
        <v>29</v>
      </c>
      <c r="N1460" s="49"/>
      <c r="P1460" s="19"/>
      <c r="Q1460" s="18" t="str">
        <f ca="1">IFERROR(__xludf.DUMMYFUNCTION("""COMPUTED_VALUE"""),"")</f>
        <v/>
      </c>
      <c r="R1460" s="19"/>
      <c r="S1460" s="20"/>
      <c r="BP1460" s="10"/>
      <c r="BW1460" s="10"/>
      <c r="CF1460" s="10"/>
      <c r="CM1460" s="10"/>
      <c r="CP1460" s="18" t="str">
        <f ca="1"/>
        <v/>
      </c>
      <c r="CQ1460" s="18" t="str">
        <f ca="1"/>
        <v/>
      </c>
      <c r="CR1460" s="18" t="str">
        <f ca="1"/>
        <v/>
      </c>
      <c r="CS1460" s="18" t="str">
        <f ca="1"/>
        <v/>
      </c>
      <c r="CT1460" s="18" t="str">
        <f ca="1"/>
        <v/>
      </c>
      <c r="CV1460" s="10"/>
      <c r="CY1460" s="18" t="str">
        <f ca="1"/>
        <v/>
      </c>
      <c r="CZ1460" s="18" t="str">
        <f ca="1"/>
        <v/>
      </c>
      <c r="DA1460" s="18" t="str">
        <f ca="1"/>
        <v/>
      </c>
      <c r="DC1460" s="10"/>
    </row>
    <row r="1461" spans="1:107" x14ac:dyDescent="0.25">
      <c r="A1461" s="46"/>
      <c r="B1461" s="52"/>
      <c r="C1461" s="52"/>
      <c r="D1461" s="16"/>
      <c r="E1461" s="52"/>
      <c r="F1461" s="52"/>
      <c r="G1461" s="50"/>
      <c r="H1461" s="17" t="str">
        <f ca="1">IFERROR(__xludf.DUMMYFUNCTION("""COMPUTED_VALUE"""),"")</f>
        <v/>
      </c>
      <c r="I1461" s="50" t="s">
        <v>29</v>
      </c>
      <c r="J1461" s="50" t="s">
        <v>29</v>
      </c>
      <c r="K1461" s="50" t="s">
        <v>29</v>
      </c>
      <c r="L1461" s="50" t="s">
        <v>29</v>
      </c>
      <c r="M1461" s="50" t="s">
        <v>29</v>
      </c>
      <c r="N1461" s="49"/>
      <c r="P1461" s="19"/>
      <c r="Q1461" s="18" t="str">
        <f ca="1">IFERROR(__xludf.DUMMYFUNCTION("""COMPUTED_VALUE"""),"")</f>
        <v/>
      </c>
      <c r="R1461" s="19"/>
      <c r="S1461" s="20"/>
      <c r="BP1461" s="10"/>
      <c r="BW1461" s="10"/>
      <c r="CF1461" s="10"/>
      <c r="CM1461" s="10"/>
      <c r="CP1461" s="18" t="str">
        <f ca="1"/>
        <v/>
      </c>
      <c r="CQ1461" s="18" t="str">
        <f ca="1"/>
        <v/>
      </c>
      <c r="CR1461" s="18" t="str">
        <f ca="1"/>
        <v/>
      </c>
      <c r="CS1461" s="18" t="str">
        <f ca="1"/>
        <v/>
      </c>
      <c r="CT1461" s="18" t="str">
        <f ca="1"/>
        <v/>
      </c>
      <c r="CV1461" s="10"/>
      <c r="CY1461" s="18" t="str">
        <f ca="1"/>
        <v/>
      </c>
      <c r="CZ1461" s="18" t="str">
        <f ca="1"/>
        <v/>
      </c>
      <c r="DA1461" s="18" t="str">
        <f ca="1"/>
        <v/>
      </c>
      <c r="DC1461" s="10"/>
    </row>
    <row r="1462" spans="1:107" x14ac:dyDescent="0.25">
      <c r="A1462" s="46"/>
      <c r="B1462" s="52"/>
      <c r="C1462" s="52"/>
      <c r="D1462" s="16"/>
      <c r="E1462" s="52"/>
      <c r="F1462" s="52"/>
      <c r="G1462" s="50"/>
      <c r="H1462" s="17" t="str">
        <f ca="1">IFERROR(__xludf.DUMMYFUNCTION("""COMPUTED_VALUE"""),"")</f>
        <v/>
      </c>
      <c r="I1462" s="50" t="s">
        <v>29</v>
      </c>
      <c r="J1462" s="50" t="s">
        <v>29</v>
      </c>
      <c r="K1462" s="50" t="s">
        <v>29</v>
      </c>
      <c r="L1462" s="50" t="s">
        <v>29</v>
      </c>
      <c r="M1462" s="50" t="s">
        <v>29</v>
      </c>
      <c r="N1462" s="49"/>
      <c r="P1462" s="19"/>
      <c r="Q1462" s="18" t="str">
        <f ca="1">IFERROR(__xludf.DUMMYFUNCTION("""COMPUTED_VALUE"""),"")</f>
        <v/>
      </c>
      <c r="R1462" s="19"/>
      <c r="S1462" s="20"/>
      <c r="BP1462" s="10"/>
      <c r="BW1462" s="10"/>
      <c r="CF1462" s="10"/>
      <c r="CM1462" s="10"/>
      <c r="CP1462" s="18" t="str">
        <f ca="1"/>
        <v/>
      </c>
      <c r="CQ1462" s="18" t="str">
        <f ca="1"/>
        <v/>
      </c>
      <c r="CR1462" s="18" t="str">
        <f ca="1"/>
        <v/>
      </c>
      <c r="CS1462" s="18" t="str">
        <f ca="1"/>
        <v/>
      </c>
      <c r="CT1462" s="18" t="str">
        <f ca="1"/>
        <v/>
      </c>
      <c r="CV1462" s="10"/>
      <c r="CY1462" s="18" t="str">
        <f ca="1"/>
        <v/>
      </c>
      <c r="CZ1462" s="18" t="str">
        <f ca="1"/>
        <v/>
      </c>
      <c r="DA1462" s="18" t="str">
        <f ca="1"/>
        <v/>
      </c>
      <c r="DC1462" s="10"/>
    </row>
    <row r="1463" spans="1:107" x14ac:dyDescent="0.25">
      <c r="A1463" s="46"/>
      <c r="B1463" s="52"/>
      <c r="C1463" s="52"/>
      <c r="D1463" s="16"/>
      <c r="E1463" s="52"/>
      <c r="F1463" s="52"/>
      <c r="G1463" s="50"/>
      <c r="H1463" s="17" t="str">
        <f ca="1">IFERROR(__xludf.DUMMYFUNCTION("""COMPUTED_VALUE"""),"")</f>
        <v/>
      </c>
      <c r="I1463" s="50" t="s">
        <v>29</v>
      </c>
      <c r="J1463" s="50" t="s">
        <v>29</v>
      </c>
      <c r="K1463" s="50" t="s">
        <v>29</v>
      </c>
      <c r="L1463" s="50" t="s">
        <v>29</v>
      </c>
      <c r="M1463" s="50" t="s">
        <v>29</v>
      </c>
      <c r="N1463" s="49"/>
      <c r="P1463" s="19"/>
      <c r="Q1463" s="18" t="str">
        <f ca="1">IFERROR(__xludf.DUMMYFUNCTION("""COMPUTED_VALUE"""),"")</f>
        <v/>
      </c>
      <c r="R1463" s="19"/>
      <c r="S1463" s="20"/>
      <c r="BP1463" s="10"/>
      <c r="BW1463" s="10"/>
      <c r="CF1463" s="10"/>
      <c r="CM1463" s="10"/>
      <c r="CP1463" s="18" t="str">
        <f ca="1"/>
        <v/>
      </c>
      <c r="CQ1463" s="18" t="str">
        <f ca="1"/>
        <v/>
      </c>
      <c r="CR1463" s="18" t="str">
        <f ca="1"/>
        <v/>
      </c>
      <c r="CS1463" s="18" t="str">
        <f ca="1"/>
        <v/>
      </c>
      <c r="CT1463" s="18" t="str">
        <f ca="1"/>
        <v/>
      </c>
      <c r="CV1463" s="10"/>
      <c r="CY1463" s="18" t="str">
        <f ca="1"/>
        <v/>
      </c>
      <c r="CZ1463" s="18" t="str">
        <f ca="1"/>
        <v/>
      </c>
      <c r="DA1463" s="18" t="str">
        <f ca="1"/>
        <v/>
      </c>
      <c r="DC1463" s="10"/>
    </row>
    <row r="1464" spans="1:107" x14ac:dyDescent="0.25">
      <c r="A1464" s="46"/>
      <c r="B1464" s="52"/>
      <c r="C1464" s="52"/>
      <c r="D1464" s="16"/>
      <c r="E1464" s="52"/>
      <c r="F1464" s="52"/>
      <c r="G1464" s="50"/>
      <c r="H1464" s="17" t="str">
        <f ca="1">IFERROR(__xludf.DUMMYFUNCTION("""COMPUTED_VALUE"""),"")</f>
        <v/>
      </c>
      <c r="I1464" s="50" t="s">
        <v>29</v>
      </c>
      <c r="J1464" s="50" t="s">
        <v>29</v>
      </c>
      <c r="K1464" s="50" t="s">
        <v>29</v>
      </c>
      <c r="L1464" s="50" t="s">
        <v>29</v>
      </c>
      <c r="M1464" s="50" t="s">
        <v>29</v>
      </c>
      <c r="N1464" s="49"/>
      <c r="P1464" s="19"/>
      <c r="Q1464" s="18" t="str">
        <f ca="1">IFERROR(__xludf.DUMMYFUNCTION("""COMPUTED_VALUE"""),"")</f>
        <v/>
      </c>
      <c r="R1464" s="19"/>
      <c r="S1464" s="20"/>
      <c r="BP1464" s="10"/>
      <c r="BW1464" s="10"/>
      <c r="CF1464" s="10"/>
      <c r="CM1464" s="10"/>
      <c r="CP1464" s="18" t="str">
        <f ca="1"/>
        <v/>
      </c>
      <c r="CQ1464" s="18" t="str">
        <f ca="1"/>
        <v/>
      </c>
      <c r="CR1464" s="18" t="str">
        <f ca="1"/>
        <v/>
      </c>
      <c r="CS1464" s="18" t="str">
        <f ca="1"/>
        <v/>
      </c>
      <c r="CT1464" s="18" t="str">
        <f ca="1"/>
        <v/>
      </c>
      <c r="CV1464" s="10"/>
      <c r="CY1464" s="18" t="str">
        <f ca="1"/>
        <v/>
      </c>
      <c r="CZ1464" s="18" t="str">
        <f ca="1"/>
        <v/>
      </c>
      <c r="DA1464" s="18" t="str">
        <f ca="1"/>
        <v/>
      </c>
      <c r="DC1464" s="10"/>
    </row>
    <row r="1465" spans="1:107" x14ac:dyDescent="0.25">
      <c r="A1465" s="46"/>
      <c r="B1465" s="52"/>
      <c r="C1465" s="52"/>
      <c r="D1465" s="16"/>
      <c r="E1465" s="52"/>
      <c r="F1465" s="52"/>
      <c r="G1465" s="50"/>
      <c r="H1465" s="17" t="str">
        <f ca="1">IFERROR(__xludf.DUMMYFUNCTION("""COMPUTED_VALUE"""),"")</f>
        <v/>
      </c>
      <c r="I1465" s="50" t="s">
        <v>29</v>
      </c>
      <c r="J1465" s="50" t="s">
        <v>29</v>
      </c>
      <c r="K1465" s="50" t="s">
        <v>29</v>
      </c>
      <c r="L1465" s="50" t="s">
        <v>29</v>
      </c>
      <c r="M1465" s="50" t="s">
        <v>29</v>
      </c>
      <c r="N1465" s="49"/>
      <c r="P1465" s="19"/>
      <c r="Q1465" s="18" t="str">
        <f ca="1">IFERROR(__xludf.DUMMYFUNCTION("""COMPUTED_VALUE"""),"")</f>
        <v/>
      </c>
      <c r="R1465" s="19"/>
      <c r="S1465" s="20"/>
      <c r="BP1465" s="10"/>
      <c r="BW1465" s="10"/>
      <c r="CF1465" s="10"/>
      <c r="CM1465" s="10"/>
      <c r="CP1465" s="18" t="str">
        <f ca="1"/>
        <v/>
      </c>
      <c r="CQ1465" s="18" t="str">
        <f ca="1"/>
        <v/>
      </c>
      <c r="CR1465" s="18" t="str">
        <f ca="1"/>
        <v/>
      </c>
      <c r="CS1465" s="18" t="str">
        <f ca="1"/>
        <v/>
      </c>
      <c r="CT1465" s="18" t="str">
        <f ca="1"/>
        <v/>
      </c>
      <c r="CV1465" s="10"/>
      <c r="CY1465" s="18" t="str">
        <f ca="1"/>
        <v/>
      </c>
      <c r="CZ1465" s="18" t="str">
        <f ca="1"/>
        <v/>
      </c>
      <c r="DA1465" s="18" t="str">
        <f ca="1"/>
        <v/>
      </c>
      <c r="DC1465" s="10"/>
    </row>
    <row r="1466" spans="1:107" x14ac:dyDescent="0.25">
      <c r="A1466" s="46"/>
      <c r="B1466" s="52"/>
      <c r="C1466" s="52"/>
      <c r="D1466" s="16"/>
      <c r="E1466" s="52"/>
      <c r="F1466" s="52"/>
      <c r="G1466" s="50"/>
      <c r="H1466" s="17" t="str">
        <f ca="1">IFERROR(__xludf.DUMMYFUNCTION("""COMPUTED_VALUE"""),"")</f>
        <v/>
      </c>
      <c r="I1466" s="50" t="s">
        <v>29</v>
      </c>
      <c r="J1466" s="50" t="s">
        <v>29</v>
      </c>
      <c r="K1466" s="50" t="s">
        <v>29</v>
      </c>
      <c r="L1466" s="50" t="s">
        <v>29</v>
      </c>
      <c r="M1466" s="50" t="s">
        <v>29</v>
      </c>
      <c r="N1466" s="49"/>
      <c r="P1466" s="19"/>
      <c r="Q1466" s="18" t="str">
        <f ca="1">IFERROR(__xludf.DUMMYFUNCTION("""COMPUTED_VALUE"""),"")</f>
        <v/>
      </c>
      <c r="R1466" s="19"/>
      <c r="S1466" s="20"/>
      <c r="BP1466" s="10"/>
      <c r="BW1466" s="10"/>
      <c r="CF1466" s="10"/>
      <c r="CM1466" s="10"/>
      <c r="CP1466" s="18" t="str">
        <f ca="1"/>
        <v/>
      </c>
      <c r="CQ1466" s="18" t="str">
        <f ca="1"/>
        <v/>
      </c>
      <c r="CR1466" s="18" t="str">
        <f ca="1"/>
        <v/>
      </c>
      <c r="CS1466" s="18" t="str">
        <f ca="1"/>
        <v/>
      </c>
      <c r="CT1466" s="18" t="str">
        <f ca="1"/>
        <v/>
      </c>
      <c r="CV1466" s="10"/>
      <c r="CY1466" s="18" t="str">
        <f ca="1"/>
        <v/>
      </c>
      <c r="CZ1466" s="18" t="str">
        <f ca="1"/>
        <v/>
      </c>
      <c r="DA1466" s="18" t="str">
        <f ca="1"/>
        <v/>
      </c>
      <c r="DC1466" s="10"/>
    </row>
    <row r="1467" spans="1:107" x14ac:dyDescent="0.25">
      <c r="A1467" s="46"/>
      <c r="B1467" s="52"/>
      <c r="C1467" s="52"/>
      <c r="D1467" s="16"/>
      <c r="E1467" s="52"/>
      <c r="F1467" s="52"/>
      <c r="G1467" s="50"/>
      <c r="H1467" s="17" t="str">
        <f ca="1">IFERROR(__xludf.DUMMYFUNCTION("""COMPUTED_VALUE"""),"")</f>
        <v/>
      </c>
      <c r="I1467" s="50" t="s">
        <v>29</v>
      </c>
      <c r="J1467" s="50" t="s">
        <v>29</v>
      </c>
      <c r="K1467" s="50" t="s">
        <v>29</v>
      </c>
      <c r="L1467" s="50" t="s">
        <v>29</v>
      </c>
      <c r="M1467" s="50" t="s">
        <v>29</v>
      </c>
      <c r="N1467" s="49"/>
      <c r="P1467" s="19"/>
      <c r="Q1467" s="18" t="str">
        <f ca="1">IFERROR(__xludf.DUMMYFUNCTION("""COMPUTED_VALUE"""),"")</f>
        <v/>
      </c>
      <c r="R1467" s="19"/>
      <c r="S1467" s="20"/>
      <c r="BP1467" s="10"/>
      <c r="BW1467" s="10"/>
      <c r="CF1467" s="10"/>
      <c r="CM1467" s="10"/>
      <c r="CP1467" s="18" t="str">
        <f ca="1"/>
        <v/>
      </c>
      <c r="CQ1467" s="18" t="str">
        <f ca="1"/>
        <v/>
      </c>
      <c r="CR1467" s="18" t="str">
        <f ca="1"/>
        <v/>
      </c>
      <c r="CS1467" s="18" t="str">
        <f ca="1"/>
        <v/>
      </c>
      <c r="CT1467" s="18" t="str">
        <f ca="1"/>
        <v/>
      </c>
      <c r="CV1467" s="10"/>
      <c r="CY1467" s="18" t="str">
        <f ca="1"/>
        <v/>
      </c>
      <c r="CZ1467" s="18" t="str">
        <f ca="1"/>
        <v/>
      </c>
      <c r="DA1467" s="18" t="str">
        <f ca="1"/>
        <v/>
      </c>
      <c r="DC1467" s="10"/>
    </row>
    <row r="1468" spans="1:107" x14ac:dyDescent="0.25">
      <c r="A1468" s="46"/>
      <c r="B1468" s="52"/>
      <c r="C1468" s="52"/>
      <c r="D1468" s="16"/>
      <c r="E1468" s="52"/>
      <c r="F1468" s="52"/>
      <c r="G1468" s="50"/>
      <c r="H1468" s="17" t="str">
        <f ca="1">IFERROR(__xludf.DUMMYFUNCTION("""COMPUTED_VALUE"""),"")</f>
        <v/>
      </c>
      <c r="I1468" s="50" t="s">
        <v>29</v>
      </c>
      <c r="J1468" s="50" t="s">
        <v>29</v>
      </c>
      <c r="K1468" s="50" t="s">
        <v>29</v>
      </c>
      <c r="L1468" s="50" t="s">
        <v>29</v>
      </c>
      <c r="M1468" s="50" t="s">
        <v>29</v>
      </c>
      <c r="N1468" s="49"/>
      <c r="P1468" s="19"/>
      <c r="Q1468" s="18" t="str">
        <f ca="1">IFERROR(__xludf.DUMMYFUNCTION("""COMPUTED_VALUE"""),"")</f>
        <v/>
      </c>
      <c r="R1468" s="19"/>
      <c r="S1468" s="20"/>
      <c r="BP1468" s="10"/>
      <c r="BW1468" s="10"/>
      <c r="CF1468" s="10"/>
      <c r="CM1468" s="10"/>
      <c r="CP1468" s="18" t="str">
        <f ca="1"/>
        <v/>
      </c>
      <c r="CQ1468" s="18" t="str">
        <f ca="1"/>
        <v/>
      </c>
      <c r="CR1468" s="18" t="str">
        <f ca="1"/>
        <v/>
      </c>
      <c r="CS1468" s="18" t="str">
        <f ca="1"/>
        <v/>
      </c>
      <c r="CT1468" s="18" t="str">
        <f ca="1"/>
        <v/>
      </c>
      <c r="CV1468" s="10"/>
      <c r="CY1468" s="18" t="str">
        <f ca="1"/>
        <v/>
      </c>
      <c r="CZ1468" s="18" t="str">
        <f ca="1"/>
        <v/>
      </c>
      <c r="DA1468" s="18" t="str">
        <f ca="1"/>
        <v/>
      </c>
      <c r="DC1468" s="10"/>
    </row>
    <row r="1469" spans="1:107" x14ac:dyDescent="0.25">
      <c r="A1469" s="46"/>
      <c r="B1469" s="52"/>
      <c r="C1469" s="52"/>
      <c r="D1469" s="16"/>
      <c r="E1469" s="52"/>
      <c r="F1469" s="52"/>
      <c r="G1469" s="50"/>
      <c r="H1469" s="17" t="str">
        <f ca="1">IFERROR(__xludf.DUMMYFUNCTION("""COMPUTED_VALUE"""),"")</f>
        <v/>
      </c>
      <c r="I1469" s="50" t="s">
        <v>29</v>
      </c>
      <c r="J1469" s="50" t="s">
        <v>29</v>
      </c>
      <c r="K1469" s="50" t="s">
        <v>29</v>
      </c>
      <c r="L1469" s="50" t="s">
        <v>29</v>
      </c>
      <c r="M1469" s="50" t="s">
        <v>29</v>
      </c>
      <c r="N1469" s="49"/>
      <c r="P1469" s="19"/>
      <c r="Q1469" s="18" t="str">
        <f ca="1">IFERROR(__xludf.DUMMYFUNCTION("""COMPUTED_VALUE"""),"")</f>
        <v/>
      </c>
      <c r="R1469" s="19"/>
      <c r="S1469" s="20"/>
      <c r="BP1469" s="10"/>
      <c r="BW1469" s="10"/>
      <c r="CF1469" s="10"/>
      <c r="CM1469" s="10"/>
      <c r="CP1469" s="18" t="str">
        <f ca="1"/>
        <v/>
      </c>
      <c r="CQ1469" s="18" t="str">
        <f ca="1"/>
        <v/>
      </c>
      <c r="CR1469" s="18" t="str">
        <f ca="1"/>
        <v/>
      </c>
      <c r="CS1469" s="18" t="str">
        <f ca="1"/>
        <v/>
      </c>
      <c r="CT1469" s="18" t="str">
        <f ca="1"/>
        <v/>
      </c>
      <c r="CV1469" s="10"/>
      <c r="CY1469" s="18" t="str">
        <f ca="1"/>
        <v/>
      </c>
      <c r="CZ1469" s="18" t="str">
        <f ca="1"/>
        <v/>
      </c>
      <c r="DA1469" s="18" t="str">
        <f ca="1"/>
        <v/>
      </c>
      <c r="DC1469" s="10"/>
    </row>
    <row r="1470" spans="1:107" x14ac:dyDescent="0.25">
      <c r="A1470" s="46"/>
      <c r="B1470" s="52"/>
      <c r="C1470" s="52"/>
      <c r="D1470" s="16"/>
      <c r="E1470" s="52"/>
      <c r="F1470" s="52"/>
      <c r="G1470" s="50"/>
      <c r="H1470" s="17" t="str">
        <f ca="1">IFERROR(__xludf.DUMMYFUNCTION("""COMPUTED_VALUE"""),"")</f>
        <v/>
      </c>
      <c r="I1470" s="50" t="s">
        <v>29</v>
      </c>
      <c r="J1470" s="50" t="s">
        <v>29</v>
      </c>
      <c r="K1470" s="50" t="s">
        <v>29</v>
      </c>
      <c r="L1470" s="50" t="s">
        <v>29</v>
      </c>
      <c r="M1470" s="50" t="s">
        <v>29</v>
      </c>
      <c r="N1470" s="49"/>
      <c r="P1470" s="19"/>
      <c r="Q1470" s="18" t="str">
        <f ca="1">IFERROR(__xludf.DUMMYFUNCTION("""COMPUTED_VALUE"""),"")</f>
        <v/>
      </c>
      <c r="R1470" s="19"/>
      <c r="S1470" s="20"/>
      <c r="BP1470" s="10"/>
      <c r="BW1470" s="10"/>
      <c r="CF1470" s="10"/>
      <c r="CM1470" s="10"/>
      <c r="CP1470" s="18" t="str">
        <f ca="1"/>
        <v/>
      </c>
      <c r="CQ1470" s="18" t="str">
        <f ca="1"/>
        <v/>
      </c>
      <c r="CR1470" s="18" t="str">
        <f ca="1"/>
        <v/>
      </c>
      <c r="CS1470" s="18" t="str">
        <f ca="1"/>
        <v/>
      </c>
      <c r="CT1470" s="18" t="str">
        <f ca="1"/>
        <v/>
      </c>
      <c r="CV1470" s="10"/>
      <c r="CY1470" s="18" t="str">
        <f ca="1"/>
        <v/>
      </c>
      <c r="CZ1470" s="18" t="str">
        <f ca="1"/>
        <v/>
      </c>
      <c r="DA1470" s="18" t="str">
        <f ca="1"/>
        <v/>
      </c>
      <c r="DC1470" s="10"/>
    </row>
    <row r="1471" spans="1:107" x14ac:dyDescent="0.25">
      <c r="A1471" s="46"/>
      <c r="B1471" s="52"/>
      <c r="C1471" s="52"/>
      <c r="D1471" s="16"/>
      <c r="E1471" s="52"/>
      <c r="F1471" s="52"/>
      <c r="G1471" s="50"/>
      <c r="H1471" s="17" t="str">
        <f ca="1">IFERROR(__xludf.DUMMYFUNCTION("""COMPUTED_VALUE"""),"")</f>
        <v/>
      </c>
      <c r="I1471" s="50" t="s">
        <v>29</v>
      </c>
      <c r="J1471" s="50" t="s">
        <v>29</v>
      </c>
      <c r="K1471" s="50" t="s">
        <v>29</v>
      </c>
      <c r="L1471" s="50" t="s">
        <v>29</v>
      </c>
      <c r="M1471" s="50" t="s">
        <v>29</v>
      </c>
      <c r="N1471" s="49"/>
      <c r="P1471" s="19"/>
      <c r="Q1471" s="18" t="str">
        <f ca="1">IFERROR(__xludf.DUMMYFUNCTION("""COMPUTED_VALUE"""),"")</f>
        <v/>
      </c>
      <c r="R1471" s="19"/>
      <c r="S1471" s="20"/>
      <c r="BP1471" s="10"/>
      <c r="BW1471" s="10"/>
      <c r="CF1471" s="10"/>
      <c r="CM1471" s="10"/>
      <c r="CP1471" s="18" t="str">
        <f ca="1"/>
        <v/>
      </c>
      <c r="CQ1471" s="18" t="str">
        <f ca="1"/>
        <v/>
      </c>
      <c r="CR1471" s="18" t="str">
        <f ca="1"/>
        <v/>
      </c>
      <c r="CS1471" s="18" t="str">
        <f ca="1"/>
        <v/>
      </c>
      <c r="CT1471" s="18" t="str">
        <f ca="1"/>
        <v/>
      </c>
      <c r="CV1471" s="10"/>
      <c r="CY1471" s="18" t="str">
        <f ca="1"/>
        <v/>
      </c>
      <c r="CZ1471" s="18" t="str">
        <f ca="1"/>
        <v/>
      </c>
      <c r="DA1471" s="18" t="str">
        <f ca="1"/>
        <v/>
      </c>
      <c r="DC1471" s="10"/>
    </row>
    <row r="1472" spans="1:107" x14ac:dyDescent="0.25">
      <c r="A1472" s="46"/>
      <c r="B1472" s="52"/>
      <c r="C1472" s="52"/>
      <c r="D1472" s="16"/>
      <c r="E1472" s="52"/>
      <c r="F1472" s="52"/>
      <c r="G1472" s="50"/>
      <c r="H1472" s="17" t="str">
        <f ca="1">IFERROR(__xludf.DUMMYFUNCTION("""COMPUTED_VALUE"""),"")</f>
        <v/>
      </c>
      <c r="I1472" s="50" t="s">
        <v>29</v>
      </c>
      <c r="J1472" s="50" t="s">
        <v>29</v>
      </c>
      <c r="K1472" s="50" t="s">
        <v>29</v>
      </c>
      <c r="L1472" s="50" t="s">
        <v>29</v>
      </c>
      <c r="M1472" s="50" t="s">
        <v>29</v>
      </c>
      <c r="N1472" s="49"/>
      <c r="P1472" s="19"/>
      <c r="Q1472" s="18" t="str">
        <f ca="1">IFERROR(__xludf.DUMMYFUNCTION("""COMPUTED_VALUE"""),"")</f>
        <v/>
      </c>
      <c r="R1472" s="19"/>
      <c r="S1472" s="20"/>
      <c r="BP1472" s="10"/>
      <c r="BW1472" s="10"/>
      <c r="CF1472" s="10"/>
      <c r="CM1472" s="10"/>
      <c r="CP1472" s="18" t="str">
        <f ca="1"/>
        <v/>
      </c>
      <c r="CQ1472" s="18" t="str">
        <f ca="1"/>
        <v/>
      </c>
      <c r="CR1472" s="18" t="str">
        <f ca="1"/>
        <v/>
      </c>
      <c r="CS1472" s="18" t="str">
        <f ca="1"/>
        <v/>
      </c>
      <c r="CT1472" s="18" t="str">
        <f ca="1"/>
        <v/>
      </c>
      <c r="CV1472" s="10"/>
      <c r="CY1472" s="18" t="str">
        <f ca="1"/>
        <v/>
      </c>
      <c r="CZ1472" s="18" t="str">
        <f ca="1"/>
        <v/>
      </c>
      <c r="DA1472" s="18" t="str">
        <f ca="1"/>
        <v/>
      </c>
      <c r="DC1472" s="10"/>
    </row>
    <row r="1473" spans="1:107" x14ac:dyDescent="0.25">
      <c r="A1473" s="46"/>
      <c r="B1473" s="52"/>
      <c r="C1473" s="52"/>
      <c r="D1473" s="16"/>
      <c r="E1473" s="52"/>
      <c r="F1473" s="52"/>
      <c r="G1473" s="50"/>
      <c r="H1473" s="17" t="str">
        <f ca="1">IFERROR(__xludf.DUMMYFUNCTION("""COMPUTED_VALUE"""),"")</f>
        <v/>
      </c>
      <c r="I1473" s="50" t="s">
        <v>29</v>
      </c>
      <c r="J1473" s="50" t="s">
        <v>29</v>
      </c>
      <c r="K1473" s="50" t="s">
        <v>29</v>
      </c>
      <c r="L1473" s="50" t="s">
        <v>29</v>
      </c>
      <c r="M1473" s="50" t="s">
        <v>29</v>
      </c>
      <c r="N1473" s="49"/>
      <c r="P1473" s="19"/>
      <c r="Q1473" s="18" t="str">
        <f ca="1">IFERROR(__xludf.DUMMYFUNCTION("""COMPUTED_VALUE"""),"")</f>
        <v/>
      </c>
      <c r="R1473" s="19"/>
      <c r="S1473" s="20"/>
      <c r="BP1473" s="10"/>
      <c r="BW1473" s="10"/>
      <c r="CF1473" s="10"/>
      <c r="CM1473" s="10"/>
      <c r="CP1473" s="18" t="str">
        <f ca="1"/>
        <v/>
      </c>
      <c r="CQ1473" s="18" t="str">
        <f ca="1"/>
        <v/>
      </c>
      <c r="CR1473" s="18" t="str">
        <f ca="1"/>
        <v/>
      </c>
      <c r="CS1473" s="18" t="str">
        <f ca="1"/>
        <v/>
      </c>
      <c r="CT1473" s="18" t="str">
        <f ca="1"/>
        <v/>
      </c>
      <c r="CV1473" s="10"/>
      <c r="CY1473" s="18" t="str">
        <f ca="1"/>
        <v/>
      </c>
      <c r="CZ1473" s="18" t="str">
        <f ca="1"/>
        <v/>
      </c>
      <c r="DA1473" s="18" t="str">
        <f ca="1"/>
        <v/>
      </c>
      <c r="DC1473" s="10"/>
    </row>
    <row r="1474" spans="1:107" x14ac:dyDescent="0.25">
      <c r="A1474" s="46"/>
      <c r="B1474" s="52"/>
      <c r="C1474" s="52"/>
      <c r="D1474" s="16"/>
      <c r="E1474" s="52"/>
      <c r="F1474" s="52"/>
      <c r="G1474" s="50"/>
      <c r="H1474" s="17" t="str">
        <f ca="1">IFERROR(__xludf.DUMMYFUNCTION("""COMPUTED_VALUE"""),"")</f>
        <v/>
      </c>
      <c r="I1474" s="50" t="s">
        <v>29</v>
      </c>
      <c r="J1474" s="50" t="s">
        <v>29</v>
      </c>
      <c r="K1474" s="50" t="s">
        <v>29</v>
      </c>
      <c r="L1474" s="50" t="s">
        <v>29</v>
      </c>
      <c r="M1474" s="50" t="s">
        <v>29</v>
      </c>
      <c r="N1474" s="49"/>
      <c r="P1474" s="19"/>
      <c r="Q1474" s="18" t="str">
        <f ca="1">IFERROR(__xludf.DUMMYFUNCTION("""COMPUTED_VALUE"""),"")</f>
        <v/>
      </c>
      <c r="R1474" s="19"/>
      <c r="S1474" s="20"/>
      <c r="BP1474" s="10"/>
      <c r="BW1474" s="10"/>
      <c r="CF1474" s="10"/>
      <c r="CM1474" s="10"/>
      <c r="CP1474" s="18" t="str">
        <f ca="1"/>
        <v/>
      </c>
      <c r="CQ1474" s="18" t="str">
        <f ca="1"/>
        <v/>
      </c>
      <c r="CR1474" s="18" t="str">
        <f ca="1"/>
        <v/>
      </c>
      <c r="CS1474" s="18" t="str">
        <f ca="1"/>
        <v/>
      </c>
      <c r="CT1474" s="18" t="str">
        <f ca="1"/>
        <v/>
      </c>
      <c r="CV1474" s="10"/>
      <c r="CY1474" s="18" t="str">
        <f ca="1"/>
        <v/>
      </c>
      <c r="CZ1474" s="18" t="str">
        <f ca="1"/>
        <v/>
      </c>
      <c r="DA1474" s="18" t="str">
        <f ca="1"/>
        <v/>
      </c>
      <c r="DC1474" s="10"/>
    </row>
    <row r="1475" spans="1:107" x14ac:dyDescent="0.25">
      <c r="A1475" s="46"/>
      <c r="B1475" s="52"/>
      <c r="C1475" s="52"/>
      <c r="D1475" s="16"/>
      <c r="E1475" s="52"/>
      <c r="F1475" s="52"/>
      <c r="G1475" s="50"/>
      <c r="H1475" s="17" t="str">
        <f ca="1">IFERROR(__xludf.DUMMYFUNCTION("""COMPUTED_VALUE"""),"")</f>
        <v/>
      </c>
      <c r="I1475" s="50" t="s">
        <v>29</v>
      </c>
      <c r="J1475" s="50" t="s">
        <v>29</v>
      </c>
      <c r="K1475" s="50" t="s">
        <v>29</v>
      </c>
      <c r="L1475" s="50" t="s">
        <v>29</v>
      </c>
      <c r="M1475" s="50" t="s">
        <v>29</v>
      </c>
      <c r="N1475" s="49"/>
      <c r="P1475" s="19"/>
      <c r="Q1475" s="18" t="str">
        <f ca="1">IFERROR(__xludf.DUMMYFUNCTION("""COMPUTED_VALUE"""),"")</f>
        <v/>
      </c>
      <c r="R1475" s="19"/>
      <c r="S1475" s="20"/>
      <c r="BP1475" s="10"/>
      <c r="BW1475" s="10"/>
      <c r="CF1475" s="10"/>
      <c r="CM1475" s="10"/>
      <c r="CP1475" s="18" t="str">
        <f ca="1"/>
        <v/>
      </c>
      <c r="CQ1475" s="18" t="str">
        <f ca="1"/>
        <v/>
      </c>
      <c r="CR1475" s="18" t="str">
        <f ca="1"/>
        <v/>
      </c>
      <c r="CS1475" s="18" t="str">
        <f ca="1"/>
        <v/>
      </c>
      <c r="CT1475" s="18" t="str">
        <f ca="1"/>
        <v/>
      </c>
      <c r="CV1475" s="10"/>
      <c r="CY1475" s="18" t="str">
        <f ca="1"/>
        <v/>
      </c>
      <c r="CZ1475" s="18" t="str">
        <f ca="1"/>
        <v/>
      </c>
      <c r="DA1475" s="18" t="str">
        <f ca="1"/>
        <v/>
      </c>
      <c r="DC1475" s="10"/>
    </row>
    <row r="1476" spans="1:107" x14ac:dyDescent="0.25">
      <c r="A1476" s="46"/>
      <c r="B1476" s="52"/>
      <c r="C1476" s="52"/>
      <c r="D1476" s="16"/>
      <c r="E1476" s="52"/>
      <c r="F1476" s="52"/>
      <c r="G1476" s="50"/>
      <c r="H1476" s="17" t="str">
        <f ca="1">IFERROR(__xludf.DUMMYFUNCTION("""COMPUTED_VALUE"""),"")</f>
        <v/>
      </c>
      <c r="I1476" s="50" t="s">
        <v>29</v>
      </c>
      <c r="J1476" s="50" t="s">
        <v>29</v>
      </c>
      <c r="K1476" s="50" t="s">
        <v>29</v>
      </c>
      <c r="L1476" s="50" t="s">
        <v>29</v>
      </c>
      <c r="M1476" s="50" t="s">
        <v>29</v>
      </c>
      <c r="N1476" s="49"/>
      <c r="P1476" s="19"/>
      <c r="Q1476" s="18" t="str">
        <f ca="1">IFERROR(__xludf.DUMMYFUNCTION("""COMPUTED_VALUE"""),"")</f>
        <v/>
      </c>
      <c r="R1476" s="19"/>
      <c r="S1476" s="20"/>
      <c r="BP1476" s="10"/>
      <c r="BW1476" s="10"/>
      <c r="CF1476" s="10"/>
      <c r="CM1476" s="10"/>
      <c r="CP1476" s="18" t="str">
        <f ca="1"/>
        <v/>
      </c>
      <c r="CQ1476" s="18" t="str">
        <f ca="1"/>
        <v/>
      </c>
      <c r="CR1476" s="18" t="str">
        <f ca="1"/>
        <v/>
      </c>
      <c r="CS1476" s="18" t="str">
        <f ca="1"/>
        <v/>
      </c>
      <c r="CT1476" s="18" t="str">
        <f ca="1"/>
        <v/>
      </c>
      <c r="CV1476" s="10"/>
      <c r="CY1476" s="18" t="str">
        <f ca="1"/>
        <v/>
      </c>
      <c r="CZ1476" s="18" t="str">
        <f ca="1"/>
        <v/>
      </c>
      <c r="DA1476" s="18" t="str">
        <f ca="1"/>
        <v/>
      </c>
      <c r="DC1476" s="10"/>
    </row>
    <row r="1477" spans="1:107" x14ac:dyDescent="0.25">
      <c r="A1477" s="46"/>
      <c r="B1477" s="52"/>
      <c r="C1477" s="52"/>
      <c r="D1477" s="16"/>
      <c r="E1477" s="52"/>
      <c r="F1477" s="52"/>
      <c r="G1477" s="50"/>
      <c r="H1477" s="17" t="str">
        <f ca="1">IFERROR(__xludf.DUMMYFUNCTION("""COMPUTED_VALUE"""),"")</f>
        <v/>
      </c>
      <c r="I1477" s="50" t="s">
        <v>29</v>
      </c>
      <c r="J1477" s="50" t="s">
        <v>29</v>
      </c>
      <c r="K1477" s="50" t="s">
        <v>29</v>
      </c>
      <c r="L1477" s="50" t="s">
        <v>29</v>
      </c>
      <c r="M1477" s="50" t="s">
        <v>29</v>
      </c>
      <c r="N1477" s="49"/>
      <c r="P1477" s="19"/>
      <c r="Q1477" s="18" t="str">
        <f ca="1">IFERROR(__xludf.DUMMYFUNCTION("""COMPUTED_VALUE"""),"")</f>
        <v/>
      </c>
      <c r="R1477" s="19"/>
      <c r="S1477" s="20"/>
      <c r="BP1477" s="10"/>
      <c r="BW1477" s="10"/>
      <c r="CF1477" s="10"/>
      <c r="CM1477" s="10"/>
      <c r="CP1477" s="18" t="str">
        <f ca="1"/>
        <v/>
      </c>
      <c r="CQ1477" s="18" t="str">
        <f ca="1"/>
        <v/>
      </c>
      <c r="CR1477" s="18" t="str">
        <f ca="1"/>
        <v/>
      </c>
      <c r="CS1477" s="18" t="str">
        <f ca="1"/>
        <v/>
      </c>
      <c r="CT1477" s="18" t="str">
        <f ca="1"/>
        <v/>
      </c>
      <c r="CV1477" s="10"/>
      <c r="CY1477" s="18" t="str">
        <f ca="1"/>
        <v/>
      </c>
      <c r="CZ1477" s="18" t="str">
        <f ca="1"/>
        <v/>
      </c>
      <c r="DA1477" s="18" t="str">
        <f ca="1"/>
        <v/>
      </c>
      <c r="DC1477" s="10"/>
    </row>
    <row r="1478" spans="1:107" x14ac:dyDescent="0.25">
      <c r="A1478" s="46"/>
      <c r="B1478" s="52"/>
      <c r="C1478" s="52"/>
      <c r="D1478" s="16"/>
      <c r="E1478" s="52"/>
      <c r="F1478" s="52"/>
      <c r="G1478" s="50"/>
      <c r="H1478" s="17" t="str">
        <f ca="1">IFERROR(__xludf.DUMMYFUNCTION("""COMPUTED_VALUE"""),"")</f>
        <v/>
      </c>
      <c r="I1478" s="50" t="s">
        <v>29</v>
      </c>
      <c r="J1478" s="50" t="s">
        <v>29</v>
      </c>
      <c r="K1478" s="50" t="s">
        <v>29</v>
      </c>
      <c r="L1478" s="50" t="s">
        <v>29</v>
      </c>
      <c r="M1478" s="50" t="s">
        <v>29</v>
      </c>
      <c r="N1478" s="49"/>
      <c r="P1478" s="19"/>
      <c r="Q1478" s="18" t="str">
        <f ca="1">IFERROR(__xludf.DUMMYFUNCTION("""COMPUTED_VALUE"""),"")</f>
        <v/>
      </c>
      <c r="R1478" s="19"/>
      <c r="S1478" s="20"/>
      <c r="BP1478" s="10"/>
      <c r="BW1478" s="10"/>
      <c r="CF1478" s="10"/>
      <c r="CM1478" s="10"/>
      <c r="CP1478" s="18" t="str">
        <f ca="1"/>
        <v/>
      </c>
      <c r="CQ1478" s="18" t="str">
        <f ca="1"/>
        <v/>
      </c>
      <c r="CR1478" s="18" t="str">
        <f ca="1"/>
        <v/>
      </c>
      <c r="CS1478" s="18" t="str">
        <f ca="1"/>
        <v/>
      </c>
      <c r="CT1478" s="18" t="str">
        <f ca="1"/>
        <v/>
      </c>
      <c r="CV1478" s="10"/>
      <c r="CY1478" s="18" t="str">
        <f ca="1"/>
        <v/>
      </c>
      <c r="CZ1478" s="18" t="str">
        <f ca="1"/>
        <v/>
      </c>
      <c r="DA1478" s="18" t="str">
        <f ca="1"/>
        <v/>
      </c>
      <c r="DC1478" s="10"/>
    </row>
    <row r="1479" spans="1:107" x14ac:dyDescent="0.25">
      <c r="A1479" s="46"/>
      <c r="B1479" s="52"/>
      <c r="C1479" s="52"/>
      <c r="D1479" s="16"/>
      <c r="E1479" s="52"/>
      <c r="F1479" s="52"/>
      <c r="G1479" s="50"/>
      <c r="H1479" s="17" t="str">
        <f ca="1">IFERROR(__xludf.DUMMYFUNCTION("""COMPUTED_VALUE"""),"")</f>
        <v/>
      </c>
      <c r="I1479" s="50" t="s">
        <v>29</v>
      </c>
      <c r="J1479" s="50" t="s">
        <v>29</v>
      </c>
      <c r="K1479" s="50" t="s">
        <v>29</v>
      </c>
      <c r="L1479" s="50" t="s">
        <v>29</v>
      </c>
      <c r="M1479" s="50" t="s">
        <v>29</v>
      </c>
      <c r="N1479" s="49"/>
      <c r="P1479" s="19"/>
      <c r="Q1479" s="18" t="str">
        <f ca="1">IFERROR(__xludf.DUMMYFUNCTION("""COMPUTED_VALUE"""),"")</f>
        <v/>
      </c>
      <c r="R1479" s="19"/>
      <c r="S1479" s="20"/>
      <c r="BP1479" s="10"/>
      <c r="BW1479" s="10"/>
      <c r="CF1479" s="10"/>
      <c r="CM1479" s="10"/>
      <c r="CP1479" s="18" t="str">
        <f ca="1"/>
        <v/>
      </c>
      <c r="CQ1479" s="18" t="str">
        <f ca="1"/>
        <v/>
      </c>
      <c r="CR1479" s="18" t="str">
        <f ca="1"/>
        <v/>
      </c>
      <c r="CS1479" s="18" t="str">
        <f ca="1"/>
        <v/>
      </c>
      <c r="CT1479" s="18" t="str">
        <f ca="1"/>
        <v/>
      </c>
      <c r="CV1479" s="10"/>
      <c r="CY1479" s="18" t="str">
        <f ca="1"/>
        <v/>
      </c>
      <c r="CZ1479" s="18" t="str">
        <f ca="1"/>
        <v/>
      </c>
      <c r="DA1479" s="18" t="str">
        <f ca="1"/>
        <v/>
      </c>
      <c r="DC1479" s="10"/>
    </row>
    <row r="1480" spans="1:107" x14ac:dyDescent="0.25">
      <c r="A1480" s="46"/>
      <c r="B1480" s="52"/>
      <c r="C1480" s="52"/>
      <c r="D1480" s="16"/>
      <c r="E1480" s="52"/>
      <c r="F1480" s="52"/>
      <c r="G1480" s="50"/>
      <c r="H1480" s="17" t="str">
        <f ca="1">IFERROR(__xludf.DUMMYFUNCTION("""COMPUTED_VALUE"""),"")</f>
        <v/>
      </c>
      <c r="I1480" s="50" t="s">
        <v>29</v>
      </c>
      <c r="J1480" s="50" t="s">
        <v>29</v>
      </c>
      <c r="K1480" s="50" t="s">
        <v>29</v>
      </c>
      <c r="L1480" s="50" t="s">
        <v>29</v>
      </c>
      <c r="M1480" s="50" t="s">
        <v>29</v>
      </c>
      <c r="N1480" s="49"/>
      <c r="P1480" s="19"/>
      <c r="Q1480" s="18" t="str">
        <f ca="1">IFERROR(__xludf.DUMMYFUNCTION("""COMPUTED_VALUE"""),"")</f>
        <v/>
      </c>
      <c r="R1480" s="19"/>
      <c r="S1480" s="20"/>
      <c r="BP1480" s="10"/>
      <c r="BW1480" s="10"/>
      <c r="CF1480" s="10"/>
      <c r="CM1480" s="10"/>
      <c r="CP1480" s="18" t="str">
        <f ca="1"/>
        <v/>
      </c>
      <c r="CQ1480" s="18" t="str">
        <f ca="1"/>
        <v/>
      </c>
      <c r="CR1480" s="18" t="str">
        <f ca="1"/>
        <v/>
      </c>
      <c r="CS1480" s="18" t="str">
        <f ca="1"/>
        <v/>
      </c>
      <c r="CT1480" s="18" t="str">
        <f ca="1"/>
        <v/>
      </c>
      <c r="CV1480" s="10"/>
      <c r="CY1480" s="18" t="str">
        <f ca="1"/>
        <v/>
      </c>
      <c r="CZ1480" s="18" t="str">
        <f ca="1"/>
        <v/>
      </c>
      <c r="DA1480" s="18" t="str">
        <f ca="1"/>
        <v/>
      </c>
      <c r="DC1480" s="10"/>
    </row>
    <row r="1481" spans="1:107" x14ac:dyDescent="0.25">
      <c r="A1481" s="46"/>
      <c r="B1481" s="52"/>
      <c r="C1481" s="52"/>
      <c r="D1481" s="16"/>
      <c r="E1481" s="52"/>
      <c r="F1481" s="52"/>
      <c r="G1481" s="50"/>
      <c r="H1481" s="17" t="str">
        <f ca="1">IFERROR(__xludf.DUMMYFUNCTION("""COMPUTED_VALUE"""),"")</f>
        <v/>
      </c>
      <c r="I1481" s="50" t="s">
        <v>29</v>
      </c>
      <c r="J1481" s="50" t="s">
        <v>29</v>
      </c>
      <c r="K1481" s="50" t="s">
        <v>29</v>
      </c>
      <c r="L1481" s="50" t="s">
        <v>29</v>
      </c>
      <c r="M1481" s="50" t="s">
        <v>29</v>
      </c>
      <c r="N1481" s="49"/>
      <c r="P1481" s="19"/>
      <c r="Q1481" s="18" t="str">
        <f ca="1">IFERROR(__xludf.DUMMYFUNCTION("""COMPUTED_VALUE"""),"")</f>
        <v/>
      </c>
      <c r="R1481" s="19"/>
      <c r="S1481" s="20"/>
      <c r="BP1481" s="10"/>
      <c r="BW1481" s="10"/>
      <c r="CF1481" s="10"/>
      <c r="CM1481" s="10"/>
      <c r="CP1481" s="18" t="str">
        <f ca="1"/>
        <v/>
      </c>
      <c r="CQ1481" s="18" t="str">
        <f ca="1"/>
        <v/>
      </c>
      <c r="CR1481" s="18" t="str">
        <f ca="1"/>
        <v/>
      </c>
      <c r="CS1481" s="18" t="str">
        <f ca="1"/>
        <v/>
      </c>
      <c r="CT1481" s="18" t="str">
        <f ca="1"/>
        <v/>
      </c>
      <c r="CV1481" s="10"/>
      <c r="CY1481" s="18" t="str">
        <f ca="1"/>
        <v/>
      </c>
      <c r="CZ1481" s="18" t="str">
        <f ca="1"/>
        <v/>
      </c>
      <c r="DA1481" s="18" t="str">
        <f ca="1"/>
        <v/>
      </c>
      <c r="DC1481" s="10"/>
    </row>
    <row r="1482" spans="1:107" x14ac:dyDescent="0.25">
      <c r="A1482" s="46"/>
      <c r="B1482" s="52"/>
      <c r="C1482" s="52"/>
      <c r="D1482" s="16"/>
      <c r="E1482" s="52"/>
      <c r="F1482" s="52"/>
      <c r="G1482" s="50"/>
      <c r="H1482" s="17" t="str">
        <f ca="1">IFERROR(__xludf.DUMMYFUNCTION("""COMPUTED_VALUE"""),"")</f>
        <v/>
      </c>
      <c r="I1482" s="50" t="s">
        <v>29</v>
      </c>
      <c r="J1482" s="50" t="s">
        <v>29</v>
      </c>
      <c r="K1482" s="50" t="s">
        <v>29</v>
      </c>
      <c r="L1482" s="50" t="s">
        <v>29</v>
      </c>
      <c r="M1482" s="50" t="s">
        <v>29</v>
      </c>
      <c r="N1482" s="49"/>
      <c r="P1482" s="19"/>
      <c r="Q1482" s="18" t="str">
        <f ca="1">IFERROR(__xludf.DUMMYFUNCTION("""COMPUTED_VALUE"""),"")</f>
        <v/>
      </c>
      <c r="R1482" s="19"/>
      <c r="S1482" s="20"/>
      <c r="BP1482" s="10"/>
      <c r="BW1482" s="10"/>
      <c r="CF1482" s="10"/>
      <c r="CM1482" s="10"/>
      <c r="CP1482" s="18" t="str">
        <f ca="1"/>
        <v/>
      </c>
      <c r="CQ1482" s="18" t="str">
        <f ca="1"/>
        <v/>
      </c>
      <c r="CR1482" s="18" t="str">
        <f ca="1"/>
        <v/>
      </c>
      <c r="CS1482" s="18" t="str">
        <f ca="1"/>
        <v/>
      </c>
      <c r="CT1482" s="18" t="str">
        <f ca="1"/>
        <v/>
      </c>
      <c r="CV1482" s="10"/>
      <c r="CY1482" s="18" t="str">
        <f ca="1"/>
        <v/>
      </c>
      <c r="CZ1482" s="18" t="str">
        <f ca="1"/>
        <v/>
      </c>
      <c r="DA1482" s="18" t="str">
        <f ca="1"/>
        <v/>
      </c>
      <c r="DC1482" s="10"/>
    </row>
    <row r="1483" spans="1:107" x14ac:dyDescent="0.25">
      <c r="A1483" s="46"/>
      <c r="B1483" s="52"/>
      <c r="C1483" s="52"/>
      <c r="D1483" s="16"/>
      <c r="E1483" s="52"/>
      <c r="F1483" s="52"/>
      <c r="G1483" s="50"/>
      <c r="H1483" s="17" t="str">
        <f ca="1">IFERROR(__xludf.DUMMYFUNCTION("""COMPUTED_VALUE"""),"")</f>
        <v/>
      </c>
      <c r="I1483" s="50" t="s">
        <v>29</v>
      </c>
      <c r="J1483" s="50" t="s">
        <v>29</v>
      </c>
      <c r="K1483" s="50" t="s">
        <v>29</v>
      </c>
      <c r="L1483" s="50" t="s">
        <v>29</v>
      </c>
      <c r="M1483" s="50" t="s">
        <v>29</v>
      </c>
      <c r="N1483" s="49"/>
      <c r="P1483" s="19"/>
      <c r="Q1483" s="18" t="str">
        <f ca="1">IFERROR(__xludf.DUMMYFUNCTION("""COMPUTED_VALUE"""),"")</f>
        <v/>
      </c>
      <c r="R1483" s="19"/>
      <c r="S1483" s="20"/>
      <c r="BP1483" s="10"/>
      <c r="BW1483" s="10"/>
      <c r="CF1483" s="10"/>
      <c r="CM1483" s="10"/>
      <c r="CP1483" s="18" t="str">
        <f ca="1"/>
        <v/>
      </c>
      <c r="CQ1483" s="18" t="str">
        <f ca="1"/>
        <v/>
      </c>
      <c r="CR1483" s="18" t="str">
        <f ca="1"/>
        <v/>
      </c>
      <c r="CS1483" s="18" t="str">
        <f ca="1"/>
        <v/>
      </c>
      <c r="CT1483" s="18" t="str">
        <f ca="1"/>
        <v/>
      </c>
      <c r="CV1483" s="10"/>
      <c r="CY1483" s="18" t="str">
        <f ca="1"/>
        <v/>
      </c>
      <c r="CZ1483" s="18" t="str">
        <f ca="1"/>
        <v/>
      </c>
      <c r="DA1483" s="18" t="str">
        <f ca="1"/>
        <v/>
      </c>
      <c r="DC1483" s="10"/>
    </row>
    <row r="1484" spans="1:107" x14ac:dyDescent="0.25">
      <c r="A1484" s="46"/>
      <c r="B1484" s="52"/>
      <c r="C1484" s="52"/>
      <c r="D1484" s="16"/>
      <c r="E1484" s="52"/>
      <c r="F1484" s="52"/>
      <c r="G1484" s="50"/>
      <c r="H1484" s="17" t="str">
        <f ca="1">IFERROR(__xludf.DUMMYFUNCTION("""COMPUTED_VALUE"""),"")</f>
        <v/>
      </c>
      <c r="I1484" s="50" t="s">
        <v>29</v>
      </c>
      <c r="J1484" s="50" t="s">
        <v>29</v>
      </c>
      <c r="K1484" s="50" t="s">
        <v>29</v>
      </c>
      <c r="L1484" s="50" t="s">
        <v>29</v>
      </c>
      <c r="M1484" s="50" t="s">
        <v>29</v>
      </c>
      <c r="N1484" s="49"/>
      <c r="P1484" s="19"/>
      <c r="Q1484" s="18" t="str">
        <f ca="1">IFERROR(__xludf.DUMMYFUNCTION("""COMPUTED_VALUE"""),"")</f>
        <v/>
      </c>
      <c r="R1484" s="19"/>
      <c r="S1484" s="20"/>
      <c r="BP1484" s="10"/>
      <c r="BW1484" s="10"/>
      <c r="CF1484" s="10"/>
      <c r="CM1484" s="10"/>
      <c r="CP1484" s="18" t="str">
        <f ca="1"/>
        <v/>
      </c>
      <c r="CQ1484" s="18" t="str">
        <f ca="1"/>
        <v/>
      </c>
      <c r="CR1484" s="18" t="str">
        <f ca="1"/>
        <v/>
      </c>
      <c r="CS1484" s="18" t="str">
        <f ca="1"/>
        <v/>
      </c>
      <c r="CT1484" s="18" t="str">
        <f ca="1"/>
        <v/>
      </c>
      <c r="CV1484" s="10"/>
      <c r="CY1484" s="18" t="str">
        <f ca="1"/>
        <v/>
      </c>
      <c r="CZ1484" s="18" t="str">
        <f ca="1"/>
        <v/>
      </c>
      <c r="DA1484" s="18" t="str">
        <f ca="1"/>
        <v/>
      </c>
      <c r="DC1484" s="10"/>
    </row>
    <row r="1485" spans="1:107" x14ac:dyDescent="0.25">
      <c r="A1485" s="46"/>
      <c r="B1485" s="52"/>
      <c r="C1485" s="52"/>
      <c r="D1485" s="16"/>
      <c r="E1485" s="52"/>
      <c r="F1485" s="52"/>
      <c r="G1485" s="50"/>
      <c r="H1485" s="17" t="str">
        <f ca="1">IFERROR(__xludf.DUMMYFUNCTION("""COMPUTED_VALUE"""),"")</f>
        <v/>
      </c>
      <c r="I1485" s="50" t="s">
        <v>29</v>
      </c>
      <c r="J1485" s="50" t="s">
        <v>29</v>
      </c>
      <c r="K1485" s="50" t="s">
        <v>29</v>
      </c>
      <c r="L1485" s="50" t="s">
        <v>29</v>
      </c>
      <c r="M1485" s="50" t="s">
        <v>29</v>
      </c>
      <c r="N1485" s="49"/>
      <c r="P1485" s="19"/>
      <c r="Q1485" s="18" t="str">
        <f ca="1">IFERROR(__xludf.DUMMYFUNCTION("""COMPUTED_VALUE"""),"")</f>
        <v/>
      </c>
      <c r="R1485" s="19"/>
      <c r="S1485" s="20"/>
      <c r="BP1485" s="10"/>
      <c r="BW1485" s="10"/>
      <c r="CF1485" s="10"/>
      <c r="CM1485" s="10"/>
      <c r="CP1485" s="18" t="str">
        <f ca="1"/>
        <v/>
      </c>
      <c r="CQ1485" s="18" t="str">
        <f ca="1"/>
        <v/>
      </c>
      <c r="CR1485" s="18" t="str">
        <f ca="1"/>
        <v/>
      </c>
      <c r="CS1485" s="18" t="str">
        <f ca="1"/>
        <v/>
      </c>
      <c r="CT1485" s="18" t="str">
        <f ca="1"/>
        <v/>
      </c>
      <c r="CV1485" s="10"/>
      <c r="CY1485" s="18" t="str">
        <f ca="1"/>
        <v/>
      </c>
      <c r="CZ1485" s="18" t="str">
        <f ca="1"/>
        <v/>
      </c>
      <c r="DA1485" s="18" t="str">
        <f ca="1"/>
        <v/>
      </c>
      <c r="DC1485" s="10"/>
    </row>
    <row r="1486" spans="1:107" x14ac:dyDescent="0.25">
      <c r="A1486" s="46"/>
      <c r="B1486" s="52"/>
      <c r="C1486" s="52"/>
      <c r="D1486" s="16"/>
      <c r="E1486" s="52"/>
      <c r="F1486" s="52"/>
      <c r="G1486" s="50"/>
      <c r="H1486" s="17" t="str">
        <f ca="1">IFERROR(__xludf.DUMMYFUNCTION("""COMPUTED_VALUE"""),"")</f>
        <v/>
      </c>
      <c r="I1486" s="50" t="s">
        <v>29</v>
      </c>
      <c r="J1486" s="50" t="s">
        <v>29</v>
      </c>
      <c r="K1486" s="50" t="s">
        <v>29</v>
      </c>
      <c r="L1486" s="50" t="s">
        <v>29</v>
      </c>
      <c r="M1486" s="50" t="s">
        <v>29</v>
      </c>
      <c r="N1486" s="49"/>
      <c r="P1486" s="19"/>
      <c r="Q1486" s="18" t="str">
        <f ca="1">IFERROR(__xludf.DUMMYFUNCTION("""COMPUTED_VALUE"""),"")</f>
        <v/>
      </c>
      <c r="R1486" s="19"/>
      <c r="S1486" s="20"/>
      <c r="BP1486" s="10"/>
      <c r="BW1486" s="10"/>
      <c r="CF1486" s="10"/>
      <c r="CM1486" s="10"/>
      <c r="CP1486" s="18" t="str">
        <f ca="1"/>
        <v/>
      </c>
      <c r="CQ1486" s="18" t="str">
        <f ca="1"/>
        <v/>
      </c>
      <c r="CR1486" s="18" t="str">
        <f ca="1"/>
        <v/>
      </c>
      <c r="CS1486" s="18" t="str">
        <f ca="1"/>
        <v/>
      </c>
      <c r="CT1486" s="18" t="str">
        <f ca="1"/>
        <v/>
      </c>
      <c r="CV1486" s="10"/>
      <c r="CY1486" s="18" t="str">
        <f ca="1"/>
        <v/>
      </c>
      <c r="CZ1486" s="18" t="str">
        <f ca="1"/>
        <v/>
      </c>
      <c r="DA1486" s="18" t="str">
        <f ca="1"/>
        <v/>
      </c>
      <c r="DC1486" s="10"/>
    </row>
    <row r="1487" spans="1:107" x14ac:dyDescent="0.25">
      <c r="A1487" s="46"/>
      <c r="B1487" s="52"/>
      <c r="C1487" s="52"/>
      <c r="D1487" s="16"/>
      <c r="E1487" s="52"/>
      <c r="F1487" s="52"/>
      <c r="G1487" s="50"/>
      <c r="H1487" s="17" t="str">
        <f ca="1">IFERROR(__xludf.DUMMYFUNCTION("""COMPUTED_VALUE"""),"")</f>
        <v/>
      </c>
      <c r="I1487" s="50" t="s">
        <v>29</v>
      </c>
      <c r="J1487" s="50" t="s">
        <v>29</v>
      </c>
      <c r="K1487" s="50" t="s">
        <v>29</v>
      </c>
      <c r="L1487" s="50" t="s">
        <v>29</v>
      </c>
      <c r="M1487" s="50" t="s">
        <v>29</v>
      </c>
      <c r="N1487" s="49"/>
      <c r="P1487" s="19"/>
      <c r="Q1487" s="18" t="str">
        <f ca="1">IFERROR(__xludf.DUMMYFUNCTION("""COMPUTED_VALUE"""),"")</f>
        <v/>
      </c>
      <c r="R1487" s="19"/>
      <c r="S1487" s="20"/>
      <c r="BP1487" s="10"/>
      <c r="BW1487" s="10"/>
      <c r="CF1487" s="10"/>
      <c r="CM1487" s="10"/>
      <c r="CP1487" s="18" t="str">
        <f ca="1"/>
        <v/>
      </c>
      <c r="CQ1487" s="18" t="str">
        <f ca="1"/>
        <v/>
      </c>
      <c r="CR1487" s="18" t="str">
        <f ca="1"/>
        <v/>
      </c>
      <c r="CS1487" s="18" t="str">
        <f ca="1"/>
        <v/>
      </c>
      <c r="CT1487" s="18" t="str">
        <f ca="1"/>
        <v/>
      </c>
      <c r="CV1487" s="10"/>
      <c r="CY1487" s="18" t="str">
        <f ca="1"/>
        <v/>
      </c>
      <c r="CZ1487" s="18" t="str">
        <f ca="1"/>
        <v/>
      </c>
      <c r="DA1487" s="18" t="str">
        <f ca="1"/>
        <v/>
      </c>
      <c r="DC1487" s="10"/>
    </row>
    <row r="1488" spans="1:107" x14ac:dyDescent="0.25">
      <c r="A1488" s="46"/>
      <c r="B1488" s="52"/>
      <c r="C1488" s="52"/>
      <c r="D1488" s="16"/>
      <c r="E1488" s="52"/>
      <c r="F1488" s="52"/>
      <c r="G1488" s="50"/>
      <c r="H1488" s="17" t="str">
        <f ca="1">IFERROR(__xludf.DUMMYFUNCTION("""COMPUTED_VALUE"""),"")</f>
        <v/>
      </c>
      <c r="I1488" s="50" t="s">
        <v>29</v>
      </c>
      <c r="J1488" s="50" t="s">
        <v>29</v>
      </c>
      <c r="K1488" s="50" t="s">
        <v>29</v>
      </c>
      <c r="L1488" s="50" t="s">
        <v>29</v>
      </c>
      <c r="M1488" s="50" t="s">
        <v>29</v>
      </c>
      <c r="N1488" s="49"/>
      <c r="P1488" s="19"/>
      <c r="Q1488" s="18" t="str">
        <f ca="1">IFERROR(__xludf.DUMMYFUNCTION("""COMPUTED_VALUE"""),"")</f>
        <v/>
      </c>
      <c r="R1488" s="19"/>
      <c r="S1488" s="20"/>
      <c r="BP1488" s="10"/>
      <c r="BW1488" s="10"/>
      <c r="CF1488" s="10"/>
      <c r="CM1488" s="10"/>
      <c r="CP1488" s="18" t="str">
        <f ca="1"/>
        <v/>
      </c>
      <c r="CQ1488" s="18" t="str">
        <f ca="1"/>
        <v/>
      </c>
      <c r="CR1488" s="18" t="str">
        <f ca="1"/>
        <v/>
      </c>
      <c r="CS1488" s="18" t="str">
        <f ca="1"/>
        <v/>
      </c>
      <c r="CT1488" s="18" t="str">
        <f ca="1"/>
        <v/>
      </c>
      <c r="CV1488" s="10"/>
      <c r="CY1488" s="18" t="str">
        <f ca="1"/>
        <v/>
      </c>
      <c r="CZ1488" s="18" t="str">
        <f ca="1"/>
        <v/>
      </c>
      <c r="DA1488" s="18" t="str">
        <f ca="1"/>
        <v/>
      </c>
      <c r="DC1488" s="10"/>
    </row>
    <row r="1489" spans="1:107" x14ac:dyDescent="0.25">
      <c r="A1489" s="46"/>
      <c r="B1489" s="52"/>
      <c r="C1489" s="52"/>
      <c r="D1489" s="16"/>
      <c r="E1489" s="52"/>
      <c r="F1489" s="52"/>
      <c r="G1489" s="50"/>
      <c r="H1489" s="17" t="str">
        <f ca="1">IFERROR(__xludf.DUMMYFUNCTION("""COMPUTED_VALUE"""),"")</f>
        <v/>
      </c>
      <c r="I1489" s="50" t="s">
        <v>29</v>
      </c>
      <c r="J1489" s="50" t="s">
        <v>29</v>
      </c>
      <c r="K1489" s="50" t="s">
        <v>29</v>
      </c>
      <c r="L1489" s="50" t="s">
        <v>29</v>
      </c>
      <c r="M1489" s="50" t="s">
        <v>29</v>
      </c>
      <c r="N1489" s="49"/>
      <c r="P1489" s="19"/>
      <c r="Q1489" s="18" t="str">
        <f ca="1">IFERROR(__xludf.DUMMYFUNCTION("""COMPUTED_VALUE"""),"")</f>
        <v/>
      </c>
      <c r="R1489" s="19"/>
      <c r="S1489" s="20"/>
      <c r="BP1489" s="10"/>
      <c r="BW1489" s="10"/>
      <c r="CF1489" s="10"/>
      <c r="CM1489" s="10"/>
      <c r="CP1489" s="18" t="str">
        <f ca="1"/>
        <v/>
      </c>
      <c r="CQ1489" s="18" t="str">
        <f ca="1"/>
        <v/>
      </c>
      <c r="CR1489" s="18" t="str">
        <f ca="1"/>
        <v/>
      </c>
      <c r="CS1489" s="18" t="str">
        <f ca="1"/>
        <v/>
      </c>
      <c r="CT1489" s="18" t="str">
        <f ca="1"/>
        <v/>
      </c>
      <c r="CV1489" s="10"/>
      <c r="CY1489" s="18" t="str">
        <f ca="1"/>
        <v/>
      </c>
      <c r="CZ1489" s="18" t="str">
        <f ca="1"/>
        <v/>
      </c>
      <c r="DA1489" s="18" t="str">
        <f ca="1"/>
        <v/>
      </c>
      <c r="DC1489" s="10"/>
    </row>
    <row r="1490" spans="1:107" x14ac:dyDescent="0.25">
      <c r="A1490" s="46"/>
      <c r="B1490" s="52"/>
      <c r="C1490" s="52"/>
      <c r="D1490" s="16"/>
      <c r="E1490" s="52"/>
      <c r="F1490" s="52"/>
      <c r="G1490" s="50"/>
      <c r="H1490" s="17" t="str">
        <f ca="1">IFERROR(__xludf.DUMMYFUNCTION("""COMPUTED_VALUE"""),"")</f>
        <v/>
      </c>
      <c r="I1490" s="50" t="s">
        <v>29</v>
      </c>
      <c r="J1490" s="50" t="s">
        <v>29</v>
      </c>
      <c r="K1490" s="50" t="s">
        <v>29</v>
      </c>
      <c r="L1490" s="50" t="s">
        <v>29</v>
      </c>
      <c r="M1490" s="50" t="s">
        <v>29</v>
      </c>
      <c r="N1490" s="49"/>
      <c r="P1490" s="19"/>
      <c r="Q1490" s="18" t="str">
        <f ca="1">IFERROR(__xludf.DUMMYFUNCTION("""COMPUTED_VALUE"""),"")</f>
        <v/>
      </c>
      <c r="R1490" s="19"/>
      <c r="S1490" s="20"/>
      <c r="BP1490" s="10"/>
      <c r="BW1490" s="10"/>
      <c r="CF1490" s="10"/>
      <c r="CM1490" s="10"/>
      <c r="CP1490" s="18" t="str">
        <f ca="1"/>
        <v/>
      </c>
      <c r="CQ1490" s="18" t="str">
        <f ca="1"/>
        <v/>
      </c>
      <c r="CR1490" s="18" t="str">
        <f ca="1"/>
        <v/>
      </c>
      <c r="CS1490" s="18" t="str">
        <f ca="1"/>
        <v/>
      </c>
      <c r="CT1490" s="18" t="str">
        <f ca="1"/>
        <v/>
      </c>
      <c r="CV1490" s="10"/>
      <c r="CY1490" s="18" t="str">
        <f ca="1"/>
        <v/>
      </c>
      <c r="CZ1490" s="18" t="str">
        <f ca="1"/>
        <v/>
      </c>
      <c r="DA1490" s="18" t="str">
        <f ca="1"/>
        <v/>
      </c>
      <c r="DC1490" s="10"/>
    </row>
    <row r="1491" spans="1:107" x14ac:dyDescent="0.25">
      <c r="A1491" s="46"/>
      <c r="B1491" s="52"/>
      <c r="C1491" s="52"/>
      <c r="D1491" s="16"/>
      <c r="E1491" s="52"/>
      <c r="F1491" s="52"/>
      <c r="G1491" s="50"/>
      <c r="H1491" s="17" t="str">
        <f ca="1">IFERROR(__xludf.DUMMYFUNCTION("""COMPUTED_VALUE"""),"")</f>
        <v/>
      </c>
      <c r="I1491" s="50" t="s">
        <v>29</v>
      </c>
      <c r="J1491" s="50" t="s">
        <v>29</v>
      </c>
      <c r="K1491" s="50" t="s">
        <v>29</v>
      </c>
      <c r="L1491" s="50" t="s">
        <v>29</v>
      </c>
      <c r="M1491" s="50" t="s">
        <v>29</v>
      </c>
      <c r="N1491" s="49"/>
      <c r="P1491" s="19"/>
      <c r="Q1491" s="18" t="str">
        <f ca="1">IFERROR(__xludf.DUMMYFUNCTION("""COMPUTED_VALUE"""),"")</f>
        <v/>
      </c>
      <c r="R1491" s="19"/>
      <c r="S1491" s="20"/>
      <c r="BP1491" s="10"/>
      <c r="BW1491" s="10"/>
      <c r="CF1491" s="10"/>
      <c r="CM1491" s="10"/>
      <c r="CP1491" s="18" t="str">
        <f ca="1"/>
        <v/>
      </c>
      <c r="CQ1491" s="18" t="str">
        <f ca="1"/>
        <v/>
      </c>
      <c r="CR1491" s="18" t="str">
        <f ca="1"/>
        <v/>
      </c>
      <c r="CS1491" s="18" t="str">
        <f ca="1"/>
        <v/>
      </c>
      <c r="CT1491" s="18" t="str">
        <f ca="1"/>
        <v/>
      </c>
      <c r="CV1491" s="10"/>
      <c r="CY1491" s="18" t="str">
        <f ca="1"/>
        <v/>
      </c>
      <c r="CZ1491" s="18" t="str">
        <f ca="1"/>
        <v/>
      </c>
      <c r="DA1491" s="18" t="str">
        <f ca="1"/>
        <v/>
      </c>
      <c r="DC1491" s="10"/>
    </row>
    <row r="1492" spans="1:107" x14ac:dyDescent="0.25">
      <c r="A1492" s="46"/>
      <c r="B1492" s="52"/>
      <c r="C1492" s="52"/>
      <c r="D1492" s="16"/>
      <c r="E1492" s="52"/>
      <c r="F1492" s="52"/>
      <c r="G1492" s="50"/>
      <c r="H1492" s="17" t="str">
        <f ca="1">IFERROR(__xludf.DUMMYFUNCTION("""COMPUTED_VALUE"""),"")</f>
        <v/>
      </c>
      <c r="I1492" s="50" t="s">
        <v>29</v>
      </c>
      <c r="J1492" s="50" t="s">
        <v>29</v>
      </c>
      <c r="K1492" s="50" t="s">
        <v>29</v>
      </c>
      <c r="L1492" s="50" t="s">
        <v>29</v>
      </c>
      <c r="M1492" s="50" t="s">
        <v>29</v>
      </c>
      <c r="N1492" s="49"/>
      <c r="P1492" s="19"/>
      <c r="Q1492" s="18" t="str">
        <f ca="1">IFERROR(__xludf.DUMMYFUNCTION("""COMPUTED_VALUE"""),"")</f>
        <v/>
      </c>
      <c r="R1492" s="19"/>
      <c r="S1492" s="20"/>
      <c r="BP1492" s="10"/>
      <c r="BW1492" s="10"/>
      <c r="CF1492" s="10"/>
      <c r="CM1492" s="10"/>
      <c r="CP1492" s="18" t="str">
        <f ca="1"/>
        <v/>
      </c>
      <c r="CQ1492" s="18" t="str">
        <f ca="1"/>
        <v/>
      </c>
      <c r="CR1492" s="18" t="str">
        <f ca="1"/>
        <v/>
      </c>
      <c r="CS1492" s="18" t="str">
        <f ca="1"/>
        <v/>
      </c>
      <c r="CT1492" s="18" t="str">
        <f ca="1"/>
        <v/>
      </c>
      <c r="CV1492" s="10"/>
      <c r="CY1492" s="18" t="str">
        <f ca="1"/>
        <v/>
      </c>
      <c r="CZ1492" s="18" t="str">
        <f ca="1"/>
        <v/>
      </c>
      <c r="DA1492" s="18" t="str">
        <f ca="1"/>
        <v/>
      </c>
      <c r="DC1492" s="10"/>
    </row>
    <row r="1493" spans="1:107" x14ac:dyDescent="0.25">
      <c r="A1493" s="46"/>
      <c r="B1493" s="52"/>
      <c r="C1493" s="52"/>
      <c r="D1493" s="16"/>
      <c r="E1493" s="52"/>
      <c r="F1493" s="52"/>
      <c r="G1493" s="50"/>
      <c r="H1493" s="17" t="str">
        <f ca="1">IFERROR(__xludf.DUMMYFUNCTION("""COMPUTED_VALUE"""),"")</f>
        <v/>
      </c>
      <c r="I1493" s="50" t="s">
        <v>29</v>
      </c>
      <c r="J1493" s="50" t="s">
        <v>29</v>
      </c>
      <c r="K1493" s="50" t="s">
        <v>29</v>
      </c>
      <c r="L1493" s="50" t="s">
        <v>29</v>
      </c>
      <c r="M1493" s="50" t="s">
        <v>29</v>
      </c>
      <c r="N1493" s="49"/>
      <c r="P1493" s="19"/>
      <c r="Q1493" s="18" t="str">
        <f ca="1">IFERROR(__xludf.DUMMYFUNCTION("""COMPUTED_VALUE"""),"")</f>
        <v/>
      </c>
      <c r="R1493" s="19"/>
      <c r="S1493" s="20"/>
      <c r="BP1493" s="10"/>
      <c r="BW1493" s="10"/>
      <c r="CF1493" s="10"/>
      <c r="CM1493" s="10"/>
      <c r="CP1493" s="18" t="str">
        <f ca="1"/>
        <v/>
      </c>
      <c r="CQ1493" s="18" t="str">
        <f ca="1"/>
        <v/>
      </c>
      <c r="CR1493" s="18" t="str">
        <f ca="1"/>
        <v/>
      </c>
      <c r="CS1493" s="18" t="str">
        <f ca="1"/>
        <v/>
      </c>
      <c r="CT1493" s="18" t="str">
        <f ca="1"/>
        <v/>
      </c>
      <c r="CV1493" s="10"/>
      <c r="CY1493" s="18" t="str">
        <f ca="1"/>
        <v/>
      </c>
      <c r="CZ1493" s="18" t="str">
        <f ca="1"/>
        <v/>
      </c>
      <c r="DA1493" s="18" t="str">
        <f ca="1"/>
        <v/>
      </c>
      <c r="DC1493" s="10"/>
    </row>
    <row r="1494" spans="1:107" x14ac:dyDescent="0.25">
      <c r="A1494" s="46"/>
      <c r="B1494" s="52"/>
      <c r="C1494" s="52"/>
      <c r="D1494" s="16"/>
      <c r="E1494" s="52"/>
      <c r="F1494" s="52"/>
      <c r="G1494" s="50"/>
      <c r="H1494" s="17" t="str">
        <f ca="1">IFERROR(__xludf.DUMMYFUNCTION("""COMPUTED_VALUE"""),"")</f>
        <v/>
      </c>
      <c r="I1494" s="50" t="s">
        <v>29</v>
      </c>
      <c r="J1494" s="50" t="s">
        <v>29</v>
      </c>
      <c r="K1494" s="50" t="s">
        <v>29</v>
      </c>
      <c r="L1494" s="50" t="s">
        <v>29</v>
      </c>
      <c r="M1494" s="50" t="s">
        <v>29</v>
      </c>
      <c r="N1494" s="49"/>
      <c r="P1494" s="19"/>
      <c r="Q1494" s="18" t="str">
        <f ca="1">IFERROR(__xludf.DUMMYFUNCTION("""COMPUTED_VALUE"""),"")</f>
        <v/>
      </c>
      <c r="R1494" s="19"/>
      <c r="S1494" s="20"/>
      <c r="BP1494" s="10"/>
      <c r="BW1494" s="10"/>
      <c r="CF1494" s="10"/>
      <c r="CM1494" s="10"/>
      <c r="CP1494" s="18" t="str">
        <f ca="1"/>
        <v/>
      </c>
      <c r="CQ1494" s="18" t="str">
        <f ca="1"/>
        <v/>
      </c>
      <c r="CR1494" s="18" t="str">
        <f ca="1"/>
        <v/>
      </c>
      <c r="CS1494" s="18" t="str">
        <f ca="1"/>
        <v/>
      </c>
      <c r="CT1494" s="18" t="str">
        <f ca="1"/>
        <v/>
      </c>
      <c r="CV1494" s="10"/>
      <c r="CY1494" s="18" t="str">
        <f ca="1"/>
        <v/>
      </c>
      <c r="CZ1494" s="18" t="str">
        <f ca="1"/>
        <v/>
      </c>
      <c r="DA1494" s="18" t="str">
        <f ca="1"/>
        <v/>
      </c>
      <c r="DC1494" s="10"/>
    </row>
    <row r="1495" spans="1:107" x14ac:dyDescent="0.25">
      <c r="A1495" s="46"/>
      <c r="B1495" s="52"/>
      <c r="C1495" s="52"/>
      <c r="D1495" s="16"/>
      <c r="E1495" s="52"/>
      <c r="F1495" s="52"/>
      <c r="G1495" s="50"/>
      <c r="H1495" s="17" t="str">
        <f ca="1">IFERROR(__xludf.DUMMYFUNCTION("""COMPUTED_VALUE"""),"")</f>
        <v/>
      </c>
      <c r="I1495" s="50" t="s">
        <v>29</v>
      </c>
      <c r="J1495" s="50" t="s">
        <v>29</v>
      </c>
      <c r="K1495" s="50" t="s">
        <v>29</v>
      </c>
      <c r="L1495" s="50" t="s">
        <v>29</v>
      </c>
      <c r="M1495" s="50" t="s">
        <v>29</v>
      </c>
      <c r="N1495" s="49"/>
      <c r="P1495" s="19"/>
      <c r="Q1495" s="18" t="str">
        <f ca="1">IFERROR(__xludf.DUMMYFUNCTION("""COMPUTED_VALUE"""),"")</f>
        <v/>
      </c>
      <c r="R1495" s="19"/>
      <c r="S1495" s="20"/>
      <c r="BP1495" s="10"/>
      <c r="BW1495" s="10"/>
      <c r="CF1495" s="10"/>
      <c r="CM1495" s="10"/>
      <c r="CP1495" s="18" t="str">
        <f ca="1"/>
        <v/>
      </c>
      <c r="CQ1495" s="18" t="str">
        <f ca="1"/>
        <v/>
      </c>
      <c r="CR1495" s="18" t="str">
        <f ca="1"/>
        <v/>
      </c>
      <c r="CS1495" s="18" t="str">
        <f ca="1"/>
        <v/>
      </c>
      <c r="CT1495" s="18" t="str">
        <f ca="1"/>
        <v/>
      </c>
      <c r="CV1495" s="10"/>
      <c r="CY1495" s="18" t="str">
        <f ca="1"/>
        <v/>
      </c>
      <c r="CZ1495" s="18" t="str">
        <f ca="1"/>
        <v/>
      </c>
      <c r="DA1495" s="18" t="str">
        <f ca="1"/>
        <v/>
      </c>
      <c r="DC1495" s="10"/>
    </row>
    <row r="1496" spans="1:107" x14ac:dyDescent="0.25">
      <c r="A1496" s="46"/>
      <c r="B1496" s="52"/>
      <c r="C1496" s="52"/>
      <c r="D1496" s="16"/>
      <c r="E1496" s="52"/>
      <c r="F1496" s="52"/>
      <c r="G1496" s="50"/>
      <c r="H1496" s="17" t="str">
        <f ca="1">IFERROR(__xludf.DUMMYFUNCTION("""COMPUTED_VALUE"""),"")</f>
        <v/>
      </c>
      <c r="I1496" s="50" t="s">
        <v>29</v>
      </c>
      <c r="J1496" s="50" t="s">
        <v>29</v>
      </c>
      <c r="K1496" s="50" t="s">
        <v>29</v>
      </c>
      <c r="L1496" s="50" t="s">
        <v>29</v>
      </c>
      <c r="M1496" s="50" t="s">
        <v>29</v>
      </c>
      <c r="N1496" s="49"/>
      <c r="P1496" s="19"/>
      <c r="Q1496" s="18" t="str">
        <f ca="1">IFERROR(__xludf.DUMMYFUNCTION("""COMPUTED_VALUE"""),"")</f>
        <v/>
      </c>
      <c r="R1496" s="19"/>
      <c r="S1496" s="20"/>
      <c r="BP1496" s="10"/>
      <c r="BW1496" s="10"/>
      <c r="CF1496" s="10"/>
      <c r="CM1496" s="10"/>
      <c r="CP1496" s="18" t="str">
        <f ca="1"/>
        <v/>
      </c>
      <c r="CQ1496" s="18" t="str">
        <f ca="1"/>
        <v/>
      </c>
      <c r="CR1496" s="18" t="str">
        <f ca="1"/>
        <v/>
      </c>
      <c r="CS1496" s="18" t="str">
        <f ca="1"/>
        <v/>
      </c>
      <c r="CT1496" s="18" t="str">
        <f ca="1"/>
        <v/>
      </c>
      <c r="CV1496" s="10"/>
      <c r="CY1496" s="18" t="str">
        <f ca="1"/>
        <v/>
      </c>
      <c r="CZ1496" s="18" t="str">
        <f ca="1"/>
        <v/>
      </c>
      <c r="DA1496" s="18" t="str">
        <f ca="1"/>
        <v/>
      </c>
      <c r="DC1496" s="10"/>
    </row>
    <row r="1497" spans="1:107" x14ac:dyDescent="0.25">
      <c r="A1497" s="46"/>
      <c r="B1497" s="52"/>
      <c r="C1497" s="52"/>
      <c r="D1497" s="16"/>
      <c r="E1497" s="52"/>
      <c r="F1497" s="52"/>
      <c r="G1497" s="50"/>
      <c r="H1497" s="17" t="str">
        <f ca="1">IFERROR(__xludf.DUMMYFUNCTION("""COMPUTED_VALUE"""),"")</f>
        <v/>
      </c>
      <c r="I1497" s="50" t="s">
        <v>29</v>
      </c>
      <c r="J1497" s="50" t="s">
        <v>29</v>
      </c>
      <c r="K1497" s="50" t="s">
        <v>29</v>
      </c>
      <c r="L1497" s="50" t="s">
        <v>29</v>
      </c>
      <c r="M1497" s="50" t="s">
        <v>29</v>
      </c>
      <c r="N1497" s="49"/>
      <c r="P1497" s="19"/>
      <c r="Q1497" s="18" t="str">
        <f ca="1">IFERROR(__xludf.DUMMYFUNCTION("""COMPUTED_VALUE"""),"")</f>
        <v/>
      </c>
      <c r="R1497" s="19"/>
      <c r="S1497" s="20"/>
      <c r="BP1497" s="10"/>
      <c r="BW1497" s="10"/>
      <c r="CF1497" s="10"/>
      <c r="CM1497" s="10"/>
      <c r="CP1497" s="18" t="str">
        <f ca="1"/>
        <v/>
      </c>
      <c r="CQ1497" s="18" t="str">
        <f ca="1"/>
        <v/>
      </c>
      <c r="CR1497" s="18" t="str">
        <f ca="1"/>
        <v/>
      </c>
      <c r="CS1497" s="18" t="str">
        <f ca="1"/>
        <v/>
      </c>
      <c r="CT1497" s="18" t="str">
        <f ca="1"/>
        <v/>
      </c>
      <c r="CV1497" s="10"/>
      <c r="CY1497" s="18" t="str">
        <f ca="1"/>
        <v/>
      </c>
      <c r="CZ1497" s="18" t="str">
        <f ca="1"/>
        <v/>
      </c>
      <c r="DA1497" s="18" t="str">
        <f ca="1"/>
        <v/>
      </c>
      <c r="DC1497" s="10"/>
    </row>
    <row r="1498" spans="1:107" x14ac:dyDescent="0.25">
      <c r="A1498" s="46"/>
      <c r="B1498" s="52"/>
      <c r="C1498" s="52"/>
      <c r="D1498" s="16"/>
      <c r="E1498" s="52"/>
      <c r="F1498" s="52"/>
      <c r="G1498" s="50"/>
      <c r="H1498" s="17" t="str">
        <f ca="1">IFERROR(__xludf.DUMMYFUNCTION("""COMPUTED_VALUE"""),"")</f>
        <v/>
      </c>
      <c r="I1498" s="50" t="s">
        <v>29</v>
      </c>
      <c r="J1498" s="50" t="s">
        <v>29</v>
      </c>
      <c r="K1498" s="50" t="s">
        <v>29</v>
      </c>
      <c r="L1498" s="50" t="s">
        <v>29</v>
      </c>
      <c r="M1498" s="50" t="s">
        <v>29</v>
      </c>
      <c r="N1498" s="49"/>
      <c r="P1498" s="19"/>
      <c r="Q1498" s="18" t="str">
        <f ca="1">IFERROR(__xludf.DUMMYFUNCTION("""COMPUTED_VALUE"""),"")</f>
        <v/>
      </c>
      <c r="R1498" s="19"/>
      <c r="S1498" s="20"/>
      <c r="BP1498" s="10"/>
      <c r="BW1498" s="10"/>
      <c r="CF1498" s="10"/>
      <c r="CM1498" s="10"/>
      <c r="CP1498" s="18" t="str">
        <f ca="1"/>
        <v/>
      </c>
      <c r="CQ1498" s="18" t="str">
        <f ca="1"/>
        <v/>
      </c>
      <c r="CR1498" s="18" t="str">
        <f ca="1"/>
        <v/>
      </c>
      <c r="CS1498" s="18" t="str">
        <f ca="1"/>
        <v/>
      </c>
      <c r="CT1498" s="18" t="str">
        <f ca="1"/>
        <v/>
      </c>
      <c r="CV1498" s="10"/>
      <c r="CY1498" s="18" t="str">
        <f ca="1"/>
        <v/>
      </c>
      <c r="CZ1498" s="18" t="str">
        <f ca="1"/>
        <v/>
      </c>
      <c r="DA1498" s="18" t="str">
        <f ca="1"/>
        <v/>
      </c>
      <c r="DC1498" s="10"/>
    </row>
    <row r="1499" spans="1:107" x14ac:dyDescent="0.25">
      <c r="A1499" s="46"/>
      <c r="B1499" s="52"/>
      <c r="C1499" s="52"/>
      <c r="D1499" s="16"/>
      <c r="E1499" s="52"/>
      <c r="F1499" s="52"/>
      <c r="G1499" s="50"/>
      <c r="H1499" s="17" t="str">
        <f ca="1">IFERROR(__xludf.DUMMYFUNCTION("""COMPUTED_VALUE"""),"")</f>
        <v/>
      </c>
      <c r="I1499" s="50" t="s">
        <v>29</v>
      </c>
      <c r="J1499" s="50" t="s">
        <v>29</v>
      </c>
      <c r="K1499" s="50" t="s">
        <v>29</v>
      </c>
      <c r="L1499" s="50" t="s">
        <v>29</v>
      </c>
      <c r="M1499" s="50" t="s">
        <v>29</v>
      </c>
      <c r="N1499" s="49"/>
      <c r="P1499" s="19"/>
      <c r="Q1499" s="18" t="str">
        <f ca="1">IFERROR(__xludf.DUMMYFUNCTION("""COMPUTED_VALUE"""),"")</f>
        <v/>
      </c>
      <c r="R1499" s="19"/>
      <c r="S1499" s="20"/>
      <c r="BP1499" s="10"/>
      <c r="BW1499" s="10"/>
      <c r="CF1499" s="10"/>
      <c r="CM1499" s="10"/>
      <c r="CP1499" s="18" t="str">
        <f ca="1"/>
        <v/>
      </c>
      <c r="CQ1499" s="18" t="str">
        <f ca="1"/>
        <v/>
      </c>
      <c r="CR1499" s="18" t="str">
        <f ca="1"/>
        <v/>
      </c>
      <c r="CS1499" s="18" t="str">
        <f ca="1"/>
        <v/>
      </c>
      <c r="CT1499" s="18" t="str">
        <f ca="1"/>
        <v/>
      </c>
      <c r="CV1499" s="10"/>
      <c r="CY1499" s="18" t="str">
        <f ca="1"/>
        <v/>
      </c>
      <c r="CZ1499" s="18" t="str">
        <f ca="1"/>
        <v/>
      </c>
      <c r="DA1499" s="18" t="str">
        <f ca="1"/>
        <v/>
      </c>
      <c r="DC1499" s="10"/>
    </row>
    <row r="1500" spans="1:107" x14ac:dyDescent="0.25">
      <c r="A1500" s="46"/>
      <c r="B1500" s="52"/>
      <c r="C1500" s="52"/>
      <c r="D1500" s="16"/>
      <c r="E1500" s="52"/>
      <c r="F1500" s="52"/>
      <c r="G1500" s="50"/>
      <c r="H1500" s="17" t="str">
        <f ca="1">IFERROR(__xludf.DUMMYFUNCTION("""COMPUTED_VALUE"""),"")</f>
        <v/>
      </c>
      <c r="I1500" s="50" t="s">
        <v>29</v>
      </c>
      <c r="J1500" s="50" t="s">
        <v>29</v>
      </c>
      <c r="K1500" s="50" t="s">
        <v>29</v>
      </c>
      <c r="L1500" s="50" t="s">
        <v>29</v>
      </c>
      <c r="M1500" s="50" t="s">
        <v>29</v>
      </c>
      <c r="N1500" s="49"/>
      <c r="P1500" s="19"/>
      <c r="Q1500" s="18" t="str">
        <f ca="1">IFERROR(__xludf.DUMMYFUNCTION("""COMPUTED_VALUE"""),"")</f>
        <v/>
      </c>
      <c r="R1500" s="19"/>
      <c r="S1500" s="20"/>
      <c r="BP1500" s="10"/>
      <c r="BW1500" s="10"/>
      <c r="CF1500" s="10"/>
      <c r="CM1500" s="10"/>
      <c r="CP1500" s="18" t="str">
        <f ca="1"/>
        <v/>
      </c>
      <c r="CQ1500" s="18" t="str">
        <f ca="1"/>
        <v/>
      </c>
      <c r="CR1500" s="18" t="str">
        <f ca="1"/>
        <v/>
      </c>
      <c r="CS1500" s="18" t="str">
        <f ca="1"/>
        <v/>
      </c>
      <c r="CT1500" s="18" t="str">
        <f ca="1"/>
        <v/>
      </c>
      <c r="CV1500" s="10"/>
      <c r="CY1500" s="18" t="str">
        <f ca="1"/>
        <v/>
      </c>
      <c r="CZ1500" s="18" t="str">
        <f ca="1"/>
        <v/>
      </c>
      <c r="DA1500" s="18" t="str">
        <f ca="1"/>
        <v/>
      </c>
      <c r="DC1500" s="10"/>
    </row>
    <row r="1501" spans="1:107" x14ac:dyDescent="0.25">
      <c r="A1501" s="46"/>
      <c r="B1501" s="52"/>
      <c r="C1501" s="52"/>
      <c r="D1501" s="16"/>
      <c r="E1501" s="52"/>
      <c r="F1501" s="52"/>
      <c r="G1501" s="50"/>
      <c r="H1501" s="17" t="str">
        <f ca="1">IFERROR(__xludf.DUMMYFUNCTION("""COMPUTED_VALUE"""),"")</f>
        <v/>
      </c>
      <c r="I1501" s="50" t="s">
        <v>29</v>
      </c>
      <c r="J1501" s="50" t="s">
        <v>29</v>
      </c>
      <c r="K1501" s="50" t="s">
        <v>29</v>
      </c>
      <c r="L1501" s="50" t="s">
        <v>29</v>
      </c>
      <c r="M1501" s="50" t="s">
        <v>29</v>
      </c>
      <c r="N1501" s="49"/>
      <c r="P1501" s="19"/>
      <c r="Q1501" s="18" t="str">
        <f ca="1">IFERROR(__xludf.DUMMYFUNCTION("""COMPUTED_VALUE"""),"")</f>
        <v/>
      </c>
      <c r="R1501" s="19"/>
      <c r="S1501" s="20"/>
      <c r="BP1501" s="10"/>
      <c r="BW1501" s="10"/>
      <c r="CF1501" s="10"/>
      <c r="CM1501" s="10"/>
      <c r="CP1501" s="18" t="str">
        <f ca="1"/>
        <v/>
      </c>
      <c r="CQ1501" s="18" t="str">
        <f ca="1"/>
        <v/>
      </c>
      <c r="CR1501" s="18" t="str">
        <f ca="1"/>
        <v/>
      </c>
      <c r="CS1501" s="18" t="str">
        <f ca="1"/>
        <v/>
      </c>
      <c r="CT1501" s="18" t="str">
        <f ca="1"/>
        <v/>
      </c>
      <c r="CV1501" s="10"/>
      <c r="CY1501" s="18" t="str">
        <f ca="1"/>
        <v/>
      </c>
      <c r="CZ1501" s="18" t="str">
        <f ca="1"/>
        <v/>
      </c>
      <c r="DA1501" s="18" t="str">
        <f ca="1"/>
        <v/>
      </c>
      <c r="DC1501" s="10"/>
    </row>
    <row r="1502" spans="1:107" x14ac:dyDescent="0.25">
      <c r="A1502" s="46"/>
      <c r="B1502" s="52"/>
      <c r="C1502" s="52"/>
      <c r="D1502" s="16"/>
      <c r="E1502" s="52"/>
      <c r="F1502" s="52"/>
      <c r="G1502" s="50"/>
      <c r="H1502" s="17" t="str">
        <f ca="1">IFERROR(__xludf.DUMMYFUNCTION("""COMPUTED_VALUE"""),"")</f>
        <v/>
      </c>
      <c r="I1502" s="50" t="s">
        <v>29</v>
      </c>
      <c r="J1502" s="50" t="s">
        <v>29</v>
      </c>
      <c r="K1502" s="50" t="s">
        <v>29</v>
      </c>
      <c r="L1502" s="50" t="s">
        <v>29</v>
      </c>
      <c r="M1502" s="50" t="s">
        <v>29</v>
      </c>
      <c r="N1502" s="49"/>
      <c r="P1502" s="19"/>
      <c r="Q1502" s="18" t="str">
        <f ca="1">IFERROR(__xludf.DUMMYFUNCTION("""COMPUTED_VALUE"""),"")</f>
        <v/>
      </c>
      <c r="R1502" s="19"/>
      <c r="S1502" s="20"/>
      <c r="BP1502" s="10"/>
      <c r="BW1502" s="10"/>
      <c r="CF1502" s="10"/>
      <c r="CM1502" s="10"/>
      <c r="CP1502" s="18" t="str">
        <f ca="1"/>
        <v/>
      </c>
      <c r="CQ1502" s="18" t="str">
        <f ca="1"/>
        <v/>
      </c>
      <c r="CR1502" s="18" t="str">
        <f ca="1"/>
        <v/>
      </c>
      <c r="CS1502" s="18" t="str">
        <f ca="1"/>
        <v/>
      </c>
      <c r="CT1502" s="18" t="str">
        <f ca="1"/>
        <v/>
      </c>
      <c r="CV1502" s="10"/>
      <c r="CY1502" s="18" t="str">
        <f ca="1"/>
        <v/>
      </c>
      <c r="CZ1502" s="18" t="str">
        <f ca="1"/>
        <v/>
      </c>
      <c r="DA1502" s="18" t="str">
        <f ca="1"/>
        <v/>
      </c>
      <c r="DC1502" s="10"/>
    </row>
    <row r="1503" spans="1:107" x14ac:dyDescent="0.25">
      <c r="A1503" s="46"/>
      <c r="B1503" s="52"/>
      <c r="C1503" s="52"/>
      <c r="D1503" s="16"/>
      <c r="E1503" s="52"/>
      <c r="F1503" s="52"/>
      <c r="G1503" s="50"/>
      <c r="H1503" s="17" t="str">
        <f ca="1">IFERROR(__xludf.DUMMYFUNCTION("""COMPUTED_VALUE"""),"")</f>
        <v/>
      </c>
      <c r="I1503" s="50" t="s">
        <v>29</v>
      </c>
      <c r="J1503" s="50" t="s">
        <v>29</v>
      </c>
      <c r="K1503" s="50" t="s">
        <v>29</v>
      </c>
      <c r="L1503" s="50" t="s">
        <v>29</v>
      </c>
      <c r="M1503" s="50" t="s">
        <v>29</v>
      </c>
      <c r="N1503" s="49"/>
      <c r="P1503" s="19"/>
      <c r="Q1503" s="18" t="str">
        <f ca="1">IFERROR(__xludf.DUMMYFUNCTION("""COMPUTED_VALUE"""),"")</f>
        <v/>
      </c>
      <c r="R1503" s="19"/>
      <c r="S1503" s="20"/>
      <c r="BP1503" s="10"/>
      <c r="BW1503" s="10"/>
      <c r="CF1503" s="10"/>
      <c r="CM1503" s="10"/>
      <c r="CP1503" s="18" t="str">
        <f ca="1"/>
        <v/>
      </c>
      <c r="CQ1503" s="18" t="str">
        <f ca="1"/>
        <v/>
      </c>
      <c r="CR1503" s="18" t="str">
        <f ca="1"/>
        <v/>
      </c>
      <c r="CS1503" s="18" t="str">
        <f ca="1"/>
        <v/>
      </c>
      <c r="CT1503" s="18" t="str">
        <f ca="1"/>
        <v/>
      </c>
      <c r="CV1503" s="10"/>
      <c r="CY1503" s="18" t="str">
        <f ca="1"/>
        <v/>
      </c>
      <c r="CZ1503" s="18" t="str">
        <f ca="1"/>
        <v/>
      </c>
      <c r="DA1503" s="18" t="str">
        <f ca="1"/>
        <v/>
      </c>
      <c r="DC1503" s="10"/>
    </row>
    <row r="1504" spans="1:107" x14ac:dyDescent="0.25">
      <c r="A1504" s="46"/>
      <c r="B1504" s="52"/>
      <c r="C1504" s="52"/>
      <c r="D1504" s="16"/>
      <c r="E1504" s="52"/>
      <c r="F1504" s="52"/>
      <c r="G1504" s="50"/>
      <c r="H1504" s="17" t="str">
        <f ca="1">IFERROR(__xludf.DUMMYFUNCTION("""COMPUTED_VALUE"""),"")</f>
        <v/>
      </c>
      <c r="I1504" s="50" t="s">
        <v>29</v>
      </c>
      <c r="J1504" s="50" t="s">
        <v>29</v>
      </c>
      <c r="K1504" s="50" t="s">
        <v>29</v>
      </c>
      <c r="L1504" s="50" t="s">
        <v>29</v>
      </c>
      <c r="M1504" s="50" t="s">
        <v>29</v>
      </c>
      <c r="N1504" s="49"/>
      <c r="P1504" s="19"/>
      <c r="Q1504" s="18" t="str">
        <f ca="1">IFERROR(__xludf.DUMMYFUNCTION("""COMPUTED_VALUE"""),"")</f>
        <v/>
      </c>
      <c r="R1504" s="19"/>
      <c r="S1504" s="20"/>
      <c r="BP1504" s="10"/>
      <c r="BW1504" s="10"/>
      <c r="CF1504" s="10"/>
      <c r="CM1504" s="10"/>
      <c r="CP1504" s="18" t="str">
        <f ca="1"/>
        <v/>
      </c>
      <c r="CQ1504" s="18" t="str">
        <f ca="1"/>
        <v/>
      </c>
      <c r="CR1504" s="18" t="str">
        <f ca="1"/>
        <v/>
      </c>
      <c r="CS1504" s="18" t="str">
        <f ca="1"/>
        <v/>
      </c>
      <c r="CT1504" s="18" t="str">
        <f ca="1"/>
        <v/>
      </c>
      <c r="CV1504" s="10"/>
      <c r="CY1504" s="18" t="str">
        <f ca="1"/>
        <v/>
      </c>
      <c r="CZ1504" s="18" t="str">
        <f ca="1"/>
        <v/>
      </c>
      <c r="DA1504" s="18" t="str">
        <f ca="1"/>
        <v/>
      </c>
      <c r="DC1504" s="10"/>
    </row>
    <row r="1505" spans="1:107" x14ac:dyDescent="0.25">
      <c r="A1505" s="46"/>
      <c r="B1505" s="52"/>
      <c r="C1505" s="52"/>
      <c r="D1505" s="16"/>
      <c r="E1505" s="52"/>
      <c r="F1505" s="52"/>
      <c r="G1505" s="50"/>
      <c r="H1505" s="17" t="str">
        <f ca="1">IFERROR(__xludf.DUMMYFUNCTION("""COMPUTED_VALUE"""),"")</f>
        <v/>
      </c>
      <c r="I1505" s="50" t="s">
        <v>29</v>
      </c>
      <c r="J1505" s="50" t="s">
        <v>29</v>
      </c>
      <c r="K1505" s="50" t="s">
        <v>29</v>
      </c>
      <c r="L1505" s="50" t="s">
        <v>29</v>
      </c>
      <c r="M1505" s="50" t="s">
        <v>29</v>
      </c>
      <c r="N1505" s="49"/>
      <c r="P1505" s="19"/>
      <c r="Q1505" s="18" t="str">
        <f ca="1">IFERROR(__xludf.DUMMYFUNCTION("""COMPUTED_VALUE"""),"")</f>
        <v/>
      </c>
      <c r="R1505" s="19"/>
      <c r="S1505" s="20"/>
      <c r="BP1505" s="10"/>
      <c r="BW1505" s="10"/>
      <c r="CF1505" s="10"/>
      <c r="CM1505" s="10"/>
      <c r="CP1505" s="18" t="str">
        <f ca="1"/>
        <v/>
      </c>
      <c r="CQ1505" s="18" t="str">
        <f ca="1"/>
        <v/>
      </c>
      <c r="CR1505" s="18" t="str">
        <f ca="1"/>
        <v/>
      </c>
      <c r="CS1505" s="18" t="str">
        <f ca="1"/>
        <v/>
      </c>
      <c r="CT1505" s="18" t="str">
        <f ca="1"/>
        <v/>
      </c>
      <c r="CV1505" s="10"/>
      <c r="CY1505" s="18" t="str">
        <f ca="1"/>
        <v/>
      </c>
      <c r="CZ1505" s="18" t="str">
        <f ca="1"/>
        <v/>
      </c>
      <c r="DA1505" s="18" t="str">
        <f ca="1"/>
        <v/>
      </c>
      <c r="DC1505" s="10"/>
    </row>
    <row r="1506" spans="1:107" x14ac:dyDescent="0.25">
      <c r="A1506" s="46"/>
      <c r="B1506" s="52"/>
      <c r="C1506" s="52"/>
      <c r="D1506" s="16"/>
      <c r="E1506" s="52"/>
      <c r="F1506" s="52"/>
      <c r="G1506" s="50"/>
      <c r="H1506" s="17" t="str">
        <f ca="1">IFERROR(__xludf.DUMMYFUNCTION("""COMPUTED_VALUE"""),"")</f>
        <v/>
      </c>
      <c r="I1506" s="50" t="s">
        <v>29</v>
      </c>
      <c r="J1506" s="50" t="s">
        <v>29</v>
      </c>
      <c r="K1506" s="50" t="s">
        <v>29</v>
      </c>
      <c r="L1506" s="50" t="s">
        <v>29</v>
      </c>
      <c r="M1506" s="50" t="s">
        <v>29</v>
      </c>
      <c r="N1506" s="49"/>
      <c r="P1506" s="19"/>
      <c r="Q1506" s="18" t="str">
        <f ca="1">IFERROR(__xludf.DUMMYFUNCTION("""COMPUTED_VALUE"""),"")</f>
        <v/>
      </c>
      <c r="R1506" s="19"/>
      <c r="S1506" s="20"/>
      <c r="BP1506" s="10"/>
      <c r="BW1506" s="10"/>
      <c r="CF1506" s="10"/>
      <c r="CM1506" s="10"/>
      <c r="CP1506" s="18" t="str">
        <f ca="1"/>
        <v/>
      </c>
      <c r="CQ1506" s="18" t="str">
        <f ca="1"/>
        <v/>
      </c>
      <c r="CR1506" s="18" t="str">
        <f ca="1"/>
        <v/>
      </c>
      <c r="CS1506" s="18" t="str">
        <f ca="1"/>
        <v/>
      </c>
      <c r="CT1506" s="18" t="str">
        <f ca="1"/>
        <v/>
      </c>
      <c r="CV1506" s="10"/>
      <c r="CY1506" s="18" t="str">
        <f ca="1"/>
        <v/>
      </c>
      <c r="CZ1506" s="18" t="str">
        <f ca="1"/>
        <v/>
      </c>
      <c r="DA1506" s="18" t="str">
        <f ca="1"/>
        <v/>
      </c>
      <c r="DC1506" s="10"/>
    </row>
    <row r="1507" spans="1:107" x14ac:dyDescent="0.25">
      <c r="A1507" s="46"/>
      <c r="B1507" s="52"/>
      <c r="C1507" s="52"/>
      <c r="D1507" s="16"/>
      <c r="E1507" s="52"/>
      <c r="F1507" s="52"/>
      <c r="G1507" s="50"/>
      <c r="H1507" s="17" t="str">
        <f ca="1">IFERROR(__xludf.DUMMYFUNCTION("""COMPUTED_VALUE"""),"")</f>
        <v/>
      </c>
      <c r="I1507" s="50" t="s">
        <v>29</v>
      </c>
      <c r="J1507" s="50" t="s">
        <v>29</v>
      </c>
      <c r="K1507" s="50" t="s">
        <v>29</v>
      </c>
      <c r="L1507" s="50" t="s">
        <v>29</v>
      </c>
      <c r="M1507" s="50" t="s">
        <v>29</v>
      </c>
      <c r="N1507" s="49"/>
      <c r="P1507" s="19"/>
      <c r="Q1507" s="18" t="str">
        <f ca="1">IFERROR(__xludf.DUMMYFUNCTION("""COMPUTED_VALUE"""),"")</f>
        <v/>
      </c>
      <c r="R1507" s="19"/>
      <c r="S1507" s="20"/>
      <c r="BP1507" s="10"/>
      <c r="BW1507" s="10"/>
      <c r="CF1507" s="10"/>
      <c r="CM1507" s="10"/>
      <c r="CP1507" s="18" t="str">
        <f ca="1"/>
        <v/>
      </c>
      <c r="CQ1507" s="18" t="str">
        <f ca="1"/>
        <v/>
      </c>
      <c r="CR1507" s="18" t="str">
        <f ca="1"/>
        <v/>
      </c>
      <c r="CS1507" s="18" t="str">
        <f ca="1"/>
        <v/>
      </c>
      <c r="CT1507" s="18" t="str">
        <f ca="1"/>
        <v/>
      </c>
      <c r="CV1507" s="10"/>
      <c r="CY1507" s="18" t="str">
        <f ca="1"/>
        <v/>
      </c>
      <c r="CZ1507" s="18" t="str">
        <f ca="1"/>
        <v/>
      </c>
      <c r="DA1507" s="18" t="str">
        <f ca="1"/>
        <v/>
      </c>
      <c r="DC1507" s="10"/>
    </row>
    <row r="1508" spans="1:107" x14ac:dyDescent="0.25">
      <c r="A1508" s="46"/>
      <c r="B1508" s="52"/>
      <c r="C1508" s="52"/>
      <c r="D1508" s="16"/>
      <c r="E1508" s="52"/>
      <c r="F1508" s="52"/>
      <c r="G1508" s="50"/>
      <c r="H1508" s="17" t="str">
        <f ca="1">IFERROR(__xludf.DUMMYFUNCTION("""COMPUTED_VALUE"""),"")</f>
        <v/>
      </c>
      <c r="I1508" s="50" t="s">
        <v>29</v>
      </c>
      <c r="J1508" s="50" t="s">
        <v>29</v>
      </c>
      <c r="K1508" s="50" t="s">
        <v>29</v>
      </c>
      <c r="L1508" s="50" t="s">
        <v>29</v>
      </c>
      <c r="M1508" s="50" t="s">
        <v>29</v>
      </c>
      <c r="N1508" s="49"/>
      <c r="P1508" s="19"/>
      <c r="Q1508" s="18" t="str">
        <f ca="1">IFERROR(__xludf.DUMMYFUNCTION("""COMPUTED_VALUE"""),"")</f>
        <v/>
      </c>
      <c r="R1508" s="19"/>
      <c r="S1508" s="20"/>
      <c r="BP1508" s="10"/>
      <c r="BW1508" s="10"/>
      <c r="CF1508" s="10"/>
      <c r="CM1508" s="10"/>
      <c r="CP1508" s="18" t="str">
        <f ca="1"/>
        <v/>
      </c>
      <c r="CQ1508" s="18" t="str">
        <f ca="1"/>
        <v/>
      </c>
      <c r="CR1508" s="18" t="str">
        <f ca="1"/>
        <v/>
      </c>
      <c r="CS1508" s="18" t="str">
        <f ca="1"/>
        <v/>
      </c>
      <c r="CT1508" s="18" t="str">
        <f ca="1"/>
        <v/>
      </c>
      <c r="CV1508" s="10"/>
      <c r="CY1508" s="18" t="str">
        <f ca="1"/>
        <v/>
      </c>
      <c r="CZ1508" s="18" t="str">
        <f ca="1"/>
        <v/>
      </c>
      <c r="DA1508" s="18" t="str">
        <f ca="1"/>
        <v/>
      </c>
      <c r="DC1508" s="10"/>
    </row>
    <row r="1509" spans="1:107" x14ac:dyDescent="0.25">
      <c r="A1509" s="46"/>
      <c r="B1509" s="52"/>
      <c r="C1509" s="52"/>
      <c r="D1509" s="16"/>
      <c r="E1509" s="52"/>
      <c r="F1509" s="52"/>
      <c r="G1509" s="50"/>
      <c r="H1509" s="17" t="str">
        <f ca="1">IFERROR(__xludf.DUMMYFUNCTION("""COMPUTED_VALUE"""),"")</f>
        <v/>
      </c>
      <c r="I1509" s="50" t="s">
        <v>29</v>
      </c>
      <c r="J1509" s="50" t="s">
        <v>29</v>
      </c>
      <c r="K1509" s="50" t="s">
        <v>29</v>
      </c>
      <c r="L1509" s="50" t="s">
        <v>29</v>
      </c>
      <c r="M1509" s="50" t="s">
        <v>29</v>
      </c>
      <c r="N1509" s="49"/>
      <c r="P1509" s="19"/>
      <c r="Q1509" s="18" t="str">
        <f ca="1">IFERROR(__xludf.DUMMYFUNCTION("""COMPUTED_VALUE"""),"")</f>
        <v/>
      </c>
      <c r="R1509" s="19"/>
      <c r="S1509" s="20"/>
      <c r="BP1509" s="10"/>
      <c r="BW1509" s="10"/>
      <c r="CF1509" s="10"/>
      <c r="CM1509" s="10"/>
      <c r="CP1509" s="18" t="str">
        <f ca="1"/>
        <v/>
      </c>
      <c r="CQ1509" s="18" t="str">
        <f ca="1"/>
        <v/>
      </c>
      <c r="CR1509" s="18" t="str">
        <f ca="1"/>
        <v/>
      </c>
      <c r="CS1509" s="18" t="str">
        <f ca="1"/>
        <v/>
      </c>
      <c r="CT1509" s="18" t="str">
        <f ca="1"/>
        <v/>
      </c>
      <c r="CV1509" s="10"/>
      <c r="CY1509" s="18" t="str">
        <f ca="1"/>
        <v/>
      </c>
      <c r="CZ1509" s="18" t="str">
        <f ca="1"/>
        <v/>
      </c>
      <c r="DA1509" s="18" t="str">
        <f ca="1"/>
        <v/>
      </c>
      <c r="DC1509" s="10"/>
    </row>
    <row r="1510" spans="1:107" x14ac:dyDescent="0.25">
      <c r="A1510" s="46"/>
      <c r="B1510" s="52"/>
      <c r="C1510" s="52"/>
      <c r="D1510" s="16"/>
      <c r="E1510" s="52"/>
      <c r="F1510" s="52"/>
      <c r="G1510" s="50"/>
      <c r="H1510" s="17" t="str">
        <f ca="1">IFERROR(__xludf.DUMMYFUNCTION("""COMPUTED_VALUE"""),"")</f>
        <v/>
      </c>
      <c r="I1510" s="50" t="s">
        <v>29</v>
      </c>
      <c r="J1510" s="50" t="s">
        <v>29</v>
      </c>
      <c r="K1510" s="50" t="s">
        <v>29</v>
      </c>
      <c r="L1510" s="50" t="s">
        <v>29</v>
      </c>
      <c r="M1510" s="50" t="s">
        <v>29</v>
      </c>
      <c r="N1510" s="49"/>
      <c r="P1510" s="19"/>
      <c r="Q1510" s="18" t="str">
        <f ca="1">IFERROR(__xludf.DUMMYFUNCTION("""COMPUTED_VALUE"""),"")</f>
        <v/>
      </c>
      <c r="R1510" s="19"/>
      <c r="S1510" s="20"/>
      <c r="BP1510" s="10"/>
      <c r="BW1510" s="10"/>
      <c r="CF1510" s="10"/>
      <c r="CM1510" s="10"/>
      <c r="CP1510" s="18" t="str">
        <f ca="1"/>
        <v/>
      </c>
      <c r="CQ1510" s="18" t="str">
        <f ca="1"/>
        <v/>
      </c>
      <c r="CR1510" s="18" t="str">
        <f ca="1"/>
        <v/>
      </c>
      <c r="CS1510" s="18" t="str">
        <f ca="1"/>
        <v/>
      </c>
      <c r="CT1510" s="18" t="str">
        <f ca="1"/>
        <v/>
      </c>
      <c r="CV1510" s="10"/>
      <c r="CY1510" s="18" t="str">
        <f ca="1"/>
        <v/>
      </c>
      <c r="CZ1510" s="18" t="str">
        <f ca="1"/>
        <v/>
      </c>
      <c r="DA1510" s="18" t="str">
        <f ca="1"/>
        <v/>
      </c>
      <c r="DC1510" s="10"/>
    </row>
    <row r="1511" spans="1:107" x14ac:dyDescent="0.25">
      <c r="A1511" s="46"/>
      <c r="B1511" s="52"/>
      <c r="C1511" s="52"/>
      <c r="D1511" s="16"/>
      <c r="E1511" s="52"/>
      <c r="F1511" s="52"/>
      <c r="G1511" s="50"/>
      <c r="H1511" s="17" t="str">
        <f ca="1">IFERROR(__xludf.DUMMYFUNCTION("""COMPUTED_VALUE"""),"")</f>
        <v/>
      </c>
      <c r="I1511" s="50" t="s">
        <v>29</v>
      </c>
      <c r="J1511" s="50" t="s">
        <v>29</v>
      </c>
      <c r="K1511" s="50" t="s">
        <v>29</v>
      </c>
      <c r="L1511" s="50" t="s">
        <v>29</v>
      </c>
      <c r="M1511" s="50" t="s">
        <v>29</v>
      </c>
      <c r="N1511" s="49"/>
      <c r="P1511" s="19"/>
      <c r="Q1511" s="18" t="str">
        <f ca="1">IFERROR(__xludf.DUMMYFUNCTION("""COMPUTED_VALUE"""),"")</f>
        <v/>
      </c>
      <c r="R1511" s="19"/>
      <c r="S1511" s="20"/>
      <c r="BP1511" s="10"/>
      <c r="BW1511" s="10"/>
      <c r="CF1511" s="10"/>
      <c r="CM1511" s="10"/>
      <c r="CP1511" s="18" t="str">
        <f ca="1"/>
        <v/>
      </c>
      <c r="CQ1511" s="18" t="str">
        <f ca="1"/>
        <v/>
      </c>
      <c r="CR1511" s="18" t="str">
        <f ca="1"/>
        <v/>
      </c>
      <c r="CS1511" s="18" t="str">
        <f ca="1"/>
        <v/>
      </c>
      <c r="CT1511" s="18" t="str">
        <f ca="1"/>
        <v/>
      </c>
      <c r="CV1511" s="10"/>
      <c r="CY1511" s="18" t="str">
        <f ca="1"/>
        <v/>
      </c>
      <c r="CZ1511" s="18" t="str">
        <f ca="1"/>
        <v/>
      </c>
      <c r="DA1511" s="18" t="str">
        <f ca="1"/>
        <v/>
      </c>
      <c r="DC1511" s="10"/>
    </row>
    <row r="1512" spans="1:107" x14ac:dyDescent="0.25">
      <c r="A1512" s="46"/>
      <c r="B1512" s="52"/>
      <c r="C1512" s="52"/>
      <c r="D1512" s="16"/>
      <c r="E1512" s="52"/>
      <c r="F1512" s="52"/>
      <c r="G1512" s="50"/>
      <c r="H1512" s="17" t="str">
        <f ca="1">IFERROR(__xludf.DUMMYFUNCTION("""COMPUTED_VALUE"""),"")</f>
        <v/>
      </c>
      <c r="I1512" s="50" t="s">
        <v>29</v>
      </c>
      <c r="J1512" s="50" t="s">
        <v>29</v>
      </c>
      <c r="K1512" s="50" t="s">
        <v>29</v>
      </c>
      <c r="L1512" s="50" t="s">
        <v>29</v>
      </c>
      <c r="M1512" s="50" t="s">
        <v>29</v>
      </c>
      <c r="N1512" s="49"/>
      <c r="P1512" s="19"/>
      <c r="Q1512" s="18" t="str">
        <f ca="1">IFERROR(__xludf.DUMMYFUNCTION("""COMPUTED_VALUE"""),"")</f>
        <v/>
      </c>
      <c r="R1512" s="19"/>
      <c r="S1512" s="20"/>
      <c r="BP1512" s="10"/>
      <c r="BW1512" s="10"/>
      <c r="CF1512" s="10"/>
      <c r="CM1512" s="10"/>
      <c r="CP1512" s="18" t="str">
        <f ca="1"/>
        <v/>
      </c>
      <c r="CQ1512" s="18" t="str">
        <f ca="1"/>
        <v/>
      </c>
      <c r="CR1512" s="18" t="str">
        <f ca="1"/>
        <v/>
      </c>
      <c r="CS1512" s="18" t="str">
        <f ca="1"/>
        <v/>
      </c>
      <c r="CT1512" s="18" t="str">
        <f ca="1"/>
        <v/>
      </c>
      <c r="CV1512" s="10"/>
      <c r="CY1512" s="18" t="str">
        <f ca="1"/>
        <v/>
      </c>
      <c r="CZ1512" s="18" t="str">
        <f ca="1"/>
        <v/>
      </c>
      <c r="DA1512" s="18" t="str">
        <f ca="1"/>
        <v/>
      </c>
      <c r="DC1512" s="10"/>
    </row>
    <row r="1513" spans="1:107" x14ac:dyDescent="0.25">
      <c r="A1513" s="46"/>
      <c r="B1513" s="52"/>
      <c r="C1513" s="52"/>
      <c r="D1513" s="16"/>
      <c r="E1513" s="52"/>
      <c r="F1513" s="52"/>
      <c r="G1513" s="50"/>
      <c r="H1513" s="17" t="str">
        <f ca="1">IFERROR(__xludf.DUMMYFUNCTION("""COMPUTED_VALUE"""),"")</f>
        <v/>
      </c>
      <c r="I1513" s="50" t="s">
        <v>29</v>
      </c>
      <c r="J1513" s="50" t="s">
        <v>29</v>
      </c>
      <c r="K1513" s="50" t="s">
        <v>29</v>
      </c>
      <c r="L1513" s="50" t="s">
        <v>29</v>
      </c>
      <c r="M1513" s="50" t="s">
        <v>29</v>
      </c>
      <c r="N1513" s="49"/>
      <c r="P1513" s="19"/>
      <c r="Q1513" s="18" t="str">
        <f ca="1">IFERROR(__xludf.DUMMYFUNCTION("""COMPUTED_VALUE"""),"")</f>
        <v/>
      </c>
      <c r="R1513" s="19"/>
      <c r="S1513" s="20"/>
      <c r="BP1513" s="10"/>
      <c r="BW1513" s="10"/>
      <c r="CF1513" s="10"/>
      <c r="CM1513" s="10"/>
      <c r="CP1513" s="18" t="str">
        <f ca="1"/>
        <v/>
      </c>
      <c r="CQ1513" s="18" t="str">
        <f ca="1"/>
        <v/>
      </c>
      <c r="CR1513" s="18" t="str">
        <f ca="1"/>
        <v/>
      </c>
      <c r="CS1513" s="18" t="str">
        <f ca="1"/>
        <v/>
      </c>
      <c r="CT1513" s="18" t="str">
        <f ca="1"/>
        <v/>
      </c>
      <c r="CV1513" s="10"/>
      <c r="CY1513" s="18" t="str">
        <f ca="1"/>
        <v/>
      </c>
      <c r="CZ1513" s="18" t="str">
        <f ca="1"/>
        <v/>
      </c>
      <c r="DA1513" s="18" t="str">
        <f ca="1"/>
        <v/>
      </c>
      <c r="DC1513" s="10"/>
    </row>
    <row r="1514" spans="1:107" x14ac:dyDescent="0.25">
      <c r="A1514" s="46"/>
      <c r="B1514" s="52"/>
      <c r="C1514" s="52"/>
      <c r="D1514" s="16"/>
      <c r="E1514" s="52"/>
      <c r="F1514" s="52"/>
      <c r="G1514" s="50"/>
      <c r="H1514" s="17" t="str">
        <f ca="1">IFERROR(__xludf.DUMMYFUNCTION("""COMPUTED_VALUE"""),"")</f>
        <v/>
      </c>
      <c r="I1514" s="50" t="s">
        <v>29</v>
      </c>
      <c r="J1514" s="50" t="s">
        <v>29</v>
      </c>
      <c r="K1514" s="50" t="s">
        <v>29</v>
      </c>
      <c r="L1514" s="50" t="s">
        <v>29</v>
      </c>
      <c r="M1514" s="50" t="s">
        <v>29</v>
      </c>
      <c r="N1514" s="49"/>
      <c r="P1514" s="19"/>
      <c r="Q1514" s="18" t="str">
        <f ca="1">IFERROR(__xludf.DUMMYFUNCTION("""COMPUTED_VALUE"""),"")</f>
        <v/>
      </c>
      <c r="R1514" s="19"/>
      <c r="S1514" s="20"/>
      <c r="BP1514" s="10"/>
      <c r="BW1514" s="10"/>
      <c r="CF1514" s="10"/>
      <c r="CM1514" s="10"/>
      <c r="CP1514" s="18" t="str">
        <f ca="1"/>
        <v/>
      </c>
      <c r="CQ1514" s="18" t="str">
        <f ca="1"/>
        <v/>
      </c>
      <c r="CR1514" s="18" t="str">
        <f ca="1"/>
        <v/>
      </c>
      <c r="CS1514" s="18" t="str">
        <f ca="1"/>
        <v/>
      </c>
      <c r="CT1514" s="18" t="str">
        <f ca="1"/>
        <v/>
      </c>
      <c r="CV1514" s="10"/>
      <c r="CY1514" s="18" t="str">
        <f ca="1"/>
        <v/>
      </c>
      <c r="CZ1514" s="18" t="str">
        <f ca="1"/>
        <v/>
      </c>
      <c r="DA1514" s="18" t="str">
        <f ca="1"/>
        <v/>
      </c>
      <c r="DC1514" s="10"/>
    </row>
    <row r="1515" spans="1:107" x14ac:dyDescent="0.25">
      <c r="A1515" s="46"/>
      <c r="B1515" s="52"/>
      <c r="C1515" s="52"/>
      <c r="D1515" s="16"/>
      <c r="E1515" s="52"/>
      <c r="F1515" s="52"/>
      <c r="G1515" s="50"/>
      <c r="H1515" s="17" t="str">
        <f ca="1">IFERROR(__xludf.DUMMYFUNCTION("""COMPUTED_VALUE"""),"")</f>
        <v/>
      </c>
      <c r="I1515" s="50" t="s">
        <v>29</v>
      </c>
      <c r="J1515" s="50" t="s">
        <v>29</v>
      </c>
      <c r="K1515" s="50" t="s">
        <v>29</v>
      </c>
      <c r="L1515" s="50" t="s">
        <v>29</v>
      </c>
      <c r="M1515" s="50" t="s">
        <v>29</v>
      </c>
      <c r="N1515" s="49"/>
      <c r="P1515" s="19"/>
      <c r="Q1515" s="18" t="str">
        <f ca="1">IFERROR(__xludf.DUMMYFUNCTION("""COMPUTED_VALUE"""),"")</f>
        <v/>
      </c>
      <c r="R1515" s="19"/>
      <c r="S1515" s="20"/>
      <c r="BP1515" s="10"/>
      <c r="BW1515" s="10"/>
      <c r="CF1515" s="10"/>
      <c r="CM1515" s="10"/>
      <c r="CP1515" s="18" t="str">
        <f ca="1"/>
        <v/>
      </c>
      <c r="CQ1515" s="18" t="str">
        <f ca="1"/>
        <v/>
      </c>
      <c r="CR1515" s="18" t="str">
        <f ca="1"/>
        <v/>
      </c>
      <c r="CS1515" s="18" t="str">
        <f ca="1"/>
        <v/>
      </c>
      <c r="CT1515" s="18" t="str">
        <f ca="1"/>
        <v/>
      </c>
      <c r="CV1515" s="10"/>
      <c r="CY1515" s="18" t="str">
        <f ca="1"/>
        <v/>
      </c>
      <c r="CZ1515" s="18" t="str">
        <f ca="1"/>
        <v/>
      </c>
      <c r="DA1515" s="18" t="str">
        <f ca="1"/>
        <v/>
      </c>
      <c r="DC1515" s="10"/>
    </row>
    <row r="1516" spans="1:107" x14ac:dyDescent="0.25">
      <c r="A1516" s="46"/>
      <c r="B1516" s="52"/>
      <c r="C1516" s="52"/>
      <c r="D1516" s="16"/>
      <c r="E1516" s="52"/>
      <c r="F1516" s="52"/>
      <c r="G1516" s="50"/>
      <c r="H1516" s="17" t="str">
        <f ca="1">IFERROR(__xludf.DUMMYFUNCTION("""COMPUTED_VALUE"""),"")</f>
        <v/>
      </c>
      <c r="I1516" s="50" t="s">
        <v>29</v>
      </c>
      <c r="J1516" s="50" t="s">
        <v>29</v>
      </c>
      <c r="K1516" s="50" t="s">
        <v>29</v>
      </c>
      <c r="L1516" s="50" t="s">
        <v>29</v>
      </c>
      <c r="M1516" s="50" t="s">
        <v>29</v>
      </c>
      <c r="N1516" s="49"/>
      <c r="P1516" s="19"/>
      <c r="Q1516" s="18" t="str">
        <f ca="1">IFERROR(__xludf.DUMMYFUNCTION("""COMPUTED_VALUE"""),"")</f>
        <v/>
      </c>
      <c r="R1516" s="19"/>
      <c r="S1516" s="20"/>
      <c r="BP1516" s="10"/>
      <c r="BW1516" s="10"/>
      <c r="CF1516" s="10"/>
      <c r="CM1516" s="10"/>
      <c r="CP1516" s="18" t="str">
        <f ca="1"/>
        <v/>
      </c>
      <c r="CQ1516" s="18" t="str">
        <f ca="1"/>
        <v/>
      </c>
      <c r="CR1516" s="18" t="str">
        <f ca="1"/>
        <v/>
      </c>
      <c r="CS1516" s="18" t="str">
        <f ca="1"/>
        <v/>
      </c>
      <c r="CT1516" s="18" t="str">
        <f ca="1"/>
        <v/>
      </c>
      <c r="CV1516" s="10"/>
      <c r="CY1516" s="18" t="str">
        <f ca="1"/>
        <v/>
      </c>
      <c r="CZ1516" s="18" t="str">
        <f ca="1"/>
        <v/>
      </c>
      <c r="DA1516" s="18" t="str">
        <f ca="1"/>
        <v/>
      </c>
      <c r="DC1516" s="10"/>
    </row>
    <row r="1517" spans="1:107" x14ac:dyDescent="0.25">
      <c r="A1517" s="46"/>
      <c r="B1517" s="52"/>
      <c r="C1517" s="52"/>
      <c r="D1517" s="16"/>
      <c r="E1517" s="52"/>
      <c r="F1517" s="52"/>
      <c r="G1517" s="50"/>
      <c r="H1517" s="17" t="str">
        <f ca="1">IFERROR(__xludf.DUMMYFUNCTION("""COMPUTED_VALUE"""),"")</f>
        <v/>
      </c>
      <c r="I1517" s="50" t="s">
        <v>29</v>
      </c>
      <c r="J1517" s="50" t="s">
        <v>29</v>
      </c>
      <c r="K1517" s="50" t="s">
        <v>29</v>
      </c>
      <c r="L1517" s="50" t="s">
        <v>29</v>
      </c>
      <c r="M1517" s="50" t="s">
        <v>29</v>
      </c>
      <c r="N1517" s="49"/>
      <c r="P1517" s="19"/>
      <c r="Q1517" s="18" t="str">
        <f ca="1">IFERROR(__xludf.DUMMYFUNCTION("""COMPUTED_VALUE"""),"")</f>
        <v/>
      </c>
      <c r="R1517" s="19"/>
      <c r="S1517" s="20"/>
      <c r="BP1517" s="10"/>
      <c r="BW1517" s="10"/>
      <c r="CF1517" s="10"/>
      <c r="CM1517" s="10"/>
      <c r="CP1517" s="18" t="str">
        <f ca="1"/>
        <v/>
      </c>
      <c r="CQ1517" s="18" t="str">
        <f ca="1"/>
        <v/>
      </c>
      <c r="CR1517" s="18" t="str">
        <f ca="1"/>
        <v/>
      </c>
      <c r="CS1517" s="18" t="str">
        <f ca="1"/>
        <v/>
      </c>
      <c r="CT1517" s="18" t="str">
        <f ca="1"/>
        <v/>
      </c>
      <c r="CV1517" s="10"/>
      <c r="CY1517" s="18" t="str">
        <f ca="1"/>
        <v/>
      </c>
      <c r="CZ1517" s="18" t="str">
        <f ca="1"/>
        <v/>
      </c>
      <c r="DA1517" s="18" t="str">
        <f ca="1"/>
        <v/>
      </c>
      <c r="DC1517" s="10"/>
    </row>
    <row r="1518" spans="1:107" x14ac:dyDescent="0.25">
      <c r="A1518" s="46"/>
      <c r="B1518" s="52"/>
      <c r="C1518" s="52"/>
      <c r="D1518" s="16"/>
      <c r="E1518" s="52"/>
      <c r="F1518" s="52"/>
      <c r="G1518" s="50"/>
      <c r="H1518" s="17" t="str">
        <f ca="1">IFERROR(__xludf.DUMMYFUNCTION("""COMPUTED_VALUE"""),"")</f>
        <v/>
      </c>
      <c r="I1518" s="50" t="s">
        <v>29</v>
      </c>
      <c r="J1518" s="50" t="s">
        <v>29</v>
      </c>
      <c r="K1518" s="50" t="s">
        <v>29</v>
      </c>
      <c r="L1518" s="50" t="s">
        <v>29</v>
      </c>
      <c r="M1518" s="50" t="s">
        <v>29</v>
      </c>
      <c r="N1518" s="49"/>
      <c r="P1518" s="19"/>
      <c r="Q1518" s="18" t="str">
        <f ca="1">IFERROR(__xludf.DUMMYFUNCTION("""COMPUTED_VALUE"""),"")</f>
        <v/>
      </c>
      <c r="R1518" s="19"/>
      <c r="S1518" s="20"/>
      <c r="BP1518" s="10"/>
      <c r="BW1518" s="10"/>
      <c r="CF1518" s="10"/>
      <c r="CM1518" s="10"/>
      <c r="CP1518" s="18" t="str">
        <f ca="1"/>
        <v/>
      </c>
      <c r="CQ1518" s="18" t="str">
        <f ca="1"/>
        <v/>
      </c>
      <c r="CR1518" s="18" t="str">
        <f ca="1"/>
        <v/>
      </c>
      <c r="CS1518" s="18" t="str">
        <f ca="1"/>
        <v/>
      </c>
      <c r="CT1518" s="18" t="str">
        <f ca="1"/>
        <v/>
      </c>
      <c r="CV1518" s="10"/>
      <c r="CY1518" s="18" t="str">
        <f ca="1"/>
        <v/>
      </c>
      <c r="CZ1518" s="18" t="str">
        <f ca="1"/>
        <v/>
      </c>
      <c r="DA1518" s="18" t="str">
        <f ca="1"/>
        <v/>
      </c>
      <c r="DC1518" s="10"/>
    </row>
    <row r="1519" spans="1:107" x14ac:dyDescent="0.25">
      <c r="A1519" s="46"/>
      <c r="B1519" s="52"/>
      <c r="C1519" s="52"/>
      <c r="D1519" s="16"/>
      <c r="E1519" s="52"/>
      <c r="F1519" s="52"/>
      <c r="G1519" s="50"/>
      <c r="H1519" s="17" t="str">
        <f ca="1">IFERROR(__xludf.DUMMYFUNCTION("""COMPUTED_VALUE"""),"")</f>
        <v/>
      </c>
      <c r="I1519" s="50" t="s">
        <v>29</v>
      </c>
      <c r="J1519" s="50" t="s">
        <v>29</v>
      </c>
      <c r="K1519" s="50" t="s">
        <v>29</v>
      </c>
      <c r="L1519" s="50" t="s">
        <v>29</v>
      </c>
      <c r="M1519" s="50" t="s">
        <v>29</v>
      </c>
      <c r="N1519" s="49"/>
      <c r="P1519" s="19"/>
      <c r="Q1519" s="18" t="str">
        <f ca="1">IFERROR(__xludf.DUMMYFUNCTION("""COMPUTED_VALUE"""),"")</f>
        <v/>
      </c>
      <c r="R1519" s="19"/>
      <c r="S1519" s="20"/>
      <c r="BP1519" s="10"/>
      <c r="BW1519" s="10"/>
      <c r="CF1519" s="10"/>
      <c r="CM1519" s="10"/>
      <c r="CP1519" s="18" t="str">
        <f ca="1"/>
        <v/>
      </c>
      <c r="CQ1519" s="18" t="str">
        <f ca="1"/>
        <v/>
      </c>
      <c r="CR1519" s="18" t="str">
        <f ca="1"/>
        <v/>
      </c>
      <c r="CS1519" s="18" t="str">
        <f ca="1"/>
        <v/>
      </c>
      <c r="CT1519" s="18" t="str">
        <f ca="1"/>
        <v/>
      </c>
      <c r="CV1519" s="10"/>
      <c r="CY1519" s="18" t="str">
        <f ca="1"/>
        <v/>
      </c>
      <c r="CZ1519" s="18" t="str">
        <f ca="1"/>
        <v/>
      </c>
      <c r="DA1519" s="18" t="str">
        <f ca="1"/>
        <v/>
      </c>
      <c r="DC1519" s="10"/>
    </row>
    <row r="1520" spans="1:107" x14ac:dyDescent="0.25">
      <c r="A1520" s="46"/>
      <c r="B1520" s="52"/>
      <c r="C1520" s="52"/>
      <c r="D1520" s="16"/>
      <c r="E1520" s="52"/>
      <c r="F1520" s="52"/>
      <c r="G1520" s="50"/>
      <c r="H1520" s="17" t="str">
        <f ca="1">IFERROR(__xludf.DUMMYFUNCTION("""COMPUTED_VALUE"""),"")</f>
        <v/>
      </c>
      <c r="I1520" s="50" t="s">
        <v>29</v>
      </c>
      <c r="J1520" s="50" t="s">
        <v>29</v>
      </c>
      <c r="K1520" s="50" t="s">
        <v>29</v>
      </c>
      <c r="L1520" s="50" t="s">
        <v>29</v>
      </c>
      <c r="M1520" s="50" t="s">
        <v>29</v>
      </c>
      <c r="N1520" s="49"/>
      <c r="P1520" s="19"/>
      <c r="Q1520" s="18" t="str">
        <f ca="1">IFERROR(__xludf.DUMMYFUNCTION("""COMPUTED_VALUE"""),"")</f>
        <v/>
      </c>
      <c r="R1520" s="19"/>
      <c r="S1520" s="20"/>
      <c r="BP1520" s="10"/>
      <c r="BW1520" s="10"/>
      <c r="CF1520" s="10"/>
      <c r="CM1520" s="10"/>
      <c r="CP1520" s="18" t="str">
        <f ca="1"/>
        <v/>
      </c>
      <c r="CQ1520" s="18" t="str">
        <f ca="1"/>
        <v/>
      </c>
      <c r="CR1520" s="18" t="str">
        <f ca="1"/>
        <v/>
      </c>
      <c r="CS1520" s="18" t="str">
        <f ca="1"/>
        <v/>
      </c>
      <c r="CT1520" s="18" t="str">
        <f ca="1"/>
        <v/>
      </c>
      <c r="CV1520" s="10"/>
      <c r="CY1520" s="18" t="str">
        <f ca="1"/>
        <v/>
      </c>
      <c r="CZ1520" s="18" t="str">
        <f ca="1"/>
        <v/>
      </c>
      <c r="DA1520" s="18" t="str">
        <f ca="1"/>
        <v/>
      </c>
      <c r="DC1520" s="10"/>
    </row>
    <row r="1521" spans="1:107" x14ac:dyDescent="0.25">
      <c r="A1521" s="46"/>
      <c r="B1521" s="52"/>
      <c r="C1521" s="52"/>
      <c r="D1521" s="16"/>
      <c r="E1521" s="52"/>
      <c r="F1521" s="52"/>
      <c r="G1521" s="50"/>
      <c r="H1521" s="17" t="str">
        <f ca="1">IFERROR(__xludf.DUMMYFUNCTION("""COMPUTED_VALUE"""),"")</f>
        <v/>
      </c>
      <c r="I1521" s="50" t="s">
        <v>29</v>
      </c>
      <c r="J1521" s="50" t="s">
        <v>29</v>
      </c>
      <c r="K1521" s="50" t="s">
        <v>29</v>
      </c>
      <c r="L1521" s="50" t="s">
        <v>29</v>
      </c>
      <c r="M1521" s="50" t="s">
        <v>29</v>
      </c>
      <c r="N1521" s="49"/>
      <c r="P1521" s="19"/>
      <c r="Q1521" s="18" t="str">
        <f ca="1">IFERROR(__xludf.DUMMYFUNCTION("""COMPUTED_VALUE"""),"")</f>
        <v/>
      </c>
      <c r="R1521" s="19"/>
      <c r="S1521" s="20"/>
      <c r="BP1521" s="10"/>
      <c r="BW1521" s="10"/>
      <c r="CF1521" s="10"/>
      <c r="CM1521" s="10"/>
      <c r="CP1521" s="18" t="str">
        <f ca="1"/>
        <v/>
      </c>
      <c r="CQ1521" s="18" t="str">
        <f ca="1"/>
        <v/>
      </c>
      <c r="CR1521" s="18" t="str">
        <f ca="1"/>
        <v/>
      </c>
      <c r="CS1521" s="18" t="str">
        <f ca="1"/>
        <v/>
      </c>
      <c r="CT1521" s="18" t="str">
        <f ca="1"/>
        <v/>
      </c>
      <c r="CV1521" s="10"/>
      <c r="CY1521" s="18" t="str">
        <f ca="1"/>
        <v/>
      </c>
      <c r="CZ1521" s="18" t="str">
        <f ca="1"/>
        <v/>
      </c>
      <c r="DA1521" s="18" t="str">
        <f ca="1"/>
        <v/>
      </c>
      <c r="DC1521" s="10"/>
    </row>
    <row r="1522" spans="1:107" x14ac:dyDescent="0.25">
      <c r="A1522" s="46"/>
      <c r="B1522" s="52"/>
      <c r="C1522" s="52"/>
      <c r="D1522" s="16"/>
      <c r="E1522" s="52"/>
      <c r="F1522" s="52"/>
      <c r="G1522" s="50"/>
      <c r="H1522" s="17" t="str">
        <f ca="1">IFERROR(__xludf.DUMMYFUNCTION("""COMPUTED_VALUE"""),"")</f>
        <v/>
      </c>
      <c r="I1522" s="50" t="s">
        <v>29</v>
      </c>
      <c r="J1522" s="50" t="s">
        <v>29</v>
      </c>
      <c r="K1522" s="50" t="s">
        <v>29</v>
      </c>
      <c r="L1522" s="50" t="s">
        <v>29</v>
      </c>
      <c r="M1522" s="50" t="s">
        <v>29</v>
      </c>
      <c r="N1522" s="49"/>
      <c r="P1522" s="19"/>
      <c r="Q1522" s="18" t="str">
        <f ca="1">IFERROR(__xludf.DUMMYFUNCTION("""COMPUTED_VALUE"""),"")</f>
        <v/>
      </c>
      <c r="R1522" s="19"/>
      <c r="S1522" s="20"/>
      <c r="BP1522" s="10"/>
      <c r="BW1522" s="10"/>
      <c r="CF1522" s="10"/>
      <c r="CM1522" s="10"/>
      <c r="CP1522" s="18" t="str">
        <f ca="1"/>
        <v/>
      </c>
      <c r="CQ1522" s="18" t="str">
        <f ca="1"/>
        <v/>
      </c>
      <c r="CR1522" s="18" t="str">
        <f ca="1"/>
        <v/>
      </c>
      <c r="CS1522" s="18" t="str">
        <f ca="1"/>
        <v/>
      </c>
      <c r="CT1522" s="18" t="str">
        <f ca="1"/>
        <v/>
      </c>
      <c r="CV1522" s="10"/>
      <c r="CY1522" s="18" t="str">
        <f ca="1"/>
        <v/>
      </c>
      <c r="CZ1522" s="18" t="str">
        <f ca="1"/>
        <v/>
      </c>
      <c r="DA1522" s="18" t="str">
        <f ca="1"/>
        <v/>
      </c>
      <c r="DC1522" s="10"/>
    </row>
    <row r="1523" spans="1:107" x14ac:dyDescent="0.25">
      <c r="A1523" s="46"/>
      <c r="B1523" s="52"/>
      <c r="C1523" s="52"/>
      <c r="D1523" s="16"/>
      <c r="E1523" s="52"/>
      <c r="F1523" s="52"/>
      <c r="G1523" s="50"/>
      <c r="H1523" s="17" t="str">
        <f ca="1">IFERROR(__xludf.DUMMYFUNCTION("""COMPUTED_VALUE"""),"")</f>
        <v/>
      </c>
      <c r="I1523" s="50" t="s">
        <v>29</v>
      </c>
      <c r="J1523" s="50" t="s">
        <v>29</v>
      </c>
      <c r="K1523" s="50" t="s">
        <v>29</v>
      </c>
      <c r="L1523" s="50" t="s">
        <v>29</v>
      </c>
      <c r="M1523" s="50" t="s">
        <v>29</v>
      </c>
      <c r="N1523" s="49"/>
      <c r="P1523" s="19"/>
      <c r="Q1523" s="18" t="str">
        <f ca="1">IFERROR(__xludf.DUMMYFUNCTION("""COMPUTED_VALUE"""),"")</f>
        <v/>
      </c>
      <c r="R1523" s="19"/>
      <c r="S1523" s="20"/>
      <c r="BP1523" s="10"/>
      <c r="BW1523" s="10"/>
      <c r="CF1523" s="10"/>
      <c r="CM1523" s="10"/>
      <c r="CP1523" s="18" t="str">
        <f ca="1"/>
        <v/>
      </c>
      <c r="CQ1523" s="18" t="str">
        <f ca="1"/>
        <v/>
      </c>
      <c r="CR1523" s="18" t="str">
        <f ca="1"/>
        <v/>
      </c>
      <c r="CS1523" s="18" t="str">
        <f ca="1"/>
        <v/>
      </c>
      <c r="CT1523" s="18" t="str">
        <f ca="1"/>
        <v/>
      </c>
      <c r="CV1523" s="10"/>
      <c r="CY1523" s="18" t="str">
        <f ca="1"/>
        <v/>
      </c>
      <c r="CZ1523" s="18" t="str">
        <f ca="1"/>
        <v/>
      </c>
      <c r="DA1523" s="18" t="str">
        <f ca="1"/>
        <v/>
      </c>
      <c r="DC1523" s="10"/>
    </row>
    <row r="1524" spans="1:107" x14ac:dyDescent="0.25">
      <c r="A1524" s="46"/>
      <c r="B1524" s="52"/>
      <c r="C1524" s="52"/>
      <c r="D1524" s="16"/>
      <c r="E1524" s="52"/>
      <c r="F1524" s="52"/>
      <c r="G1524" s="50"/>
      <c r="H1524" s="17" t="str">
        <f ca="1">IFERROR(__xludf.DUMMYFUNCTION("""COMPUTED_VALUE"""),"")</f>
        <v/>
      </c>
      <c r="I1524" s="50" t="s">
        <v>29</v>
      </c>
      <c r="J1524" s="50" t="s">
        <v>29</v>
      </c>
      <c r="K1524" s="50" t="s">
        <v>29</v>
      </c>
      <c r="L1524" s="50" t="s">
        <v>29</v>
      </c>
      <c r="M1524" s="50" t="s">
        <v>29</v>
      </c>
      <c r="N1524" s="49"/>
      <c r="P1524" s="19"/>
      <c r="Q1524" s="18" t="str">
        <f ca="1">IFERROR(__xludf.DUMMYFUNCTION("""COMPUTED_VALUE"""),"")</f>
        <v/>
      </c>
      <c r="R1524" s="19"/>
      <c r="S1524" s="20"/>
      <c r="BP1524" s="10"/>
      <c r="BW1524" s="10"/>
      <c r="CF1524" s="10"/>
      <c r="CM1524" s="10"/>
      <c r="CP1524" s="18" t="str">
        <f ca="1"/>
        <v/>
      </c>
      <c r="CQ1524" s="18" t="str">
        <f ca="1"/>
        <v/>
      </c>
      <c r="CR1524" s="18" t="str">
        <f ca="1"/>
        <v/>
      </c>
      <c r="CS1524" s="18" t="str">
        <f ca="1"/>
        <v/>
      </c>
      <c r="CT1524" s="18" t="str">
        <f ca="1"/>
        <v/>
      </c>
      <c r="CV1524" s="10"/>
      <c r="CY1524" s="18" t="str">
        <f ca="1"/>
        <v/>
      </c>
      <c r="CZ1524" s="18" t="str">
        <f ca="1"/>
        <v/>
      </c>
      <c r="DA1524" s="18" t="str">
        <f ca="1"/>
        <v/>
      </c>
      <c r="DC1524" s="10"/>
    </row>
    <row r="1525" spans="1:107" x14ac:dyDescent="0.25">
      <c r="A1525" s="46"/>
      <c r="B1525" s="52"/>
      <c r="C1525" s="52"/>
      <c r="D1525" s="16"/>
      <c r="E1525" s="52"/>
      <c r="F1525" s="52"/>
      <c r="G1525" s="50"/>
      <c r="H1525" s="17" t="str">
        <f ca="1">IFERROR(__xludf.DUMMYFUNCTION("""COMPUTED_VALUE"""),"")</f>
        <v/>
      </c>
      <c r="I1525" s="50" t="s">
        <v>29</v>
      </c>
      <c r="J1525" s="50" t="s">
        <v>29</v>
      </c>
      <c r="K1525" s="50" t="s">
        <v>29</v>
      </c>
      <c r="L1525" s="50" t="s">
        <v>29</v>
      </c>
      <c r="M1525" s="50" t="s">
        <v>29</v>
      </c>
      <c r="N1525" s="49"/>
      <c r="P1525" s="19"/>
      <c r="Q1525" s="18" t="str">
        <f ca="1">IFERROR(__xludf.DUMMYFUNCTION("""COMPUTED_VALUE"""),"")</f>
        <v/>
      </c>
      <c r="R1525" s="19"/>
      <c r="S1525" s="20"/>
      <c r="BP1525" s="10"/>
      <c r="BW1525" s="10"/>
      <c r="CF1525" s="10"/>
      <c r="CM1525" s="10"/>
      <c r="CP1525" s="18" t="str">
        <f ca="1"/>
        <v/>
      </c>
      <c r="CQ1525" s="18" t="str">
        <f ca="1"/>
        <v/>
      </c>
      <c r="CR1525" s="18" t="str">
        <f ca="1"/>
        <v/>
      </c>
      <c r="CS1525" s="18" t="str">
        <f ca="1"/>
        <v/>
      </c>
      <c r="CT1525" s="18" t="str">
        <f ca="1"/>
        <v/>
      </c>
      <c r="CV1525" s="10"/>
      <c r="CY1525" s="18" t="str">
        <f ca="1"/>
        <v/>
      </c>
      <c r="CZ1525" s="18" t="str">
        <f ca="1"/>
        <v/>
      </c>
      <c r="DA1525" s="18" t="str">
        <f ca="1"/>
        <v/>
      </c>
      <c r="DC1525" s="10"/>
    </row>
    <row r="1526" spans="1:107" x14ac:dyDescent="0.25">
      <c r="A1526" s="46"/>
      <c r="B1526" s="52"/>
      <c r="C1526" s="52"/>
      <c r="D1526" s="16"/>
      <c r="E1526" s="52"/>
      <c r="F1526" s="52"/>
      <c r="G1526" s="50"/>
      <c r="H1526" s="17" t="str">
        <f ca="1">IFERROR(__xludf.DUMMYFUNCTION("""COMPUTED_VALUE"""),"")</f>
        <v/>
      </c>
      <c r="I1526" s="50" t="s">
        <v>29</v>
      </c>
      <c r="J1526" s="50" t="s">
        <v>29</v>
      </c>
      <c r="K1526" s="50" t="s">
        <v>29</v>
      </c>
      <c r="L1526" s="50" t="s">
        <v>29</v>
      </c>
      <c r="M1526" s="50" t="s">
        <v>29</v>
      </c>
      <c r="N1526" s="49"/>
      <c r="P1526" s="19"/>
      <c r="Q1526" s="18" t="str">
        <f ca="1">IFERROR(__xludf.DUMMYFUNCTION("""COMPUTED_VALUE"""),"")</f>
        <v/>
      </c>
      <c r="R1526" s="19"/>
      <c r="S1526" s="20"/>
      <c r="BP1526" s="10"/>
      <c r="BW1526" s="10"/>
      <c r="CF1526" s="10"/>
      <c r="CM1526" s="10"/>
      <c r="CP1526" s="18" t="str">
        <f ca="1"/>
        <v/>
      </c>
      <c r="CQ1526" s="18" t="str">
        <f ca="1"/>
        <v/>
      </c>
      <c r="CR1526" s="18" t="str">
        <f ca="1"/>
        <v/>
      </c>
      <c r="CS1526" s="18" t="str">
        <f ca="1"/>
        <v/>
      </c>
      <c r="CT1526" s="18" t="str">
        <f ca="1"/>
        <v/>
      </c>
      <c r="CV1526" s="10"/>
      <c r="CY1526" s="18" t="str">
        <f ca="1"/>
        <v/>
      </c>
      <c r="CZ1526" s="18" t="str">
        <f ca="1"/>
        <v/>
      </c>
      <c r="DA1526" s="18" t="str">
        <f ca="1"/>
        <v/>
      </c>
      <c r="DC1526" s="10"/>
    </row>
    <row r="1527" spans="1:107" x14ac:dyDescent="0.25">
      <c r="A1527" s="46"/>
      <c r="B1527" s="52"/>
      <c r="C1527" s="52"/>
      <c r="D1527" s="16"/>
      <c r="E1527" s="52"/>
      <c r="F1527" s="52"/>
      <c r="G1527" s="50"/>
      <c r="H1527" s="17" t="str">
        <f ca="1">IFERROR(__xludf.DUMMYFUNCTION("""COMPUTED_VALUE"""),"")</f>
        <v/>
      </c>
      <c r="I1527" s="50" t="s">
        <v>29</v>
      </c>
      <c r="J1527" s="50" t="s">
        <v>29</v>
      </c>
      <c r="K1527" s="50" t="s">
        <v>29</v>
      </c>
      <c r="L1527" s="50" t="s">
        <v>29</v>
      </c>
      <c r="M1527" s="50" t="s">
        <v>29</v>
      </c>
      <c r="N1527" s="49"/>
      <c r="P1527" s="19"/>
      <c r="Q1527" s="18" t="str">
        <f ca="1">IFERROR(__xludf.DUMMYFUNCTION("""COMPUTED_VALUE"""),"")</f>
        <v/>
      </c>
      <c r="R1527" s="19"/>
      <c r="S1527" s="20"/>
      <c r="BP1527" s="10"/>
      <c r="BW1527" s="10"/>
      <c r="CF1527" s="10"/>
      <c r="CM1527" s="10"/>
      <c r="CP1527" s="18" t="str">
        <f ca="1"/>
        <v/>
      </c>
      <c r="CQ1527" s="18" t="str">
        <f ca="1"/>
        <v/>
      </c>
      <c r="CR1527" s="18" t="str">
        <f ca="1"/>
        <v/>
      </c>
      <c r="CS1527" s="18" t="str">
        <f ca="1"/>
        <v/>
      </c>
      <c r="CT1527" s="18" t="str">
        <f ca="1"/>
        <v/>
      </c>
      <c r="CV1527" s="10"/>
      <c r="CY1527" s="18" t="str">
        <f ca="1"/>
        <v/>
      </c>
      <c r="CZ1527" s="18" t="str">
        <f ca="1"/>
        <v/>
      </c>
      <c r="DA1527" s="18" t="str">
        <f ca="1"/>
        <v/>
      </c>
      <c r="DC1527" s="10"/>
    </row>
    <row r="1528" spans="1:107" x14ac:dyDescent="0.25">
      <c r="A1528" s="46"/>
      <c r="B1528" s="52"/>
      <c r="C1528" s="52"/>
      <c r="D1528" s="16"/>
      <c r="E1528" s="52"/>
      <c r="F1528" s="52"/>
      <c r="G1528" s="50"/>
      <c r="H1528" s="17" t="str">
        <f ca="1">IFERROR(__xludf.DUMMYFUNCTION("""COMPUTED_VALUE"""),"")</f>
        <v/>
      </c>
      <c r="I1528" s="50" t="s">
        <v>29</v>
      </c>
      <c r="J1528" s="50" t="s">
        <v>29</v>
      </c>
      <c r="K1528" s="50" t="s">
        <v>29</v>
      </c>
      <c r="L1528" s="50" t="s">
        <v>29</v>
      </c>
      <c r="M1528" s="50" t="s">
        <v>29</v>
      </c>
      <c r="N1528" s="49"/>
      <c r="P1528" s="19"/>
      <c r="Q1528" s="18" t="str">
        <f ca="1">IFERROR(__xludf.DUMMYFUNCTION("""COMPUTED_VALUE"""),"")</f>
        <v/>
      </c>
      <c r="R1528" s="19"/>
      <c r="S1528" s="20"/>
      <c r="BP1528" s="10"/>
      <c r="BW1528" s="10"/>
      <c r="CF1528" s="10"/>
      <c r="CM1528" s="10"/>
      <c r="CP1528" s="18" t="str">
        <f ca="1"/>
        <v/>
      </c>
      <c r="CQ1528" s="18" t="str">
        <f ca="1"/>
        <v/>
      </c>
      <c r="CR1528" s="18" t="str">
        <f ca="1"/>
        <v/>
      </c>
      <c r="CS1528" s="18" t="str">
        <f ca="1"/>
        <v/>
      </c>
      <c r="CT1528" s="18" t="str">
        <f ca="1"/>
        <v/>
      </c>
      <c r="CV1528" s="10"/>
      <c r="CY1528" s="18" t="str">
        <f ca="1"/>
        <v/>
      </c>
      <c r="CZ1528" s="18" t="str">
        <f ca="1"/>
        <v/>
      </c>
      <c r="DA1528" s="18" t="str">
        <f ca="1"/>
        <v/>
      </c>
      <c r="DC1528" s="10"/>
    </row>
    <row r="1529" spans="1:107" x14ac:dyDescent="0.25">
      <c r="A1529" s="46"/>
      <c r="B1529" s="52"/>
      <c r="C1529" s="52"/>
      <c r="D1529" s="16"/>
      <c r="E1529" s="52"/>
      <c r="F1529" s="52"/>
      <c r="G1529" s="50"/>
      <c r="H1529" s="17" t="str">
        <f ca="1">IFERROR(__xludf.DUMMYFUNCTION("""COMPUTED_VALUE"""),"")</f>
        <v/>
      </c>
      <c r="I1529" s="50" t="s">
        <v>29</v>
      </c>
      <c r="J1529" s="50" t="s">
        <v>29</v>
      </c>
      <c r="K1529" s="50" t="s">
        <v>29</v>
      </c>
      <c r="L1529" s="50" t="s">
        <v>29</v>
      </c>
      <c r="M1529" s="50" t="s">
        <v>29</v>
      </c>
      <c r="N1529" s="49"/>
      <c r="P1529" s="19"/>
      <c r="Q1529" s="18" t="str">
        <f ca="1">IFERROR(__xludf.DUMMYFUNCTION("""COMPUTED_VALUE"""),"")</f>
        <v/>
      </c>
      <c r="R1529" s="19"/>
      <c r="S1529" s="20"/>
      <c r="BP1529" s="10"/>
      <c r="BW1529" s="10"/>
      <c r="CF1529" s="10"/>
      <c r="CM1529" s="10"/>
      <c r="CP1529" s="18" t="str">
        <f ca="1"/>
        <v/>
      </c>
      <c r="CQ1529" s="18" t="str">
        <f ca="1"/>
        <v/>
      </c>
      <c r="CR1529" s="18" t="str">
        <f ca="1"/>
        <v/>
      </c>
      <c r="CS1529" s="18" t="str">
        <f ca="1"/>
        <v/>
      </c>
      <c r="CT1529" s="18" t="str">
        <f ca="1"/>
        <v/>
      </c>
      <c r="CV1529" s="10"/>
      <c r="CY1529" s="18" t="str">
        <f ca="1"/>
        <v/>
      </c>
      <c r="CZ1529" s="18" t="str">
        <f ca="1"/>
        <v/>
      </c>
      <c r="DA1529" s="18" t="str">
        <f ca="1"/>
        <v/>
      </c>
      <c r="DC1529" s="10"/>
    </row>
    <row r="1530" spans="1:107" x14ac:dyDescent="0.25">
      <c r="A1530" s="46"/>
      <c r="B1530" s="52"/>
      <c r="C1530" s="52"/>
      <c r="D1530" s="16"/>
      <c r="E1530" s="52"/>
      <c r="F1530" s="52"/>
      <c r="G1530" s="50"/>
      <c r="H1530" s="17" t="str">
        <f ca="1">IFERROR(__xludf.DUMMYFUNCTION("""COMPUTED_VALUE"""),"")</f>
        <v/>
      </c>
      <c r="I1530" s="50" t="s">
        <v>29</v>
      </c>
      <c r="J1530" s="50" t="s">
        <v>29</v>
      </c>
      <c r="K1530" s="50" t="s">
        <v>29</v>
      </c>
      <c r="L1530" s="50" t="s">
        <v>29</v>
      </c>
      <c r="M1530" s="50" t="s">
        <v>29</v>
      </c>
      <c r="N1530" s="49"/>
      <c r="P1530" s="19"/>
      <c r="Q1530" s="18" t="str">
        <f ca="1">IFERROR(__xludf.DUMMYFUNCTION("""COMPUTED_VALUE"""),"")</f>
        <v/>
      </c>
      <c r="R1530" s="19"/>
      <c r="S1530" s="20"/>
      <c r="BP1530" s="10"/>
      <c r="BW1530" s="10"/>
      <c r="CF1530" s="10"/>
      <c r="CM1530" s="10"/>
      <c r="CP1530" s="18" t="str">
        <f ca="1"/>
        <v/>
      </c>
      <c r="CQ1530" s="18" t="str">
        <f ca="1"/>
        <v/>
      </c>
      <c r="CR1530" s="18" t="str">
        <f ca="1"/>
        <v/>
      </c>
      <c r="CS1530" s="18" t="str">
        <f ca="1"/>
        <v/>
      </c>
      <c r="CT1530" s="18" t="str">
        <f ca="1"/>
        <v/>
      </c>
      <c r="CV1530" s="10"/>
      <c r="CY1530" s="18" t="str">
        <f ca="1"/>
        <v/>
      </c>
      <c r="CZ1530" s="18" t="str">
        <f ca="1"/>
        <v/>
      </c>
      <c r="DA1530" s="18" t="str">
        <f ca="1"/>
        <v/>
      </c>
      <c r="DC1530" s="10"/>
    </row>
    <row r="1531" spans="1:107" x14ac:dyDescent="0.25">
      <c r="A1531" s="46"/>
      <c r="B1531" s="52"/>
      <c r="C1531" s="52"/>
      <c r="D1531" s="16"/>
      <c r="E1531" s="52"/>
      <c r="F1531" s="52"/>
      <c r="G1531" s="50"/>
      <c r="H1531" s="17" t="str">
        <f ca="1">IFERROR(__xludf.DUMMYFUNCTION("""COMPUTED_VALUE"""),"")</f>
        <v/>
      </c>
      <c r="I1531" s="50" t="s">
        <v>29</v>
      </c>
      <c r="J1531" s="50" t="s">
        <v>29</v>
      </c>
      <c r="K1531" s="50" t="s">
        <v>29</v>
      </c>
      <c r="L1531" s="50" t="s">
        <v>29</v>
      </c>
      <c r="M1531" s="50" t="s">
        <v>29</v>
      </c>
      <c r="N1531" s="49"/>
      <c r="P1531" s="19"/>
      <c r="Q1531" s="18" t="str">
        <f ca="1">IFERROR(__xludf.DUMMYFUNCTION("""COMPUTED_VALUE"""),"")</f>
        <v/>
      </c>
      <c r="R1531" s="19"/>
      <c r="S1531" s="20"/>
      <c r="BP1531" s="10"/>
      <c r="BW1531" s="10"/>
      <c r="CF1531" s="10"/>
      <c r="CM1531" s="10"/>
      <c r="CP1531" s="18" t="str">
        <f ca="1"/>
        <v/>
      </c>
      <c r="CQ1531" s="18" t="str">
        <f ca="1"/>
        <v/>
      </c>
      <c r="CR1531" s="18" t="str">
        <f ca="1"/>
        <v/>
      </c>
      <c r="CS1531" s="18" t="str">
        <f ca="1"/>
        <v/>
      </c>
      <c r="CT1531" s="18" t="str">
        <f ca="1"/>
        <v/>
      </c>
      <c r="CV1531" s="10"/>
      <c r="CY1531" s="18" t="str">
        <f ca="1"/>
        <v/>
      </c>
      <c r="CZ1531" s="18" t="str">
        <f ca="1"/>
        <v/>
      </c>
      <c r="DA1531" s="18" t="str">
        <f ca="1"/>
        <v/>
      </c>
      <c r="DC1531" s="10"/>
    </row>
    <row r="1532" spans="1:107" x14ac:dyDescent="0.25">
      <c r="A1532" s="46"/>
      <c r="B1532" s="52"/>
      <c r="C1532" s="52"/>
      <c r="D1532" s="16"/>
      <c r="E1532" s="52"/>
      <c r="F1532" s="52"/>
      <c r="G1532" s="50"/>
      <c r="H1532" s="17" t="str">
        <f ca="1">IFERROR(__xludf.DUMMYFUNCTION("""COMPUTED_VALUE"""),"")</f>
        <v/>
      </c>
      <c r="I1532" s="50" t="s">
        <v>29</v>
      </c>
      <c r="J1532" s="50" t="s">
        <v>29</v>
      </c>
      <c r="K1532" s="50" t="s">
        <v>29</v>
      </c>
      <c r="L1532" s="50" t="s">
        <v>29</v>
      </c>
      <c r="M1532" s="50" t="s">
        <v>29</v>
      </c>
      <c r="N1532" s="49"/>
      <c r="P1532" s="19"/>
      <c r="Q1532" s="18" t="str">
        <f ca="1">IFERROR(__xludf.DUMMYFUNCTION("""COMPUTED_VALUE"""),"")</f>
        <v/>
      </c>
      <c r="R1532" s="19"/>
      <c r="S1532" s="20"/>
      <c r="BP1532" s="10"/>
      <c r="BW1532" s="10"/>
      <c r="CF1532" s="10"/>
      <c r="CM1532" s="10"/>
      <c r="CP1532" s="18" t="str">
        <f ca="1"/>
        <v/>
      </c>
      <c r="CQ1532" s="18" t="str">
        <f ca="1"/>
        <v/>
      </c>
      <c r="CR1532" s="18" t="str">
        <f ca="1"/>
        <v/>
      </c>
      <c r="CS1532" s="18" t="str">
        <f ca="1"/>
        <v/>
      </c>
      <c r="CT1532" s="18" t="str">
        <f ca="1"/>
        <v/>
      </c>
      <c r="CV1532" s="10"/>
      <c r="CY1532" s="18" t="str">
        <f ca="1"/>
        <v/>
      </c>
      <c r="CZ1532" s="18" t="str">
        <f ca="1"/>
        <v/>
      </c>
      <c r="DA1532" s="18" t="str">
        <f ca="1"/>
        <v/>
      </c>
      <c r="DC1532" s="10"/>
    </row>
    <row r="1533" spans="1:107" x14ac:dyDescent="0.25">
      <c r="A1533" s="46"/>
      <c r="B1533" s="52"/>
      <c r="C1533" s="52"/>
      <c r="D1533" s="16"/>
      <c r="E1533" s="52"/>
      <c r="F1533" s="52"/>
      <c r="G1533" s="50"/>
      <c r="H1533" s="17" t="str">
        <f ca="1">IFERROR(__xludf.DUMMYFUNCTION("""COMPUTED_VALUE"""),"")</f>
        <v/>
      </c>
      <c r="I1533" s="50" t="s">
        <v>29</v>
      </c>
      <c r="J1533" s="50" t="s">
        <v>29</v>
      </c>
      <c r="K1533" s="50" t="s">
        <v>29</v>
      </c>
      <c r="L1533" s="50" t="s">
        <v>29</v>
      </c>
      <c r="M1533" s="50" t="s">
        <v>29</v>
      </c>
      <c r="N1533" s="49"/>
      <c r="P1533" s="19"/>
      <c r="Q1533" s="18" t="str">
        <f ca="1">IFERROR(__xludf.DUMMYFUNCTION("""COMPUTED_VALUE"""),"")</f>
        <v/>
      </c>
      <c r="R1533" s="19"/>
      <c r="S1533" s="20"/>
      <c r="BP1533" s="10"/>
      <c r="BW1533" s="10"/>
      <c r="CF1533" s="10"/>
      <c r="CM1533" s="10"/>
      <c r="CP1533" s="18" t="str">
        <f ca="1"/>
        <v/>
      </c>
      <c r="CQ1533" s="18" t="str">
        <f ca="1"/>
        <v/>
      </c>
      <c r="CR1533" s="18" t="str">
        <f ca="1"/>
        <v/>
      </c>
      <c r="CS1533" s="18" t="str">
        <f ca="1"/>
        <v/>
      </c>
      <c r="CT1533" s="18" t="str">
        <f ca="1"/>
        <v/>
      </c>
      <c r="CV1533" s="10"/>
      <c r="CY1533" s="18" t="str">
        <f ca="1"/>
        <v/>
      </c>
      <c r="CZ1533" s="18" t="str">
        <f ca="1"/>
        <v/>
      </c>
      <c r="DA1533" s="18" t="str">
        <f ca="1"/>
        <v/>
      </c>
      <c r="DC1533" s="10"/>
    </row>
    <row r="1534" spans="1:107" x14ac:dyDescent="0.25">
      <c r="A1534" s="46"/>
      <c r="B1534" s="52"/>
      <c r="C1534" s="52"/>
      <c r="D1534" s="16"/>
      <c r="E1534" s="52"/>
      <c r="F1534" s="52"/>
      <c r="G1534" s="50"/>
      <c r="H1534" s="17" t="str">
        <f ca="1">IFERROR(__xludf.DUMMYFUNCTION("""COMPUTED_VALUE"""),"")</f>
        <v/>
      </c>
      <c r="I1534" s="50" t="s">
        <v>29</v>
      </c>
      <c r="J1534" s="50" t="s">
        <v>29</v>
      </c>
      <c r="K1534" s="50" t="s">
        <v>29</v>
      </c>
      <c r="L1534" s="50" t="s">
        <v>29</v>
      </c>
      <c r="M1534" s="50" t="s">
        <v>29</v>
      </c>
      <c r="N1534" s="49"/>
      <c r="P1534" s="19"/>
      <c r="Q1534" s="18" t="str">
        <f ca="1">IFERROR(__xludf.DUMMYFUNCTION("""COMPUTED_VALUE"""),"")</f>
        <v/>
      </c>
      <c r="R1534" s="19"/>
      <c r="S1534" s="20"/>
      <c r="BP1534" s="10"/>
      <c r="BW1534" s="10"/>
      <c r="CF1534" s="10"/>
      <c r="CM1534" s="10"/>
      <c r="CP1534" s="18" t="str">
        <f ca="1"/>
        <v/>
      </c>
      <c r="CQ1534" s="18" t="str">
        <f ca="1"/>
        <v/>
      </c>
      <c r="CR1534" s="18" t="str">
        <f ca="1"/>
        <v/>
      </c>
      <c r="CS1534" s="18" t="str">
        <f ca="1"/>
        <v/>
      </c>
      <c r="CT1534" s="18" t="str">
        <f ca="1"/>
        <v/>
      </c>
      <c r="CV1534" s="10"/>
      <c r="CY1534" s="18" t="str">
        <f ca="1"/>
        <v/>
      </c>
      <c r="CZ1534" s="18" t="str">
        <f ca="1"/>
        <v/>
      </c>
      <c r="DA1534" s="18" t="str">
        <f ca="1"/>
        <v/>
      </c>
      <c r="DC1534" s="10"/>
    </row>
    <row r="1535" spans="1:107" x14ac:dyDescent="0.25">
      <c r="A1535" s="46"/>
      <c r="B1535" s="52"/>
      <c r="C1535" s="52"/>
      <c r="D1535" s="16"/>
      <c r="E1535" s="52"/>
      <c r="F1535" s="52"/>
      <c r="G1535" s="50"/>
      <c r="H1535" s="17" t="str">
        <f ca="1">IFERROR(__xludf.DUMMYFUNCTION("""COMPUTED_VALUE"""),"")</f>
        <v/>
      </c>
      <c r="I1535" s="50" t="s">
        <v>29</v>
      </c>
      <c r="J1535" s="50" t="s">
        <v>29</v>
      </c>
      <c r="K1535" s="50" t="s">
        <v>29</v>
      </c>
      <c r="L1535" s="50" t="s">
        <v>29</v>
      </c>
      <c r="M1535" s="50" t="s">
        <v>29</v>
      </c>
      <c r="N1535" s="49"/>
      <c r="P1535" s="19"/>
      <c r="Q1535" s="18" t="str">
        <f ca="1">IFERROR(__xludf.DUMMYFUNCTION("""COMPUTED_VALUE"""),"")</f>
        <v/>
      </c>
      <c r="R1535" s="19"/>
      <c r="S1535" s="20"/>
      <c r="BP1535" s="10"/>
      <c r="BW1535" s="10"/>
      <c r="CF1535" s="10"/>
      <c r="CM1535" s="10"/>
      <c r="CP1535" s="18" t="str">
        <f ca="1"/>
        <v/>
      </c>
      <c r="CQ1535" s="18" t="str">
        <f ca="1"/>
        <v/>
      </c>
      <c r="CR1535" s="18" t="str">
        <f ca="1"/>
        <v/>
      </c>
      <c r="CS1535" s="18" t="str">
        <f ca="1"/>
        <v/>
      </c>
      <c r="CT1535" s="18" t="str">
        <f ca="1"/>
        <v/>
      </c>
      <c r="CV1535" s="10"/>
      <c r="CY1535" s="18" t="str">
        <f ca="1"/>
        <v/>
      </c>
      <c r="CZ1535" s="18" t="str">
        <f ca="1"/>
        <v/>
      </c>
      <c r="DA1535" s="18" t="str">
        <f ca="1"/>
        <v/>
      </c>
      <c r="DC1535" s="10"/>
    </row>
    <row r="1536" spans="1:107" x14ac:dyDescent="0.25">
      <c r="A1536" s="46"/>
      <c r="B1536" s="52"/>
      <c r="C1536" s="52"/>
      <c r="D1536" s="16"/>
      <c r="E1536" s="52"/>
      <c r="F1536" s="52"/>
      <c r="G1536" s="50"/>
      <c r="H1536" s="17" t="str">
        <f ca="1">IFERROR(__xludf.DUMMYFUNCTION("""COMPUTED_VALUE"""),"")</f>
        <v/>
      </c>
      <c r="I1536" s="50" t="s">
        <v>29</v>
      </c>
      <c r="J1536" s="50" t="s">
        <v>29</v>
      </c>
      <c r="K1536" s="50" t="s">
        <v>29</v>
      </c>
      <c r="L1536" s="50" t="s">
        <v>29</v>
      </c>
      <c r="M1536" s="50" t="s">
        <v>29</v>
      </c>
      <c r="N1536" s="49"/>
      <c r="P1536" s="19"/>
      <c r="Q1536" s="18" t="str">
        <f ca="1">IFERROR(__xludf.DUMMYFUNCTION("""COMPUTED_VALUE"""),"")</f>
        <v/>
      </c>
      <c r="R1536" s="19"/>
      <c r="S1536" s="20"/>
      <c r="BP1536" s="10"/>
      <c r="BW1536" s="10"/>
      <c r="CF1536" s="10"/>
      <c r="CM1536" s="10"/>
      <c r="CP1536" s="18" t="str">
        <f ca="1"/>
        <v/>
      </c>
      <c r="CQ1536" s="18" t="str">
        <f ca="1"/>
        <v/>
      </c>
      <c r="CR1536" s="18" t="str">
        <f ca="1"/>
        <v/>
      </c>
      <c r="CS1536" s="18" t="str">
        <f ca="1"/>
        <v/>
      </c>
      <c r="CT1536" s="18" t="str">
        <f ca="1"/>
        <v/>
      </c>
      <c r="CV1536" s="10"/>
      <c r="CY1536" s="18" t="str">
        <f ca="1"/>
        <v/>
      </c>
      <c r="CZ1536" s="18" t="str">
        <f ca="1"/>
        <v/>
      </c>
      <c r="DA1536" s="18" t="str">
        <f ca="1"/>
        <v/>
      </c>
      <c r="DC1536" s="10"/>
    </row>
    <row r="1537" spans="1:107" x14ac:dyDescent="0.25">
      <c r="A1537" s="46"/>
      <c r="B1537" s="52"/>
      <c r="C1537" s="52"/>
      <c r="D1537" s="16"/>
      <c r="E1537" s="52"/>
      <c r="F1537" s="52"/>
      <c r="G1537" s="50"/>
      <c r="H1537" s="17" t="str">
        <f ca="1">IFERROR(__xludf.DUMMYFUNCTION("""COMPUTED_VALUE"""),"")</f>
        <v/>
      </c>
      <c r="I1537" s="50" t="s">
        <v>29</v>
      </c>
      <c r="J1537" s="50" t="s">
        <v>29</v>
      </c>
      <c r="K1537" s="50" t="s">
        <v>29</v>
      </c>
      <c r="L1537" s="50" t="s">
        <v>29</v>
      </c>
      <c r="M1537" s="50" t="s">
        <v>29</v>
      </c>
      <c r="N1537" s="49"/>
      <c r="P1537" s="19"/>
      <c r="Q1537" s="18" t="str">
        <f ca="1">IFERROR(__xludf.DUMMYFUNCTION("""COMPUTED_VALUE"""),"")</f>
        <v/>
      </c>
      <c r="R1537" s="19"/>
      <c r="S1537" s="20"/>
      <c r="BP1537" s="10"/>
      <c r="BW1537" s="10"/>
      <c r="CF1537" s="10"/>
      <c r="CM1537" s="10"/>
      <c r="CP1537" s="18" t="str">
        <f ca="1"/>
        <v/>
      </c>
      <c r="CQ1537" s="18" t="str">
        <f ca="1"/>
        <v/>
      </c>
      <c r="CR1537" s="18" t="str">
        <f ca="1"/>
        <v/>
      </c>
      <c r="CS1537" s="18" t="str">
        <f ca="1"/>
        <v/>
      </c>
      <c r="CT1537" s="18" t="str">
        <f ca="1"/>
        <v/>
      </c>
      <c r="CV1537" s="10"/>
      <c r="CY1537" s="18" t="str">
        <f ca="1"/>
        <v/>
      </c>
      <c r="CZ1537" s="18" t="str">
        <f ca="1"/>
        <v/>
      </c>
      <c r="DA1537" s="18" t="str">
        <f ca="1"/>
        <v/>
      </c>
      <c r="DC1537" s="10"/>
    </row>
    <row r="1538" spans="1:107" x14ac:dyDescent="0.25">
      <c r="A1538" s="46"/>
      <c r="B1538" s="52"/>
      <c r="C1538" s="52"/>
      <c r="D1538" s="16"/>
      <c r="E1538" s="52"/>
      <c r="F1538" s="52"/>
      <c r="G1538" s="50"/>
      <c r="H1538" s="17" t="str">
        <f ca="1">IFERROR(__xludf.DUMMYFUNCTION("""COMPUTED_VALUE"""),"")</f>
        <v/>
      </c>
      <c r="I1538" s="50" t="s">
        <v>29</v>
      </c>
      <c r="J1538" s="50" t="s">
        <v>29</v>
      </c>
      <c r="K1538" s="50" t="s">
        <v>29</v>
      </c>
      <c r="L1538" s="50" t="s">
        <v>29</v>
      </c>
      <c r="M1538" s="50" t="s">
        <v>29</v>
      </c>
      <c r="N1538" s="49"/>
      <c r="P1538" s="19"/>
      <c r="Q1538" s="18" t="str">
        <f ca="1">IFERROR(__xludf.DUMMYFUNCTION("""COMPUTED_VALUE"""),"")</f>
        <v/>
      </c>
      <c r="R1538" s="19"/>
      <c r="S1538" s="20"/>
      <c r="BP1538" s="10"/>
      <c r="BW1538" s="10"/>
      <c r="CF1538" s="10"/>
      <c r="CM1538" s="10"/>
      <c r="CP1538" s="18" t="str">
        <f ca="1"/>
        <v/>
      </c>
      <c r="CQ1538" s="18" t="str">
        <f ca="1"/>
        <v/>
      </c>
      <c r="CR1538" s="18" t="str">
        <f ca="1"/>
        <v/>
      </c>
      <c r="CS1538" s="18" t="str">
        <f ca="1"/>
        <v/>
      </c>
      <c r="CT1538" s="18" t="str">
        <f ca="1"/>
        <v/>
      </c>
      <c r="CV1538" s="10"/>
      <c r="CY1538" s="18" t="str">
        <f ca="1"/>
        <v/>
      </c>
      <c r="CZ1538" s="18" t="str">
        <f ca="1"/>
        <v/>
      </c>
      <c r="DA1538" s="18" t="str">
        <f ca="1"/>
        <v/>
      </c>
      <c r="DC1538" s="10"/>
    </row>
    <row r="1539" spans="1:107" x14ac:dyDescent="0.25">
      <c r="A1539" s="46"/>
      <c r="B1539" s="52"/>
      <c r="C1539" s="52"/>
      <c r="D1539" s="16"/>
      <c r="E1539" s="52"/>
      <c r="F1539" s="52"/>
      <c r="G1539" s="50"/>
      <c r="H1539" s="17" t="str">
        <f ca="1">IFERROR(__xludf.DUMMYFUNCTION("""COMPUTED_VALUE"""),"")</f>
        <v/>
      </c>
      <c r="I1539" s="50" t="s">
        <v>29</v>
      </c>
      <c r="J1539" s="50" t="s">
        <v>29</v>
      </c>
      <c r="K1539" s="50" t="s">
        <v>29</v>
      </c>
      <c r="L1539" s="50" t="s">
        <v>29</v>
      </c>
      <c r="M1539" s="50" t="s">
        <v>29</v>
      </c>
      <c r="N1539" s="49"/>
      <c r="P1539" s="19"/>
      <c r="Q1539" s="18" t="str">
        <f ca="1">IFERROR(__xludf.DUMMYFUNCTION("""COMPUTED_VALUE"""),"")</f>
        <v/>
      </c>
      <c r="R1539" s="19"/>
      <c r="S1539" s="20"/>
      <c r="BP1539" s="10"/>
      <c r="BW1539" s="10"/>
      <c r="CF1539" s="10"/>
      <c r="CM1539" s="10"/>
      <c r="CP1539" s="18" t="str">
        <f ca="1"/>
        <v/>
      </c>
      <c r="CQ1539" s="18" t="str">
        <f ca="1"/>
        <v/>
      </c>
      <c r="CR1539" s="18" t="str">
        <f ca="1"/>
        <v/>
      </c>
      <c r="CS1539" s="18" t="str">
        <f ca="1"/>
        <v/>
      </c>
      <c r="CT1539" s="18" t="str">
        <f ca="1"/>
        <v/>
      </c>
      <c r="CV1539" s="10"/>
      <c r="CY1539" s="18" t="str">
        <f ca="1"/>
        <v/>
      </c>
      <c r="CZ1539" s="18" t="str">
        <f ca="1"/>
        <v/>
      </c>
      <c r="DA1539" s="18" t="str">
        <f ca="1"/>
        <v/>
      </c>
      <c r="DC1539" s="10"/>
    </row>
    <row r="1540" spans="1:107" x14ac:dyDescent="0.25">
      <c r="A1540" s="46"/>
      <c r="B1540" s="52"/>
      <c r="C1540" s="52"/>
      <c r="D1540" s="16"/>
      <c r="E1540" s="52"/>
      <c r="F1540" s="52"/>
      <c r="G1540" s="50"/>
      <c r="H1540" s="17" t="str">
        <f ca="1">IFERROR(__xludf.DUMMYFUNCTION("""COMPUTED_VALUE"""),"")</f>
        <v/>
      </c>
      <c r="I1540" s="50" t="s">
        <v>29</v>
      </c>
      <c r="J1540" s="50" t="s">
        <v>29</v>
      </c>
      <c r="K1540" s="50" t="s">
        <v>29</v>
      </c>
      <c r="L1540" s="50" t="s">
        <v>29</v>
      </c>
      <c r="M1540" s="50" t="s">
        <v>29</v>
      </c>
      <c r="N1540" s="49"/>
      <c r="P1540" s="19"/>
      <c r="Q1540" s="18" t="str">
        <f ca="1">IFERROR(__xludf.DUMMYFUNCTION("""COMPUTED_VALUE"""),"")</f>
        <v/>
      </c>
      <c r="R1540" s="19"/>
      <c r="S1540" s="20"/>
      <c r="BP1540" s="10"/>
      <c r="BW1540" s="10"/>
      <c r="CF1540" s="10"/>
      <c r="CM1540" s="10"/>
      <c r="CP1540" s="18" t="str">
        <f ca="1"/>
        <v/>
      </c>
      <c r="CQ1540" s="18" t="str">
        <f ca="1"/>
        <v/>
      </c>
      <c r="CR1540" s="18" t="str">
        <f ca="1"/>
        <v/>
      </c>
      <c r="CS1540" s="18" t="str">
        <f ca="1"/>
        <v/>
      </c>
      <c r="CT1540" s="18" t="str">
        <f ca="1"/>
        <v/>
      </c>
      <c r="CV1540" s="10"/>
      <c r="CY1540" s="18" t="str">
        <f ca="1"/>
        <v/>
      </c>
      <c r="CZ1540" s="18" t="str">
        <f ca="1"/>
        <v/>
      </c>
      <c r="DA1540" s="18" t="str">
        <f ca="1"/>
        <v/>
      </c>
      <c r="DC1540" s="10"/>
    </row>
    <row r="1541" spans="1:107" x14ac:dyDescent="0.25">
      <c r="A1541" s="46"/>
      <c r="B1541" s="52"/>
      <c r="C1541" s="52"/>
      <c r="D1541" s="16"/>
      <c r="E1541" s="52"/>
      <c r="F1541" s="52"/>
      <c r="G1541" s="50"/>
      <c r="H1541" s="17" t="str">
        <f ca="1">IFERROR(__xludf.DUMMYFUNCTION("""COMPUTED_VALUE"""),"")</f>
        <v/>
      </c>
      <c r="I1541" s="50" t="s">
        <v>29</v>
      </c>
      <c r="J1541" s="50" t="s">
        <v>29</v>
      </c>
      <c r="K1541" s="50" t="s">
        <v>29</v>
      </c>
      <c r="L1541" s="50" t="s">
        <v>29</v>
      </c>
      <c r="M1541" s="50" t="s">
        <v>29</v>
      </c>
      <c r="N1541" s="49"/>
      <c r="P1541" s="19"/>
      <c r="Q1541" s="18" t="str">
        <f ca="1">IFERROR(__xludf.DUMMYFUNCTION("""COMPUTED_VALUE"""),"")</f>
        <v/>
      </c>
      <c r="R1541" s="19"/>
      <c r="S1541" s="20"/>
      <c r="BP1541" s="10"/>
      <c r="BW1541" s="10"/>
      <c r="CF1541" s="10"/>
      <c r="CM1541" s="10"/>
      <c r="CP1541" s="18" t="str">
        <f ca="1"/>
        <v/>
      </c>
      <c r="CQ1541" s="18" t="str">
        <f ca="1"/>
        <v/>
      </c>
      <c r="CR1541" s="18" t="str">
        <f ca="1"/>
        <v/>
      </c>
      <c r="CS1541" s="18" t="str">
        <f ca="1"/>
        <v/>
      </c>
      <c r="CT1541" s="18" t="str">
        <f ca="1"/>
        <v/>
      </c>
      <c r="CV1541" s="10"/>
      <c r="CY1541" s="18" t="str">
        <f ca="1"/>
        <v/>
      </c>
      <c r="CZ1541" s="18" t="str">
        <f ca="1"/>
        <v/>
      </c>
      <c r="DA1541" s="18" t="str">
        <f ca="1"/>
        <v/>
      </c>
      <c r="DC1541" s="10"/>
    </row>
    <row r="1542" spans="1:107" x14ac:dyDescent="0.25">
      <c r="A1542" s="46"/>
      <c r="B1542" s="52"/>
      <c r="C1542" s="52"/>
      <c r="D1542" s="16"/>
      <c r="E1542" s="52"/>
      <c r="F1542" s="52"/>
      <c r="G1542" s="50"/>
      <c r="H1542" s="17" t="str">
        <f ca="1">IFERROR(__xludf.DUMMYFUNCTION("""COMPUTED_VALUE"""),"")</f>
        <v/>
      </c>
      <c r="I1542" s="50" t="s">
        <v>29</v>
      </c>
      <c r="J1542" s="50" t="s">
        <v>29</v>
      </c>
      <c r="K1542" s="50" t="s">
        <v>29</v>
      </c>
      <c r="L1542" s="50" t="s">
        <v>29</v>
      </c>
      <c r="M1542" s="50" t="s">
        <v>29</v>
      </c>
      <c r="N1542" s="49"/>
      <c r="P1542" s="19"/>
      <c r="Q1542" s="18" t="str">
        <f ca="1">IFERROR(__xludf.DUMMYFUNCTION("""COMPUTED_VALUE"""),"")</f>
        <v/>
      </c>
      <c r="R1542" s="19"/>
      <c r="S1542" s="20"/>
      <c r="BP1542" s="10"/>
      <c r="BW1542" s="10"/>
      <c r="CF1542" s="10"/>
      <c r="CM1542" s="10"/>
      <c r="CP1542" s="18" t="str">
        <f ca="1"/>
        <v/>
      </c>
      <c r="CQ1542" s="18" t="str">
        <f ca="1"/>
        <v/>
      </c>
      <c r="CR1542" s="18" t="str">
        <f ca="1"/>
        <v/>
      </c>
      <c r="CS1542" s="18" t="str">
        <f ca="1"/>
        <v/>
      </c>
      <c r="CT1542" s="18" t="str">
        <f ca="1"/>
        <v/>
      </c>
      <c r="CV1542" s="10"/>
      <c r="CY1542" s="18" t="str">
        <f ca="1"/>
        <v/>
      </c>
      <c r="CZ1542" s="18" t="str">
        <f ca="1"/>
        <v/>
      </c>
      <c r="DA1542" s="18" t="str">
        <f ca="1"/>
        <v/>
      </c>
      <c r="DC1542" s="10"/>
    </row>
    <row r="1543" spans="1:107" x14ac:dyDescent="0.25">
      <c r="A1543" s="46"/>
      <c r="B1543" s="52"/>
      <c r="C1543" s="52"/>
      <c r="D1543" s="16"/>
      <c r="E1543" s="52"/>
      <c r="F1543" s="52"/>
      <c r="G1543" s="50"/>
      <c r="H1543" s="17" t="str">
        <f ca="1">IFERROR(__xludf.DUMMYFUNCTION("""COMPUTED_VALUE"""),"")</f>
        <v/>
      </c>
      <c r="I1543" s="50" t="s">
        <v>29</v>
      </c>
      <c r="J1543" s="50" t="s">
        <v>29</v>
      </c>
      <c r="K1543" s="50" t="s">
        <v>29</v>
      </c>
      <c r="L1543" s="50" t="s">
        <v>29</v>
      </c>
      <c r="M1543" s="50" t="s">
        <v>29</v>
      </c>
      <c r="N1543" s="49"/>
      <c r="P1543" s="19"/>
      <c r="Q1543" s="18" t="str">
        <f ca="1">IFERROR(__xludf.DUMMYFUNCTION("""COMPUTED_VALUE"""),"")</f>
        <v/>
      </c>
      <c r="R1543" s="19"/>
      <c r="S1543" s="20"/>
      <c r="BP1543" s="10"/>
      <c r="BW1543" s="10"/>
      <c r="CF1543" s="10"/>
      <c r="CM1543" s="10"/>
      <c r="CP1543" s="18" t="str">
        <f ca="1"/>
        <v/>
      </c>
      <c r="CQ1543" s="18" t="str">
        <f ca="1"/>
        <v/>
      </c>
      <c r="CR1543" s="18" t="str">
        <f ca="1"/>
        <v/>
      </c>
      <c r="CS1543" s="18" t="str">
        <f ca="1"/>
        <v/>
      </c>
      <c r="CT1543" s="18" t="str">
        <f ca="1"/>
        <v/>
      </c>
      <c r="CV1543" s="10"/>
      <c r="CY1543" s="18" t="str">
        <f ca="1"/>
        <v/>
      </c>
      <c r="CZ1543" s="18" t="str">
        <f ca="1"/>
        <v/>
      </c>
      <c r="DA1543" s="18" t="str">
        <f ca="1"/>
        <v/>
      </c>
      <c r="DC1543" s="10"/>
    </row>
    <row r="1544" spans="1:107" x14ac:dyDescent="0.25">
      <c r="A1544" s="46"/>
      <c r="B1544" s="52"/>
      <c r="C1544" s="52"/>
      <c r="D1544" s="16"/>
      <c r="E1544" s="52"/>
      <c r="F1544" s="52"/>
      <c r="G1544" s="50"/>
      <c r="H1544" s="17" t="str">
        <f ca="1">IFERROR(__xludf.DUMMYFUNCTION("""COMPUTED_VALUE"""),"")</f>
        <v/>
      </c>
      <c r="I1544" s="50" t="s">
        <v>29</v>
      </c>
      <c r="J1544" s="50" t="s">
        <v>29</v>
      </c>
      <c r="K1544" s="50" t="s">
        <v>29</v>
      </c>
      <c r="L1544" s="50" t="s">
        <v>29</v>
      </c>
      <c r="M1544" s="50" t="s">
        <v>29</v>
      </c>
      <c r="N1544" s="49"/>
      <c r="P1544" s="19"/>
      <c r="Q1544" s="18" t="str">
        <f ca="1">IFERROR(__xludf.DUMMYFUNCTION("""COMPUTED_VALUE"""),"")</f>
        <v/>
      </c>
      <c r="R1544" s="19"/>
      <c r="S1544" s="20"/>
      <c r="BP1544" s="10"/>
      <c r="BW1544" s="10"/>
      <c r="CF1544" s="10"/>
      <c r="CM1544" s="10"/>
      <c r="CP1544" s="18" t="str">
        <f ca="1"/>
        <v/>
      </c>
      <c r="CQ1544" s="18" t="str">
        <f ca="1"/>
        <v/>
      </c>
      <c r="CR1544" s="18" t="str">
        <f ca="1"/>
        <v/>
      </c>
      <c r="CS1544" s="18" t="str">
        <f ca="1"/>
        <v/>
      </c>
      <c r="CT1544" s="18" t="str">
        <f ca="1"/>
        <v/>
      </c>
      <c r="CV1544" s="10"/>
      <c r="CY1544" s="18" t="str">
        <f ca="1"/>
        <v/>
      </c>
      <c r="CZ1544" s="18" t="str">
        <f ca="1"/>
        <v/>
      </c>
      <c r="DA1544" s="18" t="str">
        <f ca="1"/>
        <v/>
      </c>
      <c r="DC1544" s="10"/>
    </row>
    <row r="1545" spans="1:107" x14ac:dyDescent="0.25">
      <c r="A1545" s="46"/>
      <c r="B1545" s="52"/>
      <c r="C1545" s="52"/>
      <c r="D1545" s="16"/>
      <c r="E1545" s="52"/>
      <c r="F1545" s="52"/>
      <c r="G1545" s="50"/>
      <c r="H1545" s="17" t="str">
        <f ca="1">IFERROR(__xludf.DUMMYFUNCTION("""COMPUTED_VALUE"""),"")</f>
        <v/>
      </c>
      <c r="I1545" s="50" t="s">
        <v>29</v>
      </c>
      <c r="J1545" s="50" t="s">
        <v>29</v>
      </c>
      <c r="K1545" s="50" t="s">
        <v>29</v>
      </c>
      <c r="L1545" s="50" t="s">
        <v>29</v>
      </c>
      <c r="M1545" s="50" t="s">
        <v>29</v>
      </c>
      <c r="N1545" s="49"/>
      <c r="P1545" s="19"/>
      <c r="Q1545" s="18" t="str">
        <f ca="1">IFERROR(__xludf.DUMMYFUNCTION("""COMPUTED_VALUE"""),"")</f>
        <v/>
      </c>
      <c r="R1545" s="19"/>
      <c r="S1545" s="20"/>
      <c r="BP1545" s="10"/>
      <c r="BW1545" s="10"/>
      <c r="CF1545" s="10"/>
      <c r="CM1545" s="10"/>
      <c r="CP1545" s="18" t="str">
        <f ca="1"/>
        <v/>
      </c>
      <c r="CQ1545" s="18" t="str">
        <f ca="1"/>
        <v/>
      </c>
      <c r="CR1545" s="18" t="str">
        <f ca="1"/>
        <v/>
      </c>
      <c r="CS1545" s="18" t="str">
        <f ca="1"/>
        <v/>
      </c>
      <c r="CT1545" s="18" t="str">
        <f ca="1"/>
        <v/>
      </c>
      <c r="CV1545" s="10"/>
      <c r="CY1545" s="18" t="str">
        <f ca="1"/>
        <v/>
      </c>
      <c r="CZ1545" s="18" t="str">
        <f ca="1"/>
        <v/>
      </c>
      <c r="DA1545" s="18" t="str">
        <f ca="1"/>
        <v/>
      </c>
      <c r="DC1545" s="10"/>
    </row>
    <row r="1546" spans="1:107" x14ac:dyDescent="0.25">
      <c r="A1546" s="46"/>
      <c r="B1546" s="52"/>
      <c r="C1546" s="52"/>
      <c r="D1546" s="16"/>
      <c r="E1546" s="52"/>
      <c r="F1546" s="52"/>
      <c r="G1546" s="50"/>
      <c r="H1546" s="17" t="str">
        <f ca="1">IFERROR(__xludf.DUMMYFUNCTION("""COMPUTED_VALUE"""),"")</f>
        <v/>
      </c>
      <c r="I1546" s="50" t="s">
        <v>29</v>
      </c>
      <c r="J1546" s="50" t="s">
        <v>29</v>
      </c>
      <c r="K1546" s="50" t="s">
        <v>29</v>
      </c>
      <c r="L1546" s="50" t="s">
        <v>29</v>
      </c>
      <c r="M1546" s="50" t="s">
        <v>29</v>
      </c>
      <c r="N1546" s="49"/>
      <c r="P1546" s="19"/>
      <c r="Q1546" s="18" t="str">
        <f ca="1">IFERROR(__xludf.DUMMYFUNCTION("""COMPUTED_VALUE"""),"")</f>
        <v/>
      </c>
      <c r="R1546" s="19"/>
      <c r="S1546" s="20"/>
      <c r="BP1546" s="10"/>
      <c r="BW1546" s="10"/>
      <c r="CF1546" s="10"/>
      <c r="CM1546" s="10"/>
      <c r="CP1546" s="18" t="str">
        <f ca="1"/>
        <v/>
      </c>
      <c r="CQ1546" s="18" t="str">
        <f ca="1"/>
        <v/>
      </c>
      <c r="CR1546" s="18" t="str">
        <f ca="1"/>
        <v/>
      </c>
      <c r="CS1546" s="18" t="str">
        <f ca="1"/>
        <v/>
      </c>
      <c r="CT1546" s="18" t="str">
        <f ca="1"/>
        <v/>
      </c>
      <c r="CV1546" s="10"/>
      <c r="CY1546" s="18" t="str">
        <f ca="1"/>
        <v/>
      </c>
      <c r="CZ1546" s="18" t="str">
        <f ca="1"/>
        <v/>
      </c>
      <c r="DA1546" s="18" t="str">
        <f ca="1"/>
        <v/>
      </c>
      <c r="DC1546" s="10"/>
    </row>
    <row r="1547" spans="1:107" x14ac:dyDescent="0.25">
      <c r="A1547" s="46"/>
      <c r="B1547" s="52"/>
      <c r="C1547" s="52"/>
      <c r="D1547" s="16"/>
      <c r="E1547" s="52"/>
      <c r="F1547" s="52"/>
      <c r="G1547" s="50"/>
      <c r="H1547" s="17" t="str">
        <f ca="1">IFERROR(__xludf.DUMMYFUNCTION("""COMPUTED_VALUE"""),"")</f>
        <v/>
      </c>
      <c r="I1547" s="50" t="s">
        <v>29</v>
      </c>
      <c r="J1547" s="50" t="s">
        <v>29</v>
      </c>
      <c r="K1547" s="50" t="s">
        <v>29</v>
      </c>
      <c r="L1547" s="50" t="s">
        <v>29</v>
      </c>
      <c r="M1547" s="50" t="s">
        <v>29</v>
      </c>
      <c r="N1547" s="49"/>
      <c r="P1547" s="19"/>
      <c r="Q1547" s="18" t="str">
        <f ca="1">IFERROR(__xludf.DUMMYFUNCTION("""COMPUTED_VALUE"""),"")</f>
        <v/>
      </c>
      <c r="R1547" s="19"/>
      <c r="S1547" s="20"/>
      <c r="BP1547" s="10"/>
      <c r="BW1547" s="10"/>
      <c r="CF1547" s="10"/>
      <c r="CM1547" s="10"/>
      <c r="CP1547" s="18" t="str">
        <f ca="1"/>
        <v/>
      </c>
      <c r="CQ1547" s="18" t="str">
        <f ca="1"/>
        <v/>
      </c>
      <c r="CR1547" s="18" t="str">
        <f ca="1"/>
        <v/>
      </c>
      <c r="CS1547" s="18" t="str">
        <f ca="1"/>
        <v/>
      </c>
      <c r="CT1547" s="18" t="str">
        <f ca="1"/>
        <v/>
      </c>
      <c r="CV1547" s="10"/>
      <c r="CY1547" s="18" t="str">
        <f ca="1"/>
        <v/>
      </c>
      <c r="CZ1547" s="18" t="str">
        <f ca="1"/>
        <v/>
      </c>
      <c r="DA1547" s="18" t="str">
        <f ca="1"/>
        <v/>
      </c>
      <c r="DC1547" s="10"/>
    </row>
    <row r="1548" spans="1:107" x14ac:dyDescent="0.25">
      <c r="A1548" s="46"/>
      <c r="B1548" s="52"/>
      <c r="C1548" s="52"/>
      <c r="D1548" s="16"/>
      <c r="E1548" s="52"/>
      <c r="F1548" s="52"/>
      <c r="G1548" s="50"/>
      <c r="H1548" s="17" t="str">
        <f ca="1">IFERROR(__xludf.DUMMYFUNCTION("""COMPUTED_VALUE"""),"")</f>
        <v/>
      </c>
      <c r="I1548" s="50" t="s">
        <v>29</v>
      </c>
      <c r="J1548" s="50" t="s">
        <v>29</v>
      </c>
      <c r="K1548" s="50" t="s">
        <v>29</v>
      </c>
      <c r="L1548" s="50" t="s">
        <v>29</v>
      </c>
      <c r="M1548" s="50" t="s">
        <v>29</v>
      </c>
      <c r="N1548" s="49"/>
      <c r="P1548" s="19"/>
      <c r="Q1548" s="18" t="str">
        <f ca="1">IFERROR(__xludf.DUMMYFUNCTION("""COMPUTED_VALUE"""),"")</f>
        <v/>
      </c>
      <c r="R1548" s="19"/>
      <c r="S1548" s="20"/>
      <c r="BP1548" s="10"/>
      <c r="BW1548" s="10"/>
      <c r="CF1548" s="10"/>
      <c r="CM1548" s="10"/>
      <c r="CP1548" s="18" t="str">
        <f ca="1"/>
        <v/>
      </c>
      <c r="CQ1548" s="18" t="str">
        <f ca="1"/>
        <v/>
      </c>
      <c r="CR1548" s="18" t="str">
        <f ca="1"/>
        <v/>
      </c>
      <c r="CS1548" s="18" t="str">
        <f ca="1"/>
        <v/>
      </c>
      <c r="CT1548" s="18" t="str">
        <f ca="1"/>
        <v/>
      </c>
      <c r="CV1548" s="10"/>
      <c r="CY1548" s="18" t="str">
        <f ca="1"/>
        <v/>
      </c>
      <c r="CZ1548" s="18" t="str">
        <f ca="1"/>
        <v/>
      </c>
      <c r="DA1548" s="18" t="str">
        <f ca="1"/>
        <v/>
      </c>
      <c r="DC1548" s="10"/>
    </row>
    <row r="1549" spans="1:107" x14ac:dyDescent="0.25">
      <c r="A1549" s="46"/>
      <c r="B1549" s="52"/>
      <c r="C1549" s="52"/>
      <c r="D1549" s="16"/>
      <c r="E1549" s="52"/>
      <c r="F1549" s="52"/>
      <c r="G1549" s="50"/>
      <c r="H1549" s="17" t="str">
        <f ca="1">IFERROR(__xludf.DUMMYFUNCTION("""COMPUTED_VALUE"""),"")</f>
        <v/>
      </c>
      <c r="I1549" s="50" t="s">
        <v>29</v>
      </c>
      <c r="J1549" s="50" t="s">
        <v>29</v>
      </c>
      <c r="K1549" s="50" t="s">
        <v>29</v>
      </c>
      <c r="L1549" s="50" t="s">
        <v>29</v>
      </c>
      <c r="M1549" s="50" t="s">
        <v>29</v>
      </c>
      <c r="N1549" s="49"/>
      <c r="P1549" s="19"/>
      <c r="Q1549" s="18" t="str">
        <f ca="1">IFERROR(__xludf.DUMMYFUNCTION("""COMPUTED_VALUE"""),"")</f>
        <v/>
      </c>
      <c r="R1549" s="19"/>
      <c r="S1549" s="20"/>
      <c r="BP1549" s="10"/>
      <c r="BW1549" s="10"/>
      <c r="CF1549" s="10"/>
      <c r="CM1549" s="10"/>
      <c r="CP1549" s="18" t="str">
        <f ca="1"/>
        <v/>
      </c>
      <c r="CQ1549" s="18" t="str">
        <f ca="1"/>
        <v/>
      </c>
      <c r="CR1549" s="18" t="str">
        <f ca="1"/>
        <v/>
      </c>
      <c r="CS1549" s="18" t="str">
        <f ca="1"/>
        <v/>
      </c>
      <c r="CT1549" s="18" t="str">
        <f ca="1"/>
        <v/>
      </c>
      <c r="CV1549" s="10"/>
      <c r="CY1549" s="18" t="str">
        <f ca="1"/>
        <v/>
      </c>
      <c r="CZ1549" s="18" t="str">
        <f ca="1"/>
        <v/>
      </c>
      <c r="DA1549" s="18" t="str">
        <f ca="1"/>
        <v/>
      </c>
      <c r="DC1549" s="10"/>
    </row>
    <row r="1550" spans="1:107" x14ac:dyDescent="0.25">
      <c r="A1550" s="46"/>
      <c r="B1550" s="52"/>
      <c r="C1550" s="52"/>
      <c r="D1550" s="16"/>
      <c r="E1550" s="52"/>
      <c r="F1550" s="52"/>
      <c r="G1550" s="50"/>
      <c r="H1550" s="17" t="str">
        <f ca="1">IFERROR(__xludf.DUMMYFUNCTION("""COMPUTED_VALUE"""),"")</f>
        <v/>
      </c>
      <c r="I1550" s="50" t="s">
        <v>29</v>
      </c>
      <c r="J1550" s="50" t="s">
        <v>29</v>
      </c>
      <c r="K1550" s="50" t="s">
        <v>29</v>
      </c>
      <c r="L1550" s="50" t="s">
        <v>29</v>
      </c>
      <c r="M1550" s="50" t="s">
        <v>29</v>
      </c>
      <c r="N1550" s="49"/>
      <c r="P1550" s="19"/>
      <c r="Q1550" s="18" t="str">
        <f ca="1">IFERROR(__xludf.DUMMYFUNCTION("""COMPUTED_VALUE"""),"")</f>
        <v/>
      </c>
      <c r="R1550" s="19"/>
      <c r="S1550" s="20"/>
      <c r="BP1550" s="10"/>
      <c r="BW1550" s="10"/>
      <c r="CF1550" s="10"/>
      <c r="CM1550" s="10"/>
      <c r="CP1550" s="18" t="str">
        <f ca="1"/>
        <v/>
      </c>
      <c r="CQ1550" s="18" t="str">
        <f ca="1"/>
        <v/>
      </c>
      <c r="CR1550" s="18" t="str">
        <f ca="1"/>
        <v/>
      </c>
      <c r="CS1550" s="18" t="str">
        <f ca="1"/>
        <v/>
      </c>
      <c r="CT1550" s="18" t="str">
        <f ca="1"/>
        <v/>
      </c>
      <c r="CV1550" s="10"/>
      <c r="CY1550" s="18" t="str">
        <f ca="1"/>
        <v/>
      </c>
      <c r="CZ1550" s="18" t="str">
        <f ca="1"/>
        <v/>
      </c>
      <c r="DA1550" s="18" t="str">
        <f ca="1"/>
        <v/>
      </c>
      <c r="DC1550" s="10"/>
    </row>
    <row r="1551" spans="1:107" x14ac:dyDescent="0.25">
      <c r="A1551" s="46"/>
      <c r="B1551" s="52"/>
      <c r="C1551" s="52"/>
      <c r="D1551" s="16"/>
      <c r="E1551" s="52"/>
      <c r="F1551" s="52"/>
      <c r="G1551" s="50"/>
      <c r="H1551" s="17" t="str">
        <f ca="1">IFERROR(__xludf.DUMMYFUNCTION("""COMPUTED_VALUE"""),"")</f>
        <v/>
      </c>
      <c r="I1551" s="50" t="s">
        <v>29</v>
      </c>
      <c r="J1551" s="50" t="s">
        <v>29</v>
      </c>
      <c r="K1551" s="50" t="s">
        <v>29</v>
      </c>
      <c r="L1551" s="50" t="s">
        <v>29</v>
      </c>
      <c r="M1551" s="50" t="s">
        <v>29</v>
      </c>
      <c r="N1551" s="49"/>
      <c r="P1551" s="19"/>
      <c r="Q1551" s="18" t="str">
        <f ca="1">IFERROR(__xludf.DUMMYFUNCTION("""COMPUTED_VALUE"""),"")</f>
        <v/>
      </c>
      <c r="R1551" s="19"/>
      <c r="S1551" s="20"/>
      <c r="BP1551" s="10"/>
      <c r="BW1551" s="10"/>
      <c r="CF1551" s="10"/>
      <c r="CM1551" s="10"/>
      <c r="CP1551" s="18" t="str">
        <f ca="1"/>
        <v/>
      </c>
      <c r="CQ1551" s="18" t="str">
        <f ca="1"/>
        <v/>
      </c>
      <c r="CR1551" s="18" t="str">
        <f ca="1"/>
        <v/>
      </c>
      <c r="CS1551" s="18" t="str">
        <f ca="1"/>
        <v/>
      </c>
      <c r="CT1551" s="18" t="str">
        <f ca="1"/>
        <v/>
      </c>
      <c r="CV1551" s="10"/>
      <c r="CY1551" s="18" t="str">
        <f ca="1"/>
        <v/>
      </c>
      <c r="CZ1551" s="18" t="str">
        <f ca="1"/>
        <v/>
      </c>
      <c r="DA1551" s="18" t="str">
        <f ca="1"/>
        <v/>
      </c>
      <c r="DC1551" s="10"/>
    </row>
    <row r="1552" spans="1:107" x14ac:dyDescent="0.25">
      <c r="A1552" s="46"/>
      <c r="B1552" s="52"/>
      <c r="C1552" s="52"/>
      <c r="D1552" s="16"/>
      <c r="E1552" s="52"/>
      <c r="F1552" s="52"/>
      <c r="G1552" s="50"/>
      <c r="H1552" s="17" t="str">
        <f ca="1">IFERROR(__xludf.DUMMYFUNCTION("""COMPUTED_VALUE"""),"")</f>
        <v/>
      </c>
      <c r="I1552" s="50" t="s">
        <v>29</v>
      </c>
      <c r="J1552" s="50" t="s">
        <v>29</v>
      </c>
      <c r="K1552" s="50" t="s">
        <v>29</v>
      </c>
      <c r="L1552" s="50" t="s">
        <v>29</v>
      </c>
      <c r="M1552" s="50" t="s">
        <v>29</v>
      </c>
      <c r="N1552" s="49"/>
      <c r="P1552" s="19"/>
      <c r="Q1552" s="18" t="str">
        <f ca="1">IFERROR(__xludf.DUMMYFUNCTION("""COMPUTED_VALUE"""),"")</f>
        <v/>
      </c>
      <c r="R1552" s="19"/>
      <c r="S1552" s="20"/>
      <c r="BP1552" s="10"/>
      <c r="BW1552" s="10"/>
      <c r="CF1552" s="10"/>
      <c r="CM1552" s="10"/>
      <c r="CP1552" s="18" t="str">
        <f ca="1"/>
        <v/>
      </c>
      <c r="CQ1552" s="18" t="str">
        <f ca="1"/>
        <v/>
      </c>
      <c r="CR1552" s="18" t="str">
        <f ca="1"/>
        <v/>
      </c>
      <c r="CS1552" s="18" t="str">
        <f ca="1"/>
        <v/>
      </c>
      <c r="CT1552" s="18" t="str">
        <f ca="1"/>
        <v/>
      </c>
      <c r="CV1552" s="10"/>
      <c r="CY1552" s="18" t="str">
        <f ca="1"/>
        <v/>
      </c>
      <c r="CZ1552" s="18" t="str">
        <f ca="1"/>
        <v/>
      </c>
      <c r="DA1552" s="18" t="str">
        <f ca="1"/>
        <v/>
      </c>
      <c r="DC1552" s="10"/>
    </row>
    <row r="1553" spans="1:107" x14ac:dyDescent="0.25">
      <c r="A1553" s="46"/>
      <c r="B1553" s="52"/>
      <c r="C1553" s="52"/>
      <c r="D1553" s="16"/>
      <c r="E1553" s="52"/>
      <c r="F1553" s="52"/>
      <c r="G1553" s="50"/>
      <c r="H1553" s="17" t="str">
        <f ca="1">IFERROR(__xludf.DUMMYFUNCTION("""COMPUTED_VALUE"""),"")</f>
        <v/>
      </c>
      <c r="I1553" s="50" t="s">
        <v>29</v>
      </c>
      <c r="J1553" s="50" t="s">
        <v>29</v>
      </c>
      <c r="K1553" s="50" t="s">
        <v>29</v>
      </c>
      <c r="L1553" s="50" t="s">
        <v>29</v>
      </c>
      <c r="M1553" s="50" t="s">
        <v>29</v>
      </c>
      <c r="N1553" s="49"/>
      <c r="P1553" s="19"/>
      <c r="Q1553" s="18" t="str">
        <f ca="1">IFERROR(__xludf.DUMMYFUNCTION("""COMPUTED_VALUE"""),"")</f>
        <v/>
      </c>
      <c r="R1553" s="19"/>
      <c r="S1553" s="20"/>
      <c r="BP1553" s="10"/>
      <c r="BW1553" s="10"/>
      <c r="CF1553" s="10"/>
      <c r="CM1553" s="10"/>
      <c r="CP1553" s="18" t="str">
        <f ca="1"/>
        <v/>
      </c>
      <c r="CQ1553" s="18" t="str">
        <f ca="1"/>
        <v/>
      </c>
      <c r="CR1553" s="18" t="str">
        <f ca="1"/>
        <v/>
      </c>
      <c r="CS1553" s="18" t="str">
        <f ca="1"/>
        <v/>
      </c>
      <c r="CT1553" s="18" t="str">
        <f ca="1"/>
        <v/>
      </c>
      <c r="CV1553" s="10"/>
      <c r="CY1553" s="18" t="str">
        <f ca="1"/>
        <v/>
      </c>
      <c r="CZ1553" s="18" t="str">
        <f ca="1"/>
        <v/>
      </c>
      <c r="DA1553" s="18" t="str">
        <f ca="1"/>
        <v/>
      </c>
      <c r="DC1553" s="10"/>
    </row>
    <row r="1554" spans="1:107" x14ac:dyDescent="0.25">
      <c r="A1554" s="46"/>
      <c r="B1554" s="52"/>
      <c r="C1554" s="52"/>
      <c r="D1554" s="16"/>
      <c r="E1554" s="52"/>
      <c r="F1554" s="52"/>
      <c r="G1554" s="50"/>
      <c r="H1554" s="17" t="str">
        <f ca="1">IFERROR(__xludf.DUMMYFUNCTION("""COMPUTED_VALUE"""),"")</f>
        <v/>
      </c>
      <c r="I1554" s="50" t="s">
        <v>29</v>
      </c>
      <c r="J1554" s="50" t="s">
        <v>29</v>
      </c>
      <c r="K1554" s="50" t="s">
        <v>29</v>
      </c>
      <c r="L1554" s="50" t="s">
        <v>29</v>
      </c>
      <c r="M1554" s="50" t="s">
        <v>29</v>
      </c>
      <c r="N1554" s="49"/>
      <c r="P1554" s="19"/>
      <c r="Q1554" s="18" t="str">
        <f ca="1">IFERROR(__xludf.DUMMYFUNCTION("""COMPUTED_VALUE"""),"")</f>
        <v/>
      </c>
      <c r="R1554" s="19"/>
      <c r="S1554" s="20"/>
      <c r="BP1554" s="10"/>
      <c r="BW1554" s="10"/>
      <c r="CF1554" s="10"/>
      <c r="CM1554" s="10"/>
      <c r="CP1554" s="18" t="str">
        <f ca="1"/>
        <v/>
      </c>
      <c r="CQ1554" s="18" t="str">
        <f ca="1"/>
        <v/>
      </c>
      <c r="CR1554" s="18" t="str">
        <f ca="1"/>
        <v/>
      </c>
      <c r="CS1554" s="18" t="str">
        <f ca="1"/>
        <v/>
      </c>
      <c r="CT1554" s="18" t="str">
        <f ca="1"/>
        <v/>
      </c>
      <c r="CV1554" s="10"/>
      <c r="CY1554" s="18" t="str">
        <f ca="1"/>
        <v/>
      </c>
      <c r="CZ1554" s="18" t="str">
        <f ca="1"/>
        <v/>
      </c>
      <c r="DA1554" s="18" t="str">
        <f ca="1"/>
        <v/>
      </c>
      <c r="DC1554" s="10"/>
    </row>
    <row r="1555" spans="1:107" x14ac:dyDescent="0.25">
      <c r="A1555" s="46"/>
      <c r="B1555" s="52"/>
      <c r="C1555" s="52"/>
      <c r="D1555" s="16"/>
      <c r="E1555" s="52"/>
      <c r="F1555" s="52"/>
      <c r="G1555" s="50"/>
      <c r="H1555" s="17" t="str">
        <f ca="1">IFERROR(__xludf.DUMMYFUNCTION("""COMPUTED_VALUE"""),"")</f>
        <v/>
      </c>
      <c r="I1555" s="50" t="s">
        <v>29</v>
      </c>
      <c r="J1555" s="50" t="s">
        <v>29</v>
      </c>
      <c r="K1555" s="50" t="s">
        <v>29</v>
      </c>
      <c r="L1555" s="50" t="s">
        <v>29</v>
      </c>
      <c r="M1555" s="50" t="s">
        <v>29</v>
      </c>
      <c r="N1555" s="49"/>
      <c r="P1555" s="19"/>
      <c r="Q1555" s="18" t="str">
        <f ca="1">IFERROR(__xludf.DUMMYFUNCTION("""COMPUTED_VALUE"""),"")</f>
        <v/>
      </c>
      <c r="R1555" s="19"/>
      <c r="S1555" s="20"/>
      <c r="BP1555" s="10"/>
      <c r="BW1555" s="10"/>
      <c r="CF1555" s="10"/>
      <c r="CM1555" s="10"/>
      <c r="CP1555" s="18" t="str">
        <f ca="1"/>
        <v/>
      </c>
      <c r="CQ1555" s="18" t="str">
        <f ca="1"/>
        <v/>
      </c>
      <c r="CR1555" s="18" t="str">
        <f ca="1"/>
        <v/>
      </c>
      <c r="CS1555" s="18" t="str">
        <f ca="1"/>
        <v/>
      </c>
      <c r="CT1555" s="18" t="str">
        <f ca="1"/>
        <v/>
      </c>
      <c r="CV1555" s="10"/>
      <c r="CY1555" s="18" t="str">
        <f ca="1"/>
        <v/>
      </c>
      <c r="CZ1555" s="18" t="str">
        <f ca="1"/>
        <v/>
      </c>
      <c r="DA1555" s="18" t="str">
        <f ca="1"/>
        <v/>
      </c>
      <c r="DC1555" s="10"/>
    </row>
    <row r="1556" spans="1:107" x14ac:dyDescent="0.25">
      <c r="A1556" s="46"/>
      <c r="B1556" s="52"/>
      <c r="C1556" s="52"/>
      <c r="D1556" s="16"/>
      <c r="E1556" s="52"/>
      <c r="F1556" s="52"/>
      <c r="G1556" s="50"/>
      <c r="H1556" s="17" t="str">
        <f ca="1">IFERROR(__xludf.DUMMYFUNCTION("""COMPUTED_VALUE"""),"")</f>
        <v/>
      </c>
      <c r="I1556" s="50" t="s">
        <v>29</v>
      </c>
      <c r="J1556" s="50" t="s">
        <v>29</v>
      </c>
      <c r="K1556" s="50" t="s">
        <v>29</v>
      </c>
      <c r="L1556" s="50" t="s">
        <v>29</v>
      </c>
      <c r="M1556" s="50" t="s">
        <v>29</v>
      </c>
      <c r="N1556" s="49"/>
      <c r="P1556" s="19"/>
      <c r="Q1556" s="18" t="str">
        <f ca="1">IFERROR(__xludf.DUMMYFUNCTION("""COMPUTED_VALUE"""),"")</f>
        <v/>
      </c>
      <c r="R1556" s="19"/>
      <c r="S1556" s="20"/>
      <c r="BP1556" s="10"/>
      <c r="BW1556" s="10"/>
      <c r="CF1556" s="10"/>
      <c r="CM1556" s="10"/>
      <c r="CP1556" s="18" t="str">
        <f ca="1"/>
        <v/>
      </c>
      <c r="CQ1556" s="18" t="str">
        <f ca="1"/>
        <v/>
      </c>
      <c r="CR1556" s="18" t="str">
        <f ca="1"/>
        <v/>
      </c>
      <c r="CS1556" s="18" t="str">
        <f ca="1"/>
        <v/>
      </c>
      <c r="CT1556" s="18" t="str">
        <f ca="1"/>
        <v/>
      </c>
      <c r="CV1556" s="10"/>
      <c r="CY1556" s="18" t="str">
        <f ca="1"/>
        <v/>
      </c>
      <c r="CZ1556" s="18" t="str">
        <f ca="1"/>
        <v/>
      </c>
      <c r="DA1556" s="18" t="str">
        <f ca="1"/>
        <v/>
      </c>
      <c r="DC1556" s="10"/>
    </row>
    <row r="1557" spans="1:107" x14ac:dyDescent="0.25">
      <c r="A1557" s="46"/>
      <c r="B1557" s="52"/>
      <c r="C1557" s="52"/>
      <c r="D1557" s="16"/>
      <c r="E1557" s="52"/>
      <c r="F1557" s="52"/>
      <c r="G1557" s="50"/>
      <c r="H1557" s="17" t="str">
        <f ca="1">IFERROR(__xludf.DUMMYFUNCTION("""COMPUTED_VALUE"""),"")</f>
        <v/>
      </c>
      <c r="I1557" s="50" t="s">
        <v>29</v>
      </c>
      <c r="J1557" s="50" t="s">
        <v>29</v>
      </c>
      <c r="K1557" s="50" t="s">
        <v>29</v>
      </c>
      <c r="L1557" s="50" t="s">
        <v>29</v>
      </c>
      <c r="M1557" s="50" t="s">
        <v>29</v>
      </c>
      <c r="N1557" s="49"/>
      <c r="P1557" s="19"/>
      <c r="Q1557" s="18" t="str">
        <f ca="1">IFERROR(__xludf.DUMMYFUNCTION("""COMPUTED_VALUE"""),"")</f>
        <v/>
      </c>
      <c r="R1557" s="19"/>
      <c r="S1557" s="20"/>
      <c r="BP1557" s="10"/>
      <c r="BW1557" s="10"/>
      <c r="CF1557" s="10"/>
      <c r="CM1557" s="10"/>
      <c r="CP1557" s="18" t="str">
        <f ca="1"/>
        <v/>
      </c>
      <c r="CQ1557" s="18" t="str">
        <f ca="1"/>
        <v/>
      </c>
      <c r="CR1557" s="18" t="str">
        <f ca="1"/>
        <v/>
      </c>
      <c r="CS1557" s="18" t="str">
        <f ca="1"/>
        <v/>
      </c>
      <c r="CT1557" s="18" t="str">
        <f ca="1"/>
        <v/>
      </c>
      <c r="CV1557" s="10"/>
      <c r="CY1557" s="18" t="str">
        <f ca="1"/>
        <v/>
      </c>
      <c r="CZ1557" s="18" t="str">
        <f ca="1"/>
        <v/>
      </c>
      <c r="DA1557" s="18" t="str">
        <f ca="1"/>
        <v/>
      </c>
      <c r="DC1557" s="10"/>
    </row>
    <row r="1558" spans="1:107" x14ac:dyDescent="0.25">
      <c r="A1558" s="46"/>
      <c r="B1558" s="52"/>
      <c r="C1558" s="52"/>
      <c r="D1558" s="16"/>
      <c r="E1558" s="52"/>
      <c r="F1558" s="52"/>
      <c r="G1558" s="50"/>
      <c r="H1558" s="17" t="str">
        <f ca="1">IFERROR(__xludf.DUMMYFUNCTION("""COMPUTED_VALUE"""),"")</f>
        <v/>
      </c>
      <c r="I1558" s="50" t="s">
        <v>29</v>
      </c>
      <c r="J1558" s="50" t="s">
        <v>29</v>
      </c>
      <c r="K1558" s="50" t="s">
        <v>29</v>
      </c>
      <c r="L1558" s="50" t="s">
        <v>29</v>
      </c>
      <c r="M1558" s="50" t="s">
        <v>29</v>
      </c>
      <c r="N1558" s="49"/>
      <c r="P1558" s="19"/>
      <c r="Q1558" s="18" t="str">
        <f ca="1">IFERROR(__xludf.DUMMYFUNCTION("""COMPUTED_VALUE"""),"")</f>
        <v/>
      </c>
      <c r="R1558" s="19"/>
      <c r="S1558" s="20"/>
      <c r="BP1558" s="10"/>
      <c r="BW1558" s="10"/>
      <c r="CF1558" s="10"/>
      <c r="CM1558" s="10"/>
      <c r="CP1558" s="18" t="str">
        <f ca="1"/>
        <v/>
      </c>
      <c r="CQ1558" s="18" t="str">
        <f ca="1"/>
        <v/>
      </c>
      <c r="CR1558" s="18" t="str">
        <f ca="1"/>
        <v/>
      </c>
      <c r="CS1558" s="18" t="str">
        <f ca="1"/>
        <v/>
      </c>
      <c r="CT1558" s="18" t="str">
        <f ca="1"/>
        <v/>
      </c>
      <c r="CV1558" s="10"/>
      <c r="CY1558" s="18" t="str">
        <f ca="1"/>
        <v/>
      </c>
      <c r="CZ1558" s="18" t="str">
        <f ca="1"/>
        <v/>
      </c>
      <c r="DA1558" s="18" t="str">
        <f ca="1"/>
        <v/>
      </c>
      <c r="DC1558" s="10"/>
    </row>
    <row r="1559" spans="1:107" x14ac:dyDescent="0.25">
      <c r="A1559" s="46"/>
      <c r="B1559" s="52"/>
      <c r="C1559" s="52"/>
      <c r="D1559" s="16"/>
      <c r="E1559" s="52"/>
      <c r="F1559" s="52"/>
      <c r="G1559" s="50"/>
      <c r="H1559" s="17" t="str">
        <f ca="1">IFERROR(__xludf.DUMMYFUNCTION("""COMPUTED_VALUE"""),"")</f>
        <v/>
      </c>
      <c r="I1559" s="50" t="s">
        <v>29</v>
      </c>
      <c r="J1559" s="50" t="s">
        <v>29</v>
      </c>
      <c r="K1559" s="50" t="s">
        <v>29</v>
      </c>
      <c r="L1559" s="50" t="s">
        <v>29</v>
      </c>
      <c r="M1559" s="50" t="s">
        <v>29</v>
      </c>
      <c r="N1559" s="49"/>
      <c r="P1559" s="19"/>
      <c r="Q1559" s="18" t="str">
        <f ca="1">IFERROR(__xludf.DUMMYFUNCTION("""COMPUTED_VALUE"""),"")</f>
        <v/>
      </c>
      <c r="R1559" s="19"/>
      <c r="S1559" s="20"/>
      <c r="BP1559" s="10"/>
      <c r="BW1559" s="10"/>
      <c r="CF1559" s="10"/>
      <c r="CM1559" s="10"/>
      <c r="CP1559" s="18" t="str">
        <f ca="1"/>
        <v/>
      </c>
      <c r="CQ1559" s="18" t="str">
        <f ca="1"/>
        <v/>
      </c>
      <c r="CR1559" s="18" t="str">
        <f ca="1"/>
        <v/>
      </c>
      <c r="CS1559" s="18" t="str">
        <f ca="1"/>
        <v/>
      </c>
      <c r="CT1559" s="18" t="str">
        <f ca="1"/>
        <v/>
      </c>
      <c r="CV1559" s="10"/>
      <c r="CY1559" s="18" t="str">
        <f ca="1"/>
        <v/>
      </c>
      <c r="CZ1559" s="18" t="str">
        <f ca="1"/>
        <v/>
      </c>
      <c r="DA1559" s="18" t="str">
        <f ca="1"/>
        <v/>
      </c>
      <c r="DC1559" s="10"/>
    </row>
    <row r="1560" spans="1:107" x14ac:dyDescent="0.25">
      <c r="A1560" s="46"/>
      <c r="B1560" s="52"/>
      <c r="C1560" s="52"/>
      <c r="D1560" s="16"/>
      <c r="E1560" s="52"/>
      <c r="F1560" s="52"/>
      <c r="G1560" s="50"/>
      <c r="H1560" s="17" t="str">
        <f ca="1">IFERROR(__xludf.DUMMYFUNCTION("""COMPUTED_VALUE"""),"")</f>
        <v/>
      </c>
      <c r="I1560" s="50" t="s">
        <v>29</v>
      </c>
      <c r="J1560" s="50" t="s">
        <v>29</v>
      </c>
      <c r="K1560" s="50" t="s">
        <v>29</v>
      </c>
      <c r="L1560" s="50" t="s">
        <v>29</v>
      </c>
      <c r="M1560" s="50" t="s">
        <v>29</v>
      </c>
      <c r="N1560" s="49"/>
      <c r="P1560" s="19"/>
      <c r="Q1560" s="18" t="str">
        <f ca="1">IFERROR(__xludf.DUMMYFUNCTION("""COMPUTED_VALUE"""),"")</f>
        <v/>
      </c>
      <c r="R1560" s="19"/>
      <c r="S1560" s="20"/>
      <c r="BP1560" s="10"/>
      <c r="BW1560" s="10"/>
      <c r="CF1560" s="10"/>
      <c r="CM1560" s="10"/>
      <c r="CP1560" s="18" t="str">
        <f ca="1"/>
        <v/>
      </c>
      <c r="CQ1560" s="18" t="str">
        <f ca="1"/>
        <v/>
      </c>
      <c r="CR1560" s="18" t="str">
        <f ca="1"/>
        <v/>
      </c>
      <c r="CS1560" s="18" t="str">
        <f ca="1"/>
        <v/>
      </c>
      <c r="CT1560" s="18" t="str">
        <f ca="1"/>
        <v/>
      </c>
      <c r="CV1560" s="10"/>
      <c r="CY1560" s="18" t="str">
        <f ca="1"/>
        <v/>
      </c>
      <c r="CZ1560" s="18" t="str">
        <f ca="1"/>
        <v/>
      </c>
      <c r="DA1560" s="18" t="str">
        <f ca="1"/>
        <v/>
      </c>
      <c r="DC1560" s="10"/>
    </row>
    <row r="1561" spans="1:107" x14ac:dyDescent="0.25">
      <c r="A1561" s="46"/>
      <c r="B1561" s="52"/>
      <c r="C1561" s="52"/>
      <c r="D1561" s="16"/>
      <c r="E1561" s="52"/>
      <c r="F1561" s="52"/>
      <c r="G1561" s="50"/>
      <c r="H1561" s="17" t="str">
        <f ca="1">IFERROR(__xludf.DUMMYFUNCTION("""COMPUTED_VALUE"""),"")</f>
        <v/>
      </c>
      <c r="I1561" s="50" t="s">
        <v>29</v>
      </c>
      <c r="J1561" s="50" t="s">
        <v>29</v>
      </c>
      <c r="K1561" s="50" t="s">
        <v>29</v>
      </c>
      <c r="L1561" s="50" t="s">
        <v>29</v>
      </c>
      <c r="M1561" s="50" t="s">
        <v>29</v>
      </c>
      <c r="N1561" s="49"/>
      <c r="P1561" s="19"/>
      <c r="Q1561" s="18" t="str">
        <f ca="1">IFERROR(__xludf.DUMMYFUNCTION("""COMPUTED_VALUE"""),"")</f>
        <v/>
      </c>
      <c r="R1561" s="19"/>
      <c r="S1561" s="20"/>
      <c r="BP1561" s="10"/>
      <c r="BW1561" s="10"/>
      <c r="CF1561" s="10"/>
      <c r="CM1561" s="10"/>
      <c r="CP1561" s="18" t="str">
        <f ca="1"/>
        <v/>
      </c>
      <c r="CQ1561" s="18" t="str">
        <f ca="1"/>
        <v/>
      </c>
      <c r="CR1561" s="18" t="str">
        <f ca="1"/>
        <v/>
      </c>
      <c r="CS1561" s="18" t="str">
        <f ca="1"/>
        <v/>
      </c>
      <c r="CT1561" s="18" t="str">
        <f ca="1"/>
        <v/>
      </c>
      <c r="CV1561" s="10"/>
      <c r="CY1561" s="18" t="str">
        <f ca="1"/>
        <v/>
      </c>
      <c r="CZ1561" s="18" t="str">
        <f ca="1"/>
        <v/>
      </c>
      <c r="DA1561" s="18" t="str">
        <f ca="1"/>
        <v/>
      </c>
      <c r="DC1561" s="10"/>
    </row>
    <row r="1562" spans="1:107" x14ac:dyDescent="0.25">
      <c r="A1562" s="46"/>
      <c r="B1562" s="52"/>
      <c r="C1562" s="52"/>
      <c r="D1562" s="16"/>
      <c r="E1562" s="52"/>
      <c r="F1562" s="52"/>
      <c r="G1562" s="50"/>
      <c r="H1562" s="17" t="str">
        <f ca="1">IFERROR(__xludf.DUMMYFUNCTION("""COMPUTED_VALUE"""),"")</f>
        <v/>
      </c>
      <c r="I1562" s="50" t="s">
        <v>29</v>
      </c>
      <c r="J1562" s="50" t="s">
        <v>29</v>
      </c>
      <c r="K1562" s="50" t="s">
        <v>29</v>
      </c>
      <c r="L1562" s="50" t="s">
        <v>29</v>
      </c>
      <c r="M1562" s="50" t="s">
        <v>29</v>
      </c>
      <c r="N1562" s="49"/>
      <c r="P1562" s="19"/>
      <c r="Q1562" s="18" t="str">
        <f ca="1">IFERROR(__xludf.DUMMYFUNCTION("""COMPUTED_VALUE"""),"")</f>
        <v/>
      </c>
      <c r="R1562" s="19"/>
      <c r="S1562" s="20"/>
      <c r="BP1562" s="10"/>
      <c r="BW1562" s="10"/>
      <c r="CF1562" s="10"/>
      <c r="CM1562" s="10"/>
      <c r="CP1562" s="18" t="str">
        <f ca="1"/>
        <v/>
      </c>
      <c r="CQ1562" s="18" t="str">
        <f ca="1"/>
        <v/>
      </c>
      <c r="CR1562" s="18" t="str">
        <f ca="1"/>
        <v/>
      </c>
      <c r="CS1562" s="18" t="str">
        <f ca="1"/>
        <v/>
      </c>
      <c r="CT1562" s="18" t="str">
        <f ca="1"/>
        <v/>
      </c>
      <c r="CV1562" s="10"/>
      <c r="CY1562" s="18" t="str">
        <f ca="1"/>
        <v/>
      </c>
      <c r="CZ1562" s="18" t="str">
        <f ca="1"/>
        <v/>
      </c>
      <c r="DA1562" s="18" t="str">
        <f ca="1"/>
        <v/>
      </c>
      <c r="DC1562" s="10"/>
    </row>
    <row r="1563" spans="1:107" x14ac:dyDescent="0.25">
      <c r="A1563" s="46"/>
      <c r="B1563" s="52"/>
      <c r="C1563" s="52"/>
      <c r="D1563" s="16"/>
      <c r="E1563" s="52"/>
      <c r="F1563" s="52"/>
      <c r="G1563" s="50"/>
      <c r="H1563" s="17" t="str">
        <f ca="1">IFERROR(__xludf.DUMMYFUNCTION("""COMPUTED_VALUE"""),"")</f>
        <v/>
      </c>
      <c r="I1563" s="50" t="s">
        <v>29</v>
      </c>
      <c r="J1563" s="50" t="s">
        <v>29</v>
      </c>
      <c r="K1563" s="50" t="s">
        <v>29</v>
      </c>
      <c r="L1563" s="50" t="s">
        <v>29</v>
      </c>
      <c r="M1563" s="50" t="s">
        <v>29</v>
      </c>
      <c r="N1563" s="49"/>
      <c r="P1563" s="19"/>
      <c r="Q1563" s="18" t="str">
        <f ca="1">IFERROR(__xludf.DUMMYFUNCTION("""COMPUTED_VALUE"""),"")</f>
        <v/>
      </c>
      <c r="R1563" s="19"/>
      <c r="S1563" s="20"/>
      <c r="BP1563" s="10"/>
      <c r="BW1563" s="10"/>
      <c r="CF1563" s="10"/>
      <c r="CM1563" s="10"/>
      <c r="CP1563" s="18" t="str">
        <f ca="1"/>
        <v/>
      </c>
      <c r="CQ1563" s="18" t="str">
        <f ca="1"/>
        <v/>
      </c>
      <c r="CR1563" s="18" t="str">
        <f ca="1"/>
        <v/>
      </c>
      <c r="CS1563" s="18" t="str">
        <f ca="1"/>
        <v/>
      </c>
      <c r="CT1563" s="18" t="str">
        <f ca="1"/>
        <v/>
      </c>
      <c r="CV1563" s="10"/>
      <c r="CY1563" s="18" t="str">
        <f ca="1"/>
        <v/>
      </c>
      <c r="CZ1563" s="18" t="str">
        <f ca="1"/>
        <v/>
      </c>
      <c r="DA1563" s="18" t="str">
        <f ca="1"/>
        <v/>
      </c>
      <c r="DC1563" s="10"/>
    </row>
    <row r="1564" spans="1:107" x14ac:dyDescent="0.25">
      <c r="A1564" s="46"/>
      <c r="B1564" s="52"/>
      <c r="C1564" s="52"/>
      <c r="D1564" s="16"/>
      <c r="E1564" s="52"/>
      <c r="F1564" s="52"/>
      <c r="G1564" s="50"/>
      <c r="H1564" s="17" t="str">
        <f ca="1">IFERROR(__xludf.DUMMYFUNCTION("""COMPUTED_VALUE"""),"")</f>
        <v/>
      </c>
      <c r="I1564" s="50" t="s">
        <v>29</v>
      </c>
      <c r="J1564" s="50" t="s">
        <v>29</v>
      </c>
      <c r="K1564" s="50" t="s">
        <v>29</v>
      </c>
      <c r="L1564" s="50" t="s">
        <v>29</v>
      </c>
      <c r="M1564" s="50" t="s">
        <v>29</v>
      </c>
      <c r="N1564" s="49"/>
      <c r="P1564" s="19"/>
      <c r="Q1564" s="18" t="str">
        <f ca="1">IFERROR(__xludf.DUMMYFUNCTION("""COMPUTED_VALUE"""),"")</f>
        <v/>
      </c>
      <c r="R1564" s="19"/>
      <c r="S1564" s="20"/>
      <c r="BP1564" s="10"/>
      <c r="BW1564" s="10"/>
      <c r="CF1564" s="10"/>
      <c r="CM1564" s="10"/>
      <c r="CP1564" s="18" t="str">
        <f ca="1"/>
        <v/>
      </c>
      <c r="CQ1564" s="18" t="str">
        <f ca="1"/>
        <v/>
      </c>
      <c r="CR1564" s="18" t="str">
        <f ca="1"/>
        <v/>
      </c>
      <c r="CS1564" s="18" t="str">
        <f ca="1"/>
        <v/>
      </c>
      <c r="CT1564" s="18" t="str">
        <f ca="1"/>
        <v/>
      </c>
      <c r="CV1564" s="10"/>
      <c r="CY1564" s="18" t="str">
        <f ca="1"/>
        <v/>
      </c>
      <c r="CZ1564" s="18" t="str">
        <f ca="1"/>
        <v/>
      </c>
      <c r="DA1564" s="18" t="str">
        <f ca="1"/>
        <v/>
      </c>
      <c r="DC1564" s="10"/>
    </row>
    <row r="1565" spans="1:107" x14ac:dyDescent="0.25">
      <c r="A1565" s="46"/>
      <c r="B1565" s="52"/>
      <c r="C1565" s="52"/>
      <c r="D1565" s="16"/>
      <c r="E1565" s="52"/>
      <c r="F1565" s="52"/>
      <c r="G1565" s="50"/>
      <c r="H1565" s="17" t="str">
        <f ca="1">IFERROR(__xludf.DUMMYFUNCTION("""COMPUTED_VALUE"""),"")</f>
        <v/>
      </c>
      <c r="I1565" s="50" t="s">
        <v>29</v>
      </c>
      <c r="J1565" s="50" t="s">
        <v>29</v>
      </c>
      <c r="K1565" s="50" t="s">
        <v>29</v>
      </c>
      <c r="L1565" s="50" t="s">
        <v>29</v>
      </c>
      <c r="M1565" s="50" t="s">
        <v>29</v>
      </c>
      <c r="N1565" s="49"/>
      <c r="P1565" s="19"/>
      <c r="Q1565" s="18" t="str">
        <f ca="1">IFERROR(__xludf.DUMMYFUNCTION("""COMPUTED_VALUE"""),"")</f>
        <v/>
      </c>
      <c r="R1565" s="19"/>
      <c r="S1565" s="20"/>
      <c r="BP1565" s="10"/>
      <c r="BW1565" s="10"/>
      <c r="CF1565" s="10"/>
      <c r="CM1565" s="10"/>
      <c r="CP1565" s="18" t="str">
        <f ca="1"/>
        <v/>
      </c>
      <c r="CQ1565" s="18" t="str">
        <f ca="1"/>
        <v/>
      </c>
      <c r="CR1565" s="18" t="str">
        <f ca="1"/>
        <v/>
      </c>
      <c r="CS1565" s="18" t="str">
        <f ca="1"/>
        <v/>
      </c>
      <c r="CT1565" s="18" t="str">
        <f ca="1"/>
        <v/>
      </c>
      <c r="CV1565" s="10"/>
      <c r="CY1565" s="18" t="str">
        <f ca="1"/>
        <v/>
      </c>
      <c r="CZ1565" s="18" t="str">
        <f ca="1"/>
        <v/>
      </c>
      <c r="DA1565" s="18" t="str">
        <f ca="1"/>
        <v/>
      </c>
      <c r="DC1565" s="10"/>
    </row>
    <row r="1566" spans="1:107" x14ac:dyDescent="0.25">
      <c r="A1566" s="46"/>
      <c r="B1566" s="52"/>
      <c r="C1566" s="52"/>
      <c r="D1566" s="16"/>
      <c r="E1566" s="52"/>
      <c r="F1566" s="52"/>
      <c r="G1566" s="50"/>
      <c r="H1566" s="17" t="str">
        <f ca="1">IFERROR(__xludf.DUMMYFUNCTION("""COMPUTED_VALUE"""),"")</f>
        <v/>
      </c>
      <c r="I1566" s="50" t="s">
        <v>29</v>
      </c>
      <c r="J1566" s="50" t="s">
        <v>29</v>
      </c>
      <c r="K1566" s="50" t="s">
        <v>29</v>
      </c>
      <c r="L1566" s="50" t="s">
        <v>29</v>
      </c>
      <c r="M1566" s="50" t="s">
        <v>29</v>
      </c>
      <c r="N1566" s="49"/>
      <c r="P1566" s="19"/>
      <c r="Q1566" s="18" t="str">
        <f ca="1">IFERROR(__xludf.DUMMYFUNCTION("""COMPUTED_VALUE"""),"")</f>
        <v/>
      </c>
      <c r="R1566" s="19"/>
      <c r="S1566" s="20"/>
      <c r="BP1566" s="10"/>
      <c r="BW1566" s="10"/>
      <c r="CF1566" s="10"/>
      <c r="CM1566" s="10"/>
      <c r="CP1566" s="18" t="str">
        <f ca="1"/>
        <v/>
      </c>
      <c r="CQ1566" s="18" t="str">
        <f ca="1"/>
        <v/>
      </c>
      <c r="CR1566" s="18" t="str">
        <f ca="1"/>
        <v/>
      </c>
      <c r="CS1566" s="18" t="str">
        <f ca="1"/>
        <v/>
      </c>
      <c r="CT1566" s="18" t="str">
        <f ca="1"/>
        <v/>
      </c>
      <c r="CV1566" s="10"/>
      <c r="CY1566" s="18" t="str">
        <f ca="1"/>
        <v/>
      </c>
      <c r="CZ1566" s="18" t="str">
        <f ca="1"/>
        <v/>
      </c>
      <c r="DA1566" s="18" t="str">
        <f ca="1"/>
        <v/>
      </c>
      <c r="DC1566" s="10"/>
    </row>
    <row r="1567" spans="1:107" x14ac:dyDescent="0.25">
      <c r="A1567" s="46"/>
      <c r="B1567" s="52"/>
      <c r="C1567" s="52"/>
      <c r="D1567" s="16"/>
      <c r="E1567" s="52"/>
      <c r="F1567" s="52"/>
      <c r="G1567" s="50"/>
      <c r="H1567" s="17" t="str">
        <f ca="1">IFERROR(__xludf.DUMMYFUNCTION("""COMPUTED_VALUE"""),"")</f>
        <v/>
      </c>
      <c r="I1567" s="50" t="s">
        <v>29</v>
      </c>
      <c r="J1567" s="50" t="s">
        <v>29</v>
      </c>
      <c r="K1567" s="50" t="s">
        <v>29</v>
      </c>
      <c r="L1567" s="50" t="s">
        <v>29</v>
      </c>
      <c r="M1567" s="50" t="s">
        <v>29</v>
      </c>
      <c r="N1567" s="49"/>
      <c r="P1567" s="19"/>
      <c r="Q1567" s="18" t="str">
        <f ca="1">IFERROR(__xludf.DUMMYFUNCTION("""COMPUTED_VALUE"""),"")</f>
        <v/>
      </c>
      <c r="R1567" s="19"/>
      <c r="S1567" s="20"/>
      <c r="BP1567" s="10"/>
      <c r="BW1567" s="10"/>
      <c r="CF1567" s="10"/>
      <c r="CM1567" s="10"/>
      <c r="CP1567" s="18" t="str">
        <f ca="1"/>
        <v/>
      </c>
      <c r="CQ1567" s="18" t="str">
        <f ca="1"/>
        <v/>
      </c>
      <c r="CR1567" s="18" t="str">
        <f ca="1"/>
        <v/>
      </c>
      <c r="CS1567" s="18" t="str">
        <f ca="1"/>
        <v/>
      </c>
      <c r="CT1567" s="18" t="str">
        <f ca="1"/>
        <v/>
      </c>
      <c r="CV1567" s="10"/>
      <c r="CY1567" s="18" t="str">
        <f ca="1"/>
        <v/>
      </c>
      <c r="CZ1567" s="18" t="str">
        <f ca="1"/>
        <v/>
      </c>
      <c r="DA1567" s="18" t="str">
        <f ca="1"/>
        <v/>
      </c>
      <c r="DC1567" s="10"/>
    </row>
    <row r="1568" spans="1:107" x14ac:dyDescent="0.25">
      <c r="A1568" s="46"/>
      <c r="B1568" s="52"/>
      <c r="C1568" s="52"/>
      <c r="D1568" s="16"/>
      <c r="E1568" s="52"/>
      <c r="F1568" s="52"/>
      <c r="G1568" s="50"/>
      <c r="H1568" s="17" t="str">
        <f ca="1">IFERROR(__xludf.DUMMYFUNCTION("""COMPUTED_VALUE"""),"")</f>
        <v/>
      </c>
      <c r="I1568" s="50" t="s">
        <v>29</v>
      </c>
      <c r="J1568" s="50" t="s">
        <v>29</v>
      </c>
      <c r="K1568" s="50" t="s">
        <v>29</v>
      </c>
      <c r="L1568" s="50" t="s">
        <v>29</v>
      </c>
      <c r="M1568" s="50" t="s">
        <v>29</v>
      </c>
      <c r="N1568" s="49"/>
      <c r="P1568" s="19"/>
      <c r="Q1568" s="18" t="str">
        <f ca="1">IFERROR(__xludf.DUMMYFUNCTION("""COMPUTED_VALUE"""),"")</f>
        <v/>
      </c>
      <c r="R1568" s="19"/>
      <c r="S1568" s="20"/>
      <c r="BP1568" s="10"/>
      <c r="BW1568" s="10"/>
      <c r="CF1568" s="10"/>
      <c r="CM1568" s="10"/>
      <c r="CP1568" s="18" t="str">
        <f ca="1"/>
        <v/>
      </c>
      <c r="CQ1568" s="18" t="str">
        <f ca="1"/>
        <v/>
      </c>
      <c r="CR1568" s="18" t="str">
        <f ca="1"/>
        <v/>
      </c>
      <c r="CS1568" s="18" t="str">
        <f ca="1"/>
        <v/>
      </c>
      <c r="CT1568" s="18" t="str">
        <f ca="1"/>
        <v/>
      </c>
      <c r="CV1568" s="10"/>
      <c r="CY1568" s="18" t="str">
        <f ca="1"/>
        <v/>
      </c>
      <c r="CZ1568" s="18" t="str">
        <f ca="1"/>
        <v/>
      </c>
      <c r="DA1568" s="18" t="str">
        <f ca="1"/>
        <v/>
      </c>
      <c r="DC1568" s="10"/>
    </row>
    <row r="1569" spans="1:107" x14ac:dyDescent="0.25">
      <c r="A1569" s="46"/>
      <c r="B1569" s="52"/>
      <c r="C1569" s="52"/>
      <c r="D1569" s="16"/>
      <c r="E1569" s="52"/>
      <c r="F1569" s="52"/>
      <c r="G1569" s="50"/>
      <c r="H1569" s="17" t="str">
        <f ca="1">IFERROR(__xludf.DUMMYFUNCTION("""COMPUTED_VALUE"""),"")</f>
        <v/>
      </c>
      <c r="I1569" s="50" t="s">
        <v>29</v>
      </c>
      <c r="J1569" s="50" t="s">
        <v>29</v>
      </c>
      <c r="K1569" s="50" t="s">
        <v>29</v>
      </c>
      <c r="L1569" s="50" t="s">
        <v>29</v>
      </c>
      <c r="M1569" s="50" t="s">
        <v>29</v>
      </c>
      <c r="N1569" s="49"/>
      <c r="P1569" s="19"/>
      <c r="Q1569" s="18" t="str">
        <f ca="1">IFERROR(__xludf.DUMMYFUNCTION("""COMPUTED_VALUE"""),"")</f>
        <v/>
      </c>
      <c r="R1569" s="19"/>
      <c r="S1569" s="20"/>
      <c r="BP1569" s="10"/>
      <c r="BW1569" s="10"/>
      <c r="CF1569" s="10"/>
      <c r="CM1569" s="10"/>
      <c r="CP1569" s="18" t="str">
        <f ca="1"/>
        <v/>
      </c>
      <c r="CQ1569" s="18" t="str">
        <f ca="1"/>
        <v/>
      </c>
      <c r="CR1569" s="18" t="str">
        <f ca="1"/>
        <v/>
      </c>
      <c r="CS1569" s="18" t="str">
        <f ca="1"/>
        <v/>
      </c>
      <c r="CT1569" s="18" t="str">
        <f ca="1"/>
        <v/>
      </c>
      <c r="CV1569" s="10"/>
      <c r="CY1569" s="18" t="str">
        <f ca="1"/>
        <v/>
      </c>
      <c r="CZ1569" s="18" t="str">
        <f ca="1"/>
        <v/>
      </c>
      <c r="DA1569" s="18" t="str">
        <f ca="1"/>
        <v/>
      </c>
      <c r="DC1569" s="10"/>
    </row>
    <row r="1570" spans="1:107" x14ac:dyDescent="0.25">
      <c r="A1570" s="46"/>
      <c r="B1570" s="52"/>
      <c r="C1570" s="52"/>
      <c r="D1570" s="16"/>
      <c r="E1570" s="52"/>
      <c r="F1570" s="52"/>
      <c r="G1570" s="50"/>
      <c r="H1570" s="17" t="str">
        <f ca="1">IFERROR(__xludf.DUMMYFUNCTION("""COMPUTED_VALUE"""),"")</f>
        <v/>
      </c>
      <c r="I1570" s="50" t="s">
        <v>29</v>
      </c>
      <c r="J1570" s="50" t="s">
        <v>29</v>
      </c>
      <c r="K1570" s="50" t="s">
        <v>29</v>
      </c>
      <c r="L1570" s="50" t="s">
        <v>29</v>
      </c>
      <c r="M1570" s="50" t="s">
        <v>29</v>
      </c>
      <c r="N1570" s="49"/>
      <c r="P1570" s="19"/>
      <c r="Q1570" s="18" t="str">
        <f ca="1">IFERROR(__xludf.DUMMYFUNCTION("""COMPUTED_VALUE"""),"")</f>
        <v/>
      </c>
      <c r="R1570" s="19"/>
      <c r="S1570" s="20"/>
      <c r="BP1570" s="10"/>
      <c r="BW1570" s="10"/>
      <c r="CF1570" s="10"/>
      <c r="CM1570" s="10"/>
      <c r="CP1570" s="18" t="str">
        <f ca="1"/>
        <v/>
      </c>
      <c r="CQ1570" s="18" t="str">
        <f ca="1"/>
        <v/>
      </c>
      <c r="CR1570" s="18" t="str">
        <f ca="1"/>
        <v/>
      </c>
      <c r="CS1570" s="18" t="str">
        <f ca="1"/>
        <v/>
      </c>
      <c r="CT1570" s="18" t="str">
        <f ca="1"/>
        <v/>
      </c>
      <c r="CV1570" s="10"/>
      <c r="CY1570" s="18" t="str">
        <f ca="1"/>
        <v/>
      </c>
      <c r="CZ1570" s="18" t="str">
        <f ca="1"/>
        <v/>
      </c>
      <c r="DA1570" s="18" t="str">
        <f ca="1"/>
        <v/>
      </c>
      <c r="DC1570" s="10"/>
    </row>
    <row r="1571" spans="1:107" x14ac:dyDescent="0.25">
      <c r="A1571" s="46"/>
      <c r="B1571" s="52"/>
      <c r="C1571" s="52"/>
      <c r="D1571" s="16"/>
      <c r="E1571" s="52"/>
      <c r="F1571" s="52"/>
      <c r="G1571" s="50"/>
      <c r="H1571" s="17" t="str">
        <f ca="1">IFERROR(__xludf.DUMMYFUNCTION("""COMPUTED_VALUE"""),"")</f>
        <v/>
      </c>
      <c r="I1571" s="50" t="s">
        <v>29</v>
      </c>
      <c r="J1571" s="50" t="s">
        <v>29</v>
      </c>
      <c r="K1571" s="50" t="s">
        <v>29</v>
      </c>
      <c r="L1571" s="50" t="s">
        <v>29</v>
      </c>
      <c r="M1571" s="50" t="s">
        <v>29</v>
      </c>
      <c r="N1571" s="49"/>
      <c r="P1571" s="19"/>
      <c r="Q1571" s="18" t="str">
        <f ca="1">IFERROR(__xludf.DUMMYFUNCTION("""COMPUTED_VALUE"""),"")</f>
        <v/>
      </c>
      <c r="R1571" s="19"/>
      <c r="S1571" s="20"/>
      <c r="BP1571" s="10"/>
      <c r="BW1571" s="10"/>
      <c r="CF1571" s="10"/>
      <c r="CM1571" s="10"/>
      <c r="CP1571" s="18" t="str">
        <f ca="1"/>
        <v/>
      </c>
      <c r="CQ1571" s="18" t="str">
        <f ca="1"/>
        <v/>
      </c>
      <c r="CR1571" s="18" t="str">
        <f ca="1"/>
        <v/>
      </c>
      <c r="CS1571" s="18" t="str">
        <f ca="1"/>
        <v/>
      </c>
      <c r="CT1571" s="18" t="str">
        <f ca="1"/>
        <v/>
      </c>
      <c r="CV1571" s="10"/>
      <c r="CY1571" s="18" t="str">
        <f ca="1"/>
        <v/>
      </c>
      <c r="CZ1571" s="18" t="str">
        <f ca="1"/>
        <v/>
      </c>
      <c r="DA1571" s="18" t="str">
        <f ca="1"/>
        <v/>
      </c>
      <c r="DC1571" s="10"/>
    </row>
    <row r="1572" spans="1:107" x14ac:dyDescent="0.25">
      <c r="A1572" s="46"/>
      <c r="B1572" s="52"/>
      <c r="C1572" s="52"/>
      <c r="D1572" s="16"/>
      <c r="E1572" s="52"/>
      <c r="F1572" s="52"/>
      <c r="G1572" s="50"/>
      <c r="H1572" s="17" t="str">
        <f ca="1">IFERROR(__xludf.DUMMYFUNCTION("""COMPUTED_VALUE"""),"")</f>
        <v/>
      </c>
      <c r="I1572" s="50" t="s">
        <v>29</v>
      </c>
      <c r="J1572" s="50" t="s">
        <v>29</v>
      </c>
      <c r="K1572" s="50" t="s">
        <v>29</v>
      </c>
      <c r="L1572" s="50" t="s">
        <v>29</v>
      </c>
      <c r="M1572" s="50" t="s">
        <v>29</v>
      </c>
      <c r="N1572" s="49"/>
      <c r="P1572" s="19"/>
      <c r="Q1572" s="18" t="str">
        <f ca="1">IFERROR(__xludf.DUMMYFUNCTION("""COMPUTED_VALUE"""),"")</f>
        <v/>
      </c>
      <c r="R1572" s="19"/>
      <c r="S1572" s="20"/>
      <c r="BP1572" s="10"/>
      <c r="BW1572" s="10"/>
      <c r="CF1572" s="10"/>
      <c r="CM1572" s="10"/>
      <c r="CP1572" s="18" t="str">
        <f ca="1"/>
        <v/>
      </c>
      <c r="CQ1572" s="18" t="str">
        <f ca="1"/>
        <v/>
      </c>
      <c r="CR1572" s="18" t="str">
        <f ca="1"/>
        <v/>
      </c>
      <c r="CS1572" s="18" t="str">
        <f ca="1"/>
        <v/>
      </c>
      <c r="CT1572" s="18" t="str">
        <f ca="1"/>
        <v/>
      </c>
      <c r="CV1572" s="10"/>
      <c r="CY1572" s="18" t="str">
        <f ca="1"/>
        <v/>
      </c>
      <c r="CZ1572" s="18" t="str">
        <f ca="1"/>
        <v/>
      </c>
      <c r="DA1572" s="18" t="str">
        <f ca="1"/>
        <v/>
      </c>
      <c r="DC1572" s="10"/>
    </row>
    <row r="1573" spans="1:107" x14ac:dyDescent="0.25">
      <c r="A1573" s="46"/>
      <c r="B1573" s="52"/>
      <c r="C1573" s="52"/>
      <c r="D1573" s="16"/>
      <c r="E1573" s="52"/>
      <c r="F1573" s="52"/>
      <c r="G1573" s="50"/>
      <c r="H1573" s="17" t="str">
        <f ca="1">IFERROR(__xludf.DUMMYFUNCTION("""COMPUTED_VALUE"""),"")</f>
        <v/>
      </c>
      <c r="I1573" s="50" t="s">
        <v>29</v>
      </c>
      <c r="J1573" s="50" t="s">
        <v>29</v>
      </c>
      <c r="K1573" s="50" t="s">
        <v>29</v>
      </c>
      <c r="L1573" s="50" t="s">
        <v>29</v>
      </c>
      <c r="M1573" s="50" t="s">
        <v>29</v>
      </c>
      <c r="N1573" s="49"/>
      <c r="P1573" s="19"/>
      <c r="Q1573" s="18" t="str">
        <f ca="1">IFERROR(__xludf.DUMMYFUNCTION("""COMPUTED_VALUE"""),"")</f>
        <v/>
      </c>
      <c r="R1573" s="19"/>
      <c r="S1573" s="20"/>
      <c r="BP1573" s="10"/>
      <c r="BW1573" s="10"/>
      <c r="CF1573" s="10"/>
      <c r="CM1573" s="10"/>
      <c r="CP1573" s="18" t="str">
        <f ca="1"/>
        <v/>
      </c>
      <c r="CQ1573" s="18" t="str">
        <f ca="1"/>
        <v/>
      </c>
      <c r="CR1573" s="18" t="str">
        <f ca="1"/>
        <v/>
      </c>
      <c r="CS1573" s="18" t="str">
        <f ca="1"/>
        <v/>
      </c>
      <c r="CT1573" s="18" t="str">
        <f ca="1"/>
        <v/>
      </c>
      <c r="CV1573" s="10"/>
      <c r="CY1573" s="18" t="str">
        <f ca="1"/>
        <v/>
      </c>
      <c r="CZ1573" s="18" t="str">
        <f ca="1"/>
        <v/>
      </c>
      <c r="DA1573" s="18" t="str">
        <f ca="1"/>
        <v/>
      </c>
      <c r="DC1573" s="10"/>
    </row>
    <row r="1574" spans="1:107" x14ac:dyDescent="0.25">
      <c r="A1574" s="46"/>
      <c r="B1574" s="52"/>
      <c r="C1574" s="52"/>
      <c r="D1574" s="16"/>
      <c r="E1574" s="52"/>
      <c r="F1574" s="52"/>
      <c r="G1574" s="50"/>
      <c r="H1574" s="17" t="str">
        <f ca="1">IFERROR(__xludf.DUMMYFUNCTION("""COMPUTED_VALUE"""),"")</f>
        <v/>
      </c>
      <c r="I1574" s="50" t="s">
        <v>29</v>
      </c>
      <c r="J1574" s="50" t="s">
        <v>29</v>
      </c>
      <c r="K1574" s="50" t="s">
        <v>29</v>
      </c>
      <c r="L1574" s="50" t="s">
        <v>29</v>
      </c>
      <c r="M1574" s="50" t="s">
        <v>29</v>
      </c>
      <c r="N1574" s="49"/>
      <c r="P1574" s="19"/>
      <c r="Q1574" s="18" t="str">
        <f ca="1">IFERROR(__xludf.DUMMYFUNCTION("""COMPUTED_VALUE"""),"")</f>
        <v/>
      </c>
      <c r="R1574" s="19"/>
      <c r="S1574" s="20"/>
      <c r="BP1574" s="10"/>
      <c r="BW1574" s="10"/>
      <c r="CF1574" s="10"/>
      <c r="CM1574" s="10"/>
      <c r="CP1574" s="18" t="str">
        <f ca="1"/>
        <v/>
      </c>
      <c r="CQ1574" s="18" t="str">
        <f ca="1"/>
        <v/>
      </c>
      <c r="CR1574" s="18" t="str">
        <f ca="1"/>
        <v/>
      </c>
      <c r="CS1574" s="18" t="str">
        <f ca="1"/>
        <v/>
      </c>
      <c r="CT1574" s="18" t="str">
        <f ca="1"/>
        <v/>
      </c>
      <c r="CV1574" s="10"/>
      <c r="CY1574" s="18" t="str">
        <f ca="1"/>
        <v/>
      </c>
      <c r="CZ1574" s="18" t="str">
        <f ca="1"/>
        <v/>
      </c>
      <c r="DA1574" s="18" t="str">
        <f ca="1"/>
        <v/>
      </c>
      <c r="DC1574" s="10"/>
    </row>
    <row r="1575" spans="1:107" x14ac:dyDescent="0.25">
      <c r="A1575" s="46"/>
      <c r="B1575" s="52"/>
      <c r="C1575" s="52"/>
      <c r="D1575" s="16"/>
      <c r="E1575" s="52"/>
      <c r="F1575" s="52"/>
      <c r="G1575" s="50"/>
      <c r="H1575" s="17" t="str">
        <f ca="1">IFERROR(__xludf.DUMMYFUNCTION("""COMPUTED_VALUE"""),"")</f>
        <v/>
      </c>
      <c r="I1575" s="50" t="s">
        <v>29</v>
      </c>
      <c r="J1575" s="50" t="s">
        <v>29</v>
      </c>
      <c r="K1575" s="50" t="s">
        <v>29</v>
      </c>
      <c r="L1575" s="50" t="s">
        <v>29</v>
      </c>
      <c r="M1575" s="50" t="s">
        <v>29</v>
      </c>
      <c r="N1575" s="49"/>
      <c r="P1575" s="19"/>
      <c r="Q1575" s="18" t="str">
        <f ca="1">IFERROR(__xludf.DUMMYFUNCTION("""COMPUTED_VALUE"""),"")</f>
        <v/>
      </c>
      <c r="R1575" s="19"/>
      <c r="S1575" s="20"/>
      <c r="BP1575" s="10"/>
      <c r="BW1575" s="10"/>
      <c r="CF1575" s="10"/>
      <c r="CM1575" s="10"/>
      <c r="CP1575" s="18" t="str">
        <f ca="1"/>
        <v/>
      </c>
      <c r="CQ1575" s="18" t="str">
        <f ca="1"/>
        <v/>
      </c>
      <c r="CR1575" s="18" t="str">
        <f ca="1"/>
        <v/>
      </c>
      <c r="CS1575" s="18" t="str">
        <f ca="1"/>
        <v/>
      </c>
      <c r="CT1575" s="18" t="str">
        <f ca="1"/>
        <v/>
      </c>
      <c r="CV1575" s="10"/>
      <c r="CY1575" s="18" t="str">
        <f ca="1"/>
        <v/>
      </c>
      <c r="CZ1575" s="18" t="str">
        <f ca="1"/>
        <v/>
      </c>
      <c r="DA1575" s="18" t="str">
        <f ca="1"/>
        <v/>
      </c>
      <c r="DC1575" s="10"/>
    </row>
    <row r="1576" spans="1:107" x14ac:dyDescent="0.25">
      <c r="A1576" s="46"/>
      <c r="B1576" s="52"/>
      <c r="C1576" s="52"/>
      <c r="D1576" s="16"/>
      <c r="E1576" s="52"/>
      <c r="F1576" s="52"/>
      <c r="G1576" s="50"/>
      <c r="H1576" s="17" t="str">
        <f ca="1">IFERROR(__xludf.DUMMYFUNCTION("""COMPUTED_VALUE"""),"")</f>
        <v/>
      </c>
      <c r="I1576" s="50" t="s">
        <v>29</v>
      </c>
      <c r="J1576" s="50" t="s">
        <v>29</v>
      </c>
      <c r="K1576" s="50" t="s">
        <v>29</v>
      </c>
      <c r="L1576" s="50" t="s">
        <v>29</v>
      </c>
      <c r="M1576" s="50" t="s">
        <v>29</v>
      </c>
      <c r="N1576" s="49"/>
      <c r="P1576" s="19"/>
      <c r="Q1576" s="18" t="str">
        <f ca="1">IFERROR(__xludf.DUMMYFUNCTION("""COMPUTED_VALUE"""),"")</f>
        <v/>
      </c>
      <c r="R1576" s="19"/>
      <c r="S1576" s="20"/>
      <c r="BP1576" s="10"/>
      <c r="BW1576" s="10"/>
      <c r="CF1576" s="10"/>
      <c r="CM1576" s="10"/>
      <c r="CP1576" s="18" t="str">
        <f ca="1"/>
        <v/>
      </c>
      <c r="CQ1576" s="18" t="str">
        <f ca="1"/>
        <v/>
      </c>
      <c r="CR1576" s="18" t="str">
        <f ca="1"/>
        <v/>
      </c>
      <c r="CS1576" s="18" t="str">
        <f ca="1"/>
        <v/>
      </c>
      <c r="CT1576" s="18" t="str">
        <f ca="1"/>
        <v/>
      </c>
      <c r="CV1576" s="10"/>
      <c r="CY1576" s="18" t="str">
        <f ca="1"/>
        <v/>
      </c>
      <c r="CZ1576" s="18" t="str">
        <f ca="1"/>
        <v/>
      </c>
      <c r="DA1576" s="18" t="str">
        <f ca="1"/>
        <v/>
      </c>
      <c r="DC1576" s="10"/>
    </row>
    <row r="1577" spans="1:107" x14ac:dyDescent="0.25">
      <c r="A1577" s="46"/>
      <c r="B1577" s="52"/>
      <c r="C1577" s="52"/>
      <c r="D1577" s="16"/>
      <c r="E1577" s="52"/>
      <c r="F1577" s="52"/>
      <c r="G1577" s="50"/>
      <c r="H1577" s="17" t="str">
        <f ca="1">IFERROR(__xludf.DUMMYFUNCTION("""COMPUTED_VALUE"""),"")</f>
        <v/>
      </c>
      <c r="I1577" s="50" t="s">
        <v>29</v>
      </c>
      <c r="J1577" s="50" t="s">
        <v>29</v>
      </c>
      <c r="K1577" s="50" t="s">
        <v>29</v>
      </c>
      <c r="L1577" s="50" t="s">
        <v>29</v>
      </c>
      <c r="M1577" s="50" t="s">
        <v>29</v>
      </c>
      <c r="N1577" s="49"/>
      <c r="P1577" s="19"/>
      <c r="Q1577" s="18" t="str">
        <f ca="1">IFERROR(__xludf.DUMMYFUNCTION("""COMPUTED_VALUE"""),"")</f>
        <v/>
      </c>
      <c r="R1577" s="19"/>
      <c r="S1577" s="20"/>
      <c r="BP1577" s="10"/>
      <c r="BW1577" s="10"/>
      <c r="CF1577" s="10"/>
      <c r="CM1577" s="10"/>
      <c r="CP1577" s="18" t="str">
        <f ca="1"/>
        <v/>
      </c>
      <c r="CQ1577" s="18" t="str">
        <f ca="1"/>
        <v/>
      </c>
      <c r="CR1577" s="18" t="str">
        <f ca="1"/>
        <v/>
      </c>
      <c r="CS1577" s="18" t="str">
        <f ca="1"/>
        <v/>
      </c>
      <c r="CT1577" s="18" t="str">
        <f ca="1"/>
        <v/>
      </c>
      <c r="CV1577" s="10"/>
      <c r="CY1577" s="18" t="str">
        <f ca="1"/>
        <v/>
      </c>
      <c r="CZ1577" s="18" t="str">
        <f ca="1"/>
        <v/>
      </c>
      <c r="DA1577" s="18" t="str">
        <f ca="1"/>
        <v/>
      </c>
      <c r="DC1577" s="10"/>
    </row>
    <row r="1578" spans="1:107" x14ac:dyDescent="0.25">
      <c r="A1578" s="46"/>
      <c r="B1578" s="52"/>
      <c r="C1578" s="52"/>
      <c r="D1578" s="16"/>
      <c r="E1578" s="52"/>
      <c r="F1578" s="52"/>
      <c r="G1578" s="50"/>
      <c r="H1578" s="17" t="str">
        <f ca="1">IFERROR(__xludf.DUMMYFUNCTION("""COMPUTED_VALUE"""),"")</f>
        <v/>
      </c>
      <c r="I1578" s="50" t="s">
        <v>29</v>
      </c>
      <c r="J1578" s="50" t="s">
        <v>29</v>
      </c>
      <c r="K1578" s="50" t="s">
        <v>29</v>
      </c>
      <c r="L1578" s="50" t="s">
        <v>29</v>
      </c>
      <c r="M1578" s="50" t="s">
        <v>29</v>
      </c>
      <c r="N1578" s="49"/>
      <c r="P1578" s="19"/>
      <c r="Q1578" s="18" t="str">
        <f ca="1">IFERROR(__xludf.DUMMYFUNCTION("""COMPUTED_VALUE"""),"")</f>
        <v/>
      </c>
      <c r="R1578" s="19"/>
      <c r="S1578" s="20"/>
      <c r="BP1578" s="10"/>
      <c r="BW1578" s="10"/>
      <c r="CF1578" s="10"/>
      <c r="CM1578" s="10"/>
      <c r="CP1578" s="18" t="str">
        <f ca="1"/>
        <v/>
      </c>
      <c r="CQ1578" s="18" t="str">
        <f ca="1"/>
        <v/>
      </c>
      <c r="CR1578" s="18" t="str">
        <f ca="1"/>
        <v/>
      </c>
      <c r="CS1578" s="18" t="str">
        <f ca="1"/>
        <v/>
      </c>
      <c r="CT1578" s="18" t="str">
        <f ca="1"/>
        <v/>
      </c>
      <c r="CV1578" s="10"/>
      <c r="CY1578" s="18" t="str">
        <f ca="1"/>
        <v/>
      </c>
      <c r="CZ1578" s="18" t="str">
        <f ca="1"/>
        <v/>
      </c>
      <c r="DA1578" s="18" t="str">
        <f ca="1"/>
        <v/>
      </c>
      <c r="DC1578" s="10"/>
    </row>
    <row r="1579" spans="1:107" x14ac:dyDescent="0.25">
      <c r="A1579" s="46"/>
      <c r="B1579" s="52"/>
      <c r="C1579" s="52"/>
      <c r="D1579" s="16"/>
      <c r="E1579" s="52"/>
      <c r="F1579" s="52"/>
      <c r="G1579" s="50"/>
      <c r="H1579" s="17" t="str">
        <f ca="1">IFERROR(__xludf.DUMMYFUNCTION("""COMPUTED_VALUE"""),"")</f>
        <v/>
      </c>
      <c r="I1579" s="50" t="s">
        <v>29</v>
      </c>
      <c r="J1579" s="50" t="s">
        <v>29</v>
      </c>
      <c r="K1579" s="50" t="s">
        <v>29</v>
      </c>
      <c r="L1579" s="50" t="s">
        <v>29</v>
      </c>
      <c r="M1579" s="50" t="s">
        <v>29</v>
      </c>
      <c r="N1579" s="49"/>
      <c r="P1579" s="19"/>
      <c r="Q1579" s="18" t="str">
        <f ca="1">IFERROR(__xludf.DUMMYFUNCTION("""COMPUTED_VALUE"""),"")</f>
        <v/>
      </c>
      <c r="R1579" s="19"/>
      <c r="S1579" s="20"/>
      <c r="BP1579" s="10"/>
      <c r="BW1579" s="10"/>
      <c r="CF1579" s="10"/>
      <c r="CM1579" s="10"/>
      <c r="CP1579" s="18" t="str">
        <f ca="1"/>
        <v/>
      </c>
      <c r="CQ1579" s="18" t="str">
        <f ca="1"/>
        <v/>
      </c>
      <c r="CR1579" s="18" t="str">
        <f ca="1"/>
        <v/>
      </c>
      <c r="CS1579" s="18" t="str">
        <f ca="1"/>
        <v/>
      </c>
      <c r="CT1579" s="18" t="str">
        <f ca="1"/>
        <v/>
      </c>
      <c r="CV1579" s="10"/>
      <c r="CY1579" s="18" t="str">
        <f ca="1"/>
        <v/>
      </c>
      <c r="CZ1579" s="18" t="str">
        <f ca="1"/>
        <v/>
      </c>
      <c r="DA1579" s="18" t="str">
        <f ca="1"/>
        <v/>
      </c>
      <c r="DC1579" s="10"/>
    </row>
    <row r="1580" spans="1:107" x14ac:dyDescent="0.25">
      <c r="A1580" s="46"/>
      <c r="B1580" s="52"/>
      <c r="C1580" s="52"/>
      <c r="D1580" s="16"/>
      <c r="E1580" s="52"/>
      <c r="F1580" s="52"/>
      <c r="G1580" s="50"/>
      <c r="H1580" s="17" t="str">
        <f ca="1">IFERROR(__xludf.DUMMYFUNCTION("""COMPUTED_VALUE"""),"")</f>
        <v/>
      </c>
      <c r="I1580" s="50" t="s">
        <v>29</v>
      </c>
      <c r="J1580" s="50" t="s">
        <v>29</v>
      </c>
      <c r="K1580" s="50" t="s">
        <v>29</v>
      </c>
      <c r="L1580" s="50" t="s">
        <v>29</v>
      </c>
      <c r="M1580" s="50" t="s">
        <v>29</v>
      </c>
      <c r="N1580" s="49"/>
      <c r="P1580" s="19"/>
      <c r="Q1580" s="18" t="str">
        <f ca="1">IFERROR(__xludf.DUMMYFUNCTION("""COMPUTED_VALUE"""),"")</f>
        <v/>
      </c>
      <c r="R1580" s="19"/>
      <c r="S1580" s="20"/>
      <c r="BP1580" s="10"/>
      <c r="BW1580" s="10"/>
      <c r="CF1580" s="10"/>
      <c r="CM1580" s="10"/>
      <c r="CP1580" s="18" t="str">
        <f ca="1"/>
        <v/>
      </c>
      <c r="CQ1580" s="18" t="str">
        <f ca="1"/>
        <v/>
      </c>
      <c r="CR1580" s="18" t="str">
        <f ca="1"/>
        <v/>
      </c>
      <c r="CS1580" s="18" t="str">
        <f ca="1"/>
        <v/>
      </c>
      <c r="CT1580" s="18" t="str">
        <f ca="1"/>
        <v/>
      </c>
      <c r="CV1580" s="10"/>
      <c r="CY1580" s="18" t="str">
        <f ca="1"/>
        <v/>
      </c>
      <c r="CZ1580" s="18" t="str">
        <f ca="1"/>
        <v/>
      </c>
      <c r="DA1580" s="18" t="str">
        <f ca="1"/>
        <v/>
      </c>
      <c r="DC1580" s="10"/>
    </row>
    <row r="1581" spans="1:107" x14ac:dyDescent="0.25">
      <c r="A1581" s="46"/>
      <c r="B1581" s="52"/>
      <c r="C1581" s="52"/>
      <c r="D1581" s="16"/>
      <c r="E1581" s="52"/>
      <c r="F1581" s="52"/>
      <c r="G1581" s="50"/>
      <c r="H1581" s="17" t="str">
        <f ca="1">IFERROR(__xludf.DUMMYFUNCTION("""COMPUTED_VALUE"""),"")</f>
        <v/>
      </c>
      <c r="I1581" s="50" t="s">
        <v>29</v>
      </c>
      <c r="J1581" s="50" t="s">
        <v>29</v>
      </c>
      <c r="K1581" s="50" t="s">
        <v>29</v>
      </c>
      <c r="L1581" s="50" t="s">
        <v>29</v>
      </c>
      <c r="M1581" s="50" t="s">
        <v>29</v>
      </c>
      <c r="N1581" s="49"/>
      <c r="P1581" s="19"/>
      <c r="Q1581" s="18" t="str">
        <f ca="1">IFERROR(__xludf.DUMMYFUNCTION("""COMPUTED_VALUE"""),"")</f>
        <v/>
      </c>
      <c r="R1581" s="19"/>
      <c r="S1581" s="20"/>
      <c r="BP1581" s="10"/>
      <c r="BW1581" s="10"/>
      <c r="CF1581" s="10"/>
      <c r="CM1581" s="10"/>
      <c r="CP1581" s="18" t="str">
        <f ca="1"/>
        <v/>
      </c>
      <c r="CQ1581" s="18" t="str">
        <f ca="1"/>
        <v/>
      </c>
      <c r="CR1581" s="18" t="str">
        <f ca="1"/>
        <v/>
      </c>
      <c r="CS1581" s="18" t="str">
        <f ca="1"/>
        <v/>
      </c>
      <c r="CT1581" s="18" t="str">
        <f ca="1"/>
        <v/>
      </c>
      <c r="CV1581" s="10"/>
      <c r="CY1581" s="18" t="str">
        <f ca="1"/>
        <v/>
      </c>
      <c r="CZ1581" s="18" t="str">
        <f ca="1"/>
        <v/>
      </c>
      <c r="DA1581" s="18" t="str">
        <f ca="1"/>
        <v/>
      </c>
      <c r="DC1581" s="10"/>
    </row>
    <row r="1582" spans="1:107" x14ac:dyDescent="0.25">
      <c r="A1582" s="46"/>
      <c r="B1582" s="52"/>
      <c r="C1582" s="52"/>
      <c r="D1582" s="16"/>
      <c r="E1582" s="52"/>
      <c r="F1582" s="52"/>
      <c r="G1582" s="50"/>
      <c r="H1582" s="17" t="str">
        <f ca="1">IFERROR(__xludf.DUMMYFUNCTION("""COMPUTED_VALUE"""),"")</f>
        <v/>
      </c>
      <c r="I1582" s="50" t="s">
        <v>29</v>
      </c>
      <c r="J1582" s="50" t="s">
        <v>29</v>
      </c>
      <c r="K1582" s="50" t="s">
        <v>29</v>
      </c>
      <c r="L1582" s="50" t="s">
        <v>29</v>
      </c>
      <c r="M1582" s="50" t="s">
        <v>29</v>
      </c>
      <c r="N1582" s="49"/>
      <c r="P1582" s="19"/>
      <c r="Q1582" s="18" t="str">
        <f ca="1">IFERROR(__xludf.DUMMYFUNCTION("""COMPUTED_VALUE"""),"")</f>
        <v/>
      </c>
      <c r="R1582" s="19"/>
      <c r="S1582" s="20"/>
      <c r="BP1582" s="10"/>
      <c r="BW1582" s="10"/>
      <c r="CF1582" s="10"/>
      <c r="CM1582" s="10"/>
      <c r="CP1582" s="18" t="str">
        <f ca="1"/>
        <v/>
      </c>
      <c r="CQ1582" s="18" t="str">
        <f ca="1"/>
        <v/>
      </c>
      <c r="CR1582" s="18" t="str">
        <f ca="1"/>
        <v/>
      </c>
      <c r="CS1582" s="18" t="str">
        <f ca="1"/>
        <v/>
      </c>
      <c r="CT1582" s="18" t="str">
        <f ca="1"/>
        <v/>
      </c>
      <c r="CV1582" s="10"/>
      <c r="CY1582" s="18" t="str">
        <f ca="1"/>
        <v/>
      </c>
      <c r="CZ1582" s="18" t="str">
        <f ca="1"/>
        <v/>
      </c>
      <c r="DA1582" s="18" t="str">
        <f ca="1"/>
        <v/>
      </c>
      <c r="DC1582" s="10"/>
    </row>
    <row r="1583" spans="1:107" x14ac:dyDescent="0.25">
      <c r="A1583" s="46"/>
      <c r="B1583" s="52"/>
      <c r="C1583" s="52"/>
      <c r="D1583" s="16"/>
      <c r="E1583" s="52"/>
      <c r="F1583" s="52"/>
      <c r="G1583" s="50"/>
      <c r="H1583" s="17" t="str">
        <f ca="1">IFERROR(__xludf.DUMMYFUNCTION("""COMPUTED_VALUE"""),"")</f>
        <v/>
      </c>
      <c r="I1583" s="50" t="s">
        <v>29</v>
      </c>
      <c r="J1583" s="50" t="s">
        <v>29</v>
      </c>
      <c r="K1583" s="50" t="s">
        <v>29</v>
      </c>
      <c r="L1583" s="50" t="s">
        <v>29</v>
      </c>
      <c r="M1583" s="50" t="s">
        <v>29</v>
      </c>
      <c r="N1583" s="49"/>
      <c r="P1583" s="19"/>
      <c r="Q1583" s="18" t="str">
        <f ca="1">IFERROR(__xludf.DUMMYFUNCTION("""COMPUTED_VALUE"""),"")</f>
        <v/>
      </c>
      <c r="R1583" s="19"/>
      <c r="S1583" s="20"/>
      <c r="BP1583" s="10"/>
      <c r="BW1583" s="10"/>
      <c r="CF1583" s="10"/>
      <c r="CM1583" s="10"/>
      <c r="CP1583" s="18" t="str">
        <f ca="1"/>
        <v/>
      </c>
      <c r="CQ1583" s="18" t="str">
        <f ca="1"/>
        <v/>
      </c>
      <c r="CR1583" s="18" t="str">
        <f ca="1"/>
        <v/>
      </c>
      <c r="CS1583" s="18" t="str">
        <f ca="1"/>
        <v/>
      </c>
      <c r="CT1583" s="18" t="str">
        <f ca="1"/>
        <v/>
      </c>
      <c r="CV1583" s="10"/>
      <c r="CY1583" s="18" t="str">
        <f ca="1"/>
        <v/>
      </c>
      <c r="CZ1583" s="18" t="str">
        <f ca="1"/>
        <v/>
      </c>
      <c r="DA1583" s="18" t="str">
        <f ca="1"/>
        <v/>
      </c>
      <c r="DC1583" s="10"/>
    </row>
    <row r="1584" spans="1:107" x14ac:dyDescent="0.25">
      <c r="A1584" s="46"/>
      <c r="B1584" s="52"/>
      <c r="C1584" s="52"/>
      <c r="D1584" s="16"/>
      <c r="E1584" s="52"/>
      <c r="F1584" s="52"/>
      <c r="G1584" s="50"/>
      <c r="H1584" s="17" t="str">
        <f ca="1">IFERROR(__xludf.DUMMYFUNCTION("""COMPUTED_VALUE"""),"")</f>
        <v/>
      </c>
      <c r="I1584" s="50" t="s">
        <v>29</v>
      </c>
      <c r="J1584" s="50" t="s">
        <v>29</v>
      </c>
      <c r="K1584" s="50" t="s">
        <v>29</v>
      </c>
      <c r="L1584" s="50" t="s">
        <v>29</v>
      </c>
      <c r="M1584" s="50" t="s">
        <v>29</v>
      </c>
      <c r="N1584" s="49"/>
      <c r="P1584" s="19"/>
      <c r="Q1584" s="18" t="str">
        <f ca="1">IFERROR(__xludf.DUMMYFUNCTION("""COMPUTED_VALUE"""),"")</f>
        <v/>
      </c>
      <c r="R1584" s="19"/>
      <c r="S1584" s="20"/>
      <c r="BP1584" s="10"/>
      <c r="BW1584" s="10"/>
      <c r="CF1584" s="10"/>
      <c r="CM1584" s="10"/>
      <c r="CP1584" s="18" t="str">
        <f ca="1"/>
        <v/>
      </c>
      <c r="CQ1584" s="18" t="str">
        <f ca="1"/>
        <v/>
      </c>
      <c r="CR1584" s="18" t="str">
        <f ca="1"/>
        <v/>
      </c>
      <c r="CS1584" s="18" t="str">
        <f ca="1"/>
        <v/>
      </c>
      <c r="CT1584" s="18" t="str">
        <f ca="1"/>
        <v/>
      </c>
      <c r="CV1584" s="10"/>
      <c r="CY1584" s="18" t="str">
        <f ca="1"/>
        <v/>
      </c>
      <c r="CZ1584" s="18" t="str">
        <f ca="1"/>
        <v/>
      </c>
      <c r="DA1584" s="18" t="str">
        <f ca="1"/>
        <v/>
      </c>
      <c r="DC1584" s="10"/>
    </row>
    <row r="1585" spans="1:107" x14ac:dyDescent="0.25">
      <c r="A1585" s="46"/>
      <c r="B1585" s="52"/>
      <c r="C1585" s="52"/>
      <c r="D1585" s="16"/>
      <c r="E1585" s="52"/>
      <c r="F1585" s="52"/>
      <c r="G1585" s="50"/>
      <c r="H1585" s="17" t="str">
        <f ca="1">IFERROR(__xludf.DUMMYFUNCTION("""COMPUTED_VALUE"""),"")</f>
        <v/>
      </c>
      <c r="I1585" s="50" t="s">
        <v>29</v>
      </c>
      <c r="J1585" s="50" t="s">
        <v>29</v>
      </c>
      <c r="K1585" s="50" t="s">
        <v>29</v>
      </c>
      <c r="L1585" s="50" t="s">
        <v>29</v>
      </c>
      <c r="M1585" s="50" t="s">
        <v>29</v>
      </c>
      <c r="N1585" s="49"/>
      <c r="P1585" s="19"/>
      <c r="Q1585" s="18" t="str">
        <f ca="1">IFERROR(__xludf.DUMMYFUNCTION("""COMPUTED_VALUE"""),"")</f>
        <v/>
      </c>
      <c r="R1585" s="19"/>
      <c r="S1585" s="20"/>
      <c r="BP1585" s="10"/>
      <c r="BW1585" s="10"/>
      <c r="CF1585" s="10"/>
      <c r="CM1585" s="10"/>
      <c r="CP1585" s="18" t="str">
        <f ca="1"/>
        <v/>
      </c>
      <c r="CQ1585" s="18" t="str">
        <f ca="1"/>
        <v/>
      </c>
      <c r="CR1585" s="18" t="str">
        <f ca="1"/>
        <v/>
      </c>
      <c r="CS1585" s="18" t="str">
        <f ca="1"/>
        <v/>
      </c>
      <c r="CT1585" s="18" t="str">
        <f ca="1"/>
        <v/>
      </c>
      <c r="CV1585" s="10"/>
      <c r="CY1585" s="18" t="str">
        <f ca="1"/>
        <v/>
      </c>
      <c r="CZ1585" s="18" t="str">
        <f ca="1"/>
        <v/>
      </c>
      <c r="DA1585" s="18" t="str">
        <f ca="1"/>
        <v/>
      </c>
      <c r="DC1585" s="10"/>
    </row>
    <row r="1586" spans="1:107" x14ac:dyDescent="0.25">
      <c r="A1586" s="46"/>
      <c r="B1586" s="52"/>
      <c r="C1586" s="52"/>
      <c r="D1586" s="16"/>
      <c r="E1586" s="52"/>
      <c r="F1586" s="52"/>
      <c r="G1586" s="50"/>
      <c r="H1586" s="17" t="str">
        <f ca="1">IFERROR(__xludf.DUMMYFUNCTION("""COMPUTED_VALUE"""),"")</f>
        <v/>
      </c>
      <c r="I1586" s="50" t="s">
        <v>29</v>
      </c>
      <c r="J1586" s="50" t="s">
        <v>29</v>
      </c>
      <c r="K1586" s="50" t="s">
        <v>29</v>
      </c>
      <c r="L1586" s="50" t="s">
        <v>29</v>
      </c>
      <c r="M1586" s="50" t="s">
        <v>29</v>
      </c>
      <c r="N1586" s="49"/>
      <c r="P1586" s="19"/>
      <c r="Q1586" s="18" t="str">
        <f ca="1">IFERROR(__xludf.DUMMYFUNCTION("""COMPUTED_VALUE"""),"")</f>
        <v/>
      </c>
      <c r="R1586" s="19"/>
      <c r="S1586" s="20"/>
      <c r="BP1586" s="10"/>
      <c r="BW1586" s="10"/>
      <c r="CF1586" s="10"/>
      <c r="CM1586" s="10"/>
      <c r="CP1586" s="18" t="str">
        <f ca="1"/>
        <v/>
      </c>
      <c r="CQ1586" s="18" t="str">
        <f ca="1"/>
        <v/>
      </c>
      <c r="CR1586" s="18" t="str">
        <f ca="1"/>
        <v/>
      </c>
      <c r="CS1586" s="18" t="str">
        <f ca="1"/>
        <v/>
      </c>
      <c r="CT1586" s="18" t="str">
        <f ca="1"/>
        <v/>
      </c>
      <c r="CV1586" s="10"/>
      <c r="CY1586" s="18" t="str">
        <f ca="1"/>
        <v/>
      </c>
      <c r="CZ1586" s="18" t="str">
        <f ca="1"/>
        <v/>
      </c>
      <c r="DA1586" s="18" t="str">
        <f ca="1"/>
        <v/>
      </c>
      <c r="DC1586" s="10"/>
    </row>
    <row r="1587" spans="1:107" x14ac:dyDescent="0.25">
      <c r="A1587" s="46"/>
      <c r="B1587" s="52"/>
      <c r="C1587" s="52"/>
      <c r="D1587" s="16"/>
      <c r="E1587" s="52"/>
      <c r="F1587" s="52"/>
      <c r="G1587" s="50"/>
      <c r="H1587" s="17" t="str">
        <f ca="1">IFERROR(__xludf.DUMMYFUNCTION("""COMPUTED_VALUE"""),"")</f>
        <v/>
      </c>
      <c r="I1587" s="50" t="s">
        <v>29</v>
      </c>
      <c r="J1587" s="50" t="s">
        <v>29</v>
      </c>
      <c r="K1587" s="50" t="s">
        <v>29</v>
      </c>
      <c r="L1587" s="50" t="s">
        <v>29</v>
      </c>
      <c r="M1587" s="50" t="s">
        <v>29</v>
      </c>
      <c r="N1587" s="49"/>
      <c r="P1587" s="19"/>
      <c r="Q1587" s="18" t="str">
        <f ca="1">IFERROR(__xludf.DUMMYFUNCTION("""COMPUTED_VALUE"""),"")</f>
        <v/>
      </c>
      <c r="R1587" s="19"/>
      <c r="S1587" s="20"/>
      <c r="BP1587" s="10"/>
      <c r="BW1587" s="10"/>
      <c r="CF1587" s="10"/>
      <c r="CM1587" s="10"/>
      <c r="CP1587" s="18" t="str">
        <f ca="1"/>
        <v/>
      </c>
      <c r="CQ1587" s="18" t="str">
        <f ca="1"/>
        <v/>
      </c>
      <c r="CR1587" s="18" t="str">
        <f ca="1"/>
        <v/>
      </c>
      <c r="CS1587" s="18" t="str">
        <f ca="1"/>
        <v/>
      </c>
      <c r="CT1587" s="18" t="str">
        <f ca="1"/>
        <v/>
      </c>
      <c r="CV1587" s="10"/>
      <c r="CY1587" s="18" t="str">
        <f ca="1"/>
        <v/>
      </c>
      <c r="CZ1587" s="18" t="str">
        <f ca="1"/>
        <v/>
      </c>
      <c r="DA1587" s="18" t="str">
        <f ca="1"/>
        <v/>
      </c>
      <c r="DC1587" s="10"/>
    </row>
    <row r="1588" spans="1:107" x14ac:dyDescent="0.25">
      <c r="A1588" s="46"/>
      <c r="B1588" s="52"/>
      <c r="C1588" s="52"/>
      <c r="D1588" s="16"/>
      <c r="E1588" s="52"/>
      <c r="F1588" s="52"/>
      <c r="G1588" s="50"/>
      <c r="H1588" s="17" t="str">
        <f ca="1">IFERROR(__xludf.DUMMYFUNCTION("""COMPUTED_VALUE"""),"")</f>
        <v/>
      </c>
      <c r="I1588" s="50" t="s">
        <v>29</v>
      </c>
      <c r="J1588" s="50" t="s">
        <v>29</v>
      </c>
      <c r="K1588" s="50" t="s">
        <v>29</v>
      </c>
      <c r="L1588" s="50" t="s">
        <v>29</v>
      </c>
      <c r="M1588" s="50" t="s">
        <v>29</v>
      </c>
      <c r="N1588" s="49"/>
      <c r="P1588" s="19"/>
      <c r="Q1588" s="18" t="str">
        <f ca="1">IFERROR(__xludf.DUMMYFUNCTION("""COMPUTED_VALUE"""),"")</f>
        <v/>
      </c>
      <c r="R1588" s="19"/>
      <c r="S1588" s="20"/>
      <c r="BP1588" s="10"/>
      <c r="BW1588" s="10"/>
      <c r="CF1588" s="10"/>
      <c r="CM1588" s="10"/>
      <c r="CP1588" s="18" t="str">
        <f ca="1"/>
        <v/>
      </c>
      <c r="CQ1588" s="18" t="str">
        <f ca="1"/>
        <v/>
      </c>
      <c r="CR1588" s="18" t="str">
        <f ca="1"/>
        <v/>
      </c>
      <c r="CS1588" s="18" t="str">
        <f ca="1"/>
        <v/>
      </c>
      <c r="CT1588" s="18" t="str">
        <f ca="1"/>
        <v/>
      </c>
      <c r="CV1588" s="10"/>
      <c r="CY1588" s="18" t="str">
        <f ca="1"/>
        <v/>
      </c>
      <c r="CZ1588" s="18" t="str">
        <f ca="1"/>
        <v/>
      </c>
      <c r="DA1588" s="18" t="str">
        <f ca="1"/>
        <v/>
      </c>
      <c r="DC1588" s="10"/>
    </row>
    <row r="1589" spans="1:107" x14ac:dyDescent="0.25">
      <c r="A1589" s="46"/>
      <c r="B1589" s="52"/>
      <c r="C1589" s="52"/>
      <c r="D1589" s="16"/>
      <c r="E1589" s="52"/>
      <c r="F1589" s="52"/>
      <c r="G1589" s="50"/>
      <c r="H1589" s="17" t="str">
        <f ca="1">IFERROR(__xludf.DUMMYFUNCTION("""COMPUTED_VALUE"""),"")</f>
        <v/>
      </c>
      <c r="I1589" s="50" t="s">
        <v>29</v>
      </c>
      <c r="J1589" s="50" t="s">
        <v>29</v>
      </c>
      <c r="K1589" s="50" t="s">
        <v>29</v>
      </c>
      <c r="L1589" s="50" t="s">
        <v>29</v>
      </c>
      <c r="M1589" s="50" t="s">
        <v>29</v>
      </c>
      <c r="N1589" s="49"/>
      <c r="P1589" s="19"/>
      <c r="Q1589" s="18" t="str">
        <f ca="1">IFERROR(__xludf.DUMMYFUNCTION("""COMPUTED_VALUE"""),"")</f>
        <v/>
      </c>
      <c r="R1589" s="19"/>
      <c r="S1589" s="20"/>
      <c r="BP1589" s="10"/>
      <c r="BW1589" s="10"/>
      <c r="CF1589" s="10"/>
      <c r="CM1589" s="10"/>
      <c r="CP1589" s="18" t="str">
        <f ca="1"/>
        <v/>
      </c>
      <c r="CQ1589" s="18" t="str">
        <f ca="1"/>
        <v/>
      </c>
      <c r="CR1589" s="18" t="str">
        <f ca="1"/>
        <v/>
      </c>
      <c r="CS1589" s="18" t="str">
        <f ca="1"/>
        <v/>
      </c>
      <c r="CT1589" s="18" t="str">
        <f ca="1"/>
        <v/>
      </c>
      <c r="CV1589" s="10"/>
      <c r="CY1589" s="18" t="str">
        <f ca="1"/>
        <v/>
      </c>
      <c r="CZ1589" s="18" t="str">
        <f ca="1"/>
        <v/>
      </c>
      <c r="DA1589" s="18" t="str">
        <f ca="1"/>
        <v/>
      </c>
      <c r="DC1589" s="10"/>
    </row>
    <row r="1590" spans="1:107" x14ac:dyDescent="0.25">
      <c r="A1590" s="46"/>
      <c r="B1590" s="52"/>
      <c r="C1590" s="52"/>
      <c r="D1590" s="16"/>
      <c r="E1590" s="52"/>
      <c r="F1590" s="52"/>
      <c r="G1590" s="50"/>
      <c r="H1590" s="17" t="str">
        <f ca="1">IFERROR(__xludf.DUMMYFUNCTION("""COMPUTED_VALUE"""),"")</f>
        <v/>
      </c>
      <c r="I1590" s="50" t="s">
        <v>29</v>
      </c>
      <c r="J1590" s="50" t="s">
        <v>29</v>
      </c>
      <c r="K1590" s="50" t="s">
        <v>29</v>
      </c>
      <c r="L1590" s="50" t="s">
        <v>29</v>
      </c>
      <c r="M1590" s="50" t="s">
        <v>29</v>
      </c>
      <c r="N1590" s="49"/>
      <c r="P1590" s="19"/>
      <c r="Q1590" s="18" t="str">
        <f ca="1">IFERROR(__xludf.DUMMYFUNCTION("""COMPUTED_VALUE"""),"")</f>
        <v/>
      </c>
      <c r="R1590" s="19"/>
      <c r="S1590" s="20"/>
      <c r="BP1590" s="10"/>
      <c r="BW1590" s="10"/>
      <c r="CF1590" s="10"/>
      <c r="CM1590" s="10"/>
      <c r="CP1590" s="18" t="str">
        <f ca="1"/>
        <v/>
      </c>
      <c r="CQ1590" s="18" t="str">
        <f ca="1"/>
        <v/>
      </c>
      <c r="CR1590" s="18" t="str">
        <f ca="1"/>
        <v/>
      </c>
      <c r="CS1590" s="18" t="str">
        <f ca="1"/>
        <v/>
      </c>
      <c r="CT1590" s="18" t="str">
        <f ca="1"/>
        <v/>
      </c>
      <c r="CV1590" s="10"/>
      <c r="CY1590" s="18" t="str">
        <f ca="1"/>
        <v/>
      </c>
      <c r="CZ1590" s="18" t="str">
        <f ca="1"/>
        <v/>
      </c>
      <c r="DA1590" s="18" t="str">
        <f ca="1"/>
        <v/>
      </c>
      <c r="DC1590" s="10"/>
    </row>
    <row r="1591" spans="1:107" x14ac:dyDescent="0.25">
      <c r="A1591" s="46"/>
      <c r="B1591" s="52"/>
      <c r="C1591" s="52"/>
      <c r="D1591" s="16"/>
      <c r="E1591" s="52"/>
      <c r="F1591" s="52"/>
      <c r="G1591" s="50"/>
      <c r="H1591" s="17" t="str">
        <f ca="1">IFERROR(__xludf.DUMMYFUNCTION("""COMPUTED_VALUE"""),"")</f>
        <v/>
      </c>
      <c r="I1591" s="50" t="s">
        <v>29</v>
      </c>
      <c r="J1591" s="50" t="s">
        <v>29</v>
      </c>
      <c r="K1591" s="50" t="s">
        <v>29</v>
      </c>
      <c r="L1591" s="50" t="s">
        <v>29</v>
      </c>
      <c r="M1591" s="50" t="s">
        <v>29</v>
      </c>
      <c r="N1591" s="49"/>
      <c r="P1591" s="19"/>
      <c r="Q1591" s="18" t="str">
        <f ca="1">IFERROR(__xludf.DUMMYFUNCTION("""COMPUTED_VALUE"""),"")</f>
        <v/>
      </c>
      <c r="R1591" s="19"/>
      <c r="S1591" s="20"/>
      <c r="BP1591" s="10"/>
      <c r="BW1591" s="10"/>
      <c r="CF1591" s="10"/>
      <c r="CM1591" s="10"/>
      <c r="CP1591" s="18" t="str">
        <f ca="1"/>
        <v/>
      </c>
      <c r="CQ1591" s="18" t="str">
        <f ca="1"/>
        <v/>
      </c>
      <c r="CR1591" s="18" t="str">
        <f ca="1"/>
        <v/>
      </c>
      <c r="CS1591" s="18" t="str">
        <f ca="1"/>
        <v/>
      </c>
      <c r="CT1591" s="18" t="str">
        <f ca="1"/>
        <v/>
      </c>
      <c r="CV1591" s="10"/>
      <c r="CY1591" s="18" t="str">
        <f ca="1"/>
        <v/>
      </c>
      <c r="CZ1591" s="18" t="str">
        <f ca="1"/>
        <v/>
      </c>
      <c r="DA1591" s="18" t="str">
        <f ca="1"/>
        <v/>
      </c>
      <c r="DC1591" s="10"/>
    </row>
    <row r="1592" spans="1:107" x14ac:dyDescent="0.25">
      <c r="A1592" s="46"/>
      <c r="B1592" s="52"/>
      <c r="C1592" s="52"/>
      <c r="D1592" s="16"/>
      <c r="E1592" s="52"/>
      <c r="F1592" s="52"/>
      <c r="G1592" s="50"/>
      <c r="H1592" s="17" t="str">
        <f ca="1">IFERROR(__xludf.DUMMYFUNCTION("""COMPUTED_VALUE"""),"")</f>
        <v/>
      </c>
      <c r="I1592" s="50" t="s">
        <v>29</v>
      </c>
      <c r="J1592" s="50" t="s">
        <v>29</v>
      </c>
      <c r="K1592" s="50" t="s">
        <v>29</v>
      </c>
      <c r="L1592" s="50" t="s">
        <v>29</v>
      </c>
      <c r="M1592" s="50" t="s">
        <v>29</v>
      </c>
      <c r="N1592" s="49"/>
      <c r="P1592" s="19"/>
      <c r="Q1592" s="18" t="str">
        <f ca="1">IFERROR(__xludf.DUMMYFUNCTION("""COMPUTED_VALUE"""),"")</f>
        <v/>
      </c>
      <c r="R1592" s="19"/>
      <c r="S1592" s="20"/>
      <c r="BP1592" s="10"/>
      <c r="BW1592" s="10"/>
      <c r="CF1592" s="10"/>
      <c r="CM1592" s="10"/>
      <c r="CP1592" s="18" t="str">
        <f ca="1"/>
        <v/>
      </c>
      <c r="CQ1592" s="18" t="str">
        <f ca="1"/>
        <v/>
      </c>
      <c r="CR1592" s="18" t="str">
        <f ca="1"/>
        <v/>
      </c>
      <c r="CS1592" s="18" t="str">
        <f ca="1"/>
        <v/>
      </c>
      <c r="CT1592" s="18" t="str">
        <f ca="1"/>
        <v/>
      </c>
      <c r="CV1592" s="10"/>
      <c r="CY1592" s="18" t="str">
        <f ca="1"/>
        <v/>
      </c>
      <c r="CZ1592" s="18" t="str">
        <f ca="1"/>
        <v/>
      </c>
      <c r="DA1592" s="18" t="str">
        <f ca="1"/>
        <v/>
      </c>
      <c r="DC1592" s="10"/>
    </row>
    <row r="1593" spans="1:107" x14ac:dyDescent="0.25">
      <c r="A1593" s="46"/>
      <c r="B1593" s="52"/>
      <c r="C1593" s="52"/>
      <c r="D1593" s="16"/>
      <c r="E1593" s="52"/>
      <c r="F1593" s="52"/>
      <c r="G1593" s="50"/>
      <c r="H1593" s="17" t="str">
        <f ca="1">IFERROR(__xludf.DUMMYFUNCTION("""COMPUTED_VALUE"""),"")</f>
        <v/>
      </c>
      <c r="I1593" s="50" t="s">
        <v>29</v>
      </c>
      <c r="J1593" s="50" t="s">
        <v>29</v>
      </c>
      <c r="K1593" s="50" t="s">
        <v>29</v>
      </c>
      <c r="L1593" s="50" t="s">
        <v>29</v>
      </c>
      <c r="M1593" s="50" t="s">
        <v>29</v>
      </c>
      <c r="N1593" s="49"/>
      <c r="P1593" s="19"/>
      <c r="Q1593" s="18" t="str">
        <f ca="1">IFERROR(__xludf.DUMMYFUNCTION("""COMPUTED_VALUE"""),"")</f>
        <v/>
      </c>
      <c r="R1593" s="19"/>
      <c r="S1593" s="20"/>
      <c r="BP1593" s="10"/>
      <c r="BW1593" s="10"/>
      <c r="CF1593" s="10"/>
      <c r="CM1593" s="10"/>
      <c r="CP1593" s="18" t="str">
        <f ca="1"/>
        <v/>
      </c>
      <c r="CQ1593" s="18" t="str">
        <f ca="1"/>
        <v/>
      </c>
      <c r="CR1593" s="18" t="str">
        <f ca="1"/>
        <v/>
      </c>
      <c r="CS1593" s="18" t="str">
        <f ca="1"/>
        <v/>
      </c>
      <c r="CT1593" s="18" t="str">
        <f ca="1"/>
        <v/>
      </c>
      <c r="CV1593" s="10"/>
      <c r="CY1593" s="18" t="str">
        <f ca="1"/>
        <v/>
      </c>
      <c r="CZ1593" s="18" t="str">
        <f ca="1"/>
        <v/>
      </c>
      <c r="DA1593" s="18" t="str">
        <f ca="1"/>
        <v/>
      </c>
      <c r="DC1593" s="10"/>
    </row>
    <row r="1594" spans="1:107" x14ac:dyDescent="0.25">
      <c r="A1594" s="46"/>
      <c r="B1594" s="52"/>
      <c r="C1594" s="52"/>
      <c r="D1594" s="16"/>
      <c r="E1594" s="52"/>
      <c r="F1594" s="52"/>
      <c r="G1594" s="50"/>
      <c r="H1594" s="17" t="str">
        <f ca="1">IFERROR(__xludf.DUMMYFUNCTION("""COMPUTED_VALUE"""),"")</f>
        <v/>
      </c>
      <c r="I1594" s="50" t="s">
        <v>29</v>
      </c>
      <c r="J1594" s="50" t="s">
        <v>29</v>
      </c>
      <c r="K1594" s="50" t="s">
        <v>29</v>
      </c>
      <c r="L1594" s="50" t="s">
        <v>29</v>
      </c>
      <c r="M1594" s="50" t="s">
        <v>29</v>
      </c>
      <c r="N1594" s="49"/>
      <c r="P1594" s="19"/>
      <c r="Q1594" s="18" t="str">
        <f ca="1">IFERROR(__xludf.DUMMYFUNCTION("""COMPUTED_VALUE"""),"")</f>
        <v/>
      </c>
      <c r="R1594" s="19"/>
      <c r="S1594" s="20"/>
      <c r="BP1594" s="10"/>
      <c r="BW1594" s="10"/>
      <c r="CF1594" s="10"/>
      <c r="CM1594" s="10"/>
      <c r="CP1594" s="18" t="str">
        <f ca="1"/>
        <v/>
      </c>
      <c r="CQ1594" s="18" t="str">
        <f ca="1"/>
        <v/>
      </c>
      <c r="CR1594" s="18" t="str">
        <f ca="1"/>
        <v/>
      </c>
      <c r="CS1594" s="18" t="str">
        <f ca="1"/>
        <v/>
      </c>
      <c r="CT1594" s="18" t="str">
        <f ca="1"/>
        <v/>
      </c>
      <c r="CV1594" s="10"/>
      <c r="CY1594" s="18" t="str">
        <f ca="1"/>
        <v/>
      </c>
      <c r="CZ1594" s="18" t="str">
        <f ca="1"/>
        <v/>
      </c>
      <c r="DA1594" s="18" t="str">
        <f ca="1"/>
        <v/>
      </c>
      <c r="DC1594" s="10"/>
    </row>
    <row r="1595" spans="1:107" x14ac:dyDescent="0.25">
      <c r="A1595" s="46"/>
      <c r="B1595" s="52"/>
      <c r="C1595" s="52"/>
      <c r="D1595" s="16"/>
      <c r="E1595" s="52"/>
      <c r="F1595" s="52"/>
      <c r="G1595" s="50"/>
      <c r="H1595" s="17" t="str">
        <f ca="1">IFERROR(__xludf.DUMMYFUNCTION("""COMPUTED_VALUE"""),"")</f>
        <v/>
      </c>
      <c r="I1595" s="50" t="s">
        <v>29</v>
      </c>
      <c r="J1595" s="50" t="s">
        <v>29</v>
      </c>
      <c r="K1595" s="50" t="s">
        <v>29</v>
      </c>
      <c r="L1595" s="50" t="s">
        <v>29</v>
      </c>
      <c r="M1595" s="50" t="s">
        <v>29</v>
      </c>
      <c r="N1595" s="49"/>
      <c r="P1595" s="19"/>
      <c r="Q1595" s="18" t="str">
        <f ca="1">IFERROR(__xludf.DUMMYFUNCTION("""COMPUTED_VALUE"""),"")</f>
        <v/>
      </c>
      <c r="R1595" s="19"/>
      <c r="S1595" s="20"/>
      <c r="BP1595" s="10"/>
      <c r="BW1595" s="10"/>
      <c r="CF1595" s="10"/>
      <c r="CM1595" s="10"/>
      <c r="CP1595" s="18" t="str">
        <f ca="1"/>
        <v/>
      </c>
      <c r="CQ1595" s="18" t="str">
        <f ca="1"/>
        <v/>
      </c>
      <c r="CR1595" s="18" t="str">
        <f ca="1"/>
        <v/>
      </c>
      <c r="CS1595" s="18" t="str">
        <f ca="1"/>
        <v/>
      </c>
      <c r="CT1595" s="18" t="str">
        <f ca="1"/>
        <v/>
      </c>
      <c r="CV1595" s="10"/>
      <c r="CY1595" s="18" t="str">
        <f ca="1"/>
        <v/>
      </c>
      <c r="CZ1595" s="18" t="str">
        <f ca="1"/>
        <v/>
      </c>
      <c r="DA1595" s="18" t="str">
        <f ca="1"/>
        <v/>
      </c>
      <c r="DC1595" s="10"/>
    </row>
    <row r="1596" spans="1:107" x14ac:dyDescent="0.25">
      <c r="A1596" s="46"/>
      <c r="B1596" s="52"/>
      <c r="C1596" s="52"/>
      <c r="D1596" s="16"/>
      <c r="E1596" s="52"/>
      <c r="F1596" s="52"/>
      <c r="G1596" s="50"/>
      <c r="H1596" s="17" t="str">
        <f ca="1">IFERROR(__xludf.DUMMYFUNCTION("""COMPUTED_VALUE"""),"")</f>
        <v/>
      </c>
      <c r="I1596" s="50" t="s">
        <v>29</v>
      </c>
      <c r="J1596" s="50" t="s">
        <v>29</v>
      </c>
      <c r="K1596" s="50" t="s">
        <v>29</v>
      </c>
      <c r="L1596" s="50" t="s">
        <v>29</v>
      </c>
      <c r="M1596" s="50" t="s">
        <v>29</v>
      </c>
      <c r="N1596" s="49"/>
      <c r="P1596" s="19"/>
      <c r="Q1596" s="18" t="str">
        <f ca="1">IFERROR(__xludf.DUMMYFUNCTION("""COMPUTED_VALUE"""),"")</f>
        <v/>
      </c>
      <c r="R1596" s="19"/>
      <c r="S1596" s="20"/>
      <c r="BP1596" s="10"/>
      <c r="BW1596" s="10"/>
      <c r="CF1596" s="10"/>
      <c r="CM1596" s="10"/>
      <c r="CP1596" s="18" t="str">
        <f ca="1"/>
        <v/>
      </c>
      <c r="CQ1596" s="18" t="str">
        <f ca="1"/>
        <v/>
      </c>
      <c r="CR1596" s="18" t="str">
        <f ca="1"/>
        <v/>
      </c>
      <c r="CS1596" s="18" t="str">
        <f ca="1"/>
        <v/>
      </c>
      <c r="CT1596" s="18" t="str">
        <f ca="1"/>
        <v/>
      </c>
      <c r="CV1596" s="10"/>
      <c r="CY1596" s="18" t="str">
        <f ca="1"/>
        <v/>
      </c>
      <c r="CZ1596" s="18" t="str">
        <f ca="1"/>
        <v/>
      </c>
      <c r="DA1596" s="18" t="str">
        <f ca="1"/>
        <v/>
      </c>
      <c r="DC1596" s="10"/>
    </row>
    <row r="1597" spans="1:107" x14ac:dyDescent="0.25">
      <c r="A1597" s="46"/>
      <c r="B1597" s="52"/>
      <c r="C1597" s="52"/>
      <c r="D1597" s="16"/>
      <c r="E1597" s="52"/>
      <c r="F1597" s="52"/>
      <c r="G1597" s="50"/>
      <c r="H1597" s="17" t="str">
        <f ca="1">IFERROR(__xludf.DUMMYFUNCTION("""COMPUTED_VALUE"""),"")</f>
        <v/>
      </c>
      <c r="I1597" s="50" t="s">
        <v>29</v>
      </c>
      <c r="J1597" s="50" t="s">
        <v>29</v>
      </c>
      <c r="K1597" s="50" t="s">
        <v>29</v>
      </c>
      <c r="L1597" s="50" t="s">
        <v>29</v>
      </c>
      <c r="M1597" s="50" t="s">
        <v>29</v>
      </c>
      <c r="N1597" s="49"/>
      <c r="P1597" s="19"/>
      <c r="Q1597" s="18" t="str">
        <f ca="1">IFERROR(__xludf.DUMMYFUNCTION("""COMPUTED_VALUE"""),"")</f>
        <v/>
      </c>
      <c r="R1597" s="19"/>
      <c r="S1597" s="20"/>
      <c r="BP1597" s="10"/>
      <c r="BW1597" s="10"/>
      <c r="CF1597" s="10"/>
      <c r="CM1597" s="10"/>
      <c r="CP1597" s="18" t="str">
        <f ca="1"/>
        <v/>
      </c>
      <c r="CQ1597" s="18" t="str">
        <f ca="1"/>
        <v/>
      </c>
      <c r="CR1597" s="18" t="str">
        <f ca="1"/>
        <v/>
      </c>
      <c r="CS1597" s="18" t="str">
        <f ca="1"/>
        <v/>
      </c>
      <c r="CT1597" s="18" t="str">
        <f ca="1"/>
        <v/>
      </c>
      <c r="CV1597" s="10"/>
      <c r="CY1597" s="18" t="str">
        <f ca="1"/>
        <v/>
      </c>
      <c r="CZ1597" s="18" t="str">
        <f ca="1"/>
        <v/>
      </c>
      <c r="DA1597" s="18" t="str">
        <f ca="1"/>
        <v/>
      </c>
      <c r="DC1597" s="10"/>
    </row>
    <row r="1598" spans="1:107" x14ac:dyDescent="0.25">
      <c r="A1598" s="46"/>
      <c r="B1598" s="52"/>
      <c r="C1598" s="52"/>
      <c r="D1598" s="16"/>
      <c r="E1598" s="52"/>
      <c r="F1598" s="52"/>
      <c r="G1598" s="50"/>
      <c r="H1598" s="17" t="str">
        <f ca="1">IFERROR(__xludf.DUMMYFUNCTION("""COMPUTED_VALUE"""),"")</f>
        <v/>
      </c>
      <c r="I1598" s="50" t="s">
        <v>29</v>
      </c>
      <c r="J1598" s="50" t="s">
        <v>29</v>
      </c>
      <c r="K1598" s="50" t="s">
        <v>29</v>
      </c>
      <c r="L1598" s="50" t="s">
        <v>29</v>
      </c>
      <c r="M1598" s="50" t="s">
        <v>29</v>
      </c>
      <c r="N1598" s="49"/>
      <c r="P1598" s="19"/>
      <c r="Q1598" s="18" t="str">
        <f ca="1">IFERROR(__xludf.DUMMYFUNCTION("""COMPUTED_VALUE"""),"")</f>
        <v/>
      </c>
      <c r="R1598" s="19"/>
      <c r="S1598" s="20"/>
      <c r="BP1598" s="10"/>
      <c r="BW1598" s="10"/>
      <c r="CF1598" s="10"/>
      <c r="CM1598" s="10"/>
      <c r="CP1598" s="18" t="str">
        <f ca="1"/>
        <v/>
      </c>
      <c r="CQ1598" s="18" t="str">
        <f ca="1"/>
        <v/>
      </c>
      <c r="CR1598" s="18" t="str">
        <f ca="1"/>
        <v/>
      </c>
      <c r="CS1598" s="18" t="str">
        <f ca="1"/>
        <v/>
      </c>
      <c r="CT1598" s="18" t="str">
        <f ca="1"/>
        <v/>
      </c>
      <c r="CV1598" s="10"/>
      <c r="CY1598" s="18" t="str">
        <f ca="1"/>
        <v/>
      </c>
      <c r="CZ1598" s="18" t="str">
        <f ca="1"/>
        <v/>
      </c>
      <c r="DA1598" s="18" t="str">
        <f ca="1"/>
        <v/>
      </c>
      <c r="DC1598" s="10"/>
    </row>
    <row r="1599" spans="1:107" x14ac:dyDescent="0.25">
      <c r="A1599" s="46"/>
      <c r="B1599" s="52"/>
      <c r="C1599" s="52"/>
      <c r="D1599" s="16"/>
      <c r="E1599" s="52"/>
      <c r="F1599" s="52"/>
      <c r="G1599" s="50"/>
      <c r="H1599" s="17" t="str">
        <f ca="1">IFERROR(__xludf.DUMMYFUNCTION("""COMPUTED_VALUE"""),"")</f>
        <v/>
      </c>
      <c r="I1599" s="50" t="s">
        <v>29</v>
      </c>
      <c r="J1599" s="50" t="s">
        <v>29</v>
      </c>
      <c r="K1599" s="50" t="s">
        <v>29</v>
      </c>
      <c r="L1599" s="50" t="s">
        <v>29</v>
      </c>
      <c r="M1599" s="50" t="s">
        <v>29</v>
      </c>
      <c r="N1599" s="49"/>
      <c r="P1599" s="19"/>
      <c r="Q1599" s="18" t="str">
        <f ca="1">IFERROR(__xludf.DUMMYFUNCTION("""COMPUTED_VALUE"""),"")</f>
        <v/>
      </c>
      <c r="R1599" s="19"/>
      <c r="S1599" s="20"/>
      <c r="BP1599" s="10"/>
      <c r="BW1599" s="10"/>
      <c r="CF1599" s="10"/>
      <c r="CM1599" s="10"/>
      <c r="CP1599" s="18" t="str">
        <f ca="1"/>
        <v/>
      </c>
      <c r="CQ1599" s="18" t="str">
        <f ca="1"/>
        <v/>
      </c>
      <c r="CR1599" s="18" t="str">
        <f ca="1"/>
        <v/>
      </c>
      <c r="CS1599" s="18" t="str">
        <f ca="1"/>
        <v/>
      </c>
      <c r="CT1599" s="18" t="str">
        <f ca="1"/>
        <v/>
      </c>
      <c r="CV1599" s="10"/>
      <c r="CY1599" s="18" t="str">
        <f ca="1"/>
        <v/>
      </c>
      <c r="CZ1599" s="18" t="str">
        <f ca="1"/>
        <v/>
      </c>
      <c r="DA1599" s="18" t="str">
        <f ca="1"/>
        <v/>
      </c>
      <c r="DC1599" s="10"/>
    </row>
    <row r="1600" spans="1:107" x14ac:dyDescent="0.25">
      <c r="A1600" s="46"/>
      <c r="B1600" s="52"/>
      <c r="C1600" s="52"/>
      <c r="D1600" s="16"/>
      <c r="E1600" s="52"/>
      <c r="F1600" s="52"/>
      <c r="G1600" s="50"/>
      <c r="H1600" s="17" t="str">
        <f ca="1">IFERROR(__xludf.DUMMYFUNCTION("""COMPUTED_VALUE"""),"")</f>
        <v/>
      </c>
      <c r="I1600" s="50" t="s">
        <v>29</v>
      </c>
      <c r="J1600" s="50" t="s">
        <v>29</v>
      </c>
      <c r="K1600" s="50" t="s">
        <v>29</v>
      </c>
      <c r="L1600" s="50" t="s">
        <v>29</v>
      </c>
      <c r="M1600" s="50" t="s">
        <v>29</v>
      </c>
      <c r="N1600" s="49"/>
      <c r="P1600" s="19"/>
      <c r="Q1600" s="18" t="str">
        <f ca="1">IFERROR(__xludf.DUMMYFUNCTION("""COMPUTED_VALUE"""),"")</f>
        <v/>
      </c>
      <c r="R1600" s="19"/>
      <c r="S1600" s="20"/>
      <c r="BP1600" s="10"/>
      <c r="BW1600" s="10"/>
      <c r="CF1600" s="10"/>
      <c r="CM1600" s="10"/>
      <c r="CP1600" s="18" t="str">
        <f ca="1"/>
        <v/>
      </c>
      <c r="CQ1600" s="18" t="str">
        <f ca="1"/>
        <v/>
      </c>
      <c r="CR1600" s="18" t="str">
        <f ca="1"/>
        <v/>
      </c>
      <c r="CS1600" s="18" t="str">
        <f ca="1"/>
        <v/>
      </c>
      <c r="CT1600" s="18" t="str">
        <f ca="1"/>
        <v/>
      </c>
      <c r="CV1600" s="10"/>
      <c r="CY1600" s="18" t="str">
        <f ca="1"/>
        <v/>
      </c>
      <c r="CZ1600" s="18" t="str">
        <f ca="1"/>
        <v/>
      </c>
      <c r="DA1600" s="18" t="str">
        <f ca="1"/>
        <v/>
      </c>
      <c r="DC1600" s="10"/>
    </row>
    <row r="1601" spans="1:107" x14ac:dyDescent="0.25">
      <c r="A1601" s="46"/>
      <c r="B1601" s="52"/>
      <c r="C1601" s="52"/>
      <c r="D1601" s="16"/>
      <c r="E1601" s="52"/>
      <c r="F1601" s="52"/>
      <c r="G1601" s="50"/>
      <c r="H1601" s="17" t="str">
        <f ca="1">IFERROR(__xludf.DUMMYFUNCTION("""COMPUTED_VALUE"""),"")</f>
        <v/>
      </c>
      <c r="I1601" s="50" t="s">
        <v>29</v>
      </c>
      <c r="J1601" s="50" t="s">
        <v>29</v>
      </c>
      <c r="K1601" s="50" t="s">
        <v>29</v>
      </c>
      <c r="L1601" s="50" t="s">
        <v>29</v>
      </c>
      <c r="M1601" s="50" t="s">
        <v>29</v>
      </c>
      <c r="N1601" s="49"/>
      <c r="P1601" s="19"/>
      <c r="Q1601" s="18" t="str">
        <f ca="1">IFERROR(__xludf.DUMMYFUNCTION("""COMPUTED_VALUE"""),"")</f>
        <v/>
      </c>
      <c r="R1601" s="19"/>
      <c r="S1601" s="20"/>
      <c r="BP1601" s="10"/>
      <c r="BW1601" s="10"/>
      <c r="CF1601" s="10"/>
      <c r="CM1601" s="10"/>
      <c r="CP1601" s="18" t="str">
        <f ca="1"/>
        <v/>
      </c>
      <c r="CQ1601" s="18" t="str">
        <f ca="1"/>
        <v/>
      </c>
      <c r="CR1601" s="18" t="str">
        <f ca="1"/>
        <v/>
      </c>
      <c r="CS1601" s="18" t="str">
        <f ca="1"/>
        <v/>
      </c>
      <c r="CT1601" s="18" t="str">
        <f ca="1"/>
        <v/>
      </c>
      <c r="CV1601" s="10"/>
      <c r="CY1601" s="18" t="str">
        <f ca="1"/>
        <v/>
      </c>
      <c r="CZ1601" s="18" t="str">
        <f ca="1"/>
        <v/>
      </c>
      <c r="DA1601" s="18" t="str">
        <f ca="1"/>
        <v/>
      </c>
      <c r="DC1601" s="10"/>
    </row>
    <row r="1602" spans="1:107" x14ac:dyDescent="0.25">
      <c r="A1602" s="46"/>
      <c r="B1602" s="52"/>
      <c r="C1602" s="52"/>
      <c r="D1602" s="16"/>
      <c r="E1602" s="52"/>
      <c r="F1602" s="52"/>
      <c r="G1602" s="50"/>
      <c r="H1602" s="17" t="str">
        <f ca="1">IFERROR(__xludf.DUMMYFUNCTION("""COMPUTED_VALUE"""),"")</f>
        <v/>
      </c>
      <c r="I1602" s="50" t="s">
        <v>29</v>
      </c>
      <c r="J1602" s="50" t="s">
        <v>29</v>
      </c>
      <c r="K1602" s="50" t="s">
        <v>29</v>
      </c>
      <c r="L1602" s="50" t="s">
        <v>29</v>
      </c>
      <c r="M1602" s="50" t="s">
        <v>29</v>
      </c>
      <c r="N1602" s="49"/>
      <c r="P1602" s="19"/>
      <c r="Q1602" s="18" t="str">
        <f ca="1">IFERROR(__xludf.DUMMYFUNCTION("""COMPUTED_VALUE"""),"")</f>
        <v/>
      </c>
      <c r="R1602" s="19"/>
      <c r="S1602" s="20"/>
      <c r="BP1602" s="10"/>
      <c r="BW1602" s="10"/>
      <c r="CF1602" s="10"/>
      <c r="CM1602" s="10"/>
      <c r="CP1602" s="18" t="str">
        <f ca="1"/>
        <v/>
      </c>
      <c r="CQ1602" s="18" t="str">
        <f ca="1"/>
        <v/>
      </c>
      <c r="CR1602" s="18" t="str">
        <f ca="1"/>
        <v/>
      </c>
      <c r="CS1602" s="18" t="str">
        <f ca="1"/>
        <v/>
      </c>
      <c r="CT1602" s="18" t="str">
        <f ca="1"/>
        <v/>
      </c>
      <c r="CV1602" s="10"/>
      <c r="CY1602" s="18" t="str">
        <f ca="1"/>
        <v/>
      </c>
      <c r="CZ1602" s="18" t="str">
        <f ca="1"/>
        <v/>
      </c>
      <c r="DA1602" s="18" t="str">
        <f ca="1"/>
        <v/>
      </c>
      <c r="DC1602" s="10"/>
    </row>
    <row r="1603" spans="1:107" x14ac:dyDescent="0.25">
      <c r="A1603" s="46"/>
      <c r="B1603" s="52"/>
      <c r="C1603" s="52"/>
      <c r="D1603" s="16"/>
      <c r="E1603" s="52"/>
      <c r="F1603" s="52"/>
      <c r="G1603" s="50"/>
      <c r="H1603" s="17" t="str">
        <f ca="1">IFERROR(__xludf.DUMMYFUNCTION("""COMPUTED_VALUE"""),"")</f>
        <v/>
      </c>
      <c r="I1603" s="50" t="s">
        <v>29</v>
      </c>
      <c r="J1603" s="50" t="s">
        <v>29</v>
      </c>
      <c r="K1603" s="50" t="s">
        <v>29</v>
      </c>
      <c r="L1603" s="50" t="s">
        <v>29</v>
      </c>
      <c r="M1603" s="50" t="s">
        <v>29</v>
      </c>
      <c r="N1603" s="49"/>
      <c r="P1603" s="19"/>
      <c r="Q1603" s="18" t="str">
        <f ca="1">IFERROR(__xludf.DUMMYFUNCTION("""COMPUTED_VALUE"""),"")</f>
        <v/>
      </c>
      <c r="R1603" s="19"/>
      <c r="S1603" s="20"/>
      <c r="BP1603" s="10"/>
      <c r="BW1603" s="10"/>
      <c r="CF1603" s="10"/>
      <c r="CM1603" s="10"/>
      <c r="CP1603" s="18" t="str">
        <f ca="1"/>
        <v/>
      </c>
      <c r="CQ1603" s="18" t="str">
        <f ca="1"/>
        <v/>
      </c>
      <c r="CR1603" s="18" t="str">
        <f ca="1"/>
        <v/>
      </c>
      <c r="CS1603" s="18" t="str">
        <f ca="1"/>
        <v/>
      </c>
      <c r="CT1603" s="18" t="str">
        <f ca="1"/>
        <v/>
      </c>
      <c r="CV1603" s="10"/>
      <c r="CY1603" s="18" t="str">
        <f ca="1"/>
        <v/>
      </c>
      <c r="CZ1603" s="18" t="str">
        <f ca="1"/>
        <v/>
      </c>
      <c r="DA1603" s="18" t="str">
        <f ca="1"/>
        <v/>
      </c>
      <c r="DC1603" s="10"/>
    </row>
    <row r="1604" spans="1:107" x14ac:dyDescent="0.25">
      <c r="A1604" s="46"/>
      <c r="B1604" s="52"/>
      <c r="C1604" s="52"/>
      <c r="D1604" s="16"/>
      <c r="E1604" s="52"/>
      <c r="F1604" s="52"/>
      <c r="G1604" s="50"/>
      <c r="H1604" s="17" t="str">
        <f ca="1">IFERROR(__xludf.DUMMYFUNCTION("""COMPUTED_VALUE"""),"")</f>
        <v/>
      </c>
      <c r="I1604" s="50" t="s">
        <v>29</v>
      </c>
      <c r="J1604" s="50" t="s">
        <v>29</v>
      </c>
      <c r="K1604" s="50" t="s">
        <v>29</v>
      </c>
      <c r="L1604" s="50" t="s">
        <v>29</v>
      </c>
      <c r="M1604" s="50" t="s">
        <v>29</v>
      </c>
      <c r="N1604" s="49"/>
      <c r="P1604" s="19"/>
      <c r="Q1604" s="18" t="str">
        <f ca="1">IFERROR(__xludf.DUMMYFUNCTION("""COMPUTED_VALUE"""),"")</f>
        <v/>
      </c>
      <c r="R1604" s="19"/>
      <c r="S1604" s="20"/>
      <c r="BP1604" s="10"/>
      <c r="BW1604" s="10"/>
      <c r="CF1604" s="10"/>
      <c r="CM1604" s="10"/>
      <c r="CP1604" s="18" t="str">
        <f ca="1"/>
        <v/>
      </c>
      <c r="CQ1604" s="18" t="str">
        <f ca="1"/>
        <v/>
      </c>
      <c r="CR1604" s="18" t="str">
        <f ca="1"/>
        <v/>
      </c>
      <c r="CS1604" s="18" t="str">
        <f ca="1"/>
        <v/>
      </c>
      <c r="CT1604" s="18" t="str">
        <f ca="1"/>
        <v/>
      </c>
      <c r="CV1604" s="10"/>
      <c r="CY1604" s="18" t="str">
        <f ca="1"/>
        <v/>
      </c>
      <c r="CZ1604" s="18" t="str">
        <f ca="1"/>
        <v/>
      </c>
      <c r="DA1604" s="18" t="str">
        <f ca="1"/>
        <v/>
      </c>
      <c r="DC1604" s="10"/>
    </row>
    <row r="1605" spans="1:107" x14ac:dyDescent="0.25">
      <c r="A1605" s="46"/>
      <c r="B1605" s="52"/>
      <c r="C1605" s="52"/>
      <c r="D1605" s="16"/>
      <c r="E1605" s="52"/>
      <c r="F1605" s="52"/>
      <c r="G1605" s="50"/>
      <c r="H1605" s="17" t="str">
        <f ca="1">IFERROR(__xludf.DUMMYFUNCTION("""COMPUTED_VALUE"""),"")</f>
        <v/>
      </c>
      <c r="I1605" s="50" t="s">
        <v>29</v>
      </c>
      <c r="J1605" s="50" t="s">
        <v>29</v>
      </c>
      <c r="K1605" s="50" t="s">
        <v>29</v>
      </c>
      <c r="L1605" s="50" t="s">
        <v>29</v>
      </c>
      <c r="M1605" s="50" t="s">
        <v>29</v>
      </c>
      <c r="N1605" s="49"/>
      <c r="P1605" s="19"/>
      <c r="Q1605" s="18" t="str">
        <f ca="1">IFERROR(__xludf.DUMMYFUNCTION("""COMPUTED_VALUE"""),"")</f>
        <v/>
      </c>
      <c r="R1605" s="19"/>
      <c r="S1605" s="20"/>
      <c r="BP1605" s="10"/>
      <c r="BW1605" s="10"/>
      <c r="CF1605" s="10"/>
      <c r="CM1605" s="10"/>
      <c r="CP1605" s="18" t="str">
        <f ca="1"/>
        <v/>
      </c>
      <c r="CQ1605" s="18" t="str">
        <f ca="1"/>
        <v/>
      </c>
      <c r="CR1605" s="18" t="str">
        <f ca="1"/>
        <v/>
      </c>
      <c r="CS1605" s="18" t="str">
        <f ca="1"/>
        <v/>
      </c>
      <c r="CT1605" s="18" t="str">
        <f ca="1"/>
        <v/>
      </c>
      <c r="CV1605" s="10"/>
      <c r="CY1605" s="18" t="str">
        <f ca="1"/>
        <v/>
      </c>
      <c r="CZ1605" s="18" t="str">
        <f ca="1"/>
        <v/>
      </c>
      <c r="DA1605" s="18" t="str">
        <f ca="1"/>
        <v/>
      </c>
      <c r="DC1605" s="10"/>
    </row>
    <row r="1606" spans="1:107" x14ac:dyDescent="0.25">
      <c r="A1606" s="46"/>
      <c r="B1606" s="52"/>
      <c r="C1606" s="52"/>
      <c r="D1606" s="16"/>
      <c r="E1606" s="52"/>
      <c r="F1606" s="52"/>
      <c r="G1606" s="50"/>
      <c r="H1606" s="17" t="str">
        <f ca="1">IFERROR(__xludf.DUMMYFUNCTION("""COMPUTED_VALUE"""),"")</f>
        <v/>
      </c>
      <c r="I1606" s="50" t="s">
        <v>29</v>
      </c>
      <c r="J1606" s="50" t="s">
        <v>29</v>
      </c>
      <c r="K1606" s="50" t="s">
        <v>29</v>
      </c>
      <c r="L1606" s="50" t="s">
        <v>29</v>
      </c>
      <c r="M1606" s="50" t="s">
        <v>29</v>
      </c>
      <c r="N1606" s="49"/>
      <c r="P1606" s="19"/>
      <c r="Q1606" s="18" t="str">
        <f ca="1">IFERROR(__xludf.DUMMYFUNCTION("""COMPUTED_VALUE"""),"")</f>
        <v/>
      </c>
      <c r="R1606" s="19"/>
      <c r="S1606" s="20"/>
      <c r="BP1606" s="10"/>
      <c r="BW1606" s="10"/>
      <c r="CF1606" s="10"/>
      <c r="CM1606" s="10"/>
      <c r="CP1606" s="18" t="str">
        <f ca="1"/>
        <v/>
      </c>
      <c r="CQ1606" s="18" t="str">
        <f ca="1"/>
        <v/>
      </c>
      <c r="CR1606" s="18" t="str">
        <f ca="1"/>
        <v/>
      </c>
      <c r="CS1606" s="18" t="str">
        <f ca="1"/>
        <v/>
      </c>
      <c r="CT1606" s="18" t="str">
        <f ca="1"/>
        <v/>
      </c>
      <c r="CV1606" s="10"/>
      <c r="CY1606" s="18" t="str">
        <f ca="1"/>
        <v/>
      </c>
      <c r="CZ1606" s="18" t="str">
        <f ca="1"/>
        <v/>
      </c>
      <c r="DA1606" s="18" t="str">
        <f ca="1"/>
        <v/>
      </c>
      <c r="DC1606" s="10"/>
    </row>
    <row r="1607" spans="1:107" x14ac:dyDescent="0.25">
      <c r="A1607" s="46"/>
      <c r="B1607" s="52"/>
      <c r="C1607" s="52"/>
      <c r="D1607" s="16"/>
      <c r="E1607" s="52"/>
      <c r="F1607" s="52"/>
      <c r="G1607" s="50"/>
      <c r="H1607" s="17" t="str">
        <f ca="1">IFERROR(__xludf.DUMMYFUNCTION("""COMPUTED_VALUE"""),"")</f>
        <v/>
      </c>
      <c r="I1607" s="50" t="s">
        <v>29</v>
      </c>
      <c r="J1607" s="50" t="s">
        <v>29</v>
      </c>
      <c r="K1607" s="50" t="s">
        <v>29</v>
      </c>
      <c r="L1607" s="50" t="s">
        <v>29</v>
      </c>
      <c r="M1607" s="50" t="s">
        <v>29</v>
      </c>
      <c r="N1607" s="49"/>
      <c r="P1607" s="19"/>
      <c r="Q1607" s="18" t="str">
        <f ca="1">IFERROR(__xludf.DUMMYFUNCTION("""COMPUTED_VALUE"""),"")</f>
        <v/>
      </c>
      <c r="R1607" s="19"/>
      <c r="S1607" s="20"/>
      <c r="BP1607" s="10"/>
      <c r="BW1607" s="10"/>
      <c r="CF1607" s="10"/>
      <c r="CM1607" s="10"/>
      <c r="CP1607" s="18" t="str">
        <f ca="1"/>
        <v/>
      </c>
      <c r="CQ1607" s="18" t="str">
        <f ca="1"/>
        <v/>
      </c>
      <c r="CR1607" s="18" t="str">
        <f ca="1"/>
        <v/>
      </c>
      <c r="CS1607" s="18" t="str">
        <f ca="1"/>
        <v/>
      </c>
      <c r="CT1607" s="18" t="str">
        <f ca="1"/>
        <v/>
      </c>
      <c r="CV1607" s="10"/>
      <c r="CY1607" s="18" t="str">
        <f ca="1"/>
        <v/>
      </c>
      <c r="CZ1607" s="18" t="str">
        <f ca="1"/>
        <v/>
      </c>
      <c r="DA1607" s="18" t="str">
        <f ca="1"/>
        <v/>
      </c>
      <c r="DC1607" s="10"/>
    </row>
    <row r="1608" spans="1:107" x14ac:dyDescent="0.25">
      <c r="A1608" s="46"/>
      <c r="B1608" s="52"/>
      <c r="C1608" s="52"/>
      <c r="D1608" s="16"/>
      <c r="E1608" s="52"/>
      <c r="F1608" s="52"/>
      <c r="G1608" s="50"/>
      <c r="H1608" s="17" t="str">
        <f ca="1">IFERROR(__xludf.DUMMYFUNCTION("""COMPUTED_VALUE"""),"")</f>
        <v/>
      </c>
      <c r="I1608" s="50" t="s">
        <v>29</v>
      </c>
      <c r="J1608" s="50" t="s">
        <v>29</v>
      </c>
      <c r="K1608" s="50" t="s">
        <v>29</v>
      </c>
      <c r="L1608" s="50" t="s">
        <v>29</v>
      </c>
      <c r="M1608" s="50" t="s">
        <v>29</v>
      </c>
      <c r="N1608" s="49"/>
      <c r="P1608" s="19"/>
      <c r="Q1608" s="18" t="str">
        <f ca="1">IFERROR(__xludf.DUMMYFUNCTION("""COMPUTED_VALUE"""),"")</f>
        <v/>
      </c>
      <c r="R1608" s="19"/>
      <c r="S1608" s="20"/>
      <c r="BP1608" s="10"/>
      <c r="BW1608" s="10"/>
      <c r="CF1608" s="10"/>
      <c r="CM1608" s="10"/>
      <c r="CP1608" s="18" t="str">
        <f ca="1"/>
        <v/>
      </c>
      <c r="CQ1608" s="18" t="str">
        <f ca="1"/>
        <v/>
      </c>
      <c r="CR1608" s="18" t="str">
        <f ca="1"/>
        <v/>
      </c>
      <c r="CS1608" s="18" t="str">
        <f ca="1"/>
        <v/>
      </c>
      <c r="CT1608" s="18" t="str">
        <f ca="1"/>
        <v/>
      </c>
      <c r="CV1608" s="10"/>
      <c r="CY1608" s="18" t="str">
        <f ca="1"/>
        <v/>
      </c>
      <c r="CZ1608" s="18" t="str">
        <f ca="1"/>
        <v/>
      </c>
      <c r="DA1608" s="18" t="str">
        <f ca="1"/>
        <v/>
      </c>
      <c r="DC1608" s="10"/>
    </row>
    <row r="1609" spans="1:107" x14ac:dyDescent="0.25">
      <c r="A1609" s="46"/>
      <c r="B1609" s="52"/>
      <c r="C1609" s="52"/>
      <c r="D1609" s="16"/>
      <c r="E1609" s="52"/>
      <c r="F1609" s="52"/>
      <c r="G1609" s="50"/>
      <c r="H1609" s="17" t="str">
        <f ca="1">IFERROR(__xludf.DUMMYFUNCTION("""COMPUTED_VALUE"""),"")</f>
        <v/>
      </c>
      <c r="I1609" s="50" t="s">
        <v>29</v>
      </c>
      <c r="J1609" s="50" t="s">
        <v>29</v>
      </c>
      <c r="K1609" s="50" t="s">
        <v>29</v>
      </c>
      <c r="L1609" s="50" t="s">
        <v>29</v>
      </c>
      <c r="M1609" s="50" t="s">
        <v>29</v>
      </c>
      <c r="N1609" s="49"/>
      <c r="P1609" s="19"/>
      <c r="Q1609" s="18" t="str">
        <f ca="1">IFERROR(__xludf.DUMMYFUNCTION("""COMPUTED_VALUE"""),"")</f>
        <v/>
      </c>
      <c r="R1609" s="19"/>
      <c r="S1609" s="20"/>
      <c r="BP1609" s="10"/>
      <c r="BW1609" s="10"/>
      <c r="CF1609" s="10"/>
      <c r="CM1609" s="10"/>
      <c r="CP1609" s="18" t="str">
        <f ca="1"/>
        <v/>
      </c>
      <c r="CQ1609" s="18" t="str">
        <f ca="1"/>
        <v/>
      </c>
      <c r="CR1609" s="18" t="str">
        <f ca="1"/>
        <v/>
      </c>
      <c r="CS1609" s="18" t="str">
        <f ca="1"/>
        <v/>
      </c>
      <c r="CT1609" s="18" t="str">
        <f ca="1"/>
        <v/>
      </c>
      <c r="CV1609" s="10"/>
      <c r="CY1609" s="18" t="str">
        <f ca="1"/>
        <v/>
      </c>
      <c r="CZ1609" s="18" t="str">
        <f ca="1"/>
        <v/>
      </c>
      <c r="DA1609" s="18" t="str">
        <f ca="1"/>
        <v/>
      </c>
      <c r="DC1609" s="10"/>
    </row>
    <row r="1610" spans="1:107" x14ac:dyDescent="0.25">
      <c r="A1610" s="46"/>
      <c r="B1610" s="52"/>
      <c r="C1610" s="52"/>
      <c r="D1610" s="16"/>
      <c r="E1610" s="52"/>
      <c r="F1610" s="52"/>
      <c r="G1610" s="50"/>
      <c r="H1610" s="17" t="str">
        <f ca="1">IFERROR(__xludf.DUMMYFUNCTION("""COMPUTED_VALUE"""),"")</f>
        <v/>
      </c>
      <c r="I1610" s="50" t="s">
        <v>29</v>
      </c>
      <c r="J1610" s="50" t="s">
        <v>29</v>
      </c>
      <c r="K1610" s="50" t="s">
        <v>29</v>
      </c>
      <c r="L1610" s="50" t="s">
        <v>29</v>
      </c>
      <c r="M1610" s="50" t="s">
        <v>29</v>
      </c>
      <c r="N1610" s="49"/>
      <c r="P1610" s="19"/>
      <c r="Q1610" s="18" t="str">
        <f ca="1">IFERROR(__xludf.DUMMYFUNCTION("""COMPUTED_VALUE"""),"")</f>
        <v/>
      </c>
      <c r="R1610" s="19"/>
      <c r="S1610" s="20"/>
      <c r="BP1610" s="10"/>
      <c r="BW1610" s="10"/>
      <c r="CF1610" s="10"/>
      <c r="CM1610" s="10"/>
      <c r="CP1610" s="18" t="str">
        <f ca="1"/>
        <v/>
      </c>
      <c r="CQ1610" s="18" t="str">
        <f ca="1"/>
        <v/>
      </c>
      <c r="CR1610" s="18" t="str">
        <f ca="1"/>
        <v/>
      </c>
      <c r="CS1610" s="18" t="str">
        <f ca="1"/>
        <v/>
      </c>
      <c r="CT1610" s="18" t="str">
        <f ca="1"/>
        <v/>
      </c>
      <c r="CV1610" s="10"/>
      <c r="CY1610" s="18" t="str">
        <f ca="1"/>
        <v/>
      </c>
      <c r="CZ1610" s="18" t="str">
        <f ca="1"/>
        <v/>
      </c>
      <c r="DA1610" s="18" t="str">
        <f ca="1"/>
        <v/>
      </c>
      <c r="DC1610" s="10"/>
    </row>
    <row r="1611" spans="1:107" x14ac:dyDescent="0.25">
      <c r="A1611" s="46"/>
      <c r="B1611" s="52"/>
      <c r="C1611" s="52"/>
      <c r="D1611" s="16"/>
      <c r="E1611" s="52"/>
      <c r="F1611" s="52"/>
      <c r="G1611" s="50"/>
      <c r="H1611" s="17" t="str">
        <f ca="1">IFERROR(__xludf.DUMMYFUNCTION("""COMPUTED_VALUE"""),"")</f>
        <v/>
      </c>
      <c r="I1611" s="50" t="s">
        <v>29</v>
      </c>
      <c r="J1611" s="50" t="s">
        <v>29</v>
      </c>
      <c r="K1611" s="50" t="s">
        <v>29</v>
      </c>
      <c r="L1611" s="50" t="s">
        <v>29</v>
      </c>
      <c r="M1611" s="50" t="s">
        <v>29</v>
      </c>
      <c r="N1611" s="49"/>
      <c r="P1611" s="19"/>
      <c r="Q1611" s="18" t="str">
        <f ca="1">IFERROR(__xludf.DUMMYFUNCTION("""COMPUTED_VALUE"""),"")</f>
        <v/>
      </c>
      <c r="R1611" s="19"/>
      <c r="S1611" s="20"/>
      <c r="BP1611" s="10"/>
      <c r="BW1611" s="10"/>
      <c r="CF1611" s="10"/>
      <c r="CM1611" s="10"/>
      <c r="CP1611" s="18" t="str">
        <f ca="1"/>
        <v/>
      </c>
      <c r="CQ1611" s="18" t="str">
        <f ca="1"/>
        <v/>
      </c>
      <c r="CR1611" s="18" t="str">
        <f ca="1"/>
        <v/>
      </c>
      <c r="CS1611" s="18" t="str">
        <f ca="1"/>
        <v/>
      </c>
      <c r="CT1611" s="18" t="str">
        <f ca="1"/>
        <v/>
      </c>
      <c r="CV1611" s="10"/>
      <c r="CY1611" s="18" t="str">
        <f ca="1"/>
        <v/>
      </c>
      <c r="CZ1611" s="18" t="str">
        <f ca="1"/>
        <v/>
      </c>
      <c r="DA1611" s="18" t="str">
        <f ca="1"/>
        <v/>
      </c>
      <c r="DC1611" s="10"/>
    </row>
    <row r="1612" spans="1:107" x14ac:dyDescent="0.25">
      <c r="A1612" s="46"/>
      <c r="B1612" s="52"/>
      <c r="C1612" s="52"/>
      <c r="D1612" s="16"/>
      <c r="E1612" s="52"/>
      <c r="F1612" s="52"/>
      <c r="G1612" s="50"/>
      <c r="H1612" s="17" t="str">
        <f ca="1">IFERROR(__xludf.DUMMYFUNCTION("""COMPUTED_VALUE"""),"")</f>
        <v/>
      </c>
      <c r="I1612" s="50" t="s">
        <v>29</v>
      </c>
      <c r="J1612" s="50" t="s">
        <v>29</v>
      </c>
      <c r="K1612" s="50" t="s">
        <v>29</v>
      </c>
      <c r="L1612" s="50" t="s">
        <v>29</v>
      </c>
      <c r="M1612" s="50" t="s">
        <v>29</v>
      </c>
      <c r="N1612" s="49"/>
      <c r="P1612" s="19"/>
      <c r="Q1612" s="18" t="str">
        <f ca="1">IFERROR(__xludf.DUMMYFUNCTION("""COMPUTED_VALUE"""),"")</f>
        <v/>
      </c>
      <c r="R1612" s="19"/>
      <c r="S1612" s="20"/>
      <c r="BP1612" s="10"/>
      <c r="BW1612" s="10"/>
      <c r="CF1612" s="10"/>
      <c r="CM1612" s="10"/>
      <c r="CP1612" s="18" t="str">
        <f ca="1"/>
        <v/>
      </c>
      <c r="CQ1612" s="18" t="str">
        <f ca="1"/>
        <v/>
      </c>
      <c r="CR1612" s="18" t="str">
        <f ca="1"/>
        <v/>
      </c>
      <c r="CS1612" s="18" t="str">
        <f ca="1"/>
        <v/>
      </c>
      <c r="CT1612" s="18" t="str">
        <f ca="1"/>
        <v/>
      </c>
      <c r="CV1612" s="10"/>
      <c r="CY1612" s="18" t="str">
        <f ca="1"/>
        <v/>
      </c>
      <c r="CZ1612" s="18" t="str">
        <f ca="1"/>
        <v/>
      </c>
      <c r="DA1612" s="18" t="str">
        <f ca="1"/>
        <v/>
      </c>
      <c r="DC1612" s="10"/>
    </row>
    <row r="1613" spans="1:107" x14ac:dyDescent="0.25">
      <c r="A1613" s="46"/>
      <c r="B1613" s="52"/>
      <c r="C1613" s="52"/>
      <c r="D1613" s="16"/>
      <c r="E1613" s="52"/>
      <c r="F1613" s="52"/>
      <c r="G1613" s="50"/>
      <c r="H1613" s="17" t="str">
        <f ca="1">IFERROR(__xludf.DUMMYFUNCTION("""COMPUTED_VALUE"""),"")</f>
        <v/>
      </c>
      <c r="I1613" s="50" t="s">
        <v>29</v>
      </c>
      <c r="J1613" s="50" t="s">
        <v>29</v>
      </c>
      <c r="K1613" s="50" t="s">
        <v>29</v>
      </c>
      <c r="L1613" s="50" t="s">
        <v>29</v>
      </c>
      <c r="M1613" s="50" t="s">
        <v>29</v>
      </c>
      <c r="N1613" s="49"/>
      <c r="P1613" s="19"/>
      <c r="Q1613" s="18" t="str">
        <f ca="1">IFERROR(__xludf.DUMMYFUNCTION("""COMPUTED_VALUE"""),"")</f>
        <v/>
      </c>
      <c r="R1613" s="19"/>
      <c r="S1613" s="20"/>
      <c r="BP1613" s="10"/>
      <c r="BW1613" s="10"/>
      <c r="CF1613" s="10"/>
      <c r="CM1613" s="10"/>
      <c r="CP1613" s="18" t="str">
        <f ca="1"/>
        <v/>
      </c>
      <c r="CQ1613" s="18" t="str">
        <f ca="1"/>
        <v/>
      </c>
      <c r="CR1613" s="18" t="str">
        <f ca="1"/>
        <v/>
      </c>
      <c r="CS1613" s="18" t="str">
        <f ca="1"/>
        <v/>
      </c>
      <c r="CT1613" s="18" t="str">
        <f ca="1"/>
        <v/>
      </c>
      <c r="CV1613" s="10"/>
      <c r="CY1613" s="18" t="str">
        <f ca="1"/>
        <v/>
      </c>
      <c r="CZ1613" s="18" t="str">
        <f ca="1"/>
        <v/>
      </c>
      <c r="DA1613" s="18" t="str">
        <f ca="1"/>
        <v/>
      </c>
      <c r="DC1613" s="10"/>
    </row>
    <row r="1614" spans="1:107" x14ac:dyDescent="0.25">
      <c r="A1614" s="46"/>
      <c r="B1614" s="52"/>
      <c r="C1614" s="52"/>
      <c r="D1614" s="16"/>
      <c r="E1614" s="52"/>
      <c r="F1614" s="52"/>
      <c r="G1614" s="50"/>
      <c r="H1614" s="17" t="str">
        <f ca="1">IFERROR(__xludf.DUMMYFUNCTION("""COMPUTED_VALUE"""),"")</f>
        <v/>
      </c>
      <c r="I1614" s="50" t="s">
        <v>29</v>
      </c>
      <c r="J1614" s="50" t="s">
        <v>29</v>
      </c>
      <c r="K1614" s="50" t="s">
        <v>29</v>
      </c>
      <c r="L1614" s="50" t="s">
        <v>29</v>
      </c>
      <c r="M1614" s="50" t="s">
        <v>29</v>
      </c>
      <c r="N1614" s="49"/>
      <c r="P1614" s="19"/>
      <c r="Q1614" s="18" t="str">
        <f ca="1">IFERROR(__xludf.DUMMYFUNCTION("""COMPUTED_VALUE"""),"")</f>
        <v/>
      </c>
      <c r="R1614" s="19"/>
      <c r="S1614" s="20"/>
      <c r="BP1614" s="10"/>
      <c r="BW1614" s="10"/>
      <c r="CF1614" s="10"/>
      <c r="CM1614" s="10"/>
      <c r="CP1614" s="18" t="str">
        <f ca="1"/>
        <v/>
      </c>
      <c r="CQ1614" s="18" t="str">
        <f ca="1"/>
        <v/>
      </c>
      <c r="CR1614" s="18" t="str">
        <f ca="1"/>
        <v/>
      </c>
      <c r="CS1614" s="18" t="str">
        <f ca="1"/>
        <v/>
      </c>
      <c r="CT1614" s="18" t="str">
        <f ca="1"/>
        <v/>
      </c>
      <c r="CV1614" s="10"/>
      <c r="CY1614" s="18" t="str">
        <f ca="1"/>
        <v/>
      </c>
      <c r="CZ1614" s="18" t="str">
        <f ca="1"/>
        <v/>
      </c>
      <c r="DA1614" s="18" t="str">
        <f ca="1"/>
        <v/>
      </c>
      <c r="DC1614" s="10"/>
    </row>
    <row r="1615" spans="1:107" x14ac:dyDescent="0.25">
      <c r="A1615" s="46"/>
      <c r="B1615" s="52"/>
      <c r="C1615" s="52"/>
      <c r="D1615" s="16"/>
      <c r="E1615" s="52"/>
      <c r="F1615" s="52"/>
      <c r="G1615" s="50"/>
      <c r="H1615" s="17" t="str">
        <f ca="1">IFERROR(__xludf.DUMMYFUNCTION("""COMPUTED_VALUE"""),"")</f>
        <v/>
      </c>
      <c r="I1615" s="50" t="s">
        <v>29</v>
      </c>
      <c r="J1615" s="50" t="s">
        <v>29</v>
      </c>
      <c r="K1615" s="50" t="s">
        <v>29</v>
      </c>
      <c r="L1615" s="50" t="s">
        <v>29</v>
      </c>
      <c r="M1615" s="50" t="s">
        <v>29</v>
      </c>
      <c r="N1615" s="49"/>
      <c r="P1615" s="19"/>
      <c r="Q1615" s="18" t="str">
        <f ca="1">IFERROR(__xludf.DUMMYFUNCTION("""COMPUTED_VALUE"""),"")</f>
        <v/>
      </c>
      <c r="R1615" s="19"/>
      <c r="S1615" s="20"/>
      <c r="BP1615" s="10"/>
      <c r="BW1615" s="10"/>
      <c r="CF1615" s="10"/>
      <c r="CM1615" s="10"/>
      <c r="CP1615" s="18" t="str">
        <f ca="1"/>
        <v/>
      </c>
      <c r="CQ1615" s="18" t="str">
        <f ca="1"/>
        <v/>
      </c>
      <c r="CR1615" s="18" t="str">
        <f ca="1"/>
        <v/>
      </c>
      <c r="CS1615" s="18" t="str">
        <f ca="1"/>
        <v/>
      </c>
      <c r="CT1615" s="18" t="str">
        <f ca="1"/>
        <v/>
      </c>
      <c r="CV1615" s="10"/>
      <c r="CY1615" s="18" t="str">
        <f ca="1"/>
        <v/>
      </c>
      <c r="CZ1615" s="18" t="str">
        <f ca="1"/>
        <v/>
      </c>
      <c r="DA1615" s="18" t="str">
        <f ca="1"/>
        <v/>
      </c>
      <c r="DC1615" s="10"/>
    </row>
    <row r="1616" spans="1:107" x14ac:dyDescent="0.25">
      <c r="A1616" s="46"/>
      <c r="B1616" s="52"/>
      <c r="C1616" s="52"/>
      <c r="D1616" s="16"/>
      <c r="E1616" s="52"/>
      <c r="F1616" s="52"/>
      <c r="G1616" s="50"/>
      <c r="H1616" s="17" t="str">
        <f ca="1">IFERROR(__xludf.DUMMYFUNCTION("""COMPUTED_VALUE"""),"")</f>
        <v/>
      </c>
      <c r="I1616" s="50" t="s">
        <v>29</v>
      </c>
      <c r="J1616" s="50" t="s">
        <v>29</v>
      </c>
      <c r="K1616" s="50" t="s">
        <v>29</v>
      </c>
      <c r="L1616" s="50" t="s">
        <v>29</v>
      </c>
      <c r="M1616" s="50" t="s">
        <v>29</v>
      </c>
      <c r="N1616" s="49"/>
      <c r="P1616" s="19"/>
      <c r="Q1616" s="18" t="str">
        <f ca="1">IFERROR(__xludf.DUMMYFUNCTION("""COMPUTED_VALUE"""),"")</f>
        <v/>
      </c>
      <c r="R1616" s="19"/>
      <c r="S1616" s="20"/>
      <c r="BP1616" s="10"/>
      <c r="BW1616" s="10"/>
      <c r="CF1616" s="10"/>
      <c r="CM1616" s="10"/>
      <c r="CP1616" s="18" t="str">
        <f ca="1"/>
        <v/>
      </c>
      <c r="CQ1616" s="18" t="str">
        <f ca="1"/>
        <v/>
      </c>
      <c r="CR1616" s="18" t="str">
        <f ca="1"/>
        <v/>
      </c>
      <c r="CS1616" s="18" t="str">
        <f ca="1"/>
        <v/>
      </c>
      <c r="CT1616" s="18" t="str">
        <f ca="1"/>
        <v/>
      </c>
      <c r="CV1616" s="10"/>
      <c r="CY1616" s="18" t="str">
        <f ca="1"/>
        <v/>
      </c>
      <c r="CZ1616" s="18" t="str">
        <f ca="1"/>
        <v/>
      </c>
      <c r="DA1616" s="18" t="str">
        <f ca="1"/>
        <v/>
      </c>
      <c r="DC1616" s="10"/>
    </row>
    <row r="1617" spans="1:107" x14ac:dyDescent="0.25">
      <c r="A1617" s="46"/>
      <c r="B1617" s="52"/>
      <c r="C1617" s="52"/>
      <c r="D1617" s="16"/>
      <c r="E1617" s="52"/>
      <c r="F1617" s="52"/>
      <c r="G1617" s="50"/>
      <c r="H1617" s="17" t="str">
        <f ca="1">IFERROR(__xludf.DUMMYFUNCTION("""COMPUTED_VALUE"""),"")</f>
        <v/>
      </c>
      <c r="I1617" s="50" t="s">
        <v>29</v>
      </c>
      <c r="J1617" s="50" t="s">
        <v>29</v>
      </c>
      <c r="K1617" s="50" t="s">
        <v>29</v>
      </c>
      <c r="L1617" s="50" t="s">
        <v>29</v>
      </c>
      <c r="M1617" s="50" t="s">
        <v>29</v>
      </c>
      <c r="N1617" s="49"/>
      <c r="P1617" s="19"/>
      <c r="Q1617" s="18" t="str">
        <f ca="1">IFERROR(__xludf.DUMMYFUNCTION("""COMPUTED_VALUE"""),"")</f>
        <v/>
      </c>
      <c r="R1617" s="19"/>
      <c r="S1617" s="20"/>
      <c r="BP1617" s="10"/>
      <c r="BW1617" s="10"/>
      <c r="CF1617" s="10"/>
      <c r="CM1617" s="10"/>
      <c r="CP1617" s="18" t="str">
        <f ca="1"/>
        <v/>
      </c>
      <c r="CQ1617" s="18" t="str">
        <f ca="1"/>
        <v/>
      </c>
      <c r="CR1617" s="18" t="str">
        <f ca="1"/>
        <v/>
      </c>
      <c r="CS1617" s="18" t="str">
        <f ca="1"/>
        <v/>
      </c>
      <c r="CT1617" s="18" t="str">
        <f ca="1"/>
        <v/>
      </c>
      <c r="CV1617" s="10"/>
      <c r="CY1617" s="18" t="str">
        <f ca="1"/>
        <v/>
      </c>
      <c r="CZ1617" s="18" t="str">
        <f ca="1"/>
        <v/>
      </c>
      <c r="DA1617" s="18" t="str">
        <f ca="1"/>
        <v/>
      </c>
      <c r="DC1617" s="10"/>
    </row>
    <row r="1618" spans="1:107" x14ac:dyDescent="0.25">
      <c r="A1618" s="46"/>
      <c r="B1618" s="52"/>
      <c r="C1618" s="52"/>
      <c r="D1618" s="16"/>
      <c r="E1618" s="52"/>
      <c r="F1618" s="52"/>
      <c r="G1618" s="50"/>
      <c r="H1618" s="17" t="str">
        <f ca="1">IFERROR(__xludf.DUMMYFUNCTION("""COMPUTED_VALUE"""),"")</f>
        <v/>
      </c>
      <c r="I1618" s="50" t="s">
        <v>29</v>
      </c>
      <c r="J1618" s="50" t="s">
        <v>29</v>
      </c>
      <c r="K1618" s="50" t="s">
        <v>29</v>
      </c>
      <c r="L1618" s="50" t="s">
        <v>29</v>
      </c>
      <c r="M1618" s="50" t="s">
        <v>29</v>
      </c>
      <c r="N1618" s="49"/>
      <c r="P1618" s="19"/>
      <c r="Q1618" s="18" t="str">
        <f ca="1">IFERROR(__xludf.DUMMYFUNCTION("""COMPUTED_VALUE"""),"")</f>
        <v/>
      </c>
      <c r="R1618" s="19"/>
      <c r="S1618" s="20"/>
      <c r="BP1618" s="10"/>
      <c r="BW1618" s="10"/>
      <c r="CF1618" s="10"/>
      <c r="CM1618" s="10"/>
      <c r="CP1618" s="18" t="str">
        <f ca="1"/>
        <v/>
      </c>
      <c r="CQ1618" s="18" t="str">
        <f ca="1"/>
        <v/>
      </c>
      <c r="CR1618" s="18" t="str">
        <f ca="1"/>
        <v/>
      </c>
      <c r="CS1618" s="18" t="str">
        <f ca="1"/>
        <v/>
      </c>
      <c r="CT1618" s="18" t="str">
        <f ca="1"/>
        <v/>
      </c>
      <c r="CV1618" s="10"/>
      <c r="CY1618" s="18" t="str">
        <f ca="1"/>
        <v/>
      </c>
      <c r="CZ1618" s="18" t="str">
        <f ca="1"/>
        <v/>
      </c>
      <c r="DA1618" s="18" t="str">
        <f ca="1"/>
        <v/>
      </c>
      <c r="DC1618" s="10"/>
    </row>
    <row r="1619" spans="1:107" x14ac:dyDescent="0.25">
      <c r="A1619" s="46"/>
      <c r="B1619" s="52"/>
      <c r="C1619" s="52"/>
      <c r="D1619" s="16"/>
      <c r="E1619" s="52"/>
      <c r="F1619" s="52"/>
      <c r="G1619" s="50"/>
      <c r="H1619" s="17" t="str">
        <f ca="1">IFERROR(__xludf.DUMMYFUNCTION("""COMPUTED_VALUE"""),"")</f>
        <v/>
      </c>
      <c r="I1619" s="50" t="s">
        <v>29</v>
      </c>
      <c r="J1619" s="50" t="s">
        <v>29</v>
      </c>
      <c r="K1619" s="50" t="s">
        <v>29</v>
      </c>
      <c r="L1619" s="50" t="s">
        <v>29</v>
      </c>
      <c r="M1619" s="50" t="s">
        <v>29</v>
      </c>
      <c r="N1619" s="49"/>
      <c r="P1619" s="19"/>
      <c r="Q1619" s="18" t="str">
        <f ca="1">IFERROR(__xludf.DUMMYFUNCTION("""COMPUTED_VALUE"""),"")</f>
        <v/>
      </c>
      <c r="R1619" s="19"/>
      <c r="S1619" s="20"/>
      <c r="BP1619" s="10"/>
      <c r="BW1619" s="10"/>
      <c r="CF1619" s="10"/>
      <c r="CM1619" s="10"/>
      <c r="CP1619" s="18" t="str">
        <f ca="1"/>
        <v/>
      </c>
      <c r="CQ1619" s="18" t="str">
        <f ca="1"/>
        <v/>
      </c>
      <c r="CR1619" s="18" t="str">
        <f ca="1"/>
        <v/>
      </c>
      <c r="CS1619" s="18" t="str">
        <f ca="1"/>
        <v/>
      </c>
      <c r="CT1619" s="18" t="str">
        <f ca="1"/>
        <v/>
      </c>
      <c r="CV1619" s="10"/>
      <c r="CY1619" s="18" t="str">
        <f ca="1"/>
        <v/>
      </c>
      <c r="CZ1619" s="18" t="str">
        <f ca="1"/>
        <v/>
      </c>
      <c r="DA1619" s="18" t="str">
        <f ca="1"/>
        <v/>
      </c>
      <c r="DC1619" s="10"/>
    </row>
    <row r="1620" spans="1:107" x14ac:dyDescent="0.25">
      <c r="A1620" s="46"/>
      <c r="B1620" s="52"/>
      <c r="C1620" s="52"/>
      <c r="D1620" s="16"/>
      <c r="E1620" s="52"/>
      <c r="F1620" s="52"/>
      <c r="G1620" s="50"/>
      <c r="H1620" s="17" t="str">
        <f ca="1">IFERROR(__xludf.DUMMYFUNCTION("""COMPUTED_VALUE"""),"")</f>
        <v/>
      </c>
      <c r="I1620" s="50" t="s">
        <v>29</v>
      </c>
      <c r="J1620" s="50" t="s">
        <v>29</v>
      </c>
      <c r="K1620" s="50" t="s">
        <v>29</v>
      </c>
      <c r="L1620" s="50" t="s">
        <v>29</v>
      </c>
      <c r="M1620" s="50" t="s">
        <v>29</v>
      </c>
      <c r="N1620" s="49"/>
      <c r="P1620" s="19"/>
      <c r="Q1620" s="18" t="str">
        <f ca="1">IFERROR(__xludf.DUMMYFUNCTION("""COMPUTED_VALUE"""),"")</f>
        <v/>
      </c>
      <c r="R1620" s="19"/>
      <c r="S1620" s="20"/>
      <c r="BP1620" s="10"/>
      <c r="BW1620" s="10"/>
      <c r="CF1620" s="10"/>
      <c r="CM1620" s="10"/>
      <c r="CP1620" s="18" t="str">
        <f ca="1"/>
        <v/>
      </c>
      <c r="CQ1620" s="18" t="str">
        <f ca="1"/>
        <v/>
      </c>
      <c r="CR1620" s="18" t="str">
        <f ca="1"/>
        <v/>
      </c>
      <c r="CS1620" s="18" t="str">
        <f ca="1"/>
        <v/>
      </c>
      <c r="CT1620" s="18" t="str">
        <f ca="1"/>
        <v/>
      </c>
      <c r="CV1620" s="10"/>
      <c r="CY1620" s="18" t="str">
        <f ca="1"/>
        <v/>
      </c>
      <c r="CZ1620" s="18" t="str">
        <f ca="1"/>
        <v/>
      </c>
      <c r="DA1620" s="18" t="str">
        <f ca="1"/>
        <v/>
      </c>
      <c r="DC1620" s="10"/>
    </row>
    <row r="1621" spans="1:107" x14ac:dyDescent="0.25">
      <c r="A1621" s="46"/>
      <c r="B1621" s="52"/>
      <c r="C1621" s="52"/>
      <c r="D1621" s="16"/>
      <c r="E1621" s="52"/>
      <c r="F1621" s="52"/>
      <c r="G1621" s="50"/>
      <c r="H1621" s="17" t="str">
        <f ca="1">IFERROR(__xludf.DUMMYFUNCTION("""COMPUTED_VALUE"""),"")</f>
        <v/>
      </c>
      <c r="I1621" s="50" t="s">
        <v>29</v>
      </c>
      <c r="J1621" s="50" t="s">
        <v>29</v>
      </c>
      <c r="K1621" s="50" t="s">
        <v>29</v>
      </c>
      <c r="L1621" s="50" t="s">
        <v>29</v>
      </c>
      <c r="M1621" s="50" t="s">
        <v>29</v>
      </c>
      <c r="N1621" s="49"/>
      <c r="P1621" s="19"/>
      <c r="Q1621" s="18" t="str">
        <f ca="1">IFERROR(__xludf.DUMMYFUNCTION("""COMPUTED_VALUE"""),"")</f>
        <v/>
      </c>
      <c r="R1621" s="19"/>
      <c r="S1621" s="20"/>
      <c r="BP1621" s="10"/>
      <c r="BW1621" s="10"/>
      <c r="CF1621" s="10"/>
      <c r="CM1621" s="10"/>
      <c r="CP1621" s="18" t="str">
        <f ca="1"/>
        <v/>
      </c>
      <c r="CQ1621" s="18" t="str">
        <f ca="1"/>
        <v/>
      </c>
      <c r="CR1621" s="18" t="str">
        <f ca="1"/>
        <v/>
      </c>
      <c r="CS1621" s="18" t="str">
        <f ca="1"/>
        <v/>
      </c>
      <c r="CT1621" s="18" t="str">
        <f ca="1"/>
        <v/>
      </c>
      <c r="CV1621" s="10"/>
      <c r="CY1621" s="18" t="str">
        <f ca="1"/>
        <v/>
      </c>
      <c r="CZ1621" s="18" t="str">
        <f ca="1"/>
        <v/>
      </c>
      <c r="DA1621" s="18" t="str">
        <f ca="1"/>
        <v/>
      </c>
      <c r="DC1621" s="10"/>
    </row>
    <row r="1622" spans="1:107" x14ac:dyDescent="0.25">
      <c r="A1622" s="46"/>
      <c r="B1622" s="52"/>
      <c r="C1622" s="52"/>
      <c r="D1622" s="16"/>
      <c r="E1622" s="52"/>
      <c r="F1622" s="52"/>
      <c r="G1622" s="50"/>
      <c r="H1622" s="17" t="str">
        <f ca="1">IFERROR(__xludf.DUMMYFUNCTION("""COMPUTED_VALUE"""),"")</f>
        <v/>
      </c>
      <c r="I1622" s="50" t="s">
        <v>29</v>
      </c>
      <c r="J1622" s="50" t="s">
        <v>29</v>
      </c>
      <c r="K1622" s="50" t="s">
        <v>29</v>
      </c>
      <c r="L1622" s="50" t="s">
        <v>29</v>
      </c>
      <c r="M1622" s="50" t="s">
        <v>29</v>
      </c>
      <c r="N1622" s="49"/>
      <c r="P1622" s="19"/>
      <c r="Q1622" s="18" t="str">
        <f ca="1">IFERROR(__xludf.DUMMYFUNCTION("""COMPUTED_VALUE"""),"")</f>
        <v/>
      </c>
      <c r="R1622" s="19"/>
      <c r="S1622" s="20"/>
      <c r="BP1622" s="10"/>
      <c r="BW1622" s="10"/>
      <c r="CF1622" s="10"/>
      <c r="CM1622" s="10"/>
      <c r="CP1622" s="18" t="str">
        <f ca="1"/>
        <v/>
      </c>
      <c r="CQ1622" s="18" t="str">
        <f ca="1"/>
        <v/>
      </c>
      <c r="CR1622" s="18" t="str">
        <f ca="1"/>
        <v/>
      </c>
      <c r="CS1622" s="18" t="str">
        <f ca="1"/>
        <v/>
      </c>
      <c r="CT1622" s="18" t="str">
        <f ca="1"/>
        <v/>
      </c>
      <c r="CV1622" s="10"/>
      <c r="CY1622" s="18" t="str">
        <f ca="1"/>
        <v/>
      </c>
      <c r="CZ1622" s="18" t="str">
        <f ca="1"/>
        <v/>
      </c>
      <c r="DA1622" s="18" t="str">
        <f ca="1"/>
        <v/>
      </c>
      <c r="DC1622" s="10"/>
    </row>
    <row r="1623" spans="1:107" x14ac:dyDescent="0.25">
      <c r="A1623" s="46"/>
      <c r="B1623" s="52"/>
      <c r="C1623" s="52"/>
      <c r="D1623" s="16"/>
      <c r="E1623" s="52"/>
      <c r="F1623" s="52"/>
      <c r="G1623" s="50"/>
      <c r="H1623" s="17" t="str">
        <f ca="1">IFERROR(__xludf.DUMMYFUNCTION("""COMPUTED_VALUE"""),"")</f>
        <v/>
      </c>
      <c r="I1623" s="50" t="s">
        <v>29</v>
      </c>
      <c r="J1623" s="50" t="s">
        <v>29</v>
      </c>
      <c r="K1623" s="50" t="s">
        <v>29</v>
      </c>
      <c r="L1623" s="50" t="s">
        <v>29</v>
      </c>
      <c r="M1623" s="50" t="s">
        <v>29</v>
      </c>
      <c r="N1623" s="49"/>
      <c r="P1623" s="19"/>
      <c r="Q1623" s="18" t="str">
        <f ca="1">IFERROR(__xludf.DUMMYFUNCTION("""COMPUTED_VALUE"""),"")</f>
        <v/>
      </c>
      <c r="R1623" s="19"/>
      <c r="S1623" s="20"/>
      <c r="BP1623" s="10"/>
      <c r="BW1623" s="10"/>
      <c r="CF1623" s="10"/>
      <c r="CM1623" s="10"/>
      <c r="CP1623" s="18" t="str">
        <f ca="1"/>
        <v/>
      </c>
      <c r="CQ1623" s="18" t="str">
        <f ca="1"/>
        <v/>
      </c>
      <c r="CR1623" s="18" t="str">
        <f ca="1"/>
        <v/>
      </c>
      <c r="CS1623" s="18" t="str">
        <f ca="1"/>
        <v/>
      </c>
      <c r="CT1623" s="18" t="str">
        <f ca="1"/>
        <v/>
      </c>
      <c r="CV1623" s="10"/>
      <c r="CY1623" s="18" t="str">
        <f ca="1"/>
        <v/>
      </c>
      <c r="CZ1623" s="18" t="str">
        <f ca="1"/>
        <v/>
      </c>
      <c r="DA1623" s="18" t="str">
        <f ca="1"/>
        <v/>
      </c>
      <c r="DC1623" s="10"/>
    </row>
    <row r="1624" spans="1:107" x14ac:dyDescent="0.25">
      <c r="A1624" s="46"/>
      <c r="B1624" s="52"/>
      <c r="C1624" s="52"/>
      <c r="D1624" s="16"/>
      <c r="E1624" s="52"/>
      <c r="F1624" s="52"/>
      <c r="G1624" s="50"/>
      <c r="H1624" s="17" t="str">
        <f ca="1">IFERROR(__xludf.DUMMYFUNCTION("""COMPUTED_VALUE"""),"")</f>
        <v/>
      </c>
      <c r="I1624" s="50" t="s">
        <v>29</v>
      </c>
      <c r="J1624" s="50" t="s">
        <v>29</v>
      </c>
      <c r="K1624" s="50" t="s">
        <v>29</v>
      </c>
      <c r="L1624" s="50" t="s">
        <v>29</v>
      </c>
      <c r="M1624" s="50" t="s">
        <v>29</v>
      </c>
      <c r="N1624" s="49"/>
      <c r="P1624" s="19"/>
      <c r="Q1624" s="18" t="str">
        <f ca="1">IFERROR(__xludf.DUMMYFUNCTION("""COMPUTED_VALUE"""),"")</f>
        <v/>
      </c>
      <c r="R1624" s="19"/>
      <c r="S1624" s="20"/>
      <c r="BP1624" s="10"/>
      <c r="BW1624" s="10"/>
      <c r="CF1624" s="10"/>
      <c r="CM1624" s="10"/>
      <c r="CP1624" s="18" t="str">
        <f ca="1"/>
        <v/>
      </c>
      <c r="CQ1624" s="18" t="str">
        <f ca="1"/>
        <v/>
      </c>
      <c r="CR1624" s="18" t="str">
        <f ca="1"/>
        <v/>
      </c>
      <c r="CS1624" s="18" t="str">
        <f ca="1"/>
        <v/>
      </c>
      <c r="CT1624" s="18" t="str">
        <f ca="1"/>
        <v/>
      </c>
      <c r="CV1624" s="10"/>
      <c r="CY1624" s="18" t="str">
        <f ca="1"/>
        <v/>
      </c>
      <c r="CZ1624" s="18" t="str">
        <f ca="1"/>
        <v/>
      </c>
      <c r="DA1624" s="18" t="str">
        <f ca="1"/>
        <v/>
      </c>
      <c r="DC1624" s="10"/>
    </row>
    <row r="1625" spans="1:107" x14ac:dyDescent="0.25">
      <c r="A1625" s="46"/>
      <c r="B1625" s="52"/>
      <c r="C1625" s="52"/>
      <c r="D1625" s="16"/>
      <c r="E1625" s="52"/>
      <c r="F1625" s="52"/>
      <c r="G1625" s="50"/>
      <c r="H1625" s="17" t="str">
        <f ca="1">IFERROR(__xludf.DUMMYFUNCTION("""COMPUTED_VALUE"""),"")</f>
        <v/>
      </c>
      <c r="I1625" s="50" t="s">
        <v>29</v>
      </c>
      <c r="J1625" s="50" t="s">
        <v>29</v>
      </c>
      <c r="K1625" s="50" t="s">
        <v>29</v>
      </c>
      <c r="L1625" s="50" t="s">
        <v>29</v>
      </c>
      <c r="M1625" s="50" t="s">
        <v>29</v>
      </c>
      <c r="N1625" s="49"/>
      <c r="P1625" s="19"/>
      <c r="Q1625" s="18" t="str">
        <f ca="1">IFERROR(__xludf.DUMMYFUNCTION("""COMPUTED_VALUE"""),"")</f>
        <v/>
      </c>
      <c r="R1625" s="19"/>
      <c r="S1625" s="20"/>
      <c r="BP1625" s="10"/>
      <c r="BW1625" s="10"/>
      <c r="CF1625" s="10"/>
      <c r="CM1625" s="10"/>
      <c r="CP1625" s="18" t="str">
        <f ca="1"/>
        <v/>
      </c>
      <c r="CQ1625" s="18" t="str">
        <f ca="1"/>
        <v/>
      </c>
      <c r="CR1625" s="18" t="str">
        <f ca="1"/>
        <v/>
      </c>
      <c r="CS1625" s="18" t="str">
        <f ca="1"/>
        <v/>
      </c>
      <c r="CT1625" s="18" t="str">
        <f ca="1"/>
        <v/>
      </c>
      <c r="CV1625" s="10"/>
      <c r="CY1625" s="18" t="str">
        <f ca="1"/>
        <v/>
      </c>
      <c r="CZ1625" s="18" t="str">
        <f ca="1"/>
        <v/>
      </c>
      <c r="DA1625" s="18" t="str">
        <f ca="1"/>
        <v/>
      </c>
      <c r="DC1625" s="10"/>
    </row>
    <row r="1626" spans="1:107" x14ac:dyDescent="0.25">
      <c r="A1626" s="46"/>
      <c r="B1626" s="52"/>
      <c r="C1626" s="52"/>
      <c r="D1626" s="16"/>
      <c r="E1626" s="52"/>
      <c r="F1626" s="52"/>
      <c r="G1626" s="50"/>
      <c r="H1626" s="17" t="str">
        <f ca="1">IFERROR(__xludf.DUMMYFUNCTION("""COMPUTED_VALUE"""),"")</f>
        <v/>
      </c>
      <c r="I1626" s="50" t="s">
        <v>29</v>
      </c>
      <c r="J1626" s="50" t="s">
        <v>29</v>
      </c>
      <c r="K1626" s="50" t="s">
        <v>29</v>
      </c>
      <c r="L1626" s="50" t="s">
        <v>29</v>
      </c>
      <c r="M1626" s="50" t="s">
        <v>29</v>
      </c>
      <c r="N1626" s="49"/>
      <c r="P1626" s="19"/>
      <c r="Q1626" s="18" t="str">
        <f ca="1">IFERROR(__xludf.DUMMYFUNCTION("""COMPUTED_VALUE"""),"")</f>
        <v/>
      </c>
      <c r="R1626" s="19"/>
      <c r="S1626" s="20"/>
      <c r="BP1626" s="10"/>
      <c r="BW1626" s="10"/>
      <c r="CF1626" s="10"/>
      <c r="CM1626" s="10"/>
      <c r="CP1626" s="18" t="str">
        <f ca="1"/>
        <v/>
      </c>
      <c r="CQ1626" s="18" t="str">
        <f ca="1"/>
        <v/>
      </c>
      <c r="CR1626" s="18" t="str">
        <f ca="1"/>
        <v/>
      </c>
      <c r="CS1626" s="18" t="str">
        <f ca="1"/>
        <v/>
      </c>
      <c r="CT1626" s="18" t="str">
        <f ca="1"/>
        <v/>
      </c>
      <c r="CV1626" s="10"/>
      <c r="CY1626" s="18" t="str">
        <f ca="1"/>
        <v/>
      </c>
      <c r="CZ1626" s="18" t="str">
        <f ca="1"/>
        <v/>
      </c>
      <c r="DA1626" s="18" t="str">
        <f ca="1"/>
        <v/>
      </c>
      <c r="DC1626" s="10"/>
    </row>
  </sheetData>
  <mergeCells count="8">
    <mergeCell ref="Q1:Q2"/>
    <mergeCell ref="S1:S2"/>
    <mergeCell ref="A1:A2"/>
    <mergeCell ref="B1:B2"/>
    <mergeCell ref="C1:C2"/>
    <mergeCell ref="E1:G1"/>
    <mergeCell ref="I1:M1"/>
    <mergeCell ref="O1:O2"/>
  </mergeCells>
  <conditionalFormatting sqref="A4:A117 A119:A1626">
    <cfRule type="expression" dxfId="1" priority="2">
      <formula>ISERROR(O:O)</formula>
    </cfRule>
  </conditionalFormatting>
  <conditionalFormatting sqref="I1:I1626">
    <cfRule type="expression" dxfId="0" priority="1">
      <formula>IF(H1:H1626="x",TRUE,FALSE)</formula>
    </cfRule>
  </conditionalFormatting>
  <dataValidations count="25">
    <dataValidation type="list" allowBlank="1" showErrorMessage="1" sqref="B8" xr:uid="{F979E47A-AF5B-9F43-9932-8E01BF562B64}">
      <formula1>$Z$8:$AA$8</formula1>
    </dataValidation>
    <dataValidation type="list" allowBlank="1" showErrorMessage="1" sqref="B113" xr:uid="{FDBF5B84-3641-EB4D-8D26-5199E52E0246}">
      <formula1>$Z$113:$AB$113</formula1>
    </dataValidation>
    <dataValidation type="list" allowBlank="1" showErrorMessage="1" sqref="B163" xr:uid="{DA14D4A0-CFE5-5B47-AB90-F79BA8DB48D3}">
      <formula1>$Z$163:$AC$163</formula1>
    </dataValidation>
    <dataValidation type="list" allowBlank="1" showErrorMessage="1" sqref="B106" xr:uid="{F6A04A9B-B927-D54C-9542-1E9ED6C4294E}">
      <formula1>$Z$106:$AB$106</formula1>
    </dataValidation>
    <dataValidation type="list" allowBlank="1" showErrorMessage="1" sqref="B11" xr:uid="{9B546121-627F-C84B-930F-0460806DEC20}">
      <formula1>$Z$11:$AC$11</formula1>
    </dataValidation>
    <dataValidation type="list" allowBlank="1" showErrorMessage="1" sqref="B158" xr:uid="{1A643E42-596E-0745-AA35-3D93A18CA079}">
      <formula1>$Z$158:$AB$158</formula1>
    </dataValidation>
    <dataValidation type="list" allowBlank="1" showErrorMessage="1" sqref="B118" xr:uid="{2E3E1505-3905-964E-86F9-D20C6F9F7244}">
      <formula1>$Z$118:$AC$118</formula1>
    </dataValidation>
    <dataValidation type="list" allowBlank="1" showErrorMessage="1" sqref="B117" xr:uid="{51722015-5AA0-CD45-9F9C-C654E4585AE7}">
      <formula1>$Z$117:$AD$117</formula1>
    </dataValidation>
    <dataValidation type="list" allowBlank="1" showErrorMessage="1" sqref="B105" xr:uid="{FE3D71DB-79F6-264A-8038-001E767A86A6}">
      <formula1>$Z$105:$AB$105</formula1>
    </dataValidation>
    <dataValidation type="list" allowBlank="1" showErrorMessage="1" sqref="B7" xr:uid="{2ADBB9DA-CD90-9C4F-9160-A3C263FD43B8}">
      <formula1>$Z$7:$AA$7</formula1>
    </dataValidation>
    <dataValidation type="list" allowBlank="1" showErrorMessage="1" sqref="B18" xr:uid="{8D975613-6C41-214A-961E-569A4148181F}">
      <formula1>$Z$18:$AD$18</formula1>
    </dataValidation>
    <dataValidation type="list" allowBlank="1" showErrorMessage="1" sqref="B236:B241" xr:uid="{E6F37263-B532-5649-9FD0-2E05259AE56F}">
      <formula1>$Z$236:$AZ$236</formula1>
    </dataValidation>
    <dataValidation type="list" allowBlank="1" showErrorMessage="1" sqref="B190" xr:uid="{14799C83-425B-FC4E-B315-DD0BA1823DC3}">
      <formula1>$Z$190:$AA$190</formula1>
    </dataValidation>
    <dataValidation type="list" allowBlank="1" showErrorMessage="1" sqref="B42" xr:uid="{EAABF7A2-F8DB-9B42-A41F-3CA04B0DD792}">
      <formula1>$Z$42:$AI$42</formula1>
    </dataValidation>
    <dataValidation type="list" allowBlank="1" showErrorMessage="1" sqref="B116" xr:uid="{0F871DFE-D2F5-3741-A53A-963D31D96407}">
      <formula1>$Z$116:$AD$116</formula1>
    </dataValidation>
    <dataValidation type="list" allowBlank="1" showErrorMessage="1" sqref="B186" xr:uid="{528ECB77-2E7F-0F42-9B1F-7F774E9EDCC6}">
      <formula1>$Z$186:$AE$186</formula1>
    </dataValidation>
    <dataValidation type="list" allowBlank="1" showErrorMessage="1" sqref="B73" xr:uid="{28A74B74-8F0D-7A43-8DA5-2B874DF5251C}">
      <formula1>$Z$73:$AE$73</formula1>
    </dataValidation>
    <dataValidation type="list" allowBlank="1" showErrorMessage="1" sqref="B71" xr:uid="{AB731320-9B36-E74F-92CA-5B017CCA4FCF}">
      <formula1>$Z$71:$AF$71</formula1>
    </dataValidation>
    <dataValidation type="list" allowBlank="1" showErrorMessage="1" sqref="B191" xr:uid="{A3D276BD-5B41-6B49-B941-31D31DD2400E}">
      <formula1>$Z$191:$AB$191</formula1>
    </dataValidation>
    <dataValidation type="list" allowBlank="1" showErrorMessage="1" sqref="B173:B174" xr:uid="{08488156-EAED-2C41-94D4-62B25CDF87EC}">
      <formula1>$Z$173:$AC$173</formula1>
    </dataValidation>
    <dataValidation type="list" allowBlank="1" showErrorMessage="1" sqref="B41" xr:uid="{DDEE67DA-C145-7747-A103-F80F6EE0E06F}">
      <formula1>$Z$41:$BJ$41</formula1>
    </dataValidation>
    <dataValidation type="list" allowBlank="1" showErrorMessage="1" sqref="B24 B171:B172" xr:uid="{8B9F0075-9BEC-A74A-8AD1-13F9DEFEEC54}">
      <formula1>$Z$24:$AC$24</formula1>
    </dataValidation>
    <dataValidation type="list" allowBlank="1" showErrorMessage="1" sqref="B78" xr:uid="{C3D88F25-123D-F743-B799-1B6FC13C86E2}">
      <formula1>$Z$78:$AC$78</formula1>
    </dataValidation>
    <dataValidation type="list" allowBlank="1" showErrorMessage="1" sqref="C1" xr:uid="{E1247736-36C7-8843-A86D-870C45971F7E}">
      <formula1>"Units - °F,Units - °C"</formula1>
    </dataValidation>
    <dataValidation type="list" allowBlank="1" showErrorMessage="1" sqref="B36" xr:uid="{8BA780D7-4822-D94D-A3ED-7BDEE737E197}">
      <formula1>$Z$36:$AC$36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241B-39DF-2E40-ACA8-538530500730}">
  <dimension ref="A1:AT1003"/>
  <sheetViews>
    <sheetView tabSelected="1" topLeftCell="C1" workbookViewId="0">
      <pane xSplit="2" ySplit="3" topLeftCell="P145" activePane="bottomRight" state="frozen"/>
      <selection pane="topRight" activeCell="E1" sqref="E1"/>
      <selection pane="bottomLeft" activeCell="C4" sqref="C4"/>
      <selection pane="bottomRight" activeCell="V205" sqref="T205:V205"/>
    </sheetView>
  </sheetViews>
  <sheetFormatPr defaultColWidth="12.625" defaultRowHeight="15.75" outlineLevelCol="1" x14ac:dyDescent="0.25"/>
  <cols>
    <col min="1" max="1" width="71.625" hidden="1" customWidth="1"/>
    <col min="2" max="2" width="32.125" hidden="1" customWidth="1"/>
    <col min="3" max="3" width="32.125" customWidth="1"/>
    <col min="4" max="4" width="8.125" customWidth="1"/>
    <col min="5" max="5" width="8.875" customWidth="1"/>
    <col min="6" max="6" width="9.125" customWidth="1"/>
    <col min="7" max="7" width="13.125" customWidth="1"/>
    <col min="8" max="8" width="13" customWidth="1"/>
    <col min="9" max="9" width="10.125" customWidth="1"/>
    <col min="10" max="10" width="9.625" customWidth="1"/>
    <col min="11" max="11" width="12.875" customWidth="1"/>
    <col min="14" max="14" width="17.125" customWidth="1"/>
    <col min="15" max="15" width="16" customWidth="1"/>
    <col min="17" max="17" width="21.375" customWidth="1"/>
    <col min="18" max="18" width="14.125" customWidth="1"/>
    <col min="19" max="19" width="18.625" customWidth="1"/>
    <col min="25" max="25" width="21.125" customWidth="1"/>
    <col min="26" max="26" width="44.125" customWidth="1"/>
    <col min="27" max="27" width="67.125" customWidth="1" collapsed="1"/>
    <col min="28" max="46" width="12.625" outlineLevel="1"/>
  </cols>
  <sheetData>
    <row r="1" spans="1:46" ht="15.75" customHeight="1" x14ac:dyDescent="0.25">
      <c r="A1" s="55"/>
      <c r="B1" s="56"/>
      <c r="C1" s="56" t="s">
        <v>594</v>
      </c>
      <c r="D1" s="5"/>
      <c r="E1" s="5"/>
      <c r="F1" s="5"/>
      <c r="G1" s="57"/>
      <c r="H1" s="5"/>
      <c r="I1" s="58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9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spans="1:46" ht="15.75" customHeight="1" x14ac:dyDescent="0.25">
      <c r="A2" s="55"/>
      <c r="B2" s="56"/>
      <c r="C2" s="56" t="s">
        <v>595</v>
      </c>
      <c r="D2" s="5"/>
      <c r="E2" s="5"/>
      <c r="F2" s="5"/>
      <c r="G2" s="57"/>
      <c r="H2" s="5"/>
      <c r="I2" s="5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9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spans="1:46" ht="15.75" customHeight="1" x14ac:dyDescent="0.25">
      <c r="A3" s="55"/>
      <c r="B3" s="56" t="s">
        <v>596</v>
      </c>
      <c r="C3" s="56" t="s">
        <v>0</v>
      </c>
      <c r="D3" s="5" t="s">
        <v>597</v>
      </c>
      <c r="E3" s="5" t="s">
        <v>598</v>
      </c>
      <c r="F3" s="5" t="s">
        <v>599</v>
      </c>
      <c r="G3" s="57" t="s">
        <v>600</v>
      </c>
      <c r="H3" s="5" t="s">
        <v>601</v>
      </c>
      <c r="I3" s="58" t="s">
        <v>602</v>
      </c>
      <c r="J3" s="5" t="s">
        <v>603</v>
      </c>
      <c r="K3" s="5" t="s">
        <v>604</v>
      </c>
      <c r="L3" s="5" t="s">
        <v>605</v>
      </c>
      <c r="M3" s="5" t="s">
        <v>606</v>
      </c>
      <c r="N3" s="5" t="s">
        <v>607</v>
      </c>
      <c r="O3" s="5" t="s">
        <v>608</v>
      </c>
      <c r="P3" s="5" t="s">
        <v>609</v>
      </c>
      <c r="Q3" s="5" t="s">
        <v>610</v>
      </c>
      <c r="R3" s="5" t="s">
        <v>611</v>
      </c>
      <c r="S3" s="5" t="s">
        <v>612</v>
      </c>
      <c r="T3" s="5" t="s">
        <v>613</v>
      </c>
      <c r="U3" s="5" t="s">
        <v>614</v>
      </c>
      <c r="V3" s="5" t="s">
        <v>615</v>
      </c>
      <c r="W3" s="5" t="s">
        <v>616</v>
      </c>
      <c r="X3" s="5" t="s">
        <v>617</v>
      </c>
      <c r="Y3" s="5" t="s">
        <v>617</v>
      </c>
      <c r="Z3" s="5" t="s">
        <v>618</v>
      </c>
      <c r="AA3" s="5" t="s">
        <v>619</v>
      </c>
      <c r="AB3" s="5"/>
      <c r="AC3" s="58" t="s">
        <v>595</v>
      </c>
      <c r="AD3" s="58" t="s">
        <v>620</v>
      </c>
      <c r="AE3" s="58" t="s">
        <v>621</v>
      </c>
      <c r="AF3" s="58" t="s">
        <v>622</v>
      </c>
      <c r="AG3" s="58" t="s">
        <v>623</v>
      </c>
      <c r="AH3" s="58" t="s">
        <v>624</v>
      </c>
      <c r="AI3" s="58" t="s">
        <v>625</v>
      </c>
      <c r="AJ3" s="58" t="s">
        <v>626</v>
      </c>
      <c r="AK3" s="58" t="s">
        <v>627</v>
      </c>
      <c r="AL3" s="58" t="s">
        <v>628</v>
      </c>
      <c r="AM3" s="58" t="s">
        <v>629</v>
      </c>
      <c r="AN3" s="58" t="s">
        <v>630</v>
      </c>
      <c r="AO3" s="58" t="s">
        <v>631</v>
      </c>
      <c r="AP3" s="58" t="s">
        <v>632</v>
      </c>
      <c r="AQ3" s="58" t="s">
        <v>633</v>
      </c>
      <c r="AR3" s="58" t="s">
        <v>634</v>
      </c>
      <c r="AS3" s="58" t="s">
        <v>635</v>
      </c>
      <c r="AT3" s="58" t="s">
        <v>636</v>
      </c>
    </row>
    <row r="4" spans="1:46" ht="15.75" customHeight="1" x14ac:dyDescent="0.25">
      <c r="A4" s="18" t="str">
        <f t="array" ref="A4:A1003">IF(C2="","",IF(C2=AC3,AC4:AC1003,IF(C2=AD3,AD4:AD1003,IF(C2=AE3,AE4:AE1003,IF(C2=AF3,AF4:AF1003,IF(C2=AG3,AG4:AG1003,IF(C2=AH3,AH4:AH1003,IF(C2=AI3,AI4:AI1003,IF(C2=AJ3,AJ4:AJ1003,IF(C2=AK3,AK4:AK1003,IF(C2=AL3,AL4:AL1003,IF(C2=AM3,AM4:AM1003,IF(C2=AN3,AN4:AN1003,IF(C2=AO3,AO4:AO1003,IF(C2=AP3,AP4:AP1003)))))))))))))))</f>
        <v>{"protocol_ver":2,"name":"RhapsodyThermostat","slug_name":"thermostat","group":"Thermostat","ver":"2.24.0","protocol_type":"wifi_zigbee","offline_timeout":1860,"is_tko_controller":true,"attributes":{</v>
      </c>
      <c r="B4" s="52" t="str">
        <f t="array" aca="1" ref="B4:B1003" ca="1">IF(C4:C1003="","",IF(W4:W1003="N/A","N/A",W4:W1003&amp;" "&amp;T4:T1003))</f>
        <v>N/A</v>
      </c>
      <c r="C4" s="52" t="str">
        <f ca="1">IFERROR(__xludf.DUMMYFUNCTION("ArrayFormula(if(A4:A1003="""","""",if(iserror(REGEXEXTRACT(A4:A1003,""^[a-z].*:\{""&amp;CHAR(34)&amp;""type""))=true,""N/A"",left(REGEXEXTRACT(A4:A1003,""^[a-z].*:\{""&amp;CHAR(34)&amp;""type""),len(REGEXEXTRACT(A4:A1003,""^[a-z].*:\{""&amp;CHAR(34)&amp;""type""))-7))))"),"N/A")</f>
        <v>N/A</v>
      </c>
      <c r="D4" s="18" t="str">
        <f ca="1">IFERROR(__xludf.DUMMYFUNCTION("ArrayFormula(if(A4:A1003="""","""",if(iserror(REGEXEXTRACT(A4:A1003,""^[a-z].*:\{""&amp;CHAR(34)&amp;""type""))=true,""N/A"",right(REGEXEXTRACT(A4:A1003,""type""&amp;CHAR(34)&amp;"":""&amp;CHAR(34)&amp;""[a-z]+""),LEN(REGEXEXTRACT(A4:A1003,""type""&amp;CHAR(34)&amp;"":""&amp;CHAR(34)&amp;""[a-z"&amp;"]+""))-7))))"),"N/A")</f>
        <v>N/A</v>
      </c>
      <c r="E4" s="18" t="str">
        <f ca="1">IFERROR(__xludf.DUMMYFUNCTION("ArrayFormula(if(A4:A1003="""","""",if(iserror(REGEXEXTRACT(A4:A1003,""^[a-z].*:\{""&amp;CHAR(34)&amp;""type""))=true,""N/A"",right(REGEXEXTRACT(A4:A1003,""data_type""&amp;CHAR(34)&amp;"":""&amp;CHAR(34)&amp;""[a-z0-9]+""),LEN(REGEXEXTRACT(A4:A1003,""data_type""&amp;CHAR(34)&amp;"":""&amp;CH"&amp;"AR(34)&amp;""[a-z0-9]+""))-12))))"),"N/A")</f>
        <v>N/A</v>
      </c>
      <c r="F4" s="18" t="str">
        <f ca="1">IFERROR(__xludf.DUMMYFUNCTION("ArrayFormula(if(A4:A1003="""","""",if(iserror(REGEXEXTRACT(A4:A1003,""^[a-z].*:\{""&amp;CHAR(34)&amp;""type""))=true,""N/A"",right(REGEXEXTRACT(A4:A1003,""is_readonly""&amp;CHAR(34)&amp;"":[a-z]+""),LEN(REGEXEXTRACT(A4:A1003,""is_readonly""&amp;CHAR(34)&amp;"":[a-z]+""))-13))))"),"N/A")</f>
        <v>N/A</v>
      </c>
      <c r="G4" s="14" t="str">
        <f ca="1">IFERROR(__xludf.DUMMYFUNCTION("ArrayFormula(if(A4:A1003="""","""",if(iserror(REGEXEXTRACT(A4:A1003,""^[a-z].*:\{""&amp;CHAR(34)&amp;""type""))=true,""N/A"",right(REGEXEXTRACT(A4:A1003,""reporting_type""&amp;CHAR(34)&amp;"":""&amp;CHAR(34)&amp;""[a-z]+""),LEN(REGEXEXTRACT(A4:A1003,""reporting_type""&amp;CHAR(34)&amp;"&amp;""":""&amp;CHAR(34)&amp;""[a-z]+""))-17))))"),"N/A")</f>
        <v>N/A</v>
      </c>
      <c r="H4" s="18" t="str">
        <f ca="1">IFERROR(__xludf.DUMMYFUNCTION("ArrayFormula(if(A4:A1003="""","""",if(iserror(REGEXEXTRACT(A4:A1003,""poll_freq""&amp;CHAR(34)&amp;"":[0-9]+""))=true,""N/A"",right(REGEXEXTRACT(A4:A1003,""poll_freq""&amp;CHAR(34)&amp;"":[0-9]+""),LEN(REGEXEXTRACT(A4:A1003,""poll_freq""&amp;CHAR(34)&amp;"":[0-9]+""))-11))))"),"N/A")</f>
        <v>N/A</v>
      </c>
      <c r="I4" s="59" t="str">
        <f ca="1">IFERROR(__xludf.DUMMYFUNCTION("ArrayFormula(if(A4:A1003="""","""",if(iserror(REGEXEXTRACT(A4:A1003,""report_max""&amp;CHAR(34)&amp;"":[0-9]+""))=true,""N/A"",right(REGEXEXTRACT(A4:A1003,""report_max""&amp;CHAR(34)&amp;"":[0-9]+""),LEN(REGEXEXTRACT(A4:A1003,""report_max""&amp;CHAR(34)&amp;"":[0-9]+""))-12))))"),"N/A")</f>
        <v>N/A</v>
      </c>
      <c r="J4" s="18" t="str">
        <f ca="1">IFERROR(__xludf.DUMMYFUNCTION("ArrayFormula(if(A4:A1003="""","""",if(iserror(REGEXEXTRACT(A4:A1003,""report_min""&amp;CHAR(34)&amp;"":[0-9]+""))=true,""N/A"",right(REGEXEXTRACT(A4:A1003,""report_min""&amp;CHAR(34)&amp;"":[0-9]+""),LEN(REGEXEXTRACT(A4:A1003,""report_min""&amp;CHAR(34)&amp;"":[0-9]+""))-12))))"),"N/A")</f>
        <v>N/A</v>
      </c>
      <c r="K4" s="18" t="str">
        <f ca="1">IFERROR(__xludf.DUMMYFUNCTION("ArrayFormula(if(A4:A1003="""","""",if(iserror(REGEXEXTRACT(A4:A1003,""report_threshold""&amp;CHAR(34)&amp;"":[0-9]+""))=true,""N/A"",right(REGEXEXTRACT(A4:A1003,""report_threshold""&amp;CHAR(34)&amp;"":[0-9]+\.[0-9]+|report_threshold""&amp;CHAR(34)&amp;"":[0-9]+""),LEN(REGEXEXTR"&amp;"ACT(A4:A1003,""report_threshold""&amp;CHAR(34)&amp;"":[0-9]+\.[0-9]+|report_threshold""&amp;CHAR(34)&amp;"":[0-9]+""))-18))))"),"N/A")</f>
        <v>N/A</v>
      </c>
      <c r="L4" s="18" t="str">
        <f ca="1">IFERROR(__xludf.DUMMYFUNCTION("ArrayFormula(if(A4:A1003="""","""",if(iserror(REGEXEXTRACT(A4:A1003,CHAR(34)&amp;""max""&amp;CHAR(34)&amp;"":[0-9]+""))=true,""N/A"",right(REGEXEXTRACT(A4:A1003,CHAR(34)&amp;""max""&amp;CHAR(34)&amp;"":[0-9]+\.[0-9]+|""&amp;CHAR(34)&amp;""max""&amp;CHAR(34)&amp;"":[0-9]+""),LEN(REGEXEXTRACT(A4:"&amp;"A1003,CHAR(34)&amp;""max""&amp;CHAR(34)&amp;"":[0-9]+\.[0-9]+|""&amp;CHAR(34)&amp;""max""&amp;CHAR(34)&amp;"":[0-9]+""))-6))))"),"N/A")</f>
        <v>N/A</v>
      </c>
      <c r="M4" s="18" t="str">
        <f ca="1">IFERROR(__xludf.DUMMYFUNCTION("ArrayFormula(if(A4:A1003="""","""",if(iserror(REGEXEXTRACT(A4:A1003,CHAR(34)&amp;""min""&amp;CHAR(34)&amp;"":[0-9]+""))=true,""N/A"",right(REGEXEXTRACT(A4:A1003,CHAR(34)&amp;""min""&amp;CHAR(34)&amp;"":[0-9]+\.[0-9]+|""&amp;CHAR(34)&amp;""min""&amp;CHAR(34)&amp;"":[0-9]+""),LEN(REGEXEXTRACT(A4:"&amp;"A1003,CHAR(34)&amp;""min""&amp;CHAR(34)&amp;"":[0-9]+\.[0-9]+|""&amp;CHAR(34)&amp;""min""&amp;CHAR(34)&amp;"":[0-9]+""))-6))))"),"N/A")</f>
        <v>N/A</v>
      </c>
      <c r="N4" s="18" t="str">
        <f ca="1">IFERROR(__xludf.DUMMYFUNCTION("ArrayFormula(if(A4:A1003="""","""",if(iserror(REGEXEXTRACT(A4:A1003,""bound_attr_max""&amp;CHAR(34)&amp;"":""&amp;CHAR(34)&amp;""[a-z_]+""))=true,""N/A"",right(REGEXEXTRACT(A4:A1003,""bound_attr_max""&amp;CHAR(34)&amp;"":""&amp;CHAR(34)&amp;""[a-z_]+""),LEN(REGEXEXTRACT(A4:A1003,""bound"&amp;"_attr_max""&amp;CHAR(34)&amp;"":""&amp;CHAR(34)&amp;""[a-z_]+""))-17))))"),"N/A")</f>
        <v>N/A</v>
      </c>
      <c r="O4" s="18" t="str">
        <f ca="1">IFERROR(__xludf.DUMMYFUNCTION("ArrayFormula(if(A4:A1003="""","""",if(iserror(REGEXEXTRACT(A4:A1003,""bound_attr_min""&amp;CHAR(34)&amp;"":""&amp;CHAR(34)&amp;""[a-z_]+""))=true,""N/A"",right(REGEXEXTRACT(A4:A1003,""bound_attr_min""&amp;CHAR(34)&amp;"":""&amp;CHAR(34)&amp;""[a-z_]+""),LEN(REGEXEXTRACT(A4:A1003,""bound"&amp;"_attr_min""&amp;CHAR(34)&amp;"":""&amp;CHAR(34)&amp;""[a-z_]+""))-17))))"),"N/A")</f>
        <v>N/A</v>
      </c>
      <c r="P4" s="18" t="str">
        <f ca="1">IFERROR(__xludf.DUMMYFUNCTION("ArrayFormula(if(A4:A1003="""","""",if(iserror(REGEXEXTRACT(A4:A1003,AB4))=true,""N/A"",right(REGEXEXTRACT(A4:A1003,AB4),LEN(REGEXEXTRACT(A4:A1003,AB4))-14))))"),"N/A")</f>
        <v>N/A</v>
      </c>
      <c r="Q4" s="18" t="str">
        <f ca="1">IFERROR(__xludf.DUMMYFUNCTION("ArrayFormula(if(A4:A1003="""","""",if(iserror(REGEXEXTRACT(A4:A1003,""bound_attr_enum""&amp;CHAR(34)&amp;"":""&amp;CHAR(34)&amp;""[a-z_]+""))=true,""N/A"",right(REGEXEXTRACT(A4:A1003,""bound_attr_enum""&amp;CHAR(34)&amp;"":""&amp;CHAR(34)&amp;""[a-z_]+""),LEN(REGEXEXTRACT(A4:A1003,""bou"&amp;"nd_attr_enum""&amp;CHAR(34)&amp;"":""&amp;CHAR(34)&amp;""[a-z_]+""))-18))))"),"N/A")</f>
        <v>N/A</v>
      </c>
      <c r="R4" s="18" t="str">
        <f ca="1">IFERROR(__xludf.DUMMYFUNCTION("ArrayFormula(if(A4:A1003="""","""",if(iserror(REGEXEXTRACT(A4:A1003,""decimal_places""&amp;CHAR(34)&amp;"":[0-9]+""))=true,""N/A"",right(REGEXEXTRACT(A4:A1003,""decimal_places""&amp;CHAR(34)&amp;"":[0-9]+""),LEN(REGEXEXTRACT(A4:A1003,""decimal_places""&amp;CHAR(34)&amp;"":[0-9]+"&amp;"""))-16))))"),"N/A")</f>
        <v>N/A</v>
      </c>
      <c r="S4" s="18" t="str">
        <f ca="1">IFERROR(__xludf.DUMMYFUNCTION("ArrayFormula(if(A4:A1003="""","""",if(iserror(REGEXEXTRACT(A4:A1003,AB5))=true,""N/A"",right(REGEXEXTRACT(A4:A1003,AB5),LEN(REGEXEXTRACT(A4:A1003,AB5))-15))))"),"N/A")</f>
        <v>N/A</v>
      </c>
      <c r="T4" s="18" t="str">
        <f ca="1">IFERROR(__xludf.DUMMYFUNCTION("ArrayFormula(if(A4:A1003="""","""",if(iserror(REGEXEXTRACT(A4:A1003,""attr_id""&amp;CHAR(34)&amp;"":[a-zA-Z0-9_\.]+""))=true,""N/A"",""0x""&amp;dec2hex(right(REGEXEXTRACT(A4:A1003,""attr_id""&amp;CHAR(34)&amp;"":[a-zA-Z0-9_\.]+""),LEN(REGEXEXTRACT(A4:A1003,""attr_id""&amp;CHAR(3"&amp;"4)&amp;"":[a-zA-Z0-9_\.]+""))-9),4))))"),"N/A")</f>
        <v>N/A</v>
      </c>
      <c r="U4" s="18" t="str">
        <f ca="1">IFERROR(__xludf.DUMMYFUNCTION("ArrayFormula(if(A4:A1003="""","""",if(iserror(REGEXEXTRACT(A4:A1003,""endpoint_id""&amp;CHAR(34)&amp;"":[a-zA-Z0-9_\.]+""))=true,""N/A"",""0x""&amp;dec2hex(right(REGEXEXTRACT(A4:A1003,""endpoint_id""&amp;CHAR(34)&amp;"":[a-zA-Z0-9_\.]+""),LEN(REGEXEXTRACT(A4:A1003,""endpoint"&amp;"_id""&amp;CHAR(34)&amp;"":[a-zA-Z0-9_\.]+""))-13),2))))"),"N/A")</f>
        <v>N/A</v>
      </c>
      <c r="V4" s="18" t="str">
        <f ca="1">IFERROR(__xludf.DUMMYFUNCTION("ArrayFormula(if(A4:A1003="""","""",if(iserror(REGEXEXTRACT(A4:A1003,""profile_id""&amp;CHAR(34)&amp;"":[a-zA-Z0-9_\.]+""))=true,""N/A"",""0x""&amp;dec2hex(right(REGEXEXTRACT(A4:A1003,""profile_id""&amp;CHAR(34)&amp;"":[a-zA-Z0-9_\.]+""),LEN(REGEXEXTRACT(A4:A1003,""profile_id"&amp;"""&amp;CHAR(34)&amp;"":[a-zA-Z0-9_\.]+""))-12),4))))"),"N/A")</f>
        <v>N/A</v>
      </c>
      <c r="W4" s="18" t="str">
        <f ca="1">IFERROR(__xludf.DUMMYFUNCTION("ArrayFormula(if(A4:A1003="""","""",if(iserror(REGEXEXTRACT(A4:A1003,""cluster_id""&amp;CHAR(34)&amp;"":[a-zA-Z0-9_\.]+""))=true,""N/A"",""0x""&amp;dec2hex(right(REGEXEXTRACT(A4:A1003,""cluster_id""&amp;CHAR(34)&amp;"":[a-zA-Z0-9_\.]+""),LEN(REGEXEXTRACT(A4:A1003,""cluster_id"&amp;"""&amp;CHAR(34)&amp;"":[a-zA-Z0-9_\.]+""))-12),4))))"),"N/A")</f>
        <v>N/A</v>
      </c>
      <c r="X4" s="18" t="str">
        <f ca="1">IFERROR(__xludf.DUMMYFUNCTION("ArrayFormula(if(A4:A1003="""","""",if(iserror(REGEXEXTRACT(A4:A1003,""zcl_data_type""&amp;CHAR(34)&amp;"":[a-zA-Z0-9_\.]+""))=true,""N/A"",""0x""&amp;dec2hex(right(REGEXEXTRACT(A4:A1003,""zcl_data_type""&amp;CHAR(34)&amp;"":[a-zA-Z0-9_\.]+""),LEN(REGEXEXTRACT(A4:A1003,""zcl_"&amp;"data_type""&amp;CHAR(34)&amp;"":[a-zA-Z0-9_\.]+""))-15),2))))"),"N/A")</f>
        <v>N/A</v>
      </c>
      <c r="Y4" s="60" t="e">
        <f t="array" aca="1" ref="Y4:Y1003" ca="1">_xludf.IFS(X4:X1003="","",X4:X1003="N/A","N/A",X4:X1003="0x00",_xludf.concat(X4:X1003," (No data)"),X4:X1003="0x01",_xludf.concat(X4:X1003," (Reserved)"),X4:X1003="0x02",_xludf.concat(X4:X1003, "(Reserved)"),X4:X1003="0x03",_xludf.concat(X4:X1003," (Reserved)"),X4:X1003="0x04",_xludf.concat(X4:X1003," (Reserved)"),X4:X1003="0x05",_xludf.concat(X4:X1003," (Reserved)"),X4:X1003="0x06",_xludf.concat(X4:X1003," (Reserved)"),X4:X1003="0x07",_xludf.concat(X4:X1003," (Reserved)"),X4:X1003="0x08",_xludf.concat(X4:X1003," (8-bit General Data)"),X4:X1003="0x09",_xludf.concat(X4:X1003," (16-bit General Data"),X4:X1003="0x0A",_xludf.concat(X4:X1003," (24-bit General Data"),X4:X1003="0x0B",_xludf.concat(X4:X1003," (32-bit General Data)"),X4:X1003="0x0C",_xludf.concat(X4:X1003," (40-bit General Data)"),X4:X1003="0x0D",_xludf.concat(X4:X1003," (48-bit General Data)"),X4:X1003="0x0E",_xludf.concat(X4:X1003," (56-bit General Data)"),X4:X1003="0x0F",_xludf.concat(X4:X1003," (64-bit General Data)"),X4:X1003="0x10",_xludf.concat(X4:X1003," (Boolean)"),X4:X1003="0x11",_xludf.concat(X4:X1003," (Reserved)"),X4:X1003="0x12",_xludf.concat(X4:X1003," (Reserved)"),X4:X1003="0x13",_xludf.concat(X4:X1003," (Reserved)"),X4:X1003="0x14",_xludf.concat(X4:X1003," (Reserved)"),X4:X1003="0x15",_xludf.concat(X4:X1003," (Reserved)"),X4:X1003="0x16",_xludf.concat(X4:X1003," (Reserved)"),X4:X1003="0x17",_xludf.concat(X4:X1003," (Reserved)"),X4:X1003="0x18",_xludf.concat(X4:X1003," (8-bit Bitmap)"),X4:X1003="0x19",_xludf.concat(X4:X1003," (16-bit Bitmap)"),X4:X1003="0x1A",_xludf.concat(X4:X1003," (24-bit Bitmap)"),X4:X1003="0x1B",_xludf.concat(X4:X1003," (32-bit Bitmap)"),X4:X1003="0x1C",_xludf.concat(X4:X1003," (40-bit Bitmap)"),X4:X1003="0x1D",_xludf.concat(X4:X1003," (48-bit Bitmap)"),X4:X1003="0x1E",_xludf.concat(X4:X1003," (56-bit Bitmap)"),X4:X1003="0x1F",_xludf.concat(X4:X1003," (64-bit Bitmap)"),X4:X1003="0x20",_xludf.concat(X4:X1003," (8-bit Unsigned Int)"),X4:X1003="0x21",_xludf.concat(X4:X1003," (16-bit Unsigned Int)"),X4:X1003="0x22",_xludf.concat(X4:X1003," (24-bit Unsigned Int)"),X4:X1003="0x23",_xludf.concat(X4:X1003," (32-bit Unsigned Int)"),X4:X1003="0x24",_xludf.concat(X4:X1003," (40-bit Unsigned Int)"),X4:X1003="0x25",_xludf.concat(X4:X1003," (48-bit Unsigned Int)"),X4:X1003="0x26",_xludf.concat(X4:X1003," (56-bit Unsigned Int)"),X4:X1003="0x27",_xludf.concat(X4:X1003," (64-bit Unsigned Int)"),X4:X1003="0x28",_xludf.concat(X4:X1003," (8-bit Signed Int)"),X4:X1003="0x29",_xludf.concat(X4:X1003," (16-bit Signed Int)"),X4:X1003="0x2A",_xludf.concat(X4:X1003," (24-bit Signed Int)"),X4:X1003="0x2B",_xludf.concat(X4:X1003," (32-bit Signed Int)"),X4:X1003="0x2C",_xludf.concat(X4:X1003," 40-bit Signed Int)"),X4:X1003="0x2D",_xludf.concat(X4:X1003," (48-bit Signed Int)"),X4:X1003="0x2E",_xludf.concat(X4:X1003," (56-bit Signed Int)"),X4:X1003="0x2F",_xludf.concat(X4:X1003," (64-bit Signed Int)"),X4:X1003="0x30",_xludf.concat(X4:X1003," (8-bit Enum)"),X4:X1003="0x31",_xludf.concat(X4:X1003," (16-bit Enum)"),X4:X1003="0x32",_xludf.concat(X4:X1003," (Reserved)"),X4:X1003="0x33",_xludf.concat(X4:X1003," (Reserved)"),X4:X1003="0x34",_xludf.concat(X4:X1003," (Reserved)"),X4:X1003="0x35",_xludf.concat(X4:X1003," (Reserved)"),X4:X1003="0x36",_xludf.concat(X4:X1003," (Reserved)"),X4:X1003="0x37",_xludf.concat(X4:X1003," (Reserved)"),X4:X1003="0x38",_xludf.concat(X4:X1003," (Semi-Precision Float)"),X4:X1003="0x39",concantenate(X4:X1003," (Single Precision Float)"),X4:X1003="0x3A",_xludf.concat(X4:X1003," (Double Precision Float)"),X4:X1003="0x3B",_xludf.concat(X4:X1003," (Reserved)"),X4:X1003="0x3C",_xludf.concat(X4:X1003," (Reserved)"),X4:X1003="0x3D",_xludf.concat(X4:X1003," (Reserved)"),X4:X1003="0x3E",_xludf.concat(X4:X1003," (Reserved)"),X4:X1003="0x3F",_xludf.concat(X4:X1003," (Reserved)"),X4:X1003="0x40",_xludf.concat(X4:X1003," (Reserved)"),X4:X1003="0x41",_xludf.concat(X4:X1003," (Octet String)"),X4:X1003="0xF0",_xludf.concat(X4:X1003," (64-bit IEEE Address)"))</f>
        <v>#NAME?</v>
      </c>
      <c r="Z4" s="18" t="str">
        <f ca="1">IFERROR(__xludf.DUMMYFUNCTION("ArrayFormula(if(A4:A1003="""","""",if(iserror(REGEXEXTRACT(A4:A1003,AB8))=true,""N/A"",REGEXREPLACE(right(REGEXEXTRACT(A4:A1003,AB8),LEN(REGEXEXTRACT(A4:A1003,AB8))-18),AB9,""""))))"),"N/A")</f>
        <v>N/A</v>
      </c>
      <c r="AA4" s="18" t="str">
        <f ca="1">IFERROR(__xludf.DUMMYFUNCTION("ArrayFormula(if(A4:A1003="""","""",if(iserror(REGEXEXTRACT(A4:A1003,AB6))=true,""N/A"",REGEXREPLACE(right(REGEXEXTRACT(A4:A1003,AB6),LEN(REGEXEXTRACT(A4:A1003,AB6))-17),AB7,""""))))"),"N/A")</f>
        <v>N/A</v>
      </c>
      <c r="AB4" s="18" t="s">
        <v>637</v>
      </c>
      <c r="AC4" s="59" t="s">
        <v>638</v>
      </c>
      <c r="AD4" s="59" t="s">
        <v>639</v>
      </c>
      <c r="AE4" s="59" t="s">
        <v>640</v>
      </c>
      <c r="AF4" s="59" t="s">
        <v>641</v>
      </c>
      <c r="AG4" s="59" t="s">
        <v>642</v>
      </c>
      <c r="AH4" s="59" t="s">
        <v>643</v>
      </c>
      <c r="AI4" s="59" t="s">
        <v>644</v>
      </c>
      <c r="AJ4" s="59" t="s">
        <v>645</v>
      </c>
      <c r="AK4" s="59" t="s">
        <v>646</v>
      </c>
      <c r="AL4" s="59" t="s">
        <v>647</v>
      </c>
      <c r="AM4" s="59" t="s">
        <v>648</v>
      </c>
      <c r="AN4" s="59" t="s">
        <v>649</v>
      </c>
      <c r="AO4" s="59" t="s">
        <v>650</v>
      </c>
      <c r="AP4" s="59" t="s">
        <v>651</v>
      </c>
      <c r="AQ4" s="59" t="s">
        <v>652</v>
      </c>
      <c r="AR4" s="59" t="s">
        <v>653</v>
      </c>
      <c r="AS4" s="59" t="s">
        <v>654</v>
      </c>
      <c r="AT4" s="59" t="s">
        <v>655</v>
      </c>
    </row>
    <row r="5" spans="1:46" ht="15.75" customHeight="1" x14ac:dyDescent="0.25">
      <c r="A5" s="18" t="str">
        <v>fw_ver:{"type":"attribute","data_type":"string","is_readonly":true,"reporting_type":"polled","poll_freq":86400,"zigbee_metadata":{"attr_id":4,"endpoint_id":10,"profile_id":260,"cluster_id":64544,"zcl_data_type":35,"read_formatter":"lambdax:'.'.join('%d'%int(('%08X'%x)[i:i+2],16)foriinrange(6,-2,-2))"}},</v>
      </c>
      <c r="B5" s="52" t="str">
        <f ca="1"/>
        <v>0xFC20 0x0004</v>
      </c>
      <c r="C5" s="52" t="str">
        <f ca="1">IFERROR(__xludf.DUMMYFUNCTION("""COMPUTED_VALUE"""),"fw_ver")</f>
        <v>fw_ver</v>
      </c>
      <c r="D5" s="18" t="str">
        <f ca="1">IFERROR(__xludf.DUMMYFUNCTION("""COMPUTED_VALUE"""),"attribute")</f>
        <v>attribute</v>
      </c>
      <c r="E5" s="18" t="str">
        <f ca="1">IFERROR(__xludf.DUMMYFUNCTION("""COMPUTED_VALUE"""),"string")</f>
        <v>string</v>
      </c>
      <c r="F5" s="18" t="str">
        <f ca="1">IFERROR(__xludf.DUMMYFUNCTION("""COMPUTED_VALUE"""),"true")</f>
        <v>true</v>
      </c>
      <c r="G5" s="18" t="str">
        <f ca="1">IFERROR(__xludf.DUMMYFUNCTION("""COMPUTED_VALUE"""),"polled")</f>
        <v>polled</v>
      </c>
      <c r="H5" s="18" t="str">
        <f ca="1">IFERROR(__xludf.DUMMYFUNCTION("""COMPUTED_VALUE"""),"86400")</f>
        <v>86400</v>
      </c>
      <c r="I5" s="59" t="str">
        <f ca="1">IFERROR(__xludf.DUMMYFUNCTION("""COMPUTED_VALUE"""),"N/A")</f>
        <v>N/A</v>
      </c>
      <c r="J5" s="18" t="str">
        <f ca="1">IFERROR(__xludf.DUMMYFUNCTION("""COMPUTED_VALUE"""),"N/A")</f>
        <v>N/A</v>
      </c>
      <c r="K5" s="18" t="str">
        <f ca="1">IFERROR(__xludf.DUMMYFUNCTION("""COMPUTED_VALUE"""),"N/A")</f>
        <v>N/A</v>
      </c>
      <c r="L5" s="18" t="str">
        <f ca="1">IFERROR(__xludf.DUMMYFUNCTION("""COMPUTED_VALUE"""),"N/A")</f>
        <v>N/A</v>
      </c>
      <c r="M5" s="18" t="str">
        <f ca="1">IFERROR(__xludf.DUMMYFUNCTION("""COMPUTED_VALUE"""),"N/A")</f>
        <v>N/A</v>
      </c>
      <c r="N5" s="18" t="str">
        <f ca="1">IFERROR(__xludf.DUMMYFUNCTION("""COMPUTED_VALUE"""),"N/A")</f>
        <v>N/A</v>
      </c>
      <c r="O5" s="18" t="str">
        <f ca="1">IFERROR(__xludf.DUMMYFUNCTION("""COMPUTED_VALUE"""),"N/A")</f>
        <v>N/A</v>
      </c>
      <c r="P5" s="18" t="str">
        <f ca="1">IFERROR(__xludf.DUMMYFUNCTION("""COMPUTED_VALUE"""),"N/A")</f>
        <v>N/A</v>
      </c>
      <c r="Q5" s="18" t="str">
        <f ca="1">IFERROR(__xludf.DUMMYFUNCTION("""COMPUTED_VALUE"""),"N/A")</f>
        <v>N/A</v>
      </c>
      <c r="R5" s="18" t="str">
        <f ca="1">IFERROR(__xludf.DUMMYFUNCTION("""COMPUTED_VALUE"""),"N/A")</f>
        <v>N/A</v>
      </c>
      <c r="S5" s="18" t="str">
        <f ca="1">IFERROR(__xludf.DUMMYFUNCTION("""COMPUTED_VALUE"""),"N/A")</f>
        <v>N/A</v>
      </c>
      <c r="T5" s="18" t="str">
        <f ca="1">IFERROR(__xludf.DUMMYFUNCTION("""COMPUTED_VALUE"""),"0x0004")</f>
        <v>0x0004</v>
      </c>
      <c r="U5" s="18" t="str">
        <f ca="1">IFERROR(__xludf.DUMMYFUNCTION("""COMPUTED_VALUE"""),"0x0A")</f>
        <v>0x0A</v>
      </c>
      <c r="V5" s="18" t="str">
        <f ca="1">IFERROR(__xludf.DUMMYFUNCTION("""COMPUTED_VALUE"""),"0x0104")</f>
        <v>0x0104</v>
      </c>
      <c r="W5" s="18" t="str">
        <f ca="1">IFERROR(__xludf.DUMMYFUNCTION("""COMPUTED_VALUE"""),"0xFC20")</f>
        <v>0xFC20</v>
      </c>
      <c r="X5" s="18" t="str">
        <f ca="1">IFERROR(__xludf.DUMMYFUNCTION("""COMPUTED_VALUE"""),"0x23")</f>
        <v>0x23</v>
      </c>
      <c r="Y5" s="18" t="e">
        <f ca="1"/>
        <v>#NAME?</v>
      </c>
      <c r="Z5" s="18" t="str">
        <f ca="1">IFERROR(__xludf.DUMMYFUNCTION("""COMPUTED_VALUE"""),"N/A")</f>
        <v>N/A</v>
      </c>
      <c r="AA5" s="18" t="str">
        <f ca="1">IFERROR(__xludf.DUMMYFUNCTION("""COMPUTED_VALUE"""),"lambdax:'.'.join('%d'%int(('%08X'%x)[i:i+2],16)foriinrange(6,-2,-2))")</f>
        <v>lambdax:'.'.join('%d'%int(('%08X'%x)[i:i+2],16)foriinrange(6,-2,-2))</v>
      </c>
      <c r="AB5" s="18" t="s">
        <v>656</v>
      </c>
      <c r="AC5" s="59" t="s">
        <v>657</v>
      </c>
      <c r="AD5" s="59" t="s">
        <v>657</v>
      </c>
      <c r="AE5" s="59" t="s">
        <v>657</v>
      </c>
      <c r="AF5" s="59" t="s">
        <v>657</v>
      </c>
      <c r="AG5" s="59" t="s">
        <v>657</v>
      </c>
      <c r="AH5" s="59" t="s">
        <v>657</v>
      </c>
      <c r="AI5" s="59" t="s">
        <v>657</v>
      </c>
      <c r="AJ5" s="59" t="s">
        <v>657</v>
      </c>
      <c r="AK5" s="59" t="s">
        <v>657</v>
      </c>
      <c r="AL5" s="59" t="s">
        <v>657</v>
      </c>
      <c r="AM5" s="59" t="s">
        <v>657</v>
      </c>
      <c r="AN5" s="59" t="s">
        <v>657</v>
      </c>
      <c r="AO5" s="59" t="s">
        <v>657</v>
      </c>
      <c r="AP5" s="59" t="s">
        <v>658</v>
      </c>
      <c r="AQ5" s="59" t="s">
        <v>659</v>
      </c>
      <c r="AR5" s="59" t="s">
        <v>659</v>
      </c>
      <c r="AS5" s="59" t="s">
        <v>659</v>
      </c>
      <c r="AT5" s="59" t="s">
        <v>659</v>
      </c>
    </row>
    <row r="6" spans="1:46" ht="15.75" customHeight="1" x14ac:dyDescent="0.25">
      <c r="A6" s="18" t="str">
        <v>gp_data_ver:{"type":"attribute","data_type":"string","is_readonly":true,"reporting_type":"polled","poll_freq":86400,"zigbee_metadata":{"attr_id":2,"endpoint_id":10,"profile_id":260,"cluster_id":64544,"zcl_data_type":33,"read_formatter":"lambdax:'%d'%x"}},</v>
      </c>
      <c r="B6" s="52" t="str">
        <f ca="1"/>
        <v>0xFC20 0x0002</v>
      </c>
      <c r="C6" s="52" t="str">
        <f ca="1">IFERROR(__xludf.DUMMYFUNCTION("""COMPUTED_VALUE"""),"gp_data_ver")</f>
        <v>gp_data_ver</v>
      </c>
      <c r="D6" s="18" t="str">
        <f ca="1">IFERROR(__xludf.DUMMYFUNCTION("""COMPUTED_VALUE"""),"attribute")</f>
        <v>attribute</v>
      </c>
      <c r="E6" s="18" t="str">
        <f ca="1">IFERROR(__xludf.DUMMYFUNCTION("""COMPUTED_VALUE"""),"string")</f>
        <v>string</v>
      </c>
      <c r="F6" s="18" t="str">
        <f ca="1">IFERROR(__xludf.DUMMYFUNCTION("""COMPUTED_VALUE"""),"true")</f>
        <v>true</v>
      </c>
      <c r="G6" s="18" t="str">
        <f ca="1">IFERROR(__xludf.DUMMYFUNCTION("""COMPUTED_VALUE"""),"polled")</f>
        <v>polled</v>
      </c>
      <c r="H6" s="18" t="str">
        <f ca="1">IFERROR(__xludf.DUMMYFUNCTION("""COMPUTED_VALUE"""),"86400")</f>
        <v>86400</v>
      </c>
      <c r="I6" s="59" t="str">
        <f ca="1">IFERROR(__xludf.DUMMYFUNCTION("""COMPUTED_VALUE"""),"N/A")</f>
        <v>N/A</v>
      </c>
      <c r="J6" s="18" t="str">
        <f ca="1">IFERROR(__xludf.DUMMYFUNCTION("""COMPUTED_VALUE"""),"N/A")</f>
        <v>N/A</v>
      </c>
      <c r="K6" s="18" t="str">
        <f ca="1">IFERROR(__xludf.DUMMYFUNCTION("""COMPUTED_VALUE"""),"N/A")</f>
        <v>N/A</v>
      </c>
      <c r="L6" s="18" t="str">
        <f ca="1">IFERROR(__xludf.DUMMYFUNCTION("""COMPUTED_VALUE"""),"N/A")</f>
        <v>N/A</v>
      </c>
      <c r="M6" s="18" t="str">
        <f ca="1">IFERROR(__xludf.DUMMYFUNCTION("""COMPUTED_VALUE"""),"N/A")</f>
        <v>N/A</v>
      </c>
      <c r="N6" s="18" t="str">
        <f ca="1">IFERROR(__xludf.DUMMYFUNCTION("""COMPUTED_VALUE"""),"N/A")</f>
        <v>N/A</v>
      </c>
      <c r="O6" s="18" t="str">
        <f ca="1">IFERROR(__xludf.DUMMYFUNCTION("""COMPUTED_VALUE"""),"N/A")</f>
        <v>N/A</v>
      </c>
      <c r="P6" s="18" t="str">
        <f ca="1">IFERROR(__xludf.DUMMYFUNCTION("""COMPUTED_VALUE"""),"N/A")</f>
        <v>N/A</v>
      </c>
      <c r="Q6" s="18" t="str">
        <f ca="1">IFERROR(__xludf.DUMMYFUNCTION("""COMPUTED_VALUE"""),"N/A")</f>
        <v>N/A</v>
      </c>
      <c r="R6" s="18" t="str">
        <f ca="1">IFERROR(__xludf.DUMMYFUNCTION("""COMPUTED_VALUE"""),"N/A")</f>
        <v>N/A</v>
      </c>
      <c r="S6" s="18" t="str">
        <f ca="1">IFERROR(__xludf.DUMMYFUNCTION("""COMPUTED_VALUE"""),"N/A")</f>
        <v>N/A</v>
      </c>
      <c r="T6" s="18" t="str">
        <f ca="1">IFERROR(__xludf.DUMMYFUNCTION("""COMPUTED_VALUE"""),"0x0002")</f>
        <v>0x0002</v>
      </c>
      <c r="U6" s="18" t="str">
        <f ca="1">IFERROR(__xludf.DUMMYFUNCTION("""COMPUTED_VALUE"""),"0x0A")</f>
        <v>0x0A</v>
      </c>
      <c r="V6" s="18" t="str">
        <f ca="1">IFERROR(__xludf.DUMMYFUNCTION("""COMPUTED_VALUE"""),"0x0104")</f>
        <v>0x0104</v>
      </c>
      <c r="W6" s="18" t="str">
        <f ca="1">IFERROR(__xludf.DUMMYFUNCTION("""COMPUTED_VALUE"""),"0xFC20")</f>
        <v>0xFC20</v>
      </c>
      <c r="X6" s="18" t="str">
        <f ca="1">IFERROR(__xludf.DUMMYFUNCTION("""COMPUTED_VALUE"""),"0x21")</f>
        <v>0x21</v>
      </c>
      <c r="Y6" s="18" t="e">
        <f ca="1"/>
        <v>#NAME?</v>
      </c>
      <c r="Z6" s="18" t="str">
        <f ca="1">IFERROR(__xludf.DUMMYFUNCTION("""COMPUTED_VALUE"""),"N/A")</f>
        <v>N/A</v>
      </c>
      <c r="AA6" s="18" t="str">
        <f ca="1">IFERROR(__xludf.DUMMYFUNCTION("""COMPUTED_VALUE"""),"lambdax:'%d'%x")</f>
        <v>lambdax:'%d'%x</v>
      </c>
      <c r="AB6" s="18" t="s">
        <v>660</v>
      </c>
      <c r="AC6" s="59" t="s">
        <v>661</v>
      </c>
      <c r="AD6" s="59" t="s">
        <v>661</v>
      </c>
      <c r="AE6" s="59" t="s">
        <v>661</v>
      </c>
      <c r="AF6" s="59" t="s">
        <v>661</v>
      </c>
      <c r="AG6" s="59" t="s">
        <v>661</v>
      </c>
      <c r="AH6" s="59" t="s">
        <v>661</v>
      </c>
      <c r="AI6" s="59" t="s">
        <v>661</v>
      </c>
      <c r="AJ6" s="59" t="s">
        <v>661</v>
      </c>
      <c r="AK6" s="59" t="s">
        <v>661</v>
      </c>
      <c r="AL6" s="59" t="s">
        <v>661</v>
      </c>
      <c r="AM6" s="59" t="s">
        <v>661</v>
      </c>
      <c r="AN6" s="59" t="s">
        <v>661</v>
      </c>
      <c r="AO6" s="59" t="s">
        <v>661</v>
      </c>
      <c r="AP6" s="59" t="s">
        <v>662</v>
      </c>
      <c r="AQ6" s="59" t="s">
        <v>663</v>
      </c>
      <c r="AR6" s="59" t="s">
        <v>663</v>
      </c>
      <c r="AS6" s="59" t="s">
        <v>663</v>
      </c>
      <c r="AT6" s="59" t="s">
        <v>663</v>
      </c>
    </row>
    <row r="7" spans="1:46" ht="15.75" customHeight="1" x14ac:dyDescent="0.25">
      <c r="A7" s="18" t="str">
        <v>ui_ver:{"type":"attribute","data_type":"string","is_readonly":true,"reporting_type":"polled","poll_freq":86400,"zigbee_metadata":{"attr_id":5,"endpoint_id":10,"profile_id":260,"cluster_id":64544,"zcl_data_type":33,"read_formatter":"lambdax:'%d'%x"}},</v>
      </c>
      <c r="B7" s="52" t="str">
        <f ca="1"/>
        <v>0xFC20 0x0005</v>
      </c>
      <c r="C7" s="52" t="str">
        <f ca="1">IFERROR(__xludf.DUMMYFUNCTION("""COMPUTED_VALUE"""),"ui_ver")</f>
        <v>ui_ver</v>
      </c>
      <c r="D7" s="18" t="str">
        <f ca="1">IFERROR(__xludf.DUMMYFUNCTION("""COMPUTED_VALUE"""),"attribute")</f>
        <v>attribute</v>
      </c>
      <c r="E7" s="18" t="str">
        <f ca="1">IFERROR(__xludf.DUMMYFUNCTION("""COMPUTED_VALUE"""),"string")</f>
        <v>string</v>
      </c>
      <c r="F7" s="18" t="str">
        <f ca="1">IFERROR(__xludf.DUMMYFUNCTION("""COMPUTED_VALUE"""),"true")</f>
        <v>true</v>
      </c>
      <c r="G7" s="18" t="str">
        <f ca="1">IFERROR(__xludf.DUMMYFUNCTION("""COMPUTED_VALUE"""),"polled")</f>
        <v>polled</v>
      </c>
      <c r="H7" s="18" t="str">
        <f ca="1">IFERROR(__xludf.DUMMYFUNCTION("""COMPUTED_VALUE"""),"86400")</f>
        <v>86400</v>
      </c>
      <c r="I7" s="59" t="str">
        <f ca="1">IFERROR(__xludf.DUMMYFUNCTION("""COMPUTED_VALUE"""),"N/A")</f>
        <v>N/A</v>
      </c>
      <c r="J7" s="18" t="str">
        <f ca="1">IFERROR(__xludf.DUMMYFUNCTION("""COMPUTED_VALUE"""),"N/A")</f>
        <v>N/A</v>
      </c>
      <c r="K7" s="18" t="str">
        <f ca="1">IFERROR(__xludf.DUMMYFUNCTION("""COMPUTED_VALUE"""),"N/A")</f>
        <v>N/A</v>
      </c>
      <c r="L7" s="18" t="str">
        <f ca="1">IFERROR(__xludf.DUMMYFUNCTION("""COMPUTED_VALUE"""),"N/A")</f>
        <v>N/A</v>
      </c>
      <c r="M7" s="18" t="str">
        <f ca="1">IFERROR(__xludf.DUMMYFUNCTION("""COMPUTED_VALUE"""),"N/A")</f>
        <v>N/A</v>
      </c>
      <c r="N7" s="18" t="str">
        <f ca="1">IFERROR(__xludf.DUMMYFUNCTION("""COMPUTED_VALUE"""),"N/A")</f>
        <v>N/A</v>
      </c>
      <c r="O7" s="18" t="str">
        <f ca="1">IFERROR(__xludf.DUMMYFUNCTION("""COMPUTED_VALUE"""),"N/A")</f>
        <v>N/A</v>
      </c>
      <c r="P7" s="18" t="str">
        <f ca="1">IFERROR(__xludf.DUMMYFUNCTION("""COMPUTED_VALUE"""),"N/A")</f>
        <v>N/A</v>
      </c>
      <c r="Q7" s="18" t="str">
        <f ca="1">IFERROR(__xludf.DUMMYFUNCTION("""COMPUTED_VALUE"""),"N/A")</f>
        <v>N/A</v>
      </c>
      <c r="R7" s="18" t="str">
        <f ca="1">IFERROR(__xludf.DUMMYFUNCTION("""COMPUTED_VALUE"""),"N/A")</f>
        <v>N/A</v>
      </c>
      <c r="S7" s="18" t="str">
        <f ca="1">IFERROR(__xludf.DUMMYFUNCTION("""COMPUTED_VALUE"""),"N/A")</f>
        <v>N/A</v>
      </c>
      <c r="T7" s="18" t="str">
        <f ca="1">IFERROR(__xludf.DUMMYFUNCTION("""COMPUTED_VALUE"""),"0x0005")</f>
        <v>0x0005</v>
      </c>
      <c r="U7" s="18" t="str">
        <f ca="1">IFERROR(__xludf.DUMMYFUNCTION("""COMPUTED_VALUE"""),"0x0A")</f>
        <v>0x0A</v>
      </c>
      <c r="V7" s="18" t="str">
        <f ca="1">IFERROR(__xludf.DUMMYFUNCTION("""COMPUTED_VALUE"""),"0x0104")</f>
        <v>0x0104</v>
      </c>
      <c r="W7" s="18" t="str">
        <f ca="1">IFERROR(__xludf.DUMMYFUNCTION("""COMPUTED_VALUE"""),"0xFC20")</f>
        <v>0xFC20</v>
      </c>
      <c r="X7" s="18" t="str">
        <f ca="1">IFERROR(__xludf.DUMMYFUNCTION("""COMPUTED_VALUE"""),"0x21")</f>
        <v>0x21</v>
      </c>
      <c r="Y7" s="18" t="e">
        <f ca="1"/>
        <v>#NAME?</v>
      </c>
      <c r="Z7" s="18" t="str">
        <f ca="1">IFERROR(__xludf.DUMMYFUNCTION("""COMPUTED_VALUE"""),"N/A")</f>
        <v>N/A</v>
      </c>
      <c r="AA7" s="18" t="str">
        <f ca="1">IFERROR(__xludf.DUMMYFUNCTION("""COMPUTED_VALUE"""),"lambdax:'%d'%x")</f>
        <v>lambdax:'%d'%x</v>
      </c>
      <c r="AB7" s="18" t="s">
        <v>664</v>
      </c>
      <c r="AC7" s="59" t="s">
        <v>665</v>
      </c>
      <c r="AD7" s="59" t="s">
        <v>665</v>
      </c>
      <c r="AE7" s="59" t="s">
        <v>665</v>
      </c>
      <c r="AF7" s="59" t="s">
        <v>665</v>
      </c>
      <c r="AG7" s="59" t="s">
        <v>665</v>
      </c>
      <c r="AH7" s="59" t="s">
        <v>665</v>
      </c>
      <c r="AI7" s="59" t="s">
        <v>665</v>
      </c>
      <c r="AJ7" s="59" t="s">
        <v>665</v>
      </c>
      <c r="AK7" s="59" t="s">
        <v>665</v>
      </c>
      <c r="AL7" s="59" t="s">
        <v>665</v>
      </c>
      <c r="AM7" s="59" t="s">
        <v>665</v>
      </c>
      <c r="AN7" s="59" t="s">
        <v>665</v>
      </c>
      <c r="AO7" s="59" t="s">
        <v>665</v>
      </c>
      <c r="AP7" s="59" t="s">
        <v>666</v>
      </c>
      <c r="AQ7" s="59" t="s">
        <v>667</v>
      </c>
      <c r="AR7" s="59" t="s">
        <v>667</v>
      </c>
      <c r="AS7" s="59" t="s">
        <v>667</v>
      </c>
      <c r="AT7" s="59" t="s">
        <v>667</v>
      </c>
    </row>
    <row r="8" spans="1:46" ht="15.75" customHeight="1" x14ac:dyDescent="0.25">
      <c r="A8" s="18" t="str">
        <v>esp_ver:{"type":"attribute","data_type":"string","is_readonly":true,"reporting_type":"polled","poll_freq":86400},</v>
      </c>
      <c r="B8" s="52" t="str">
        <f ca="1"/>
        <v>N/A</v>
      </c>
      <c r="C8" s="52" t="str">
        <f ca="1">IFERROR(__xludf.DUMMYFUNCTION("""COMPUTED_VALUE"""),"esp_ver")</f>
        <v>esp_ver</v>
      </c>
      <c r="D8" s="18" t="str">
        <f ca="1">IFERROR(__xludf.DUMMYFUNCTION("""COMPUTED_VALUE"""),"attribute")</f>
        <v>attribute</v>
      </c>
      <c r="E8" s="18" t="str">
        <f ca="1">IFERROR(__xludf.DUMMYFUNCTION("""COMPUTED_VALUE"""),"string")</f>
        <v>string</v>
      </c>
      <c r="F8" s="18" t="str">
        <f ca="1">IFERROR(__xludf.DUMMYFUNCTION("""COMPUTED_VALUE"""),"true")</f>
        <v>true</v>
      </c>
      <c r="G8" s="18" t="str">
        <f ca="1">IFERROR(__xludf.DUMMYFUNCTION("""COMPUTED_VALUE"""),"polled")</f>
        <v>polled</v>
      </c>
      <c r="H8" s="18" t="str">
        <f ca="1">IFERROR(__xludf.DUMMYFUNCTION("""COMPUTED_VALUE"""),"86400")</f>
        <v>86400</v>
      </c>
      <c r="I8" s="59" t="str">
        <f ca="1">IFERROR(__xludf.DUMMYFUNCTION("""COMPUTED_VALUE"""),"N/A")</f>
        <v>N/A</v>
      </c>
      <c r="J8" s="18" t="str">
        <f ca="1">IFERROR(__xludf.DUMMYFUNCTION("""COMPUTED_VALUE"""),"N/A")</f>
        <v>N/A</v>
      </c>
      <c r="K8" s="18" t="str">
        <f ca="1">IFERROR(__xludf.DUMMYFUNCTION("""COMPUTED_VALUE"""),"N/A")</f>
        <v>N/A</v>
      </c>
      <c r="L8" s="18" t="str">
        <f ca="1">IFERROR(__xludf.DUMMYFUNCTION("""COMPUTED_VALUE"""),"N/A")</f>
        <v>N/A</v>
      </c>
      <c r="M8" s="18" t="str">
        <f ca="1">IFERROR(__xludf.DUMMYFUNCTION("""COMPUTED_VALUE"""),"N/A")</f>
        <v>N/A</v>
      </c>
      <c r="N8" s="18" t="str">
        <f ca="1">IFERROR(__xludf.DUMMYFUNCTION("""COMPUTED_VALUE"""),"N/A")</f>
        <v>N/A</v>
      </c>
      <c r="O8" s="18" t="str">
        <f ca="1">IFERROR(__xludf.DUMMYFUNCTION("""COMPUTED_VALUE"""),"N/A")</f>
        <v>N/A</v>
      </c>
      <c r="P8" s="18" t="str">
        <f ca="1">IFERROR(__xludf.DUMMYFUNCTION("""COMPUTED_VALUE"""),"N/A")</f>
        <v>N/A</v>
      </c>
      <c r="Q8" s="18" t="str">
        <f ca="1">IFERROR(__xludf.DUMMYFUNCTION("""COMPUTED_VALUE"""),"N/A")</f>
        <v>N/A</v>
      </c>
      <c r="R8" s="18" t="str">
        <f ca="1">IFERROR(__xludf.DUMMYFUNCTION("""COMPUTED_VALUE"""),"N/A")</f>
        <v>N/A</v>
      </c>
      <c r="S8" s="18" t="str">
        <f ca="1">IFERROR(__xludf.DUMMYFUNCTION("""COMPUTED_VALUE"""),"N/A")</f>
        <v>N/A</v>
      </c>
      <c r="T8" s="18" t="str">
        <f ca="1">IFERROR(__xludf.DUMMYFUNCTION("""COMPUTED_VALUE"""),"N/A")</f>
        <v>N/A</v>
      </c>
      <c r="U8" s="18" t="str">
        <f ca="1">IFERROR(__xludf.DUMMYFUNCTION("""COMPUTED_VALUE"""),"N/A")</f>
        <v>N/A</v>
      </c>
      <c r="V8" s="18" t="str">
        <f ca="1">IFERROR(__xludf.DUMMYFUNCTION("""COMPUTED_VALUE"""),"N/A")</f>
        <v>N/A</v>
      </c>
      <c r="W8" s="18" t="str">
        <f ca="1">IFERROR(__xludf.DUMMYFUNCTION("""COMPUTED_VALUE"""),"N/A")</f>
        <v>N/A</v>
      </c>
      <c r="X8" s="18" t="str">
        <f ca="1">IFERROR(__xludf.DUMMYFUNCTION("""COMPUTED_VALUE"""),"N/A")</f>
        <v>N/A</v>
      </c>
      <c r="Y8" s="18" t="e">
        <f ca="1"/>
        <v>#NAME?</v>
      </c>
      <c r="Z8" s="18" t="str">
        <f ca="1">IFERROR(__xludf.DUMMYFUNCTION("""COMPUTED_VALUE"""),"N/A")</f>
        <v>N/A</v>
      </c>
      <c r="AA8" s="18" t="str">
        <f ca="1">IFERROR(__xludf.DUMMYFUNCTION("""COMPUTED_VALUE"""),"N/A")</f>
        <v>N/A</v>
      </c>
      <c r="AB8" s="18" t="s">
        <v>668</v>
      </c>
      <c r="AC8" s="59" t="s">
        <v>669</v>
      </c>
      <c r="AD8" s="59" t="s">
        <v>669</v>
      </c>
      <c r="AE8" s="59" t="s">
        <v>669</v>
      </c>
      <c r="AF8" s="59" t="s">
        <v>669</v>
      </c>
      <c r="AG8" s="59" t="s">
        <v>669</v>
      </c>
      <c r="AH8" s="59" t="s">
        <v>669</v>
      </c>
      <c r="AI8" s="59" t="s">
        <v>669</v>
      </c>
      <c r="AJ8" s="59" t="s">
        <v>669</v>
      </c>
      <c r="AK8" s="59" t="s">
        <v>669</v>
      </c>
      <c r="AL8" s="59" t="s">
        <v>669</v>
      </c>
      <c r="AM8" s="59" t="s">
        <v>669</v>
      </c>
      <c r="AN8" s="59" t="s">
        <v>669</v>
      </c>
      <c r="AO8" s="59" t="s">
        <v>669</v>
      </c>
      <c r="AP8" s="59" t="s">
        <v>670</v>
      </c>
      <c r="AQ8" s="59" t="s">
        <v>671</v>
      </c>
      <c r="AR8" s="59" t="s">
        <v>671</v>
      </c>
      <c r="AS8" s="59" t="s">
        <v>671</v>
      </c>
      <c r="AT8" s="59" t="s">
        <v>671</v>
      </c>
    </row>
    <row r="9" spans="1:46" ht="15.75" customHeight="1" x14ac:dyDescent="0.25">
      <c r="A9" s="18" t="str">
        <v>mac_address:{"type":"attribute","data_type":"string","is_readonly":true,"reporting_type":"polled","poll_freq":86400},</v>
      </c>
      <c r="B9" s="52" t="str">
        <f ca="1"/>
        <v>N/A</v>
      </c>
      <c r="C9" s="52" t="str">
        <f ca="1">IFERROR(__xludf.DUMMYFUNCTION("""COMPUTED_VALUE"""),"mac_address")</f>
        <v>mac_address</v>
      </c>
      <c r="D9" s="18" t="str">
        <f ca="1">IFERROR(__xludf.DUMMYFUNCTION("""COMPUTED_VALUE"""),"attribute")</f>
        <v>attribute</v>
      </c>
      <c r="E9" s="18" t="str">
        <f ca="1">IFERROR(__xludf.DUMMYFUNCTION("""COMPUTED_VALUE"""),"string")</f>
        <v>string</v>
      </c>
      <c r="F9" s="18" t="str">
        <f ca="1">IFERROR(__xludf.DUMMYFUNCTION("""COMPUTED_VALUE"""),"true")</f>
        <v>true</v>
      </c>
      <c r="G9" s="18" t="str">
        <f ca="1">IFERROR(__xludf.DUMMYFUNCTION("""COMPUTED_VALUE"""),"polled")</f>
        <v>polled</v>
      </c>
      <c r="H9" s="18" t="str">
        <f ca="1">IFERROR(__xludf.DUMMYFUNCTION("""COMPUTED_VALUE"""),"86400")</f>
        <v>86400</v>
      </c>
      <c r="I9" s="59" t="str">
        <f ca="1">IFERROR(__xludf.DUMMYFUNCTION("""COMPUTED_VALUE"""),"N/A")</f>
        <v>N/A</v>
      </c>
      <c r="J9" s="18" t="str">
        <f ca="1">IFERROR(__xludf.DUMMYFUNCTION("""COMPUTED_VALUE"""),"N/A")</f>
        <v>N/A</v>
      </c>
      <c r="K9" s="18" t="str">
        <f ca="1">IFERROR(__xludf.DUMMYFUNCTION("""COMPUTED_VALUE"""),"N/A")</f>
        <v>N/A</v>
      </c>
      <c r="L9" s="18" t="str">
        <f ca="1">IFERROR(__xludf.DUMMYFUNCTION("""COMPUTED_VALUE"""),"N/A")</f>
        <v>N/A</v>
      </c>
      <c r="M9" s="18" t="str">
        <f ca="1">IFERROR(__xludf.DUMMYFUNCTION("""COMPUTED_VALUE"""),"N/A")</f>
        <v>N/A</v>
      </c>
      <c r="N9" s="18" t="str">
        <f ca="1">IFERROR(__xludf.DUMMYFUNCTION("""COMPUTED_VALUE"""),"N/A")</f>
        <v>N/A</v>
      </c>
      <c r="O9" s="18" t="str">
        <f ca="1">IFERROR(__xludf.DUMMYFUNCTION("""COMPUTED_VALUE"""),"N/A")</f>
        <v>N/A</v>
      </c>
      <c r="P9" s="18" t="str">
        <f ca="1">IFERROR(__xludf.DUMMYFUNCTION("""COMPUTED_VALUE"""),"N/A")</f>
        <v>N/A</v>
      </c>
      <c r="Q9" s="18" t="str">
        <f ca="1">IFERROR(__xludf.DUMMYFUNCTION("""COMPUTED_VALUE"""),"N/A")</f>
        <v>N/A</v>
      </c>
      <c r="R9" s="18" t="str">
        <f ca="1">IFERROR(__xludf.DUMMYFUNCTION("""COMPUTED_VALUE"""),"N/A")</f>
        <v>N/A</v>
      </c>
      <c r="S9" s="18" t="str">
        <f ca="1">IFERROR(__xludf.DUMMYFUNCTION("""COMPUTED_VALUE"""),"N/A")</f>
        <v>N/A</v>
      </c>
      <c r="T9" s="18" t="str">
        <f ca="1">IFERROR(__xludf.DUMMYFUNCTION("""COMPUTED_VALUE"""),"N/A")</f>
        <v>N/A</v>
      </c>
      <c r="U9" s="18" t="str">
        <f ca="1">IFERROR(__xludf.DUMMYFUNCTION("""COMPUTED_VALUE"""),"N/A")</f>
        <v>N/A</v>
      </c>
      <c r="V9" s="18" t="str">
        <f ca="1">IFERROR(__xludf.DUMMYFUNCTION("""COMPUTED_VALUE"""),"N/A")</f>
        <v>N/A</v>
      </c>
      <c r="W9" s="18" t="str">
        <f ca="1">IFERROR(__xludf.DUMMYFUNCTION("""COMPUTED_VALUE"""),"N/A")</f>
        <v>N/A</v>
      </c>
      <c r="X9" s="18" t="str">
        <f ca="1">IFERROR(__xludf.DUMMYFUNCTION("""COMPUTED_VALUE"""),"N/A")</f>
        <v>N/A</v>
      </c>
      <c r="Y9" s="18" t="e">
        <f ca="1"/>
        <v>#NAME?</v>
      </c>
      <c r="Z9" s="18" t="str">
        <f ca="1">IFERROR(__xludf.DUMMYFUNCTION("""COMPUTED_VALUE"""),"N/A")</f>
        <v>N/A</v>
      </c>
      <c r="AA9" s="18" t="str">
        <f ca="1">IFERROR(__xludf.DUMMYFUNCTION("""COMPUTED_VALUE"""),"N/A")</f>
        <v>N/A</v>
      </c>
      <c r="AB9" s="18" t="s">
        <v>672</v>
      </c>
      <c r="AC9" s="59" t="s">
        <v>673</v>
      </c>
      <c r="AD9" s="59" t="s">
        <v>673</v>
      </c>
      <c r="AE9" s="59" t="s">
        <v>673</v>
      </c>
      <c r="AF9" s="59" t="s">
        <v>673</v>
      </c>
      <c r="AG9" s="59" t="s">
        <v>673</v>
      </c>
      <c r="AH9" s="59" t="s">
        <v>673</v>
      </c>
      <c r="AI9" s="59" t="s">
        <v>673</v>
      </c>
      <c r="AJ9" s="59" t="s">
        <v>673</v>
      </c>
      <c r="AK9" s="59" t="s">
        <v>673</v>
      </c>
      <c r="AL9" s="59" t="s">
        <v>673</v>
      </c>
      <c r="AM9" s="59" t="s">
        <v>673</v>
      </c>
      <c r="AN9" s="59" t="s">
        <v>673</v>
      </c>
      <c r="AO9" s="59" t="s">
        <v>673</v>
      </c>
      <c r="AP9" s="59" t="s">
        <v>674</v>
      </c>
      <c r="AQ9" s="59" t="s">
        <v>675</v>
      </c>
      <c r="AR9" s="59" t="s">
        <v>675</v>
      </c>
      <c r="AS9" s="59" t="s">
        <v>675</v>
      </c>
      <c r="AT9" s="59" t="s">
        <v>675</v>
      </c>
    </row>
    <row r="10" spans="1:46" ht="15.75" customHeight="1" x14ac:dyDescent="0.25">
      <c r="A10" s="18" t="str">
        <v>ip_address:{"type":"attribute","data_type":"string","is_readonly":true,"reporting_type":"polled","poll_freq":86400},</v>
      </c>
      <c r="B10" s="52" t="str">
        <f ca="1"/>
        <v>N/A</v>
      </c>
      <c r="C10" s="52" t="str">
        <f ca="1">IFERROR(__xludf.DUMMYFUNCTION("""COMPUTED_VALUE"""),"ip_address")</f>
        <v>ip_address</v>
      </c>
      <c r="D10" s="18" t="str">
        <f ca="1">IFERROR(__xludf.DUMMYFUNCTION("""COMPUTED_VALUE"""),"attribute")</f>
        <v>attribute</v>
      </c>
      <c r="E10" s="18" t="str">
        <f ca="1">IFERROR(__xludf.DUMMYFUNCTION("""COMPUTED_VALUE"""),"string")</f>
        <v>string</v>
      </c>
      <c r="F10" s="18" t="str">
        <f ca="1">IFERROR(__xludf.DUMMYFUNCTION("""COMPUTED_VALUE"""),"true")</f>
        <v>true</v>
      </c>
      <c r="G10" s="18" t="str">
        <f ca="1">IFERROR(__xludf.DUMMYFUNCTION("""COMPUTED_VALUE"""),"polled")</f>
        <v>polled</v>
      </c>
      <c r="H10" s="18" t="str">
        <f ca="1">IFERROR(__xludf.DUMMYFUNCTION("""COMPUTED_VALUE"""),"86400")</f>
        <v>86400</v>
      </c>
      <c r="I10" s="59" t="str">
        <f ca="1">IFERROR(__xludf.DUMMYFUNCTION("""COMPUTED_VALUE"""),"N/A")</f>
        <v>N/A</v>
      </c>
      <c r="J10" s="18" t="str">
        <f ca="1">IFERROR(__xludf.DUMMYFUNCTION("""COMPUTED_VALUE"""),"N/A")</f>
        <v>N/A</v>
      </c>
      <c r="K10" s="18" t="str">
        <f ca="1">IFERROR(__xludf.DUMMYFUNCTION("""COMPUTED_VALUE"""),"N/A")</f>
        <v>N/A</v>
      </c>
      <c r="L10" s="18" t="str">
        <f ca="1">IFERROR(__xludf.DUMMYFUNCTION("""COMPUTED_VALUE"""),"N/A")</f>
        <v>N/A</v>
      </c>
      <c r="M10" s="18" t="str">
        <f ca="1">IFERROR(__xludf.DUMMYFUNCTION("""COMPUTED_VALUE"""),"N/A")</f>
        <v>N/A</v>
      </c>
      <c r="N10" s="18" t="str">
        <f ca="1">IFERROR(__xludf.DUMMYFUNCTION("""COMPUTED_VALUE"""),"N/A")</f>
        <v>N/A</v>
      </c>
      <c r="O10" s="18" t="str">
        <f ca="1">IFERROR(__xludf.DUMMYFUNCTION("""COMPUTED_VALUE"""),"N/A")</f>
        <v>N/A</v>
      </c>
      <c r="P10" s="18" t="str">
        <f ca="1">IFERROR(__xludf.DUMMYFUNCTION("""COMPUTED_VALUE"""),"N/A")</f>
        <v>N/A</v>
      </c>
      <c r="Q10" s="18" t="str">
        <f ca="1">IFERROR(__xludf.DUMMYFUNCTION("""COMPUTED_VALUE"""),"N/A")</f>
        <v>N/A</v>
      </c>
      <c r="R10" s="18" t="str">
        <f ca="1">IFERROR(__xludf.DUMMYFUNCTION("""COMPUTED_VALUE"""),"N/A")</f>
        <v>N/A</v>
      </c>
      <c r="S10" s="18" t="str">
        <f ca="1">IFERROR(__xludf.DUMMYFUNCTION("""COMPUTED_VALUE"""),"N/A")</f>
        <v>N/A</v>
      </c>
      <c r="T10" s="18" t="str">
        <f ca="1">IFERROR(__xludf.DUMMYFUNCTION("""COMPUTED_VALUE"""),"N/A")</f>
        <v>N/A</v>
      </c>
      <c r="U10" s="18" t="str">
        <f ca="1">IFERROR(__xludf.DUMMYFUNCTION("""COMPUTED_VALUE"""),"N/A")</f>
        <v>N/A</v>
      </c>
      <c r="V10" s="18" t="str">
        <f ca="1">IFERROR(__xludf.DUMMYFUNCTION("""COMPUTED_VALUE"""),"N/A")</f>
        <v>N/A</v>
      </c>
      <c r="W10" s="18" t="str">
        <f ca="1">IFERROR(__xludf.DUMMYFUNCTION("""COMPUTED_VALUE"""),"N/A")</f>
        <v>N/A</v>
      </c>
      <c r="X10" s="18" t="str">
        <f ca="1">IFERROR(__xludf.DUMMYFUNCTION("""COMPUTED_VALUE"""),"N/A")</f>
        <v>N/A</v>
      </c>
      <c r="Y10" s="18" t="e">
        <f ca="1"/>
        <v>#NAME?</v>
      </c>
      <c r="Z10" s="18" t="str">
        <f ca="1">IFERROR(__xludf.DUMMYFUNCTION("""COMPUTED_VALUE"""),"N/A")</f>
        <v>N/A</v>
      </c>
      <c r="AA10" s="18" t="str">
        <f ca="1">IFERROR(__xludf.DUMMYFUNCTION("""COMPUTED_VALUE"""),"N/A")</f>
        <v>N/A</v>
      </c>
      <c r="AC10" s="59" t="s">
        <v>676</v>
      </c>
      <c r="AD10" s="59" t="s">
        <v>676</v>
      </c>
      <c r="AE10" s="59" t="s">
        <v>676</v>
      </c>
      <c r="AF10" s="59" t="s">
        <v>676</v>
      </c>
      <c r="AG10" s="59" t="s">
        <v>676</v>
      </c>
      <c r="AH10" s="59" t="s">
        <v>676</v>
      </c>
      <c r="AI10" s="59" t="s">
        <v>676</v>
      </c>
      <c r="AJ10" s="59" t="s">
        <v>676</v>
      </c>
      <c r="AK10" s="59" t="s">
        <v>676</v>
      </c>
      <c r="AL10" s="59" t="s">
        <v>676</v>
      </c>
      <c r="AM10" s="59" t="s">
        <v>676</v>
      </c>
      <c r="AN10" s="59" t="s">
        <v>676</v>
      </c>
      <c r="AO10" s="59" t="s">
        <v>676</v>
      </c>
      <c r="AP10" s="59" t="s">
        <v>677</v>
      </c>
      <c r="AQ10" s="59" t="s">
        <v>678</v>
      </c>
      <c r="AR10" s="59" t="s">
        <v>678</v>
      </c>
      <c r="AS10" s="59" t="s">
        <v>678</v>
      </c>
      <c r="AT10" s="59" t="s">
        <v>678</v>
      </c>
    </row>
    <row r="11" spans="1:46" ht="15.75" customHeight="1" x14ac:dyDescent="0.25">
      <c r="A11" s="18" t="str">
        <v>mqtt_server:{"type":"attribute","data_type":"string","is_readonly":true,"reporting_type":"polled","poll_freq":86400},</v>
      </c>
      <c r="B11" s="52" t="str">
        <f ca="1"/>
        <v>N/A</v>
      </c>
      <c r="C11" s="52" t="str">
        <f ca="1">IFERROR(__xludf.DUMMYFUNCTION("""COMPUTED_VALUE"""),"mqtt_server")</f>
        <v>mqtt_server</v>
      </c>
      <c r="D11" s="18" t="str">
        <f ca="1">IFERROR(__xludf.DUMMYFUNCTION("""COMPUTED_VALUE"""),"attribute")</f>
        <v>attribute</v>
      </c>
      <c r="E11" s="18" t="str">
        <f ca="1">IFERROR(__xludf.DUMMYFUNCTION("""COMPUTED_VALUE"""),"string")</f>
        <v>string</v>
      </c>
      <c r="F11" s="18" t="str">
        <f ca="1">IFERROR(__xludf.DUMMYFUNCTION("""COMPUTED_VALUE"""),"true")</f>
        <v>true</v>
      </c>
      <c r="G11" s="18" t="str">
        <f ca="1">IFERROR(__xludf.DUMMYFUNCTION("""COMPUTED_VALUE"""),"polled")</f>
        <v>polled</v>
      </c>
      <c r="H11" s="18" t="str">
        <f ca="1">IFERROR(__xludf.DUMMYFUNCTION("""COMPUTED_VALUE"""),"86400")</f>
        <v>86400</v>
      </c>
      <c r="I11" s="59" t="str">
        <f ca="1">IFERROR(__xludf.DUMMYFUNCTION("""COMPUTED_VALUE"""),"N/A")</f>
        <v>N/A</v>
      </c>
      <c r="J11" s="18" t="str">
        <f ca="1">IFERROR(__xludf.DUMMYFUNCTION("""COMPUTED_VALUE"""),"N/A")</f>
        <v>N/A</v>
      </c>
      <c r="K11" s="18" t="str">
        <f ca="1">IFERROR(__xludf.DUMMYFUNCTION("""COMPUTED_VALUE"""),"N/A")</f>
        <v>N/A</v>
      </c>
      <c r="L11" s="18" t="str">
        <f ca="1">IFERROR(__xludf.DUMMYFUNCTION("""COMPUTED_VALUE"""),"N/A")</f>
        <v>N/A</v>
      </c>
      <c r="M11" s="18" t="str">
        <f ca="1">IFERROR(__xludf.DUMMYFUNCTION("""COMPUTED_VALUE"""),"N/A")</f>
        <v>N/A</v>
      </c>
      <c r="N11" s="18" t="str">
        <f ca="1">IFERROR(__xludf.DUMMYFUNCTION("""COMPUTED_VALUE"""),"N/A")</f>
        <v>N/A</v>
      </c>
      <c r="O11" s="18" t="str">
        <f ca="1">IFERROR(__xludf.DUMMYFUNCTION("""COMPUTED_VALUE"""),"N/A")</f>
        <v>N/A</v>
      </c>
      <c r="P11" s="18" t="str">
        <f ca="1">IFERROR(__xludf.DUMMYFUNCTION("""COMPUTED_VALUE"""),"N/A")</f>
        <v>N/A</v>
      </c>
      <c r="Q11" s="18" t="str">
        <f ca="1">IFERROR(__xludf.DUMMYFUNCTION("""COMPUTED_VALUE"""),"N/A")</f>
        <v>N/A</v>
      </c>
      <c r="R11" s="18" t="str">
        <f ca="1">IFERROR(__xludf.DUMMYFUNCTION("""COMPUTED_VALUE"""),"N/A")</f>
        <v>N/A</v>
      </c>
      <c r="S11" s="18" t="str">
        <f ca="1">IFERROR(__xludf.DUMMYFUNCTION("""COMPUTED_VALUE"""),"N/A")</f>
        <v>N/A</v>
      </c>
      <c r="T11" s="18" t="str">
        <f ca="1">IFERROR(__xludf.DUMMYFUNCTION("""COMPUTED_VALUE"""),"N/A")</f>
        <v>N/A</v>
      </c>
      <c r="U11" s="18" t="str">
        <f ca="1">IFERROR(__xludf.DUMMYFUNCTION("""COMPUTED_VALUE"""),"N/A")</f>
        <v>N/A</v>
      </c>
      <c r="V11" s="18" t="str">
        <f ca="1">IFERROR(__xludf.DUMMYFUNCTION("""COMPUTED_VALUE"""),"N/A")</f>
        <v>N/A</v>
      </c>
      <c r="W11" s="18" t="str">
        <f ca="1">IFERROR(__xludf.DUMMYFUNCTION("""COMPUTED_VALUE"""),"N/A")</f>
        <v>N/A</v>
      </c>
      <c r="X11" s="18" t="str">
        <f ca="1">IFERROR(__xludf.DUMMYFUNCTION("""COMPUTED_VALUE"""),"N/A")</f>
        <v>N/A</v>
      </c>
      <c r="Y11" s="18" t="e">
        <f ca="1"/>
        <v>#NAME?</v>
      </c>
      <c r="Z11" s="18" t="str">
        <f ca="1">IFERROR(__xludf.DUMMYFUNCTION("""COMPUTED_VALUE"""),"N/A")</f>
        <v>N/A</v>
      </c>
      <c r="AA11" s="18" t="str">
        <f ca="1">IFERROR(__xludf.DUMMYFUNCTION("""COMPUTED_VALUE"""),"N/A")</f>
        <v>N/A</v>
      </c>
      <c r="AC11" s="59" t="s">
        <v>679</v>
      </c>
      <c r="AD11" s="59" t="s">
        <v>679</v>
      </c>
      <c r="AE11" s="59" t="s">
        <v>679</v>
      </c>
      <c r="AF11" s="59" t="s">
        <v>679</v>
      </c>
      <c r="AG11" s="59" t="s">
        <v>679</v>
      </c>
      <c r="AH11" s="59" t="s">
        <v>679</v>
      </c>
      <c r="AI11" s="59" t="s">
        <v>679</v>
      </c>
      <c r="AJ11" s="59" t="s">
        <v>679</v>
      </c>
      <c r="AK11" s="59" t="s">
        <v>679</v>
      </c>
      <c r="AL11" s="59" t="s">
        <v>679</v>
      </c>
      <c r="AM11" s="59" t="s">
        <v>679</v>
      </c>
      <c r="AN11" s="59" t="s">
        <v>679</v>
      </c>
      <c r="AO11" s="59" t="s">
        <v>679</v>
      </c>
      <c r="AP11" s="59" t="s">
        <v>680</v>
      </c>
      <c r="AQ11" s="59" t="s">
        <v>681</v>
      </c>
      <c r="AR11" s="59" t="s">
        <v>681</v>
      </c>
      <c r="AS11" s="59" t="s">
        <v>681</v>
      </c>
      <c r="AT11" s="59" t="s">
        <v>681</v>
      </c>
    </row>
    <row r="12" spans="1:46" ht="15.75" customHeight="1" x14ac:dyDescent="0.25">
      <c r="A12" s="18" t="str">
        <v>serial_number:{"type":"attribute","data_type":"uint32","is_readonly":true,"reporting_type":"polled","poll_freq":86400,"zigbee_metadata":{"attr_id":2,"endpoint_id":10,"profile_id":260,"cluster_id":64516,"zcl_data_type":35}},</v>
      </c>
      <c r="B12" s="52" t="str">
        <f ca="1"/>
        <v>0xFC04 0x0002</v>
      </c>
      <c r="C12" s="52" t="str">
        <f ca="1">IFERROR(__xludf.DUMMYFUNCTION("""COMPUTED_VALUE"""),"serial_number")</f>
        <v>serial_number</v>
      </c>
      <c r="D12" s="18" t="str">
        <f ca="1">IFERROR(__xludf.DUMMYFUNCTION("""COMPUTED_VALUE"""),"attribute")</f>
        <v>attribute</v>
      </c>
      <c r="E12" s="18" t="str">
        <f ca="1">IFERROR(__xludf.DUMMYFUNCTION("""COMPUTED_VALUE"""),"uint32")</f>
        <v>uint32</v>
      </c>
      <c r="F12" s="18" t="str">
        <f ca="1">IFERROR(__xludf.DUMMYFUNCTION("""COMPUTED_VALUE"""),"true")</f>
        <v>true</v>
      </c>
      <c r="G12" s="18" t="str">
        <f ca="1">IFERROR(__xludf.DUMMYFUNCTION("""COMPUTED_VALUE"""),"polled")</f>
        <v>polled</v>
      </c>
      <c r="H12" s="18" t="str">
        <f ca="1">IFERROR(__xludf.DUMMYFUNCTION("""COMPUTED_VALUE"""),"86400")</f>
        <v>86400</v>
      </c>
      <c r="I12" s="59" t="str">
        <f ca="1">IFERROR(__xludf.DUMMYFUNCTION("""COMPUTED_VALUE"""),"N/A")</f>
        <v>N/A</v>
      </c>
      <c r="J12" s="18" t="str">
        <f ca="1">IFERROR(__xludf.DUMMYFUNCTION("""COMPUTED_VALUE"""),"N/A")</f>
        <v>N/A</v>
      </c>
      <c r="K12" s="18" t="str">
        <f ca="1">IFERROR(__xludf.DUMMYFUNCTION("""COMPUTED_VALUE"""),"N/A")</f>
        <v>N/A</v>
      </c>
      <c r="L12" s="18" t="str">
        <f ca="1">IFERROR(__xludf.DUMMYFUNCTION("""COMPUTED_VALUE"""),"N/A")</f>
        <v>N/A</v>
      </c>
      <c r="M12" s="18" t="str">
        <f ca="1">IFERROR(__xludf.DUMMYFUNCTION("""COMPUTED_VALUE"""),"N/A")</f>
        <v>N/A</v>
      </c>
      <c r="N12" s="18" t="str">
        <f ca="1">IFERROR(__xludf.DUMMYFUNCTION("""COMPUTED_VALUE"""),"N/A")</f>
        <v>N/A</v>
      </c>
      <c r="O12" s="18" t="str">
        <f ca="1">IFERROR(__xludf.DUMMYFUNCTION("""COMPUTED_VALUE"""),"N/A")</f>
        <v>N/A</v>
      </c>
      <c r="P12" s="18" t="str">
        <f ca="1">IFERROR(__xludf.DUMMYFUNCTION("""COMPUTED_VALUE"""),"N/A")</f>
        <v>N/A</v>
      </c>
      <c r="Q12" s="18" t="str">
        <f ca="1">IFERROR(__xludf.DUMMYFUNCTION("""COMPUTED_VALUE"""),"N/A")</f>
        <v>N/A</v>
      </c>
      <c r="R12" s="18" t="str">
        <f ca="1">IFERROR(__xludf.DUMMYFUNCTION("""COMPUTED_VALUE"""),"N/A")</f>
        <v>N/A</v>
      </c>
      <c r="S12" s="18" t="str">
        <f ca="1">IFERROR(__xludf.DUMMYFUNCTION("""COMPUTED_VALUE"""),"N/A")</f>
        <v>N/A</v>
      </c>
      <c r="T12" s="18" t="str">
        <f ca="1">IFERROR(__xludf.DUMMYFUNCTION("""COMPUTED_VALUE"""),"0x0002")</f>
        <v>0x0002</v>
      </c>
      <c r="U12" s="18" t="str">
        <f ca="1">IFERROR(__xludf.DUMMYFUNCTION("""COMPUTED_VALUE"""),"0x0A")</f>
        <v>0x0A</v>
      </c>
      <c r="V12" s="18" t="str">
        <f ca="1">IFERROR(__xludf.DUMMYFUNCTION("""COMPUTED_VALUE"""),"0x0104")</f>
        <v>0x0104</v>
      </c>
      <c r="W12" s="18" t="str">
        <f ca="1">IFERROR(__xludf.DUMMYFUNCTION("""COMPUTED_VALUE"""),"0xFC04")</f>
        <v>0xFC04</v>
      </c>
      <c r="X12" s="18" t="str">
        <f ca="1">IFERROR(__xludf.DUMMYFUNCTION("""COMPUTED_VALUE"""),"0x23")</f>
        <v>0x23</v>
      </c>
      <c r="Y12" s="18" t="e">
        <f ca="1"/>
        <v>#NAME?</v>
      </c>
      <c r="Z12" s="18" t="str">
        <f ca="1">IFERROR(__xludf.DUMMYFUNCTION("""COMPUTED_VALUE"""),"N/A")</f>
        <v>N/A</v>
      </c>
      <c r="AA12" s="18" t="str">
        <f ca="1">IFERROR(__xludf.DUMMYFUNCTION("""COMPUTED_VALUE"""),"N/A")</f>
        <v>N/A</v>
      </c>
      <c r="AC12" s="59" t="s">
        <v>682</v>
      </c>
      <c r="AD12" s="59" t="s">
        <v>682</v>
      </c>
      <c r="AE12" s="59" t="s">
        <v>682</v>
      </c>
      <c r="AF12" s="59" t="s">
        <v>682</v>
      </c>
      <c r="AG12" s="59" t="s">
        <v>682</v>
      </c>
      <c r="AH12" s="59" t="s">
        <v>682</v>
      </c>
      <c r="AI12" s="59" t="s">
        <v>682</v>
      </c>
      <c r="AJ12" s="59" t="s">
        <v>682</v>
      </c>
      <c r="AK12" s="59" t="s">
        <v>682</v>
      </c>
      <c r="AL12" s="59" t="s">
        <v>682</v>
      </c>
      <c r="AM12" s="59" t="s">
        <v>682</v>
      </c>
      <c r="AN12" s="59" t="s">
        <v>682</v>
      </c>
      <c r="AO12" s="59" t="s">
        <v>682</v>
      </c>
      <c r="AP12" s="59" t="s">
        <v>683</v>
      </c>
      <c r="AQ12" s="59" t="s">
        <v>684</v>
      </c>
      <c r="AR12" s="59" t="s">
        <v>684</v>
      </c>
      <c r="AS12" s="59" t="s">
        <v>684</v>
      </c>
      <c r="AT12" s="59" t="s">
        <v>684</v>
      </c>
    </row>
    <row r="13" spans="1:46" ht="15.75" customHeight="1" x14ac:dyDescent="0.25">
      <c r="A13" s="18" t="str">
        <v>host_filesystem_directory:{"type":"attribute","data_type":"string","is_readonly":true,"reporting_type":"polled","poll_freq":86400},</v>
      </c>
      <c r="B13" s="52" t="str">
        <f ca="1"/>
        <v>N/A</v>
      </c>
      <c r="C13" s="52" t="str">
        <f ca="1">IFERROR(__xludf.DUMMYFUNCTION("""COMPUTED_VALUE"""),"host_filesystem_directory")</f>
        <v>host_filesystem_directory</v>
      </c>
      <c r="D13" s="18" t="str">
        <f ca="1">IFERROR(__xludf.DUMMYFUNCTION("""COMPUTED_VALUE"""),"attribute")</f>
        <v>attribute</v>
      </c>
      <c r="E13" s="18" t="str">
        <f ca="1">IFERROR(__xludf.DUMMYFUNCTION("""COMPUTED_VALUE"""),"string")</f>
        <v>string</v>
      </c>
      <c r="F13" s="18" t="str">
        <f ca="1">IFERROR(__xludf.DUMMYFUNCTION("""COMPUTED_VALUE"""),"true")</f>
        <v>true</v>
      </c>
      <c r="G13" s="18" t="str">
        <f ca="1">IFERROR(__xludf.DUMMYFUNCTION("""COMPUTED_VALUE"""),"polled")</f>
        <v>polled</v>
      </c>
      <c r="H13" s="18" t="str">
        <f ca="1">IFERROR(__xludf.DUMMYFUNCTION("""COMPUTED_VALUE"""),"86400")</f>
        <v>86400</v>
      </c>
      <c r="I13" s="59" t="str">
        <f ca="1">IFERROR(__xludf.DUMMYFUNCTION("""COMPUTED_VALUE"""),"N/A")</f>
        <v>N/A</v>
      </c>
      <c r="J13" s="18" t="str">
        <f ca="1">IFERROR(__xludf.DUMMYFUNCTION("""COMPUTED_VALUE"""),"N/A")</f>
        <v>N/A</v>
      </c>
      <c r="K13" s="18" t="str">
        <f ca="1">IFERROR(__xludf.DUMMYFUNCTION("""COMPUTED_VALUE"""),"N/A")</f>
        <v>N/A</v>
      </c>
      <c r="L13" s="18" t="str">
        <f ca="1">IFERROR(__xludf.DUMMYFUNCTION("""COMPUTED_VALUE"""),"N/A")</f>
        <v>N/A</v>
      </c>
      <c r="M13" s="18" t="str">
        <f ca="1">IFERROR(__xludf.DUMMYFUNCTION("""COMPUTED_VALUE"""),"N/A")</f>
        <v>N/A</v>
      </c>
      <c r="N13" s="18" t="str">
        <f ca="1">IFERROR(__xludf.DUMMYFUNCTION("""COMPUTED_VALUE"""),"N/A")</f>
        <v>N/A</v>
      </c>
      <c r="O13" s="18" t="str">
        <f ca="1">IFERROR(__xludf.DUMMYFUNCTION("""COMPUTED_VALUE"""),"N/A")</f>
        <v>N/A</v>
      </c>
      <c r="P13" s="18" t="str">
        <f ca="1">IFERROR(__xludf.DUMMYFUNCTION("""COMPUTED_VALUE"""),"N/A")</f>
        <v>N/A</v>
      </c>
      <c r="Q13" s="18" t="str">
        <f ca="1">IFERROR(__xludf.DUMMYFUNCTION("""COMPUTED_VALUE"""),"N/A")</f>
        <v>N/A</v>
      </c>
      <c r="R13" s="18" t="str">
        <f ca="1">IFERROR(__xludf.DUMMYFUNCTION("""COMPUTED_VALUE"""),"N/A")</f>
        <v>N/A</v>
      </c>
      <c r="S13" s="18" t="str">
        <f ca="1">IFERROR(__xludf.DUMMYFUNCTION("""COMPUTED_VALUE"""),"N/A")</f>
        <v>N/A</v>
      </c>
      <c r="T13" s="18" t="str">
        <f ca="1">IFERROR(__xludf.DUMMYFUNCTION("""COMPUTED_VALUE"""),"N/A")</f>
        <v>N/A</v>
      </c>
      <c r="U13" s="18" t="str">
        <f ca="1">IFERROR(__xludf.DUMMYFUNCTION("""COMPUTED_VALUE"""),"N/A")</f>
        <v>N/A</v>
      </c>
      <c r="V13" s="18" t="str">
        <f ca="1">IFERROR(__xludf.DUMMYFUNCTION("""COMPUTED_VALUE"""),"N/A")</f>
        <v>N/A</v>
      </c>
      <c r="W13" s="18" t="str">
        <f ca="1">IFERROR(__xludf.DUMMYFUNCTION("""COMPUTED_VALUE"""),"N/A")</f>
        <v>N/A</v>
      </c>
      <c r="X13" s="18" t="str">
        <f ca="1">IFERROR(__xludf.DUMMYFUNCTION("""COMPUTED_VALUE"""),"N/A")</f>
        <v>N/A</v>
      </c>
      <c r="Y13" s="18" t="e">
        <f ca="1"/>
        <v>#NAME?</v>
      </c>
      <c r="Z13" s="18" t="str">
        <f ca="1">IFERROR(__xludf.DUMMYFUNCTION("""COMPUTED_VALUE"""),"N/A")</f>
        <v>N/A</v>
      </c>
      <c r="AA13" s="18" t="str">
        <f ca="1">IFERROR(__xludf.DUMMYFUNCTION("""COMPUTED_VALUE"""),"N/A")</f>
        <v>N/A</v>
      </c>
      <c r="AC13" s="59" t="s">
        <v>685</v>
      </c>
      <c r="AD13" s="59" t="s">
        <v>685</v>
      </c>
      <c r="AE13" s="59" t="s">
        <v>685</v>
      </c>
      <c r="AF13" s="59" t="s">
        <v>685</v>
      </c>
      <c r="AG13" s="59" t="s">
        <v>685</v>
      </c>
      <c r="AH13" s="59" t="s">
        <v>685</v>
      </c>
      <c r="AI13" s="59" t="s">
        <v>685</v>
      </c>
      <c r="AJ13" s="59" t="s">
        <v>685</v>
      </c>
      <c r="AK13" s="59" t="s">
        <v>685</v>
      </c>
      <c r="AL13" s="59" t="s">
        <v>685</v>
      </c>
      <c r="AM13" s="59" t="s">
        <v>685</v>
      </c>
      <c r="AN13" s="59" t="s">
        <v>685</v>
      </c>
      <c r="AO13" s="59" t="s">
        <v>685</v>
      </c>
      <c r="AP13" s="59" t="s">
        <v>686</v>
      </c>
      <c r="AQ13" s="59" t="s">
        <v>687</v>
      </c>
      <c r="AR13" s="59" t="s">
        <v>687</v>
      </c>
      <c r="AS13" s="59" t="s">
        <v>687</v>
      </c>
      <c r="AT13" s="59" t="s">
        <v>687</v>
      </c>
    </row>
    <row r="14" spans="1:46" ht="15.75" customHeight="1" x14ac:dyDescent="0.25">
      <c r="A14" s="18" t="str">
        <v>local_time_of_day:{"type":"attribute","data_type":"string","is_readonly":false,"reporting_type":"diagnostic","zigbee_metadata":{"attr_id":61440,"endpoint_id":10,"profile_id":260,"cluster_id":10,"zcl_data_type":35,"write_formatter":"lambdax:(int(__import__('re').search('^(\\d+)',x).group(1))*(3600ifnot(int(__import__('re').search('^(\\d+)',x).group(1))==12and__import__('re').search('([AaPp][Mm])$',x).group(1).lower()=='am')else0))+(int(__import__('re').search(':(\\d+)',x).group(1))*60)+(int(__import__('re').search(':(\\d+):(\\d+)',x).group(2)))+(43200if(int(__import__('re').search('^(\\d+)',x).group(1))!=12and__import__('re').search('([AaPp][Mm])$',x).group(1).lower()=='pm')else0)","read_formatter":"lambdax:'{h}:{m:02d}:{s:02d}{am}'.format(h=(int(x/3600)-12)ifint(x/3600)&gt;12else12ifint(x/3600)==0elseint(x/3600),m=int(x%3600/60),s=x%3600%60,am='AM'ifint(x/3600)&lt;12else'PM')"}},</v>
      </c>
      <c r="B14" s="52" t="str">
        <f ca="1"/>
        <v>0x000A 0xF000</v>
      </c>
      <c r="C14" s="52" t="str">
        <f ca="1">IFERROR(__xludf.DUMMYFUNCTION("""COMPUTED_VALUE"""),"local_time_of_day")</f>
        <v>local_time_of_day</v>
      </c>
      <c r="D14" s="18" t="str">
        <f ca="1">IFERROR(__xludf.DUMMYFUNCTION("""COMPUTED_VALUE"""),"attribute")</f>
        <v>attribute</v>
      </c>
      <c r="E14" s="18" t="str">
        <f ca="1">IFERROR(__xludf.DUMMYFUNCTION("""COMPUTED_VALUE"""),"string")</f>
        <v>string</v>
      </c>
      <c r="F14" s="18" t="str">
        <f ca="1">IFERROR(__xludf.DUMMYFUNCTION("""COMPUTED_VALUE"""),"false")</f>
        <v>false</v>
      </c>
      <c r="G14" s="18" t="str">
        <f ca="1">IFERROR(__xludf.DUMMYFUNCTION("""COMPUTED_VALUE"""),"diagnostic")</f>
        <v>diagnostic</v>
      </c>
      <c r="H14" s="18" t="str">
        <f ca="1">IFERROR(__xludf.DUMMYFUNCTION("""COMPUTED_VALUE"""),"N/A")</f>
        <v>N/A</v>
      </c>
      <c r="I14" s="59" t="str">
        <f ca="1">IFERROR(__xludf.DUMMYFUNCTION("""COMPUTED_VALUE"""),"N/A")</f>
        <v>N/A</v>
      </c>
      <c r="J14" s="18" t="str">
        <f ca="1">IFERROR(__xludf.DUMMYFUNCTION("""COMPUTED_VALUE"""),"N/A")</f>
        <v>N/A</v>
      </c>
      <c r="K14" s="18" t="str">
        <f ca="1">IFERROR(__xludf.DUMMYFUNCTION("""COMPUTED_VALUE"""),"N/A")</f>
        <v>N/A</v>
      </c>
      <c r="L14" s="18" t="str">
        <f ca="1">IFERROR(__xludf.DUMMYFUNCTION("""COMPUTED_VALUE"""),"N/A")</f>
        <v>N/A</v>
      </c>
      <c r="M14" s="18" t="str">
        <f ca="1">IFERROR(__xludf.DUMMYFUNCTION("""COMPUTED_VALUE"""),"N/A")</f>
        <v>N/A</v>
      </c>
      <c r="N14" s="18" t="str">
        <f ca="1">IFERROR(__xludf.DUMMYFUNCTION("""COMPUTED_VALUE"""),"N/A")</f>
        <v>N/A</v>
      </c>
      <c r="O14" s="18" t="str">
        <f ca="1">IFERROR(__xludf.DUMMYFUNCTION("""COMPUTED_VALUE"""),"N/A")</f>
        <v>N/A</v>
      </c>
      <c r="P14" s="18" t="str">
        <f ca="1">IFERROR(__xludf.DUMMYFUNCTION("""COMPUTED_VALUE"""),"N/A")</f>
        <v>N/A</v>
      </c>
      <c r="Q14" s="18" t="str">
        <f ca="1">IFERROR(__xludf.DUMMYFUNCTION("""COMPUTED_VALUE"""),"N/A")</f>
        <v>N/A</v>
      </c>
      <c r="R14" s="18" t="str">
        <f ca="1">IFERROR(__xludf.DUMMYFUNCTION("""COMPUTED_VALUE"""),"N/A")</f>
        <v>N/A</v>
      </c>
      <c r="S14" s="18" t="str">
        <f ca="1">IFERROR(__xludf.DUMMYFUNCTION("""COMPUTED_VALUE"""),"N/A")</f>
        <v>N/A</v>
      </c>
      <c r="T14" s="18" t="str">
        <f ca="1">IFERROR(__xludf.DUMMYFUNCTION("""COMPUTED_VALUE"""),"0xF000")</f>
        <v>0xF000</v>
      </c>
      <c r="U14" s="18" t="str">
        <f ca="1">IFERROR(__xludf.DUMMYFUNCTION("""COMPUTED_VALUE"""),"0x0A")</f>
        <v>0x0A</v>
      </c>
      <c r="V14" s="18" t="str">
        <f ca="1">IFERROR(__xludf.DUMMYFUNCTION("""COMPUTED_VALUE"""),"0x0104")</f>
        <v>0x0104</v>
      </c>
      <c r="W14" s="18" t="str">
        <f ca="1">IFERROR(__xludf.DUMMYFUNCTION("""COMPUTED_VALUE"""),"0x000A")</f>
        <v>0x000A</v>
      </c>
      <c r="X14" s="18" t="str">
        <f ca="1">IFERROR(__xludf.DUMMYFUNCTION("""COMPUTED_VALUE"""),"0x23")</f>
        <v>0x23</v>
      </c>
      <c r="Y14" s="18" t="e">
        <f ca="1"/>
        <v>#NAME?</v>
      </c>
      <c r="Z14" s="18" t="str">
        <f ca="1">IFERROR(__xludf.DUMMYFUNCTION("""COMPUTED_VALUE"""),"lambdax:(int(__import__('re').search('^(\\d+)',x).group(1))*(3600ifnot(int(__import__('re').search('^(\\d+)',x).group(1))==12and__import__('re').search('([AaPp][Mm])$',x).group(1).lower()=='am')else0))+(int(__import__('re').search(':(\\d+)',x).group(1))*6"&amp;"0)+(int(__import__('re').search(':(\\d+):(\\d+)',x).group(2)))+(43200if(int(__import__('re').search('^(\\d+)',x).group(1))!=12and__import__('re').search('([AaPp][Mm])$',x).group(1).lower()=='pm')else0)")</f>
        <v>lambdax:(int(__import__('re').search('^(\\d+)',x).group(1))*(3600ifnot(int(__import__('re').search('^(\\d+)',x).group(1))==12and__import__('re').search('([AaPp][Mm])$',x).group(1).lower()=='am')else0))+(int(__import__('re').search(':(\\d+)',x).group(1))*60)+(int(__import__('re').search(':(\\d+):(\\d+)',x).group(2)))+(43200if(int(__import__('re').search('^(\\d+)',x).group(1))!=12and__import__('re').search('([AaPp][Mm])$',x).group(1).lower()=='pm')else0)</v>
      </c>
      <c r="AA14" s="18" t="str">
        <f ca="1">IFERROR(__xludf.DUMMYFUNCTION("""COMPUTED_VALUE"""),"lambdax:'{h}:{m:02d}:{s:02d}{am}'.format(h=(int(x/3600)-12)ifint(x/3600)&gt;12else12ifint(x/3600)==0elseint(x/3600),m=int(x%3600/60),s=x%3600%60,am='AM'ifint(x/3600)&lt;12else'PM')")</f>
        <v>lambdax:'{h}:{m:02d}:{s:02d}{am}'.format(h=(int(x/3600)-12)ifint(x/3600)&gt;12else12ifint(x/3600)==0elseint(x/3600),m=int(x%3600/60),s=x%3600%60,am='AM'ifint(x/3600)&lt;12else'PM')</v>
      </c>
      <c r="AC14" s="59" t="s">
        <v>688</v>
      </c>
      <c r="AD14" s="59" t="s">
        <v>688</v>
      </c>
      <c r="AE14" s="59" t="s">
        <v>688</v>
      </c>
      <c r="AF14" s="59" t="s">
        <v>688</v>
      </c>
      <c r="AG14" s="59" t="s">
        <v>688</v>
      </c>
      <c r="AH14" s="59" t="s">
        <v>688</v>
      </c>
      <c r="AI14" s="59" t="s">
        <v>688</v>
      </c>
      <c r="AJ14" s="59" t="s">
        <v>688</v>
      </c>
      <c r="AK14" s="59" t="s">
        <v>688</v>
      </c>
      <c r="AL14" s="59" t="s">
        <v>688</v>
      </c>
      <c r="AM14" s="59" t="s">
        <v>688</v>
      </c>
      <c r="AN14" s="59" t="s">
        <v>688</v>
      </c>
      <c r="AO14" s="59" t="s">
        <v>688</v>
      </c>
      <c r="AP14" s="59" t="s">
        <v>689</v>
      </c>
      <c r="AQ14" s="59" t="s">
        <v>690</v>
      </c>
      <c r="AR14" s="59" t="s">
        <v>690</v>
      </c>
      <c r="AS14" s="59" t="s">
        <v>690</v>
      </c>
      <c r="AT14" s="59" t="s">
        <v>690</v>
      </c>
    </row>
    <row r="15" spans="1:46" ht="15.75" customHeight="1" x14ac:dyDescent="0.25">
      <c r="A15" s="18" t="str">
        <v>day_of_week:{"type":"attribute","data_type":"enum","is_readonly":false,"reporting_type":"diagnostic","enum_values":["sun","mon","tue","wed","thur","fri","sat"],"zigbee_metadata":{"attr_id":61441,"endpoint_id":10,"profile_id":260,"cluster_id":10,"zcl_data_type":48,"write_formatter":"lambdax:{'sun':0,'mon':1,'tue':2,'wed':3,'thur':4,'fri':5,'sat':6}[x]","read_formatter":"lambdax:{0:'sun',1:'mon',2:'tue',3:'wed',4:'thur',5:'fri',6:'sat'}.get(x,'unknown')"}},</v>
      </c>
      <c r="B15" s="52" t="str">
        <f ca="1"/>
        <v>0x000A 0xF001</v>
      </c>
      <c r="C15" s="52" t="str">
        <f ca="1">IFERROR(__xludf.DUMMYFUNCTION("""COMPUTED_VALUE"""),"day_of_week")</f>
        <v>day_of_week</v>
      </c>
      <c r="D15" s="18" t="str">
        <f ca="1">IFERROR(__xludf.DUMMYFUNCTION("""COMPUTED_VALUE"""),"attribute")</f>
        <v>attribute</v>
      </c>
      <c r="E15" s="18" t="str">
        <f ca="1">IFERROR(__xludf.DUMMYFUNCTION("""COMPUTED_VALUE"""),"enum")</f>
        <v>enum</v>
      </c>
      <c r="F15" s="18" t="str">
        <f ca="1">IFERROR(__xludf.DUMMYFUNCTION("""COMPUTED_VALUE"""),"false")</f>
        <v>false</v>
      </c>
      <c r="G15" s="18" t="str">
        <f ca="1">IFERROR(__xludf.DUMMYFUNCTION("""COMPUTED_VALUE"""),"diagnostic")</f>
        <v>diagnostic</v>
      </c>
      <c r="H15" s="18" t="str">
        <f ca="1">IFERROR(__xludf.DUMMYFUNCTION("""COMPUTED_VALUE"""),"N/A")</f>
        <v>N/A</v>
      </c>
      <c r="I15" s="59" t="str">
        <f ca="1">IFERROR(__xludf.DUMMYFUNCTION("""COMPUTED_VALUE"""),"N/A")</f>
        <v>N/A</v>
      </c>
      <c r="J15" s="18" t="str">
        <f ca="1">IFERROR(__xludf.DUMMYFUNCTION("""COMPUTED_VALUE"""),"N/A")</f>
        <v>N/A</v>
      </c>
      <c r="K15" s="18" t="str">
        <f ca="1">IFERROR(__xludf.DUMMYFUNCTION("""COMPUTED_VALUE"""),"N/A")</f>
        <v>N/A</v>
      </c>
      <c r="L15" s="18" t="str">
        <f ca="1">IFERROR(__xludf.DUMMYFUNCTION("""COMPUTED_VALUE"""),"N/A")</f>
        <v>N/A</v>
      </c>
      <c r="M15" s="18" t="str">
        <f ca="1">IFERROR(__xludf.DUMMYFUNCTION("""COMPUTED_VALUE"""),"N/A")</f>
        <v>N/A</v>
      </c>
      <c r="N15" s="18" t="str">
        <f ca="1">IFERROR(__xludf.DUMMYFUNCTION("""COMPUTED_VALUE"""),"N/A")</f>
        <v>N/A</v>
      </c>
      <c r="O15" s="18" t="str">
        <f ca="1">IFERROR(__xludf.DUMMYFUNCTION("""COMPUTED_VALUE"""),"N/A")</f>
        <v>N/A</v>
      </c>
      <c r="P15" s="18" t="str">
        <f ca="1">IFERROR(__xludf.DUMMYFUNCTION("""COMPUTED_VALUE"""),"""sun"",""mon"",""tue"",""wed"",""thur"",""fri"",""sat""")</f>
        <v>"sun","mon","tue","wed","thur","fri","sat"</v>
      </c>
      <c r="Q15" s="18" t="str">
        <f ca="1">IFERROR(__xludf.DUMMYFUNCTION("""COMPUTED_VALUE"""),"N/A")</f>
        <v>N/A</v>
      </c>
      <c r="R15" s="18" t="str">
        <f ca="1">IFERROR(__xludf.DUMMYFUNCTION("""COMPUTED_VALUE"""),"N/A")</f>
        <v>N/A</v>
      </c>
      <c r="S15" s="18" t="str">
        <f ca="1">IFERROR(__xludf.DUMMYFUNCTION("""COMPUTED_VALUE"""),"N/A")</f>
        <v>N/A</v>
      </c>
      <c r="T15" s="18" t="str">
        <f ca="1">IFERROR(__xludf.DUMMYFUNCTION("""COMPUTED_VALUE"""),"0xF001")</f>
        <v>0xF001</v>
      </c>
      <c r="U15" s="18" t="str">
        <f ca="1">IFERROR(__xludf.DUMMYFUNCTION("""COMPUTED_VALUE"""),"0x0A")</f>
        <v>0x0A</v>
      </c>
      <c r="V15" s="18" t="str">
        <f ca="1">IFERROR(__xludf.DUMMYFUNCTION("""COMPUTED_VALUE"""),"0x0104")</f>
        <v>0x0104</v>
      </c>
      <c r="W15" s="18" t="str">
        <f ca="1">IFERROR(__xludf.DUMMYFUNCTION("""COMPUTED_VALUE"""),"0x000A")</f>
        <v>0x000A</v>
      </c>
      <c r="X15" s="18" t="str">
        <f ca="1">IFERROR(__xludf.DUMMYFUNCTION("""COMPUTED_VALUE"""),"0x30")</f>
        <v>0x30</v>
      </c>
      <c r="Y15" s="18" t="e">
        <f ca="1"/>
        <v>#NAME?</v>
      </c>
      <c r="Z15" s="18" t="str">
        <f ca="1">IFERROR(__xludf.DUMMYFUNCTION("""COMPUTED_VALUE"""),"lambdax:{'sun':0,'mon':1,'tue':2,'wed':3,'thur':4,'fri':5,'sat':6}[x]")</f>
        <v>lambdax:{'sun':0,'mon':1,'tue':2,'wed':3,'thur':4,'fri':5,'sat':6}[x]</v>
      </c>
      <c r="AA15" s="18" t="str">
        <f ca="1">IFERROR(__xludf.DUMMYFUNCTION("""COMPUTED_VALUE"""),"lambdax:{0:'sun',1:'mon',2:'tue',3:'wed',4:'thur',5:'fri',6:'sat'}.get(x,'unknown')")</f>
        <v>lambdax:{0:'sun',1:'mon',2:'tue',3:'wed',4:'thur',5:'fri',6:'sat'}.get(x,'unknown')</v>
      </c>
      <c r="AC15" s="59" t="s">
        <v>691</v>
      </c>
      <c r="AD15" s="59" t="s">
        <v>691</v>
      </c>
      <c r="AE15" s="59" t="s">
        <v>691</v>
      </c>
      <c r="AF15" s="59" t="s">
        <v>691</v>
      </c>
      <c r="AG15" s="59" t="s">
        <v>691</v>
      </c>
      <c r="AH15" s="59" t="s">
        <v>691</v>
      </c>
      <c r="AI15" s="59" t="s">
        <v>691</v>
      </c>
      <c r="AJ15" s="59" t="s">
        <v>691</v>
      </c>
      <c r="AK15" s="59" t="s">
        <v>691</v>
      </c>
      <c r="AL15" s="59" t="s">
        <v>691</v>
      </c>
      <c r="AM15" s="59" t="s">
        <v>691</v>
      </c>
      <c r="AN15" s="59" t="s">
        <v>691</v>
      </c>
      <c r="AO15" s="59" t="s">
        <v>691</v>
      </c>
      <c r="AP15" s="59" t="s">
        <v>692</v>
      </c>
      <c r="AQ15" s="59" t="s">
        <v>693</v>
      </c>
      <c r="AR15" s="59" t="s">
        <v>693</v>
      </c>
      <c r="AS15" s="59" t="s">
        <v>693</v>
      </c>
      <c r="AT15" s="59" t="s">
        <v>693</v>
      </c>
    </row>
    <row r="16" spans="1:46" ht="15.75" customHeight="1" x14ac:dyDescent="0.25">
      <c r="A16" s="18" t="str">
        <v>schedule_configured:{"type":"attribute","data_type":"bool","is_readonly":true,"reporting_type":"reported","report_max":3600,"report_min":0,"zigbee_metadata":{"attr_id":61712,"endpoint_id":10,"profile_id":260,"cluster_id":513,"zcl_data_type":16,"read_formatter":"lambdax:bool(x)"}},</v>
      </c>
      <c r="B16" s="52" t="str">
        <f ca="1"/>
        <v>0x0201 0xF110</v>
      </c>
      <c r="C16" s="52" t="str">
        <f ca="1">IFERROR(__xludf.DUMMYFUNCTION("""COMPUTED_VALUE"""),"schedule_configured")</f>
        <v>schedule_configured</v>
      </c>
      <c r="D16" s="18" t="str">
        <f ca="1">IFERROR(__xludf.DUMMYFUNCTION("""COMPUTED_VALUE"""),"attribute")</f>
        <v>attribute</v>
      </c>
      <c r="E16" s="18" t="str">
        <f ca="1">IFERROR(__xludf.DUMMYFUNCTION("""COMPUTED_VALUE"""),"bool")</f>
        <v>bool</v>
      </c>
      <c r="F16" s="18" t="str">
        <f ca="1">IFERROR(__xludf.DUMMYFUNCTION("""COMPUTED_VALUE"""),"true")</f>
        <v>true</v>
      </c>
      <c r="G16" s="18" t="str">
        <f ca="1">IFERROR(__xludf.DUMMYFUNCTION("""COMPUTED_VALUE"""),"reported")</f>
        <v>reported</v>
      </c>
      <c r="H16" s="18" t="str">
        <f ca="1">IFERROR(__xludf.DUMMYFUNCTION("""COMPUTED_VALUE"""),"N/A")</f>
        <v>N/A</v>
      </c>
      <c r="I16" s="18" t="str">
        <f ca="1">IFERROR(__xludf.DUMMYFUNCTION("""COMPUTED_VALUE"""),"3600")</f>
        <v>3600</v>
      </c>
      <c r="J16" s="18" t="str">
        <f ca="1">IFERROR(__xludf.DUMMYFUNCTION("""COMPUTED_VALUE"""),"0")</f>
        <v>0</v>
      </c>
      <c r="K16" s="18" t="str">
        <f ca="1">IFERROR(__xludf.DUMMYFUNCTION("""COMPUTED_VALUE"""),"N/A")</f>
        <v>N/A</v>
      </c>
      <c r="L16" s="18" t="str">
        <f ca="1">IFERROR(__xludf.DUMMYFUNCTION("""COMPUTED_VALUE"""),"N/A")</f>
        <v>N/A</v>
      </c>
      <c r="M16" s="18" t="str">
        <f ca="1">IFERROR(__xludf.DUMMYFUNCTION("""COMPUTED_VALUE"""),"N/A")</f>
        <v>N/A</v>
      </c>
      <c r="N16" s="18" t="str">
        <f ca="1">IFERROR(__xludf.DUMMYFUNCTION("""COMPUTED_VALUE"""),"N/A")</f>
        <v>N/A</v>
      </c>
      <c r="O16" s="18" t="str">
        <f ca="1">IFERROR(__xludf.DUMMYFUNCTION("""COMPUTED_VALUE"""),"N/A")</f>
        <v>N/A</v>
      </c>
      <c r="P16" s="18" t="str">
        <f ca="1">IFERROR(__xludf.DUMMYFUNCTION("""COMPUTED_VALUE"""),"N/A")</f>
        <v>N/A</v>
      </c>
      <c r="Q16" s="18" t="str">
        <f ca="1">IFERROR(__xludf.DUMMYFUNCTION("""COMPUTED_VALUE"""),"N/A")</f>
        <v>N/A</v>
      </c>
      <c r="R16" s="18" t="str">
        <f ca="1">IFERROR(__xludf.DUMMYFUNCTION("""COMPUTED_VALUE"""),"N/A")</f>
        <v>N/A</v>
      </c>
      <c r="S16" s="18" t="str">
        <f ca="1">IFERROR(__xludf.DUMMYFUNCTION("""COMPUTED_VALUE"""),"N/A")</f>
        <v>N/A</v>
      </c>
      <c r="T16" s="18" t="str">
        <f ca="1">IFERROR(__xludf.DUMMYFUNCTION("""COMPUTED_VALUE"""),"0xF110")</f>
        <v>0xF110</v>
      </c>
      <c r="U16" s="18" t="str">
        <f ca="1">IFERROR(__xludf.DUMMYFUNCTION("""COMPUTED_VALUE"""),"0x0A")</f>
        <v>0x0A</v>
      </c>
      <c r="V16" s="18" t="str">
        <f ca="1">IFERROR(__xludf.DUMMYFUNCTION("""COMPUTED_VALUE"""),"0x0104")</f>
        <v>0x0104</v>
      </c>
      <c r="W16" s="18" t="str">
        <f ca="1">IFERROR(__xludf.DUMMYFUNCTION("""COMPUTED_VALUE"""),"0x0201")</f>
        <v>0x0201</v>
      </c>
      <c r="X16" s="18" t="str">
        <f ca="1">IFERROR(__xludf.DUMMYFUNCTION("""COMPUTED_VALUE"""),"0x10")</f>
        <v>0x10</v>
      </c>
      <c r="Y16" s="18" t="e">
        <f ca="1"/>
        <v>#NAME?</v>
      </c>
      <c r="Z16" s="18" t="str">
        <f ca="1">IFERROR(__xludf.DUMMYFUNCTION("""COMPUTED_VALUE"""),"N/A")</f>
        <v>N/A</v>
      </c>
      <c r="AA16" s="18" t="str">
        <f ca="1">IFERROR(__xludf.DUMMYFUNCTION("""COMPUTED_VALUE"""),"lambdax:bool(x)")</f>
        <v>lambdax:bool(x)</v>
      </c>
      <c r="AC16" s="59" t="s">
        <v>694</v>
      </c>
      <c r="AD16" s="59" t="s">
        <v>694</v>
      </c>
      <c r="AE16" s="59" t="s">
        <v>694</v>
      </c>
      <c r="AF16" s="59" t="s">
        <v>694</v>
      </c>
      <c r="AG16" s="59" t="s">
        <v>694</v>
      </c>
      <c r="AH16" s="59" t="s">
        <v>694</v>
      </c>
      <c r="AI16" s="59" t="s">
        <v>694</v>
      </c>
      <c r="AJ16" s="59" t="s">
        <v>694</v>
      </c>
      <c r="AK16" s="59" t="s">
        <v>694</v>
      </c>
      <c r="AL16" s="59" t="s">
        <v>694</v>
      </c>
      <c r="AM16" s="59" t="s">
        <v>695</v>
      </c>
      <c r="AN16" s="59" t="s">
        <v>695</v>
      </c>
      <c r="AO16" s="59" t="s">
        <v>695</v>
      </c>
      <c r="AP16" s="59" t="s">
        <v>696</v>
      </c>
      <c r="AQ16" s="59" t="s">
        <v>697</v>
      </c>
      <c r="AR16" s="59" t="s">
        <v>697</v>
      </c>
      <c r="AS16" s="59" t="s">
        <v>697</v>
      </c>
      <c r="AT16" s="59" t="s">
        <v>697</v>
      </c>
    </row>
    <row r="17" spans="1:46" ht="15.75" customHeight="1" x14ac:dyDescent="0.25">
      <c r="A17" s="18" t="str">
        <v>schedule_serial_number:{"type":"telemetry","data_type":"uint8","is_readonly":true,"reporting_type":"reported","report_max":3600,"report_min":0,"zigbee_metadata":{"attr_id":61714,"endpoint_id":10,"profile_id":260,"cluster_id":513,"zcl_data_type":32}},</v>
      </c>
      <c r="B17" s="52" t="str">
        <f ca="1"/>
        <v>0x0201 0xF112</v>
      </c>
      <c r="C17" s="52" t="str">
        <f ca="1">IFERROR(__xludf.DUMMYFUNCTION("""COMPUTED_VALUE"""),"schedule_serial_number")</f>
        <v>schedule_serial_number</v>
      </c>
      <c r="D17" s="18" t="str">
        <f ca="1">IFERROR(__xludf.DUMMYFUNCTION("""COMPUTED_VALUE"""),"telemetry")</f>
        <v>telemetry</v>
      </c>
      <c r="E17" s="18" t="str">
        <f ca="1">IFERROR(__xludf.DUMMYFUNCTION("""COMPUTED_VALUE"""),"uint8")</f>
        <v>uint8</v>
      </c>
      <c r="F17" s="18" t="str">
        <f ca="1">IFERROR(__xludf.DUMMYFUNCTION("""COMPUTED_VALUE"""),"true")</f>
        <v>true</v>
      </c>
      <c r="G17" s="18" t="str">
        <f ca="1">IFERROR(__xludf.DUMMYFUNCTION("""COMPUTED_VALUE"""),"reported")</f>
        <v>reported</v>
      </c>
      <c r="H17" s="18" t="str">
        <f ca="1">IFERROR(__xludf.DUMMYFUNCTION("""COMPUTED_VALUE"""),"N/A")</f>
        <v>N/A</v>
      </c>
      <c r="I17" s="18" t="str">
        <f ca="1">IFERROR(__xludf.DUMMYFUNCTION("""COMPUTED_VALUE"""),"3600")</f>
        <v>3600</v>
      </c>
      <c r="J17" s="18" t="str">
        <f ca="1">IFERROR(__xludf.DUMMYFUNCTION("""COMPUTED_VALUE"""),"0")</f>
        <v>0</v>
      </c>
      <c r="K17" s="18" t="str">
        <f ca="1">IFERROR(__xludf.DUMMYFUNCTION("""COMPUTED_VALUE"""),"N/A")</f>
        <v>N/A</v>
      </c>
      <c r="L17" s="18" t="str">
        <f ca="1">IFERROR(__xludf.DUMMYFUNCTION("""COMPUTED_VALUE"""),"N/A")</f>
        <v>N/A</v>
      </c>
      <c r="M17" s="18" t="str">
        <f ca="1">IFERROR(__xludf.DUMMYFUNCTION("""COMPUTED_VALUE"""),"N/A")</f>
        <v>N/A</v>
      </c>
      <c r="N17" s="18" t="str">
        <f ca="1">IFERROR(__xludf.DUMMYFUNCTION("""COMPUTED_VALUE"""),"N/A")</f>
        <v>N/A</v>
      </c>
      <c r="O17" s="18" t="str">
        <f ca="1">IFERROR(__xludf.DUMMYFUNCTION("""COMPUTED_VALUE"""),"N/A")</f>
        <v>N/A</v>
      </c>
      <c r="P17" s="18" t="str">
        <f ca="1">IFERROR(__xludf.DUMMYFUNCTION("""COMPUTED_VALUE"""),"N/A")</f>
        <v>N/A</v>
      </c>
      <c r="Q17" s="18" t="str">
        <f ca="1">IFERROR(__xludf.DUMMYFUNCTION("""COMPUTED_VALUE"""),"N/A")</f>
        <v>N/A</v>
      </c>
      <c r="R17" s="18" t="str">
        <f ca="1">IFERROR(__xludf.DUMMYFUNCTION("""COMPUTED_VALUE"""),"N/A")</f>
        <v>N/A</v>
      </c>
      <c r="S17" s="18" t="str">
        <f ca="1">IFERROR(__xludf.DUMMYFUNCTION("""COMPUTED_VALUE"""),"N/A")</f>
        <v>N/A</v>
      </c>
      <c r="T17" s="18" t="str">
        <f ca="1">IFERROR(__xludf.DUMMYFUNCTION("""COMPUTED_VALUE"""),"0xF112")</f>
        <v>0xF112</v>
      </c>
      <c r="U17" s="18" t="str">
        <f ca="1">IFERROR(__xludf.DUMMYFUNCTION("""COMPUTED_VALUE"""),"0x0A")</f>
        <v>0x0A</v>
      </c>
      <c r="V17" s="18" t="str">
        <f ca="1">IFERROR(__xludf.DUMMYFUNCTION("""COMPUTED_VALUE"""),"0x0104")</f>
        <v>0x0104</v>
      </c>
      <c r="W17" s="18" t="str">
        <f ca="1">IFERROR(__xludf.DUMMYFUNCTION("""COMPUTED_VALUE"""),"0x0201")</f>
        <v>0x0201</v>
      </c>
      <c r="X17" s="18" t="str">
        <f ca="1">IFERROR(__xludf.DUMMYFUNCTION("""COMPUTED_VALUE"""),"0x20")</f>
        <v>0x20</v>
      </c>
      <c r="Y17" s="18" t="e">
        <f ca="1"/>
        <v>#NAME?</v>
      </c>
      <c r="Z17" s="18" t="str">
        <f ca="1">IFERROR(__xludf.DUMMYFUNCTION("""COMPUTED_VALUE"""),"N/A")</f>
        <v>N/A</v>
      </c>
      <c r="AA17" s="18" t="str">
        <f ca="1">IFERROR(__xludf.DUMMYFUNCTION("""COMPUTED_VALUE"""),"N/A")</f>
        <v>N/A</v>
      </c>
      <c r="AC17" s="59" t="s">
        <v>698</v>
      </c>
      <c r="AD17" s="59" t="s">
        <v>698</v>
      </c>
      <c r="AE17" s="59" t="s">
        <v>698</v>
      </c>
      <c r="AF17" s="59" t="s">
        <v>698</v>
      </c>
      <c r="AG17" s="59" t="s">
        <v>698</v>
      </c>
      <c r="AH17" s="59" t="s">
        <v>698</v>
      </c>
      <c r="AI17" s="59" t="s">
        <v>698</v>
      </c>
      <c r="AJ17" s="59" t="s">
        <v>698</v>
      </c>
      <c r="AK17" s="59" t="s">
        <v>698</v>
      </c>
      <c r="AL17" s="59" t="s">
        <v>698</v>
      </c>
      <c r="AM17" s="59" t="s">
        <v>694</v>
      </c>
      <c r="AN17" s="59" t="s">
        <v>694</v>
      </c>
      <c r="AO17" s="59" t="s">
        <v>694</v>
      </c>
      <c r="AP17" s="59" t="s">
        <v>699</v>
      </c>
      <c r="AQ17" s="59" t="s">
        <v>700</v>
      </c>
      <c r="AR17" s="59" t="s">
        <v>700</v>
      </c>
      <c r="AS17" s="59" t="s">
        <v>700</v>
      </c>
      <c r="AT17" s="59" t="s">
        <v>700</v>
      </c>
    </row>
    <row r="18" spans="1:46" ht="15.75" customHeight="1" x14ac:dyDescent="0.25">
      <c r="A18" s="18" t="str">
        <v>schedule_paused:{"type":"attribute","data_type":"bool","is_readonly":false,"reporting_type":"reported","report_max":3600,"report_min":0,"default_value":null,"zigbee_metadata":{"attr_id":61713,"endpoint_id":10,"profile_id":260,"cluster_id":513,"zcl_data_type":16,"write_formatter":"lambdax:int(x)","read_formatter":"lambdax:bool(x)"}},</v>
      </c>
      <c r="B18" s="52" t="str">
        <f ca="1"/>
        <v>0x0201 0xF111</v>
      </c>
      <c r="C18" s="52" t="str">
        <f ca="1">IFERROR(__xludf.DUMMYFUNCTION("""COMPUTED_VALUE"""),"schedule_paused")</f>
        <v>schedule_paused</v>
      </c>
      <c r="D18" s="18" t="str">
        <f ca="1">IFERROR(__xludf.DUMMYFUNCTION("""COMPUTED_VALUE"""),"attribute")</f>
        <v>attribute</v>
      </c>
      <c r="E18" s="18" t="str">
        <f ca="1">IFERROR(__xludf.DUMMYFUNCTION("""COMPUTED_VALUE"""),"bool")</f>
        <v>bool</v>
      </c>
      <c r="F18" s="18" t="str">
        <f ca="1">IFERROR(__xludf.DUMMYFUNCTION("""COMPUTED_VALUE"""),"false")</f>
        <v>false</v>
      </c>
      <c r="G18" s="18" t="str">
        <f ca="1">IFERROR(__xludf.DUMMYFUNCTION("""COMPUTED_VALUE"""),"reported")</f>
        <v>reported</v>
      </c>
      <c r="H18" s="18" t="str">
        <f ca="1">IFERROR(__xludf.DUMMYFUNCTION("""COMPUTED_VALUE"""),"N/A")</f>
        <v>N/A</v>
      </c>
      <c r="I18" s="18" t="str">
        <f ca="1">IFERROR(__xludf.DUMMYFUNCTION("""COMPUTED_VALUE"""),"3600")</f>
        <v>3600</v>
      </c>
      <c r="J18" s="18" t="str">
        <f ca="1">IFERROR(__xludf.DUMMYFUNCTION("""COMPUTED_VALUE"""),"0")</f>
        <v>0</v>
      </c>
      <c r="K18" s="18" t="str">
        <f ca="1">IFERROR(__xludf.DUMMYFUNCTION("""COMPUTED_VALUE"""),"N/A")</f>
        <v>N/A</v>
      </c>
      <c r="L18" s="18" t="str">
        <f ca="1">IFERROR(__xludf.DUMMYFUNCTION("""COMPUTED_VALUE"""),"N/A")</f>
        <v>N/A</v>
      </c>
      <c r="M18" s="18" t="str">
        <f ca="1">IFERROR(__xludf.DUMMYFUNCTION("""COMPUTED_VALUE"""),"N/A")</f>
        <v>N/A</v>
      </c>
      <c r="N18" s="18" t="str">
        <f ca="1">IFERROR(__xludf.DUMMYFUNCTION("""COMPUTED_VALUE"""),"N/A")</f>
        <v>N/A</v>
      </c>
      <c r="O18" s="18" t="str">
        <f ca="1">IFERROR(__xludf.DUMMYFUNCTION("""COMPUTED_VALUE"""),"N/A")</f>
        <v>N/A</v>
      </c>
      <c r="P18" s="18" t="str">
        <f ca="1">IFERROR(__xludf.DUMMYFUNCTION("""COMPUTED_VALUE"""),"N/A")</f>
        <v>N/A</v>
      </c>
      <c r="Q18" s="18" t="str">
        <f ca="1">IFERROR(__xludf.DUMMYFUNCTION("""COMPUTED_VALUE"""),"N/A")</f>
        <v>N/A</v>
      </c>
      <c r="R18" s="18" t="str">
        <f ca="1">IFERROR(__xludf.DUMMYFUNCTION("""COMPUTED_VALUE"""),"N/A")</f>
        <v>N/A</v>
      </c>
      <c r="S18" s="18" t="str">
        <f ca="1">IFERROR(__xludf.DUMMYFUNCTION("""COMPUTED_VALUE"""),"null")</f>
        <v>null</v>
      </c>
      <c r="T18" s="18" t="str">
        <f ca="1">IFERROR(__xludf.DUMMYFUNCTION("""COMPUTED_VALUE"""),"0xF111")</f>
        <v>0xF111</v>
      </c>
      <c r="U18" s="18" t="str">
        <f ca="1">IFERROR(__xludf.DUMMYFUNCTION("""COMPUTED_VALUE"""),"0x0A")</f>
        <v>0x0A</v>
      </c>
      <c r="V18" s="18" t="str">
        <f ca="1">IFERROR(__xludf.DUMMYFUNCTION("""COMPUTED_VALUE"""),"0x0104")</f>
        <v>0x0104</v>
      </c>
      <c r="W18" s="18" t="str">
        <f ca="1">IFERROR(__xludf.DUMMYFUNCTION("""COMPUTED_VALUE"""),"0x0201")</f>
        <v>0x0201</v>
      </c>
      <c r="X18" s="18" t="str">
        <f ca="1">IFERROR(__xludf.DUMMYFUNCTION("""COMPUTED_VALUE"""),"0x10")</f>
        <v>0x10</v>
      </c>
      <c r="Y18" s="18" t="e">
        <f ca="1"/>
        <v>#NAME?</v>
      </c>
      <c r="Z18" s="18" t="str">
        <f ca="1">IFERROR(__xludf.DUMMYFUNCTION("""COMPUTED_VALUE"""),"lambdax:int(x)")</f>
        <v>lambdax:int(x)</v>
      </c>
      <c r="AA18" s="18" t="str">
        <f ca="1">IFERROR(__xludf.DUMMYFUNCTION("""COMPUTED_VALUE"""),"lambdax:bool(x)")</f>
        <v>lambdax:bool(x)</v>
      </c>
      <c r="AC18" s="59" t="s">
        <v>701</v>
      </c>
      <c r="AD18" s="59" t="s">
        <v>701</v>
      </c>
      <c r="AE18" s="59" t="s">
        <v>701</v>
      </c>
      <c r="AF18" s="59" t="s">
        <v>701</v>
      </c>
      <c r="AG18" s="59" t="s">
        <v>701</v>
      </c>
      <c r="AH18" s="59" t="s">
        <v>701</v>
      </c>
      <c r="AI18" s="59" t="s">
        <v>701</v>
      </c>
      <c r="AJ18" s="59" t="s">
        <v>701</v>
      </c>
      <c r="AK18" s="59" t="s">
        <v>701</v>
      </c>
      <c r="AL18" s="59" t="s">
        <v>701</v>
      </c>
      <c r="AM18" s="59" t="s">
        <v>701</v>
      </c>
      <c r="AN18" s="59" t="s">
        <v>701</v>
      </c>
      <c r="AO18" s="59" t="s">
        <v>701</v>
      </c>
      <c r="AP18" s="59" t="s">
        <v>702</v>
      </c>
      <c r="AQ18" s="59" t="s">
        <v>703</v>
      </c>
      <c r="AR18" s="59" t="s">
        <v>703</v>
      </c>
      <c r="AS18" s="59" t="s">
        <v>703</v>
      </c>
      <c r="AT18" s="59" t="s">
        <v>703</v>
      </c>
    </row>
    <row r="19" spans="1:46" ht="15.75" customHeight="1" x14ac:dyDescent="0.25">
      <c r="A19" s="18" t="str">
        <v>system_temp:{"type":"telemetry","data_type":"float","is_readonly":true,"reporting_type":"reported","report_max":3600,"report_min":0,"report_threshold":0.5,"decimal_places":2,"zigbee_metadata":{"attr_id":0,"endpoint_id":10,"profile_id":260,"cluster_id":513,"zcl_data_type":41,"write_formatter":"lambdax:int(round(x,2)*100)","read_formatter":"lambdax:x/100"}},</v>
      </c>
      <c r="B19" s="52" t="str">
        <f ca="1"/>
        <v>0x0201 0x0000</v>
      </c>
      <c r="C19" s="52" t="str">
        <f ca="1">IFERROR(__xludf.DUMMYFUNCTION("""COMPUTED_VALUE"""),"system_temp")</f>
        <v>system_temp</v>
      </c>
      <c r="D19" s="18" t="str">
        <f ca="1">IFERROR(__xludf.DUMMYFUNCTION("""COMPUTED_VALUE"""),"telemetry")</f>
        <v>telemetry</v>
      </c>
      <c r="E19" s="18" t="str">
        <f ca="1">IFERROR(__xludf.DUMMYFUNCTION("""COMPUTED_VALUE"""),"float")</f>
        <v>float</v>
      </c>
      <c r="F19" s="18" t="str">
        <f ca="1">IFERROR(__xludf.DUMMYFUNCTION("""COMPUTED_VALUE"""),"true")</f>
        <v>true</v>
      </c>
      <c r="G19" s="18" t="str">
        <f ca="1">IFERROR(__xludf.DUMMYFUNCTION("""COMPUTED_VALUE"""),"reported")</f>
        <v>reported</v>
      </c>
      <c r="H19" s="18" t="str">
        <f ca="1">IFERROR(__xludf.DUMMYFUNCTION("""COMPUTED_VALUE"""),"N/A")</f>
        <v>N/A</v>
      </c>
      <c r="I19" s="18" t="str">
        <f ca="1">IFERROR(__xludf.DUMMYFUNCTION("""COMPUTED_VALUE"""),"3600")</f>
        <v>3600</v>
      </c>
      <c r="J19" s="18" t="str">
        <f ca="1">IFERROR(__xludf.DUMMYFUNCTION("""COMPUTED_VALUE"""),"0")</f>
        <v>0</v>
      </c>
      <c r="K19" s="18" t="str">
        <f ca="1">IFERROR(__xludf.DUMMYFUNCTION("""COMPUTED_VALUE"""),"0.5")</f>
        <v>0.5</v>
      </c>
      <c r="L19" s="18" t="str">
        <f ca="1">IFERROR(__xludf.DUMMYFUNCTION("""COMPUTED_VALUE"""),"N/A")</f>
        <v>N/A</v>
      </c>
      <c r="M19" s="18" t="str">
        <f ca="1">IFERROR(__xludf.DUMMYFUNCTION("""COMPUTED_VALUE"""),"N/A")</f>
        <v>N/A</v>
      </c>
      <c r="N19" s="18" t="str">
        <f ca="1">IFERROR(__xludf.DUMMYFUNCTION("""COMPUTED_VALUE"""),"N/A")</f>
        <v>N/A</v>
      </c>
      <c r="O19" s="18" t="str">
        <f ca="1">IFERROR(__xludf.DUMMYFUNCTION("""COMPUTED_VALUE"""),"N/A")</f>
        <v>N/A</v>
      </c>
      <c r="P19" s="18" t="str">
        <f ca="1">IFERROR(__xludf.DUMMYFUNCTION("""COMPUTED_VALUE"""),"N/A")</f>
        <v>N/A</v>
      </c>
      <c r="Q19" s="18" t="str">
        <f ca="1">IFERROR(__xludf.DUMMYFUNCTION("""COMPUTED_VALUE"""),"N/A")</f>
        <v>N/A</v>
      </c>
      <c r="R19" s="18" t="str">
        <f ca="1">IFERROR(__xludf.DUMMYFUNCTION("""COMPUTED_VALUE"""),"2")</f>
        <v>2</v>
      </c>
      <c r="S19" s="18" t="str">
        <f ca="1">IFERROR(__xludf.DUMMYFUNCTION("""COMPUTED_VALUE"""),"N/A")</f>
        <v>N/A</v>
      </c>
      <c r="T19" s="18" t="str">
        <f ca="1">IFERROR(__xludf.DUMMYFUNCTION("""COMPUTED_VALUE"""),"0x0000")</f>
        <v>0x0000</v>
      </c>
      <c r="U19" s="18" t="str">
        <f ca="1">IFERROR(__xludf.DUMMYFUNCTION("""COMPUTED_VALUE"""),"0x0A")</f>
        <v>0x0A</v>
      </c>
      <c r="V19" s="18" t="str">
        <f ca="1">IFERROR(__xludf.DUMMYFUNCTION("""COMPUTED_VALUE"""),"0x0104")</f>
        <v>0x0104</v>
      </c>
      <c r="W19" s="18" t="str">
        <f ca="1">IFERROR(__xludf.DUMMYFUNCTION("""COMPUTED_VALUE"""),"0x0201")</f>
        <v>0x0201</v>
      </c>
      <c r="X19" s="18" t="str">
        <f ca="1">IFERROR(__xludf.DUMMYFUNCTION("""COMPUTED_VALUE"""),"0x29")</f>
        <v>0x29</v>
      </c>
      <c r="Y19" s="18" t="e">
        <f ca="1"/>
        <v>#NAME?</v>
      </c>
      <c r="Z19" s="18" t="str">
        <f ca="1">IFERROR(__xludf.DUMMYFUNCTION("""COMPUTED_VALUE"""),"lambdax:int(round(x,2)*100)")</f>
        <v>lambdax:int(round(x,2)*100)</v>
      </c>
      <c r="AA19" s="18" t="str">
        <f ca="1">IFERROR(__xludf.DUMMYFUNCTION("""COMPUTED_VALUE"""),"lambdax:x/100")</f>
        <v>lambdax:x/100</v>
      </c>
      <c r="AC19" s="59" t="s">
        <v>704</v>
      </c>
      <c r="AD19" s="59" t="s">
        <v>704</v>
      </c>
      <c r="AE19" s="59" t="s">
        <v>704</v>
      </c>
      <c r="AF19" s="59" t="s">
        <v>704</v>
      </c>
      <c r="AG19" s="59" t="s">
        <v>704</v>
      </c>
      <c r="AH19" s="59" t="s">
        <v>704</v>
      </c>
      <c r="AI19" s="59" t="s">
        <v>704</v>
      </c>
      <c r="AJ19" s="59" t="s">
        <v>704</v>
      </c>
      <c r="AK19" s="59" t="s">
        <v>704</v>
      </c>
      <c r="AL19" s="59" t="s">
        <v>704</v>
      </c>
      <c r="AM19" s="59" t="s">
        <v>704</v>
      </c>
      <c r="AN19" s="59" t="s">
        <v>704</v>
      </c>
      <c r="AO19" s="59" t="s">
        <v>704</v>
      </c>
      <c r="AP19" s="59" t="s">
        <v>705</v>
      </c>
      <c r="AQ19" s="59" t="s">
        <v>706</v>
      </c>
      <c r="AR19" s="59" t="s">
        <v>706</v>
      </c>
      <c r="AS19" s="59" t="s">
        <v>706</v>
      </c>
      <c r="AT19" s="59" t="s">
        <v>706</v>
      </c>
    </row>
    <row r="20" spans="1:46" ht="15.75" customHeight="1" x14ac:dyDescent="0.25">
      <c r="A20" s="18" t="str">
        <v>cool_setpoint:{"type":"combined","data_type":"float","is_readonly":false,"reporting_type":"reported","report_max":3600,"report_min":0,"report_threshold":0,"decimal_places":2,"bound_attr_max":"cool_setpoint_max","bound_attr_min":"cool_setpoint_min","default_value":null,"zigbee_metadata":{"attr_id":17,"endpoint_id":10,"profile_id":260,"cluster_id":513,"zcl_data_type":41,"write_formatter":"lambdax:int(round(x,2)*100)","read_formatter":"lambdax:x/100"}},</v>
      </c>
      <c r="B20" s="52" t="str">
        <f ca="1"/>
        <v>0x0201 0x0011</v>
      </c>
      <c r="C20" s="52" t="str">
        <f ca="1">IFERROR(__xludf.DUMMYFUNCTION("""COMPUTED_VALUE"""),"cool_setpoint")</f>
        <v>cool_setpoint</v>
      </c>
      <c r="D20" s="18" t="str">
        <f ca="1">IFERROR(__xludf.DUMMYFUNCTION("""COMPUTED_VALUE"""),"combined")</f>
        <v>combined</v>
      </c>
      <c r="E20" s="18" t="str">
        <f ca="1">IFERROR(__xludf.DUMMYFUNCTION("""COMPUTED_VALUE"""),"float")</f>
        <v>float</v>
      </c>
      <c r="F20" s="18" t="str">
        <f ca="1">IFERROR(__xludf.DUMMYFUNCTION("""COMPUTED_VALUE"""),"false")</f>
        <v>false</v>
      </c>
      <c r="G20" s="18" t="str">
        <f ca="1">IFERROR(__xludf.DUMMYFUNCTION("""COMPUTED_VALUE"""),"reported")</f>
        <v>reported</v>
      </c>
      <c r="H20" s="18" t="str">
        <f ca="1">IFERROR(__xludf.DUMMYFUNCTION("""COMPUTED_VALUE"""),"N/A")</f>
        <v>N/A</v>
      </c>
      <c r="I20" s="18" t="str">
        <f ca="1">IFERROR(__xludf.DUMMYFUNCTION("""COMPUTED_VALUE"""),"3600")</f>
        <v>3600</v>
      </c>
      <c r="J20" s="18" t="str">
        <f ca="1">IFERROR(__xludf.DUMMYFUNCTION("""COMPUTED_VALUE"""),"0")</f>
        <v>0</v>
      </c>
      <c r="K20" s="18" t="str">
        <f ca="1">IFERROR(__xludf.DUMMYFUNCTION("""COMPUTED_VALUE"""),"0")</f>
        <v>0</v>
      </c>
      <c r="L20" s="18" t="str">
        <f ca="1">IFERROR(__xludf.DUMMYFUNCTION("""COMPUTED_VALUE"""),"N/A")</f>
        <v>N/A</v>
      </c>
      <c r="M20" s="18" t="str">
        <f ca="1">IFERROR(__xludf.DUMMYFUNCTION("""COMPUTED_VALUE"""),"N/A")</f>
        <v>N/A</v>
      </c>
      <c r="N20" s="18" t="str">
        <f ca="1">IFERROR(__xludf.DUMMYFUNCTION("""COMPUTED_VALUE"""),"cool_setpoint_max")</f>
        <v>cool_setpoint_max</v>
      </c>
      <c r="O20" s="18" t="str">
        <f ca="1">IFERROR(__xludf.DUMMYFUNCTION("""COMPUTED_VALUE"""),"cool_setpoint_min")</f>
        <v>cool_setpoint_min</v>
      </c>
      <c r="P20" s="18" t="str">
        <f ca="1">IFERROR(__xludf.DUMMYFUNCTION("""COMPUTED_VALUE"""),"N/A")</f>
        <v>N/A</v>
      </c>
      <c r="Q20" s="18" t="str">
        <f ca="1">IFERROR(__xludf.DUMMYFUNCTION("""COMPUTED_VALUE"""),"N/A")</f>
        <v>N/A</v>
      </c>
      <c r="R20" s="18" t="str">
        <f ca="1">IFERROR(__xludf.DUMMYFUNCTION("""COMPUTED_VALUE"""),"2")</f>
        <v>2</v>
      </c>
      <c r="S20" s="18" t="str">
        <f ca="1">IFERROR(__xludf.DUMMYFUNCTION("""COMPUTED_VALUE"""),"null")</f>
        <v>null</v>
      </c>
      <c r="T20" s="18" t="str">
        <f ca="1">IFERROR(__xludf.DUMMYFUNCTION("""COMPUTED_VALUE"""),"0x0011")</f>
        <v>0x0011</v>
      </c>
      <c r="U20" s="18" t="str">
        <f ca="1">IFERROR(__xludf.DUMMYFUNCTION("""COMPUTED_VALUE"""),"0x0A")</f>
        <v>0x0A</v>
      </c>
      <c r="V20" s="18" t="str">
        <f ca="1">IFERROR(__xludf.DUMMYFUNCTION("""COMPUTED_VALUE"""),"0x0104")</f>
        <v>0x0104</v>
      </c>
      <c r="W20" s="18" t="str">
        <f ca="1">IFERROR(__xludf.DUMMYFUNCTION("""COMPUTED_VALUE"""),"0x0201")</f>
        <v>0x0201</v>
      </c>
      <c r="X20" s="18" t="str">
        <f ca="1">IFERROR(__xludf.DUMMYFUNCTION("""COMPUTED_VALUE"""),"0x29")</f>
        <v>0x29</v>
      </c>
      <c r="Y20" s="18" t="e">
        <f ca="1"/>
        <v>#NAME?</v>
      </c>
      <c r="Z20" s="18" t="str">
        <f ca="1">IFERROR(__xludf.DUMMYFUNCTION("""COMPUTED_VALUE"""),"lambdax:int(round(x,2)*100)")</f>
        <v>lambdax:int(round(x,2)*100)</v>
      </c>
      <c r="AA20" s="18" t="str">
        <f ca="1">IFERROR(__xludf.DUMMYFUNCTION("""COMPUTED_VALUE"""),"lambdax:x/100")</f>
        <v>lambdax:x/100</v>
      </c>
      <c r="AC20" s="59" t="s">
        <v>707</v>
      </c>
      <c r="AD20" s="59" t="s">
        <v>707</v>
      </c>
      <c r="AE20" s="59" t="s">
        <v>708</v>
      </c>
      <c r="AF20" s="59" t="s">
        <v>708</v>
      </c>
      <c r="AG20" s="59" t="s">
        <v>708</v>
      </c>
      <c r="AH20" s="59" t="s">
        <v>708</v>
      </c>
      <c r="AI20" s="59" t="s">
        <v>708</v>
      </c>
      <c r="AJ20" s="59" t="s">
        <v>708</v>
      </c>
      <c r="AK20" s="59" t="s">
        <v>708</v>
      </c>
      <c r="AL20" s="59" t="s">
        <v>708</v>
      </c>
      <c r="AM20" s="59" t="s">
        <v>708</v>
      </c>
      <c r="AN20" s="59" t="s">
        <v>708</v>
      </c>
      <c r="AO20" s="59" t="s">
        <v>708</v>
      </c>
      <c r="AP20" s="59" t="s">
        <v>709</v>
      </c>
      <c r="AQ20" s="59" t="s">
        <v>710</v>
      </c>
      <c r="AR20" s="59" t="s">
        <v>710</v>
      </c>
      <c r="AS20" s="59" t="s">
        <v>710</v>
      </c>
      <c r="AT20" s="59" t="s">
        <v>710</v>
      </c>
    </row>
    <row r="21" spans="1:46" ht="15.75" customHeight="1" x14ac:dyDescent="0.25">
      <c r="A21" s="18" t="str">
        <v>heat_setpoint:{"type":"combined","data_type":"float","is_readonly":false,"reporting_type":"reported","report_max":3600,"report_min":0,"report_threshold":0,"decimal_places":2,"bound_attr_max":"heat_setpoint_max","bound_attr_min":"heat_setpoint_min","default_value":null,"zigbee_metadata":{"attr_id":18,"endpoint_id":10,"profile_id":260,"cluster_id":513,"zcl_data_type":41,"write_formatter":"lambdax:int(round(x,2)*100)","read_formatter":"lambdax:x/100"}},</v>
      </c>
      <c r="B21" s="52" t="str">
        <f ca="1"/>
        <v>0x0201 0x0012</v>
      </c>
      <c r="C21" s="52" t="str">
        <f ca="1">IFERROR(__xludf.DUMMYFUNCTION("""COMPUTED_VALUE"""),"heat_setpoint")</f>
        <v>heat_setpoint</v>
      </c>
      <c r="D21" s="18" t="str">
        <f ca="1">IFERROR(__xludf.DUMMYFUNCTION("""COMPUTED_VALUE"""),"combined")</f>
        <v>combined</v>
      </c>
      <c r="E21" s="18" t="str">
        <f ca="1">IFERROR(__xludf.DUMMYFUNCTION("""COMPUTED_VALUE"""),"float")</f>
        <v>float</v>
      </c>
      <c r="F21" s="18" t="str">
        <f ca="1">IFERROR(__xludf.DUMMYFUNCTION("""COMPUTED_VALUE"""),"false")</f>
        <v>false</v>
      </c>
      <c r="G21" s="18" t="str">
        <f ca="1">IFERROR(__xludf.DUMMYFUNCTION("""COMPUTED_VALUE"""),"reported")</f>
        <v>reported</v>
      </c>
      <c r="H21" s="18" t="str">
        <f ca="1">IFERROR(__xludf.DUMMYFUNCTION("""COMPUTED_VALUE"""),"N/A")</f>
        <v>N/A</v>
      </c>
      <c r="I21" s="18" t="str">
        <f ca="1">IFERROR(__xludf.DUMMYFUNCTION("""COMPUTED_VALUE"""),"3600")</f>
        <v>3600</v>
      </c>
      <c r="J21" s="18" t="str">
        <f ca="1">IFERROR(__xludf.DUMMYFUNCTION("""COMPUTED_VALUE"""),"0")</f>
        <v>0</v>
      </c>
      <c r="K21" s="18" t="str">
        <f ca="1">IFERROR(__xludf.DUMMYFUNCTION("""COMPUTED_VALUE"""),"0")</f>
        <v>0</v>
      </c>
      <c r="L21" s="18" t="str">
        <f ca="1">IFERROR(__xludf.DUMMYFUNCTION("""COMPUTED_VALUE"""),"N/A")</f>
        <v>N/A</v>
      </c>
      <c r="M21" s="18" t="str">
        <f ca="1">IFERROR(__xludf.DUMMYFUNCTION("""COMPUTED_VALUE"""),"N/A")</f>
        <v>N/A</v>
      </c>
      <c r="N21" s="18" t="str">
        <f ca="1">IFERROR(__xludf.DUMMYFUNCTION("""COMPUTED_VALUE"""),"heat_setpoint_max")</f>
        <v>heat_setpoint_max</v>
      </c>
      <c r="O21" s="18" t="str">
        <f ca="1">IFERROR(__xludf.DUMMYFUNCTION("""COMPUTED_VALUE"""),"heat_setpoint_min")</f>
        <v>heat_setpoint_min</v>
      </c>
      <c r="P21" s="18" t="str">
        <f ca="1">IFERROR(__xludf.DUMMYFUNCTION("""COMPUTED_VALUE"""),"N/A")</f>
        <v>N/A</v>
      </c>
      <c r="Q21" s="18" t="str">
        <f ca="1">IFERROR(__xludf.DUMMYFUNCTION("""COMPUTED_VALUE"""),"N/A")</f>
        <v>N/A</v>
      </c>
      <c r="R21" s="18" t="str">
        <f ca="1">IFERROR(__xludf.DUMMYFUNCTION("""COMPUTED_VALUE"""),"2")</f>
        <v>2</v>
      </c>
      <c r="S21" s="18" t="str">
        <f ca="1">IFERROR(__xludf.DUMMYFUNCTION("""COMPUTED_VALUE"""),"null")</f>
        <v>null</v>
      </c>
      <c r="T21" s="18" t="str">
        <f ca="1">IFERROR(__xludf.DUMMYFUNCTION("""COMPUTED_VALUE"""),"0x0012")</f>
        <v>0x0012</v>
      </c>
      <c r="U21" s="18" t="str">
        <f ca="1">IFERROR(__xludf.DUMMYFUNCTION("""COMPUTED_VALUE"""),"0x0A")</f>
        <v>0x0A</v>
      </c>
      <c r="V21" s="18" t="str">
        <f ca="1">IFERROR(__xludf.DUMMYFUNCTION("""COMPUTED_VALUE"""),"0x0104")</f>
        <v>0x0104</v>
      </c>
      <c r="W21" s="18" t="str">
        <f ca="1">IFERROR(__xludf.DUMMYFUNCTION("""COMPUTED_VALUE"""),"0x0201")</f>
        <v>0x0201</v>
      </c>
      <c r="X21" s="18" t="str">
        <f ca="1">IFERROR(__xludf.DUMMYFUNCTION("""COMPUTED_VALUE"""),"0x29")</f>
        <v>0x29</v>
      </c>
      <c r="Y21" s="18" t="e">
        <f ca="1"/>
        <v>#NAME?</v>
      </c>
      <c r="Z21" s="18" t="str">
        <f ca="1">IFERROR(__xludf.DUMMYFUNCTION("""COMPUTED_VALUE"""),"lambdax:int(round(x,2)*100)")</f>
        <v>lambdax:int(round(x,2)*100)</v>
      </c>
      <c r="AA21" s="18" t="str">
        <f ca="1">IFERROR(__xludf.DUMMYFUNCTION("""COMPUTED_VALUE"""),"lambdax:x/100")</f>
        <v>lambdax:x/100</v>
      </c>
      <c r="AC21" s="59" t="s">
        <v>711</v>
      </c>
      <c r="AD21" s="59" t="s">
        <v>711</v>
      </c>
      <c r="AE21" s="59" t="s">
        <v>712</v>
      </c>
      <c r="AF21" s="59" t="s">
        <v>712</v>
      </c>
      <c r="AG21" s="59" t="s">
        <v>712</v>
      </c>
      <c r="AH21" s="59" t="s">
        <v>712</v>
      </c>
      <c r="AI21" s="59" t="s">
        <v>712</v>
      </c>
      <c r="AJ21" s="59" t="s">
        <v>712</v>
      </c>
      <c r="AK21" s="59" t="s">
        <v>712</v>
      </c>
      <c r="AL21" s="59" t="s">
        <v>712</v>
      </c>
      <c r="AM21" s="59" t="s">
        <v>712</v>
      </c>
      <c r="AN21" s="59" t="s">
        <v>712</v>
      </c>
      <c r="AO21" s="59" t="s">
        <v>712</v>
      </c>
      <c r="AP21" s="59" t="s">
        <v>713</v>
      </c>
      <c r="AQ21" s="59" t="s">
        <v>714</v>
      </c>
      <c r="AR21" s="59" t="s">
        <v>714</v>
      </c>
      <c r="AS21" s="59" t="s">
        <v>714</v>
      </c>
      <c r="AT21" s="59" t="s">
        <v>714</v>
      </c>
    </row>
    <row r="22" spans="1:46" ht="15.75" customHeight="1" x14ac:dyDescent="0.25">
      <c r="A22" s="18" t="str">
        <v>cool_setpoint_unocc:{"type":"attribute","data_type":"float","is_readonly":true,"reporting_type":"reported","report_max":3600,"report_min":0,"report_threshold":0,"decimal_places":2,"zigbee_metadata":{"attr_id":19,"endpoint_id":10,"profile_id":260,"cluster_id":513,"zcl_data_type":41,"write_formatter":"lambdax:int(round(x,2)*100)","read_formatter":"lambdax:x/100"}},</v>
      </c>
      <c r="B22" s="52" t="str">
        <f ca="1"/>
        <v>0x0201 0x0013</v>
      </c>
      <c r="C22" s="52" t="str">
        <f ca="1">IFERROR(__xludf.DUMMYFUNCTION("""COMPUTED_VALUE"""),"cool_setpoint_unocc")</f>
        <v>cool_setpoint_unocc</v>
      </c>
      <c r="D22" s="18" t="str">
        <f ca="1">IFERROR(__xludf.DUMMYFUNCTION("""COMPUTED_VALUE"""),"attribute")</f>
        <v>attribute</v>
      </c>
      <c r="E22" s="18" t="str">
        <f ca="1">IFERROR(__xludf.DUMMYFUNCTION("""COMPUTED_VALUE"""),"float")</f>
        <v>float</v>
      </c>
      <c r="F22" s="18" t="str">
        <f ca="1">IFERROR(__xludf.DUMMYFUNCTION("""COMPUTED_VALUE"""),"true")</f>
        <v>true</v>
      </c>
      <c r="G22" s="18" t="str">
        <f ca="1">IFERROR(__xludf.DUMMYFUNCTION("""COMPUTED_VALUE"""),"reported")</f>
        <v>reported</v>
      </c>
      <c r="H22" s="18" t="str">
        <f ca="1">IFERROR(__xludf.DUMMYFUNCTION("""COMPUTED_VALUE"""),"N/A")</f>
        <v>N/A</v>
      </c>
      <c r="I22" s="18" t="str">
        <f ca="1">IFERROR(__xludf.DUMMYFUNCTION("""COMPUTED_VALUE"""),"3600")</f>
        <v>3600</v>
      </c>
      <c r="J22" s="18" t="str">
        <f ca="1">IFERROR(__xludf.DUMMYFUNCTION("""COMPUTED_VALUE"""),"0")</f>
        <v>0</v>
      </c>
      <c r="K22" s="18" t="str">
        <f ca="1">IFERROR(__xludf.DUMMYFUNCTION("""COMPUTED_VALUE"""),"0")</f>
        <v>0</v>
      </c>
      <c r="L22" s="18" t="str">
        <f ca="1">IFERROR(__xludf.DUMMYFUNCTION("""COMPUTED_VALUE"""),"N/A")</f>
        <v>N/A</v>
      </c>
      <c r="M22" s="18" t="str">
        <f ca="1">IFERROR(__xludf.DUMMYFUNCTION("""COMPUTED_VALUE"""),"N/A")</f>
        <v>N/A</v>
      </c>
      <c r="N22" s="18" t="str">
        <f ca="1">IFERROR(__xludf.DUMMYFUNCTION("""COMPUTED_VALUE"""),"N/A")</f>
        <v>N/A</v>
      </c>
      <c r="O22" s="18" t="str">
        <f ca="1">IFERROR(__xludf.DUMMYFUNCTION("""COMPUTED_VALUE"""),"N/A")</f>
        <v>N/A</v>
      </c>
      <c r="P22" s="18" t="str">
        <f ca="1">IFERROR(__xludf.DUMMYFUNCTION("""COMPUTED_VALUE"""),"N/A")</f>
        <v>N/A</v>
      </c>
      <c r="Q22" s="18" t="str">
        <f ca="1">IFERROR(__xludf.DUMMYFUNCTION("""COMPUTED_VALUE"""),"N/A")</f>
        <v>N/A</v>
      </c>
      <c r="R22" s="18" t="str">
        <f ca="1">IFERROR(__xludf.DUMMYFUNCTION("""COMPUTED_VALUE"""),"2")</f>
        <v>2</v>
      </c>
      <c r="S22" s="18" t="str">
        <f ca="1">IFERROR(__xludf.DUMMYFUNCTION("""COMPUTED_VALUE"""),"N/A")</f>
        <v>N/A</v>
      </c>
      <c r="T22" s="18" t="str">
        <f ca="1">IFERROR(__xludf.DUMMYFUNCTION("""COMPUTED_VALUE"""),"0x0013")</f>
        <v>0x0013</v>
      </c>
      <c r="U22" s="18" t="str">
        <f ca="1">IFERROR(__xludf.DUMMYFUNCTION("""COMPUTED_VALUE"""),"0x0A")</f>
        <v>0x0A</v>
      </c>
      <c r="V22" s="18" t="str">
        <f ca="1">IFERROR(__xludf.DUMMYFUNCTION("""COMPUTED_VALUE"""),"0x0104")</f>
        <v>0x0104</v>
      </c>
      <c r="W22" s="18" t="str">
        <f ca="1">IFERROR(__xludf.DUMMYFUNCTION("""COMPUTED_VALUE"""),"0x0201")</f>
        <v>0x0201</v>
      </c>
      <c r="X22" s="18" t="str">
        <f ca="1">IFERROR(__xludf.DUMMYFUNCTION("""COMPUTED_VALUE"""),"0x29")</f>
        <v>0x29</v>
      </c>
      <c r="Y22" s="18" t="e">
        <f ca="1"/>
        <v>#NAME?</v>
      </c>
      <c r="Z22" s="18" t="str">
        <f ca="1">IFERROR(__xludf.DUMMYFUNCTION("""COMPUTED_VALUE"""),"lambdax:int(round(x,2)*100)")</f>
        <v>lambdax:int(round(x,2)*100)</v>
      </c>
      <c r="AA22" s="18" t="str">
        <f ca="1">IFERROR(__xludf.DUMMYFUNCTION("""COMPUTED_VALUE"""),"lambdax:x/100")</f>
        <v>lambdax:x/100</v>
      </c>
      <c r="AC22" s="59" t="s">
        <v>715</v>
      </c>
      <c r="AD22" s="59" t="s">
        <v>715</v>
      </c>
      <c r="AE22" s="59" t="s">
        <v>715</v>
      </c>
      <c r="AF22" s="59" t="s">
        <v>715</v>
      </c>
      <c r="AG22" s="59" t="s">
        <v>715</v>
      </c>
      <c r="AH22" s="59" t="s">
        <v>715</v>
      </c>
      <c r="AI22" s="59" t="s">
        <v>715</v>
      </c>
      <c r="AJ22" s="59" t="s">
        <v>715</v>
      </c>
      <c r="AK22" s="59" t="s">
        <v>715</v>
      </c>
      <c r="AL22" s="59" t="s">
        <v>715</v>
      </c>
      <c r="AM22" s="59" t="s">
        <v>715</v>
      </c>
      <c r="AN22" s="59" t="s">
        <v>715</v>
      </c>
      <c r="AO22" s="59" t="s">
        <v>715</v>
      </c>
      <c r="AP22" s="59" t="s">
        <v>716</v>
      </c>
      <c r="AQ22" s="59" t="s">
        <v>717</v>
      </c>
      <c r="AR22" s="59" t="s">
        <v>717</v>
      </c>
      <c r="AS22" s="59" t="s">
        <v>717</v>
      </c>
      <c r="AT22" s="59" t="s">
        <v>717</v>
      </c>
    </row>
    <row r="23" spans="1:46" ht="15.75" customHeight="1" x14ac:dyDescent="0.25">
      <c r="A23" s="18" t="str">
        <v>heat_setpoint_unocc:{"type":"attribute","data_type":"float","is_readonly":true,"reporting_type":"reported","report_max":3600,"report_min":0,"report_threshold":0,"decimal_places":2,"zigbee_metadata":{"attr_id":20,"endpoint_id":10,"profile_id":260,"cluster_id":513,"zcl_data_type":41,"write_formatter":"lambdax:int(round(x,2)*100)","read_formatter":"lambdax:x/100"}},</v>
      </c>
      <c r="B23" s="52" t="str">
        <f ca="1"/>
        <v>0x0201 0x0014</v>
      </c>
      <c r="C23" s="52" t="str">
        <f ca="1">IFERROR(__xludf.DUMMYFUNCTION("""COMPUTED_VALUE"""),"heat_setpoint_unocc")</f>
        <v>heat_setpoint_unocc</v>
      </c>
      <c r="D23" s="18" t="str">
        <f ca="1">IFERROR(__xludf.DUMMYFUNCTION("""COMPUTED_VALUE"""),"attribute")</f>
        <v>attribute</v>
      </c>
      <c r="E23" s="18" t="str">
        <f ca="1">IFERROR(__xludf.DUMMYFUNCTION("""COMPUTED_VALUE"""),"float")</f>
        <v>float</v>
      </c>
      <c r="F23" s="18" t="str">
        <f ca="1">IFERROR(__xludf.DUMMYFUNCTION("""COMPUTED_VALUE"""),"true")</f>
        <v>true</v>
      </c>
      <c r="G23" s="18" t="str">
        <f ca="1">IFERROR(__xludf.DUMMYFUNCTION("""COMPUTED_VALUE"""),"reported")</f>
        <v>reported</v>
      </c>
      <c r="H23" s="18" t="str">
        <f ca="1">IFERROR(__xludf.DUMMYFUNCTION("""COMPUTED_VALUE"""),"N/A")</f>
        <v>N/A</v>
      </c>
      <c r="I23" s="18" t="str">
        <f ca="1">IFERROR(__xludf.DUMMYFUNCTION("""COMPUTED_VALUE"""),"3600")</f>
        <v>3600</v>
      </c>
      <c r="J23" s="18" t="str">
        <f ca="1">IFERROR(__xludf.DUMMYFUNCTION("""COMPUTED_VALUE"""),"0")</f>
        <v>0</v>
      </c>
      <c r="K23" s="18" t="str">
        <f ca="1">IFERROR(__xludf.DUMMYFUNCTION("""COMPUTED_VALUE"""),"0")</f>
        <v>0</v>
      </c>
      <c r="L23" s="18" t="str">
        <f ca="1">IFERROR(__xludf.DUMMYFUNCTION("""COMPUTED_VALUE"""),"N/A")</f>
        <v>N/A</v>
      </c>
      <c r="M23" s="18" t="str">
        <f ca="1">IFERROR(__xludf.DUMMYFUNCTION("""COMPUTED_VALUE"""),"N/A")</f>
        <v>N/A</v>
      </c>
      <c r="N23" s="18" t="str">
        <f ca="1">IFERROR(__xludf.DUMMYFUNCTION("""COMPUTED_VALUE"""),"N/A")</f>
        <v>N/A</v>
      </c>
      <c r="O23" s="18" t="str">
        <f ca="1">IFERROR(__xludf.DUMMYFUNCTION("""COMPUTED_VALUE"""),"N/A")</f>
        <v>N/A</v>
      </c>
      <c r="P23" s="18" t="str">
        <f ca="1">IFERROR(__xludf.DUMMYFUNCTION("""COMPUTED_VALUE"""),"N/A")</f>
        <v>N/A</v>
      </c>
      <c r="Q23" s="18" t="str">
        <f ca="1">IFERROR(__xludf.DUMMYFUNCTION("""COMPUTED_VALUE"""),"N/A")</f>
        <v>N/A</v>
      </c>
      <c r="R23" s="18" t="str">
        <f ca="1">IFERROR(__xludf.DUMMYFUNCTION("""COMPUTED_VALUE"""),"2")</f>
        <v>2</v>
      </c>
      <c r="S23" s="18" t="str">
        <f ca="1">IFERROR(__xludf.DUMMYFUNCTION("""COMPUTED_VALUE"""),"N/A")</f>
        <v>N/A</v>
      </c>
      <c r="T23" s="18" t="str">
        <f ca="1">IFERROR(__xludf.DUMMYFUNCTION("""COMPUTED_VALUE"""),"0x0014")</f>
        <v>0x0014</v>
      </c>
      <c r="U23" s="18" t="str">
        <f ca="1">IFERROR(__xludf.DUMMYFUNCTION("""COMPUTED_VALUE"""),"0x0A")</f>
        <v>0x0A</v>
      </c>
      <c r="V23" s="18" t="str">
        <f ca="1">IFERROR(__xludf.DUMMYFUNCTION("""COMPUTED_VALUE"""),"0x0104")</f>
        <v>0x0104</v>
      </c>
      <c r="W23" s="18" t="str">
        <f ca="1">IFERROR(__xludf.DUMMYFUNCTION("""COMPUTED_VALUE"""),"0x0201")</f>
        <v>0x0201</v>
      </c>
      <c r="X23" s="18" t="str">
        <f ca="1">IFERROR(__xludf.DUMMYFUNCTION("""COMPUTED_VALUE"""),"0x29")</f>
        <v>0x29</v>
      </c>
      <c r="Y23" s="18" t="e">
        <f ca="1"/>
        <v>#NAME?</v>
      </c>
      <c r="Z23" s="18" t="str">
        <f ca="1">IFERROR(__xludf.DUMMYFUNCTION("""COMPUTED_VALUE"""),"lambdax:int(round(x,2)*100)")</f>
        <v>lambdax:int(round(x,2)*100)</v>
      </c>
      <c r="AA23" s="18" t="str">
        <f ca="1">IFERROR(__xludf.DUMMYFUNCTION("""COMPUTED_VALUE"""),"lambdax:x/100")</f>
        <v>lambdax:x/100</v>
      </c>
      <c r="AC23" s="59" t="s">
        <v>718</v>
      </c>
      <c r="AD23" s="59" t="s">
        <v>718</v>
      </c>
      <c r="AE23" s="59" t="s">
        <v>718</v>
      </c>
      <c r="AF23" s="59" t="s">
        <v>718</v>
      </c>
      <c r="AG23" s="59" t="s">
        <v>718</v>
      </c>
      <c r="AH23" s="59" t="s">
        <v>718</v>
      </c>
      <c r="AI23" s="59" t="s">
        <v>718</v>
      </c>
      <c r="AJ23" s="59" t="s">
        <v>718</v>
      </c>
      <c r="AK23" s="59" t="s">
        <v>718</v>
      </c>
      <c r="AL23" s="59" t="s">
        <v>718</v>
      </c>
      <c r="AM23" s="59" t="s">
        <v>718</v>
      </c>
      <c r="AN23" s="59" t="s">
        <v>718</v>
      </c>
      <c r="AO23" s="59" t="s">
        <v>718</v>
      </c>
      <c r="AP23" s="59" t="s">
        <v>719</v>
      </c>
      <c r="AQ23" s="59" t="s">
        <v>720</v>
      </c>
      <c r="AR23" s="59" t="s">
        <v>720</v>
      </c>
      <c r="AS23" s="59" t="s">
        <v>720</v>
      </c>
      <c r="AT23" s="59" t="s">
        <v>720</v>
      </c>
    </row>
    <row r="24" spans="1:46" ht="15.75" customHeight="1" x14ac:dyDescent="0.25">
      <c r="A24" s="18" t="str">
        <v>system_mode:{"type":"combined","data_type":"enum","is_readonly":false,"reporting_type":"reported","report_max":3600,"report_min":0,"bound_attr_enum":"system_modes_available","enum_values":["off","cool","heat","auto"],"default_value":null,"zigbee_metadata":{"attr_id":28,"endpoint_id":10,"profile_id":260,"cluster_id":513,"zcl_data_type":48,"write_formatter":"lambdax:{'off':0,'auto':1,'cool':3,'heat':4}[x]","read_formatter":"lambdax:{0:'off',1:'auto',3:'cool',4:'heat'}.get(x,'unknown')"}},</v>
      </c>
      <c r="B24" s="52" t="str">
        <f ca="1"/>
        <v>0x0201 0x001C</v>
      </c>
      <c r="C24" s="52" t="str">
        <f ca="1">IFERROR(__xludf.DUMMYFUNCTION("""COMPUTED_VALUE"""),"system_mode")</f>
        <v>system_mode</v>
      </c>
      <c r="D24" s="18" t="str">
        <f ca="1">IFERROR(__xludf.DUMMYFUNCTION("""COMPUTED_VALUE"""),"combined")</f>
        <v>combined</v>
      </c>
      <c r="E24" s="18" t="str">
        <f ca="1">IFERROR(__xludf.DUMMYFUNCTION("""COMPUTED_VALUE"""),"enum")</f>
        <v>enum</v>
      </c>
      <c r="F24" s="18" t="str">
        <f ca="1">IFERROR(__xludf.DUMMYFUNCTION("""COMPUTED_VALUE"""),"false")</f>
        <v>false</v>
      </c>
      <c r="G24" s="18" t="str">
        <f ca="1">IFERROR(__xludf.DUMMYFUNCTION("""COMPUTED_VALUE"""),"reported")</f>
        <v>reported</v>
      </c>
      <c r="H24" s="18" t="str">
        <f ca="1">IFERROR(__xludf.DUMMYFUNCTION("""COMPUTED_VALUE"""),"N/A")</f>
        <v>N/A</v>
      </c>
      <c r="I24" s="18" t="str">
        <f ca="1">IFERROR(__xludf.DUMMYFUNCTION("""COMPUTED_VALUE"""),"3600")</f>
        <v>3600</v>
      </c>
      <c r="J24" s="18" t="str">
        <f ca="1">IFERROR(__xludf.DUMMYFUNCTION("""COMPUTED_VALUE"""),"0")</f>
        <v>0</v>
      </c>
      <c r="K24" s="18" t="str">
        <f ca="1">IFERROR(__xludf.DUMMYFUNCTION("""COMPUTED_VALUE"""),"N/A")</f>
        <v>N/A</v>
      </c>
      <c r="L24" s="18" t="str">
        <f ca="1">IFERROR(__xludf.DUMMYFUNCTION("""COMPUTED_VALUE"""),"N/A")</f>
        <v>N/A</v>
      </c>
      <c r="M24" s="18" t="str">
        <f ca="1">IFERROR(__xludf.DUMMYFUNCTION("""COMPUTED_VALUE"""),"N/A")</f>
        <v>N/A</v>
      </c>
      <c r="N24" s="18" t="str">
        <f ca="1">IFERROR(__xludf.DUMMYFUNCTION("""COMPUTED_VALUE"""),"N/A")</f>
        <v>N/A</v>
      </c>
      <c r="O24" s="18" t="str">
        <f ca="1">IFERROR(__xludf.DUMMYFUNCTION("""COMPUTED_VALUE"""),"N/A")</f>
        <v>N/A</v>
      </c>
      <c r="P24" s="18" t="str">
        <f ca="1">IFERROR(__xludf.DUMMYFUNCTION("""COMPUTED_VALUE"""),"""off"",""cool"",""heat"",""auto""")</f>
        <v>"off","cool","heat","auto"</v>
      </c>
      <c r="Q24" s="18" t="str">
        <f ca="1">IFERROR(__xludf.DUMMYFUNCTION("""COMPUTED_VALUE"""),"system_modes_available")</f>
        <v>system_modes_available</v>
      </c>
      <c r="R24" s="18" t="str">
        <f ca="1">IFERROR(__xludf.DUMMYFUNCTION("""COMPUTED_VALUE"""),"N/A")</f>
        <v>N/A</v>
      </c>
      <c r="S24" s="18" t="str">
        <f ca="1">IFERROR(__xludf.DUMMYFUNCTION("""COMPUTED_VALUE"""),"null")</f>
        <v>null</v>
      </c>
      <c r="T24" s="18" t="str">
        <f ca="1">IFERROR(__xludf.DUMMYFUNCTION("""COMPUTED_VALUE"""),"0x001C")</f>
        <v>0x001C</v>
      </c>
      <c r="U24" s="18" t="str">
        <f ca="1">IFERROR(__xludf.DUMMYFUNCTION("""COMPUTED_VALUE"""),"0x0A")</f>
        <v>0x0A</v>
      </c>
      <c r="V24" s="18" t="str">
        <f ca="1">IFERROR(__xludf.DUMMYFUNCTION("""COMPUTED_VALUE"""),"0x0104")</f>
        <v>0x0104</v>
      </c>
      <c r="W24" s="18" t="str">
        <f ca="1">IFERROR(__xludf.DUMMYFUNCTION("""COMPUTED_VALUE"""),"0x0201")</f>
        <v>0x0201</v>
      </c>
      <c r="X24" s="18" t="str">
        <f ca="1">IFERROR(__xludf.DUMMYFUNCTION("""COMPUTED_VALUE"""),"0x30")</f>
        <v>0x30</v>
      </c>
      <c r="Y24" s="18" t="e">
        <f ca="1"/>
        <v>#NAME?</v>
      </c>
      <c r="Z24" s="18" t="str">
        <f ca="1">IFERROR(__xludf.DUMMYFUNCTION("""COMPUTED_VALUE"""),"lambdax:{'off':0,'auto':1,'cool':3,'heat':4}[x]")</f>
        <v>lambdax:{'off':0,'auto':1,'cool':3,'heat':4}[x]</v>
      </c>
      <c r="AA24" s="18" t="str">
        <f ca="1">IFERROR(__xludf.DUMMYFUNCTION("""COMPUTED_VALUE"""),"lambdax:{0:'off',1:'auto',3:'cool',4:'heat'}.get(x,'unknown')")</f>
        <v>lambdax:{0:'off',1:'auto',3:'cool',4:'heat'}.get(x,'unknown')</v>
      </c>
      <c r="AC24" s="59" t="s">
        <v>721</v>
      </c>
      <c r="AD24" s="59" t="s">
        <v>721</v>
      </c>
      <c r="AE24" s="59" t="s">
        <v>721</v>
      </c>
      <c r="AF24" s="59" t="s">
        <v>721</v>
      </c>
      <c r="AG24" s="59" t="s">
        <v>721</v>
      </c>
      <c r="AH24" s="59" t="s">
        <v>721</v>
      </c>
      <c r="AI24" s="59" t="s">
        <v>721</v>
      </c>
      <c r="AJ24" s="59" t="s">
        <v>721</v>
      </c>
      <c r="AK24" s="59" t="s">
        <v>721</v>
      </c>
      <c r="AL24" s="59" t="s">
        <v>721</v>
      </c>
      <c r="AM24" s="59" t="s">
        <v>721</v>
      </c>
      <c r="AN24" s="59" t="s">
        <v>721</v>
      </c>
      <c r="AO24" s="59" t="s">
        <v>721</v>
      </c>
      <c r="AP24" s="59" t="s">
        <v>722</v>
      </c>
      <c r="AQ24" s="59" t="s">
        <v>723</v>
      </c>
      <c r="AR24" s="59" t="s">
        <v>723</v>
      </c>
      <c r="AS24" s="59" t="s">
        <v>723</v>
      </c>
      <c r="AT24" s="59" t="s">
        <v>723</v>
      </c>
    </row>
    <row r="25" spans="1:46" ht="15.75" customHeight="1" x14ac:dyDescent="0.25">
      <c r="A25" s="18" t="str">
        <v>system_modes_available:{"type":"attribute","data_type":"enum_list","is_readonly":true,"reporting_type":"reported","report_max":3600,"report_min":0,"zigbee_metadata":{"attr_id":61467,"endpoint_id":10,"profile_id":260,"cluster_id":513,"zcl_data_type":48,"read_formatter":"lambdax:{0x00:['off','cool'],0x02:['off','heat'],0x04:['off','cool','heat'],0x89:['off','auto'],0x8f:['off','auto','cool','heat']}.get(x,[])"}},</v>
      </c>
      <c r="B25" s="52" t="str">
        <f ca="1"/>
        <v>0x0201 0xF01B</v>
      </c>
      <c r="C25" s="52" t="str">
        <f ca="1">IFERROR(__xludf.DUMMYFUNCTION("""COMPUTED_VALUE"""),"system_modes_available")</f>
        <v>system_modes_available</v>
      </c>
      <c r="D25" s="18" t="str">
        <f ca="1">IFERROR(__xludf.DUMMYFUNCTION("""COMPUTED_VALUE"""),"attribute")</f>
        <v>attribute</v>
      </c>
      <c r="E25" s="18" t="str">
        <f ca="1">IFERROR(__xludf.DUMMYFUNCTION("""COMPUTED_VALUE"""),"enum")</f>
        <v>enum</v>
      </c>
      <c r="F25" s="18" t="str">
        <f ca="1">IFERROR(__xludf.DUMMYFUNCTION("""COMPUTED_VALUE"""),"true")</f>
        <v>true</v>
      </c>
      <c r="G25" s="18" t="str">
        <f ca="1">IFERROR(__xludf.DUMMYFUNCTION("""COMPUTED_VALUE"""),"reported")</f>
        <v>reported</v>
      </c>
      <c r="H25" s="18" t="str">
        <f ca="1">IFERROR(__xludf.DUMMYFUNCTION("""COMPUTED_VALUE"""),"N/A")</f>
        <v>N/A</v>
      </c>
      <c r="I25" s="18" t="str">
        <f ca="1">IFERROR(__xludf.DUMMYFUNCTION("""COMPUTED_VALUE"""),"3600")</f>
        <v>3600</v>
      </c>
      <c r="J25" s="18" t="str">
        <f ca="1">IFERROR(__xludf.DUMMYFUNCTION("""COMPUTED_VALUE"""),"0")</f>
        <v>0</v>
      </c>
      <c r="K25" s="18" t="str">
        <f ca="1">IFERROR(__xludf.DUMMYFUNCTION("""COMPUTED_VALUE"""),"N/A")</f>
        <v>N/A</v>
      </c>
      <c r="L25" s="18" t="str">
        <f ca="1">IFERROR(__xludf.DUMMYFUNCTION("""COMPUTED_VALUE"""),"N/A")</f>
        <v>N/A</v>
      </c>
      <c r="M25" s="18" t="str">
        <f ca="1">IFERROR(__xludf.DUMMYFUNCTION("""COMPUTED_VALUE"""),"N/A")</f>
        <v>N/A</v>
      </c>
      <c r="N25" s="18" t="str">
        <f ca="1">IFERROR(__xludf.DUMMYFUNCTION("""COMPUTED_VALUE"""),"N/A")</f>
        <v>N/A</v>
      </c>
      <c r="O25" s="18" t="str">
        <f ca="1">IFERROR(__xludf.DUMMYFUNCTION("""COMPUTED_VALUE"""),"N/A")</f>
        <v>N/A</v>
      </c>
      <c r="P25" s="18" t="str">
        <f ca="1">IFERROR(__xludf.DUMMYFUNCTION("""COMPUTED_VALUE"""),"N/A")</f>
        <v>N/A</v>
      </c>
      <c r="Q25" s="18" t="str">
        <f ca="1">IFERROR(__xludf.DUMMYFUNCTION("""COMPUTED_VALUE"""),"N/A")</f>
        <v>N/A</v>
      </c>
      <c r="R25" s="18" t="str">
        <f ca="1">IFERROR(__xludf.DUMMYFUNCTION("""COMPUTED_VALUE"""),"N/A")</f>
        <v>N/A</v>
      </c>
      <c r="S25" s="18" t="str">
        <f ca="1">IFERROR(__xludf.DUMMYFUNCTION("""COMPUTED_VALUE"""),"N/A")</f>
        <v>N/A</v>
      </c>
      <c r="T25" s="18" t="str">
        <f ca="1">IFERROR(__xludf.DUMMYFUNCTION("""COMPUTED_VALUE"""),"0xF01B")</f>
        <v>0xF01B</v>
      </c>
      <c r="U25" s="18" t="str">
        <f ca="1">IFERROR(__xludf.DUMMYFUNCTION("""COMPUTED_VALUE"""),"0x0A")</f>
        <v>0x0A</v>
      </c>
      <c r="V25" s="18" t="str">
        <f ca="1">IFERROR(__xludf.DUMMYFUNCTION("""COMPUTED_VALUE"""),"0x0104")</f>
        <v>0x0104</v>
      </c>
      <c r="W25" s="18" t="str">
        <f ca="1">IFERROR(__xludf.DUMMYFUNCTION("""COMPUTED_VALUE"""),"0x0201")</f>
        <v>0x0201</v>
      </c>
      <c r="X25" s="18" t="str">
        <f ca="1">IFERROR(__xludf.DUMMYFUNCTION("""COMPUTED_VALUE"""),"0x30")</f>
        <v>0x30</v>
      </c>
      <c r="Y25" s="18" t="e">
        <f ca="1"/>
        <v>#NAME?</v>
      </c>
      <c r="Z25" s="18" t="str">
        <f ca="1">IFERROR(__xludf.DUMMYFUNCTION("""COMPUTED_VALUE"""),"N/A")</f>
        <v>N/A</v>
      </c>
      <c r="AA25" s="18" t="str">
        <f ca="1">IFERROR(__xludf.DUMMYFUNCTION("""COMPUTED_VALUE"""),"lambdax:{0x00:['off','cool'],0x02:['off','heat'],0x04:['off','cool','heat'],0x89:['off','auto'],0x8f:['off','auto','cool','heat']}.get(x,[])")</f>
        <v>lambdax:{0x00:['off','cool'],0x02:['off','heat'],0x04:['off','cool','heat'],0x89:['off','auto'],0x8f:['off','auto','cool','heat']}.get(x,[])</v>
      </c>
      <c r="AC25" s="59" t="s">
        <v>724</v>
      </c>
      <c r="AD25" s="59" t="s">
        <v>724</v>
      </c>
      <c r="AE25" s="59" t="s">
        <v>724</v>
      </c>
      <c r="AF25" s="59" t="s">
        <v>724</v>
      </c>
      <c r="AG25" s="59" t="s">
        <v>724</v>
      </c>
      <c r="AH25" s="59" t="s">
        <v>724</v>
      </c>
      <c r="AI25" s="59" t="s">
        <v>724</v>
      </c>
      <c r="AJ25" s="59" t="s">
        <v>724</v>
      </c>
      <c r="AK25" s="59" t="s">
        <v>724</v>
      </c>
      <c r="AL25" s="59" t="s">
        <v>724</v>
      </c>
      <c r="AM25" s="59" t="s">
        <v>724</v>
      </c>
      <c r="AN25" s="59" t="s">
        <v>724</v>
      </c>
      <c r="AO25" s="59" t="s">
        <v>724</v>
      </c>
      <c r="AP25" s="59" t="s">
        <v>725</v>
      </c>
      <c r="AQ25" s="59" t="s">
        <v>726</v>
      </c>
      <c r="AR25" s="59" t="s">
        <v>726</v>
      </c>
      <c r="AS25" s="59" t="s">
        <v>726</v>
      </c>
      <c r="AT25" s="59" t="s">
        <v>726</v>
      </c>
    </row>
    <row r="26" spans="1:46" ht="15.75" customHeight="1" x14ac:dyDescent="0.25">
      <c r="A26" s="18" t="str">
        <v>running_mode:{"type":"telemetry","data_type":"enum","is_readonly":true,"reporting_type":"reported","report_max":3600,"report_min":0,"enum_values":["off","cool","heat"],"zigbee_metadata":{"attr_id":30,"endpoint_id":10,"profile_id":260,"cluster_id":513,"zcl_data_type":48,"read_formatter":"lambdax:{0:'off',3:'cool',4:'heat'}.get(x,'unknown')"}},</v>
      </c>
      <c r="B26" s="52" t="str">
        <f ca="1"/>
        <v>0x0201 0x001E</v>
      </c>
      <c r="C26" s="52" t="str">
        <f ca="1">IFERROR(__xludf.DUMMYFUNCTION("""COMPUTED_VALUE"""),"running_mode")</f>
        <v>running_mode</v>
      </c>
      <c r="D26" s="18" t="str">
        <f ca="1">IFERROR(__xludf.DUMMYFUNCTION("""COMPUTED_VALUE"""),"telemetry")</f>
        <v>telemetry</v>
      </c>
      <c r="E26" s="18" t="str">
        <f ca="1">IFERROR(__xludf.DUMMYFUNCTION("""COMPUTED_VALUE"""),"enum")</f>
        <v>enum</v>
      </c>
      <c r="F26" s="18" t="str">
        <f ca="1">IFERROR(__xludf.DUMMYFUNCTION("""COMPUTED_VALUE"""),"true")</f>
        <v>true</v>
      </c>
      <c r="G26" s="18" t="str">
        <f ca="1">IFERROR(__xludf.DUMMYFUNCTION("""COMPUTED_VALUE"""),"reported")</f>
        <v>reported</v>
      </c>
      <c r="H26" s="18" t="str">
        <f ca="1">IFERROR(__xludf.DUMMYFUNCTION("""COMPUTED_VALUE"""),"N/A")</f>
        <v>N/A</v>
      </c>
      <c r="I26" s="18" t="str">
        <f ca="1">IFERROR(__xludf.DUMMYFUNCTION("""COMPUTED_VALUE"""),"3600")</f>
        <v>3600</v>
      </c>
      <c r="J26" s="18" t="str">
        <f ca="1">IFERROR(__xludf.DUMMYFUNCTION("""COMPUTED_VALUE"""),"0")</f>
        <v>0</v>
      </c>
      <c r="K26" s="18" t="str">
        <f ca="1">IFERROR(__xludf.DUMMYFUNCTION("""COMPUTED_VALUE"""),"N/A")</f>
        <v>N/A</v>
      </c>
      <c r="L26" s="18" t="str">
        <f ca="1">IFERROR(__xludf.DUMMYFUNCTION("""COMPUTED_VALUE"""),"N/A")</f>
        <v>N/A</v>
      </c>
      <c r="M26" s="18" t="str">
        <f ca="1">IFERROR(__xludf.DUMMYFUNCTION("""COMPUTED_VALUE"""),"N/A")</f>
        <v>N/A</v>
      </c>
      <c r="N26" s="18" t="str">
        <f ca="1">IFERROR(__xludf.DUMMYFUNCTION("""COMPUTED_VALUE"""),"N/A")</f>
        <v>N/A</v>
      </c>
      <c r="O26" s="18" t="str">
        <f ca="1">IFERROR(__xludf.DUMMYFUNCTION("""COMPUTED_VALUE"""),"N/A")</f>
        <v>N/A</v>
      </c>
      <c r="P26" s="18" t="str">
        <f ca="1">IFERROR(__xludf.DUMMYFUNCTION("""COMPUTED_VALUE"""),"""off"",""cool"",""heat""")</f>
        <v>"off","cool","heat"</v>
      </c>
      <c r="Q26" s="18" t="str">
        <f ca="1">IFERROR(__xludf.DUMMYFUNCTION("""COMPUTED_VALUE"""),"N/A")</f>
        <v>N/A</v>
      </c>
      <c r="R26" s="18" t="str">
        <f ca="1">IFERROR(__xludf.DUMMYFUNCTION("""COMPUTED_VALUE"""),"N/A")</f>
        <v>N/A</v>
      </c>
      <c r="S26" s="18" t="str">
        <f ca="1">IFERROR(__xludf.DUMMYFUNCTION("""COMPUTED_VALUE"""),"N/A")</f>
        <v>N/A</v>
      </c>
      <c r="T26" s="18" t="str">
        <f ca="1">IFERROR(__xludf.DUMMYFUNCTION("""COMPUTED_VALUE"""),"0x001E")</f>
        <v>0x001E</v>
      </c>
      <c r="U26" s="18" t="str">
        <f ca="1">IFERROR(__xludf.DUMMYFUNCTION("""COMPUTED_VALUE"""),"0x0A")</f>
        <v>0x0A</v>
      </c>
      <c r="V26" s="18" t="str">
        <f ca="1">IFERROR(__xludf.DUMMYFUNCTION("""COMPUTED_VALUE"""),"0x0104")</f>
        <v>0x0104</v>
      </c>
      <c r="W26" s="18" t="str">
        <f ca="1">IFERROR(__xludf.DUMMYFUNCTION("""COMPUTED_VALUE"""),"0x0201")</f>
        <v>0x0201</v>
      </c>
      <c r="X26" s="18" t="str">
        <f ca="1">IFERROR(__xludf.DUMMYFUNCTION("""COMPUTED_VALUE"""),"0x30")</f>
        <v>0x30</v>
      </c>
      <c r="Y26" s="18" t="e">
        <f ca="1"/>
        <v>#NAME?</v>
      </c>
      <c r="Z26" s="18" t="str">
        <f ca="1">IFERROR(__xludf.DUMMYFUNCTION("""COMPUTED_VALUE"""),"N/A")</f>
        <v>N/A</v>
      </c>
      <c r="AA26" s="18" t="str">
        <f ca="1">IFERROR(__xludf.DUMMYFUNCTION("""COMPUTED_VALUE"""),"lambdax:{0:'off',3:'cool',4:'heat'}.get(x,'unknown')")</f>
        <v>lambdax:{0:'off',3:'cool',4:'heat'}.get(x,'unknown')</v>
      </c>
      <c r="AC26" s="59" t="s">
        <v>727</v>
      </c>
      <c r="AD26" s="59" t="s">
        <v>727</v>
      </c>
      <c r="AE26" s="59" t="s">
        <v>727</v>
      </c>
      <c r="AF26" s="59" t="s">
        <v>727</v>
      </c>
      <c r="AG26" s="59" t="s">
        <v>727</v>
      </c>
      <c r="AH26" s="59" t="s">
        <v>727</v>
      </c>
      <c r="AI26" s="59" t="s">
        <v>727</v>
      </c>
      <c r="AJ26" s="59" t="s">
        <v>727</v>
      </c>
      <c r="AK26" s="59" t="s">
        <v>727</v>
      </c>
      <c r="AL26" s="59" t="s">
        <v>727</v>
      </c>
      <c r="AM26" s="59" t="s">
        <v>727</v>
      </c>
      <c r="AN26" s="59" t="s">
        <v>727</v>
      </c>
      <c r="AO26" s="59" t="s">
        <v>727</v>
      </c>
      <c r="AP26" s="59" t="s">
        <v>728</v>
      </c>
      <c r="AQ26" s="59" t="s">
        <v>729</v>
      </c>
      <c r="AR26" s="59" t="s">
        <v>729</v>
      </c>
      <c r="AS26" s="59" t="s">
        <v>729</v>
      </c>
      <c r="AT26" s="59" t="s">
        <v>729</v>
      </c>
    </row>
    <row r="27" spans="1:46" ht="15.75" customHeight="1" x14ac:dyDescent="0.25">
      <c r="A27" s="18" t="str">
        <v>fan_mode:{"type":"combined","data_type":"enum","is_readonly":false,"reporting_type":"reported","report_max":3600,"report_min":0,"bound_attr_enum":"fan_modes_available","default_value":null,"enum_values":["auto","on","low","medium","high"],"zigbee_metadata":{"attr_id":0,"endpoint_id":10,"profile_id":260,"cluster_id":514,"zcl_data_type":48,"write_formatter":"lambdax:{'low':1,'medium':2,'high':3,'on':4,'auto':5}[x]","read_formatter":"lambdax:{1:'low',2:'medium',3:'high',4:'on',5:'auto'}.get(x,'unknown')"}},</v>
      </c>
      <c r="B27" s="52" t="str">
        <f ca="1"/>
        <v>0x0202 0x0000</v>
      </c>
      <c r="C27" s="52" t="str">
        <f ca="1">IFERROR(__xludf.DUMMYFUNCTION("""COMPUTED_VALUE"""),"fan_mode")</f>
        <v>fan_mode</v>
      </c>
      <c r="D27" s="18" t="str">
        <f ca="1">IFERROR(__xludf.DUMMYFUNCTION("""COMPUTED_VALUE"""),"combined")</f>
        <v>combined</v>
      </c>
      <c r="E27" s="18" t="str">
        <f ca="1">IFERROR(__xludf.DUMMYFUNCTION("""COMPUTED_VALUE"""),"enum")</f>
        <v>enum</v>
      </c>
      <c r="F27" s="18" t="str">
        <f ca="1">IFERROR(__xludf.DUMMYFUNCTION("""COMPUTED_VALUE"""),"false")</f>
        <v>false</v>
      </c>
      <c r="G27" s="18" t="str">
        <f ca="1">IFERROR(__xludf.DUMMYFUNCTION("""COMPUTED_VALUE"""),"reported")</f>
        <v>reported</v>
      </c>
      <c r="H27" s="18" t="str">
        <f ca="1">IFERROR(__xludf.DUMMYFUNCTION("""COMPUTED_VALUE"""),"N/A")</f>
        <v>N/A</v>
      </c>
      <c r="I27" s="18" t="str">
        <f ca="1">IFERROR(__xludf.DUMMYFUNCTION("""COMPUTED_VALUE"""),"3600")</f>
        <v>3600</v>
      </c>
      <c r="J27" s="18" t="str">
        <f ca="1">IFERROR(__xludf.DUMMYFUNCTION("""COMPUTED_VALUE"""),"0")</f>
        <v>0</v>
      </c>
      <c r="K27" s="18" t="str">
        <f ca="1">IFERROR(__xludf.DUMMYFUNCTION("""COMPUTED_VALUE"""),"N/A")</f>
        <v>N/A</v>
      </c>
      <c r="L27" s="18" t="str">
        <f ca="1">IFERROR(__xludf.DUMMYFUNCTION("""COMPUTED_VALUE"""),"N/A")</f>
        <v>N/A</v>
      </c>
      <c r="M27" s="18" t="str">
        <f ca="1">IFERROR(__xludf.DUMMYFUNCTION("""COMPUTED_VALUE"""),"N/A")</f>
        <v>N/A</v>
      </c>
      <c r="N27" s="18" t="str">
        <f ca="1">IFERROR(__xludf.DUMMYFUNCTION("""COMPUTED_VALUE"""),"N/A")</f>
        <v>N/A</v>
      </c>
      <c r="O27" s="18" t="str">
        <f ca="1">IFERROR(__xludf.DUMMYFUNCTION("""COMPUTED_VALUE"""),"N/A")</f>
        <v>N/A</v>
      </c>
      <c r="P27" s="18" t="str">
        <f ca="1">IFERROR(__xludf.DUMMYFUNCTION("""COMPUTED_VALUE"""),"""auto"",""on"",""low"",""medium"",""high""")</f>
        <v>"auto","on","low","medium","high"</v>
      </c>
      <c r="Q27" s="18" t="str">
        <f ca="1">IFERROR(__xludf.DUMMYFUNCTION("""COMPUTED_VALUE"""),"fan_modes_available")</f>
        <v>fan_modes_available</v>
      </c>
      <c r="R27" s="18" t="str">
        <f ca="1">IFERROR(__xludf.DUMMYFUNCTION("""COMPUTED_VALUE"""),"N/A")</f>
        <v>N/A</v>
      </c>
      <c r="S27" s="18" t="str">
        <f ca="1">IFERROR(__xludf.DUMMYFUNCTION("""COMPUTED_VALUE"""),"null")</f>
        <v>null</v>
      </c>
      <c r="T27" s="18" t="str">
        <f ca="1">IFERROR(__xludf.DUMMYFUNCTION("""COMPUTED_VALUE"""),"0x0000")</f>
        <v>0x0000</v>
      </c>
      <c r="U27" s="18" t="str">
        <f ca="1">IFERROR(__xludf.DUMMYFUNCTION("""COMPUTED_VALUE"""),"0x0A")</f>
        <v>0x0A</v>
      </c>
      <c r="V27" s="18" t="str">
        <f ca="1">IFERROR(__xludf.DUMMYFUNCTION("""COMPUTED_VALUE"""),"0x0104")</f>
        <v>0x0104</v>
      </c>
      <c r="W27" s="18" t="str">
        <f ca="1">IFERROR(__xludf.DUMMYFUNCTION("""COMPUTED_VALUE"""),"0x0202")</f>
        <v>0x0202</v>
      </c>
      <c r="X27" s="18" t="str">
        <f ca="1">IFERROR(__xludf.DUMMYFUNCTION("""COMPUTED_VALUE"""),"0x30")</f>
        <v>0x30</v>
      </c>
      <c r="Y27" s="18" t="e">
        <f ca="1"/>
        <v>#NAME?</v>
      </c>
      <c r="Z27" s="18" t="str">
        <f ca="1">IFERROR(__xludf.DUMMYFUNCTION("""COMPUTED_VALUE"""),"lambdax:{'low':1,'medium':2,'high':3,'on':4,'auto':5}[x]")</f>
        <v>lambdax:{'low':1,'medium':2,'high':3,'on':4,'auto':5}[x]</v>
      </c>
      <c r="AA27" s="18" t="str">
        <f ca="1">IFERROR(__xludf.DUMMYFUNCTION("""COMPUTED_VALUE"""),"lambdax:{1:'low',2:'medium',3:'high',4:'on',5:'auto'}.get(x,'unknown')")</f>
        <v>lambdax:{1:'low',2:'medium',3:'high',4:'on',5:'auto'}.get(x,'unknown')</v>
      </c>
      <c r="AC27" s="59" t="s">
        <v>730</v>
      </c>
      <c r="AD27" s="59" t="s">
        <v>730</v>
      </c>
      <c r="AE27" s="59" t="s">
        <v>730</v>
      </c>
      <c r="AF27" s="59" t="s">
        <v>730</v>
      </c>
      <c r="AG27" s="59" t="s">
        <v>730</v>
      </c>
      <c r="AH27" s="59" t="s">
        <v>730</v>
      </c>
      <c r="AI27" s="59" t="s">
        <v>730</v>
      </c>
      <c r="AJ27" s="59" t="s">
        <v>730</v>
      </c>
      <c r="AK27" s="59" t="s">
        <v>730</v>
      </c>
      <c r="AL27" s="59" t="s">
        <v>730</v>
      </c>
      <c r="AM27" s="59" t="s">
        <v>730</v>
      </c>
      <c r="AN27" s="59" t="s">
        <v>730</v>
      </c>
      <c r="AO27" s="59" t="s">
        <v>730</v>
      </c>
      <c r="AP27" s="59" t="s">
        <v>731</v>
      </c>
      <c r="AQ27" s="59" t="s">
        <v>732</v>
      </c>
      <c r="AR27" s="59" t="s">
        <v>732</v>
      </c>
      <c r="AS27" s="59" t="s">
        <v>732</v>
      </c>
      <c r="AT27" s="59" t="s">
        <v>732</v>
      </c>
    </row>
    <row r="28" spans="1:46" ht="15.75" customHeight="1" x14ac:dyDescent="0.25">
      <c r="A28" s="18" t="str">
        <v>fan_modes_available:{"type":"attribute","data_type":"enum_list","is_readonly":true,"reporting_type":"reported","report_max":3600,"report_min":0,"zigbee_metadata":{"attr_id":1,"endpoint_id":10,"profile_id":260,"cluster_id":514,"zcl_data_type":48,"read_formatter":"lambdax:{0x88:['auto'],0x04:['auto','on'],0x03:['auto','low','high'],0x02:['auto','low','medium','high']}.get(x,[])"}},</v>
      </c>
      <c r="B28" s="52" t="str">
        <f ca="1"/>
        <v>0x0202 0x0001</v>
      </c>
      <c r="C28" s="52" t="str">
        <f ca="1">IFERROR(__xludf.DUMMYFUNCTION("""COMPUTED_VALUE"""),"fan_modes_available")</f>
        <v>fan_modes_available</v>
      </c>
      <c r="D28" s="18" t="str">
        <f ca="1">IFERROR(__xludf.DUMMYFUNCTION("""COMPUTED_VALUE"""),"attribute")</f>
        <v>attribute</v>
      </c>
      <c r="E28" s="18" t="str">
        <f ca="1">IFERROR(__xludf.DUMMYFUNCTION("""COMPUTED_VALUE"""),"enum")</f>
        <v>enum</v>
      </c>
      <c r="F28" s="18" t="str">
        <f ca="1">IFERROR(__xludf.DUMMYFUNCTION("""COMPUTED_VALUE"""),"true")</f>
        <v>true</v>
      </c>
      <c r="G28" s="18" t="str">
        <f ca="1">IFERROR(__xludf.DUMMYFUNCTION("""COMPUTED_VALUE"""),"reported")</f>
        <v>reported</v>
      </c>
      <c r="H28" s="18" t="str">
        <f ca="1">IFERROR(__xludf.DUMMYFUNCTION("""COMPUTED_VALUE"""),"N/A")</f>
        <v>N/A</v>
      </c>
      <c r="I28" s="18" t="str">
        <f ca="1">IFERROR(__xludf.DUMMYFUNCTION("""COMPUTED_VALUE"""),"3600")</f>
        <v>3600</v>
      </c>
      <c r="J28" s="18" t="str">
        <f ca="1">IFERROR(__xludf.DUMMYFUNCTION("""COMPUTED_VALUE"""),"0")</f>
        <v>0</v>
      </c>
      <c r="K28" s="18" t="str">
        <f ca="1">IFERROR(__xludf.DUMMYFUNCTION("""COMPUTED_VALUE"""),"N/A")</f>
        <v>N/A</v>
      </c>
      <c r="L28" s="18" t="str">
        <f ca="1">IFERROR(__xludf.DUMMYFUNCTION("""COMPUTED_VALUE"""),"N/A")</f>
        <v>N/A</v>
      </c>
      <c r="M28" s="18" t="str">
        <f ca="1">IFERROR(__xludf.DUMMYFUNCTION("""COMPUTED_VALUE"""),"N/A")</f>
        <v>N/A</v>
      </c>
      <c r="N28" s="18" t="str">
        <f ca="1">IFERROR(__xludf.DUMMYFUNCTION("""COMPUTED_VALUE"""),"N/A")</f>
        <v>N/A</v>
      </c>
      <c r="O28" s="18" t="str">
        <f ca="1">IFERROR(__xludf.DUMMYFUNCTION("""COMPUTED_VALUE"""),"N/A")</f>
        <v>N/A</v>
      </c>
      <c r="P28" s="18" t="str">
        <f ca="1">IFERROR(__xludf.DUMMYFUNCTION("""COMPUTED_VALUE"""),"N/A")</f>
        <v>N/A</v>
      </c>
      <c r="Q28" s="18" t="str">
        <f ca="1">IFERROR(__xludf.DUMMYFUNCTION("""COMPUTED_VALUE"""),"N/A")</f>
        <v>N/A</v>
      </c>
      <c r="R28" s="18" t="str">
        <f ca="1">IFERROR(__xludf.DUMMYFUNCTION("""COMPUTED_VALUE"""),"N/A")</f>
        <v>N/A</v>
      </c>
      <c r="S28" s="18" t="str">
        <f ca="1">IFERROR(__xludf.DUMMYFUNCTION("""COMPUTED_VALUE"""),"N/A")</f>
        <v>N/A</v>
      </c>
      <c r="T28" s="18" t="str">
        <f ca="1">IFERROR(__xludf.DUMMYFUNCTION("""COMPUTED_VALUE"""),"0x0001")</f>
        <v>0x0001</v>
      </c>
      <c r="U28" s="18" t="str">
        <f ca="1">IFERROR(__xludf.DUMMYFUNCTION("""COMPUTED_VALUE"""),"0x0A")</f>
        <v>0x0A</v>
      </c>
      <c r="V28" s="18" t="str">
        <f ca="1">IFERROR(__xludf.DUMMYFUNCTION("""COMPUTED_VALUE"""),"0x0104")</f>
        <v>0x0104</v>
      </c>
      <c r="W28" s="18" t="str">
        <f ca="1">IFERROR(__xludf.DUMMYFUNCTION("""COMPUTED_VALUE"""),"0x0202")</f>
        <v>0x0202</v>
      </c>
      <c r="X28" s="18" t="str">
        <f ca="1">IFERROR(__xludf.DUMMYFUNCTION("""COMPUTED_VALUE"""),"0x30")</f>
        <v>0x30</v>
      </c>
      <c r="Y28" s="18" t="e">
        <f ca="1"/>
        <v>#NAME?</v>
      </c>
      <c r="Z28" s="18" t="str">
        <f ca="1">IFERROR(__xludf.DUMMYFUNCTION("""COMPUTED_VALUE"""),"N/A")</f>
        <v>N/A</v>
      </c>
      <c r="AA28" s="18" t="str">
        <f ca="1">IFERROR(__xludf.DUMMYFUNCTION("""COMPUTED_VALUE"""),"lambdax:{0x88:['auto'],0x04:['auto','on'],0x03:['auto','low','high'],0x02:['auto','low','medium','high']}.get(x,[])")</f>
        <v>lambdax:{0x88:['auto'],0x04:['auto','on'],0x03:['auto','low','high'],0x02:['auto','low','medium','high']}.get(x,[])</v>
      </c>
      <c r="AC28" s="59" t="s">
        <v>733</v>
      </c>
      <c r="AD28" s="59" t="s">
        <v>733</v>
      </c>
      <c r="AE28" s="59" t="s">
        <v>733</v>
      </c>
      <c r="AF28" s="59" t="s">
        <v>733</v>
      </c>
      <c r="AG28" s="59" t="s">
        <v>733</v>
      </c>
      <c r="AH28" s="59" t="s">
        <v>733</v>
      </c>
      <c r="AI28" s="59" t="s">
        <v>733</v>
      </c>
      <c r="AJ28" s="59" t="s">
        <v>733</v>
      </c>
      <c r="AK28" s="59" t="s">
        <v>733</v>
      </c>
      <c r="AL28" s="59" t="s">
        <v>733</v>
      </c>
      <c r="AM28" s="59" t="s">
        <v>733</v>
      </c>
      <c r="AN28" s="59" t="s">
        <v>733</v>
      </c>
      <c r="AO28" s="59" t="s">
        <v>733</v>
      </c>
      <c r="AP28" s="59" t="s">
        <v>734</v>
      </c>
      <c r="AQ28" s="59" t="s">
        <v>735</v>
      </c>
      <c r="AR28" s="59" t="s">
        <v>735</v>
      </c>
      <c r="AS28" s="59" t="s">
        <v>735</v>
      </c>
      <c r="AT28" s="59" t="s">
        <v>735</v>
      </c>
    </row>
    <row r="29" spans="1:46" ht="15.75" customHeight="1" x14ac:dyDescent="0.25">
      <c r="A29" s="18" t="str">
        <v>fan_state:{"type":"telemetry","data_type":"enum","is_readonly":true,"reporting_type":"reported","report_max":3600,"report_min":0,"enum_values":["off","low","medium","high","on"],"zigbee_metadata":{"attr_id":61440,"endpoint_id":10,"profile_id":260,"cluster_id":513,"zcl_data_type":48,"read_formatter":"lambdax:{0:'off',1:'low',2:'medium',3:'high',4:'on'}.get(x,'unknown')"}},</v>
      </c>
      <c r="B29" s="52" t="str">
        <f ca="1"/>
        <v>0x0201 0xF000</v>
      </c>
      <c r="C29" s="52" t="str">
        <f ca="1">IFERROR(__xludf.DUMMYFUNCTION("""COMPUTED_VALUE"""),"fan_state")</f>
        <v>fan_state</v>
      </c>
      <c r="D29" s="18" t="str">
        <f ca="1">IFERROR(__xludf.DUMMYFUNCTION("""COMPUTED_VALUE"""),"telemetry")</f>
        <v>telemetry</v>
      </c>
      <c r="E29" s="18" t="str">
        <f ca="1">IFERROR(__xludf.DUMMYFUNCTION("""COMPUTED_VALUE"""),"enum")</f>
        <v>enum</v>
      </c>
      <c r="F29" s="18" t="str">
        <f ca="1">IFERROR(__xludf.DUMMYFUNCTION("""COMPUTED_VALUE"""),"true")</f>
        <v>true</v>
      </c>
      <c r="G29" s="18" t="str">
        <f ca="1">IFERROR(__xludf.DUMMYFUNCTION("""COMPUTED_VALUE"""),"reported")</f>
        <v>reported</v>
      </c>
      <c r="H29" s="18" t="str">
        <f ca="1">IFERROR(__xludf.DUMMYFUNCTION("""COMPUTED_VALUE"""),"N/A")</f>
        <v>N/A</v>
      </c>
      <c r="I29" s="18" t="str">
        <f ca="1">IFERROR(__xludf.DUMMYFUNCTION("""COMPUTED_VALUE"""),"3600")</f>
        <v>3600</v>
      </c>
      <c r="J29" s="18" t="str">
        <f ca="1">IFERROR(__xludf.DUMMYFUNCTION("""COMPUTED_VALUE"""),"0")</f>
        <v>0</v>
      </c>
      <c r="K29" s="18" t="str">
        <f ca="1">IFERROR(__xludf.DUMMYFUNCTION("""COMPUTED_VALUE"""),"N/A")</f>
        <v>N/A</v>
      </c>
      <c r="L29" s="18" t="str">
        <f ca="1">IFERROR(__xludf.DUMMYFUNCTION("""COMPUTED_VALUE"""),"N/A")</f>
        <v>N/A</v>
      </c>
      <c r="M29" s="18" t="str">
        <f ca="1">IFERROR(__xludf.DUMMYFUNCTION("""COMPUTED_VALUE"""),"N/A")</f>
        <v>N/A</v>
      </c>
      <c r="N29" s="18" t="str">
        <f ca="1">IFERROR(__xludf.DUMMYFUNCTION("""COMPUTED_VALUE"""),"N/A")</f>
        <v>N/A</v>
      </c>
      <c r="O29" s="18" t="str">
        <f ca="1">IFERROR(__xludf.DUMMYFUNCTION("""COMPUTED_VALUE"""),"N/A")</f>
        <v>N/A</v>
      </c>
      <c r="P29" s="18" t="str">
        <f ca="1">IFERROR(__xludf.DUMMYFUNCTION("""COMPUTED_VALUE"""),"""off"",""low"",""medium"",""high"",""on""")</f>
        <v>"off","low","medium","high","on"</v>
      </c>
      <c r="Q29" s="18" t="str">
        <f ca="1">IFERROR(__xludf.DUMMYFUNCTION("""COMPUTED_VALUE"""),"N/A")</f>
        <v>N/A</v>
      </c>
      <c r="R29" s="18" t="str">
        <f ca="1">IFERROR(__xludf.DUMMYFUNCTION("""COMPUTED_VALUE"""),"N/A")</f>
        <v>N/A</v>
      </c>
      <c r="S29" s="18" t="str">
        <f ca="1">IFERROR(__xludf.DUMMYFUNCTION("""COMPUTED_VALUE"""),"N/A")</f>
        <v>N/A</v>
      </c>
      <c r="T29" s="18" t="str">
        <f ca="1">IFERROR(__xludf.DUMMYFUNCTION("""COMPUTED_VALUE"""),"0xF000")</f>
        <v>0xF000</v>
      </c>
      <c r="U29" s="18" t="str">
        <f ca="1">IFERROR(__xludf.DUMMYFUNCTION("""COMPUTED_VALUE"""),"0x0A")</f>
        <v>0x0A</v>
      </c>
      <c r="V29" s="18" t="str">
        <f ca="1">IFERROR(__xludf.DUMMYFUNCTION("""COMPUTED_VALUE"""),"0x0104")</f>
        <v>0x0104</v>
      </c>
      <c r="W29" s="18" t="str">
        <f ca="1">IFERROR(__xludf.DUMMYFUNCTION("""COMPUTED_VALUE"""),"0x0201")</f>
        <v>0x0201</v>
      </c>
      <c r="X29" s="18" t="str">
        <f ca="1">IFERROR(__xludf.DUMMYFUNCTION("""COMPUTED_VALUE"""),"0x30")</f>
        <v>0x30</v>
      </c>
      <c r="Y29" s="18" t="e">
        <f ca="1"/>
        <v>#NAME?</v>
      </c>
      <c r="Z29" s="18" t="str">
        <f ca="1">IFERROR(__xludf.DUMMYFUNCTION("""COMPUTED_VALUE"""),"N/A")</f>
        <v>N/A</v>
      </c>
      <c r="AA29" s="18" t="str">
        <f ca="1">IFERROR(__xludf.DUMMYFUNCTION("""COMPUTED_VALUE"""),"lambdax:{0:'off',1:'low',2:'medium',3:'high',4:'on'}.get(x,'unknown')")</f>
        <v>lambdax:{0:'off',1:'low',2:'medium',3:'high',4:'on'}.get(x,'unknown')</v>
      </c>
      <c r="AC29" s="59" t="s">
        <v>736</v>
      </c>
      <c r="AD29" s="59" t="s">
        <v>736</v>
      </c>
      <c r="AE29" s="59" t="s">
        <v>736</v>
      </c>
      <c r="AF29" s="59" t="s">
        <v>736</v>
      </c>
      <c r="AG29" s="59" t="s">
        <v>736</v>
      </c>
      <c r="AH29" s="59" t="s">
        <v>736</v>
      </c>
      <c r="AI29" s="59" t="s">
        <v>736</v>
      </c>
      <c r="AJ29" s="59" t="s">
        <v>736</v>
      </c>
      <c r="AK29" s="59" t="s">
        <v>736</v>
      </c>
      <c r="AL29" s="59" t="s">
        <v>736</v>
      </c>
      <c r="AM29" s="59" t="s">
        <v>736</v>
      </c>
      <c r="AN29" s="59" t="s">
        <v>736</v>
      </c>
      <c r="AO29" s="59" t="s">
        <v>736</v>
      </c>
      <c r="AP29" s="59" t="s">
        <v>737</v>
      </c>
      <c r="AQ29" s="59" t="s">
        <v>738</v>
      </c>
      <c r="AR29" s="59" t="s">
        <v>738</v>
      </c>
      <c r="AS29" s="59" t="s">
        <v>738</v>
      </c>
      <c r="AT29" s="59" t="s">
        <v>738</v>
      </c>
    </row>
    <row r="30" spans="1:46" ht="15.75" customHeight="1" x14ac:dyDescent="0.25">
      <c r="A30" s="18" t="str">
        <v>system_occ:{"type":"telemetry","data_type":"bool","is_readonly":true,"reporting_type":"reported","report_max":3600,"report_min":0,"zigbee_metadata":{"attr_id":2,"endpoint_id":10,"profile_id":260,"cluster_id":513,"zcl_data_type":24,"read_formatter":"lambdax:x&amp;0x01==0x01"}},</v>
      </c>
      <c r="B30" s="52" t="str">
        <f ca="1"/>
        <v>0x0201 0x0002</v>
      </c>
      <c r="C30" s="52" t="str">
        <f ca="1">IFERROR(__xludf.DUMMYFUNCTION("""COMPUTED_VALUE"""),"system_occ")</f>
        <v>system_occ</v>
      </c>
      <c r="D30" s="18" t="str">
        <f ca="1">IFERROR(__xludf.DUMMYFUNCTION("""COMPUTED_VALUE"""),"telemetry")</f>
        <v>telemetry</v>
      </c>
      <c r="E30" s="18" t="str">
        <f ca="1">IFERROR(__xludf.DUMMYFUNCTION("""COMPUTED_VALUE"""),"bool")</f>
        <v>bool</v>
      </c>
      <c r="F30" s="18" t="str">
        <f ca="1">IFERROR(__xludf.DUMMYFUNCTION("""COMPUTED_VALUE"""),"true")</f>
        <v>true</v>
      </c>
      <c r="G30" s="18" t="str">
        <f ca="1">IFERROR(__xludf.DUMMYFUNCTION("""COMPUTED_VALUE"""),"reported")</f>
        <v>reported</v>
      </c>
      <c r="H30" s="18" t="str">
        <f ca="1">IFERROR(__xludf.DUMMYFUNCTION("""COMPUTED_VALUE"""),"N/A")</f>
        <v>N/A</v>
      </c>
      <c r="I30" s="18" t="str">
        <f ca="1">IFERROR(__xludf.DUMMYFUNCTION("""COMPUTED_VALUE"""),"3600")</f>
        <v>3600</v>
      </c>
      <c r="J30" s="18" t="str">
        <f ca="1">IFERROR(__xludf.DUMMYFUNCTION("""COMPUTED_VALUE"""),"0")</f>
        <v>0</v>
      </c>
      <c r="K30" s="18" t="str">
        <f ca="1">IFERROR(__xludf.DUMMYFUNCTION("""COMPUTED_VALUE"""),"N/A")</f>
        <v>N/A</v>
      </c>
      <c r="L30" s="18" t="str">
        <f ca="1">IFERROR(__xludf.DUMMYFUNCTION("""COMPUTED_VALUE"""),"N/A")</f>
        <v>N/A</v>
      </c>
      <c r="M30" s="18" t="str">
        <f ca="1">IFERROR(__xludf.DUMMYFUNCTION("""COMPUTED_VALUE"""),"N/A")</f>
        <v>N/A</v>
      </c>
      <c r="N30" s="18" t="str">
        <f ca="1">IFERROR(__xludf.DUMMYFUNCTION("""COMPUTED_VALUE"""),"N/A")</f>
        <v>N/A</v>
      </c>
      <c r="O30" s="18" t="str">
        <f ca="1">IFERROR(__xludf.DUMMYFUNCTION("""COMPUTED_VALUE"""),"N/A")</f>
        <v>N/A</v>
      </c>
      <c r="P30" s="18" t="str">
        <f ca="1">IFERROR(__xludf.DUMMYFUNCTION("""COMPUTED_VALUE"""),"N/A")</f>
        <v>N/A</v>
      </c>
      <c r="Q30" s="18" t="str">
        <f ca="1">IFERROR(__xludf.DUMMYFUNCTION("""COMPUTED_VALUE"""),"N/A")</f>
        <v>N/A</v>
      </c>
      <c r="R30" s="18" t="str">
        <f ca="1">IFERROR(__xludf.DUMMYFUNCTION("""COMPUTED_VALUE"""),"N/A")</f>
        <v>N/A</v>
      </c>
      <c r="S30" s="18" t="str">
        <f ca="1">IFERROR(__xludf.DUMMYFUNCTION("""COMPUTED_VALUE"""),"N/A")</f>
        <v>N/A</v>
      </c>
      <c r="T30" s="18" t="str">
        <f ca="1">IFERROR(__xludf.DUMMYFUNCTION("""COMPUTED_VALUE"""),"0x0002")</f>
        <v>0x0002</v>
      </c>
      <c r="U30" s="18" t="str">
        <f ca="1">IFERROR(__xludf.DUMMYFUNCTION("""COMPUTED_VALUE"""),"0x0A")</f>
        <v>0x0A</v>
      </c>
      <c r="V30" s="18" t="str">
        <f ca="1">IFERROR(__xludf.DUMMYFUNCTION("""COMPUTED_VALUE"""),"0x0104")</f>
        <v>0x0104</v>
      </c>
      <c r="W30" s="18" t="str">
        <f ca="1">IFERROR(__xludf.DUMMYFUNCTION("""COMPUTED_VALUE"""),"0x0201")</f>
        <v>0x0201</v>
      </c>
      <c r="X30" s="18" t="str">
        <f ca="1">IFERROR(__xludf.DUMMYFUNCTION("""COMPUTED_VALUE"""),"0x18")</f>
        <v>0x18</v>
      </c>
      <c r="Y30" s="18" t="e">
        <f ca="1"/>
        <v>#NAME?</v>
      </c>
      <c r="Z30" s="18" t="str">
        <f ca="1">IFERROR(__xludf.DUMMYFUNCTION("""COMPUTED_VALUE"""),"N/A")</f>
        <v>N/A</v>
      </c>
      <c r="AA30" s="18" t="str">
        <f ca="1">IFERROR(__xludf.DUMMYFUNCTION("""COMPUTED_VALUE"""),"lambdax:x&amp;0x01==0x01")</f>
        <v>lambdax:x&amp;0x01==0x01</v>
      </c>
      <c r="AC30" s="59" t="s">
        <v>739</v>
      </c>
      <c r="AD30" s="59" t="s">
        <v>739</v>
      </c>
      <c r="AE30" s="59" t="s">
        <v>739</v>
      </c>
      <c r="AF30" s="59" t="s">
        <v>739</v>
      </c>
      <c r="AG30" s="59" t="s">
        <v>739</v>
      </c>
      <c r="AH30" s="59" t="s">
        <v>739</v>
      </c>
      <c r="AI30" s="59" t="s">
        <v>739</v>
      </c>
      <c r="AJ30" s="59" t="s">
        <v>739</v>
      </c>
      <c r="AK30" s="59" t="s">
        <v>739</v>
      </c>
      <c r="AL30" s="59" t="s">
        <v>739</v>
      </c>
      <c r="AM30" s="59" t="s">
        <v>739</v>
      </c>
      <c r="AN30" s="59" t="s">
        <v>739</v>
      </c>
      <c r="AO30" s="59" t="s">
        <v>739</v>
      </c>
      <c r="AP30" s="59" t="s">
        <v>740</v>
      </c>
      <c r="AQ30" s="59" t="s">
        <v>741</v>
      </c>
      <c r="AR30" s="59" t="s">
        <v>741</v>
      </c>
      <c r="AS30" s="59" t="s">
        <v>741</v>
      </c>
      <c r="AT30" s="59" t="s">
        <v>741</v>
      </c>
    </row>
    <row r="31" spans="1:46" ht="15.75" customHeight="1" x14ac:dyDescent="0.25">
      <c r="A31" s="18" t="str">
        <v>humidity:{"type":"telemetry","data_type":"uint8","is_readonly":true,"reporting_type":"reported","report_max":3600,"report_min":0,"report_threshold":5,"zigbee_metadata":{"attr_id":0,"endpoint_id":10,"profile_id":260,"cluster_id":515,"zcl_data_type":32}},</v>
      </c>
      <c r="B31" s="52" t="str">
        <f ca="1"/>
        <v>0x0203 0x0000</v>
      </c>
      <c r="C31" s="52" t="str">
        <f ca="1">IFERROR(__xludf.DUMMYFUNCTION("""COMPUTED_VALUE"""),"humidity")</f>
        <v>humidity</v>
      </c>
      <c r="D31" s="18" t="str">
        <f ca="1">IFERROR(__xludf.DUMMYFUNCTION("""COMPUTED_VALUE"""),"telemetry")</f>
        <v>telemetry</v>
      </c>
      <c r="E31" s="18" t="str">
        <f ca="1">IFERROR(__xludf.DUMMYFUNCTION("""COMPUTED_VALUE"""),"uint8")</f>
        <v>uint8</v>
      </c>
      <c r="F31" s="18" t="str">
        <f ca="1">IFERROR(__xludf.DUMMYFUNCTION("""COMPUTED_VALUE"""),"true")</f>
        <v>true</v>
      </c>
      <c r="G31" s="18" t="str">
        <f ca="1">IFERROR(__xludf.DUMMYFUNCTION("""COMPUTED_VALUE"""),"reported")</f>
        <v>reported</v>
      </c>
      <c r="H31" s="18" t="str">
        <f ca="1">IFERROR(__xludf.DUMMYFUNCTION("""COMPUTED_VALUE"""),"N/A")</f>
        <v>N/A</v>
      </c>
      <c r="I31" s="18" t="str">
        <f ca="1">IFERROR(__xludf.DUMMYFUNCTION("""COMPUTED_VALUE"""),"3600")</f>
        <v>3600</v>
      </c>
      <c r="J31" s="18" t="str">
        <f ca="1">IFERROR(__xludf.DUMMYFUNCTION("""COMPUTED_VALUE"""),"0")</f>
        <v>0</v>
      </c>
      <c r="K31" s="18" t="str">
        <f ca="1">IFERROR(__xludf.DUMMYFUNCTION("""COMPUTED_VALUE"""),"5")</f>
        <v>5</v>
      </c>
      <c r="L31" s="18" t="str">
        <f ca="1">IFERROR(__xludf.DUMMYFUNCTION("""COMPUTED_VALUE"""),"N/A")</f>
        <v>N/A</v>
      </c>
      <c r="M31" s="18" t="str">
        <f ca="1">IFERROR(__xludf.DUMMYFUNCTION("""COMPUTED_VALUE"""),"N/A")</f>
        <v>N/A</v>
      </c>
      <c r="N31" s="18" t="str">
        <f ca="1">IFERROR(__xludf.DUMMYFUNCTION("""COMPUTED_VALUE"""),"N/A")</f>
        <v>N/A</v>
      </c>
      <c r="O31" s="18" t="str">
        <f ca="1">IFERROR(__xludf.DUMMYFUNCTION("""COMPUTED_VALUE"""),"N/A")</f>
        <v>N/A</v>
      </c>
      <c r="P31" s="18" t="str">
        <f ca="1">IFERROR(__xludf.DUMMYFUNCTION("""COMPUTED_VALUE"""),"N/A")</f>
        <v>N/A</v>
      </c>
      <c r="Q31" s="18" t="str">
        <f ca="1">IFERROR(__xludf.DUMMYFUNCTION("""COMPUTED_VALUE"""),"N/A")</f>
        <v>N/A</v>
      </c>
      <c r="R31" s="18" t="str">
        <f ca="1">IFERROR(__xludf.DUMMYFUNCTION("""COMPUTED_VALUE"""),"N/A")</f>
        <v>N/A</v>
      </c>
      <c r="S31" s="18" t="str">
        <f ca="1">IFERROR(__xludf.DUMMYFUNCTION("""COMPUTED_VALUE"""),"N/A")</f>
        <v>N/A</v>
      </c>
      <c r="T31" s="18" t="str">
        <f ca="1">IFERROR(__xludf.DUMMYFUNCTION("""COMPUTED_VALUE"""),"0x0000")</f>
        <v>0x0000</v>
      </c>
      <c r="U31" s="18" t="str">
        <f ca="1">IFERROR(__xludf.DUMMYFUNCTION("""COMPUTED_VALUE"""),"0x0A")</f>
        <v>0x0A</v>
      </c>
      <c r="V31" s="18" t="str">
        <f ca="1">IFERROR(__xludf.DUMMYFUNCTION("""COMPUTED_VALUE"""),"0x0104")</f>
        <v>0x0104</v>
      </c>
      <c r="W31" s="18" t="str">
        <f ca="1">IFERROR(__xludf.DUMMYFUNCTION("""COMPUTED_VALUE"""),"0x0203")</f>
        <v>0x0203</v>
      </c>
      <c r="X31" s="18" t="str">
        <f ca="1">IFERROR(__xludf.DUMMYFUNCTION("""COMPUTED_VALUE"""),"0x20")</f>
        <v>0x20</v>
      </c>
      <c r="Y31" s="18" t="e">
        <f ca="1"/>
        <v>#NAME?</v>
      </c>
      <c r="Z31" s="18" t="str">
        <f ca="1">IFERROR(__xludf.DUMMYFUNCTION("""COMPUTED_VALUE"""),"N/A")</f>
        <v>N/A</v>
      </c>
      <c r="AA31" s="18" t="str">
        <f ca="1">IFERROR(__xludf.DUMMYFUNCTION("""COMPUTED_VALUE"""),"N/A")</f>
        <v>N/A</v>
      </c>
      <c r="AC31" s="59" t="s">
        <v>742</v>
      </c>
      <c r="AD31" s="59" t="s">
        <v>742</v>
      </c>
      <c r="AE31" s="59" t="s">
        <v>742</v>
      </c>
      <c r="AF31" s="59" t="s">
        <v>742</v>
      </c>
      <c r="AG31" s="59" t="s">
        <v>742</v>
      </c>
      <c r="AH31" s="59" t="s">
        <v>742</v>
      </c>
      <c r="AI31" s="59" t="s">
        <v>742</v>
      </c>
      <c r="AJ31" s="59" t="s">
        <v>742</v>
      </c>
      <c r="AK31" s="59" t="s">
        <v>742</v>
      </c>
      <c r="AL31" s="59" t="s">
        <v>742</v>
      </c>
      <c r="AM31" s="59" t="s">
        <v>742</v>
      </c>
      <c r="AN31" s="59" t="s">
        <v>742</v>
      </c>
      <c r="AO31" s="59" t="s">
        <v>742</v>
      </c>
      <c r="AP31" s="59" t="s">
        <v>742</v>
      </c>
      <c r="AQ31" s="59" t="s">
        <v>743</v>
      </c>
      <c r="AR31" s="59" t="s">
        <v>743</v>
      </c>
      <c r="AS31" s="59" t="s">
        <v>743</v>
      </c>
      <c r="AT31" s="59" t="s">
        <v>743</v>
      </c>
    </row>
    <row r="32" spans="1:46" ht="15.75" customHeight="1" x14ac:dyDescent="0.25">
      <c r="A32" s="18" t="str">
        <v>ui_keypad_lockout:{"type":"attribute","data_type":"enum","is_readonly":false,"reporting_type":"polled","poll_freq":86400,"default_value":"none","enum_values":["none","mode","mode_fan","all"],"zigbee_metadata":{"attr_id":1,"endpoint_id":10,"profile_id":260,"cluster_id":516,"zcl_data_type":48,"write_formatter":"lambdax:{'none':0,'mode':1,'mode_fan':2,'all':3}[x]","read_formatter":"lambdax:{0:'none',1:'mode',2:'mode_fan',3:'all'}.get(x,'unknown')"}},</v>
      </c>
      <c r="B32" s="52" t="str">
        <f ca="1"/>
        <v>0x0204 0x0001</v>
      </c>
      <c r="C32" s="52" t="str">
        <f ca="1">IFERROR(__xludf.DUMMYFUNCTION("""COMPUTED_VALUE"""),"ui_keypad_lockout")</f>
        <v>ui_keypad_lockout</v>
      </c>
      <c r="D32" s="18" t="str">
        <f ca="1">IFERROR(__xludf.DUMMYFUNCTION("""COMPUTED_VALUE"""),"attribute")</f>
        <v>attribute</v>
      </c>
      <c r="E32" s="18" t="str">
        <f ca="1">IFERROR(__xludf.DUMMYFUNCTION("""COMPUTED_VALUE"""),"enum")</f>
        <v>enum</v>
      </c>
      <c r="F32" s="18" t="str">
        <f ca="1">IFERROR(__xludf.DUMMYFUNCTION("""COMPUTED_VALUE"""),"false")</f>
        <v>false</v>
      </c>
      <c r="G32" s="18" t="str">
        <f ca="1">IFERROR(__xludf.DUMMYFUNCTION("""COMPUTED_VALUE"""),"polled")</f>
        <v>polled</v>
      </c>
      <c r="H32" s="18" t="str">
        <f ca="1">IFERROR(__xludf.DUMMYFUNCTION("""COMPUTED_VALUE"""),"86400")</f>
        <v>86400</v>
      </c>
      <c r="I32" s="18" t="str">
        <f ca="1">IFERROR(__xludf.DUMMYFUNCTION("""COMPUTED_VALUE"""),"N/A")</f>
        <v>N/A</v>
      </c>
      <c r="J32" s="18" t="str">
        <f ca="1">IFERROR(__xludf.DUMMYFUNCTION("""COMPUTED_VALUE"""),"N/A")</f>
        <v>N/A</v>
      </c>
      <c r="K32" s="18" t="str">
        <f ca="1">IFERROR(__xludf.DUMMYFUNCTION("""COMPUTED_VALUE"""),"N/A")</f>
        <v>N/A</v>
      </c>
      <c r="L32" s="18" t="str">
        <f ca="1">IFERROR(__xludf.DUMMYFUNCTION("""COMPUTED_VALUE"""),"N/A")</f>
        <v>N/A</v>
      </c>
      <c r="M32" s="18" t="str">
        <f ca="1">IFERROR(__xludf.DUMMYFUNCTION("""COMPUTED_VALUE"""),"N/A")</f>
        <v>N/A</v>
      </c>
      <c r="N32" s="18" t="str">
        <f ca="1">IFERROR(__xludf.DUMMYFUNCTION("""COMPUTED_VALUE"""),"N/A")</f>
        <v>N/A</v>
      </c>
      <c r="O32" s="18" t="str">
        <f ca="1">IFERROR(__xludf.DUMMYFUNCTION("""COMPUTED_VALUE"""),"N/A")</f>
        <v>N/A</v>
      </c>
      <c r="P32" s="18" t="str">
        <f ca="1">IFERROR(__xludf.DUMMYFUNCTION("""COMPUTED_VALUE"""),"""none"",""mode"",""mode_fan"",""all""")</f>
        <v>"none","mode","mode_fan","all"</v>
      </c>
      <c r="Q32" s="18" t="str">
        <f ca="1">IFERROR(__xludf.DUMMYFUNCTION("""COMPUTED_VALUE"""),"N/A")</f>
        <v>N/A</v>
      </c>
      <c r="R32" s="18" t="str">
        <f ca="1">IFERROR(__xludf.DUMMYFUNCTION("""COMPUTED_VALUE"""),"N/A")</f>
        <v>N/A</v>
      </c>
      <c r="S32" s="18" t="str">
        <f ca="1">IFERROR(__xludf.DUMMYFUNCTION("""COMPUTED_VALUE"""),"""none""")</f>
        <v>"none"</v>
      </c>
      <c r="T32" s="18" t="str">
        <f ca="1">IFERROR(__xludf.DUMMYFUNCTION("""COMPUTED_VALUE"""),"0x0001")</f>
        <v>0x0001</v>
      </c>
      <c r="U32" s="18" t="str">
        <f ca="1">IFERROR(__xludf.DUMMYFUNCTION("""COMPUTED_VALUE"""),"0x0A")</f>
        <v>0x0A</v>
      </c>
      <c r="V32" s="18" t="str">
        <f ca="1">IFERROR(__xludf.DUMMYFUNCTION("""COMPUTED_VALUE"""),"0x0104")</f>
        <v>0x0104</v>
      </c>
      <c r="W32" s="18" t="str">
        <f ca="1">IFERROR(__xludf.DUMMYFUNCTION("""COMPUTED_VALUE"""),"0x0204")</f>
        <v>0x0204</v>
      </c>
      <c r="X32" s="18" t="str">
        <f ca="1">IFERROR(__xludf.DUMMYFUNCTION("""COMPUTED_VALUE"""),"0x30")</f>
        <v>0x30</v>
      </c>
      <c r="Y32" s="18" t="e">
        <f ca="1"/>
        <v>#NAME?</v>
      </c>
      <c r="Z32" s="18" t="str">
        <f ca="1">IFERROR(__xludf.DUMMYFUNCTION("""COMPUTED_VALUE"""),"lambdax:{'none':0,'mode':1,'mode_fan':2,'all':3}[x]")</f>
        <v>lambdax:{'none':0,'mode':1,'mode_fan':2,'all':3}[x]</v>
      </c>
      <c r="AA32" s="18" t="str">
        <f ca="1">IFERROR(__xludf.DUMMYFUNCTION("""COMPUTED_VALUE"""),"lambdax:{0:'none',1:'mode',2:'mode_fan',3:'all'}.get(x,'unknown')")</f>
        <v>lambdax:{0:'none',1:'mode',2:'mode_fan',3:'all'}.get(x,'unknown')</v>
      </c>
      <c r="AC32" s="59" t="s">
        <v>744</v>
      </c>
      <c r="AD32" s="59" t="s">
        <v>744</v>
      </c>
      <c r="AE32" s="59" t="s">
        <v>745</v>
      </c>
      <c r="AF32" s="59" t="s">
        <v>745</v>
      </c>
      <c r="AG32" s="59" t="s">
        <v>745</v>
      </c>
      <c r="AH32" s="59" t="s">
        <v>745</v>
      </c>
      <c r="AI32" s="59" t="s">
        <v>745</v>
      </c>
      <c r="AJ32" s="59" t="s">
        <v>745</v>
      </c>
      <c r="AK32" s="59" t="s">
        <v>745</v>
      </c>
      <c r="AL32" s="59" t="s">
        <v>745</v>
      </c>
      <c r="AM32" s="59" t="s">
        <v>745</v>
      </c>
      <c r="AN32" s="59" t="s">
        <v>745</v>
      </c>
      <c r="AO32" s="59" t="s">
        <v>745</v>
      </c>
      <c r="AP32" s="59" t="s">
        <v>746</v>
      </c>
      <c r="AQ32" s="59" t="s">
        <v>747</v>
      </c>
      <c r="AR32" s="59" t="s">
        <v>747</v>
      </c>
      <c r="AS32" s="59" t="s">
        <v>747</v>
      </c>
      <c r="AT32" s="59" t="s">
        <v>747</v>
      </c>
    </row>
    <row r="33" spans="1:46" ht="15.75" customHeight="1" x14ac:dyDescent="0.25">
      <c r="A33" s="18" t="str">
        <v>display_temp_units:{"type":"attribute","data_type":"enum","is_readonly":false,"reporting_type":"reported","report_max":3600,"report_min":0,"default_value":null,"enum_values":["fahrenheit","celsius"],"zigbee_metadata":{"attr_id":61471,"endpoint_id":10,"profile_id":260,"cluster_id":513,"zcl_data_type":48,"read_formatter":"lambdax:'fahrenheit'ifxelse'celsius'","write_formatter":"lambdax:int(x=='fahrenheit')"}},</v>
      </c>
      <c r="B33" s="52" t="str">
        <f ca="1"/>
        <v>0x0201 0xF01F</v>
      </c>
      <c r="C33" s="52" t="str">
        <f ca="1">IFERROR(__xludf.DUMMYFUNCTION("""COMPUTED_VALUE"""),"display_temp_units")</f>
        <v>display_temp_units</v>
      </c>
      <c r="D33" s="18" t="str">
        <f ca="1">IFERROR(__xludf.DUMMYFUNCTION("""COMPUTED_VALUE"""),"attribute")</f>
        <v>attribute</v>
      </c>
      <c r="E33" s="18" t="str">
        <f ca="1">IFERROR(__xludf.DUMMYFUNCTION("""COMPUTED_VALUE"""),"enum")</f>
        <v>enum</v>
      </c>
      <c r="F33" s="18" t="str">
        <f ca="1">IFERROR(__xludf.DUMMYFUNCTION("""COMPUTED_VALUE"""),"false")</f>
        <v>false</v>
      </c>
      <c r="G33" s="18" t="str">
        <f ca="1">IFERROR(__xludf.DUMMYFUNCTION("""COMPUTED_VALUE"""),"reported")</f>
        <v>reported</v>
      </c>
      <c r="H33" s="18" t="str">
        <f ca="1">IFERROR(__xludf.DUMMYFUNCTION("""COMPUTED_VALUE"""),"N/A")</f>
        <v>N/A</v>
      </c>
      <c r="I33" s="18" t="str">
        <f ca="1">IFERROR(__xludf.DUMMYFUNCTION("""COMPUTED_VALUE"""),"3600")</f>
        <v>3600</v>
      </c>
      <c r="J33" s="18" t="str">
        <f ca="1">IFERROR(__xludf.DUMMYFUNCTION("""COMPUTED_VALUE"""),"0")</f>
        <v>0</v>
      </c>
      <c r="K33" s="18" t="str">
        <f ca="1">IFERROR(__xludf.DUMMYFUNCTION("""COMPUTED_VALUE"""),"N/A")</f>
        <v>N/A</v>
      </c>
      <c r="L33" s="18" t="str">
        <f ca="1">IFERROR(__xludf.DUMMYFUNCTION("""COMPUTED_VALUE"""),"N/A")</f>
        <v>N/A</v>
      </c>
      <c r="M33" s="18" t="str">
        <f ca="1">IFERROR(__xludf.DUMMYFUNCTION("""COMPUTED_VALUE"""),"N/A")</f>
        <v>N/A</v>
      </c>
      <c r="N33" s="18" t="str">
        <f ca="1">IFERROR(__xludf.DUMMYFUNCTION("""COMPUTED_VALUE"""),"N/A")</f>
        <v>N/A</v>
      </c>
      <c r="O33" s="18" t="str">
        <f ca="1">IFERROR(__xludf.DUMMYFUNCTION("""COMPUTED_VALUE"""),"N/A")</f>
        <v>N/A</v>
      </c>
      <c r="P33" s="18" t="str">
        <f ca="1">IFERROR(__xludf.DUMMYFUNCTION("""COMPUTED_VALUE"""),"""fahrenheit"",""celsius""")</f>
        <v>"fahrenheit","celsius"</v>
      </c>
      <c r="Q33" s="18" t="str">
        <f ca="1">IFERROR(__xludf.DUMMYFUNCTION("""COMPUTED_VALUE"""),"N/A")</f>
        <v>N/A</v>
      </c>
      <c r="R33" s="18" t="str">
        <f ca="1">IFERROR(__xludf.DUMMYFUNCTION("""COMPUTED_VALUE"""),"N/A")</f>
        <v>N/A</v>
      </c>
      <c r="S33" s="18" t="str">
        <f ca="1">IFERROR(__xludf.DUMMYFUNCTION("""COMPUTED_VALUE"""),"null")</f>
        <v>null</v>
      </c>
      <c r="T33" s="18" t="str">
        <f ca="1">IFERROR(__xludf.DUMMYFUNCTION("""COMPUTED_VALUE"""),"0xF01F")</f>
        <v>0xF01F</v>
      </c>
      <c r="U33" s="18" t="str">
        <f ca="1">IFERROR(__xludf.DUMMYFUNCTION("""COMPUTED_VALUE"""),"0x0A")</f>
        <v>0x0A</v>
      </c>
      <c r="V33" s="18" t="str">
        <f ca="1">IFERROR(__xludf.DUMMYFUNCTION("""COMPUTED_VALUE"""),"0x0104")</f>
        <v>0x0104</v>
      </c>
      <c r="W33" s="18" t="str">
        <f ca="1">IFERROR(__xludf.DUMMYFUNCTION("""COMPUTED_VALUE"""),"0x0201")</f>
        <v>0x0201</v>
      </c>
      <c r="X33" s="18" t="str">
        <f ca="1">IFERROR(__xludf.DUMMYFUNCTION("""COMPUTED_VALUE"""),"0x30")</f>
        <v>0x30</v>
      </c>
      <c r="Y33" s="18" t="e">
        <f ca="1"/>
        <v>#NAME?</v>
      </c>
      <c r="Z33" s="18" t="str">
        <f ca="1">IFERROR(__xludf.DUMMYFUNCTION("""COMPUTED_VALUE"""),"lambdax:int(x=='fahrenheit')")</f>
        <v>lambdax:int(x=='fahrenheit')</v>
      </c>
      <c r="AA33" s="18" t="str">
        <f ca="1">IFERROR(__xludf.DUMMYFUNCTION("""COMPUTED_VALUE"""),"lambdax:'fahrenheit'ifxelse'celsius'")</f>
        <v>lambdax:'fahrenheit'ifxelse'celsius'</v>
      </c>
      <c r="AC33" s="59" t="s">
        <v>745</v>
      </c>
      <c r="AD33" s="59" t="s">
        <v>745</v>
      </c>
      <c r="AE33" s="59" t="s">
        <v>748</v>
      </c>
      <c r="AF33" s="59" t="s">
        <v>748</v>
      </c>
      <c r="AG33" s="59" t="s">
        <v>748</v>
      </c>
      <c r="AH33" s="59" t="s">
        <v>748</v>
      </c>
      <c r="AI33" s="59" t="s">
        <v>748</v>
      </c>
      <c r="AJ33" s="59" t="s">
        <v>748</v>
      </c>
      <c r="AK33" s="59" t="s">
        <v>748</v>
      </c>
      <c r="AL33" s="59" t="s">
        <v>748</v>
      </c>
      <c r="AM33" s="59" t="s">
        <v>748</v>
      </c>
      <c r="AN33" s="59" t="s">
        <v>748</v>
      </c>
      <c r="AO33" s="59" t="s">
        <v>748</v>
      </c>
      <c r="AP33" s="59" t="s">
        <v>749</v>
      </c>
      <c r="AQ33" s="59" t="s">
        <v>750</v>
      </c>
      <c r="AR33" s="59" t="s">
        <v>750</v>
      </c>
      <c r="AS33" s="59" t="s">
        <v>750</v>
      </c>
      <c r="AT33" s="59" t="s">
        <v>750</v>
      </c>
    </row>
    <row r="34" spans="1:46" ht="15.75" customHeight="1" x14ac:dyDescent="0.25">
      <c r="A34" s="18" t="str">
        <v>time_in_state:{"type":"attribute","data_type":"uint16","is_readonly":true,"reporting_type":"diagnostic","zigbee_metadata":{"attr_id":61524,"endpoint_id":10,"profile_id":260,"cluster_id":513,"zcl_data_type":33}},</v>
      </c>
      <c r="B34" s="52" t="str">
        <f ca="1"/>
        <v>0x0201 0xF054</v>
      </c>
      <c r="C34" s="52" t="str">
        <f ca="1">IFERROR(__xludf.DUMMYFUNCTION("""COMPUTED_VALUE"""),"time_in_state")</f>
        <v>time_in_state</v>
      </c>
      <c r="D34" s="18" t="str">
        <f ca="1">IFERROR(__xludf.DUMMYFUNCTION("""COMPUTED_VALUE"""),"attribute")</f>
        <v>attribute</v>
      </c>
      <c r="E34" s="18" t="str">
        <f ca="1">IFERROR(__xludf.DUMMYFUNCTION("""COMPUTED_VALUE"""),"uint16")</f>
        <v>uint16</v>
      </c>
      <c r="F34" s="18" t="str">
        <f ca="1">IFERROR(__xludf.DUMMYFUNCTION("""COMPUTED_VALUE"""),"true")</f>
        <v>true</v>
      </c>
      <c r="G34" s="18" t="str">
        <f ca="1">IFERROR(__xludf.DUMMYFUNCTION("""COMPUTED_VALUE"""),"diagnostic")</f>
        <v>diagnostic</v>
      </c>
      <c r="H34" s="18" t="str">
        <f ca="1">IFERROR(__xludf.DUMMYFUNCTION("""COMPUTED_VALUE"""),"N/A")</f>
        <v>N/A</v>
      </c>
      <c r="I34" s="18" t="str">
        <f ca="1">IFERROR(__xludf.DUMMYFUNCTION("""COMPUTED_VALUE"""),"N/A")</f>
        <v>N/A</v>
      </c>
      <c r="J34" s="18" t="str">
        <f ca="1">IFERROR(__xludf.DUMMYFUNCTION("""COMPUTED_VALUE"""),"N/A")</f>
        <v>N/A</v>
      </c>
      <c r="K34" s="18" t="str">
        <f ca="1">IFERROR(__xludf.DUMMYFUNCTION("""COMPUTED_VALUE"""),"N/A")</f>
        <v>N/A</v>
      </c>
      <c r="L34" s="18" t="str">
        <f ca="1">IFERROR(__xludf.DUMMYFUNCTION("""COMPUTED_VALUE"""),"N/A")</f>
        <v>N/A</v>
      </c>
      <c r="M34" s="18" t="str">
        <f ca="1">IFERROR(__xludf.DUMMYFUNCTION("""COMPUTED_VALUE"""),"N/A")</f>
        <v>N/A</v>
      </c>
      <c r="N34" s="18" t="str">
        <f ca="1">IFERROR(__xludf.DUMMYFUNCTION("""COMPUTED_VALUE"""),"N/A")</f>
        <v>N/A</v>
      </c>
      <c r="O34" s="18" t="str">
        <f ca="1">IFERROR(__xludf.DUMMYFUNCTION("""COMPUTED_VALUE"""),"N/A")</f>
        <v>N/A</v>
      </c>
      <c r="P34" s="18" t="str">
        <f ca="1">IFERROR(__xludf.DUMMYFUNCTION("""COMPUTED_VALUE"""),"N/A")</f>
        <v>N/A</v>
      </c>
      <c r="Q34" s="18" t="str">
        <f ca="1">IFERROR(__xludf.DUMMYFUNCTION("""COMPUTED_VALUE"""),"N/A")</f>
        <v>N/A</v>
      </c>
      <c r="R34" s="18" t="str">
        <f ca="1">IFERROR(__xludf.DUMMYFUNCTION("""COMPUTED_VALUE"""),"N/A")</f>
        <v>N/A</v>
      </c>
      <c r="S34" s="18" t="str">
        <f ca="1">IFERROR(__xludf.DUMMYFUNCTION("""COMPUTED_VALUE"""),"N/A")</f>
        <v>N/A</v>
      </c>
      <c r="T34" s="18" t="str">
        <f ca="1">IFERROR(__xludf.DUMMYFUNCTION("""COMPUTED_VALUE"""),"0xF054")</f>
        <v>0xF054</v>
      </c>
      <c r="U34" s="18" t="str">
        <f ca="1">IFERROR(__xludf.DUMMYFUNCTION("""COMPUTED_VALUE"""),"0x0A")</f>
        <v>0x0A</v>
      </c>
      <c r="V34" s="18" t="str">
        <f ca="1">IFERROR(__xludf.DUMMYFUNCTION("""COMPUTED_VALUE"""),"0x0104")</f>
        <v>0x0104</v>
      </c>
      <c r="W34" s="18" t="str">
        <f ca="1">IFERROR(__xludf.DUMMYFUNCTION("""COMPUTED_VALUE"""),"0x0201")</f>
        <v>0x0201</v>
      </c>
      <c r="X34" s="18" t="str">
        <f ca="1">IFERROR(__xludf.DUMMYFUNCTION("""COMPUTED_VALUE"""),"0x21")</f>
        <v>0x21</v>
      </c>
      <c r="Y34" s="18" t="e">
        <f ca="1"/>
        <v>#NAME?</v>
      </c>
      <c r="Z34" s="18" t="str">
        <f ca="1">IFERROR(__xludf.DUMMYFUNCTION("""COMPUTED_VALUE"""),"N/A")</f>
        <v>N/A</v>
      </c>
      <c r="AA34" s="18" t="str">
        <f ca="1">IFERROR(__xludf.DUMMYFUNCTION("""COMPUTED_VALUE"""),"N/A")</f>
        <v>N/A</v>
      </c>
      <c r="AC34" s="59" t="s">
        <v>748</v>
      </c>
      <c r="AD34" s="59" t="s">
        <v>748</v>
      </c>
      <c r="AE34" s="59" t="s">
        <v>751</v>
      </c>
      <c r="AF34" s="59" t="s">
        <v>751</v>
      </c>
      <c r="AG34" s="59" t="s">
        <v>751</v>
      </c>
      <c r="AH34" s="59" t="s">
        <v>751</v>
      </c>
      <c r="AI34" s="59" t="s">
        <v>751</v>
      </c>
      <c r="AJ34" s="59" t="s">
        <v>751</v>
      </c>
      <c r="AK34" s="59" t="s">
        <v>751</v>
      </c>
      <c r="AL34" s="59" t="s">
        <v>751</v>
      </c>
      <c r="AM34" s="59" t="s">
        <v>751</v>
      </c>
      <c r="AN34" s="59" t="s">
        <v>751</v>
      </c>
      <c r="AO34" s="59" t="s">
        <v>751</v>
      </c>
      <c r="AP34" s="59" t="s">
        <v>752</v>
      </c>
      <c r="AQ34" s="59" t="s">
        <v>753</v>
      </c>
      <c r="AR34" s="59" t="s">
        <v>753</v>
      </c>
      <c r="AS34" s="59" t="s">
        <v>753</v>
      </c>
      <c r="AT34" s="59" t="s">
        <v>753</v>
      </c>
    </row>
    <row r="35" spans="1:46" ht="15.75" customHeight="1" x14ac:dyDescent="0.25">
      <c r="A35" s="18" t="str">
        <v>thermo_speed:{"type":"attribute","data_type":"enum","is_readonly":true,"reporting_type":"reported","report_max":3600,"report_min":0,"enum_values":["off","low","medium","high"],"zigbee_metadata":{"attr_id":61525,"endpoint_id":10,"profile_id":260,"cluster_id":513,"zcl_data_type":48,"read_formatter":"lambdax:{0:'off',1:'low',2:'medium',3:'high'}.get(x,'unknown')"}},</v>
      </c>
      <c r="B35" s="52" t="str">
        <f ca="1"/>
        <v>0x0201 0xF055</v>
      </c>
      <c r="C35" s="52" t="str">
        <f ca="1">IFERROR(__xludf.DUMMYFUNCTION("""COMPUTED_VALUE"""),"thermo_speed")</f>
        <v>thermo_speed</v>
      </c>
      <c r="D35" s="18" t="str">
        <f ca="1">IFERROR(__xludf.DUMMYFUNCTION("""COMPUTED_VALUE"""),"attribute")</f>
        <v>attribute</v>
      </c>
      <c r="E35" s="18" t="str">
        <f ca="1">IFERROR(__xludf.DUMMYFUNCTION("""COMPUTED_VALUE"""),"enum")</f>
        <v>enum</v>
      </c>
      <c r="F35" s="18" t="str">
        <f ca="1">IFERROR(__xludf.DUMMYFUNCTION("""COMPUTED_VALUE"""),"true")</f>
        <v>true</v>
      </c>
      <c r="G35" s="18" t="str">
        <f ca="1">IFERROR(__xludf.DUMMYFUNCTION("""COMPUTED_VALUE"""),"reported")</f>
        <v>reported</v>
      </c>
      <c r="H35" s="18" t="str">
        <f ca="1">IFERROR(__xludf.DUMMYFUNCTION("""COMPUTED_VALUE"""),"N/A")</f>
        <v>N/A</v>
      </c>
      <c r="I35" s="18" t="str">
        <f ca="1">IFERROR(__xludf.DUMMYFUNCTION("""COMPUTED_VALUE"""),"3600")</f>
        <v>3600</v>
      </c>
      <c r="J35" s="18" t="str">
        <f ca="1">IFERROR(__xludf.DUMMYFUNCTION("""COMPUTED_VALUE"""),"0")</f>
        <v>0</v>
      </c>
      <c r="K35" s="18" t="str">
        <f ca="1">IFERROR(__xludf.DUMMYFUNCTION("""COMPUTED_VALUE"""),"N/A")</f>
        <v>N/A</v>
      </c>
      <c r="L35" s="18" t="str">
        <f ca="1">IFERROR(__xludf.DUMMYFUNCTION("""COMPUTED_VALUE"""),"N/A")</f>
        <v>N/A</v>
      </c>
      <c r="M35" s="18" t="str">
        <f ca="1">IFERROR(__xludf.DUMMYFUNCTION("""COMPUTED_VALUE"""),"N/A")</f>
        <v>N/A</v>
      </c>
      <c r="N35" s="18" t="str">
        <f ca="1">IFERROR(__xludf.DUMMYFUNCTION("""COMPUTED_VALUE"""),"N/A")</f>
        <v>N/A</v>
      </c>
      <c r="O35" s="18" t="str">
        <f ca="1">IFERROR(__xludf.DUMMYFUNCTION("""COMPUTED_VALUE"""),"N/A")</f>
        <v>N/A</v>
      </c>
      <c r="P35" s="18" t="str">
        <f ca="1">IFERROR(__xludf.DUMMYFUNCTION("""COMPUTED_VALUE"""),"""off"",""low"",""medium"",""high""")</f>
        <v>"off","low","medium","high"</v>
      </c>
      <c r="Q35" s="18" t="str">
        <f ca="1">IFERROR(__xludf.DUMMYFUNCTION("""COMPUTED_VALUE"""),"N/A")</f>
        <v>N/A</v>
      </c>
      <c r="R35" s="18" t="str">
        <f ca="1">IFERROR(__xludf.DUMMYFUNCTION("""COMPUTED_VALUE"""),"N/A")</f>
        <v>N/A</v>
      </c>
      <c r="S35" s="18" t="str">
        <f ca="1">IFERROR(__xludf.DUMMYFUNCTION("""COMPUTED_VALUE"""),"N/A")</f>
        <v>N/A</v>
      </c>
      <c r="T35" s="18" t="str">
        <f ca="1">IFERROR(__xludf.DUMMYFUNCTION("""COMPUTED_VALUE"""),"0xF055")</f>
        <v>0xF055</v>
      </c>
      <c r="U35" s="18" t="str">
        <f ca="1">IFERROR(__xludf.DUMMYFUNCTION("""COMPUTED_VALUE"""),"0x0A")</f>
        <v>0x0A</v>
      </c>
      <c r="V35" s="18" t="str">
        <f ca="1">IFERROR(__xludf.DUMMYFUNCTION("""COMPUTED_VALUE"""),"0x0104")</f>
        <v>0x0104</v>
      </c>
      <c r="W35" s="18" t="str">
        <f ca="1">IFERROR(__xludf.DUMMYFUNCTION("""COMPUTED_VALUE"""),"0x0201")</f>
        <v>0x0201</v>
      </c>
      <c r="X35" s="18" t="str">
        <f ca="1">IFERROR(__xludf.DUMMYFUNCTION("""COMPUTED_VALUE"""),"0x30")</f>
        <v>0x30</v>
      </c>
      <c r="Y35" s="18" t="e">
        <f ca="1"/>
        <v>#NAME?</v>
      </c>
      <c r="Z35" s="18" t="str">
        <f ca="1">IFERROR(__xludf.DUMMYFUNCTION("""COMPUTED_VALUE"""),"N/A")</f>
        <v>N/A</v>
      </c>
      <c r="AA35" s="18" t="str">
        <f ca="1">IFERROR(__xludf.DUMMYFUNCTION("""COMPUTED_VALUE"""),"lambdax:{0:'off',1:'low',2:'medium',3:'high'}.get(x,'unknown')")</f>
        <v>lambdax:{0:'off',1:'low',2:'medium',3:'high'}.get(x,'unknown')</v>
      </c>
      <c r="AC35" s="59" t="s">
        <v>751</v>
      </c>
      <c r="AD35" s="59" t="s">
        <v>751</v>
      </c>
      <c r="AE35" s="59" t="s">
        <v>754</v>
      </c>
      <c r="AF35" s="59" t="s">
        <v>754</v>
      </c>
      <c r="AG35" s="59" t="s">
        <v>754</v>
      </c>
      <c r="AH35" s="59" t="s">
        <v>754</v>
      </c>
      <c r="AI35" s="59" t="s">
        <v>754</v>
      </c>
      <c r="AJ35" s="59" t="s">
        <v>754</v>
      </c>
      <c r="AK35" s="59" t="s">
        <v>754</v>
      </c>
      <c r="AL35" s="59" t="s">
        <v>754</v>
      </c>
      <c r="AM35" s="59" t="s">
        <v>754</v>
      </c>
      <c r="AN35" s="59" t="s">
        <v>754</v>
      </c>
      <c r="AO35" s="59" t="s">
        <v>754</v>
      </c>
      <c r="AP35" s="59" t="s">
        <v>755</v>
      </c>
      <c r="AQ35" s="59" t="s">
        <v>756</v>
      </c>
      <c r="AR35" s="59" t="s">
        <v>756</v>
      </c>
      <c r="AS35" s="59" t="s">
        <v>756</v>
      </c>
      <c r="AT35" s="59" t="s">
        <v>756</v>
      </c>
    </row>
    <row r="36" spans="1:46" ht="15.75" customHeight="1" x14ac:dyDescent="0.25">
      <c r="A36" s="18" t="str">
        <v>drive_to_cool:{"type":"attribute","data_type":"float","is_readonly":true,"reporting_type":"reported","report_max":3600,"report_min":0,"report_threshold":0,"zigbee_metadata":{"attr_id":61526,"endpoint_id":10,"profile_id":260,"cluster_id":513,"zcl_data_type":41,"write_formatter":"lambdax:int(round(x,2)*100)","read_formatter":"lambdax:x/100"}},</v>
      </c>
      <c r="B36" s="52" t="str">
        <f ca="1"/>
        <v>0x0201 0xF056</v>
      </c>
      <c r="C36" s="52" t="str">
        <f ca="1">IFERROR(__xludf.DUMMYFUNCTION("""COMPUTED_VALUE"""),"drive_to_cool")</f>
        <v>drive_to_cool</v>
      </c>
      <c r="D36" s="18" t="str">
        <f ca="1">IFERROR(__xludf.DUMMYFUNCTION("""COMPUTED_VALUE"""),"attribute")</f>
        <v>attribute</v>
      </c>
      <c r="E36" s="18" t="str">
        <f ca="1">IFERROR(__xludf.DUMMYFUNCTION("""COMPUTED_VALUE"""),"float")</f>
        <v>float</v>
      </c>
      <c r="F36" s="18" t="str">
        <f ca="1">IFERROR(__xludf.DUMMYFUNCTION("""COMPUTED_VALUE"""),"true")</f>
        <v>true</v>
      </c>
      <c r="G36" s="18" t="str">
        <f ca="1">IFERROR(__xludf.DUMMYFUNCTION("""COMPUTED_VALUE"""),"reported")</f>
        <v>reported</v>
      </c>
      <c r="H36" s="18" t="str">
        <f ca="1">IFERROR(__xludf.DUMMYFUNCTION("""COMPUTED_VALUE"""),"N/A")</f>
        <v>N/A</v>
      </c>
      <c r="I36" s="18" t="str">
        <f ca="1">IFERROR(__xludf.DUMMYFUNCTION("""COMPUTED_VALUE"""),"3600")</f>
        <v>3600</v>
      </c>
      <c r="J36" s="18" t="str">
        <f ca="1">IFERROR(__xludf.DUMMYFUNCTION("""COMPUTED_VALUE"""),"0")</f>
        <v>0</v>
      </c>
      <c r="K36" s="18" t="str">
        <f ca="1">IFERROR(__xludf.DUMMYFUNCTION("""COMPUTED_VALUE"""),"0")</f>
        <v>0</v>
      </c>
      <c r="L36" s="18" t="str">
        <f ca="1">IFERROR(__xludf.DUMMYFUNCTION("""COMPUTED_VALUE"""),"N/A")</f>
        <v>N/A</v>
      </c>
      <c r="M36" s="18" t="str">
        <f ca="1">IFERROR(__xludf.DUMMYFUNCTION("""COMPUTED_VALUE"""),"N/A")</f>
        <v>N/A</v>
      </c>
      <c r="N36" s="18" t="str">
        <f ca="1">IFERROR(__xludf.DUMMYFUNCTION("""COMPUTED_VALUE"""),"N/A")</f>
        <v>N/A</v>
      </c>
      <c r="O36" s="18" t="str">
        <f ca="1">IFERROR(__xludf.DUMMYFUNCTION("""COMPUTED_VALUE"""),"N/A")</f>
        <v>N/A</v>
      </c>
      <c r="P36" s="18" t="str">
        <f ca="1">IFERROR(__xludf.DUMMYFUNCTION("""COMPUTED_VALUE"""),"N/A")</f>
        <v>N/A</v>
      </c>
      <c r="Q36" s="18" t="str">
        <f ca="1">IFERROR(__xludf.DUMMYFUNCTION("""COMPUTED_VALUE"""),"N/A")</f>
        <v>N/A</v>
      </c>
      <c r="R36" s="18" t="str">
        <f ca="1">IFERROR(__xludf.DUMMYFUNCTION("""COMPUTED_VALUE"""),"N/A")</f>
        <v>N/A</v>
      </c>
      <c r="S36" s="18" t="str">
        <f ca="1">IFERROR(__xludf.DUMMYFUNCTION("""COMPUTED_VALUE"""),"N/A")</f>
        <v>N/A</v>
      </c>
      <c r="T36" s="18" t="str">
        <f ca="1">IFERROR(__xludf.DUMMYFUNCTION("""COMPUTED_VALUE"""),"0xF056")</f>
        <v>0xF056</v>
      </c>
      <c r="U36" s="18" t="str">
        <f ca="1">IFERROR(__xludf.DUMMYFUNCTION("""COMPUTED_VALUE"""),"0x0A")</f>
        <v>0x0A</v>
      </c>
      <c r="V36" s="18" t="str">
        <f ca="1">IFERROR(__xludf.DUMMYFUNCTION("""COMPUTED_VALUE"""),"0x0104")</f>
        <v>0x0104</v>
      </c>
      <c r="W36" s="18" t="str">
        <f ca="1">IFERROR(__xludf.DUMMYFUNCTION("""COMPUTED_VALUE"""),"0x0201")</f>
        <v>0x0201</v>
      </c>
      <c r="X36" s="18" t="str">
        <f ca="1">IFERROR(__xludf.DUMMYFUNCTION("""COMPUTED_VALUE"""),"0x29")</f>
        <v>0x29</v>
      </c>
      <c r="Y36" s="18" t="e">
        <f ca="1"/>
        <v>#NAME?</v>
      </c>
      <c r="Z36" s="18" t="str">
        <f ca="1">IFERROR(__xludf.DUMMYFUNCTION("""COMPUTED_VALUE"""),"lambdax:int(round(x,2)*100)")</f>
        <v>lambdax:int(round(x,2)*100)</v>
      </c>
      <c r="AA36" s="18" t="str">
        <f ca="1">IFERROR(__xludf.DUMMYFUNCTION("""COMPUTED_VALUE"""),"lambdax:x/100")</f>
        <v>lambdax:x/100</v>
      </c>
      <c r="AC36" s="59" t="s">
        <v>754</v>
      </c>
      <c r="AD36" s="59" t="s">
        <v>754</v>
      </c>
      <c r="AE36" s="59" t="s">
        <v>757</v>
      </c>
      <c r="AF36" s="59" t="s">
        <v>757</v>
      </c>
      <c r="AG36" s="59" t="s">
        <v>757</v>
      </c>
      <c r="AH36" s="59" t="s">
        <v>757</v>
      </c>
      <c r="AI36" s="59" t="s">
        <v>757</v>
      </c>
      <c r="AJ36" s="59" t="s">
        <v>757</v>
      </c>
      <c r="AK36" s="59" t="s">
        <v>757</v>
      </c>
      <c r="AL36" s="59" t="s">
        <v>757</v>
      </c>
      <c r="AM36" s="59" t="s">
        <v>757</v>
      </c>
      <c r="AN36" s="59" t="s">
        <v>757</v>
      </c>
      <c r="AO36" s="59" t="s">
        <v>757</v>
      </c>
      <c r="AP36" s="59" t="s">
        <v>758</v>
      </c>
      <c r="AQ36" s="59" t="s">
        <v>759</v>
      </c>
      <c r="AR36" s="59" t="s">
        <v>759</v>
      </c>
      <c r="AS36" s="59" t="s">
        <v>759</v>
      </c>
      <c r="AT36" s="59" t="s">
        <v>759</v>
      </c>
    </row>
    <row r="37" spans="1:46" ht="15.75" customHeight="1" x14ac:dyDescent="0.25">
      <c r="A37" s="18" t="str">
        <v>drive_to_heat:{"type":"attribute","data_type":"float","is_readonly":true,"reporting_type":"reported","report_max":3600,"report_min":0,"report_threshold":0,"zigbee_metadata":{"attr_id":61527,"endpoint_id":10,"profile_id":260,"cluster_id":513,"zcl_data_type":41,"write_formatter":"lambdax:int(round(x,2)*100)","read_formatter":"lambdax:x/100"}},</v>
      </c>
      <c r="B37" s="52" t="str">
        <f ca="1"/>
        <v>0x0201 0xF057</v>
      </c>
      <c r="C37" s="52" t="str">
        <f ca="1">IFERROR(__xludf.DUMMYFUNCTION("""COMPUTED_VALUE"""),"drive_to_heat")</f>
        <v>drive_to_heat</v>
      </c>
      <c r="D37" s="18" t="str">
        <f ca="1">IFERROR(__xludf.DUMMYFUNCTION("""COMPUTED_VALUE"""),"attribute")</f>
        <v>attribute</v>
      </c>
      <c r="E37" s="18" t="str">
        <f ca="1">IFERROR(__xludf.DUMMYFUNCTION("""COMPUTED_VALUE"""),"float")</f>
        <v>float</v>
      </c>
      <c r="F37" s="18" t="str">
        <f ca="1">IFERROR(__xludf.DUMMYFUNCTION("""COMPUTED_VALUE"""),"true")</f>
        <v>true</v>
      </c>
      <c r="G37" s="18" t="str">
        <f ca="1">IFERROR(__xludf.DUMMYFUNCTION("""COMPUTED_VALUE"""),"reported")</f>
        <v>reported</v>
      </c>
      <c r="H37" s="18" t="str">
        <f ca="1">IFERROR(__xludf.DUMMYFUNCTION("""COMPUTED_VALUE"""),"N/A")</f>
        <v>N/A</v>
      </c>
      <c r="I37" s="18" t="str">
        <f ca="1">IFERROR(__xludf.DUMMYFUNCTION("""COMPUTED_VALUE"""),"3600")</f>
        <v>3600</v>
      </c>
      <c r="J37" s="18" t="str">
        <f ca="1">IFERROR(__xludf.DUMMYFUNCTION("""COMPUTED_VALUE"""),"0")</f>
        <v>0</v>
      </c>
      <c r="K37" s="18" t="str">
        <f ca="1">IFERROR(__xludf.DUMMYFUNCTION("""COMPUTED_VALUE"""),"0")</f>
        <v>0</v>
      </c>
      <c r="L37" s="18" t="str">
        <f ca="1">IFERROR(__xludf.DUMMYFUNCTION("""COMPUTED_VALUE"""),"N/A")</f>
        <v>N/A</v>
      </c>
      <c r="M37" s="18" t="str">
        <f ca="1">IFERROR(__xludf.DUMMYFUNCTION("""COMPUTED_VALUE"""),"N/A")</f>
        <v>N/A</v>
      </c>
      <c r="N37" s="18" t="str">
        <f ca="1">IFERROR(__xludf.DUMMYFUNCTION("""COMPUTED_VALUE"""),"N/A")</f>
        <v>N/A</v>
      </c>
      <c r="O37" s="18" t="str">
        <f ca="1">IFERROR(__xludf.DUMMYFUNCTION("""COMPUTED_VALUE"""),"N/A")</f>
        <v>N/A</v>
      </c>
      <c r="P37" s="18" t="str">
        <f ca="1">IFERROR(__xludf.DUMMYFUNCTION("""COMPUTED_VALUE"""),"N/A")</f>
        <v>N/A</v>
      </c>
      <c r="Q37" s="18" t="str">
        <f ca="1">IFERROR(__xludf.DUMMYFUNCTION("""COMPUTED_VALUE"""),"N/A")</f>
        <v>N/A</v>
      </c>
      <c r="R37" s="18" t="str">
        <f ca="1">IFERROR(__xludf.DUMMYFUNCTION("""COMPUTED_VALUE"""),"N/A")</f>
        <v>N/A</v>
      </c>
      <c r="S37" s="18" t="str">
        <f ca="1">IFERROR(__xludf.DUMMYFUNCTION("""COMPUTED_VALUE"""),"N/A")</f>
        <v>N/A</v>
      </c>
      <c r="T37" s="18" t="str">
        <f ca="1">IFERROR(__xludf.DUMMYFUNCTION("""COMPUTED_VALUE"""),"0xF057")</f>
        <v>0xF057</v>
      </c>
      <c r="U37" s="18" t="str">
        <f ca="1">IFERROR(__xludf.DUMMYFUNCTION("""COMPUTED_VALUE"""),"0x0A")</f>
        <v>0x0A</v>
      </c>
      <c r="V37" s="18" t="str">
        <f ca="1">IFERROR(__xludf.DUMMYFUNCTION("""COMPUTED_VALUE"""),"0x0104")</f>
        <v>0x0104</v>
      </c>
      <c r="W37" s="18" t="str">
        <f ca="1">IFERROR(__xludf.DUMMYFUNCTION("""COMPUTED_VALUE"""),"0x0201")</f>
        <v>0x0201</v>
      </c>
      <c r="X37" s="18" t="str">
        <f ca="1">IFERROR(__xludf.DUMMYFUNCTION("""COMPUTED_VALUE"""),"0x29")</f>
        <v>0x29</v>
      </c>
      <c r="Y37" s="18" t="e">
        <f ca="1"/>
        <v>#NAME?</v>
      </c>
      <c r="Z37" s="18" t="str">
        <f ca="1">IFERROR(__xludf.DUMMYFUNCTION("""COMPUTED_VALUE"""),"lambdax:int(round(x,2)*100)")</f>
        <v>lambdax:int(round(x,2)*100)</v>
      </c>
      <c r="AA37" s="18" t="str">
        <f ca="1">IFERROR(__xludf.DUMMYFUNCTION("""COMPUTED_VALUE"""),"lambdax:x/100")</f>
        <v>lambdax:x/100</v>
      </c>
      <c r="AC37" s="59" t="s">
        <v>757</v>
      </c>
      <c r="AD37" s="59" t="s">
        <v>757</v>
      </c>
      <c r="AE37" s="59" t="s">
        <v>760</v>
      </c>
      <c r="AF37" s="59" t="s">
        <v>760</v>
      </c>
      <c r="AG37" s="59" t="s">
        <v>760</v>
      </c>
      <c r="AH37" s="59" t="s">
        <v>760</v>
      </c>
      <c r="AI37" s="59" t="s">
        <v>760</v>
      </c>
      <c r="AJ37" s="59" t="s">
        <v>760</v>
      </c>
      <c r="AK37" s="59" t="s">
        <v>760</v>
      </c>
      <c r="AL37" s="59" t="s">
        <v>760</v>
      </c>
      <c r="AM37" s="59" t="s">
        <v>760</v>
      </c>
      <c r="AN37" s="59" t="s">
        <v>760</v>
      </c>
      <c r="AO37" s="59" t="s">
        <v>760</v>
      </c>
      <c r="AP37" s="59" t="s">
        <v>761</v>
      </c>
      <c r="AQ37" s="59" t="s">
        <v>762</v>
      </c>
      <c r="AR37" s="59" t="s">
        <v>762</v>
      </c>
      <c r="AS37" s="59" t="s">
        <v>762</v>
      </c>
      <c r="AT37" s="59" t="s">
        <v>762</v>
      </c>
    </row>
    <row r="38" spans="1:46" ht="15.75" customHeight="1" x14ac:dyDescent="0.25">
      <c r="A38" s="18" t="str">
        <v>last_driving_mode:{"type":"attribute","data_type":"enum","is_readonly":true,"reporting_type":"diagnostic","enum_values":["none","cool","heat"],"zigbee_metadata":{"attr_id":61528,"endpoint_id":10,"profile_id":260,"cluster_id":513,"zcl_data_type":48,"read_formatter":"lambdax:{0:'none',3:'cool',4:'heat'}.get(x,'unknown')"}},</v>
      </c>
      <c r="B38" s="52" t="str">
        <f ca="1"/>
        <v>0x0201 0xF058</v>
      </c>
      <c r="C38" s="52" t="str">
        <f ca="1">IFERROR(__xludf.DUMMYFUNCTION("""COMPUTED_VALUE"""),"last_driving_mode")</f>
        <v>last_driving_mode</v>
      </c>
      <c r="D38" s="18" t="str">
        <f ca="1">IFERROR(__xludf.DUMMYFUNCTION("""COMPUTED_VALUE"""),"attribute")</f>
        <v>attribute</v>
      </c>
      <c r="E38" s="18" t="str">
        <f ca="1">IFERROR(__xludf.DUMMYFUNCTION("""COMPUTED_VALUE"""),"enum")</f>
        <v>enum</v>
      </c>
      <c r="F38" s="18" t="str">
        <f ca="1">IFERROR(__xludf.DUMMYFUNCTION("""COMPUTED_VALUE"""),"true")</f>
        <v>true</v>
      </c>
      <c r="G38" s="18" t="str">
        <f ca="1">IFERROR(__xludf.DUMMYFUNCTION("""COMPUTED_VALUE"""),"diagnostic")</f>
        <v>diagnostic</v>
      </c>
      <c r="H38" s="18" t="str">
        <f ca="1">IFERROR(__xludf.DUMMYFUNCTION("""COMPUTED_VALUE"""),"N/A")</f>
        <v>N/A</v>
      </c>
      <c r="I38" s="18" t="str">
        <f ca="1">IFERROR(__xludf.DUMMYFUNCTION("""COMPUTED_VALUE"""),"N/A")</f>
        <v>N/A</v>
      </c>
      <c r="J38" s="18" t="str">
        <f ca="1">IFERROR(__xludf.DUMMYFUNCTION("""COMPUTED_VALUE"""),"N/A")</f>
        <v>N/A</v>
      </c>
      <c r="K38" s="18" t="str">
        <f ca="1">IFERROR(__xludf.DUMMYFUNCTION("""COMPUTED_VALUE"""),"N/A")</f>
        <v>N/A</v>
      </c>
      <c r="L38" s="18" t="str">
        <f ca="1">IFERROR(__xludf.DUMMYFUNCTION("""COMPUTED_VALUE"""),"N/A")</f>
        <v>N/A</v>
      </c>
      <c r="M38" s="18" t="str">
        <f ca="1">IFERROR(__xludf.DUMMYFUNCTION("""COMPUTED_VALUE"""),"N/A")</f>
        <v>N/A</v>
      </c>
      <c r="N38" s="18" t="str">
        <f ca="1">IFERROR(__xludf.DUMMYFUNCTION("""COMPUTED_VALUE"""),"N/A")</f>
        <v>N/A</v>
      </c>
      <c r="O38" s="18" t="str">
        <f ca="1">IFERROR(__xludf.DUMMYFUNCTION("""COMPUTED_VALUE"""),"N/A")</f>
        <v>N/A</v>
      </c>
      <c r="P38" s="18" t="str">
        <f ca="1">IFERROR(__xludf.DUMMYFUNCTION("""COMPUTED_VALUE"""),"""none"",""cool"",""heat""")</f>
        <v>"none","cool","heat"</v>
      </c>
      <c r="Q38" s="18" t="str">
        <f ca="1">IFERROR(__xludf.DUMMYFUNCTION("""COMPUTED_VALUE"""),"N/A")</f>
        <v>N/A</v>
      </c>
      <c r="R38" s="18" t="str">
        <f ca="1">IFERROR(__xludf.DUMMYFUNCTION("""COMPUTED_VALUE"""),"N/A")</f>
        <v>N/A</v>
      </c>
      <c r="S38" s="18" t="str">
        <f ca="1">IFERROR(__xludf.DUMMYFUNCTION("""COMPUTED_VALUE"""),"N/A")</f>
        <v>N/A</v>
      </c>
      <c r="T38" s="18" t="str">
        <f ca="1">IFERROR(__xludf.DUMMYFUNCTION("""COMPUTED_VALUE"""),"0xF058")</f>
        <v>0xF058</v>
      </c>
      <c r="U38" s="18" t="str">
        <f ca="1">IFERROR(__xludf.DUMMYFUNCTION("""COMPUTED_VALUE"""),"0x0A")</f>
        <v>0x0A</v>
      </c>
      <c r="V38" s="18" t="str">
        <f ca="1">IFERROR(__xludf.DUMMYFUNCTION("""COMPUTED_VALUE"""),"0x0104")</f>
        <v>0x0104</v>
      </c>
      <c r="W38" s="18" t="str">
        <f ca="1">IFERROR(__xludf.DUMMYFUNCTION("""COMPUTED_VALUE"""),"0x0201")</f>
        <v>0x0201</v>
      </c>
      <c r="X38" s="18" t="str">
        <f ca="1">IFERROR(__xludf.DUMMYFUNCTION("""COMPUTED_VALUE"""),"0x30")</f>
        <v>0x30</v>
      </c>
      <c r="Y38" s="18" t="e">
        <f ca="1"/>
        <v>#NAME?</v>
      </c>
      <c r="Z38" s="18" t="str">
        <f ca="1">IFERROR(__xludf.DUMMYFUNCTION("""COMPUTED_VALUE"""),"N/A")</f>
        <v>N/A</v>
      </c>
      <c r="AA38" s="18" t="str">
        <f ca="1">IFERROR(__xludf.DUMMYFUNCTION("""COMPUTED_VALUE"""),"lambdax:{0:'none',3:'cool',4:'heat'}.get(x,'unknown')")</f>
        <v>lambdax:{0:'none',3:'cool',4:'heat'}.get(x,'unknown')</v>
      </c>
      <c r="AC38" s="59" t="s">
        <v>760</v>
      </c>
      <c r="AD38" s="59" t="s">
        <v>760</v>
      </c>
      <c r="AE38" s="59" t="s">
        <v>763</v>
      </c>
      <c r="AF38" s="59" t="s">
        <v>763</v>
      </c>
      <c r="AG38" s="59" t="s">
        <v>763</v>
      </c>
      <c r="AH38" s="59" t="s">
        <v>763</v>
      </c>
      <c r="AI38" s="59" t="s">
        <v>763</v>
      </c>
      <c r="AJ38" s="59" t="s">
        <v>763</v>
      </c>
      <c r="AK38" s="59" t="s">
        <v>763</v>
      </c>
      <c r="AL38" s="59" t="s">
        <v>763</v>
      </c>
      <c r="AM38" s="59" t="s">
        <v>763</v>
      </c>
      <c r="AN38" s="59" t="s">
        <v>763</v>
      </c>
      <c r="AO38" s="59" t="s">
        <v>763</v>
      </c>
      <c r="AP38" s="59" t="s">
        <v>764</v>
      </c>
      <c r="AQ38" s="59" t="s">
        <v>765</v>
      </c>
      <c r="AR38" s="59" t="s">
        <v>765</v>
      </c>
      <c r="AS38" s="59" t="s">
        <v>765</v>
      </c>
      <c r="AT38" s="59" t="s">
        <v>765</v>
      </c>
    </row>
    <row r="39" spans="1:46" ht="15.75" customHeight="1" x14ac:dyDescent="0.25">
      <c r="A39" s="18" t="str">
        <v>last_drive_time:{"type":"attribute","data_type":"uint32","is_readonly":true,"reporting_type":"diagnostic","zigbee_metadata":{"attr_id":61529,"endpoint_id":10,"profile_id":260,"cluster_id":513,"zcl_data_type":35}},</v>
      </c>
      <c r="B39" s="52" t="str">
        <f ca="1"/>
        <v>0x0201 0xF059</v>
      </c>
      <c r="C39" s="52" t="str">
        <f ca="1">IFERROR(__xludf.DUMMYFUNCTION("""COMPUTED_VALUE"""),"last_drive_time")</f>
        <v>last_drive_time</v>
      </c>
      <c r="D39" s="18" t="str">
        <f ca="1">IFERROR(__xludf.DUMMYFUNCTION("""COMPUTED_VALUE"""),"attribute")</f>
        <v>attribute</v>
      </c>
      <c r="E39" s="18" t="str">
        <f ca="1">IFERROR(__xludf.DUMMYFUNCTION("""COMPUTED_VALUE"""),"uint32")</f>
        <v>uint32</v>
      </c>
      <c r="F39" s="18" t="str">
        <f ca="1">IFERROR(__xludf.DUMMYFUNCTION("""COMPUTED_VALUE"""),"true")</f>
        <v>true</v>
      </c>
      <c r="G39" s="18" t="str">
        <f ca="1">IFERROR(__xludf.DUMMYFUNCTION("""COMPUTED_VALUE"""),"diagnostic")</f>
        <v>diagnostic</v>
      </c>
      <c r="H39" s="18" t="str">
        <f ca="1">IFERROR(__xludf.DUMMYFUNCTION("""COMPUTED_VALUE"""),"N/A")</f>
        <v>N/A</v>
      </c>
      <c r="I39" s="18" t="str">
        <f ca="1">IFERROR(__xludf.DUMMYFUNCTION("""COMPUTED_VALUE"""),"N/A")</f>
        <v>N/A</v>
      </c>
      <c r="J39" s="18" t="str">
        <f ca="1">IFERROR(__xludf.DUMMYFUNCTION("""COMPUTED_VALUE"""),"N/A")</f>
        <v>N/A</v>
      </c>
      <c r="K39" s="18" t="str">
        <f ca="1">IFERROR(__xludf.DUMMYFUNCTION("""COMPUTED_VALUE"""),"N/A")</f>
        <v>N/A</v>
      </c>
      <c r="L39" s="18" t="str">
        <f ca="1">IFERROR(__xludf.DUMMYFUNCTION("""COMPUTED_VALUE"""),"N/A")</f>
        <v>N/A</v>
      </c>
      <c r="M39" s="18" t="str">
        <f ca="1">IFERROR(__xludf.DUMMYFUNCTION("""COMPUTED_VALUE"""),"N/A")</f>
        <v>N/A</v>
      </c>
      <c r="N39" s="18" t="str">
        <f ca="1">IFERROR(__xludf.DUMMYFUNCTION("""COMPUTED_VALUE"""),"N/A")</f>
        <v>N/A</v>
      </c>
      <c r="O39" s="18" t="str">
        <f ca="1">IFERROR(__xludf.DUMMYFUNCTION("""COMPUTED_VALUE"""),"N/A")</f>
        <v>N/A</v>
      </c>
      <c r="P39" s="18" t="str">
        <f ca="1">IFERROR(__xludf.DUMMYFUNCTION("""COMPUTED_VALUE"""),"N/A")</f>
        <v>N/A</v>
      </c>
      <c r="Q39" s="18" t="str">
        <f ca="1">IFERROR(__xludf.DUMMYFUNCTION("""COMPUTED_VALUE"""),"N/A")</f>
        <v>N/A</v>
      </c>
      <c r="R39" s="18" t="str">
        <f ca="1">IFERROR(__xludf.DUMMYFUNCTION("""COMPUTED_VALUE"""),"N/A")</f>
        <v>N/A</v>
      </c>
      <c r="S39" s="18" t="str">
        <f ca="1">IFERROR(__xludf.DUMMYFUNCTION("""COMPUTED_VALUE"""),"N/A")</f>
        <v>N/A</v>
      </c>
      <c r="T39" s="18" t="str">
        <f ca="1">IFERROR(__xludf.DUMMYFUNCTION("""COMPUTED_VALUE"""),"0xF059")</f>
        <v>0xF059</v>
      </c>
      <c r="U39" s="18" t="str">
        <f ca="1">IFERROR(__xludf.DUMMYFUNCTION("""COMPUTED_VALUE"""),"0x0A")</f>
        <v>0x0A</v>
      </c>
      <c r="V39" s="18" t="str">
        <f ca="1">IFERROR(__xludf.DUMMYFUNCTION("""COMPUTED_VALUE"""),"0x0104")</f>
        <v>0x0104</v>
      </c>
      <c r="W39" s="18" t="str">
        <f ca="1">IFERROR(__xludf.DUMMYFUNCTION("""COMPUTED_VALUE"""),"0x0201")</f>
        <v>0x0201</v>
      </c>
      <c r="X39" s="18" t="str">
        <f ca="1">IFERROR(__xludf.DUMMYFUNCTION("""COMPUTED_VALUE"""),"0x23")</f>
        <v>0x23</v>
      </c>
      <c r="Y39" s="18" t="e">
        <f ca="1"/>
        <v>#NAME?</v>
      </c>
      <c r="Z39" s="18" t="str">
        <f ca="1">IFERROR(__xludf.DUMMYFUNCTION("""COMPUTED_VALUE"""),"N/A")</f>
        <v>N/A</v>
      </c>
      <c r="AA39" s="18" t="str">
        <f ca="1">IFERROR(__xludf.DUMMYFUNCTION("""COMPUTED_VALUE"""),"N/A")</f>
        <v>N/A</v>
      </c>
      <c r="AC39" s="59" t="s">
        <v>763</v>
      </c>
      <c r="AD39" s="59" t="s">
        <v>763</v>
      </c>
      <c r="AE39" s="59" t="s">
        <v>766</v>
      </c>
      <c r="AF39" s="59" t="s">
        <v>766</v>
      </c>
      <c r="AG39" s="59" t="s">
        <v>766</v>
      </c>
      <c r="AH39" s="59" t="s">
        <v>766</v>
      </c>
      <c r="AI39" s="59" t="s">
        <v>766</v>
      </c>
      <c r="AJ39" s="59" t="s">
        <v>766</v>
      </c>
      <c r="AK39" s="59" t="s">
        <v>766</v>
      </c>
      <c r="AL39" s="59" t="s">
        <v>766</v>
      </c>
      <c r="AM39" s="59" t="s">
        <v>766</v>
      </c>
      <c r="AN39" s="59" t="s">
        <v>766</v>
      </c>
      <c r="AO39" s="59" t="s">
        <v>766</v>
      </c>
      <c r="AP39" s="59" t="s">
        <v>767</v>
      </c>
      <c r="AQ39" s="59" t="s">
        <v>768</v>
      </c>
      <c r="AR39" s="59" t="s">
        <v>768</v>
      </c>
      <c r="AS39" s="59" t="s">
        <v>768</v>
      </c>
      <c r="AT39" s="59" t="s">
        <v>768</v>
      </c>
    </row>
    <row r="40" spans="1:46" ht="15.75" customHeight="1" x14ac:dyDescent="0.25">
      <c r="A40" s="18" t="str">
        <v>drive_start_temp:{"type":"attribute","data_type":"float","is_readonly":true,"reporting_type":"diagnostic","zigbee_metadata":{"attr_id":61530,"endpoint_id":10,"profile_id":260,"cluster_id":513,"zcl_data_type":41,"read_formatter":"lambdax:x/100"}},</v>
      </c>
      <c r="B40" s="52" t="str">
        <f ca="1"/>
        <v>0x0201 0xF05A</v>
      </c>
      <c r="C40" s="52" t="str">
        <f ca="1">IFERROR(__xludf.DUMMYFUNCTION("""COMPUTED_VALUE"""),"drive_start_temp")</f>
        <v>drive_start_temp</v>
      </c>
      <c r="D40" s="18" t="str">
        <f ca="1">IFERROR(__xludf.DUMMYFUNCTION("""COMPUTED_VALUE"""),"attribute")</f>
        <v>attribute</v>
      </c>
      <c r="E40" s="18" t="str">
        <f ca="1">IFERROR(__xludf.DUMMYFUNCTION("""COMPUTED_VALUE"""),"float")</f>
        <v>float</v>
      </c>
      <c r="F40" s="18" t="str">
        <f ca="1">IFERROR(__xludf.DUMMYFUNCTION("""COMPUTED_VALUE"""),"true")</f>
        <v>true</v>
      </c>
      <c r="G40" s="18" t="str">
        <f ca="1">IFERROR(__xludf.DUMMYFUNCTION("""COMPUTED_VALUE"""),"diagnostic")</f>
        <v>diagnostic</v>
      </c>
      <c r="H40" s="18" t="str">
        <f ca="1">IFERROR(__xludf.DUMMYFUNCTION("""COMPUTED_VALUE"""),"N/A")</f>
        <v>N/A</v>
      </c>
      <c r="I40" s="18" t="str">
        <f ca="1">IFERROR(__xludf.DUMMYFUNCTION("""COMPUTED_VALUE"""),"N/A")</f>
        <v>N/A</v>
      </c>
      <c r="J40" s="18" t="str">
        <f ca="1">IFERROR(__xludf.DUMMYFUNCTION("""COMPUTED_VALUE"""),"N/A")</f>
        <v>N/A</v>
      </c>
      <c r="K40" s="18" t="str">
        <f ca="1">IFERROR(__xludf.DUMMYFUNCTION("""COMPUTED_VALUE"""),"N/A")</f>
        <v>N/A</v>
      </c>
      <c r="L40" s="18" t="str">
        <f ca="1">IFERROR(__xludf.DUMMYFUNCTION("""COMPUTED_VALUE"""),"N/A")</f>
        <v>N/A</v>
      </c>
      <c r="M40" s="18" t="str">
        <f ca="1">IFERROR(__xludf.DUMMYFUNCTION("""COMPUTED_VALUE"""),"N/A")</f>
        <v>N/A</v>
      </c>
      <c r="N40" s="18" t="str">
        <f ca="1">IFERROR(__xludf.DUMMYFUNCTION("""COMPUTED_VALUE"""),"N/A")</f>
        <v>N/A</v>
      </c>
      <c r="O40" s="18" t="str">
        <f ca="1">IFERROR(__xludf.DUMMYFUNCTION("""COMPUTED_VALUE"""),"N/A")</f>
        <v>N/A</v>
      </c>
      <c r="P40" s="18" t="str">
        <f ca="1">IFERROR(__xludf.DUMMYFUNCTION("""COMPUTED_VALUE"""),"N/A")</f>
        <v>N/A</v>
      </c>
      <c r="Q40" s="18" t="str">
        <f ca="1">IFERROR(__xludf.DUMMYFUNCTION("""COMPUTED_VALUE"""),"N/A")</f>
        <v>N/A</v>
      </c>
      <c r="R40" s="18" t="str">
        <f ca="1">IFERROR(__xludf.DUMMYFUNCTION("""COMPUTED_VALUE"""),"N/A")</f>
        <v>N/A</v>
      </c>
      <c r="S40" s="18" t="str">
        <f ca="1">IFERROR(__xludf.DUMMYFUNCTION("""COMPUTED_VALUE"""),"N/A")</f>
        <v>N/A</v>
      </c>
      <c r="T40" s="18" t="str">
        <f ca="1">IFERROR(__xludf.DUMMYFUNCTION("""COMPUTED_VALUE"""),"0xF05A")</f>
        <v>0xF05A</v>
      </c>
      <c r="U40" s="18" t="str">
        <f ca="1">IFERROR(__xludf.DUMMYFUNCTION("""COMPUTED_VALUE"""),"0x0A")</f>
        <v>0x0A</v>
      </c>
      <c r="V40" s="18" t="str">
        <f ca="1">IFERROR(__xludf.DUMMYFUNCTION("""COMPUTED_VALUE"""),"0x0104")</f>
        <v>0x0104</v>
      </c>
      <c r="W40" s="18" t="str">
        <f ca="1">IFERROR(__xludf.DUMMYFUNCTION("""COMPUTED_VALUE"""),"0x0201")</f>
        <v>0x0201</v>
      </c>
      <c r="X40" s="18" t="str">
        <f ca="1">IFERROR(__xludf.DUMMYFUNCTION("""COMPUTED_VALUE"""),"0x29")</f>
        <v>0x29</v>
      </c>
      <c r="Y40" s="18" t="e">
        <f ca="1"/>
        <v>#NAME?</v>
      </c>
      <c r="Z40" s="18" t="str">
        <f ca="1">IFERROR(__xludf.DUMMYFUNCTION("""COMPUTED_VALUE"""),"N/A")</f>
        <v>N/A</v>
      </c>
      <c r="AA40" s="18" t="str">
        <f ca="1">IFERROR(__xludf.DUMMYFUNCTION("""COMPUTED_VALUE"""),"lambdax:x/100")</f>
        <v>lambdax:x/100</v>
      </c>
      <c r="AC40" s="59" t="s">
        <v>766</v>
      </c>
      <c r="AD40" s="59" t="s">
        <v>766</v>
      </c>
      <c r="AE40" s="59" t="s">
        <v>769</v>
      </c>
      <c r="AF40" s="59" t="s">
        <v>769</v>
      </c>
      <c r="AG40" s="59" t="s">
        <v>769</v>
      </c>
      <c r="AH40" s="59" t="s">
        <v>769</v>
      </c>
      <c r="AI40" s="59" t="s">
        <v>769</v>
      </c>
      <c r="AJ40" s="59" t="s">
        <v>769</v>
      </c>
      <c r="AK40" s="59" t="s">
        <v>769</v>
      </c>
      <c r="AL40" s="59" t="s">
        <v>769</v>
      </c>
      <c r="AM40" s="59" t="s">
        <v>769</v>
      </c>
      <c r="AN40" s="59" t="s">
        <v>769</v>
      </c>
      <c r="AO40" s="59" t="s">
        <v>769</v>
      </c>
      <c r="AP40" s="59" t="s">
        <v>770</v>
      </c>
      <c r="AQ40" s="59" t="s">
        <v>771</v>
      </c>
      <c r="AR40" s="59" t="s">
        <v>771</v>
      </c>
      <c r="AS40" s="59" t="s">
        <v>771</v>
      </c>
      <c r="AT40" s="59" t="s">
        <v>771</v>
      </c>
    </row>
    <row r="41" spans="1:46" ht="15.75" customHeight="1" x14ac:dyDescent="0.25">
      <c r="A41" s="18" t="str">
        <v>drift_start_temp:{"type":"attribute","data_type":"float","is_readonly":true,"reporting_type":"diagnostic","zigbee_metadata":{"attr_id":61531,"endpoint_id":10,"profile_id":260,"cluster_id":513,"zcl_data_type":41,"read_formatter":"lambdax:x/100"}},</v>
      </c>
      <c r="B41" s="52" t="str">
        <f ca="1"/>
        <v>0x0201 0xF05B</v>
      </c>
      <c r="C41" s="52" t="str">
        <f ca="1">IFERROR(__xludf.DUMMYFUNCTION("""COMPUTED_VALUE"""),"drift_start_temp")</f>
        <v>drift_start_temp</v>
      </c>
      <c r="D41" s="18" t="str">
        <f ca="1">IFERROR(__xludf.DUMMYFUNCTION("""COMPUTED_VALUE"""),"attribute")</f>
        <v>attribute</v>
      </c>
      <c r="E41" s="18" t="str">
        <f ca="1">IFERROR(__xludf.DUMMYFUNCTION("""COMPUTED_VALUE"""),"float")</f>
        <v>float</v>
      </c>
      <c r="F41" s="18" t="str">
        <f ca="1">IFERROR(__xludf.DUMMYFUNCTION("""COMPUTED_VALUE"""),"true")</f>
        <v>true</v>
      </c>
      <c r="G41" s="18" t="str">
        <f ca="1">IFERROR(__xludf.DUMMYFUNCTION("""COMPUTED_VALUE"""),"diagnostic")</f>
        <v>diagnostic</v>
      </c>
      <c r="H41" s="18" t="str">
        <f ca="1">IFERROR(__xludf.DUMMYFUNCTION("""COMPUTED_VALUE"""),"N/A")</f>
        <v>N/A</v>
      </c>
      <c r="I41" s="18" t="str">
        <f ca="1">IFERROR(__xludf.DUMMYFUNCTION("""COMPUTED_VALUE"""),"N/A")</f>
        <v>N/A</v>
      </c>
      <c r="J41" s="18" t="str">
        <f ca="1">IFERROR(__xludf.DUMMYFUNCTION("""COMPUTED_VALUE"""),"N/A")</f>
        <v>N/A</v>
      </c>
      <c r="K41" s="18" t="str">
        <f ca="1">IFERROR(__xludf.DUMMYFUNCTION("""COMPUTED_VALUE"""),"N/A")</f>
        <v>N/A</v>
      </c>
      <c r="L41" s="18" t="str">
        <f ca="1">IFERROR(__xludf.DUMMYFUNCTION("""COMPUTED_VALUE"""),"N/A")</f>
        <v>N/A</v>
      </c>
      <c r="M41" s="18" t="str">
        <f ca="1">IFERROR(__xludf.DUMMYFUNCTION("""COMPUTED_VALUE"""),"N/A")</f>
        <v>N/A</v>
      </c>
      <c r="N41" s="18" t="str">
        <f ca="1">IFERROR(__xludf.DUMMYFUNCTION("""COMPUTED_VALUE"""),"N/A")</f>
        <v>N/A</v>
      </c>
      <c r="O41" s="18" t="str">
        <f ca="1">IFERROR(__xludf.DUMMYFUNCTION("""COMPUTED_VALUE"""),"N/A")</f>
        <v>N/A</v>
      </c>
      <c r="P41" s="18" t="str">
        <f ca="1">IFERROR(__xludf.DUMMYFUNCTION("""COMPUTED_VALUE"""),"N/A")</f>
        <v>N/A</v>
      </c>
      <c r="Q41" s="18" t="str">
        <f ca="1">IFERROR(__xludf.DUMMYFUNCTION("""COMPUTED_VALUE"""),"N/A")</f>
        <v>N/A</v>
      </c>
      <c r="R41" s="18" t="str">
        <f ca="1">IFERROR(__xludf.DUMMYFUNCTION("""COMPUTED_VALUE"""),"N/A")</f>
        <v>N/A</v>
      </c>
      <c r="S41" s="18" t="str">
        <f ca="1">IFERROR(__xludf.DUMMYFUNCTION("""COMPUTED_VALUE"""),"N/A")</f>
        <v>N/A</v>
      </c>
      <c r="T41" s="18" t="str">
        <f ca="1">IFERROR(__xludf.DUMMYFUNCTION("""COMPUTED_VALUE"""),"0xF05B")</f>
        <v>0xF05B</v>
      </c>
      <c r="U41" s="18" t="str">
        <f ca="1">IFERROR(__xludf.DUMMYFUNCTION("""COMPUTED_VALUE"""),"0x0A")</f>
        <v>0x0A</v>
      </c>
      <c r="V41" s="18" t="str">
        <f ca="1">IFERROR(__xludf.DUMMYFUNCTION("""COMPUTED_VALUE"""),"0x0104")</f>
        <v>0x0104</v>
      </c>
      <c r="W41" s="18" t="str">
        <f ca="1">IFERROR(__xludf.DUMMYFUNCTION("""COMPUTED_VALUE"""),"0x0201")</f>
        <v>0x0201</v>
      </c>
      <c r="X41" s="18" t="str">
        <f ca="1">IFERROR(__xludf.DUMMYFUNCTION("""COMPUTED_VALUE"""),"0x29")</f>
        <v>0x29</v>
      </c>
      <c r="Y41" s="18" t="e">
        <f ca="1"/>
        <v>#NAME?</v>
      </c>
      <c r="Z41" s="18" t="str">
        <f ca="1">IFERROR(__xludf.DUMMYFUNCTION("""COMPUTED_VALUE"""),"N/A")</f>
        <v>N/A</v>
      </c>
      <c r="AA41" s="18" t="str">
        <f ca="1">IFERROR(__xludf.DUMMYFUNCTION("""COMPUTED_VALUE"""),"lambdax:x/100")</f>
        <v>lambdax:x/100</v>
      </c>
      <c r="AC41" s="59" t="s">
        <v>769</v>
      </c>
      <c r="AD41" s="59" t="s">
        <v>769</v>
      </c>
      <c r="AE41" s="59" t="s">
        <v>772</v>
      </c>
      <c r="AF41" s="59" t="s">
        <v>772</v>
      </c>
      <c r="AG41" s="59" t="s">
        <v>772</v>
      </c>
      <c r="AH41" s="59" t="s">
        <v>772</v>
      </c>
      <c r="AI41" s="59" t="s">
        <v>772</v>
      </c>
      <c r="AJ41" s="59" t="s">
        <v>772</v>
      </c>
      <c r="AK41" s="59" t="s">
        <v>772</v>
      </c>
      <c r="AL41" s="59" t="s">
        <v>772</v>
      </c>
      <c r="AM41" s="59" t="s">
        <v>772</v>
      </c>
      <c r="AN41" s="59" t="s">
        <v>772</v>
      </c>
      <c r="AO41" s="59" t="s">
        <v>772</v>
      </c>
      <c r="AP41" s="59" t="s">
        <v>773</v>
      </c>
      <c r="AQ41" s="59" t="s">
        <v>774</v>
      </c>
      <c r="AR41" s="59" t="s">
        <v>774</v>
      </c>
      <c r="AS41" s="59" t="s">
        <v>774</v>
      </c>
      <c r="AT41" s="59" t="s">
        <v>774</v>
      </c>
    </row>
    <row r="42" spans="1:46" ht="15.75" customHeight="1" x14ac:dyDescent="0.25">
      <c r="A42" s="18" t="str">
        <v>refresh_last_cycle_time:{"type":"attribute","data_type":"uint32","is_readonly":true,"reporting_type":"diagnostic","zigbee_metadata":{"attr_id":61537,"endpoint_id":10,"profile_id":260,"cluster_id":513,"zcl_data_type":35}},</v>
      </c>
      <c r="B42" s="52" t="str">
        <f ca="1"/>
        <v>0x0201 0xF061</v>
      </c>
      <c r="C42" s="52" t="str">
        <f ca="1">IFERROR(__xludf.DUMMYFUNCTION("""COMPUTED_VALUE"""),"refresh_last_cycle_time")</f>
        <v>refresh_last_cycle_time</v>
      </c>
      <c r="D42" s="18" t="str">
        <f ca="1">IFERROR(__xludf.DUMMYFUNCTION("""COMPUTED_VALUE"""),"attribute")</f>
        <v>attribute</v>
      </c>
      <c r="E42" s="18" t="str">
        <f ca="1">IFERROR(__xludf.DUMMYFUNCTION("""COMPUTED_VALUE"""),"uint32")</f>
        <v>uint32</v>
      </c>
      <c r="F42" s="18" t="str">
        <f ca="1">IFERROR(__xludf.DUMMYFUNCTION("""COMPUTED_VALUE"""),"true")</f>
        <v>true</v>
      </c>
      <c r="G42" s="18" t="str">
        <f ca="1">IFERROR(__xludf.DUMMYFUNCTION("""COMPUTED_VALUE"""),"diagnostic")</f>
        <v>diagnostic</v>
      </c>
      <c r="H42" s="18" t="str">
        <f ca="1">IFERROR(__xludf.DUMMYFUNCTION("""COMPUTED_VALUE"""),"N/A")</f>
        <v>N/A</v>
      </c>
      <c r="I42" s="18" t="str">
        <f ca="1">IFERROR(__xludf.DUMMYFUNCTION("""COMPUTED_VALUE"""),"N/A")</f>
        <v>N/A</v>
      </c>
      <c r="J42" s="18" t="str">
        <f ca="1">IFERROR(__xludf.DUMMYFUNCTION("""COMPUTED_VALUE"""),"N/A")</f>
        <v>N/A</v>
      </c>
      <c r="K42" s="18" t="str">
        <f ca="1">IFERROR(__xludf.DUMMYFUNCTION("""COMPUTED_VALUE"""),"N/A")</f>
        <v>N/A</v>
      </c>
      <c r="L42" s="18" t="str">
        <f ca="1">IFERROR(__xludf.DUMMYFUNCTION("""COMPUTED_VALUE"""),"N/A")</f>
        <v>N/A</v>
      </c>
      <c r="M42" s="18" t="str">
        <f ca="1">IFERROR(__xludf.DUMMYFUNCTION("""COMPUTED_VALUE"""),"N/A")</f>
        <v>N/A</v>
      </c>
      <c r="N42" s="18" t="str">
        <f ca="1">IFERROR(__xludf.DUMMYFUNCTION("""COMPUTED_VALUE"""),"N/A")</f>
        <v>N/A</v>
      </c>
      <c r="O42" s="18" t="str">
        <f ca="1">IFERROR(__xludf.DUMMYFUNCTION("""COMPUTED_VALUE"""),"N/A")</f>
        <v>N/A</v>
      </c>
      <c r="P42" s="18" t="str">
        <f ca="1">IFERROR(__xludf.DUMMYFUNCTION("""COMPUTED_VALUE"""),"N/A")</f>
        <v>N/A</v>
      </c>
      <c r="Q42" s="18" t="str">
        <f ca="1">IFERROR(__xludf.DUMMYFUNCTION("""COMPUTED_VALUE"""),"N/A")</f>
        <v>N/A</v>
      </c>
      <c r="R42" s="18" t="str">
        <f ca="1">IFERROR(__xludf.DUMMYFUNCTION("""COMPUTED_VALUE"""),"N/A")</f>
        <v>N/A</v>
      </c>
      <c r="S42" s="18" t="str">
        <f ca="1">IFERROR(__xludf.DUMMYFUNCTION("""COMPUTED_VALUE"""),"N/A")</f>
        <v>N/A</v>
      </c>
      <c r="T42" s="18" t="str">
        <f ca="1">IFERROR(__xludf.DUMMYFUNCTION("""COMPUTED_VALUE"""),"0xF061")</f>
        <v>0xF061</v>
      </c>
      <c r="U42" s="18" t="str">
        <f ca="1">IFERROR(__xludf.DUMMYFUNCTION("""COMPUTED_VALUE"""),"0x0A")</f>
        <v>0x0A</v>
      </c>
      <c r="V42" s="18" t="str">
        <f ca="1">IFERROR(__xludf.DUMMYFUNCTION("""COMPUTED_VALUE"""),"0x0104")</f>
        <v>0x0104</v>
      </c>
      <c r="W42" s="18" t="str">
        <f ca="1">IFERROR(__xludf.DUMMYFUNCTION("""COMPUTED_VALUE"""),"0x0201")</f>
        <v>0x0201</v>
      </c>
      <c r="X42" s="18" t="str">
        <f ca="1">IFERROR(__xludf.DUMMYFUNCTION("""COMPUTED_VALUE"""),"0x23")</f>
        <v>0x23</v>
      </c>
      <c r="Y42" s="18" t="e">
        <f ca="1"/>
        <v>#NAME?</v>
      </c>
      <c r="Z42" s="18" t="str">
        <f ca="1">IFERROR(__xludf.DUMMYFUNCTION("""COMPUTED_VALUE"""),"N/A")</f>
        <v>N/A</v>
      </c>
      <c r="AA42" s="18" t="str">
        <f ca="1">IFERROR(__xludf.DUMMYFUNCTION("""COMPUTED_VALUE"""),"N/A")</f>
        <v>N/A</v>
      </c>
      <c r="AC42" s="59" t="s">
        <v>772</v>
      </c>
      <c r="AD42" s="59" t="s">
        <v>772</v>
      </c>
      <c r="AE42" s="59" t="s">
        <v>775</v>
      </c>
      <c r="AF42" s="59" t="s">
        <v>775</v>
      </c>
      <c r="AG42" s="59" t="s">
        <v>775</v>
      </c>
      <c r="AH42" s="59" t="s">
        <v>775</v>
      </c>
      <c r="AI42" s="59" t="s">
        <v>775</v>
      </c>
      <c r="AJ42" s="59" t="s">
        <v>775</v>
      </c>
      <c r="AK42" s="59" t="s">
        <v>775</v>
      </c>
      <c r="AL42" s="59" t="s">
        <v>775</v>
      </c>
      <c r="AM42" s="59" t="s">
        <v>775</v>
      </c>
      <c r="AN42" s="59" t="s">
        <v>775</v>
      </c>
      <c r="AO42" s="59" t="s">
        <v>775</v>
      </c>
      <c r="AP42" s="59" t="s">
        <v>776</v>
      </c>
      <c r="AQ42" s="59" t="s">
        <v>777</v>
      </c>
      <c r="AR42" s="59" t="s">
        <v>777</v>
      </c>
      <c r="AS42" s="59" t="s">
        <v>777</v>
      </c>
      <c r="AT42" s="59" t="s">
        <v>777</v>
      </c>
    </row>
    <row r="43" spans="1:46" ht="15.75" customHeight="1" x14ac:dyDescent="0.25">
      <c r="A43" s="18" t="str">
        <v>temp_protection_active:{"type":"attribute","data_type":"enum","is_readonly":true,"reporting_type":"reported","report_max":3600,"report_min":0,"enum_values":["none","heat","cool"],"zigbee_metadata":{"attr_id":61541,"endpoint_id":10,"profile_id":260,"cluster_id":513,"zcl_data_type":24,"read_formatter":"lambdax:{0:'none',1:'heat',2:'cool'}.get(x,'unknown')"}},</v>
      </c>
      <c r="B43" s="52" t="str">
        <f ca="1"/>
        <v>0x0201 0xF065</v>
      </c>
      <c r="C43" s="52" t="str">
        <f ca="1">IFERROR(__xludf.DUMMYFUNCTION("""COMPUTED_VALUE"""),"temp_protection_active")</f>
        <v>temp_protection_active</v>
      </c>
      <c r="D43" s="18" t="str">
        <f ca="1">IFERROR(__xludf.DUMMYFUNCTION("""COMPUTED_VALUE"""),"attribute")</f>
        <v>attribute</v>
      </c>
      <c r="E43" s="18" t="str">
        <f ca="1">IFERROR(__xludf.DUMMYFUNCTION("""COMPUTED_VALUE"""),"enum")</f>
        <v>enum</v>
      </c>
      <c r="F43" s="18" t="str">
        <f ca="1">IFERROR(__xludf.DUMMYFUNCTION("""COMPUTED_VALUE"""),"true")</f>
        <v>true</v>
      </c>
      <c r="G43" s="18" t="str">
        <f ca="1">IFERROR(__xludf.DUMMYFUNCTION("""COMPUTED_VALUE"""),"reported")</f>
        <v>reported</v>
      </c>
      <c r="H43" s="18" t="str">
        <f ca="1">IFERROR(__xludf.DUMMYFUNCTION("""COMPUTED_VALUE"""),"N/A")</f>
        <v>N/A</v>
      </c>
      <c r="I43" s="18" t="str">
        <f ca="1">IFERROR(__xludf.DUMMYFUNCTION("""COMPUTED_VALUE"""),"3600")</f>
        <v>3600</v>
      </c>
      <c r="J43" s="18" t="str">
        <f ca="1">IFERROR(__xludf.DUMMYFUNCTION("""COMPUTED_VALUE"""),"0")</f>
        <v>0</v>
      </c>
      <c r="K43" s="18" t="str">
        <f ca="1">IFERROR(__xludf.DUMMYFUNCTION("""COMPUTED_VALUE"""),"N/A")</f>
        <v>N/A</v>
      </c>
      <c r="L43" s="18" t="str">
        <f ca="1">IFERROR(__xludf.DUMMYFUNCTION("""COMPUTED_VALUE"""),"N/A")</f>
        <v>N/A</v>
      </c>
      <c r="M43" s="18" t="str">
        <f ca="1">IFERROR(__xludf.DUMMYFUNCTION("""COMPUTED_VALUE"""),"N/A")</f>
        <v>N/A</v>
      </c>
      <c r="N43" s="18" t="str">
        <f ca="1">IFERROR(__xludf.DUMMYFUNCTION("""COMPUTED_VALUE"""),"N/A")</f>
        <v>N/A</v>
      </c>
      <c r="O43" s="18" t="str">
        <f ca="1">IFERROR(__xludf.DUMMYFUNCTION("""COMPUTED_VALUE"""),"N/A")</f>
        <v>N/A</v>
      </c>
      <c r="P43" s="18" t="str">
        <f ca="1">IFERROR(__xludf.DUMMYFUNCTION("""COMPUTED_VALUE"""),"""none"",""heat"",""cool""")</f>
        <v>"none","heat","cool"</v>
      </c>
      <c r="Q43" s="18" t="str">
        <f ca="1">IFERROR(__xludf.DUMMYFUNCTION("""COMPUTED_VALUE"""),"N/A")</f>
        <v>N/A</v>
      </c>
      <c r="R43" s="18" t="str">
        <f ca="1">IFERROR(__xludf.DUMMYFUNCTION("""COMPUTED_VALUE"""),"N/A")</f>
        <v>N/A</v>
      </c>
      <c r="S43" s="18" t="str">
        <f ca="1">IFERROR(__xludf.DUMMYFUNCTION("""COMPUTED_VALUE"""),"N/A")</f>
        <v>N/A</v>
      </c>
      <c r="T43" s="18" t="str">
        <f ca="1">IFERROR(__xludf.DUMMYFUNCTION("""COMPUTED_VALUE"""),"0xF065")</f>
        <v>0xF065</v>
      </c>
      <c r="U43" s="18" t="str">
        <f ca="1">IFERROR(__xludf.DUMMYFUNCTION("""COMPUTED_VALUE"""),"0x0A")</f>
        <v>0x0A</v>
      </c>
      <c r="V43" s="18" t="str">
        <f ca="1">IFERROR(__xludf.DUMMYFUNCTION("""COMPUTED_VALUE"""),"0x0104")</f>
        <v>0x0104</v>
      </c>
      <c r="W43" s="18" t="str">
        <f ca="1">IFERROR(__xludf.DUMMYFUNCTION("""COMPUTED_VALUE"""),"0x0201")</f>
        <v>0x0201</v>
      </c>
      <c r="X43" s="18" t="str">
        <f ca="1">IFERROR(__xludf.DUMMYFUNCTION("""COMPUTED_VALUE"""),"0x18")</f>
        <v>0x18</v>
      </c>
      <c r="Y43" s="18" t="e">
        <f ca="1"/>
        <v>#NAME?</v>
      </c>
      <c r="Z43" s="18" t="str">
        <f ca="1">IFERROR(__xludf.DUMMYFUNCTION("""COMPUTED_VALUE"""),"N/A")</f>
        <v>N/A</v>
      </c>
      <c r="AA43" s="18" t="str">
        <f ca="1">IFERROR(__xludf.DUMMYFUNCTION("""COMPUTED_VALUE"""),"lambdax:{0:'none',1:'heat',2:'cool'}.get(x,'unknown')")</f>
        <v>lambdax:{0:'none',1:'heat',2:'cool'}.get(x,'unknown')</v>
      </c>
      <c r="AC43" s="59" t="s">
        <v>775</v>
      </c>
      <c r="AD43" s="59" t="s">
        <v>775</v>
      </c>
      <c r="AE43" s="59" t="s">
        <v>778</v>
      </c>
      <c r="AF43" s="59" t="s">
        <v>778</v>
      </c>
      <c r="AG43" s="59" t="s">
        <v>778</v>
      </c>
      <c r="AH43" s="59" t="s">
        <v>778</v>
      </c>
      <c r="AI43" s="59" t="s">
        <v>778</v>
      </c>
      <c r="AJ43" s="59" t="s">
        <v>778</v>
      </c>
      <c r="AK43" s="59" t="s">
        <v>778</v>
      </c>
      <c r="AL43" s="59" t="s">
        <v>778</v>
      </c>
      <c r="AM43" s="59" t="s">
        <v>778</v>
      </c>
      <c r="AN43" s="59" t="s">
        <v>778</v>
      </c>
      <c r="AO43" s="59" t="s">
        <v>778</v>
      </c>
      <c r="AP43" s="59" t="s">
        <v>779</v>
      </c>
      <c r="AQ43" s="59" t="s">
        <v>780</v>
      </c>
      <c r="AR43" s="59" t="s">
        <v>780</v>
      </c>
      <c r="AS43" s="59" t="s">
        <v>780</v>
      </c>
      <c r="AT43" s="59" t="s">
        <v>780</v>
      </c>
    </row>
    <row r="44" spans="1:46" ht="15.75" customHeight="1" x14ac:dyDescent="0.25">
      <c r="A44" s="18" t="str">
        <v>temp_protection_return_mode:{"type":"attribute","data_type":"enum","is_readonly":true,"reporting_type":"diagnostic","enum_values":["off","auto","cool","heat"],"zigbee_metadata":{"attr_id":61542,"endpoint_id":10,"profile_id":260,"cluster_id":513,"zcl_data_type":48,"read_formatter":"lambdax:{0:'off',1:'auto',3:'cool',4:'heat'}.get(x,'unknown')"}},</v>
      </c>
      <c r="B44" s="52" t="str">
        <f ca="1"/>
        <v>0x0201 0xF066</v>
      </c>
      <c r="C44" s="52" t="str">
        <f ca="1">IFERROR(__xludf.DUMMYFUNCTION("""COMPUTED_VALUE"""),"temp_protection_return_mode")</f>
        <v>temp_protection_return_mode</v>
      </c>
      <c r="D44" s="18" t="str">
        <f ca="1">IFERROR(__xludf.DUMMYFUNCTION("""COMPUTED_VALUE"""),"attribute")</f>
        <v>attribute</v>
      </c>
      <c r="E44" s="18" t="str">
        <f ca="1">IFERROR(__xludf.DUMMYFUNCTION("""COMPUTED_VALUE"""),"enum")</f>
        <v>enum</v>
      </c>
      <c r="F44" s="18" t="str">
        <f ca="1">IFERROR(__xludf.DUMMYFUNCTION("""COMPUTED_VALUE"""),"true")</f>
        <v>true</v>
      </c>
      <c r="G44" s="18" t="str">
        <f ca="1">IFERROR(__xludf.DUMMYFUNCTION("""COMPUTED_VALUE"""),"diagnostic")</f>
        <v>diagnostic</v>
      </c>
      <c r="H44" s="18" t="str">
        <f ca="1">IFERROR(__xludf.DUMMYFUNCTION("""COMPUTED_VALUE"""),"N/A")</f>
        <v>N/A</v>
      </c>
      <c r="I44" s="18" t="str">
        <f ca="1">IFERROR(__xludf.DUMMYFUNCTION("""COMPUTED_VALUE"""),"N/A")</f>
        <v>N/A</v>
      </c>
      <c r="J44" s="18" t="str">
        <f ca="1">IFERROR(__xludf.DUMMYFUNCTION("""COMPUTED_VALUE"""),"N/A")</f>
        <v>N/A</v>
      </c>
      <c r="K44" s="18" t="str">
        <f ca="1">IFERROR(__xludf.DUMMYFUNCTION("""COMPUTED_VALUE"""),"N/A")</f>
        <v>N/A</v>
      </c>
      <c r="L44" s="18" t="str">
        <f ca="1">IFERROR(__xludf.DUMMYFUNCTION("""COMPUTED_VALUE"""),"N/A")</f>
        <v>N/A</v>
      </c>
      <c r="M44" s="18" t="str">
        <f ca="1">IFERROR(__xludf.DUMMYFUNCTION("""COMPUTED_VALUE"""),"N/A")</f>
        <v>N/A</v>
      </c>
      <c r="N44" s="18" t="str">
        <f ca="1">IFERROR(__xludf.DUMMYFUNCTION("""COMPUTED_VALUE"""),"N/A")</f>
        <v>N/A</v>
      </c>
      <c r="O44" s="18" t="str">
        <f ca="1">IFERROR(__xludf.DUMMYFUNCTION("""COMPUTED_VALUE"""),"N/A")</f>
        <v>N/A</v>
      </c>
      <c r="P44" s="18" t="str">
        <f ca="1">IFERROR(__xludf.DUMMYFUNCTION("""COMPUTED_VALUE"""),"""off"",""auto"",""cool"",""heat""")</f>
        <v>"off","auto","cool","heat"</v>
      </c>
      <c r="Q44" s="18" t="str">
        <f ca="1">IFERROR(__xludf.DUMMYFUNCTION("""COMPUTED_VALUE"""),"N/A")</f>
        <v>N/A</v>
      </c>
      <c r="R44" s="18" t="str">
        <f ca="1">IFERROR(__xludf.DUMMYFUNCTION("""COMPUTED_VALUE"""),"N/A")</f>
        <v>N/A</v>
      </c>
      <c r="S44" s="18" t="str">
        <f ca="1">IFERROR(__xludf.DUMMYFUNCTION("""COMPUTED_VALUE"""),"N/A")</f>
        <v>N/A</v>
      </c>
      <c r="T44" s="18" t="str">
        <f ca="1">IFERROR(__xludf.DUMMYFUNCTION("""COMPUTED_VALUE"""),"0xF066")</f>
        <v>0xF066</v>
      </c>
      <c r="U44" s="18" t="str">
        <f ca="1">IFERROR(__xludf.DUMMYFUNCTION("""COMPUTED_VALUE"""),"0x0A")</f>
        <v>0x0A</v>
      </c>
      <c r="V44" s="18" t="str">
        <f ca="1">IFERROR(__xludf.DUMMYFUNCTION("""COMPUTED_VALUE"""),"0x0104")</f>
        <v>0x0104</v>
      </c>
      <c r="W44" s="18" t="str">
        <f ca="1">IFERROR(__xludf.DUMMYFUNCTION("""COMPUTED_VALUE"""),"0x0201")</f>
        <v>0x0201</v>
      </c>
      <c r="X44" s="18" t="str">
        <f ca="1">IFERROR(__xludf.DUMMYFUNCTION("""COMPUTED_VALUE"""),"0x30")</f>
        <v>0x30</v>
      </c>
      <c r="Y44" s="18" t="e">
        <f ca="1"/>
        <v>#NAME?</v>
      </c>
      <c r="Z44" s="18" t="str">
        <f ca="1">IFERROR(__xludf.DUMMYFUNCTION("""COMPUTED_VALUE"""),"N/A")</f>
        <v>N/A</v>
      </c>
      <c r="AA44" s="18" t="str">
        <f ca="1">IFERROR(__xludf.DUMMYFUNCTION("""COMPUTED_VALUE"""),"lambdax:{0:'off',1:'auto',3:'cool',4:'heat'}.get(x,'unknown')")</f>
        <v>lambdax:{0:'off',1:'auto',3:'cool',4:'heat'}.get(x,'unknown')</v>
      </c>
      <c r="AC44" s="59" t="s">
        <v>778</v>
      </c>
      <c r="AD44" s="59" t="s">
        <v>778</v>
      </c>
      <c r="AE44" s="59" t="s">
        <v>781</v>
      </c>
      <c r="AF44" s="59" t="s">
        <v>781</v>
      </c>
      <c r="AG44" s="59" t="s">
        <v>781</v>
      </c>
      <c r="AH44" s="59" t="s">
        <v>781</v>
      </c>
      <c r="AI44" s="59" t="s">
        <v>781</v>
      </c>
      <c r="AJ44" s="59" t="s">
        <v>781</v>
      </c>
      <c r="AK44" s="59" t="s">
        <v>781</v>
      </c>
      <c r="AL44" s="59" t="s">
        <v>781</v>
      </c>
      <c r="AM44" s="59" t="s">
        <v>781</v>
      </c>
      <c r="AN44" s="59" t="s">
        <v>781</v>
      </c>
      <c r="AO44" s="59" t="s">
        <v>781</v>
      </c>
      <c r="AP44" s="59" t="s">
        <v>782</v>
      </c>
      <c r="AQ44" s="59" t="s">
        <v>783</v>
      </c>
      <c r="AR44" s="59" t="s">
        <v>783</v>
      </c>
      <c r="AS44" s="59" t="s">
        <v>783</v>
      </c>
      <c r="AT44" s="59" t="s">
        <v>783</v>
      </c>
    </row>
    <row r="45" spans="1:46" ht="15.75" customHeight="1" x14ac:dyDescent="0.25">
      <c r="A45" s="18" t="str">
        <v>dehumidification_option:{"type":"attribute","data_type":"enum","is_readonly":false,"reporting_type":"polled","poll_freq":86400,"enum_values":["none","simple","staged","dynamic"],"default_value":"none","zigbee_metadata":{"attr_id":61543,"endpoint_id":10,"profile_id":260,"cluster_id":513,"zcl_data_type":48,"write_formatter":"lambdax:{'none':0,'simple':1,'staged':2,'dynamic':3}[x]","read_formatter":"lambdax:{0:'none',1:'simple',2:'staged',3:'dynamic'}.get(x,'unknown')"}},</v>
      </c>
      <c r="B45" s="52" t="str">
        <f ca="1"/>
        <v>0x0201 0xF067</v>
      </c>
      <c r="C45" s="52" t="str">
        <f ca="1">IFERROR(__xludf.DUMMYFUNCTION("""COMPUTED_VALUE"""),"dehumidification_option")</f>
        <v>dehumidification_option</v>
      </c>
      <c r="D45" s="18" t="str">
        <f ca="1">IFERROR(__xludf.DUMMYFUNCTION("""COMPUTED_VALUE"""),"attribute")</f>
        <v>attribute</v>
      </c>
      <c r="E45" s="18" t="str">
        <f ca="1">IFERROR(__xludf.DUMMYFUNCTION("""COMPUTED_VALUE"""),"enum")</f>
        <v>enum</v>
      </c>
      <c r="F45" s="18" t="str">
        <f ca="1">IFERROR(__xludf.DUMMYFUNCTION("""COMPUTED_VALUE"""),"false")</f>
        <v>false</v>
      </c>
      <c r="G45" s="18" t="str">
        <f ca="1">IFERROR(__xludf.DUMMYFUNCTION("""COMPUTED_VALUE"""),"polled")</f>
        <v>polled</v>
      </c>
      <c r="H45" s="18" t="str">
        <f ca="1">IFERROR(__xludf.DUMMYFUNCTION("""COMPUTED_VALUE"""),"86400")</f>
        <v>86400</v>
      </c>
      <c r="I45" s="18" t="str">
        <f ca="1">IFERROR(__xludf.DUMMYFUNCTION("""COMPUTED_VALUE"""),"N/A")</f>
        <v>N/A</v>
      </c>
      <c r="J45" s="18" t="str">
        <f ca="1">IFERROR(__xludf.DUMMYFUNCTION("""COMPUTED_VALUE"""),"N/A")</f>
        <v>N/A</v>
      </c>
      <c r="K45" s="18" t="str">
        <f ca="1">IFERROR(__xludf.DUMMYFUNCTION("""COMPUTED_VALUE"""),"N/A")</f>
        <v>N/A</v>
      </c>
      <c r="L45" s="18" t="str">
        <f ca="1">IFERROR(__xludf.DUMMYFUNCTION("""COMPUTED_VALUE"""),"N/A")</f>
        <v>N/A</v>
      </c>
      <c r="M45" s="18" t="str">
        <f ca="1">IFERROR(__xludf.DUMMYFUNCTION("""COMPUTED_VALUE"""),"N/A")</f>
        <v>N/A</v>
      </c>
      <c r="N45" s="18" t="str">
        <f ca="1">IFERROR(__xludf.DUMMYFUNCTION("""COMPUTED_VALUE"""),"N/A")</f>
        <v>N/A</v>
      </c>
      <c r="O45" s="18" t="str">
        <f ca="1">IFERROR(__xludf.DUMMYFUNCTION("""COMPUTED_VALUE"""),"N/A")</f>
        <v>N/A</v>
      </c>
      <c r="P45" s="18" t="str">
        <f ca="1">IFERROR(__xludf.DUMMYFUNCTION("""COMPUTED_VALUE"""),"""none"",""simple"",""staged"",""dynamic""")</f>
        <v>"none","simple","staged","dynamic"</v>
      </c>
      <c r="Q45" s="18" t="str">
        <f ca="1">IFERROR(__xludf.DUMMYFUNCTION("""COMPUTED_VALUE"""),"N/A")</f>
        <v>N/A</v>
      </c>
      <c r="R45" s="18" t="str">
        <f ca="1">IFERROR(__xludf.DUMMYFUNCTION("""COMPUTED_VALUE"""),"N/A")</f>
        <v>N/A</v>
      </c>
      <c r="S45" s="18" t="str">
        <f ca="1">IFERROR(__xludf.DUMMYFUNCTION("""COMPUTED_VALUE"""),"""none""")</f>
        <v>"none"</v>
      </c>
      <c r="T45" s="18" t="str">
        <f ca="1">IFERROR(__xludf.DUMMYFUNCTION("""COMPUTED_VALUE"""),"0xF067")</f>
        <v>0xF067</v>
      </c>
      <c r="U45" s="18" t="str">
        <f ca="1">IFERROR(__xludf.DUMMYFUNCTION("""COMPUTED_VALUE"""),"0x0A")</f>
        <v>0x0A</v>
      </c>
      <c r="V45" s="18" t="str">
        <f ca="1">IFERROR(__xludf.DUMMYFUNCTION("""COMPUTED_VALUE"""),"0x0104")</f>
        <v>0x0104</v>
      </c>
      <c r="W45" s="18" t="str">
        <f ca="1">IFERROR(__xludf.DUMMYFUNCTION("""COMPUTED_VALUE"""),"0x0201")</f>
        <v>0x0201</v>
      </c>
      <c r="X45" s="18" t="str">
        <f ca="1">IFERROR(__xludf.DUMMYFUNCTION("""COMPUTED_VALUE"""),"0x30")</f>
        <v>0x30</v>
      </c>
      <c r="Y45" s="18" t="e">
        <f ca="1"/>
        <v>#NAME?</v>
      </c>
      <c r="Z45" s="18" t="str">
        <f ca="1">IFERROR(__xludf.DUMMYFUNCTION("""COMPUTED_VALUE"""),"lambdax:{'none':0,'simple':1,'staged':2,'dynamic':3}[x]")</f>
        <v>lambdax:{'none':0,'simple':1,'staged':2,'dynamic':3}[x]</v>
      </c>
      <c r="AA45" s="18" t="str">
        <f ca="1">IFERROR(__xludf.DUMMYFUNCTION("""COMPUTED_VALUE"""),"lambdax:{0:'none',1:'simple',2:'staged',3:'dynamic'}.get(x,'unknown')")</f>
        <v>lambdax:{0:'none',1:'simple',2:'staged',3:'dynamic'}.get(x,'unknown')</v>
      </c>
      <c r="AC45" s="59" t="s">
        <v>781</v>
      </c>
      <c r="AD45" s="59" t="s">
        <v>781</v>
      </c>
      <c r="AE45" s="59" t="s">
        <v>784</v>
      </c>
      <c r="AF45" s="59" t="s">
        <v>784</v>
      </c>
      <c r="AG45" s="59" t="s">
        <v>784</v>
      </c>
      <c r="AH45" s="59" t="s">
        <v>784</v>
      </c>
      <c r="AI45" s="59" t="s">
        <v>784</v>
      </c>
      <c r="AJ45" s="59" t="s">
        <v>784</v>
      </c>
      <c r="AK45" s="59" t="s">
        <v>784</v>
      </c>
      <c r="AL45" s="59" t="s">
        <v>784</v>
      </c>
      <c r="AM45" s="59" t="s">
        <v>784</v>
      </c>
      <c r="AN45" s="59" t="s">
        <v>784</v>
      </c>
      <c r="AO45" s="59" t="s">
        <v>784</v>
      </c>
      <c r="AP45" s="59" t="s">
        <v>785</v>
      </c>
      <c r="AQ45" s="59" t="s">
        <v>786</v>
      </c>
      <c r="AR45" s="59" t="s">
        <v>786</v>
      </c>
      <c r="AS45" s="59" t="s">
        <v>786</v>
      </c>
      <c r="AT45" s="59" t="s">
        <v>786</v>
      </c>
    </row>
    <row r="46" spans="1:46" ht="15.75" customHeight="1" x14ac:dyDescent="0.25">
      <c r="A46" s="18" t="str">
        <v>output_state:{"type":"telemetry","data_type":"enum","is_readonly":true,"reporting_type":"reported","report_max":3600,"report_min":0,"enum_values":["idle","pre_cool","cool_low","cool_med","cool_high","post_cool","refresh_cool","dehum_cool","pre_heat","heat_low","heat_med","heat_high","post_heat","refresh_heat","dehum_heat","dehum_cool_2","dehum_heat_2","manual_fan_1","manual_fan_2","manual_fan_3"],"zigbee_metadata":{"attr_id":61570,"endpoint_id":10,"profile_id":260,"cluster_id":513,"zcl_data_type":48,"read_formatter":"lambdax:{0:'idle',1:'pre_cool',2:'cool_low',3:'cool_med',4:'cool_high',5:'post_cool',6:'refresh_cool',7:'dehum_cool',8:'pre_heat',9:'heat_low',10:'heat_med',11:'heat_high',12:'post_heat',13:'refresh_heat',14:'dehum_heat',15:'dehum_cool_2',16:'dehum_heat_2',32:'manual_fan_1',33:'manual_fan_2',34:'manual_fan_3'}.get(x,'unknown')"}},</v>
      </c>
      <c r="B46" s="52" t="str">
        <f ca="1"/>
        <v>0x0201 0xF082</v>
      </c>
      <c r="C46" s="52" t="str">
        <f ca="1">IFERROR(__xludf.DUMMYFUNCTION("""COMPUTED_VALUE"""),"output_state")</f>
        <v>output_state</v>
      </c>
      <c r="D46" s="18" t="str">
        <f ca="1">IFERROR(__xludf.DUMMYFUNCTION("""COMPUTED_VALUE"""),"telemetry")</f>
        <v>telemetry</v>
      </c>
      <c r="E46" s="18" t="str">
        <f ca="1">IFERROR(__xludf.DUMMYFUNCTION("""COMPUTED_VALUE"""),"enum")</f>
        <v>enum</v>
      </c>
      <c r="F46" s="18" t="str">
        <f ca="1">IFERROR(__xludf.DUMMYFUNCTION("""COMPUTED_VALUE"""),"true")</f>
        <v>true</v>
      </c>
      <c r="G46" s="18" t="str">
        <f ca="1">IFERROR(__xludf.DUMMYFUNCTION("""COMPUTED_VALUE"""),"reported")</f>
        <v>reported</v>
      </c>
      <c r="H46" s="18" t="str">
        <f ca="1">IFERROR(__xludf.DUMMYFUNCTION("""COMPUTED_VALUE"""),"N/A")</f>
        <v>N/A</v>
      </c>
      <c r="I46" s="18" t="str">
        <f ca="1">IFERROR(__xludf.DUMMYFUNCTION("""COMPUTED_VALUE"""),"3600")</f>
        <v>3600</v>
      </c>
      <c r="J46" s="18" t="str">
        <f ca="1">IFERROR(__xludf.DUMMYFUNCTION("""COMPUTED_VALUE"""),"0")</f>
        <v>0</v>
      </c>
      <c r="K46" s="18" t="str">
        <f ca="1">IFERROR(__xludf.DUMMYFUNCTION("""COMPUTED_VALUE"""),"N/A")</f>
        <v>N/A</v>
      </c>
      <c r="L46" s="18" t="str">
        <f ca="1">IFERROR(__xludf.DUMMYFUNCTION("""COMPUTED_VALUE"""),"N/A")</f>
        <v>N/A</v>
      </c>
      <c r="M46" s="18" t="str">
        <f ca="1">IFERROR(__xludf.DUMMYFUNCTION("""COMPUTED_VALUE"""),"N/A")</f>
        <v>N/A</v>
      </c>
      <c r="N46" s="18" t="str">
        <f ca="1">IFERROR(__xludf.DUMMYFUNCTION("""COMPUTED_VALUE"""),"N/A")</f>
        <v>N/A</v>
      </c>
      <c r="O46" s="18" t="str">
        <f ca="1">IFERROR(__xludf.DUMMYFUNCTION("""COMPUTED_VALUE"""),"N/A")</f>
        <v>N/A</v>
      </c>
      <c r="P46" s="18" t="str">
        <f ca="1">IFERROR(__xludf.DUMMYFUNCTION("""COMPUTED_VALUE"""),"""idle"",""pre_cool"",""cool_low"",""cool_med"",""cool_high"",""post_cool"",""refresh_cool"",""dehum_cool"",""pre_heat"",""heat_low"",""heat_med"",""heat_high"",""post_heat"",""refresh_heat"",""dehum_heat"",""dehum_cool_2"",""dehum_heat_2"",""manual_fan_1"&amp;""",""manual_fan_2"",""manual_fan_3""")</f>
        <v>"idle","pre_cool","cool_low","cool_med","cool_high","post_cool","refresh_cool","dehum_cool","pre_heat","heat_low","heat_med","heat_high","post_heat","refresh_heat","dehum_heat","dehum_cool_2","dehum_heat_2","manual_fan_1","manual_fan_2","manual_fan_3"</v>
      </c>
      <c r="Q46" s="18" t="str">
        <f ca="1">IFERROR(__xludf.DUMMYFUNCTION("""COMPUTED_VALUE"""),"N/A")</f>
        <v>N/A</v>
      </c>
      <c r="R46" s="18" t="str">
        <f ca="1">IFERROR(__xludf.DUMMYFUNCTION("""COMPUTED_VALUE"""),"N/A")</f>
        <v>N/A</v>
      </c>
      <c r="S46" s="18" t="str">
        <f ca="1">IFERROR(__xludf.DUMMYFUNCTION("""COMPUTED_VALUE"""),"N/A")</f>
        <v>N/A</v>
      </c>
      <c r="T46" s="18" t="str">
        <f ca="1">IFERROR(__xludf.DUMMYFUNCTION("""COMPUTED_VALUE"""),"0xF082")</f>
        <v>0xF082</v>
      </c>
      <c r="U46" s="18" t="str">
        <f ca="1">IFERROR(__xludf.DUMMYFUNCTION("""COMPUTED_VALUE"""),"0x0A")</f>
        <v>0x0A</v>
      </c>
      <c r="V46" s="18" t="str">
        <f ca="1">IFERROR(__xludf.DUMMYFUNCTION("""COMPUTED_VALUE"""),"0x0104")</f>
        <v>0x0104</v>
      </c>
      <c r="W46" s="18" t="str">
        <f ca="1">IFERROR(__xludf.DUMMYFUNCTION("""COMPUTED_VALUE"""),"0x0201")</f>
        <v>0x0201</v>
      </c>
      <c r="X46" s="18" t="str">
        <f ca="1">IFERROR(__xludf.DUMMYFUNCTION("""COMPUTED_VALUE"""),"0x30")</f>
        <v>0x30</v>
      </c>
      <c r="Y46" s="18" t="e">
        <f ca="1"/>
        <v>#NAME?</v>
      </c>
      <c r="Z46" s="18" t="str">
        <f ca="1">IFERROR(__xludf.DUMMYFUNCTION("""COMPUTED_VALUE"""),"N/A")</f>
        <v>N/A</v>
      </c>
      <c r="AA46" s="18" t="str">
        <f ca="1">IFERROR(__xludf.DUMMYFUNCTION("""COMPUTED_VALUE"""),"lambdax:{0:'idle',1:'pre_cool',2:'cool_low',3:'cool_med',4:'cool_high',5:'post_cool',6:'refresh_cool',7:'dehum_cool',8:'pre_heat',9:'heat_low',10:'heat_med',11:'heat_high',12:'post_heat',13:'refresh_heat',14:'dehum_heat',15:'dehum_cool_2',16:'dehum_heat_2"&amp;"',32:'manual_fan_1',33:'manual_fan_2',34:'manual_fan_3'}.get(x,'unknown')")</f>
        <v>lambdax:{0:'idle',1:'pre_cool',2:'cool_low',3:'cool_med',4:'cool_high',5:'post_cool',6:'refresh_cool',7:'dehum_cool',8:'pre_heat',9:'heat_low',10:'heat_med',11:'heat_high',12:'post_heat',13:'refresh_heat',14:'dehum_heat',15:'dehum_cool_2',16:'dehum_heat_2',32:'manual_fan_1',33:'manual_fan_2',34:'manual_fan_3'}.get(x,'unknown')</v>
      </c>
      <c r="AC46" s="59" t="s">
        <v>784</v>
      </c>
      <c r="AD46" s="59" t="s">
        <v>784</v>
      </c>
      <c r="AE46" s="59" t="s">
        <v>787</v>
      </c>
      <c r="AF46" s="59" t="s">
        <v>787</v>
      </c>
      <c r="AG46" s="59" t="s">
        <v>787</v>
      </c>
      <c r="AH46" s="59" t="s">
        <v>787</v>
      </c>
      <c r="AI46" s="59" t="s">
        <v>787</v>
      </c>
      <c r="AJ46" s="59" t="s">
        <v>787</v>
      </c>
      <c r="AK46" s="59" t="s">
        <v>787</v>
      </c>
      <c r="AL46" s="59" t="s">
        <v>787</v>
      </c>
      <c r="AM46" s="59" t="s">
        <v>787</v>
      </c>
      <c r="AN46" s="59" t="s">
        <v>787</v>
      </c>
      <c r="AO46" s="59" t="s">
        <v>787</v>
      </c>
      <c r="AP46" s="59" t="s">
        <v>788</v>
      </c>
      <c r="AQ46" s="59" t="s">
        <v>789</v>
      </c>
      <c r="AR46" s="59" t="s">
        <v>789</v>
      </c>
      <c r="AS46" s="59" t="s">
        <v>789</v>
      </c>
      <c r="AT46" s="59" t="s">
        <v>789</v>
      </c>
    </row>
    <row r="47" spans="1:46" ht="15.75" customHeight="1" x14ac:dyDescent="0.25">
      <c r="A47" s="18" t="str">
        <v>output_driving_state:{"type":"attribute","data_type":"enum","is_readonly":true,"reporting_type":"diagnostic","enum_values":["off","cool","heat"],"zigbee_metadata":{"attr_id":61571,"endpoint_id":11,"profile_id":260,"cluster_id":513,"zcl_data_type":48,"read_formatter":"lambdax:{0:'off',3:'cool',4:'heat'}.get(x,'unknown')"}},</v>
      </c>
      <c r="B47" s="52" t="str">
        <f ca="1"/>
        <v>0x0201 0xF083</v>
      </c>
      <c r="C47" s="52" t="str">
        <f ca="1">IFERROR(__xludf.DUMMYFUNCTION("""COMPUTED_VALUE"""),"output_driving_state")</f>
        <v>output_driving_state</v>
      </c>
      <c r="D47" s="18" t="str">
        <f ca="1">IFERROR(__xludf.DUMMYFUNCTION("""COMPUTED_VALUE"""),"attribute")</f>
        <v>attribute</v>
      </c>
      <c r="E47" s="18" t="str">
        <f ca="1">IFERROR(__xludf.DUMMYFUNCTION("""COMPUTED_VALUE"""),"enum")</f>
        <v>enum</v>
      </c>
      <c r="F47" s="18" t="str">
        <f ca="1">IFERROR(__xludf.DUMMYFUNCTION("""COMPUTED_VALUE"""),"true")</f>
        <v>true</v>
      </c>
      <c r="G47" s="18" t="str">
        <f ca="1">IFERROR(__xludf.DUMMYFUNCTION("""COMPUTED_VALUE"""),"diagnostic")</f>
        <v>diagnostic</v>
      </c>
      <c r="H47" s="18" t="str">
        <f ca="1">IFERROR(__xludf.DUMMYFUNCTION("""COMPUTED_VALUE"""),"N/A")</f>
        <v>N/A</v>
      </c>
      <c r="I47" s="18" t="str">
        <f ca="1">IFERROR(__xludf.DUMMYFUNCTION("""COMPUTED_VALUE"""),"N/A")</f>
        <v>N/A</v>
      </c>
      <c r="J47" s="18" t="str">
        <f ca="1">IFERROR(__xludf.DUMMYFUNCTION("""COMPUTED_VALUE"""),"N/A")</f>
        <v>N/A</v>
      </c>
      <c r="K47" s="18" t="str">
        <f ca="1">IFERROR(__xludf.DUMMYFUNCTION("""COMPUTED_VALUE"""),"N/A")</f>
        <v>N/A</v>
      </c>
      <c r="L47" s="18" t="str">
        <f ca="1">IFERROR(__xludf.DUMMYFUNCTION("""COMPUTED_VALUE"""),"N/A")</f>
        <v>N/A</v>
      </c>
      <c r="M47" s="18" t="str">
        <f ca="1">IFERROR(__xludf.DUMMYFUNCTION("""COMPUTED_VALUE"""),"N/A")</f>
        <v>N/A</v>
      </c>
      <c r="N47" s="18" t="str">
        <f ca="1">IFERROR(__xludf.DUMMYFUNCTION("""COMPUTED_VALUE"""),"N/A")</f>
        <v>N/A</v>
      </c>
      <c r="O47" s="18" t="str">
        <f ca="1">IFERROR(__xludf.DUMMYFUNCTION("""COMPUTED_VALUE"""),"N/A")</f>
        <v>N/A</v>
      </c>
      <c r="P47" s="18" t="str">
        <f ca="1">IFERROR(__xludf.DUMMYFUNCTION("""COMPUTED_VALUE"""),"""off"",""cool"",""heat""")</f>
        <v>"off","cool","heat"</v>
      </c>
      <c r="Q47" s="18" t="str">
        <f ca="1">IFERROR(__xludf.DUMMYFUNCTION("""COMPUTED_VALUE"""),"N/A")</f>
        <v>N/A</v>
      </c>
      <c r="R47" s="18" t="str">
        <f ca="1">IFERROR(__xludf.DUMMYFUNCTION("""COMPUTED_VALUE"""),"N/A")</f>
        <v>N/A</v>
      </c>
      <c r="S47" s="18" t="str">
        <f ca="1">IFERROR(__xludf.DUMMYFUNCTION("""COMPUTED_VALUE"""),"N/A")</f>
        <v>N/A</v>
      </c>
      <c r="T47" s="18" t="str">
        <f ca="1">IFERROR(__xludf.DUMMYFUNCTION("""COMPUTED_VALUE"""),"0xF083")</f>
        <v>0xF083</v>
      </c>
      <c r="U47" s="18" t="str">
        <f ca="1">IFERROR(__xludf.DUMMYFUNCTION("""COMPUTED_VALUE"""),"0x0B")</f>
        <v>0x0B</v>
      </c>
      <c r="V47" s="18" t="str">
        <f ca="1">IFERROR(__xludf.DUMMYFUNCTION("""COMPUTED_VALUE"""),"0x0104")</f>
        <v>0x0104</v>
      </c>
      <c r="W47" s="18" t="str">
        <f ca="1">IFERROR(__xludf.DUMMYFUNCTION("""COMPUTED_VALUE"""),"0x0201")</f>
        <v>0x0201</v>
      </c>
      <c r="X47" s="18" t="str">
        <f ca="1">IFERROR(__xludf.DUMMYFUNCTION("""COMPUTED_VALUE"""),"0x30")</f>
        <v>0x30</v>
      </c>
      <c r="Y47" s="18" t="e">
        <f ca="1"/>
        <v>#NAME?</v>
      </c>
      <c r="Z47" s="18" t="str">
        <f ca="1">IFERROR(__xludf.DUMMYFUNCTION("""COMPUTED_VALUE"""),"N/A")</f>
        <v>N/A</v>
      </c>
      <c r="AA47" s="18" t="str">
        <f ca="1">IFERROR(__xludf.DUMMYFUNCTION("""COMPUTED_VALUE"""),"lambdax:{0:'off',3:'cool',4:'heat'}.get(x,'unknown')")</f>
        <v>lambdax:{0:'off',3:'cool',4:'heat'}.get(x,'unknown')</v>
      </c>
      <c r="AC47" s="59" t="s">
        <v>787</v>
      </c>
      <c r="AD47" s="59" t="s">
        <v>787</v>
      </c>
      <c r="AE47" s="59" t="s">
        <v>790</v>
      </c>
      <c r="AF47" s="59" t="s">
        <v>790</v>
      </c>
      <c r="AG47" s="59" t="s">
        <v>790</v>
      </c>
      <c r="AH47" s="59" t="s">
        <v>790</v>
      </c>
      <c r="AI47" s="59" t="s">
        <v>790</v>
      </c>
      <c r="AJ47" s="59" t="s">
        <v>790</v>
      </c>
      <c r="AK47" s="59" t="s">
        <v>790</v>
      </c>
      <c r="AL47" s="59" t="s">
        <v>790</v>
      </c>
      <c r="AM47" s="59" t="s">
        <v>790</v>
      </c>
      <c r="AN47" s="59" t="s">
        <v>790</v>
      </c>
      <c r="AO47" s="59" t="s">
        <v>790</v>
      </c>
      <c r="AP47" s="59" t="s">
        <v>791</v>
      </c>
      <c r="AQ47" s="59" t="s">
        <v>792</v>
      </c>
      <c r="AR47" s="59" t="s">
        <v>792</v>
      </c>
      <c r="AS47" s="59" t="s">
        <v>792</v>
      </c>
      <c r="AT47" s="59" t="s">
        <v>792</v>
      </c>
    </row>
    <row r="48" spans="1:46" ht="15.75" customHeight="1" x14ac:dyDescent="0.25">
      <c r="A48" s="18" t="str">
        <v>humidistat_active_stages:{"type":"attribute","data_type":"uint8","is_readonly":true,"reporting_type":"diagnostic","report_max":3600,"report_min":0,"zigbee_metadata":{"attr_id":61572,"endpoint_id":10,"profile_id":260,"cluster_id":513,"zcl_data_type":24}},</v>
      </c>
      <c r="B48" s="52" t="str">
        <f ca="1"/>
        <v>0x0201 0xF084</v>
      </c>
      <c r="C48" s="52" t="str">
        <f ca="1">IFERROR(__xludf.DUMMYFUNCTION("""COMPUTED_VALUE"""),"humidistat_active_stages")</f>
        <v>humidistat_active_stages</v>
      </c>
      <c r="D48" s="18" t="str">
        <f ca="1">IFERROR(__xludf.DUMMYFUNCTION("""COMPUTED_VALUE"""),"attribute")</f>
        <v>attribute</v>
      </c>
      <c r="E48" s="18" t="str">
        <f ca="1">IFERROR(__xludf.DUMMYFUNCTION("""COMPUTED_VALUE"""),"uint8")</f>
        <v>uint8</v>
      </c>
      <c r="F48" s="18" t="str">
        <f ca="1">IFERROR(__xludf.DUMMYFUNCTION("""COMPUTED_VALUE"""),"true")</f>
        <v>true</v>
      </c>
      <c r="G48" s="18" t="str">
        <f ca="1">IFERROR(__xludf.DUMMYFUNCTION("""COMPUTED_VALUE"""),"diagnostic")</f>
        <v>diagnostic</v>
      </c>
      <c r="H48" s="18" t="str">
        <f ca="1">IFERROR(__xludf.DUMMYFUNCTION("""COMPUTED_VALUE"""),"N/A")</f>
        <v>N/A</v>
      </c>
      <c r="I48" s="18" t="str">
        <f ca="1">IFERROR(__xludf.DUMMYFUNCTION("""COMPUTED_VALUE"""),"3600")</f>
        <v>3600</v>
      </c>
      <c r="J48" s="18" t="str">
        <f ca="1">IFERROR(__xludf.DUMMYFUNCTION("""COMPUTED_VALUE"""),"0")</f>
        <v>0</v>
      </c>
      <c r="K48" s="18" t="str">
        <f ca="1">IFERROR(__xludf.DUMMYFUNCTION("""COMPUTED_VALUE"""),"N/A")</f>
        <v>N/A</v>
      </c>
      <c r="L48" s="18" t="str">
        <f ca="1">IFERROR(__xludf.DUMMYFUNCTION("""COMPUTED_VALUE"""),"N/A")</f>
        <v>N/A</v>
      </c>
      <c r="M48" s="18" t="str">
        <f ca="1">IFERROR(__xludf.DUMMYFUNCTION("""COMPUTED_VALUE"""),"N/A")</f>
        <v>N/A</v>
      </c>
      <c r="N48" s="18" t="str">
        <f ca="1">IFERROR(__xludf.DUMMYFUNCTION("""COMPUTED_VALUE"""),"N/A")</f>
        <v>N/A</v>
      </c>
      <c r="O48" s="18" t="str">
        <f ca="1">IFERROR(__xludf.DUMMYFUNCTION("""COMPUTED_VALUE"""),"N/A")</f>
        <v>N/A</v>
      </c>
      <c r="P48" s="18" t="str">
        <f ca="1">IFERROR(__xludf.DUMMYFUNCTION("""COMPUTED_VALUE"""),"N/A")</f>
        <v>N/A</v>
      </c>
      <c r="Q48" s="18" t="str">
        <f ca="1">IFERROR(__xludf.DUMMYFUNCTION("""COMPUTED_VALUE"""),"N/A")</f>
        <v>N/A</v>
      </c>
      <c r="R48" s="18" t="str">
        <f ca="1">IFERROR(__xludf.DUMMYFUNCTION("""COMPUTED_VALUE"""),"N/A")</f>
        <v>N/A</v>
      </c>
      <c r="S48" s="18" t="str">
        <f ca="1">IFERROR(__xludf.DUMMYFUNCTION("""COMPUTED_VALUE"""),"N/A")</f>
        <v>N/A</v>
      </c>
      <c r="T48" s="18" t="str">
        <f ca="1">IFERROR(__xludf.DUMMYFUNCTION("""COMPUTED_VALUE"""),"0xF084")</f>
        <v>0xF084</v>
      </c>
      <c r="U48" s="18" t="str">
        <f ca="1">IFERROR(__xludf.DUMMYFUNCTION("""COMPUTED_VALUE"""),"0x0A")</f>
        <v>0x0A</v>
      </c>
      <c r="V48" s="18" t="str">
        <f ca="1">IFERROR(__xludf.DUMMYFUNCTION("""COMPUTED_VALUE"""),"0x0104")</f>
        <v>0x0104</v>
      </c>
      <c r="W48" s="18" t="str">
        <f ca="1">IFERROR(__xludf.DUMMYFUNCTION("""COMPUTED_VALUE"""),"0x0201")</f>
        <v>0x0201</v>
      </c>
      <c r="X48" s="18" t="str">
        <f ca="1">IFERROR(__xludf.DUMMYFUNCTION("""COMPUTED_VALUE"""),"0x18")</f>
        <v>0x18</v>
      </c>
      <c r="Y48" s="18" t="e">
        <f ca="1"/>
        <v>#NAME?</v>
      </c>
      <c r="Z48" s="18" t="str">
        <f ca="1">IFERROR(__xludf.DUMMYFUNCTION("""COMPUTED_VALUE"""),"N/A")</f>
        <v>N/A</v>
      </c>
      <c r="AA48" s="18" t="str">
        <f ca="1">IFERROR(__xludf.DUMMYFUNCTION("""COMPUTED_VALUE"""),"N/A")</f>
        <v>N/A</v>
      </c>
      <c r="AC48" s="59" t="s">
        <v>790</v>
      </c>
      <c r="AD48" s="59" t="s">
        <v>790</v>
      </c>
      <c r="AE48" s="59" t="s">
        <v>793</v>
      </c>
      <c r="AF48" s="59" t="s">
        <v>793</v>
      </c>
      <c r="AG48" s="59" t="s">
        <v>793</v>
      </c>
      <c r="AH48" s="59" t="s">
        <v>793</v>
      </c>
      <c r="AI48" s="59" t="s">
        <v>793</v>
      </c>
      <c r="AJ48" s="59" t="s">
        <v>793</v>
      </c>
      <c r="AK48" s="59" t="s">
        <v>793</v>
      </c>
      <c r="AL48" s="59" t="s">
        <v>793</v>
      </c>
      <c r="AM48" s="59" t="s">
        <v>793</v>
      </c>
      <c r="AN48" s="59" t="s">
        <v>793</v>
      </c>
      <c r="AO48" s="59" t="s">
        <v>793</v>
      </c>
      <c r="AP48" s="59" t="s">
        <v>794</v>
      </c>
      <c r="AQ48" s="59" t="s">
        <v>795</v>
      </c>
      <c r="AR48" s="59" t="s">
        <v>795</v>
      </c>
      <c r="AS48" s="59" t="s">
        <v>795</v>
      </c>
      <c r="AT48" s="59" t="s">
        <v>795</v>
      </c>
    </row>
    <row r="49" spans="1:46" ht="15.75" customHeight="1" x14ac:dyDescent="0.25">
      <c r="A49" s="18" t="str">
        <v>relay_0_pulse_length:{"type":"attribute","data_type":"uint16","is_readonly":false,"reporting_type":"polled","poll_freq":86400,"zigbee_metadata":{"attr_id":61576,"endpoint_id":10,"profile_id":260,"cluster_id":513,"zcl_data_type":33}},</v>
      </c>
      <c r="B49" s="52" t="str">
        <f ca="1"/>
        <v>0x0201 0xF088</v>
      </c>
      <c r="C49" s="52" t="str">
        <f ca="1">IFERROR(__xludf.DUMMYFUNCTION("""COMPUTED_VALUE"""),"relay_0_pulse_length")</f>
        <v>relay_0_pulse_length</v>
      </c>
      <c r="D49" s="18" t="str">
        <f ca="1">IFERROR(__xludf.DUMMYFUNCTION("""COMPUTED_VALUE"""),"attribute")</f>
        <v>attribute</v>
      </c>
      <c r="E49" s="18" t="str">
        <f ca="1">IFERROR(__xludf.DUMMYFUNCTION("""COMPUTED_VALUE"""),"uint16")</f>
        <v>uint16</v>
      </c>
      <c r="F49" s="18" t="str">
        <f ca="1">IFERROR(__xludf.DUMMYFUNCTION("""COMPUTED_VALUE"""),"false")</f>
        <v>false</v>
      </c>
      <c r="G49" s="18" t="str">
        <f ca="1">IFERROR(__xludf.DUMMYFUNCTION("""COMPUTED_VALUE"""),"polled")</f>
        <v>polled</v>
      </c>
      <c r="H49" s="18" t="str">
        <f ca="1">IFERROR(__xludf.DUMMYFUNCTION("""COMPUTED_VALUE"""),"86400")</f>
        <v>86400</v>
      </c>
      <c r="I49" s="18" t="str">
        <f ca="1">IFERROR(__xludf.DUMMYFUNCTION("""COMPUTED_VALUE"""),"N/A")</f>
        <v>N/A</v>
      </c>
      <c r="J49" s="18" t="str">
        <f ca="1">IFERROR(__xludf.DUMMYFUNCTION("""COMPUTED_VALUE"""),"N/A")</f>
        <v>N/A</v>
      </c>
      <c r="K49" s="18" t="str">
        <f ca="1">IFERROR(__xludf.DUMMYFUNCTION("""COMPUTED_VALUE"""),"N/A")</f>
        <v>N/A</v>
      </c>
      <c r="L49" s="18" t="str">
        <f ca="1">IFERROR(__xludf.DUMMYFUNCTION("""COMPUTED_VALUE"""),"N/A")</f>
        <v>N/A</v>
      </c>
      <c r="M49" s="18" t="str">
        <f ca="1">IFERROR(__xludf.DUMMYFUNCTION("""COMPUTED_VALUE"""),"N/A")</f>
        <v>N/A</v>
      </c>
      <c r="N49" s="18" t="str">
        <f ca="1">IFERROR(__xludf.DUMMYFUNCTION("""COMPUTED_VALUE"""),"N/A")</f>
        <v>N/A</v>
      </c>
      <c r="O49" s="18" t="str">
        <f ca="1">IFERROR(__xludf.DUMMYFUNCTION("""COMPUTED_VALUE"""),"N/A")</f>
        <v>N/A</v>
      </c>
      <c r="P49" s="18" t="str">
        <f ca="1">IFERROR(__xludf.DUMMYFUNCTION("""COMPUTED_VALUE"""),"N/A")</f>
        <v>N/A</v>
      </c>
      <c r="Q49" s="18" t="str">
        <f ca="1">IFERROR(__xludf.DUMMYFUNCTION("""COMPUTED_VALUE"""),"N/A")</f>
        <v>N/A</v>
      </c>
      <c r="R49" s="18" t="str">
        <f ca="1">IFERROR(__xludf.DUMMYFUNCTION("""COMPUTED_VALUE"""),"N/A")</f>
        <v>N/A</v>
      </c>
      <c r="S49" s="18" t="str">
        <f ca="1">IFERROR(__xludf.DUMMYFUNCTION("""COMPUTED_VALUE"""),"N/A")</f>
        <v>N/A</v>
      </c>
      <c r="T49" s="18" t="str">
        <f ca="1">IFERROR(__xludf.DUMMYFUNCTION("""COMPUTED_VALUE"""),"0xF088")</f>
        <v>0xF088</v>
      </c>
      <c r="U49" s="18" t="str">
        <f ca="1">IFERROR(__xludf.DUMMYFUNCTION("""COMPUTED_VALUE"""),"0x0A")</f>
        <v>0x0A</v>
      </c>
      <c r="V49" s="18" t="str">
        <f ca="1">IFERROR(__xludf.DUMMYFUNCTION("""COMPUTED_VALUE"""),"0x0104")</f>
        <v>0x0104</v>
      </c>
      <c r="W49" s="18" t="str">
        <f ca="1">IFERROR(__xludf.DUMMYFUNCTION("""COMPUTED_VALUE"""),"0x0201")</f>
        <v>0x0201</v>
      </c>
      <c r="X49" s="18" t="str">
        <f ca="1">IFERROR(__xludf.DUMMYFUNCTION("""COMPUTED_VALUE"""),"0x21")</f>
        <v>0x21</v>
      </c>
      <c r="Y49" s="18" t="e">
        <f ca="1"/>
        <v>#NAME?</v>
      </c>
      <c r="Z49" s="18" t="str">
        <f ca="1">IFERROR(__xludf.DUMMYFUNCTION("""COMPUTED_VALUE"""),"N/A")</f>
        <v>N/A</v>
      </c>
      <c r="AA49" s="18" t="str">
        <f ca="1">IFERROR(__xludf.DUMMYFUNCTION("""COMPUTED_VALUE"""),"N/A")</f>
        <v>N/A</v>
      </c>
      <c r="AC49" s="59" t="s">
        <v>796</v>
      </c>
      <c r="AD49" s="59" t="s">
        <v>796</v>
      </c>
      <c r="AE49" s="59" t="s">
        <v>797</v>
      </c>
      <c r="AF49" s="59" t="s">
        <v>797</v>
      </c>
      <c r="AG49" s="59" t="s">
        <v>797</v>
      </c>
      <c r="AH49" s="59" t="s">
        <v>798</v>
      </c>
      <c r="AI49" s="59" t="s">
        <v>798</v>
      </c>
      <c r="AJ49" s="59" t="s">
        <v>798</v>
      </c>
      <c r="AK49" s="59" t="s">
        <v>798</v>
      </c>
      <c r="AL49" s="59" t="s">
        <v>798</v>
      </c>
      <c r="AM49" s="59" t="s">
        <v>798</v>
      </c>
      <c r="AN49" s="59" t="s">
        <v>798</v>
      </c>
      <c r="AO49" s="59" t="s">
        <v>798</v>
      </c>
      <c r="AP49" s="59" t="s">
        <v>799</v>
      </c>
      <c r="AQ49" s="59" t="s">
        <v>800</v>
      </c>
      <c r="AR49" s="59" t="s">
        <v>800</v>
      </c>
      <c r="AS49" s="59" t="s">
        <v>800</v>
      </c>
      <c r="AT49" s="59" t="s">
        <v>800</v>
      </c>
    </row>
    <row r="50" spans="1:46" ht="15.75" customHeight="1" x14ac:dyDescent="0.25">
      <c r="A50" s="18" t="str">
        <v>relay_1_pulse_length:{"type":"attribute","data_type":"uint16","is_readonly":false,"reporting_type":"polled","poll_freq":86400,"zigbee_metadata":{"attr_id":61577,"endpoint_id":10,"profile_id":260,"cluster_id":513,"zcl_data_type":33}},</v>
      </c>
      <c r="B50" s="52" t="str">
        <f ca="1"/>
        <v>0x0201 0xF089</v>
      </c>
      <c r="C50" s="52" t="str">
        <f ca="1">IFERROR(__xludf.DUMMYFUNCTION("""COMPUTED_VALUE"""),"relay_1_pulse_length")</f>
        <v>relay_1_pulse_length</v>
      </c>
      <c r="D50" s="18" t="str">
        <f ca="1">IFERROR(__xludf.DUMMYFUNCTION("""COMPUTED_VALUE"""),"attribute")</f>
        <v>attribute</v>
      </c>
      <c r="E50" s="18" t="str">
        <f ca="1">IFERROR(__xludf.DUMMYFUNCTION("""COMPUTED_VALUE"""),"uint16")</f>
        <v>uint16</v>
      </c>
      <c r="F50" s="18" t="str">
        <f ca="1">IFERROR(__xludf.DUMMYFUNCTION("""COMPUTED_VALUE"""),"false")</f>
        <v>false</v>
      </c>
      <c r="G50" s="18" t="str">
        <f ca="1">IFERROR(__xludf.DUMMYFUNCTION("""COMPUTED_VALUE"""),"polled")</f>
        <v>polled</v>
      </c>
      <c r="H50" s="18" t="str">
        <f ca="1">IFERROR(__xludf.DUMMYFUNCTION("""COMPUTED_VALUE"""),"86400")</f>
        <v>86400</v>
      </c>
      <c r="I50" s="18" t="str">
        <f ca="1">IFERROR(__xludf.DUMMYFUNCTION("""COMPUTED_VALUE"""),"N/A")</f>
        <v>N/A</v>
      </c>
      <c r="J50" s="18" t="str">
        <f ca="1">IFERROR(__xludf.DUMMYFUNCTION("""COMPUTED_VALUE"""),"N/A")</f>
        <v>N/A</v>
      </c>
      <c r="K50" s="18" t="str">
        <f ca="1">IFERROR(__xludf.DUMMYFUNCTION("""COMPUTED_VALUE"""),"N/A")</f>
        <v>N/A</v>
      </c>
      <c r="L50" s="18" t="str">
        <f ca="1">IFERROR(__xludf.DUMMYFUNCTION("""COMPUTED_VALUE"""),"N/A")</f>
        <v>N/A</v>
      </c>
      <c r="M50" s="18" t="str">
        <f ca="1">IFERROR(__xludf.DUMMYFUNCTION("""COMPUTED_VALUE"""),"N/A")</f>
        <v>N/A</v>
      </c>
      <c r="N50" s="18" t="str">
        <f ca="1">IFERROR(__xludf.DUMMYFUNCTION("""COMPUTED_VALUE"""),"N/A")</f>
        <v>N/A</v>
      </c>
      <c r="O50" s="18" t="str">
        <f ca="1">IFERROR(__xludf.DUMMYFUNCTION("""COMPUTED_VALUE"""),"N/A")</f>
        <v>N/A</v>
      </c>
      <c r="P50" s="18" t="str">
        <f ca="1">IFERROR(__xludf.DUMMYFUNCTION("""COMPUTED_VALUE"""),"N/A")</f>
        <v>N/A</v>
      </c>
      <c r="Q50" s="18" t="str">
        <f ca="1">IFERROR(__xludf.DUMMYFUNCTION("""COMPUTED_VALUE"""),"N/A")</f>
        <v>N/A</v>
      </c>
      <c r="R50" s="18" t="str">
        <f ca="1">IFERROR(__xludf.DUMMYFUNCTION("""COMPUTED_VALUE"""),"N/A")</f>
        <v>N/A</v>
      </c>
      <c r="S50" s="18" t="str">
        <f ca="1">IFERROR(__xludf.DUMMYFUNCTION("""COMPUTED_VALUE"""),"N/A")</f>
        <v>N/A</v>
      </c>
      <c r="T50" s="18" t="str">
        <f ca="1">IFERROR(__xludf.DUMMYFUNCTION("""COMPUTED_VALUE"""),"0xF089")</f>
        <v>0xF089</v>
      </c>
      <c r="U50" s="18" t="str">
        <f ca="1">IFERROR(__xludf.DUMMYFUNCTION("""COMPUTED_VALUE"""),"0x0A")</f>
        <v>0x0A</v>
      </c>
      <c r="V50" s="18" t="str">
        <f ca="1">IFERROR(__xludf.DUMMYFUNCTION("""COMPUTED_VALUE"""),"0x0104")</f>
        <v>0x0104</v>
      </c>
      <c r="W50" s="18" t="str">
        <f ca="1">IFERROR(__xludf.DUMMYFUNCTION("""COMPUTED_VALUE"""),"0x0201")</f>
        <v>0x0201</v>
      </c>
      <c r="X50" s="18" t="str">
        <f ca="1">IFERROR(__xludf.DUMMYFUNCTION("""COMPUTED_VALUE"""),"0x21")</f>
        <v>0x21</v>
      </c>
      <c r="Y50" s="18" t="e">
        <f ca="1"/>
        <v>#NAME?</v>
      </c>
      <c r="Z50" s="18" t="str">
        <f ca="1">IFERROR(__xludf.DUMMYFUNCTION("""COMPUTED_VALUE"""),"N/A")</f>
        <v>N/A</v>
      </c>
      <c r="AA50" s="18" t="str">
        <f ca="1">IFERROR(__xludf.DUMMYFUNCTION("""COMPUTED_VALUE"""),"N/A")</f>
        <v>N/A</v>
      </c>
      <c r="AC50" s="59" t="s">
        <v>801</v>
      </c>
      <c r="AD50" s="59" t="s">
        <v>801</v>
      </c>
      <c r="AE50" s="59" t="s">
        <v>802</v>
      </c>
      <c r="AF50" s="59" t="s">
        <v>798</v>
      </c>
      <c r="AG50" s="59" t="s">
        <v>798</v>
      </c>
      <c r="AH50" s="59" t="s">
        <v>803</v>
      </c>
      <c r="AI50" s="59" t="s">
        <v>803</v>
      </c>
      <c r="AJ50" s="59" t="s">
        <v>803</v>
      </c>
      <c r="AK50" s="59" t="s">
        <v>803</v>
      </c>
      <c r="AL50" s="59" t="s">
        <v>803</v>
      </c>
      <c r="AM50" s="59" t="s">
        <v>803</v>
      </c>
      <c r="AN50" s="59" t="s">
        <v>803</v>
      </c>
      <c r="AO50" s="59" t="s">
        <v>803</v>
      </c>
      <c r="AP50" s="59" t="s">
        <v>804</v>
      </c>
      <c r="AQ50" s="59" t="s">
        <v>805</v>
      </c>
      <c r="AR50" s="59" t="s">
        <v>805</v>
      </c>
      <c r="AS50" s="59" t="s">
        <v>805</v>
      </c>
      <c r="AT50" s="59" t="s">
        <v>805</v>
      </c>
    </row>
    <row r="51" spans="1:46" ht="15.75" customHeight="1" x14ac:dyDescent="0.25">
      <c r="A51" s="18" t="str">
        <v>relay_2_pulse_length:{"type":"attribute","data_type":"uint16","is_readonly":false,"reporting_type":"polled","poll_freq":86400,"zigbee_metadata":{"attr_id":61578,"endpoint_id":10,"profile_id":260,"cluster_id":513,"zcl_data_type":33}},</v>
      </c>
      <c r="B51" s="52" t="str">
        <f ca="1"/>
        <v>0x0201 0xF08A</v>
      </c>
      <c r="C51" s="52" t="str">
        <f ca="1">IFERROR(__xludf.DUMMYFUNCTION("""COMPUTED_VALUE"""),"relay_2_pulse_length")</f>
        <v>relay_2_pulse_length</v>
      </c>
      <c r="D51" s="18" t="str">
        <f ca="1">IFERROR(__xludf.DUMMYFUNCTION("""COMPUTED_VALUE"""),"attribute")</f>
        <v>attribute</v>
      </c>
      <c r="E51" s="18" t="str">
        <f ca="1">IFERROR(__xludf.DUMMYFUNCTION("""COMPUTED_VALUE"""),"uint16")</f>
        <v>uint16</v>
      </c>
      <c r="F51" s="18" t="str">
        <f ca="1">IFERROR(__xludf.DUMMYFUNCTION("""COMPUTED_VALUE"""),"false")</f>
        <v>false</v>
      </c>
      <c r="G51" s="18" t="str">
        <f ca="1">IFERROR(__xludf.DUMMYFUNCTION("""COMPUTED_VALUE"""),"polled")</f>
        <v>polled</v>
      </c>
      <c r="H51" s="18" t="str">
        <f ca="1">IFERROR(__xludf.DUMMYFUNCTION("""COMPUTED_VALUE"""),"86400")</f>
        <v>86400</v>
      </c>
      <c r="I51" s="18" t="str">
        <f ca="1">IFERROR(__xludf.DUMMYFUNCTION("""COMPUTED_VALUE"""),"N/A")</f>
        <v>N/A</v>
      </c>
      <c r="J51" s="18" t="str">
        <f ca="1">IFERROR(__xludf.DUMMYFUNCTION("""COMPUTED_VALUE"""),"N/A")</f>
        <v>N/A</v>
      </c>
      <c r="K51" s="18" t="str">
        <f ca="1">IFERROR(__xludf.DUMMYFUNCTION("""COMPUTED_VALUE"""),"N/A")</f>
        <v>N/A</v>
      </c>
      <c r="L51" s="18" t="str">
        <f ca="1">IFERROR(__xludf.DUMMYFUNCTION("""COMPUTED_VALUE"""),"N/A")</f>
        <v>N/A</v>
      </c>
      <c r="M51" s="18" t="str">
        <f ca="1">IFERROR(__xludf.DUMMYFUNCTION("""COMPUTED_VALUE"""),"N/A")</f>
        <v>N/A</v>
      </c>
      <c r="N51" s="18" t="str">
        <f ca="1">IFERROR(__xludf.DUMMYFUNCTION("""COMPUTED_VALUE"""),"N/A")</f>
        <v>N/A</v>
      </c>
      <c r="O51" s="18" t="str">
        <f ca="1">IFERROR(__xludf.DUMMYFUNCTION("""COMPUTED_VALUE"""),"N/A")</f>
        <v>N/A</v>
      </c>
      <c r="P51" s="18" t="str">
        <f ca="1">IFERROR(__xludf.DUMMYFUNCTION("""COMPUTED_VALUE"""),"N/A")</f>
        <v>N/A</v>
      </c>
      <c r="Q51" s="18" t="str">
        <f ca="1">IFERROR(__xludf.DUMMYFUNCTION("""COMPUTED_VALUE"""),"N/A")</f>
        <v>N/A</v>
      </c>
      <c r="R51" s="18" t="str">
        <f ca="1">IFERROR(__xludf.DUMMYFUNCTION("""COMPUTED_VALUE"""),"N/A")</f>
        <v>N/A</v>
      </c>
      <c r="S51" s="18" t="str">
        <f ca="1">IFERROR(__xludf.DUMMYFUNCTION("""COMPUTED_VALUE"""),"N/A")</f>
        <v>N/A</v>
      </c>
      <c r="T51" s="18" t="str">
        <f ca="1">IFERROR(__xludf.DUMMYFUNCTION("""COMPUTED_VALUE"""),"0xF08A")</f>
        <v>0xF08A</v>
      </c>
      <c r="U51" s="18" t="str">
        <f ca="1">IFERROR(__xludf.DUMMYFUNCTION("""COMPUTED_VALUE"""),"0x0A")</f>
        <v>0x0A</v>
      </c>
      <c r="V51" s="18" t="str">
        <f ca="1">IFERROR(__xludf.DUMMYFUNCTION("""COMPUTED_VALUE"""),"0x0104")</f>
        <v>0x0104</v>
      </c>
      <c r="W51" s="18" t="str">
        <f ca="1">IFERROR(__xludf.DUMMYFUNCTION("""COMPUTED_VALUE"""),"0x0201")</f>
        <v>0x0201</v>
      </c>
      <c r="X51" s="18" t="str">
        <f ca="1">IFERROR(__xludf.DUMMYFUNCTION("""COMPUTED_VALUE"""),"0x21")</f>
        <v>0x21</v>
      </c>
      <c r="Y51" s="18" t="e">
        <f ca="1"/>
        <v>#NAME?</v>
      </c>
      <c r="Z51" s="18" t="str">
        <f ca="1">IFERROR(__xludf.DUMMYFUNCTION("""COMPUTED_VALUE"""),"N/A")</f>
        <v>N/A</v>
      </c>
      <c r="AA51" s="18" t="str">
        <f ca="1">IFERROR(__xludf.DUMMYFUNCTION("""COMPUTED_VALUE"""),"N/A")</f>
        <v>N/A</v>
      </c>
      <c r="AC51" s="59" t="s">
        <v>806</v>
      </c>
      <c r="AD51" s="59" t="s">
        <v>806</v>
      </c>
      <c r="AE51" s="59" t="s">
        <v>807</v>
      </c>
      <c r="AF51" s="59" t="s">
        <v>803</v>
      </c>
      <c r="AG51" s="59" t="s">
        <v>803</v>
      </c>
      <c r="AH51" s="59" t="s">
        <v>808</v>
      </c>
      <c r="AI51" s="59" t="s">
        <v>808</v>
      </c>
      <c r="AJ51" s="59" t="s">
        <v>808</v>
      </c>
      <c r="AK51" s="59" t="s">
        <v>808</v>
      </c>
      <c r="AL51" s="59" t="s">
        <v>808</v>
      </c>
      <c r="AM51" s="59" t="s">
        <v>808</v>
      </c>
      <c r="AN51" s="59" t="s">
        <v>808</v>
      </c>
      <c r="AO51" s="59" t="s">
        <v>808</v>
      </c>
      <c r="AP51" s="59" t="s">
        <v>809</v>
      </c>
      <c r="AQ51" s="59" t="s">
        <v>810</v>
      </c>
      <c r="AR51" s="59" t="s">
        <v>810</v>
      </c>
      <c r="AS51" s="59" t="s">
        <v>810</v>
      </c>
      <c r="AT51" s="59" t="s">
        <v>810</v>
      </c>
    </row>
    <row r="52" spans="1:46" ht="15.75" customHeight="1" x14ac:dyDescent="0.25">
      <c r="A52" s="18" t="str">
        <v>relay_3_pulse_length:{"type":"attribute","data_type":"uint16","is_readonly":false,"reporting_type":"polled","poll_freq":86400,"zigbee_metadata":{"attr_id":61579,"endpoint_id":10,"profile_id":260,"cluster_id":513,"zcl_data_type":33}},</v>
      </c>
      <c r="B52" s="52" t="str">
        <f ca="1"/>
        <v>0x0201 0xF08B</v>
      </c>
      <c r="C52" s="52" t="str">
        <f ca="1">IFERROR(__xludf.DUMMYFUNCTION("""COMPUTED_VALUE"""),"relay_3_pulse_length")</f>
        <v>relay_3_pulse_length</v>
      </c>
      <c r="D52" s="18" t="str">
        <f ca="1">IFERROR(__xludf.DUMMYFUNCTION("""COMPUTED_VALUE"""),"attribute")</f>
        <v>attribute</v>
      </c>
      <c r="E52" s="18" t="str">
        <f ca="1">IFERROR(__xludf.DUMMYFUNCTION("""COMPUTED_VALUE"""),"uint16")</f>
        <v>uint16</v>
      </c>
      <c r="F52" s="18" t="str">
        <f ca="1">IFERROR(__xludf.DUMMYFUNCTION("""COMPUTED_VALUE"""),"false")</f>
        <v>false</v>
      </c>
      <c r="G52" s="18" t="str">
        <f ca="1">IFERROR(__xludf.DUMMYFUNCTION("""COMPUTED_VALUE"""),"polled")</f>
        <v>polled</v>
      </c>
      <c r="H52" s="18" t="str">
        <f ca="1">IFERROR(__xludf.DUMMYFUNCTION("""COMPUTED_VALUE"""),"86400")</f>
        <v>86400</v>
      </c>
      <c r="I52" s="18" t="str">
        <f ca="1">IFERROR(__xludf.DUMMYFUNCTION("""COMPUTED_VALUE"""),"N/A")</f>
        <v>N/A</v>
      </c>
      <c r="J52" s="18" t="str">
        <f ca="1">IFERROR(__xludf.DUMMYFUNCTION("""COMPUTED_VALUE"""),"N/A")</f>
        <v>N/A</v>
      </c>
      <c r="K52" s="18" t="str">
        <f ca="1">IFERROR(__xludf.DUMMYFUNCTION("""COMPUTED_VALUE"""),"N/A")</f>
        <v>N/A</v>
      </c>
      <c r="L52" s="18" t="str">
        <f ca="1">IFERROR(__xludf.DUMMYFUNCTION("""COMPUTED_VALUE"""),"N/A")</f>
        <v>N/A</v>
      </c>
      <c r="M52" s="18" t="str">
        <f ca="1">IFERROR(__xludf.DUMMYFUNCTION("""COMPUTED_VALUE"""),"N/A")</f>
        <v>N/A</v>
      </c>
      <c r="N52" s="18" t="str">
        <f ca="1">IFERROR(__xludf.DUMMYFUNCTION("""COMPUTED_VALUE"""),"N/A")</f>
        <v>N/A</v>
      </c>
      <c r="O52" s="18" t="str">
        <f ca="1">IFERROR(__xludf.DUMMYFUNCTION("""COMPUTED_VALUE"""),"N/A")</f>
        <v>N/A</v>
      </c>
      <c r="P52" s="18" t="str">
        <f ca="1">IFERROR(__xludf.DUMMYFUNCTION("""COMPUTED_VALUE"""),"N/A")</f>
        <v>N/A</v>
      </c>
      <c r="Q52" s="18" t="str">
        <f ca="1">IFERROR(__xludf.DUMMYFUNCTION("""COMPUTED_VALUE"""),"N/A")</f>
        <v>N/A</v>
      </c>
      <c r="R52" s="18" t="str">
        <f ca="1">IFERROR(__xludf.DUMMYFUNCTION("""COMPUTED_VALUE"""),"N/A")</f>
        <v>N/A</v>
      </c>
      <c r="S52" s="18" t="str">
        <f ca="1">IFERROR(__xludf.DUMMYFUNCTION("""COMPUTED_VALUE"""),"N/A")</f>
        <v>N/A</v>
      </c>
      <c r="T52" s="18" t="str">
        <f ca="1">IFERROR(__xludf.DUMMYFUNCTION("""COMPUTED_VALUE"""),"0xF08B")</f>
        <v>0xF08B</v>
      </c>
      <c r="U52" s="18" t="str">
        <f ca="1">IFERROR(__xludf.DUMMYFUNCTION("""COMPUTED_VALUE"""),"0x0A")</f>
        <v>0x0A</v>
      </c>
      <c r="V52" s="18" t="str">
        <f ca="1">IFERROR(__xludf.DUMMYFUNCTION("""COMPUTED_VALUE"""),"0x0104")</f>
        <v>0x0104</v>
      </c>
      <c r="W52" s="18" t="str">
        <f ca="1">IFERROR(__xludf.DUMMYFUNCTION("""COMPUTED_VALUE"""),"0x0201")</f>
        <v>0x0201</v>
      </c>
      <c r="X52" s="18" t="str">
        <f ca="1">IFERROR(__xludf.DUMMYFUNCTION("""COMPUTED_VALUE"""),"0x21")</f>
        <v>0x21</v>
      </c>
      <c r="Y52" s="18" t="e">
        <f ca="1"/>
        <v>#NAME?</v>
      </c>
      <c r="Z52" s="18" t="str">
        <f ca="1">IFERROR(__xludf.DUMMYFUNCTION("""COMPUTED_VALUE"""),"N/A")</f>
        <v>N/A</v>
      </c>
      <c r="AA52" s="18" t="str">
        <f ca="1">IFERROR(__xludf.DUMMYFUNCTION("""COMPUTED_VALUE"""),"N/A")</f>
        <v>N/A</v>
      </c>
      <c r="AC52" s="59" t="s">
        <v>811</v>
      </c>
      <c r="AD52" s="59" t="s">
        <v>811</v>
      </c>
      <c r="AE52" s="59" t="s">
        <v>798</v>
      </c>
      <c r="AF52" s="59" t="s">
        <v>808</v>
      </c>
      <c r="AG52" s="59" t="s">
        <v>808</v>
      </c>
      <c r="AH52" s="59" t="s">
        <v>812</v>
      </c>
      <c r="AI52" s="59" t="s">
        <v>812</v>
      </c>
      <c r="AJ52" s="59" t="s">
        <v>812</v>
      </c>
      <c r="AK52" s="59" t="s">
        <v>812</v>
      </c>
      <c r="AL52" s="59" t="s">
        <v>812</v>
      </c>
      <c r="AM52" s="59" t="s">
        <v>812</v>
      </c>
      <c r="AN52" s="59" t="s">
        <v>812</v>
      </c>
      <c r="AO52" s="59" t="s">
        <v>812</v>
      </c>
      <c r="AP52" s="59" t="s">
        <v>813</v>
      </c>
      <c r="AQ52" s="59" t="s">
        <v>814</v>
      </c>
      <c r="AR52" s="59" t="s">
        <v>814</v>
      </c>
      <c r="AS52" s="59" t="s">
        <v>814</v>
      </c>
      <c r="AT52" s="59" t="s">
        <v>814</v>
      </c>
    </row>
    <row r="53" spans="1:46" ht="15.75" customHeight="1" x14ac:dyDescent="0.25">
      <c r="A53" s="18" t="str">
        <v>relay_4_pulse_length:{"type":"attribute","data_type":"uint16","is_readonly":false,"reporting_type":"polled","poll_freq":86400,"zigbee_metadata":{"attr_id":61580,"endpoint_id":10,"profile_id":260,"cluster_id":513,"zcl_data_type":33}},</v>
      </c>
      <c r="B53" s="52" t="str">
        <f ca="1"/>
        <v>0x0201 0xF08C</v>
      </c>
      <c r="C53" s="52" t="str">
        <f ca="1">IFERROR(__xludf.DUMMYFUNCTION("""COMPUTED_VALUE"""),"relay_4_pulse_length")</f>
        <v>relay_4_pulse_length</v>
      </c>
      <c r="D53" s="18" t="str">
        <f ca="1">IFERROR(__xludf.DUMMYFUNCTION("""COMPUTED_VALUE"""),"attribute")</f>
        <v>attribute</v>
      </c>
      <c r="E53" s="18" t="str">
        <f ca="1">IFERROR(__xludf.DUMMYFUNCTION("""COMPUTED_VALUE"""),"uint16")</f>
        <v>uint16</v>
      </c>
      <c r="F53" s="18" t="str">
        <f ca="1">IFERROR(__xludf.DUMMYFUNCTION("""COMPUTED_VALUE"""),"false")</f>
        <v>false</v>
      </c>
      <c r="G53" s="18" t="str">
        <f ca="1">IFERROR(__xludf.DUMMYFUNCTION("""COMPUTED_VALUE"""),"polled")</f>
        <v>polled</v>
      </c>
      <c r="H53" s="18" t="str">
        <f ca="1">IFERROR(__xludf.DUMMYFUNCTION("""COMPUTED_VALUE"""),"86400")</f>
        <v>86400</v>
      </c>
      <c r="I53" s="18" t="str">
        <f ca="1">IFERROR(__xludf.DUMMYFUNCTION("""COMPUTED_VALUE"""),"N/A")</f>
        <v>N/A</v>
      </c>
      <c r="J53" s="18" t="str">
        <f ca="1">IFERROR(__xludf.DUMMYFUNCTION("""COMPUTED_VALUE"""),"N/A")</f>
        <v>N/A</v>
      </c>
      <c r="K53" s="18" t="str">
        <f ca="1">IFERROR(__xludf.DUMMYFUNCTION("""COMPUTED_VALUE"""),"N/A")</f>
        <v>N/A</v>
      </c>
      <c r="L53" s="18" t="str">
        <f ca="1">IFERROR(__xludf.DUMMYFUNCTION("""COMPUTED_VALUE"""),"N/A")</f>
        <v>N/A</v>
      </c>
      <c r="M53" s="18" t="str">
        <f ca="1">IFERROR(__xludf.DUMMYFUNCTION("""COMPUTED_VALUE"""),"N/A")</f>
        <v>N/A</v>
      </c>
      <c r="N53" s="18" t="str">
        <f ca="1">IFERROR(__xludf.DUMMYFUNCTION("""COMPUTED_VALUE"""),"N/A")</f>
        <v>N/A</v>
      </c>
      <c r="O53" s="18" t="str">
        <f ca="1">IFERROR(__xludf.DUMMYFUNCTION("""COMPUTED_VALUE"""),"N/A")</f>
        <v>N/A</v>
      </c>
      <c r="P53" s="18" t="str">
        <f ca="1">IFERROR(__xludf.DUMMYFUNCTION("""COMPUTED_VALUE"""),"N/A")</f>
        <v>N/A</v>
      </c>
      <c r="Q53" s="18" t="str">
        <f ca="1">IFERROR(__xludf.DUMMYFUNCTION("""COMPUTED_VALUE"""),"N/A")</f>
        <v>N/A</v>
      </c>
      <c r="R53" s="18" t="str">
        <f ca="1">IFERROR(__xludf.DUMMYFUNCTION("""COMPUTED_VALUE"""),"N/A")</f>
        <v>N/A</v>
      </c>
      <c r="S53" s="18" t="str">
        <f ca="1">IFERROR(__xludf.DUMMYFUNCTION("""COMPUTED_VALUE"""),"N/A")</f>
        <v>N/A</v>
      </c>
      <c r="T53" s="18" t="str">
        <f ca="1">IFERROR(__xludf.DUMMYFUNCTION("""COMPUTED_VALUE"""),"0xF08C")</f>
        <v>0xF08C</v>
      </c>
      <c r="U53" s="18" t="str">
        <f ca="1">IFERROR(__xludf.DUMMYFUNCTION("""COMPUTED_VALUE"""),"0x0A")</f>
        <v>0x0A</v>
      </c>
      <c r="V53" s="18" t="str">
        <f ca="1">IFERROR(__xludf.DUMMYFUNCTION("""COMPUTED_VALUE"""),"0x0104")</f>
        <v>0x0104</v>
      </c>
      <c r="W53" s="18" t="str">
        <f ca="1">IFERROR(__xludf.DUMMYFUNCTION("""COMPUTED_VALUE"""),"0x0201")</f>
        <v>0x0201</v>
      </c>
      <c r="X53" s="18" t="str">
        <f ca="1">IFERROR(__xludf.DUMMYFUNCTION("""COMPUTED_VALUE"""),"0x21")</f>
        <v>0x21</v>
      </c>
      <c r="Y53" s="18" t="e">
        <f ca="1"/>
        <v>#NAME?</v>
      </c>
      <c r="Z53" s="18" t="str">
        <f ca="1">IFERROR(__xludf.DUMMYFUNCTION("""COMPUTED_VALUE"""),"N/A")</f>
        <v>N/A</v>
      </c>
      <c r="AA53" s="18" t="str">
        <f ca="1">IFERROR(__xludf.DUMMYFUNCTION("""COMPUTED_VALUE"""),"N/A")</f>
        <v>N/A</v>
      </c>
      <c r="AC53" s="59" t="s">
        <v>815</v>
      </c>
      <c r="AD53" s="59" t="s">
        <v>815</v>
      </c>
      <c r="AE53" s="59" t="s">
        <v>803</v>
      </c>
      <c r="AF53" s="59" t="s">
        <v>812</v>
      </c>
      <c r="AG53" s="59" t="s">
        <v>812</v>
      </c>
      <c r="AH53" s="59" t="s">
        <v>816</v>
      </c>
      <c r="AI53" s="59" t="s">
        <v>816</v>
      </c>
      <c r="AJ53" s="59" t="s">
        <v>816</v>
      </c>
      <c r="AK53" s="59" t="s">
        <v>816</v>
      </c>
      <c r="AL53" s="59" t="s">
        <v>816</v>
      </c>
      <c r="AM53" s="59" t="s">
        <v>816</v>
      </c>
      <c r="AN53" s="59" t="s">
        <v>816</v>
      </c>
      <c r="AO53" s="59" t="s">
        <v>816</v>
      </c>
      <c r="AP53" s="59" t="s">
        <v>817</v>
      </c>
      <c r="AQ53" s="59" t="s">
        <v>818</v>
      </c>
      <c r="AR53" s="59" t="s">
        <v>818</v>
      </c>
      <c r="AS53" s="59" t="s">
        <v>818</v>
      </c>
      <c r="AT53" s="59" t="s">
        <v>818</v>
      </c>
    </row>
    <row r="54" spans="1:46" ht="15.75" customHeight="1" x14ac:dyDescent="0.25">
      <c r="A54" s="18" t="str">
        <v>relay_5_pulse_length:{"type":"attribute","data_type":"uint16","is_readonly":false,"reporting_type":"polled","poll_freq":86400,"zigbee_metadata":{"attr_id":61581,"endpoint_id":10,"profile_id":260,"cluster_id":513,"zcl_data_type":33}},</v>
      </c>
      <c r="B54" s="52" t="str">
        <f ca="1"/>
        <v>0x0201 0xF08D</v>
      </c>
      <c r="C54" s="52" t="str">
        <f ca="1">IFERROR(__xludf.DUMMYFUNCTION("""COMPUTED_VALUE"""),"relay_5_pulse_length")</f>
        <v>relay_5_pulse_length</v>
      </c>
      <c r="D54" s="18" t="str">
        <f ca="1">IFERROR(__xludf.DUMMYFUNCTION("""COMPUTED_VALUE"""),"attribute")</f>
        <v>attribute</v>
      </c>
      <c r="E54" s="18" t="str">
        <f ca="1">IFERROR(__xludf.DUMMYFUNCTION("""COMPUTED_VALUE"""),"uint16")</f>
        <v>uint16</v>
      </c>
      <c r="F54" s="18" t="str">
        <f ca="1">IFERROR(__xludf.DUMMYFUNCTION("""COMPUTED_VALUE"""),"false")</f>
        <v>false</v>
      </c>
      <c r="G54" s="18" t="str">
        <f ca="1">IFERROR(__xludf.DUMMYFUNCTION("""COMPUTED_VALUE"""),"polled")</f>
        <v>polled</v>
      </c>
      <c r="H54" s="18" t="str">
        <f ca="1">IFERROR(__xludf.DUMMYFUNCTION("""COMPUTED_VALUE"""),"86400")</f>
        <v>86400</v>
      </c>
      <c r="I54" s="18" t="str">
        <f ca="1">IFERROR(__xludf.DUMMYFUNCTION("""COMPUTED_VALUE"""),"N/A")</f>
        <v>N/A</v>
      </c>
      <c r="J54" s="18" t="str">
        <f ca="1">IFERROR(__xludf.DUMMYFUNCTION("""COMPUTED_VALUE"""),"N/A")</f>
        <v>N/A</v>
      </c>
      <c r="K54" s="18" t="str">
        <f ca="1">IFERROR(__xludf.DUMMYFUNCTION("""COMPUTED_VALUE"""),"N/A")</f>
        <v>N/A</v>
      </c>
      <c r="L54" s="18" t="str">
        <f ca="1">IFERROR(__xludf.DUMMYFUNCTION("""COMPUTED_VALUE"""),"N/A")</f>
        <v>N/A</v>
      </c>
      <c r="M54" s="18" t="str">
        <f ca="1">IFERROR(__xludf.DUMMYFUNCTION("""COMPUTED_VALUE"""),"N/A")</f>
        <v>N/A</v>
      </c>
      <c r="N54" s="18" t="str">
        <f ca="1">IFERROR(__xludf.DUMMYFUNCTION("""COMPUTED_VALUE"""),"N/A")</f>
        <v>N/A</v>
      </c>
      <c r="O54" s="18" t="str">
        <f ca="1">IFERROR(__xludf.DUMMYFUNCTION("""COMPUTED_VALUE"""),"N/A")</f>
        <v>N/A</v>
      </c>
      <c r="P54" s="18" t="str">
        <f ca="1">IFERROR(__xludf.DUMMYFUNCTION("""COMPUTED_VALUE"""),"N/A")</f>
        <v>N/A</v>
      </c>
      <c r="Q54" s="18" t="str">
        <f ca="1">IFERROR(__xludf.DUMMYFUNCTION("""COMPUTED_VALUE"""),"N/A")</f>
        <v>N/A</v>
      </c>
      <c r="R54" s="18" t="str">
        <f ca="1">IFERROR(__xludf.DUMMYFUNCTION("""COMPUTED_VALUE"""),"N/A")</f>
        <v>N/A</v>
      </c>
      <c r="S54" s="18" t="str">
        <f ca="1">IFERROR(__xludf.DUMMYFUNCTION("""COMPUTED_VALUE"""),"N/A")</f>
        <v>N/A</v>
      </c>
      <c r="T54" s="18" t="str">
        <f ca="1">IFERROR(__xludf.DUMMYFUNCTION("""COMPUTED_VALUE"""),"0xF08D")</f>
        <v>0xF08D</v>
      </c>
      <c r="U54" s="18" t="str">
        <f ca="1">IFERROR(__xludf.DUMMYFUNCTION("""COMPUTED_VALUE"""),"0x0A")</f>
        <v>0x0A</v>
      </c>
      <c r="V54" s="18" t="str">
        <f ca="1">IFERROR(__xludf.DUMMYFUNCTION("""COMPUTED_VALUE"""),"0x0104")</f>
        <v>0x0104</v>
      </c>
      <c r="W54" s="18" t="str">
        <f ca="1">IFERROR(__xludf.DUMMYFUNCTION("""COMPUTED_VALUE"""),"0x0201")</f>
        <v>0x0201</v>
      </c>
      <c r="X54" s="18" t="str">
        <f ca="1">IFERROR(__xludf.DUMMYFUNCTION("""COMPUTED_VALUE"""),"0x21")</f>
        <v>0x21</v>
      </c>
      <c r="Y54" s="18" t="e">
        <f ca="1"/>
        <v>#NAME?</v>
      </c>
      <c r="Z54" s="18" t="str">
        <f ca="1">IFERROR(__xludf.DUMMYFUNCTION("""COMPUTED_VALUE"""),"N/A")</f>
        <v>N/A</v>
      </c>
      <c r="AA54" s="18" t="str">
        <f ca="1">IFERROR(__xludf.DUMMYFUNCTION("""COMPUTED_VALUE"""),"N/A")</f>
        <v>N/A</v>
      </c>
      <c r="AC54" s="59" t="s">
        <v>819</v>
      </c>
      <c r="AD54" s="59" t="s">
        <v>819</v>
      </c>
      <c r="AE54" s="59" t="s">
        <v>808</v>
      </c>
      <c r="AF54" s="59" t="s">
        <v>816</v>
      </c>
      <c r="AG54" s="59" t="s">
        <v>816</v>
      </c>
      <c r="AH54" s="59" t="s">
        <v>820</v>
      </c>
      <c r="AI54" s="59" t="s">
        <v>820</v>
      </c>
      <c r="AJ54" s="59" t="s">
        <v>820</v>
      </c>
      <c r="AK54" s="59" t="s">
        <v>820</v>
      </c>
      <c r="AL54" s="59" t="s">
        <v>820</v>
      </c>
      <c r="AM54" s="59" t="s">
        <v>820</v>
      </c>
      <c r="AN54" s="59" t="s">
        <v>820</v>
      </c>
      <c r="AO54" s="59" t="s">
        <v>820</v>
      </c>
      <c r="AP54" s="59" t="s">
        <v>821</v>
      </c>
      <c r="AQ54" s="59" t="s">
        <v>822</v>
      </c>
      <c r="AR54" s="59" t="s">
        <v>822</v>
      </c>
      <c r="AS54" s="59" t="s">
        <v>822</v>
      </c>
      <c r="AT54" s="59" t="s">
        <v>822</v>
      </c>
    </row>
    <row r="55" spans="1:46" ht="15.75" customHeight="1" x14ac:dyDescent="0.25">
      <c r="A55" s="18" t="str">
        <v>relay_state:{"type":"telemetry","data_type":"uint8","is_readonly":true,"reporting_type":"reported","report_max":3600,"report_min":0,"zigbee_metadata":{"attr_id":61585,"endpoint_id":10,"profile_id":260,"cluster_id":513,"zcl_data_type":24}},</v>
      </c>
      <c r="B55" s="52" t="str">
        <f ca="1"/>
        <v>0x0201 0xF091</v>
      </c>
      <c r="C55" s="52" t="str">
        <f ca="1">IFERROR(__xludf.DUMMYFUNCTION("""COMPUTED_VALUE"""),"relay_state")</f>
        <v>relay_state</v>
      </c>
      <c r="D55" s="18" t="str">
        <f ca="1">IFERROR(__xludf.DUMMYFUNCTION("""COMPUTED_VALUE"""),"telemetry")</f>
        <v>telemetry</v>
      </c>
      <c r="E55" s="18" t="str">
        <f ca="1">IFERROR(__xludf.DUMMYFUNCTION("""COMPUTED_VALUE"""),"uint8")</f>
        <v>uint8</v>
      </c>
      <c r="F55" s="18" t="str">
        <f ca="1">IFERROR(__xludf.DUMMYFUNCTION("""COMPUTED_VALUE"""),"true")</f>
        <v>true</v>
      </c>
      <c r="G55" s="18" t="str">
        <f ca="1">IFERROR(__xludf.DUMMYFUNCTION("""COMPUTED_VALUE"""),"reported")</f>
        <v>reported</v>
      </c>
      <c r="H55" s="18" t="str">
        <f ca="1">IFERROR(__xludf.DUMMYFUNCTION("""COMPUTED_VALUE"""),"N/A")</f>
        <v>N/A</v>
      </c>
      <c r="I55" s="18" t="str">
        <f ca="1">IFERROR(__xludf.DUMMYFUNCTION("""COMPUTED_VALUE"""),"3600")</f>
        <v>3600</v>
      </c>
      <c r="J55" s="18" t="str">
        <f ca="1">IFERROR(__xludf.DUMMYFUNCTION("""COMPUTED_VALUE"""),"0")</f>
        <v>0</v>
      </c>
      <c r="K55" s="18" t="str">
        <f ca="1">IFERROR(__xludf.DUMMYFUNCTION("""COMPUTED_VALUE"""),"N/A")</f>
        <v>N/A</v>
      </c>
      <c r="L55" s="18" t="str">
        <f ca="1">IFERROR(__xludf.DUMMYFUNCTION("""COMPUTED_VALUE"""),"N/A")</f>
        <v>N/A</v>
      </c>
      <c r="M55" s="18" t="str">
        <f ca="1">IFERROR(__xludf.DUMMYFUNCTION("""COMPUTED_VALUE"""),"N/A")</f>
        <v>N/A</v>
      </c>
      <c r="N55" s="18" t="str">
        <f ca="1">IFERROR(__xludf.DUMMYFUNCTION("""COMPUTED_VALUE"""),"N/A")</f>
        <v>N/A</v>
      </c>
      <c r="O55" s="18" t="str">
        <f ca="1">IFERROR(__xludf.DUMMYFUNCTION("""COMPUTED_VALUE"""),"N/A")</f>
        <v>N/A</v>
      </c>
      <c r="P55" s="18" t="str">
        <f ca="1">IFERROR(__xludf.DUMMYFUNCTION("""COMPUTED_VALUE"""),"N/A")</f>
        <v>N/A</v>
      </c>
      <c r="Q55" s="18" t="str">
        <f ca="1">IFERROR(__xludf.DUMMYFUNCTION("""COMPUTED_VALUE"""),"N/A")</f>
        <v>N/A</v>
      </c>
      <c r="R55" s="18" t="str">
        <f ca="1">IFERROR(__xludf.DUMMYFUNCTION("""COMPUTED_VALUE"""),"N/A")</f>
        <v>N/A</v>
      </c>
      <c r="S55" s="18" t="str">
        <f ca="1">IFERROR(__xludf.DUMMYFUNCTION("""COMPUTED_VALUE"""),"N/A")</f>
        <v>N/A</v>
      </c>
      <c r="T55" s="18" t="str">
        <f ca="1">IFERROR(__xludf.DUMMYFUNCTION("""COMPUTED_VALUE"""),"0xF091")</f>
        <v>0xF091</v>
      </c>
      <c r="U55" s="18" t="str">
        <f ca="1">IFERROR(__xludf.DUMMYFUNCTION("""COMPUTED_VALUE"""),"0x0A")</f>
        <v>0x0A</v>
      </c>
      <c r="V55" s="18" t="str">
        <f ca="1">IFERROR(__xludf.DUMMYFUNCTION("""COMPUTED_VALUE"""),"0x0104")</f>
        <v>0x0104</v>
      </c>
      <c r="W55" s="18" t="str">
        <f ca="1">IFERROR(__xludf.DUMMYFUNCTION("""COMPUTED_VALUE"""),"0x0201")</f>
        <v>0x0201</v>
      </c>
      <c r="X55" s="18" t="str">
        <f ca="1">IFERROR(__xludf.DUMMYFUNCTION("""COMPUTED_VALUE"""),"0x18")</f>
        <v>0x18</v>
      </c>
      <c r="Y55" s="18" t="e">
        <f ca="1"/>
        <v>#NAME?</v>
      </c>
      <c r="Z55" s="18" t="str">
        <f ca="1">IFERROR(__xludf.DUMMYFUNCTION("""COMPUTED_VALUE"""),"N/A")</f>
        <v>N/A</v>
      </c>
      <c r="AA55" s="18" t="str">
        <f ca="1">IFERROR(__xludf.DUMMYFUNCTION("""COMPUTED_VALUE"""),"N/A")</f>
        <v>N/A</v>
      </c>
      <c r="AC55" s="59" t="s">
        <v>793</v>
      </c>
      <c r="AD55" s="59" t="s">
        <v>793</v>
      </c>
      <c r="AE55" s="59" t="s">
        <v>812</v>
      </c>
      <c r="AF55" s="59" t="s">
        <v>820</v>
      </c>
      <c r="AG55" s="59" t="s">
        <v>820</v>
      </c>
      <c r="AH55" s="59" t="s">
        <v>823</v>
      </c>
      <c r="AI55" s="59" t="s">
        <v>823</v>
      </c>
      <c r="AJ55" s="59" t="s">
        <v>823</v>
      </c>
      <c r="AK55" s="59" t="s">
        <v>823</v>
      </c>
      <c r="AL55" s="59" t="s">
        <v>823</v>
      </c>
      <c r="AM55" s="59" t="s">
        <v>823</v>
      </c>
      <c r="AN55" s="59" t="s">
        <v>823</v>
      </c>
      <c r="AO55" s="59" t="s">
        <v>823</v>
      </c>
      <c r="AP55" s="59" t="s">
        <v>824</v>
      </c>
      <c r="AQ55" s="59" t="s">
        <v>825</v>
      </c>
      <c r="AR55" s="59" t="s">
        <v>825</v>
      </c>
      <c r="AS55" s="59" t="s">
        <v>825</v>
      </c>
      <c r="AT55" s="59" t="s">
        <v>825</v>
      </c>
    </row>
    <row r="56" spans="1:46" ht="15.75" customHeight="1" x14ac:dyDescent="0.25">
      <c r="A56" s="18" t="str">
        <v>invert_relays:{"type":"attribute","data_type":"uint8","is_readonly":false,"reporting_type":"polled","poll_freq":86400,"default_value":0,"zigbee_metadata":{"attr_id":61596,"endpoint_id":10,"profile_id":260,"cluster_id":513,"zcl_data_type":24}},</v>
      </c>
      <c r="B56" s="52" t="str">
        <f ca="1"/>
        <v>0x0201 0xF09C</v>
      </c>
      <c r="C56" s="52" t="str">
        <f ca="1">IFERROR(__xludf.DUMMYFUNCTION("""COMPUTED_VALUE"""),"invert_relays")</f>
        <v>invert_relays</v>
      </c>
      <c r="D56" s="18" t="str">
        <f ca="1">IFERROR(__xludf.DUMMYFUNCTION("""COMPUTED_VALUE"""),"attribute")</f>
        <v>attribute</v>
      </c>
      <c r="E56" s="18" t="str">
        <f ca="1">IFERROR(__xludf.DUMMYFUNCTION("""COMPUTED_VALUE"""),"uint8")</f>
        <v>uint8</v>
      </c>
      <c r="F56" s="18" t="str">
        <f ca="1">IFERROR(__xludf.DUMMYFUNCTION("""COMPUTED_VALUE"""),"false")</f>
        <v>false</v>
      </c>
      <c r="G56" s="18" t="str">
        <f ca="1">IFERROR(__xludf.DUMMYFUNCTION("""COMPUTED_VALUE"""),"polled")</f>
        <v>polled</v>
      </c>
      <c r="H56" s="18" t="str">
        <f ca="1">IFERROR(__xludf.DUMMYFUNCTION("""COMPUTED_VALUE"""),"86400")</f>
        <v>86400</v>
      </c>
      <c r="I56" s="18" t="str">
        <f ca="1">IFERROR(__xludf.DUMMYFUNCTION("""COMPUTED_VALUE"""),"N/A")</f>
        <v>N/A</v>
      </c>
      <c r="J56" s="18" t="str">
        <f ca="1">IFERROR(__xludf.DUMMYFUNCTION("""COMPUTED_VALUE"""),"N/A")</f>
        <v>N/A</v>
      </c>
      <c r="K56" s="18" t="str">
        <f ca="1">IFERROR(__xludf.DUMMYFUNCTION("""COMPUTED_VALUE"""),"N/A")</f>
        <v>N/A</v>
      </c>
      <c r="L56" s="18" t="str">
        <f ca="1">IFERROR(__xludf.DUMMYFUNCTION("""COMPUTED_VALUE"""),"N/A")</f>
        <v>N/A</v>
      </c>
      <c r="M56" s="18" t="str">
        <f ca="1">IFERROR(__xludf.DUMMYFUNCTION("""COMPUTED_VALUE"""),"N/A")</f>
        <v>N/A</v>
      </c>
      <c r="N56" s="18" t="str">
        <f ca="1">IFERROR(__xludf.DUMMYFUNCTION("""COMPUTED_VALUE"""),"N/A")</f>
        <v>N/A</v>
      </c>
      <c r="O56" s="18" t="str">
        <f ca="1">IFERROR(__xludf.DUMMYFUNCTION("""COMPUTED_VALUE"""),"N/A")</f>
        <v>N/A</v>
      </c>
      <c r="P56" s="18" t="str">
        <f ca="1">IFERROR(__xludf.DUMMYFUNCTION("""COMPUTED_VALUE"""),"N/A")</f>
        <v>N/A</v>
      </c>
      <c r="Q56" s="18" t="str">
        <f ca="1">IFERROR(__xludf.DUMMYFUNCTION("""COMPUTED_VALUE"""),"N/A")</f>
        <v>N/A</v>
      </c>
      <c r="R56" s="18" t="str">
        <f ca="1">IFERROR(__xludf.DUMMYFUNCTION("""COMPUTED_VALUE"""),"N/A")</f>
        <v>N/A</v>
      </c>
      <c r="S56" s="18" t="str">
        <f ca="1">IFERROR(__xludf.DUMMYFUNCTION("""COMPUTED_VALUE"""),"0")</f>
        <v>0</v>
      </c>
      <c r="T56" s="18" t="str">
        <f ca="1">IFERROR(__xludf.DUMMYFUNCTION("""COMPUTED_VALUE"""),"0xF09C")</f>
        <v>0xF09C</v>
      </c>
      <c r="U56" s="18" t="str">
        <f ca="1">IFERROR(__xludf.DUMMYFUNCTION("""COMPUTED_VALUE"""),"0x0A")</f>
        <v>0x0A</v>
      </c>
      <c r="V56" s="18" t="str">
        <f ca="1">IFERROR(__xludf.DUMMYFUNCTION("""COMPUTED_VALUE"""),"0x0104")</f>
        <v>0x0104</v>
      </c>
      <c r="W56" s="18" t="str">
        <f ca="1">IFERROR(__xludf.DUMMYFUNCTION("""COMPUTED_VALUE"""),"0x0201")</f>
        <v>0x0201</v>
      </c>
      <c r="X56" s="18" t="str">
        <f ca="1">IFERROR(__xludf.DUMMYFUNCTION("""COMPUTED_VALUE"""),"0x18")</f>
        <v>0x18</v>
      </c>
      <c r="Y56" s="18" t="e">
        <f ca="1"/>
        <v>#NAME?</v>
      </c>
      <c r="Z56" s="18" t="str">
        <f ca="1">IFERROR(__xludf.DUMMYFUNCTION("""COMPUTED_VALUE"""),"N/A")</f>
        <v>N/A</v>
      </c>
      <c r="AA56" s="18" t="str">
        <f ca="1">IFERROR(__xludf.DUMMYFUNCTION("""COMPUTED_VALUE"""),"N/A")</f>
        <v>N/A</v>
      </c>
      <c r="AC56" s="59" t="s">
        <v>797</v>
      </c>
      <c r="AD56" s="59" t="s">
        <v>797</v>
      </c>
      <c r="AE56" s="59" t="s">
        <v>816</v>
      </c>
      <c r="AF56" s="59" t="s">
        <v>823</v>
      </c>
      <c r="AG56" s="59" t="s">
        <v>823</v>
      </c>
      <c r="AH56" s="59" t="s">
        <v>826</v>
      </c>
      <c r="AI56" s="59" t="s">
        <v>826</v>
      </c>
      <c r="AJ56" s="59" t="s">
        <v>826</v>
      </c>
      <c r="AK56" s="59" t="s">
        <v>826</v>
      </c>
      <c r="AL56" s="59" t="s">
        <v>826</v>
      </c>
      <c r="AM56" s="59" t="s">
        <v>826</v>
      </c>
      <c r="AN56" s="59" t="s">
        <v>826</v>
      </c>
      <c r="AO56" s="59" t="s">
        <v>826</v>
      </c>
      <c r="AP56" s="59" t="s">
        <v>827</v>
      </c>
      <c r="AQ56" s="59" t="s">
        <v>828</v>
      </c>
      <c r="AR56" s="59" t="s">
        <v>828</v>
      </c>
      <c r="AS56" s="59" t="s">
        <v>828</v>
      </c>
      <c r="AT56" s="59" t="s">
        <v>828</v>
      </c>
    </row>
    <row r="57" spans="1:46" ht="15.75" customHeight="1" x14ac:dyDescent="0.25">
      <c r="A57" s="18" t="str">
        <v>relay_polarity:{"type":"telemetry","data_type":"uint8","is_readonly":true,"reporting_type":"polled","poll_freq":86400,"zigbee_metadata":{"attr_id":61597,"endpoint_id":10,"profile_id":260,"cluster_id":513,"zcl_data_type":24}},</v>
      </c>
      <c r="B57" s="52" t="str">
        <f ca="1"/>
        <v>0x0201 0xF09D</v>
      </c>
      <c r="C57" s="52" t="str">
        <f ca="1">IFERROR(__xludf.DUMMYFUNCTION("""COMPUTED_VALUE"""),"relay_polarity")</f>
        <v>relay_polarity</v>
      </c>
      <c r="D57" s="18" t="str">
        <f ca="1">IFERROR(__xludf.DUMMYFUNCTION("""COMPUTED_VALUE"""),"telemetry")</f>
        <v>telemetry</v>
      </c>
      <c r="E57" s="18" t="str">
        <f ca="1">IFERROR(__xludf.DUMMYFUNCTION("""COMPUTED_VALUE"""),"uint8")</f>
        <v>uint8</v>
      </c>
      <c r="F57" s="18" t="str">
        <f ca="1">IFERROR(__xludf.DUMMYFUNCTION("""COMPUTED_VALUE"""),"true")</f>
        <v>true</v>
      </c>
      <c r="G57" s="18" t="str">
        <f ca="1">IFERROR(__xludf.DUMMYFUNCTION("""COMPUTED_VALUE"""),"polled")</f>
        <v>polled</v>
      </c>
      <c r="H57" s="18" t="str">
        <f ca="1">IFERROR(__xludf.DUMMYFUNCTION("""COMPUTED_VALUE"""),"86400")</f>
        <v>86400</v>
      </c>
      <c r="I57" s="18" t="str">
        <f ca="1">IFERROR(__xludf.DUMMYFUNCTION("""COMPUTED_VALUE"""),"N/A")</f>
        <v>N/A</v>
      </c>
      <c r="J57" s="18" t="str">
        <f ca="1">IFERROR(__xludf.DUMMYFUNCTION("""COMPUTED_VALUE"""),"N/A")</f>
        <v>N/A</v>
      </c>
      <c r="K57" s="18" t="str">
        <f ca="1">IFERROR(__xludf.DUMMYFUNCTION("""COMPUTED_VALUE"""),"N/A")</f>
        <v>N/A</v>
      </c>
      <c r="L57" s="18" t="str">
        <f ca="1">IFERROR(__xludf.DUMMYFUNCTION("""COMPUTED_VALUE"""),"N/A")</f>
        <v>N/A</v>
      </c>
      <c r="M57" s="18" t="str">
        <f ca="1">IFERROR(__xludf.DUMMYFUNCTION("""COMPUTED_VALUE"""),"N/A")</f>
        <v>N/A</v>
      </c>
      <c r="N57" s="18" t="str">
        <f ca="1">IFERROR(__xludf.DUMMYFUNCTION("""COMPUTED_VALUE"""),"N/A")</f>
        <v>N/A</v>
      </c>
      <c r="O57" s="18" t="str">
        <f ca="1">IFERROR(__xludf.DUMMYFUNCTION("""COMPUTED_VALUE"""),"N/A")</f>
        <v>N/A</v>
      </c>
      <c r="P57" s="18" t="str">
        <f ca="1">IFERROR(__xludf.DUMMYFUNCTION("""COMPUTED_VALUE"""),"N/A")</f>
        <v>N/A</v>
      </c>
      <c r="Q57" s="18" t="str">
        <f ca="1">IFERROR(__xludf.DUMMYFUNCTION("""COMPUTED_VALUE"""),"N/A")</f>
        <v>N/A</v>
      </c>
      <c r="R57" s="18" t="str">
        <f ca="1">IFERROR(__xludf.DUMMYFUNCTION("""COMPUTED_VALUE"""),"N/A")</f>
        <v>N/A</v>
      </c>
      <c r="S57" s="18" t="str">
        <f ca="1">IFERROR(__xludf.DUMMYFUNCTION("""COMPUTED_VALUE"""),"N/A")</f>
        <v>N/A</v>
      </c>
      <c r="T57" s="18" t="str">
        <f ca="1">IFERROR(__xludf.DUMMYFUNCTION("""COMPUTED_VALUE"""),"0xF09D")</f>
        <v>0xF09D</v>
      </c>
      <c r="U57" s="18" t="str">
        <f ca="1">IFERROR(__xludf.DUMMYFUNCTION("""COMPUTED_VALUE"""),"0x0A")</f>
        <v>0x0A</v>
      </c>
      <c r="V57" s="18" t="str">
        <f ca="1">IFERROR(__xludf.DUMMYFUNCTION("""COMPUTED_VALUE"""),"0x0104")</f>
        <v>0x0104</v>
      </c>
      <c r="W57" s="18" t="str">
        <f ca="1">IFERROR(__xludf.DUMMYFUNCTION("""COMPUTED_VALUE"""),"0x0201")</f>
        <v>0x0201</v>
      </c>
      <c r="X57" s="18" t="str">
        <f ca="1">IFERROR(__xludf.DUMMYFUNCTION("""COMPUTED_VALUE"""),"0x18")</f>
        <v>0x18</v>
      </c>
      <c r="Y57" s="18" t="e">
        <f ca="1"/>
        <v>#NAME?</v>
      </c>
      <c r="Z57" s="18" t="str">
        <f ca="1">IFERROR(__xludf.DUMMYFUNCTION("""COMPUTED_VALUE"""),"N/A")</f>
        <v>N/A</v>
      </c>
      <c r="AA57" s="18" t="str">
        <f ca="1">IFERROR(__xludf.DUMMYFUNCTION("""COMPUTED_VALUE"""),"N/A")</f>
        <v>N/A</v>
      </c>
      <c r="AC57" s="59" t="s">
        <v>802</v>
      </c>
      <c r="AD57" s="59" t="s">
        <v>802</v>
      </c>
      <c r="AE57" s="59" t="s">
        <v>820</v>
      </c>
      <c r="AF57" s="59" t="s">
        <v>826</v>
      </c>
      <c r="AG57" s="59" t="s">
        <v>826</v>
      </c>
      <c r="AH57" s="59" t="s">
        <v>829</v>
      </c>
      <c r="AI57" s="59" t="s">
        <v>829</v>
      </c>
      <c r="AJ57" s="59" t="s">
        <v>829</v>
      </c>
      <c r="AK57" s="59" t="s">
        <v>829</v>
      </c>
      <c r="AL57" s="59" t="s">
        <v>829</v>
      </c>
      <c r="AM57" s="59" t="s">
        <v>829</v>
      </c>
      <c r="AN57" s="59" t="s">
        <v>829</v>
      </c>
      <c r="AO57" s="59" t="s">
        <v>829</v>
      </c>
      <c r="AP57" s="59" t="s">
        <v>830</v>
      </c>
      <c r="AQ57" s="59" t="s">
        <v>831</v>
      </c>
      <c r="AR57" s="59" t="s">
        <v>831</v>
      </c>
      <c r="AS57" s="59" t="s">
        <v>831</v>
      </c>
      <c r="AT57" s="59" t="s">
        <v>831</v>
      </c>
    </row>
    <row r="58" spans="1:46" ht="15.75" customHeight="1" x14ac:dyDescent="0.25">
      <c r="A58" s="18" t="str">
        <v>timedout_devices:{"type":"telemetry","data_type":"uint32","is_readonly":true,"reporting_type":"reported","report_max":3600,"report_min":0,"zigbee_metadata":{"attr_id":61440,"endpoint_id":10,"profile_id":260,"cluster_id":64530,"zcl_data_type":27}},</v>
      </c>
      <c r="B58" s="52" t="str">
        <f ca="1"/>
        <v>0xFC12 0xF000</v>
      </c>
      <c r="C58" s="52" t="str">
        <f ca="1">IFERROR(__xludf.DUMMYFUNCTION("""COMPUTED_VALUE"""),"timedout_devices")</f>
        <v>timedout_devices</v>
      </c>
      <c r="D58" s="18" t="str">
        <f ca="1">IFERROR(__xludf.DUMMYFUNCTION("""COMPUTED_VALUE"""),"telemetry")</f>
        <v>telemetry</v>
      </c>
      <c r="E58" s="18" t="str">
        <f ca="1">IFERROR(__xludf.DUMMYFUNCTION("""COMPUTED_VALUE"""),"uint32")</f>
        <v>uint32</v>
      </c>
      <c r="F58" s="18" t="str">
        <f ca="1">IFERROR(__xludf.DUMMYFUNCTION("""COMPUTED_VALUE"""),"true")</f>
        <v>true</v>
      </c>
      <c r="G58" s="18" t="str">
        <f ca="1">IFERROR(__xludf.DUMMYFUNCTION("""COMPUTED_VALUE"""),"reported")</f>
        <v>reported</v>
      </c>
      <c r="H58" s="18" t="str">
        <f ca="1">IFERROR(__xludf.DUMMYFUNCTION("""COMPUTED_VALUE"""),"N/A")</f>
        <v>N/A</v>
      </c>
      <c r="I58" s="18" t="str">
        <f ca="1">IFERROR(__xludf.DUMMYFUNCTION("""COMPUTED_VALUE"""),"3600")</f>
        <v>3600</v>
      </c>
      <c r="J58" s="18" t="str">
        <f ca="1">IFERROR(__xludf.DUMMYFUNCTION("""COMPUTED_VALUE"""),"0")</f>
        <v>0</v>
      </c>
      <c r="K58" s="18" t="str">
        <f ca="1">IFERROR(__xludf.DUMMYFUNCTION("""COMPUTED_VALUE"""),"N/A")</f>
        <v>N/A</v>
      </c>
      <c r="L58" s="18" t="str">
        <f ca="1">IFERROR(__xludf.DUMMYFUNCTION("""COMPUTED_VALUE"""),"N/A")</f>
        <v>N/A</v>
      </c>
      <c r="M58" s="18" t="str">
        <f ca="1">IFERROR(__xludf.DUMMYFUNCTION("""COMPUTED_VALUE"""),"N/A")</f>
        <v>N/A</v>
      </c>
      <c r="N58" s="18" t="str">
        <f ca="1">IFERROR(__xludf.DUMMYFUNCTION("""COMPUTED_VALUE"""),"N/A")</f>
        <v>N/A</v>
      </c>
      <c r="O58" s="18" t="str">
        <f ca="1">IFERROR(__xludf.DUMMYFUNCTION("""COMPUTED_VALUE"""),"N/A")</f>
        <v>N/A</v>
      </c>
      <c r="P58" s="18" t="str">
        <f ca="1">IFERROR(__xludf.DUMMYFUNCTION("""COMPUTED_VALUE"""),"N/A")</f>
        <v>N/A</v>
      </c>
      <c r="Q58" s="18" t="str">
        <f ca="1">IFERROR(__xludf.DUMMYFUNCTION("""COMPUTED_VALUE"""),"N/A")</f>
        <v>N/A</v>
      </c>
      <c r="R58" s="18" t="str">
        <f ca="1">IFERROR(__xludf.DUMMYFUNCTION("""COMPUTED_VALUE"""),"N/A")</f>
        <v>N/A</v>
      </c>
      <c r="S58" s="18" t="str">
        <f ca="1">IFERROR(__xludf.DUMMYFUNCTION("""COMPUTED_VALUE"""),"N/A")</f>
        <v>N/A</v>
      </c>
      <c r="T58" s="18" t="str">
        <f ca="1">IFERROR(__xludf.DUMMYFUNCTION("""COMPUTED_VALUE"""),"0xF000")</f>
        <v>0xF000</v>
      </c>
      <c r="U58" s="18" t="str">
        <f ca="1">IFERROR(__xludf.DUMMYFUNCTION("""COMPUTED_VALUE"""),"0x0A")</f>
        <v>0x0A</v>
      </c>
      <c r="V58" s="18" t="str">
        <f ca="1">IFERROR(__xludf.DUMMYFUNCTION("""COMPUTED_VALUE"""),"0x0104")</f>
        <v>0x0104</v>
      </c>
      <c r="W58" s="18" t="str">
        <f ca="1">IFERROR(__xludf.DUMMYFUNCTION("""COMPUTED_VALUE"""),"0xFC12")</f>
        <v>0xFC12</v>
      </c>
      <c r="X58" s="18" t="str">
        <f ca="1">IFERROR(__xludf.DUMMYFUNCTION("""COMPUTED_VALUE"""),"0x1B")</f>
        <v>0x1B</v>
      </c>
      <c r="Y58" s="18" t="e">
        <f ca="1"/>
        <v>#NAME?</v>
      </c>
      <c r="Z58" s="18" t="str">
        <f ca="1">IFERROR(__xludf.DUMMYFUNCTION("""COMPUTED_VALUE"""),"N/A")</f>
        <v>N/A</v>
      </c>
      <c r="AA58" s="18" t="str">
        <f ca="1">IFERROR(__xludf.DUMMYFUNCTION("""COMPUTED_VALUE"""),"N/A")</f>
        <v>N/A</v>
      </c>
      <c r="AC58" s="59" t="s">
        <v>807</v>
      </c>
      <c r="AD58" s="59" t="s">
        <v>807</v>
      </c>
      <c r="AE58" s="59" t="s">
        <v>823</v>
      </c>
      <c r="AF58" s="59" t="s">
        <v>829</v>
      </c>
      <c r="AG58" s="59" t="s">
        <v>829</v>
      </c>
      <c r="AH58" s="59" t="s">
        <v>832</v>
      </c>
      <c r="AI58" s="59" t="s">
        <v>832</v>
      </c>
      <c r="AJ58" s="59" t="s">
        <v>832</v>
      </c>
      <c r="AK58" s="59" t="s">
        <v>832</v>
      </c>
      <c r="AL58" s="59" t="s">
        <v>832</v>
      </c>
      <c r="AM58" s="59" t="s">
        <v>832</v>
      </c>
      <c r="AN58" s="59" t="s">
        <v>832</v>
      </c>
      <c r="AO58" s="59" t="s">
        <v>832</v>
      </c>
      <c r="AP58" s="59" t="s">
        <v>833</v>
      </c>
      <c r="AQ58" s="59" t="s">
        <v>834</v>
      </c>
      <c r="AR58" s="59" t="s">
        <v>834</v>
      </c>
      <c r="AS58" s="59" t="s">
        <v>834</v>
      </c>
      <c r="AT58" s="59" t="s">
        <v>834</v>
      </c>
    </row>
    <row r="59" spans="1:46" ht="15.75" customHeight="1" x14ac:dyDescent="0.25">
      <c r="A59" s="18" t="str">
        <v>deep_setback_active:{"type":"telemetry","data_type":"bool","is_readonly":true,"reporting_type":"reported","report_max":3600,"report_min":0,"zigbee_metadata":{"attr_id":61669,"endpoint_id":10,"profile_id":260,"cluster_id":513,"zcl_data_type":16,"read_formatter":"lambdax:bool(x)"}},</v>
      </c>
      <c r="B59" s="52" t="str">
        <f ca="1"/>
        <v>0x0201 0xF0E5</v>
      </c>
      <c r="C59" s="52" t="str">
        <f ca="1">IFERROR(__xludf.DUMMYFUNCTION("""COMPUTED_VALUE"""),"deep_setback_active")</f>
        <v>deep_setback_active</v>
      </c>
      <c r="D59" s="18" t="str">
        <f ca="1">IFERROR(__xludf.DUMMYFUNCTION("""COMPUTED_VALUE"""),"telemetry")</f>
        <v>telemetry</v>
      </c>
      <c r="E59" s="18" t="str">
        <f ca="1">IFERROR(__xludf.DUMMYFUNCTION("""COMPUTED_VALUE"""),"bool")</f>
        <v>bool</v>
      </c>
      <c r="F59" s="18" t="str">
        <f ca="1">IFERROR(__xludf.DUMMYFUNCTION("""COMPUTED_VALUE"""),"true")</f>
        <v>true</v>
      </c>
      <c r="G59" s="18" t="str">
        <f ca="1">IFERROR(__xludf.DUMMYFUNCTION("""COMPUTED_VALUE"""),"reported")</f>
        <v>reported</v>
      </c>
      <c r="H59" s="18" t="str">
        <f ca="1">IFERROR(__xludf.DUMMYFUNCTION("""COMPUTED_VALUE"""),"N/A")</f>
        <v>N/A</v>
      </c>
      <c r="I59" s="18" t="str">
        <f ca="1">IFERROR(__xludf.DUMMYFUNCTION("""COMPUTED_VALUE"""),"3600")</f>
        <v>3600</v>
      </c>
      <c r="J59" s="18" t="str">
        <f ca="1">IFERROR(__xludf.DUMMYFUNCTION("""COMPUTED_VALUE"""),"0")</f>
        <v>0</v>
      </c>
      <c r="K59" s="18" t="str">
        <f ca="1">IFERROR(__xludf.DUMMYFUNCTION("""COMPUTED_VALUE"""),"N/A")</f>
        <v>N/A</v>
      </c>
      <c r="L59" s="18" t="str">
        <f ca="1">IFERROR(__xludf.DUMMYFUNCTION("""COMPUTED_VALUE"""),"N/A")</f>
        <v>N/A</v>
      </c>
      <c r="M59" s="18" t="str">
        <f ca="1">IFERROR(__xludf.DUMMYFUNCTION("""COMPUTED_VALUE"""),"N/A")</f>
        <v>N/A</v>
      </c>
      <c r="N59" s="18" t="str">
        <f ca="1">IFERROR(__xludf.DUMMYFUNCTION("""COMPUTED_VALUE"""),"N/A")</f>
        <v>N/A</v>
      </c>
      <c r="O59" s="18" t="str">
        <f ca="1">IFERROR(__xludf.DUMMYFUNCTION("""COMPUTED_VALUE"""),"N/A")</f>
        <v>N/A</v>
      </c>
      <c r="P59" s="18" t="str">
        <f ca="1">IFERROR(__xludf.DUMMYFUNCTION("""COMPUTED_VALUE"""),"N/A")</f>
        <v>N/A</v>
      </c>
      <c r="Q59" s="18" t="str">
        <f ca="1">IFERROR(__xludf.DUMMYFUNCTION("""COMPUTED_VALUE"""),"N/A")</f>
        <v>N/A</v>
      </c>
      <c r="R59" s="18" t="str">
        <f ca="1">IFERROR(__xludf.DUMMYFUNCTION("""COMPUTED_VALUE"""),"N/A")</f>
        <v>N/A</v>
      </c>
      <c r="S59" s="18" t="str">
        <f ca="1">IFERROR(__xludf.DUMMYFUNCTION("""COMPUTED_VALUE"""),"N/A")</f>
        <v>N/A</v>
      </c>
      <c r="T59" s="18" t="str">
        <f ca="1">IFERROR(__xludf.DUMMYFUNCTION("""COMPUTED_VALUE"""),"0xF0E5")</f>
        <v>0xF0E5</v>
      </c>
      <c r="U59" s="18" t="str">
        <f ca="1">IFERROR(__xludf.DUMMYFUNCTION("""COMPUTED_VALUE"""),"0x0A")</f>
        <v>0x0A</v>
      </c>
      <c r="V59" s="18" t="str">
        <f ca="1">IFERROR(__xludf.DUMMYFUNCTION("""COMPUTED_VALUE"""),"0x0104")</f>
        <v>0x0104</v>
      </c>
      <c r="W59" s="18" t="str">
        <f ca="1">IFERROR(__xludf.DUMMYFUNCTION("""COMPUTED_VALUE"""),"0x0201")</f>
        <v>0x0201</v>
      </c>
      <c r="X59" s="18" t="str">
        <f ca="1">IFERROR(__xludf.DUMMYFUNCTION("""COMPUTED_VALUE"""),"0x10")</f>
        <v>0x10</v>
      </c>
      <c r="Y59" s="18" t="e">
        <f ca="1"/>
        <v>#NAME?</v>
      </c>
      <c r="Z59" s="18" t="str">
        <f ca="1">IFERROR(__xludf.DUMMYFUNCTION("""COMPUTED_VALUE"""),"N/A")</f>
        <v>N/A</v>
      </c>
      <c r="AA59" s="18" t="str">
        <f ca="1">IFERROR(__xludf.DUMMYFUNCTION("""COMPUTED_VALUE"""),"lambdax:bool(x)")</f>
        <v>lambdax:bool(x)</v>
      </c>
      <c r="AC59" s="59" t="s">
        <v>798</v>
      </c>
      <c r="AD59" s="59" t="s">
        <v>798</v>
      </c>
      <c r="AE59" s="59" t="s">
        <v>826</v>
      </c>
      <c r="AF59" s="59" t="s">
        <v>832</v>
      </c>
      <c r="AG59" s="59" t="s">
        <v>832</v>
      </c>
      <c r="AH59" s="59" t="s">
        <v>835</v>
      </c>
      <c r="AI59" s="59" t="s">
        <v>835</v>
      </c>
      <c r="AJ59" s="59" t="s">
        <v>835</v>
      </c>
      <c r="AK59" s="59" t="s">
        <v>835</v>
      </c>
      <c r="AL59" s="59" t="s">
        <v>835</v>
      </c>
      <c r="AM59" s="59" t="s">
        <v>835</v>
      </c>
      <c r="AN59" s="59" t="s">
        <v>836</v>
      </c>
      <c r="AO59" s="59" t="s">
        <v>836</v>
      </c>
      <c r="AP59" s="59" t="s">
        <v>837</v>
      </c>
      <c r="AQ59" s="59" t="s">
        <v>838</v>
      </c>
      <c r="AR59" s="59" t="s">
        <v>838</v>
      </c>
      <c r="AS59" s="59" t="s">
        <v>839</v>
      </c>
      <c r="AT59" s="59" t="s">
        <v>839</v>
      </c>
    </row>
    <row r="60" spans="1:46" ht="15.75" customHeight="1" x14ac:dyDescent="0.25">
      <c r="A60" s="18" t="str">
        <v>night_state:{"type":"telemetry","data_type":"bool","is_readonly":true,"reporting_type":"reported","report_max":3600,"report_min":0,"zigbee_metadata":{"attr_id":61691,"endpoint_id":10,"profile_id":260,"cluster_id":513,"zcl_data_type":16,"read_formatter":"lambdax:bool(x)"}},</v>
      </c>
      <c r="B60" s="52" t="str">
        <f ca="1"/>
        <v>0x0201 0xF0FB</v>
      </c>
      <c r="C60" s="52" t="str">
        <f ca="1">IFERROR(__xludf.DUMMYFUNCTION("""COMPUTED_VALUE"""),"night_state")</f>
        <v>night_state</v>
      </c>
      <c r="D60" s="18" t="str">
        <f ca="1">IFERROR(__xludf.DUMMYFUNCTION("""COMPUTED_VALUE"""),"telemetry")</f>
        <v>telemetry</v>
      </c>
      <c r="E60" s="18" t="str">
        <f ca="1">IFERROR(__xludf.DUMMYFUNCTION("""COMPUTED_VALUE"""),"bool")</f>
        <v>bool</v>
      </c>
      <c r="F60" s="18" t="str">
        <f ca="1">IFERROR(__xludf.DUMMYFUNCTION("""COMPUTED_VALUE"""),"true")</f>
        <v>true</v>
      </c>
      <c r="G60" s="18" t="str">
        <f ca="1">IFERROR(__xludf.DUMMYFUNCTION("""COMPUTED_VALUE"""),"reported")</f>
        <v>reported</v>
      </c>
      <c r="H60" s="18" t="str">
        <f ca="1">IFERROR(__xludf.DUMMYFUNCTION("""COMPUTED_VALUE"""),"N/A")</f>
        <v>N/A</v>
      </c>
      <c r="I60" s="18" t="str">
        <f ca="1">IFERROR(__xludf.DUMMYFUNCTION("""COMPUTED_VALUE"""),"3600")</f>
        <v>3600</v>
      </c>
      <c r="J60" s="18" t="str">
        <f ca="1">IFERROR(__xludf.DUMMYFUNCTION("""COMPUTED_VALUE"""),"0")</f>
        <v>0</v>
      </c>
      <c r="K60" s="18" t="str">
        <f ca="1">IFERROR(__xludf.DUMMYFUNCTION("""COMPUTED_VALUE"""),"N/A")</f>
        <v>N/A</v>
      </c>
      <c r="L60" s="18" t="str">
        <f ca="1">IFERROR(__xludf.DUMMYFUNCTION("""COMPUTED_VALUE"""),"N/A")</f>
        <v>N/A</v>
      </c>
      <c r="M60" s="18" t="str">
        <f ca="1">IFERROR(__xludf.DUMMYFUNCTION("""COMPUTED_VALUE"""),"N/A")</f>
        <v>N/A</v>
      </c>
      <c r="N60" s="18" t="str">
        <f ca="1">IFERROR(__xludf.DUMMYFUNCTION("""COMPUTED_VALUE"""),"N/A")</f>
        <v>N/A</v>
      </c>
      <c r="O60" s="18" t="str">
        <f ca="1">IFERROR(__xludf.DUMMYFUNCTION("""COMPUTED_VALUE"""),"N/A")</f>
        <v>N/A</v>
      </c>
      <c r="P60" s="18" t="str">
        <f ca="1">IFERROR(__xludf.DUMMYFUNCTION("""COMPUTED_VALUE"""),"N/A")</f>
        <v>N/A</v>
      </c>
      <c r="Q60" s="18" t="str">
        <f ca="1">IFERROR(__xludf.DUMMYFUNCTION("""COMPUTED_VALUE"""),"N/A")</f>
        <v>N/A</v>
      </c>
      <c r="R60" s="18" t="str">
        <f ca="1">IFERROR(__xludf.DUMMYFUNCTION("""COMPUTED_VALUE"""),"N/A")</f>
        <v>N/A</v>
      </c>
      <c r="S60" s="18" t="str">
        <f ca="1">IFERROR(__xludf.DUMMYFUNCTION("""COMPUTED_VALUE"""),"N/A")</f>
        <v>N/A</v>
      </c>
      <c r="T60" s="18" t="str">
        <f ca="1">IFERROR(__xludf.DUMMYFUNCTION("""COMPUTED_VALUE"""),"0xF0FB")</f>
        <v>0xF0FB</v>
      </c>
      <c r="U60" s="18" t="str">
        <f ca="1">IFERROR(__xludf.DUMMYFUNCTION("""COMPUTED_VALUE"""),"0x0A")</f>
        <v>0x0A</v>
      </c>
      <c r="V60" s="18" t="str">
        <f ca="1">IFERROR(__xludf.DUMMYFUNCTION("""COMPUTED_VALUE"""),"0x0104")</f>
        <v>0x0104</v>
      </c>
      <c r="W60" s="18" t="str">
        <f ca="1">IFERROR(__xludf.DUMMYFUNCTION("""COMPUTED_VALUE"""),"0x0201")</f>
        <v>0x0201</v>
      </c>
      <c r="X60" s="18" t="str">
        <f ca="1">IFERROR(__xludf.DUMMYFUNCTION("""COMPUTED_VALUE"""),"0x10")</f>
        <v>0x10</v>
      </c>
      <c r="Y60" s="18" t="e">
        <f ca="1"/>
        <v>#NAME?</v>
      </c>
      <c r="Z60" s="18" t="str">
        <f ca="1">IFERROR(__xludf.DUMMYFUNCTION("""COMPUTED_VALUE"""),"N/A")</f>
        <v>N/A</v>
      </c>
      <c r="AA60" s="18" t="str">
        <f ca="1">IFERROR(__xludf.DUMMYFUNCTION("""COMPUTED_VALUE"""),"lambdax:bool(x)")</f>
        <v>lambdax:bool(x)</v>
      </c>
      <c r="AC60" s="59" t="s">
        <v>803</v>
      </c>
      <c r="AD60" s="59" t="s">
        <v>803</v>
      </c>
      <c r="AE60" s="59" t="s">
        <v>829</v>
      </c>
      <c r="AF60" s="59" t="s">
        <v>835</v>
      </c>
      <c r="AG60" s="59" t="s">
        <v>835</v>
      </c>
      <c r="AH60" s="59" t="s">
        <v>840</v>
      </c>
      <c r="AI60" s="59" t="s">
        <v>840</v>
      </c>
      <c r="AJ60" s="59" t="s">
        <v>840</v>
      </c>
      <c r="AK60" s="59" t="s">
        <v>840</v>
      </c>
      <c r="AL60" s="59" t="s">
        <v>840</v>
      </c>
      <c r="AM60" s="59" t="s">
        <v>840</v>
      </c>
      <c r="AN60" s="59" t="s">
        <v>841</v>
      </c>
      <c r="AO60" s="59" t="s">
        <v>841</v>
      </c>
      <c r="AP60" s="59" t="s">
        <v>842</v>
      </c>
      <c r="AQ60" s="59" t="s">
        <v>843</v>
      </c>
      <c r="AR60" s="59" t="s">
        <v>843</v>
      </c>
      <c r="AS60" s="59" t="s">
        <v>844</v>
      </c>
      <c r="AT60" s="59" t="s">
        <v>844</v>
      </c>
    </row>
    <row r="61" spans="1:46" x14ac:dyDescent="0.25">
      <c r="A61" s="18" t="str">
        <v>time_to_unocc:{"type":"attribute","data_type":"uint32","is_readonly":true,"reporting_type":"diagnostic","zigbee_metadata":{"attr_id":61695,"endpoint_id":10,"profile_id":260,"cluster_id":513,"zcl_data_type":35}},</v>
      </c>
      <c r="B61" s="52" t="str">
        <f ca="1"/>
        <v>0x0201 0xF0FF</v>
      </c>
      <c r="C61" s="52" t="str">
        <f ca="1">IFERROR(__xludf.DUMMYFUNCTION("""COMPUTED_VALUE"""),"time_to_unocc")</f>
        <v>time_to_unocc</v>
      </c>
      <c r="D61" s="18" t="str">
        <f ca="1">IFERROR(__xludf.DUMMYFUNCTION("""COMPUTED_VALUE"""),"attribute")</f>
        <v>attribute</v>
      </c>
      <c r="E61" s="18" t="str">
        <f ca="1">IFERROR(__xludf.DUMMYFUNCTION("""COMPUTED_VALUE"""),"uint32")</f>
        <v>uint32</v>
      </c>
      <c r="F61" s="18" t="str">
        <f ca="1">IFERROR(__xludf.DUMMYFUNCTION("""COMPUTED_VALUE"""),"true")</f>
        <v>true</v>
      </c>
      <c r="G61" s="18" t="str">
        <f ca="1">IFERROR(__xludf.DUMMYFUNCTION("""COMPUTED_VALUE"""),"diagnostic")</f>
        <v>diagnostic</v>
      </c>
      <c r="H61" s="18" t="str">
        <f ca="1">IFERROR(__xludf.DUMMYFUNCTION("""COMPUTED_VALUE"""),"N/A")</f>
        <v>N/A</v>
      </c>
      <c r="I61" s="18" t="str">
        <f ca="1">IFERROR(__xludf.DUMMYFUNCTION("""COMPUTED_VALUE"""),"N/A")</f>
        <v>N/A</v>
      </c>
      <c r="J61" s="18" t="str">
        <f ca="1">IFERROR(__xludf.DUMMYFUNCTION("""COMPUTED_VALUE"""),"N/A")</f>
        <v>N/A</v>
      </c>
      <c r="K61" s="18" t="str">
        <f ca="1">IFERROR(__xludf.DUMMYFUNCTION("""COMPUTED_VALUE"""),"N/A")</f>
        <v>N/A</v>
      </c>
      <c r="L61" s="18" t="str">
        <f ca="1">IFERROR(__xludf.DUMMYFUNCTION("""COMPUTED_VALUE"""),"N/A")</f>
        <v>N/A</v>
      </c>
      <c r="M61" s="18" t="str">
        <f ca="1">IFERROR(__xludf.DUMMYFUNCTION("""COMPUTED_VALUE"""),"N/A")</f>
        <v>N/A</v>
      </c>
      <c r="N61" s="18" t="str">
        <f ca="1">IFERROR(__xludf.DUMMYFUNCTION("""COMPUTED_VALUE"""),"N/A")</f>
        <v>N/A</v>
      </c>
      <c r="O61" s="18" t="str">
        <f ca="1">IFERROR(__xludf.DUMMYFUNCTION("""COMPUTED_VALUE"""),"N/A")</f>
        <v>N/A</v>
      </c>
      <c r="P61" s="18" t="str">
        <f ca="1">IFERROR(__xludf.DUMMYFUNCTION("""COMPUTED_VALUE"""),"N/A")</f>
        <v>N/A</v>
      </c>
      <c r="Q61" s="18" t="str">
        <f ca="1">IFERROR(__xludf.DUMMYFUNCTION("""COMPUTED_VALUE"""),"N/A")</f>
        <v>N/A</v>
      </c>
      <c r="R61" s="18" t="str">
        <f ca="1">IFERROR(__xludf.DUMMYFUNCTION("""COMPUTED_VALUE"""),"N/A")</f>
        <v>N/A</v>
      </c>
      <c r="S61" s="18" t="str">
        <f ca="1">IFERROR(__xludf.DUMMYFUNCTION("""COMPUTED_VALUE"""),"N/A")</f>
        <v>N/A</v>
      </c>
      <c r="T61" s="18" t="str">
        <f ca="1">IFERROR(__xludf.DUMMYFUNCTION("""COMPUTED_VALUE"""),"0xF0FF")</f>
        <v>0xF0FF</v>
      </c>
      <c r="U61" s="18" t="str">
        <f ca="1">IFERROR(__xludf.DUMMYFUNCTION("""COMPUTED_VALUE"""),"0x0A")</f>
        <v>0x0A</v>
      </c>
      <c r="V61" s="18" t="str">
        <f ca="1">IFERROR(__xludf.DUMMYFUNCTION("""COMPUTED_VALUE"""),"0x0104")</f>
        <v>0x0104</v>
      </c>
      <c r="W61" s="18" t="str">
        <f ca="1">IFERROR(__xludf.DUMMYFUNCTION("""COMPUTED_VALUE"""),"0x0201")</f>
        <v>0x0201</v>
      </c>
      <c r="X61" s="18" t="str">
        <f ca="1">IFERROR(__xludf.DUMMYFUNCTION("""COMPUTED_VALUE"""),"0x23")</f>
        <v>0x23</v>
      </c>
      <c r="Y61" s="18" t="e">
        <f ca="1"/>
        <v>#NAME?</v>
      </c>
      <c r="Z61" s="18" t="str">
        <f ca="1">IFERROR(__xludf.DUMMYFUNCTION("""COMPUTED_VALUE"""),"N/A")</f>
        <v>N/A</v>
      </c>
      <c r="AA61" s="18" t="str">
        <f ca="1">IFERROR(__xludf.DUMMYFUNCTION("""COMPUTED_VALUE"""),"N/A")</f>
        <v>N/A</v>
      </c>
      <c r="AC61" s="59" t="s">
        <v>808</v>
      </c>
      <c r="AD61" s="59" t="s">
        <v>808</v>
      </c>
      <c r="AE61" s="59" t="s">
        <v>832</v>
      </c>
      <c r="AF61" s="59" t="s">
        <v>840</v>
      </c>
      <c r="AG61" s="59" t="s">
        <v>840</v>
      </c>
      <c r="AH61" s="59" t="s">
        <v>836</v>
      </c>
      <c r="AI61" s="59" t="s">
        <v>836</v>
      </c>
      <c r="AJ61" s="59" t="s">
        <v>836</v>
      </c>
      <c r="AK61" s="59" t="s">
        <v>836</v>
      </c>
      <c r="AL61" s="59" t="s">
        <v>836</v>
      </c>
      <c r="AM61" s="59" t="s">
        <v>836</v>
      </c>
      <c r="AN61" s="59" t="s">
        <v>845</v>
      </c>
      <c r="AO61" s="59" t="s">
        <v>845</v>
      </c>
      <c r="AP61" s="59" t="s">
        <v>846</v>
      </c>
      <c r="AQ61" s="59" t="s">
        <v>847</v>
      </c>
      <c r="AR61" s="59" t="s">
        <v>847</v>
      </c>
      <c r="AS61" s="59" t="s">
        <v>848</v>
      </c>
      <c r="AT61" s="59" t="s">
        <v>848</v>
      </c>
    </row>
    <row r="62" spans="1:46" x14ac:dyDescent="0.25">
      <c r="A62" s="18" t="str">
        <v>force_occ:{"type":"attribute","data_type":"uint16","is_readonly":false,"reporting_type":"reported","report_max":3600,"report_min":0,"report_threshold":15,"default_value":null,"zigbee_metadata":{"attr_id":61696,"endpoint_id":10,"profile_id":260,"cluster_id":513,"zcl_data_type":33}},</v>
      </c>
      <c r="B62" s="52" t="str">
        <f ca="1"/>
        <v>0x0201 0xF100</v>
      </c>
      <c r="C62" s="52" t="str">
        <f ca="1">IFERROR(__xludf.DUMMYFUNCTION("""COMPUTED_VALUE"""),"force_occ")</f>
        <v>force_occ</v>
      </c>
      <c r="D62" s="18" t="str">
        <f ca="1">IFERROR(__xludf.DUMMYFUNCTION("""COMPUTED_VALUE"""),"attribute")</f>
        <v>attribute</v>
      </c>
      <c r="E62" s="18" t="str">
        <f ca="1">IFERROR(__xludf.DUMMYFUNCTION("""COMPUTED_VALUE"""),"uint16")</f>
        <v>uint16</v>
      </c>
      <c r="F62" s="18" t="str">
        <f ca="1">IFERROR(__xludf.DUMMYFUNCTION("""COMPUTED_VALUE"""),"false")</f>
        <v>false</v>
      </c>
      <c r="G62" s="18" t="str">
        <f ca="1">IFERROR(__xludf.DUMMYFUNCTION("""COMPUTED_VALUE"""),"reported")</f>
        <v>reported</v>
      </c>
      <c r="H62" s="18" t="str">
        <f ca="1">IFERROR(__xludf.DUMMYFUNCTION("""COMPUTED_VALUE"""),"N/A")</f>
        <v>N/A</v>
      </c>
      <c r="I62" s="18" t="str">
        <f ca="1">IFERROR(__xludf.DUMMYFUNCTION("""COMPUTED_VALUE"""),"3600")</f>
        <v>3600</v>
      </c>
      <c r="J62" s="18" t="str">
        <f ca="1">IFERROR(__xludf.DUMMYFUNCTION("""COMPUTED_VALUE"""),"0")</f>
        <v>0</v>
      </c>
      <c r="K62" s="18" t="str">
        <f ca="1">IFERROR(__xludf.DUMMYFUNCTION("""COMPUTED_VALUE"""),"15")</f>
        <v>15</v>
      </c>
      <c r="L62" s="18" t="str">
        <f ca="1">IFERROR(__xludf.DUMMYFUNCTION("""COMPUTED_VALUE"""),"N/A")</f>
        <v>N/A</v>
      </c>
      <c r="M62" s="18" t="str">
        <f ca="1">IFERROR(__xludf.DUMMYFUNCTION("""COMPUTED_VALUE"""),"N/A")</f>
        <v>N/A</v>
      </c>
      <c r="N62" s="18" t="str">
        <f ca="1">IFERROR(__xludf.DUMMYFUNCTION("""COMPUTED_VALUE"""),"N/A")</f>
        <v>N/A</v>
      </c>
      <c r="O62" s="18" t="str">
        <f ca="1">IFERROR(__xludf.DUMMYFUNCTION("""COMPUTED_VALUE"""),"N/A")</f>
        <v>N/A</v>
      </c>
      <c r="P62" s="18" t="str">
        <f ca="1">IFERROR(__xludf.DUMMYFUNCTION("""COMPUTED_VALUE"""),"N/A")</f>
        <v>N/A</v>
      </c>
      <c r="Q62" s="18" t="str">
        <f ca="1">IFERROR(__xludf.DUMMYFUNCTION("""COMPUTED_VALUE"""),"N/A")</f>
        <v>N/A</v>
      </c>
      <c r="R62" s="18" t="str">
        <f ca="1">IFERROR(__xludf.DUMMYFUNCTION("""COMPUTED_VALUE"""),"N/A")</f>
        <v>N/A</v>
      </c>
      <c r="S62" s="18" t="str">
        <f ca="1">IFERROR(__xludf.DUMMYFUNCTION("""COMPUTED_VALUE"""),"null")</f>
        <v>null</v>
      </c>
      <c r="T62" s="18" t="str">
        <f ca="1">IFERROR(__xludf.DUMMYFUNCTION("""COMPUTED_VALUE"""),"0xF100")</f>
        <v>0xF100</v>
      </c>
      <c r="U62" s="18" t="str">
        <f ca="1">IFERROR(__xludf.DUMMYFUNCTION("""COMPUTED_VALUE"""),"0x0A")</f>
        <v>0x0A</v>
      </c>
      <c r="V62" s="18" t="str">
        <f ca="1">IFERROR(__xludf.DUMMYFUNCTION("""COMPUTED_VALUE"""),"0x0104")</f>
        <v>0x0104</v>
      </c>
      <c r="W62" s="18" t="str">
        <f ca="1">IFERROR(__xludf.DUMMYFUNCTION("""COMPUTED_VALUE"""),"0x0201")</f>
        <v>0x0201</v>
      </c>
      <c r="X62" s="18" t="str">
        <f ca="1">IFERROR(__xludf.DUMMYFUNCTION("""COMPUTED_VALUE"""),"0x21")</f>
        <v>0x21</v>
      </c>
      <c r="Y62" s="18" t="e">
        <f ca="1"/>
        <v>#NAME?</v>
      </c>
      <c r="Z62" s="18" t="str">
        <f ca="1">IFERROR(__xludf.DUMMYFUNCTION("""COMPUTED_VALUE"""),"N/A")</f>
        <v>N/A</v>
      </c>
      <c r="AA62" s="18" t="str">
        <f ca="1">IFERROR(__xludf.DUMMYFUNCTION("""COMPUTED_VALUE"""),"N/A")</f>
        <v>N/A</v>
      </c>
      <c r="AC62" s="59" t="s">
        <v>812</v>
      </c>
      <c r="AD62" s="59" t="s">
        <v>812</v>
      </c>
      <c r="AE62" s="59" t="s">
        <v>835</v>
      </c>
      <c r="AF62" s="59" t="s">
        <v>836</v>
      </c>
      <c r="AG62" s="59" t="s">
        <v>836</v>
      </c>
      <c r="AH62" s="59" t="s">
        <v>841</v>
      </c>
      <c r="AI62" s="59" t="s">
        <v>841</v>
      </c>
      <c r="AJ62" s="59" t="s">
        <v>841</v>
      </c>
      <c r="AK62" s="59" t="s">
        <v>841</v>
      </c>
      <c r="AL62" s="59" t="s">
        <v>841</v>
      </c>
      <c r="AM62" s="59" t="s">
        <v>841</v>
      </c>
      <c r="AN62" s="59" t="s">
        <v>849</v>
      </c>
      <c r="AO62" s="59" t="s">
        <v>849</v>
      </c>
      <c r="AP62" s="59" t="s">
        <v>850</v>
      </c>
      <c r="AQ62" s="59" t="s">
        <v>851</v>
      </c>
      <c r="AR62" s="59" t="s">
        <v>851</v>
      </c>
      <c r="AS62" s="59" t="s">
        <v>852</v>
      </c>
      <c r="AT62" s="59" t="s">
        <v>852</v>
      </c>
    </row>
    <row r="63" spans="1:46" x14ac:dyDescent="0.25">
      <c r="A63" s="18" t="str">
        <v>force_unocc:{"type":"attribute","data_type":"uint16","is_readonly":false,"reporting_type":"reported","report_max":3600,"report_min":0,"report_threshold":15,"default_value":null,"zigbee_metadata":{"attr_id":61697,"endpoint_id":10,"profile_id":260,"cluster_id":513,"zcl_data_type":33}},</v>
      </c>
      <c r="B63" s="52" t="str">
        <f ca="1"/>
        <v>0x0201 0xF101</v>
      </c>
      <c r="C63" s="52" t="str">
        <f ca="1">IFERROR(__xludf.DUMMYFUNCTION("""COMPUTED_VALUE"""),"force_unocc")</f>
        <v>force_unocc</v>
      </c>
      <c r="D63" s="18" t="str">
        <f ca="1">IFERROR(__xludf.DUMMYFUNCTION("""COMPUTED_VALUE"""),"attribute")</f>
        <v>attribute</v>
      </c>
      <c r="E63" s="18" t="str">
        <f ca="1">IFERROR(__xludf.DUMMYFUNCTION("""COMPUTED_VALUE"""),"uint16")</f>
        <v>uint16</v>
      </c>
      <c r="F63" s="18" t="str">
        <f ca="1">IFERROR(__xludf.DUMMYFUNCTION("""COMPUTED_VALUE"""),"false")</f>
        <v>false</v>
      </c>
      <c r="G63" s="18" t="str">
        <f ca="1">IFERROR(__xludf.DUMMYFUNCTION("""COMPUTED_VALUE"""),"reported")</f>
        <v>reported</v>
      </c>
      <c r="H63" s="18" t="str">
        <f ca="1">IFERROR(__xludf.DUMMYFUNCTION("""COMPUTED_VALUE"""),"N/A")</f>
        <v>N/A</v>
      </c>
      <c r="I63" s="18" t="str">
        <f ca="1">IFERROR(__xludf.DUMMYFUNCTION("""COMPUTED_VALUE"""),"3600")</f>
        <v>3600</v>
      </c>
      <c r="J63" s="18" t="str">
        <f ca="1">IFERROR(__xludf.DUMMYFUNCTION("""COMPUTED_VALUE"""),"0")</f>
        <v>0</v>
      </c>
      <c r="K63" s="18" t="str">
        <f ca="1">IFERROR(__xludf.DUMMYFUNCTION("""COMPUTED_VALUE"""),"15")</f>
        <v>15</v>
      </c>
      <c r="L63" s="18" t="str">
        <f ca="1">IFERROR(__xludf.DUMMYFUNCTION("""COMPUTED_VALUE"""),"N/A")</f>
        <v>N/A</v>
      </c>
      <c r="M63" s="18" t="str">
        <f ca="1">IFERROR(__xludf.DUMMYFUNCTION("""COMPUTED_VALUE"""),"N/A")</f>
        <v>N/A</v>
      </c>
      <c r="N63" s="18" t="str">
        <f ca="1">IFERROR(__xludf.DUMMYFUNCTION("""COMPUTED_VALUE"""),"N/A")</f>
        <v>N/A</v>
      </c>
      <c r="O63" s="18" t="str">
        <f ca="1">IFERROR(__xludf.DUMMYFUNCTION("""COMPUTED_VALUE"""),"N/A")</f>
        <v>N/A</v>
      </c>
      <c r="P63" s="18" t="str">
        <f ca="1">IFERROR(__xludf.DUMMYFUNCTION("""COMPUTED_VALUE"""),"N/A")</f>
        <v>N/A</v>
      </c>
      <c r="Q63" s="18" t="str">
        <f ca="1">IFERROR(__xludf.DUMMYFUNCTION("""COMPUTED_VALUE"""),"N/A")</f>
        <v>N/A</v>
      </c>
      <c r="R63" s="18" t="str">
        <f ca="1">IFERROR(__xludf.DUMMYFUNCTION("""COMPUTED_VALUE"""),"N/A")</f>
        <v>N/A</v>
      </c>
      <c r="S63" s="18" t="str">
        <f ca="1">IFERROR(__xludf.DUMMYFUNCTION("""COMPUTED_VALUE"""),"null")</f>
        <v>null</v>
      </c>
      <c r="T63" s="18" t="str">
        <f ca="1">IFERROR(__xludf.DUMMYFUNCTION("""COMPUTED_VALUE"""),"0xF101")</f>
        <v>0xF101</v>
      </c>
      <c r="U63" s="18" t="str">
        <f ca="1">IFERROR(__xludf.DUMMYFUNCTION("""COMPUTED_VALUE"""),"0x0A")</f>
        <v>0x0A</v>
      </c>
      <c r="V63" s="18" t="str">
        <f ca="1">IFERROR(__xludf.DUMMYFUNCTION("""COMPUTED_VALUE"""),"0x0104")</f>
        <v>0x0104</v>
      </c>
      <c r="W63" s="18" t="str">
        <f ca="1">IFERROR(__xludf.DUMMYFUNCTION("""COMPUTED_VALUE"""),"0x0201")</f>
        <v>0x0201</v>
      </c>
      <c r="X63" s="18" t="str">
        <f ca="1">IFERROR(__xludf.DUMMYFUNCTION("""COMPUTED_VALUE"""),"0x21")</f>
        <v>0x21</v>
      </c>
      <c r="Y63" s="18" t="e">
        <f ca="1"/>
        <v>#NAME?</v>
      </c>
      <c r="Z63" s="18" t="str">
        <f ca="1">IFERROR(__xludf.DUMMYFUNCTION("""COMPUTED_VALUE"""),"N/A")</f>
        <v>N/A</v>
      </c>
      <c r="AA63" s="18" t="str">
        <f ca="1">IFERROR(__xludf.DUMMYFUNCTION("""COMPUTED_VALUE"""),"N/A")</f>
        <v>N/A</v>
      </c>
      <c r="AC63" s="59" t="s">
        <v>816</v>
      </c>
      <c r="AD63" s="59" t="s">
        <v>816</v>
      </c>
      <c r="AE63" s="59" t="s">
        <v>840</v>
      </c>
      <c r="AF63" s="59" t="s">
        <v>841</v>
      </c>
      <c r="AG63" s="59" t="s">
        <v>841</v>
      </c>
      <c r="AH63" s="59" t="s">
        <v>845</v>
      </c>
      <c r="AI63" s="59" t="s">
        <v>845</v>
      </c>
      <c r="AJ63" s="59" t="s">
        <v>845</v>
      </c>
      <c r="AK63" s="59" t="s">
        <v>845</v>
      </c>
      <c r="AL63" s="59" t="s">
        <v>845</v>
      </c>
      <c r="AM63" s="59" t="s">
        <v>845</v>
      </c>
      <c r="AN63" s="59" t="s">
        <v>853</v>
      </c>
      <c r="AO63" s="59" t="s">
        <v>853</v>
      </c>
      <c r="AP63" s="59" t="s">
        <v>854</v>
      </c>
      <c r="AQ63" s="59" t="s">
        <v>855</v>
      </c>
      <c r="AR63" s="59" t="s">
        <v>855</v>
      </c>
      <c r="AS63" s="59" t="s">
        <v>856</v>
      </c>
      <c r="AT63" s="59" t="s">
        <v>856</v>
      </c>
    </row>
    <row r="64" spans="1:46" x14ac:dyDescent="0.25">
      <c r="A64" s="18" t="str">
        <v>heating_tau:{"type":"attribute","data_type":"uint16","is_readonly":false,"reporting_type":"reported","report_max":3600,"report_min":0,"report_threshold":0,"default_value":null,"zigbee_metadata":{"attr_id":61700,"endpoint_id":10,"profile_id":260,"cluster_id":513,"zcl_data_type":33}},</v>
      </c>
      <c r="B64" s="52" t="str">
        <f ca="1"/>
        <v>0x0201 0xF104</v>
      </c>
      <c r="C64" s="52" t="str">
        <f ca="1">IFERROR(__xludf.DUMMYFUNCTION("""COMPUTED_VALUE"""),"heating_tau")</f>
        <v>heating_tau</v>
      </c>
      <c r="D64" s="18" t="str">
        <f ca="1">IFERROR(__xludf.DUMMYFUNCTION("""COMPUTED_VALUE"""),"attribute")</f>
        <v>attribute</v>
      </c>
      <c r="E64" s="18" t="str">
        <f ca="1">IFERROR(__xludf.DUMMYFUNCTION("""COMPUTED_VALUE"""),"uint16")</f>
        <v>uint16</v>
      </c>
      <c r="F64" s="18" t="str">
        <f ca="1">IFERROR(__xludf.DUMMYFUNCTION("""COMPUTED_VALUE"""),"false")</f>
        <v>false</v>
      </c>
      <c r="G64" s="18" t="str">
        <f ca="1">IFERROR(__xludf.DUMMYFUNCTION("""COMPUTED_VALUE"""),"reported")</f>
        <v>reported</v>
      </c>
      <c r="H64" s="18" t="str">
        <f ca="1">IFERROR(__xludf.DUMMYFUNCTION("""COMPUTED_VALUE"""),"N/A")</f>
        <v>N/A</v>
      </c>
      <c r="I64" s="18" t="str">
        <f ca="1">IFERROR(__xludf.DUMMYFUNCTION("""COMPUTED_VALUE"""),"3600")</f>
        <v>3600</v>
      </c>
      <c r="J64" s="18" t="str">
        <f ca="1">IFERROR(__xludf.DUMMYFUNCTION("""COMPUTED_VALUE"""),"0")</f>
        <v>0</v>
      </c>
      <c r="K64" s="18" t="str">
        <f ca="1">IFERROR(__xludf.DUMMYFUNCTION("""COMPUTED_VALUE"""),"0")</f>
        <v>0</v>
      </c>
      <c r="L64" s="18" t="str">
        <f ca="1">IFERROR(__xludf.DUMMYFUNCTION("""COMPUTED_VALUE"""),"N/A")</f>
        <v>N/A</v>
      </c>
      <c r="M64" s="18" t="str">
        <f ca="1">IFERROR(__xludf.DUMMYFUNCTION("""COMPUTED_VALUE"""),"N/A")</f>
        <v>N/A</v>
      </c>
      <c r="N64" s="18" t="str">
        <f ca="1">IFERROR(__xludf.DUMMYFUNCTION("""COMPUTED_VALUE"""),"N/A")</f>
        <v>N/A</v>
      </c>
      <c r="O64" s="18" t="str">
        <f ca="1">IFERROR(__xludf.DUMMYFUNCTION("""COMPUTED_VALUE"""),"N/A")</f>
        <v>N/A</v>
      </c>
      <c r="P64" s="18" t="str">
        <f ca="1">IFERROR(__xludf.DUMMYFUNCTION("""COMPUTED_VALUE"""),"N/A")</f>
        <v>N/A</v>
      </c>
      <c r="Q64" s="18" t="str">
        <f ca="1">IFERROR(__xludf.DUMMYFUNCTION("""COMPUTED_VALUE"""),"N/A")</f>
        <v>N/A</v>
      </c>
      <c r="R64" s="18" t="str">
        <f ca="1">IFERROR(__xludf.DUMMYFUNCTION("""COMPUTED_VALUE"""),"N/A")</f>
        <v>N/A</v>
      </c>
      <c r="S64" s="18" t="str">
        <f ca="1">IFERROR(__xludf.DUMMYFUNCTION("""COMPUTED_VALUE"""),"null")</f>
        <v>null</v>
      </c>
      <c r="T64" s="18" t="str">
        <f ca="1">IFERROR(__xludf.DUMMYFUNCTION("""COMPUTED_VALUE"""),"0xF104")</f>
        <v>0xF104</v>
      </c>
      <c r="U64" s="18" t="str">
        <f ca="1">IFERROR(__xludf.DUMMYFUNCTION("""COMPUTED_VALUE"""),"0x0A")</f>
        <v>0x0A</v>
      </c>
      <c r="V64" s="18" t="str">
        <f ca="1">IFERROR(__xludf.DUMMYFUNCTION("""COMPUTED_VALUE"""),"0x0104")</f>
        <v>0x0104</v>
      </c>
      <c r="W64" s="18" t="str">
        <f ca="1">IFERROR(__xludf.DUMMYFUNCTION("""COMPUTED_VALUE"""),"0x0201")</f>
        <v>0x0201</v>
      </c>
      <c r="X64" s="18" t="str">
        <f ca="1">IFERROR(__xludf.DUMMYFUNCTION("""COMPUTED_VALUE"""),"0x21")</f>
        <v>0x21</v>
      </c>
      <c r="Y64" s="18" t="e">
        <f ca="1"/>
        <v>#NAME?</v>
      </c>
      <c r="Z64" s="18" t="str">
        <f ca="1">IFERROR(__xludf.DUMMYFUNCTION("""COMPUTED_VALUE"""),"N/A")</f>
        <v>N/A</v>
      </c>
      <c r="AA64" s="18" t="str">
        <f ca="1">IFERROR(__xludf.DUMMYFUNCTION("""COMPUTED_VALUE"""),"N/A")</f>
        <v>N/A</v>
      </c>
      <c r="AC64" s="59" t="s">
        <v>820</v>
      </c>
      <c r="AD64" s="59" t="s">
        <v>820</v>
      </c>
      <c r="AE64" s="59" t="s">
        <v>836</v>
      </c>
      <c r="AF64" s="59" t="s">
        <v>845</v>
      </c>
      <c r="AG64" s="59" t="s">
        <v>845</v>
      </c>
      <c r="AH64" s="59" t="s">
        <v>849</v>
      </c>
      <c r="AI64" s="59" t="s">
        <v>849</v>
      </c>
      <c r="AJ64" s="59" t="s">
        <v>849</v>
      </c>
      <c r="AK64" s="59" t="s">
        <v>849</v>
      </c>
      <c r="AL64" s="59" t="s">
        <v>849</v>
      </c>
      <c r="AM64" s="59" t="s">
        <v>849</v>
      </c>
      <c r="AN64" s="59" t="s">
        <v>857</v>
      </c>
      <c r="AO64" s="59" t="s">
        <v>857</v>
      </c>
      <c r="AP64" s="59" t="s">
        <v>858</v>
      </c>
      <c r="AQ64" s="59" t="s">
        <v>839</v>
      </c>
      <c r="AR64" s="59" t="s">
        <v>839</v>
      </c>
      <c r="AS64" s="59" t="s">
        <v>859</v>
      </c>
      <c r="AT64" s="59" t="s">
        <v>859</v>
      </c>
    </row>
    <row r="65" spans="1:46" x14ac:dyDescent="0.25">
      <c r="A65" s="18" t="str">
        <v>heating_final_value:{"type":"attribute","data_type":"float","is_readonly":true,"reporting_type":"reported","report_max":3600,"report_min":0,"report_threshold":0,"zigbee_metadata":{"attr_id":61701,"endpoint_id":10,"profile_id":260,"cluster_id":513,"zcl_data_type":41,"write_formatter":"lambdax:int(round(x,2)*100)","read_formatter":"lambdax:x/100"}},</v>
      </c>
      <c r="B65" s="52" t="str">
        <f ca="1"/>
        <v>0x0201 0xF105</v>
      </c>
      <c r="C65" s="52" t="str">
        <f ca="1">IFERROR(__xludf.DUMMYFUNCTION("""COMPUTED_VALUE"""),"heating_final_value")</f>
        <v>heating_final_value</v>
      </c>
      <c r="D65" s="18" t="str">
        <f ca="1">IFERROR(__xludf.DUMMYFUNCTION("""COMPUTED_VALUE"""),"attribute")</f>
        <v>attribute</v>
      </c>
      <c r="E65" s="18" t="str">
        <f ca="1">IFERROR(__xludf.DUMMYFUNCTION("""COMPUTED_VALUE"""),"float")</f>
        <v>float</v>
      </c>
      <c r="F65" s="18" t="str">
        <f ca="1">IFERROR(__xludf.DUMMYFUNCTION("""COMPUTED_VALUE"""),"true")</f>
        <v>true</v>
      </c>
      <c r="G65" s="18" t="str">
        <f ca="1">IFERROR(__xludf.DUMMYFUNCTION("""COMPUTED_VALUE"""),"reported")</f>
        <v>reported</v>
      </c>
      <c r="H65" s="18" t="str">
        <f ca="1">IFERROR(__xludf.DUMMYFUNCTION("""COMPUTED_VALUE"""),"N/A")</f>
        <v>N/A</v>
      </c>
      <c r="I65" s="18" t="str">
        <f ca="1">IFERROR(__xludf.DUMMYFUNCTION("""COMPUTED_VALUE"""),"3600")</f>
        <v>3600</v>
      </c>
      <c r="J65" s="18" t="str">
        <f ca="1">IFERROR(__xludf.DUMMYFUNCTION("""COMPUTED_VALUE"""),"0")</f>
        <v>0</v>
      </c>
      <c r="K65" s="18" t="str">
        <f ca="1">IFERROR(__xludf.DUMMYFUNCTION("""COMPUTED_VALUE"""),"0")</f>
        <v>0</v>
      </c>
      <c r="L65" s="18" t="str">
        <f ca="1">IFERROR(__xludf.DUMMYFUNCTION("""COMPUTED_VALUE"""),"N/A")</f>
        <v>N/A</v>
      </c>
      <c r="M65" s="18" t="str">
        <f ca="1">IFERROR(__xludf.DUMMYFUNCTION("""COMPUTED_VALUE"""),"N/A")</f>
        <v>N/A</v>
      </c>
      <c r="N65" s="18" t="str">
        <f ca="1">IFERROR(__xludf.DUMMYFUNCTION("""COMPUTED_VALUE"""),"N/A")</f>
        <v>N/A</v>
      </c>
      <c r="O65" s="18" t="str">
        <f ca="1">IFERROR(__xludf.DUMMYFUNCTION("""COMPUTED_VALUE"""),"N/A")</f>
        <v>N/A</v>
      </c>
      <c r="P65" s="18" t="str">
        <f ca="1">IFERROR(__xludf.DUMMYFUNCTION("""COMPUTED_VALUE"""),"N/A")</f>
        <v>N/A</v>
      </c>
      <c r="Q65" s="18" t="str">
        <f ca="1">IFERROR(__xludf.DUMMYFUNCTION("""COMPUTED_VALUE"""),"N/A")</f>
        <v>N/A</v>
      </c>
      <c r="R65" s="18" t="str">
        <f ca="1">IFERROR(__xludf.DUMMYFUNCTION("""COMPUTED_VALUE"""),"N/A")</f>
        <v>N/A</v>
      </c>
      <c r="S65" s="18" t="str">
        <f ca="1">IFERROR(__xludf.DUMMYFUNCTION("""COMPUTED_VALUE"""),"N/A")</f>
        <v>N/A</v>
      </c>
      <c r="T65" s="18" t="str">
        <f ca="1">IFERROR(__xludf.DUMMYFUNCTION("""COMPUTED_VALUE"""),"0xF105")</f>
        <v>0xF105</v>
      </c>
      <c r="U65" s="18" t="str">
        <f ca="1">IFERROR(__xludf.DUMMYFUNCTION("""COMPUTED_VALUE"""),"0x0A")</f>
        <v>0x0A</v>
      </c>
      <c r="V65" s="18" t="str">
        <f ca="1">IFERROR(__xludf.DUMMYFUNCTION("""COMPUTED_VALUE"""),"0x0104")</f>
        <v>0x0104</v>
      </c>
      <c r="W65" s="18" t="str">
        <f ca="1">IFERROR(__xludf.DUMMYFUNCTION("""COMPUTED_VALUE"""),"0x0201")</f>
        <v>0x0201</v>
      </c>
      <c r="X65" s="18" t="str">
        <f ca="1">IFERROR(__xludf.DUMMYFUNCTION("""COMPUTED_VALUE"""),"0x29")</f>
        <v>0x29</v>
      </c>
      <c r="Y65" s="18" t="e">
        <f ca="1"/>
        <v>#NAME?</v>
      </c>
      <c r="Z65" s="18" t="str">
        <f ca="1">IFERROR(__xludf.DUMMYFUNCTION("""COMPUTED_VALUE"""),"lambdax:int(round(x,2)*100)")</f>
        <v>lambdax:int(round(x,2)*100)</v>
      </c>
      <c r="AA65" s="18" t="str">
        <f ca="1">IFERROR(__xludf.DUMMYFUNCTION("""COMPUTED_VALUE"""),"lambdax:x/100")</f>
        <v>lambdax:x/100</v>
      </c>
      <c r="AC65" s="59" t="s">
        <v>823</v>
      </c>
      <c r="AD65" s="59" t="s">
        <v>823</v>
      </c>
      <c r="AE65" s="59" t="s">
        <v>841</v>
      </c>
      <c r="AF65" s="59" t="s">
        <v>849</v>
      </c>
      <c r="AG65" s="59" t="s">
        <v>849</v>
      </c>
      <c r="AH65" s="59" t="s">
        <v>853</v>
      </c>
      <c r="AI65" s="59" t="s">
        <v>853</v>
      </c>
      <c r="AJ65" s="59" t="s">
        <v>853</v>
      </c>
      <c r="AK65" s="59" t="s">
        <v>853</v>
      </c>
      <c r="AL65" s="59" t="s">
        <v>853</v>
      </c>
      <c r="AM65" s="59" t="s">
        <v>853</v>
      </c>
      <c r="AN65" s="59" t="s">
        <v>860</v>
      </c>
      <c r="AO65" s="59" t="s">
        <v>860</v>
      </c>
      <c r="AP65" s="59" t="s">
        <v>861</v>
      </c>
      <c r="AQ65" s="59" t="s">
        <v>844</v>
      </c>
      <c r="AR65" s="59" t="s">
        <v>844</v>
      </c>
      <c r="AS65" s="59" t="s">
        <v>862</v>
      </c>
      <c r="AT65" s="59" t="s">
        <v>862</v>
      </c>
    </row>
    <row r="66" spans="1:46" x14ac:dyDescent="0.25">
      <c r="A66" s="18" t="str">
        <v>cooling_tau:{"type":"attribute","data_type":"uint16","is_readonly":false,"reporting_type":"reported","report_max":3600,"report_min":0,"report_threshold":0,"default_value":null,"zigbee_metadata":{"attr_id":61702,"endpoint_id":10,"profile_id":260,"cluster_id":513,"zcl_data_type":33}},</v>
      </c>
      <c r="B66" s="52" t="str">
        <f ca="1"/>
        <v>0x0201 0xF106</v>
      </c>
      <c r="C66" s="52" t="str">
        <f ca="1">IFERROR(__xludf.DUMMYFUNCTION("""COMPUTED_VALUE"""),"cooling_tau")</f>
        <v>cooling_tau</v>
      </c>
      <c r="D66" s="18" t="str">
        <f ca="1">IFERROR(__xludf.DUMMYFUNCTION("""COMPUTED_VALUE"""),"attribute")</f>
        <v>attribute</v>
      </c>
      <c r="E66" s="18" t="str">
        <f ca="1">IFERROR(__xludf.DUMMYFUNCTION("""COMPUTED_VALUE"""),"uint16")</f>
        <v>uint16</v>
      </c>
      <c r="F66" s="18" t="str">
        <f ca="1">IFERROR(__xludf.DUMMYFUNCTION("""COMPUTED_VALUE"""),"false")</f>
        <v>false</v>
      </c>
      <c r="G66" s="18" t="str">
        <f ca="1">IFERROR(__xludf.DUMMYFUNCTION("""COMPUTED_VALUE"""),"reported")</f>
        <v>reported</v>
      </c>
      <c r="H66" s="18" t="str">
        <f ca="1">IFERROR(__xludf.DUMMYFUNCTION("""COMPUTED_VALUE"""),"N/A")</f>
        <v>N/A</v>
      </c>
      <c r="I66" s="18" t="str">
        <f ca="1">IFERROR(__xludf.DUMMYFUNCTION("""COMPUTED_VALUE"""),"3600")</f>
        <v>3600</v>
      </c>
      <c r="J66" s="18" t="str">
        <f ca="1">IFERROR(__xludf.DUMMYFUNCTION("""COMPUTED_VALUE"""),"0")</f>
        <v>0</v>
      </c>
      <c r="K66" s="18" t="str">
        <f ca="1">IFERROR(__xludf.DUMMYFUNCTION("""COMPUTED_VALUE"""),"0")</f>
        <v>0</v>
      </c>
      <c r="L66" s="18" t="str">
        <f ca="1">IFERROR(__xludf.DUMMYFUNCTION("""COMPUTED_VALUE"""),"N/A")</f>
        <v>N/A</v>
      </c>
      <c r="M66" s="18" t="str">
        <f ca="1">IFERROR(__xludf.DUMMYFUNCTION("""COMPUTED_VALUE"""),"N/A")</f>
        <v>N/A</v>
      </c>
      <c r="N66" s="18" t="str">
        <f ca="1">IFERROR(__xludf.DUMMYFUNCTION("""COMPUTED_VALUE"""),"N/A")</f>
        <v>N/A</v>
      </c>
      <c r="O66" s="18" t="str">
        <f ca="1">IFERROR(__xludf.DUMMYFUNCTION("""COMPUTED_VALUE"""),"N/A")</f>
        <v>N/A</v>
      </c>
      <c r="P66" s="18" t="str">
        <f ca="1">IFERROR(__xludf.DUMMYFUNCTION("""COMPUTED_VALUE"""),"N/A")</f>
        <v>N/A</v>
      </c>
      <c r="Q66" s="18" t="str">
        <f ca="1">IFERROR(__xludf.DUMMYFUNCTION("""COMPUTED_VALUE"""),"N/A")</f>
        <v>N/A</v>
      </c>
      <c r="R66" s="18" t="str">
        <f ca="1">IFERROR(__xludf.DUMMYFUNCTION("""COMPUTED_VALUE"""),"N/A")</f>
        <v>N/A</v>
      </c>
      <c r="S66" s="18" t="str">
        <f ca="1">IFERROR(__xludf.DUMMYFUNCTION("""COMPUTED_VALUE"""),"null")</f>
        <v>null</v>
      </c>
      <c r="T66" s="18" t="str">
        <f ca="1">IFERROR(__xludf.DUMMYFUNCTION("""COMPUTED_VALUE"""),"0xF106")</f>
        <v>0xF106</v>
      </c>
      <c r="U66" s="18" t="str">
        <f ca="1">IFERROR(__xludf.DUMMYFUNCTION("""COMPUTED_VALUE"""),"0x0A")</f>
        <v>0x0A</v>
      </c>
      <c r="V66" s="18" t="str">
        <f ca="1">IFERROR(__xludf.DUMMYFUNCTION("""COMPUTED_VALUE"""),"0x0104")</f>
        <v>0x0104</v>
      </c>
      <c r="W66" s="18" t="str">
        <f ca="1">IFERROR(__xludf.DUMMYFUNCTION("""COMPUTED_VALUE"""),"0x0201")</f>
        <v>0x0201</v>
      </c>
      <c r="X66" s="18" t="str">
        <f ca="1">IFERROR(__xludf.DUMMYFUNCTION("""COMPUTED_VALUE"""),"0x21")</f>
        <v>0x21</v>
      </c>
      <c r="Y66" s="18" t="e">
        <f ca="1"/>
        <v>#NAME?</v>
      </c>
      <c r="Z66" s="18" t="str">
        <f ca="1">IFERROR(__xludf.DUMMYFUNCTION("""COMPUTED_VALUE"""),"N/A")</f>
        <v>N/A</v>
      </c>
      <c r="AA66" s="18" t="str">
        <f ca="1">IFERROR(__xludf.DUMMYFUNCTION("""COMPUTED_VALUE"""),"N/A")</f>
        <v>N/A</v>
      </c>
      <c r="AC66" s="59" t="s">
        <v>826</v>
      </c>
      <c r="AD66" s="59" t="s">
        <v>826</v>
      </c>
      <c r="AE66" s="59" t="s">
        <v>845</v>
      </c>
      <c r="AF66" s="59" t="s">
        <v>853</v>
      </c>
      <c r="AG66" s="59" t="s">
        <v>853</v>
      </c>
      <c r="AH66" s="59" t="s">
        <v>857</v>
      </c>
      <c r="AI66" s="59" t="s">
        <v>857</v>
      </c>
      <c r="AJ66" s="59" t="s">
        <v>857</v>
      </c>
      <c r="AK66" s="59" t="s">
        <v>857</v>
      </c>
      <c r="AL66" s="59" t="s">
        <v>857</v>
      </c>
      <c r="AM66" s="59" t="s">
        <v>857</v>
      </c>
      <c r="AN66" s="59" t="s">
        <v>863</v>
      </c>
      <c r="AO66" s="59" t="s">
        <v>863</v>
      </c>
      <c r="AP66" s="59" t="s">
        <v>864</v>
      </c>
      <c r="AQ66" s="59" t="s">
        <v>848</v>
      </c>
      <c r="AR66" s="59" t="s">
        <v>848</v>
      </c>
      <c r="AS66" s="59" t="s">
        <v>865</v>
      </c>
      <c r="AT66" s="59" t="s">
        <v>865</v>
      </c>
    </row>
    <row r="67" spans="1:46" x14ac:dyDescent="0.25">
      <c r="A67" s="18" t="str">
        <v>cooling_final_value:{"type":"attribute","data_type":"float","is_readonly":true,"reporting_type":"reported","report_max":3600,"report_min":0,"report_threshold":0,"zigbee_metadata":{"attr_id":61703,"endpoint_id":10,"profile_id":260,"cluster_id":513,"zcl_data_type":41,"write_formatter":"lambdax:int(round(x,2)*100)","read_formatter":"lambdax:x/100"}},</v>
      </c>
      <c r="B67" s="52" t="str">
        <f ca="1"/>
        <v>0x0201 0xF107</v>
      </c>
      <c r="C67" s="52" t="str">
        <f ca="1">IFERROR(__xludf.DUMMYFUNCTION("""COMPUTED_VALUE"""),"cooling_final_value")</f>
        <v>cooling_final_value</v>
      </c>
      <c r="D67" s="18" t="str">
        <f ca="1">IFERROR(__xludf.DUMMYFUNCTION("""COMPUTED_VALUE"""),"attribute")</f>
        <v>attribute</v>
      </c>
      <c r="E67" s="18" t="str">
        <f ca="1">IFERROR(__xludf.DUMMYFUNCTION("""COMPUTED_VALUE"""),"float")</f>
        <v>float</v>
      </c>
      <c r="F67" s="18" t="str">
        <f ca="1">IFERROR(__xludf.DUMMYFUNCTION("""COMPUTED_VALUE"""),"true")</f>
        <v>true</v>
      </c>
      <c r="G67" s="18" t="str">
        <f ca="1">IFERROR(__xludf.DUMMYFUNCTION("""COMPUTED_VALUE"""),"reported")</f>
        <v>reported</v>
      </c>
      <c r="H67" s="18" t="str">
        <f ca="1">IFERROR(__xludf.DUMMYFUNCTION("""COMPUTED_VALUE"""),"N/A")</f>
        <v>N/A</v>
      </c>
      <c r="I67" s="18" t="str">
        <f ca="1">IFERROR(__xludf.DUMMYFUNCTION("""COMPUTED_VALUE"""),"3600")</f>
        <v>3600</v>
      </c>
      <c r="J67" s="18" t="str">
        <f ca="1">IFERROR(__xludf.DUMMYFUNCTION("""COMPUTED_VALUE"""),"0")</f>
        <v>0</v>
      </c>
      <c r="K67" s="18" t="str">
        <f ca="1">IFERROR(__xludf.DUMMYFUNCTION("""COMPUTED_VALUE"""),"0")</f>
        <v>0</v>
      </c>
      <c r="L67" s="18" t="str">
        <f ca="1">IFERROR(__xludf.DUMMYFUNCTION("""COMPUTED_VALUE"""),"N/A")</f>
        <v>N/A</v>
      </c>
      <c r="M67" s="18" t="str">
        <f ca="1">IFERROR(__xludf.DUMMYFUNCTION("""COMPUTED_VALUE"""),"N/A")</f>
        <v>N/A</v>
      </c>
      <c r="N67" s="18" t="str">
        <f ca="1">IFERROR(__xludf.DUMMYFUNCTION("""COMPUTED_VALUE"""),"N/A")</f>
        <v>N/A</v>
      </c>
      <c r="O67" s="18" t="str">
        <f ca="1">IFERROR(__xludf.DUMMYFUNCTION("""COMPUTED_VALUE"""),"N/A")</f>
        <v>N/A</v>
      </c>
      <c r="P67" s="18" t="str">
        <f ca="1">IFERROR(__xludf.DUMMYFUNCTION("""COMPUTED_VALUE"""),"N/A")</f>
        <v>N/A</v>
      </c>
      <c r="Q67" s="18" t="str">
        <f ca="1">IFERROR(__xludf.DUMMYFUNCTION("""COMPUTED_VALUE"""),"N/A")</f>
        <v>N/A</v>
      </c>
      <c r="R67" s="18" t="str">
        <f ca="1">IFERROR(__xludf.DUMMYFUNCTION("""COMPUTED_VALUE"""),"N/A")</f>
        <v>N/A</v>
      </c>
      <c r="S67" s="18" t="str">
        <f ca="1">IFERROR(__xludf.DUMMYFUNCTION("""COMPUTED_VALUE"""),"N/A")</f>
        <v>N/A</v>
      </c>
      <c r="T67" s="18" t="str">
        <f ca="1">IFERROR(__xludf.DUMMYFUNCTION("""COMPUTED_VALUE"""),"0xF107")</f>
        <v>0xF107</v>
      </c>
      <c r="U67" s="18" t="str">
        <f ca="1">IFERROR(__xludf.DUMMYFUNCTION("""COMPUTED_VALUE"""),"0x0A")</f>
        <v>0x0A</v>
      </c>
      <c r="V67" s="18" t="str">
        <f ca="1">IFERROR(__xludf.DUMMYFUNCTION("""COMPUTED_VALUE"""),"0x0104")</f>
        <v>0x0104</v>
      </c>
      <c r="W67" s="18" t="str">
        <f ca="1">IFERROR(__xludf.DUMMYFUNCTION("""COMPUTED_VALUE"""),"0x0201")</f>
        <v>0x0201</v>
      </c>
      <c r="X67" s="18" t="str">
        <f ca="1">IFERROR(__xludf.DUMMYFUNCTION("""COMPUTED_VALUE"""),"0x29")</f>
        <v>0x29</v>
      </c>
      <c r="Y67" s="18" t="e">
        <f ca="1"/>
        <v>#NAME?</v>
      </c>
      <c r="Z67" s="18" t="str">
        <f ca="1">IFERROR(__xludf.DUMMYFUNCTION("""COMPUTED_VALUE"""),"lambdax:int(round(x,2)*100)")</f>
        <v>lambdax:int(round(x,2)*100)</v>
      </c>
      <c r="AA67" s="18" t="str">
        <f ca="1">IFERROR(__xludf.DUMMYFUNCTION("""COMPUTED_VALUE"""),"lambdax:x/100")</f>
        <v>lambdax:x/100</v>
      </c>
      <c r="AC67" s="59" t="s">
        <v>829</v>
      </c>
      <c r="AD67" s="59" t="s">
        <v>829</v>
      </c>
      <c r="AE67" s="59" t="s">
        <v>849</v>
      </c>
      <c r="AF67" s="59" t="s">
        <v>857</v>
      </c>
      <c r="AG67" s="59" t="s">
        <v>857</v>
      </c>
      <c r="AH67" s="59" t="s">
        <v>860</v>
      </c>
      <c r="AI67" s="59" t="s">
        <v>860</v>
      </c>
      <c r="AJ67" s="59" t="s">
        <v>860</v>
      </c>
      <c r="AK67" s="59" t="s">
        <v>860</v>
      </c>
      <c r="AL67" s="59" t="s">
        <v>860</v>
      </c>
      <c r="AM67" s="59" t="s">
        <v>860</v>
      </c>
      <c r="AN67" s="59" t="s">
        <v>866</v>
      </c>
      <c r="AO67" s="59" t="s">
        <v>866</v>
      </c>
      <c r="AP67" s="59" t="s">
        <v>867</v>
      </c>
      <c r="AQ67" s="59" t="s">
        <v>852</v>
      </c>
      <c r="AR67" s="59" t="s">
        <v>852</v>
      </c>
      <c r="AS67" s="59" t="s">
        <v>868</v>
      </c>
      <c r="AT67" s="59" t="s">
        <v>868</v>
      </c>
    </row>
    <row r="68" spans="1:46" x14ac:dyDescent="0.25">
      <c r="A68" s="18" t="str">
        <v>savings_in_effect:{"type":"attribute","data_type":"bool","is_readonly":true,"reporting_type":"reported","report_max":3600,"report_min":0,"zigbee_metadata":{"attr_id":61705,"endpoint_id":10,"profile_id":260,"cluster_id":513,"zcl_data_type":16,"read_formatter":"lambdax:bool(x)"}},</v>
      </c>
      <c r="B68" s="52" t="str">
        <f ca="1"/>
        <v>0x0201 0xF109</v>
      </c>
      <c r="C68" s="52" t="str">
        <f ca="1">IFERROR(__xludf.DUMMYFUNCTION("""COMPUTED_VALUE"""),"savings_in_effect")</f>
        <v>savings_in_effect</v>
      </c>
      <c r="D68" s="18" t="str">
        <f ca="1">IFERROR(__xludf.DUMMYFUNCTION("""COMPUTED_VALUE"""),"attribute")</f>
        <v>attribute</v>
      </c>
      <c r="E68" s="18" t="str">
        <f ca="1">IFERROR(__xludf.DUMMYFUNCTION("""COMPUTED_VALUE"""),"bool")</f>
        <v>bool</v>
      </c>
      <c r="F68" s="18" t="str">
        <f ca="1">IFERROR(__xludf.DUMMYFUNCTION("""COMPUTED_VALUE"""),"true")</f>
        <v>true</v>
      </c>
      <c r="G68" s="18" t="str">
        <f ca="1">IFERROR(__xludf.DUMMYFUNCTION("""COMPUTED_VALUE"""),"reported")</f>
        <v>reported</v>
      </c>
      <c r="H68" s="18" t="str">
        <f ca="1">IFERROR(__xludf.DUMMYFUNCTION("""COMPUTED_VALUE"""),"N/A")</f>
        <v>N/A</v>
      </c>
      <c r="I68" s="18" t="str">
        <f ca="1">IFERROR(__xludf.DUMMYFUNCTION("""COMPUTED_VALUE"""),"3600")</f>
        <v>3600</v>
      </c>
      <c r="J68" s="18" t="str">
        <f ca="1">IFERROR(__xludf.DUMMYFUNCTION("""COMPUTED_VALUE"""),"0")</f>
        <v>0</v>
      </c>
      <c r="K68" s="18" t="str">
        <f ca="1">IFERROR(__xludf.DUMMYFUNCTION("""COMPUTED_VALUE"""),"N/A")</f>
        <v>N/A</v>
      </c>
      <c r="L68" s="18" t="str">
        <f ca="1">IFERROR(__xludf.DUMMYFUNCTION("""COMPUTED_VALUE"""),"N/A")</f>
        <v>N/A</v>
      </c>
      <c r="M68" s="18" t="str">
        <f ca="1">IFERROR(__xludf.DUMMYFUNCTION("""COMPUTED_VALUE"""),"N/A")</f>
        <v>N/A</v>
      </c>
      <c r="N68" s="18" t="str">
        <f ca="1">IFERROR(__xludf.DUMMYFUNCTION("""COMPUTED_VALUE"""),"N/A")</f>
        <v>N/A</v>
      </c>
      <c r="O68" s="18" t="str">
        <f ca="1">IFERROR(__xludf.DUMMYFUNCTION("""COMPUTED_VALUE"""),"N/A")</f>
        <v>N/A</v>
      </c>
      <c r="P68" s="18" t="str">
        <f ca="1">IFERROR(__xludf.DUMMYFUNCTION("""COMPUTED_VALUE"""),"N/A")</f>
        <v>N/A</v>
      </c>
      <c r="Q68" s="18" t="str">
        <f ca="1">IFERROR(__xludf.DUMMYFUNCTION("""COMPUTED_VALUE"""),"N/A")</f>
        <v>N/A</v>
      </c>
      <c r="R68" s="18" t="str">
        <f ca="1">IFERROR(__xludf.DUMMYFUNCTION("""COMPUTED_VALUE"""),"N/A")</f>
        <v>N/A</v>
      </c>
      <c r="S68" s="18" t="str">
        <f ca="1">IFERROR(__xludf.DUMMYFUNCTION("""COMPUTED_VALUE"""),"N/A")</f>
        <v>N/A</v>
      </c>
      <c r="T68" s="18" t="str">
        <f ca="1">IFERROR(__xludf.DUMMYFUNCTION("""COMPUTED_VALUE"""),"0xF109")</f>
        <v>0xF109</v>
      </c>
      <c r="U68" s="18" t="str">
        <f ca="1">IFERROR(__xludf.DUMMYFUNCTION("""COMPUTED_VALUE"""),"0x0A")</f>
        <v>0x0A</v>
      </c>
      <c r="V68" s="18" t="str">
        <f ca="1">IFERROR(__xludf.DUMMYFUNCTION("""COMPUTED_VALUE"""),"0x0104")</f>
        <v>0x0104</v>
      </c>
      <c r="W68" s="18" t="str">
        <f ca="1">IFERROR(__xludf.DUMMYFUNCTION("""COMPUTED_VALUE"""),"0x0201")</f>
        <v>0x0201</v>
      </c>
      <c r="X68" s="18" t="str">
        <f ca="1">IFERROR(__xludf.DUMMYFUNCTION("""COMPUTED_VALUE"""),"0x10")</f>
        <v>0x10</v>
      </c>
      <c r="Y68" s="18" t="e">
        <f ca="1"/>
        <v>#NAME?</v>
      </c>
      <c r="Z68" s="18" t="str">
        <f ca="1">IFERROR(__xludf.DUMMYFUNCTION("""COMPUTED_VALUE"""),"N/A")</f>
        <v>N/A</v>
      </c>
      <c r="AA68" s="18" t="str">
        <f ca="1">IFERROR(__xludf.DUMMYFUNCTION("""COMPUTED_VALUE"""),"lambdax:bool(x)")</f>
        <v>lambdax:bool(x)</v>
      </c>
      <c r="AC68" s="59" t="s">
        <v>832</v>
      </c>
      <c r="AD68" s="59" t="s">
        <v>832</v>
      </c>
      <c r="AE68" s="59" t="s">
        <v>853</v>
      </c>
      <c r="AF68" s="59" t="s">
        <v>860</v>
      </c>
      <c r="AG68" s="59" t="s">
        <v>860</v>
      </c>
      <c r="AH68" s="59" t="s">
        <v>863</v>
      </c>
      <c r="AI68" s="59" t="s">
        <v>863</v>
      </c>
      <c r="AJ68" s="59" t="s">
        <v>863</v>
      </c>
      <c r="AK68" s="59" t="s">
        <v>863</v>
      </c>
      <c r="AL68" s="59" t="s">
        <v>863</v>
      </c>
      <c r="AM68" s="59" t="s">
        <v>863</v>
      </c>
      <c r="AN68" s="59" t="s">
        <v>869</v>
      </c>
      <c r="AO68" s="59" t="s">
        <v>869</v>
      </c>
      <c r="AP68" s="59" t="s">
        <v>870</v>
      </c>
      <c r="AQ68" s="59" t="s">
        <v>856</v>
      </c>
      <c r="AR68" s="59" t="s">
        <v>856</v>
      </c>
      <c r="AS68" s="59" t="s">
        <v>871</v>
      </c>
      <c r="AT68" s="59" t="s">
        <v>871</v>
      </c>
    </row>
    <row r="69" spans="1:46" x14ac:dyDescent="0.25">
      <c r="A69" s="18" t="str">
        <v>motion_sensor_contacts:{"type":"telemetry","data_type":"uint8","is_readonly":true,"reporting_type":"polled","poll_freq":86400,"zigbee_metadata":{"attr_id":61706,"endpoint_id":10,"profile_id":260,"cluster_id":513,"zcl_data_type":24}},</v>
      </c>
      <c r="B69" s="52" t="str">
        <f ca="1"/>
        <v>0x0201 0xF10A</v>
      </c>
      <c r="C69" s="52" t="str">
        <f ca="1">IFERROR(__xludf.DUMMYFUNCTION("""COMPUTED_VALUE"""),"motion_sensor_contacts")</f>
        <v>motion_sensor_contacts</v>
      </c>
      <c r="D69" s="18" t="str">
        <f ca="1">IFERROR(__xludf.DUMMYFUNCTION("""COMPUTED_VALUE"""),"telemetry")</f>
        <v>telemetry</v>
      </c>
      <c r="E69" s="18" t="str">
        <f ca="1">IFERROR(__xludf.DUMMYFUNCTION("""COMPUTED_VALUE"""),"uint8")</f>
        <v>uint8</v>
      </c>
      <c r="F69" s="18" t="str">
        <f ca="1">IFERROR(__xludf.DUMMYFUNCTION("""COMPUTED_VALUE"""),"true")</f>
        <v>true</v>
      </c>
      <c r="G69" s="18" t="str">
        <f ca="1">IFERROR(__xludf.DUMMYFUNCTION("""COMPUTED_VALUE"""),"polled")</f>
        <v>polled</v>
      </c>
      <c r="H69" s="18" t="str">
        <f ca="1">IFERROR(__xludf.DUMMYFUNCTION("""COMPUTED_VALUE"""),"86400")</f>
        <v>86400</v>
      </c>
      <c r="I69" s="18" t="str">
        <f ca="1">IFERROR(__xludf.DUMMYFUNCTION("""COMPUTED_VALUE"""),"N/A")</f>
        <v>N/A</v>
      </c>
      <c r="J69" s="18" t="str">
        <f ca="1">IFERROR(__xludf.DUMMYFUNCTION("""COMPUTED_VALUE"""),"N/A")</f>
        <v>N/A</v>
      </c>
      <c r="K69" s="18" t="str">
        <f ca="1">IFERROR(__xludf.DUMMYFUNCTION("""COMPUTED_VALUE"""),"N/A")</f>
        <v>N/A</v>
      </c>
      <c r="L69" s="18" t="str">
        <f ca="1">IFERROR(__xludf.DUMMYFUNCTION("""COMPUTED_VALUE"""),"N/A")</f>
        <v>N/A</v>
      </c>
      <c r="M69" s="18" t="str">
        <f ca="1">IFERROR(__xludf.DUMMYFUNCTION("""COMPUTED_VALUE"""),"N/A")</f>
        <v>N/A</v>
      </c>
      <c r="N69" s="18" t="str">
        <f ca="1">IFERROR(__xludf.DUMMYFUNCTION("""COMPUTED_VALUE"""),"N/A")</f>
        <v>N/A</v>
      </c>
      <c r="O69" s="18" t="str">
        <f ca="1">IFERROR(__xludf.DUMMYFUNCTION("""COMPUTED_VALUE"""),"N/A")</f>
        <v>N/A</v>
      </c>
      <c r="P69" s="18" t="str">
        <f ca="1">IFERROR(__xludf.DUMMYFUNCTION("""COMPUTED_VALUE"""),"N/A")</f>
        <v>N/A</v>
      </c>
      <c r="Q69" s="18" t="str">
        <f ca="1">IFERROR(__xludf.DUMMYFUNCTION("""COMPUTED_VALUE"""),"N/A")</f>
        <v>N/A</v>
      </c>
      <c r="R69" s="18" t="str">
        <f ca="1">IFERROR(__xludf.DUMMYFUNCTION("""COMPUTED_VALUE"""),"N/A")</f>
        <v>N/A</v>
      </c>
      <c r="S69" s="18" t="str">
        <f ca="1">IFERROR(__xludf.DUMMYFUNCTION("""COMPUTED_VALUE"""),"N/A")</f>
        <v>N/A</v>
      </c>
      <c r="T69" s="18" t="str">
        <f ca="1">IFERROR(__xludf.DUMMYFUNCTION("""COMPUTED_VALUE"""),"0xF10A")</f>
        <v>0xF10A</v>
      </c>
      <c r="U69" s="18" t="str">
        <f ca="1">IFERROR(__xludf.DUMMYFUNCTION("""COMPUTED_VALUE"""),"0x0A")</f>
        <v>0x0A</v>
      </c>
      <c r="V69" s="18" t="str">
        <f ca="1">IFERROR(__xludf.DUMMYFUNCTION("""COMPUTED_VALUE"""),"0x0104")</f>
        <v>0x0104</v>
      </c>
      <c r="W69" s="18" t="str">
        <f ca="1">IFERROR(__xludf.DUMMYFUNCTION("""COMPUTED_VALUE"""),"0x0201")</f>
        <v>0x0201</v>
      </c>
      <c r="X69" s="18" t="str">
        <f ca="1">IFERROR(__xludf.DUMMYFUNCTION("""COMPUTED_VALUE"""),"0x18")</f>
        <v>0x18</v>
      </c>
      <c r="Y69" s="18" t="e">
        <f ca="1"/>
        <v>#NAME?</v>
      </c>
      <c r="Z69" s="18" t="str">
        <f ca="1">IFERROR(__xludf.DUMMYFUNCTION("""COMPUTED_VALUE"""),"N/A")</f>
        <v>N/A</v>
      </c>
      <c r="AA69" s="18" t="str">
        <f ca="1">IFERROR(__xludf.DUMMYFUNCTION("""COMPUTED_VALUE"""),"N/A")</f>
        <v>N/A</v>
      </c>
      <c r="AC69" s="59" t="s">
        <v>835</v>
      </c>
      <c r="AD69" s="59" t="s">
        <v>835</v>
      </c>
      <c r="AE69" s="59" t="s">
        <v>857</v>
      </c>
      <c r="AF69" s="59" t="s">
        <v>863</v>
      </c>
      <c r="AG69" s="59" t="s">
        <v>863</v>
      </c>
      <c r="AH69" s="59" t="s">
        <v>866</v>
      </c>
      <c r="AI69" s="59" t="s">
        <v>866</v>
      </c>
      <c r="AJ69" s="59" t="s">
        <v>866</v>
      </c>
      <c r="AK69" s="59" t="s">
        <v>866</v>
      </c>
      <c r="AL69" s="59" t="s">
        <v>866</v>
      </c>
      <c r="AM69" s="59" t="s">
        <v>866</v>
      </c>
      <c r="AN69" s="59" t="s">
        <v>872</v>
      </c>
      <c r="AO69" s="59" t="s">
        <v>872</v>
      </c>
      <c r="AP69" s="59" t="s">
        <v>873</v>
      </c>
      <c r="AQ69" s="59" t="s">
        <v>859</v>
      </c>
      <c r="AR69" s="59" t="s">
        <v>859</v>
      </c>
      <c r="AS69" s="59" t="s">
        <v>874</v>
      </c>
      <c r="AT69" s="59" t="s">
        <v>874</v>
      </c>
    </row>
    <row r="70" spans="1:46" x14ac:dyDescent="0.25">
      <c r="A70" s="18" t="str">
        <v>motion_sensor_contacts_active:{"type":"telemetry","data_type":"uint8","is_readonly":true,"reporting_type":"polled","poll_freq":86400,"zigbee_metadata":{"attr_id":61707,"endpoint_id":10,"profile_id":260,"cluster_id":513,"zcl_data_type":24}},</v>
      </c>
      <c r="B70" s="52" t="str">
        <f ca="1"/>
        <v>0x0201 0xF10B</v>
      </c>
      <c r="C70" s="52" t="str">
        <f ca="1">IFERROR(__xludf.DUMMYFUNCTION("""COMPUTED_VALUE"""),"motion_sensor_contacts_active")</f>
        <v>motion_sensor_contacts_active</v>
      </c>
      <c r="D70" s="18" t="str">
        <f ca="1">IFERROR(__xludf.DUMMYFUNCTION("""COMPUTED_VALUE"""),"telemetry")</f>
        <v>telemetry</v>
      </c>
      <c r="E70" s="18" t="str">
        <f ca="1">IFERROR(__xludf.DUMMYFUNCTION("""COMPUTED_VALUE"""),"uint8")</f>
        <v>uint8</v>
      </c>
      <c r="F70" s="18" t="str">
        <f ca="1">IFERROR(__xludf.DUMMYFUNCTION("""COMPUTED_VALUE"""),"true")</f>
        <v>true</v>
      </c>
      <c r="G70" s="18" t="str">
        <f ca="1">IFERROR(__xludf.DUMMYFUNCTION("""COMPUTED_VALUE"""),"polled")</f>
        <v>polled</v>
      </c>
      <c r="H70" s="18" t="str">
        <f ca="1">IFERROR(__xludf.DUMMYFUNCTION("""COMPUTED_VALUE"""),"86400")</f>
        <v>86400</v>
      </c>
      <c r="I70" s="18" t="str">
        <f ca="1">IFERROR(__xludf.DUMMYFUNCTION("""COMPUTED_VALUE"""),"N/A")</f>
        <v>N/A</v>
      </c>
      <c r="J70" s="18" t="str">
        <f ca="1">IFERROR(__xludf.DUMMYFUNCTION("""COMPUTED_VALUE"""),"N/A")</f>
        <v>N/A</v>
      </c>
      <c r="K70" s="18" t="str">
        <f ca="1">IFERROR(__xludf.DUMMYFUNCTION("""COMPUTED_VALUE"""),"N/A")</f>
        <v>N/A</v>
      </c>
      <c r="L70" s="18" t="str">
        <f ca="1">IFERROR(__xludf.DUMMYFUNCTION("""COMPUTED_VALUE"""),"N/A")</f>
        <v>N/A</v>
      </c>
      <c r="M70" s="18" t="str">
        <f ca="1">IFERROR(__xludf.DUMMYFUNCTION("""COMPUTED_VALUE"""),"N/A")</f>
        <v>N/A</v>
      </c>
      <c r="N70" s="18" t="str">
        <f ca="1">IFERROR(__xludf.DUMMYFUNCTION("""COMPUTED_VALUE"""),"N/A")</f>
        <v>N/A</v>
      </c>
      <c r="O70" s="18" t="str">
        <f ca="1">IFERROR(__xludf.DUMMYFUNCTION("""COMPUTED_VALUE"""),"N/A")</f>
        <v>N/A</v>
      </c>
      <c r="P70" s="18" t="str">
        <f ca="1">IFERROR(__xludf.DUMMYFUNCTION("""COMPUTED_VALUE"""),"N/A")</f>
        <v>N/A</v>
      </c>
      <c r="Q70" s="18" t="str">
        <f ca="1">IFERROR(__xludf.DUMMYFUNCTION("""COMPUTED_VALUE"""),"N/A")</f>
        <v>N/A</v>
      </c>
      <c r="R70" s="18" t="str">
        <f ca="1">IFERROR(__xludf.DUMMYFUNCTION("""COMPUTED_VALUE"""),"N/A")</f>
        <v>N/A</v>
      </c>
      <c r="S70" s="18" t="str">
        <f ca="1">IFERROR(__xludf.DUMMYFUNCTION("""COMPUTED_VALUE"""),"N/A")</f>
        <v>N/A</v>
      </c>
      <c r="T70" s="18" t="str">
        <f ca="1">IFERROR(__xludf.DUMMYFUNCTION("""COMPUTED_VALUE"""),"0xF10B")</f>
        <v>0xF10B</v>
      </c>
      <c r="U70" s="18" t="str">
        <f ca="1">IFERROR(__xludf.DUMMYFUNCTION("""COMPUTED_VALUE"""),"0x0A")</f>
        <v>0x0A</v>
      </c>
      <c r="V70" s="18" t="str">
        <f ca="1">IFERROR(__xludf.DUMMYFUNCTION("""COMPUTED_VALUE"""),"0x0104")</f>
        <v>0x0104</v>
      </c>
      <c r="W70" s="18" t="str">
        <f ca="1">IFERROR(__xludf.DUMMYFUNCTION("""COMPUTED_VALUE"""),"0x0201")</f>
        <v>0x0201</v>
      </c>
      <c r="X70" s="18" t="str">
        <f ca="1">IFERROR(__xludf.DUMMYFUNCTION("""COMPUTED_VALUE"""),"0x18")</f>
        <v>0x18</v>
      </c>
      <c r="Y70" s="18" t="e">
        <f ca="1"/>
        <v>#NAME?</v>
      </c>
      <c r="Z70" s="18" t="str">
        <f ca="1">IFERROR(__xludf.DUMMYFUNCTION("""COMPUTED_VALUE"""),"N/A")</f>
        <v>N/A</v>
      </c>
      <c r="AA70" s="18" t="str">
        <f ca="1">IFERROR(__xludf.DUMMYFUNCTION("""COMPUTED_VALUE"""),"N/A")</f>
        <v>N/A</v>
      </c>
      <c r="AC70" s="59" t="s">
        <v>840</v>
      </c>
      <c r="AD70" s="59" t="s">
        <v>840</v>
      </c>
      <c r="AE70" s="59" t="s">
        <v>860</v>
      </c>
      <c r="AF70" s="59" t="s">
        <v>866</v>
      </c>
      <c r="AG70" s="59" t="s">
        <v>866</v>
      </c>
      <c r="AH70" s="59" t="s">
        <v>869</v>
      </c>
      <c r="AI70" s="59" t="s">
        <v>869</v>
      </c>
      <c r="AJ70" s="59" t="s">
        <v>869</v>
      </c>
      <c r="AK70" s="59" t="s">
        <v>869</v>
      </c>
      <c r="AL70" s="59" t="s">
        <v>869</v>
      </c>
      <c r="AM70" s="59" t="s">
        <v>869</v>
      </c>
      <c r="AN70" s="59" t="s">
        <v>875</v>
      </c>
      <c r="AO70" s="59" t="s">
        <v>875</v>
      </c>
      <c r="AP70" s="59" t="s">
        <v>876</v>
      </c>
      <c r="AQ70" s="59" t="s">
        <v>862</v>
      </c>
      <c r="AR70" s="59" t="s">
        <v>862</v>
      </c>
      <c r="AS70" s="59" t="s">
        <v>877</v>
      </c>
      <c r="AT70" s="59" t="s">
        <v>877</v>
      </c>
    </row>
    <row r="71" spans="1:46" x14ac:dyDescent="0.25">
      <c r="A71" s="18" t="str">
        <v>thermo_speed_override:{"type":"attribute","data_type":"enum","is_readonly":false,"reporting_type":"diagnostic","enum_values":["normal","low","medium","high"],"default_value":null,"zigbee_metadata":{"attr_id":61514,"endpoint_id":10,"profile_id":260,"cluster_id":513,"zcl_data_type":48,"write_formatter":"lambdax:{'normal':0,'low':1,'medium':2,'high':3}[x]","read_formatter":"lambdax:{0:'normal',1:'low',2:'medium',3:'high'}.get(x,'unknown')"}},</v>
      </c>
      <c r="B71" s="52" t="str">
        <f ca="1"/>
        <v>0x0201 0xF04A</v>
      </c>
      <c r="C71" s="52" t="str">
        <f ca="1">IFERROR(__xludf.DUMMYFUNCTION("""COMPUTED_VALUE"""),"thermo_speed_override")</f>
        <v>thermo_speed_override</v>
      </c>
      <c r="D71" s="18" t="str">
        <f ca="1">IFERROR(__xludf.DUMMYFUNCTION("""COMPUTED_VALUE"""),"attribute")</f>
        <v>attribute</v>
      </c>
      <c r="E71" s="18" t="str">
        <f ca="1">IFERROR(__xludf.DUMMYFUNCTION("""COMPUTED_VALUE"""),"enum")</f>
        <v>enum</v>
      </c>
      <c r="F71" s="18" t="str">
        <f ca="1">IFERROR(__xludf.DUMMYFUNCTION("""COMPUTED_VALUE"""),"false")</f>
        <v>false</v>
      </c>
      <c r="G71" s="18" t="str">
        <f ca="1">IFERROR(__xludf.DUMMYFUNCTION("""COMPUTED_VALUE"""),"diagnostic")</f>
        <v>diagnostic</v>
      </c>
      <c r="H71" s="18" t="str">
        <f ca="1">IFERROR(__xludf.DUMMYFUNCTION("""COMPUTED_VALUE"""),"N/A")</f>
        <v>N/A</v>
      </c>
      <c r="I71" s="18" t="str">
        <f ca="1">IFERROR(__xludf.DUMMYFUNCTION("""COMPUTED_VALUE"""),"N/A")</f>
        <v>N/A</v>
      </c>
      <c r="J71" s="18" t="str">
        <f ca="1">IFERROR(__xludf.DUMMYFUNCTION("""COMPUTED_VALUE"""),"N/A")</f>
        <v>N/A</v>
      </c>
      <c r="K71" s="18" t="str">
        <f ca="1">IFERROR(__xludf.DUMMYFUNCTION("""COMPUTED_VALUE"""),"N/A")</f>
        <v>N/A</v>
      </c>
      <c r="L71" s="18" t="str">
        <f ca="1">IFERROR(__xludf.DUMMYFUNCTION("""COMPUTED_VALUE"""),"N/A")</f>
        <v>N/A</v>
      </c>
      <c r="M71" s="18" t="str">
        <f ca="1">IFERROR(__xludf.DUMMYFUNCTION("""COMPUTED_VALUE"""),"N/A")</f>
        <v>N/A</v>
      </c>
      <c r="N71" s="18" t="str">
        <f ca="1">IFERROR(__xludf.DUMMYFUNCTION("""COMPUTED_VALUE"""),"N/A")</f>
        <v>N/A</v>
      </c>
      <c r="O71" s="18" t="str">
        <f ca="1">IFERROR(__xludf.DUMMYFUNCTION("""COMPUTED_VALUE"""),"N/A")</f>
        <v>N/A</v>
      </c>
      <c r="P71" s="18" t="str">
        <f ca="1">IFERROR(__xludf.DUMMYFUNCTION("""COMPUTED_VALUE"""),"""normal"",""low"",""medium"",""high""")</f>
        <v>"normal","low","medium","high"</v>
      </c>
      <c r="Q71" s="18" t="str">
        <f ca="1">IFERROR(__xludf.DUMMYFUNCTION("""COMPUTED_VALUE"""),"N/A")</f>
        <v>N/A</v>
      </c>
      <c r="R71" s="18" t="str">
        <f ca="1">IFERROR(__xludf.DUMMYFUNCTION("""COMPUTED_VALUE"""),"N/A")</f>
        <v>N/A</v>
      </c>
      <c r="S71" s="18" t="str">
        <f ca="1">IFERROR(__xludf.DUMMYFUNCTION("""COMPUTED_VALUE"""),"null")</f>
        <v>null</v>
      </c>
      <c r="T71" s="18" t="str">
        <f ca="1">IFERROR(__xludf.DUMMYFUNCTION("""COMPUTED_VALUE"""),"0xF04A")</f>
        <v>0xF04A</v>
      </c>
      <c r="U71" s="18" t="str">
        <f ca="1">IFERROR(__xludf.DUMMYFUNCTION("""COMPUTED_VALUE"""),"0x0A")</f>
        <v>0x0A</v>
      </c>
      <c r="V71" s="18" t="str">
        <f ca="1">IFERROR(__xludf.DUMMYFUNCTION("""COMPUTED_VALUE"""),"0x0104")</f>
        <v>0x0104</v>
      </c>
      <c r="W71" s="18" t="str">
        <f ca="1">IFERROR(__xludf.DUMMYFUNCTION("""COMPUTED_VALUE"""),"0x0201")</f>
        <v>0x0201</v>
      </c>
      <c r="X71" s="18" t="str">
        <f ca="1">IFERROR(__xludf.DUMMYFUNCTION("""COMPUTED_VALUE"""),"0x30")</f>
        <v>0x30</v>
      </c>
      <c r="Y71" s="18" t="e">
        <f ca="1"/>
        <v>#NAME?</v>
      </c>
      <c r="Z71" s="18" t="str">
        <f ca="1">IFERROR(__xludf.DUMMYFUNCTION("""COMPUTED_VALUE"""),"lambdax:{'normal':0,'low':1,'medium':2,'high':3}[x]")</f>
        <v>lambdax:{'normal':0,'low':1,'medium':2,'high':3}[x]</v>
      </c>
      <c r="AA71" s="18" t="str">
        <f ca="1">IFERROR(__xludf.DUMMYFUNCTION("""COMPUTED_VALUE"""),"lambdax:{0:'normal',1:'low',2:'medium',3:'high'}.get(x,'unknown')")</f>
        <v>lambdax:{0:'normal',1:'low',2:'medium',3:'high'}.get(x,'unknown')</v>
      </c>
      <c r="AC71" s="59" t="s">
        <v>836</v>
      </c>
      <c r="AD71" s="59" t="s">
        <v>836</v>
      </c>
      <c r="AE71" s="59" t="s">
        <v>863</v>
      </c>
      <c r="AF71" s="59" t="s">
        <v>869</v>
      </c>
      <c r="AG71" s="59" t="s">
        <v>869</v>
      </c>
      <c r="AH71" s="59" t="s">
        <v>872</v>
      </c>
      <c r="AI71" s="59" t="s">
        <v>872</v>
      </c>
      <c r="AJ71" s="59" t="s">
        <v>872</v>
      </c>
      <c r="AK71" s="59" t="s">
        <v>872</v>
      </c>
      <c r="AL71" s="59" t="s">
        <v>872</v>
      </c>
      <c r="AM71" s="59" t="s">
        <v>872</v>
      </c>
      <c r="AN71" s="59" t="s">
        <v>878</v>
      </c>
      <c r="AO71" s="59" t="s">
        <v>878</v>
      </c>
      <c r="AP71" s="59" t="s">
        <v>879</v>
      </c>
      <c r="AQ71" s="59" t="s">
        <v>865</v>
      </c>
      <c r="AR71" s="59" t="s">
        <v>865</v>
      </c>
      <c r="AS71" s="59" t="s">
        <v>880</v>
      </c>
      <c r="AT71" s="59" t="s">
        <v>880</v>
      </c>
    </row>
    <row r="72" spans="1:46" x14ac:dyDescent="0.25">
      <c r="A72" s="18" t="str">
        <v>force_deep_setback_mode:{"type":"attribute","data_type":"bool","is_readonly":false,"reporting_type":"reported","report_max":3600,"report_min":0,"default_value":null,"zigbee_metadata":{"attr_id":61670,"endpoint_id":10,"profile_id":260,"cluster_id":513,"zcl_data_type":16,"read_formatter":"lambdax:bool(x)","write_formatter":"lambdax:int(x)"}},</v>
      </c>
      <c r="B72" s="52" t="str">
        <f ca="1"/>
        <v>0x0201 0xF0E6</v>
      </c>
      <c r="C72" s="52" t="str">
        <f ca="1">IFERROR(__xludf.DUMMYFUNCTION("""COMPUTED_VALUE"""),"force_deep_setback_mode")</f>
        <v>force_deep_setback_mode</v>
      </c>
      <c r="D72" s="18" t="str">
        <f ca="1">IFERROR(__xludf.DUMMYFUNCTION("""COMPUTED_VALUE"""),"attribute")</f>
        <v>attribute</v>
      </c>
      <c r="E72" s="18" t="str">
        <f ca="1">IFERROR(__xludf.DUMMYFUNCTION("""COMPUTED_VALUE"""),"bool")</f>
        <v>bool</v>
      </c>
      <c r="F72" s="18" t="str">
        <f ca="1">IFERROR(__xludf.DUMMYFUNCTION("""COMPUTED_VALUE"""),"false")</f>
        <v>false</v>
      </c>
      <c r="G72" s="18" t="str">
        <f ca="1">IFERROR(__xludf.DUMMYFUNCTION("""COMPUTED_VALUE"""),"reported")</f>
        <v>reported</v>
      </c>
      <c r="H72" s="18" t="str">
        <f ca="1">IFERROR(__xludf.DUMMYFUNCTION("""COMPUTED_VALUE"""),"N/A")</f>
        <v>N/A</v>
      </c>
      <c r="I72" s="18" t="str">
        <f ca="1">IFERROR(__xludf.DUMMYFUNCTION("""COMPUTED_VALUE"""),"3600")</f>
        <v>3600</v>
      </c>
      <c r="J72" s="18" t="str">
        <f ca="1">IFERROR(__xludf.DUMMYFUNCTION("""COMPUTED_VALUE"""),"0")</f>
        <v>0</v>
      </c>
      <c r="K72" s="18" t="str">
        <f ca="1">IFERROR(__xludf.DUMMYFUNCTION("""COMPUTED_VALUE"""),"N/A")</f>
        <v>N/A</v>
      </c>
      <c r="L72" s="18" t="str">
        <f ca="1">IFERROR(__xludf.DUMMYFUNCTION("""COMPUTED_VALUE"""),"N/A")</f>
        <v>N/A</v>
      </c>
      <c r="M72" s="18" t="str">
        <f ca="1">IFERROR(__xludf.DUMMYFUNCTION("""COMPUTED_VALUE"""),"N/A")</f>
        <v>N/A</v>
      </c>
      <c r="N72" s="18" t="str">
        <f ca="1">IFERROR(__xludf.DUMMYFUNCTION("""COMPUTED_VALUE"""),"N/A")</f>
        <v>N/A</v>
      </c>
      <c r="O72" s="18" t="str">
        <f ca="1">IFERROR(__xludf.DUMMYFUNCTION("""COMPUTED_VALUE"""),"N/A")</f>
        <v>N/A</v>
      </c>
      <c r="P72" s="18" t="str">
        <f ca="1">IFERROR(__xludf.DUMMYFUNCTION("""COMPUTED_VALUE"""),"N/A")</f>
        <v>N/A</v>
      </c>
      <c r="Q72" s="18" t="str">
        <f ca="1">IFERROR(__xludf.DUMMYFUNCTION("""COMPUTED_VALUE"""),"N/A")</f>
        <v>N/A</v>
      </c>
      <c r="R72" s="18" t="str">
        <f ca="1">IFERROR(__xludf.DUMMYFUNCTION("""COMPUTED_VALUE"""),"N/A")</f>
        <v>N/A</v>
      </c>
      <c r="S72" s="18" t="str">
        <f ca="1">IFERROR(__xludf.DUMMYFUNCTION("""COMPUTED_VALUE"""),"null")</f>
        <v>null</v>
      </c>
      <c r="T72" s="18" t="str">
        <f ca="1">IFERROR(__xludf.DUMMYFUNCTION("""COMPUTED_VALUE"""),"0xF0E6")</f>
        <v>0xF0E6</v>
      </c>
      <c r="U72" s="18" t="str">
        <f ca="1">IFERROR(__xludf.DUMMYFUNCTION("""COMPUTED_VALUE"""),"0x0A")</f>
        <v>0x0A</v>
      </c>
      <c r="V72" s="18" t="str">
        <f ca="1">IFERROR(__xludf.DUMMYFUNCTION("""COMPUTED_VALUE"""),"0x0104")</f>
        <v>0x0104</v>
      </c>
      <c r="W72" s="18" t="str">
        <f ca="1">IFERROR(__xludf.DUMMYFUNCTION("""COMPUTED_VALUE"""),"0x0201")</f>
        <v>0x0201</v>
      </c>
      <c r="X72" s="18" t="str">
        <f ca="1">IFERROR(__xludf.DUMMYFUNCTION("""COMPUTED_VALUE"""),"0x10")</f>
        <v>0x10</v>
      </c>
      <c r="Y72" s="18" t="e">
        <f ca="1"/>
        <v>#NAME?</v>
      </c>
      <c r="Z72" s="18" t="str">
        <f ca="1">IFERROR(__xludf.DUMMYFUNCTION("""COMPUTED_VALUE"""),"lambdax:int(x)")</f>
        <v>lambdax:int(x)</v>
      </c>
      <c r="AA72" s="18" t="str">
        <f ca="1">IFERROR(__xludf.DUMMYFUNCTION("""COMPUTED_VALUE"""),"lambdax:bool(x)")</f>
        <v>lambdax:bool(x)</v>
      </c>
      <c r="AC72" s="59" t="s">
        <v>841</v>
      </c>
      <c r="AD72" s="59" t="s">
        <v>841</v>
      </c>
      <c r="AE72" s="59" t="s">
        <v>866</v>
      </c>
      <c r="AF72" s="59" t="s">
        <v>872</v>
      </c>
      <c r="AG72" s="59" t="s">
        <v>872</v>
      </c>
      <c r="AH72" s="59" t="s">
        <v>875</v>
      </c>
      <c r="AI72" s="59" t="s">
        <v>875</v>
      </c>
      <c r="AJ72" s="59" t="s">
        <v>875</v>
      </c>
      <c r="AK72" s="59" t="s">
        <v>875</v>
      </c>
      <c r="AL72" s="59" t="s">
        <v>875</v>
      </c>
      <c r="AM72" s="59" t="s">
        <v>875</v>
      </c>
      <c r="AN72" s="59" t="s">
        <v>881</v>
      </c>
      <c r="AO72" s="59" t="s">
        <v>881</v>
      </c>
      <c r="AP72" s="59" t="s">
        <v>882</v>
      </c>
      <c r="AQ72" s="59" t="s">
        <v>868</v>
      </c>
      <c r="AR72" s="59" t="s">
        <v>868</v>
      </c>
      <c r="AS72" s="59" t="s">
        <v>883</v>
      </c>
      <c r="AT72" s="59" t="s">
        <v>883</v>
      </c>
    </row>
    <row r="73" spans="1:46" x14ac:dyDescent="0.25">
      <c r="A73" s="18" t="str">
        <v>dehumidification_stage:{"type":"telemetry","data_type":"enum","is_readonly":true,"reporting_type":"reported","report_max":3600,"report_min":0,"enum_values":["off","overdrive","stage_1","stage_2"],"zigbee_metadata":{"attr_id":61558,"endpoint_id":10,"profile_id":260,"cluster_id":513,"zcl_data_type":48,"read_formatter":"lambdax:{0:'off',1:'overdrive',2:'stage_1',3:'stage_2'}.get(x,'unknown')"}},</v>
      </c>
      <c r="B73" s="52" t="str">
        <f ca="1"/>
        <v>0x0201 0xF076</v>
      </c>
      <c r="C73" s="52" t="str">
        <f ca="1">IFERROR(__xludf.DUMMYFUNCTION("""COMPUTED_VALUE"""),"dehumidification_stage")</f>
        <v>dehumidification_stage</v>
      </c>
      <c r="D73" s="18" t="str">
        <f ca="1">IFERROR(__xludf.DUMMYFUNCTION("""COMPUTED_VALUE"""),"telemetry")</f>
        <v>telemetry</v>
      </c>
      <c r="E73" s="18" t="str">
        <f ca="1">IFERROR(__xludf.DUMMYFUNCTION("""COMPUTED_VALUE"""),"enum")</f>
        <v>enum</v>
      </c>
      <c r="F73" s="18" t="str">
        <f ca="1">IFERROR(__xludf.DUMMYFUNCTION("""COMPUTED_VALUE"""),"true")</f>
        <v>true</v>
      </c>
      <c r="G73" s="18" t="str">
        <f ca="1">IFERROR(__xludf.DUMMYFUNCTION("""COMPUTED_VALUE"""),"reported")</f>
        <v>reported</v>
      </c>
      <c r="H73" s="18" t="str">
        <f ca="1">IFERROR(__xludf.DUMMYFUNCTION("""COMPUTED_VALUE"""),"N/A")</f>
        <v>N/A</v>
      </c>
      <c r="I73" s="18" t="str">
        <f ca="1">IFERROR(__xludf.DUMMYFUNCTION("""COMPUTED_VALUE"""),"3600")</f>
        <v>3600</v>
      </c>
      <c r="J73" s="18" t="str">
        <f ca="1">IFERROR(__xludf.DUMMYFUNCTION("""COMPUTED_VALUE"""),"0")</f>
        <v>0</v>
      </c>
      <c r="K73" s="18" t="str">
        <f ca="1">IFERROR(__xludf.DUMMYFUNCTION("""COMPUTED_VALUE"""),"N/A")</f>
        <v>N/A</v>
      </c>
      <c r="L73" s="18" t="str">
        <f ca="1">IFERROR(__xludf.DUMMYFUNCTION("""COMPUTED_VALUE"""),"N/A")</f>
        <v>N/A</v>
      </c>
      <c r="M73" s="18" t="str">
        <f ca="1">IFERROR(__xludf.DUMMYFUNCTION("""COMPUTED_VALUE"""),"N/A")</f>
        <v>N/A</v>
      </c>
      <c r="N73" s="18" t="str">
        <f ca="1">IFERROR(__xludf.DUMMYFUNCTION("""COMPUTED_VALUE"""),"N/A")</f>
        <v>N/A</v>
      </c>
      <c r="O73" s="18" t="str">
        <f ca="1">IFERROR(__xludf.DUMMYFUNCTION("""COMPUTED_VALUE"""),"N/A")</f>
        <v>N/A</v>
      </c>
      <c r="P73" s="18" t="str">
        <f ca="1">IFERROR(__xludf.DUMMYFUNCTION("""COMPUTED_VALUE"""),"""off"",""overdrive"",""stage_1"",""stage_2""")</f>
        <v>"off","overdrive","stage_1","stage_2"</v>
      </c>
      <c r="Q73" s="18" t="str">
        <f ca="1">IFERROR(__xludf.DUMMYFUNCTION("""COMPUTED_VALUE"""),"N/A")</f>
        <v>N/A</v>
      </c>
      <c r="R73" s="18" t="str">
        <f ca="1">IFERROR(__xludf.DUMMYFUNCTION("""COMPUTED_VALUE"""),"N/A")</f>
        <v>N/A</v>
      </c>
      <c r="S73" s="18" t="str">
        <f ca="1">IFERROR(__xludf.DUMMYFUNCTION("""COMPUTED_VALUE"""),"N/A")</f>
        <v>N/A</v>
      </c>
      <c r="T73" s="18" t="str">
        <f ca="1">IFERROR(__xludf.DUMMYFUNCTION("""COMPUTED_VALUE"""),"0xF076")</f>
        <v>0xF076</v>
      </c>
      <c r="U73" s="18" t="str">
        <f ca="1">IFERROR(__xludf.DUMMYFUNCTION("""COMPUTED_VALUE"""),"0x0A")</f>
        <v>0x0A</v>
      </c>
      <c r="V73" s="18" t="str">
        <f ca="1">IFERROR(__xludf.DUMMYFUNCTION("""COMPUTED_VALUE"""),"0x0104")</f>
        <v>0x0104</v>
      </c>
      <c r="W73" s="18" t="str">
        <f ca="1">IFERROR(__xludf.DUMMYFUNCTION("""COMPUTED_VALUE"""),"0x0201")</f>
        <v>0x0201</v>
      </c>
      <c r="X73" s="18" t="str">
        <f ca="1">IFERROR(__xludf.DUMMYFUNCTION("""COMPUTED_VALUE"""),"0x30")</f>
        <v>0x30</v>
      </c>
      <c r="Y73" s="18" t="e">
        <f ca="1"/>
        <v>#NAME?</v>
      </c>
      <c r="Z73" s="18" t="str">
        <f ca="1">IFERROR(__xludf.DUMMYFUNCTION("""COMPUTED_VALUE"""),"N/A")</f>
        <v>N/A</v>
      </c>
      <c r="AA73" s="18" t="str">
        <f ca="1">IFERROR(__xludf.DUMMYFUNCTION("""COMPUTED_VALUE"""),"lambdax:{0:'off',1:'overdrive',2:'stage_1',3:'stage_2'}.get(x,'unknown')")</f>
        <v>lambdax:{0:'off',1:'overdrive',2:'stage_1',3:'stage_2'}.get(x,'unknown')</v>
      </c>
      <c r="AC73" s="59" t="s">
        <v>845</v>
      </c>
      <c r="AD73" s="59" t="s">
        <v>845</v>
      </c>
      <c r="AE73" s="59" t="s">
        <v>869</v>
      </c>
      <c r="AF73" s="59" t="s">
        <v>875</v>
      </c>
      <c r="AG73" s="59" t="s">
        <v>875</v>
      </c>
      <c r="AH73" s="59" t="s">
        <v>878</v>
      </c>
      <c r="AI73" s="59" t="s">
        <v>878</v>
      </c>
      <c r="AJ73" s="59" t="s">
        <v>878</v>
      </c>
      <c r="AK73" s="59" t="s">
        <v>878</v>
      </c>
      <c r="AL73" s="59" t="s">
        <v>878</v>
      </c>
      <c r="AM73" s="59" t="s">
        <v>878</v>
      </c>
      <c r="AN73" s="59" t="s">
        <v>884</v>
      </c>
      <c r="AO73" s="59" t="s">
        <v>884</v>
      </c>
      <c r="AP73" s="59" t="s">
        <v>885</v>
      </c>
      <c r="AQ73" s="59" t="s">
        <v>871</v>
      </c>
      <c r="AR73" s="59" t="s">
        <v>871</v>
      </c>
      <c r="AS73" s="59" t="s">
        <v>886</v>
      </c>
      <c r="AT73" s="59" t="s">
        <v>886</v>
      </c>
    </row>
    <row r="74" spans="1:46" x14ac:dyDescent="0.25">
      <c r="A74" s="18" t="str">
        <v>manual_fan_time_remaining:{"type":"attribute","data_type":"uint16","is_readonly":true,"reporting_type":"diagnostic","zigbee_metadata":{"attr_id":61546,"endpoint_id":10,"profile_id":260,"cluster_id":513,"zcl_data_type":33}},</v>
      </c>
      <c r="B74" s="52" t="str">
        <f ca="1"/>
        <v>0x0201 0xF06A</v>
      </c>
      <c r="C74" s="52" t="str">
        <f ca="1">IFERROR(__xludf.DUMMYFUNCTION("""COMPUTED_VALUE"""),"manual_fan_time_remaining")</f>
        <v>manual_fan_time_remaining</v>
      </c>
      <c r="D74" s="18" t="str">
        <f ca="1">IFERROR(__xludf.DUMMYFUNCTION("""COMPUTED_VALUE"""),"attribute")</f>
        <v>attribute</v>
      </c>
      <c r="E74" s="18" t="str">
        <f ca="1">IFERROR(__xludf.DUMMYFUNCTION("""COMPUTED_VALUE"""),"uint16")</f>
        <v>uint16</v>
      </c>
      <c r="F74" s="18" t="str">
        <f ca="1">IFERROR(__xludf.DUMMYFUNCTION("""COMPUTED_VALUE"""),"true")</f>
        <v>true</v>
      </c>
      <c r="G74" s="18" t="str">
        <f ca="1">IFERROR(__xludf.DUMMYFUNCTION("""COMPUTED_VALUE"""),"diagnostic")</f>
        <v>diagnostic</v>
      </c>
      <c r="H74" s="18" t="str">
        <f ca="1">IFERROR(__xludf.DUMMYFUNCTION("""COMPUTED_VALUE"""),"N/A")</f>
        <v>N/A</v>
      </c>
      <c r="I74" s="18" t="str">
        <f ca="1">IFERROR(__xludf.DUMMYFUNCTION("""COMPUTED_VALUE"""),"N/A")</f>
        <v>N/A</v>
      </c>
      <c r="J74" s="18" t="str">
        <f ca="1">IFERROR(__xludf.DUMMYFUNCTION("""COMPUTED_VALUE"""),"N/A")</f>
        <v>N/A</v>
      </c>
      <c r="K74" s="18" t="str">
        <f ca="1">IFERROR(__xludf.DUMMYFUNCTION("""COMPUTED_VALUE"""),"N/A")</f>
        <v>N/A</v>
      </c>
      <c r="L74" s="18" t="str">
        <f ca="1">IFERROR(__xludf.DUMMYFUNCTION("""COMPUTED_VALUE"""),"N/A")</f>
        <v>N/A</v>
      </c>
      <c r="M74" s="18" t="str">
        <f ca="1">IFERROR(__xludf.DUMMYFUNCTION("""COMPUTED_VALUE"""),"N/A")</f>
        <v>N/A</v>
      </c>
      <c r="N74" s="18" t="str">
        <f ca="1">IFERROR(__xludf.DUMMYFUNCTION("""COMPUTED_VALUE"""),"N/A")</f>
        <v>N/A</v>
      </c>
      <c r="O74" s="18" t="str">
        <f ca="1">IFERROR(__xludf.DUMMYFUNCTION("""COMPUTED_VALUE"""),"N/A")</f>
        <v>N/A</v>
      </c>
      <c r="P74" s="18" t="str">
        <f ca="1">IFERROR(__xludf.DUMMYFUNCTION("""COMPUTED_VALUE"""),"N/A")</f>
        <v>N/A</v>
      </c>
      <c r="Q74" s="18" t="str">
        <f ca="1">IFERROR(__xludf.DUMMYFUNCTION("""COMPUTED_VALUE"""),"N/A")</f>
        <v>N/A</v>
      </c>
      <c r="R74" s="18" t="str">
        <f ca="1">IFERROR(__xludf.DUMMYFUNCTION("""COMPUTED_VALUE"""),"N/A")</f>
        <v>N/A</v>
      </c>
      <c r="S74" s="18" t="str">
        <f ca="1">IFERROR(__xludf.DUMMYFUNCTION("""COMPUTED_VALUE"""),"N/A")</f>
        <v>N/A</v>
      </c>
      <c r="T74" s="18" t="str">
        <f ca="1">IFERROR(__xludf.DUMMYFUNCTION("""COMPUTED_VALUE"""),"0xF06A")</f>
        <v>0xF06A</v>
      </c>
      <c r="U74" s="18" t="str">
        <f ca="1">IFERROR(__xludf.DUMMYFUNCTION("""COMPUTED_VALUE"""),"0x0A")</f>
        <v>0x0A</v>
      </c>
      <c r="V74" s="18" t="str">
        <f ca="1">IFERROR(__xludf.DUMMYFUNCTION("""COMPUTED_VALUE"""),"0x0104")</f>
        <v>0x0104</v>
      </c>
      <c r="W74" s="18" t="str">
        <f ca="1">IFERROR(__xludf.DUMMYFUNCTION("""COMPUTED_VALUE"""),"0x0201")</f>
        <v>0x0201</v>
      </c>
      <c r="X74" s="18" t="str">
        <f ca="1">IFERROR(__xludf.DUMMYFUNCTION("""COMPUTED_VALUE"""),"0x21")</f>
        <v>0x21</v>
      </c>
      <c r="Y74" s="18" t="e">
        <f ca="1"/>
        <v>#NAME?</v>
      </c>
      <c r="Z74" s="18" t="str">
        <f ca="1">IFERROR(__xludf.DUMMYFUNCTION("""COMPUTED_VALUE"""),"N/A")</f>
        <v>N/A</v>
      </c>
      <c r="AA74" s="18" t="str">
        <f ca="1">IFERROR(__xludf.DUMMYFUNCTION("""COMPUTED_VALUE"""),"N/A")</f>
        <v>N/A</v>
      </c>
      <c r="AC74" s="59" t="s">
        <v>849</v>
      </c>
      <c r="AD74" s="59" t="s">
        <v>849</v>
      </c>
      <c r="AE74" s="59" t="s">
        <v>872</v>
      </c>
      <c r="AF74" s="59" t="s">
        <v>878</v>
      </c>
      <c r="AG74" s="59" t="s">
        <v>878</v>
      </c>
      <c r="AH74" s="59" t="s">
        <v>881</v>
      </c>
      <c r="AI74" s="59" t="s">
        <v>881</v>
      </c>
      <c r="AJ74" s="59" t="s">
        <v>881</v>
      </c>
      <c r="AK74" s="59" t="s">
        <v>881</v>
      </c>
      <c r="AL74" s="59" t="s">
        <v>881</v>
      </c>
      <c r="AM74" s="59" t="s">
        <v>881</v>
      </c>
      <c r="AN74" s="59" t="s">
        <v>887</v>
      </c>
      <c r="AO74" s="59" t="s">
        <v>887</v>
      </c>
      <c r="AP74" s="59" t="s">
        <v>888</v>
      </c>
      <c r="AQ74" s="59" t="s">
        <v>874</v>
      </c>
      <c r="AR74" s="59" t="s">
        <v>874</v>
      </c>
      <c r="AS74" s="59" t="s">
        <v>889</v>
      </c>
      <c r="AT74" s="59" t="s">
        <v>889</v>
      </c>
    </row>
    <row r="75" spans="1:46" x14ac:dyDescent="0.25">
      <c r="A75" s="18" t="str">
        <v>humidity_units:{"type":"attribute","data_type":"enum","is_readonly":false,"reporting_type":"polled","poll_freq":86400,"enum_values":["RH","dew_point"],"zigbee_metadata":{"attr_id":61547,"endpoint_id":10,"profile_id":260,"cluster_id":513,"zcl_data_type":48,"write_formatter":"lambdax:{'RH':0,'dew_point':1}[x]","read_formatter":"lambdax:{0:'RH',1:'dew_point'}.get(x,'unknown')"}},</v>
      </c>
      <c r="B75" s="52" t="str">
        <f ca="1"/>
        <v>0x0201 0xF06B</v>
      </c>
      <c r="C75" s="52" t="str">
        <f ca="1">IFERROR(__xludf.DUMMYFUNCTION("""COMPUTED_VALUE"""),"humidity_units")</f>
        <v>humidity_units</v>
      </c>
      <c r="D75" s="18" t="str">
        <f ca="1">IFERROR(__xludf.DUMMYFUNCTION("""COMPUTED_VALUE"""),"attribute")</f>
        <v>attribute</v>
      </c>
      <c r="E75" s="18" t="str">
        <f ca="1">IFERROR(__xludf.DUMMYFUNCTION("""COMPUTED_VALUE"""),"enum")</f>
        <v>enum</v>
      </c>
      <c r="F75" s="18" t="str">
        <f ca="1">IFERROR(__xludf.DUMMYFUNCTION("""COMPUTED_VALUE"""),"false")</f>
        <v>false</v>
      </c>
      <c r="G75" s="18" t="str">
        <f ca="1">IFERROR(__xludf.DUMMYFUNCTION("""COMPUTED_VALUE"""),"polled")</f>
        <v>polled</v>
      </c>
      <c r="H75" s="18" t="str">
        <f ca="1">IFERROR(__xludf.DUMMYFUNCTION("""COMPUTED_VALUE"""),"86400")</f>
        <v>86400</v>
      </c>
      <c r="I75" s="18" t="str">
        <f ca="1">IFERROR(__xludf.DUMMYFUNCTION("""COMPUTED_VALUE"""),"N/A")</f>
        <v>N/A</v>
      </c>
      <c r="J75" s="18" t="str">
        <f ca="1">IFERROR(__xludf.DUMMYFUNCTION("""COMPUTED_VALUE"""),"N/A")</f>
        <v>N/A</v>
      </c>
      <c r="K75" s="18" t="str">
        <f ca="1">IFERROR(__xludf.DUMMYFUNCTION("""COMPUTED_VALUE"""),"N/A")</f>
        <v>N/A</v>
      </c>
      <c r="L75" s="18" t="str">
        <f ca="1">IFERROR(__xludf.DUMMYFUNCTION("""COMPUTED_VALUE"""),"N/A")</f>
        <v>N/A</v>
      </c>
      <c r="M75" s="18" t="str">
        <f ca="1">IFERROR(__xludf.DUMMYFUNCTION("""COMPUTED_VALUE"""),"N/A")</f>
        <v>N/A</v>
      </c>
      <c r="N75" s="18" t="str">
        <f ca="1">IFERROR(__xludf.DUMMYFUNCTION("""COMPUTED_VALUE"""),"N/A")</f>
        <v>N/A</v>
      </c>
      <c r="O75" s="18" t="str">
        <f ca="1">IFERROR(__xludf.DUMMYFUNCTION("""COMPUTED_VALUE"""),"N/A")</f>
        <v>N/A</v>
      </c>
      <c r="P75" s="18" t="str">
        <f ca="1">IFERROR(__xludf.DUMMYFUNCTION("""COMPUTED_VALUE"""),"""RH"",""dew_point""")</f>
        <v>"RH","dew_point"</v>
      </c>
      <c r="Q75" s="18" t="str">
        <f ca="1">IFERROR(__xludf.DUMMYFUNCTION("""COMPUTED_VALUE"""),"N/A")</f>
        <v>N/A</v>
      </c>
      <c r="R75" s="18" t="str">
        <f ca="1">IFERROR(__xludf.DUMMYFUNCTION("""COMPUTED_VALUE"""),"N/A")</f>
        <v>N/A</v>
      </c>
      <c r="S75" s="18" t="str">
        <f ca="1">IFERROR(__xludf.DUMMYFUNCTION("""COMPUTED_VALUE"""),"N/A")</f>
        <v>N/A</v>
      </c>
      <c r="T75" s="18" t="str">
        <f ca="1">IFERROR(__xludf.DUMMYFUNCTION("""COMPUTED_VALUE"""),"0xF06B")</f>
        <v>0xF06B</v>
      </c>
      <c r="U75" s="18" t="str">
        <f ca="1">IFERROR(__xludf.DUMMYFUNCTION("""COMPUTED_VALUE"""),"0x0A")</f>
        <v>0x0A</v>
      </c>
      <c r="V75" s="18" t="str">
        <f ca="1">IFERROR(__xludf.DUMMYFUNCTION("""COMPUTED_VALUE"""),"0x0104")</f>
        <v>0x0104</v>
      </c>
      <c r="W75" s="18" t="str">
        <f ca="1">IFERROR(__xludf.DUMMYFUNCTION("""COMPUTED_VALUE"""),"0x0201")</f>
        <v>0x0201</v>
      </c>
      <c r="X75" s="18" t="str">
        <f ca="1">IFERROR(__xludf.DUMMYFUNCTION("""COMPUTED_VALUE"""),"0x30")</f>
        <v>0x30</v>
      </c>
      <c r="Y75" s="18" t="e">
        <f ca="1"/>
        <v>#NAME?</v>
      </c>
      <c r="Z75" s="18" t="str">
        <f ca="1">IFERROR(__xludf.DUMMYFUNCTION("""COMPUTED_VALUE"""),"lambdax:{'RH':0,'dew_point':1}[x]")</f>
        <v>lambdax:{'RH':0,'dew_point':1}[x]</v>
      </c>
      <c r="AA75" s="18" t="str">
        <f ca="1">IFERROR(__xludf.DUMMYFUNCTION("""COMPUTED_VALUE"""),"lambdax:{0:'RH',1:'dew_point'}.get(x,'unknown')")</f>
        <v>lambdax:{0:'RH',1:'dew_point'}.get(x,'unknown')</v>
      </c>
      <c r="AC75" s="59" t="s">
        <v>853</v>
      </c>
      <c r="AD75" s="59" t="s">
        <v>853</v>
      </c>
      <c r="AE75" s="59" t="s">
        <v>875</v>
      </c>
      <c r="AF75" s="59" t="s">
        <v>881</v>
      </c>
      <c r="AG75" s="59" t="s">
        <v>881</v>
      </c>
      <c r="AH75" s="59" t="s">
        <v>884</v>
      </c>
      <c r="AI75" s="59" t="s">
        <v>884</v>
      </c>
      <c r="AJ75" s="59" t="s">
        <v>884</v>
      </c>
      <c r="AK75" s="59" t="s">
        <v>884</v>
      </c>
      <c r="AL75" s="59" t="s">
        <v>884</v>
      </c>
      <c r="AM75" s="59" t="s">
        <v>884</v>
      </c>
      <c r="AN75" s="59" t="s">
        <v>890</v>
      </c>
      <c r="AO75" s="59" t="s">
        <v>890</v>
      </c>
      <c r="AP75" s="59" t="s">
        <v>891</v>
      </c>
      <c r="AQ75" s="59" t="s">
        <v>877</v>
      </c>
      <c r="AR75" s="59" t="s">
        <v>877</v>
      </c>
      <c r="AS75" s="59" t="s">
        <v>892</v>
      </c>
      <c r="AT75" s="59" t="s">
        <v>892</v>
      </c>
    </row>
    <row r="76" spans="1:46" x14ac:dyDescent="0.25">
      <c r="A76" s="18" t="str">
        <v>aquastat_required_mode:{"type":"attribute","data_type":"enum","is_readonly":true,"reporting_type":"reported","report_max":3600,"report_min":0,"enum_values":["none","chilled","heated"],"zigbee_metadata":{"attr_id":61609,"endpoint_id":10,"profile_id":260,"cluster_id":513,"zcl_data_type":48,"read_formatter":"lambdax:{0:'none',3:'chilled',4:'heated'}.get(x,'unknown')"}},</v>
      </c>
      <c r="B76" s="52" t="str">
        <f ca="1"/>
        <v>0x0201 0xF0A9</v>
      </c>
      <c r="C76" s="52" t="str">
        <f ca="1">IFERROR(__xludf.DUMMYFUNCTION("""COMPUTED_VALUE"""),"aquastat_required_mode")</f>
        <v>aquastat_required_mode</v>
      </c>
      <c r="D76" s="18" t="str">
        <f ca="1">IFERROR(__xludf.DUMMYFUNCTION("""COMPUTED_VALUE"""),"attribute")</f>
        <v>attribute</v>
      </c>
      <c r="E76" s="18" t="str">
        <f ca="1">IFERROR(__xludf.DUMMYFUNCTION("""COMPUTED_VALUE"""),"enum")</f>
        <v>enum</v>
      </c>
      <c r="F76" s="18" t="str">
        <f ca="1">IFERROR(__xludf.DUMMYFUNCTION("""COMPUTED_VALUE"""),"true")</f>
        <v>true</v>
      </c>
      <c r="G76" s="18" t="str">
        <f ca="1">IFERROR(__xludf.DUMMYFUNCTION("""COMPUTED_VALUE"""),"reported")</f>
        <v>reported</v>
      </c>
      <c r="H76" s="18" t="str">
        <f ca="1">IFERROR(__xludf.DUMMYFUNCTION("""COMPUTED_VALUE"""),"N/A")</f>
        <v>N/A</v>
      </c>
      <c r="I76" s="18" t="str">
        <f ca="1">IFERROR(__xludf.DUMMYFUNCTION("""COMPUTED_VALUE"""),"3600")</f>
        <v>3600</v>
      </c>
      <c r="J76" s="18" t="str">
        <f ca="1">IFERROR(__xludf.DUMMYFUNCTION("""COMPUTED_VALUE"""),"0")</f>
        <v>0</v>
      </c>
      <c r="K76" s="18" t="str">
        <f ca="1">IFERROR(__xludf.DUMMYFUNCTION("""COMPUTED_VALUE"""),"N/A")</f>
        <v>N/A</v>
      </c>
      <c r="L76" s="18" t="str">
        <f ca="1">IFERROR(__xludf.DUMMYFUNCTION("""COMPUTED_VALUE"""),"N/A")</f>
        <v>N/A</v>
      </c>
      <c r="M76" s="18" t="str">
        <f ca="1">IFERROR(__xludf.DUMMYFUNCTION("""COMPUTED_VALUE"""),"N/A")</f>
        <v>N/A</v>
      </c>
      <c r="N76" s="18" t="str">
        <f ca="1">IFERROR(__xludf.DUMMYFUNCTION("""COMPUTED_VALUE"""),"N/A")</f>
        <v>N/A</v>
      </c>
      <c r="O76" s="18" t="str">
        <f ca="1">IFERROR(__xludf.DUMMYFUNCTION("""COMPUTED_VALUE"""),"N/A")</f>
        <v>N/A</v>
      </c>
      <c r="P76" s="18" t="str">
        <f ca="1">IFERROR(__xludf.DUMMYFUNCTION("""COMPUTED_VALUE"""),"""none"",""chilled"",""heated""")</f>
        <v>"none","chilled","heated"</v>
      </c>
      <c r="Q76" s="18" t="str">
        <f ca="1">IFERROR(__xludf.DUMMYFUNCTION("""COMPUTED_VALUE"""),"N/A")</f>
        <v>N/A</v>
      </c>
      <c r="R76" s="18" t="str">
        <f ca="1">IFERROR(__xludf.DUMMYFUNCTION("""COMPUTED_VALUE"""),"N/A")</f>
        <v>N/A</v>
      </c>
      <c r="S76" s="18" t="str">
        <f ca="1">IFERROR(__xludf.DUMMYFUNCTION("""COMPUTED_VALUE"""),"N/A")</f>
        <v>N/A</v>
      </c>
      <c r="T76" s="18" t="str">
        <f ca="1">IFERROR(__xludf.DUMMYFUNCTION("""COMPUTED_VALUE"""),"0xF0A9")</f>
        <v>0xF0A9</v>
      </c>
      <c r="U76" s="18" t="str">
        <f ca="1">IFERROR(__xludf.DUMMYFUNCTION("""COMPUTED_VALUE"""),"0x0A")</f>
        <v>0x0A</v>
      </c>
      <c r="V76" s="18" t="str">
        <f ca="1">IFERROR(__xludf.DUMMYFUNCTION("""COMPUTED_VALUE"""),"0x0104")</f>
        <v>0x0104</v>
      </c>
      <c r="W76" s="18" t="str">
        <f ca="1">IFERROR(__xludf.DUMMYFUNCTION("""COMPUTED_VALUE"""),"0x0201")</f>
        <v>0x0201</v>
      </c>
      <c r="X76" s="18" t="str">
        <f ca="1">IFERROR(__xludf.DUMMYFUNCTION("""COMPUTED_VALUE"""),"0x30")</f>
        <v>0x30</v>
      </c>
      <c r="Y76" s="18" t="e">
        <f ca="1"/>
        <v>#NAME?</v>
      </c>
      <c r="Z76" s="18" t="str">
        <f ca="1">IFERROR(__xludf.DUMMYFUNCTION("""COMPUTED_VALUE"""),"N/A")</f>
        <v>N/A</v>
      </c>
      <c r="AA76" s="18" t="str">
        <f ca="1">IFERROR(__xludf.DUMMYFUNCTION("""COMPUTED_VALUE"""),"lambdax:{0:'none',3:'chilled',4:'heated'}.get(x,'unknown')")</f>
        <v>lambdax:{0:'none',3:'chilled',4:'heated'}.get(x,'unknown')</v>
      </c>
      <c r="AC76" s="59" t="s">
        <v>857</v>
      </c>
      <c r="AD76" s="59" t="s">
        <v>857</v>
      </c>
      <c r="AE76" s="59" t="s">
        <v>878</v>
      </c>
      <c r="AF76" s="59" t="s">
        <v>884</v>
      </c>
      <c r="AG76" s="59" t="s">
        <v>884</v>
      </c>
      <c r="AH76" s="59" t="s">
        <v>887</v>
      </c>
      <c r="AI76" s="59" t="s">
        <v>887</v>
      </c>
      <c r="AJ76" s="59" t="s">
        <v>887</v>
      </c>
      <c r="AK76" s="59" t="s">
        <v>887</v>
      </c>
      <c r="AL76" s="59" t="s">
        <v>887</v>
      </c>
      <c r="AM76" s="59" t="s">
        <v>887</v>
      </c>
      <c r="AN76" s="59" t="s">
        <v>893</v>
      </c>
      <c r="AO76" s="59" t="s">
        <v>893</v>
      </c>
      <c r="AP76" s="59" t="s">
        <v>872</v>
      </c>
      <c r="AQ76" s="59" t="s">
        <v>880</v>
      </c>
      <c r="AR76" s="59" t="s">
        <v>880</v>
      </c>
      <c r="AS76" s="59" t="s">
        <v>894</v>
      </c>
      <c r="AT76" s="59" t="s">
        <v>894</v>
      </c>
    </row>
    <row r="77" spans="1:46" x14ac:dyDescent="0.25">
      <c r="A77" s="18" t="str">
        <v>aquastat_applied_mode:{"type":"attribute","data_type":"enum","is_readonly":true,"reporting_type":"reported","report_max":3600,"report_min":0,"enum_values":["none","chilled","heated"],"zigbee_metadata":{"attr_id":61610,"endpoint_id":10,"profile_id":260,"cluster_id":513,"zcl_data_type":48,"read_formatter":"lambdax:{0:'none',3:'chilled',4:'heated'}.get(x,'unknown')"}},</v>
      </c>
      <c r="B77" s="52" t="str">
        <f ca="1"/>
        <v>0x0201 0xF0AA</v>
      </c>
      <c r="C77" s="52" t="str">
        <f ca="1">IFERROR(__xludf.DUMMYFUNCTION("""COMPUTED_VALUE"""),"aquastat_applied_mode")</f>
        <v>aquastat_applied_mode</v>
      </c>
      <c r="D77" s="18" t="str">
        <f ca="1">IFERROR(__xludf.DUMMYFUNCTION("""COMPUTED_VALUE"""),"attribute")</f>
        <v>attribute</v>
      </c>
      <c r="E77" s="18" t="str">
        <f ca="1">IFERROR(__xludf.DUMMYFUNCTION("""COMPUTED_VALUE"""),"enum")</f>
        <v>enum</v>
      </c>
      <c r="F77" s="18" t="str">
        <f ca="1">IFERROR(__xludf.DUMMYFUNCTION("""COMPUTED_VALUE"""),"true")</f>
        <v>true</v>
      </c>
      <c r="G77" s="18" t="str">
        <f ca="1">IFERROR(__xludf.DUMMYFUNCTION("""COMPUTED_VALUE"""),"reported")</f>
        <v>reported</v>
      </c>
      <c r="H77" s="18" t="str">
        <f ca="1">IFERROR(__xludf.DUMMYFUNCTION("""COMPUTED_VALUE"""),"N/A")</f>
        <v>N/A</v>
      </c>
      <c r="I77" s="18" t="str">
        <f ca="1">IFERROR(__xludf.DUMMYFUNCTION("""COMPUTED_VALUE"""),"3600")</f>
        <v>3600</v>
      </c>
      <c r="J77" s="18" t="str">
        <f ca="1">IFERROR(__xludf.DUMMYFUNCTION("""COMPUTED_VALUE"""),"0")</f>
        <v>0</v>
      </c>
      <c r="K77" s="18" t="str">
        <f ca="1">IFERROR(__xludf.DUMMYFUNCTION("""COMPUTED_VALUE"""),"N/A")</f>
        <v>N/A</v>
      </c>
      <c r="L77" s="18" t="str">
        <f ca="1">IFERROR(__xludf.DUMMYFUNCTION("""COMPUTED_VALUE"""),"N/A")</f>
        <v>N/A</v>
      </c>
      <c r="M77" s="18" t="str">
        <f ca="1">IFERROR(__xludf.DUMMYFUNCTION("""COMPUTED_VALUE"""),"N/A")</f>
        <v>N/A</v>
      </c>
      <c r="N77" s="18" t="str">
        <f ca="1">IFERROR(__xludf.DUMMYFUNCTION("""COMPUTED_VALUE"""),"N/A")</f>
        <v>N/A</v>
      </c>
      <c r="O77" s="18" t="str">
        <f ca="1">IFERROR(__xludf.DUMMYFUNCTION("""COMPUTED_VALUE"""),"N/A")</f>
        <v>N/A</v>
      </c>
      <c r="P77" s="18" t="str">
        <f ca="1">IFERROR(__xludf.DUMMYFUNCTION("""COMPUTED_VALUE"""),"""none"",""chilled"",""heated""")</f>
        <v>"none","chilled","heated"</v>
      </c>
      <c r="Q77" s="18" t="str">
        <f ca="1">IFERROR(__xludf.DUMMYFUNCTION("""COMPUTED_VALUE"""),"N/A")</f>
        <v>N/A</v>
      </c>
      <c r="R77" s="18" t="str">
        <f ca="1">IFERROR(__xludf.DUMMYFUNCTION("""COMPUTED_VALUE"""),"N/A")</f>
        <v>N/A</v>
      </c>
      <c r="S77" s="18" t="str">
        <f ca="1">IFERROR(__xludf.DUMMYFUNCTION("""COMPUTED_VALUE"""),"N/A")</f>
        <v>N/A</v>
      </c>
      <c r="T77" s="18" t="str">
        <f ca="1">IFERROR(__xludf.DUMMYFUNCTION("""COMPUTED_VALUE"""),"0xF0AA")</f>
        <v>0xF0AA</v>
      </c>
      <c r="U77" s="18" t="str">
        <f ca="1">IFERROR(__xludf.DUMMYFUNCTION("""COMPUTED_VALUE"""),"0x0A")</f>
        <v>0x0A</v>
      </c>
      <c r="V77" s="18" t="str">
        <f ca="1">IFERROR(__xludf.DUMMYFUNCTION("""COMPUTED_VALUE"""),"0x0104")</f>
        <v>0x0104</v>
      </c>
      <c r="W77" s="18" t="str">
        <f ca="1">IFERROR(__xludf.DUMMYFUNCTION("""COMPUTED_VALUE"""),"0x0201")</f>
        <v>0x0201</v>
      </c>
      <c r="X77" s="18" t="str">
        <f ca="1">IFERROR(__xludf.DUMMYFUNCTION("""COMPUTED_VALUE"""),"0x30")</f>
        <v>0x30</v>
      </c>
      <c r="Y77" s="18" t="e">
        <f ca="1"/>
        <v>#NAME?</v>
      </c>
      <c r="Z77" s="18" t="str">
        <f ca="1">IFERROR(__xludf.DUMMYFUNCTION("""COMPUTED_VALUE"""),"N/A")</f>
        <v>N/A</v>
      </c>
      <c r="AA77" s="18" t="str">
        <f ca="1">IFERROR(__xludf.DUMMYFUNCTION("""COMPUTED_VALUE"""),"lambdax:{0:'none',3:'chilled',4:'heated'}.get(x,'unknown')")</f>
        <v>lambdax:{0:'none',3:'chilled',4:'heated'}.get(x,'unknown')</v>
      </c>
      <c r="AC77" s="59" t="s">
        <v>860</v>
      </c>
      <c r="AD77" s="59" t="s">
        <v>860</v>
      </c>
      <c r="AE77" s="59" t="s">
        <v>881</v>
      </c>
      <c r="AF77" s="59" t="s">
        <v>887</v>
      </c>
      <c r="AG77" s="59" t="s">
        <v>887</v>
      </c>
      <c r="AH77" s="59" t="s">
        <v>890</v>
      </c>
      <c r="AI77" s="59" t="s">
        <v>890</v>
      </c>
      <c r="AJ77" s="59" t="s">
        <v>890</v>
      </c>
      <c r="AK77" s="59" t="s">
        <v>890</v>
      </c>
      <c r="AL77" s="59" t="s">
        <v>890</v>
      </c>
      <c r="AM77" s="59" t="s">
        <v>890</v>
      </c>
      <c r="AN77" s="59" t="s">
        <v>895</v>
      </c>
      <c r="AO77" s="59" t="s">
        <v>895</v>
      </c>
      <c r="AP77" s="59" t="s">
        <v>896</v>
      </c>
      <c r="AQ77" s="59" t="s">
        <v>883</v>
      </c>
      <c r="AR77" s="59" t="s">
        <v>883</v>
      </c>
      <c r="AS77" s="59" t="s">
        <v>897</v>
      </c>
      <c r="AT77" s="59" t="s">
        <v>897</v>
      </c>
    </row>
    <row r="78" spans="1:46" x14ac:dyDescent="0.25">
      <c r="A78" s="18" t="str">
        <v>aquastat_time_out_of_sync:{"type":"attribute","data_type":"uint8","is_readonly":true,"reporting_type":"diagnostic","zigbee_metadata":{"attr_id":61611,"endpoint_id":10,"profile_id":260,"cluster_id":513,"zcl_data_type":32}},</v>
      </c>
      <c r="B78" s="52" t="str">
        <f ca="1"/>
        <v>0x0201 0xF0AB</v>
      </c>
      <c r="C78" s="52" t="str">
        <f ca="1">IFERROR(__xludf.DUMMYFUNCTION("""COMPUTED_VALUE"""),"aquastat_time_out_of_sync")</f>
        <v>aquastat_time_out_of_sync</v>
      </c>
      <c r="D78" s="18" t="str">
        <f ca="1">IFERROR(__xludf.DUMMYFUNCTION("""COMPUTED_VALUE"""),"attribute")</f>
        <v>attribute</v>
      </c>
      <c r="E78" s="18" t="str">
        <f ca="1">IFERROR(__xludf.DUMMYFUNCTION("""COMPUTED_VALUE"""),"uint8")</f>
        <v>uint8</v>
      </c>
      <c r="F78" s="18" t="str">
        <f ca="1">IFERROR(__xludf.DUMMYFUNCTION("""COMPUTED_VALUE"""),"true")</f>
        <v>true</v>
      </c>
      <c r="G78" s="18" t="str">
        <f ca="1">IFERROR(__xludf.DUMMYFUNCTION("""COMPUTED_VALUE"""),"diagnostic")</f>
        <v>diagnostic</v>
      </c>
      <c r="H78" s="18" t="str">
        <f ca="1">IFERROR(__xludf.DUMMYFUNCTION("""COMPUTED_VALUE"""),"N/A")</f>
        <v>N/A</v>
      </c>
      <c r="I78" s="18" t="str">
        <f ca="1">IFERROR(__xludf.DUMMYFUNCTION("""COMPUTED_VALUE"""),"N/A")</f>
        <v>N/A</v>
      </c>
      <c r="J78" s="18" t="str">
        <f ca="1">IFERROR(__xludf.DUMMYFUNCTION("""COMPUTED_VALUE"""),"N/A")</f>
        <v>N/A</v>
      </c>
      <c r="K78" s="18" t="str">
        <f ca="1">IFERROR(__xludf.DUMMYFUNCTION("""COMPUTED_VALUE"""),"N/A")</f>
        <v>N/A</v>
      </c>
      <c r="L78" s="18" t="str">
        <f ca="1">IFERROR(__xludf.DUMMYFUNCTION("""COMPUTED_VALUE"""),"N/A")</f>
        <v>N/A</v>
      </c>
      <c r="M78" s="18" t="str">
        <f ca="1">IFERROR(__xludf.DUMMYFUNCTION("""COMPUTED_VALUE"""),"N/A")</f>
        <v>N/A</v>
      </c>
      <c r="N78" s="18" t="str">
        <f ca="1">IFERROR(__xludf.DUMMYFUNCTION("""COMPUTED_VALUE"""),"N/A")</f>
        <v>N/A</v>
      </c>
      <c r="O78" s="18" t="str">
        <f ca="1">IFERROR(__xludf.DUMMYFUNCTION("""COMPUTED_VALUE"""),"N/A")</f>
        <v>N/A</v>
      </c>
      <c r="P78" s="18" t="str">
        <f ca="1">IFERROR(__xludf.DUMMYFUNCTION("""COMPUTED_VALUE"""),"N/A")</f>
        <v>N/A</v>
      </c>
      <c r="Q78" s="18" t="str">
        <f ca="1">IFERROR(__xludf.DUMMYFUNCTION("""COMPUTED_VALUE"""),"N/A")</f>
        <v>N/A</v>
      </c>
      <c r="R78" s="18" t="str">
        <f ca="1">IFERROR(__xludf.DUMMYFUNCTION("""COMPUTED_VALUE"""),"N/A")</f>
        <v>N/A</v>
      </c>
      <c r="S78" s="18" t="str">
        <f ca="1">IFERROR(__xludf.DUMMYFUNCTION("""COMPUTED_VALUE"""),"N/A")</f>
        <v>N/A</v>
      </c>
      <c r="T78" s="18" t="str">
        <f ca="1">IFERROR(__xludf.DUMMYFUNCTION("""COMPUTED_VALUE"""),"0xF0AB")</f>
        <v>0xF0AB</v>
      </c>
      <c r="U78" s="18" t="str">
        <f ca="1">IFERROR(__xludf.DUMMYFUNCTION("""COMPUTED_VALUE"""),"0x0A")</f>
        <v>0x0A</v>
      </c>
      <c r="V78" s="18" t="str">
        <f ca="1">IFERROR(__xludf.DUMMYFUNCTION("""COMPUTED_VALUE"""),"0x0104")</f>
        <v>0x0104</v>
      </c>
      <c r="W78" s="18" t="str">
        <f ca="1">IFERROR(__xludf.DUMMYFUNCTION("""COMPUTED_VALUE"""),"0x0201")</f>
        <v>0x0201</v>
      </c>
      <c r="X78" s="18" t="str">
        <f ca="1">IFERROR(__xludf.DUMMYFUNCTION("""COMPUTED_VALUE"""),"0x20")</f>
        <v>0x20</v>
      </c>
      <c r="Y78" s="18" t="e">
        <f ca="1"/>
        <v>#NAME?</v>
      </c>
      <c r="Z78" s="18" t="str">
        <f ca="1">IFERROR(__xludf.DUMMYFUNCTION("""COMPUTED_VALUE"""),"N/A")</f>
        <v>N/A</v>
      </c>
      <c r="AA78" s="18" t="str">
        <f ca="1">IFERROR(__xludf.DUMMYFUNCTION("""COMPUTED_VALUE"""),"N/A")</f>
        <v>N/A</v>
      </c>
      <c r="AC78" s="59" t="s">
        <v>863</v>
      </c>
      <c r="AD78" s="59" t="s">
        <v>863</v>
      </c>
      <c r="AE78" s="59" t="s">
        <v>884</v>
      </c>
      <c r="AF78" s="59" t="s">
        <v>890</v>
      </c>
      <c r="AG78" s="59" t="s">
        <v>890</v>
      </c>
      <c r="AH78" s="59" t="s">
        <v>893</v>
      </c>
      <c r="AI78" s="59" t="s">
        <v>893</v>
      </c>
      <c r="AJ78" s="59" t="s">
        <v>893</v>
      </c>
      <c r="AK78" s="59" t="s">
        <v>893</v>
      </c>
      <c r="AL78" s="59" t="s">
        <v>893</v>
      </c>
      <c r="AM78" s="59" t="s">
        <v>893</v>
      </c>
      <c r="AN78" s="59" t="s">
        <v>898</v>
      </c>
      <c r="AO78" s="59" t="s">
        <v>898</v>
      </c>
      <c r="AP78" s="59" t="s">
        <v>899</v>
      </c>
      <c r="AQ78" s="59" t="s">
        <v>886</v>
      </c>
      <c r="AR78" s="59" t="s">
        <v>886</v>
      </c>
      <c r="AS78" s="59" t="s">
        <v>900</v>
      </c>
      <c r="AT78" s="59" t="s">
        <v>900</v>
      </c>
    </row>
    <row r="79" spans="1:46" x14ac:dyDescent="0.25">
      <c r="A79" s="18" t="str">
        <v>aquastat_time_since_changeover:{"type":"attribute","data_type":"uint16","is_readonly":true,"reporting_type":"diagnostic","zigbee_metadata":{"attr_id":61612,"endpoint_id":10,"profile_id":260,"cluster_id":513,"zcl_data_type":33}},</v>
      </c>
      <c r="B79" s="52" t="str">
        <f ca="1"/>
        <v>0x0201 0xF0AC</v>
      </c>
      <c r="C79" s="52" t="str">
        <f ca="1">IFERROR(__xludf.DUMMYFUNCTION("""COMPUTED_VALUE"""),"aquastat_time_since_changeover")</f>
        <v>aquastat_time_since_changeover</v>
      </c>
      <c r="D79" s="18" t="str">
        <f ca="1">IFERROR(__xludf.DUMMYFUNCTION("""COMPUTED_VALUE"""),"attribute")</f>
        <v>attribute</v>
      </c>
      <c r="E79" s="18" t="str">
        <f ca="1">IFERROR(__xludf.DUMMYFUNCTION("""COMPUTED_VALUE"""),"uint16")</f>
        <v>uint16</v>
      </c>
      <c r="F79" s="18" t="str">
        <f ca="1">IFERROR(__xludf.DUMMYFUNCTION("""COMPUTED_VALUE"""),"true")</f>
        <v>true</v>
      </c>
      <c r="G79" s="18" t="str">
        <f ca="1">IFERROR(__xludf.DUMMYFUNCTION("""COMPUTED_VALUE"""),"diagnostic")</f>
        <v>diagnostic</v>
      </c>
      <c r="H79" s="18" t="str">
        <f ca="1">IFERROR(__xludf.DUMMYFUNCTION("""COMPUTED_VALUE"""),"N/A")</f>
        <v>N/A</v>
      </c>
      <c r="I79" s="18" t="str">
        <f ca="1">IFERROR(__xludf.DUMMYFUNCTION("""COMPUTED_VALUE"""),"N/A")</f>
        <v>N/A</v>
      </c>
      <c r="J79" s="18" t="str">
        <f ca="1">IFERROR(__xludf.DUMMYFUNCTION("""COMPUTED_VALUE"""),"N/A")</f>
        <v>N/A</v>
      </c>
      <c r="K79" s="18" t="str">
        <f ca="1">IFERROR(__xludf.DUMMYFUNCTION("""COMPUTED_VALUE"""),"N/A")</f>
        <v>N/A</v>
      </c>
      <c r="L79" s="18" t="str">
        <f ca="1">IFERROR(__xludf.DUMMYFUNCTION("""COMPUTED_VALUE"""),"N/A")</f>
        <v>N/A</v>
      </c>
      <c r="M79" s="18" t="str">
        <f ca="1">IFERROR(__xludf.DUMMYFUNCTION("""COMPUTED_VALUE"""),"N/A")</f>
        <v>N/A</v>
      </c>
      <c r="N79" s="18" t="str">
        <f ca="1">IFERROR(__xludf.DUMMYFUNCTION("""COMPUTED_VALUE"""),"N/A")</f>
        <v>N/A</v>
      </c>
      <c r="O79" s="18" t="str">
        <f ca="1">IFERROR(__xludf.DUMMYFUNCTION("""COMPUTED_VALUE"""),"N/A")</f>
        <v>N/A</v>
      </c>
      <c r="P79" s="18" t="str">
        <f ca="1">IFERROR(__xludf.DUMMYFUNCTION("""COMPUTED_VALUE"""),"N/A")</f>
        <v>N/A</v>
      </c>
      <c r="Q79" s="18" t="str">
        <f ca="1">IFERROR(__xludf.DUMMYFUNCTION("""COMPUTED_VALUE"""),"N/A")</f>
        <v>N/A</v>
      </c>
      <c r="R79" s="18" t="str">
        <f ca="1">IFERROR(__xludf.DUMMYFUNCTION("""COMPUTED_VALUE"""),"N/A")</f>
        <v>N/A</v>
      </c>
      <c r="S79" s="18" t="str">
        <f ca="1">IFERROR(__xludf.DUMMYFUNCTION("""COMPUTED_VALUE"""),"N/A")</f>
        <v>N/A</v>
      </c>
      <c r="T79" s="18" t="str">
        <f ca="1">IFERROR(__xludf.DUMMYFUNCTION("""COMPUTED_VALUE"""),"0xF0AC")</f>
        <v>0xF0AC</v>
      </c>
      <c r="U79" s="18" t="str">
        <f ca="1">IFERROR(__xludf.DUMMYFUNCTION("""COMPUTED_VALUE"""),"0x0A")</f>
        <v>0x0A</v>
      </c>
      <c r="V79" s="18" t="str">
        <f ca="1">IFERROR(__xludf.DUMMYFUNCTION("""COMPUTED_VALUE"""),"0x0104")</f>
        <v>0x0104</v>
      </c>
      <c r="W79" s="18" t="str">
        <f ca="1">IFERROR(__xludf.DUMMYFUNCTION("""COMPUTED_VALUE"""),"0x0201")</f>
        <v>0x0201</v>
      </c>
      <c r="X79" s="18" t="str">
        <f ca="1">IFERROR(__xludf.DUMMYFUNCTION("""COMPUTED_VALUE"""),"0x21")</f>
        <v>0x21</v>
      </c>
      <c r="Y79" s="18" t="e">
        <f ca="1"/>
        <v>#NAME?</v>
      </c>
      <c r="Z79" s="18" t="str">
        <f ca="1">IFERROR(__xludf.DUMMYFUNCTION("""COMPUTED_VALUE"""),"N/A")</f>
        <v>N/A</v>
      </c>
      <c r="AA79" s="18" t="str">
        <f ca="1">IFERROR(__xludf.DUMMYFUNCTION("""COMPUTED_VALUE"""),"N/A")</f>
        <v>N/A</v>
      </c>
      <c r="AC79" s="59" t="s">
        <v>866</v>
      </c>
      <c r="AD79" s="59" t="s">
        <v>866</v>
      </c>
      <c r="AE79" s="59" t="s">
        <v>887</v>
      </c>
      <c r="AF79" s="59" t="s">
        <v>893</v>
      </c>
      <c r="AG79" s="59" t="s">
        <v>893</v>
      </c>
      <c r="AH79" s="59" t="s">
        <v>895</v>
      </c>
      <c r="AI79" s="59" t="s">
        <v>895</v>
      </c>
      <c r="AJ79" s="59" t="s">
        <v>895</v>
      </c>
      <c r="AK79" s="59" t="s">
        <v>895</v>
      </c>
      <c r="AL79" s="59" t="s">
        <v>895</v>
      </c>
      <c r="AM79" s="59" t="s">
        <v>895</v>
      </c>
      <c r="AN79" s="59" t="s">
        <v>901</v>
      </c>
      <c r="AO79" s="59" t="s">
        <v>901</v>
      </c>
      <c r="AP79" s="59" t="s">
        <v>902</v>
      </c>
      <c r="AQ79" s="59" t="s">
        <v>889</v>
      </c>
      <c r="AR79" s="59" t="s">
        <v>889</v>
      </c>
      <c r="AS79" s="59" t="s">
        <v>903</v>
      </c>
      <c r="AT79" s="59" t="s">
        <v>903</v>
      </c>
    </row>
    <row r="80" spans="1:46" x14ac:dyDescent="0.25">
      <c r="A80" s="18" t="str">
        <v>lanai_online:{"type":"attribute","data_type":"uint8","is_readonly":true,"reporting_type":"reported","report_max":3600,"report_min":0,"zigbee_metadata":{"attr_id":61619,"endpoint_id":10,"profile_id":260,"cluster_id":513,"zcl_data_type":24}},</v>
      </c>
      <c r="B80" s="52" t="str">
        <f ca="1"/>
        <v>0x0201 0xF0B3</v>
      </c>
      <c r="C80" s="52" t="str">
        <f ca="1">IFERROR(__xludf.DUMMYFUNCTION("""COMPUTED_VALUE"""),"lanai_online")</f>
        <v>lanai_online</v>
      </c>
      <c r="D80" s="18" t="str">
        <f ca="1">IFERROR(__xludf.DUMMYFUNCTION("""COMPUTED_VALUE"""),"attribute")</f>
        <v>attribute</v>
      </c>
      <c r="E80" s="18" t="str">
        <f ca="1">IFERROR(__xludf.DUMMYFUNCTION("""COMPUTED_VALUE"""),"uint8")</f>
        <v>uint8</v>
      </c>
      <c r="F80" s="18" t="str">
        <f ca="1">IFERROR(__xludf.DUMMYFUNCTION("""COMPUTED_VALUE"""),"true")</f>
        <v>true</v>
      </c>
      <c r="G80" s="18" t="str">
        <f ca="1">IFERROR(__xludf.DUMMYFUNCTION("""COMPUTED_VALUE"""),"reported")</f>
        <v>reported</v>
      </c>
      <c r="H80" s="18" t="str">
        <f ca="1">IFERROR(__xludf.DUMMYFUNCTION("""COMPUTED_VALUE"""),"N/A")</f>
        <v>N/A</v>
      </c>
      <c r="I80" s="18" t="str">
        <f ca="1">IFERROR(__xludf.DUMMYFUNCTION("""COMPUTED_VALUE"""),"3600")</f>
        <v>3600</v>
      </c>
      <c r="J80" s="18" t="str">
        <f ca="1">IFERROR(__xludf.DUMMYFUNCTION("""COMPUTED_VALUE"""),"0")</f>
        <v>0</v>
      </c>
      <c r="K80" s="18" t="str">
        <f ca="1">IFERROR(__xludf.DUMMYFUNCTION("""COMPUTED_VALUE"""),"N/A")</f>
        <v>N/A</v>
      </c>
      <c r="L80" s="18" t="str">
        <f ca="1">IFERROR(__xludf.DUMMYFUNCTION("""COMPUTED_VALUE"""),"N/A")</f>
        <v>N/A</v>
      </c>
      <c r="M80" s="18" t="str">
        <f ca="1">IFERROR(__xludf.DUMMYFUNCTION("""COMPUTED_VALUE"""),"N/A")</f>
        <v>N/A</v>
      </c>
      <c r="N80" s="18" t="str">
        <f ca="1">IFERROR(__xludf.DUMMYFUNCTION("""COMPUTED_VALUE"""),"N/A")</f>
        <v>N/A</v>
      </c>
      <c r="O80" s="18" t="str">
        <f ca="1">IFERROR(__xludf.DUMMYFUNCTION("""COMPUTED_VALUE"""),"N/A")</f>
        <v>N/A</v>
      </c>
      <c r="P80" s="18" t="str">
        <f ca="1">IFERROR(__xludf.DUMMYFUNCTION("""COMPUTED_VALUE"""),"N/A")</f>
        <v>N/A</v>
      </c>
      <c r="Q80" s="18" t="str">
        <f ca="1">IFERROR(__xludf.DUMMYFUNCTION("""COMPUTED_VALUE"""),"N/A")</f>
        <v>N/A</v>
      </c>
      <c r="R80" s="18" t="str">
        <f ca="1">IFERROR(__xludf.DUMMYFUNCTION("""COMPUTED_VALUE"""),"N/A")</f>
        <v>N/A</v>
      </c>
      <c r="S80" s="18" t="str">
        <f ca="1">IFERROR(__xludf.DUMMYFUNCTION("""COMPUTED_VALUE"""),"N/A")</f>
        <v>N/A</v>
      </c>
      <c r="T80" s="18" t="str">
        <f ca="1">IFERROR(__xludf.DUMMYFUNCTION("""COMPUTED_VALUE"""),"0xF0B3")</f>
        <v>0xF0B3</v>
      </c>
      <c r="U80" s="18" t="str">
        <f ca="1">IFERROR(__xludf.DUMMYFUNCTION("""COMPUTED_VALUE"""),"0x0A")</f>
        <v>0x0A</v>
      </c>
      <c r="V80" s="18" t="str">
        <f ca="1">IFERROR(__xludf.DUMMYFUNCTION("""COMPUTED_VALUE"""),"0x0104")</f>
        <v>0x0104</v>
      </c>
      <c r="W80" s="18" t="str">
        <f ca="1">IFERROR(__xludf.DUMMYFUNCTION("""COMPUTED_VALUE"""),"0x0201")</f>
        <v>0x0201</v>
      </c>
      <c r="X80" s="18" t="str">
        <f ca="1">IFERROR(__xludf.DUMMYFUNCTION("""COMPUTED_VALUE"""),"0x18")</f>
        <v>0x18</v>
      </c>
      <c r="Y80" s="18" t="e">
        <f ca="1"/>
        <v>#NAME?</v>
      </c>
      <c r="Z80" s="18" t="str">
        <f ca="1">IFERROR(__xludf.DUMMYFUNCTION("""COMPUTED_VALUE"""),"N/A")</f>
        <v>N/A</v>
      </c>
      <c r="AA80" s="18" t="str">
        <f ca="1">IFERROR(__xludf.DUMMYFUNCTION("""COMPUTED_VALUE"""),"N/A")</f>
        <v>N/A</v>
      </c>
      <c r="AC80" s="59" t="s">
        <v>869</v>
      </c>
      <c r="AD80" s="59" t="s">
        <v>869</v>
      </c>
      <c r="AE80" s="59" t="s">
        <v>890</v>
      </c>
      <c r="AF80" s="59" t="s">
        <v>904</v>
      </c>
      <c r="AG80" s="59" t="s">
        <v>904</v>
      </c>
      <c r="AH80" s="59" t="s">
        <v>905</v>
      </c>
      <c r="AI80" s="59" t="s">
        <v>898</v>
      </c>
      <c r="AJ80" s="59" t="s">
        <v>898</v>
      </c>
      <c r="AK80" s="59" t="s">
        <v>898</v>
      </c>
      <c r="AL80" s="59" t="s">
        <v>898</v>
      </c>
      <c r="AM80" s="59" t="s">
        <v>898</v>
      </c>
      <c r="AN80" s="59" t="s">
        <v>906</v>
      </c>
      <c r="AO80" s="59" t="s">
        <v>906</v>
      </c>
      <c r="AP80" s="59" t="s">
        <v>907</v>
      </c>
      <c r="AQ80" s="59" t="s">
        <v>892</v>
      </c>
      <c r="AR80" s="59" t="s">
        <v>892</v>
      </c>
      <c r="AS80" s="59" t="s">
        <v>908</v>
      </c>
      <c r="AT80" s="59" t="s">
        <v>908</v>
      </c>
    </row>
    <row r="81" spans="1:46" x14ac:dyDescent="0.25">
      <c r="A81" s="18" t="str">
        <v>lanai_open:{"type":"telemetry","data_type":"uint8","is_readonly":true,"reporting_type":"reported","report_max":3600,"report_min":0,"zigbee_metadata":{"attr_id":61620,"endpoint_id":10,"profile_id":260,"cluster_id":513,"zcl_data_type":24}},</v>
      </c>
      <c r="B81" s="52" t="str">
        <f ca="1"/>
        <v>0x0201 0xF0B4</v>
      </c>
      <c r="C81" s="52" t="str">
        <f ca="1">IFERROR(__xludf.DUMMYFUNCTION("""COMPUTED_VALUE"""),"lanai_open")</f>
        <v>lanai_open</v>
      </c>
      <c r="D81" s="18" t="str">
        <f ca="1">IFERROR(__xludf.DUMMYFUNCTION("""COMPUTED_VALUE"""),"telemetry")</f>
        <v>telemetry</v>
      </c>
      <c r="E81" s="18" t="str">
        <f ca="1">IFERROR(__xludf.DUMMYFUNCTION("""COMPUTED_VALUE"""),"uint8")</f>
        <v>uint8</v>
      </c>
      <c r="F81" s="18" t="str">
        <f ca="1">IFERROR(__xludf.DUMMYFUNCTION("""COMPUTED_VALUE"""),"true")</f>
        <v>true</v>
      </c>
      <c r="G81" s="18" t="str">
        <f ca="1">IFERROR(__xludf.DUMMYFUNCTION("""COMPUTED_VALUE"""),"reported")</f>
        <v>reported</v>
      </c>
      <c r="H81" s="18" t="str">
        <f ca="1">IFERROR(__xludf.DUMMYFUNCTION("""COMPUTED_VALUE"""),"N/A")</f>
        <v>N/A</v>
      </c>
      <c r="I81" s="18" t="str">
        <f ca="1">IFERROR(__xludf.DUMMYFUNCTION("""COMPUTED_VALUE"""),"3600")</f>
        <v>3600</v>
      </c>
      <c r="J81" s="18" t="str">
        <f ca="1">IFERROR(__xludf.DUMMYFUNCTION("""COMPUTED_VALUE"""),"0")</f>
        <v>0</v>
      </c>
      <c r="K81" s="18" t="str">
        <f ca="1">IFERROR(__xludf.DUMMYFUNCTION("""COMPUTED_VALUE"""),"N/A")</f>
        <v>N/A</v>
      </c>
      <c r="L81" s="18" t="str">
        <f ca="1">IFERROR(__xludf.DUMMYFUNCTION("""COMPUTED_VALUE"""),"N/A")</f>
        <v>N/A</v>
      </c>
      <c r="M81" s="18" t="str">
        <f ca="1">IFERROR(__xludf.DUMMYFUNCTION("""COMPUTED_VALUE"""),"N/A")</f>
        <v>N/A</v>
      </c>
      <c r="N81" s="18" t="str">
        <f ca="1">IFERROR(__xludf.DUMMYFUNCTION("""COMPUTED_VALUE"""),"N/A")</f>
        <v>N/A</v>
      </c>
      <c r="O81" s="18" t="str">
        <f ca="1">IFERROR(__xludf.DUMMYFUNCTION("""COMPUTED_VALUE"""),"N/A")</f>
        <v>N/A</v>
      </c>
      <c r="P81" s="18" t="str">
        <f ca="1">IFERROR(__xludf.DUMMYFUNCTION("""COMPUTED_VALUE"""),"N/A")</f>
        <v>N/A</v>
      </c>
      <c r="Q81" s="18" t="str">
        <f ca="1">IFERROR(__xludf.DUMMYFUNCTION("""COMPUTED_VALUE"""),"N/A")</f>
        <v>N/A</v>
      </c>
      <c r="R81" s="18" t="str">
        <f ca="1">IFERROR(__xludf.DUMMYFUNCTION("""COMPUTED_VALUE"""),"N/A")</f>
        <v>N/A</v>
      </c>
      <c r="S81" s="18" t="str">
        <f ca="1">IFERROR(__xludf.DUMMYFUNCTION("""COMPUTED_VALUE"""),"N/A")</f>
        <v>N/A</v>
      </c>
      <c r="T81" s="18" t="str">
        <f ca="1">IFERROR(__xludf.DUMMYFUNCTION("""COMPUTED_VALUE"""),"0xF0B4")</f>
        <v>0xF0B4</v>
      </c>
      <c r="U81" s="18" t="str">
        <f ca="1">IFERROR(__xludf.DUMMYFUNCTION("""COMPUTED_VALUE"""),"0x0A")</f>
        <v>0x0A</v>
      </c>
      <c r="V81" s="18" t="str">
        <f ca="1">IFERROR(__xludf.DUMMYFUNCTION("""COMPUTED_VALUE"""),"0x0104")</f>
        <v>0x0104</v>
      </c>
      <c r="W81" s="18" t="str">
        <f ca="1">IFERROR(__xludf.DUMMYFUNCTION("""COMPUTED_VALUE"""),"0x0201")</f>
        <v>0x0201</v>
      </c>
      <c r="X81" s="18" t="str">
        <f ca="1">IFERROR(__xludf.DUMMYFUNCTION("""COMPUTED_VALUE"""),"0x18")</f>
        <v>0x18</v>
      </c>
      <c r="Y81" s="18" t="e">
        <f ca="1"/>
        <v>#NAME?</v>
      </c>
      <c r="Z81" s="18" t="str">
        <f ca="1">IFERROR(__xludf.DUMMYFUNCTION("""COMPUTED_VALUE"""),"N/A")</f>
        <v>N/A</v>
      </c>
      <c r="AA81" s="18" t="str">
        <f ca="1">IFERROR(__xludf.DUMMYFUNCTION("""COMPUTED_VALUE"""),"N/A")</f>
        <v>N/A</v>
      </c>
      <c r="AC81" s="59" t="s">
        <v>872</v>
      </c>
      <c r="AD81" s="59" t="s">
        <v>872</v>
      </c>
      <c r="AE81" s="59" t="s">
        <v>893</v>
      </c>
      <c r="AF81" s="59" t="s">
        <v>909</v>
      </c>
      <c r="AG81" s="59" t="s">
        <v>909</v>
      </c>
      <c r="AH81" s="59" t="s">
        <v>898</v>
      </c>
      <c r="AI81" s="59" t="s">
        <v>901</v>
      </c>
      <c r="AJ81" s="59" t="s">
        <v>901</v>
      </c>
      <c r="AK81" s="59" t="s">
        <v>901</v>
      </c>
      <c r="AL81" s="59" t="s">
        <v>901</v>
      </c>
      <c r="AM81" s="59" t="s">
        <v>901</v>
      </c>
      <c r="AN81" s="59" t="s">
        <v>910</v>
      </c>
      <c r="AO81" s="59" t="s">
        <v>910</v>
      </c>
      <c r="AP81" s="59" t="s">
        <v>911</v>
      </c>
      <c r="AQ81" s="59" t="s">
        <v>894</v>
      </c>
      <c r="AR81" s="59" t="s">
        <v>894</v>
      </c>
      <c r="AS81" s="59" t="s">
        <v>912</v>
      </c>
      <c r="AT81" s="59" t="s">
        <v>912</v>
      </c>
    </row>
    <row r="82" spans="1:46" x14ac:dyDescent="0.25">
      <c r="A82" s="18" t="str">
        <v>lanai_open_time:{"type":"attribute","data_type":"uint16","is_readonly":true,"reporting_type":"diagnostic","zigbee_metadata":{"attr_id":61621,"endpoint_id":10,"profile_id":260,"cluster_id":513,"zcl_data_type":33}},</v>
      </c>
      <c r="B82" s="52" t="str">
        <f ca="1"/>
        <v>0x0201 0xF0B5</v>
      </c>
      <c r="C82" s="52" t="str">
        <f ca="1">IFERROR(__xludf.DUMMYFUNCTION("""COMPUTED_VALUE"""),"lanai_open_time")</f>
        <v>lanai_open_time</v>
      </c>
      <c r="D82" s="18" t="str">
        <f ca="1">IFERROR(__xludf.DUMMYFUNCTION("""COMPUTED_VALUE"""),"attribute")</f>
        <v>attribute</v>
      </c>
      <c r="E82" s="18" t="str">
        <f ca="1">IFERROR(__xludf.DUMMYFUNCTION("""COMPUTED_VALUE"""),"uint16")</f>
        <v>uint16</v>
      </c>
      <c r="F82" s="18" t="str">
        <f ca="1">IFERROR(__xludf.DUMMYFUNCTION("""COMPUTED_VALUE"""),"true")</f>
        <v>true</v>
      </c>
      <c r="G82" s="18" t="str">
        <f ca="1">IFERROR(__xludf.DUMMYFUNCTION("""COMPUTED_VALUE"""),"diagnostic")</f>
        <v>diagnostic</v>
      </c>
      <c r="H82" s="18" t="str">
        <f ca="1">IFERROR(__xludf.DUMMYFUNCTION("""COMPUTED_VALUE"""),"N/A")</f>
        <v>N/A</v>
      </c>
      <c r="I82" s="18" t="str">
        <f ca="1">IFERROR(__xludf.DUMMYFUNCTION("""COMPUTED_VALUE"""),"N/A")</f>
        <v>N/A</v>
      </c>
      <c r="J82" s="18" t="str">
        <f ca="1">IFERROR(__xludf.DUMMYFUNCTION("""COMPUTED_VALUE"""),"N/A")</f>
        <v>N/A</v>
      </c>
      <c r="K82" s="18" t="str">
        <f ca="1">IFERROR(__xludf.DUMMYFUNCTION("""COMPUTED_VALUE"""),"N/A")</f>
        <v>N/A</v>
      </c>
      <c r="L82" s="18" t="str">
        <f ca="1">IFERROR(__xludf.DUMMYFUNCTION("""COMPUTED_VALUE"""),"N/A")</f>
        <v>N/A</v>
      </c>
      <c r="M82" s="18" t="str">
        <f ca="1">IFERROR(__xludf.DUMMYFUNCTION("""COMPUTED_VALUE"""),"N/A")</f>
        <v>N/A</v>
      </c>
      <c r="N82" s="18" t="str">
        <f ca="1">IFERROR(__xludf.DUMMYFUNCTION("""COMPUTED_VALUE"""),"N/A")</f>
        <v>N/A</v>
      </c>
      <c r="O82" s="18" t="str">
        <f ca="1">IFERROR(__xludf.DUMMYFUNCTION("""COMPUTED_VALUE"""),"N/A")</f>
        <v>N/A</v>
      </c>
      <c r="P82" s="18" t="str">
        <f ca="1">IFERROR(__xludf.DUMMYFUNCTION("""COMPUTED_VALUE"""),"N/A")</f>
        <v>N/A</v>
      </c>
      <c r="Q82" s="18" t="str">
        <f ca="1">IFERROR(__xludf.DUMMYFUNCTION("""COMPUTED_VALUE"""),"N/A")</f>
        <v>N/A</v>
      </c>
      <c r="R82" s="18" t="str">
        <f ca="1">IFERROR(__xludf.DUMMYFUNCTION("""COMPUTED_VALUE"""),"N/A")</f>
        <v>N/A</v>
      </c>
      <c r="S82" s="18" t="str">
        <f ca="1">IFERROR(__xludf.DUMMYFUNCTION("""COMPUTED_VALUE"""),"N/A")</f>
        <v>N/A</v>
      </c>
      <c r="T82" s="18" t="str">
        <f ca="1">IFERROR(__xludf.DUMMYFUNCTION("""COMPUTED_VALUE"""),"0xF0B5")</f>
        <v>0xF0B5</v>
      </c>
      <c r="U82" s="18" t="str">
        <f ca="1">IFERROR(__xludf.DUMMYFUNCTION("""COMPUTED_VALUE"""),"0x0A")</f>
        <v>0x0A</v>
      </c>
      <c r="V82" s="18" t="str">
        <f ca="1">IFERROR(__xludf.DUMMYFUNCTION("""COMPUTED_VALUE"""),"0x0104")</f>
        <v>0x0104</v>
      </c>
      <c r="W82" s="18" t="str">
        <f ca="1">IFERROR(__xludf.DUMMYFUNCTION("""COMPUTED_VALUE"""),"0x0201")</f>
        <v>0x0201</v>
      </c>
      <c r="X82" s="18" t="str">
        <f ca="1">IFERROR(__xludf.DUMMYFUNCTION("""COMPUTED_VALUE"""),"0x21")</f>
        <v>0x21</v>
      </c>
      <c r="Y82" s="18" t="e">
        <f ca="1"/>
        <v>#NAME?</v>
      </c>
      <c r="Z82" s="18" t="str">
        <f ca="1">IFERROR(__xludf.DUMMYFUNCTION("""COMPUTED_VALUE"""),"N/A")</f>
        <v>N/A</v>
      </c>
      <c r="AA82" s="18" t="str">
        <f ca="1">IFERROR(__xludf.DUMMYFUNCTION("""COMPUTED_VALUE"""),"N/A")</f>
        <v>N/A</v>
      </c>
      <c r="AC82" s="59" t="s">
        <v>875</v>
      </c>
      <c r="AD82" s="59" t="s">
        <v>875</v>
      </c>
      <c r="AE82" s="59" t="s">
        <v>904</v>
      </c>
      <c r="AF82" s="59" t="s">
        <v>898</v>
      </c>
      <c r="AG82" s="59" t="s">
        <v>898</v>
      </c>
      <c r="AH82" s="59" t="s">
        <v>901</v>
      </c>
      <c r="AI82" s="59" t="s">
        <v>906</v>
      </c>
      <c r="AJ82" s="59" t="s">
        <v>906</v>
      </c>
      <c r="AK82" s="59" t="s">
        <v>906</v>
      </c>
      <c r="AL82" s="59" t="s">
        <v>906</v>
      </c>
      <c r="AM82" s="59" t="s">
        <v>906</v>
      </c>
      <c r="AN82" s="59" t="s">
        <v>913</v>
      </c>
      <c r="AO82" s="59" t="s">
        <v>913</v>
      </c>
      <c r="AP82" s="59" t="s">
        <v>914</v>
      </c>
      <c r="AQ82" s="59" t="s">
        <v>897</v>
      </c>
      <c r="AR82" s="59" t="s">
        <v>897</v>
      </c>
      <c r="AS82" s="59" t="s">
        <v>915</v>
      </c>
      <c r="AT82" s="59" t="s">
        <v>915</v>
      </c>
    </row>
    <row r="83" spans="1:46" x14ac:dyDescent="0.25">
      <c r="A83" s="18" t="str">
        <v>lanai_activated:{"type":"telemetry","data_type":"bool","is_readonly":true,"reporting_type":"reported","report_max":3600,"report_min":0,"zigbee_metadata":{"attr_id":61622,"endpoint_id":10,"profile_id":260,"cluster_id":513,"zcl_data_type":16,"read_formatter":"lambdax:bool(x)"}},</v>
      </c>
      <c r="B83" s="52" t="str">
        <f ca="1"/>
        <v>0x0201 0xF0B6</v>
      </c>
      <c r="C83" s="52" t="str">
        <f ca="1">IFERROR(__xludf.DUMMYFUNCTION("""COMPUTED_VALUE"""),"lanai_activated")</f>
        <v>lanai_activated</v>
      </c>
      <c r="D83" s="18" t="str">
        <f ca="1">IFERROR(__xludf.DUMMYFUNCTION("""COMPUTED_VALUE"""),"telemetry")</f>
        <v>telemetry</v>
      </c>
      <c r="E83" s="18" t="str">
        <f ca="1">IFERROR(__xludf.DUMMYFUNCTION("""COMPUTED_VALUE"""),"bool")</f>
        <v>bool</v>
      </c>
      <c r="F83" s="18" t="str">
        <f ca="1">IFERROR(__xludf.DUMMYFUNCTION("""COMPUTED_VALUE"""),"true")</f>
        <v>true</v>
      </c>
      <c r="G83" s="18" t="str">
        <f ca="1">IFERROR(__xludf.DUMMYFUNCTION("""COMPUTED_VALUE"""),"reported")</f>
        <v>reported</v>
      </c>
      <c r="H83" s="18" t="str">
        <f ca="1">IFERROR(__xludf.DUMMYFUNCTION("""COMPUTED_VALUE"""),"N/A")</f>
        <v>N/A</v>
      </c>
      <c r="I83" s="18" t="str">
        <f ca="1">IFERROR(__xludf.DUMMYFUNCTION("""COMPUTED_VALUE"""),"3600")</f>
        <v>3600</v>
      </c>
      <c r="J83" s="18" t="str">
        <f ca="1">IFERROR(__xludf.DUMMYFUNCTION("""COMPUTED_VALUE"""),"0")</f>
        <v>0</v>
      </c>
      <c r="K83" s="18" t="str">
        <f ca="1">IFERROR(__xludf.DUMMYFUNCTION("""COMPUTED_VALUE"""),"N/A")</f>
        <v>N/A</v>
      </c>
      <c r="L83" s="18" t="str">
        <f ca="1">IFERROR(__xludf.DUMMYFUNCTION("""COMPUTED_VALUE"""),"N/A")</f>
        <v>N/A</v>
      </c>
      <c r="M83" s="18" t="str">
        <f ca="1">IFERROR(__xludf.DUMMYFUNCTION("""COMPUTED_VALUE"""),"N/A")</f>
        <v>N/A</v>
      </c>
      <c r="N83" s="18" t="str">
        <f ca="1">IFERROR(__xludf.DUMMYFUNCTION("""COMPUTED_VALUE"""),"N/A")</f>
        <v>N/A</v>
      </c>
      <c r="O83" s="18" t="str">
        <f ca="1">IFERROR(__xludf.DUMMYFUNCTION("""COMPUTED_VALUE"""),"N/A")</f>
        <v>N/A</v>
      </c>
      <c r="P83" s="18" t="str">
        <f ca="1">IFERROR(__xludf.DUMMYFUNCTION("""COMPUTED_VALUE"""),"N/A")</f>
        <v>N/A</v>
      </c>
      <c r="Q83" s="18" t="str">
        <f ca="1">IFERROR(__xludf.DUMMYFUNCTION("""COMPUTED_VALUE"""),"N/A")</f>
        <v>N/A</v>
      </c>
      <c r="R83" s="18" t="str">
        <f ca="1">IFERROR(__xludf.DUMMYFUNCTION("""COMPUTED_VALUE"""),"N/A")</f>
        <v>N/A</v>
      </c>
      <c r="S83" s="18" t="str">
        <f ca="1">IFERROR(__xludf.DUMMYFUNCTION("""COMPUTED_VALUE"""),"N/A")</f>
        <v>N/A</v>
      </c>
      <c r="T83" s="18" t="str">
        <f ca="1">IFERROR(__xludf.DUMMYFUNCTION("""COMPUTED_VALUE"""),"0xF0B6")</f>
        <v>0xF0B6</v>
      </c>
      <c r="U83" s="18" t="str">
        <f ca="1">IFERROR(__xludf.DUMMYFUNCTION("""COMPUTED_VALUE"""),"0x0A")</f>
        <v>0x0A</v>
      </c>
      <c r="V83" s="18" t="str">
        <f ca="1">IFERROR(__xludf.DUMMYFUNCTION("""COMPUTED_VALUE"""),"0x0104")</f>
        <v>0x0104</v>
      </c>
      <c r="W83" s="18" t="str">
        <f ca="1">IFERROR(__xludf.DUMMYFUNCTION("""COMPUTED_VALUE"""),"0x0201")</f>
        <v>0x0201</v>
      </c>
      <c r="X83" s="18" t="str">
        <f ca="1">IFERROR(__xludf.DUMMYFUNCTION("""COMPUTED_VALUE"""),"0x10")</f>
        <v>0x10</v>
      </c>
      <c r="Y83" s="18" t="e">
        <f ca="1"/>
        <v>#NAME?</v>
      </c>
      <c r="Z83" s="18" t="str">
        <f ca="1">IFERROR(__xludf.DUMMYFUNCTION("""COMPUTED_VALUE"""),"N/A")</f>
        <v>N/A</v>
      </c>
      <c r="AA83" s="18" t="str">
        <f ca="1">IFERROR(__xludf.DUMMYFUNCTION("""COMPUTED_VALUE"""),"lambdax:bool(x)")</f>
        <v>lambdax:bool(x)</v>
      </c>
      <c r="AC83" s="59" t="s">
        <v>878</v>
      </c>
      <c r="AD83" s="59" t="s">
        <v>878</v>
      </c>
      <c r="AE83" s="59" t="s">
        <v>909</v>
      </c>
      <c r="AF83" s="59" t="s">
        <v>901</v>
      </c>
      <c r="AG83" s="59" t="s">
        <v>901</v>
      </c>
      <c r="AH83" s="59" t="s">
        <v>906</v>
      </c>
      <c r="AI83" s="59" t="s">
        <v>910</v>
      </c>
      <c r="AJ83" s="59" t="s">
        <v>910</v>
      </c>
      <c r="AK83" s="59" t="s">
        <v>910</v>
      </c>
      <c r="AL83" s="59" t="s">
        <v>910</v>
      </c>
      <c r="AM83" s="59" t="s">
        <v>910</v>
      </c>
      <c r="AN83" s="59" t="s">
        <v>916</v>
      </c>
      <c r="AO83" s="59" t="s">
        <v>916</v>
      </c>
      <c r="AP83" s="59" t="s">
        <v>917</v>
      </c>
      <c r="AQ83" s="59" t="s">
        <v>900</v>
      </c>
      <c r="AR83" s="59" t="s">
        <v>900</v>
      </c>
      <c r="AS83" s="59" t="s">
        <v>918</v>
      </c>
      <c r="AT83" s="59" t="s">
        <v>918</v>
      </c>
    </row>
    <row r="84" spans="1:46" x14ac:dyDescent="0.25">
      <c r="A84" s="18" t="str">
        <v>esp_boot_count:{"type":"attribute","data_type":"uint32","is_readonly":true,"reporting_type":"polled","poll_freq":86400},</v>
      </c>
      <c r="B84" s="52" t="str">
        <f ca="1"/>
        <v>N/A</v>
      </c>
      <c r="C84" s="52" t="str">
        <f ca="1">IFERROR(__xludf.DUMMYFUNCTION("""COMPUTED_VALUE"""),"esp_boot_count")</f>
        <v>esp_boot_count</v>
      </c>
      <c r="D84" s="18" t="str">
        <f ca="1">IFERROR(__xludf.DUMMYFUNCTION("""COMPUTED_VALUE"""),"attribute")</f>
        <v>attribute</v>
      </c>
      <c r="E84" s="18" t="str">
        <f ca="1">IFERROR(__xludf.DUMMYFUNCTION("""COMPUTED_VALUE"""),"uint32")</f>
        <v>uint32</v>
      </c>
      <c r="F84" s="18" t="str">
        <f ca="1">IFERROR(__xludf.DUMMYFUNCTION("""COMPUTED_VALUE"""),"true")</f>
        <v>true</v>
      </c>
      <c r="G84" s="18" t="str">
        <f ca="1">IFERROR(__xludf.DUMMYFUNCTION("""COMPUTED_VALUE"""),"polled")</f>
        <v>polled</v>
      </c>
      <c r="H84" s="18" t="str">
        <f ca="1">IFERROR(__xludf.DUMMYFUNCTION("""COMPUTED_VALUE"""),"86400")</f>
        <v>86400</v>
      </c>
      <c r="I84" s="18" t="str">
        <f ca="1">IFERROR(__xludf.DUMMYFUNCTION("""COMPUTED_VALUE"""),"N/A")</f>
        <v>N/A</v>
      </c>
      <c r="J84" s="18" t="str">
        <f ca="1">IFERROR(__xludf.DUMMYFUNCTION("""COMPUTED_VALUE"""),"N/A")</f>
        <v>N/A</v>
      </c>
      <c r="K84" s="18" t="str">
        <f ca="1">IFERROR(__xludf.DUMMYFUNCTION("""COMPUTED_VALUE"""),"N/A")</f>
        <v>N/A</v>
      </c>
      <c r="L84" s="18" t="str">
        <f ca="1">IFERROR(__xludf.DUMMYFUNCTION("""COMPUTED_VALUE"""),"N/A")</f>
        <v>N/A</v>
      </c>
      <c r="M84" s="18" t="str">
        <f ca="1">IFERROR(__xludf.DUMMYFUNCTION("""COMPUTED_VALUE"""),"N/A")</f>
        <v>N/A</v>
      </c>
      <c r="N84" s="18" t="str">
        <f ca="1">IFERROR(__xludf.DUMMYFUNCTION("""COMPUTED_VALUE"""),"N/A")</f>
        <v>N/A</v>
      </c>
      <c r="O84" s="18" t="str">
        <f ca="1">IFERROR(__xludf.DUMMYFUNCTION("""COMPUTED_VALUE"""),"N/A")</f>
        <v>N/A</v>
      </c>
      <c r="P84" s="18" t="str">
        <f ca="1">IFERROR(__xludf.DUMMYFUNCTION("""COMPUTED_VALUE"""),"N/A")</f>
        <v>N/A</v>
      </c>
      <c r="Q84" s="18" t="str">
        <f ca="1">IFERROR(__xludf.DUMMYFUNCTION("""COMPUTED_VALUE"""),"N/A")</f>
        <v>N/A</v>
      </c>
      <c r="R84" s="18" t="str">
        <f ca="1">IFERROR(__xludf.DUMMYFUNCTION("""COMPUTED_VALUE"""),"N/A")</f>
        <v>N/A</v>
      </c>
      <c r="S84" s="18" t="str">
        <f ca="1">IFERROR(__xludf.DUMMYFUNCTION("""COMPUTED_VALUE"""),"N/A")</f>
        <v>N/A</v>
      </c>
      <c r="T84" s="18" t="str">
        <f ca="1">IFERROR(__xludf.DUMMYFUNCTION("""COMPUTED_VALUE"""),"N/A")</f>
        <v>N/A</v>
      </c>
      <c r="U84" s="18" t="str">
        <f ca="1">IFERROR(__xludf.DUMMYFUNCTION("""COMPUTED_VALUE"""),"N/A")</f>
        <v>N/A</v>
      </c>
      <c r="V84" s="18" t="str">
        <f ca="1">IFERROR(__xludf.DUMMYFUNCTION("""COMPUTED_VALUE"""),"N/A")</f>
        <v>N/A</v>
      </c>
      <c r="W84" s="18" t="str">
        <f ca="1">IFERROR(__xludf.DUMMYFUNCTION("""COMPUTED_VALUE"""),"N/A")</f>
        <v>N/A</v>
      </c>
      <c r="X84" s="18" t="str">
        <f ca="1">IFERROR(__xludf.DUMMYFUNCTION("""COMPUTED_VALUE"""),"N/A")</f>
        <v>N/A</v>
      </c>
      <c r="Y84" s="18" t="e">
        <f ca="1"/>
        <v>#NAME?</v>
      </c>
      <c r="Z84" s="18" t="str">
        <f ca="1">IFERROR(__xludf.DUMMYFUNCTION("""COMPUTED_VALUE"""),"N/A")</f>
        <v>N/A</v>
      </c>
      <c r="AA84" s="18" t="str">
        <f ca="1">IFERROR(__xludf.DUMMYFUNCTION("""COMPUTED_VALUE"""),"N/A")</f>
        <v>N/A</v>
      </c>
      <c r="AC84" s="59" t="s">
        <v>881</v>
      </c>
      <c r="AD84" s="59" t="s">
        <v>881</v>
      </c>
      <c r="AE84" s="59" t="s">
        <v>898</v>
      </c>
      <c r="AF84" s="59" t="s">
        <v>919</v>
      </c>
      <c r="AG84" s="59" t="s">
        <v>919</v>
      </c>
      <c r="AH84" s="59" t="s">
        <v>910</v>
      </c>
      <c r="AI84" s="59" t="s">
        <v>913</v>
      </c>
      <c r="AJ84" s="59" t="s">
        <v>913</v>
      </c>
      <c r="AK84" s="59" t="s">
        <v>913</v>
      </c>
      <c r="AL84" s="59" t="s">
        <v>913</v>
      </c>
      <c r="AM84" s="59" t="s">
        <v>913</v>
      </c>
      <c r="AN84" s="59" t="s">
        <v>920</v>
      </c>
      <c r="AO84" s="59" t="s">
        <v>920</v>
      </c>
      <c r="AP84" s="59" t="s">
        <v>921</v>
      </c>
      <c r="AQ84" s="59" t="s">
        <v>903</v>
      </c>
      <c r="AR84" s="59" t="s">
        <v>903</v>
      </c>
      <c r="AS84" s="59" t="s">
        <v>922</v>
      </c>
      <c r="AT84" s="59" t="s">
        <v>922</v>
      </c>
    </row>
    <row r="85" spans="1:46" x14ac:dyDescent="0.25">
      <c r="A85" s="18" t="str">
        <v>esp_boot_count_power:{"type":"attribute","data_type":"uint32","is_readonly":true,"reporting_type":"polled","poll_freq":86400},</v>
      </c>
      <c r="B85" s="52" t="str">
        <f ca="1"/>
        <v>N/A</v>
      </c>
      <c r="C85" s="52" t="str">
        <f ca="1">IFERROR(__xludf.DUMMYFUNCTION("""COMPUTED_VALUE"""),"esp_boot_count_power")</f>
        <v>esp_boot_count_power</v>
      </c>
      <c r="D85" s="18" t="str">
        <f ca="1">IFERROR(__xludf.DUMMYFUNCTION("""COMPUTED_VALUE"""),"attribute")</f>
        <v>attribute</v>
      </c>
      <c r="E85" s="18" t="str">
        <f ca="1">IFERROR(__xludf.DUMMYFUNCTION("""COMPUTED_VALUE"""),"uint32")</f>
        <v>uint32</v>
      </c>
      <c r="F85" s="18" t="str">
        <f ca="1">IFERROR(__xludf.DUMMYFUNCTION("""COMPUTED_VALUE"""),"true")</f>
        <v>true</v>
      </c>
      <c r="G85" s="18" t="str">
        <f ca="1">IFERROR(__xludf.DUMMYFUNCTION("""COMPUTED_VALUE"""),"polled")</f>
        <v>polled</v>
      </c>
      <c r="H85" s="18" t="str">
        <f ca="1">IFERROR(__xludf.DUMMYFUNCTION("""COMPUTED_VALUE"""),"86400")</f>
        <v>86400</v>
      </c>
      <c r="I85" s="18" t="str">
        <f ca="1">IFERROR(__xludf.DUMMYFUNCTION("""COMPUTED_VALUE"""),"N/A")</f>
        <v>N/A</v>
      </c>
      <c r="J85" s="18" t="str">
        <f ca="1">IFERROR(__xludf.DUMMYFUNCTION("""COMPUTED_VALUE"""),"N/A")</f>
        <v>N/A</v>
      </c>
      <c r="K85" s="18" t="str">
        <f ca="1">IFERROR(__xludf.DUMMYFUNCTION("""COMPUTED_VALUE"""),"N/A")</f>
        <v>N/A</v>
      </c>
      <c r="L85" s="18" t="str">
        <f ca="1">IFERROR(__xludf.DUMMYFUNCTION("""COMPUTED_VALUE"""),"N/A")</f>
        <v>N/A</v>
      </c>
      <c r="M85" s="18" t="str">
        <f ca="1">IFERROR(__xludf.DUMMYFUNCTION("""COMPUTED_VALUE"""),"N/A")</f>
        <v>N/A</v>
      </c>
      <c r="N85" s="18" t="str">
        <f ca="1">IFERROR(__xludf.DUMMYFUNCTION("""COMPUTED_VALUE"""),"N/A")</f>
        <v>N/A</v>
      </c>
      <c r="O85" s="18" t="str">
        <f ca="1">IFERROR(__xludf.DUMMYFUNCTION("""COMPUTED_VALUE"""),"N/A")</f>
        <v>N/A</v>
      </c>
      <c r="P85" s="18" t="str">
        <f ca="1">IFERROR(__xludf.DUMMYFUNCTION("""COMPUTED_VALUE"""),"N/A")</f>
        <v>N/A</v>
      </c>
      <c r="Q85" s="18" t="str">
        <f ca="1">IFERROR(__xludf.DUMMYFUNCTION("""COMPUTED_VALUE"""),"N/A")</f>
        <v>N/A</v>
      </c>
      <c r="R85" s="18" t="str">
        <f ca="1">IFERROR(__xludf.DUMMYFUNCTION("""COMPUTED_VALUE"""),"N/A")</f>
        <v>N/A</v>
      </c>
      <c r="S85" s="18" t="str">
        <f ca="1">IFERROR(__xludf.DUMMYFUNCTION("""COMPUTED_VALUE"""),"N/A")</f>
        <v>N/A</v>
      </c>
      <c r="T85" s="18" t="str">
        <f ca="1">IFERROR(__xludf.DUMMYFUNCTION("""COMPUTED_VALUE"""),"N/A")</f>
        <v>N/A</v>
      </c>
      <c r="U85" s="18" t="str">
        <f ca="1">IFERROR(__xludf.DUMMYFUNCTION("""COMPUTED_VALUE"""),"N/A")</f>
        <v>N/A</v>
      </c>
      <c r="V85" s="18" t="str">
        <f ca="1">IFERROR(__xludf.DUMMYFUNCTION("""COMPUTED_VALUE"""),"N/A")</f>
        <v>N/A</v>
      </c>
      <c r="W85" s="18" t="str">
        <f ca="1">IFERROR(__xludf.DUMMYFUNCTION("""COMPUTED_VALUE"""),"N/A")</f>
        <v>N/A</v>
      </c>
      <c r="X85" s="18" t="str">
        <f ca="1">IFERROR(__xludf.DUMMYFUNCTION("""COMPUTED_VALUE"""),"N/A")</f>
        <v>N/A</v>
      </c>
      <c r="Y85" s="18" t="e">
        <f ca="1"/>
        <v>#NAME?</v>
      </c>
      <c r="Z85" s="18" t="str">
        <f ca="1">IFERROR(__xludf.DUMMYFUNCTION("""COMPUTED_VALUE"""),"N/A")</f>
        <v>N/A</v>
      </c>
      <c r="AA85" s="18" t="str">
        <f ca="1">IFERROR(__xludf.DUMMYFUNCTION("""COMPUTED_VALUE"""),"N/A")</f>
        <v>N/A</v>
      </c>
      <c r="AC85" s="59" t="s">
        <v>884</v>
      </c>
      <c r="AD85" s="59" t="s">
        <v>884</v>
      </c>
      <c r="AE85" s="59" t="s">
        <v>901</v>
      </c>
      <c r="AF85" s="59" t="s">
        <v>923</v>
      </c>
      <c r="AG85" s="59" t="s">
        <v>923</v>
      </c>
      <c r="AH85" s="59" t="s">
        <v>913</v>
      </c>
      <c r="AI85" s="59" t="s">
        <v>916</v>
      </c>
      <c r="AJ85" s="59" t="s">
        <v>916</v>
      </c>
      <c r="AK85" s="59" t="s">
        <v>916</v>
      </c>
      <c r="AL85" s="59" t="s">
        <v>916</v>
      </c>
      <c r="AM85" s="59" t="s">
        <v>916</v>
      </c>
      <c r="AN85" s="59" t="s">
        <v>924</v>
      </c>
      <c r="AO85" s="59" t="s">
        <v>924</v>
      </c>
      <c r="AP85" s="59" t="s">
        <v>898</v>
      </c>
      <c r="AQ85" s="59" t="s">
        <v>908</v>
      </c>
      <c r="AR85" s="59" t="s">
        <v>908</v>
      </c>
      <c r="AS85" s="59" t="s">
        <v>925</v>
      </c>
      <c r="AT85" s="59" t="s">
        <v>925</v>
      </c>
    </row>
    <row r="86" spans="1:46" x14ac:dyDescent="0.25">
      <c r="A86" s="18" t="str">
        <v>esp_boot_count_brownout:{"type":"attribute","data_type":"uint32","is_readonly":true,"reporting_type":"polled","poll_freq":86400},</v>
      </c>
      <c r="B86" s="52" t="str">
        <f ca="1"/>
        <v>N/A</v>
      </c>
      <c r="C86" s="52" t="str">
        <f ca="1">IFERROR(__xludf.DUMMYFUNCTION("""COMPUTED_VALUE"""),"esp_boot_count_brownout")</f>
        <v>esp_boot_count_brownout</v>
      </c>
      <c r="D86" s="18" t="str">
        <f ca="1">IFERROR(__xludf.DUMMYFUNCTION("""COMPUTED_VALUE"""),"attribute")</f>
        <v>attribute</v>
      </c>
      <c r="E86" s="18" t="str">
        <f ca="1">IFERROR(__xludf.DUMMYFUNCTION("""COMPUTED_VALUE"""),"uint32")</f>
        <v>uint32</v>
      </c>
      <c r="F86" s="18" t="str">
        <f ca="1">IFERROR(__xludf.DUMMYFUNCTION("""COMPUTED_VALUE"""),"true")</f>
        <v>true</v>
      </c>
      <c r="G86" s="18" t="str">
        <f ca="1">IFERROR(__xludf.DUMMYFUNCTION("""COMPUTED_VALUE"""),"polled")</f>
        <v>polled</v>
      </c>
      <c r="H86" s="18" t="str">
        <f ca="1">IFERROR(__xludf.DUMMYFUNCTION("""COMPUTED_VALUE"""),"86400")</f>
        <v>86400</v>
      </c>
      <c r="I86" s="18" t="str">
        <f ca="1">IFERROR(__xludf.DUMMYFUNCTION("""COMPUTED_VALUE"""),"N/A")</f>
        <v>N/A</v>
      </c>
      <c r="J86" s="18" t="str">
        <f ca="1">IFERROR(__xludf.DUMMYFUNCTION("""COMPUTED_VALUE"""),"N/A")</f>
        <v>N/A</v>
      </c>
      <c r="K86" s="18" t="str">
        <f ca="1">IFERROR(__xludf.DUMMYFUNCTION("""COMPUTED_VALUE"""),"N/A")</f>
        <v>N/A</v>
      </c>
      <c r="L86" s="18" t="str">
        <f ca="1">IFERROR(__xludf.DUMMYFUNCTION("""COMPUTED_VALUE"""),"N/A")</f>
        <v>N/A</v>
      </c>
      <c r="M86" s="18" t="str">
        <f ca="1">IFERROR(__xludf.DUMMYFUNCTION("""COMPUTED_VALUE"""),"N/A")</f>
        <v>N/A</v>
      </c>
      <c r="N86" s="18" t="str">
        <f ca="1">IFERROR(__xludf.DUMMYFUNCTION("""COMPUTED_VALUE"""),"N/A")</f>
        <v>N/A</v>
      </c>
      <c r="O86" s="18" t="str">
        <f ca="1">IFERROR(__xludf.DUMMYFUNCTION("""COMPUTED_VALUE"""),"N/A")</f>
        <v>N/A</v>
      </c>
      <c r="P86" s="18" t="str">
        <f ca="1">IFERROR(__xludf.DUMMYFUNCTION("""COMPUTED_VALUE"""),"N/A")</f>
        <v>N/A</v>
      </c>
      <c r="Q86" s="18" t="str">
        <f ca="1">IFERROR(__xludf.DUMMYFUNCTION("""COMPUTED_VALUE"""),"N/A")</f>
        <v>N/A</v>
      </c>
      <c r="R86" s="18" t="str">
        <f ca="1">IFERROR(__xludf.DUMMYFUNCTION("""COMPUTED_VALUE"""),"N/A")</f>
        <v>N/A</v>
      </c>
      <c r="S86" s="18" t="str">
        <f ca="1">IFERROR(__xludf.DUMMYFUNCTION("""COMPUTED_VALUE"""),"N/A")</f>
        <v>N/A</v>
      </c>
      <c r="T86" s="18" t="str">
        <f ca="1">IFERROR(__xludf.DUMMYFUNCTION("""COMPUTED_VALUE"""),"N/A")</f>
        <v>N/A</v>
      </c>
      <c r="U86" s="18" t="str">
        <f ca="1">IFERROR(__xludf.DUMMYFUNCTION("""COMPUTED_VALUE"""),"N/A")</f>
        <v>N/A</v>
      </c>
      <c r="V86" s="18" t="str">
        <f ca="1">IFERROR(__xludf.DUMMYFUNCTION("""COMPUTED_VALUE"""),"N/A")</f>
        <v>N/A</v>
      </c>
      <c r="W86" s="18" t="str">
        <f ca="1">IFERROR(__xludf.DUMMYFUNCTION("""COMPUTED_VALUE"""),"N/A")</f>
        <v>N/A</v>
      </c>
      <c r="X86" s="18" t="str">
        <f ca="1">IFERROR(__xludf.DUMMYFUNCTION("""COMPUTED_VALUE"""),"N/A")</f>
        <v>N/A</v>
      </c>
      <c r="Y86" s="18" t="e">
        <f ca="1"/>
        <v>#NAME?</v>
      </c>
      <c r="Z86" s="18" t="str">
        <f ca="1">IFERROR(__xludf.DUMMYFUNCTION("""COMPUTED_VALUE"""),"N/A")</f>
        <v>N/A</v>
      </c>
      <c r="AA86" s="18" t="str">
        <f ca="1">IFERROR(__xludf.DUMMYFUNCTION("""COMPUTED_VALUE"""),"N/A")</f>
        <v>N/A</v>
      </c>
      <c r="AC86" s="59" t="s">
        <v>887</v>
      </c>
      <c r="AD86" s="59" t="s">
        <v>887</v>
      </c>
      <c r="AE86" s="59" t="s">
        <v>919</v>
      </c>
      <c r="AF86" s="59" t="s">
        <v>926</v>
      </c>
      <c r="AG86" s="59" t="s">
        <v>926</v>
      </c>
      <c r="AH86" s="59" t="s">
        <v>916</v>
      </c>
      <c r="AI86" s="59" t="s">
        <v>920</v>
      </c>
      <c r="AJ86" s="59" t="s">
        <v>920</v>
      </c>
      <c r="AK86" s="59" t="s">
        <v>920</v>
      </c>
      <c r="AL86" s="59" t="s">
        <v>920</v>
      </c>
      <c r="AM86" s="59" t="s">
        <v>920</v>
      </c>
      <c r="AN86" s="59" t="s">
        <v>927</v>
      </c>
      <c r="AO86" s="59" t="s">
        <v>927</v>
      </c>
      <c r="AP86" s="59" t="s">
        <v>928</v>
      </c>
      <c r="AQ86" s="59" t="s">
        <v>912</v>
      </c>
      <c r="AR86" s="59" t="s">
        <v>912</v>
      </c>
      <c r="AS86" s="59" t="s">
        <v>929</v>
      </c>
      <c r="AT86" s="59" t="s">
        <v>929</v>
      </c>
    </row>
    <row r="87" spans="1:46" x14ac:dyDescent="0.25">
      <c r="A87" s="18" t="str">
        <v>esp_boot_count_watchdog:{"type":"attribute","data_type":"uint32","is_readonly":true,"reporting_type":"polled","poll_freq":86400},</v>
      </c>
      <c r="B87" s="52" t="str">
        <f ca="1"/>
        <v>N/A</v>
      </c>
      <c r="C87" s="52" t="str">
        <f ca="1">IFERROR(__xludf.DUMMYFUNCTION("""COMPUTED_VALUE"""),"esp_boot_count_watchdog")</f>
        <v>esp_boot_count_watchdog</v>
      </c>
      <c r="D87" s="18" t="str">
        <f ca="1">IFERROR(__xludf.DUMMYFUNCTION("""COMPUTED_VALUE"""),"attribute")</f>
        <v>attribute</v>
      </c>
      <c r="E87" s="18" t="str">
        <f ca="1">IFERROR(__xludf.DUMMYFUNCTION("""COMPUTED_VALUE"""),"uint32")</f>
        <v>uint32</v>
      </c>
      <c r="F87" s="18" t="str">
        <f ca="1">IFERROR(__xludf.DUMMYFUNCTION("""COMPUTED_VALUE"""),"true")</f>
        <v>true</v>
      </c>
      <c r="G87" s="18" t="str">
        <f ca="1">IFERROR(__xludf.DUMMYFUNCTION("""COMPUTED_VALUE"""),"polled")</f>
        <v>polled</v>
      </c>
      <c r="H87" s="18" t="str">
        <f ca="1">IFERROR(__xludf.DUMMYFUNCTION("""COMPUTED_VALUE"""),"86400")</f>
        <v>86400</v>
      </c>
      <c r="I87" s="18" t="str">
        <f ca="1">IFERROR(__xludf.DUMMYFUNCTION("""COMPUTED_VALUE"""),"N/A")</f>
        <v>N/A</v>
      </c>
      <c r="J87" s="18" t="str">
        <f ca="1">IFERROR(__xludf.DUMMYFUNCTION("""COMPUTED_VALUE"""),"N/A")</f>
        <v>N/A</v>
      </c>
      <c r="K87" s="18" t="str">
        <f ca="1">IFERROR(__xludf.DUMMYFUNCTION("""COMPUTED_VALUE"""),"N/A")</f>
        <v>N/A</v>
      </c>
      <c r="L87" s="18" t="str">
        <f ca="1">IFERROR(__xludf.DUMMYFUNCTION("""COMPUTED_VALUE"""),"N/A")</f>
        <v>N/A</v>
      </c>
      <c r="M87" s="18" t="str">
        <f ca="1">IFERROR(__xludf.DUMMYFUNCTION("""COMPUTED_VALUE"""),"N/A")</f>
        <v>N/A</v>
      </c>
      <c r="N87" s="18" t="str">
        <f ca="1">IFERROR(__xludf.DUMMYFUNCTION("""COMPUTED_VALUE"""),"N/A")</f>
        <v>N/A</v>
      </c>
      <c r="O87" s="18" t="str">
        <f ca="1">IFERROR(__xludf.DUMMYFUNCTION("""COMPUTED_VALUE"""),"N/A")</f>
        <v>N/A</v>
      </c>
      <c r="P87" s="18" t="str">
        <f ca="1">IFERROR(__xludf.DUMMYFUNCTION("""COMPUTED_VALUE"""),"N/A")</f>
        <v>N/A</v>
      </c>
      <c r="Q87" s="18" t="str">
        <f ca="1">IFERROR(__xludf.DUMMYFUNCTION("""COMPUTED_VALUE"""),"N/A")</f>
        <v>N/A</v>
      </c>
      <c r="R87" s="18" t="str">
        <f ca="1">IFERROR(__xludf.DUMMYFUNCTION("""COMPUTED_VALUE"""),"N/A")</f>
        <v>N/A</v>
      </c>
      <c r="S87" s="18" t="str">
        <f ca="1">IFERROR(__xludf.DUMMYFUNCTION("""COMPUTED_VALUE"""),"N/A")</f>
        <v>N/A</v>
      </c>
      <c r="T87" s="18" t="str">
        <f ca="1">IFERROR(__xludf.DUMMYFUNCTION("""COMPUTED_VALUE"""),"N/A")</f>
        <v>N/A</v>
      </c>
      <c r="U87" s="18" t="str">
        <f ca="1">IFERROR(__xludf.DUMMYFUNCTION("""COMPUTED_VALUE"""),"N/A")</f>
        <v>N/A</v>
      </c>
      <c r="V87" s="18" t="str">
        <f ca="1">IFERROR(__xludf.DUMMYFUNCTION("""COMPUTED_VALUE"""),"N/A")</f>
        <v>N/A</v>
      </c>
      <c r="W87" s="18" t="str">
        <f ca="1">IFERROR(__xludf.DUMMYFUNCTION("""COMPUTED_VALUE"""),"N/A")</f>
        <v>N/A</v>
      </c>
      <c r="X87" s="18" t="str">
        <f ca="1">IFERROR(__xludf.DUMMYFUNCTION("""COMPUTED_VALUE"""),"N/A")</f>
        <v>N/A</v>
      </c>
      <c r="Y87" s="18" t="e">
        <f ca="1"/>
        <v>#NAME?</v>
      </c>
      <c r="Z87" s="18" t="str">
        <f ca="1">IFERROR(__xludf.DUMMYFUNCTION("""COMPUTED_VALUE"""),"N/A")</f>
        <v>N/A</v>
      </c>
      <c r="AA87" s="18" t="str">
        <f ca="1">IFERROR(__xludf.DUMMYFUNCTION("""COMPUTED_VALUE"""),"N/A")</f>
        <v>N/A</v>
      </c>
      <c r="AC87" s="59" t="s">
        <v>890</v>
      </c>
      <c r="AD87" s="59" t="s">
        <v>890</v>
      </c>
      <c r="AE87" s="59" t="s">
        <v>923</v>
      </c>
      <c r="AF87" s="59" t="s">
        <v>930</v>
      </c>
      <c r="AG87" s="59" t="s">
        <v>930</v>
      </c>
      <c r="AH87" s="59" t="s">
        <v>920</v>
      </c>
      <c r="AI87" s="59" t="s">
        <v>924</v>
      </c>
      <c r="AJ87" s="59" t="s">
        <v>924</v>
      </c>
      <c r="AK87" s="59" t="s">
        <v>924</v>
      </c>
      <c r="AL87" s="59" t="s">
        <v>924</v>
      </c>
      <c r="AM87" s="59" t="s">
        <v>924</v>
      </c>
      <c r="AN87" s="59" t="s">
        <v>931</v>
      </c>
      <c r="AO87" s="59" t="s">
        <v>931</v>
      </c>
      <c r="AP87" s="59" t="s">
        <v>932</v>
      </c>
      <c r="AQ87" s="59" t="s">
        <v>915</v>
      </c>
      <c r="AR87" s="59" t="s">
        <v>915</v>
      </c>
      <c r="AS87" s="59" t="s">
        <v>933</v>
      </c>
      <c r="AT87" s="59" t="s">
        <v>933</v>
      </c>
    </row>
    <row r="88" spans="1:46" x14ac:dyDescent="0.25">
      <c r="A88" s="18" t="str">
        <v>esp_boot_count_wifi:{"type":"attribute","data_type":"uint32","is_readonly":true,"reporting_type":"polled","poll_freq":86400},</v>
      </c>
      <c r="B88" s="52" t="str">
        <f ca="1"/>
        <v>N/A</v>
      </c>
      <c r="C88" s="52" t="str">
        <f ca="1">IFERROR(__xludf.DUMMYFUNCTION("""COMPUTED_VALUE"""),"esp_boot_count_wifi")</f>
        <v>esp_boot_count_wifi</v>
      </c>
      <c r="D88" s="18" t="str">
        <f ca="1">IFERROR(__xludf.DUMMYFUNCTION("""COMPUTED_VALUE"""),"attribute")</f>
        <v>attribute</v>
      </c>
      <c r="E88" s="18" t="str">
        <f ca="1">IFERROR(__xludf.DUMMYFUNCTION("""COMPUTED_VALUE"""),"uint32")</f>
        <v>uint32</v>
      </c>
      <c r="F88" s="18" t="str">
        <f ca="1">IFERROR(__xludf.DUMMYFUNCTION("""COMPUTED_VALUE"""),"true")</f>
        <v>true</v>
      </c>
      <c r="G88" s="18" t="str">
        <f ca="1">IFERROR(__xludf.DUMMYFUNCTION("""COMPUTED_VALUE"""),"polled")</f>
        <v>polled</v>
      </c>
      <c r="H88" s="18" t="str">
        <f ca="1">IFERROR(__xludf.DUMMYFUNCTION("""COMPUTED_VALUE"""),"86400")</f>
        <v>86400</v>
      </c>
      <c r="I88" s="18" t="str">
        <f ca="1">IFERROR(__xludf.DUMMYFUNCTION("""COMPUTED_VALUE"""),"N/A")</f>
        <v>N/A</v>
      </c>
      <c r="J88" s="18" t="str">
        <f ca="1">IFERROR(__xludf.DUMMYFUNCTION("""COMPUTED_VALUE"""),"N/A")</f>
        <v>N/A</v>
      </c>
      <c r="K88" s="18" t="str">
        <f ca="1">IFERROR(__xludf.DUMMYFUNCTION("""COMPUTED_VALUE"""),"N/A")</f>
        <v>N/A</v>
      </c>
      <c r="L88" s="18" t="str">
        <f ca="1">IFERROR(__xludf.DUMMYFUNCTION("""COMPUTED_VALUE"""),"N/A")</f>
        <v>N/A</v>
      </c>
      <c r="M88" s="18" t="str">
        <f ca="1">IFERROR(__xludf.DUMMYFUNCTION("""COMPUTED_VALUE"""),"N/A")</f>
        <v>N/A</v>
      </c>
      <c r="N88" s="18" t="str">
        <f ca="1">IFERROR(__xludf.DUMMYFUNCTION("""COMPUTED_VALUE"""),"N/A")</f>
        <v>N/A</v>
      </c>
      <c r="O88" s="18" t="str">
        <f ca="1">IFERROR(__xludf.DUMMYFUNCTION("""COMPUTED_VALUE"""),"N/A")</f>
        <v>N/A</v>
      </c>
      <c r="P88" s="18" t="str">
        <f ca="1">IFERROR(__xludf.DUMMYFUNCTION("""COMPUTED_VALUE"""),"N/A")</f>
        <v>N/A</v>
      </c>
      <c r="Q88" s="18" t="str">
        <f ca="1">IFERROR(__xludf.DUMMYFUNCTION("""COMPUTED_VALUE"""),"N/A")</f>
        <v>N/A</v>
      </c>
      <c r="R88" s="18" t="str">
        <f ca="1">IFERROR(__xludf.DUMMYFUNCTION("""COMPUTED_VALUE"""),"N/A")</f>
        <v>N/A</v>
      </c>
      <c r="S88" s="18" t="str">
        <f ca="1">IFERROR(__xludf.DUMMYFUNCTION("""COMPUTED_VALUE"""),"N/A")</f>
        <v>N/A</v>
      </c>
      <c r="T88" s="18" t="str">
        <f ca="1">IFERROR(__xludf.DUMMYFUNCTION("""COMPUTED_VALUE"""),"N/A")</f>
        <v>N/A</v>
      </c>
      <c r="U88" s="18" t="str">
        <f ca="1">IFERROR(__xludf.DUMMYFUNCTION("""COMPUTED_VALUE"""),"N/A")</f>
        <v>N/A</v>
      </c>
      <c r="V88" s="18" t="str">
        <f ca="1">IFERROR(__xludf.DUMMYFUNCTION("""COMPUTED_VALUE"""),"N/A")</f>
        <v>N/A</v>
      </c>
      <c r="W88" s="18" t="str">
        <f ca="1">IFERROR(__xludf.DUMMYFUNCTION("""COMPUTED_VALUE"""),"N/A")</f>
        <v>N/A</v>
      </c>
      <c r="X88" s="18" t="str">
        <f ca="1">IFERROR(__xludf.DUMMYFUNCTION("""COMPUTED_VALUE"""),"N/A")</f>
        <v>N/A</v>
      </c>
      <c r="Y88" s="18" t="e">
        <f ca="1"/>
        <v>#NAME?</v>
      </c>
      <c r="Z88" s="18" t="str">
        <f ca="1">IFERROR(__xludf.DUMMYFUNCTION("""COMPUTED_VALUE"""),"N/A")</f>
        <v>N/A</v>
      </c>
      <c r="AA88" s="18" t="str">
        <f ca="1">IFERROR(__xludf.DUMMYFUNCTION("""COMPUTED_VALUE"""),"N/A")</f>
        <v>N/A</v>
      </c>
      <c r="AC88" s="59" t="s">
        <v>893</v>
      </c>
      <c r="AD88" s="59" t="s">
        <v>893</v>
      </c>
      <c r="AE88" s="59" t="s">
        <v>926</v>
      </c>
      <c r="AF88" s="59" t="s">
        <v>920</v>
      </c>
      <c r="AG88" s="59" t="s">
        <v>920</v>
      </c>
      <c r="AH88" s="59" t="s">
        <v>924</v>
      </c>
      <c r="AI88" s="59" t="s">
        <v>927</v>
      </c>
      <c r="AJ88" s="59" t="s">
        <v>927</v>
      </c>
      <c r="AK88" s="59" t="s">
        <v>927</v>
      </c>
      <c r="AL88" s="59" t="s">
        <v>927</v>
      </c>
      <c r="AM88" s="59" t="s">
        <v>927</v>
      </c>
      <c r="AN88" s="59" t="s">
        <v>934</v>
      </c>
      <c r="AO88" s="59" t="s">
        <v>934</v>
      </c>
      <c r="AP88" s="59" t="s">
        <v>935</v>
      </c>
      <c r="AQ88" s="59" t="s">
        <v>918</v>
      </c>
      <c r="AR88" s="59" t="s">
        <v>918</v>
      </c>
      <c r="AS88" s="59" t="s">
        <v>936</v>
      </c>
      <c r="AT88" s="59" t="s">
        <v>936</v>
      </c>
    </row>
    <row r="89" spans="1:46" x14ac:dyDescent="0.25">
      <c r="A89" s="18" t="str">
        <v>local_temp_calibration:{"type":"attribute","data_type":"float","is_readonly":false,"reporting_type":"reported","report_max":3600,"report_min":0,"report_threshold":0,"max":5,"min":-5,"decimal_places":2,"default_value":null,"zigbee_metadata":{"attr_id":16,"endpoint_id":10,"profile_id":260,"cluster_id":513,"zcl_data_type":41,"write_formatter":"lambdax:int(round(x,2)*100)","read_formatter":"lambdax:x/100"}},</v>
      </c>
      <c r="B89" s="52" t="str">
        <f ca="1"/>
        <v>0x0201 0x0010</v>
      </c>
      <c r="C89" s="52" t="str">
        <f ca="1">IFERROR(__xludf.DUMMYFUNCTION("""COMPUTED_VALUE"""),"local_temp_calibration")</f>
        <v>local_temp_calibration</v>
      </c>
      <c r="D89" s="18" t="str">
        <f ca="1">IFERROR(__xludf.DUMMYFUNCTION("""COMPUTED_VALUE"""),"attribute")</f>
        <v>attribute</v>
      </c>
      <c r="E89" s="18" t="str">
        <f ca="1">IFERROR(__xludf.DUMMYFUNCTION("""COMPUTED_VALUE"""),"float")</f>
        <v>float</v>
      </c>
      <c r="F89" s="18" t="str">
        <f ca="1">IFERROR(__xludf.DUMMYFUNCTION("""COMPUTED_VALUE"""),"false")</f>
        <v>false</v>
      </c>
      <c r="G89" s="18" t="str">
        <f ca="1">IFERROR(__xludf.DUMMYFUNCTION("""COMPUTED_VALUE"""),"reported")</f>
        <v>reported</v>
      </c>
      <c r="H89" s="18" t="str">
        <f ca="1">IFERROR(__xludf.DUMMYFUNCTION("""COMPUTED_VALUE"""),"N/A")</f>
        <v>N/A</v>
      </c>
      <c r="I89" s="18" t="str">
        <f ca="1">IFERROR(__xludf.DUMMYFUNCTION("""COMPUTED_VALUE"""),"3600")</f>
        <v>3600</v>
      </c>
      <c r="J89" s="18" t="str">
        <f ca="1">IFERROR(__xludf.DUMMYFUNCTION("""COMPUTED_VALUE"""),"0")</f>
        <v>0</v>
      </c>
      <c r="K89" s="18" t="str">
        <f ca="1">IFERROR(__xludf.DUMMYFUNCTION("""COMPUTED_VALUE"""),"0")</f>
        <v>0</v>
      </c>
      <c r="L89" s="18" t="str">
        <f ca="1">IFERROR(__xludf.DUMMYFUNCTION("""COMPUTED_VALUE"""),"5")</f>
        <v>5</v>
      </c>
      <c r="M89" s="18" t="str">
        <f ca="1">IFERROR(__xludf.DUMMYFUNCTION("""COMPUTED_VALUE"""),"N/A")</f>
        <v>N/A</v>
      </c>
      <c r="N89" s="18" t="str">
        <f ca="1">IFERROR(__xludf.DUMMYFUNCTION("""COMPUTED_VALUE"""),"N/A")</f>
        <v>N/A</v>
      </c>
      <c r="O89" s="18" t="str">
        <f ca="1">IFERROR(__xludf.DUMMYFUNCTION("""COMPUTED_VALUE"""),"N/A")</f>
        <v>N/A</v>
      </c>
      <c r="P89" s="18" t="str">
        <f ca="1">IFERROR(__xludf.DUMMYFUNCTION("""COMPUTED_VALUE"""),"N/A")</f>
        <v>N/A</v>
      </c>
      <c r="Q89" s="18" t="str">
        <f ca="1">IFERROR(__xludf.DUMMYFUNCTION("""COMPUTED_VALUE"""),"N/A")</f>
        <v>N/A</v>
      </c>
      <c r="R89" s="18" t="str">
        <f ca="1">IFERROR(__xludf.DUMMYFUNCTION("""COMPUTED_VALUE"""),"2")</f>
        <v>2</v>
      </c>
      <c r="S89" s="18" t="str">
        <f ca="1">IFERROR(__xludf.DUMMYFUNCTION("""COMPUTED_VALUE"""),"null")</f>
        <v>null</v>
      </c>
      <c r="T89" s="18" t="str">
        <f ca="1">IFERROR(__xludf.DUMMYFUNCTION("""COMPUTED_VALUE"""),"0x0010")</f>
        <v>0x0010</v>
      </c>
      <c r="U89" s="18" t="str">
        <f ca="1">IFERROR(__xludf.DUMMYFUNCTION("""COMPUTED_VALUE"""),"0x0A")</f>
        <v>0x0A</v>
      </c>
      <c r="V89" s="18" t="str">
        <f ca="1">IFERROR(__xludf.DUMMYFUNCTION("""COMPUTED_VALUE"""),"0x0104")</f>
        <v>0x0104</v>
      </c>
      <c r="W89" s="18" t="str">
        <f ca="1">IFERROR(__xludf.DUMMYFUNCTION("""COMPUTED_VALUE"""),"0x0201")</f>
        <v>0x0201</v>
      </c>
      <c r="X89" s="18" t="str">
        <f ca="1">IFERROR(__xludf.DUMMYFUNCTION("""COMPUTED_VALUE"""),"0x29")</f>
        <v>0x29</v>
      </c>
      <c r="Y89" s="18" t="e">
        <f ca="1"/>
        <v>#NAME?</v>
      </c>
      <c r="Z89" s="18" t="str">
        <f ca="1">IFERROR(__xludf.DUMMYFUNCTION("""COMPUTED_VALUE"""),"lambdax:int(round(x,2)*100)")</f>
        <v>lambdax:int(round(x,2)*100)</v>
      </c>
      <c r="AA89" s="18" t="str">
        <f ca="1">IFERROR(__xludf.DUMMYFUNCTION("""COMPUTED_VALUE"""),"lambdax:x/100")</f>
        <v>lambdax:x/100</v>
      </c>
      <c r="AC89" s="59" t="s">
        <v>904</v>
      </c>
      <c r="AD89" s="59" t="s">
        <v>904</v>
      </c>
      <c r="AE89" s="59" t="s">
        <v>930</v>
      </c>
      <c r="AF89" s="59" t="s">
        <v>937</v>
      </c>
      <c r="AG89" s="59" t="s">
        <v>937</v>
      </c>
      <c r="AH89" s="59" t="s">
        <v>927</v>
      </c>
      <c r="AI89" s="59" t="s">
        <v>931</v>
      </c>
      <c r="AJ89" s="59" t="s">
        <v>931</v>
      </c>
      <c r="AK89" s="59" t="s">
        <v>931</v>
      </c>
      <c r="AL89" s="59" t="s">
        <v>931</v>
      </c>
      <c r="AM89" s="59" t="s">
        <v>931</v>
      </c>
      <c r="AN89" s="59" t="s">
        <v>938</v>
      </c>
      <c r="AO89" s="59" t="s">
        <v>938</v>
      </c>
      <c r="AP89" s="59" t="s">
        <v>939</v>
      </c>
      <c r="AQ89" s="59" t="s">
        <v>922</v>
      </c>
      <c r="AR89" s="59" t="s">
        <v>922</v>
      </c>
      <c r="AS89" s="59" t="s">
        <v>940</v>
      </c>
      <c r="AT89" s="59" t="s">
        <v>940</v>
      </c>
    </row>
    <row r="90" spans="1:46" x14ac:dyDescent="0.25">
      <c r="A90" s="18" t="str">
        <v>occupancy_devices:{"type":"attribute","data_type":"uint32","is_readonly":false,"reporting_type":"polled","poll_freq":86400,"default_value":0,"zigbee_metadata":{"attr_id":61664,"endpoint_id":10,"profile_id":260,"cluster_id":513,"zcl_data_type":27}},</v>
      </c>
      <c r="B90" s="52" t="str">
        <f ca="1"/>
        <v>0x0201 0xF0E0</v>
      </c>
      <c r="C90" s="52" t="str">
        <f ca="1">IFERROR(__xludf.DUMMYFUNCTION("""COMPUTED_VALUE"""),"occupancy_devices")</f>
        <v>occupancy_devices</v>
      </c>
      <c r="D90" s="18" t="str">
        <f ca="1">IFERROR(__xludf.DUMMYFUNCTION("""COMPUTED_VALUE"""),"attribute")</f>
        <v>attribute</v>
      </c>
      <c r="E90" s="18" t="str">
        <f ca="1">IFERROR(__xludf.DUMMYFUNCTION("""COMPUTED_VALUE"""),"uint32")</f>
        <v>uint32</v>
      </c>
      <c r="F90" s="18" t="str">
        <f ca="1">IFERROR(__xludf.DUMMYFUNCTION("""COMPUTED_VALUE"""),"false")</f>
        <v>false</v>
      </c>
      <c r="G90" s="18" t="str">
        <f ca="1">IFERROR(__xludf.DUMMYFUNCTION("""COMPUTED_VALUE"""),"polled")</f>
        <v>polled</v>
      </c>
      <c r="H90" s="18" t="str">
        <f ca="1">IFERROR(__xludf.DUMMYFUNCTION("""COMPUTED_VALUE"""),"86400")</f>
        <v>86400</v>
      </c>
      <c r="I90" s="18" t="str">
        <f ca="1">IFERROR(__xludf.DUMMYFUNCTION("""COMPUTED_VALUE"""),"N/A")</f>
        <v>N/A</v>
      </c>
      <c r="J90" s="18" t="str">
        <f ca="1">IFERROR(__xludf.DUMMYFUNCTION("""COMPUTED_VALUE"""),"N/A")</f>
        <v>N/A</v>
      </c>
      <c r="K90" s="18" t="str">
        <f ca="1">IFERROR(__xludf.DUMMYFUNCTION("""COMPUTED_VALUE"""),"N/A")</f>
        <v>N/A</v>
      </c>
      <c r="L90" s="18" t="str">
        <f ca="1">IFERROR(__xludf.DUMMYFUNCTION("""COMPUTED_VALUE"""),"N/A")</f>
        <v>N/A</v>
      </c>
      <c r="M90" s="18" t="str">
        <f ca="1">IFERROR(__xludf.DUMMYFUNCTION("""COMPUTED_VALUE"""),"N/A")</f>
        <v>N/A</v>
      </c>
      <c r="N90" s="18" t="str">
        <f ca="1">IFERROR(__xludf.DUMMYFUNCTION("""COMPUTED_VALUE"""),"N/A")</f>
        <v>N/A</v>
      </c>
      <c r="O90" s="18" t="str">
        <f ca="1">IFERROR(__xludf.DUMMYFUNCTION("""COMPUTED_VALUE"""),"N/A")</f>
        <v>N/A</v>
      </c>
      <c r="P90" s="18" t="str">
        <f ca="1">IFERROR(__xludf.DUMMYFUNCTION("""COMPUTED_VALUE"""),"N/A")</f>
        <v>N/A</v>
      </c>
      <c r="Q90" s="18" t="str">
        <f ca="1">IFERROR(__xludf.DUMMYFUNCTION("""COMPUTED_VALUE"""),"N/A")</f>
        <v>N/A</v>
      </c>
      <c r="R90" s="18" t="str">
        <f ca="1">IFERROR(__xludf.DUMMYFUNCTION("""COMPUTED_VALUE"""),"N/A")</f>
        <v>N/A</v>
      </c>
      <c r="S90" s="18" t="str">
        <f ca="1">IFERROR(__xludf.DUMMYFUNCTION("""COMPUTED_VALUE"""),"0")</f>
        <v>0</v>
      </c>
      <c r="T90" s="18" t="str">
        <f ca="1">IFERROR(__xludf.DUMMYFUNCTION("""COMPUTED_VALUE"""),"0xF0E0")</f>
        <v>0xF0E0</v>
      </c>
      <c r="U90" s="18" t="str">
        <f ca="1">IFERROR(__xludf.DUMMYFUNCTION("""COMPUTED_VALUE"""),"0x0A")</f>
        <v>0x0A</v>
      </c>
      <c r="V90" s="18" t="str">
        <f ca="1">IFERROR(__xludf.DUMMYFUNCTION("""COMPUTED_VALUE"""),"0x0104")</f>
        <v>0x0104</v>
      </c>
      <c r="W90" s="18" t="str">
        <f ca="1">IFERROR(__xludf.DUMMYFUNCTION("""COMPUTED_VALUE"""),"0x0201")</f>
        <v>0x0201</v>
      </c>
      <c r="X90" s="18" t="str">
        <f ca="1">IFERROR(__xludf.DUMMYFUNCTION("""COMPUTED_VALUE"""),"0x1B")</f>
        <v>0x1B</v>
      </c>
      <c r="Y90" s="18" t="e">
        <f ca="1"/>
        <v>#NAME?</v>
      </c>
      <c r="Z90" s="18" t="str">
        <f ca="1">IFERROR(__xludf.DUMMYFUNCTION("""COMPUTED_VALUE"""),"N/A")</f>
        <v>N/A</v>
      </c>
      <c r="AA90" s="18" t="str">
        <f ca="1">IFERROR(__xludf.DUMMYFUNCTION("""COMPUTED_VALUE"""),"N/A")</f>
        <v>N/A</v>
      </c>
      <c r="AC90" s="59" t="s">
        <v>909</v>
      </c>
      <c r="AD90" s="59" t="s">
        <v>909</v>
      </c>
      <c r="AE90" s="59" t="s">
        <v>920</v>
      </c>
      <c r="AF90" s="59" t="s">
        <v>941</v>
      </c>
      <c r="AG90" s="59" t="s">
        <v>941</v>
      </c>
      <c r="AH90" s="59" t="s">
        <v>931</v>
      </c>
      <c r="AI90" s="59" t="s">
        <v>934</v>
      </c>
      <c r="AJ90" s="59" t="s">
        <v>934</v>
      </c>
      <c r="AK90" s="59" t="s">
        <v>934</v>
      </c>
      <c r="AL90" s="59" t="s">
        <v>934</v>
      </c>
      <c r="AM90" s="59" t="s">
        <v>934</v>
      </c>
      <c r="AN90" s="59" t="s">
        <v>942</v>
      </c>
      <c r="AO90" s="59" t="s">
        <v>942</v>
      </c>
      <c r="AP90" s="59" t="s">
        <v>943</v>
      </c>
      <c r="AQ90" s="59" t="s">
        <v>925</v>
      </c>
      <c r="AR90" s="59" t="s">
        <v>925</v>
      </c>
      <c r="AS90" s="59" t="s">
        <v>944</v>
      </c>
      <c r="AT90" s="59" t="s">
        <v>944</v>
      </c>
    </row>
    <row r="91" spans="1:46" x14ac:dyDescent="0.25">
      <c r="A91" s="18" t="str">
        <v>occupancy_sensor_state:{"type":"telemetry","data_type":"uint32","is_readonly":true,"reporting_type":"reported","report_max":3600,"report_min":0,"zigbee_metadata":{"attr_id":61665,"endpoint_id":10,"profile_id":260,"cluster_id":513,"zcl_data_type":27}},</v>
      </c>
      <c r="B91" s="52" t="str">
        <f ca="1"/>
        <v>0x0201 0xF0E1</v>
      </c>
      <c r="C91" s="52" t="str">
        <f ca="1">IFERROR(__xludf.DUMMYFUNCTION("""COMPUTED_VALUE"""),"occupancy_sensor_state")</f>
        <v>occupancy_sensor_state</v>
      </c>
      <c r="D91" s="18" t="str">
        <f ca="1">IFERROR(__xludf.DUMMYFUNCTION("""COMPUTED_VALUE"""),"telemetry")</f>
        <v>telemetry</v>
      </c>
      <c r="E91" s="18" t="str">
        <f ca="1">IFERROR(__xludf.DUMMYFUNCTION("""COMPUTED_VALUE"""),"uint32")</f>
        <v>uint32</v>
      </c>
      <c r="F91" s="18" t="str">
        <f ca="1">IFERROR(__xludf.DUMMYFUNCTION("""COMPUTED_VALUE"""),"true")</f>
        <v>true</v>
      </c>
      <c r="G91" s="18" t="str">
        <f ca="1">IFERROR(__xludf.DUMMYFUNCTION("""COMPUTED_VALUE"""),"reported")</f>
        <v>reported</v>
      </c>
      <c r="H91" s="18" t="str">
        <f ca="1">IFERROR(__xludf.DUMMYFUNCTION("""COMPUTED_VALUE"""),"N/A")</f>
        <v>N/A</v>
      </c>
      <c r="I91" s="18" t="str">
        <f ca="1">IFERROR(__xludf.DUMMYFUNCTION("""COMPUTED_VALUE"""),"3600")</f>
        <v>3600</v>
      </c>
      <c r="J91" s="18" t="str">
        <f ca="1">IFERROR(__xludf.DUMMYFUNCTION("""COMPUTED_VALUE"""),"0")</f>
        <v>0</v>
      </c>
      <c r="K91" s="18" t="str">
        <f ca="1">IFERROR(__xludf.DUMMYFUNCTION("""COMPUTED_VALUE"""),"N/A")</f>
        <v>N/A</v>
      </c>
      <c r="L91" s="18" t="str">
        <f ca="1">IFERROR(__xludf.DUMMYFUNCTION("""COMPUTED_VALUE"""),"N/A")</f>
        <v>N/A</v>
      </c>
      <c r="M91" s="18" t="str">
        <f ca="1">IFERROR(__xludf.DUMMYFUNCTION("""COMPUTED_VALUE"""),"N/A")</f>
        <v>N/A</v>
      </c>
      <c r="N91" s="18" t="str">
        <f ca="1">IFERROR(__xludf.DUMMYFUNCTION("""COMPUTED_VALUE"""),"N/A")</f>
        <v>N/A</v>
      </c>
      <c r="O91" s="18" t="str">
        <f ca="1">IFERROR(__xludf.DUMMYFUNCTION("""COMPUTED_VALUE"""),"N/A")</f>
        <v>N/A</v>
      </c>
      <c r="P91" s="18" t="str">
        <f ca="1">IFERROR(__xludf.DUMMYFUNCTION("""COMPUTED_VALUE"""),"N/A")</f>
        <v>N/A</v>
      </c>
      <c r="Q91" s="18" t="str">
        <f ca="1">IFERROR(__xludf.DUMMYFUNCTION("""COMPUTED_VALUE"""),"N/A")</f>
        <v>N/A</v>
      </c>
      <c r="R91" s="18" t="str">
        <f ca="1">IFERROR(__xludf.DUMMYFUNCTION("""COMPUTED_VALUE"""),"N/A")</f>
        <v>N/A</v>
      </c>
      <c r="S91" s="18" t="str">
        <f ca="1">IFERROR(__xludf.DUMMYFUNCTION("""COMPUTED_VALUE"""),"N/A")</f>
        <v>N/A</v>
      </c>
      <c r="T91" s="18" t="str">
        <f ca="1">IFERROR(__xludf.DUMMYFUNCTION("""COMPUTED_VALUE"""),"0xF0E1")</f>
        <v>0xF0E1</v>
      </c>
      <c r="U91" s="18" t="str">
        <f ca="1">IFERROR(__xludf.DUMMYFUNCTION("""COMPUTED_VALUE"""),"0x0A")</f>
        <v>0x0A</v>
      </c>
      <c r="V91" s="18" t="str">
        <f ca="1">IFERROR(__xludf.DUMMYFUNCTION("""COMPUTED_VALUE"""),"0x0104")</f>
        <v>0x0104</v>
      </c>
      <c r="W91" s="18" t="str">
        <f ca="1">IFERROR(__xludf.DUMMYFUNCTION("""COMPUTED_VALUE"""),"0x0201")</f>
        <v>0x0201</v>
      </c>
      <c r="X91" s="18" t="str">
        <f ca="1">IFERROR(__xludf.DUMMYFUNCTION("""COMPUTED_VALUE"""),"0x1B")</f>
        <v>0x1B</v>
      </c>
      <c r="Y91" s="18" t="e">
        <f ca="1"/>
        <v>#NAME?</v>
      </c>
      <c r="Z91" s="18" t="str">
        <f ca="1">IFERROR(__xludf.DUMMYFUNCTION("""COMPUTED_VALUE"""),"N/A")</f>
        <v>N/A</v>
      </c>
      <c r="AA91" s="18" t="str">
        <f ca="1">IFERROR(__xludf.DUMMYFUNCTION("""COMPUTED_VALUE"""),"N/A")</f>
        <v>N/A</v>
      </c>
      <c r="AC91" s="59" t="s">
        <v>898</v>
      </c>
      <c r="AD91" s="59" t="s">
        <v>898</v>
      </c>
      <c r="AE91" s="59" t="s">
        <v>937</v>
      </c>
      <c r="AF91" s="59" t="s">
        <v>945</v>
      </c>
      <c r="AG91" s="59" t="s">
        <v>945</v>
      </c>
      <c r="AH91" s="59" t="s">
        <v>934</v>
      </c>
      <c r="AI91" s="59" t="s">
        <v>938</v>
      </c>
      <c r="AJ91" s="59" t="s">
        <v>938</v>
      </c>
      <c r="AK91" s="59" t="s">
        <v>938</v>
      </c>
      <c r="AL91" s="59" t="s">
        <v>938</v>
      </c>
      <c r="AM91" s="59" t="s">
        <v>938</v>
      </c>
      <c r="AN91" s="59" t="s">
        <v>946</v>
      </c>
      <c r="AO91" s="59" t="s">
        <v>946</v>
      </c>
      <c r="AP91" s="59" t="s">
        <v>947</v>
      </c>
      <c r="AQ91" s="59" t="s">
        <v>929</v>
      </c>
      <c r="AR91" s="59" t="s">
        <v>929</v>
      </c>
      <c r="AS91" s="59" t="s">
        <v>948</v>
      </c>
      <c r="AT91" s="59" t="s">
        <v>948</v>
      </c>
    </row>
    <row r="92" spans="1:46" x14ac:dyDescent="0.25">
      <c r="A92" s="18" t="str">
        <v>occupancy_sensor_offline:{"type":"attribute","data_type":"uint32","is_readonly":true,"reporting_type":"reported","report_max":3600,"report_min":0,"zigbee_metadata":{"attr_id":61666,"endpoint_id":10,"profile_id":260,"cluster_id":513,"zcl_data_type":27}},</v>
      </c>
      <c r="B92" s="52" t="str">
        <f ca="1"/>
        <v>0x0201 0xF0E2</v>
      </c>
      <c r="C92" s="52" t="str">
        <f ca="1">IFERROR(__xludf.DUMMYFUNCTION("""COMPUTED_VALUE"""),"occupancy_sensor_offline")</f>
        <v>occupancy_sensor_offline</v>
      </c>
      <c r="D92" s="18" t="str">
        <f ca="1">IFERROR(__xludf.DUMMYFUNCTION("""COMPUTED_VALUE"""),"attribute")</f>
        <v>attribute</v>
      </c>
      <c r="E92" s="18" t="str">
        <f ca="1">IFERROR(__xludf.DUMMYFUNCTION("""COMPUTED_VALUE"""),"uint32")</f>
        <v>uint32</v>
      </c>
      <c r="F92" s="18" t="str">
        <f ca="1">IFERROR(__xludf.DUMMYFUNCTION("""COMPUTED_VALUE"""),"true")</f>
        <v>true</v>
      </c>
      <c r="G92" s="18" t="str">
        <f ca="1">IFERROR(__xludf.DUMMYFUNCTION("""COMPUTED_VALUE"""),"reported")</f>
        <v>reported</v>
      </c>
      <c r="H92" s="18" t="str">
        <f ca="1">IFERROR(__xludf.DUMMYFUNCTION("""COMPUTED_VALUE"""),"N/A")</f>
        <v>N/A</v>
      </c>
      <c r="I92" s="18" t="str">
        <f ca="1">IFERROR(__xludf.DUMMYFUNCTION("""COMPUTED_VALUE"""),"3600")</f>
        <v>3600</v>
      </c>
      <c r="J92" s="18" t="str">
        <f ca="1">IFERROR(__xludf.DUMMYFUNCTION("""COMPUTED_VALUE"""),"0")</f>
        <v>0</v>
      </c>
      <c r="K92" s="18" t="str">
        <f ca="1">IFERROR(__xludf.DUMMYFUNCTION("""COMPUTED_VALUE"""),"N/A")</f>
        <v>N/A</v>
      </c>
      <c r="L92" s="18" t="str">
        <f ca="1">IFERROR(__xludf.DUMMYFUNCTION("""COMPUTED_VALUE"""),"N/A")</f>
        <v>N/A</v>
      </c>
      <c r="M92" s="18" t="str">
        <f ca="1">IFERROR(__xludf.DUMMYFUNCTION("""COMPUTED_VALUE"""),"N/A")</f>
        <v>N/A</v>
      </c>
      <c r="N92" s="18" t="str">
        <f ca="1">IFERROR(__xludf.DUMMYFUNCTION("""COMPUTED_VALUE"""),"N/A")</f>
        <v>N/A</v>
      </c>
      <c r="O92" s="18" t="str">
        <f ca="1">IFERROR(__xludf.DUMMYFUNCTION("""COMPUTED_VALUE"""),"N/A")</f>
        <v>N/A</v>
      </c>
      <c r="P92" s="18" t="str">
        <f ca="1">IFERROR(__xludf.DUMMYFUNCTION("""COMPUTED_VALUE"""),"N/A")</f>
        <v>N/A</v>
      </c>
      <c r="Q92" s="18" t="str">
        <f ca="1">IFERROR(__xludf.DUMMYFUNCTION("""COMPUTED_VALUE"""),"N/A")</f>
        <v>N/A</v>
      </c>
      <c r="R92" s="18" t="str">
        <f ca="1">IFERROR(__xludf.DUMMYFUNCTION("""COMPUTED_VALUE"""),"N/A")</f>
        <v>N/A</v>
      </c>
      <c r="S92" s="18" t="str">
        <f ca="1">IFERROR(__xludf.DUMMYFUNCTION("""COMPUTED_VALUE"""),"N/A")</f>
        <v>N/A</v>
      </c>
      <c r="T92" s="18" t="str">
        <f ca="1">IFERROR(__xludf.DUMMYFUNCTION("""COMPUTED_VALUE"""),"0xF0E2")</f>
        <v>0xF0E2</v>
      </c>
      <c r="U92" s="18" t="str">
        <f ca="1">IFERROR(__xludf.DUMMYFUNCTION("""COMPUTED_VALUE"""),"0x0A")</f>
        <v>0x0A</v>
      </c>
      <c r="V92" s="18" t="str">
        <f ca="1">IFERROR(__xludf.DUMMYFUNCTION("""COMPUTED_VALUE"""),"0x0104")</f>
        <v>0x0104</v>
      </c>
      <c r="W92" s="18" t="str">
        <f ca="1">IFERROR(__xludf.DUMMYFUNCTION("""COMPUTED_VALUE"""),"0x0201")</f>
        <v>0x0201</v>
      </c>
      <c r="X92" s="18" t="str">
        <f ca="1">IFERROR(__xludf.DUMMYFUNCTION("""COMPUTED_VALUE"""),"0x1B")</f>
        <v>0x1B</v>
      </c>
      <c r="Y92" s="18" t="e">
        <f ca="1"/>
        <v>#NAME?</v>
      </c>
      <c r="Z92" s="18" t="str">
        <f ca="1">IFERROR(__xludf.DUMMYFUNCTION("""COMPUTED_VALUE"""),"N/A")</f>
        <v>N/A</v>
      </c>
      <c r="AA92" s="18" t="str">
        <f ca="1">IFERROR(__xludf.DUMMYFUNCTION("""COMPUTED_VALUE"""),"N/A")</f>
        <v>N/A</v>
      </c>
      <c r="AC92" s="59" t="s">
        <v>901</v>
      </c>
      <c r="AD92" s="59" t="s">
        <v>901</v>
      </c>
      <c r="AE92" s="59" t="s">
        <v>941</v>
      </c>
      <c r="AF92" s="59" t="s">
        <v>949</v>
      </c>
      <c r="AG92" s="59" t="s">
        <v>949</v>
      </c>
      <c r="AH92" s="59" t="s">
        <v>938</v>
      </c>
      <c r="AI92" s="59" t="s">
        <v>942</v>
      </c>
      <c r="AJ92" s="59" t="s">
        <v>942</v>
      </c>
      <c r="AK92" s="59" t="s">
        <v>942</v>
      </c>
      <c r="AL92" s="59" t="s">
        <v>942</v>
      </c>
      <c r="AM92" s="59" t="s">
        <v>942</v>
      </c>
      <c r="AN92" s="59" t="s">
        <v>950</v>
      </c>
      <c r="AO92" s="59" t="s">
        <v>950</v>
      </c>
      <c r="AP92" s="59" t="s">
        <v>951</v>
      </c>
      <c r="AQ92" s="59" t="s">
        <v>933</v>
      </c>
      <c r="AR92" s="59" t="s">
        <v>933</v>
      </c>
      <c r="AS92" s="59" t="s">
        <v>952</v>
      </c>
      <c r="AT92" s="59" t="s">
        <v>952</v>
      </c>
    </row>
    <row r="93" spans="1:46" x14ac:dyDescent="0.25">
      <c r="A93" s="18" t="str">
        <v>heat_setpoint_min:{"type":"attribute","data_type":"float","is_readonly":false,"reporting_type":"polled","poll_freq":86400,"max":35,"min":0,"decimal_places":2,"default_value":15.56,"zigbee_metadata":{"attr_id":21,"endpoint_id":10,"profile_id":260,"cluster_id":513,"zcl_data_type":41,"write_formatter":"lambdax:int(round(x,2)*100)","read_formatter":"lambdax:x/100"}},</v>
      </c>
      <c r="B93" s="52" t="str">
        <f ca="1"/>
        <v>0x0201 0x0015</v>
      </c>
      <c r="C93" s="52" t="str">
        <f ca="1">IFERROR(__xludf.DUMMYFUNCTION("""COMPUTED_VALUE"""),"heat_setpoint_min")</f>
        <v>heat_setpoint_min</v>
      </c>
      <c r="D93" s="18" t="str">
        <f ca="1">IFERROR(__xludf.DUMMYFUNCTION("""COMPUTED_VALUE"""),"attribute")</f>
        <v>attribute</v>
      </c>
      <c r="E93" s="18" t="str">
        <f ca="1">IFERROR(__xludf.DUMMYFUNCTION("""COMPUTED_VALUE"""),"float")</f>
        <v>float</v>
      </c>
      <c r="F93" s="18" t="str">
        <f ca="1">IFERROR(__xludf.DUMMYFUNCTION("""COMPUTED_VALUE"""),"false")</f>
        <v>false</v>
      </c>
      <c r="G93" s="18" t="str">
        <f ca="1">IFERROR(__xludf.DUMMYFUNCTION("""COMPUTED_VALUE"""),"polled")</f>
        <v>polled</v>
      </c>
      <c r="H93" s="18" t="str">
        <f ca="1">IFERROR(__xludf.DUMMYFUNCTION("""COMPUTED_VALUE"""),"86400")</f>
        <v>86400</v>
      </c>
      <c r="I93" s="18" t="str">
        <f ca="1">IFERROR(__xludf.DUMMYFUNCTION("""COMPUTED_VALUE"""),"N/A")</f>
        <v>N/A</v>
      </c>
      <c r="J93" s="18" t="str">
        <f ca="1">IFERROR(__xludf.DUMMYFUNCTION("""COMPUTED_VALUE"""),"N/A")</f>
        <v>N/A</v>
      </c>
      <c r="K93" s="18" t="str">
        <f ca="1">IFERROR(__xludf.DUMMYFUNCTION("""COMPUTED_VALUE"""),"N/A")</f>
        <v>N/A</v>
      </c>
      <c r="L93" s="18" t="str">
        <f ca="1">IFERROR(__xludf.DUMMYFUNCTION("""COMPUTED_VALUE"""),"35")</f>
        <v>35</v>
      </c>
      <c r="M93" s="18" t="str">
        <f ca="1">IFERROR(__xludf.DUMMYFUNCTION("""COMPUTED_VALUE"""),"0")</f>
        <v>0</v>
      </c>
      <c r="N93" s="18" t="str">
        <f ca="1">IFERROR(__xludf.DUMMYFUNCTION("""COMPUTED_VALUE"""),"N/A")</f>
        <v>N/A</v>
      </c>
      <c r="O93" s="18" t="str">
        <f ca="1">IFERROR(__xludf.DUMMYFUNCTION("""COMPUTED_VALUE"""),"N/A")</f>
        <v>N/A</v>
      </c>
      <c r="P93" s="18" t="str">
        <f ca="1">IFERROR(__xludf.DUMMYFUNCTION("""COMPUTED_VALUE"""),"N/A")</f>
        <v>N/A</v>
      </c>
      <c r="Q93" s="18" t="str">
        <f ca="1">IFERROR(__xludf.DUMMYFUNCTION("""COMPUTED_VALUE"""),"N/A")</f>
        <v>N/A</v>
      </c>
      <c r="R93" s="18" t="str">
        <f ca="1">IFERROR(__xludf.DUMMYFUNCTION("""COMPUTED_VALUE"""),"2")</f>
        <v>2</v>
      </c>
      <c r="S93" s="18" t="str">
        <f ca="1">IFERROR(__xludf.DUMMYFUNCTION("""COMPUTED_VALUE"""),"15.56")</f>
        <v>15.56</v>
      </c>
      <c r="T93" s="18" t="str">
        <f ca="1">IFERROR(__xludf.DUMMYFUNCTION("""COMPUTED_VALUE"""),"0x0015")</f>
        <v>0x0015</v>
      </c>
      <c r="U93" s="18" t="str">
        <f ca="1">IFERROR(__xludf.DUMMYFUNCTION("""COMPUTED_VALUE"""),"0x0A")</f>
        <v>0x0A</v>
      </c>
      <c r="V93" s="18" t="str">
        <f ca="1">IFERROR(__xludf.DUMMYFUNCTION("""COMPUTED_VALUE"""),"0x0104")</f>
        <v>0x0104</v>
      </c>
      <c r="W93" s="18" t="str">
        <f ca="1">IFERROR(__xludf.DUMMYFUNCTION("""COMPUTED_VALUE"""),"0x0201")</f>
        <v>0x0201</v>
      </c>
      <c r="X93" s="18" t="str">
        <f ca="1">IFERROR(__xludf.DUMMYFUNCTION("""COMPUTED_VALUE"""),"0x29")</f>
        <v>0x29</v>
      </c>
      <c r="Y93" s="18" t="e">
        <f ca="1"/>
        <v>#NAME?</v>
      </c>
      <c r="Z93" s="18" t="str">
        <f ca="1">IFERROR(__xludf.DUMMYFUNCTION("""COMPUTED_VALUE"""),"lambdax:int(round(x,2)*100)")</f>
        <v>lambdax:int(round(x,2)*100)</v>
      </c>
      <c r="AA93" s="18" t="str">
        <f ca="1">IFERROR(__xludf.DUMMYFUNCTION("""COMPUTED_VALUE"""),"lambdax:x/100")</f>
        <v>lambdax:x/100</v>
      </c>
      <c r="AC93" s="59" t="s">
        <v>919</v>
      </c>
      <c r="AD93" s="59" t="s">
        <v>919</v>
      </c>
      <c r="AE93" s="59" t="s">
        <v>945</v>
      </c>
      <c r="AF93" s="59" t="s">
        <v>953</v>
      </c>
      <c r="AG93" s="59" t="s">
        <v>953</v>
      </c>
      <c r="AH93" s="59" t="s">
        <v>942</v>
      </c>
      <c r="AI93" s="59" t="s">
        <v>946</v>
      </c>
      <c r="AJ93" s="59" t="s">
        <v>946</v>
      </c>
      <c r="AK93" s="59" t="s">
        <v>946</v>
      </c>
      <c r="AL93" s="59" t="s">
        <v>946</v>
      </c>
      <c r="AM93" s="59" t="s">
        <v>946</v>
      </c>
      <c r="AN93" s="59" t="s">
        <v>954</v>
      </c>
      <c r="AO93" s="59" t="s">
        <v>954</v>
      </c>
      <c r="AP93" s="59" t="s">
        <v>955</v>
      </c>
      <c r="AQ93" s="59" t="s">
        <v>936</v>
      </c>
      <c r="AR93" s="59" t="s">
        <v>936</v>
      </c>
      <c r="AS93" s="59" t="s">
        <v>956</v>
      </c>
      <c r="AT93" s="59" t="s">
        <v>956</v>
      </c>
    </row>
    <row r="94" spans="1:46" x14ac:dyDescent="0.25">
      <c r="A94" s="18" t="str">
        <v>heat_setpoint_max:{"type":"attribute","data_type":"float","is_readonly":false,"reporting_type":"polled","poll_freq":86400,"max":35,"min":0,"decimal_places":2,"default_value":26.67,"zigbee_metadata":{"attr_id":22,"endpoint_id":10,"profile_id":260,"cluster_id":513,"zcl_data_type":41,"write_formatter":"lambdax:int(round(x,2)*100)","read_formatter":"lambdax:x/100"}},</v>
      </c>
      <c r="B94" s="52" t="str">
        <f ca="1"/>
        <v>0x0201 0x0016</v>
      </c>
      <c r="C94" s="52" t="str">
        <f ca="1">IFERROR(__xludf.DUMMYFUNCTION("""COMPUTED_VALUE"""),"heat_setpoint_max")</f>
        <v>heat_setpoint_max</v>
      </c>
      <c r="D94" s="18" t="str">
        <f ca="1">IFERROR(__xludf.DUMMYFUNCTION("""COMPUTED_VALUE"""),"attribute")</f>
        <v>attribute</v>
      </c>
      <c r="E94" s="18" t="str">
        <f ca="1">IFERROR(__xludf.DUMMYFUNCTION("""COMPUTED_VALUE"""),"float")</f>
        <v>float</v>
      </c>
      <c r="F94" s="18" t="str">
        <f ca="1">IFERROR(__xludf.DUMMYFUNCTION("""COMPUTED_VALUE"""),"false")</f>
        <v>false</v>
      </c>
      <c r="G94" s="18" t="str">
        <f ca="1">IFERROR(__xludf.DUMMYFUNCTION("""COMPUTED_VALUE"""),"polled")</f>
        <v>polled</v>
      </c>
      <c r="H94" s="18" t="str">
        <f ca="1">IFERROR(__xludf.DUMMYFUNCTION("""COMPUTED_VALUE"""),"86400")</f>
        <v>86400</v>
      </c>
      <c r="I94" s="18" t="str">
        <f ca="1">IFERROR(__xludf.DUMMYFUNCTION("""COMPUTED_VALUE"""),"N/A")</f>
        <v>N/A</v>
      </c>
      <c r="J94" s="18" t="str">
        <f ca="1">IFERROR(__xludf.DUMMYFUNCTION("""COMPUTED_VALUE"""),"N/A")</f>
        <v>N/A</v>
      </c>
      <c r="K94" s="18" t="str">
        <f ca="1">IFERROR(__xludf.DUMMYFUNCTION("""COMPUTED_VALUE"""),"N/A")</f>
        <v>N/A</v>
      </c>
      <c r="L94" s="18" t="str">
        <f ca="1">IFERROR(__xludf.DUMMYFUNCTION("""COMPUTED_VALUE"""),"35")</f>
        <v>35</v>
      </c>
      <c r="M94" s="18" t="str">
        <f ca="1">IFERROR(__xludf.DUMMYFUNCTION("""COMPUTED_VALUE"""),"0")</f>
        <v>0</v>
      </c>
      <c r="N94" s="18" t="str">
        <f ca="1">IFERROR(__xludf.DUMMYFUNCTION("""COMPUTED_VALUE"""),"N/A")</f>
        <v>N/A</v>
      </c>
      <c r="O94" s="18" t="str">
        <f ca="1">IFERROR(__xludf.DUMMYFUNCTION("""COMPUTED_VALUE"""),"N/A")</f>
        <v>N/A</v>
      </c>
      <c r="P94" s="18" t="str">
        <f ca="1">IFERROR(__xludf.DUMMYFUNCTION("""COMPUTED_VALUE"""),"N/A")</f>
        <v>N/A</v>
      </c>
      <c r="Q94" s="18" t="str">
        <f ca="1">IFERROR(__xludf.DUMMYFUNCTION("""COMPUTED_VALUE"""),"N/A")</f>
        <v>N/A</v>
      </c>
      <c r="R94" s="18" t="str">
        <f ca="1">IFERROR(__xludf.DUMMYFUNCTION("""COMPUTED_VALUE"""),"2")</f>
        <v>2</v>
      </c>
      <c r="S94" s="18" t="str">
        <f ca="1">IFERROR(__xludf.DUMMYFUNCTION("""COMPUTED_VALUE"""),"26.67")</f>
        <v>26.67</v>
      </c>
      <c r="T94" s="18" t="str">
        <f ca="1">IFERROR(__xludf.DUMMYFUNCTION("""COMPUTED_VALUE"""),"0x0016")</f>
        <v>0x0016</v>
      </c>
      <c r="U94" s="18" t="str">
        <f ca="1">IFERROR(__xludf.DUMMYFUNCTION("""COMPUTED_VALUE"""),"0x0A")</f>
        <v>0x0A</v>
      </c>
      <c r="V94" s="18" t="str">
        <f ca="1">IFERROR(__xludf.DUMMYFUNCTION("""COMPUTED_VALUE"""),"0x0104")</f>
        <v>0x0104</v>
      </c>
      <c r="W94" s="18" t="str">
        <f ca="1">IFERROR(__xludf.DUMMYFUNCTION("""COMPUTED_VALUE"""),"0x0201")</f>
        <v>0x0201</v>
      </c>
      <c r="X94" s="18" t="str">
        <f ca="1">IFERROR(__xludf.DUMMYFUNCTION("""COMPUTED_VALUE"""),"0x29")</f>
        <v>0x29</v>
      </c>
      <c r="Y94" s="18" t="e">
        <f ca="1"/>
        <v>#NAME?</v>
      </c>
      <c r="Z94" s="18" t="str">
        <f ca="1">IFERROR(__xludf.DUMMYFUNCTION("""COMPUTED_VALUE"""),"lambdax:int(round(x,2)*100)")</f>
        <v>lambdax:int(round(x,2)*100)</v>
      </c>
      <c r="AA94" s="18" t="str">
        <f ca="1">IFERROR(__xludf.DUMMYFUNCTION("""COMPUTED_VALUE"""),"lambdax:x/100")</f>
        <v>lambdax:x/100</v>
      </c>
      <c r="AC94" s="59" t="s">
        <v>923</v>
      </c>
      <c r="AD94" s="59" t="s">
        <v>923</v>
      </c>
      <c r="AE94" s="59" t="s">
        <v>949</v>
      </c>
      <c r="AF94" s="59" t="s">
        <v>957</v>
      </c>
      <c r="AG94" s="59" t="s">
        <v>957</v>
      </c>
      <c r="AH94" s="59" t="s">
        <v>946</v>
      </c>
      <c r="AI94" s="59" t="s">
        <v>950</v>
      </c>
      <c r="AJ94" s="59" t="s">
        <v>950</v>
      </c>
      <c r="AK94" s="59" t="s">
        <v>950</v>
      </c>
      <c r="AL94" s="59" t="s">
        <v>950</v>
      </c>
      <c r="AM94" s="59" t="s">
        <v>950</v>
      </c>
      <c r="AN94" s="59" t="s">
        <v>958</v>
      </c>
      <c r="AO94" s="59" t="s">
        <v>958</v>
      </c>
      <c r="AP94" s="59" t="s">
        <v>959</v>
      </c>
      <c r="AQ94" s="59" t="s">
        <v>940</v>
      </c>
      <c r="AR94" s="59" t="s">
        <v>940</v>
      </c>
      <c r="AS94" s="59" t="s">
        <v>960</v>
      </c>
      <c r="AT94" s="59" t="s">
        <v>960</v>
      </c>
    </row>
    <row r="95" spans="1:46" x14ac:dyDescent="0.25">
      <c r="A95" s="18" t="str">
        <v>cool_setpoint_min:{"type":"attribute","data_type":"float","is_readonly":false,"reporting_type":"polled","poll_freq":86400,"max":35,"min":0,"decimal_places":2,"default_value":21.11,"zigbee_metadata":{"attr_id":23,"endpoint_id":10,"profile_id":260,"cluster_id":513,"zcl_data_type":41,"write_formatter":"lambdax:int(round(x,2)*100)","read_formatter":"lambdax:x/100"}},</v>
      </c>
      <c r="B95" s="52" t="str">
        <f ca="1"/>
        <v>0x0201 0x0017</v>
      </c>
      <c r="C95" s="52" t="str">
        <f ca="1">IFERROR(__xludf.DUMMYFUNCTION("""COMPUTED_VALUE"""),"cool_setpoint_min")</f>
        <v>cool_setpoint_min</v>
      </c>
      <c r="D95" s="18" t="str">
        <f ca="1">IFERROR(__xludf.DUMMYFUNCTION("""COMPUTED_VALUE"""),"attribute")</f>
        <v>attribute</v>
      </c>
      <c r="E95" s="18" t="str">
        <f ca="1">IFERROR(__xludf.DUMMYFUNCTION("""COMPUTED_VALUE"""),"float")</f>
        <v>float</v>
      </c>
      <c r="F95" s="18" t="str">
        <f ca="1">IFERROR(__xludf.DUMMYFUNCTION("""COMPUTED_VALUE"""),"false")</f>
        <v>false</v>
      </c>
      <c r="G95" s="18" t="str">
        <f ca="1">IFERROR(__xludf.DUMMYFUNCTION("""COMPUTED_VALUE"""),"polled")</f>
        <v>polled</v>
      </c>
      <c r="H95" s="18" t="str">
        <f ca="1">IFERROR(__xludf.DUMMYFUNCTION("""COMPUTED_VALUE"""),"86400")</f>
        <v>86400</v>
      </c>
      <c r="I95" s="18" t="str">
        <f ca="1">IFERROR(__xludf.DUMMYFUNCTION("""COMPUTED_VALUE"""),"N/A")</f>
        <v>N/A</v>
      </c>
      <c r="J95" s="18" t="str">
        <f ca="1">IFERROR(__xludf.DUMMYFUNCTION("""COMPUTED_VALUE"""),"N/A")</f>
        <v>N/A</v>
      </c>
      <c r="K95" s="18" t="str">
        <f ca="1">IFERROR(__xludf.DUMMYFUNCTION("""COMPUTED_VALUE"""),"N/A")</f>
        <v>N/A</v>
      </c>
      <c r="L95" s="18" t="str">
        <f ca="1">IFERROR(__xludf.DUMMYFUNCTION("""COMPUTED_VALUE"""),"35")</f>
        <v>35</v>
      </c>
      <c r="M95" s="18" t="str">
        <f ca="1">IFERROR(__xludf.DUMMYFUNCTION("""COMPUTED_VALUE"""),"0")</f>
        <v>0</v>
      </c>
      <c r="N95" s="18" t="str">
        <f ca="1">IFERROR(__xludf.DUMMYFUNCTION("""COMPUTED_VALUE"""),"N/A")</f>
        <v>N/A</v>
      </c>
      <c r="O95" s="18" t="str">
        <f ca="1">IFERROR(__xludf.DUMMYFUNCTION("""COMPUTED_VALUE"""),"N/A")</f>
        <v>N/A</v>
      </c>
      <c r="P95" s="18" t="str">
        <f ca="1">IFERROR(__xludf.DUMMYFUNCTION("""COMPUTED_VALUE"""),"N/A")</f>
        <v>N/A</v>
      </c>
      <c r="Q95" s="18" t="str">
        <f ca="1">IFERROR(__xludf.DUMMYFUNCTION("""COMPUTED_VALUE"""),"N/A")</f>
        <v>N/A</v>
      </c>
      <c r="R95" s="18" t="str">
        <f ca="1">IFERROR(__xludf.DUMMYFUNCTION("""COMPUTED_VALUE"""),"2")</f>
        <v>2</v>
      </c>
      <c r="S95" s="18" t="str">
        <f ca="1">IFERROR(__xludf.DUMMYFUNCTION("""COMPUTED_VALUE"""),"21.11")</f>
        <v>21.11</v>
      </c>
      <c r="T95" s="18" t="str">
        <f ca="1">IFERROR(__xludf.DUMMYFUNCTION("""COMPUTED_VALUE"""),"0x0017")</f>
        <v>0x0017</v>
      </c>
      <c r="U95" s="18" t="str">
        <f ca="1">IFERROR(__xludf.DUMMYFUNCTION("""COMPUTED_VALUE"""),"0x0A")</f>
        <v>0x0A</v>
      </c>
      <c r="V95" s="18" t="str">
        <f ca="1">IFERROR(__xludf.DUMMYFUNCTION("""COMPUTED_VALUE"""),"0x0104")</f>
        <v>0x0104</v>
      </c>
      <c r="W95" s="18" t="str">
        <f ca="1">IFERROR(__xludf.DUMMYFUNCTION("""COMPUTED_VALUE"""),"0x0201")</f>
        <v>0x0201</v>
      </c>
      <c r="X95" s="18" t="str">
        <f ca="1">IFERROR(__xludf.DUMMYFUNCTION("""COMPUTED_VALUE"""),"0x29")</f>
        <v>0x29</v>
      </c>
      <c r="Y95" s="18" t="e">
        <f ca="1"/>
        <v>#NAME?</v>
      </c>
      <c r="Z95" s="18" t="str">
        <f ca="1">IFERROR(__xludf.DUMMYFUNCTION("""COMPUTED_VALUE"""),"lambdax:int(round(x,2)*100)")</f>
        <v>lambdax:int(round(x,2)*100)</v>
      </c>
      <c r="AA95" s="18" t="str">
        <f ca="1">IFERROR(__xludf.DUMMYFUNCTION("""COMPUTED_VALUE"""),"lambdax:x/100")</f>
        <v>lambdax:x/100</v>
      </c>
      <c r="AC95" s="59" t="s">
        <v>926</v>
      </c>
      <c r="AD95" s="59" t="s">
        <v>926</v>
      </c>
      <c r="AE95" s="59" t="s">
        <v>953</v>
      </c>
      <c r="AF95" s="59" t="s">
        <v>946</v>
      </c>
      <c r="AG95" s="59" t="s">
        <v>946</v>
      </c>
      <c r="AH95" s="59" t="s">
        <v>950</v>
      </c>
      <c r="AI95" s="59" t="s">
        <v>954</v>
      </c>
      <c r="AJ95" s="59" t="s">
        <v>954</v>
      </c>
      <c r="AK95" s="59" t="s">
        <v>954</v>
      </c>
      <c r="AL95" s="59" t="s">
        <v>954</v>
      </c>
      <c r="AM95" s="59" t="s">
        <v>954</v>
      </c>
      <c r="AN95" s="59" t="s">
        <v>961</v>
      </c>
      <c r="AO95" s="59" t="s">
        <v>961</v>
      </c>
      <c r="AP95" s="59" t="s">
        <v>962</v>
      </c>
      <c r="AQ95" s="59" t="s">
        <v>944</v>
      </c>
      <c r="AR95" s="59" t="s">
        <v>944</v>
      </c>
      <c r="AS95" s="59" t="s">
        <v>963</v>
      </c>
      <c r="AT95" s="59" t="s">
        <v>963</v>
      </c>
    </row>
    <row r="96" spans="1:46" x14ac:dyDescent="0.25">
      <c r="A96" s="18" t="str">
        <v>cool_setpoint_max:{"type":"attribute","data_type":"float","is_readonly":false,"reporting_type":"polled","poll_freq":86400,"max":35,"min":0,"decimal_places":2,"default_value":26.67,"zigbee_metadata":{"attr_id":24,"endpoint_id":10,"profile_id":260,"cluster_id":513,"zcl_data_type":41,"write_formatter":"lambdax:int(round(x,2)*100)","read_formatter":"lambdax:x/100"}},</v>
      </c>
      <c r="B96" s="52" t="str">
        <f ca="1"/>
        <v>0x0201 0x0018</v>
      </c>
      <c r="C96" s="52" t="str">
        <f ca="1">IFERROR(__xludf.DUMMYFUNCTION("""COMPUTED_VALUE"""),"cool_setpoint_max")</f>
        <v>cool_setpoint_max</v>
      </c>
      <c r="D96" s="18" t="str">
        <f ca="1">IFERROR(__xludf.DUMMYFUNCTION("""COMPUTED_VALUE"""),"attribute")</f>
        <v>attribute</v>
      </c>
      <c r="E96" s="18" t="str">
        <f ca="1">IFERROR(__xludf.DUMMYFUNCTION("""COMPUTED_VALUE"""),"float")</f>
        <v>float</v>
      </c>
      <c r="F96" s="18" t="str">
        <f ca="1">IFERROR(__xludf.DUMMYFUNCTION("""COMPUTED_VALUE"""),"false")</f>
        <v>false</v>
      </c>
      <c r="G96" s="18" t="str">
        <f ca="1">IFERROR(__xludf.DUMMYFUNCTION("""COMPUTED_VALUE"""),"polled")</f>
        <v>polled</v>
      </c>
      <c r="H96" s="18" t="str">
        <f ca="1">IFERROR(__xludf.DUMMYFUNCTION("""COMPUTED_VALUE"""),"86400")</f>
        <v>86400</v>
      </c>
      <c r="I96" s="18" t="str">
        <f ca="1">IFERROR(__xludf.DUMMYFUNCTION("""COMPUTED_VALUE"""),"N/A")</f>
        <v>N/A</v>
      </c>
      <c r="J96" s="18" t="str">
        <f ca="1">IFERROR(__xludf.DUMMYFUNCTION("""COMPUTED_VALUE"""),"N/A")</f>
        <v>N/A</v>
      </c>
      <c r="K96" s="18" t="str">
        <f ca="1">IFERROR(__xludf.DUMMYFUNCTION("""COMPUTED_VALUE"""),"N/A")</f>
        <v>N/A</v>
      </c>
      <c r="L96" s="18" t="str">
        <f ca="1">IFERROR(__xludf.DUMMYFUNCTION("""COMPUTED_VALUE"""),"35")</f>
        <v>35</v>
      </c>
      <c r="M96" s="18" t="str">
        <f ca="1">IFERROR(__xludf.DUMMYFUNCTION("""COMPUTED_VALUE"""),"0")</f>
        <v>0</v>
      </c>
      <c r="N96" s="18" t="str">
        <f ca="1">IFERROR(__xludf.DUMMYFUNCTION("""COMPUTED_VALUE"""),"N/A")</f>
        <v>N/A</v>
      </c>
      <c r="O96" s="18" t="str">
        <f ca="1">IFERROR(__xludf.DUMMYFUNCTION("""COMPUTED_VALUE"""),"N/A")</f>
        <v>N/A</v>
      </c>
      <c r="P96" s="18" t="str">
        <f ca="1">IFERROR(__xludf.DUMMYFUNCTION("""COMPUTED_VALUE"""),"N/A")</f>
        <v>N/A</v>
      </c>
      <c r="Q96" s="18" t="str">
        <f ca="1">IFERROR(__xludf.DUMMYFUNCTION("""COMPUTED_VALUE"""),"N/A")</f>
        <v>N/A</v>
      </c>
      <c r="R96" s="18" t="str">
        <f ca="1">IFERROR(__xludf.DUMMYFUNCTION("""COMPUTED_VALUE"""),"2")</f>
        <v>2</v>
      </c>
      <c r="S96" s="18" t="str">
        <f ca="1">IFERROR(__xludf.DUMMYFUNCTION("""COMPUTED_VALUE"""),"26.67")</f>
        <v>26.67</v>
      </c>
      <c r="T96" s="18" t="str">
        <f ca="1">IFERROR(__xludf.DUMMYFUNCTION("""COMPUTED_VALUE"""),"0x0018")</f>
        <v>0x0018</v>
      </c>
      <c r="U96" s="18" t="str">
        <f ca="1">IFERROR(__xludf.DUMMYFUNCTION("""COMPUTED_VALUE"""),"0x0A")</f>
        <v>0x0A</v>
      </c>
      <c r="V96" s="18" t="str">
        <f ca="1">IFERROR(__xludf.DUMMYFUNCTION("""COMPUTED_VALUE"""),"0x0104")</f>
        <v>0x0104</v>
      </c>
      <c r="W96" s="18" t="str">
        <f ca="1">IFERROR(__xludf.DUMMYFUNCTION("""COMPUTED_VALUE"""),"0x0201")</f>
        <v>0x0201</v>
      </c>
      <c r="X96" s="18" t="str">
        <f ca="1">IFERROR(__xludf.DUMMYFUNCTION("""COMPUTED_VALUE"""),"0x29")</f>
        <v>0x29</v>
      </c>
      <c r="Y96" s="18" t="e">
        <f ca="1"/>
        <v>#NAME?</v>
      </c>
      <c r="Z96" s="18" t="str">
        <f ca="1">IFERROR(__xludf.DUMMYFUNCTION("""COMPUTED_VALUE"""),"lambdax:int(round(x,2)*100)")</f>
        <v>lambdax:int(round(x,2)*100)</v>
      </c>
      <c r="AA96" s="18" t="str">
        <f ca="1">IFERROR(__xludf.DUMMYFUNCTION("""COMPUTED_VALUE"""),"lambdax:x/100")</f>
        <v>lambdax:x/100</v>
      </c>
      <c r="AC96" s="59" t="s">
        <v>930</v>
      </c>
      <c r="AD96" s="59" t="s">
        <v>930</v>
      </c>
      <c r="AE96" s="59" t="s">
        <v>957</v>
      </c>
      <c r="AF96" s="59" t="s">
        <v>964</v>
      </c>
      <c r="AG96" s="59" t="s">
        <v>964</v>
      </c>
      <c r="AH96" s="59" t="s">
        <v>954</v>
      </c>
      <c r="AI96" s="59" t="s">
        <v>958</v>
      </c>
      <c r="AJ96" s="59" t="s">
        <v>958</v>
      </c>
      <c r="AK96" s="59" t="s">
        <v>958</v>
      </c>
      <c r="AL96" s="59" t="s">
        <v>958</v>
      </c>
      <c r="AM96" s="59" t="s">
        <v>958</v>
      </c>
      <c r="AN96" s="59" t="s">
        <v>965</v>
      </c>
      <c r="AO96" s="59" t="s">
        <v>965</v>
      </c>
      <c r="AP96" s="59" t="s">
        <v>966</v>
      </c>
      <c r="AQ96" s="59" t="s">
        <v>948</v>
      </c>
      <c r="AR96" s="59" t="s">
        <v>948</v>
      </c>
      <c r="AS96" s="59" t="s">
        <v>967</v>
      </c>
      <c r="AT96" s="59" t="s">
        <v>967</v>
      </c>
    </row>
    <row r="97" spans="1:46" x14ac:dyDescent="0.25">
      <c r="A97" s="18" t="str">
        <v>modes_available:{"type":"attribute","data_type":"enum","is_readonly":false,"reporting_type":"polled","poll_freq":86400,"enum_values":["cool_only","heat_only","cool+heat","auto"],"default_value":"cool+heat","zigbee_metadata":{"attr_id":61504,"endpoint_id":10,"profile_id":260,"cluster_id":513,"zcl_data_type":24,"write_formatter":"lambdax:{'cool_only':1,'heat_only':2,'cool+heat':3,'auto':4}[x]","read_formatter":"lambdax:{1:'cool_only',2:'heat_only',3:'cool+heat',4:'auto'}.get(x,'unknown')"}},</v>
      </c>
      <c r="B97" s="52" t="str">
        <f ca="1"/>
        <v>0x0201 0xF040</v>
      </c>
      <c r="C97" s="52" t="str">
        <f ca="1">IFERROR(__xludf.DUMMYFUNCTION("""COMPUTED_VALUE"""),"modes_available")</f>
        <v>modes_available</v>
      </c>
      <c r="D97" s="18" t="str">
        <f ca="1">IFERROR(__xludf.DUMMYFUNCTION("""COMPUTED_VALUE"""),"attribute")</f>
        <v>attribute</v>
      </c>
      <c r="E97" s="18" t="str">
        <f ca="1">IFERROR(__xludf.DUMMYFUNCTION("""COMPUTED_VALUE"""),"enum")</f>
        <v>enum</v>
      </c>
      <c r="F97" s="18" t="str">
        <f ca="1">IFERROR(__xludf.DUMMYFUNCTION("""COMPUTED_VALUE"""),"false")</f>
        <v>false</v>
      </c>
      <c r="G97" s="18" t="str">
        <f ca="1">IFERROR(__xludf.DUMMYFUNCTION("""COMPUTED_VALUE"""),"polled")</f>
        <v>polled</v>
      </c>
      <c r="H97" s="18" t="str">
        <f ca="1">IFERROR(__xludf.DUMMYFUNCTION("""COMPUTED_VALUE"""),"86400")</f>
        <v>86400</v>
      </c>
      <c r="I97" s="18" t="str">
        <f ca="1">IFERROR(__xludf.DUMMYFUNCTION("""COMPUTED_VALUE"""),"N/A")</f>
        <v>N/A</v>
      </c>
      <c r="J97" s="18" t="str">
        <f ca="1">IFERROR(__xludf.DUMMYFUNCTION("""COMPUTED_VALUE"""),"N/A")</f>
        <v>N/A</v>
      </c>
      <c r="K97" s="18" t="str">
        <f ca="1">IFERROR(__xludf.DUMMYFUNCTION("""COMPUTED_VALUE"""),"N/A")</f>
        <v>N/A</v>
      </c>
      <c r="L97" s="18" t="str">
        <f ca="1">IFERROR(__xludf.DUMMYFUNCTION("""COMPUTED_VALUE"""),"N/A")</f>
        <v>N/A</v>
      </c>
      <c r="M97" s="18" t="str">
        <f ca="1">IFERROR(__xludf.DUMMYFUNCTION("""COMPUTED_VALUE"""),"N/A")</f>
        <v>N/A</v>
      </c>
      <c r="N97" s="18" t="str">
        <f ca="1">IFERROR(__xludf.DUMMYFUNCTION("""COMPUTED_VALUE"""),"N/A")</f>
        <v>N/A</v>
      </c>
      <c r="O97" s="18" t="str">
        <f ca="1">IFERROR(__xludf.DUMMYFUNCTION("""COMPUTED_VALUE"""),"N/A")</f>
        <v>N/A</v>
      </c>
      <c r="P97" s="18" t="str">
        <f ca="1">IFERROR(__xludf.DUMMYFUNCTION("""COMPUTED_VALUE"""),"""cool_only"",""heat_only"",""cool+heat"",""auto""")</f>
        <v>"cool_only","heat_only","cool+heat","auto"</v>
      </c>
      <c r="Q97" s="18" t="str">
        <f ca="1">IFERROR(__xludf.DUMMYFUNCTION("""COMPUTED_VALUE"""),"N/A")</f>
        <v>N/A</v>
      </c>
      <c r="R97" s="18" t="str">
        <f ca="1">IFERROR(__xludf.DUMMYFUNCTION("""COMPUTED_VALUE"""),"N/A")</f>
        <v>N/A</v>
      </c>
      <c r="S97" s="18" t="str">
        <f ca="1">IFERROR(__xludf.DUMMYFUNCTION("""COMPUTED_VALUE"""),"""cool+heat""")</f>
        <v>"cool+heat"</v>
      </c>
      <c r="T97" s="18" t="str">
        <f ca="1">IFERROR(__xludf.DUMMYFUNCTION("""COMPUTED_VALUE"""),"0xF040")</f>
        <v>0xF040</v>
      </c>
      <c r="U97" s="18" t="str">
        <f ca="1">IFERROR(__xludf.DUMMYFUNCTION("""COMPUTED_VALUE"""),"0x0A")</f>
        <v>0x0A</v>
      </c>
      <c r="V97" s="18" t="str">
        <f ca="1">IFERROR(__xludf.DUMMYFUNCTION("""COMPUTED_VALUE"""),"0x0104")</f>
        <v>0x0104</v>
      </c>
      <c r="W97" s="18" t="str">
        <f ca="1">IFERROR(__xludf.DUMMYFUNCTION("""COMPUTED_VALUE"""),"0x0201")</f>
        <v>0x0201</v>
      </c>
      <c r="X97" s="18" t="str">
        <f ca="1">IFERROR(__xludf.DUMMYFUNCTION("""COMPUTED_VALUE"""),"0x18")</f>
        <v>0x18</v>
      </c>
      <c r="Y97" s="18" t="e">
        <f ca="1"/>
        <v>#NAME?</v>
      </c>
      <c r="Z97" s="18" t="str">
        <f ca="1">IFERROR(__xludf.DUMMYFUNCTION("""COMPUTED_VALUE"""),"lambdax:{'cool_only':1,'heat_only':2,'cool+heat':3,'auto':4}[x]")</f>
        <v>lambdax:{'cool_only':1,'heat_only':2,'cool+heat':3,'auto':4}[x]</v>
      </c>
      <c r="AA97" s="18" t="str">
        <f ca="1">IFERROR(__xludf.DUMMYFUNCTION("""COMPUTED_VALUE"""),"lambdax:{1:'cool_only',2:'heat_only',3:'cool+heat',4:'auto'}.get(x,'unknown')")</f>
        <v>lambdax:{1:'cool_only',2:'heat_only',3:'cool+heat',4:'auto'}.get(x,'unknown')</v>
      </c>
      <c r="AC97" s="59" t="s">
        <v>920</v>
      </c>
      <c r="AD97" s="59" t="s">
        <v>920</v>
      </c>
      <c r="AE97" s="59" t="s">
        <v>946</v>
      </c>
      <c r="AF97" s="59" t="s">
        <v>954</v>
      </c>
      <c r="AG97" s="59" t="s">
        <v>954</v>
      </c>
      <c r="AH97" s="59" t="s">
        <v>958</v>
      </c>
      <c r="AI97" s="59" t="s">
        <v>961</v>
      </c>
      <c r="AJ97" s="59" t="s">
        <v>961</v>
      </c>
      <c r="AK97" s="59" t="s">
        <v>961</v>
      </c>
      <c r="AL97" s="59" t="s">
        <v>961</v>
      </c>
      <c r="AM97" s="59" t="s">
        <v>961</v>
      </c>
      <c r="AN97" s="59" t="s">
        <v>968</v>
      </c>
      <c r="AO97" s="59" t="s">
        <v>968</v>
      </c>
      <c r="AP97" s="59" t="s">
        <v>969</v>
      </c>
      <c r="AQ97" s="59" t="s">
        <v>952</v>
      </c>
      <c r="AR97" s="59" t="s">
        <v>952</v>
      </c>
      <c r="AS97" s="59" t="s">
        <v>970</v>
      </c>
      <c r="AT97" s="59" t="s">
        <v>970</v>
      </c>
    </row>
    <row r="98" spans="1:46" x14ac:dyDescent="0.25">
      <c r="A98" s="18" t="str">
        <v>cool_drive_min:{"type":"attribute","data_type":"float","is_readonly":false,"reporting_type":"polled","poll_freq":86400,"max":35,"min":0,"decimal_places":2,"default_value":10,"zigbee_metadata":{"attr_id":61505,"endpoint_id":10,"profile_id":260,"cluster_id":513,"zcl_data_type":41,"write_formatter":"lambdax:int(round(x,2)*100)","read_formatter":"lambdax:x/100"}},</v>
      </c>
      <c r="B98" s="52" t="str">
        <f ca="1"/>
        <v>0x0201 0xF041</v>
      </c>
      <c r="C98" s="52" t="str">
        <f ca="1">IFERROR(__xludf.DUMMYFUNCTION("""COMPUTED_VALUE"""),"cool_drive_min")</f>
        <v>cool_drive_min</v>
      </c>
      <c r="D98" s="18" t="str">
        <f ca="1">IFERROR(__xludf.DUMMYFUNCTION("""COMPUTED_VALUE"""),"attribute")</f>
        <v>attribute</v>
      </c>
      <c r="E98" s="18" t="str">
        <f ca="1">IFERROR(__xludf.DUMMYFUNCTION("""COMPUTED_VALUE"""),"float")</f>
        <v>float</v>
      </c>
      <c r="F98" s="18" t="str">
        <f ca="1">IFERROR(__xludf.DUMMYFUNCTION("""COMPUTED_VALUE"""),"false")</f>
        <v>false</v>
      </c>
      <c r="G98" s="18" t="str">
        <f ca="1">IFERROR(__xludf.DUMMYFUNCTION("""COMPUTED_VALUE"""),"polled")</f>
        <v>polled</v>
      </c>
      <c r="H98" s="18" t="str">
        <f ca="1">IFERROR(__xludf.DUMMYFUNCTION("""COMPUTED_VALUE"""),"86400")</f>
        <v>86400</v>
      </c>
      <c r="I98" s="18" t="str">
        <f ca="1">IFERROR(__xludf.DUMMYFUNCTION("""COMPUTED_VALUE"""),"N/A")</f>
        <v>N/A</v>
      </c>
      <c r="J98" s="18" t="str">
        <f ca="1">IFERROR(__xludf.DUMMYFUNCTION("""COMPUTED_VALUE"""),"N/A")</f>
        <v>N/A</v>
      </c>
      <c r="K98" s="18" t="str">
        <f ca="1">IFERROR(__xludf.DUMMYFUNCTION("""COMPUTED_VALUE"""),"N/A")</f>
        <v>N/A</v>
      </c>
      <c r="L98" s="18" t="str">
        <f ca="1">IFERROR(__xludf.DUMMYFUNCTION("""COMPUTED_VALUE"""),"35")</f>
        <v>35</v>
      </c>
      <c r="M98" s="18" t="str">
        <f ca="1">IFERROR(__xludf.DUMMYFUNCTION("""COMPUTED_VALUE"""),"0")</f>
        <v>0</v>
      </c>
      <c r="N98" s="18" t="str">
        <f ca="1">IFERROR(__xludf.DUMMYFUNCTION("""COMPUTED_VALUE"""),"N/A")</f>
        <v>N/A</v>
      </c>
      <c r="O98" s="18" t="str">
        <f ca="1">IFERROR(__xludf.DUMMYFUNCTION("""COMPUTED_VALUE"""),"N/A")</f>
        <v>N/A</v>
      </c>
      <c r="P98" s="18" t="str">
        <f ca="1">IFERROR(__xludf.DUMMYFUNCTION("""COMPUTED_VALUE"""),"N/A")</f>
        <v>N/A</v>
      </c>
      <c r="Q98" s="18" t="str">
        <f ca="1">IFERROR(__xludf.DUMMYFUNCTION("""COMPUTED_VALUE"""),"N/A")</f>
        <v>N/A</v>
      </c>
      <c r="R98" s="18" t="str">
        <f ca="1">IFERROR(__xludf.DUMMYFUNCTION("""COMPUTED_VALUE"""),"2")</f>
        <v>2</v>
      </c>
      <c r="S98" s="18" t="str">
        <f ca="1">IFERROR(__xludf.DUMMYFUNCTION("""COMPUTED_VALUE"""),"10")</f>
        <v>10</v>
      </c>
      <c r="T98" s="18" t="str">
        <f ca="1">IFERROR(__xludf.DUMMYFUNCTION("""COMPUTED_VALUE"""),"0xF041")</f>
        <v>0xF041</v>
      </c>
      <c r="U98" s="18" t="str">
        <f ca="1">IFERROR(__xludf.DUMMYFUNCTION("""COMPUTED_VALUE"""),"0x0A")</f>
        <v>0x0A</v>
      </c>
      <c r="V98" s="18" t="str">
        <f ca="1">IFERROR(__xludf.DUMMYFUNCTION("""COMPUTED_VALUE"""),"0x0104")</f>
        <v>0x0104</v>
      </c>
      <c r="W98" s="18" t="str">
        <f ca="1">IFERROR(__xludf.DUMMYFUNCTION("""COMPUTED_VALUE"""),"0x0201")</f>
        <v>0x0201</v>
      </c>
      <c r="X98" s="18" t="str">
        <f ca="1">IFERROR(__xludf.DUMMYFUNCTION("""COMPUTED_VALUE"""),"0x29")</f>
        <v>0x29</v>
      </c>
      <c r="Y98" s="18" t="e">
        <f ca="1"/>
        <v>#NAME?</v>
      </c>
      <c r="Z98" s="18" t="str">
        <f ca="1">IFERROR(__xludf.DUMMYFUNCTION("""COMPUTED_VALUE"""),"lambdax:int(round(x,2)*100)")</f>
        <v>lambdax:int(round(x,2)*100)</v>
      </c>
      <c r="AA98" s="18" t="str">
        <f ca="1">IFERROR(__xludf.DUMMYFUNCTION("""COMPUTED_VALUE"""),"lambdax:x/100")</f>
        <v>lambdax:x/100</v>
      </c>
      <c r="AC98" s="59" t="s">
        <v>937</v>
      </c>
      <c r="AD98" s="59" t="s">
        <v>937</v>
      </c>
      <c r="AE98" s="59" t="s">
        <v>964</v>
      </c>
      <c r="AF98" s="59" t="s">
        <v>971</v>
      </c>
      <c r="AG98" s="59" t="s">
        <v>971</v>
      </c>
      <c r="AH98" s="59" t="s">
        <v>961</v>
      </c>
      <c r="AI98" s="59" t="s">
        <v>965</v>
      </c>
      <c r="AJ98" s="59" t="s">
        <v>965</v>
      </c>
      <c r="AK98" s="59" t="s">
        <v>965</v>
      </c>
      <c r="AL98" s="59" t="s">
        <v>965</v>
      </c>
      <c r="AM98" s="59" t="s">
        <v>965</v>
      </c>
      <c r="AN98" s="59" t="s">
        <v>972</v>
      </c>
      <c r="AO98" s="59" t="s">
        <v>972</v>
      </c>
      <c r="AP98" s="59" t="s">
        <v>973</v>
      </c>
      <c r="AQ98" s="59" t="s">
        <v>956</v>
      </c>
      <c r="AR98" s="59" t="s">
        <v>956</v>
      </c>
      <c r="AS98" s="59" t="s">
        <v>974</v>
      </c>
      <c r="AT98" s="59" t="s">
        <v>974</v>
      </c>
    </row>
    <row r="99" spans="1:46" x14ac:dyDescent="0.25">
      <c r="A99" s="18" t="str">
        <v>heat_drive_max:{"type":"attribute","data_type":"float","is_readonly":false,"reporting_type":"polled","poll_freq":86400,"max":35,"min":0,"decimal_places":2,"default_value":32,"zigbee_metadata":{"attr_id":61506,"endpoint_id":10,"profile_id":260,"cluster_id":513,"zcl_data_type":41,"write_formatter":"lambdax:int(round(x,2)*100)","read_formatter":"lambdax:x/100"}},</v>
      </c>
      <c r="B99" s="52" t="str">
        <f ca="1"/>
        <v>0x0201 0xF042</v>
      </c>
      <c r="C99" s="52" t="str">
        <f ca="1">IFERROR(__xludf.DUMMYFUNCTION("""COMPUTED_VALUE"""),"heat_drive_max")</f>
        <v>heat_drive_max</v>
      </c>
      <c r="D99" s="18" t="str">
        <f ca="1">IFERROR(__xludf.DUMMYFUNCTION("""COMPUTED_VALUE"""),"attribute")</f>
        <v>attribute</v>
      </c>
      <c r="E99" s="18" t="str">
        <f ca="1">IFERROR(__xludf.DUMMYFUNCTION("""COMPUTED_VALUE"""),"float")</f>
        <v>float</v>
      </c>
      <c r="F99" s="18" t="str">
        <f ca="1">IFERROR(__xludf.DUMMYFUNCTION("""COMPUTED_VALUE"""),"false")</f>
        <v>false</v>
      </c>
      <c r="G99" s="18" t="str">
        <f ca="1">IFERROR(__xludf.DUMMYFUNCTION("""COMPUTED_VALUE"""),"polled")</f>
        <v>polled</v>
      </c>
      <c r="H99" s="18" t="str">
        <f ca="1">IFERROR(__xludf.DUMMYFUNCTION("""COMPUTED_VALUE"""),"86400")</f>
        <v>86400</v>
      </c>
      <c r="I99" s="18" t="str">
        <f ca="1">IFERROR(__xludf.DUMMYFUNCTION("""COMPUTED_VALUE"""),"N/A")</f>
        <v>N/A</v>
      </c>
      <c r="J99" s="18" t="str">
        <f ca="1">IFERROR(__xludf.DUMMYFUNCTION("""COMPUTED_VALUE"""),"N/A")</f>
        <v>N/A</v>
      </c>
      <c r="K99" s="18" t="str">
        <f ca="1">IFERROR(__xludf.DUMMYFUNCTION("""COMPUTED_VALUE"""),"N/A")</f>
        <v>N/A</v>
      </c>
      <c r="L99" s="18" t="str">
        <f ca="1">IFERROR(__xludf.DUMMYFUNCTION("""COMPUTED_VALUE"""),"35")</f>
        <v>35</v>
      </c>
      <c r="M99" s="18" t="str">
        <f ca="1">IFERROR(__xludf.DUMMYFUNCTION("""COMPUTED_VALUE"""),"0")</f>
        <v>0</v>
      </c>
      <c r="N99" s="18" t="str">
        <f ca="1">IFERROR(__xludf.DUMMYFUNCTION("""COMPUTED_VALUE"""),"N/A")</f>
        <v>N/A</v>
      </c>
      <c r="O99" s="18" t="str">
        <f ca="1">IFERROR(__xludf.DUMMYFUNCTION("""COMPUTED_VALUE"""),"N/A")</f>
        <v>N/A</v>
      </c>
      <c r="P99" s="18" t="str">
        <f ca="1">IFERROR(__xludf.DUMMYFUNCTION("""COMPUTED_VALUE"""),"N/A")</f>
        <v>N/A</v>
      </c>
      <c r="Q99" s="18" t="str">
        <f ca="1">IFERROR(__xludf.DUMMYFUNCTION("""COMPUTED_VALUE"""),"N/A")</f>
        <v>N/A</v>
      </c>
      <c r="R99" s="18" t="str">
        <f ca="1">IFERROR(__xludf.DUMMYFUNCTION("""COMPUTED_VALUE"""),"2")</f>
        <v>2</v>
      </c>
      <c r="S99" s="18" t="str">
        <f ca="1">IFERROR(__xludf.DUMMYFUNCTION("""COMPUTED_VALUE"""),"32")</f>
        <v>32</v>
      </c>
      <c r="T99" s="18" t="str">
        <f ca="1">IFERROR(__xludf.DUMMYFUNCTION("""COMPUTED_VALUE"""),"0xF042")</f>
        <v>0xF042</v>
      </c>
      <c r="U99" s="18" t="str">
        <f ca="1">IFERROR(__xludf.DUMMYFUNCTION("""COMPUTED_VALUE"""),"0x0A")</f>
        <v>0x0A</v>
      </c>
      <c r="V99" s="18" t="str">
        <f ca="1">IFERROR(__xludf.DUMMYFUNCTION("""COMPUTED_VALUE"""),"0x0104")</f>
        <v>0x0104</v>
      </c>
      <c r="W99" s="18" t="str">
        <f ca="1">IFERROR(__xludf.DUMMYFUNCTION("""COMPUTED_VALUE"""),"0x0201")</f>
        <v>0x0201</v>
      </c>
      <c r="X99" s="18" t="str">
        <f ca="1">IFERROR(__xludf.DUMMYFUNCTION("""COMPUTED_VALUE"""),"0x29")</f>
        <v>0x29</v>
      </c>
      <c r="Y99" s="18" t="e">
        <f ca="1"/>
        <v>#NAME?</v>
      </c>
      <c r="Z99" s="18" t="str">
        <f ca="1">IFERROR(__xludf.DUMMYFUNCTION("""COMPUTED_VALUE"""),"lambdax:int(round(x,2)*100)")</f>
        <v>lambdax:int(round(x,2)*100)</v>
      </c>
      <c r="AA99" s="18" t="str">
        <f ca="1">IFERROR(__xludf.DUMMYFUNCTION("""COMPUTED_VALUE"""),"lambdax:x/100")</f>
        <v>lambdax:x/100</v>
      </c>
      <c r="AC99" s="59" t="s">
        <v>941</v>
      </c>
      <c r="AD99" s="59" t="s">
        <v>941</v>
      </c>
      <c r="AE99" s="59" t="s">
        <v>954</v>
      </c>
      <c r="AF99" s="59" t="s">
        <v>975</v>
      </c>
      <c r="AG99" s="59" t="s">
        <v>975</v>
      </c>
      <c r="AH99" s="59" t="s">
        <v>965</v>
      </c>
      <c r="AI99" s="59" t="s">
        <v>968</v>
      </c>
      <c r="AJ99" s="59" t="s">
        <v>968</v>
      </c>
      <c r="AK99" s="59" t="s">
        <v>968</v>
      </c>
      <c r="AL99" s="59" t="s">
        <v>968</v>
      </c>
      <c r="AM99" s="59" t="s">
        <v>968</v>
      </c>
      <c r="AN99" s="59" t="s">
        <v>976</v>
      </c>
      <c r="AO99" s="59" t="s">
        <v>976</v>
      </c>
      <c r="AP99" s="59" t="s">
        <v>977</v>
      </c>
      <c r="AQ99" s="59" t="s">
        <v>960</v>
      </c>
      <c r="AR99" s="59" t="s">
        <v>960</v>
      </c>
      <c r="AS99" s="59" t="s">
        <v>978</v>
      </c>
      <c r="AT99" s="59" t="s">
        <v>978</v>
      </c>
    </row>
    <row r="100" spans="1:46" x14ac:dyDescent="0.25">
      <c r="A100" s="18" t="str">
        <v>setback_min:{"type":"attribute","data_type":"float","is_readonly":false,"reporting_type":"polled","poll_freq":86400,"max":35,"min":0,"decimal_places":2,"default_value":15.56,"zigbee_metadata":{"attr_id":61507,"endpoint_id":10,"profile_id":260,"cluster_id":513,"zcl_data_type":41,"write_formatter":"lambdax:int(round(x,2)*100)","read_formatter":"lambdax:x/100"}},</v>
      </c>
      <c r="B100" s="52" t="str">
        <f ca="1"/>
        <v>0x0201 0xF043</v>
      </c>
      <c r="C100" s="52" t="str">
        <f ca="1">IFERROR(__xludf.DUMMYFUNCTION("""COMPUTED_VALUE"""),"setback_min")</f>
        <v>setback_min</v>
      </c>
      <c r="D100" s="18" t="str">
        <f ca="1">IFERROR(__xludf.DUMMYFUNCTION("""COMPUTED_VALUE"""),"attribute")</f>
        <v>attribute</v>
      </c>
      <c r="E100" s="18" t="str">
        <f ca="1">IFERROR(__xludf.DUMMYFUNCTION("""COMPUTED_VALUE"""),"float")</f>
        <v>float</v>
      </c>
      <c r="F100" s="18" t="str">
        <f ca="1">IFERROR(__xludf.DUMMYFUNCTION("""COMPUTED_VALUE"""),"false")</f>
        <v>false</v>
      </c>
      <c r="G100" s="18" t="str">
        <f ca="1">IFERROR(__xludf.DUMMYFUNCTION("""COMPUTED_VALUE"""),"polled")</f>
        <v>polled</v>
      </c>
      <c r="H100" s="18" t="str">
        <f ca="1">IFERROR(__xludf.DUMMYFUNCTION("""COMPUTED_VALUE"""),"86400")</f>
        <v>86400</v>
      </c>
      <c r="I100" s="18" t="str">
        <f ca="1">IFERROR(__xludf.DUMMYFUNCTION("""COMPUTED_VALUE"""),"N/A")</f>
        <v>N/A</v>
      </c>
      <c r="J100" s="18" t="str">
        <f ca="1">IFERROR(__xludf.DUMMYFUNCTION("""COMPUTED_VALUE"""),"N/A")</f>
        <v>N/A</v>
      </c>
      <c r="K100" s="18" t="str">
        <f ca="1">IFERROR(__xludf.DUMMYFUNCTION("""COMPUTED_VALUE"""),"N/A")</f>
        <v>N/A</v>
      </c>
      <c r="L100" s="18" t="str">
        <f ca="1">IFERROR(__xludf.DUMMYFUNCTION("""COMPUTED_VALUE"""),"35")</f>
        <v>35</v>
      </c>
      <c r="M100" s="18" t="str">
        <f ca="1">IFERROR(__xludf.DUMMYFUNCTION("""COMPUTED_VALUE"""),"0")</f>
        <v>0</v>
      </c>
      <c r="N100" s="18" t="str">
        <f ca="1">IFERROR(__xludf.DUMMYFUNCTION("""COMPUTED_VALUE"""),"N/A")</f>
        <v>N/A</v>
      </c>
      <c r="O100" s="18" t="str">
        <f ca="1">IFERROR(__xludf.DUMMYFUNCTION("""COMPUTED_VALUE"""),"N/A")</f>
        <v>N/A</v>
      </c>
      <c r="P100" s="18" t="str">
        <f ca="1">IFERROR(__xludf.DUMMYFUNCTION("""COMPUTED_VALUE"""),"N/A")</f>
        <v>N/A</v>
      </c>
      <c r="Q100" s="18" t="str">
        <f ca="1">IFERROR(__xludf.DUMMYFUNCTION("""COMPUTED_VALUE"""),"N/A")</f>
        <v>N/A</v>
      </c>
      <c r="R100" s="18" t="str">
        <f ca="1">IFERROR(__xludf.DUMMYFUNCTION("""COMPUTED_VALUE"""),"2")</f>
        <v>2</v>
      </c>
      <c r="S100" s="18" t="str">
        <f ca="1">IFERROR(__xludf.DUMMYFUNCTION("""COMPUTED_VALUE"""),"15.56")</f>
        <v>15.56</v>
      </c>
      <c r="T100" s="18" t="str">
        <f ca="1">IFERROR(__xludf.DUMMYFUNCTION("""COMPUTED_VALUE"""),"0xF043")</f>
        <v>0xF043</v>
      </c>
      <c r="U100" s="18" t="str">
        <f ca="1">IFERROR(__xludf.DUMMYFUNCTION("""COMPUTED_VALUE"""),"0x0A")</f>
        <v>0x0A</v>
      </c>
      <c r="V100" s="18" t="str">
        <f ca="1">IFERROR(__xludf.DUMMYFUNCTION("""COMPUTED_VALUE"""),"0x0104")</f>
        <v>0x0104</v>
      </c>
      <c r="W100" s="18" t="str">
        <f ca="1">IFERROR(__xludf.DUMMYFUNCTION("""COMPUTED_VALUE"""),"0x0201")</f>
        <v>0x0201</v>
      </c>
      <c r="X100" s="18" t="str">
        <f ca="1">IFERROR(__xludf.DUMMYFUNCTION("""COMPUTED_VALUE"""),"0x29")</f>
        <v>0x29</v>
      </c>
      <c r="Y100" s="18" t="e">
        <f ca="1"/>
        <v>#NAME?</v>
      </c>
      <c r="Z100" s="18" t="str">
        <f ca="1">IFERROR(__xludf.DUMMYFUNCTION("""COMPUTED_VALUE"""),"lambdax:int(round(x,2)*100)")</f>
        <v>lambdax:int(round(x,2)*100)</v>
      </c>
      <c r="AA100" s="18" t="str">
        <f ca="1">IFERROR(__xludf.DUMMYFUNCTION("""COMPUTED_VALUE"""),"lambdax:x/100")</f>
        <v>lambdax:x/100</v>
      </c>
      <c r="AC100" s="59" t="s">
        <v>945</v>
      </c>
      <c r="AD100" s="59" t="s">
        <v>945</v>
      </c>
      <c r="AE100" s="59" t="s">
        <v>971</v>
      </c>
      <c r="AF100" s="59" t="s">
        <v>979</v>
      </c>
      <c r="AG100" s="59" t="s">
        <v>979</v>
      </c>
      <c r="AH100" s="59" t="s">
        <v>968</v>
      </c>
      <c r="AI100" s="59" t="s">
        <v>972</v>
      </c>
      <c r="AJ100" s="59" t="s">
        <v>972</v>
      </c>
      <c r="AK100" s="59" t="s">
        <v>972</v>
      </c>
      <c r="AL100" s="59" t="s">
        <v>972</v>
      </c>
      <c r="AM100" s="59" t="s">
        <v>972</v>
      </c>
      <c r="AN100" s="59" t="s">
        <v>980</v>
      </c>
      <c r="AO100" s="59" t="s">
        <v>980</v>
      </c>
      <c r="AP100" s="59" t="s">
        <v>981</v>
      </c>
      <c r="AQ100" s="59" t="s">
        <v>963</v>
      </c>
      <c r="AR100" s="59" t="s">
        <v>963</v>
      </c>
      <c r="AS100" s="59" t="s">
        <v>982</v>
      </c>
      <c r="AT100" s="59" t="s">
        <v>982</v>
      </c>
    </row>
    <row r="101" spans="1:46" x14ac:dyDescent="0.25">
      <c r="A101" s="18" t="str">
        <v>setback_max:{"type":"attribute","data_type":"float","is_readonly":false,"reporting_type":"polled","poll_freq":86400,"max":35,"min":0,"decimal_places":2,"default_value":27.78,"zigbee_metadata":{"attr_id":61508,"endpoint_id":10,"profile_id":260,"cluster_id":513,"zcl_data_type":41,"write_formatter":"lambdax:int(round(x,2)*100)","read_formatter":"lambdax:x/100"}},</v>
      </c>
      <c r="B101" s="52" t="str">
        <f ca="1"/>
        <v>0x0201 0xF044</v>
      </c>
      <c r="C101" s="52" t="str">
        <f ca="1">IFERROR(__xludf.DUMMYFUNCTION("""COMPUTED_VALUE"""),"setback_max")</f>
        <v>setback_max</v>
      </c>
      <c r="D101" s="18" t="str">
        <f ca="1">IFERROR(__xludf.DUMMYFUNCTION("""COMPUTED_VALUE"""),"attribute")</f>
        <v>attribute</v>
      </c>
      <c r="E101" s="18" t="str">
        <f ca="1">IFERROR(__xludf.DUMMYFUNCTION("""COMPUTED_VALUE"""),"float")</f>
        <v>float</v>
      </c>
      <c r="F101" s="18" t="str">
        <f ca="1">IFERROR(__xludf.DUMMYFUNCTION("""COMPUTED_VALUE"""),"false")</f>
        <v>false</v>
      </c>
      <c r="G101" s="18" t="str">
        <f ca="1">IFERROR(__xludf.DUMMYFUNCTION("""COMPUTED_VALUE"""),"polled")</f>
        <v>polled</v>
      </c>
      <c r="H101" s="18" t="str">
        <f ca="1">IFERROR(__xludf.DUMMYFUNCTION("""COMPUTED_VALUE"""),"86400")</f>
        <v>86400</v>
      </c>
      <c r="I101" s="18" t="str">
        <f ca="1">IFERROR(__xludf.DUMMYFUNCTION("""COMPUTED_VALUE"""),"N/A")</f>
        <v>N/A</v>
      </c>
      <c r="J101" s="18" t="str">
        <f ca="1">IFERROR(__xludf.DUMMYFUNCTION("""COMPUTED_VALUE"""),"N/A")</f>
        <v>N/A</v>
      </c>
      <c r="K101" s="18" t="str">
        <f ca="1">IFERROR(__xludf.DUMMYFUNCTION("""COMPUTED_VALUE"""),"N/A")</f>
        <v>N/A</v>
      </c>
      <c r="L101" s="18" t="str">
        <f ca="1">IFERROR(__xludf.DUMMYFUNCTION("""COMPUTED_VALUE"""),"35")</f>
        <v>35</v>
      </c>
      <c r="M101" s="18" t="str">
        <f ca="1">IFERROR(__xludf.DUMMYFUNCTION("""COMPUTED_VALUE"""),"0")</f>
        <v>0</v>
      </c>
      <c r="N101" s="18" t="str">
        <f ca="1">IFERROR(__xludf.DUMMYFUNCTION("""COMPUTED_VALUE"""),"N/A")</f>
        <v>N/A</v>
      </c>
      <c r="O101" s="18" t="str">
        <f ca="1">IFERROR(__xludf.DUMMYFUNCTION("""COMPUTED_VALUE"""),"N/A")</f>
        <v>N/A</v>
      </c>
      <c r="P101" s="18" t="str">
        <f ca="1">IFERROR(__xludf.DUMMYFUNCTION("""COMPUTED_VALUE"""),"N/A")</f>
        <v>N/A</v>
      </c>
      <c r="Q101" s="18" t="str">
        <f ca="1">IFERROR(__xludf.DUMMYFUNCTION("""COMPUTED_VALUE"""),"N/A")</f>
        <v>N/A</v>
      </c>
      <c r="R101" s="18" t="str">
        <f ca="1">IFERROR(__xludf.DUMMYFUNCTION("""COMPUTED_VALUE"""),"2")</f>
        <v>2</v>
      </c>
      <c r="S101" s="18" t="str">
        <f ca="1">IFERROR(__xludf.DUMMYFUNCTION("""COMPUTED_VALUE"""),"27.78")</f>
        <v>27.78</v>
      </c>
      <c r="T101" s="18" t="str">
        <f ca="1">IFERROR(__xludf.DUMMYFUNCTION("""COMPUTED_VALUE"""),"0xF044")</f>
        <v>0xF044</v>
      </c>
      <c r="U101" s="18" t="str">
        <f ca="1">IFERROR(__xludf.DUMMYFUNCTION("""COMPUTED_VALUE"""),"0x0A")</f>
        <v>0x0A</v>
      </c>
      <c r="V101" s="18" t="str">
        <f ca="1">IFERROR(__xludf.DUMMYFUNCTION("""COMPUTED_VALUE"""),"0x0104")</f>
        <v>0x0104</v>
      </c>
      <c r="W101" s="18" t="str">
        <f ca="1">IFERROR(__xludf.DUMMYFUNCTION("""COMPUTED_VALUE"""),"0x0201")</f>
        <v>0x0201</v>
      </c>
      <c r="X101" s="18" t="str">
        <f ca="1">IFERROR(__xludf.DUMMYFUNCTION("""COMPUTED_VALUE"""),"0x29")</f>
        <v>0x29</v>
      </c>
      <c r="Y101" s="18" t="e">
        <f ca="1"/>
        <v>#NAME?</v>
      </c>
      <c r="Z101" s="18" t="str">
        <f ca="1">IFERROR(__xludf.DUMMYFUNCTION("""COMPUTED_VALUE"""),"lambdax:int(round(x,2)*100)")</f>
        <v>lambdax:int(round(x,2)*100)</v>
      </c>
      <c r="AA101" s="18" t="str">
        <f ca="1">IFERROR(__xludf.DUMMYFUNCTION("""COMPUTED_VALUE"""),"lambdax:x/100")</f>
        <v>lambdax:x/100</v>
      </c>
      <c r="AC101" s="59" t="s">
        <v>949</v>
      </c>
      <c r="AD101" s="59" t="s">
        <v>949</v>
      </c>
      <c r="AE101" s="59" t="s">
        <v>975</v>
      </c>
      <c r="AF101" s="59" t="s">
        <v>968</v>
      </c>
      <c r="AG101" s="59" t="s">
        <v>968</v>
      </c>
      <c r="AH101" s="59" t="s">
        <v>972</v>
      </c>
      <c r="AI101" s="59" t="s">
        <v>976</v>
      </c>
      <c r="AJ101" s="59" t="s">
        <v>976</v>
      </c>
      <c r="AK101" s="59" t="s">
        <v>976</v>
      </c>
      <c r="AL101" s="59" t="s">
        <v>976</v>
      </c>
      <c r="AM101" s="59" t="s">
        <v>976</v>
      </c>
      <c r="AN101" s="59" t="s">
        <v>983</v>
      </c>
      <c r="AO101" s="59" t="s">
        <v>983</v>
      </c>
      <c r="AP101" s="59" t="s">
        <v>984</v>
      </c>
      <c r="AQ101" s="59" t="s">
        <v>967</v>
      </c>
      <c r="AR101" s="59" t="s">
        <v>967</v>
      </c>
      <c r="AS101" s="59" t="s">
        <v>985</v>
      </c>
      <c r="AT101" s="59" t="s">
        <v>985</v>
      </c>
    </row>
    <row r="102" spans="1:46" x14ac:dyDescent="0.25">
      <c r="A102" s="18" t="str">
        <v>deep_setback_min:{"type":"attribute","data_type":"float","is_readonly":false,"reporting_type":"polled","poll_freq":86400,"max":35,"min":0,"decimal_places":2,"default_value":15.56,"zigbee_metadata":{"attr_id":61509,"endpoint_id":10,"profile_id":260,"cluster_id":513,"zcl_data_type":41,"write_formatter":"lambdax:int(round(x,2)*100)","read_formatter":"lambdax:x/100"}},</v>
      </c>
      <c r="B102" s="52" t="str">
        <f ca="1"/>
        <v>0x0201 0xF045</v>
      </c>
      <c r="C102" s="52" t="str">
        <f ca="1">IFERROR(__xludf.DUMMYFUNCTION("""COMPUTED_VALUE"""),"deep_setback_min")</f>
        <v>deep_setback_min</v>
      </c>
      <c r="D102" s="18" t="str">
        <f ca="1">IFERROR(__xludf.DUMMYFUNCTION("""COMPUTED_VALUE"""),"attribute")</f>
        <v>attribute</v>
      </c>
      <c r="E102" s="18" t="str">
        <f ca="1">IFERROR(__xludf.DUMMYFUNCTION("""COMPUTED_VALUE"""),"float")</f>
        <v>float</v>
      </c>
      <c r="F102" s="18" t="str">
        <f ca="1">IFERROR(__xludf.DUMMYFUNCTION("""COMPUTED_VALUE"""),"false")</f>
        <v>false</v>
      </c>
      <c r="G102" s="18" t="str">
        <f ca="1">IFERROR(__xludf.DUMMYFUNCTION("""COMPUTED_VALUE"""),"polled")</f>
        <v>polled</v>
      </c>
      <c r="H102" s="18" t="str">
        <f ca="1">IFERROR(__xludf.DUMMYFUNCTION("""COMPUTED_VALUE"""),"86400")</f>
        <v>86400</v>
      </c>
      <c r="I102" s="18" t="str">
        <f ca="1">IFERROR(__xludf.DUMMYFUNCTION("""COMPUTED_VALUE"""),"N/A")</f>
        <v>N/A</v>
      </c>
      <c r="J102" s="18" t="str">
        <f ca="1">IFERROR(__xludf.DUMMYFUNCTION("""COMPUTED_VALUE"""),"N/A")</f>
        <v>N/A</v>
      </c>
      <c r="K102" s="18" t="str">
        <f ca="1">IFERROR(__xludf.DUMMYFUNCTION("""COMPUTED_VALUE"""),"N/A")</f>
        <v>N/A</v>
      </c>
      <c r="L102" s="18" t="str">
        <f ca="1">IFERROR(__xludf.DUMMYFUNCTION("""COMPUTED_VALUE"""),"35")</f>
        <v>35</v>
      </c>
      <c r="M102" s="18" t="str">
        <f ca="1">IFERROR(__xludf.DUMMYFUNCTION("""COMPUTED_VALUE"""),"0")</f>
        <v>0</v>
      </c>
      <c r="N102" s="18" t="str">
        <f ca="1">IFERROR(__xludf.DUMMYFUNCTION("""COMPUTED_VALUE"""),"N/A")</f>
        <v>N/A</v>
      </c>
      <c r="O102" s="18" t="str">
        <f ca="1">IFERROR(__xludf.DUMMYFUNCTION("""COMPUTED_VALUE"""),"N/A")</f>
        <v>N/A</v>
      </c>
      <c r="P102" s="18" t="str">
        <f ca="1">IFERROR(__xludf.DUMMYFUNCTION("""COMPUTED_VALUE"""),"N/A")</f>
        <v>N/A</v>
      </c>
      <c r="Q102" s="18" t="str">
        <f ca="1">IFERROR(__xludf.DUMMYFUNCTION("""COMPUTED_VALUE"""),"N/A")</f>
        <v>N/A</v>
      </c>
      <c r="R102" s="18" t="str">
        <f ca="1">IFERROR(__xludf.DUMMYFUNCTION("""COMPUTED_VALUE"""),"2")</f>
        <v>2</v>
      </c>
      <c r="S102" s="18" t="str">
        <f ca="1">IFERROR(__xludf.DUMMYFUNCTION("""COMPUTED_VALUE"""),"15.56")</f>
        <v>15.56</v>
      </c>
      <c r="T102" s="18" t="str">
        <f ca="1">IFERROR(__xludf.DUMMYFUNCTION("""COMPUTED_VALUE"""),"0xF045")</f>
        <v>0xF045</v>
      </c>
      <c r="U102" s="18" t="str">
        <f ca="1">IFERROR(__xludf.DUMMYFUNCTION("""COMPUTED_VALUE"""),"0x0A")</f>
        <v>0x0A</v>
      </c>
      <c r="V102" s="18" t="str">
        <f ca="1">IFERROR(__xludf.DUMMYFUNCTION("""COMPUTED_VALUE"""),"0x0104")</f>
        <v>0x0104</v>
      </c>
      <c r="W102" s="18" t="str">
        <f ca="1">IFERROR(__xludf.DUMMYFUNCTION("""COMPUTED_VALUE"""),"0x0201")</f>
        <v>0x0201</v>
      </c>
      <c r="X102" s="18" t="str">
        <f ca="1">IFERROR(__xludf.DUMMYFUNCTION("""COMPUTED_VALUE"""),"0x29")</f>
        <v>0x29</v>
      </c>
      <c r="Y102" s="18" t="e">
        <f ca="1"/>
        <v>#NAME?</v>
      </c>
      <c r="Z102" s="18" t="str">
        <f ca="1">IFERROR(__xludf.DUMMYFUNCTION("""COMPUTED_VALUE"""),"lambdax:int(round(x,2)*100)")</f>
        <v>lambdax:int(round(x,2)*100)</v>
      </c>
      <c r="AA102" s="18" t="str">
        <f ca="1">IFERROR(__xludf.DUMMYFUNCTION("""COMPUTED_VALUE"""),"lambdax:x/100")</f>
        <v>lambdax:x/100</v>
      </c>
      <c r="AC102" s="59" t="s">
        <v>953</v>
      </c>
      <c r="AD102" s="59" t="s">
        <v>953</v>
      </c>
      <c r="AE102" s="59" t="s">
        <v>979</v>
      </c>
      <c r="AF102" s="59" t="s">
        <v>972</v>
      </c>
      <c r="AG102" s="59" t="s">
        <v>972</v>
      </c>
      <c r="AH102" s="59" t="s">
        <v>976</v>
      </c>
      <c r="AI102" s="59" t="s">
        <v>986</v>
      </c>
      <c r="AJ102" s="59" t="s">
        <v>986</v>
      </c>
      <c r="AK102" s="59" t="s">
        <v>986</v>
      </c>
      <c r="AL102" s="59" t="s">
        <v>986</v>
      </c>
      <c r="AM102" s="59" t="s">
        <v>986</v>
      </c>
      <c r="AN102" s="59" t="s">
        <v>987</v>
      </c>
      <c r="AO102" s="59" t="s">
        <v>987</v>
      </c>
      <c r="AP102" s="59" t="s">
        <v>988</v>
      </c>
      <c r="AQ102" s="59" t="s">
        <v>970</v>
      </c>
      <c r="AR102" s="59" t="s">
        <v>970</v>
      </c>
      <c r="AS102" s="59" t="s">
        <v>989</v>
      </c>
      <c r="AT102" s="59" t="s">
        <v>989</v>
      </c>
    </row>
    <row r="103" spans="1:46" x14ac:dyDescent="0.25">
      <c r="A103" s="18" t="str">
        <v>deep_setback_max:{"type":"attribute","data_type":"float","is_readonly":false,"reporting_type":"polled","poll_freq":86400,"max":35,"min":0,"decimal_places":2,"default_value":27.78,"zigbee_metadata":{"attr_id":61510,"endpoint_id":10,"profile_id":260,"cluster_id":513,"zcl_data_type":41,"write_formatter":"lambdax:int(round(x,2)*100)","read_formatter":"lambdax:x/100"}},</v>
      </c>
      <c r="B103" s="52" t="str">
        <f ca="1"/>
        <v>0x0201 0xF046</v>
      </c>
      <c r="C103" s="52" t="str">
        <f ca="1">IFERROR(__xludf.DUMMYFUNCTION("""COMPUTED_VALUE"""),"deep_setback_max")</f>
        <v>deep_setback_max</v>
      </c>
      <c r="D103" s="18" t="str">
        <f ca="1">IFERROR(__xludf.DUMMYFUNCTION("""COMPUTED_VALUE"""),"attribute")</f>
        <v>attribute</v>
      </c>
      <c r="E103" s="18" t="str">
        <f ca="1">IFERROR(__xludf.DUMMYFUNCTION("""COMPUTED_VALUE"""),"float")</f>
        <v>float</v>
      </c>
      <c r="F103" s="18" t="str">
        <f ca="1">IFERROR(__xludf.DUMMYFUNCTION("""COMPUTED_VALUE"""),"false")</f>
        <v>false</v>
      </c>
      <c r="G103" s="18" t="str">
        <f ca="1">IFERROR(__xludf.DUMMYFUNCTION("""COMPUTED_VALUE"""),"polled")</f>
        <v>polled</v>
      </c>
      <c r="H103" s="18" t="str">
        <f ca="1">IFERROR(__xludf.DUMMYFUNCTION("""COMPUTED_VALUE"""),"86400")</f>
        <v>86400</v>
      </c>
      <c r="I103" s="18" t="str">
        <f ca="1">IFERROR(__xludf.DUMMYFUNCTION("""COMPUTED_VALUE"""),"N/A")</f>
        <v>N/A</v>
      </c>
      <c r="J103" s="18" t="str">
        <f ca="1">IFERROR(__xludf.DUMMYFUNCTION("""COMPUTED_VALUE"""),"N/A")</f>
        <v>N/A</v>
      </c>
      <c r="K103" s="18" t="str">
        <f ca="1">IFERROR(__xludf.DUMMYFUNCTION("""COMPUTED_VALUE"""),"N/A")</f>
        <v>N/A</v>
      </c>
      <c r="L103" s="18" t="str">
        <f ca="1">IFERROR(__xludf.DUMMYFUNCTION("""COMPUTED_VALUE"""),"35")</f>
        <v>35</v>
      </c>
      <c r="M103" s="18" t="str">
        <f ca="1">IFERROR(__xludf.DUMMYFUNCTION("""COMPUTED_VALUE"""),"0")</f>
        <v>0</v>
      </c>
      <c r="N103" s="18" t="str">
        <f ca="1">IFERROR(__xludf.DUMMYFUNCTION("""COMPUTED_VALUE"""),"N/A")</f>
        <v>N/A</v>
      </c>
      <c r="O103" s="18" t="str">
        <f ca="1">IFERROR(__xludf.DUMMYFUNCTION("""COMPUTED_VALUE"""),"N/A")</f>
        <v>N/A</v>
      </c>
      <c r="P103" s="18" t="str">
        <f ca="1">IFERROR(__xludf.DUMMYFUNCTION("""COMPUTED_VALUE"""),"N/A")</f>
        <v>N/A</v>
      </c>
      <c r="Q103" s="18" t="str">
        <f ca="1">IFERROR(__xludf.DUMMYFUNCTION("""COMPUTED_VALUE"""),"N/A")</f>
        <v>N/A</v>
      </c>
      <c r="R103" s="18" t="str">
        <f ca="1">IFERROR(__xludf.DUMMYFUNCTION("""COMPUTED_VALUE"""),"2")</f>
        <v>2</v>
      </c>
      <c r="S103" s="18" t="str">
        <f ca="1">IFERROR(__xludf.DUMMYFUNCTION("""COMPUTED_VALUE"""),"27.78")</f>
        <v>27.78</v>
      </c>
      <c r="T103" s="18" t="str">
        <f ca="1">IFERROR(__xludf.DUMMYFUNCTION("""COMPUTED_VALUE"""),"0xF046")</f>
        <v>0xF046</v>
      </c>
      <c r="U103" s="18" t="str">
        <f ca="1">IFERROR(__xludf.DUMMYFUNCTION("""COMPUTED_VALUE"""),"0x0A")</f>
        <v>0x0A</v>
      </c>
      <c r="V103" s="18" t="str">
        <f ca="1">IFERROR(__xludf.DUMMYFUNCTION("""COMPUTED_VALUE"""),"0x0104")</f>
        <v>0x0104</v>
      </c>
      <c r="W103" s="18" t="str">
        <f ca="1">IFERROR(__xludf.DUMMYFUNCTION("""COMPUTED_VALUE"""),"0x0201")</f>
        <v>0x0201</v>
      </c>
      <c r="X103" s="18" t="str">
        <f ca="1">IFERROR(__xludf.DUMMYFUNCTION("""COMPUTED_VALUE"""),"0x29")</f>
        <v>0x29</v>
      </c>
      <c r="Y103" s="18" t="e">
        <f ca="1"/>
        <v>#NAME?</v>
      </c>
      <c r="Z103" s="18" t="str">
        <f ca="1">IFERROR(__xludf.DUMMYFUNCTION("""COMPUTED_VALUE"""),"lambdax:int(round(x,2)*100)")</f>
        <v>lambdax:int(round(x,2)*100)</v>
      </c>
      <c r="AA103" s="18" t="str">
        <f ca="1">IFERROR(__xludf.DUMMYFUNCTION("""COMPUTED_VALUE"""),"lambdax:x/100")</f>
        <v>lambdax:x/100</v>
      </c>
      <c r="AC103" s="59" t="s">
        <v>957</v>
      </c>
      <c r="AD103" s="59" t="s">
        <v>957</v>
      </c>
      <c r="AE103" s="59" t="s">
        <v>968</v>
      </c>
      <c r="AF103" s="59" t="s">
        <v>976</v>
      </c>
      <c r="AG103" s="59" t="s">
        <v>976</v>
      </c>
      <c r="AH103" s="59" t="s">
        <v>986</v>
      </c>
      <c r="AI103" s="59" t="s">
        <v>983</v>
      </c>
      <c r="AJ103" s="59" t="s">
        <v>983</v>
      </c>
      <c r="AK103" s="59" t="s">
        <v>983</v>
      </c>
      <c r="AL103" s="59" t="s">
        <v>983</v>
      </c>
      <c r="AM103" s="59" t="s">
        <v>983</v>
      </c>
      <c r="AN103" s="59" t="s">
        <v>990</v>
      </c>
      <c r="AO103" s="59" t="s">
        <v>990</v>
      </c>
      <c r="AP103" s="59" t="s">
        <v>991</v>
      </c>
      <c r="AQ103" s="59" t="s">
        <v>974</v>
      </c>
      <c r="AR103" s="59" t="s">
        <v>974</v>
      </c>
      <c r="AS103" s="59" t="s">
        <v>992</v>
      </c>
      <c r="AT103" s="59" t="s">
        <v>992</v>
      </c>
    </row>
    <row r="104" spans="1:46" x14ac:dyDescent="0.25">
      <c r="A104" s="18" t="str">
        <v>display_setpoint:{"type":"combined","data_type":"float","is_readonly":false,"reporting_type":"reported","report_max":3600,"report_min":0,"report_threshold":0,"decimal_places":2,"bound_attr_max":"cool_setpoint_max","bound_attr_min":"heat_setpoint_min","default_value":null,"zigbee_metadata":{"attr_id":61511,"endpoint_id":10,"profile_id":260,"cluster_id":513,"zcl_data_type":41,"write_formatter":"lambdax:int(round(x,2)*100)","read_formatter":"lambdax:x/100"}},</v>
      </c>
      <c r="B104" s="52" t="str">
        <f ca="1"/>
        <v>0x0201 0xF047</v>
      </c>
      <c r="C104" s="52" t="str">
        <f ca="1">IFERROR(__xludf.DUMMYFUNCTION("""COMPUTED_VALUE"""),"display_setpoint")</f>
        <v>display_setpoint</v>
      </c>
      <c r="D104" s="18" t="str">
        <f ca="1">IFERROR(__xludf.DUMMYFUNCTION("""COMPUTED_VALUE"""),"combined")</f>
        <v>combined</v>
      </c>
      <c r="E104" s="18" t="str">
        <f ca="1">IFERROR(__xludf.DUMMYFUNCTION("""COMPUTED_VALUE"""),"float")</f>
        <v>float</v>
      </c>
      <c r="F104" s="18" t="str">
        <f ca="1">IFERROR(__xludf.DUMMYFUNCTION("""COMPUTED_VALUE"""),"false")</f>
        <v>false</v>
      </c>
      <c r="G104" s="18" t="str">
        <f ca="1">IFERROR(__xludf.DUMMYFUNCTION("""COMPUTED_VALUE"""),"reported")</f>
        <v>reported</v>
      </c>
      <c r="H104" s="18" t="str">
        <f ca="1">IFERROR(__xludf.DUMMYFUNCTION("""COMPUTED_VALUE"""),"N/A")</f>
        <v>N/A</v>
      </c>
      <c r="I104" s="18" t="str">
        <f ca="1">IFERROR(__xludf.DUMMYFUNCTION("""COMPUTED_VALUE"""),"3600")</f>
        <v>3600</v>
      </c>
      <c r="J104" s="18" t="str">
        <f ca="1">IFERROR(__xludf.DUMMYFUNCTION("""COMPUTED_VALUE"""),"0")</f>
        <v>0</v>
      </c>
      <c r="K104" s="18" t="str">
        <f ca="1">IFERROR(__xludf.DUMMYFUNCTION("""COMPUTED_VALUE"""),"0")</f>
        <v>0</v>
      </c>
      <c r="L104" s="18" t="str">
        <f ca="1">IFERROR(__xludf.DUMMYFUNCTION("""COMPUTED_VALUE"""),"N/A")</f>
        <v>N/A</v>
      </c>
      <c r="M104" s="18" t="str">
        <f ca="1">IFERROR(__xludf.DUMMYFUNCTION("""COMPUTED_VALUE"""),"N/A")</f>
        <v>N/A</v>
      </c>
      <c r="N104" s="18" t="str">
        <f ca="1">IFERROR(__xludf.DUMMYFUNCTION("""COMPUTED_VALUE"""),"cool_setpoint_max")</f>
        <v>cool_setpoint_max</v>
      </c>
      <c r="O104" s="18" t="str">
        <f ca="1">IFERROR(__xludf.DUMMYFUNCTION("""COMPUTED_VALUE"""),"heat_setpoint_min")</f>
        <v>heat_setpoint_min</v>
      </c>
      <c r="P104" s="18" t="str">
        <f ca="1">IFERROR(__xludf.DUMMYFUNCTION("""COMPUTED_VALUE"""),"N/A")</f>
        <v>N/A</v>
      </c>
      <c r="Q104" s="18" t="str">
        <f ca="1">IFERROR(__xludf.DUMMYFUNCTION("""COMPUTED_VALUE"""),"N/A")</f>
        <v>N/A</v>
      </c>
      <c r="R104" s="18" t="str">
        <f ca="1">IFERROR(__xludf.DUMMYFUNCTION("""COMPUTED_VALUE"""),"2")</f>
        <v>2</v>
      </c>
      <c r="S104" s="18" t="str">
        <f ca="1">IFERROR(__xludf.DUMMYFUNCTION("""COMPUTED_VALUE"""),"null")</f>
        <v>null</v>
      </c>
      <c r="T104" s="18" t="str">
        <f ca="1">IFERROR(__xludf.DUMMYFUNCTION("""COMPUTED_VALUE"""),"0xF047")</f>
        <v>0xF047</v>
      </c>
      <c r="U104" s="18" t="str">
        <f ca="1">IFERROR(__xludf.DUMMYFUNCTION("""COMPUTED_VALUE"""),"0x0A")</f>
        <v>0x0A</v>
      </c>
      <c r="V104" s="18" t="str">
        <f ca="1">IFERROR(__xludf.DUMMYFUNCTION("""COMPUTED_VALUE"""),"0x0104")</f>
        <v>0x0104</v>
      </c>
      <c r="W104" s="18" t="str">
        <f ca="1">IFERROR(__xludf.DUMMYFUNCTION("""COMPUTED_VALUE"""),"0x0201")</f>
        <v>0x0201</v>
      </c>
      <c r="X104" s="18" t="str">
        <f ca="1">IFERROR(__xludf.DUMMYFUNCTION("""COMPUTED_VALUE"""),"0x29")</f>
        <v>0x29</v>
      </c>
      <c r="Y104" s="18" t="e">
        <f ca="1"/>
        <v>#NAME?</v>
      </c>
      <c r="Z104" s="18" t="str">
        <f ca="1">IFERROR(__xludf.DUMMYFUNCTION("""COMPUTED_VALUE"""),"lambdax:int(round(x,2)*100)")</f>
        <v>lambdax:int(round(x,2)*100)</v>
      </c>
      <c r="AA104" s="18" t="str">
        <f ca="1">IFERROR(__xludf.DUMMYFUNCTION("""COMPUTED_VALUE"""),"lambdax:x/100")</f>
        <v>lambdax:x/100</v>
      </c>
      <c r="AC104" s="59" t="s">
        <v>946</v>
      </c>
      <c r="AD104" s="59" t="s">
        <v>946</v>
      </c>
      <c r="AE104" s="59" t="s">
        <v>972</v>
      </c>
      <c r="AF104" s="59" t="s">
        <v>986</v>
      </c>
      <c r="AG104" s="59" t="s">
        <v>986</v>
      </c>
      <c r="AH104" s="59" t="s">
        <v>983</v>
      </c>
      <c r="AI104" s="59" t="s">
        <v>987</v>
      </c>
      <c r="AJ104" s="59" t="s">
        <v>987</v>
      </c>
      <c r="AK104" s="59" t="s">
        <v>987</v>
      </c>
      <c r="AL104" s="59" t="s">
        <v>987</v>
      </c>
      <c r="AM104" s="59" t="s">
        <v>987</v>
      </c>
      <c r="AN104" s="59" t="s">
        <v>993</v>
      </c>
      <c r="AO104" s="59" t="s">
        <v>993</v>
      </c>
      <c r="AP104" s="59" t="s">
        <v>994</v>
      </c>
      <c r="AQ104" s="59" t="s">
        <v>978</v>
      </c>
      <c r="AR104" s="59" t="s">
        <v>978</v>
      </c>
      <c r="AS104" s="59" t="s">
        <v>995</v>
      </c>
      <c r="AT104" s="59" t="s">
        <v>995</v>
      </c>
    </row>
    <row r="105" spans="1:46" x14ac:dyDescent="0.25">
      <c r="A105" s="18" t="str">
        <v>changeover_hysteresis:{"type":"attribute","data_type":"float","is_readonly":false,"reporting_type":"polled","poll_freq":86400,"max":10,"min":1,"decimal_places":2,"default_value":2,"zigbee_metadata":{"attr_id":61512,"endpoint_id":10,"profile_id":260,"cluster_id":513,"zcl_data_type":33,"write_formatter":"lambdax:int(round(x,2)*100)","read_formatter":"lambdax:x/100"}},</v>
      </c>
      <c r="B105" s="52" t="str">
        <f ca="1"/>
        <v>0x0201 0xF048</v>
      </c>
      <c r="C105" s="52" t="str">
        <f ca="1">IFERROR(__xludf.DUMMYFUNCTION("""COMPUTED_VALUE"""),"changeover_hysteresis")</f>
        <v>changeover_hysteresis</v>
      </c>
      <c r="D105" s="18" t="str">
        <f ca="1">IFERROR(__xludf.DUMMYFUNCTION("""COMPUTED_VALUE"""),"attribute")</f>
        <v>attribute</v>
      </c>
      <c r="E105" s="18" t="str">
        <f ca="1">IFERROR(__xludf.DUMMYFUNCTION("""COMPUTED_VALUE"""),"float")</f>
        <v>float</v>
      </c>
      <c r="F105" s="18" t="str">
        <f ca="1">IFERROR(__xludf.DUMMYFUNCTION("""COMPUTED_VALUE"""),"false")</f>
        <v>false</v>
      </c>
      <c r="G105" s="18" t="str">
        <f ca="1">IFERROR(__xludf.DUMMYFUNCTION("""COMPUTED_VALUE"""),"polled")</f>
        <v>polled</v>
      </c>
      <c r="H105" s="18" t="str">
        <f ca="1">IFERROR(__xludf.DUMMYFUNCTION("""COMPUTED_VALUE"""),"86400")</f>
        <v>86400</v>
      </c>
      <c r="I105" s="18" t="str">
        <f ca="1">IFERROR(__xludf.DUMMYFUNCTION("""COMPUTED_VALUE"""),"N/A")</f>
        <v>N/A</v>
      </c>
      <c r="J105" s="18" t="str">
        <f ca="1">IFERROR(__xludf.DUMMYFUNCTION("""COMPUTED_VALUE"""),"N/A")</f>
        <v>N/A</v>
      </c>
      <c r="K105" s="18" t="str">
        <f ca="1">IFERROR(__xludf.DUMMYFUNCTION("""COMPUTED_VALUE"""),"N/A")</f>
        <v>N/A</v>
      </c>
      <c r="L105" s="18" t="str">
        <f ca="1">IFERROR(__xludf.DUMMYFUNCTION("""COMPUTED_VALUE"""),"10")</f>
        <v>10</v>
      </c>
      <c r="M105" s="18" t="str">
        <f ca="1">IFERROR(__xludf.DUMMYFUNCTION("""COMPUTED_VALUE"""),"1")</f>
        <v>1</v>
      </c>
      <c r="N105" s="18" t="str">
        <f ca="1">IFERROR(__xludf.DUMMYFUNCTION("""COMPUTED_VALUE"""),"N/A")</f>
        <v>N/A</v>
      </c>
      <c r="O105" s="18" t="str">
        <f ca="1">IFERROR(__xludf.DUMMYFUNCTION("""COMPUTED_VALUE"""),"N/A")</f>
        <v>N/A</v>
      </c>
      <c r="P105" s="18" t="str">
        <f ca="1">IFERROR(__xludf.DUMMYFUNCTION("""COMPUTED_VALUE"""),"N/A")</f>
        <v>N/A</v>
      </c>
      <c r="Q105" s="18" t="str">
        <f ca="1">IFERROR(__xludf.DUMMYFUNCTION("""COMPUTED_VALUE"""),"N/A")</f>
        <v>N/A</v>
      </c>
      <c r="R105" s="18" t="str">
        <f ca="1">IFERROR(__xludf.DUMMYFUNCTION("""COMPUTED_VALUE"""),"2")</f>
        <v>2</v>
      </c>
      <c r="S105" s="18" t="str">
        <f ca="1">IFERROR(__xludf.DUMMYFUNCTION("""COMPUTED_VALUE"""),"2")</f>
        <v>2</v>
      </c>
      <c r="T105" s="18" t="str">
        <f ca="1">IFERROR(__xludf.DUMMYFUNCTION("""COMPUTED_VALUE"""),"0xF048")</f>
        <v>0xF048</v>
      </c>
      <c r="U105" s="18" t="str">
        <f ca="1">IFERROR(__xludf.DUMMYFUNCTION("""COMPUTED_VALUE"""),"0x0A")</f>
        <v>0x0A</v>
      </c>
      <c r="V105" s="18" t="str">
        <f ca="1">IFERROR(__xludf.DUMMYFUNCTION("""COMPUTED_VALUE"""),"0x0104")</f>
        <v>0x0104</v>
      </c>
      <c r="W105" s="18" t="str">
        <f ca="1">IFERROR(__xludf.DUMMYFUNCTION("""COMPUTED_VALUE"""),"0x0201")</f>
        <v>0x0201</v>
      </c>
      <c r="X105" s="18" t="str">
        <f ca="1">IFERROR(__xludf.DUMMYFUNCTION("""COMPUTED_VALUE"""),"0x21")</f>
        <v>0x21</v>
      </c>
      <c r="Y105" s="18" t="e">
        <f ca="1"/>
        <v>#NAME?</v>
      </c>
      <c r="Z105" s="18" t="str">
        <f ca="1">IFERROR(__xludf.DUMMYFUNCTION("""COMPUTED_VALUE"""),"lambdax:int(round(x,2)*100)")</f>
        <v>lambdax:int(round(x,2)*100)</v>
      </c>
      <c r="AA105" s="18" t="str">
        <f ca="1">IFERROR(__xludf.DUMMYFUNCTION("""COMPUTED_VALUE"""),"lambdax:x/100")</f>
        <v>lambdax:x/100</v>
      </c>
      <c r="AC105" s="59" t="s">
        <v>964</v>
      </c>
      <c r="AD105" s="59" t="s">
        <v>964</v>
      </c>
      <c r="AE105" s="59" t="s">
        <v>976</v>
      </c>
      <c r="AF105" s="59" t="s">
        <v>996</v>
      </c>
      <c r="AG105" s="59" t="s">
        <v>996</v>
      </c>
      <c r="AH105" s="59" t="s">
        <v>987</v>
      </c>
      <c r="AI105" s="59" t="s">
        <v>990</v>
      </c>
      <c r="AJ105" s="59" t="s">
        <v>990</v>
      </c>
      <c r="AK105" s="59" t="s">
        <v>990</v>
      </c>
      <c r="AL105" s="59" t="s">
        <v>990</v>
      </c>
      <c r="AM105" s="59" t="s">
        <v>990</v>
      </c>
      <c r="AN105" s="59" t="s">
        <v>997</v>
      </c>
      <c r="AO105" s="59" t="s">
        <v>997</v>
      </c>
      <c r="AP105" s="59" t="s">
        <v>998</v>
      </c>
      <c r="AQ105" s="59" t="s">
        <v>982</v>
      </c>
      <c r="AR105" s="59" t="s">
        <v>982</v>
      </c>
      <c r="AS105" s="59" t="s">
        <v>999</v>
      </c>
      <c r="AT105" s="59" t="s">
        <v>999</v>
      </c>
    </row>
    <row r="106" spans="1:46" x14ac:dyDescent="0.25">
      <c r="A106" s="18" t="str">
        <v>dehumidification_setpoint:{"type":"attribute","data_type":"uint8","is_readonly":false,"reporting_type":"polled","poll_freq":86400,"max":100,"min":0,"default_value":null,"zigbee_metadata":{"attr_id":16,"endpoint_id":10,"profile_id":260,"cluster_id":515,"zcl_data_type":32}},</v>
      </c>
      <c r="B106" s="52" t="str">
        <f ca="1"/>
        <v>0x0203 0x0010</v>
      </c>
      <c r="C106" s="52" t="str">
        <f ca="1">IFERROR(__xludf.DUMMYFUNCTION("""COMPUTED_VALUE"""),"dehumidification_setpoint")</f>
        <v>dehumidification_setpoint</v>
      </c>
      <c r="D106" s="18" t="str">
        <f ca="1">IFERROR(__xludf.DUMMYFUNCTION("""COMPUTED_VALUE"""),"attribute")</f>
        <v>attribute</v>
      </c>
      <c r="E106" s="18" t="str">
        <f ca="1">IFERROR(__xludf.DUMMYFUNCTION("""COMPUTED_VALUE"""),"uint8")</f>
        <v>uint8</v>
      </c>
      <c r="F106" s="18" t="str">
        <f ca="1">IFERROR(__xludf.DUMMYFUNCTION("""COMPUTED_VALUE"""),"false")</f>
        <v>false</v>
      </c>
      <c r="G106" s="18" t="str">
        <f ca="1">IFERROR(__xludf.DUMMYFUNCTION("""COMPUTED_VALUE"""),"polled")</f>
        <v>polled</v>
      </c>
      <c r="H106" s="18" t="str">
        <f ca="1">IFERROR(__xludf.DUMMYFUNCTION("""COMPUTED_VALUE"""),"86400")</f>
        <v>86400</v>
      </c>
      <c r="I106" s="18" t="str">
        <f ca="1">IFERROR(__xludf.DUMMYFUNCTION("""COMPUTED_VALUE"""),"N/A")</f>
        <v>N/A</v>
      </c>
      <c r="J106" s="18" t="str">
        <f ca="1">IFERROR(__xludf.DUMMYFUNCTION("""COMPUTED_VALUE"""),"N/A")</f>
        <v>N/A</v>
      </c>
      <c r="K106" s="18" t="str">
        <f ca="1">IFERROR(__xludf.DUMMYFUNCTION("""COMPUTED_VALUE"""),"N/A")</f>
        <v>N/A</v>
      </c>
      <c r="L106" s="18" t="str">
        <f ca="1">IFERROR(__xludf.DUMMYFUNCTION("""COMPUTED_VALUE"""),"100")</f>
        <v>100</v>
      </c>
      <c r="M106" s="18" t="str">
        <f ca="1">IFERROR(__xludf.DUMMYFUNCTION("""COMPUTED_VALUE"""),"0")</f>
        <v>0</v>
      </c>
      <c r="N106" s="18" t="str">
        <f ca="1">IFERROR(__xludf.DUMMYFUNCTION("""COMPUTED_VALUE"""),"N/A")</f>
        <v>N/A</v>
      </c>
      <c r="O106" s="18" t="str">
        <f ca="1">IFERROR(__xludf.DUMMYFUNCTION("""COMPUTED_VALUE"""),"N/A")</f>
        <v>N/A</v>
      </c>
      <c r="P106" s="18" t="str">
        <f ca="1">IFERROR(__xludf.DUMMYFUNCTION("""COMPUTED_VALUE"""),"N/A")</f>
        <v>N/A</v>
      </c>
      <c r="Q106" s="18" t="str">
        <f ca="1">IFERROR(__xludf.DUMMYFUNCTION("""COMPUTED_VALUE"""),"N/A")</f>
        <v>N/A</v>
      </c>
      <c r="R106" s="18" t="str">
        <f ca="1">IFERROR(__xludf.DUMMYFUNCTION("""COMPUTED_VALUE"""),"N/A")</f>
        <v>N/A</v>
      </c>
      <c r="S106" s="18" t="str">
        <f ca="1">IFERROR(__xludf.DUMMYFUNCTION("""COMPUTED_VALUE"""),"null")</f>
        <v>null</v>
      </c>
      <c r="T106" s="18" t="str">
        <f ca="1">IFERROR(__xludf.DUMMYFUNCTION("""COMPUTED_VALUE"""),"0x0010")</f>
        <v>0x0010</v>
      </c>
      <c r="U106" s="18" t="str">
        <f ca="1">IFERROR(__xludf.DUMMYFUNCTION("""COMPUTED_VALUE"""),"0x0A")</f>
        <v>0x0A</v>
      </c>
      <c r="V106" s="18" t="str">
        <f ca="1">IFERROR(__xludf.DUMMYFUNCTION("""COMPUTED_VALUE"""),"0x0104")</f>
        <v>0x0104</v>
      </c>
      <c r="W106" s="18" t="str">
        <f ca="1">IFERROR(__xludf.DUMMYFUNCTION("""COMPUTED_VALUE"""),"0x0203")</f>
        <v>0x0203</v>
      </c>
      <c r="X106" s="18" t="str">
        <f ca="1">IFERROR(__xludf.DUMMYFUNCTION("""COMPUTED_VALUE"""),"0x20")</f>
        <v>0x20</v>
      </c>
      <c r="Y106" s="18" t="e">
        <f ca="1"/>
        <v>#NAME?</v>
      </c>
      <c r="Z106" s="18" t="str">
        <f ca="1">IFERROR(__xludf.DUMMYFUNCTION("""COMPUTED_VALUE"""),"N/A")</f>
        <v>N/A</v>
      </c>
      <c r="AA106" s="18" t="str">
        <f ca="1">IFERROR(__xludf.DUMMYFUNCTION("""COMPUTED_VALUE"""),"N/A")</f>
        <v>N/A</v>
      </c>
      <c r="AC106" s="59" t="s">
        <v>954</v>
      </c>
      <c r="AD106" s="59" t="s">
        <v>954</v>
      </c>
      <c r="AE106" s="59" t="s">
        <v>986</v>
      </c>
      <c r="AF106" s="59" t="s">
        <v>1000</v>
      </c>
      <c r="AG106" s="59" t="s">
        <v>1000</v>
      </c>
      <c r="AH106" s="59" t="s">
        <v>990</v>
      </c>
      <c r="AI106" s="59" t="s">
        <v>993</v>
      </c>
      <c r="AJ106" s="59" t="s">
        <v>993</v>
      </c>
      <c r="AK106" s="59" t="s">
        <v>993</v>
      </c>
      <c r="AL106" s="59" t="s">
        <v>993</v>
      </c>
      <c r="AM106" s="59" t="s">
        <v>993</v>
      </c>
      <c r="AN106" s="59" t="s">
        <v>1001</v>
      </c>
      <c r="AO106" s="59" t="s">
        <v>1001</v>
      </c>
      <c r="AP106" s="59" t="s">
        <v>1002</v>
      </c>
      <c r="AQ106" s="59" t="s">
        <v>985</v>
      </c>
      <c r="AR106" s="59" t="s">
        <v>985</v>
      </c>
      <c r="AS106" s="59" t="s">
        <v>1003</v>
      </c>
      <c r="AT106" s="59" t="s">
        <v>1003</v>
      </c>
    </row>
    <row r="107" spans="1:46" x14ac:dyDescent="0.25">
      <c r="A107" s="18" t="str">
        <v>dew_point_measured_value:{"type":"attribute","data_type":"float","is_readonly":true,"reporting_type":"reported","report_max":3600,"report_min":0,"report_threshold":56,"decimal_places":2,"zigbee_metadata":{"attr_id":61440,"endpoint_id":10,"profile_id":260,"cluster_id":515,"zcl_data_type":41,"read_formatter":"lambdax:x/100"}},</v>
      </c>
      <c r="B107" s="52" t="str">
        <f ca="1"/>
        <v>0x0203 0xF000</v>
      </c>
      <c r="C107" s="52" t="str">
        <f ca="1">IFERROR(__xludf.DUMMYFUNCTION("""COMPUTED_VALUE"""),"dew_point_measured_value")</f>
        <v>dew_point_measured_value</v>
      </c>
      <c r="D107" s="18" t="str">
        <f ca="1">IFERROR(__xludf.DUMMYFUNCTION("""COMPUTED_VALUE"""),"attribute")</f>
        <v>attribute</v>
      </c>
      <c r="E107" s="18" t="str">
        <f ca="1">IFERROR(__xludf.DUMMYFUNCTION("""COMPUTED_VALUE"""),"float")</f>
        <v>float</v>
      </c>
      <c r="F107" s="18" t="str">
        <f ca="1">IFERROR(__xludf.DUMMYFUNCTION("""COMPUTED_VALUE"""),"true")</f>
        <v>true</v>
      </c>
      <c r="G107" s="18" t="str">
        <f ca="1">IFERROR(__xludf.DUMMYFUNCTION("""COMPUTED_VALUE"""),"reported")</f>
        <v>reported</v>
      </c>
      <c r="H107" s="18" t="str">
        <f ca="1">IFERROR(__xludf.DUMMYFUNCTION("""COMPUTED_VALUE"""),"N/A")</f>
        <v>N/A</v>
      </c>
      <c r="I107" s="18" t="str">
        <f ca="1">IFERROR(__xludf.DUMMYFUNCTION("""COMPUTED_VALUE"""),"3600")</f>
        <v>3600</v>
      </c>
      <c r="J107" s="18" t="str">
        <f ca="1">IFERROR(__xludf.DUMMYFUNCTION("""COMPUTED_VALUE"""),"0")</f>
        <v>0</v>
      </c>
      <c r="K107" s="18" t="str">
        <f ca="1">IFERROR(__xludf.DUMMYFUNCTION("""COMPUTED_VALUE"""),"56")</f>
        <v>56</v>
      </c>
      <c r="L107" s="18" t="str">
        <f ca="1">IFERROR(__xludf.DUMMYFUNCTION("""COMPUTED_VALUE"""),"N/A")</f>
        <v>N/A</v>
      </c>
      <c r="M107" s="18" t="str">
        <f ca="1">IFERROR(__xludf.DUMMYFUNCTION("""COMPUTED_VALUE"""),"N/A")</f>
        <v>N/A</v>
      </c>
      <c r="N107" s="18" t="str">
        <f ca="1">IFERROR(__xludf.DUMMYFUNCTION("""COMPUTED_VALUE"""),"N/A")</f>
        <v>N/A</v>
      </c>
      <c r="O107" s="18" t="str">
        <f ca="1">IFERROR(__xludf.DUMMYFUNCTION("""COMPUTED_VALUE"""),"N/A")</f>
        <v>N/A</v>
      </c>
      <c r="P107" s="18" t="str">
        <f ca="1">IFERROR(__xludf.DUMMYFUNCTION("""COMPUTED_VALUE"""),"N/A")</f>
        <v>N/A</v>
      </c>
      <c r="Q107" s="18" t="str">
        <f ca="1">IFERROR(__xludf.DUMMYFUNCTION("""COMPUTED_VALUE"""),"N/A")</f>
        <v>N/A</v>
      </c>
      <c r="R107" s="18" t="str">
        <f ca="1">IFERROR(__xludf.DUMMYFUNCTION("""COMPUTED_VALUE"""),"2")</f>
        <v>2</v>
      </c>
      <c r="S107" s="18" t="str">
        <f ca="1">IFERROR(__xludf.DUMMYFUNCTION("""COMPUTED_VALUE"""),"N/A")</f>
        <v>N/A</v>
      </c>
      <c r="T107" s="18" t="str">
        <f ca="1">IFERROR(__xludf.DUMMYFUNCTION("""COMPUTED_VALUE"""),"0xF000")</f>
        <v>0xF000</v>
      </c>
      <c r="U107" s="18" t="str">
        <f ca="1">IFERROR(__xludf.DUMMYFUNCTION("""COMPUTED_VALUE"""),"0x0A")</f>
        <v>0x0A</v>
      </c>
      <c r="V107" s="18" t="str">
        <f ca="1">IFERROR(__xludf.DUMMYFUNCTION("""COMPUTED_VALUE"""),"0x0104")</f>
        <v>0x0104</v>
      </c>
      <c r="W107" s="18" t="str">
        <f ca="1">IFERROR(__xludf.DUMMYFUNCTION("""COMPUTED_VALUE"""),"0x0203")</f>
        <v>0x0203</v>
      </c>
      <c r="X107" s="18" t="str">
        <f ca="1">IFERROR(__xludf.DUMMYFUNCTION("""COMPUTED_VALUE"""),"0x29")</f>
        <v>0x29</v>
      </c>
      <c r="Y107" s="18" t="e">
        <f ca="1"/>
        <v>#NAME?</v>
      </c>
      <c r="Z107" s="18" t="str">
        <f ca="1">IFERROR(__xludf.DUMMYFUNCTION("""COMPUTED_VALUE"""),"N/A")</f>
        <v>N/A</v>
      </c>
      <c r="AA107" s="18" t="str">
        <f ca="1">IFERROR(__xludf.DUMMYFUNCTION("""COMPUTED_VALUE"""),"lambdax:x/100")</f>
        <v>lambdax:x/100</v>
      </c>
      <c r="AC107" s="59" t="s">
        <v>971</v>
      </c>
      <c r="AD107" s="59" t="s">
        <v>971</v>
      </c>
      <c r="AE107" s="59" t="s">
        <v>996</v>
      </c>
      <c r="AF107" s="59" t="s">
        <v>990</v>
      </c>
      <c r="AG107" s="59" t="s">
        <v>990</v>
      </c>
      <c r="AH107" s="59" t="s">
        <v>993</v>
      </c>
      <c r="AI107" s="59" t="s">
        <v>997</v>
      </c>
      <c r="AJ107" s="59" t="s">
        <v>997</v>
      </c>
      <c r="AK107" s="59" t="s">
        <v>997</v>
      </c>
      <c r="AL107" s="59" t="s">
        <v>997</v>
      </c>
      <c r="AM107" s="59" t="s">
        <v>997</v>
      </c>
      <c r="AN107" s="59" t="s">
        <v>1004</v>
      </c>
      <c r="AO107" s="59" t="s">
        <v>1004</v>
      </c>
      <c r="AP107" s="59" t="s">
        <v>1005</v>
      </c>
      <c r="AQ107" s="59" t="s">
        <v>989</v>
      </c>
      <c r="AR107" s="59" t="s">
        <v>989</v>
      </c>
      <c r="AS107" s="59" t="s">
        <v>1006</v>
      </c>
      <c r="AT107" s="59" t="s">
        <v>1006</v>
      </c>
    </row>
    <row r="108" spans="1:46" x14ac:dyDescent="0.25">
      <c r="A108" s="18" t="str">
        <v>dehumidification_overdrive_temp_max:{"type":"attribute","data_type":"float","is_readonly":false,"reporting_type":"polled","poll_freq":86400,"max":10,"min":0,"decimal_places":2,"default_value":2,"zigbee_metadata":{"attr_id":61532,"endpoint_id":10,"profile_id":260,"cluster_id":513,"zcl_data_type":33,"write_formatter":"lambdax:int(round(x,2)*100)","read_formatter":"lambdax:x/100"}},</v>
      </c>
      <c r="B108" s="52" t="str">
        <f ca="1"/>
        <v>0x0201 0xF05C</v>
      </c>
      <c r="C108" s="52" t="str">
        <f ca="1">IFERROR(__xludf.DUMMYFUNCTION("""COMPUTED_VALUE"""),"dehumidification_overdrive_temp_max")</f>
        <v>dehumidification_overdrive_temp_max</v>
      </c>
      <c r="D108" s="18" t="str">
        <f ca="1">IFERROR(__xludf.DUMMYFUNCTION("""COMPUTED_VALUE"""),"attribute")</f>
        <v>attribute</v>
      </c>
      <c r="E108" s="18" t="str">
        <f ca="1">IFERROR(__xludf.DUMMYFUNCTION("""COMPUTED_VALUE"""),"float")</f>
        <v>float</v>
      </c>
      <c r="F108" s="18" t="str">
        <f ca="1">IFERROR(__xludf.DUMMYFUNCTION("""COMPUTED_VALUE"""),"false")</f>
        <v>false</v>
      </c>
      <c r="G108" s="18" t="str">
        <f ca="1">IFERROR(__xludf.DUMMYFUNCTION("""COMPUTED_VALUE"""),"polled")</f>
        <v>polled</v>
      </c>
      <c r="H108" s="18" t="str">
        <f ca="1">IFERROR(__xludf.DUMMYFUNCTION("""COMPUTED_VALUE"""),"86400")</f>
        <v>86400</v>
      </c>
      <c r="I108" s="18" t="str">
        <f ca="1">IFERROR(__xludf.DUMMYFUNCTION("""COMPUTED_VALUE"""),"N/A")</f>
        <v>N/A</v>
      </c>
      <c r="J108" s="18" t="str">
        <f ca="1">IFERROR(__xludf.DUMMYFUNCTION("""COMPUTED_VALUE"""),"N/A")</f>
        <v>N/A</v>
      </c>
      <c r="K108" s="18" t="str">
        <f ca="1">IFERROR(__xludf.DUMMYFUNCTION("""COMPUTED_VALUE"""),"N/A")</f>
        <v>N/A</v>
      </c>
      <c r="L108" s="18" t="str">
        <f ca="1">IFERROR(__xludf.DUMMYFUNCTION("""COMPUTED_VALUE"""),"10")</f>
        <v>10</v>
      </c>
      <c r="M108" s="18" t="str">
        <f ca="1">IFERROR(__xludf.DUMMYFUNCTION("""COMPUTED_VALUE"""),"0")</f>
        <v>0</v>
      </c>
      <c r="N108" s="18" t="str">
        <f ca="1">IFERROR(__xludf.DUMMYFUNCTION("""COMPUTED_VALUE"""),"N/A")</f>
        <v>N/A</v>
      </c>
      <c r="O108" s="18" t="str">
        <f ca="1">IFERROR(__xludf.DUMMYFUNCTION("""COMPUTED_VALUE"""),"N/A")</f>
        <v>N/A</v>
      </c>
      <c r="P108" s="18" t="str">
        <f ca="1">IFERROR(__xludf.DUMMYFUNCTION("""COMPUTED_VALUE"""),"N/A")</f>
        <v>N/A</v>
      </c>
      <c r="Q108" s="18" t="str">
        <f ca="1">IFERROR(__xludf.DUMMYFUNCTION("""COMPUTED_VALUE"""),"N/A")</f>
        <v>N/A</v>
      </c>
      <c r="R108" s="18" t="str">
        <f ca="1">IFERROR(__xludf.DUMMYFUNCTION("""COMPUTED_VALUE"""),"2")</f>
        <v>2</v>
      </c>
      <c r="S108" s="18" t="str">
        <f ca="1">IFERROR(__xludf.DUMMYFUNCTION("""COMPUTED_VALUE"""),"2")</f>
        <v>2</v>
      </c>
      <c r="T108" s="18" t="str">
        <f ca="1">IFERROR(__xludf.DUMMYFUNCTION("""COMPUTED_VALUE"""),"0xF05C")</f>
        <v>0xF05C</v>
      </c>
      <c r="U108" s="18" t="str">
        <f ca="1">IFERROR(__xludf.DUMMYFUNCTION("""COMPUTED_VALUE"""),"0x0A")</f>
        <v>0x0A</v>
      </c>
      <c r="V108" s="18" t="str">
        <f ca="1">IFERROR(__xludf.DUMMYFUNCTION("""COMPUTED_VALUE"""),"0x0104")</f>
        <v>0x0104</v>
      </c>
      <c r="W108" s="18" t="str">
        <f ca="1">IFERROR(__xludf.DUMMYFUNCTION("""COMPUTED_VALUE"""),"0x0201")</f>
        <v>0x0201</v>
      </c>
      <c r="X108" s="18" t="str">
        <f ca="1">IFERROR(__xludf.DUMMYFUNCTION("""COMPUTED_VALUE"""),"0x21")</f>
        <v>0x21</v>
      </c>
      <c r="Y108" s="18" t="e">
        <f ca="1"/>
        <v>#NAME?</v>
      </c>
      <c r="Z108" s="18" t="str">
        <f ca="1">IFERROR(__xludf.DUMMYFUNCTION("""COMPUTED_VALUE"""),"lambdax:int(round(x,2)*100)")</f>
        <v>lambdax:int(round(x,2)*100)</v>
      </c>
      <c r="AA108" s="18" t="str">
        <f ca="1">IFERROR(__xludf.DUMMYFUNCTION("""COMPUTED_VALUE"""),"lambdax:x/100")</f>
        <v>lambdax:x/100</v>
      </c>
      <c r="AC108" s="59" t="s">
        <v>975</v>
      </c>
      <c r="AD108" s="59" t="s">
        <v>975</v>
      </c>
      <c r="AE108" s="59" t="s">
        <v>1000</v>
      </c>
      <c r="AF108" s="59" t="s">
        <v>993</v>
      </c>
      <c r="AG108" s="59" t="s">
        <v>993</v>
      </c>
      <c r="AH108" s="59" t="s">
        <v>997</v>
      </c>
      <c r="AI108" s="59" t="s">
        <v>1001</v>
      </c>
      <c r="AJ108" s="59" t="s">
        <v>1001</v>
      </c>
      <c r="AK108" s="59" t="s">
        <v>1001</v>
      </c>
      <c r="AL108" s="59" t="s">
        <v>1001</v>
      </c>
      <c r="AM108" s="59" t="s">
        <v>1001</v>
      </c>
      <c r="AN108" s="59" t="s">
        <v>1007</v>
      </c>
      <c r="AO108" s="59" t="s">
        <v>1007</v>
      </c>
      <c r="AP108" s="59" t="s">
        <v>1008</v>
      </c>
      <c r="AQ108" s="59" t="s">
        <v>992</v>
      </c>
      <c r="AR108" s="59" t="s">
        <v>992</v>
      </c>
      <c r="AS108" s="59" t="s">
        <v>1009</v>
      </c>
      <c r="AT108" s="59" t="s">
        <v>1009</v>
      </c>
    </row>
    <row r="109" spans="1:46" x14ac:dyDescent="0.25">
      <c r="A109" s="18" t="str">
        <v>dehumidification_second_stage_threshold:{"type":"attribute","data_type":"float","is_readonly":false,"reporting_type":"polled","poll_freq":86400,"max":10,"min":0,"decimal_places":2,"default_value":1,"zigbee_metadata":{"attr_id":61533,"endpoint_id":10,"profile_id":260,"cluster_id":513,"zcl_data_type":33,"write_formatter":"lambdax:int(round(x,2)*100)","read_formatter":"lambdax:x/100"}},</v>
      </c>
      <c r="B109" s="52" t="str">
        <f ca="1"/>
        <v>0x0201 0xF05D</v>
      </c>
      <c r="C109" s="52" t="str">
        <f ca="1">IFERROR(__xludf.DUMMYFUNCTION("""COMPUTED_VALUE"""),"dehumidification_second_stage_threshold")</f>
        <v>dehumidification_second_stage_threshold</v>
      </c>
      <c r="D109" s="18" t="str">
        <f ca="1">IFERROR(__xludf.DUMMYFUNCTION("""COMPUTED_VALUE"""),"attribute")</f>
        <v>attribute</v>
      </c>
      <c r="E109" s="18" t="str">
        <f ca="1">IFERROR(__xludf.DUMMYFUNCTION("""COMPUTED_VALUE"""),"float")</f>
        <v>float</v>
      </c>
      <c r="F109" s="18" t="str">
        <f ca="1">IFERROR(__xludf.DUMMYFUNCTION("""COMPUTED_VALUE"""),"false")</f>
        <v>false</v>
      </c>
      <c r="G109" s="18" t="str">
        <f ca="1">IFERROR(__xludf.DUMMYFUNCTION("""COMPUTED_VALUE"""),"polled")</f>
        <v>polled</v>
      </c>
      <c r="H109" s="18" t="str">
        <f ca="1">IFERROR(__xludf.DUMMYFUNCTION("""COMPUTED_VALUE"""),"86400")</f>
        <v>86400</v>
      </c>
      <c r="I109" s="18" t="str">
        <f ca="1">IFERROR(__xludf.DUMMYFUNCTION("""COMPUTED_VALUE"""),"N/A")</f>
        <v>N/A</v>
      </c>
      <c r="J109" s="18" t="str">
        <f ca="1">IFERROR(__xludf.DUMMYFUNCTION("""COMPUTED_VALUE"""),"N/A")</f>
        <v>N/A</v>
      </c>
      <c r="K109" s="18" t="str">
        <f ca="1">IFERROR(__xludf.DUMMYFUNCTION("""COMPUTED_VALUE"""),"N/A")</f>
        <v>N/A</v>
      </c>
      <c r="L109" s="18" t="str">
        <f ca="1">IFERROR(__xludf.DUMMYFUNCTION("""COMPUTED_VALUE"""),"10")</f>
        <v>10</v>
      </c>
      <c r="M109" s="18" t="str">
        <f ca="1">IFERROR(__xludf.DUMMYFUNCTION("""COMPUTED_VALUE"""),"0")</f>
        <v>0</v>
      </c>
      <c r="N109" s="18" t="str">
        <f ca="1">IFERROR(__xludf.DUMMYFUNCTION("""COMPUTED_VALUE"""),"N/A")</f>
        <v>N/A</v>
      </c>
      <c r="O109" s="18" t="str">
        <f ca="1">IFERROR(__xludf.DUMMYFUNCTION("""COMPUTED_VALUE"""),"N/A")</f>
        <v>N/A</v>
      </c>
      <c r="P109" s="18" t="str">
        <f ca="1">IFERROR(__xludf.DUMMYFUNCTION("""COMPUTED_VALUE"""),"N/A")</f>
        <v>N/A</v>
      </c>
      <c r="Q109" s="18" t="str">
        <f ca="1">IFERROR(__xludf.DUMMYFUNCTION("""COMPUTED_VALUE"""),"N/A")</f>
        <v>N/A</v>
      </c>
      <c r="R109" s="18" t="str">
        <f ca="1">IFERROR(__xludf.DUMMYFUNCTION("""COMPUTED_VALUE"""),"2")</f>
        <v>2</v>
      </c>
      <c r="S109" s="18" t="str">
        <f ca="1">IFERROR(__xludf.DUMMYFUNCTION("""COMPUTED_VALUE"""),"1")</f>
        <v>1</v>
      </c>
      <c r="T109" s="18" t="str">
        <f ca="1">IFERROR(__xludf.DUMMYFUNCTION("""COMPUTED_VALUE"""),"0xF05D")</f>
        <v>0xF05D</v>
      </c>
      <c r="U109" s="18" t="str">
        <f ca="1">IFERROR(__xludf.DUMMYFUNCTION("""COMPUTED_VALUE"""),"0x0A")</f>
        <v>0x0A</v>
      </c>
      <c r="V109" s="18" t="str">
        <f ca="1">IFERROR(__xludf.DUMMYFUNCTION("""COMPUTED_VALUE"""),"0x0104")</f>
        <v>0x0104</v>
      </c>
      <c r="W109" s="18" t="str">
        <f ca="1">IFERROR(__xludf.DUMMYFUNCTION("""COMPUTED_VALUE"""),"0x0201")</f>
        <v>0x0201</v>
      </c>
      <c r="X109" s="18" t="str">
        <f ca="1">IFERROR(__xludf.DUMMYFUNCTION("""COMPUTED_VALUE"""),"0x21")</f>
        <v>0x21</v>
      </c>
      <c r="Y109" s="18" t="e">
        <f ca="1"/>
        <v>#NAME?</v>
      </c>
      <c r="Z109" s="18" t="str">
        <f ca="1">IFERROR(__xludf.DUMMYFUNCTION("""COMPUTED_VALUE"""),"lambdax:int(round(x,2)*100)")</f>
        <v>lambdax:int(round(x,2)*100)</v>
      </c>
      <c r="AA109" s="18" t="str">
        <f ca="1">IFERROR(__xludf.DUMMYFUNCTION("""COMPUTED_VALUE"""),"lambdax:x/100")</f>
        <v>lambdax:x/100</v>
      </c>
      <c r="AC109" s="59" t="s">
        <v>979</v>
      </c>
      <c r="AD109" s="59" t="s">
        <v>979</v>
      </c>
      <c r="AE109" s="59" t="s">
        <v>990</v>
      </c>
      <c r="AF109" s="59" t="s">
        <v>1010</v>
      </c>
      <c r="AG109" s="59" t="s">
        <v>1010</v>
      </c>
      <c r="AH109" s="59" t="s">
        <v>1001</v>
      </c>
      <c r="AI109" s="59" t="s">
        <v>1004</v>
      </c>
      <c r="AJ109" s="59" t="s">
        <v>1004</v>
      </c>
      <c r="AK109" s="59" t="s">
        <v>1004</v>
      </c>
      <c r="AL109" s="59" t="s">
        <v>1004</v>
      </c>
      <c r="AM109" s="59" t="s">
        <v>1004</v>
      </c>
      <c r="AN109" s="59" t="s">
        <v>1011</v>
      </c>
      <c r="AO109" s="59" t="s">
        <v>1011</v>
      </c>
      <c r="AP109" s="59" t="s">
        <v>1012</v>
      </c>
      <c r="AQ109" s="59" t="s">
        <v>995</v>
      </c>
      <c r="AR109" s="59" t="s">
        <v>995</v>
      </c>
      <c r="AS109" s="59" t="s">
        <v>1013</v>
      </c>
      <c r="AT109" s="59" t="s">
        <v>1013</v>
      </c>
    </row>
    <row r="110" spans="1:46" x14ac:dyDescent="0.25">
      <c r="A110" s="18" t="str">
        <v>dehumidification_min_cycle_time:{"type":"attribute","data_type":"uint8","is_readonly":false,"reporting_type":"polled","poll_freq":86400,"default_value":10,"zigbee_metadata":{"attr_id":61534,"endpoint_id":10,"profile_id":260,"cluster_id":513,"zcl_data_type":32}},</v>
      </c>
      <c r="B110" s="52" t="str">
        <f ca="1"/>
        <v>0x0201 0xF05E</v>
      </c>
      <c r="C110" s="52" t="str">
        <f ca="1">IFERROR(__xludf.DUMMYFUNCTION("""COMPUTED_VALUE"""),"dehumidification_min_cycle_time")</f>
        <v>dehumidification_min_cycle_time</v>
      </c>
      <c r="D110" s="18" t="str">
        <f ca="1">IFERROR(__xludf.DUMMYFUNCTION("""COMPUTED_VALUE"""),"attribute")</f>
        <v>attribute</v>
      </c>
      <c r="E110" s="18" t="str">
        <f ca="1">IFERROR(__xludf.DUMMYFUNCTION("""COMPUTED_VALUE"""),"uint8")</f>
        <v>uint8</v>
      </c>
      <c r="F110" s="18" t="str">
        <f ca="1">IFERROR(__xludf.DUMMYFUNCTION("""COMPUTED_VALUE"""),"false")</f>
        <v>false</v>
      </c>
      <c r="G110" s="18" t="str">
        <f ca="1">IFERROR(__xludf.DUMMYFUNCTION("""COMPUTED_VALUE"""),"polled")</f>
        <v>polled</v>
      </c>
      <c r="H110" s="18" t="str">
        <f ca="1">IFERROR(__xludf.DUMMYFUNCTION("""COMPUTED_VALUE"""),"86400")</f>
        <v>86400</v>
      </c>
      <c r="I110" s="18" t="str">
        <f ca="1">IFERROR(__xludf.DUMMYFUNCTION("""COMPUTED_VALUE"""),"N/A")</f>
        <v>N/A</v>
      </c>
      <c r="J110" s="18" t="str">
        <f ca="1">IFERROR(__xludf.DUMMYFUNCTION("""COMPUTED_VALUE"""),"N/A")</f>
        <v>N/A</v>
      </c>
      <c r="K110" s="18" t="str">
        <f ca="1">IFERROR(__xludf.DUMMYFUNCTION("""COMPUTED_VALUE"""),"N/A")</f>
        <v>N/A</v>
      </c>
      <c r="L110" s="18" t="str">
        <f ca="1">IFERROR(__xludf.DUMMYFUNCTION("""COMPUTED_VALUE"""),"N/A")</f>
        <v>N/A</v>
      </c>
      <c r="M110" s="18" t="str">
        <f ca="1">IFERROR(__xludf.DUMMYFUNCTION("""COMPUTED_VALUE"""),"N/A")</f>
        <v>N/A</v>
      </c>
      <c r="N110" s="18" t="str">
        <f ca="1">IFERROR(__xludf.DUMMYFUNCTION("""COMPUTED_VALUE"""),"N/A")</f>
        <v>N/A</v>
      </c>
      <c r="O110" s="18" t="str">
        <f ca="1">IFERROR(__xludf.DUMMYFUNCTION("""COMPUTED_VALUE"""),"N/A")</f>
        <v>N/A</v>
      </c>
      <c r="P110" s="18" t="str">
        <f ca="1">IFERROR(__xludf.DUMMYFUNCTION("""COMPUTED_VALUE"""),"N/A")</f>
        <v>N/A</v>
      </c>
      <c r="Q110" s="18" t="str">
        <f ca="1">IFERROR(__xludf.DUMMYFUNCTION("""COMPUTED_VALUE"""),"N/A")</f>
        <v>N/A</v>
      </c>
      <c r="R110" s="18" t="str">
        <f ca="1">IFERROR(__xludf.DUMMYFUNCTION("""COMPUTED_VALUE"""),"N/A")</f>
        <v>N/A</v>
      </c>
      <c r="S110" s="18" t="str">
        <f ca="1">IFERROR(__xludf.DUMMYFUNCTION("""COMPUTED_VALUE"""),"10")</f>
        <v>10</v>
      </c>
      <c r="T110" s="18" t="str">
        <f ca="1">IFERROR(__xludf.DUMMYFUNCTION("""COMPUTED_VALUE"""),"0xF05E")</f>
        <v>0xF05E</v>
      </c>
      <c r="U110" s="18" t="str">
        <f ca="1">IFERROR(__xludf.DUMMYFUNCTION("""COMPUTED_VALUE"""),"0x0A")</f>
        <v>0x0A</v>
      </c>
      <c r="V110" s="18" t="str">
        <f ca="1">IFERROR(__xludf.DUMMYFUNCTION("""COMPUTED_VALUE"""),"0x0104")</f>
        <v>0x0104</v>
      </c>
      <c r="W110" s="18" t="str">
        <f ca="1">IFERROR(__xludf.DUMMYFUNCTION("""COMPUTED_VALUE"""),"0x0201")</f>
        <v>0x0201</v>
      </c>
      <c r="X110" s="18" t="str">
        <f ca="1">IFERROR(__xludf.DUMMYFUNCTION("""COMPUTED_VALUE"""),"0x20")</f>
        <v>0x20</v>
      </c>
      <c r="Y110" s="18" t="e">
        <f ca="1"/>
        <v>#NAME?</v>
      </c>
      <c r="Z110" s="18" t="str">
        <f ca="1">IFERROR(__xludf.DUMMYFUNCTION("""COMPUTED_VALUE"""),"N/A")</f>
        <v>N/A</v>
      </c>
      <c r="AA110" s="18" t="str">
        <f ca="1">IFERROR(__xludf.DUMMYFUNCTION("""COMPUTED_VALUE"""),"N/A")</f>
        <v>N/A</v>
      </c>
      <c r="AC110" s="59" t="s">
        <v>968</v>
      </c>
      <c r="AD110" s="59" t="s">
        <v>968</v>
      </c>
      <c r="AE110" s="59" t="s">
        <v>993</v>
      </c>
      <c r="AF110" s="59" t="s">
        <v>1014</v>
      </c>
      <c r="AG110" s="59" t="s">
        <v>1014</v>
      </c>
      <c r="AH110" s="59" t="s">
        <v>1004</v>
      </c>
      <c r="AI110" s="59" t="s">
        <v>1007</v>
      </c>
      <c r="AJ110" s="59" t="s">
        <v>1007</v>
      </c>
      <c r="AK110" s="59" t="s">
        <v>1007</v>
      </c>
      <c r="AL110" s="59" t="s">
        <v>1007</v>
      </c>
      <c r="AM110" s="59" t="s">
        <v>1007</v>
      </c>
      <c r="AN110" s="59" t="s">
        <v>1015</v>
      </c>
      <c r="AO110" s="59" t="s">
        <v>1015</v>
      </c>
      <c r="AP110" s="59" t="s">
        <v>1016</v>
      </c>
      <c r="AQ110" s="59" t="s">
        <v>999</v>
      </c>
      <c r="AR110" s="59" t="s">
        <v>999</v>
      </c>
      <c r="AS110" s="59" t="s">
        <v>1017</v>
      </c>
      <c r="AT110" s="59" t="s">
        <v>1017</v>
      </c>
    </row>
    <row r="111" spans="1:46" x14ac:dyDescent="0.25">
      <c r="A111" s="18" t="str">
        <v>refresh_delay:{"type":"attribute","data_type":"uint8","is_readonly":false,"reporting_type":"polled","poll_freq":86400,"default_value":0,"zigbee_metadata":{"attr_id":61535,"endpoint_id":10,"profile_id":260,"cluster_id":513,"zcl_data_type":32}},</v>
      </c>
      <c r="B111" s="52" t="str">
        <f ca="1"/>
        <v>0x0201 0xF05F</v>
      </c>
      <c r="C111" s="52" t="str">
        <f ca="1">IFERROR(__xludf.DUMMYFUNCTION("""COMPUTED_VALUE"""),"refresh_delay")</f>
        <v>refresh_delay</v>
      </c>
      <c r="D111" s="18" t="str">
        <f ca="1">IFERROR(__xludf.DUMMYFUNCTION("""COMPUTED_VALUE"""),"attribute")</f>
        <v>attribute</v>
      </c>
      <c r="E111" s="18" t="str">
        <f ca="1">IFERROR(__xludf.DUMMYFUNCTION("""COMPUTED_VALUE"""),"uint8")</f>
        <v>uint8</v>
      </c>
      <c r="F111" s="18" t="str">
        <f ca="1">IFERROR(__xludf.DUMMYFUNCTION("""COMPUTED_VALUE"""),"false")</f>
        <v>false</v>
      </c>
      <c r="G111" s="18" t="str">
        <f ca="1">IFERROR(__xludf.DUMMYFUNCTION("""COMPUTED_VALUE"""),"polled")</f>
        <v>polled</v>
      </c>
      <c r="H111" s="18" t="str">
        <f ca="1">IFERROR(__xludf.DUMMYFUNCTION("""COMPUTED_VALUE"""),"86400")</f>
        <v>86400</v>
      </c>
      <c r="I111" s="18" t="str">
        <f ca="1">IFERROR(__xludf.DUMMYFUNCTION("""COMPUTED_VALUE"""),"N/A")</f>
        <v>N/A</v>
      </c>
      <c r="J111" s="18" t="str">
        <f ca="1">IFERROR(__xludf.DUMMYFUNCTION("""COMPUTED_VALUE"""),"N/A")</f>
        <v>N/A</v>
      </c>
      <c r="K111" s="18" t="str">
        <f ca="1">IFERROR(__xludf.DUMMYFUNCTION("""COMPUTED_VALUE"""),"N/A")</f>
        <v>N/A</v>
      </c>
      <c r="L111" s="18" t="str">
        <f ca="1">IFERROR(__xludf.DUMMYFUNCTION("""COMPUTED_VALUE"""),"N/A")</f>
        <v>N/A</v>
      </c>
      <c r="M111" s="18" t="str">
        <f ca="1">IFERROR(__xludf.DUMMYFUNCTION("""COMPUTED_VALUE"""),"N/A")</f>
        <v>N/A</v>
      </c>
      <c r="N111" s="18" t="str">
        <f ca="1">IFERROR(__xludf.DUMMYFUNCTION("""COMPUTED_VALUE"""),"N/A")</f>
        <v>N/A</v>
      </c>
      <c r="O111" s="18" t="str">
        <f ca="1">IFERROR(__xludf.DUMMYFUNCTION("""COMPUTED_VALUE"""),"N/A")</f>
        <v>N/A</v>
      </c>
      <c r="P111" s="18" t="str">
        <f ca="1">IFERROR(__xludf.DUMMYFUNCTION("""COMPUTED_VALUE"""),"N/A")</f>
        <v>N/A</v>
      </c>
      <c r="Q111" s="18" t="str">
        <f ca="1">IFERROR(__xludf.DUMMYFUNCTION("""COMPUTED_VALUE"""),"N/A")</f>
        <v>N/A</v>
      </c>
      <c r="R111" s="18" t="str">
        <f ca="1">IFERROR(__xludf.DUMMYFUNCTION("""COMPUTED_VALUE"""),"N/A")</f>
        <v>N/A</v>
      </c>
      <c r="S111" s="18" t="str">
        <f ca="1">IFERROR(__xludf.DUMMYFUNCTION("""COMPUTED_VALUE"""),"0")</f>
        <v>0</v>
      </c>
      <c r="T111" s="18" t="str">
        <f ca="1">IFERROR(__xludf.DUMMYFUNCTION("""COMPUTED_VALUE"""),"0xF05F")</f>
        <v>0xF05F</v>
      </c>
      <c r="U111" s="18" t="str">
        <f ca="1">IFERROR(__xludf.DUMMYFUNCTION("""COMPUTED_VALUE"""),"0x0A")</f>
        <v>0x0A</v>
      </c>
      <c r="V111" s="18" t="str">
        <f ca="1">IFERROR(__xludf.DUMMYFUNCTION("""COMPUTED_VALUE"""),"0x0104")</f>
        <v>0x0104</v>
      </c>
      <c r="W111" s="18" t="str">
        <f ca="1">IFERROR(__xludf.DUMMYFUNCTION("""COMPUTED_VALUE"""),"0x0201")</f>
        <v>0x0201</v>
      </c>
      <c r="X111" s="18" t="str">
        <f ca="1">IFERROR(__xludf.DUMMYFUNCTION("""COMPUTED_VALUE"""),"0x20")</f>
        <v>0x20</v>
      </c>
      <c r="Y111" s="18" t="e">
        <f ca="1"/>
        <v>#NAME?</v>
      </c>
      <c r="Z111" s="18" t="str">
        <f ca="1">IFERROR(__xludf.DUMMYFUNCTION("""COMPUTED_VALUE"""),"N/A")</f>
        <v>N/A</v>
      </c>
      <c r="AA111" s="18" t="str">
        <f ca="1">IFERROR(__xludf.DUMMYFUNCTION("""COMPUTED_VALUE"""),"N/A")</f>
        <v>N/A</v>
      </c>
      <c r="AC111" s="59" t="s">
        <v>972</v>
      </c>
      <c r="AD111" s="59" t="s">
        <v>972</v>
      </c>
      <c r="AE111" s="59" t="s">
        <v>1010</v>
      </c>
      <c r="AF111" s="59" t="s">
        <v>1018</v>
      </c>
      <c r="AG111" s="59" t="s">
        <v>1018</v>
      </c>
      <c r="AH111" s="59" t="s">
        <v>1007</v>
      </c>
      <c r="AI111" s="59" t="s">
        <v>1011</v>
      </c>
      <c r="AJ111" s="59" t="s">
        <v>1011</v>
      </c>
      <c r="AK111" s="59" t="s">
        <v>1011</v>
      </c>
      <c r="AL111" s="59" t="s">
        <v>1011</v>
      </c>
      <c r="AM111" s="59" t="s">
        <v>1011</v>
      </c>
      <c r="AN111" s="59" t="s">
        <v>1019</v>
      </c>
      <c r="AO111" s="59" t="s">
        <v>1019</v>
      </c>
      <c r="AP111" s="59" t="s">
        <v>1020</v>
      </c>
      <c r="AQ111" s="59" t="s">
        <v>1003</v>
      </c>
      <c r="AR111" s="59" t="s">
        <v>1003</v>
      </c>
      <c r="AS111" s="59" t="s">
        <v>1021</v>
      </c>
      <c r="AT111" s="59" t="s">
        <v>1021</v>
      </c>
    </row>
    <row r="112" spans="1:46" x14ac:dyDescent="0.25">
      <c r="A112" s="18" t="str">
        <v>refresh_duration:{"type":"attribute","data_type":"uint8","is_readonly":false,"reporting_type":"polled","poll_freq":86400,"default_value":5,"zigbee_metadata":{"attr_id":61536,"endpoint_id":10,"profile_id":260,"cluster_id":513,"zcl_data_type":32}},</v>
      </c>
      <c r="B112" s="52" t="str">
        <f ca="1"/>
        <v>0x0201 0xF060</v>
      </c>
      <c r="C112" s="52" t="str">
        <f ca="1">IFERROR(__xludf.DUMMYFUNCTION("""COMPUTED_VALUE"""),"refresh_duration")</f>
        <v>refresh_duration</v>
      </c>
      <c r="D112" s="18" t="str">
        <f ca="1">IFERROR(__xludf.DUMMYFUNCTION("""COMPUTED_VALUE"""),"attribute")</f>
        <v>attribute</v>
      </c>
      <c r="E112" s="18" t="str">
        <f ca="1">IFERROR(__xludf.DUMMYFUNCTION("""COMPUTED_VALUE"""),"uint8")</f>
        <v>uint8</v>
      </c>
      <c r="F112" s="18" t="str">
        <f ca="1">IFERROR(__xludf.DUMMYFUNCTION("""COMPUTED_VALUE"""),"false")</f>
        <v>false</v>
      </c>
      <c r="G112" s="18" t="str">
        <f ca="1">IFERROR(__xludf.DUMMYFUNCTION("""COMPUTED_VALUE"""),"polled")</f>
        <v>polled</v>
      </c>
      <c r="H112" s="18" t="str">
        <f ca="1">IFERROR(__xludf.DUMMYFUNCTION("""COMPUTED_VALUE"""),"86400")</f>
        <v>86400</v>
      </c>
      <c r="I112" s="18" t="str">
        <f ca="1">IFERROR(__xludf.DUMMYFUNCTION("""COMPUTED_VALUE"""),"N/A")</f>
        <v>N/A</v>
      </c>
      <c r="J112" s="18" t="str">
        <f ca="1">IFERROR(__xludf.DUMMYFUNCTION("""COMPUTED_VALUE"""),"N/A")</f>
        <v>N/A</v>
      </c>
      <c r="K112" s="18" t="str">
        <f ca="1">IFERROR(__xludf.DUMMYFUNCTION("""COMPUTED_VALUE"""),"N/A")</f>
        <v>N/A</v>
      </c>
      <c r="L112" s="18" t="str">
        <f ca="1">IFERROR(__xludf.DUMMYFUNCTION("""COMPUTED_VALUE"""),"N/A")</f>
        <v>N/A</v>
      </c>
      <c r="M112" s="18" t="str">
        <f ca="1">IFERROR(__xludf.DUMMYFUNCTION("""COMPUTED_VALUE"""),"N/A")</f>
        <v>N/A</v>
      </c>
      <c r="N112" s="18" t="str">
        <f ca="1">IFERROR(__xludf.DUMMYFUNCTION("""COMPUTED_VALUE"""),"N/A")</f>
        <v>N/A</v>
      </c>
      <c r="O112" s="18" t="str">
        <f ca="1">IFERROR(__xludf.DUMMYFUNCTION("""COMPUTED_VALUE"""),"N/A")</f>
        <v>N/A</v>
      </c>
      <c r="P112" s="18" t="str">
        <f ca="1">IFERROR(__xludf.DUMMYFUNCTION("""COMPUTED_VALUE"""),"N/A")</f>
        <v>N/A</v>
      </c>
      <c r="Q112" s="18" t="str">
        <f ca="1">IFERROR(__xludf.DUMMYFUNCTION("""COMPUTED_VALUE"""),"N/A")</f>
        <v>N/A</v>
      </c>
      <c r="R112" s="18" t="str">
        <f ca="1">IFERROR(__xludf.DUMMYFUNCTION("""COMPUTED_VALUE"""),"N/A")</f>
        <v>N/A</v>
      </c>
      <c r="S112" s="18" t="str">
        <f ca="1">IFERROR(__xludf.DUMMYFUNCTION("""COMPUTED_VALUE"""),"5")</f>
        <v>5</v>
      </c>
      <c r="T112" s="18" t="str">
        <f ca="1">IFERROR(__xludf.DUMMYFUNCTION("""COMPUTED_VALUE"""),"0xF060")</f>
        <v>0xF060</v>
      </c>
      <c r="U112" s="18" t="str">
        <f ca="1">IFERROR(__xludf.DUMMYFUNCTION("""COMPUTED_VALUE"""),"0x0A")</f>
        <v>0x0A</v>
      </c>
      <c r="V112" s="18" t="str">
        <f ca="1">IFERROR(__xludf.DUMMYFUNCTION("""COMPUTED_VALUE"""),"0x0104")</f>
        <v>0x0104</v>
      </c>
      <c r="W112" s="18" t="str">
        <f ca="1">IFERROR(__xludf.DUMMYFUNCTION("""COMPUTED_VALUE"""),"0x0201")</f>
        <v>0x0201</v>
      </c>
      <c r="X112" s="18" t="str">
        <f ca="1">IFERROR(__xludf.DUMMYFUNCTION("""COMPUTED_VALUE"""),"0x20")</f>
        <v>0x20</v>
      </c>
      <c r="Y112" s="18" t="e">
        <f ca="1"/>
        <v>#NAME?</v>
      </c>
      <c r="Z112" s="18" t="str">
        <f ca="1">IFERROR(__xludf.DUMMYFUNCTION("""COMPUTED_VALUE"""),"N/A")</f>
        <v>N/A</v>
      </c>
      <c r="AA112" s="18" t="str">
        <f ca="1">IFERROR(__xludf.DUMMYFUNCTION("""COMPUTED_VALUE"""),"N/A")</f>
        <v>N/A</v>
      </c>
      <c r="AC112" s="59" t="s">
        <v>976</v>
      </c>
      <c r="AD112" s="59" t="s">
        <v>976</v>
      </c>
      <c r="AE112" s="59" t="s">
        <v>1014</v>
      </c>
      <c r="AF112" s="59" t="s">
        <v>1022</v>
      </c>
      <c r="AG112" s="59" t="s">
        <v>1022</v>
      </c>
      <c r="AH112" s="59" t="s">
        <v>1011</v>
      </c>
      <c r="AI112" s="59" t="s">
        <v>1015</v>
      </c>
      <c r="AJ112" s="59" t="s">
        <v>1015</v>
      </c>
      <c r="AK112" s="59" t="s">
        <v>1015</v>
      </c>
      <c r="AL112" s="59" t="s">
        <v>1015</v>
      </c>
      <c r="AM112" s="59" t="s">
        <v>1015</v>
      </c>
      <c r="AN112" s="59" t="s">
        <v>1023</v>
      </c>
      <c r="AO112" s="59" t="s">
        <v>1023</v>
      </c>
      <c r="AP112" s="59" t="s">
        <v>1024</v>
      </c>
      <c r="AQ112" s="59" t="s">
        <v>1006</v>
      </c>
      <c r="AR112" s="59" t="s">
        <v>1006</v>
      </c>
      <c r="AS112" s="59" t="s">
        <v>1025</v>
      </c>
      <c r="AT112" s="59" t="s">
        <v>1025</v>
      </c>
    </row>
    <row r="113" spans="1:46" x14ac:dyDescent="0.25">
      <c r="A113" s="18" t="str">
        <v>temp_protection_enable:{"type":"attribute","data_type":"enum","is_readonly":false,"reporting_type":"polled","poll_freq":86400,"enum_values":["none","low","high","low+high"],"default_value":"none","zigbee_metadata":{"attr_id":61538,"endpoint_id":10,"profile_id":260,"cluster_id":513,"zcl_data_type":24,"write_formatter":"lambdax:{'none':0,'low':1,'high':2,'low+high':3}[x]","read_formatter":"lambdax:{0:'none',1:'low',2:'high',3:'low+high'}.get(x,'unknown')"}},</v>
      </c>
      <c r="B113" s="52" t="str">
        <f ca="1"/>
        <v>0x0201 0xF062</v>
      </c>
      <c r="C113" s="52" t="str">
        <f ca="1">IFERROR(__xludf.DUMMYFUNCTION("""COMPUTED_VALUE"""),"temp_protection_enable")</f>
        <v>temp_protection_enable</v>
      </c>
      <c r="D113" s="18" t="str">
        <f ca="1">IFERROR(__xludf.DUMMYFUNCTION("""COMPUTED_VALUE"""),"attribute")</f>
        <v>attribute</v>
      </c>
      <c r="E113" s="18" t="str">
        <f ca="1">IFERROR(__xludf.DUMMYFUNCTION("""COMPUTED_VALUE"""),"enum")</f>
        <v>enum</v>
      </c>
      <c r="F113" s="18" t="str">
        <f ca="1">IFERROR(__xludf.DUMMYFUNCTION("""COMPUTED_VALUE"""),"false")</f>
        <v>false</v>
      </c>
      <c r="G113" s="18" t="str">
        <f ca="1">IFERROR(__xludf.DUMMYFUNCTION("""COMPUTED_VALUE"""),"polled")</f>
        <v>polled</v>
      </c>
      <c r="H113" s="18" t="str">
        <f ca="1">IFERROR(__xludf.DUMMYFUNCTION("""COMPUTED_VALUE"""),"86400")</f>
        <v>86400</v>
      </c>
      <c r="I113" s="18" t="str">
        <f ca="1">IFERROR(__xludf.DUMMYFUNCTION("""COMPUTED_VALUE"""),"N/A")</f>
        <v>N/A</v>
      </c>
      <c r="J113" s="18" t="str">
        <f ca="1">IFERROR(__xludf.DUMMYFUNCTION("""COMPUTED_VALUE"""),"N/A")</f>
        <v>N/A</v>
      </c>
      <c r="K113" s="18" t="str">
        <f ca="1">IFERROR(__xludf.DUMMYFUNCTION("""COMPUTED_VALUE"""),"N/A")</f>
        <v>N/A</v>
      </c>
      <c r="L113" s="18" t="str">
        <f ca="1">IFERROR(__xludf.DUMMYFUNCTION("""COMPUTED_VALUE"""),"N/A")</f>
        <v>N/A</v>
      </c>
      <c r="M113" s="18" t="str">
        <f ca="1">IFERROR(__xludf.DUMMYFUNCTION("""COMPUTED_VALUE"""),"N/A")</f>
        <v>N/A</v>
      </c>
      <c r="N113" s="18" t="str">
        <f ca="1">IFERROR(__xludf.DUMMYFUNCTION("""COMPUTED_VALUE"""),"N/A")</f>
        <v>N/A</v>
      </c>
      <c r="O113" s="18" t="str">
        <f ca="1">IFERROR(__xludf.DUMMYFUNCTION("""COMPUTED_VALUE"""),"N/A")</f>
        <v>N/A</v>
      </c>
      <c r="P113" s="18" t="str">
        <f ca="1">IFERROR(__xludf.DUMMYFUNCTION("""COMPUTED_VALUE"""),"""none"",""low"",""high"",""low+high""")</f>
        <v>"none","low","high","low+high"</v>
      </c>
      <c r="Q113" s="18" t="str">
        <f ca="1">IFERROR(__xludf.DUMMYFUNCTION("""COMPUTED_VALUE"""),"N/A")</f>
        <v>N/A</v>
      </c>
      <c r="R113" s="18" t="str">
        <f ca="1">IFERROR(__xludf.DUMMYFUNCTION("""COMPUTED_VALUE"""),"N/A")</f>
        <v>N/A</v>
      </c>
      <c r="S113" s="18" t="str">
        <f ca="1">IFERROR(__xludf.DUMMYFUNCTION("""COMPUTED_VALUE"""),"""none""")</f>
        <v>"none"</v>
      </c>
      <c r="T113" s="18" t="str">
        <f ca="1">IFERROR(__xludf.DUMMYFUNCTION("""COMPUTED_VALUE"""),"0xF062")</f>
        <v>0xF062</v>
      </c>
      <c r="U113" s="18" t="str">
        <f ca="1">IFERROR(__xludf.DUMMYFUNCTION("""COMPUTED_VALUE"""),"0x0A")</f>
        <v>0x0A</v>
      </c>
      <c r="V113" s="18" t="str">
        <f ca="1">IFERROR(__xludf.DUMMYFUNCTION("""COMPUTED_VALUE"""),"0x0104")</f>
        <v>0x0104</v>
      </c>
      <c r="W113" s="18" t="str">
        <f ca="1">IFERROR(__xludf.DUMMYFUNCTION("""COMPUTED_VALUE"""),"0x0201")</f>
        <v>0x0201</v>
      </c>
      <c r="X113" s="18" t="str">
        <f ca="1">IFERROR(__xludf.DUMMYFUNCTION("""COMPUTED_VALUE"""),"0x18")</f>
        <v>0x18</v>
      </c>
      <c r="Y113" s="18" t="e">
        <f ca="1"/>
        <v>#NAME?</v>
      </c>
      <c r="Z113" s="18" t="str">
        <f ca="1">IFERROR(__xludf.DUMMYFUNCTION("""COMPUTED_VALUE"""),"lambdax:{'none':0,'low':1,'high':2,'low+high':3}[x]")</f>
        <v>lambdax:{'none':0,'low':1,'high':2,'low+high':3}[x]</v>
      </c>
      <c r="AA113" s="18" t="str">
        <f ca="1">IFERROR(__xludf.DUMMYFUNCTION("""COMPUTED_VALUE"""),"lambdax:{0:'none',1:'low',2:'high',3:'low+high'}.get(x,'unknown')")</f>
        <v>lambdax:{0:'none',1:'low',2:'high',3:'low+high'}.get(x,'unknown')</v>
      </c>
      <c r="AC113" s="59" t="s">
        <v>986</v>
      </c>
      <c r="AD113" s="59" t="s">
        <v>986</v>
      </c>
      <c r="AE113" s="59" t="s">
        <v>1018</v>
      </c>
      <c r="AF113" s="59" t="s">
        <v>1026</v>
      </c>
      <c r="AG113" s="59" t="s">
        <v>1026</v>
      </c>
      <c r="AH113" s="59" t="s">
        <v>1015</v>
      </c>
      <c r="AI113" s="59" t="s">
        <v>1019</v>
      </c>
      <c r="AJ113" s="59" t="s">
        <v>1019</v>
      </c>
      <c r="AK113" s="59" t="s">
        <v>1019</v>
      </c>
      <c r="AL113" s="59" t="s">
        <v>1019</v>
      </c>
      <c r="AM113" s="59" t="s">
        <v>1019</v>
      </c>
      <c r="AN113" s="59" t="s">
        <v>1027</v>
      </c>
      <c r="AO113" s="59" t="s">
        <v>1027</v>
      </c>
      <c r="AP113" s="59" t="s">
        <v>1028</v>
      </c>
      <c r="AQ113" s="59" t="s">
        <v>1029</v>
      </c>
      <c r="AR113" s="59" t="s">
        <v>1029</v>
      </c>
      <c r="AS113" s="59" t="s">
        <v>1030</v>
      </c>
      <c r="AT113" s="59" t="s">
        <v>1030</v>
      </c>
    </row>
    <row r="114" spans="1:46" x14ac:dyDescent="0.25">
      <c r="A114" s="18" t="str">
        <v>temp_protection_low_limit:{"type":"advanced","data_type":"float","is_readonly":false,"reporting_type":"polled","poll_freq":86400,"max":35,"min":0,"decimal_places":2,"default_value":10,"zigbee_metadata":{"attr_id":61539,"endpoint_id":10,"profile_id":260,"cluster_id":513,"zcl_data_type":41,"write_formatter":"lambdax:int(round(x,2)*100)","read_formatter":"lambdax:x/100"}},</v>
      </c>
      <c r="B114" s="52" t="str">
        <f ca="1"/>
        <v>0x0201 0xF063</v>
      </c>
      <c r="C114" s="52" t="str">
        <f ca="1">IFERROR(__xludf.DUMMYFUNCTION("""COMPUTED_VALUE"""),"temp_protection_low_limit")</f>
        <v>temp_protection_low_limit</v>
      </c>
      <c r="D114" s="18" t="str">
        <f ca="1">IFERROR(__xludf.DUMMYFUNCTION("""COMPUTED_VALUE"""),"advanced")</f>
        <v>advanced</v>
      </c>
      <c r="E114" s="18" t="str">
        <f ca="1">IFERROR(__xludf.DUMMYFUNCTION("""COMPUTED_VALUE"""),"float")</f>
        <v>float</v>
      </c>
      <c r="F114" s="18" t="str">
        <f ca="1">IFERROR(__xludf.DUMMYFUNCTION("""COMPUTED_VALUE"""),"false")</f>
        <v>false</v>
      </c>
      <c r="G114" s="18" t="str">
        <f ca="1">IFERROR(__xludf.DUMMYFUNCTION("""COMPUTED_VALUE"""),"polled")</f>
        <v>polled</v>
      </c>
      <c r="H114" s="18" t="str">
        <f ca="1">IFERROR(__xludf.DUMMYFUNCTION("""COMPUTED_VALUE"""),"86400")</f>
        <v>86400</v>
      </c>
      <c r="I114" s="18" t="str">
        <f ca="1">IFERROR(__xludf.DUMMYFUNCTION("""COMPUTED_VALUE"""),"N/A")</f>
        <v>N/A</v>
      </c>
      <c r="J114" s="18" t="str">
        <f ca="1">IFERROR(__xludf.DUMMYFUNCTION("""COMPUTED_VALUE"""),"N/A")</f>
        <v>N/A</v>
      </c>
      <c r="K114" s="18" t="str">
        <f ca="1">IFERROR(__xludf.DUMMYFUNCTION("""COMPUTED_VALUE"""),"N/A")</f>
        <v>N/A</v>
      </c>
      <c r="L114" s="18" t="str">
        <f ca="1">IFERROR(__xludf.DUMMYFUNCTION("""COMPUTED_VALUE"""),"35")</f>
        <v>35</v>
      </c>
      <c r="M114" s="18" t="str">
        <f ca="1">IFERROR(__xludf.DUMMYFUNCTION("""COMPUTED_VALUE"""),"0")</f>
        <v>0</v>
      </c>
      <c r="N114" s="18" t="str">
        <f ca="1">IFERROR(__xludf.DUMMYFUNCTION("""COMPUTED_VALUE"""),"N/A")</f>
        <v>N/A</v>
      </c>
      <c r="O114" s="18" t="str">
        <f ca="1">IFERROR(__xludf.DUMMYFUNCTION("""COMPUTED_VALUE"""),"N/A")</f>
        <v>N/A</v>
      </c>
      <c r="P114" s="18" t="str">
        <f ca="1">IFERROR(__xludf.DUMMYFUNCTION("""COMPUTED_VALUE"""),"N/A")</f>
        <v>N/A</v>
      </c>
      <c r="Q114" s="18" t="str">
        <f ca="1">IFERROR(__xludf.DUMMYFUNCTION("""COMPUTED_VALUE"""),"N/A")</f>
        <v>N/A</v>
      </c>
      <c r="R114" s="18" t="str">
        <f ca="1">IFERROR(__xludf.DUMMYFUNCTION("""COMPUTED_VALUE"""),"2")</f>
        <v>2</v>
      </c>
      <c r="S114" s="18" t="str">
        <f ca="1">IFERROR(__xludf.DUMMYFUNCTION("""COMPUTED_VALUE"""),"10")</f>
        <v>10</v>
      </c>
      <c r="T114" s="18" t="str">
        <f ca="1">IFERROR(__xludf.DUMMYFUNCTION("""COMPUTED_VALUE"""),"0xF063")</f>
        <v>0xF063</v>
      </c>
      <c r="U114" s="18" t="str">
        <f ca="1">IFERROR(__xludf.DUMMYFUNCTION("""COMPUTED_VALUE"""),"0x0A")</f>
        <v>0x0A</v>
      </c>
      <c r="V114" s="18" t="str">
        <f ca="1">IFERROR(__xludf.DUMMYFUNCTION("""COMPUTED_VALUE"""),"0x0104")</f>
        <v>0x0104</v>
      </c>
      <c r="W114" s="18" t="str">
        <f ca="1">IFERROR(__xludf.DUMMYFUNCTION("""COMPUTED_VALUE"""),"0x0201")</f>
        <v>0x0201</v>
      </c>
      <c r="X114" s="18" t="str">
        <f ca="1">IFERROR(__xludf.DUMMYFUNCTION("""COMPUTED_VALUE"""),"0x29")</f>
        <v>0x29</v>
      </c>
      <c r="Y114" s="18" t="e">
        <f ca="1"/>
        <v>#NAME?</v>
      </c>
      <c r="Z114" s="18" t="str">
        <f ca="1">IFERROR(__xludf.DUMMYFUNCTION("""COMPUTED_VALUE"""),"lambdax:int(round(x,2)*100)")</f>
        <v>lambdax:int(round(x,2)*100)</v>
      </c>
      <c r="AA114" s="18" t="str">
        <f ca="1">IFERROR(__xludf.DUMMYFUNCTION("""COMPUTED_VALUE"""),"lambdax:x/100")</f>
        <v>lambdax:x/100</v>
      </c>
      <c r="AC114" s="59" t="s">
        <v>996</v>
      </c>
      <c r="AD114" s="59" t="s">
        <v>996</v>
      </c>
      <c r="AE114" s="59" t="s">
        <v>1022</v>
      </c>
      <c r="AF114" s="59" t="s">
        <v>1015</v>
      </c>
      <c r="AG114" s="59" t="s">
        <v>1015</v>
      </c>
      <c r="AH114" s="59" t="s">
        <v>1019</v>
      </c>
      <c r="AI114" s="59" t="s">
        <v>1023</v>
      </c>
      <c r="AJ114" s="59" t="s">
        <v>1023</v>
      </c>
      <c r="AK114" s="59" t="s">
        <v>1023</v>
      </c>
      <c r="AL114" s="59" t="s">
        <v>1023</v>
      </c>
      <c r="AM114" s="59" t="s">
        <v>1023</v>
      </c>
      <c r="AN114" s="59" t="s">
        <v>1031</v>
      </c>
      <c r="AO114" s="59" t="s">
        <v>1031</v>
      </c>
      <c r="AP114" s="59" t="s">
        <v>1032</v>
      </c>
      <c r="AQ114" s="59" t="s">
        <v>1033</v>
      </c>
      <c r="AR114" s="59" t="s">
        <v>1033</v>
      </c>
      <c r="AS114" s="59" t="s">
        <v>1034</v>
      </c>
      <c r="AT114" s="59" t="s">
        <v>1034</v>
      </c>
    </row>
    <row r="115" spans="1:46" x14ac:dyDescent="0.25">
      <c r="A115" s="18" t="str">
        <v>temp_protection_high_limit:{"type":"advanced","data_type":"float","is_readonly":false,"reporting_type":"polled","poll_freq":86400,"max":35,"min":0,"decimal_places":2,"default_value":30,"zigbee_metadata":{"attr_id":61540,"endpoint_id":10,"profile_id":260,"cluster_id":513,"zcl_data_type":41,"write_formatter":"lambdax:int(round(x,2)*100)","read_formatter":"lambdax:x/100"}},</v>
      </c>
      <c r="B115" s="52" t="str">
        <f ca="1"/>
        <v>0x0201 0xF064</v>
      </c>
      <c r="C115" s="52" t="str">
        <f ca="1">IFERROR(__xludf.DUMMYFUNCTION("""COMPUTED_VALUE"""),"temp_protection_high_limit")</f>
        <v>temp_protection_high_limit</v>
      </c>
      <c r="D115" s="18" t="str">
        <f ca="1">IFERROR(__xludf.DUMMYFUNCTION("""COMPUTED_VALUE"""),"advanced")</f>
        <v>advanced</v>
      </c>
      <c r="E115" s="18" t="str">
        <f ca="1">IFERROR(__xludf.DUMMYFUNCTION("""COMPUTED_VALUE"""),"float")</f>
        <v>float</v>
      </c>
      <c r="F115" s="18" t="str">
        <f ca="1">IFERROR(__xludf.DUMMYFUNCTION("""COMPUTED_VALUE"""),"false")</f>
        <v>false</v>
      </c>
      <c r="G115" s="18" t="str">
        <f ca="1">IFERROR(__xludf.DUMMYFUNCTION("""COMPUTED_VALUE"""),"polled")</f>
        <v>polled</v>
      </c>
      <c r="H115" s="18" t="str">
        <f ca="1">IFERROR(__xludf.DUMMYFUNCTION("""COMPUTED_VALUE"""),"86400")</f>
        <v>86400</v>
      </c>
      <c r="I115" s="18" t="str">
        <f ca="1">IFERROR(__xludf.DUMMYFUNCTION("""COMPUTED_VALUE"""),"N/A")</f>
        <v>N/A</v>
      </c>
      <c r="J115" s="18" t="str">
        <f ca="1">IFERROR(__xludf.DUMMYFUNCTION("""COMPUTED_VALUE"""),"N/A")</f>
        <v>N/A</v>
      </c>
      <c r="K115" s="18" t="str">
        <f ca="1">IFERROR(__xludf.DUMMYFUNCTION("""COMPUTED_VALUE"""),"N/A")</f>
        <v>N/A</v>
      </c>
      <c r="L115" s="18" t="str">
        <f ca="1">IFERROR(__xludf.DUMMYFUNCTION("""COMPUTED_VALUE"""),"35")</f>
        <v>35</v>
      </c>
      <c r="M115" s="18" t="str">
        <f ca="1">IFERROR(__xludf.DUMMYFUNCTION("""COMPUTED_VALUE"""),"0")</f>
        <v>0</v>
      </c>
      <c r="N115" s="18" t="str">
        <f ca="1">IFERROR(__xludf.DUMMYFUNCTION("""COMPUTED_VALUE"""),"N/A")</f>
        <v>N/A</v>
      </c>
      <c r="O115" s="18" t="str">
        <f ca="1">IFERROR(__xludf.DUMMYFUNCTION("""COMPUTED_VALUE"""),"N/A")</f>
        <v>N/A</v>
      </c>
      <c r="P115" s="18" t="str">
        <f ca="1">IFERROR(__xludf.DUMMYFUNCTION("""COMPUTED_VALUE"""),"N/A")</f>
        <v>N/A</v>
      </c>
      <c r="Q115" s="18" t="str">
        <f ca="1">IFERROR(__xludf.DUMMYFUNCTION("""COMPUTED_VALUE"""),"N/A")</f>
        <v>N/A</v>
      </c>
      <c r="R115" s="18" t="str">
        <f ca="1">IFERROR(__xludf.DUMMYFUNCTION("""COMPUTED_VALUE"""),"2")</f>
        <v>2</v>
      </c>
      <c r="S115" s="18" t="str">
        <f ca="1">IFERROR(__xludf.DUMMYFUNCTION("""COMPUTED_VALUE"""),"30")</f>
        <v>30</v>
      </c>
      <c r="T115" s="18" t="str">
        <f ca="1">IFERROR(__xludf.DUMMYFUNCTION("""COMPUTED_VALUE"""),"0xF064")</f>
        <v>0xF064</v>
      </c>
      <c r="U115" s="18" t="str">
        <f ca="1">IFERROR(__xludf.DUMMYFUNCTION("""COMPUTED_VALUE"""),"0x0A")</f>
        <v>0x0A</v>
      </c>
      <c r="V115" s="18" t="str">
        <f ca="1">IFERROR(__xludf.DUMMYFUNCTION("""COMPUTED_VALUE"""),"0x0104")</f>
        <v>0x0104</v>
      </c>
      <c r="W115" s="18" t="str">
        <f ca="1">IFERROR(__xludf.DUMMYFUNCTION("""COMPUTED_VALUE"""),"0x0201")</f>
        <v>0x0201</v>
      </c>
      <c r="X115" s="18" t="str">
        <f ca="1">IFERROR(__xludf.DUMMYFUNCTION("""COMPUTED_VALUE"""),"0x29")</f>
        <v>0x29</v>
      </c>
      <c r="Y115" s="18" t="e">
        <f ca="1"/>
        <v>#NAME?</v>
      </c>
      <c r="Z115" s="18" t="str">
        <f ca="1">IFERROR(__xludf.DUMMYFUNCTION("""COMPUTED_VALUE"""),"lambdax:int(round(x,2)*100)")</f>
        <v>lambdax:int(round(x,2)*100)</v>
      </c>
      <c r="AA115" s="18" t="str">
        <f ca="1">IFERROR(__xludf.DUMMYFUNCTION("""COMPUTED_VALUE"""),"lambdax:x/100")</f>
        <v>lambdax:x/100</v>
      </c>
      <c r="AC115" s="59" t="s">
        <v>1000</v>
      </c>
      <c r="AD115" s="59" t="s">
        <v>1000</v>
      </c>
      <c r="AE115" s="59" t="s">
        <v>1026</v>
      </c>
      <c r="AF115" s="59" t="s">
        <v>1035</v>
      </c>
      <c r="AG115" s="59" t="s">
        <v>1035</v>
      </c>
      <c r="AH115" s="59" t="s">
        <v>1023</v>
      </c>
      <c r="AI115" s="59" t="s">
        <v>1027</v>
      </c>
      <c r="AJ115" s="59" t="s">
        <v>1027</v>
      </c>
      <c r="AK115" s="59" t="s">
        <v>1027</v>
      </c>
      <c r="AL115" s="59" t="s">
        <v>1027</v>
      </c>
      <c r="AM115" s="59" t="s">
        <v>1027</v>
      </c>
      <c r="AN115" s="59" t="s">
        <v>1036</v>
      </c>
      <c r="AO115" s="59" t="s">
        <v>1036</v>
      </c>
      <c r="AP115" s="59" t="s">
        <v>1037</v>
      </c>
      <c r="AQ115" s="59" t="s">
        <v>1038</v>
      </c>
      <c r="AR115" s="59" t="s">
        <v>1038</v>
      </c>
      <c r="AS115" s="59" t="s">
        <v>1039</v>
      </c>
      <c r="AT115" s="59" t="s">
        <v>1039</v>
      </c>
    </row>
    <row r="116" spans="1:46" x14ac:dyDescent="0.25">
      <c r="A116" s="18" t="str">
        <v>setback_mode:{"type":"attribute","data_type":"enum","is_readonly":false,"reporting_type":"polled","poll_freq":86400,"enum_values":["none","recovery_time","fixed","delta"],"default_value":"none","zigbee_metadata":{"attr_id":61668,"endpoint_id":10,"profile_id":260,"cluster_id":513,"zcl_data_type":48,"write_formatter":"lambdax:{'none':0,'recovery_time':1,'fixed':2,'delta':3}[x]","read_formatter":"lambdax:{0:'none',1:'recovery_time',2:'fixed',3:'delta'}.get(x,'unknown')"}},</v>
      </c>
      <c r="B116" s="52" t="str">
        <f ca="1"/>
        <v>0x0201 0xF0E4</v>
      </c>
      <c r="C116" s="52" t="str">
        <f ca="1">IFERROR(__xludf.DUMMYFUNCTION("""COMPUTED_VALUE"""),"setback_mode")</f>
        <v>setback_mode</v>
      </c>
      <c r="D116" s="18" t="str">
        <f ca="1">IFERROR(__xludf.DUMMYFUNCTION("""COMPUTED_VALUE"""),"attribute")</f>
        <v>attribute</v>
      </c>
      <c r="E116" s="18" t="str">
        <f ca="1">IFERROR(__xludf.DUMMYFUNCTION("""COMPUTED_VALUE"""),"enum")</f>
        <v>enum</v>
      </c>
      <c r="F116" s="18" t="str">
        <f ca="1">IFERROR(__xludf.DUMMYFUNCTION("""COMPUTED_VALUE"""),"false")</f>
        <v>false</v>
      </c>
      <c r="G116" s="18" t="str">
        <f ca="1">IFERROR(__xludf.DUMMYFUNCTION("""COMPUTED_VALUE"""),"polled")</f>
        <v>polled</v>
      </c>
      <c r="H116" s="18" t="str">
        <f ca="1">IFERROR(__xludf.DUMMYFUNCTION("""COMPUTED_VALUE"""),"86400")</f>
        <v>86400</v>
      </c>
      <c r="I116" s="18" t="str">
        <f ca="1">IFERROR(__xludf.DUMMYFUNCTION("""COMPUTED_VALUE"""),"N/A")</f>
        <v>N/A</v>
      </c>
      <c r="J116" s="18" t="str">
        <f ca="1">IFERROR(__xludf.DUMMYFUNCTION("""COMPUTED_VALUE"""),"N/A")</f>
        <v>N/A</v>
      </c>
      <c r="K116" s="18" t="str">
        <f ca="1">IFERROR(__xludf.DUMMYFUNCTION("""COMPUTED_VALUE"""),"N/A")</f>
        <v>N/A</v>
      </c>
      <c r="L116" s="18" t="str">
        <f ca="1">IFERROR(__xludf.DUMMYFUNCTION("""COMPUTED_VALUE"""),"N/A")</f>
        <v>N/A</v>
      </c>
      <c r="M116" s="18" t="str">
        <f ca="1">IFERROR(__xludf.DUMMYFUNCTION("""COMPUTED_VALUE"""),"N/A")</f>
        <v>N/A</v>
      </c>
      <c r="N116" s="18" t="str">
        <f ca="1">IFERROR(__xludf.DUMMYFUNCTION("""COMPUTED_VALUE"""),"N/A")</f>
        <v>N/A</v>
      </c>
      <c r="O116" s="18" t="str">
        <f ca="1">IFERROR(__xludf.DUMMYFUNCTION("""COMPUTED_VALUE"""),"N/A")</f>
        <v>N/A</v>
      </c>
      <c r="P116" s="18" t="str">
        <f ca="1">IFERROR(__xludf.DUMMYFUNCTION("""COMPUTED_VALUE"""),"""none"",""recovery_time"",""fixed"",""delta""")</f>
        <v>"none","recovery_time","fixed","delta"</v>
      </c>
      <c r="Q116" s="18" t="str">
        <f ca="1">IFERROR(__xludf.DUMMYFUNCTION("""COMPUTED_VALUE"""),"N/A")</f>
        <v>N/A</v>
      </c>
      <c r="R116" s="18" t="str">
        <f ca="1">IFERROR(__xludf.DUMMYFUNCTION("""COMPUTED_VALUE"""),"N/A")</f>
        <v>N/A</v>
      </c>
      <c r="S116" s="18" t="str">
        <f ca="1">IFERROR(__xludf.DUMMYFUNCTION("""COMPUTED_VALUE"""),"""none""")</f>
        <v>"none"</v>
      </c>
      <c r="T116" s="18" t="str">
        <f ca="1">IFERROR(__xludf.DUMMYFUNCTION("""COMPUTED_VALUE"""),"0xF0E4")</f>
        <v>0xF0E4</v>
      </c>
      <c r="U116" s="18" t="str">
        <f ca="1">IFERROR(__xludf.DUMMYFUNCTION("""COMPUTED_VALUE"""),"0x0A")</f>
        <v>0x0A</v>
      </c>
      <c r="V116" s="18" t="str">
        <f ca="1">IFERROR(__xludf.DUMMYFUNCTION("""COMPUTED_VALUE"""),"0x0104")</f>
        <v>0x0104</v>
      </c>
      <c r="W116" s="18" t="str">
        <f ca="1">IFERROR(__xludf.DUMMYFUNCTION("""COMPUTED_VALUE"""),"0x0201")</f>
        <v>0x0201</v>
      </c>
      <c r="X116" s="18" t="str">
        <f ca="1">IFERROR(__xludf.DUMMYFUNCTION("""COMPUTED_VALUE"""),"0x30")</f>
        <v>0x30</v>
      </c>
      <c r="Y116" s="18" t="e">
        <f ca="1"/>
        <v>#NAME?</v>
      </c>
      <c r="Z116" s="18" t="str">
        <f ca="1">IFERROR(__xludf.DUMMYFUNCTION("""COMPUTED_VALUE"""),"lambdax:{'none':0,'recovery_time':1,'fixed':2,'delta':3}[x]")</f>
        <v>lambdax:{'none':0,'recovery_time':1,'fixed':2,'delta':3}[x]</v>
      </c>
      <c r="AA116" s="18" t="str">
        <f ca="1">IFERROR(__xludf.DUMMYFUNCTION("""COMPUTED_VALUE"""),"lambdax:{0:'none',1:'recovery_time',2:'fixed',3:'delta'}.get(x,'unknown')")</f>
        <v>lambdax:{0:'none',1:'recovery_time',2:'fixed',3:'delta'}.get(x,'unknown')</v>
      </c>
      <c r="AC116" s="59" t="s">
        <v>990</v>
      </c>
      <c r="AD116" s="59" t="s">
        <v>990</v>
      </c>
      <c r="AE116" s="59" t="s">
        <v>1015</v>
      </c>
      <c r="AF116" s="59" t="s">
        <v>1040</v>
      </c>
      <c r="AG116" s="59" t="s">
        <v>1040</v>
      </c>
      <c r="AH116" s="59" t="s">
        <v>1027</v>
      </c>
      <c r="AI116" s="59" t="s">
        <v>1031</v>
      </c>
      <c r="AJ116" s="59" t="s">
        <v>1031</v>
      </c>
      <c r="AK116" s="59" t="s">
        <v>1031</v>
      </c>
      <c r="AL116" s="59" t="s">
        <v>1031</v>
      </c>
      <c r="AM116" s="59" t="s">
        <v>1031</v>
      </c>
      <c r="AN116" s="59" t="s">
        <v>1041</v>
      </c>
      <c r="AO116" s="59" t="s">
        <v>1041</v>
      </c>
      <c r="AP116" s="59" t="s">
        <v>1042</v>
      </c>
      <c r="AQ116" s="59" t="s">
        <v>1043</v>
      </c>
      <c r="AR116" s="59" t="s">
        <v>1043</v>
      </c>
      <c r="AS116" s="59" t="s">
        <v>1044</v>
      </c>
      <c r="AT116" s="59" t="s">
        <v>1044</v>
      </c>
    </row>
    <row r="117" spans="1:46" x14ac:dyDescent="0.25">
      <c r="A117" s="18" t="str">
        <v>recovery_time:{"type":"attribute","data_type":"uint8","is_readonly":false,"reporting_type":"polled","poll_freq":86400,"default_value":10,"zigbee_metadata":{"attr_id":61671,"endpoint_id":10,"profile_id":260,"cluster_id":513,"zcl_data_type":32}},</v>
      </c>
      <c r="B117" s="52" t="str">
        <f ca="1"/>
        <v>0x0201 0xF0E7</v>
      </c>
      <c r="C117" s="52" t="str">
        <f ca="1">IFERROR(__xludf.DUMMYFUNCTION("""COMPUTED_VALUE"""),"recovery_time")</f>
        <v>recovery_time</v>
      </c>
      <c r="D117" s="18" t="str">
        <f ca="1">IFERROR(__xludf.DUMMYFUNCTION("""COMPUTED_VALUE"""),"attribute")</f>
        <v>attribute</v>
      </c>
      <c r="E117" s="18" t="str">
        <f ca="1">IFERROR(__xludf.DUMMYFUNCTION("""COMPUTED_VALUE"""),"uint8")</f>
        <v>uint8</v>
      </c>
      <c r="F117" s="18" t="str">
        <f ca="1">IFERROR(__xludf.DUMMYFUNCTION("""COMPUTED_VALUE"""),"false")</f>
        <v>false</v>
      </c>
      <c r="G117" s="18" t="str">
        <f ca="1">IFERROR(__xludf.DUMMYFUNCTION("""COMPUTED_VALUE"""),"polled")</f>
        <v>polled</v>
      </c>
      <c r="H117" s="18" t="str">
        <f ca="1">IFERROR(__xludf.DUMMYFUNCTION("""COMPUTED_VALUE"""),"86400")</f>
        <v>86400</v>
      </c>
      <c r="I117" s="18" t="str">
        <f ca="1">IFERROR(__xludf.DUMMYFUNCTION("""COMPUTED_VALUE"""),"N/A")</f>
        <v>N/A</v>
      </c>
      <c r="J117" s="18" t="str">
        <f ca="1">IFERROR(__xludf.DUMMYFUNCTION("""COMPUTED_VALUE"""),"N/A")</f>
        <v>N/A</v>
      </c>
      <c r="K117" s="18" t="str">
        <f ca="1">IFERROR(__xludf.DUMMYFUNCTION("""COMPUTED_VALUE"""),"N/A")</f>
        <v>N/A</v>
      </c>
      <c r="L117" s="18" t="str">
        <f ca="1">IFERROR(__xludf.DUMMYFUNCTION("""COMPUTED_VALUE"""),"N/A")</f>
        <v>N/A</v>
      </c>
      <c r="M117" s="18" t="str">
        <f ca="1">IFERROR(__xludf.DUMMYFUNCTION("""COMPUTED_VALUE"""),"N/A")</f>
        <v>N/A</v>
      </c>
      <c r="N117" s="18" t="str">
        <f ca="1">IFERROR(__xludf.DUMMYFUNCTION("""COMPUTED_VALUE"""),"N/A")</f>
        <v>N/A</v>
      </c>
      <c r="O117" s="18" t="str">
        <f ca="1">IFERROR(__xludf.DUMMYFUNCTION("""COMPUTED_VALUE"""),"N/A")</f>
        <v>N/A</v>
      </c>
      <c r="P117" s="18" t="str">
        <f ca="1">IFERROR(__xludf.DUMMYFUNCTION("""COMPUTED_VALUE"""),"N/A")</f>
        <v>N/A</v>
      </c>
      <c r="Q117" s="18" t="str">
        <f ca="1">IFERROR(__xludf.DUMMYFUNCTION("""COMPUTED_VALUE"""),"N/A")</f>
        <v>N/A</v>
      </c>
      <c r="R117" s="18" t="str">
        <f ca="1">IFERROR(__xludf.DUMMYFUNCTION("""COMPUTED_VALUE"""),"N/A")</f>
        <v>N/A</v>
      </c>
      <c r="S117" s="18" t="str">
        <f ca="1">IFERROR(__xludf.DUMMYFUNCTION("""COMPUTED_VALUE"""),"10")</f>
        <v>10</v>
      </c>
      <c r="T117" s="18" t="str">
        <f ca="1">IFERROR(__xludf.DUMMYFUNCTION("""COMPUTED_VALUE"""),"0xF0E7")</f>
        <v>0xF0E7</v>
      </c>
      <c r="U117" s="18" t="str">
        <f ca="1">IFERROR(__xludf.DUMMYFUNCTION("""COMPUTED_VALUE"""),"0x0A")</f>
        <v>0x0A</v>
      </c>
      <c r="V117" s="18" t="str">
        <f ca="1">IFERROR(__xludf.DUMMYFUNCTION("""COMPUTED_VALUE"""),"0x0104")</f>
        <v>0x0104</v>
      </c>
      <c r="W117" s="18" t="str">
        <f ca="1">IFERROR(__xludf.DUMMYFUNCTION("""COMPUTED_VALUE"""),"0x0201")</f>
        <v>0x0201</v>
      </c>
      <c r="X117" s="18" t="str">
        <f ca="1">IFERROR(__xludf.DUMMYFUNCTION("""COMPUTED_VALUE"""),"0x20")</f>
        <v>0x20</v>
      </c>
      <c r="Y117" s="18" t="e">
        <f ca="1"/>
        <v>#NAME?</v>
      </c>
      <c r="Z117" s="18" t="str">
        <f ca="1">IFERROR(__xludf.DUMMYFUNCTION("""COMPUTED_VALUE"""),"N/A")</f>
        <v>N/A</v>
      </c>
      <c r="AA117" s="18" t="str">
        <f ca="1">IFERROR(__xludf.DUMMYFUNCTION("""COMPUTED_VALUE"""),"N/A")</f>
        <v>N/A</v>
      </c>
      <c r="AC117" s="59" t="s">
        <v>993</v>
      </c>
      <c r="AD117" s="59" t="s">
        <v>993</v>
      </c>
      <c r="AE117" s="59" t="s">
        <v>1035</v>
      </c>
      <c r="AF117" s="59" t="s">
        <v>1045</v>
      </c>
      <c r="AG117" s="59" t="s">
        <v>1045</v>
      </c>
      <c r="AH117" s="59" t="s">
        <v>1031</v>
      </c>
      <c r="AI117" s="59" t="s">
        <v>1036</v>
      </c>
      <c r="AJ117" s="59" t="s">
        <v>1036</v>
      </c>
      <c r="AK117" s="59" t="s">
        <v>1036</v>
      </c>
      <c r="AL117" s="59" t="s">
        <v>1036</v>
      </c>
      <c r="AM117" s="59" t="s">
        <v>1036</v>
      </c>
      <c r="AN117" s="59" t="s">
        <v>1046</v>
      </c>
      <c r="AO117" s="59" t="s">
        <v>1046</v>
      </c>
      <c r="AP117" s="59" t="s">
        <v>1047</v>
      </c>
      <c r="AQ117" s="59" t="s">
        <v>1048</v>
      </c>
      <c r="AR117" s="59" t="s">
        <v>1048</v>
      </c>
      <c r="AS117" s="59" t="s">
        <v>1049</v>
      </c>
      <c r="AT117" s="59" t="s">
        <v>1049</v>
      </c>
    </row>
    <row r="118" spans="1:46" x14ac:dyDescent="0.25">
      <c r="A118" s="18" t="str">
        <v>comfort_zone:{"type":"attribute","data_type":"float","is_readonly":false,"reporting_type":"polled","poll_freq":86400,"max":5,"min":0,"decimal_places":2,"default_value":1,"zigbee_metadata":{"attr_id":61672,"endpoint_id":10,"profile_id":260,"cluster_id":513,"zcl_data_type":33,"write_formatter":"lambdax:int(round(x,2)*100)","read_formatter":"lambdax:x/100"}},</v>
      </c>
      <c r="B118" s="52" t="str">
        <f ca="1"/>
        <v>0x0201 0xF0E8</v>
      </c>
      <c r="C118" s="52" t="str">
        <f ca="1">IFERROR(__xludf.DUMMYFUNCTION("""COMPUTED_VALUE"""),"comfort_zone")</f>
        <v>comfort_zone</v>
      </c>
      <c r="D118" s="18" t="str">
        <f ca="1">IFERROR(__xludf.DUMMYFUNCTION("""COMPUTED_VALUE"""),"attribute")</f>
        <v>attribute</v>
      </c>
      <c r="E118" s="18" t="str">
        <f ca="1">IFERROR(__xludf.DUMMYFUNCTION("""COMPUTED_VALUE"""),"float")</f>
        <v>float</v>
      </c>
      <c r="F118" s="18" t="str">
        <f ca="1">IFERROR(__xludf.DUMMYFUNCTION("""COMPUTED_VALUE"""),"false")</f>
        <v>false</v>
      </c>
      <c r="G118" s="18" t="str">
        <f ca="1">IFERROR(__xludf.DUMMYFUNCTION("""COMPUTED_VALUE"""),"polled")</f>
        <v>polled</v>
      </c>
      <c r="H118" s="18" t="str">
        <f ca="1">IFERROR(__xludf.DUMMYFUNCTION("""COMPUTED_VALUE"""),"86400")</f>
        <v>86400</v>
      </c>
      <c r="I118" s="18" t="str">
        <f ca="1">IFERROR(__xludf.DUMMYFUNCTION("""COMPUTED_VALUE"""),"N/A")</f>
        <v>N/A</v>
      </c>
      <c r="J118" s="18" t="str">
        <f ca="1">IFERROR(__xludf.DUMMYFUNCTION("""COMPUTED_VALUE"""),"N/A")</f>
        <v>N/A</v>
      </c>
      <c r="K118" s="18" t="str">
        <f ca="1">IFERROR(__xludf.DUMMYFUNCTION("""COMPUTED_VALUE"""),"N/A")</f>
        <v>N/A</v>
      </c>
      <c r="L118" s="18" t="str">
        <f ca="1">IFERROR(__xludf.DUMMYFUNCTION("""COMPUTED_VALUE"""),"5")</f>
        <v>5</v>
      </c>
      <c r="M118" s="18" t="str">
        <f ca="1">IFERROR(__xludf.DUMMYFUNCTION("""COMPUTED_VALUE"""),"0")</f>
        <v>0</v>
      </c>
      <c r="N118" s="18" t="str">
        <f ca="1">IFERROR(__xludf.DUMMYFUNCTION("""COMPUTED_VALUE"""),"N/A")</f>
        <v>N/A</v>
      </c>
      <c r="O118" s="18" t="str">
        <f ca="1">IFERROR(__xludf.DUMMYFUNCTION("""COMPUTED_VALUE"""),"N/A")</f>
        <v>N/A</v>
      </c>
      <c r="P118" s="18" t="str">
        <f ca="1">IFERROR(__xludf.DUMMYFUNCTION("""COMPUTED_VALUE"""),"N/A")</f>
        <v>N/A</v>
      </c>
      <c r="Q118" s="18" t="str">
        <f ca="1">IFERROR(__xludf.DUMMYFUNCTION("""COMPUTED_VALUE"""),"N/A")</f>
        <v>N/A</v>
      </c>
      <c r="R118" s="18" t="str">
        <f ca="1">IFERROR(__xludf.DUMMYFUNCTION("""COMPUTED_VALUE"""),"2")</f>
        <v>2</v>
      </c>
      <c r="S118" s="18" t="str">
        <f ca="1">IFERROR(__xludf.DUMMYFUNCTION("""COMPUTED_VALUE"""),"1")</f>
        <v>1</v>
      </c>
      <c r="T118" s="18" t="str">
        <f ca="1">IFERROR(__xludf.DUMMYFUNCTION("""COMPUTED_VALUE"""),"0xF0E8")</f>
        <v>0xF0E8</v>
      </c>
      <c r="U118" s="18" t="str">
        <f ca="1">IFERROR(__xludf.DUMMYFUNCTION("""COMPUTED_VALUE"""),"0x0A")</f>
        <v>0x0A</v>
      </c>
      <c r="V118" s="18" t="str">
        <f ca="1">IFERROR(__xludf.DUMMYFUNCTION("""COMPUTED_VALUE"""),"0x0104")</f>
        <v>0x0104</v>
      </c>
      <c r="W118" s="18" t="str">
        <f ca="1">IFERROR(__xludf.DUMMYFUNCTION("""COMPUTED_VALUE"""),"0x0201")</f>
        <v>0x0201</v>
      </c>
      <c r="X118" s="18" t="str">
        <f ca="1">IFERROR(__xludf.DUMMYFUNCTION("""COMPUTED_VALUE"""),"0x21")</f>
        <v>0x21</v>
      </c>
      <c r="Y118" s="18" t="e">
        <f ca="1"/>
        <v>#NAME?</v>
      </c>
      <c r="Z118" s="18" t="str">
        <f ca="1">IFERROR(__xludf.DUMMYFUNCTION("""COMPUTED_VALUE"""),"lambdax:int(round(x,2)*100)")</f>
        <v>lambdax:int(round(x,2)*100)</v>
      </c>
      <c r="AA118" s="18" t="str">
        <f ca="1">IFERROR(__xludf.DUMMYFUNCTION("""COMPUTED_VALUE"""),"lambdax:x/100")</f>
        <v>lambdax:x/100</v>
      </c>
      <c r="AC118" s="59" t="s">
        <v>1010</v>
      </c>
      <c r="AD118" s="59" t="s">
        <v>1010</v>
      </c>
      <c r="AE118" s="59" t="s">
        <v>1040</v>
      </c>
      <c r="AF118" s="59" t="s">
        <v>1050</v>
      </c>
      <c r="AG118" s="59" t="s">
        <v>1050</v>
      </c>
      <c r="AH118" s="59" t="s">
        <v>1036</v>
      </c>
      <c r="AI118" s="59" t="s">
        <v>1041</v>
      </c>
      <c r="AJ118" s="59" t="s">
        <v>1041</v>
      </c>
      <c r="AK118" s="59" t="s">
        <v>1041</v>
      </c>
      <c r="AL118" s="59" t="s">
        <v>1041</v>
      </c>
      <c r="AM118" s="59" t="s">
        <v>1041</v>
      </c>
      <c r="AN118" s="59" t="s">
        <v>1051</v>
      </c>
      <c r="AO118" s="59" t="s">
        <v>1051</v>
      </c>
      <c r="AP118" s="59" t="s">
        <v>1052</v>
      </c>
      <c r="AQ118" s="59" t="s">
        <v>1009</v>
      </c>
      <c r="AR118" s="59" t="s">
        <v>1009</v>
      </c>
      <c r="AS118" s="59" t="s">
        <v>1053</v>
      </c>
      <c r="AT118" s="59" t="s">
        <v>1053</v>
      </c>
    </row>
    <row r="119" spans="1:46" x14ac:dyDescent="0.25">
      <c r="A119" s="18" t="str">
        <v>second_stage_heat_delta_c:{"type":"attribute","data_type":"float","is_readonly":false,"reporting_type":"polled","poll_freq":86400,"max":10,"min":0,"decimal_places":2,"default_value":0,"zigbee_metadata":{"attr_id":61673,"endpoint_id":10,"profile_id":260,"cluster_id":513,"zcl_data_type":33,"write_formatter":"lambdax:int(round(x,2)*100)","read_formatter":"lambdax:x/100"}},</v>
      </c>
      <c r="B119" s="52" t="str">
        <f ca="1"/>
        <v>0x0201 0xF0E9</v>
      </c>
      <c r="C119" s="52" t="str">
        <f ca="1">IFERROR(__xludf.DUMMYFUNCTION("""COMPUTED_VALUE"""),"second_stage_heat_delta_c")</f>
        <v>second_stage_heat_delta_c</v>
      </c>
      <c r="D119" s="18" t="str">
        <f ca="1">IFERROR(__xludf.DUMMYFUNCTION("""COMPUTED_VALUE"""),"attribute")</f>
        <v>attribute</v>
      </c>
      <c r="E119" s="18" t="str">
        <f ca="1">IFERROR(__xludf.DUMMYFUNCTION("""COMPUTED_VALUE"""),"float")</f>
        <v>float</v>
      </c>
      <c r="F119" s="18" t="str">
        <f ca="1">IFERROR(__xludf.DUMMYFUNCTION("""COMPUTED_VALUE"""),"false")</f>
        <v>false</v>
      </c>
      <c r="G119" s="18" t="str">
        <f ca="1">IFERROR(__xludf.DUMMYFUNCTION("""COMPUTED_VALUE"""),"polled")</f>
        <v>polled</v>
      </c>
      <c r="H119" s="18" t="str">
        <f ca="1">IFERROR(__xludf.DUMMYFUNCTION("""COMPUTED_VALUE"""),"86400")</f>
        <v>86400</v>
      </c>
      <c r="I119" s="18" t="str">
        <f ca="1">IFERROR(__xludf.DUMMYFUNCTION("""COMPUTED_VALUE"""),"N/A")</f>
        <v>N/A</v>
      </c>
      <c r="J119" s="18" t="str">
        <f ca="1">IFERROR(__xludf.DUMMYFUNCTION("""COMPUTED_VALUE"""),"N/A")</f>
        <v>N/A</v>
      </c>
      <c r="K119" s="18" t="str">
        <f ca="1">IFERROR(__xludf.DUMMYFUNCTION("""COMPUTED_VALUE"""),"N/A")</f>
        <v>N/A</v>
      </c>
      <c r="L119" s="18" t="str">
        <f ca="1">IFERROR(__xludf.DUMMYFUNCTION("""COMPUTED_VALUE"""),"10")</f>
        <v>10</v>
      </c>
      <c r="M119" s="18" t="str">
        <f ca="1">IFERROR(__xludf.DUMMYFUNCTION("""COMPUTED_VALUE"""),"0")</f>
        <v>0</v>
      </c>
      <c r="N119" s="18" t="str">
        <f ca="1">IFERROR(__xludf.DUMMYFUNCTION("""COMPUTED_VALUE"""),"N/A")</f>
        <v>N/A</v>
      </c>
      <c r="O119" s="18" t="str">
        <f ca="1">IFERROR(__xludf.DUMMYFUNCTION("""COMPUTED_VALUE"""),"N/A")</f>
        <v>N/A</v>
      </c>
      <c r="P119" s="18" t="str">
        <f ca="1">IFERROR(__xludf.DUMMYFUNCTION("""COMPUTED_VALUE"""),"N/A")</f>
        <v>N/A</v>
      </c>
      <c r="Q119" s="18" t="str">
        <f ca="1">IFERROR(__xludf.DUMMYFUNCTION("""COMPUTED_VALUE"""),"N/A")</f>
        <v>N/A</v>
      </c>
      <c r="R119" s="18" t="str">
        <f ca="1">IFERROR(__xludf.DUMMYFUNCTION("""COMPUTED_VALUE"""),"2")</f>
        <v>2</v>
      </c>
      <c r="S119" s="18" t="str">
        <f ca="1">IFERROR(__xludf.DUMMYFUNCTION("""COMPUTED_VALUE"""),"0")</f>
        <v>0</v>
      </c>
      <c r="T119" s="18" t="str">
        <f ca="1">IFERROR(__xludf.DUMMYFUNCTION("""COMPUTED_VALUE"""),"0xF0E9")</f>
        <v>0xF0E9</v>
      </c>
      <c r="U119" s="18" t="str">
        <f ca="1">IFERROR(__xludf.DUMMYFUNCTION("""COMPUTED_VALUE"""),"0x0A")</f>
        <v>0x0A</v>
      </c>
      <c r="V119" s="18" t="str">
        <f ca="1">IFERROR(__xludf.DUMMYFUNCTION("""COMPUTED_VALUE"""),"0x0104")</f>
        <v>0x0104</v>
      </c>
      <c r="W119" s="18" t="str">
        <f ca="1">IFERROR(__xludf.DUMMYFUNCTION("""COMPUTED_VALUE"""),"0x0201")</f>
        <v>0x0201</v>
      </c>
      <c r="X119" s="18" t="str">
        <f ca="1">IFERROR(__xludf.DUMMYFUNCTION("""COMPUTED_VALUE"""),"0x21")</f>
        <v>0x21</v>
      </c>
      <c r="Y119" s="18" t="e">
        <f ca="1"/>
        <v>#NAME?</v>
      </c>
      <c r="Z119" s="18" t="str">
        <f ca="1">IFERROR(__xludf.DUMMYFUNCTION("""COMPUTED_VALUE"""),"lambdax:int(round(x,2)*100)")</f>
        <v>lambdax:int(round(x,2)*100)</v>
      </c>
      <c r="AA119" s="18" t="str">
        <f ca="1">IFERROR(__xludf.DUMMYFUNCTION("""COMPUTED_VALUE"""),"lambdax:x/100")</f>
        <v>lambdax:x/100</v>
      </c>
      <c r="AC119" s="59" t="s">
        <v>1014</v>
      </c>
      <c r="AD119" s="59" t="s">
        <v>1014</v>
      </c>
      <c r="AE119" s="59" t="s">
        <v>1045</v>
      </c>
      <c r="AF119" s="59" t="s">
        <v>1054</v>
      </c>
      <c r="AG119" s="59" t="s">
        <v>1054</v>
      </c>
      <c r="AH119" s="59" t="s">
        <v>1041</v>
      </c>
      <c r="AI119" s="59" t="s">
        <v>1046</v>
      </c>
      <c r="AJ119" s="59" t="s">
        <v>1046</v>
      </c>
      <c r="AK119" s="59" t="s">
        <v>1046</v>
      </c>
      <c r="AL119" s="59" t="s">
        <v>1046</v>
      </c>
      <c r="AM119" s="59" t="s">
        <v>1046</v>
      </c>
      <c r="AN119" s="59" t="s">
        <v>1055</v>
      </c>
      <c r="AO119" s="59" t="s">
        <v>1055</v>
      </c>
      <c r="AP119" s="59" t="s">
        <v>1056</v>
      </c>
      <c r="AQ119" s="59" t="s">
        <v>1013</v>
      </c>
      <c r="AR119" s="59" t="s">
        <v>1013</v>
      </c>
      <c r="AS119" s="59" t="s">
        <v>1057</v>
      </c>
      <c r="AT119" s="59" t="s">
        <v>1057</v>
      </c>
    </row>
    <row r="120" spans="1:46" x14ac:dyDescent="0.25">
      <c r="A120" s="18" t="str">
        <v>third_stage_heat_delta_c:{"type":"attribute","data_type":"float","is_readonly":false,"reporting_type":"polled","poll_freq":86400,"max":10,"min":0,"decimal_places":2,"default_value":0,"zigbee_metadata":{"attr_id":61674,"endpoint_id":10,"profile_id":260,"cluster_id":513,"zcl_data_type":33,"write_formatter":"lambdax:int(round(x,2)*100)","read_formatter":"lambdax:x/100"}},</v>
      </c>
      <c r="B120" s="52" t="str">
        <f ca="1"/>
        <v>0x0201 0xF0EA</v>
      </c>
      <c r="C120" s="52" t="str">
        <f ca="1">IFERROR(__xludf.DUMMYFUNCTION("""COMPUTED_VALUE"""),"third_stage_heat_delta_c")</f>
        <v>third_stage_heat_delta_c</v>
      </c>
      <c r="D120" s="18" t="str">
        <f ca="1">IFERROR(__xludf.DUMMYFUNCTION("""COMPUTED_VALUE"""),"attribute")</f>
        <v>attribute</v>
      </c>
      <c r="E120" s="18" t="str">
        <f ca="1">IFERROR(__xludf.DUMMYFUNCTION("""COMPUTED_VALUE"""),"float")</f>
        <v>float</v>
      </c>
      <c r="F120" s="18" t="str">
        <f ca="1">IFERROR(__xludf.DUMMYFUNCTION("""COMPUTED_VALUE"""),"false")</f>
        <v>false</v>
      </c>
      <c r="G120" s="18" t="str">
        <f ca="1">IFERROR(__xludf.DUMMYFUNCTION("""COMPUTED_VALUE"""),"polled")</f>
        <v>polled</v>
      </c>
      <c r="H120" s="18" t="str">
        <f ca="1">IFERROR(__xludf.DUMMYFUNCTION("""COMPUTED_VALUE"""),"86400")</f>
        <v>86400</v>
      </c>
      <c r="I120" s="18" t="str">
        <f ca="1">IFERROR(__xludf.DUMMYFUNCTION("""COMPUTED_VALUE"""),"N/A")</f>
        <v>N/A</v>
      </c>
      <c r="J120" s="18" t="str">
        <f ca="1">IFERROR(__xludf.DUMMYFUNCTION("""COMPUTED_VALUE"""),"N/A")</f>
        <v>N/A</v>
      </c>
      <c r="K120" s="18" t="str">
        <f ca="1">IFERROR(__xludf.DUMMYFUNCTION("""COMPUTED_VALUE"""),"N/A")</f>
        <v>N/A</v>
      </c>
      <c r="L120" s="18" t="str">
        <f ca="1">IFERROR(__xludf.DUMMYFUNCTION("""COMPUTED_VALUE"""),"10")</f>
        <v>10</v>
      </c>
      <c r="M120" s="18" t="str">
        <f ca="1">IFERROR(__xludf.DUMMYFUNCTION("""COMPUTED_VALUE"""),"0")</f>
        <v>0</v>
      </c>
      <c r="N120" s="18" t="str">
        <f ca="1">IFERROR(__xludf.DUMMYFUNCTION("""COMPUTED_VALUE"""),"N/A")</f>
        <v>N/A</v>
      </c>
      <c r="O120" s="18" t="str">
        <f ca="1">IFERROR(__xludf.DUMMYFUNCTION("""COMPUTED_VALUE"""),"N/A")</f>
        <v>N/A</v>
      </c>
      <c r="P120" s="18" t="str">
        <f ca="1">IFERROR(__xludf.DUMMYFUNCTION("""COMPUTED_VALUE"""),"N/A")</f>
        <v>N/A</v>
      </c>
      <c r="Q120" s="18" t="str">
        <f ca="1">IFERROR(__xludf.DUMMYFUNCTION("""COMPUTED_VALUE"""),"N/A")</f>
        <v>N/A</v>
      </c>
      <c r="R120" s="18" t="str">
        <f ca="1">IFERROR(__xludf.DUMMYFUNCTION("""COMPUTED_VALUE"""),"2")</f>
        <v>2</v>
      </c>
      <c r="S120" s="18" t="str">
        <f ca="1">IFERROR(__xludf.DUMMYFUNCTION("""COMPUTED_VALUE"""),"0")</f>
        <v>0</v>
      </c>
      <c r="T120" s="18" t="str">
        <f ca="1">IFERROR(__xludf.DUMMYFUNCTION("""COMPUTED_VALUE"""),"0xF0EA")</f>
        <v>0xF0EA</v>
      </c>
      <c r="U120" s="18" t="str">
        <f ca="1">IFERROR(__xludf.DUMMYFUNCTION("""COMPUTED_VALUE"""),"0x0A")</f>
        <v>0x0A</v>
      </c>
      <c r="V120" s="18" t="str">
        <f ca="1">IFERROR(__xludf.DUMMYFUNCTION("""COMPUTED_VALUE"""),"0x0104")</f>
        <v>0x0104</v>
      </c>
      <c r="W120" s="18" t="str">
        <f ca="1">IFERROR(__xludf.DUMMYFUNCTION("""COMPUTED_VALUE"""),"0x0201")</f>
        <v>0x0201</v>
      </c>
      <c r="X120" s="18" t="str">
        <f ca="1">IFERROR(__xludf.DUMMYFUNCTION("""COMPUTED_VALUE"""),"0x21")</f>
        <v>0x21</v>
      </c>
      <c r="Y120" s="18" t="e">
        <f ca="1"/>
        <v>#NAME?</v>
      </c>
      <c r="Z120" s="18" t="str">
        <f ca="1">IFERROR(__xludf.DUMMYFUNCTION("""COMPUTED_VALUE"""),"lambdax:int(round(x,2)*100)")</f>
        <v>lambdax:int(round(x,2)*100)</v>
      </c>
      <c r="AA120" s="18" t="str">
        <f ca="1">IFERROR(__xludf.DUMMYFUNCTION("""COMPUTED_VALUE"""),"lambdax:x/100")</f>
        <v>lambdax:x/100</v>
      </c>
      <c r="AC120" s="59" t="s">
        <v>1018</v>
      </c>
      <c r="AD120" s="59" t="s">
        <v>1018</v>
      </c>
      <c r="AE120" s="59" t="s">
        <v>1050</v>
      </c>
      <c r="AF120" s="59" t="s">
        <v>1058</v>
      </c>
      <c r="AG120" s="59" t="s">
        <v>1058</v>
      </c>
      <c r="AH120" s="59" t="s">
        <v>1046</v>
      </c>
      <c r="AI120" s="59" t="s">
        <v>1051</v>
      </c>
      <c r="AJ120" s="59" t="s">
        <v>1051</v>
      </c>
      <c r="AK120" s="59" t="s">
        <v>1051</v>
      </c>
      <c r="AL120" s="59" t="s">
        <v>1051</v>
      </c>
      <c r="AM120" s="59" t="s">
        <v>1051</v>
      </c>
      <c r="AN120" s="59" t="s">
        <v>1059</v>
      </c>
      <c r="AO120" s="59" t="s">
        <v>1059</v>
      </c>
      <c r="AP120" s="59" t="s">
        <v>1060</v>
      </c>
      <c r="AQ120" s="59" t="s">
        <v>1017</v>
      </c>
      <c r="AR120" s="59" t="s">
        <v>1017</v>
      </c>
      <c r="AS120" s="59" t="s">
        <v>1061</v>
      </c>
      <c r="AT120" s="59" t="s">
        <v>1061</v>
      </c>
    </row>
    <row r="121" spans="1:46" x14ac:dyDescent="0.25">
      <c r="A121" s="18" t="str">
        <v>second_stage_cool_delta_c:{"type":"attribute","data_type":"float","is_readonly":false,"reporting_type":"polled","poll_freq":86400,"max":10,"min":0,"decimal_places":2,"default_value":0,"zigbee_metadata":{"attr_id":61675,"endpoint_id":10,"profile_id":260,"cluster_id":513,"zcl_data_type":33,"write_formatter":"lambdax:int(round(x,2)*100)","read_formatter":"lambdax:x/100"}},</v>
      </c>
      <c r="B121" s="52" t="str">
        <f ca="1"/>
        <v>0x0201 0xF0EB</v>
      </c>
      <c r="C121" s="52" t="str">
        <f ca="1">IFERROR(__xludf.DUMMYFUNCTION("""COMPUTED_VALUE"""),"second_stage_cool_delta_c")</f>
        <v>second_stage_cool_delta_c</v>
      </c>
      <c r="D121" s="18" t="str">
        <f ca="1">IFERROR(__xludf.DUMMYFUNCTION("""COMPUTED_VALUE"""),"attribute")</f>
        <v>attribute</v>
      </c>
      <c r="E121" s="18" t="str">
        <f ca="1">IFERROR(__xludf.DUMMYFUNCTION("""COMPUTED_VALUE"""),"float")</f>
        <v>float</v>
      </c>
      <c r="F121" s="18" t="str">
        <f ca="1">IFERROR(__xludf.DUMMYFUNCTION("""COMPUTED_VALUE"""),"false")</f>
        <v>false</v>
      </c>
      <c r="G121" s="18" t="str">
        <f ca="1">IFERROR(__xludf.DUMMYFUNCTION("""COMPUTED_VALUE"""),"polled")</f>
        <v>polled</v>
      </c>
      <c r="H121" s="18" t="str">
        <f ca="1">IFERROR(__xludf.DUMMYFUNCTION("""COMPUTED_VALUE"""),"86400")</f>
        <v>86400</v>
      </c>
      <c r="I121" s="18" t="str">
        <f ca="1">IFERROR(__xludf.DUMMYFUNCTION("""COMPUTED_VALUE"""),"N/A")</f>
        <v>N/A</v>
      </c>
      <c r="J121" s="18" t="str">
        <f ca="1">IFERROR(__xludf.DUMMYFUNCTION("""COMPUTED_VALUE"""),"N/A")</f>
        <v>N/A</v>
      </c>
      <c r="K121" s="18" t="str">
        <f ca="1">IFERROR(__xludf.DUMMYFUNCTION("""COMPUTED_VALUE"""),"N/A")</f>
        <v>N/A</v>
      </c>
      <c r="L121" s="18" t="str">
        <f ca="1">IFERROR(__xludf.DUMMYFUNCTION("""COMPUTED_VALUE"""),"10")</f>
        <v>10</v>
      </c>
      <c r="M121" s="18" t="str">
        <f ca="1">IFERROR(__xludf.DUMMYFUNCTION("""COMPUTED_VALUE"""),"0")</f>
        <v>0</v>
      </c>
      <c r="N121" s="18" t="str">
        <f ca="1">IFERROR(__xludf.DUMMYFUNCTION("""COMPUTED_VALUE"""),"N/A")</f>
        <v>N/A</v>
      </c>
      <c r="O121" s="18" t="str">
        <f ca="1">IFERROR(__xludf.DUMMYFUNCTION("""COMPUTED_VALUE"""),"N/A")</f>
        <v>N/A</v>
      </c>
      <c r="P121" s="18" t="str">
        <f ca="1">IFERROR(__xludf.DUMMYFUNCTION("""COMPUTED_VALUE"""),"N/A")</f>
        <v>N/A</v>
      </c>
      <c r="Q121" s="18" t="str">
        <f ca="1">IFERROR(__xludf.DUMMYFUNCTION("""COMPUTED_VALUE"""),"N/A")</f>
        <v>N/A</v>
      </c>
      <c r="R121" s="18" t="str">
        <f ca="1">IFERROR(__xludf.DUMMYFUNCTION("""COMPUTED_VALUE"""),"2")</f>
        <v>2</v>
      </c>
      <c r="S121" s="18" t="str">
        <f ca="1">IFERROR(__xludf.DUMMYFUNCTION("""COMPUTED_VALUE"""),"0")</f>
        <v>0</v>
      </c>
      <c r="T121" s="18" t="str">
        <f ca="1">IFERROR(__xludf.DUMMYFUNCTION("""COMPUTED_VALUE"""),"0xF0EB")</f>
        <v>0xF0EB</v>
      </c>
      <c r="U121" s="18" t="str">
        <f ca="1">IFERROR(__xludf.DUMMYFUNCTION("""COMPUTED_VALUE"""),"0x0A")</f>
        <v>0x0A</v>
      </c>
      <c r="V121" s="18" t="str">
        <f ca="1">IFERROR(__xludf.DUMMYFUNCTION("""COMPUTED_VALUE"""),"0x0104")</f>
        <v>0x0104</v>
      </c>
      <c r="W121" s="18" t="str">
        <f ca="1">IFERROR(__xludf.DUMMYFUNCTION("""COMPUTED_VALUE"""),"0x0201")</f>
        <v>0x0201</v>
      </c>
      <c r="X121" s="18" t="str">
        <f ca="1">IFERROR(__xludf.DUMMYFUNCTION("""COMPUTED_VALUE"""),"0x21")</f>
        <v>0x21</v>
      </c>
      <c r="Y121" s="18" t="e">
        <f ca="1"/>
        <v>#NAME?</v>
      </c>
      <c r="Z121" s="18" t="str">
        <f ca="1">IFERROR(__xludf.DUMMYFUNCTION("""COMPUTED_VALUE"""),"lambdax:int(round(x,2)*100)")</f>
        <v>lambdax:int(round(x,2)*100)</v>
      </c>
      <c r="AA121" s="18" t="str">
        <f ca="1">IFERROR(__xludf.DUMMYFUNCTION("""COMPUTED_VALUE"""),"lambdax:x/100")</f>
        <v>lambdax:x/100</v>
      </c>
      <c r="AC121" s="59" t="s">
        <v>1022</v>
      </c>
      <c r="AD121" s="59" t="s">
        <v>1022</v>
      </c>
      <c r="AE121" s="59" t="s">
        <v>1054</v>
      </c>
      <c r="AF121" s="59" t="s">
        <v>1046</v>
      </c>
      <c r="AG121" s="59" t="s">
        <v>1046</v>
      </c>
      <c r="AH121" s="59" t="s">
        <v>1051</v>
      </c>
      <c r="AI121" s="59" t="s">
        <v>1055</v>
      </c>
      <c r="AJ121" s="59" t="s">
        <v>1055</v>
      </c>
      <c r="AK121" s="59" t="s">
        <v>1055</v>
      </c>
      <c r="AL121" s="59" t="s">
        <v>1055</v>
      </c>
      <c r="AM121" s="59" t="s">
        <v>1055</v>
      </c>
      <c r="AN121" s="59" t="s">
        <v>1062</v>
      </c>
      <c r="AO121" s="59" t="s">
        <v>1062</v>
      </c>
      <c r="AP121" s="59" t="s">
        <v>1063</v>
      </c>
      <c r="AQ121" s="59" t="s">
        <v>1021</v>
      </c>
      <c r="AR121" s="59" t="s">
        <v>1021</v>
      </c>
      <c r="AS121" s="59" t="s">
        <v>1064</v>
      </c>
      <c r="AT121" s="59" t="s">
        <v>1064</v>
      </c>
    </row>
    <row r="122" spans="1:46" x14ac:dyDescent="0.25">
      <c r="A122" s="18" t="str">
        <v>third_stage_cool_delta_c:{"type":"attribute","data_type":"float","is_readonly":false,"reporting_type":"polled","poll_freq":86400,"max":10,"min":0,"decimal_places":2,"default_value":0,"zigbee_metadata":{"attr_id":61676,"endpoint_id":10,"profile_id":260,"cluster_id":513,"zcl_data_type":33,"write_formatter":"lambdax:int(round(x,2)*100)","read_formatter":"lambdax:x/100"}},</v>
      </c>
      <c r="B122" s="52" t="str">
        <f ca="1"/>
        <v>0x0201 0xF0EC</v>
      </c>
      <c r="C122" s="52" t="str">
        <f ca="1">IFERROR(__xludf.DUMMYFUNCTION("""COMPUTED_VALUE"""),"third_stage_cool_delta_c")</f>
        <v>third_stage_cool_delta_c</v>
      </c>
      <c r="D122" s="18" t="str">
        <f ca="1">IFERROR(__xludf.DUMMYFUNCTION("""COMPUTED_VALUE"""),"attribute")</f>
        <v>attribute</v>
      </c>
      <c r="E122" s="18" t="str">
        <f ca="1">IFERROR(__xludf.DUMMYFUNCTION("""COMPUTED_VALUE"""),"float")</f>
        <v>float</v>
      </c>
      <c r="F122" s="18" t="str">
        <f ca="1">IFERROR(__xludf.DUMMYFUNCTION("""COMPUTED_VALUE"""),"false")</f>
        <v>false</v>
      </c>
      <c r="G122" s="18" t="str">
        <f ca="1">IFERROR(__xludf.DUMMYFUNCTION("""COMPUTED_VALUE"""),"polled")</f>
        <v>polled</v>
      </c>
      <c r="H122" s="18" t="str">
        <f ca="1">IFERROR(__xludf.DUMMYFUNCTION("""COMPUTED_VALUE"""),"86400")</f>
        <v>86400</v>
      </c>
      <c r="I122" s="18" t="str">
        <f ca="1">IFERROR(__xludf.DUMMYFUNCTION("""COMPUTED_VALUE"""),"N/A")</f>
        <v>N/A</v>
      </c>
      <c r="J122" s="18" t="str">
        <f ca="1">IFERROR(__xludf.DUMMYFUNCTION("""COMPUTED_VALUE"""),"N/A")</f>
        <v>N/A</v>
      </c>
      <c r="K122" s="18" t="str">
        <f ca="1">IFERROR(__xludf.DUMMYFUNCTION("""COMPUTED_VALUE"""),"N/A")</f>
        <v>N/A</v>
      </c>
      <c r="L122" s="18" t="str">
        <f ca="1">IFERROR(__xludf.DUMMYFUNCTION("""COMPUTED_VALUE"""),"10")</f>
        <v>10</v>
      </c>
      <c r="M122" s="18" t="str">
        <f ca="1">IFERROR(__xludf.DUMMYFUNCTION("""COMPUTED_VALUE"""),"0")</f>
        <v>0</v>
      </c>
      <c r="N122" s="18" t="str">
        <f ca="1">IFERROR(__xludf.DUMMYFUNCTION("""COMPUTED_VALUE"""),"N/A")</f>
        <v>N/A</v>
      </c>
      <c r="O122" s="18" t="str">
        <f ca="1">IFERROR(__xludf.DUMMYFUNCTION("""COMPUTED_VALUE"""),"N/A")</f>
        <v>N/A</v>
      </c>
      <c r="P122" s="18" t="str">
        <f ca="1">IFERROR(__xludf.DUMMYFUNCTION("""COMPUTED_VALUE"""),"N/A")</f>
        <v>N/A</v>
      </c>
      <c r="Q122" s="18" t="str">
        <f ca="1">IFERROR(__xludf.DUMMYFUNCTION("""COMPUTED_VALUE"""),"N/A")</f>
        <v>N/A</v>
      </c>
      <c r="R122" s="18" t="str">
        <f ca="1">IFERROR(__xludf.DUMMYFUNCTION("""COMPUTED_VALUE"""),"2")</f>
        <v>2</v>
      </c>
      <c r="S122" s="18" t="str">
        <f ca="1">IFERROR(__xludf.DUMMYFUNCTION("""COMPUTED_VALUE"""),"0")</f>
        <v>0</v>
      </c>
      <c r="T122" s="18" t="str">
        <f ca="1">IFERROR(__xludf.DUMMYFUNCTION("""COMPUTED_VALUE"""),"0xF0EC")</f>
        <v>0xF0EC</v>
      </c>
      <c r="U122" s="18" t="str">
        <f ca="1">IFERROR(__xludf.DUMMYFUNCTION("""COMPUTED_VALUE"""),"0x0A")</f>
        <v>0x0A</v>
      </c>
      <c r="V122" s="18" t="str">
        <f ca="1">IFERROR(__xludf.DUMMYFUNCTION("""COMPUTED_VALUE"""),"0x0104")</f>
        <v>0x0104</v>
      </c>
      <c r="W122" s="18" t="str">
        <f ca="1">IFERROR(__xludf.DUMMYFUNCTION("""COMPUTED_VALUE"""),"0x0201")</f>
        <v>0x0201</v>
      </c>
      <c r="X122" s="18" t="str">
        <f ca="1">IFERROR(__xludf.DUMMYFUNCTION("""COMPUTED_VALUE"""),"0x21")</f>
        <v>0x21</v>
      </c>
      <c r="Y122" s="18" t="e">
        <f ca="1"/>
        <v>#NAME?</v>
      </c>
      <c r="Z122" s="18" t="str">
        <f ca="1">IFERROR(__xludf.DUMMYFUNCTION("""COMPUTED_VALUE"""),"lambdax:int(round(x,2)*100)")</f>
        <v>lambdax:int(round(x,2)*100)</v>
      </c>
      <c r="AA122" s="18" t="str">
        <f ca="1">IFERROR(__xludf.DUMMYFUNCTION("""COMPUTED_VALUE"""),"lambdax:x/100")</f>
        <v>lambdax:x/100</v>
      </c>
      <c r="AC122" s="59" t="s">
        <v>1026</v>
      </c>
      <c r="AD122" s="59" t="s">
        <v>1026</v>
      </c>
      <c r="AE122" s="59" t="s">
        <v>1058</v>
      </c>
      <c r="AF122" s="59" t="s">
        <v>1051</v>
      </c>
      <c r="AG122" s="59" t="s">
        <v>1051</v>
      </c>
      <c r="AH122" s="59" t="s">
        <v>1055</v>
      </c>
      <c r="AI122" s="59" t="s">
        <v>1059</v>
      </c>
      <c r="AJ122" s="59" t="s">
        <v>1059</v>
      </c>
      <c r="AK122" s="59" t="s">
        <v>1059</v>
      </c>
      <c r="AL122" s="59" t="s">
        <v>1059</v>
      </c>
      <c r="AM122" s="59" t="s">
        <v>1059</v>
      </c>
      <c r="AN122" s="59" t="s">
        <v>1065</v>
      </c>
      <c r="AO122" s="59" t="s">
        <v>1065</v>
      </c>
      <c r="AP122" s="59" t="s">
        <v>1066</v>
      </c>
      <c r="AQ122" s="59" t="s">
        <v>1025</v>
      </c>
      <c r="AR122" s="59" t="s">
        <v>1025</v>
      </c>
      <c r="AS122" s="59" t="s">
        <v>1067</v>
      </c>
      <c r="AT122" s="59" t="s">
        <v>1067</v>
      </c>
    </row>
    <row r="123" spans="1:46" x14ac:dyDescent="0.25">
      <c r="A123" s="18" t="str">
        <v>tau_smoothing_alpha:{"type":"attribute","data_type":"uint8","is_readonly":false,"reporting_type":"polled","poll_freq":86400,"max":100,"min":0,"default_value":25,"zigbee_metadata":{"attr_id":61677,"endpoint_id":10,"profile_id":260,"cluster_id":513,"zcl_data_type":32}},</v>
      </c>
      <c r="B123" s="52" t="str">
        <f ca="1"/>
        <v>0x0201 0xF0ED</v>
      </c>
      <c r="C123" s="52" t="str">
        <f ca="1">IFERROR(__xludf.DUMMYFUNCTION("""COMPUTED_VALUE"""),"tau_smoothing_alpha")</f>
        <v>tau_smoothing_alpha</v>
      </c>
      <c r="D123" s="18" t="str">
        <f ca="1">IFERROR(__xludf.DUMMYFUNCTION("""COMPUTED_VALUE"""),"attribute")</f>
        <v>attribute</v>
      </c>
      <c r="E123" s="18" t="str">
        <f ca="1">IFERROR(__xludf.DUMMYFUNCTION("""COMPUTED_VALUE"""),"uint8")</f>
        <v>uint8</v>
      </c>
      <c r="F123" s="18" t="str">
        <f ca="1">IFERROR(__xludf.DUMMYFUNCTION("""COMPUTED_VALUE"""),"false")</f>
        <v>false</v>
      </c>
      <c r="G123" s="18" t="str">
        <f ca="1">IFERROR(__xludf.DUMMYFUNCTION("""COMPUTED_VALUE"""),"polled")</f>
        <v>polled</v>
      </c>
      <c r="H123" s="18" t="str">
        <f ca="1">IFERROR(__xludf.DUMMYFUNCTION("""COMPUTED_VALUE"""),"86400")</f>
        <v>86400</v>
      </c>
      <c r="I123" s="18" t="str">
        <f ca="1">IFERROR(__xludf.DUMMYFUNCTION("""COMPUTED_VALUE"""),"N/A")</f>
        <v>N/A</v>
      </c>
      <c r="J123" s="18" t="str">
        <f ca="1">IFERROR(__xludf.DUMMYFUNCTION("""COMPUTED_VALUE"""),"N/A")</f>
        <v>N/A</v>
      </c>
      <c r="K123" s="18" t="str">
        <f ca="1">IFERROR(__xludf.DUMMYFUNCTION("""COMPUTED_VALUE"""),"N/A")</f>
        <v>N/A</v>
      </c>
      <c r="L123" s="18" t="str">
        <f ca="1">IFERROR(__xludf.DUMMYFUNCTION("""COMPUTED_VALUE"""),"100")</f>
        <v>100</v>
      </c>
      <c r="M123" s="18" t="str">
        <f ca="1">IFERROR(__xludf.DUMMYFUNCTION("""COMPUTED_VALUE"""),"0")</f>
        <v>0</v>
      </c>
      <c r="N123" s="18" t="str">
        <f ca="1">IFERROR(__xludf.DUMMYFUNCTION("""COMPUTED_VALUE"""),"N/A")</f>
        <v>N/A</v>
      </c>
      <c r="O123" s="18" t="str">
        <f ca="1">IFERROR(__xludf.DUMMYFUNCTION("""COMPUTED_VALUE"""),"N/A")</f>
        <v>N/A</v>
      </c>
      <c r="P123" s="18" t="str">
        <f ca="1">IFERROR(__xludf.DUMMYFUNCTION("""COMPUTED_VALUE"""),"N/A")</f>
        <v>N/A</v>
      </c>
      <c r="Q123" s="18" t="str">
        <f ca="1">IFERROR(__xludf.DUMMYFUNCTION("""COMPUTED_VALUE"""),"N/A")</f>
        <v>N/A</v>
      </c>
      <c r="R123" s="18" t="str">
        <f ca="1">IFERROR(__xludf.DUMMYFUNCTION("""COMPUTED_VALUE"""),"N/A")</f>
        <v>N/A</v>
      </c>
      <c r="S123" s="18" t="str">
        <f ca="1">IFERROR(__xludf.DUMMYFUNCTION("""COMPUTED_VALUE"""),"25")</f>
        <v>25</v>
      </c>
      <c r="T123" s="18" t="str">
        <f ca="1">IFERROR(__xludf.DUMMYFUNCTION("""COMPUTED_VALUE"""),"0xF0ED")</f>
        <v>0xF0ED</v>
      </c>
      <c r="U123" s="18" t="str">
        <f ca="1">IFERROR(__xludf.DUMMYFUNCTION("""COMPUTED_VALUE"""),"0x0A")</f>
        <v>0x0A</v>
      </c>
      <c r="V123" s="18" t="str">
        <f ca="1">IFERROR(__xludf.DUMMYFUNCTION("""COMPUTED_VALUE"""),"0x0104")</f>
        <v>0x0104</v>
      </c>
      <c r="W123" s="18" t="str">
        <f ca="1">IFERROR(__xludf.DUMMYFUNCTION("""COMPUTED_VALUE"""),"0x0201")</f>
        <v>0x0201</v>
      </c>
      <c r="X123" s="18" t="str">
        <f ca="1">IFERROR(__xludf.DUMMYFUNCTION("""COMPUTED_VALUE"""),"0x20")</f>
        <v>0x20</v>
      </c>
      <c r="Y123" s="18" t="e">
        <f ca="1"/>
        <v>#NAME?</v>
      </c>
      <c r="Z123" s="18" t="str">
        <f ca="1">IFERROR(__xludf.DUMMYFUNCTION("""COMPUTED_VALUE"""),"N/A")</f>
        <v>N/A</v>
      </c>
      <c r="AA123" s="18" t="str">
        <f ca="1">IFERROR(__xludf.DUMMYFUNCTION("""COMPUTED_VALUE"""),"N/A")</f>
        <v>N/A</v>
      </c>
      <c r="AC123" s="59" t="s">
        <v>1015</v>
      </c>
      <c r="AD123" s="59" t="s">
        <v>1015</v>
      </c>
      <c r="AE123" s="59" t="s">
        <v>1046</v>
      </c>
      <c r="AF123" s="59" t="s">
        <v>1055</v>
      </c>
      <c r="AG123" s="59" t="s">
        <v>1055</v>
      </c>
      <c r="AH123" s="59" t="s">
        <v>1059</v>
      </c>
      <c r="AI123" s="59" t="s">
        <v>1062</v>
      </c>
      <c r="AJ123" s="59" t="s">
        <v>1062</v>
      </c>
      <c r="AK123" s="59" t="s">
        <v>1062</v>
      </c>
      <c r="AL123" s="59" t="s">
        <v>1062</v>
      </c>
      <c r="AM123" s="59" t="s">
        <v>1062</v>
      </c>
      <c r="AN123" s="59" t="s">
        <v>1068</v>
      </c>
      <c r="AO123" s="59" t="s">
        <v>1068</v>
      </c>
      <c r="AP123" s="59" t="s">
        <v>1069</v>
      </c>
      <c r="AQ123" s="59" t="s">
        <v>1030</v>
      </c>
      <c r="AR123" s="59" t="s">
        <v>1030</v>
      </c>
      <c r="AS123" s="59" t="s">
        <v>1070</v>
      </c>
      <c r="AT123" s="59" t="s">
        <v>1070</v>
      </c>
    </row>
    <row r="124" spans="1:46" x14ac:dyDescent="0.25">
      <c r="A124" s="18" t="str">
        <v>fixed_heat_setback:{"type":"attribute","data_type":"float","is_readonly":false,"reporting_type":"polled","poll_freq":86400,"max":35,"min":0,"decimal_places":2,"default_value":18.33,"zigbee_metadata":{"attr_id":61679,"endpoint_id":10,"profile_id":260,"cluster_id":513,"zcl_data_type":41,"write_formatter":"lambdax:int(round(x,2)*100)","read_formatter":"lambdax:x/100"}},</v>
      </c>
      <c r="B124" s="52" t="str">
        <f ca="1"/>
        <v>0x0201 0xF0EF</v>
      </c>
      <c r="C124" s="52" t="str">
        <f ca="1">IFERROR(__xludf.DUMMYFUNCTION("""COMPUTED_VALUE"""),"fixed_heat_setback")</f>
        <v>fixed_heat_setback</v>
      </c>
      <c r="D124" s="18" t="str">
        <f ca="1">IFERROR(__xludf.DUMMYFUNCTION("""COMPUTED_VALUE"""),"attribute")</f>
        <v>attribute</v>
      </c>
      <c r="E124" s="18" t="str">
        <f ca="1">IFERROR(__xludf.DUMMYFUNCTION("""COMPUTED_VALUE"""),"float")</f>
        <v>float</v>
      </c>
      <c r="F124" s="18" t="str">
        <f ca="1">IFERROR(__xludf.DUMMYFUNCTION("""COMPUTED_VALUE"""),"false")</f>
        <v>false</v>
      </c>
      <c r="G124" s="18" t="str">
        <f ca="1">IFERROR(__xludf.DUMMYFUNCTION("""COMPUTED_VALUE"""),"polled")</f>
        <v>polled</v>
      </c>
      <c r="H124" s="18" t="str">
        <f ca="1">IFERROR(__xludf.DUMMYFUNCTION("""COMPUTED_VALUE"""),"86400")</f>
        <v>86400</v>
      </c>
      <c r="I124" s="18" t="str">
        <f ca="1">IFERROR(__xludf.DUMMYFUNCTION("""COMPUTED_VALUE"""),"N/A")</f>
        <v>N/A</v>
      </c>
      <c r="J124" s="18" t="str">
        <f ca="1">IFERROR(__xludf.DUMMYFUNCTION("""COMPUTED_VALUE"""),"N/A")</f>
        <v>N/A</v>
      </c>
      <c r="K124" s="18" t="str">
        <f ca="1">IFERROR(__xludf.DUMMYFUNCTION("""COMPUTED_VALUE"""),"N/A")</f>
        <v>N/A</v>
      </c>
      <c r="L124" s="18" t="str">
        <f ca="1">IFERROR(__xludf.DUMMYFUNCTION("""COMPUTED_VALUE"""),"35")</f>
        <v>35</v>
      </c>
      <c r="M124" s="18" t="str">
        <f ca="1">IFERROR(__xludf.DUMMYFUNCTION("""COMPUTED_VALUE"""),"0")</f>
        <v>0</v>
      </c>
      <c r="N124" s="18" t="str">
        <f ca="1">IFERROR(__xludf.DUMMYFUNCTION("""COMPUTED_VALUE"""),"N/A")</f>
        <v>N/A</v>
      </c>
      <c r="O124" s="18" t="str">
        <f ca="1">IFERROR(__xludf.DUMMYFUNCTION("""COMPUTED_VALUE"""),"N/A")</f>
        <v>N/A</v>
      </c>
      <c r="P124" s="18" t="str">
        <f ca="1">IFERROR(__xludf.DUMMYFUNCTION("""COMPUTED_VALUE"""),"N/A")</f>
        <v>N/A</v>
      </c>
      <c r="Q124" s="18" t="str">
        <f ca="1">IFERROR(__xludf.DUMMYFUNCTION("""COMPUTED_VALUE"""),"N/A")</f>
        <v>N/A</v>
      </c>
      <c r="R124" s="18" t="str">
        <f ca="1">IFERROR(__xludf.DUMMYFUNCTION("""COMPUTED_VALUE"""),"2")</f>
        <v>2</v>
      </c>
      <c r="S124" s="18" t="str">
        <f ca="1">IFERROR(__xludf.DUMMYFUNCTION("""COMPUTED_VALUE"""),"18.33")</f>
        <v>18.33</v>
      </c>
      <c r="T124" s="18" t="str">
        <f ca="1">IFERROR(__xludf.DUMMYFUNCTION("""COMPUTED_VALUE"""),"0xF0EF")</f>
        <v>0xF0EF</v>
      </c>
      <c r="U124" s="18" t="str">
        <f ca="1">IFERROR(__xludf.DUMMYFUNCTION("""COMPUTED_VALUE"""),"0x0A")</f>
        <v>0x0A</v>
      </c>
      <c r="V124" s="18" t="str">
        <f ca="1">IFERROR(__xludf.DUMMYFUNCTION("""COMPUTED_VALUE"""),"0x0104")</f>
        <v>0x0104</v>
      </c>
      <c r="W124" s="18" t="str">
        <f ca="1">IFERROR(__xludf.DUMMYFUNCTION("""COMPUTED_VALUE"""),"0x0201")</f>
        <v>0x0201</v>
      </c>
      <c r="X124" s="18" t="str">
        <f ca="1">IFERROR(__xludf.DUMMYFUNCTION("""COMPUTED_VALUE"""),"0x29")</f>
        <v>0x29</v>
      </c>
      <c r="Y124" s="18" t="e">
        <f ca="1"/>
        <v>#NAME?</v>
      </c>
      <c r="Z124" s="18" t="str">
        <f ca="1">IFERROR(__xludf.DUMMYFUNCTION("""COMPUTED_VALUE"""),"lambdax:int(round(x,2)*100)")</f>
        <v>lambdax:int(round(x,2)*100)</v>
      </c>
      <c r="AA124" s="18" t="str">
        <f ca="1">IFERROR(__xludf.DUMMYFUNCTION("""COMPUTED_VALUE"""),"lambdax:x/100")</f>
        <v>lambdax:x/100</v>
      </c>
      <c r="AC124" s="59" t="s">
        <v>1035</v>
      </c>
      <c r="AD124" s="59" t="s">
        <v>1035</v>
      </c>
      <c r="AE124" s="59" t="s">
        <v>1051</v>
      </c>
      <c r="AF124" s="59" t="s">
        <v>1059</v>
      </c>
      <c r="AG124" s="59" t="s">
        <v>1059</v>
      </c>
      <c r="AH124" s="59" t="s">
        <v>1062</v>
      </c>
      <c r="AI124" s="59" t="s">
        <v>1065</v>
      </c>
      <c r="AJ124" s="59" t="s">
        <v>1065</v>
      </c>
      <c r="AK124" s="59" t="s">
        <v>1065</v>
      </c>
      <c r="AL124" s="59" t="s">
        <v>1065</v>
      </c>
      <c r="AM124" s="59" t="s">
        <v>1065</v>
      </c>
      <c r="AN124" s="59" t="s">
        <v>1071</v>
      </c>
      <c r="AO124" s="59" t="s">
        <v>1071</v>
      </c>
      <c r="AP124" s="59" t="s">
        <v>1072</v>
      </c>
      <c r="AQ124" s="59" t="s">
        <v>1034</v>
      </c>
      <c r="AR124" s="59" t="s">
        <v>1034</v>
      </c>
      <c r="AS124" s="59" t="s">
        <v>1073</v>
      </c>
      <c r="AT124" s="59" t="s">
        <v>1073</v>
      </c>
    </row>
    <row r="125" spans="1:46" x14ac:dyDescent="0.25">
      <c r="A125" s="18" t="str">
        <v>fixed_cool_setback:{"type":"attribute","data_type":"float","is_readonly":false,"reporting_type":"polled","poll_freq":86400,"max":35,"min":0,"decimal_places":2,"default_value":27.78,"zigbee_metadata":{"attr_id":61680,"endpoint_id":10,"profile_id":260,"cluster_id":513,"zcl_data_type":41,"write_formatter":"lambdax:int(round(x,2)*100)","read_formatter":"lambdax:x/100"}},</v>
      </c>
      <c r="B125" s="52" t="str">
        <f ca="1"/>
        <v>0x0201 0xF0F0</v>
      </c>
      <c r="C125" s="52" t="str">
        <f ca="1">IFERROR(__xludf.DUMMYFUNCTION("""COMPUTED_VALUE"""),"fixed_cool_setback")</f>
        <v>fixed_cool_setback</v>
      </c>
      <c r="D125" s="18" t="str">
        <f ca="1">IFERROR(__xludf.DUMMYFUNCTION("""COMPUTED_VALUE"""),"attribute")</f>
        <v>attribute</v>
      </c>
      <c r="E125" s="18" t="str">
        <f ca="1">IFERROR(__xludf.DUMMYFUNCTION("""COMPUTED_VALUE"""),"float")</f>
        <v>float</v>
      </c>
      <c r="F125" s="18" t="str">
        <f ca="1">IFERROR(__xludf.DUMMYFUNCTION("""COMPUTED_VALUE"""),"false")</f>
        <v>false</v>
      </c>
      <c r="G125" s="18" t="str">
        <f ca="1">IFERROR(__xludf.DUMMYFUNCTION("""COMPUTED_VALUE"""),"polled")</f>
        <v>polled</v>
      </c>
      <c r="H125" s="18" t="str">
        <f ca="1">IFERROR(__xludf.DUMMYFUNCTION("""COMPUTED_VALUE"""),"86400")</f>
        <v>86400</v>
      </c>
      <c r="I125" s="18" t="str">
        <f ca="1">IFERROR(__xludf.DUMMYFUNCTION("""COMPUTED_VALUE"""),"N/A")</f>
        <v>N/A</v>
      </c>
      <c r="J125" s="18" t="str">
        <f ca="1">IFERROR(__xludf.DUMMYFUNCTION("""COMPUTED_VALUE"""),"N/A")</f>
        <v>N/A</v>
      </c>
      <c r="K125" s="18" t="str">
        <f ca="1">IFERROR(__xludf.DUMMYFUNCTION("""COMPUTED_VALUE"""),"N/A")</f>
        <v>N/A</v>
      </c>
      <c r="L125" s="18" t="str">
        <f ca="1">IFERROR(__xludf.DUMMYFUNCTION("""COMPUTED_VALUE"""),"35")</f>
        <v>35</v>
      </c>
      <c r="M125" s="18" t="str">
        <f ca="1">IFERROR(__xludf.DUMMYFUNCTION("""COMPUTED_VALUE"""),"0")</f>
        <v>0</v>
      </c>
      <c r="N125" s="18" t="str">
        <f ca="1">IFERROR(__xludf.DUMMYFUNCTION("""COMPUTED_VALUE"""),"N/A")</f>
        <v>N/A</v>
      </c>
      <c r="O125" s="18" t="str">
        <f ca="1">IFERROR(__xludf.DUMMYFUNCTION("""COMPUTED_VALUE"""),"N/A")</f>
        <v>N/A</v>
      </c>
      <c r="P125" s="18" t="str">
        <f ca="1">IFERROR(__xludf.DUMMYFUNCTION("""COMPUTED_VALUE"""),"N/A")</f>
        <v>N/A</v>
      </c>
      <c r="Q125" s="18" t="str">
        <f ca="1">IFERROR(__xludf.DUMMYFUNCTION("""COMPUTED_VALUE"""),"N/A")</f>
        <v>N/A</v>
      </c>
      <c r="R125" s="18" t="str">
        <f ca="1">IFERROR(__xludf.DUMMYFUNCTION("""COMPUTED_VALUE"""),"2")</f>
        <v>2</v>
      </c>
      <c r="S125" s="18" t="str">
        <f ca="1">IFERROR(__xludf.DUMMYFUNCTION("""COMPUTED_VALUE"""),"27.78")</f>
        <v>27.78</v>
      </c>
      <c r="T125" s="18" t="str">
        <f ca="1">IFERROR(__xludf.DUMMYFUNCTION("""COMPUTED_VALUE"""),"0xF0F0")</f>
        <v>0xF0F0</v>
      </c>
      <c r="U125" s="18" t="str">
        <f ca="1">IFERROR(__xludf.DUMMYFUNCTION("""COMPUTED_VALUE"""),"0x0A")</f>
        <v>0x0A</v>
      </c>
      <c r="V125" s="18" t="str">
        <f ca="1">IFERROR(__xludf.DUMMYFUNCTION("""COMPUTED_VALUE"""),"0x0104")</f>
        <v>0x0104</v>
      </c>
      <c r="W125" s="18" t="str">
        <f ca="1">IFERROR(__xludf.DUMMYFUNCTION("""COMPUTED_VALUE"""),"0x0201")</f>
        <v>0x0201</v>
      </c>
      <c r="X125" s="18" t="str">
        <f ca="1">IFERROR(__xludf.DUMMYFUNCTION("""COMPUTED_VALUE"""),"0x29")</f>
        <v>0x29</v>
      </c>
      <c r="Y125" s="18" t="e">
        <f ca="1"/>
        <v>#NAME?</v>
      </c>
      <c r="Z125" s="18" t="str">
        <f ca="1">IFERROR(__xludf.DUMMYFUNCTION("""COMPUTED_VALUE"""),"lambdax:int(round(x,2)*100)")</f>
        <v>lambdax:int(round(x,2)*100)</v>
      </c>
      <c r="AA125" s="18" t="str">
        <f ca="1">IFERROR(__xludf.DUMMYFUNCTION("""COMPUTED_VALUE"""),"lambdax:x/100")</f>
        <v>lambdax:x/100</v>
      </c>
      <c r="AC125" s="59" t="s">
        <v>1040</v>
      </c>
      <c r="AD125" s="59" t="s">
        <v>1040</v>
      </c>
      <c r="AE125" s="59" t="s">
        <v>1055</v>
      </c>
      <c r="AF125" s="59" t="s">
        <v>1062</v>
      </c>
      <c r="AG125" s="59" t="s">
        <v>1062</v>
      </c>
      <c r="AH125" s="59" t="s">
        <v>1065</v>
      </c>
      <c r="AI125" s="59" t="s">
        <v>1068</v>
      </c>
      <c r="AJ125" s="59" t="s">
        <v>1068</v>
      </c>
      <c r="AK125" s="59" t="s">
        <v>1068</v>
      </c>
      <c r="AL125" s="59" t="s">
        <v>1068</v>
      </c>
      <c r="AM125" s="59" t="s">
        <v>1068</v>
      </c>
      <c r="AN125" s="59" t="s">
        <v>1074</v>
      </c>
      <c r="AO125" s="59" t="s">
        <v>1074</v>
      </c>
      <c r="AP125" s="59" t="s">
        <v>1075</v>
      </c>
      <c r="AQ125" s="59" t="s">
        <v>1039</v>
      </c>
      <c r="AR125" s="59" t="s">
        <v>1039</v>
      </c>
      <c r="AS125" s="59" t="s">
        <v>1076</v>
      </c>
      <c r="AT125" s="59" t="s">
        <v>1076</v>
      </c>
    </row>
    <row r="126" spans="1:46" x14ac:dyDescent="0.25">
      <c r="A126" s="18" t="str">
        <v>delta_setback:{"type":"attribute","data_type":"float","is_readonly":false,"reporting_type":"polled","poll_freq":86400,"max":10,"min":0,"decimal_places":2,"default_value":3,"zigbee_metadata":{"attr_id":61681,"endpoint_id":10,"profile_id":260,"cluster_id":513,"zcl_data_type":33,"write_formatter":"lambdax:int(round(x,2)*100)","read_formatter":"lambdax:x/100"}},</v>
      </c>
      <c r="B126" s="52" t="str">
        <f ca="1"/>
        <v>0x0201 0xF0F1</v>
      </c>
      <c r="C126" s="52" t="str">
        <f ca="1">IFERROR(__xludf.DUMMYFUNCTION("""COMPUTED_VALUE"""),"delta_setback")</f>
        <v>delta_setback</v>
      </c>
      <c r="D126" s="18" t="str">
        <f ca="1">IFERROR(__xludf.DUMMYFUNCTION("""COMPUTED_VALUE"""),"attribute")</f>
        <v>attribute</v>
      </c>
      <c r="E126" s="18" t="str">
        <f ca="1">IFERROR(__xludf.DUMMYFUNCTION("""COMPUTED_VALUE"""),"float")</f>
        <v>float</v>
      </c>
      <c r="F126" s="18" t="str">
        <f ca="1">IFERROR(__xludf.DUMMYFUNCTION("""COMPUTED_VALUE"""),"false")</f>
        <v>false</v>
      </c>
      <c r="G126" s="18" t="str">
        <f ca="1">IFERROR(__xludf.DUMMYFUNCTION("""COMPUTED_VALUE"""),"polled")</f>
        <v>polled</v>
      </c>
      <c r="H126" s="18" t="str">
        <f ca="1">IFERROR(__xludf.DUMMYFUNCTION("""COMPUTED_VALUE"""),"86400")</f>
        <v>86400</v>
      </c>
      <c r="I126" s="18" t="str">
        <f ca="1">IFERROR(__xludf.DUMMYFUNCTION("""COMPUTED_VALUE"""),"N/A")</f>
        <v>N/A</v>
      </c>
      <c r="J126" s="18" t="str">
        <f ca="1">IFERROR(__xludf.DUMMYFUNCTION("""COMPUTED_VALUE"""),"N/A")</f>
        <v>N/A</v>
      </c>
      <c r="K126" s="18" t="str">
        <f ca="1">IFERROR(__xludf.DUMMYFUNCTION("""COMPUTED_VALUE"""),"N/A")</f>
        <v>N/A</v>
      </c>
      <c r="L126" s="18" t="str">
        <f ca="1">IFERROR(__xludf.DUMMYFUNCTION("""COMPUTED_VALUE"""),"10")</f>
        <v>10</v>
      </c>
      <c r="M126" s="18" t="str">
        <f ca="1">IFERROR(__xludf.DUMMYFUNCTION("""COMPUTED_VALUE"""),"0")</f>
        <v>0</v>
      </c>
      <c r="N126" s="18" t="str">
        <f ca="1">IFERROR(__xludf.DUMMYFUNCTION("""COMPUTED_VALUE"""),"N/A")</f>
        <v>N/A</v>
      </c>
      <c r="O126" s="18" t="str">
        <f ca="1">IFERROR(__xludf.DUMMYFUNCTION("""COMPUTED_VALUE"""),"N/A")</f>
        <v>N/A</v>
      </c>
      <c r="P126" s="18" t="str">
        <f ca="1">IFERROR(__xludf.DUMMYFUNCTION("""COMPUTED_VALUE"""),"N/A")</f>
        <v>N/A</v>
      </c>
      <c r="Q126" s="18" t="str">
        <f ca="1">IFERROR(__xludf.DUMMYFUNCTION("""COMPUTED_VALUE"""),"N/A")</f>
        <v>N/A</v>
      </c>
      <c r="R126" s="18" t="str">
        <f ca="1">IFERROR(__xludf.DUMMYFUNCTION("""COMPUTED_VALUE"""),"2")</f>
        <v>2</v>
      </c>
      <c r="S126" s="18" t="str">
        <f ca="1">IFERROR(__xludf.DUMMYFUNCTION("""COMPUTED_VALUE"""),"3")</f>
        <v>3</v>
      </c>
      <c r="T126" s="18" t="str">
        <f ca="1">IFERROR(__xludf.DUMMYFUNCTION("""COMPUTED_VALUE"""),"0xF0F1")</f>
        <v>0xF0F1</v>
      </c>
      <c r="U126" s="18" t="str">
        <f ca="1">IFERROR(__xludf.DUMMYFUNCTION("""COMPUTED_VALUE"""),"0x0A")</f>
        <v>0x0A</v>
      </c>
      <c r="V126" s="18" t="str">
        <f ca="1">IFERROR(__xludf.DUMMYFUNCTION("""COMPUTED_VALUE"""),"0x0104")</f>
        <v>0x0104</v>
      </c>
      <c r="W126" s="18" t="str">
        <f ca="1">IFERROR(__xludf.DUMMYFUNCTION("""COMPUTED_VALUE"""),"0x0201")</f>
        <v>0x0201</v>
      </c>
      <c r="X126" s="18" t="str">
        <f ca="1">IFERROR(__xludf.DUMMYFUNCTION("""COMPUTED_VALUE"""),"0x21")</f>
        <v>0x21</v>
      </c>
      <c r="Y126" s="18" t="e">
        <f ca="1"/>
        <v>#NAME?</v>
      </c>
      <c r="Z126" s="18" t="str">
        <f ca="1">IFERROR(__xludf.DUMMYFUNCTION("""COMPUTED_VALUE"""),"lambdax:int(round(x,2)*100)")</f>
        <v>lambdax:int(round(x,2)*100)</v>
      </c>
      <c r="AA126" s="18" t="str">
        <f ca="1">IFERROR(__xludf.DUMMYFUNCTION("""COMPUTED_VALUE"""),"lambdax:x/100")</f>
        <v>lambdax:x/100</v>
      </c>
      <c r="AC126" s="59" t="s">
        <v>1045</v>
      </c>
      <c r="AD126" s="59" t="s">
        <v>1045</v>
      </c>
      <c r="AE126" s="59" t="s">
        <v>1059</v>
      </c>
      <c r="AF126" s="59" t="s">
        <v>1065</v>
      </c>
      <c r="AG126" s="59" t="s">
        <v>1065</v>
      </c>
      <c r="AH126" s="59" t="s">
        <v>1068</v>
      </c>
      <c r="AI126" s="59" t="s">
        <v>1071</v>
      </c>
      <c r="AJ126" s="59" t="s">
        <v>1071</v>
      </c>
      <c r="AK126" s="59" t="s">
        <v>1071</v>
      </c>
      <c r="AL126" s="59" t="s">
        <v>1071</v>
      </c>
      <c r="AM126" s="59" t="s">
        <v>1071</v>
      </c>
      <c r="AN126" s="59" t="s">
        <v>1077</v>
      </c>
      <c r="AO126" s="59" t="s">
        <v>1077</v>
      </c>
      <c r="AP126" s="59" t="s">
        <v>1078</v>
      </c>
      <c r="AQ126" s="59" t="s">
        <v>1044</v>
      </c>
      <c r="AR126" s="59" t="s">
        <v>1044</v>
      </c>
      <c r="AS126" s="59" t="s">
        <v>1079</v>
      </c>
      <c r="AT126" s="59" t="s">
        <v>1079</v>
      </c>
    </row>
    <row r="127" spans="1:46" x14ac:dyDescent="0.25">
      <c r="A127" s="18" t="str">
        <v>deep_heat_setback:{"type":"attribute","data_type":"float","is_readonly":false,"reporting_type":"polled","poll_freq":86400,"max":35,"min":0,"decimal_places":2,"default_value":16.67,"zigbee_metadata":{"attr_id":61683,"endpoint_id":10,"profile_id":260,"cluster_id":513,"zcl_data_type":41,"write_formatter":"lambdax:int(round(x,2)*100)","read_formatter":"lambdax:x/100"}},</v>
      </c>
      <c r="B127" s="52" t="str">
        <f ca="1"/>
        <v>0x0201 0xF0F3</v>
      </c>
      <c r="C127" s="52" t="str">
        <f ca="1">IFERROR(__xludf.DUMMYFUNCTION("""COMPUTED_VALUE"""),"deep_heat_setback")</f>
        <v>deep_heat_setback</v>
      </c>
      <c r="D127" s="18" t="str">
        <f ca="1">IFERROR(__xludf.DUMMYFUNCTION("""COMPUTED_VALUE"""),"attribute")</f>
        <v>attribute</v>
      </c>
      <c r="E127" s="18" t="str">
        <f ca="1">IFERROR(__xludf.DUMMYFUNCTION("""COMPUTED_VALUE"""),"float")</f>
        <v>float</v>
      </c>
      <c r="F127" s="18" t="str">
        <f ca="1">IFERROR(__xludf.DUMMYFUNCTION("""COMPUTED_VALUE"""),"false")</f>
        <v>false</v>
      </c>
      <c r="G127" s="18" t="str">
        <f ca="1">IFERROR(__xludf.DUMMYFUNCTION("""COMPUTED_VALUE"""),"polled")</f>
        <v>polled</v>
      </c>
      <c r="H127" s="18" t="str">
        <f ca="1">IFERROR(__xludf.DUMMYFUNCTION("""COMPUTED_VALUE"""),"86400")</f>
        <v>86400</v>
      </c>
      <c r="I127" s="18" t="str">
        <f ca="1">IFERROR(__xludf.DUMMYFUNCTION("""COMPUTED_VALUE"""),"N/A")</f>
        <v>N/A</v>
      </c>
      <c r="J127" s="18" t="str">
        <f ca="1">IFERROR(__xludf.DUMMYFUNCTION("""COMPUTED_VALUE"""),"N/A")</f>
        <v>N/A</v>
      </c>
      <c r="K127" s="18" t="str">
        <f ca="1">IFERROR(__xludf.DUMMYFUNCTION("""COMPUTED_VALUE"""),"N/A")</f>
        <v>N/A</v>
      </c>
      <c r="L127" s="18" t="str">
        <f ca="1">IFERROR(__xludf.DUMMYFUNCTION("""COMPUTED_VALUE"""),"35")</f>
        <v>35</v>
      </c>
      <c r="M127" s="18" t="str">
        <f ca="1">IFERROR(__xludf.DUMMYFUNCTION("""COMPUTED_VALUE"""),"0")</f>
        <v>0</v>
      </c>
      <c r="N127" s="18" t="str">
        <f ca="1">IFERROR(__xludf.DUMMYFUNCTION("""COMPUTED_VALUE"""),"N/A")</f>
        <v>N/A</v>
      </c>
      <c r="O127" s="18" t="str">
        <f ca="1">IFERROR(__xludf.DUMMYFUNCTION("""COMPUTED_VALUE"""),"N/A")</f>
        <v>N/A</v>
      </c>
      <c r="P127" s="18" t="str">
        <f ca="1">IFERROR(__xludf.DUMMYFUNCTION("""COMPUTED_VALUE"""),"N/A")</f>
        <v>N/A</v>
      </c>
      <c r="Q127" s="18" t="str">
        <f ca="1">IFERROR(__xludf.DUMMYFUNCTION("""COMPUTED_VALUE"""),"N/A")</f>
        <v>N/A</v>
      </c>
      <c r="R127" s="18" t="str">
        <f ca="1">IFERROR(__xludf.DUMMYFUNCTION("""COMPUTED_VALUE"""),"2")</f>
        <v>2</v>
      </c>
      <c r="S127" s="18" t="str">
        <f ca="1">IFERROR(__xludf.DUMMYFUNCTION("""COMPUTED_VALUE"""),"16.67")</f>
        <v>16.67</v>
      </c>
      <c r="T127" s="18" t="str">
        <f ca="1">IFERROR(__xludf.DUMMYFUNCTION("""COMPUTED_VALUE"""),"0xF0F3")</f>
        <v>0xF0F3</v>
      </c>
      <c r="U127" s="18" t="str">
        <f ca="1">IFERROR(__xludf.DUMMYFUNCTION("""COMPUTED_VALUE"""),"0x0A")</f>
        <v>0x0A</v>
      </c>
      <c r="V127" s="18" t="str">
        <f ca="1">IFERROR(__xludf.DUMMYFUNCTION("""COMPUTED_VALUE"""),"0x0104")</f>
        <v>0x0104</v>
      </c>
      <c r="W127" s="18" t="str">
        <f ca="1">IFERROR(__xludf.DUMMYFUNCTION("""COMPUTED_VALUE"""),"0x0201")</f>
        <v>0x0201</v>
      </c>
      <c r="X127" s="18" t="str">
        <f ca="1">IFERROR(__xludf.DUMMYFUNCTION("""COMPUTED_VALUE"""),"0x29")</f>
        <v>0x29</v>
      </c>
      <c r="Y127" s="18" t="e">
        <f ca="1"/>
        <v>#NAME?</v>
      </c>
      <c r="Z127" s="18" t="str">
        <f ca="1">IFERROR(__xludf.DUMMYFUNCTION("""COMPUTED_VALUE"""),"lambdax:int(round(x,2)*100)")</f>
        <v>lambdax:int(round(x,2)*100)</v>
      </c>
      <c r="AA127" s="18" t="str">
        <f ca="1">IFERROR(__xludf.DUMMYFUNCTION("""COMPUTED_VALUE"""),"lambdax:x/100")</f>
        <v>lambdax:x/100</v>
      </c>
      <c r="AC127" s="59" t="s">
        <v>1050</v>
      </c>
      <c r="AD127" s="59" t="s">
        <v>1050</v>
      </c>
      <c r="AE127" s="59" t="s">
        <v>1062</v>
      </c>
      <c r="AF127" s="59" t="s">
        <v>1068</v>
      </c>
      <c r="AG127" s="59" t="s">
        <v>1068</v>
      </c>
      <c r="AH127" s="59" t="s">
        <v>1071</v>
      </c>
      <c r="AI127" s="59" t="s">
        <v>1074</v>
      </c>
      <c r="AJ127" s="59" t="s">
        <v>1074</v>
      </c>
      <c r="AK127" s="59" t="s">
        <v>1074</v>
      </c>
      <c r="AL127" s="59" t="s">
        <v>1074</v>
      </c>
      <c r="AM127" s="59" t="s">
        <v>1074</v>
      </c>
      <c r="AN127" s="59" t="s">
        <v>1080</v>
      </c>
      <c r="AO127" s="59" t="s">
        <v>1080</v>
      </c>
      <c r="AP127" s="59" t="s">
        <v>1081</v>
      </c>
      <c r="AQ127" s="59" t="s">
        <v>1049</v>
      </c>
      <c r="AR127" s="59" t="s">
        <v>1049</v>
      </c>
      <c r="AS127" s="59" t="s">
        <v>1082</v>
      </c>
      <c r="AT127" s="59" t="s">
        <v>1082</v>
      </c>
    </row>
    <row r="128" spans="1:46" x14ac:dyDescent="0.25">
      <c r="A128" s="18" t="str">
        <v>deep_cool_setback:{"type":"attribute","data_type":"float","is_readonly":false,"reporting_type":"polled","poll_freq":86400,"max":35,"min":0,"decimal_places":2,"default_value":29.44,"zigbee_metadata":{"attr_id":61684,"endpoint_id":10,"profile_id":260,"cluster_id":513,"zcl_data_type":41,"write_formatter":"lambdax:int(round(x,2)*100)","read_formatter":"lambdax:x/100"}},</v>
      </c>
      <c r="B128" s="52" t="str">
        <f ca="1"/>
        <v>0x0201 0xF0F4</v>
      </c>
      <c r="C128" s="52" t="str">
        <f ca="1">IFERROR(__xludf.DUMMYFUNCTION("""COMPUTED_VALUE"""),"deep_cool_setback")</f>
        <v>deep_cool_setback</v>
      </c>
      <c r="D128" s="18" t="str">
        <f ca="1">IFERROR(__xludf.DUMMYFUNCTION("""COMPUTED_VALUE"""),"attribute")</f>
        <v>attribute</v>
      </c>
      <c r="E128" s="18" t="str">
        <f ca="1">IFERROR(__xludf.DUMMYFUNCTION("""COMPUTED_VALUE"""),"float")</f>
        <v>float</v>
      </c>
      <c r="F128" s="18" t="str">
        <f ca="1">IFERROR(__xludf.DUMMYFUNCTION("""COMPUTED_VALUE"""),"false")</f>
        <v>false</v>
      </c>
      <c r="G128" s="18" t="str">
        <f ca="1">IFERROR(__xludf.DUMMYFUNCTION("""COMPUTED_VALUE"""),"polled")</f>
        <v>polled</v>
      </c>
      <c r="H128" s="18" t="str">
        <f ca="1">IFERROR(__xludf.DUMMYFUNCTION("""COMPUTED_VALUE"""),"86400")</f>
        <v>86400</v>
      </c>
      <c r="I128" s="18" t="str">
        <f ca="1">IFERROR(__xludf.DUMMYFUNCTION("""COMPUTED_VALUE"""),"N/A")</f>
        <v>N/A</v>
      </c>
      <c r="J128" s="18" t="str">
        <f ca="1">IFERROR(__xludf.DUMMYFUNCTION("""COMPUTED_VALUE"""),"N/A")</f>
        <v>N/A</v>
      </c>
      <c r="K128" s="18" t="str">
        <f ca="1">IFERROR(__xludf.DUMMYFUNCTION("""COMPUTED_VALUE"""),"N/A")</f>
        <v>N/A</v>
      </c>
      <c r="L128" s="18" t="str">
        <f ca="1">IFERROR(__xludf.DUMMYFUNCTION("""COMPUTED_VALUE"""),"35")</f>
        <v>35</v>
      </c>
      <c r="M128" s="18" t="str">
        <f ca="1">IFERROR(__xludf.DUMMYFUNCTION("""COMPUTED_VALUE"""),"0")</f>
        <v>0</v>
      </c>
      <c r="N128" s="18" t="str">
        <f ca="1">IFERROR(__xludf.DUMMYFUNCTION("""COMPUTED_VALUE"""),"N/A")</f>
        <v>N/A</v>
      </c>
      <c r="O128" s="18" t="str">
        <f ca="1">IFERROR(__xludf.DUMMYFUNCTION("""COMPUTED_VALUE"""),"N/A")</f>
        <v>N/A</v>
      </c>
      <c r="P128" s="18" t="str">
        <f ca="1">IFERROR(__xludf.DUMMYFUNCTION("""COMPUTED_VALUE"""),"N/A")</f>
        <v>N/A</v>
      </c>
      <c r="Q128" s="18" t="str">
        <f ca="1">IFERROR(__xludf.DUMMYFUNCTION("""COMPUTED_VALUE"""),"N/A")</f>
        <v>N/A</v>
      </c>
      <c r="R128" s="18" t="str">
        <f ca="1">IFERROR(__xludf.DUMMYFUNCTION("""COMPUTED_VALUE"""),"2")</f>
        <v>2</v>
      </c>
      <c r="S128" s="18" t="str">
        <f ca="1">IFERROR(__xludf.DUMMYFUNCTION("""COMPUTED_VALUE"""),"29.44")</f>
        <v>29.44</v>
      </c>
      <c r="T128" s="18" t="str">
        <f ca="1">IFERROR(__xludf.DUMMYFUNCTION("""COMPUTED_VALUE"""),"0xF0F4")</f>
        <v>0xF0F4</v>
      </c>
      <c r="U128" s="18" t="str">
        <f ca="1">IFERROR(__xludf.DUMMYFUNCTION("""COMPUTED_VALUE"""),"0x0A")</f>
        <v>0x0A</v>
      </c>
      <c r="V128" s="18" t="str">
        <f ca="1">IFERROR(__xludf.DUMMYFUNCTION("""COMPUTED_VALUE"""),"0x0104")</f>
        <v>0x0104</v>
      </c>
      <c r="W128" s="18" t="str">
        <f ca="1">IFERROR(__xludf.DUMMYFUNCTION("""COMPUTED_VALUE"""),"0x0201")</f>
        <v>0x0201</v>
      </c>
      <c r="X128" s="18" t="str">
        <f ca="1">IFERROR(__xludf.DUMMYFUNCTION("""COMPUTED_VALUE"""),"0x29")</f>
        <v>0x29</v>
      </c>
      <c r="Y128" s="18" t="e">
        <f ca="1"/>
        <v>#NAME?</v>
      </c>
      <c r="Z128" s="18" t="str">
        <f ca="1">IFERROR(__xludf.DUMMYFUNCTION("""COMPUTED_VALUE"""),"lambdax:int(round(x,2)*100)")</f>
        <v>lambdax:int(round(x,2)*100)</v>
      </c>
      <c r="AA128" s="18" t="str">
        <f ca="1">IFERROR(__xludf.DUMMYFUNCTION("""COMPUTED_VALUE"""),"lambdax:x/100")</f>
        <v>lambdax:x/100</v>
      </c>
      <c r="AC128" s="59" t="s">
        <v>1054</v>
      </c>
      <c r="AD128" s="59" t="s">
        <v>1054</v>
      </c>
      <c r="AE128" s="59" t="s">
        <v>1065</v>
      </c>
      <c r="AF128" s="59" t="s">
        <v>1071</v>
      </c>
      <c r="AG128" s="59" t="s">
        <v>1071</v>
      </c>
      <c r="AH128" s="59" t="s">
        <v>1074</v>
      </c>
      <c r="AI128" s="59" t="s">
        <v>1077</v>
      </c>
      <c r="AJ128" s="59" t="s">
        <v>1077</v>
      </c>
      <c r="AK128" s="59" t="s">
        <v>1077</v>
      </c>
      <c r="AL128" s="59" t="s">
        <v>1077</v>
      </c>
      <c r="AM128" s="59" t="s">
        <v>1077</v>
      </c>
      <c r="AN128" s="59" t="s">
        <v>1083</v>
      </c>
      <c r="AO128" s="59" t="s">
        <v>1083</v>
      </c>
      <c r="AP128" s="59" t="s">
        <v>1084</v>
      </c>
      <c r="AQ128" s="59" t="s">
        <v>1053</v>
      </c>
      <c r="AR128" s="59" t="s">
        <v>1053</v>
      </c>
      <c r="AS128" s="59" t="s">
        <v>1085</v>
      </c>
      <c r="AT128" s="59" t="s">
        <v>1085</v>
      </c>
    </row>
    <row r="129" spans="1:46" x14ac:dyDescent="0.25">
      <c r="A129" s="18" t="str">
        <v>deep_delta_setback:{"type":"attribute","data_type":"float","is_readonly":false,"reporting_type":"polled","poll_freq":86400,"max":10,"min":0,"decimal_places":2,"default_value":5,"zigbee_metadata":{"attr_id":61685,"endpoint_id":10,"profile_id":260,"cluster_id":513,"zcl_data_type":33,"write_formatter":"lambdax:int(round(x,2)*100)","read_formatter":"lambdax:x/100"}},</v>
      </c>
      <c r="B129" s="52" t="str">
        <f ca="1"/>
        <v>0x0201 0xF0F5</v>
      </c>
      <c r="C129" s="52" t="str">
        <f ca="1">IFERROR(__xludf.DUMMYFUNCTION("""COMPUTED_VALUE"""),"deep_delta_setback")</f>
        <v>deep_delta_setback</v>
      </c>
      <c r="D129" s="18" t="str">
        <f ca="1">IFERROR(__xludf.DUMMYFUNCTION("""COMPUTED_VALUE"""),"attribute")</f>
        <v>attribute</v>
      </c>
      <c r="E129" s="18" t="str">
        <f ca="1">IFERROR(__xludf.DUMMYFUNCTION("""COMPUTED_VALUE"""),"float")</f>
        <v>float</v>
      </c>
      <c r="F129" s="18" t="str">
        <f ca="1">IFERROR(__xludf.DUMMYFUNCTION("""COMPUTED_VALUE"""),"false")</f>
        <v>false</v>
      </c>
      <c r="G129" s="18" t="str">
        <f ca="1">IFERROR(__xludf.DUMMYFUNCTION("""COMPUTED_VALUE"""),"polled")</f>
        <v>polled</v>
      </c>
      <c r="H129" s="18" t="str">
        <f ca="1">IFERROR(__xludf.DUMMYFUNCTION("""COMPUTED_VALUE"""),"86400")</f>
        <v>86400</v>
      </c>
      <c r="I129" s="18" t="str">
        <f ca="1">IFERROR(__xludf.DUMMYFUNCTION("""COMPUTED_VALUE"""),"N/A")</f>
        <v>N/A</v>
      </c>
      <c r="J129" s="18" t="str">
        <f ca="1">IFERROR(__xludf.DUMMYFUNCTION("""COMPUTED_VALUE"""),"N/A")</f>
        <v>N/A</v>
      </c>
      <c r="K129" s="18" t="str">
        <f ca="1">IFERROR(__xludf.DUMMYFUNCTION("""COMPUTED_VALUE"""),"N/A")</f>
        <v>N/A</v>
      </c>
      <c r="L129" s="18" t="str">
        <f ca="1">IFERROR(__xludf.DUMMYFUNCTION("""COMPUTED_VALUE"""),"10")</f>
        <v>10</v>
      </c>
      <c r="M129" s="18" t="str">
        <f ca="1">IFERROR(__xludf.DUMMYFUNCTION("""COMPUTED_VALUE"""),"0")</f>
        <v>0</v>
      </c>
      <c r="N129" s="18" t="str">
        <f ca="1">IFERROR(__xludf.DUMMYFUNCTION("""COMPUTED_VALUE"""),"N/A")</f>
        <v>N/A</v>
      </c>
      <c r="O129" s="18" t="str">
        <f ca="1">IFERROR(__xludf.DUMMYFUNCTION("""COMPUTED_VALUE"""),"N/A")</f>
        <v>N/A</v>
      </c>
      <c r="P129" s="18" t="str">
        <f ca="1">IFERROR(__xludf.DUMMYFUNCTION("""COMPUTED_VALUE"""),"N/A")</f>
        <v>N/A</v>
      </c>
      <c r="Q129" s="18" t="str">
        <f ca="1">IFERROR(__xludf.DUMMYFUNCTION("""COMPUTED_VALUE"""),"N/A")</f>
        <v>N/A</v>
      </c>
      <c r="R129" s="18" t="str">
        <f ca="1">IFERROR(__xludf.DUMMYFUNCTION("""COMPUTED_VALUE"""),"2")</f>
        <v>2</v>
      </c>
      <c r="S129" s="18" t="str">
        <f ca="1">IFERROR(__xludf.DUMMYFUNCTION("""COMPUTED_VALUE"""),"5")</f>
        <v>5</v>
      </c>
      <c r="T129" s="18" t="str">
        <f ca="1">IFERROR(__xludf.DUMMYFUNCTION("""COMPUTED_VALUE"""),"0xF0F5")</f>
        <v>0xF0F5</v>
      </c>
      <c r="U129" s="18" t="str">
        <f ca="1">IFERROR(__xludf.DUMMYFUNCTION("""COMPUTED_VALUE"""),"0x0A")</f>
        <v>0x0A</v>
      </c>
      <c r="V129" s="18" t="str">
        <f ca="1">IFERROR(__xludf.DUMMYFUNCTION("""COMPUTED_VALUE"""),"0x0104")</f>
        <v>0x0104</v>
      </c>
      <c r="W129" s="18" t="str">
        <f ca="1">IFERROR(__xludf.DUMMYFUNCTION("""COMPUTED_VALUE"""),"0x0201")</f>
        <v>0x0201</v>
      </c>
      <c r="X129" s="18" t="str">
        <f ca="1">IFERROR(__xludf.DUMMYFUNCTION("""COMPUTED_VALUE"""),"0x21")</f>
        <v>0x21</v>
      </c>
      <c r="Y129" s="18" t="e">
        <f ca="1"/>
        <v>#NAME?</v>
      </c>
      <c r="Z129" s="18" t="str">
        <f ca="1">IFERROR(__xludf.DUMMYFUNCTION("""COMPUTED_VALUE"""),"lambdax:int(round(x,2)*100)")</f>
        <v>lambdax:int(round(x,2)*100)</v>
      </c>
      <c r="AA129" s="18" t="str">
        <f ca="1">IFERROR(__xludf.DUMMYFUNCTION("""COMPUTED_VALUE"""),"lambdax:x/100")</f>
        <v>lambdax:x/100</v>
      </c>
      <c r="AC129" s="59" t="s">
        <v>1058</v>
      </c>
      <c r="AD129" s="59" t="s">
        <v>1058</v>
      </c>
      <c r="AE129" s="59" t="s">
        <v>1068</v>
      </c>
      <c r="AF129" s="59" t="s">
        <v>1074</v>
      </c>
      <c r="AG129" s="59" t="s">
        <v>1074</v>
      </c>
      <c r="AH129" s="59" t="s">
        <v>1077</v>
      </c>
      <c r="AI129" s="59" t="s">
        <v>1080</v>
      </c>
      <c r="AJ129" s="59" t="s">
        <v>1080</v>
      </c>
      <c r="AK129" s="59" t="s">
        <v>1080</v>
      </c>
      <c r="AL129" s="59" t="s">
        <v>1080</v>
      </c>
      <c r="AM129" s="59" t="s">
        <v>1080</v>
      </c>
      <c r="AN129" s="59" t="s">
        <v>1086</v>
      </c>
      <c r="AO129" s="59" t="s">
        <v>1086</v>
      </c>
      <c r="AP129" s="59" t="s">
        <v>1087</v>
      </c>
      <c r="AQ129" s="59" t="s">
        <v>1057</v>
      </c>
      <c r="AR129" s="59" t="s">
        <v>1057</v>
      </c>
      <c r="AS129" s="59" t="s">
        <v>1088</v>
      </c>
      <c r="AT129" s="59" t="s">
        <v>1088</v>
      </c>
    </row>
    <row r="130" spans="1:46" x14ac:dyDescent="0.25">
      <c r="A130" s="18" t="str">
        <v>day_start_time:{"type":"attribute","data_type":"uint16","is_readonly":false,"reporting_type":"polled","poll_freq":86400,"max":1439,"min":0,"default_value":360,"zigbee_metadata":{"attr_id":61687,"endpoint_id":10,"profile_id":260,"cluster_id":513,"zcl_data_type":33}},</v>
      </c>
      <c r="B130" s="52" t="str">
        <f ca="1"/>
        <v>0x0201 0xF0F7</v>
      </c>
      <c r="C130" s="52" t="str">
        <f ca="1">IFERROR(__xludf.DUMMYFUNCTION("""COMPUTED_VALUE"""),"day_start_time")</f>
        <v>day_start_time</v>
      </c>
      <c r="D130" s="18" t="str">
        <f ca="1">IFERROR(__xludf.DUMMYFUNCTION("""COMPUTED_VALUE"""),"attribute")</f>
        <v>attribute</v>
      </c>
      <c r="E130" s="18" t="str">
        <f ca="1">IFERROR(__xludf.DUMMYFUNCTION("""COMPUTED_VALUE"""),"uint16")</f>
        <v>uint16</v>
      </c>
      <c r="F130" s="18" t="str">
        <f ca="1">IFERROR(__xludf.DUMMYFUNCTION("""COMPUTED_VALUE"""),"false")</f>
        <v>false</v>
      </c>
      <c r="G130" s="18" t="str">
        <f ca="1">IFERROR(__xludf.DUMMYFUNCTION("""COMPUTED_VALUE"""),"polled")</f>
        <v>polled</v>
      </c>
      <c r="H130" s="18" t="str">
        <f ca="1">IFERROR(__xludf.DUMMYFUNCTION("""COMPUTED_VALUE"""),"86400")</f>
        <v>86400</v>
      </c>
      <c r="I130" s="18" t="str">
        <f ca="1">IFERROR(__xludf.DUMMYFUNCTION("""COMPUTED_VALUE"""),"N/A")</f>
        <v>N/A</v>
      </c>
      <c r="J130" s="18" t="str">
        <f ca="1">IFERROR(__xludf.DUMMYFUNCTION("""COMPUTED_VALUE"""),"N/A")</f>
        <v>N/A</v>
      </c>
      <c r="K130" s="18" t="str">
        <f ca="1">IFERROR(__xludf.DUMMYFUNCTION("""COMPUTED_VALUE"""),"N/A")</f>
        <v>N/A</v>
      </c>
      <c r="L130" s="18" t="str">
        <f ca="1">IFERROR(__xludf.DUMMYFUNCTION("""COMPUTED_VALUE"""),"1439")</f>
        <v>1439</v>
      </c>
      <c r="M130" s="18" t="str">
        <f ca="1">IFERROR(__xludf.DUMMYFUNCTION("""COMPUTED_VALUE"""),"0")</f>
        <v>0</v>
      </c>
      <c r="N130" s="18" t="str">
        <f ca="1">IFERROR(__xludf.DUMMYFUNCTION("""COMPUTED_VALUE"""),"N/A")</f>
        <v>N/A</v>
      </c>
      <c r="O130" s="18" t="str">
        <f ca="1">IFERROR(__xludf.DUMMYFUNCTION("""COMPUTED_VALUE"""),"N/A")</f>
        <v>N/A</v>
      </c>
      <c r="P130" s="18" t="str">
        <f ca="1">IFERROR(__xludf.DUMMYFUNCTION("""COMPUTED_VALUE"""),"N/A")</f>
        <v>N/A</v>
      </c>
      <c r="Q130" s="18" t="str">
        <f ca="1">IFERROR(__xludf.DUMMYFUNCTION("""COMPUTED_VALUE"""),"N/A")</f>
        <v>N/A</v>
      </c>
      <c r="R130" s="18" t="str">
        <f ca="1">IFERROR(__xludf.DUMMYFUNCTION("""COMPUTED_VALUE"""),"N/A")</f>
        <v>N/A</v>
      </c>
      <c r="S130" s="18" t="str">
        <f ca="1">IFERROR(__xludf.DUMMYFUNCTION("""COMPUTED_VALUE"""),"360")</f>
        <v>360</v>
      </c>
      <c r="T130" s="18" t="str">
        <f ca="1">IFERROR(__xludf.DUMMYFUNCTION("""COMPUTED_VALUE"""),"0xF0F7")</f>
        <v>0xF0F7</v>
      </c>
      <c r="U130" s="18" t="str">
        <f ca="1">IFERROR(__xludf.DUMMYFUNCTION("""COMPUTED_VALUE"""),"0x0A")</f>
        <v>0x0A</v>
      </c>
      <c r="V130" s="18" t="str">
        <f ca="1">IFERROR(__xludf.DUMMYFUNCTION("""COMPUTED_VALUE"""),"0x0104")</f>
        <v>0x0104</v>
      </c>
      <c r="W130" s="18" t="str">
        <f ca="1">IFERROR(__xludf.DUMMYFUNCTION("""COMPUTED_VALUE"""),"0x0201")</f>
        <v>0x0201</v>
      </c>
      <c r="X130" s="18" t="str">
        <f ca="1">IFERROR(__xludf.DUMMYFUNCTION("""COMPUTED_VALUE"""),"0x21")</f>
        <v>0x21</v>
      </c>
      <c r="Y130" s="18" t="e">
        <f ca="1"/>
        <v>#NAME?</v>
      </c>
      <c r="Z130" s="18" t="str">
        <f ca="1">IFERROR(__xludf.DUMMYFUNCTION("""COMPUTED_VALUE"""),"N/A")</f>
        <v>N/A</v>
      </c>
      <c r="AA130" s="18" t="str">
        <f ca="1">IFERROR(__xludf.DUMMYFUNCTION("""COMPUTED_VALUE"""),"N/A")</f>
        <v>N/A</v>
      </c>
      <c r="AC130" s="59" t="s">
        <v>1046</v>
      </c>
      <c r="AD130" s="59" t="s">
        <v>1046</v>
      </c>
      <c r="AE130" s="59" t="s">
        <v>1071</v>
      </c>
      <c r="AF130" s="59" t="s">
        <v>1077</v>
      </c>
      <c r="AG130" s="59" t="s">
        <v>1077</v>
      </c>
      <c r="AH130" s="59" t="s">
        <v>1080</v>
      </c>
      <c r="AI130" s="59" t="s">
        <v>1083</v>
      </c>
      <c r="AJ130" s="59" t="s">
        <v>1083</v>
      </c>
      <c r="AK130" s="59" t="s">
        <v>1083</v>
      </c>
      <c r="AL130" s="59" t="s">
        <v>1083</v>
      </c>
      <c r="AM130" s="59" t="s">
        <v>1083</v>
      </c>
      <c r="AN130" s="59" t="s">
        <v>1089</v>
      </c>
      <c r="AO130" s="59" t="s">
        <v>1089</v>
      </c>
      <c r="AP130" s="59" t="s">
        <v>1090</v>
      </c>
      <c r="AQ130" s="59" t="s">
        <v>1061</v>
      </c>
      <c r="AR130" s="59" t="s">
        <v>1061</v>
      </c>
      <c r="AS130" s="59" t="s">
        <v>1091</v>
      </c>
      <c r="AT130" s="59" t="s">
        <v>1091</v>
      </c>
    </row>
    <row r="131" spans="1:46" x14ac:dyDescent="0.25">
      <c r="A131" s="18" t="str">
        <v>night_start_time:{"type":"attribute","data_type":"uint16","is_readonly":false,"reporting_type":"polled","poll_freq":86400,"max":1439,"min":0,"default_value":1200,"zigbee_metadata":{"attr_id":61688,"endpoint_id":10,"profile_id":260,"cluster_id":513,"zcl_data_type":33}},</v>
      </c>
      <c r="B131" s="52" t="str">
        <f ca="1"/>
        <v>0x0201 0xF0F8</v>
      </c>
      <c r="C131" s="52" t="str">
        <f ca="1">IFERROR(__xludf.DUMMYFUNCTION("""COMPUTED_VALUE"""),"night_start_time")</f>
        <v>night_start_time</v>
      </c>
      <c r="D131" s="18" t="str">
        <f ca="1">IFERROR(__xludf.DUMMYFUNCTION("""COMPUTED_VALUE"""),"attribute")</f>
        <v>attribute</v>
      </c>
      <c r="E131" s="18" t="str">
        <f ca="1">IFERROR(__xludf.DUMMYFUNCTION("""COMPUTED_VALUE"""),"uint16")</f>
        <v>uint16</v>
      </c>
      <c r="F131" s="18" t="str">
        <f ca="1">IFERROR(__xludf.DUMMYFUNCTION("""COMPUTED_VALUE"""),"false")</f>
        <v>false</v>
      </c>
      <c r="G131" s="18" t="str">
        <f ca="1">IFERROR(__xludf.DUMMYFUNCTION("""COMPUTED_VALUE"""),"polled")</f>
        <v>polled</v>
      </c>
      <c r="H131" s="18" t="str">
        <f ca="1">IFERROR(__xludf.DUMMYFUNCTION("""COMPUTED_VALUE"""),"86400")</f>
        <v>86400</v>
      </c>
      <c r="I131" s="18" t="str">
        <f ca="1">IFERROR(__xludf.DUMMYFUNCTION("""COMPUTED_VALUE"""),"N/A")</f>
        <v>N/A</v>
      </c>
      <c r="J131" s="18" t="str">
        <f ca="1">IFERROR(__xludf.DUMMYFUNCTION("""COMPUTED_VALUE"""),"N/A")</f>
        <v>N/A</v>
      </c>
      <c r="K131" s="18" t="str">
        <f ca="1">IFERROR(__xludf.DUMMYFUNCTION("""COMPUTED_VALUE"""),"N/A")</f>
        <v>N/A</v>
      </c>
      <c r="L131" s="18" t="str">
        <f ca="1">IFERROR(__xludf.DUMMYFUNCTION("""COMPUTED_VALUE"""),"1439")</f>
        <v>1439</v>
      </c>
      <c r="M131" s="18" t="str">
        <f ca="1">IFERROR(__xludf.DUMMYFUNCTION("""COMPUTED_VALUE"""),"0")</f>
        <v>0</v>
      </c>
      <c r="N131" s="18" t="str">
        <f ca="1">IFERROR(__xludf.DUMMYFUNCTION("""COMPUTED_VALUE"""),"N/A")</f>
        <v>N/A</v>
      </c>
      <c r="O131" s="18" t="str">
        <f ca="1">IFERROR(__xludf.DUMMYFUNCTION("""COMPUTED_VALUE"""),"N/A")</f>
        <v>N/A</v>
      </c>
      <c r="P131" s="18" t="str">
        <f ca="1">IFERROR(__xludf.DUMMYFUNCTION("""COMPUTED_VALUE"""),"N/A")</f>
        <v>N/A</v>
      </c>
      <c r="Q131" s="18" t="str">
        <f ca="1">IFERROR(__xludf.DUMMYFUNCTION("""COMPUTED_VALUE"""),"N/A")</f>
        <v>N/A</v>
      </c>
      <c r="R131" s="18" t="str">
        <f ca="1">IFERROR(__xludf.DUMMYFUNCTION("""COMPUTED_VALUE"""),"N/A")</f>
        <v>N/A</v>
      </c>
      <c r="S131" s="18" t="str">
        <f ca="1">IFERROR(__xludf.DUMMYFUNCTION("""COMPUTED_VALUE"""),"1200")</f>
        <v>1200</v>
      </c>
      <c r="T131" s="18" t="str">
        <f ca="1">IFERROR(__xludf.DUMMYFUNCTION("""COMPUTED_VALUE"""),"0xF0F8")</f>
        <v>0xF0F8</v>
      </c>
      <c r="U131" s="18" t="str">
        <f ca="1">IFERROR(__xludf.DUMMYFUNCTION("""COMPUTED_VALUE"""),"0x0A")</f>
        <v>0x0A</v>
      </c>
      <c r="V131" s="18" t="str">
        <f ca="1">IFERROR(__xludf.DUMMYFUNCTION("""COMPUTED_VALUE"""),"0x0104")</f>
        <v>0x0104</v>
      </c>
      <c r="W131" s="18" t="str">
        <f ca="1">IFERROR(__xludf.DUMMYFUNCTION("""COMPUTED_VALUE"""),"0x0201")</f>
        <v>0x0201</v>
      </c>
      <c r="X131" s="18" t="str">
        <f ca="1">IFERROR(__xludf.DUMMYFUNCTION("""COMPUTED_VALUE"""),"0x21")</f>
        <v>0x21</v>
      </c>
      <c r="Y131" s="18" t="e">
        <f ca="1"/>
        <v>#NAME?</v>
      </c>
      <c r="Z131" s="18" t="str">
        <f ca="1">IFERROR(__xludf.DUMMYFUNCTION("""COMPUTED_VALUE"""),"N/A")</f>
        <v>N/A</v>
      </c>
      <c r="AA131" s="18" t="str">
        <f ca="1">IFERROR(__xludf.DUMMYFUNCTION("""COMPUTED_VALUE"""),"N/A")</f>
        <v>N/A</v>
      </c>
      <c r="AC131" s="59" t="s">
        <v>1051</v>
      </c>
      <c r="AD131" s="59" t="s">
        <v>1051</v>
      </c>
      <c r="AE131" s="59" t="s">
        <v>1074</v>
      </c>
      <c r="AF131" s="59" t="s">
        <v>1080</v>
      </c>
      <c r="AG131" s="59" t="s">
        <v>1080</v>
      </c>
      <c r="AH131" s="59" t="s">
        <v>1083</v>
      </c>
      <c r="AI131" s="59" t="s">
        <v>1086</v>
      </c>
      <c r="AJ131" s="59" t="s">
        <v>1086</v>
      </c>
      <c r="AK131" s="59" t="s">
        <v>1086</v>
      </c>
      <c r="AL131" s="59" t="s">
        <v>1086</v>
      </c>
      <c r="AM131" s="59" t="s">
        <v>1086</v>
      </c>
      <c r="AN131" s="59" t="s">
        <v>1092</v>
      </c>
      <c r="AO131" s="59" t="s">
        <v>1092</v>
      </c>
      <c r="AP131" s="59" t="s">
        <v>1093</v>
      </c>
      <c r="AQ131" s="59" t="s">
        <v>1064</v>
      </c>
      <c r="AR131" s="59" t="s">
        <v>1064</v>
      </c>
      <c r="AS131" s="59" t="s">
        <v>1094</v>
      </c>
      <c r="AT131" s="59" t="s">
        <v>1094</v>
      </c>
    </row>
    <row r="132" spans="1:46" x14ac:dyDescent="0.25">
      <c r="A132" s="18" t="str">
        <v>night_lock:{"type":"attribute","data_type":"bool","is_readonly":false,"reporting_type":"polled","poll_freq":86400,"default_value":false,"zigbee_metadata":{"attr_id":61689,"endpoint_id":10,"profile_id":260,"cluster_id":513,"zcl_data_type":16,"read_formatter":"lambdax:bool(x)","write_formatter":"lambdax:int(x)"}},</v>
      </c>
      <c r="B132" s="52" t="str">
        <f ca="1"/>
        <v>0x0201 0xF0F9</v>
      </c>
      <c r="C132" s="52" t="str">
        <f ca="1">IFERROR(__xludf.DUMMYFUNCTION("""COMPUTED_VALUE"""),"night_lock")</f>
        <v>night_lock</v>
      </c>
      <c r="D132" s="18" t="str">
        <f ca="1">IFERROR(__xludf.DUMMYFUNCTION("""COMPUTED_VALUE"""),"attribute")</f>
        <v>attribute</v>
      </c>
      <c r="E132" s="18" t="str">
        <f ca="1">IFERROR(__xludf.DUMMYFUNCTION("""COMPUTED_VALUE"""),"bool")</f>
        <v>bool</v>
      </c>
      <c r="F132" s="18" t="str">
        <f ca="1">IFERROR(__xludf.DUMMYFUNCTION("""COMPUTED_VALUE"""),"false")</f>
        <v>false</v>
      </c>
      <c r="G132" s="18" t="str">
        <f ca="1">IFERROR(__xludf.DUMMYFUNCTION("""COMPUTED_VALUE"""),"polled")</f>
        <v>polled</v>
      </c>
      <c r="H132" s="18" t="str">
        <f ca="1">IFERROR(__xludf.DUMMYFUNCTION("""COMPUTED_VALUE"""),"86400")</f>
        <v>86400</v>
      </c>
      <c r="I132" s="18" t="str">
        <f ca="1">IFERROR(__xludf.DUMMYFUNCTION("""COMPUTED_VALUE"""),"N/A")</f>
        <v>N/A</v>
      </c>
      <c r="J132" s="18" t="str">
        <f ca="1">IFERROR(__xludf.DUMMYFUNCTION("""COMPUTED_VALUE"""),"N/A")</f>
        <v>N/A</v>
      </c>
      <c r="K132" s="18" t="str">
        <f ca="1">IFERROR(__xludf.DUMMYFUNCTION("""COMPUTED_VALUE"""),"N/A")</f>
        <v>N/A</v>
      </c>
      <c r="L132" s="18" t="str">
        <f ca="1">IFERROR(__xludf.DUMMYFUNCTION("""COMPUTED_VALUE"""),"N/A")</f>
        <v>N/A</v>
      </c>
      <c r="M132" s="18" t="str">
        <f ca="1">IFERROR(__xludf.DUMMYFUNCTION("""COMPUTED_VALUE"""),"N/A")</f>
        <v>N/A</v>
      </c>
      <c r="N132" s="18" t="str">
        <f ca="1">IFERROR(__xludf.DUMMYFUNCTION("""COMPUTED_VALUE"""),"N/A")</f>
        <v>N/A</v>
      </c>
      <c r="O132" s="18" t="str">
        <f ca="1">IFERROR(__xludf.DUMMYFUNCTION("""COMPUTED_VALUE"""),"N/A")</f>
        <v>N/A</v>
      </c>
      <c r="P132" s="18" t="str">
        <f ca="1">IFERROR(__xludf.DUMMYFUNCTION("""COMPUTED_VALUE"""),"N/A")</f>
        <v>N/A</v>
      </c>
      <c r="Q132" s="18" t="str">
        <f ca="1">IFERROR(__xludf.DUMMYFUNCTION("""COMPUTED_VALUE"""),"N/A")</f>
        <v>N/A</v>
      </c>
      <c r="R132" s="18" t="str">
        <f ca="1">IFERROR(__xludf.DUMMYFUNCTION("""COMPUTED_VALUE"""),"N/A")</f>
        <v>N/A</v>
      </c>
      <c r="S132" s="18" t="str">
        <f ca="1">IFERROR(__xludf.DUMMYFUNCTION("""COMPUTED_VALUE"""),"false")</f>
        <v>false</v>
      </c>
      <c r="T132" s="18" t="str">
        <f ca="1">IFERROR(__xludf.DUMMYFUNCTION("""COMPUTED_VALUE"""),"0xF0F9")</f>
        <v>0xF0F9</v>
      </c>
      <c r="U132" s="18" t="str">
        <f ca="1">IFERROR(__xludf.DUMMYFUNCTION("""COMPUTED_VALUE"""),"0x0A")</f>
        <v>0x0A</v>
      </c>
      <c r="V132" s="18" t="str">
        <f ca="1">IFERROR(__xludf.DUMMYFUNCTION("""COMPUTED_VALUE"""),"0x0104")</f>
        <v>0x0104</v>
      </c>
      <c r="W132" s="18" t="str">
        <f ca="1">IFERROR(__xludf.DUMMYFUNCTION("""COMPUTED_VALUE"""),"0x0201")</f>
        <v>0x0201</v>
      </c>
      <c r="X132" s="18" t="str">
        <f ca="1">IFERROR(__xludf.DUMMYFUNCTION("""COMPUTED_VALUE"""),"0x10")</f>
        <v>0x10</v>
      </c>
      <c r="Y132" s="18" t="e">
        <f ca="1"/>
        <v>#NAME?</v>
      </c>
      <c r="Z132" s="18" t="str">
        <f ca="1">IFERROR(__xludf.DUMMYFUNCTION("""COMPUTED_VALUE"""),"lambdax:int(x)")</f>
        <v>lambdax:int(x)</v>
      </c>
      <c r="AA132" s="18" t="str">
        <f ca="1">IFERROR(__xludf.DUMMYFUNCTION("""COMPUTED_VALUE"""),"lambdax:bool(x)")</f>
        <v>lambdax:bool(x)</v>
      </c>
      <c r="AC132" s="59" t="s">
        <v>1055</v>
      </c>
      <c r="AD132" s="59" t="s">
        <v>1055</v>
      </c>
      <c r="AE132" s="59" t="s">
        <v>1077</v>
      </c>
      <c r="AF132" s="59" t="s">
        <v>1083</v>
      </c>
      <c r="AG132" s="59" t="s">
        <v>1083</v>
      </c>
      <c r="AH132" s="59" t="s">
        <v>1086</v>
      </c>
      <c r="AI132" s="59" t="s">
        <v>1089</v>
      </c>
      <c r="AJ132" s="59" t="s">
        <v>1089</v>
      </c>
      <c r="AK132" s="59" t="s">
        <v>1089</v>
      </c>
      <c r="AL132" s="59" t="s">
        <v>1089</v>
      </c>
      <c r="AM132" s="59" t="s">
        <v>1089</v>
      </c>
      <c r="AN132" s="59" t="s">
        <v>1095</v>
      </c>
      <c r="AO132" s="59" t="s">
        <v>1095</v>
      </c>
      <c r="AP132" s="59" t="s">
        <v>1096</v>
      </c>
      <c r="AQ132" s="59" t="s">
        <v>1067</v>
      </c>
      <c r="AR132" s="59" t="s">
        <v>1067</v>
      </c>
      <c r="AS132" s="59" t="s">
        <v>1097</v>
      </c>
      <c r="AT132" s="59" t="s">
        <v>1097</v>
      </c>
    </row>
    <row r="133" spans="1:46" x14ac:dyDescent="0.25">
      <c r="A133" s="18" t="str">
        <v>unocc_delay_based_on_schedule:{"type":"attribute","data_type":"enum","is_readonly":false,"reporting_type":"polled","poll_freq":86400,"default_value":"day_night","enum_values":["day_night","schedule"],"zigbee_metadata":{"attr_id":61690,"endpoint_id":10,"profile_id":260,"cluster_id":513,"zcl_data_type":16,"write_formatter":"lambdax:{'day_night':0,'schedule':1}[x]","read_formatter":"lambdax:{0:'day_night',1:'schedule'}.get(x,'unknown')"}},</v>
      </c>
      <c r="B133" s="52" t="str">
        <f ca="1"/>
        <v>0x0201 0xF0FA</v>
      </c>
      <c r="C133" s="52" t="str">
        <f ca="1">IFERROR(__xludf.DUMMYFUNCTION("""COMPUTED_VALUE"""),"unocc_delay_based_on_schedule")</f>
        <v>unocc_delay_based_on_schedule</v>
      </c>
      <c r="D133" s="18" t="str">
        <f ca="1">IFERROR(__xludf.DUMMYFUNCTION("""COMPUTED_VALUE"""),"attribute")</f>
        <v>attribute</v>
      </c>
      <c r="E133" s="18" t="str">
        <f ca="1">IFERROR(__xludf.DUMMYFUNCTION("""COMPUTED_VALUE"""),"enum")</f>
        <v>enum</v>
      </c>
      <c r="F133" s="18" t="str">
        <f ca="1">IFERROR(__xludf.DUMMYFUNCTION("""COMPUTED_VALUE"""),"false")</f>
        <v>false</v>
      </c>
      <c r="G133" s="18" t="str">
        <f ca="1">IFERROR(__xludf.DUMMYFUNCTION("""COMPUTED_VALUE"""),"polled")</f>
        <v>polled</v>
      </c>
      <c r="H133" s="18" t="str">
        <f ca="1">IFERROR(__xludf.DUMMYFUNCTION("""COMPUTED_VALUE"""),"86400")</f>
        <v>86400</v>
      </c>
      <c r="I133" s="18" t="str">
        <f ca="1">IFERROR(__xludf.DUMMYFUNCTION("""COMPUTED_VALUE"""),"N/A")</f>
        <v>N/A</v>
      </c>
      <c r="J133" s="18" t="str">
        <f ca="1">IFERROR(__xludf.DUMMYFUNCTION("""COMPUTED_VALUE"""),"N/A")</f>
        <v>N/A</v>
      </c>
      <c r="K133" s="18" t="str">
        <f ca="1">IFERROR(__xludf.DUMMYFUNCTION("""COMPUTED_VALUE"""),"N/A")</f>
        <v>N/A</v>
      </c>
      <c r="L133" s="18" t="str">
        <f ca="1">IFERROR(__xludf.DUMMYFUNCTION("""COMPUTED_VALUE"""),"N/A")</f>
        <v>N/A</v>
      </c>
      <c r="M133" s="18" t="str">
        <f ca="1">IFERROR(__xludf.DUMMYFUNCTION("""COMPUTED_VALUE"""),"N/A")</f>
        <v>N/A</v>
      </c>
      <c r="N133" s="18" t="str">
        <f ca="1">IFERROR(__xludf.DUMMYFUNCTION("""COMPUTED_VALUE"""),"N/A")</f>
        <v>N/A</v>
      </c>
      <c r="O133" s="18" t="str">
        <f ca="1">IFERROR(__xludf.DUMMYFUNCTION("""COMPUTED_VALUE"""),"N/A")</f>
        <v>N/A</v>
      </c>
      <c r="P133" s="18" t="str">
        <f ca="1">IFERROR(__xludf.DUMMYFUNCTION("""COMPUTED_VALUE"""),"""day_night"",""schedule""")</f>
        <v>"day_night","schedule"</v>
      </c>
      <c r="Q133" s="18" t="str">
        <f ca="1">IFERROR(__xludf.DUMMYFUNCTION("""COMPUTED_VALUE"""),"N/A")</f>
        <v>N/A</v>
      </c>
      <c r="R133" s="18" t="str">
        <f ca="1">IFERROR(__xludf.DUMMYFUNCTION("""COMPUTED_VALUE"""),"N/A")</f>
        <v>N/A</v>
      </c>
      <c r="S133" s="18" t="str">
        <f ca="1">IFERROR(__xludf.DUMMYFUNCTION("""COMPUTED_VALUE"""),"""day_night""")</f>
        <v>"day_night"</v>
      </c>
      <c r="T133" s="18" t="str">
        <f ca="1">IFERROR(__xludf.DUMMYFUNCTION("""COMPUTED_VALUE"""),"0xF0FA")</f>
        <v>0xF0FA</v>
      </c>
      <c r="U133" s="18" t="str">
        <f ca="1">IFERROR(__xludf.DUMMYFUNCTION("""COMPUTED_VALUE"""),"0x0A")</f>
        <v>0x0A</v>
      </c>
      <c r="V133" s="18" t="str">
        <f ca="1">IFERROR(__xludf.DUMMYFUNCTION("""COMPUTED_VALUE"""),"0x0104")</f>
        <v>0x0104</v>
      </c>
      <c r="W133" s="18" t="str">
        <f ca="1">IFERROR(__xludf.DUMMYFUNCTION("""COMPUTED_VALUE"""),"0x0201")</f>
        <v>0x0201</v>
      </c>
      <c r="X133" s="18" t="str">
        <f ca="1">IFERROR(__xludf.DUMMYFUNCTION("""COMPUTED_VALUE"""),"0x10")</f>
        <v>0x10</v>
      </c>
      <c r="Y133" s="18" t="e">
        <f ca="1"/>
        <v>#NAME?</v>
      </c>
      <c r="Z133" s="18" t="str">
        <f ca="1">IFERROR(__xludf.DUMMYFUNCTION("""COMPUTED_VALUE"""),"lambdax:{'day_night':0,'schedule':1}[x]")</f>
        <v>lambdax:{'day_night':0,'schedule':1}[x]</v>
      </c>
      <c r="AA133" s="18" t="str">
        <f ca="1">IFERROR(__xludf.DUMMYFUNCTION("""COMPUTED_VALUE"""),"lambdax:{0:'day_night',1:'schedule'}.get(x,'unknown')")</f>
        <v>lambdax:{0:'day_night',1:'schedule'}.get(x,'unknown')</v>
      </c>
      <c r="AC133" s="59" t="s">
        <v>1059</v>
      </c>
      <c r="AD133" s="59" t="s">
        <v>1059</v>
      </c>
      <c r="AE133" s="59" t="s">
        <v>1080</v>
      </c>
      <c r="AF133" s="59" t="s">
        <v>1086</v>
      </c>
      <c r="AG133" s="59" t="s">
        <v>1086</v>
      </c>
      <c r="AH133" s="59" t="s">
        <v>1089</v>
      </c>
      <c r="AI133" s="59" t="s">
        <v>1092</v>
      </c>
      <c r="AJ133" s="59" t="s">
        <v>1092</v>
      </c>
      <c r="AK133" s="59" t="s">
        <v>1092</v>
      </c>
      <c r="AL133" s="59" t="s">
        <v>1092</v>
      </c>
      <c r="AM133" s="59" t="s">
        <v>1092</v>
      </c>
      <c r="AN133" s="59" t="s">
        <v>1098</v>
      </c>
      <c r="AO133" s="59" t="s">
        <v>1098</v>
      </c>
      <c r="AP133" s="59" t="s">
        <v>1099</v>
      </c>
      <c r="AQ133" s="59" t="s">
        <v>1070</v>
      </c>
      <c r="AR133" s="59" t="s">
        <v>1070</v>
      </c>
      <c r="AS133" s="59" t="s">
        <v>1100</v>
      </c>
      <c r="AT133" s="59" t="s">
        <v>1100</v>
      </c>
    </row>
    <row r="134" spans="1:46" x14ac:dyDescent="0.25">
      <c r="A134" s="18" t="str">
        <v>unocc_delay_day_or_no_schedule:{"type":"attribute","data_type":"uint16","is_readonly":false,"reporting_type":"polled","poll_freq":86400,"default_value":360,"zigbee_metadata":{"attr_id":61692,"endpoint_id":10,"profile_id":260,"cluster_id":513,"zcl_data_type":33}},</v>
      </c>
      <c r="B134" s="52" t="str">
        <f ca="1"/>
        <v>0x0201 0xF0FC</v>
      </c>
      <c r="C134" s="52" t="str">
        <f ca="1">IFERROR(__xludf.DUMMYFUNCTION("""COMPUTED_VALUE"""),"unocc_delay_day_or_no_schedule")</f>
        <v>unocc_delay_day_or_no_schedule</v>
      </c>
      <c r="D134" s="18" t="str">
        <f ca="1">IFERROR(__xludf.DUMMYFUNCTION("""COMPUTED_VALUE"""),"attribute")</f>
        <v>attribute</v>
      </c>
      <c r="E134" s="18" t="str">
        <f ca="1">IFERROR(__xludf.DUMMYFUNCTION("""COMPUTED_VALUE"""),"uint16")</f>
        <v>uint16</v>
      </c>
      <c r="F134" s="18" t="str">
        <f ca="1">IFERROR(__xludf.DUMMYFUNCTION("""COMPUTED_VALUE"""),"false")</f>
        <v>false</v>
      </c>
      <c r="G134" s="18" t="str">
        <f ca="1">IFERROR(__xludf.DUMMYFUNCTION("""COMPUTED_VALUE"""),"polled")</f>
        <v>polled</v>
      </c>
      <c r="H134" s="18" t="str">
        <f ca="1">IFERROR(__xludf.DUMMYFUNCTION("""COMPUTED_VALUE"""),"86400")</f>
        <v>86400</v>
      </c>
      <c r="I134" s="18" t="str">
        <f ca="1">IFERROR(__xludf.DUMMYFUNCTION("""COMPUTED_VALUE"""),"N/A")</f>
        <v>N/A</v>
      </c>
      <c r="J134" s="18" t="str">
        <f ca="1">IFERROR(__xludf.DUMMYFUNCTION("""COMPUTED_VALUE"""),"N/A")</f>
        <v>N/A</v>
      </c>
      <c r="K134" s="18" t="str">
        <f ca="1">IFERROR(__xludf.DUMMYFUNCTION("""COMPUTED_VALUE"""),"N/A")</f>
        <v>N/A</v>
      </c>
      <c r="L134" s="18" t="str">
        <f ca="1">IFERROR(__xludf.DUMMYFUNCTION("""COMPUTED_VALUE"""),"N/A")</f>
        <v>N/A</v>
      </c>
      <c r="M134" s="18" t="str">
        <f ca="1">IFERROR(__xludf.DUMMYFUNCTION("""COMPUTED_VALUE"""),"N/A")</f>
        <v>N/A</v>
      </c>
      <c r="N134" s="18" t="str">
        <f ca="1">IFERROR(__xludf.DUMMYFUNCTION("""COMPUTED_VALUE"""),"N/A")</f>
        <v>N/A</v>
      </c>
      <c r="O134" s="18" t="str">
        <f ca="1">IFERROR(__xludf.DUMMYFUNCTION("""COMPUTED_VALUE"""),"N/A")</f>
        <v>N/A</v>
      </c>
      <c r="P134" s="18" t="str">
        <f ca="1">IFERROR(__xludf.DUMMYFUNCTION("""COMPUTED_VALUE"""),"N/A")</f>
        <v>N/A</v>
      </c>
      <c r="Q134" s="18" t="str">
        <f ca="1">IFERROR(__xludf.DUMMYFUNCTION("""COMPUTED_VALUE"""),"N/A")</f>
        <v>N/A</v>
      </c>
      <c r="R134" s="18" t="str">
        <f ca="1">IFERROR(__xludf.DUMMYFUNCTION("""COMPUTED_VALUE"""),"N/A")</f>
        <v>N/A</v>
      </c>
      <c r="S134" s="18" t="str">
        <f ca="1">IFERROR(__xludf.DUMMYFUNCTION("""COMPUTED_VALUE"""),"360")</f>
        <v>360</v>
      </c>
      <c r="T134" s="18" t="str">
        <f ca="1">IFERROR(__xludf.DUMMYFUNCTION("""COMPUTED_VALUE"""),"0xF0FC")</f>
        <v>0xF0FC</v>
      </c>
      <c r="U134" s="18" t="str">
        <f ca="1">IFERROR(__xludf.DUMMYFUNCTION("""COMPUTED_VALUE"""),"0x0A")</f>
        <v>0x0A</v>
      </c>
      <c r="V134" s="18" t="str">
        <f ca="1">IFERROR(__xludf.DUMMYFUNCTION("""COMPUTED_VALUE"""),"0x0104")</f>
        <v>0x0104</v>
      </c>
      <c r="W134" s="18" t="str">
        <f ca="1">IFERROR(__xludf.DUMMYFUNCTION("""COMPUTED_VALUE"""),"0x0201")</f>
        <v>0x0201</v>
      </c>
      <c r="X134" s="18" t="str">
        <f ca="1">IFERROR(__xludf.DUMMYFUNCTION("""COMPUTED_VALUE"""),"0x21")</f>
        <v>0x21</v>
      </c>
      <c r="Y134" s="18" t="e">
        <f ca="1"/>
        <v>#NAME?</v>
      </c>
      <c r="Z134" s="18" t="str">
        <f ca="1">IFERROR(__xludf.DUMMYFUNCTION("""COMPUTED_VALUE"""),"N/A")</f>
        <v>N/A</v>
      </c>
      <c r="AA134" s="18" t="str">
        <f ca="1">IFERROR(__xludf.DUMMYFUNCTION("""COMPUTED_VALUE"""),"N/A")</f>
        <v>N/A</v>
      </c>
      <c r="AC134" s="59" t="s">
        <v>1062</v>
      </c>
      <c r="AD134" s="59" t="s">
        <v>1062</v>
      </c>
      <c r="AE134" s="59" t="s">
        <v>1083</v>
      </c>
      <c r="AF134" s="59" t="s">
        <v>1089</v>
      </c>
      <c r="AG134" s="59" t="s">
        <v>1089</v>
      </c>
      <c r="AH134" s="59" t="s">
        <v>1092</v>
      </c>
      <c r="AI134" s="59" t="s">
        <v>1095</v>
      </c>
      <c r="AJ134" s="59" t="s">
        <v>1095</v>
      </c>
      <c r="AK134" s="59" t="s">
        <v>1095</v>
      </c>
      <c r="AL134" s="59" t="s">
        <v>1095</v>
      </c>
      <c r="AM134" s="59" t="s">
        <v>1095</v>
      </c>
      <c r="AN134" s="59" t="s">
        <v>1101</v>
      </c>
      <c r="AO134" s="59" t="s">
        <v>1101</v>
      </c>
      <c r="AP134" s="59" t="s">
        <v>1102</v>
      </c>
      <c r="AQ134" s="59" t="s">
        <v>1073</v>
      </c>
      <c r="AR134" s="59" t="s">
        <v>1073</v>
      </c>
      <c r="AS134" s="59" t="s">
        <v>1103</v>
      </c>
      <c r="AT134" s="59" t="s">
        <v>1103</v>
      </c>
    </row>
    <row r="135" spans="1:46" x14ac:dyDescent="0.25">
      <c r="A135" s="18" t="str">
        <v>unocc_delay_night_or_schedule:{"type":"attribute","data_type":"uint16","is_readonly":false,"reporting_type":"polled","poll_freq":86400,"default_value":1440,"zigbee_metadata":{"attr_id":61693,"endpoint_id":10,"profile_id":260,"cluster_id":513,"zcl_data_type":33}},</v>
      </c>
      <c r="B135" s="52" t="str">
        <f ca="1"/>
        <v>0x0201 0xF0FD</v>
      </c>
      <c r="C135" s="52" t="str">
        <f ca="1">IFERROR(__xludf.DUMMYFUNCTION("""COMPUTED_VALUE"""),"unocc_delay_night_or_schedule")</f>
        <v>unocc_delay_night_or_schedule</v>
      </c>
      <c r="D135" s="18" t="str">
        <f ca="1">IFERROR(__xludf.DUMMYFUNCTION("""COMPUTED_VALUE"""),"attribute")</f>
        <v>attribute</v>
      </c>
      <c r="E135" s="18" t="str">
        <f ca="1">IFERROR(__xludf.DUMMYFUNCTION("""COMPUTED_VALUE"""),"uint16")</f>
        <v>uint16</v>
      </c>
      <c r="F135" s="18" t="str">
        <f ca="1">IFERROR(__xludf.DUMMYFUNCTION("""COMPUTED_VALUE"""),"false")</f>
        <v>false</v>
      </c>
      <c r="G135" s="18" t="str">
        <f ca="1">IFERROR(__xludf.DUMMYFUNCTION("""COMPUTED_VALUE"""),"polled")</f>
        <v>polled</v>
      </c>
      <c r="H135" s="18" t="str">
        <f ca="1">IFERROR(__xludf.DUMMYFUNCTION("""COMPUTED_VALUE"""),"86400")</f>
        <v>86400</v>
      </c>
      <c r="I135" s="18" t="str">
        <f ca="1">IFERROR(__xludf.DUMMYFUNCTION("""COMPUTED_VALUE"""),"N/A")</f>
        <v>N/A</v>
      </c>
      <c r="J135" s="18" t="str">
        <f ca="1">IFERROR(__xludf.DUMMYFUNCTION("""COMPUTED_VALUE"""),"N/A")</f>
        <v>N/A</v>
      </c>
      <c r="K135" s="18" t="str">
        <f ca="1">IFERROR(__xludf.DUMMYFUNCTION("""COMPUTED_VALUE"""),"N/A")</f>
        <v>N/A</v>
      </c>
      <c r="L135" s="18" t="str">
        <f ca="1">IFERROR(__xludf.DUMMYFUNCTION("""COMPUTED_VALUE"""),"N/A")</f>
        <v>N/A</v>
      </c>
      <c r="M135" s="18" t="str">
        <f ca="1">IFERROR(__xludf.DUMMYFUNCTION("""COMPUTED_VALUE"""),"N/A")</f>
        <v>N/A</v>
      </c>
      <c r="N135" s="18" t="str">
        <f ca="1">IFERROR(__xludf.DUMMYFUNCTION("""COMPUTED_VALUE"""),"N/A")</f>
        <v>N/A</v>
      </c>
      <c r="O135" s="18" t="str">
        <f ca="1">IFERROR(__xludf.DUMMYFUNCTION("""COMPUTED_VALUE"""),"N/A")</f>
        <v>N/A</v>
      </c>
      <c r="P135" s="18" t="str">
        <f ca="1">IFERROR(__xludf.DUMMYFUNCTION("""COMPUTED_VALUE"""),"N/A")</f>
        <v>N/A</v>
      </c>
      <c r="Q135" s="18" t="str">
        <f ca="1">IFERROR(__xludf.DUMMYFUNCTION("""COMPUTED_VALUE"""),"N/A")</f>
        <v>N/A</v>
      </c>
      <c r="R135" s="18" t="str">
        <f ca="1">IFERROR(__xludf.DUMMYFUNCTION("""COMPUTED_VALUE"""),"N/A")</f>
        <v>N/A</v>
      </c>
      <c r="S135" s="18" t="str">
        <f ca="1">IFERROR(__xludf.DUMMYFUNCTION("""COMPUTED_VALUE"""),"1440")</f>
        <v>1440</v>
      </c>
      <c r="T135" s="18" t="str">
        <f ca="1">IFERROR(__xludf.DUMMYFUNCTION("""COMPUTED_VALUE"""),"0xF0FD")</f>
        <v>0xF0FD</v>
      </c>
      <c r="U135" s="18" t="str">
        <f ca="1">IFERROR(__xludf.DUMMYFUNCTION("""COMPUTED_VALUE"""),"0x0A")</f>
        <v>0x0A</v>
      </c>
      <c r="V135" s="18" t="str">
        <f ca="1">IFERROR(__xludf.DUMMYFUNCTION("""COMPUTED_VALUE"""),"0x0104")</f>
        <v>0x0104</v>
      </c>
      <c r="W135" s="18" t="str">
        <f ca="1">IFERROR(__xludf.DUMMYFUNCTION("""COMPUTED_VALUE"""),"0x0201")</f>
        <v>0x0201</v>
      </c>
      <c r="X135" s="18" t="str">
        <f ca="1">IFERROR(__xludf.DUMMYFUNCTION("""COMPUTED_VALUE"""),"0x21")</f>
        <v>0x21</v>
      </c>
      <c r="Y135" s="18" t="e">
        <f ca="1"/>
        <v>#NAME?</v>
      </c>
      <c r="Z135" s="18" t="str">
        <f ca="1">IFERROR(__xludf.DUMMYFUNCTION("""COMPUTED_VALUE"""),"N/A")</f>
        <v>N/A</v>
      </c>
      <c r="AA135" s="18" t="str">
        <f ca="1">IFERROR(__xludf.DUMMYFUNCTION("""COMPUTED_VALUE"""),"N/A")</f>
        <v>N/A</v>
      </c>
      <c r="AC135" s="59" t="s">
        <v>1065</v>
      </c>
      <c r="AD135" s="59" t="s">
        <v>1065</v>
      </c>
      <c r="AE135" s="59" t="s">
        <v>1086</v>
      </c>
      <c r="AF135" s="59" t="s">
        <v>1092</v>
      </c>
      <c r="AG135" s="59" t="s">
        <v>1092</v>
      </c>
      <c r="AH135" s="59" t="s">
        <v>1095</v>
      </c>
      <c r="AI135" s="59" t="s">
        <v>1098</v>
      </c>
      <c r="AJ135" s="59" t="s">
        <v>1098</v>
      </c>
      <c r="AK135" s="59" t="s">
        <v>1098</v>
      </c>
      <c r="AL135" s="59" t="s">
        <v>1098</v>
      </c>
      <c r="AM135" s="59" t="s">
        <v>1098</v>
      </c>
      <c r="AN135" s="59" t="s">
        <v>1104</v>
      </c>
      <c r="AO135" s="59" t="s">
        <v>1104</v>
      </c>
      <c r="AP135" s="59" t="s">
        <v>1105</v>
      </c>
      <c r="AQ135" s="59" t="s">
        <v>1076</v>
      </c>
      <c r="AR135" s="59" t="s">
        <v>1076</v>
      </c>
      <c r="AS135" s="59" t="s">
        <v>1106</v>
      </c>
      <c r="AT135" s="59" t="s">
        <v>1106</v>
      </c>
    </row>
    <row r="136" spans="1:46" x14ac:dyDescent="0.25">
      <c r="A136" s="18" t="str">
        <v>unocc_delay_deep_setback:{"type":"attribute","data_type":"uint16","is_readonly":false,"reporting_type":"polled","poll_freq":86400,"default_value":1440,"zigbee_metadata":{"attr_id":61694,"endpoint_id":10,"profile_id":260,"cluster_id":513,"zcl_data_type":33}},</v>
      </c>
      <c r="B136" s="52" t="str">
        <f ca="1"/>
        <v>0x0201 0xF0FE</v>
      </c>
      <c r="C136" s="52" t="str">
        <f ca="1">IFERROR(__xludf.DUMMYFUNCTION("""COMPUTED_VALUE"""),"unocc_delay_deep_setback")</f>
        <v>unocc_delay_deep_setback</v>
      </c>
      <c r="D136" s="18" t="str">
        <f ca="1">IFERROR(__xludf.DUMMYFUNCTION("""COMPUTED_VALUE"""),"attribute")</f>
        <v>attribute</v>
      </c>
      <c r="E136" s="18" t="str">
        <f ca="1">IFERROR(__xludf.DUMMYFUNCTION("""COMPUTED_VALUE"""),"uint16")</f>
        <v>uint16</v>
      </c>
      <c r="F136" s="18" t="str">
        <f ca="1">IFERROR(__xludf.DUMMYFUNCTION("""COMPUTED_VALUE"""),"false")</f>
        <v>false</v>
      </c>
      <c r="G136" s="18" t="str">
        <f ca="1">IFERROR(__xludf.DUMMYFUNCTION("""COMPUTED_VALUE"""),"polled")</f>
        <v>polled</v>
      </c>
      <c r="H136" s="18" t="str">
        <f ca="1">IFERROR(__xludf.DUMMYFUNCTION("""COMPUTED_VALUE"""),"86400")</f>
        <v>86400</v>
      </c>
      <c r="I136" s="18" t="str">
        <f ca="1">IFERROR(__xludf.DUMMYFUNCTION("""COMPUTED_VALUE"""),"N/A")</f>
        <v>N/A</v>
      </c>
      <c r="J136" s="18" t="str">
        <f ca="1">IFERROR(__xludf.DUMMYFUNCTION("""COMPUTED_VALUE"""),"N/A")</f>
        <v>N/A</v>
      </c>
      <c r="K136" s="18" t="str">
        <f ca="1">IFERROR(__xludf.DUMMYFUNCTION("""COMPUTED_VALUE"""),"N/A")</f>
        <v>N/A</v>
      </c>
      <c r="L136" s="18" t="str">
        <f ca="1">IFERROR(__xludf.DUMMYFUNCTION("""COMPUTED_VALUE"""),"N/A")</f>
        <v>N/A</v>
      </c>
      <c r="M136" s="18" t="str">
        <f ca="1">IFERROR(__xludf.DUMMYFUNCTION("""COMPUTED_VALUE"""),"N/A")</f>
        <v>N/A</v>
      </c>
      <c r="N136" s="18" t="str">
        <f ca="1">IFERROR(__xludf.DUMMYFUNCTION("""COMPUTED_VALUE"""),"N/A")</f>
        <v>N/A</v>
      </c>
      <c r="O136" s="18" t="str">
        <f ca="1">IFERROR(__xludf.DUMMYFUNCTION("""COMPUTED_VALUE"""),"N/A")</f>
        <v>N/A</v>
      </c>
      <c r="P136" s="18" t="str">
        <f ca="1">IFERROR(__xludf.DUMMYFUNCTION("""COMPUTED_VALUE"""),"N/A")</f>
        <v>N/A</v>
      </c>
      <c r="Q136" s="18" t="str">
        <f ca="1">IFERROR(__xludf.DUMMYFUNCTION("""COMPUTED_VALUE"""),"N/A")</f>
        <v>N/A</v>
      </c>
      <c r="R136" s="18" t="str">
        <f ca="1">IFERROR(__xludf.DUMMYFUNCTION("""COMPUTED_VALUE"""),"N/A")</f>
        <v>N/A</v>
      </c>
      <c r="S136" s="18" t="str">
        <f ca="1">IFERROR(__xludf.DUMMYFUNCTION("""COMPUTED_VALUE"""),"1440")</f>
        <v>1440</v>
      </c>
      <c r="T136" s="18" t="str">
        <f ca="1">IFERROR(__xludf.DUMMYFUNCTION("""COMPUTED_VALUE"""),"0xF0FE")</f>
        <v>0xF0FE</v>
      </c>
      <c r="U136" s="18" t="str">
        <f ca="1">IFERROR(__xludf.DUMMYFUNCTION("""COMPUTED_VALUE"""),"0x0A")</f>
        <v>0x0A</v>
      </c>
      <c r="V136" s="18" t="str">
        <f ca="1">IFERROR(__xludf.DUMMYFUNCTION("""COMPUTED_VALUE"""),"0x0104")</f>
        <v>0x0104</v>
      </c>
      <c r="W136" s="18" t="str">
        <f ca="1">IFERROR(__xludf.DUMMYFUNCTION("""COMPUTED_VALUE"""),"0x0201")</f>
        <v>0x0201</v>
      </c>
      <c r="X136" s="18" t="str">
        <f ca="1">IFERROR(__xludf.DUMMYFUNCTION("""COMPUTED_VALUE"""),"0x21")</f>
        <v>0x21</v>
      </c>
      <c r="Y136" s="18" t="e">
        <f ca="1"/>
        <v>#NAME?</v>
      </c>
      <c r="Z136" s="18" t="str">
        <f ca="1">IFERROR(__xludf.DUMMYFUNCTION("""COMPUTED_VALUE"""),"N/A")</f>
        <v>N/A</v>
      </c>
      <c r="AA136" s="18" t="str">
        <f ca="1">IFERROR(__xludf.DUMMYFUNCTION("""COMPUTED_VALUE"""),"N/A")</f>
        <v>N/A</v>
      </c>
      <c r="AC136" s="59" t="s">
        <v>1068</v>
      </c>
      <c r="AD136" s="59" t="s">
        <v>1068</v>
      </c>
      <c r="AE136" s="59" t="s">
        <v>1089</v>
      </c>
      <c r="AF136" s="59" t="s">
        <v>1095</v>
      </c>
      <c r="AG136" s="59" t="s">
        <v>1095</v>
      </c>
      <c r="AH136" s="59" t="s">
        <v>1098</v>
      </c>
      <c r="AI136" s="59" t="s">
        <v>1107</v>
      </c>
      <c r="AJ136" s="59" t="s">
        <v>1107</v>
      </c>
      <c r="AK136" s="59" t="s">
        <v>1107</v>
      </c>
      <c r="AL136" s="59" t="s">
        <v>1101</v>
      </c>
      <c r="AM136" s="59" t="s">
        <v>1101</v>
      </c>
      <c r="AN136" s="59" t="s">
        <v>1108</v>
      </c>
      <c r="AO136" s="59" t="s">
        <v>1108</v>
      </c>
      <c r="AP136" s="59" t="s">
        <v>1109</v>
      </c>
      <c r="AQ136" s="59" t="s">
        <v>1079</v>
      </c>
      <c r="AR136" s="59" t="s">
        <v>1079</v>
      </c>
      <c r="AS136" s="59" t="s">
        <v>1110</v>
      </c>
      <c r="AT136" s="59" t="s">
        <v>1110</v>
      </c>
    </row>
    <row r="137" spans="1:46" x14ac:dyDescent="0.25">
      <c r="A137" s="18" t="str">
        <v>config_menu_password:{"type":"attribute","data_type":"uint16","is_readonly":false,"reporting_type":"polled","poll_freq":86400,"default_value":50554,"zigbee_metadata":{"attr_id":0,"endpoint_id":10,"profile_id":260,"cluster_id":64517,"zcl_data_type":33}},</v>
      </c>
      <c r="B137" s="52" t="str">
        <f ca="1"/>
        <v>0xFC05 0x0000</v>
      </c>
      <c r="C137" s="52" t="str">
        <f ca="1">IFERROR(__xludf.DUMMYFUNCTION("""COMPUTED_VALUE"""),"config_menu_password")</f>
        <v>config_menu_password</v>
      </c>
      <c r="D137" s="18" t="str">
        <f ca="1">IFERROR(__xludf.DUMMYFUNCTION("""COMPUTED_VALUE"""),"attribute")</f>
        <v>attribute</v>
      </c>
      <c r="E137" s="18" t="str">
        <f ca="1">IFERROR(__xludf.DUMMYFUNCTION("""COMPUTED_VALUE"""),"uint16")</f>
        <v>uint16</v>
      </c>
      <c r="F137" s="18" t="str">
        <f ca="1">IFERROR(__xludf.DUMMYFUNCTION("""COMPUTED_VALUE"""),"false")</f>
        <v>false</v>
      </c>
      <c r="G137" s="18" t="str">
        <f ca="1">IFERROR(__xludf.DUMMYFUNCTION("""COMPUTED_VALUE"""),"polled")</f>
        <v>polled</v>
      </c>
      <c r="H137" s="18" t="str">
        <f ca="1">IFERROR(__xludf.DUMMYFUNCTION("""COMPUTED_VALUE"""),"86400")</f>
        <v>86400</v>
      </c>
      <c r="I137" s="18" t="str">
        <f ca="1">IFERROR(__xludf.DUMMYFUNCTION("""COMPUTED_VALUE"""),"N/A")</f>
        <v>N/A</v>
      </c>
      <c r="J137" s="18" t="str">
        <f ca="1">IFERROR(__xludf.DUMMYFUNCTION("""COMPUTED_VALUE"""),"N/A")</f>
        <v>N/A</v>
      </c>
      <c r="K137" s="18" t="str">
        <f ca="1">IFERROR(__xludf.DUMMYFUNCTION("""COMPUTED_VALUE"""),"N/A")</f>
        <v>N/A</v>
      </c>
      <c r="L137" s="18" t="str">
        <f ca="1">IFERROR(__xludf.DUMMYFUNCTION("""COMPUTED_VALUE"""),"N/A")</f>
        <v>N/A</v>
      </c>
      <c r="M137" s="18" t="str">
        <f ca="1">IFERROR(__xludf.DUMMYFUNCTION("""COMPUTED_VALUE"""),"N/A")</f>
        <v>N/A</v>
      </c>
      <c r="N137" s="18" t="str">
        <f ca="1">IFERROR(__xludf.DUMMYFUNCTION("""COMPUTED_VALUE"""),"N/A")</f>
        <v>N/A</v>
      </c>
      <c r="O137" s="18" t="str">
        <f ca="1">IFERROR(__xludf.DUMMYFUNCTION("""COMPUTED_VALUE"""),"N/A")</f>
        <v>N/A</v>
      </c>
      <c r="P137" s="18" t="str">
        <f ca="1">IFERROR(__xludf.DUMMYFUNCTION("""COMPUTED_VALUE"""),"N/A")</f>
        <v>N/A</v>
      </c>
      <c r="Q137" s="18" t="str">
        <f ca="1">IFERROR(__xludf.DUMMYFUNCTION("""COMPUTED_VALUE"""),"N/A")</f>
        <v>N/A</v>
      </c>
      <c r="R137" s="18" t="str">
        <f ca="1">IFERROR(__xludf.DUMMYFUNCTION("""COMPUTED_VALUE"""),"N/A")</f>
        <v>N/A</v>
      </c>
      <c r="S137" s="18" t="str">
        <f ca="1">IFERROR(__xludf.DUMMYFUNCTION("""COMPUTED_VALUE"""),"50554")</f>
        <v>50554</v>
      </c>
      <c r="T137" s="18" t="str">
        <f ca="1">IFERROR(__xludf.DUMMYFUNCTION("""COMPUTED_VALUE"""),"0x0000")</f>
        <v>0x0000</v>
      </c>
      <c r="U137" s="18" t="str">
        <f ca="1">IFERROR(__xludf.DUMMYFUNCTION("""COMPUTED_VALUE"""),"0x0A")</f>
        <v>0x0A</v>
      </c>
      <c r="V137" s="18" t="str">
        <f ca="1">IFERROR(__xludf.DUMMYFUNCTION("""COMPUTED_VALUE"""),"0x0104")</f>
        <v>0x0104</v>
      </c>
      <c r="W137" s="18" t="str">
        <f ca="1">IFERROR(__xludf.DUMMYFUNCTION("""COMPUTED_VALUE"""),"0xFC05")</f>
        <v>0xFC05</v>
      </c>
      <c r="X137" s="18" t="str">
        <f ca="1">IFERROR(__xludf.DUMMYFUNCTION("""COMPUTED_VALUE"""),"0x21")</f>
        <v>0x21</v>
      </c>
      <c r="Y137" s="18" t="e">
        <f ca="1"/>
        <v>#NAME?</v>
      </c>
      <c r="Z137" s="18" t="str">
        <f ca="1">IFERROR(__xludf.DUMMYFUNCTION("""COMPUTED_VALUE"""),"N/A")</f>
        <v>N/A</v>
      </c>
      <c r="AA137" s="18" t="str">
        <f ca="1">IFERROR(__xludf.DUMMYFUNCTION("""COMPUTED_VALUE"""),"N/A")</f>
        <v>N/A</v>
      </c>
      <c r="AC137" s="59" t="s">
        <v>1071</v>
      </c>
      <c r="AD137" s="59" t="s">
        <v>1071</v>
      </c>
      <c r="AE137" s="59" t="s">
        <v>1092</v>
      </c>
      <c r="AF137" s="59" t="s">
        <v>1098</v>
      </c>
      <c r="AG137" s="59" t="s">
        <v>1098</v>
      </c>
      <c r="AH137" s="59" t="s">
        <v>1107</v>
      </c>
      <c r="AI137" s="59" t="s">
        <v>1111</v>
      </c>
      <c r="AJ137" s="59" t="s">
        <v>1111</v>
      </c>
      <c r="AK137" s="59" t="s">
        <v>1111</v>
      </c>
      <c r="AL137" s="59" t="s">
        <v>1104</v>
      </c>
      <c r="AM137" s="59" t="s">
        <v>1104</v>
      </c>
      <c r="AN137" s="59" t="s">
        <v>1112</v>
      </c>
      <c r="AO137" s="59" t="s">
        <v>1112</v>
      </c>
      <c r="AP137" s="59" t="s">
        <v>1113</v>
      </c>
      <c r="AQ137" s="59" t="s">
        <v>1082</v>
      </c>
      <c r="AR137" s="59" t="s">
        <v>1082</v>
      </c>
      <c r="AS137" s="59" t="s">
        <v>1114</v>
      </c>
      <c r="AT137" s="59" t="s">
        <v>1114</v>
      </c>
    </row>
    <row r="138" spans="1:46" x14ac:dyDescent="0.25">
      <c r="A138" s="18" t="str">
        <v>display_home_detailed:{"type":"attribute","data_type":"enum","is_readonly":false,"reporting_type":"polled","poll_freq":86400,"enum_values":["minimal","medium","maximal"],"default_value":"medium","zigbee_metadata":{"attr_id":5,"endpoint_id":10,"profile_id":260,"cluster_id":64517,"zcl_data_type":48,"write_formatter":"lambdax:{'minimal':0,'medium':1,'maximal':2}[x]","read_formatter":"lambdax:{0:'minimal',1:'medium',2:'maximal'}.get(x,'unknown')"}},</v>
      </c>
      <c r="B138" s="52" t="str">
        <f ca="1"/>
        <v>0xFC05 0x0005</v>
      </c>
      <c r="C138" s="52" t="str">
        <f ca="1">IFERROR(__xludf.DUMMYFUNCTION("""COMPUTED_VALUE"""),"display_home_detailed")</f>
        <v>display_home_detailed</v>
      </c>
      <c r="D138" s="18" t="str">
        <f ca="1">IFERROR(__xludf.DUMMYFUNCTION("""COMPUTED_VALUE"""),"attribute")</f>
        <v>attribute</v>
      </c>
      <c r="E138" s="18" t="str">
        <f ca="1">IFERROR(__xludf.DUMMYFUNCTION("""COMPUTED_VALUE"""),"enum")</f>
        <v>enum</v>
      </c>
      <c r="F138" s="18" t="str">
        <f ca="1">IFERROR(__xludf.DUMMYFUNCTION("""COMPUTED_VALUE"""),"false")</f>
        <v>false</v>
      </c>
      <c r="G138" s="18" t="str">
        <f ca="1">IFERROR(__xludf.DUMMYFUNCTION("""COMPUTED_VALUE"""),"polled")</f>
        <v>polled</v>
      </c>
      <c r="H138" s="18" t="str">
        <f ca="1">IFERROR(__xludf.DUMMYFUNCTION("""COMPUTED_VALUE"""),"86400")</f>
        <v>86400</v>
      </c>
      <c r="I138" s="18" t="str">
        <f ca="1">IFERROR(__xludf.DUMMYFUNCTION("""COMPUTED_VALUE"""),"N/A")</f>
        <v>N/A</v>
      </c>
      <c r="J138" s="18" t="str">
        <f ca="1">IFERROR(__xludf.DUMMYFUNCTION("""COMPUTED_VALUE"""),"N/A")</f>
        <v>N/A</v>
      </c>
      <c r="K138" s="18" t="str">
        <f ca="1">IFERROR(__xludf.DUMMYFUNCTION("""COMPUTED_VALUE"""),"N/A")</f>
        <v>N/A</v>
      </c>
      <c r="L138" s="18" t="str">
        <f ca="1">IFERROR(__xludf.DUMMYFUNCTION("""COMPUTED_VALUE"""),"N/A")</f>
        <v>N/A</v>
      </c>
      <c r="M138" s="18" t="str">
        <f ca="1">IFERROR(__xludf.DUMMYFUNCTION("""COMPUTED_VALUE"""),"N/A")</f>
        <v>N/A</v>
      </c>
      <c r="N138" s="18" t="str">
        <f ca="1">IFERROR(__xludf.DUMMYFUNCTION("""COMPUTED_VALUE"""),"N/A")</f>
        <v>N/A</v>
      </c>
      <c r="O138" s="18" t="str">
        <f ca="1">IFERROR(__xludf.DUMMYFUNCTION("""COMPUTED_VALUE"""),"N/A")</f>
        <v>N/A</v>
      </c>
      <c r="P138" s="18" t="str">
        <f ca="1">IFERROR(__xludf.DUMMYFUNCTION("""COMPUTED_VALUE"""),"""minimal"",""medium"",""maximal""")</f>
        <v>"minimal","medium","maximal"</v>
      </c>
      <c r="Q138" s="18" t="str">
        <f ca="1">IFERROR(__xludf.DUMMYFUNCTION("""COMPUTED_VALUE"""),"N/A")</f>
        <v>N/A</v>
      </c>
      <c r="R138" s="18" t="str">
        <f ca="1">IFERROR(__xludf.DUMMYFUNCTION("""COMPUTED_VALUE"""),"N/A")</f>
        <v>N/A</v>
      </c>
      <c r="S138" s="18" t="str">
        <f ca="1">IFERROR(__xludf.DUMMYFUNCTION("""COMPUTED_VALUE"""),"""medium""")</f>
        <v>"medium"</v>
      </c>
      <c r="T138" s="18" t="str">
        <f ca="1">IFERROR(__xludf.DUMMYFUNCTION("""COMPUTED_VALUE"""),"0x0005")</f>
        <v>0x0005</v>
      </c>
      <c r="U138" s="18" t="str">
        <f ca="1">IFERROR(__xludf.DUMMYFUNCTION("""COMPUTED_VALUE"""),"0x0A")</f>
        <v>0x0A</v>
      </c>
      <c r="V138" s="18" t="str">
        <f ca="1">IFERROR(__xludf.DUMMYFUNCTION("""COMPUTED_VALUE"""),"0x0104")</f>
        <v>0x0104</v>
      </c>
      <c r="W138" s="18" t="str">
        <f ca="1">IFERROR(__xludf.DUMMYFUNCTION("""COMPUTED_VALUE"""),"0xFC05")</f>
        <v>0xFC05</v>
      </c>
      <c r="X138" s="18" t="str">
        <f ca="1">IFERROR(__xludf.DUMMYFUNCTION("""COMPUTED_VALUE"""),"0x30")</f>
        <v>0x30</v>
      </c>
      <c r="Y138" s="18" t="e">
        <f ca="1"/>
        <v>#NAME?</v>
      </c>
      <c r="Z138" s="18" t="str">
        <f ca="1">IFERROR(__xludf.DUMMYFUNCTION("""COMPUTED_VALUE"""),"lambdax:{'minimal':0,'medium':1,'maximal':2}[x]")</f>
        <v>lambdax:{'minimal':0,'medium':1,'maximal':2}[x]</v>
      </c>
      <c r="AA138" s="18" t="str">
        <f ca="1">IFERROR(__xludf.DUMMYFUNCTION("""COMPUTED_VALUE"""),"lambdax:{0:'minimal',1:'medium',2:'maximal'}.get(x,'unknown')")</f>
        <v>lambdax:{0:'minimal',1:'medium',2:'maximal'}.get(x,'unknown')</v>
      </c>
      <c r="AC138" s="59" t="s">
        <v>1074</v>
      </c>
      <c r="AD138" s="59" t="s">
        <v>1074</v>
      </c>
      <c r="AE138" s="59" t="s">
        <v>1095</v>
      </c>
      <c r="AF138" s="59" t="s">
        <v>1107</v>
      </c>
      <c r="AG138" s="59" t="s">
        <v>1107</v>
      </c>
      <c r="AH138" s="59" t="s">
        <v>1111</v>
      </c>
      <c r="AI138" s="59" t="s">
        <v>1115</v>
      </c>
      <c r="AJ138" s="59" t="s">
        <v>1115</v>
      </c>
      <c r="AK138" s="59" t="s">
        <v>1115</v>
      </c>
      <c r="AL138" s="59" t="s">
        <v>1108</v>
      </c>
      <c r="AM138" s="59" t="s">
        <v>1108</v>
      </c>
      <c r="AN138" s="59" t="s">
        <v>1116</v>
      </c>
      <c r="AO138" s="59" t="s">
        <v>1116</v>
      </c>
      <c r="AP138" s="59" t="s">
        <v>1117</v>
      </c>
      <c r="AQ138" s="59" t="s">
        <v>1085</v>
      </c>
      <c r="AR138" s="59" t="s">
        <v>1085</v>
      </c>
      <c r="AS138" s="59" t="s">
        <v>1118</v>
      </c>
      <c r="AT138" s="59" t="s">
        <v>1118</v>
      </c>
    </row>
    <row r="139" spans="1:46" x14ac:dyDescent="0.25">
      <c r="A139" s="18" t="str">
        <v>haptic_enabled:{"type":"attribute","data_type":"enum","is_readonly":false,"reporting_type":"polled","poll_freq":86400,"enum_values":["off","on","line_powered"],"default_value":"line_powered","zigbee_metadata":{"attr_id":9,"endpoint_id":10,"profile_id":260,"cluster_id":64517,"zcl_data_type":48,"write_formatter":"lambdax:{'off':0,'on':1,'line_powered':2}[x]","read_formatter":"lambdax:{0:'off',1:'on',2:'line_powered'}.get(x,'unknown')"}},</v>
      </c>
      <c r="B139" s="52" t="str">
        <f ca="1"/>
        <v>0xFC05 0x0009</v>
      </c>
      <c r="C139" s="52" t="str">
        <f ca="1">IFERROR(__xludf.DUMMYFUNCTION("""COMPUTED_VALUE"""),"haptic_enabled")</f>
        <v>haptic_enabled</v>
      </c>
      <c r="D139" s="18" t="str">
        <f ca="1">IFERROR(__xludf.DUMMYFUNCTION("""COMPUTED_VALUE"""),"attribute")</f>
        <v>attribute</v>
      </c>
      <c r="E139" s="18" t="str">
        <f ca="1">IFERROR(__xludf.DUMMYFUNCTION("""COMPUTED_VALUE"""),"enum")</f>
        <v>enum</v>
      </c>
      <c r="F139" s="18" t="str">
        <f ca="1">IFERROR(__xludf.DUMMYFUNCTION("""COMPUTED_VALUE"""),"false")</f>
        <v>false</v>
      </c>
      <c r="G139" s="18" t="str">
        <f ca="1">IFERROR(__xludf.DUMMYFUNCTION("""COMPUTED_VALUE"""),"polled")</f>
        <v>polled</v>
      </c>
      <c r="H139" s="18" t="str">
        <f ca="1">IFERROR(__xludf.DUMMYFUNCTION("""COMPUTED_VALUE"""),"86400")</f>
        <v>86400</v>
      </c>
      <c r="I139" s="18" t="str">
        <f ca="1">IFERROR(__xludf.DUMMYFUNCTION("""COMPUTED_VALUE"""),"N/A")</f>
        <v>N/A</v>
      </c>
      <c r="J139" s="18" t="str">
        <f ca="1">IFERROR(__xludf.DUMMYFUNCTION("""COMPUTED_VALUE"""),"N/A")</f>
        <v>N/A</v>
      </c>
      <c r="K139" s="18" t="str">
        <f ca="1">IFERROR(__xludf.DUMMYFUNCTION("""COMPUTED_VALUE"""),"N/A")</f>
        <v>N/A</v>
      </c>
      <c r="L139" s="18" t="str">
        <f ca="1">IFERROR(__xludf.DUMMYFUNCTION("""COMPUTED_VALUE"""),"N/A")</f>
        <v>N/A</v>
      </c>
      <c r="M139" s="18" t="str">
        <f ca="1">IFERROR(__xludf.DUMMYFUNCTION("""COMPUTED_VALUE"""),"N/A")</f>
        <v>N/A</v>
      </c>
      <c r="N139" s="18" t="str">
        <f ca="1">IFERROR(__xludf.DUMMYFUNCTION("""COMPUTED_VALUE"""),"N/A")</f>
        <v>N/A</v>
      </c>
      <c r="O139" s="18" t="str">
        <f ca="1">IFERROR(__xludf.DUMMYFUNCTION("""COMPUTED_VALUE"""),"N/A")</f>
        <v>N/A</v>
      </c>
      <c r="P139" s="18" t="str">
        <f ca="1">IFERROR(__xludf.DUMMYFUNCTION("""COMPUTED_VALUE"""),"""off"",""on"",""line_powered""")</f>
        <v>"off","on","line_powered"</v>
      </c>
      <c r="Q139" s="18" t="str">
        <f ca="1">IFERROR(__xludf.DUMMYFUNCTION("""COMPUTED_VALUE"""),"N/A")</f>
        <v>N/A</v>
      </c>
      <c r="R139" s="18" t="str">
        <f ca="1">IFERROR(__xludf.DUMMYFUNCTION("""COMPUTED_VALUE"""),"N/A")</f>
        <v>N/A</v>
      </c>
      <c r="S139" s="18" t="str">
        <f ca="1">IFERROR(__xludf.DUMMYFUNCTION("""COMPUTED_VALUE"""),"""line_powered""")</f>
        <v>"line_powered"</v>
      </c>
      <c r="T139" s="18" t="str">
        <f ca="1">IFERROR(__xludf.DUMMYFUNCTION("""COMPUTED_VALUE"""),"0x0009")</f>
        <v>0x0009</v>
      </c>
      <c r="U139" s="18" t="str">
        <f ca="1">IFERROR(__xludf.DUMMYFUNCTION("""COMPUTED_VALUE"""),"0x0A")</f>
        <v>0x0A</v>
      </c>
      <c r="V139" s="18" t="str">
        <f ca="1">IFERROR(__xludf.DUMMYFUNCTION("""COMPUTED_VALUE"""),"0x0104")</f>
        <v>0x0104</v>
      </c>
      <c r="W139" s="18" t="str">
        <f ca="1">IFERROR(__xludf.DUMMYFUNCTION("""COMPUTED_VALUE"""),"0xFC05")</f>
        <v>0xFC05</v>
      </c>
      <c r="X139" s="18" t="str">
        <f ca="1">IFERROR(__xludf.DUMMYFUNCTION("""COMPUTED_VALUE"""),"0x30")</f>
        <v>0x30</v>
      </c>
      <c r="Y139" s="18" t="e">
        <f ca="1"/>
        <v>#NAME?</v>
      </c>
      <c r="Z139" s="18" t="str">
        <f ca="1">IFERROR(__xludf.DUMMYFUNCTION("""COMPUTED_VALUE"""),"lambdax:{'off':0,'on':1,'line_powered':2}[x]")</f>
        <v>lambdax:{'off':0,'on':1,'line_powered':2}[x]</v>
      </c>
      <c r="AA139" s="18" t="str">
        <f ca="1">IFERROR(__xludf.DUMMYFUNCTION("""COMPUTED_VALUE"""),"lambdax:{0:'off',1:'on',2:'line_powered'}.get(x,'unknown')")</f>
        <v>lambdax:{0:'off',1:'on',2:'line_powered'}.get(x,'unknown')</v>
      </c>
      <c r="AC139" s="59" t="s">
        <v>1077</v>
      </c>
      <c r="AD139" s="59" t="s">
        <v>1077</v>
      </c>
      <c r="AE139" s="59" t="s">
        <v>1098</v>
      </c>
      <c r="AF139" s="59" t="s">
        <v>1111</v>
      </c>
      <c r="AG139" s="59" t="s">
        <v>1111</v>
      </c>
      <c r="AH139" s="59" t="s">
        <v>1115</v>
      </c>
      <c r="AI139" s="59" t="s">
        <v>1119</v>
      </c>
      <c r="AJ139" s="59" t="s">
        <v>1119</v>
      </c>
      <c r="AK139" s="59" t="s">
        <v>1119</v>
      </c>
      <c r="AL139" s="59" t="s">
        <v>1112</v>
      </c>
      <c r="AM139" s="59" t="s">
        <v>1112</v>
      </c>
      <c r="AN139" s="59" t="s">
        <v>1120</v>
      </c>
      <c r="AO139" s="59" t="s">
        <v>1120</v>
      </c>
      <c r="AP139" s="59" t="s">
        <v>1121</v>
      </c>
      <c r="AQ139" s="59" t="s">
        <v>1088</v>
      </c>
      <c r="AR139" s="59" t="s">
        <v>1088</v>
      </c>
      <c r="AS139" s="59" t="s">
        <v>1122</v>
      </c>
      <c r="AT139" s="59" t="s">
        <v>1122</v>
      </c>
    </row>
    <row r="140" spans="1:46" x14ac:dyDescent="0.25">
      <c r="A140" s="18" t="str">
        <v>display_brightness_high_light:{"type":"attribute","data_type":"uint16","is_readonly":false,"reporting_type":"polled","poll_freq":86400,"min":1,"default_value":32000,"zigbee_metadata":{"attr_id":13,"endpoint_id":10,"profile_id":260,"cluster_id":64517,"zcl_data_type":33}},</v>
      </c>
      <c r="B140" s="52" t="str">
        <f ca="1"/>
        <v>0xFC05 0x000D</v>
      </c>
      <c r="C140" s="52" t="str">
        <f ca="1">IFERROR(__xludf.DUMMYFUNCTION("""COMPUTED_VALUE"""),"display_brightness_high_light")</f>
        <v>display_brightness_high_light</v>
      </c>
      <c r="D140" s="18" t="str">
        <f ca="1">IFERROR(__xludf.DUMMYFUNCTION("""COMPUTED_VALUE"""),"attribute")</f>
        <v>attribute</v>
      </c>
      <c r="E140" s="18" t="str">
        <f ca="1">IFERROR(__xludf.DUMMYFUNCTION("""COMPUTED_VALUE"""),"uint16")</f>
        <v>uint16</v>
      </c>
      <c r="F140" s="18" t="str">
        <f ca="1">IFERROR(__xludf.DUMMYFUNCTION("""COMPUTED_VALUE"""),"false")</f>
        <v>false</v>
      </c>
      <c r="G140" s="18" t="str">
        <f ca="1">IFERROR(__xludf.DUMMYFUNCTION("""COMPUTED_VALUE"""),"polled")</f>
        <v>polled</v>
      </c>
      <c r="H140" s="18" t="str">
        <f ca="1">IFERROR(__xludf.DUMMYFUNCTION("""COMPUTED_VALUE"""),"86400")</f>
        <v>86400</v>
      </c>
      <c r="I140" s="18" t="str">
        <f ca="1">IFERROR(__xludf.DUMMYFUNCTION("""COMPUTED_VALUE"""),"N/A")</f>
        <v>N/A</v>
      </c>
      <c r="J140" s="18" t="str">
        <f ca="1">IFERROR(__xludf.DUMMYFUNCTION("""COMPUTED_VALUE"""),"N/A")</f>
        <v>N/A</v>
      </c>
      <c r="K140" s="18" t="str">
        <f ca="1">IFERROR(__xludf.DUMMYFUNCTION("""COMPUTED_VALUE"""),"N/A")</f>
        <v>N/A</v>
      </c>
      <c r="L140" s="18" t="str">
        <f ca="1">IFERROR(__xludf.DUMMYFUNCTION("""COMPUTED_VALUE"""),"N/A")</f>
        <v>N/A</v>
      </c>
      <c r="M140" s="18" t="str">
        <f ca="1">IFERROR(__xludf.DUMMYFUNCTION("""COMPUTED_VALUE"""),"1")</f>
        <v>1</v>
      </c>
      <c r="N140" s="18" t="str">
        <f ca="1">IFERROR(__xludf.DUMMYFUNCTION("""COMPUTED_VALUE"""),"N/A")</f>
        <v>N/A</v>
      </c>
      <c r="O140" s="18" t="str">
        <f ca="1">IFERROR(__xludf.DUMMYFUNCTION("""COMPUTED_VALUE"""),"N/A")</f>
        <v>N/A</v>
      </c>
      <c r="P140" s="18" t="str">
        <f ca="1">IFERROR(__xludf.DUMMYFUNCTION("""COMPUTED_VALUE"""),"N/A")</f>
        <v>N/A</v>
      </c>
      <c r="Q140" s="18" t="str">
        <f ca="1">IFERROR(__xludf.DUMMYFUNCTION("""COMPUTED_VALUE"""),"N/A")</f>
        <v>N/A</v>
      </c>
      <c r="R140" s="18" t="str">
        <f ca="1">IFERROR(__xludf.DUMMYFUNCTION("""COMPUTED_VALUE"""),"N/A")</f>
        <v>N/A</v>
      </c>
      <c r="S140" s="18" t="str">
        <f ca="1">IFERROR(__xludf.DUMMYFUNCTION("""COMPUTED_VALUE"""),"32000")</f>
        <v>32000</v>
      </c>
      <c r="T140" s="18" t="str">
        <f ca="1">IFERROR(__xludf.DUMMYFUNCTION("""COMPUTED_VALUE"""),"0x000D")</f>
        <v>0x000D</v>
      </c>
      <c r="U140" s="18" t="str">
        <f ca="1">IFERROR(__xludf.DUMMYFUNCTION("""COMPUTED_VALUE"""),"0x0A")</f>
        <v>0x0A</v>
      </c>
      <c r="V140" s="18" t="str">
        <f ca="1">IFERROR(__xludf.DUMMYFUNCTION("""COMPUTED_VALUE"""),"0x0104")</f>
        <v>0x0104</v>
      </c>
      <c r="W140" s="18" t="str">
        <f ca="1">IFERROR(__xludf.DUMMYFUNCTION("""COMPUTED_VALUE"""),"0xFC05")</f>
        <v>0xFC05</v>
      </c>
      <c r="X140" s="18" t="str">
        <f ca="1">IFERROR(__xludf.DUMMYFUNCTION("""COMPUTED_VALUE"""),"0x21")</f>
        <v>0x21</v>
      </c>
      <c r="Y140" s="18" t="e">
        <f ca="1"/>
        <v>#NAME?</v>
      </c>
      <c r="Z140" s="18" t="str">
        <f ca="1">IFERROR(__xludf.DUMMYFUNCTION("""COMPUTED_VALUE"""),"N/A")</f>
        <v>N/A</v>
      </c>
      <c r="AA140" s="18" t="str">
        <f ca="1">IFERROR(__xludf.DUMMYFUNCTION("""COMPUTED_VALUE"""),"N/A")</f>
        <v>N/A</v>
      </c>
      <c r="AC140" s="59" t="s">
        <v>1080</v>
      </c>
      <c r="AD140" s="59" t="s">
        <v>1080</v>
      </c>
      <c r="AE140" s="59" t="s">
        <v>1107</v>
      </c>
      <c r="AF140" s="59" t="s">
        <v>1115</v>
      </c>
      <c r="AG140" s="59" t="s">
        <v>1115</v>
      </c>
      <c r="AH140" s="59" t="s">
        <v>1119</v>
      </c>
      <c r="AI140" s="59" t="s">
        <v>1116</v>
      </c>
      <c r="AJ140" s="59" t="s">
        <v>1116</v>
      </c>
      <c r="AK140" s="59" t="s">
        <v>1116</v>
      </c>
      <c r="AL140" s="59" t="s">
        <v>1116</v>
      </c>
      <c r="AM140" s="59" t="s">
        <v>1116</v>
      </c>
      <c r="AN140" s="59" t="s">
        <v>1123</v>
      </c>
      <c r="AO140" s="59" t="s">
        <v>1123</v>
      </c>
      <c r="AP140" s="59" t="s">
        <v>1124</v>
      </c>
      <c r="AQ140" s="59" t="s">
        <v>1091</v>
      </c>
      <c r="AR140" s="59" t="s">
        <v>1091</v>
      </c>
      <c r="AS140" s="59" t="s">
        <v>1125</v>
      </c>
      <c r="AT140" s="59" t="s">
        <v>1125</v>
      </c>
    </row>
    <row r="141" spans="1:46" x14ac:dyDescent="0.25">
      <c r="A141" s="18" t="str">
        <v>display_brightness_low_light:{"type":"attribute","data_type":"uint16","is_readonly":false,"reporting_type":"polled","poll_freq":86400,"min":1,"default_value":400,"zigbee_metadata":{"attr_id":14,"endpoint_id":10,"profile_id":260,"cluster_id":64517,"zcl_data_type":33}},</v>
      </c>
      <c r="B141" s="52" t="str">
        <f ca="1"/>
        <v>0xFC05 0x000E</v>
      </c>
      <c r="C141" s="52" t="str">
        <f ca="1">IFERROR(__xludf.DUMMYFUNCTION("""COMPUTED_VALUE"""),"display_brightness_low_light")</f>
        <v>display_brightness_low_light</v>
      </c>
      <c r="D141" s="18" t="str">
        <f ca="1">IFERROR(__xludf.DUMMYFUNCTION("""COMPUTED_VALUE"""),"attribute")</f>
        <v>attribute</v>
      </c>
      <c r="E141" s="18" t="str">
        <f ca="1">IFERROR(__xludf.DUMMYFUNCTION("""COMPUTED_VALUE"""),"uint16")</f>
        <v>uint16</v>
      </c>
      <c r="F141" s="18" t="str">
        <f ca="1">IFERROR(__xludf.DUMMYFUNCTION("""COMPUTED_VALUE"""),"false")</f>
        <v>false</v>
      </c>
      <c r="G141" s="18" t="str">
        <f ca="1">IFERROR(__xludf.DUMMYFUNCTION("""COMPUTED_VALUE"""),"polled")</f>
        <v>polled</v>
      </c>
      <c r="H141" s="18" t="str">
        <f ca="1">IFERROR(__xludf.DUMMYFUNCTION("""COMPUTED_VALUE"""),"86400")</f>
        <v>86400</v>
      </c>
      <c r="I141" s="18" t="str">
        <f ca="1">IFERROR(__xludf.DUMMYFUNCTION("""COMPUTED_VALUE"""),"N/A")</f>
        <v>N/A</v>
      </c>
      <c r="J141" s="18" t="str">
        <f ca="1">IFERROR(__xludf.DUMMYFUNCTION("""COMPUTED_VALUE"""),"N/A")</f>
        <v>N/A</v>
      </c>
      <c r="K141" s="18" t="str">
        <f ca="1">IFERROR(__xludf.DUMMYFUNCTION("""COMPUTED_VALUE"""),"N/A")</f>
        <v>N/A</v>
      </c>
      <c r="L141" s="18" t="str">
        <f ca="1">IFERROR(__xludf.DUMMYFUNCTION("""COMPUTED_VALUE"""),"N/A")</f>
        <v>N/A</v>
      </c>
      <c r="M141" s="18" t="str">
        <f ca="1">IFERROR(__xludf.DUMMYFUNCTION("""COMPUTED_VALUE"""),"1")</f>
        <v>1</v>
      </c>
      <c r="N141" s="18" t="str">
        <f ca="1">IFERROR(__xludf.DUMMYFUNCTION("""COMPUTED_VALUE"""),"N/A")</f>
        <v>N/A</v>
      </c>
      <c r="O141" s="18" t="str">
        <f ca="1">IFERROR(__xludf.DUMMYFUNCTION("""COMPUTED_VALUE"""),"N/A")</f>
        <v>N/A</v>
      </c>
      <c r="P141" s="18" t="str">
        <f ca="1">IFERROR(__xludf.DUMMYFUNCTION("""COMPUTED_VALUE"""),"N/A")</f>
        <v>N/A</v>
      </c>
      <c r="Q141" s="18" t="str">
        <f ca="1">IFERROR(__xludf.DUMMYFUNCTION("""COMPUTED_VALUE"""),"N/A")</f>
        <v>N/A</v>
      </c>
      <c r="R141" s="18" t="str">
        <f ca="1">IFERROR(__xludf.DUMMYFUNCTION("""COMPUTED_VALUE"""),"N/A")</f>
        <v>N/A</v>
      </c>
      <c r="S141" s="18" t="str">
        <f ca="1">IFERROR(__xludf.DUMMYFUNCTION("""COMPUTED_VALUE"""),"400")</f>
        <v>400</v>
      </c>
      <c r="T141" s="18" t="str">
        <f ca="1">IFERROR(__xludf.DUMMYFUNCTION("""COMPUTED_VALUE"""),"0x000E")</f>
        <v>0x000E</v>
      </c>
      <c r="U141" s="18" t="str">
        <f ca="1">IFERROR(__xludf.DUMMYFUNCTION("""COMPUTED_VALUE"""),"0x0A")</f>
        <v>0x0A</v>
      </c>
      <c r="V141" s="18" t="str">
        <f ca="1">IFERROR(__xludf.DUMMYFUNCTION("""COMPUTED_VALUE"""),"0x0104")</f>
        <v>0x0104</v>
      </c>
      <c r="W141" s="18" t="str">
        <f ca="1">IFERROR(__xludf.DUMMYFUNCTION("""COMPUTED_VALUE"""),"0xFC05")</f>
        <v>0xFC05</v>
      </c>
      <c r="X141" s="18" t="str">
        <f ca="1">IFERROR(__xludf.DUMMYFUNCTION("""COMPUTED_VALUE"""),"0x21")</f>
        <v>0x21</v>
      </c>
      <c r="Y141" s="18" t="e">
        <f ca="1"/>
        <v>#NAME?</v>
      </c>
      <c r="Z141" s="18" t="str">
        <f ca="1">IFERROR(__xludf.DUMMYFUNCTION("""COMPUTED_VALUE"""),"N/A")</f>
        <v>N/A</v>
      </c>
      <c r="AA141" s="18" t="str">
        <f ca="1">IFERROR(__xludf.DUMMYFUNCTION("""COMPUTED_VALUE"""),"N/A")</f>
        <v>N/A</v>
      </c>
      <c r="AC141" s="59" t="s">
        <v>1083</v>
      </c>
      <c r="AD141" s="59" t="s">
        <v>1083</v>
      </c>
      <c r="AE141" s="59" t="s">
        <v>1111</v>
      </c>
      <c r="AF141" s="59" t="s">
        <v>1119</v>
      </c>
      <c r="AG141" s="59" t="s">
        <v>1119</v>
      </c>
      <c r="AH141" s="59" t="s">
        <v>1116</v>
      </c>
      <c r="AI141" s="59" t="s">
        <v>1120</v>
      </c>
      <c r="AJ141" s="59" t="s">
        <v>1120</v>
      </c>
      <c r="AK141" s="59" t="s">
        <v>1120</v>
      </c>
      <c r="AL141" s="59" t="s">
        <v>1120</v>
      </c>
      <c r="AM141" s="59" t="s">
        <v>1120</v>
      </c>
      <c r="AN141" s="59" t="s">
        <v>1126</v>
      </c>
      <c r="AO141" s="59" t="s">
        <v>1126</v>
      </c>
      <c r="AP141" s="59" t="s">
        <v>1127</v>
      </c>
      <c r="AQ141" s="59" t="s">
        <v>1094</v>
      </c>
      <c r="AR141" s="59" t="s">
        <v>1094</v>
      </c>
      <c r="AS141" s="59" t="s">
        <v>1128</v>
      </c>
      <c r="AT141" s="59" t="s">
        <v>1128</v>
      </c>
    </row>
    <row r="142" spans="1:46" x14ac:dyDescent="0.25">
      <c r="A142" s="18" t="str">
        <v>light_sensor_dark_threshold:{"type":"attribute","data_type":"uint16","is_readonly":false,"reporting_type":"polled","poll_freq":86400,"max":4095,"default_value":4000,"zigbee_metadata":{"attr_id":15,"endpoint_id":10,"profile_id":260,"cluster_id":64517,"zcl_data_type":33}},</v>
      </c>
      <c r="B142" s="52" t="str">
        <f ca="1"/>
        <v>0xFC05 0x000F</v>
      </c>
      <c r="C142" s="52" t="str">
        <f ca="1">IFERROR(__xludf.DUMMYFUNCTION("""COMPUTED_VALUE"""),"light_sensor_dark_threshold")</f>
        <v>light_sensor_dark_threshold</v>
      </c>
      <c r="D142" s="18" t="str">
        <f ca="1">IFERROR(__xludf.DUMMYFUNCTION("""COMPUTED_VALUE"""),"attribute")</f>
        <v>attribute</v>
      </c>
      <c r="E142" s="18" t="str">
        <f ca="1">IFERROR(__xludf.DUMMYFUNCTION("""COMPUTED_VALUE"""),"uint16")</f>
        <v>uint16</v>
      </c>
      <c r="F142" s="18" t="str">
        <f ca="1">IFERROR(__xludf.DUMMYFUNCTION("""COMPUTED_VALUE"""),"false")</f>
        <v>false</v>
      </c>
      <c r="G142" s="18" t="str">
        <f ca="1">IFERROR(__xludf.DUMMYFUNCTION("""COMPUTED_VALUE"""),"polled")</f>
        <v>polled</v>
      </c>
      <c r="H142" s="18" t="str">
        <f ca="1">IFERROR(__xludf.DUMMYFUNCTION("""COMPUTED_VALUE"""),"86400")</f>
        <v>86400</v>
      </c>
      <c r="I142" s="18" t="str">
        <f ca="1">IFERROR(__xludf.DUMMYFUNCTION("""COMPUTED_VALUE"""),"N/A")</f>
        <v>N/A</v>
      </c>
      <c r="J142" s="18" t="str">
        <f ca="1">IFERROR(__xludf.DUMMYFUNCTION("""COMPUTED_VALUE"""),"N/A")</f>
        <v>N/A</v>
      </c>
      <c r="K142" s="18" t="str">
        <f ca="1">IFERROR(__xludf.DUMMYFUNCTION("""COMPUTED_VALUE"""),"N/A")</f>
        <v>N/A</v>
      </c>
      <c r="L142" s="18" t="str">
        <f ca="1">IFERROR(__xludf.DUMMYFUNCTION("""COMPUTED_VALUE"""),"4095")</f>
        <v>4095</v>
      </c>
      <c r="M142" s="18" t="str">
        <f ca="1">IFERROR(__xludf.DUMMYFUNCTION("""COMPUTED_VALUE"""),"N/A")</f>
        <v>N/A</v>
      </c>
      <c r="N142" s="18" t="str">
        <f ca="1">IFERROR(__xludf.DUMMYFUNCTION("""COMPUTED_VALUE"""),"N/A")</f>
        <v>N/A</v>
      </c>
      <c r="O142" s="18" t="str">
        <f ca="1">IFERROR(__xludf.DUMMYFUNCTION("""COMPUTED_VALUE"""),"N/A")</f>
        <v>N/A</v>
      </c>
      <c r="P142" s="18" t="str">
        <f ca="1">IFERROR(__xludf.DUMMYFUNCTION("""COMPUTED_VALUE"""),"N/A")</f>
        <v>N/A</v>
      </c>
      <c r="Q142" s="18" t="str">
        <f ca="1">IFERROR(__xludf.DUMMYFUNCTION("""COMPUTED_VALUE"""),"N/A")</f>
        <v>N/A</v>
      </c>
      <c r="R142" s="18" t="str">
        <f ca="1">IFERROR(__xludf.DUMMYFUNCTION("""COMPUTED_VALUE"""),"N/A")</f>
        <v>N/A</v>
      </c>
      <c r="S142" s="18" t="str">
        <f ca="1">IFERROR(__xludf.DUMMYFUNCTION("""COMPUTED_VALUE"""),"4000")</f>
        <v>4000</v>
      </c>
      <c r="T142" s="18" t="str">
        <f ca="1">IFERROR(__xludf.DUMMYFUNCTION("""COMPUTED_VALUE"""),"0x000F")</f>
        <v>0x000F</v>
      </c>
      <c r="U142" s="18" t="str">
        <f ca="1">IFERROR(__xludf.DUMMYFUNCTION("""COMPUTED_VALUE"""),"0x0A")</f>
        <v>0x0A</v>
      </c>
      <c r="V142" s="18" t="str">
        <f ca="1">IFERROR(__xludf.DUMMYFUNCTION("""COMPUTED_VALUE"""),"0x0104")</f>
        <v>0x0104</v>
      </c>
      <c r="W142" s="18" t="str">
        <f ca="1">IFERROR(__xludf.DUMMYFUNCTION("""COMPUTED_VALUE"""),"0xFC05")</f>
        <v>0xFC05</v>
      </c>
      <c r="X142" s="18" t="str">
        <f ca="1">IFERROR(__xludf.DUMMYFUNCTION("""COMPUTED_VALUE"""),"0x21")</f>
        <v>0x21</v>
      </c>
      <c r="Y142" s="18" t="e">
        <f ca="1"/>
        <v>#NAME?</v>
      </c>
      <c r="Z142" s="18" t="str">
        <f ca="1">IFERROR(__xludf.DUMMYFUNCTION("""COMPUTED_VALUE"""),"N/A")</f>
        <v>N/A</v>
      </c>
      <c r="AA142" s="18" t="str">
        <f ca="1">IFERROR(__xludf.DUMMYFUNCTION("""COMPUTED_VALUE"""),"N/A")</f>
        <v>N/A</v>
      </c>
      <c r="AC142" s="59" t="s">
        <v>1086</v>
      </c>
      <c r="AD142" s="59" t="s">
        <v>1086</v>
      </c>
      <c r="AE142" s="59" t="s">
        <v>1115</v>
      </c>
      <c r="AF142" s="59" t="s">
        <v>1129</v>
      </c>
      <c r="AG142" s="59" t="s">
        <v>1129</v>
      </c>
      <c r="AH142" s="59" t="s">
        <v>1120</v>
      </c>
      <c r="AI142" s="59" t="s">
        <v>1123</v>
      </c>
      <c r="AJ142" s="59" t="s">
        <v>1123</v>
      </c>
      <c r="AK142" s="59" t="s">
        <v>1123</v>
      </c>
      <c r="AL142" s="59" t="s">
        <v>1123</v>
      </c>
      <c r="AM142" s="59" t="s">
        <v>1123</v>
      </c>
      <c r="AN142" s="59" t="s">
        <v>1130</v>
      </c>
      <c r="AO142" s="59" t="s">
        <v>1130</v>
      </c>
      <c r="AP142" s="59" t="s">
        <v>1131</v>
      </c>
      <c r="AQ142" s="59" t="s">
        <v>1097</v>
      </c>
      <c r="AR142" s="59" t="s">
        <v>1097</v>
      </c>
      <c r="AS142" s="59" t="s">
        <v>1132</v>
      </c>
      <c r="AT142" s="59" t="s">
        <v>1132</v>
      </c>
    </row>
    <row r="143" spans="1:46" x14ac:dyDescent="0.25">
      <c r="A143" s="18" t="str">
        <v>hidden_ap_enabled:{"type":"attribute","data_type":"bool","is_readonly":false,"reporting_type":"polled","poll_freq":86400,"default_value":true,"zigbee_metadata":{"attr_id":22,"endpoint_id":10,"profile_id":260,"cluster_id":64517,"zcl_data_type":16,"read_formatter":"lambdax:bool(x)","write_formatter":"lambdax:int(x)"}},</v>
      </c>
      <c r="B143" s="52" t="str">
        <f ca="1"/>
        <v>0xFC05 0x0016</v>
      </c>
      <c r="C143" s="52" t="str">
        <f ca="1">IFERROR(__xludf.DUMMYFUNCTION("""COMPUTED_VALUE"""),"hidden_ap_enabled")</f>
        <v>hidden_ap_enabled</v>
      </c>
      <c r="D143" s="18" t="str">
        <f ca="1">IFERROR(__xludf.DUMMYFUNCTION("""COMPUTED_VALUE"""),"attribute")</f>
        <v>attribute</v>
      </c>
      <c r="E143" s="18" t="str">
        <f ca="1">IFERROR(__xludf.DUMMYFUNCTION("""COMPUTED_VALUE"""),"bool")</f>
        <v>bool</v>
      </c>
      <c r="F143" s="18" t="str">
        <f ca="1">IFERROR(__xludf.DUMMYFUNCTION("""COMPUTED_VALUE"""),"false")</f>
        <v>false</v>
      </c>
      <c r="G143" s="18" t="str">
        <f ca="1">IFERROR(__xludf.DUMMYFUNCTION("""COMPUTED_VALUE"""),"polled")</f>
        <v>polled</v>
      </c>
      <c r="H143" s="18" t="str">
        <f ca="1">IFERROR(__xludf.DUMMYFUNCTION("""COMPUTED_VALUE"""),"86400")</f>
        <v>86400</v>
      </c>
      <c r="I143" s="18" t="str">
        <f ca="1">IFERROR(__xludf.DUMMYFUNCTION("""COMPUTED_VALUE"""),"N/A")</f>
        <v>N/A</v>
      </c>
      <c r="J143" s="18" t="str">
        <f ca="1">IFERROR(__xludf.DUMMYFUNCTION("""COMPUTED_VALUE"""),"N/A")</f>
        <v>N/A</v>
      </c>
      <c r="K143" s="18" t="str">
        <f ca="1">IFERROR(__xludf.DUMMYFUNCTION("""COMPUTED_VALUE"""),"N/A")</f>
        <v>N/A</v>
      </c>
      <c r="L143" s="18" t="str">
        <f ca="1">IFERROR(__xludf.DUMMYFUNCTION("""COMPUTED_VALUE"""),"N/A")</f>
        <v>N/A</v>
      </c>
      <c r="M143" s="18" t="str">
        <f ca="1">IFERROR(__xludf.DUMMYFUNCTION("""COMPUTED_VALUE"""),"N/A")</f>
        <v>N/A</v>
      </c>
      <c r="N143" s="18" t="str">
        <f ca="1">IFERROR(__xludf.DUMMYFUNCTION("""COMPUTED_VALUE"""),"N/A")</f>
        <v>N/A</v>
      </c>
      <c r="O143" s="18" t="str">
        <f ca="1">IFERROR(__xludf.DUMMYFUNCTION("""COMPUTED_VALUE"""),"N/A")</f>
        <v>N/A</v>
      </c>
      <c r="P143" s="18" t="str">
        <f ca="1">IFERROR(__xludf.DUMMYFUNCTION("""COMPUTED_VALUE"""),"N/A")</f>
        <v>N/A</v>
      </c>
      <c r="Q143" s="18" t="str">
        <f ca="1">IFERROR(__xludf.DUMMYFUNCTION("""COMPUTED_VALUE"""),"N/A")</f>
        <v>N/A</v>
      </c>
      <c r="R143" s="18" t="str">
        <f ca="1">IFERROR(__xludf.DUMMYFUNCTION("""COMPUTED_VALUE"""),"N/A")</f>
        <v>N/A</v>
      </c>
      <c r="S143" s="18" t="str">
        <f ca="1">IFERROR(__xludf.DUMMYFUNCTION("""COMPUTED_VALUE"""),"true")</f>
        <v>true</v>
      </c>
      <c r="T143" s="18" t="str">
        <f ca="1">IFERROR(__xludf.DUMMYFUNCTION("""COMPUTED_VALUE"""),"0x0016")</f>
        <v>0x0016</v>
      </c>
      <c r="U143" s="18" t="str">
        <f ca="1">IFERROR(__xludf.DUMMYFUNCTION("""COMPUTED_VALUE"""),"0x0A")</f>
        <v>0x0A</v>
      </c>
      <c r="V143" s="18" t="str">
        <f ca="1">IFERROR(__xludf.DUMMYFUNCTION("""COMPUTED_VALUE"""),"0x0104")</f>
        <v>0x0104</v>
      </c>
      <c r="W143" s="18" t="str">
        <f ca="1">IFERROR(__xludf.DUMMYFUNCTION("""COMPUTED_VALUE"""),"0xFC05")</f>
        <v>0xFC05</v>
      </c>
      <c r="X143" s="18" t="str">
        <f ca="1">IFERROR(__xludf.DUMMYFUNCTION("""COMPUTED_VALUE"""),"0x10")</f>
        <v>0x10</v>
      </c>
      <c r="Y143" s="18" t="e">
        <f ca="1"/>
        <v>#NAME?</v>
      </c>
      <c r="Z143" s="18" t="str">
        <f ca="1">IFERROR(__xludf.DUMMYFUNCTION("""COMPUTED_VALUE"""),"lambdax:int(x)")</f>
        <v>lambdax:int(x)</v>
      </c>
      <c r="AA143" s="18" t="str">
        <f ca="1">IFERROR(__xludf.DUMMYFUNCTION("""COMPUTED_VALUE"""),"lambdax:bool(x)")</f>
        <v>lambdax:bool(x)</v>
      </c>
      <c r="AC143" s="59" t="s">
        <v>1089</v>
      </c>
      <c r="AD143" s="59" t="s">
        <v>1089</v>
      </c>
      <c r="AE143" s="59" t="s">
        <v>1119</v>
      </c>
      <c r="AF143" s="59" t="s">
        <v>1120</v>
      </c>
      <c r="AG143" s="59" t="s">
        <v>1120</v>
      </c>
      <c r="AH143" s="59" t="s">
        <v>1123</v>
      </c>
      <c r="AI143" s="59" t="s">
        <v>1126</v>
      </c>
      <c r="AJ143" s="59" t="s">
        <v>1126</v>
      </c>
      <c r="AK143" s="59" t="s">
        <v>1126</v>
      </c>
      <c r="AL143" s="59" t="s">
        <v>1126</v>
      </c>
      <c r="AM143" s="59" t="s">
        <v>1126</v>
      </c>
      <c r="AN143" s="59" t="s">
        <v>1133</v>
      </c>
      <c r="AO143" s="59" t="s">
        <v>1133</v>
      </c>
      <c r="AP143" s="59" t="s">
        <v>1134</v>
      </c>
      <c r="AQ143" s="59" t="s">
        <v>1100</v>
      </c>
      <c r="AR143" s="59" t="s">
        <v>1100</v>
      </c>
      <c r="AS143" s="59" t="s">
        <v>1135</v>
      </c>
      <c r="AT143" s="59" t="s">
        <v>1135</v>
      </c>
    </row>
    <row r="144" spans="1:46" x14ac:dyDescent="0.25">
      <c r="A144" s="18" t="str">
        <v>show_mobile_app_notification:{"type":"attribute","data_type":"bool","is_readonly":false,"reporting_type":"polled","poll_freq":86400,"default_value":true,"zigbee_metadata":{"attr_id":23,"endpoint_id":10,"profile_id":260,"cluster_id":64517,"zcl_data_type":16,"read_formatter":"lambdax:bool(x)","write_formatter":"lambdax:int(x)"}},</v>
      </c>
      <c r="B144" s="52" t="str">
        <f ca="1"/>
        <v>0xFC05 0x0017</v>
      </c>
      <c r="C144" s="52" t="str">
        <f ca="1">IFERROR(__xludf.DUMMYFUNCTION("""COMPUTED_VALUE"""),"show_mobile_app_notification")</f>
        <v>show_mobile_app_notification</v>
      </c>
      <c r="D144" s="18" t="str">
        <f ca="1">IFERROR(__xludf.DUMMYFUNCTION("""COMPUTED_VALUE"""),"attribute")</f>
        <v>attribute</v>
      </c>
      <c r="E144" s="18" t="str">
        <f ca="1">IFERROR(__xludf.DUMMYFUNCTION("""COMPUTED_VALUE"""),"bool")</f>
        <v>bool</v>
      </c>
      <c r="F144" s="18" t="str">
        <f ca="1">IFERROR(__xludf.DUMMYFUNCTION("""COMPUTED_VALUE"""),"false")</f>
        <v>false</v>
      </c>
      <c r="G144" s="18" t="str">
        <f ca="1">IFERROR(__xludf.DUMMYFUNCTION("""COMPUTED_VALUE"""),"polled")</f>
        <v>polled</v>
      </c>
      <c r="H144" s="18" t="str">
        <f ca="1">IFERROR(__xludf.DUMMYFUNCTION("""COMPUTED_VALUE"""),"86400")</f>
        <v>86400</v>
      </c>
      <c r="I144" s="18" t="str">
        <f ca="1">IFERROR(__xludf.DUMMYFUNCTION("""COMPUTED_VALUE"""),"N/A")</f>
        <v>N/A</v>
      </c>
      <c r="J144" s="18" t="str">
        <f ca="1">IFERROR(__xludf.DUMMYFUNCTION("""COMPUTED_VALUE"""),"N/A")</f>
        <v>N/A</v>
      </c>
      <c r="K144" s="18" t="str">
        <f ca="1">IFERROR(__xludf.DUMMYFUNCTION("""COMPUTED_VALUE"""),"N/A")</f>
        <v>N/A</v>
      </c>
      <c r="L144" s="18" t="str">
        <f ca="1">IFERROR(__xludf.DUMMYFUNCTION("""COMPUTED_VALUE"""),"N/A")</f>
        <v>N/A</v>
      </c>
      <c r="M144" s="18" t="str">
        <f ca="1">IFERROR(__xludf.DUMMYFUNCTION("""COMPUTED_VALUE"""),"N/A")</f>
        <v>N/A</v>
      </c>
      <c r="N144" s="18" t="str">
        <f ca="1">IFERROR(__xludf.DUMMYFUNCTION("""COMPUTED_VALUE"""),"N/A")</f>
        <v>N/A</v>
      </c>
      <c r="O144" s="18" t="str">
        <f ca="1">IFERROR(__xludf.DUMMYFUNCTION("""COMPUTED_VALUE"""),"N/A")</f>
        <v>N/A</v>
      </c>
      <c r="P144" s="18" t="str">
        <f ca="1">IFERROR(__xludf.DUMMYFUNCTION("""COMPUTED_VALUE"""),"N/A")</f>
        <v>N/A</v>
      </c>
      <c r="Q144" s="18" t="str">
        <f ca="1">IFERROR(__xludf.DUMMYFUNCTION("""COMPUTED_VALUE"""),"N/A")</f>
        <v>N/A</v>
      </c>
      <c r="R144" s="18" t="str">
        <f ca="1">IFERROR(__xludf.DUMMYFUNCTION("""COMPUTED_VALUE"""),"N/A")</f>
        <v>N/A</v>
      </c>
      <c r="S144" s="18" t="str">
        <f ca="1">IFERROR(__xludf.DUMMYFUNCTION("""COMPUTED_VALUE"""),"true")</f>
        <v>true</v>
      </c>
      <c r="T144" s="18" t="str">
        <f ca="1">IFERROR(__xludf.DUMMYFUNCTION("""COMPUTED_VALUE"""),"0x0017")</f>
        <v>0x0017</v>
      </c>
      <c r="U144" s="18" t="str">
        <f ca="1">IFERROR(__xludf.DUMMYFUNCTION("""COMPUTED_VALUE"""),"0x0A")</f>
        <v>0x0A</v>
      </c>
      <c r="V144" s="18" t="str">
        <f ca="1">IFERROR(__xludf.DUMMYFUNCTION("""COMPUTED_VALUE"""),"0x0104")</f>
        <v>0x0104</v>
      </c>
      <c r="W144" s="18" t="str">
        <f ca="1">IFERROR(__xludf.DUMMYFUNCTION("""COMPUTED_VALUE"""),"0xFC05")</f>
        <v>0xFC05</v>
      </c>
      <c r="X144" s="18" t="str">
        <f ca="1">IFERROR(__xludf.DUMMYFUNCTION("""COMPUTED_VALUE"""),"0x10")</f>
        <v>0x10</v>
      </c>
      <c r="Y144" s="18" t="e">
        <f ca="1"/>
        <v>#NAME?</v>
      </c>
      <c r="Z144" s="18" t="str">
        <f ca="1">IFERROR(__xludf.DUMMYFUNCTION("""COMPUTED_VALUE"""),"lambdax:int(x)")</f>
        <v>lambdax:int(x)</v>
      </c>
      <c r="AA144" s="18" t="str">
        <f ca="1">IFERROR(__xludf.DUMMYFUNCTION("""COMPUTED_VALUE"""),"lambdax:bool(x)")</f>
        <v>lambdax:bool(x)</v>
      </c>
      <c r="AC144" s="59" t="s">
        <v>1092</v>
      </c>
      <c r="AD144" s="59" t="s">
        <v>1092</v>
      </c>
      <c r="AE144" s="59" t="s">
        <v>1129</v>
      </c>
      <c r="AF144" s="59" t="s">
        <v>1123</v>
      </c>
      <c r="AG144" s="59" t="s">
        <v>1123</v>
      </c>
      <c r="AH144" s="59" t="s">
        <v>1126</v>
      </c>
      <c r="AI144" s="59" t="s">
        <v>1130</v>
      </c>
      <c r="AJ144" s="59" t="s">
        <v>1130</v>
      </c>
      <c r="AK144" s="59" t="s">
        <v>1130</v>
      </c>
      <c r="AL144" s="59" t="s">
        <v>1130</v>
      </c>
      <c r="AM144" s="59" t="s">
        <v>1130</v>
      </c>
      <c r="AN144" s="59" t="s">
        <v>1136</v>
      </c>
      <c r="AO144" s="59" t="s">
        <v>1136</v>
      </c>
      <c r="AP144" s="59" t="s">
        <v>1137</v>
      </c>
      <c r="AQ144" s="59" t="s">
        <v>1103</v>
      </c>
      <c r="AR144" s="59" t="s">
        <v>1103</v>
      </c>
      <c r="AS144" s="59" t="s">
        <v>1138</v>
      </c>
      <c r="AT144" s="59" t="s">
        <v>1138</v>
      </c>
    </row>
    <row r="145" spans="1:46" x14ac:dyDescent="0.25">
      <c r="A145" s="18" t="str">
        <v>show_available_modes:{"type":"attribute","data_type":"bool","is_readonly":false,"reporting_type":"polled","poll_freq":86400,"default_value":true,"zigbee_metadata":{"attr_id":21,"endpoint_id":10,"profile_id":260,"cluster_id":64517,"zcl_data_type":16,"read_formatter":"lambdax:bool(x)","write_formatter":"lambdax:int(x)"}},</v>
      </c>
      <c r="B145" s="52" t="str">
        <f ca="1"/>
        <v>0xFC05 0x0015</v>
      </c>
      <c r="C145" s="52" t="str">
        <f ca="1">IFERROR(__xludf.DUMMYFUNCTION("""COMPUTED_VALUE"""),"show_available_modes")</f>
        <v>show_available_modes</v>
      </c>
      <c r="D145" s="18" t="str">
        <f ca="1">IFERROR(__xludf.DUMMYFUNCTION("""COMPUTED_VALUE"""),"attribute")</f>
        <v>attribute</v>
      </c>
      <c r="E145" s="18" t="str">
        <f ca="1">IFERROR(__xludf.DUMMYFUNCTION("""COMPUTED_VALUE"""),"bool")</f>
        <v>bool</v>
      </c>
      <c r="F145" s="18" t="str">
        <f ca="1">IFERROR(__xludf.DUMMYFUNCTION("""COMPUTED_VALUE"""),"false")</f>
        <v>false</v>
      </c>
      <c r="G145" s="18" t="str">
        <f ca="1">IFERROR(__xludf.DUMMYFUNCTION("""COMPUTED_VALUE"""),"polled")</f>
        <v>polled</v>
      </c>
      <c r="H145" s="18" t="str">
        <f ca="1">IFERROR(__xludf.DUMMYFUNCTION("""COMPUTED_VALUE"""),"86400")</f>
        <v>86400</v>
      </c>
      <c r="I145" s="18" t="str">
        <f ca="1">IFERROR(__xludf.DUMMYFUNCTION("""COMPUTED_VALUE"""),"N/A")</f>
        <v>N/A</v>
      </c>
      <c r="J145" s="18" t="str">
        <f ca="1">IFERROR(__xludf.DUMMYFUNCTION("""COMPUTED_VALUE"""),"N/A")</f>
        <v>N/A</v>
      </c>
      <c r="K145" s="18" t="str">
        <f ca="1">IFERROR(__xludf.DUMMYFUNCTION("""COMPUTED_VALUE"""),"N/A")</f>
        <v>N/A</v>
      </c>
      <c r="L145" s="18" t="str">
        <f ca="1">IFERROR(__xludf.DUMMYFUNCTION("""COMPUTED_VALUE"""),"N/A")</f>
        <v>N/A</v>
      </c>
      <c r="M145" s="18" t="str">
        <f ca="1">IFERROR(__xludf.DUMMYFUNCTION("""COMPUTED_VALUE"""),"N/A")</f>
        <v>N/A</v>
      </c>
      <c r="N145" s="18" t="str">
        <f ca="1">IFERROR(__xludf.DUMMYFUNCTION("""COMPUTED_VALUE"""),"N/A")</f>
        <v>N/A</v>
      </c>
      <c r="O145" s="18" t="str">
        <f ca="1">IFERROR(__xludf.DUMMYFUNCTION("""COMPUTED_VALUE"""),"N/A")</f>
        <v>N/A</v>
      </c>
      <c r="P145" s="18" t="str">
        <f ca="1">IFERROR(__xludf.DUMMYFUNCTION("""COMPUTED_VALUE"""),"N/A")</f>
        <v>N/A</v>
      </c>
      <c r="Q145" s="18" t="str">
        <f ca="1">IFERROR(__xludf.DUMMYFUNCTION("""COMPUTED_VALUE"""),"N/A")</f>
        <v>N/A</v>
      </c>
      <c r="R145" s="18" t="str">
        <f ca="1">IFERROR(__xludf.DUMMYFUNCTION("""COMPUTED_VALUE"""),"N/A")</f>
        <v>N/A</v>
      </c>
      <c r="S145" s="18" t="str">
        <f ca="1">IFERROR(__xludf.DUMMYFUNCTION("""COMPUTED_VALUE"""),"true")</f>
        <v>true</v>
      </c>
      <c r="T145" s="18" t="str">
        <f ca="1">IFERROR(__xludf.DUMMYFUNCTION("""COMPUTED_VALUE"""),"0x0015")</f>
        <v>0x0015</v>
      </c>
      <c r="U145" s="18" t="str">
        <f ca="1">IFERROR(__xludf.DUMMYFUNCTION("""COMPUTED_VALUE"""),"0x0A")</f>
        <v>0x0A</v>
      </c>
      <c r="V145" s="18" t="str">
        <f ca="1">IFERROR(__xludf.DUMMYFUNCTION("""COMPUTED_VALUE"""),"0x0104")</f>
        <v>0x0104</v>
      </c>
      <c r="W145" s="18" t="str">
        <f ca="1">IFERROR(__xludf.DUMMYFUNCTION("""COMPUTED_VALUE"""),"0xFC05")</f>
        <v>0xFC05</v>
      </c>
      <c r="X145" s="18" t="str">
        <f ca="1">IFERROR(__xludf.DUMMYFUNCTION("""COMPUTED_VALUE"""),"0x10")</f>
        <v>0x10</v>
      </c>
      <c r="Y145" s="18" t="e">
        <f ca="1"/>
        <v>#NAME?</v>
      </c>
      <c r="Z145" s="18" t="str">
        <f ca="1">IFERROR(__xludf.DUMMYFUNCTION("""COMPUTED_VALUE"""),"lambdax:int(x)")</f>
        <v>lambdax:int(x)</v>
      </c>
      <c r="AA145" s="18" t="str">
        <f ca="1">IFERROR(__xludf.DUMMYFUNCTION("""COMPUTED_VALUE"""),"lambdax:bool(x)")</f>
        <v>lambdax:bool(x)</v>
      </c>
      <c r="AC145" s="59" t="s">
        <v>1095</v>
      </c>
      <c r="AD145" s="59" t="s">
        <v>1095</v>
      </c>
      <c r="AE145" s="59" t="s">
        <v>1120</v>
      </c>
      <c r="AF145" s="59" t="s">
        <v>1126</v>
      </c>
      <c r="AG145" s="59" t="s">
        <v>1126</v>
      </c>
      <c r="AH145" s="59" t="s">
        <v>1130</v>
      </c>
      <c r="AI145" s="59" t="s">
        <v>1133</v>
      </c>
      <c r="AJ145" s="59" t="s">
        <v>1133</v>
      </c>
      <c r="AK145" s="59" t="s">
        <v>1133</v>
      </c>
      <c r="AL145" s="59" t="s">
        <v>1133</v>
      </c>
      <c r="AM145" s="59" t="s">
        <v>1133</v>
      </c>
      <c r="AN145" s="59" t="s">
        <v>1139</v>
      </c>
      <c r="AO145" s="59" t="s">
        <v>1139</v>
      </c>
      <c r="AP145" s="59" t="s">
        <v>1140</v>
      </c>
      <c r="AQ145" s="59" t="s">
        <v>1106</v>
      </c>
      <c r="AR145" s="59" t="s">
        <v>1106</v>
      </c>
      <c r="AS145" s="59" t="s">
        <v>1141</v>
      </c>
      <c r="AT145" s="59" t="s">
        <v>1141</v>
      </c>
    </row>
    <row r="146" spans="1:46" x14ac:dyDescent="0.25">
      <c r="A146" s="18" t="str">
        <v>contact_change_events:{"type":"attribute","data_type":"uint16","is_readonly":true,"reporting_type":"diagnostic","zigbee_metadata":{"attr_id":154,"endpoint_id":10,"profile_id":260,"cluster_id":64516,"zcl_data_type":33}},</v>
      </c>
      <c r="B146" s="52" t="str">
        <f ca="1"/>
        <v>0xFC04 0x009A</v>
      </c>
      <c r="C146" s="52" t="str">
        <f ca="1">IFERROR(__xludf.DUMMYFUNCTION("""COMPUTED_VALUE"""),"contact_change_events")</f>
        <v>contact_change_events</v>
      </c>
      <c r="D146" s="18" t="str">
        <f ca="1">IFERROR(__xludf.DUMMYFUNCTION("""COMPUTED_VALUE"""),"attribute")</f>
        <v>attribute</v>
      </c>
      <c r="E146" s="18" t="str">
        <f ca="1">IFERROR(__xludf.DUMMYFUNCTION("""COMPUTED_VALUE"""),"uint16")</f>
        <v>uint16</v>
      </c>
      <c r="F146" s="18" t="str">
        <f ca="1">IFERROR(__xludf.DUMMYFUNCTION("""COMPUTED_VALUE"""),"true")</f>
        <v>true</v>
      </c>
      <c r="G146" s="18" t="str">
        <f ca="1">IFERROR(__xludf.DUMMYFUNCTION("""COMPUTED_VALUE"""),"diagnostic")</f>
        <v>diagnostic</v>
      </c>
      <c r="H146" s="18" t="str">
        <f ca="1">IFERROR(__xludf.DUMMYFUNCTION("""COMPUTED_VALUE"""),"N/A")</f>
        <v>N/A</v>
      </c>
      <c r="I146" s="18" t="str">
        <f ca="1">IFERROR(__xludf.DUMMYFUNCTION("""COMPUTED_VALUE"""),"N/A")</f>
        <v>N/A</v>
      </c>
      <c r="J146" s="18" t="str">
        <f ca="1">IFERROR(__xludf.DUMMYFUNCTION("""COMPUTED_VALUE"""),"N/A")</f>
        <v>N/A</v>
      </c>
      <c r="K146" s="18" t="str">
        <f ca="1">IFERROR(__xludf.DUMMYFUNCTION("""COMPUTED_VALUE"""),"N/A")</f>
        <v>N/A</v>
      </c>
      <c r="L146" s="18" t="str">
        <f ca="1">IFERROR(__xludf.DUMMYFUNCTION("""COMPUTED_VALUE"""),"N/A")</f>
        <v>N/A</v>
      </c>
      <c r="M146" s="18" t="str">
        <f ca="1">IFERROR(__xludf.DUMMYFUNCTION("""COMPUTED_VALUE"""),"N/A")</f>
        <v>N/A</v>
      </c>
      <c r="N146" s="18" t="str">
        <f ca="1">IFERROR(__xludf.DUMMYFUNCTION("""COMPUTED_VALUE"""),"N/A")</f>
        <v>N/A</v>
      </c>
      <c r="O146" s="18" t="str">
        <f ca="1">IFERROR(__xludf.DUMMYFUNCTION("""COMPUTED_VALUE"""),"N/A")</f>
        <v>N/A</v>
      </c>
      <c r="P146" s="18" t="str">
        <f ca="1">IFERROR(__xludf.DUMMYFUNCTION("""COMPUTED_VALUE"""),"N/A")</f>
        <v>N/A</v>
      </c>
      <c r="Q146" s="18" t="str">
        <f ca="1">IFERROR(__xludf.DUMMYFUNCTION("""COMPUTED_VALUE"""),"N/A")</f>
        <v>N/A</v>
      </c>
      <c r="R146" s="18" t="str">
        <f ca="1">IFERROR(__xludf.DUMMYFUNCTION("""COMPUTED_VALUE"""),"N/A")</f>
        <v>N/A</v>
      </c>
      <c r="S146" s="18" t="str">
        <f ca="1">IFERROR(__xludf.DUMMYFUNCTION("""COMPUTED_VALUE"""),"N/A")</f>
        <v>N/A</v>
      </c>
      <c r="T146" s="18" t="str">
        <f ca="1">IFERROR(__xludf.DUMMYFUNCTION("""COMPUTED_VALUE"""),"0x009A")</f>
        <v>0x009A</v>
      </c>
      <c r="U146" s="18" t="str">
        <f ca="1">IFERROR(__xludf.DUMMYFUNCTION("""COMPUTED_VALUE"""),"0x0A")</f>
        <v>0x0A</v>
      </c>
      <c r="V146" s="18" t="str">
        <f ca="1">IFERROR(__xludf.DUMMYFUNCTION("""COMPUTED_VALUE"""),"0x0104")</f>
        <v>0x0104</v>
      </c>
      <c r="W146" s="18" t="str">
        <f ca="1">IFERROR(__xludf.DUMMYFUNCTION("""COMPUTED_VALUE"""),"0xFC04")</f>
        <v>0xFC04</v>
      </c>
      <c r="X146" s="18" t="str">
        <f ca="1">IFERROR(__xludf.DUMMYFUNCTION("""COMPUTED_VALUE"""),"0x21")</f>
        <v>0x21</v>
      </c>
      <c r="Y146" s="18" t="e">
        <f ca="1"/>
        <v>#NAME?</v>
      </c>
      <c r="Z146" s="18" t="str">
        <f ca="1">IFERROR(__xludf.DUMMYFUNCTION("""COMPUTED_VALUE"""),"N/A")</f>
        <v>N/A</v>
      </c>
      <c r="AA146" s="18" t="str">
        <f ca="1">IFERROR(__xludf.DUMMYFUNCTION("""COMPUTED_VALUE"""),"N/A")</f>
        <v>N/A</v>
      </c>
      <c r="AC146" s="59" t="s">
        <v>1098</v>
      </c>
      <c r="AD146" s="59" t="s">
        <v>1098</v>
      </c>
      <c r="AE146" s="59" t="s">
        <v>1123</v>
      </c>
      <c r="AF146" s="59" t="s">
        <v>1130</v>
      </c>
      <c r="AG146" s="59" t="s">
        <v>1130</v>
      </c>
      <c r="AH146" s="59" t="s">
        <v>1133</v>
      </c>
      <c r="AI146" s="59" t="s">
        <v>1136</v>
      </c>
      <c r="AJ146" s="59" t="s">
        <v>1136</v>
      </c>
      <c r="AK146" s="59" t="s">
        <v>1136</v>
      </c>
      <c r="AL146" s="59" t="s">
        <v>1136</v>
      </c>
      <c r="AM146" s="59" t="s">
        <v>1136</v>
      </c>
      <c r="AN146" s="59" t="s">
        <v>1142</v>
      </c>
      <c r="AO146" s="59" t="s">
        <v>1142</v>
      </c>
      <c r="AP146" s="59" t="s">
        <v>1143</v>
      </c>
      <c r="AQ146" s="59" t="s">
        <v>1110</v>
      </c>
      <c r="AR146" s="59" t="s">
        <v>1110</v>
      </c>
      <c r="AS146" s="59" t="s">
        <v>1144</v>
      </c>
      <c r="AT146" s="59" t="s">
        <v>1144</v>
      </c>
    </row>
    <row r="147" spans="1:46" x14ac:dyDescent="0.25">
      <c r="A147" s="18" t="str">
        <v>state_variable_0:{"type":"combined","data_type":"uint8","is_readonly":false,"reporting_type":"reported","report_max":900,"report_min":0,"default_value":0,"zigbee_metadata":{"attr_id":61550,"endpoint_id":10,"profile_id":260,"cluster_id":513,"zcl_data_type":32}},</v>
      </c>
      <c r="B147" s="52" t="str">
        <f ca="1"/>
        <v>0x0201 0xF06E</v>
      </c>
      <c r="C147" s="52" t="str">
        <f ca="1">IFERROR(__xludf.DUMMYFUNCTION("""COMPUTED_VALUE"""),"state_variable_0")</f>
        <v>state_variable_0</v>
      </c>
      <c r="D147" s="18" t="str">
        <f ca="1">IFERROR(__xludf.DUMMYFUNCTION("""COMPUTED_VALUE"""),"combined")</f>
        <v>combined</v>
      </c>
      <c r="E147" s="18" t="str">
        <f ca="1">IFERROR(__xludf.DUMMYFUNCTION("""COMPUTED_VALUE"""),"uint8")</f>
        <v>uint8</v>
      </c>
      <c r="F147" s="18" t="str">
        <f ca="1">IFERROR(__xludf.DUMMYFUNCTION("""COMPUTED_VALUE"""),"false")</f>
        <v>false</v>
      </c>
      <c r="G147" s="18" t="str">
        <f ca="1">IFERROR(__xludf.DUMMYFUNCTION("""COMPUTED_VALUE"""),"reported")</f>
        <v>reported</v>
      </c>
      <c r="H147" s="18" t="str">
        <f ca="1">IFERROR(__xludf.DUMMYFUNCTION("""COMPUTED_VALUE"""),"N/A")</f>
        <v>N/A</v>
      </c>
      <c r="I147" s="18" t="str">
        <f ca="1">IFERROR(__xludf.DUMMYFUNCTION("""COMPUTED_VALUE"""),"900")</f>
        <v>900</v>
      </c>
      <c r="J147" s="18" t="str">
        <f ca="1">IFERROR(__xludf.DUMMYFUNCTION("""COMPUTED_VALUE"""),"0")</f>
        <v>0</v>
      </c>
      <c r="K147" s="18" t="str">
        <f ca="1">IFERROR(__xludf.DUMMYFUNCTION("""COMPUTED_VALUE"""),"N/A")</f>
        <v>N/A</v>
      </c>
      <c r="L147" s="18" t="str">
        <f ca="1">IFERROR(__xludf.DUMMYFUNCTION("""COMPUTED_VALUE"""),"N/A")</f>
        <v>N/A</v>
      </c>
      <c r="M147" s="18" t="str">
        <f ca="1">IFERROR(__xludf.DUMMYFUNCTION("""COMPUTED_VALUE"""),"N/A")</f>
        <v>N/A</v>
      </c>
      <c r="N147" s="18" t="str">
        <f ca="1">IFERROR(__xludf.DUMMYFUNCTION("""COMPUTED_VALUE"""),"N/A")</f>
        <v>N/A</v>
      </c>
      <c r="O147" s="18" t="str">
        <f ca="1">IFERROR(__xludf.DUMMYFUNCTION("""COMPUTED_VALUE"""),"N/A")</f>
        <v>N/A</v>
      </c>
      <c r="P147" s="18" t="str">
        <f ca="1">IFERROR(__xludf.DUMMYFUNCTION("""COMPUTED_VALUE"""),"N/A")</f>
        <v>N/A</v>
      </c>
      <c r="Q147" s="18" t="str">
        <f ca="1">IFERROR(__xludf.DUMMYFUNCTION("""COMPUTED_VALUE"""),"N/A")</f>
        <v>N/A</v>
      </c>
      <c r="R147" s="18" t="str">
        <f ca="1">IFERROR(__xludf.DUMMYFUNCTION("""COMPUTED_VALUE"""),"N/A")</f>
        <v>N/A</v>
      </c>
      <c r="S147" s="18" t="str">
        <f ca="1">IFERROR(__xludf.DUMMYFUNCTION("""COMPUTED_VALUE"""),"0")</f>
        <v>0</v>
      </c>
      <c r="T147" s="18" t="str">
        <f ca="1">IFERROR(__xludf.DUMMYFUNCTION("""COMPUTED_VALUE"""),"0xF06E")</f>
        <v>0xF06E</v>
      </c>
      <c r="U147" s="18" t="str">
        <f ca="1">IFERROR(__xludf.DUMMYFUNCTION("""COMPUTED_VALUE"""),"0x0A")</f>
        <v>0x0A</v>
      </c>
      <c r="V147" s="18" t="str">
        <f ca="1">IFERROR(__xludf.DUMMYFUNCTION("""COMPUTED_VALUE"""),"0x0104")</f>
        <v>0x0104</v>
      </c>
      <c r="W147" s="18" t="str">
        <f ca="1">IFERROR(__xludf.DUMMYFUNCTION("""COMPUTED_VALUE"""),"0x0201")</f>
        <v>0x0201</v>
      </c>
      <c r="X147" s="18" t="str">
        <f ca="1">IFERROR(__xludf.DUMMYFUNCTION("""COMPUTED_VALUE"""),"0x20")</f>
        <v>0x20</v>
      </c>
      <c r="Y147" s="18" t="e">
        <f ca="1"/>
        <v>#NAME?</v>
      </c>
      <c r="Z147" s="18" t="str">
        <f ca="1">IFERROR(__xludf.DUMMYFUNCTION("""COMPUTED_VALUE"""),"N/A")</f>
        <v>N/A</v>
      </c>
      <c r="AA147" s="18" t="str">
        <f ca="1">IFERROR(__xludf.DUMMYFUNCTION("""COMPUTED_VALUE"""),"N/A")</f>
        <v>N/A</v>
      </c>
      <c r="AC147" s="59" t="s">
        <v>1107</v>
      </c>
      <c r="AD147" s="59" t="s">
        <v>1107</v>
      </c>
      <c r="AE147" s="59" t="s">
        <v>1126</v>
      </c>
      <c r="AF147" s="59" t="s">
        <v>1133</v>
      </c>
      <c r="AG147" s="59" t="s">
        <v>1133</v>
      </c>
      <c r="AH147" s="59" t="s">
        <v>1136</v>
      </c>
      <c r="AI147" s="59" t="s">
        <v>1139</v>
      </c>
      <c r="AJ147" s="59" t="s">
        <v>1139</v>
      </c>
      <c r="AK147" s="59" t="s">
        <v>1139</v>
      </c>
      <c r="AL147" s="59" t="s">
        <v>1139</v>
      </c>
      <c r="AM147" s="59" t="s">
        <v>1139</v>
      </c>
      <c r="AN147" s="59" t="s">
        <v>1145</v>
      </c>
      <c r="AO147" s="59" t="s">
        <v>1145</v>
      </c>
      <c r="AP147" s="59" t="s">
        <v>1146</v>
      </c>
      <c r="AQ147" s="59" t="s">
        <v>1114</v>
      </c>
      <c r="AR147" s="59" t="s">
        <v>1114</v>
      </c>
      <c r="AS147" s="59" t="s">
        <v>1147</v>
      </c>
      <c r="AT147" s="59" t="s">
        <v>1147</v>
      </c>
    </row>
    <row r="148" spans="1:46" x14ac:dyDescent="0.25">
      <c r="A148" s="18" t="str">
        <v>state_variable_1:{"type":"combined","data_type":"uint8","is_readonly":false,"reporting_type":"reported","report_max":900,"report_min":0,"default_value":0,"zigbee_metadata":{"attr_id":61551,"endpoint_id":10,"profile_id":260,"cluster_id":513,"zcl_data_type":32}},</v>
      </c>
      <c r="B148" s="52" t="str">
        <f ca="1"/>
        <v>0x0201 0xF06F</v>
      </c>
      <c r="C148" s="52" t="str">
        <f ca="1">IFERROR(__xludf.DUMMYFUNCTION("""COMPUTED_VALUE"""),"state_variable_1")</f>
        <v>state_variable_1</v>
      </c>
      <c r="D148" s="18" t="str">
        <f ca="1">IFERROR(__xludf.DUMMYFUNCTION("""COMPUTED_VALUE"""),"combined")</f>
        <v>combined</v>
      </c>
      <c r="E148" s="18" t="str">
        <f ca="1">IFERROR(__xludf.DUMMYFUNCTION("""COMPUTED_VALUE"""),"uint8")</f>
        <v>uint8</v>
      </c>
      <c r="F148" s="18" t="str">
        <f ca="1">IFERROR(__xludf.DUMMYFUNCTION("""COMPUTED_VALUE"""),"false")</f>
        <v>false</v>
      </c>
      <c r="G148" s="18" t="str">
        <f ca="1">IFERROR(__xludf.DUMMYFUNCTION("""COMPUTED_VALUE"""),"reported")</f>
        <v>reported</v>
      </c>
      <c r="H148" s="18" t="str">
        <f ca="1">IFERROR(__xludf.DUMMYFUNCTION("""COMPUTED_VALUE"""),"N/A")</f>
        <v>N/A</v>
      </c>
      <c r="I148" s="18" t="str">
        <f ca="1">IFERROR(__xludf.DUMMYFUNCTION("""COMPUTED_VALUE"""),"900")</f>
        <v>900</v>
      </c>
      <c r="J148" s="18" t="str">
        <f ca="1">IFERROR(__xludf.DUMMYFUNCTION("""COMPUTED_VALUE"""),"0")</f>
        <v>0</v>
      </c>
      <c r="K148" s="18" t="str">
        <f ca="1">IFERROR(__xludf.DUMMYFUNCTION("""COMPUTED_VALUE"""),"N/A")</f>
        <v>N/A</v>
      </c>
      <c r="L148" s="18" t="str">
        <f ca="1">IFERROR(__xludf.DUMMYFUNCTION("""COMPUTED_VALUE"""),"N/A")</f>
        <v>N/A</v>
      </c>
      <c r="M148" s="18" t="str">
        <f ca="1">IFERROR(__xludf.DUMMYFUNCTION("""COMPUTED_VALUE"""),"N/A")</f>
        <v>N/A</v>
      </c>
      <c r="N148" s="18" t="str">
        <f ca="1">IFERROR(__xludf.DUMMYFUNCTION("""COMPUTED_VALUE"""),"N/A")</f>
        <v>N/A</v>
      </c>
      <c r="O148" s="18" t="str">
        <f ca="1">IFERROR(__xludf.DUMMYFUNCTION("""COMPUTED_VALUE"""),"N/A")</f>
        <v>N/A</v>
      </c>
      <c r="P148" s="18" t="str">
        <f ca="1">IFERROR(__xludf.DUMMYFUNCTION("""COMPUTED_VALUE"""),"N/A")</f>
        <v>N/A</v>
      </c>
      <c r="Q148" s="18" t="str">
        <f ca="1">IFERROR(__xludf.DUMMYFUNCTION("""COMPUTED_VALUE"""),"N/A")</f>
        <v>N/A</v>
      </c>
      <c r="R148" s="18" t="str">
        <f ca="1">IFERROR(__xludf.DUMMYFUNCTION("""COMPUTED_VALUE"""),"N/A")</f>
        <v>N/A</v>
      </c>
      <c r="S148" s="18" t="str">
        <f ca="1">IFERROR(__xludf.DUMMYFUNCTION("""COMPUTED_VALUE"""),"0")</f>
        <v>0</v>
      </c>
      <c r="T148" s="18" t="str">
        <f ca="1">IFERROR(__xludf.DUMMYFUNCTION("""COMPUTED_VALUE"""),"0xF06F")</f>
        <v>0xF06F</v>
      </c>
      <c r="U148" s="18" t="str">
        <f ca="1">IFERROR(__xludf.DUMMYFUNCTION("""COMPUTED_VALUE"""),"0x0A")</f>
        <v>0x0A</v>
      </c>
      <c r="V148" s="18" t="str">
        <f ca="1">IFERROR(__xludf.DUMMYFUNCTION("""COMPUTED_VALUE"""),"0x0104")</f>
        <v>0x0104</v>
      </c>
      <c r="W148" s="18" t="str">
        <f ca="1">IFERROR(__xludf.DUMMYFUNCTION("""COMPUTED_VALUE"""),"0x0201")</f>
        <v>0x0201</v>
      </c>
      <c r="X148" s="18" t="str">
        <f ca="1">IFERROR(__xludf.DUMMYFUNCTION("""COMPUTED_VALUE"""),"0x20")</f>
        <v>0x20</v>
      </c>
      <c r="Y148" s="18" t="e">
        <f ca="1"/>
        <v>#NAME?</v>
      </c>
      <c r="Z148" s="18" t="str">
        <f ca="1">IFERROR(__xludf.DUMMYFUNCTION("""COMPUTED_VALUE"""),"N/A")</f>
        <v>N/A</v>
      </c>
      <c r="AA148" s="18" t="str">
        <f ca="1">IFERROR(__xludf.DUMMYFUNCTION("""COMPUTED_VALUE"""),"N/A")</f>
        <v>N/A</v>
      </c>
      <c r="AC148" s="59" t="s">
        <v>1111</v>
      </c>
      <c r="AD148" s="59" t="s">
        <v>1111</v>
      </c>
      <c r="AE148" s="59" t="s">
        <v>1130</v>
      </c>
      <c r="AF148" s="59" t="s">
        <v>1136</v>
      </c>
      <c r="AG148" s="59" t="s">
        <v>1136</v>
      </c>
      <c r="AH148" s="59" t="s">
        <v>1139</v>
      </c>
      <c r="AI148" s="59" t="s">
        <v>1142</v>
      </c>
      <c r="AJ148" s="59" t="s">
        <v>1142</v>
      </c>
      <c r="AK148" s="59" t="s">
        <v>1142</v>
      </c>
      <c r="AL148" s="59" t="s">
        <v>1142</v>
      </c>
      <c r="AM148" s="59" t="s">
        <v>1142</v>
      </c>
      <c r="AN148" s="59" t="s">
        <v>1148</v>
      </c>
      <c r="AO148" s="59" t="s">
        <v>1148</v>
      </c>
      <c r="AP148" s="59" t="s">
        <v>1149</v>
      </c>
      <c r="AQ148" s="59" t="s">
        <v>1118</v>
      </c>
      <c r="AR148" s="59" t="s">
        <v>1118</v>
      </c>
      <c r="AS148" s="59" t="s">
        <v>1150</v>
      </c>
      <c r="AT148" s="59" t="s">
        <v>1150</v>
      </c>
    </row>
    <row r="149" spans="1:46" x14ac:dyDescent="0.25">
      <c r="A149" s="18" t="str">
        <v>state_variable_2:{"type":"combined","data_type":"uint8","is_readonly":false,"reporting_type":"reported","report_max":900,"report_min":0,"default_value":0,"zigbee_metadata":{"attr_id":61552,"endpoint_id":10,"profile_id":260,"cluster_id":513,"zcl_data_type":32}},</v>
      </c>
      <c r="B149" s="52" t="str">
        <f ca="1"/>
        <v>0x0201 0xF070</v>
      </c>
      <c r="C149" s="52" t="str">
        <f ca="1">IFERROR(__xludf.DUMMYFUNCTION("""COMPUTED_VALUE"""),"state_variable_2")</f>
        <v>state_variable_2</v>
      </c>
      <c r="D149" s="18" t="str">
        <f ca="1">IFERROR(__xludf.DUMMYFUNCTION("""COMPUTED_VALUE"""),"combined")</f>
        <v>combined</v>
      </c>
      <c r="E149" s="18" t="str">
        <f ca="1">IFERROR(__xludf.DUMMYFUNCTION("""COMPUTED_VALUE"""),"uint8")</f>
        <v>uint8</v>
      </c>
      <c r="F149" s="18" t="str">
        <f ca="1">IFERROR(__xludf.DUMMYFUNCTION("""COMPUTED_VALUE"""),"false")</f>
        <v>false</v>
      </c>
      <c r="G149" s="18" t="str">
        <f ca="1">IFERROR(__xludf.DUMMYFUNCTION("""COMPUTED_VALUE"""),"reported")</f>
        <v>reported</v>
      </c>
      <c r="H149" s="18" t="str">
        <f ca="1">IFERROR(__xludf.DUMMYFUNCTION("""COMPUTED_VALUE"""),"N/A")</f>
        <v>N/A</v>
      </c>
      <c r="I149" s="18" t="str">
        <f ca="1">IFERROR(__xludf.DUMMYFUNCTION("""COMPUTED_VALUE"""),"900")</f>
        <v>900</v>
      </c>
      <c r="J149" s="18" t="str">
        <f ca="1">IFERROR(__xludf.DUMMYFUNCTION("""COMPUTED_VALUE"""),"0")</f>
        <v>0</v>
      </c>
      <c r="K149" s="18" t="str">
        <f ca="1">IFERROR(__xludf.DUMMYFUNCTION("""COMPUTED_VALUE"""),"N/A")</f>
        <v>N/A</v>
      </c>
      <c r="L149" s="18" t="str">
        <f ca="1">IFERROR(__xludf.DUMMYFUNCTION("""COMPUTED_VALUE"""),"N/A")</f>
        <v>N/A</v>
      </c>
      <c r="M149" s="18" t="str">
        <f ca="1">IFERROR(__xludf.DUMMYFUNCTION("""COMPUTED_VALUE"""),"N/A")</f>
        <v>N/A</v>
      </c>
      <c r="N149" s="18" t="str">
        <f ca="1">IFERROR(__xludf.DUMMYFUNCTION("""COMPUTED_VALUE"""),"N/A")</f>
        <v>N/A</v>
      </c>
      <c r="O149" s="18" t="str">
        <f ca="1">IFERROR(__xludf.DUMMYFUNCTION("""COMPUTED_VALUE"""),"N/A")</f>
        <v>N/A</v>
      </c>
      <c r="P149" s="18" t="str">
        <f ca="1">IFERROR(__xludf.DUMMYFUNCTION("""COMPUTED_VALUE"""),"N/A")</f>
        <v>N/A</v>
      </c>
      <c r="Q149" s="18" t="str">
        <f ca="1">IFERROR(__xludf.DUMMYFUNCTION("""COMPUTED_VALUE"""),"N/A")</f>
        <v>N/A</v>
      </c>
      <c r="R149" s="18" t="str">
        <f ca="1">IFERROR(__xludf.DUMMYFUNCTION("""COMPUTED_VALUE"""),"N/A")</f>
        <v>N/A</v>
      </c>
      <c r="S149" s="18" t="str">
        <f ca="1">IFERROR(__xludf.DUMMYFUNCTION("""COMPUTED_VALUE"""),"0")</f>
        <v>0</v>
      </c>
      <c r="T149" s="18" t="str">
        <f ca="1">IFERROR(__xludf.DUMMYFUNCTION("""COMPUTED_VALUE"""),"0xF070")</f>
        <v>0xF070</v>
      </c>
      <c r="U149" s="18" t="str">
        <f ca="1">IFERROR(__xludf.DUMMYFUNCTION("""COMPUTED_VALUE"""),"0x0A")</f>
        <v>0x0A</v>
      </c>
      <c r="V149" s="18" t="str">
        <f ca="1">IFERROR(__xludf.DUMMYFUNCTION("""COMPUTED_VALUE"""),"0x0104")</f>
        <v>0x0104</v>
      </c>
      <c r="W149" s="18" t="str">
        <f ca="1">IFERROR(__xludf.DUMMYFUNCTION("""COMPUTED_VALUE"""),"0x0201")</f>
        <v>0x0201</v>
      </c>
      <c r="X149" s="18" t="str">
        <f ca="1">IFERROR(__xludf.DUMMYFUNCTION("""COMPUTED_VALUE"""),"0x20")</f>
        <v>0x20</v>
      </c>
      <c r="Y149" s="18" t="e">
        <f ca="1"/>
        <v>#NAME?</v>
      </c>
      <c r="Z149" s="18" t="str">
        <f ca="1">IFERROR(__xludf.DUMMYFUNCTION("""COMPUTED_VALUE"""),"N/A")</f>
        <v>N/A</v>
      </c>
      <c r="AA149" s="18" t="str">
        <f ca="1">IFERROR(__xludf.DUMMYFUNCTION("""COMPUTED_VALUE"""),"N/A")</f>
        <v>N/A</v>
      </c>
      <c r="AC149" s="59" t="s">
        <v>1115</v>
      </c>
      <c r="AD149" s="59" t="s">
        <v>1115</v>
      </c>
      <c r="AE149" s="59" t="s">
        <v>1133</v>
      </c>
      <c r="AF149" s="59" t="s">
        <v>1139</v>
      </c>
      <c r="AG149" s="59" t="s">
        <v>1139</v>
      </c>
      <c r="AH149" s="59" t="s">
        <v>1142</v>
      </c>
      <c r="AI149" s="59" t="s">
        <v>1145</v>
      </c>
      <c r="AJ149" s="59" t="s">
        <v>1145</v>
      </c>
      <c r="AK149" s="59" t="s">
        <v>1145</v>
      </c>
      <c r="AL149" s="59" t="s">
        <v>1145</v>
      </c>
      <c r="AM149" s="59" t="s">
        <v>1145</v>
      </c>
      <c r="AN149" s="59" t="s">
        <v>1151</v>
      </c>
      <c r="AO149" s="59" t="s">
        <v>1151</v>
      </c>
      <c r="AP149" s="59" t="s">
        <v>1152</v>
      </c>
      <c r="AQ149" s="59" t="s">
        <v>1122</v>
      </c>
      <c r="AR149" s="59" t="s">
        <v>1122</v>
      </c>
      <c r="AS149" s="59" t="s">
        <v>1153</v>
      </c>
      <c r="AT149" s="59" t="s">
        <v>1153</v>
      </c>
    </row>
    <row r="150" spans="1:46" x14ac:dyDescent="0.25">
      <c r="A150" s="18" t="str">
        <v>state_variable_3:{"type":"combined","data_type":"uint8","is_readonly":false,"reporting_type":"reported","report_max":900,"report_min":0,"default_value":0,"zigbee_metadata":{"attr_id":61553,"endpoint_id":10,"profile_id":260,"cluster_id":513,"zcl_data_type":32}},</v>
      </c>
      <c r="B150" s="52" t="str">
        <f ca="1"/>
        <v>0x0201 0xF071</v>
      </c>
      <c r="C150" s="52" t="str">
        <f ca="1">IFERROR(__xludf.DUMMYFUNCTION("""COMPUTED_VALUE"""),"state_variable_3")</f>
        <v>state_variable_3</v>
      </c>
      <c r="D150" s="18" t="str">
        <f ca="1">IFERROR(__xludf.DUMMYFUNCTION("""COMPUTED_VALUE"""),"combined")</f>
        <v>combined</v>
      </c>
      <c r="E150" s="18" t="str">
        <f ca="1">IFERROR(__xludf.DUMMYFUNCTION("""COMPUTED_VALUE"""),"uint8")</f>
        <v>uint8</v>
      </c>
      <c r="F150" s="18" t="str">
        <f ca="1">IFERROR(__xludf.DUMMYFUNCTION("""COMPUTED_VALUE"""),"false")</f>
        <v>false</v>
      </c>
      <c r="G150" s="18" t="str">
        <f ca="1">IFERROR(__xludf.DUMMYFUNCTION("""COMPUTED_VALUE"""),"reported")</f>
        <v>reported</v>
      </c>
      <c r="H150" s="18" t="str">
        <f ca="1">IFERROR(__xludf.DUMMYFUNCTION("""COMPUTED_VALUE"""),"N/A")</f>
        <v>N/A</v>
      </c>
      <c r="I150" s="18" t="str">
        <f ca="1">IFERROR(__xludf.DUMMYFUNCTION("""COMPUTED_VALUE"""),"900")</f>
        <v>900</v>
      </c>
      <c r="J150" s="18" t="str">
        <f ca="1">IFERROR(__xludf.DUMMYFUNCTION("""COMPUTED_VALUE"""),"0")</f>
        <v>0</v>
      </c>
      <c r="K150" s="18" t="str">
        <f ca="1">IFERROR(__xludf.DUMMYFUNCTION("""COMPUTED_VALUE"""),"N/A")</f>
        <v>N/A</v>
      </c>
      <c r="L150" s="18" t="str">
        <f ca="1">IFERROR(__xludf.DUMMYFUNCTION("""COMPUTED_VALUE"""),"N/A")</f>
        <v>N/A</v>
      </c>
      <c r="M150" s="18" t="str">
        <f ca="1">IFERROR(__xludf.DUMMYFUNCTION("""COMPUTED_VALUE"""),"N/A")</f>
        <v>N/A</v>
      </c>
      <c r="N150" s="18" t="str">
        <f ca="1">IFERROR(__xludf.DUMMYFUNCTION("""COMPUTED_VALUE"""),"N/A")</f>
        <v>N/A</v>
      </c>
      <c r="O150" s="18" t="str">
        <f ca="1">IFERROR(__xludf.DUMMYFUNCTION("""COMPUTED_VALUE"""),"N/A")</f>
        <v>N/A</v>
      </c>
      <c r="P150" s="18" t="str">
        <f ca="1">IFERROR(__xludf.DUMMYFUNCTION("""COMPUTED_VALUE"""),"N/A")</f>
        <v>N/A</v>
      </c>
      <c r="Q150" s="18" t="str">
        <f ca="1">IFERROR(__xludf.DUMMYFUNCTION("""COMPUTED_VALUE"""),"N/A")</f>
        <v>N/A</v>
      </c>
      <c r="R150" s="18" t="str">
        <f ca="1">IFERROR(__xludf.DUMMYFUNCTION("""COMPUTED_VALUE"""),"N/A")</f>
        <v>N/A</v>
      </c>
      <c r="S150" s="18" t="str">
        <f ca="1">IFERROR(__xludf.DUMMYFUNCTION("""COMPUTED_VALUE"""),"0")</f>
        <v>0</v>
      </c>
      <c r="T150" s="18" t="str">
        <f ca="1">IFERROR(__xludf.DUMMYFUNCTION("""COMPUTED_VALUE"""),"0xF071")</f>
        <v>0xF071</v>
      </c>
      <c r="U150" s="18" t="str">
        <f ca="1">IFERROR(__xludf.DUMMYFUNCTION("""COMPUTED_VALUE"""),"0x0A")</f>
        <v>0x0A</v>
      </c>
      <c r="V150" s="18" t="str">
        <f ca="1">IFERROR(__xludf.DUMMYFUNCTION("""COMPUTED_VALUE"""),"0x0104")</f>
        <v>0x0104</v>
      </c>
      <c r="W150" s="18" t="str">
        <f ca="1">IFERROR(__xludf.DUMMYFUNCTION("""COMPUTED_VALUE"""),"0x0201")</f>
        <v>0x0201</v>
      </c>
      <c r="X150" s="18" t="str">
        <f ca="1">IFERROR(__xludf.DUMMYFUNCTION("""COMPUTED_VALUE"""),"0x20")</f>
        <v>0x20</v>
      </c>
      <c r="Y150" s="18" t="e">
        <f ca="1"/>
        <v>#NAME?</v>
      </c>
      <c r="Z150" s="18" t="str">
        <f ca="1">IFERROR(__xludf.DUMMYFUNCTION("""COMPUTED_VALUE"""),"N/A")</f>
        <v>N/A</v>
      </c>
      <c r="AA150" s="18" t="str">
        <f ca="1">IFERROR(__xludf.DUMMYFUNCTION("""COMPUTED_VALUE"""),"N/A")</f>
        <v>N/A</v>
      </c>
      <c r="AC150" s="59" t="s">
        <v>1119</v>
      </c>
      <c r="AD150" s="59" t="s">
        <v>1119</v>
      </c>
      <c r="AE150" s="59" t="s">
        <v>1136</v>
      </c>
      <c r="AF150" s="59" t="s">
        <v>1142</v>
      </c>
      <c r="AG150" s="59" t="s">
        <v>1142</v>
      </c>
      <c r="AH150" s="59" t="s">
        <v>1145</v>
      </c>
      <c r="AI150" s="59" t="s">
        <v>1148</v>
      </c>
      <c r="AJ150" s="59" t="s">
        <v>1148</v>
      </c>
      <c r="AK150" s="59" t="s">
        <v>1148</v>
      </c>
      <c r="AL150" s="59" t="s">
        <v>1148</v>
      </c>
      <c r="AM150" s="59" t="s">
        <v>1148</v>
      </c>
      <c r="AN150" s="59" t="s">
        <v>1154</v>
      </c>
      <c r="AO150" s="59" t="s">
        <v>1154</v>
      </c>
      <c r="AP150" s="59" t="s">
        <v>1155</v>
      </c>
      <c r="AQ150" s="59" t="s">
        <v>1125</v>
      </c>
      <c r="AR150" s="59" t="s">
        <v>1125</v>
      </c>
      <c r="AS150" s="59" t="s">
        <v>1156</v>
      </c>
      <c r="AT150" s="59" t="s">
        <v>1156</v>
      </c>
    </row>
    <row r="151" spans="1:46" x14ac:dyDescent="0.25">
      <c r="A151" s="18" t="str">
        <v>dehumidification_first_stage_threshold:{"type":"attribute","data_type":"float","is_readonly":false,"reporting_type":"polled","poll_freq":86400,"max":10,"min":0,"decimal_places":2,"default_value":0,"zigbee_metadata":{"attr_id":61555,"endpoint_id":10,"profile_id":260,"cluster_id":513,"zcl_data_type":33,"write_formatter":"lambdax:int(round(x,2)*100)","read_formatter":"lambdax:x/100"}},</v>
      </c>
      <c r="B151" s="52" t="str">
        <f ca="1"/>
        <v>0x0201 0xF073</v>
      </c>
      <c r="C151" s="52" t="str">
        <f ca="1">IFERROR(__xludf.DUMMYFUNCTION("""COMPUTED_VALUE"""),"dehumidification_first_stage_threshold")</f>
        <v>dehumidification_first_stage_threshold</v>
      </c>
      <c r="D151" s="18" t="str">
        <f ca="1">IFERROR(__xludf.DUMMYFUNCTION("""COMPUTED_VALUE"""),"attribute")</f>
        <v>attribute</v>
      </c>
      <c r="E151" s="18" t="str">
        <f ca="1">IFERROR(__xludf.DUMMYFUNCTION("""COMPUTED_VALUE"""),"float")</f>
        <v>float</v>
      </c>
      <c r="F151" s="18" t="str">
        <f ca="1">IFERROR(__xludf.DUMMYFUNCTION("""COMPUTED_VALUE"""),"false")</f>
        <v>false</v>
      </c>
      <c r="G151" s="18" t="str">
        <f ca="1">IFERROR(__xludf.DUMMYFUNCTION("""COMPUTED_VALUE"""),"polled")</f>
        <v>polled</v>
      </c>
      <c r="H151" s="18" t="str">
        <f ca="1">IFERROR(__xludf.DUMMYFUNCTION("""COMPUTED_VALUE"""),"86400")</f>
        <v>86400</v>
      </c>
      <c r="I151" s="18" t="str">
        <f ca="1">IFERROR(__xludf.DUMMYFUNCTION("""COMPUTED_VALUE"""),"N/A")</f>
        <v>N/A</v>
      </c>
      <c r="J151" s="18" t="str">
        <f ca="1">IFERROR(__xludf.DUMMYFUNCTION("""COMPUTED_VALUE"""),"N/A")</f>
        <v>N/A</v>
      </c>
      <c r="K151" s="18" t="str">
        <f ca="1">IFERROR(__xludf.DUMMYFUNCTION("""COMPUTED_VALUE"""),"N/A")</f>
        <v>N/A</v>
      </c>
      <c r="L151" s="18" t="str">
        <f ca="1">IFERROR(__xludf.DUMMYFUNCTION("""COMPUTED_VALUE"""),"10")</f>
        <v>10</v>
      </c>
      <c r="M151" s="18" t="str">
        <f ca="1">IFERROR(__xludf.DUMMYFUNCTION("""COMPUTED_VALUE"""),"0")</f>
        <v>0</v>
      </c>
      <c r="N151" s="18" t="str">
        <f ca="1">IFERROR(__xludf.DUMMYFUNCTION("""COMPUTED_VALUE"""),"N/A")</f>
        <v>N/A</v>
      </c>
      <c r="O151" s="18" t="str">
        <f ca="1">IFERROR(__xludf.DUMMYFUNCTION("""COMPUTED_VALUE"""),"N/A")</f>
        <v>N/A</v>
      </c>
      <c r="P151" s="18" t="str">
        <f ca="1">IFERROR(__xludf.DUMMYFUNCTION("""COMPUTED_VALUE"""),"N/A")</f>
        <v>N/A</v>
      </c>
      <c r="Q151" s="18" t="str">
        <f ca="1">IFERROR(__xludf.DUMMYFUNCTION("""COMPUTED_VALUE"""),"N/A")</f>
        <v>N/A</v>
      </c>
      <c r="R151" s="18" t="str">
        <f ca="1">IFERROR(__xludf.DUMMYFUNCTION("""COMPUTED_VALUE"""),"2")</f>
        <v>2</v>
      </c>
      <c r="S151" s="18" t="str">
        <f ca="1">IFERROR(__xludf.DUMMYFUNCTION("""COMPUTED_VALUE"""),"0")</f>
        <v>0</v>
      </c>
      <c r="T151" s="18" t="str">
        <f ca="1">IFERROR(__xludf.DUMMYFUNCTION("""COMPUTED_VALUE"""),"0xF073")</f>
        <v>0xF073</v>
      </c>
      <c r="U151" s="18" t="str">
        <f ca="1">IFERROR(__xludf.DUMMYFUNCTION("""COMPUTED_VALUE"""),"0x0A")</f>
        <v>0x0A</v>
      </c>
      <c r="V151" s="18" t="str">
        <f ca="1">IFERROR(__xludf.DUMMYFUNCTION("""COMPUTED_VALUE"""),"0x0104")</f>
        <v>0x0104</v>
      </c>
      <c r="W151" s="18" t="str">
        <f ca="1">IFERROR(__xludf.DUMMYFUNCTION("""COMPUTED_VALUE"""),"0x0201")</f>
        <v>0x0201</v>
      </c>
      <c r="X151" s="18" t="str">
        <f ca="1">IFERROR(__xludf.DUMMYFUNCTION("""COMPUTED_VALUE"""),"0x21")</f>
        <v>0x21</v>
      </c>
      <c r="Y151" s="18" t="e">
        <f ca="1"/>
        <v>#NAME?</v>
      </c>
      <c r="Z151" s="18" t="str">
        <f ca="1">IFERROR(__xludf.DUMMYFUNCTION("""COMPUTED_VALUE"""),"lambdax:int(round(x,2)*100)")</f>
        <v>lambdax:int(round(x,2)*100)</v>
      </c>
      <c r="AA151" s="18" t="str">
        <f ca="1">IFERROR(__xludf.DUMMYFUNCTION("""COMPUTED_VALUE"""),"lambdax:x/100")</f>
        <v>lambdax:x/100</v>
      </c>
      <c r="AC151" s="59" t="s">
        <v>1129</v>
      </c>
      <c r="AD151" s="59" t="s">
        <v>1129</v>
      </c>
      <c r="AE151" s="59" t="s">
        <v>1139</v>
      </c>
      <c r="AF151" s="59" t="s">
        <v>1145</v>
      </c>
      <c r="AG151" s="59" t="s">
        <v>1145</v>
      </c>
      <c r="AH151" s="59" t="s">
        <v>1148</v>
      </c>
      <c r="AI151" s="59" t="s">
        <v>1151</v>
      </c>
      <c r="AJ151" s="59" t="s">
        <v>1151</v>
      </c>
      <c r="AK151" s="59" t="s">
        <v>1151</v>
      </c>
      <c r="AL151" s="59" t="s">
        <v>1151</v>
      </c>
      <c r="AM151" s="59" t="s">
        <v>1151</v>
      </c>
      <c r="AN151" s="59" t="s">
        <v>1157</v>
      </c>
      <c r="AO151" s="59" t="s">
        <v>1157</v>
      </c>
      <c r="AP151" s="59" t="s">
        <v>1158</v>
      </c>
      <c r="AQ151" s="59" t="s">
        <v>1128</v>
      </c>
      <c r="AR151" s="59" t="s">
        <v>1128</v>
      </c>
      <c r="AS151" s="59" t="s">
        <v>1159</v>
      </c>
      <c r="AT151" s="59" t="s">
        <v>1159</v>
      </c>
    </row>
    <row r="152" spans="1:46" x14ac:dyDescent="0.25">
      <c r="A152" s="18" t="str">
        <v>dehumidification_first_stage_timeout:{"type":"attribute","data_type":"uint8","is_readonly":false,"reporting_type":"polled","poll_freq":86400,"default_value":0,"zigbee_metadata":{"attr_id":61556,"endpoint_id":10,"profile_id":260,"cluster_id":513,"zcl_data_type":32}},</v>
      </c>
      <c r="B152" s="52" t="str">
        <f ca="1"/>
        <v>0x0201 0xF074</v>
      </c>
      <c r="C152" s="52" t="str">
        <f ca="1">IFERROR(__xludf.DUMMYFUNCTION("""COMPUTED_VALUE"""),"dehumidification_first_stage_timeout")</f>
        <v>dehumidification_first_stage_timeout</v>
      </c>
      <c r="D152" s="18" t="str">
        <f ca="1">IFERROR(__xludf.DUMMYFUNCTION("""COMPUTED_VALUE"""),"attribute")</f>
        <v>attribute</v>
      </c>
      <c r="E152" s="18" t="str">
        <f ca="1">IFERROR(__xludf.DUMMYFUNCTION("""COMPUTED_VALUE"""),"uint8")</f>
        <v>uint8</v>
      </c>
      <c r="F152" s="18" t="str">
        <f ca="1">IFERROR(__xludf.DUMMYFUNCTION("""COMPUTED_VALUE"""),"false")</f>
        <v>false</v>
      </c>
      <c r="G152" s="18" t="str">
        <f ca="1">IFERROR(__xludf.DUMMYFUNCTION("""COMPUTED_VALUE"""),"polled")</f>
        <v>polled</v>
      </c>
      <c r="H152" s="18" t="str">
        <f ca="1">IFERROR(__xludf.DUMMYFUNCTION("""COMPUTED_VALUE"""),"86400")</f>
        <v>86400</v>
      </c>
      <c r="I152" s="18" t="str">
        <f ca="1">IFERROR(__xludf.DUMMYFUNCTION("""COMPUTED_VALUE"""),"N/A")</f>
        <v>N/A</v>
      </c>
      <c r="J152" s="18" t="str">
        <f ca="1">IFERROR(__xludf.DUMMYFUNCTION("""COMPUTED_VALUE"""),"N/A")</f>
        <v>N/A</v>
      </c>
      <c r="K152" s="18" t="str">
        <f ca="1">IFERROR(__xludf.DUMMYFUNCTION("""COMPUTED_VALUE"""),"N/A")</f>
        <v>N/A</v>
      </c>
      <c r="L152" s="18" t="str">
        <f ca="1">IFERROR(__xludf.DUMMYFUNCTION("""COMPUTED_VALUE"""),"N/A")</f>
        <v>N/A</v>
      </c>
      <c r="M152" s="18" t="str">
        <f ca="1">IFERROR(__xludf.DUMMYFUNCTION("""COMPUTED_VALUE"""),"N/A")</f>
        <v>N/A</v>
      </c>
      <c r="N152" s="18" t="str">
        <f ca="1">IFERROR(__xludf.DUMMYFUNCTION("""COMPUTED_VALUE"""),"N/A")</f>
        <v>N/A</v>
      </c>
      <c r="O152" s="18" t="str">
        <f ca="1">IFERROR(__xludf.DUMMYFUNCTION("""COMPUTED_VALUE"""),"N/A")</f>
        <v>N/A</v>
      </c>
      <c r="P152" s="18" t="str">
        <f ca="1">IFERROR(__xludf.DUMMYFUNCTION("""COMPUTED_VALUE"""),"N/A")</f>
        <v>N/A</v>
      </c>
      <c r="Q152" s="18" t="str">
        <f ca="1">IFERROR(__xludf.DUMMYFUNCTION("""COMPUTED_VALUE"""),"N/A")</f>
        <v>N/A</v>
      </c>
      <c r="R152" s="18" t="str">
        <f ca="1">IFERROR(__xludf.DUMMYFUNCTION("""COMPUTED_VALUE"""),"N/A")</f>
        <v>N/A</v>
      </c>
      <c r="S152" s="18" t="str">
        <f ca="1">IFERROR(__xludf.DUMMYFUNCTION("""COMPUTED_VALUE"""),"0")</f>
        <v>0</v>
      </c>
      <c r="T152" s="18" t="str">
        <f ca="1">IFERROR(__xludf.DUMMYFUNCTION("""COMPUTED_VALUE"""),"0xF074")</f>
        <v>0xF074</v>
      </c>
      <c r="U152" s="18" t="str">
        <f ca="1">IFERROR(__xludf.DUMMYFUNCTION("""COMPUTED_VALUE"""),"0x0A")</f>
        <v>0x0A</v>
      </c>
      <c r="V152" s="18" t="str">
        <f ca="1">IFERROR(__xludf.DUMMYFUNCTION("""COMPUTED_VALUE"""),"0x0104")</f>
        <v>0x0104</v>
      </c>
      <c r="W152" s="18" t="str">
        <f ca="1">IFERROR(__xludf.DUMMYFUNCTION("""COMPUTED_VALUE"""),"0x0201")</f>
        <v>0x0201</v>
      </c>
      <c r="X152" s="18" t="str">
        <f ca="1">IFERROR(__xludf.DUMMYFUNCTION("""COMPUTED_VALUE"""),"0x20")</f>
        <v>0x20</v>
      </c>
      <c r="Y152" s="18" t="e">
        <f ca="1"/>
        <v>#NAME?</v>
      </c>
      <c r="Z152" s="18" t="str">
        <f ca="1">IFERROR(__xludf.DUMMYFUNCTION("""COMPUTED_VALUE"""),"N/A")</f>
        <v>N/A</v>
      </c>
      <c r="AA152" s="18" t="str">
        <f ca="1">IFERROR(__xludf.DUMMYFUNCTION("""COMPUTED_VALUE"""),"N/A")</f>
        <v>N/A</v>
      </c>
      <c r="AC152" s="59" t="s">
        <v>1120</v>
      </c>
      <c r="AD152" s="59" t="s">
        <v>1120</v>
      </c>
      <c r="AE152" s="59" t="s">
        <v>1142</v>
      </c>
      <c r="AF152" s="59" t="s">
        <v>1148</v>
      </c>
      <c r="AG152" s="59" t="s">
        <v>1148</v>
      </c>
      <c r="AH152" s="59" t="s">
        <v>1151</v>
      </c>
      <c r="AI152" s="59" t="s">
        <v>1154</v>
      </c>
      <c r="AJ152" s="59" t="s">
        <v>1154</v>
      </c>
      <c r="AK152" s="59" t="s">
        <v>1154</v>
      </c>
      <c r="AL152" s="59" t="s">
        <v>1154</v>
      </c>
      <c r="AM152" s="59" t="s">
        <v>1154</v>
      </c>
      <c r="AN152" s="59" t="s">
        <v>1160</v>
      </c>
      <c r="AO152" s="59" t="s">
        <v>1160</v>
      </c>
      <c r="AP152" s="59" t="s">
        <v>1161</v>
      </c>
      <c r="AQ152" s="59" t="s">
        <v>1132</v>
      </c>
      <c r="AR152" s="59" t="s">
        <v>1132</v>
      </c>
      <c r="AS152" s="59" t="s">
        <v>1162</v>
      </c>
      <c r="AT152" s="59" t="s">
        <v>1162</v>
      </c>
    </row>
    <row r="153" spans="1:46" x14ac:dyDescent="0.25">
      <c r="A153" s="18" t="str">
        <v>dehumidification_second_stage_timeout:{"type":"attribute","data_type":"uint8","is_readonly":false,"reporting_type":"polled","poll_freq":86400,"default_value":0,"zigbee_metadata":{"attr_id":61557,"endpoint_id":10,"profile_id":260,"cluster_id":513,"zcl_data_type":32}},</v>
      </c>
      <c r="B153" s="52" t="str">
        <f ca="1"/>
        <v>0x0201 0xF075</v>
      </c>
      <c r="C153" s="52" t="str">
        <f ca="1">IFERROR(__xludf.DUMMYFUNCTION("""COMPUTED_VALUE"""),"dehumidification_second_stage_timeout")</f>
        <v>dehumidification_second_stage_timeout</v>
      </c>
      <c r="D153" s="18" t="str">
        <f ca="1">IFERROR(__xludf.DUMMYFUNCTION("""COMPUTED_VALUE"""),"attribute")</f>
        <v>attribute</v>
      </c>
      <c r="E153" s="18" t="str">
        <f ca="1">IFERROR(__xludf.DUMMYFUNCTION("""COMPUTED_VALUE"""),"uint8")</f>
        <v>uint8</v>
      </c>
      <c r="F153" s="18" t="str">
        <f ca="1">IFERROR(__xludf.DUMMYFUNCTION("""COMPUTED_VALUE"""),"false")</f>
        <v>false</v>
      </c>
      <c r="G153" s="18" t="str">
        <f ca="1">IFERROR(__xludf.DUMMYFUNCTION("""COMPUTED_VALUE"""),"polled")</f>
        <v>polled</v>
      </c>
      <c r="H153" s="18" t="str">
        <f ca="1">IFERROR(__xludf.DUMMYFUNCTION("""COMPUTED_VALUE"""),"86400")</f>
        <v>86400</v>
      </c>
      <c r="I153" s="18" t="str">
        <f ca="1">IFERROR(__xludf.DUMMYFUNCTION("""COMPUTED_VALUE"""),"N/A")</f>
        <v>N/A</v>
      </c>
      <c r="J153" s="18" t="str">
        <f ca="1">IFERROR(__xludf.DUMMYFUNCTION("""COMPUTED_VALUE"""),"N/A")</f>
        <v>N/A</v>
      </c>
      <c r="K153" s="18" t="str">
        <f ca="1">IFERROR(__xludf.DUMMYFUNCTION("""COMPUTED_VALUE"""),"N/A")</f>
        <v>N/A</v>
      </c>
      <c r="L153" s="18" t="str">
        <f ca="1">IFERROR(__xludf.DUMMYFUNCTION("""COMPUTED_VALUE"""),"N/A")</f>
        <v>N/A</v>
      </c>
      <c r="M153" s="18" t="str">
        <f ca="1">IFERROR(__xludf.DUMMYFUNCTION("""COMPUTED_VALUE"""),"N/A")</f>
        <v>N/A</v>
      </c>
      <c r="N153" s="18" t="str">
        <f ca="1">IFERROR(__xludf.DUMMYFUNCTION("""COMPUTED_VALUE"""),"N/A")</f>
        <v>N/A</v>
      </c>
      <c r="O153" s="18" t="str">
        <f ca="1">IFERROR(__xludf.DUMMYFUNCTION("""COMPUTED_VALUE"""),"N/A")</f>
        <v>N/A</v>
      </c>
      <c r="P153" s="18" t="str">
        <f ca="1">IFERROR(__xludf.DUMMYFUNCTION("""COMPUTED_VALUE"""),"N/A")</f>
        <v>N/A</v>
      </c>
      <c r="Q153" s="18" t="str">
        <f ca="1">IFERROR(__xludf.DUMMYFUNCTION("""COMPUTED_VALUE"""),"N/A")</f>
        <v>N/A</v>
      </c>
      <c r="R153" s="18" t="str">
        <f ca="1">IFERROR(__xludf.DUMMYFUNCTION("""COMPUTED_VALUE"""),"N/A")</f>
        <v>N/A</v>
      </c>
      <c r="S153" s="18" t="str">
        <f ca="1">IFERROR(__xludf.DUMMYFUNCTION("""COMPUTED_VALUE"""),"0")</f>
        <v>0</v>
      </c>
      <c r="T153" s="18" t="str">
        <f ca="1">IFERROR(__xludf.DUMMYFUNCTION("""COMPUTED_VALUE"""),"0xF075")</f>
        <v>0xF075</v>
      </c>
      <c r="U153" s="18" t="str">
        <f ca="1">IFERROR(__xludf.DUMMYFUNCTION("""COMPUTED_VALUE"""),"0x0A")</f>
        <v>0x0A</v>
      </c>
      <c r="V153" s="18" t="str">
        <f ca="1">IFERROR(__xludf.DUMMYFUNCTION("""COMPUTED_VALUE"""),"0x0104")</f>
        <v>0x0104</v>
      </c>
      <c r="W153" s="18" t="str">
        <f ca="1">IFERROR(__xludf.DUMMYFUNCTION("""COMPUTED_VALUE"""),"0x0201")</f>
        <v>0x0201</v>
      </c>
      <c r="X153" s="18" t="str">
        <f ca="1">IFERROR(__xludf.DUMMYFUNCTION("""COMPUTED_VALUE"""),"0x20")</f>
        <v>0x20</v>
      </c>
      <c r="Y153" s="18" t="e">
        <f ca="1"/>
        <v>#NAME?</v>
      </c>
      <c r="Z153" s="18" t="str">
        <f ca="1">IFERROR(__xludf.DUMMYFUNCTION("""COMPUTED_VALUE"""),"N/A")</f>
        <v>N/A</v>
      </c>
      <c r="AA153" s="18" t="str">
        <f ca="1">IFERROR(__xludf.DUMMYFUNCTION("""COMPUTED_VALUE"""),"N/A")</f>
        <v>N/A</v>
      </c>
      <c r="AC153" s="59" t="s">
        <v>1123</v>
      </c>
      <c r="AD153" s="59" t="s">
        <v>1123</v>
      </c>
      <c r="AE153" s="59" t="s">
        <v>1145</v>
      </c>
      <c r="AF153" s="59" t="s">
        <v>1151</v>
      </c>
      <c r="AG153" s="59" t="s">
        <v>1151</v>
      </c>
      <c r="AH153" s="59" t="s">
        <v>1154</v>
      </c>
      <c r="AI153" s="59" t="s">
        <v>1157</v>
      </c>
      <c r="AJ153" s="59" t="s">
        <v>1157</v>
      </c>
      <c r="AK153" s="59" t="s">
        <v>1157</v>
      </c>
      <c r="AL153" s="59" t="s">
        <v>1157</v>
      </c>
      <c r="AM153" s="59" t="s">
        <v>1157</v>
      </c>
      <c r="AN153" s="59" t="s">
        <v>1163</v>
      </c>
      <c r="AO153" s="59" t="s">
        <v>1163</v>
      </c>
      <c r="AP153" s="59" t="s">
        <v>1164</v>
      </c>
      <c r="AQ153" s="59" t="s">
        <v>1135</v>
      </c>
      <c r="AR153" s="59" t="s">
        <v>1135</v>
      </c>
      <c r="AS153" s="59" t="s">
        <v>1165</v>
      </c>
      <c r="AT153" s="59" t="s">
        <v>1165</v>
      </c>
    </row>
    <row r="154" spans="1:46" x14ac:dyDescent="0.25">
      <c r="A154" s="18" t="str">
        <v>dehumidification_max_cycle_time:{"type":"attribute","data_type":"uint8","is_readonly":false,"reporting_type":"polled","poll_freq":86400,"default_value":0,"zigbee_metadata":{"attr_id":61559,"endpoint_id":10,"profile_id":260,"cluster_id":513,"zcl_data_type":32}},</v>
      </c>
      <c r="B154" s="52" t="str">
        <f ca="1"/>
        <v>0x0201 0xF077</v>
      </c>
      <c r="C154" s="52" t="str">
        <f ca="1">IFERROR(__xludf.DUMMYFUNCTION("""COMPUTED_VALUE"""),"dehumidification_max_cycle_time")</f>
        <v>dehumidification_max_cycle_time</v>
      </c>
      <c r="D154" s="18" t="str">
        <f ca="1">IFERROR(__xludf.DUMMYFUNCTION("""COMPUTED_VALUE"""),"attribute")</f>
        <v>attribute</v>
      </c>
      <c r="E154" s="18" t="str">
        <f ca="1">IFERROR(__xludf.DUMMYFUNCTION("""COMPUTED_VALUE"""),"uint8")</f>
        <v>uint8</v>
      </c>
      <c r="F154" s="18" t="str">
        <f ca="1">IFERROR(__xludf.DUMMYFUNCTION("""COMPUTED_VALUE"""),"false")</f>
        <v>false</v>
      </c>
      <c r="G154" s="18" t="str">
        <f ca="1">IFERROR(__xludf.DUMMYFUNCTION("""COMPUTED_VALUE"""),"polled")</f>
        <v>polled</v>
      </c>
      <c r="H154" s="18" t="str">
        <f ca="1">IFERROR(__xludf.DUMMYFUNCTION("""COMPUTED_VALUE"""),"86400")</f>
        <v>86400</v>
      </c>
      <c r="I154" s="18" t="str">
        <f ca="1">IFERROR(__xludf.DUMMYFUNCTION("""COMPUTED_VALUE"""),"N/A")</f>
        <v>N/A</v>
      </c>
      <c r="J154" s="18" t="str">
        <f ca="1">IFERROR(__xludf.DUMMYFUNCTION("""COMPUTED_VALUE"""),"N/A")</f>
        <v>N/A</v>
      </c>
      <c r="K154" s="18" t="str">
        <f ca="1">IFERROR(__xludf.DUMMYFUNCTION("""COMPUTED_VALUE"""),"N/A")</f>
        <v>N/A</v>
      </c>
      <c r="L154" s="18" t="str">
        <f ca="1">IFERROR(__xludf.DUMMYFUNCTION("""COMPUTED_VALUE"""),"N/A")</f>
        <v>N/A</v>
      </c>
      <c r="M154" s="18" t="str">
        <f ca="1">IFERROR(__xludf.DUMMYFUNCTION("""COMPUTED_VALUE"""),"N/A")</f>
        <v>N/A</v>
      </c>
      <c r="N154" s="18" t="str">
        <f ca="1">IFERROR(__xludf.DUMMYFUNCTION("""COMPUTED_VALUE"""),"N/A")</f>
        <v>N/A</v>
      </c>
      <c r="O154" s="18" t="str">
        <f ca="1">IFERROR(__xludf.DUMMYFUNCTION("""COMPUTED_VALUE"""),"N/A")</f>
        <v>N/A</v>
      </c>
      <c r="P154" s="18" t="str">
        <f ca="1">IFERROR(__xludf.DUMMYFUNCTION("""COMPUTED_VALUE"""),"N/A")</f>
        <v>N/A</v>
      </c>
      <c r="Q154" s="18" t="str">
        <f ca="1">IFERROR(__xludf.DUMMYFUNCTION("""COMPUTED_VALUE"""),"N/A")</f>
        <v>N/A</v>
      </c>
      <c r="R154" s="18" t="str">
        <f ca="1">IFERROR(__xludf.DUMMYFUNCTION("""COMPUTED_VALUE"""),"N/A")</f>
        <v>N/A</v>
      </c>
      <c r="S154" s="18" t="str">
        <f ca="1">IFERROR(__xludf.DUMMYFUNCTION("""COMPUTED_VALUE"""),"0")</f>
        <v>0</v>
      </c>
      <c r="T154" s="18" t="str">
        <f ca="1">IFERROR(__xludf.DUMMYFUNCTION("""COMPUTED_VALUE"""),"0xF077")</f>
        <v>0xF077</v>
      </c>
      <c r="U154" s="18" t="str">
        <f ca="1">IFERROR(__xludf.DUMMYFUNCTION("""COMPUTED_VALUE"""),"0x0A")</f>
        <v>0x0A</v>
      </c>
      <c r="V154" s="18" t="str">
        <f ca="1">IFERROR(__xludf.DUMMYFUNCTION("""COMPUTED_VALUE"""),"0x0104")</f>
        <v>0x0104</v>
      </c>
      <c r="W154" s="18" t="str">
        <f ca="1">IFERROR(__xludf.DUMMYFUNCTION("""COMPUTED_VALUE"""),"0x0201")</f>
        <v>0x0201</v>
      </c>
      <c r="X154" s="18" t="str">
        <f ca="1">IFERROR(__xludf.DUMMYFUNCTION("""COMPUTED_VALUE"""),"0x20")</f>
        <v>0x20</v>
      </c>
      <c r="Y154" s="18" t="e">
        <f ca="1"/>
        <v>#NAME?</v>
      </c>
      <c r="Z154" s="18" t="str">
        <f ca="1">IFERROR(__xludf.DUMMYFUNCTION("""COMPUTED_VALUE"""),"N/A")</f>
        <v>N/A</v>
      </c>
      <c r="AA154" s="18" t="str">
        <f ca="1">IFERROR(__xludf.DUMMYFUNCTION("""COMPUTED_VALUE"""),"N/A")</f>
        <v>N/A</v>
      </c>
      <c r="AC154" s="59" t="s">
        <v>1126</v>
      </c>
      <c r="AD154" s="59" t="s">
        <v>1126</v>
      </c>
      <c r="AE154" s="59" t="s">
        <v>1148</v>
      </c>
      <c r="AF154" s="59" t="s">
        <v>1154</v>
      </c>
      <c r="AG154" s="59" t="s">
        <v>1154</v>
      </c>
      <c r="AH154" s="59" t="s">
        <v>1157</v>
      </c>
      <c r="AI154" s="59" t="s">
        <v>1160</v>
      </c>
      <c r="AJ154" s="59" t="s">
        <v>1160</v>
      </c>
      <c r="AK154" s="59" t="s">
        <v>1160</v>
      </c>
      <c r="AL154" s="59" t="s">
        <v>1160</v>
      </c>
      <c r="AM154" s="59" t="s">
        <v>1160</v>
      </c>
      <c r="AN154" s="59" t="s">
        <v>1166</v>
      </c>
      <c r="AO154" s="59" t="s">
        <v>1166</v>
      </c>
      <c r="AP154" s="59" t="s">
        <v>1167</v>
      </c>
      <c r="AQ154" s="59" t="s">
        <v>1138</v>
      </c>
      <c r="AR154" s="59" t="s">
        <v>1138</v>
      </c>
      <c r="AS154" s="59" t="s">
        <v>1168</v>
      </c>
      <c r="AT154" s="59" t="s">
        <v>1168</v>
      </c>
    </row>
    <row r="155" spans="1:46" x14ac:dyDescent="0.25">
      <c r="A155" s="18" t="str">
        <v>manual_fan_max_time:{"type":"attribute","data_type":"uint16","is_readonly":false,"reporting_type":"polled","poll_freq":86400,"default_value":65535,"zigbee_metadata":{"attr_id":61545,"endpoint_id":10,"profile_id":260,"cluster_id":513,"zcl_data_type":33}},</v>
      </c>
      <c r="B155" s="52" t="str">
        <f ca="1"/>
        <v>0x0201 0xF069</v>
      </c>
      <c r="C155" s="52" t="str">
        <f ca="1">IFERROR(__xludf.DUMMYFUNCTION("""COMPUTED_VALUE"""),"manual_fan_max_time")</f>
        <v>manual_fan_max_time</v>
      </c>
      <c r="D155" s="18" t="str">
        <f ca="1">IFERROR(__xludf.DUMMYFUNCTION("""COMPUTED_VALUE"""),"attribute")</f>
        <v>attribute</v>
      </c>
      <c r="E155" s="18" t="str">
        <f ca="1">IFERROR(__xludf.DUMMYFUNCTION("""COMPUTED_VALUE"""),"uint16")</f>
        <v>uint16</v>
      </c>
      <c r="F155" s="18" t="str">
        <f ca="1">IFERROR(__xludf.DUMMYFUNCTION("""COMPUTED_VALUE"""),"false")</f>
        <v>false</v>
      </c>
      <c r="G155" s="18" t="str">
        <f ca="1">IFERROR(__xludf.DUMMYFUNCTION("""COMPUTED_VALUE"""),"polled")</f>
        <v>polled</v>
      </c>
      <c r="H155" s="18" t="str">
        <f ca="1">IFERROR(__xludf.DUMMYFUNCTION("""COMPUTED_VALUE"""),"86400")</f>
        <v>86400</v>
      </c>
      <c r="I155" s="18" t="str">
        <f ca="1">IFERROR(__xludf.DUMMYFUNCTION("""COMPUTED_VALUE"""),"N/A")</f>
        <v>N/A</v>
      </c>
      <c r="J155" s="18" t="str">
        <f ca="1">IFERROR(__xludf.DUMMYFUNCTION("""COMPUTED_VALUE"""),"N/A")</f>
        <v>N/A</v>
      </c>
      <c r="K155" s="18" t="str">
        <f ca="1">IFERROR(__xludf.DUMMYFUNCTION("""COMPUTED_VALUE"""),"N/A")</f>
        <v>N/A</v>
      </c>
      <c r="L155" s="18" t="str">
        <f ca="1">IFERROR(__xludf.DUMMYFUNCTION("""COMPUTED_VALUE"""),"N/A")</f>
        <v>N/A</v>
      </c>
      <c r="M155" s="18" t="str">
        <f ca="1">IFERROR(__xludf.DUMMYFUNCTION("""COMPUTED_VALUE"""),"N/A")</f>
        <v>N/A</v>
      </c>
      <c r="N155" s="18" t="str">
        <f ca="1">IFERROR(__xludf.DUMMYFUNCTION("""COMPUTED_VALUE"""),"N/A")</f>
        <v>N/A</v>
      </c>
      <c r="O155" s="18" t="str">
        <f ca="1">IFERROR(__xludf.DUMMYFUNCTION("""COMPUTED_VALUE"""),"N/A")</f>
        <v>N/A</v>
      </c>
      <c r="P155" s="18" t="str">
        <f ca="1">IFERROR(__xludf.DUMMYFUNCTION("""COMPUTED_VALUE"""),"N/A")</f>
        <v>N/A</v>
      </c>
      <c r="Q155" s="18" t="str">
        <f ca="1">IFERROR(__xludf.DUMMYFUNCTION("""COMPUTED_VALUE"""),"N/A")</f>
        <v>N/A</v>
      </c>
      <c r="R155" s="18" t="str">
        <f ca="1">IFERROR(__xludf.DUMMYFUNCTION("""COMPUTED_VALUE"""),"N/A")</f>
        <v>N/A</v>
      </c>
      <c r="S155" s="18" t="str">
        <f ca="1">IFERROR(__xludf.DUMMYFUNCTION("""COMPUTED_VALUE"""),"65535")</f>
        <v>65535</v>
      </c>
      <c r="T155" s="18" t="str">
        <f ca="1">IFERROR(__xludf.DUMMYFUNCTION("""COMPUTED_VALUE"""),"0xF069")</f>
        <v>0xF069</v>
      </c>
      <c r="U155" s="18" t="str">
        <f ca="1">IFERROR(__xludf.DUMMYFUNCTION("""COMPUTED_VALUE"""),"0x0A")</f>
        <v>0x0A</v>
      </c>
      <c r="V155" s="18" t="str">
        <f ca="1">IFERROR(__xludf.DUMMYFUNCTION("""COMPUTED_VALUE"""),"0x0104")</f>
        <v>0x0104</v>
      </c>
      <c r="W155" s="18" t="str">
        <f ca="1">IFERROR(__xludf.DUMMYFUNCTION("""COMPUTED_VALUE"""),"0x0201")</f>
        <v>0x0201</v>
      </c>
      <c r="X155" s="18" t="str">
        <f ca="1">IFERROR(__xludf.DUMMYFUNCTION("""COMPUTED_VALUE"""),"0x21")</f>
        <v>0x21</v>
      </c>
      <c r="Y155" s="18" t="e">
        <f ca="1"/>
        <v>#NAME?</v>
      </c>
      <c r="Z155" s="18" t="str">
        <f ca="1">IFERROR(__xludf.DUMMYFUNCTION("""COMPUTED_VALUE"""),"N/A")</f>
        <v>N/A</v>
      </c>
      <c r="AA155" s="18" t="str">
        <f ca="1">IFERROR(__xludf.DUMMYFUNCTION("""COMPUTED_VALUE"""),"N/A")</f>
        <v>N/A</v>
      </c>
      <c r="AC155" s="59" t="s">
        <v>1130</v>
      </c>
      <c r="AD155" s="59" t="s">
        <v>1130</v>
      </c>
      <c r="AE155" s="59" t="s">
        <v>1151</v>
      </c>
      <c r="AF155" s="59" t="s">
        <v>1157</v>
      </c>
      <c r="AG155" s="59" t="s">
        <v>1157</v>
      </c>
      <c r="AH155" s="59" t="s">
        <v>1160</v>
      </c>
      <c r="AI155" s="59" t="s">
        <v>1163</v>
      </c>
      <c r="AJ155" s="59" t="s">
        <v>1163</v>
      </c>
      <c r="AK155" s="59" t="s">
        <v>1163</v>
      </c>
      <c r="AL155" s="59" t="s">
        <v>1163</v>
      </c>
      <c r="AM155" s="59" t="s">
        <v>1163</v>
      </c>
      <c r="AN155" s="59" t="s">
        <v>1169</v>
      </c>
      <c r="AO155" s="59" t="s">
        <v>1169</v>
      </c>
      <c r="AP155" s="59" t="s">
        <v>1170</v>
      </c>
      <c r="AQ155" s="59" t="s">
        <v>1141</v>
      </c>
      <c r="AR155" s="59" t="s">
        <v>1141</v>
      </c>
      <c r="AS155" s="59" t="s">
        <v>1171</v>
      </c>
      <c r="AT155" s="59" t="s">
        <v>1171</v>
      </c>
    </row>
    <row r="156" spans="1:46" x14ac:dyDescent="0.25">
      <c r="A156" s="18" t="str">
        <v>active_remote_controller:{"type":"attribute","data_type":"enum","is_readonly":false,"reporting_type":"polled","poll_freq":86400,"default_value":"none","enum_values":["none","Intesis","Mitsubishi","LGModbus","LGZigbee","IRGateway"],"zigbee_metadata":{"attr_id":61560,"endpoint_id":10,"profile_id":260,"cluster_id":513,"zcl_data_type":48,"write_formatter":"lambdax:{'none':0,'LGZigbee':1,'Mitsubishi':2,'Intesis':4,'LGModbus':5,'IRGateway':6}[x]","read_formatter":"lambdax:{0:'none',1:'LGZigbee',2:'Mitsubishi',4:'Intesis',5:'LGModbus',6:'IRGateway'}.get(x,'unknown')"}},</v>
      </c>
      <c r="B156" s="52" t="str">
        <f ca="1"/>
        <v>0x0201 0xF078</v>
      </c>
      <c r="C156" s="52" t="str">
        <f ca="1">IFERROR(__xludf.DUMMYFUNCTION("""COMPUTED_VALUE"""),"active_remote_controller")</f>
        <v>active_remote_controller</v>
      </c>
      <c r="D156" s="18" t="str">
        <f ca="1">IFERROR(__xludf.DUMMYFUNCTION("""COMPUTED_VALUE"""),"attribute")</f>
        <v>attribute</v>
      </c>
      <c r="E156" s="18" t="str">
        <f ca="1">IFERROR(__xludf.DUMMYFUNCTION("""COMPUTED_VALUE"""),"enum")</f>
        <v>enum</v>
      </c>
      <c r="F156" s="18" t="str">
        <f ca="1">IFERROR(__xludf.DUMMYFUNCTION("""COMPUTED_VALUE"""),"false")</f>
        <v>false</v>
      </c>
      <c r="G156" s="18" t="str">
        <f ca="1">IFERROR(__xludf.DUMMYFUNCTION("""COMPUTED_VALUE"""),"polled")</f>
        <v>polled</v>
      </c>
      <c r="H156" s="18" t="str">
        <f ca="1">IFERROR(__xludf.DUMMYFUNCTION("""COMPUTED_VALUE"""),"86400")</f>
        <v>86400</v>
      </c>
      <c r="I156" s="18" t="str">
        <f ca="1">IFERROR(__xludf.DUMMYFUNCTION("""COMPUTED_VALUE"""),"N/A")</f>
        <v>N/A</v>
      </c>
      <c r="J156" s="18" t="str">
        <f ca="1">IFERROR(__xludf.DUMMYFUNCTION("""COMPUTED_VALUE"""),"N/A")</f>
        <v>N/A</v>
      </c>
      <c r="K156" s="18" t="str">
        <f ca="1">IFERROR(__xludf.DUMMYFUNCTION("""COMPUTED_VALUE"""),"N/A")</f>
        <v>N/A</v>
      </c>
      <c r="L156" s="18" t="str">
        <f ca="1">IFERROR(__xludf.DUMMYFUNCTION("""COMPUTED_VALUE"""),"N/A")</f>
        <v>N/A</v>
      </c>
      <c r="M156" s="18" t="str">
        <f ca="1">IFERROR(__xludf.DUMMYFUNCTION("""COMPUTED_VALUE"""),"N/A")</f>
        <v>N/A</v>
      </c>
      <c r="N156" s="18" t="str">
        <f ca="1">IFERROR(__xludf.DUMMYFUNCTION("""COMPUTED_VALUE"""),"N/A")</f>
        <v>N/A</v>
      </c>
      <c r="O156" s="18" t="str">
        <f ca="1">IFERROR(__xludf.DUMMYFUNCTION("""COMPUTED_VALUE"""),"N/A")</f>
        <v>N/A</v>
      </c>
      <c r="P156" s="18" t="str">
        <f ca="1">IFERROR(__xludf.DUMMYFUNCTION("""COMPUTED_VALUE"""),"""none"",""Intesis"",""Mitsubishi"",""LGModbus"",""LGZigbee"",""IRGateway""")</f>
        <v>"none","Intesis","Mitsubishi","LGModbus","LGZigbee","IRGateway"</v>
      </c>
      <c r="Q156" s="18" t="str">
        <f ca="1">IFERROR(__xludf.DUMMYFUNCTION("""COMPUTED_VALUE"""),"N/A")</f>
        <v>N/A</v>
      </c>
      <c r="R156" s="18" t="str">
        <f ca="1">IFERROR(__xludf.DUMMYFUNCTION("""COMPUTED_VALUE"""),"N/A")</f>
        <v>N/A</v>
      </c>
      <c r="S156" s="18" t="str">
        <f ca="1">IFERROR(__xludf.DUMMYFUNCTION("""COMPUTED_VALUE"""),"""none""")</f>
        <v>"none"</v>
      </c>
      <c r="T156" s="18" t="str">
        <f ca="1">IFERROR(__xludf.DUMMYFUNCTION("""COMPUTED_VALUE"""),"0xF078")</f>
        <v>0xF078</v>
      </c>
      <c r="U156" s="18" t="str">
        <f ca="1">IFERROR(__xludf.DUMMYFUNCTION("""COMPUTED_VALUE"""),"0x0A")</f>
        <v>0x0A</v>
      </c>
      <c r="V156" s="18" t="str">
        <f ca="1">IFERROR(__xludf.DUMMYFUNCTION("""COMPUTED_VALUE"""),"0x0104")</f>
        <v>0x0104</v>
      </c>
      <c r="W156" s="18" t="str">
        <f ca="1">IFERROR(__xludf.DUMMYFUNCTION("""COMPUTED_VALUE"""),"0x0201")</f>
        <v>0x0201</v>
      </c>
      <c r="X156" s="18" t="str">
        <f ca="1">IFERROR(__xludf.DUMMYFUNCTION("""COMPUTED_VALUE"""),"0x30")</f>
        <v>0x30</v>
      </c>
      <c r="Y156" s="18" t="e">
        <f ca="1"/>
        <v>#NAME?</v>
      </c>
      <c r="Z156" s="18" t="str">
        <f ca="1">IFERROR(__xludf.DUMMYFUNCTION("""COMPUTED_VALUE"""),"lambdax:{'none':0,'LGZigbee':1,'Mitsubishi':2,'Intesis':4,'LGModbus':5,'IRGateway':6}[x]")</f>
        <v>lambdax:{'none':0,'LGZigbee':1,'Mitsubishi':2,'Intesis':4,'LGModbus':5,'IRGateway':6}[x]</v>
      </c>
      <c r="AA156" s="18" t="str">
        <f ca="1">IFERROR(__xludf.DUMMYFUNCTION("""COMPUTED_VALUE"""),"lambdax:{0:'none',1:'LGZigbee',2:'Mitsubishi',4:'Intesis',5:'LGModbus',6:'IRGateway'}.get(x,'unknown')")</f>
        <v>lambdax:{0:'none',1:'LGZigbee',2:'Mitsubishi',4:'Intesis',5:'LGModbus',6:'IRGateway'}.get(x,'unknown')</v>
      </c>
      <c r="AC156" s="59" t="s">
        <v>1172</v>
      </c>
      <c r="AD156" s="59" t="s">
        <v>1133</v>
      </c>
      <c r="AE156" s="59" t="s">
        <v>1154</v>
      </c>
      <c r="AF156" s="59" t="s">
        <v>1160</v>
      </c>
      <c r="AG156" s="59" t="s">
        <v>1160</v>
      </c>
      <c r="AH156" s="59" t="s">
        <v>1163</v>
      </c>
      <c r="AI156" s="59" t="s">
        <v>1166</v>
      </c>
      <c r="AJ156" s="59" t="s">
        <v>1166</v>
      </c>
      <c r="AK156" s="59" t="s">
        <v>1166</v>
      </c>
      <c r="AL156" s="59" t="s">
        <v>1166</v>
      </c>
      <c r="AM156" s="59" t="s">
        <v>1166</v>
      </c>
      <c r="AN156" s="59" t="s">
        <v>1173</v>
      </c>
      <c r="AO156" s="59" t="s">
        <v>1173</v>
      </c>
      <c r="AP156" s="59" t="s">
        <v>1174</v>
      </c>
      <c r="AQ156" s="59" t="s">
        <v>1144</v>
      </c>
      <c r="AR156" s="59" t="s">
        <v>1144</v>
      </c>
      <c r="AS156" s="59" t="s">
        <v>1175</v>
      </c>
      <c r="AT156" s="59" t="s">
        <v>1175</v>
      </c>
    </row>
    <row r="157" spans="1:46" x14ac:dyDescent="0.25">
      <c r="A157" s="18" t="str">
        <v>remote_controller_auto_fan_disable:{"type":"attribute","data_type":"bool","is_readonly":false,"reporting_type":"polled","poll_freq":86400,"default_value":false,"zigbee_metadata":{"attr_id":61561,"endpoint_id":10,"profile_id":260,"cluster_id":513,"zcl_data_type":24,"write_formatter":"lambdax:1ifxelse0","read_formatter":"lambdax:bool(x&amp;1)"}},</v>
      </c>
      <c r="B157" s="52" t="str">
        <f ca="1"/>
        <v>0x0201 0xF079</v>
      </c>
      <c r="C157" s="52" t="str">
        <f ca="1">IFERROR(__xludf.DUMMYFUNCTION("""COMPUTED_VALUE"""),"remote_controller_auto_fan_disable")</f>
        <v>remote_controller_auto_fan_disable</v>
      </c>
      <c r="D157" s="18" t="str">
        <f ca="1">IFERROR(__xludf.DUMMYFUNCTION("""COMPUTED_VALUE"""),"attribute")</f>
        <v>attribute</v>
      </c>
      <c r="E157" s="18" t="str">
        <f ca="1">IFERROR(__xludf.DUMMYFUNCTION("""COMPUTED_VALUE"""),"bool")</f>
        <v>bool</v>
      </c>
      <c r="F157" s="18" t="str">
        <f ca="1">IFERROR(__xludf.DUMMYFUNCTION("""COMPUTED_VALUE"""),"false")</f>
        <v>false</v>
      </c>
      <c r="G157" s="18" t="str">
        <f ca="1">IFERROR(__xludf.DUMMYFUNCTION("""COMPUTED_VALUE"""),"polled")</f>
        <v>polled</v>
      </c>
      <c r="H157" s="18" t="str">
        <f ca="1">IFERROR(__xludf.DUMMYFUNCTION("""COMPUTED_VALUE"""),"86400")</f>
        <v>86400</v>
      </c>
      <c r="I157" s="18" t="str">
        <f ca="1">IFERROR(__xludf.DUMMYFUNCTION("""COMPUTED_VALUE"""),"N/A")</f>
        <v>N/A</v>
      </c>
      <c r="J157" s="18" t="str">
        <f ca="1">IFERROR(__xludf.DUMMYFUNCTION("""COMPUTED_VALUE"""),"N/A")</f>
        <v>N/A</v>
      </c>
      <c r="K157" s="18" t="str">
        <f ca="1">IFERROR(__xludf.DUMMYFUNCTION("""COMPUTED_VALUE"""),"N/A")</f>
        <v>N/A</v>
      </c>
      <c r="L157" s="18" t="str">
        <f ca="1">IFERROR(__xludf.DUMMYFUNCTION("""COMPUTED_VALUE"""),"N/A")</f>
        <v>N/A</v>
      </c>
      <c r="M157" s="18" t="str">
        <f ca="1">IFERROR(__xludf.DUMMYFUNCTION("""COMPUTED_VALUE"""),"N/A")</f>
        <v>N/A</v>
      </c>
      <c r="N157" s="18" t="str">
        <f ca="1">IFERROR(__xludf.DUMMYFUNCTION("""COMPUTED_VALUE"""),"N/A")</f>
        <v>N/A</v>
      </c>
      <c r="O157" s="18" t="str">
        <f ca="1">IFERROR(__xludf.DUMMYFUNCTION("""COMPUTED_VALUE"""),"N/A")</f>
        <v>N/A</v>
      </c>
      <c r="P157" s="18" t="str">
        <f ca="1">IFERROR(__xludf.DUMMYFUNCTION("""COMPUTED_VALUE"""),"N/A")</f>
        <v>N/A</v>
      </c>
      <c r="Q157" s="18" t="str">
        <f ca="1">IFERROR(__xludf.DUMMYFUNCTION("""COMPUTED_VALUE"""),"N/A")</f>
        <v>N/A</v>
      </c>
      <c r="R157" s="18" t="str">
        <f ca="1">IFERROR(__xludf.DUMMYFUNCTION("""COMPUTED_VALUE"""),"N/A")</f>
        <v>N/A</v>
      </c>
      <c r="S157" s="18" t="str">
        <f ca="1">IFERROR(__xludf.DUMMYFUNCTION("""COMPUTED_VALUE"""),"false")</f>
        <v>false</v>
      </c>
      <c r="T157" s="18" t="str">
        <f ca="1">IFERROR(__xludf.DUMMYFUNCTION("""COMPUTED_VALUE"""),"0xF079")</f>
        <v>0xF079</v>
      </c>
      <c r="U157" s="18" t="str">
        <f ca="1">IFERROR(__xludf.DUMMYFUNCTION("""COMPUTED_VALUE"""),"0x0A")</f>
        <v>0x0A</v>
      </c>
      <c r="V157" s="18" t="str">
        <f ca="1">IFERROR(__xludf.DUMMYFUNCTION("""COMPUTED_VALUE"""),"0x0104")</f>
        <v>0x0104</v>
      </c>
      <c r="W157" s="18" t="str">
        <f ca="1">IFERROR(__xludf.DUMMYFUNCTION("""COMPUTED_VALUE"""),"0x0201")</f>
        <v>0x0201</v>
      </c>
      <c r="X157" s="18" t="str">
        <f ca="1">IFERROR(__xludf.DUMMYFUNCTION("""COMPUTED_VALUE"""),"0x18")</f>
        <v>0x18</v>
      </c>
      <c r="Y157" s="18" t="e">
        <f ca="1"/>
        <v>#NAME?</v>
      </c>
      <c r="Z157" s="18" t="str">
        <f ca="1">IFERROR(__xludf.DUMMYFUNCTION("""COMPUTED_VALUE"""),"lambdax:1ifxelse0")</f>
        <v>lambdax:1ifxelse0</v>
      </c>
      <c r="AA157" s="18" t="str">
        <f ca="1">IFERROR(__xludf.DUMMYFUNCTION("""COMPUTED_VALUE"""),"lambdax:bool(x&amp;1)")</f>
        <v>lambdax:bool(x&amp;1)</v>
      </c>
      <c r="AC157" s="59" t="s">
        <v>1136</v>
      </c>
      <c r="AD157" s="59" t="s">
        <v>1136</v>
      </c>
      <c r="AE157" s="59" t="s">
        <v>1157</v>
      </c>
      <c r="AF157" s="59" t="s">
        <v>1163</v>
      </c>
      <c r="AG157" s="59" t="s">
        <v>1163</v>
      </c>
      <c r="AH157" s="59" t="s">
        <v>1166</v>
      </c>
      <c r="AI157" s="59" t="s">
        <v>1169</v>
      </c>
      <c r="AJ157" s="59" t="s">
        <v>1169</v>
      </c>
      <c r="AK157" s="59" t="s">
        <v>1169</v>
      </c>
      <c r="AL157" s="59" t="s">
        <v>1169</v>
      </c>
      <c r="AM157" s="59" t="s">
        <v>1169</v>
      </c>
      <c r="AN157" s="59" t="s">
        <v>1176</v>
      </c>
      <c r="AO157" s="59" t="s">
        <v>1176</v>
      </c>
      <c r="AP157" s="59" t="s">
        <v>1177</v>
      </c>
      <c r="AQ157" s="59" t="s">
        <v>1147</v>
      </c>
      <c r="AR157" s="59" t="s">
        <v>1147</v>
      </c>
      <c r="AS157" s="59" t="s">
        <v>1178</v>
      </c>
      <c r="AT157" s="59" t="s">
        <v>1178</v>
      </c>
    </row>
    <row r="158" spans="1:46" x14ac:dyDescent="0.25">
      <c r="A158" s="18" t="str">
        <v>remote_controller_error_code:{"type":"telemetry","data_type":"int16","is_readonly":true,"reporting_type":"reported","report_max":3600,"report_min":0,"zigbee_metadata":{"attr_id":61562,"endpoint_id":10,"profile_id":260,"cluster_id":513,"zcl_data_type":49}},</v>
      </c>
      <c r="B158" s="52" t="str">
        <f ca="1"/>
        <v>0x0201 0xF07A</v>
      </c>
      <c r="C158" s="52" t="str">
        <f ca="1">IFERROR(__xludf.DUMMYFUNCTION("""COMPUTED_VALUE"""),"remote_controller_error_code")</f>
        <v>remote_controller_error_code</v>
      </c>
      <c r="D158" s="18" t="str">
        <f ca="1">IFERROR(__xludf.DUMMYFUNCTION("""COMPUTED_VALUE"""),"telemetry")</f>
        <v>telemetry</v>
      </c>
      <c r="E158" s="18" t="str">
        <f ca="1">IFERROR(__xludf.DUMMYFUNCTION("""COMPUTED_VALUE"""),"int16")</f>
        <v>int16</v>
      </c>
      <c r="F158" s="18" t="str">
        <f ca="1">IFERROR(__xludf.DUMMYFUNCTION("""COMPUTED_VALUE"""),"true")</f>
        <v>true</v>
      </c>
      <c r="G158" s="18" t="str">
        <f ca="1">IFERROR(__xludf.DUMMYFUNCTION("""COMPUTED_VALUE"""),"reported")</f>
        <v>reported</v>
      </c>
      <c r="H158" s="18" t="str">
        <f ca="1">IFERROR(__xludf.DUMMYFUNCTION("""COMPUTED_VALUE"""),"N/A")</f>
        <v>N/A</v>
      </c>
      <c r="I158" s="18" t="str">
        <f ca="1">IFERROR(__xludf.DUMMYFUNCTION("""COMPUTED_VALUE"""),"3600")</f>
        <v>3600</v>
      </c>
      <c r="J158" s="18" t="str">
        <f ca="1">IFERROR(__xludf.DUMMYFUNCTION("""COMPUTED_VALUE"""),"0")</f>
        <v>0</v>
      </c>
      <c r="K158" s="18" t="str">
        <f ca="1">IFERROR(__xludf.DUMMYFUNCTION("""COMPUTED_VALUE"""),"N/A")</f>
        <v>N/A</v>
      </c>
      <c r="L158" s="18" t="str">
        <f ca="1">IFERROR(__xludf.DUMMYFUNCTION("""COMPUTED_VALUE"""),"N/A")</f>
        <v>N/A</v>
      </c>
      <c r="M158" s="18" t="str">
        <f ca="1">IFERROR(__xludf.DUMMYFUNCTION("""COMPUTED_VALUE"""),"N/A")</f>
        <v>N/A</v>
      </c>
      <c r="N158" s="18" t="str">
        <f ca="1">IFERROR(__xludf.DUMMYFUNCTION("""COMPUTED_VALUE"""),"N/A")</f>
        <v>N/A</v>
      </c>
      <c r="O158" s="18" t="str">
        <f ca="1">IFERROR(__xludf.DUMMYFUNCTION("""COMPUTED_VALUE"""),"N/A")</f>
        <v>N/A</v>
      </c>
      <c r="P158" s="18" t="str">
        <f ca="1">IFERROR(__xludf.DUMMYFUNCTION("""COMPUTED_VALUE"""),"N/A")</f>
        <v>N/A</v>
      </c>
      <c r="Q158" s="18" t="str">
        <f ca="1">IFERROR(__xludf.DUMMYFUNCTION("""COMPUTED_VALUE"""),"N/A")</f>
        <v>N/A</v>
      </c>
      <c r="R158" s="18" t="str">
        <f ca="1">IFERROR(__xludf.DUMMYFUNCTION("""COMPUTED_VALUE"""),"N/A")</f>
        <v>N/A</v>
      </c>
      <c r="S158" s="18" t="str">
        <f ca="1">IFERROR(__xludf.DUMMYFUNCTION("""COMPUTED_VALUE"""),"N/A")</f>
        <v>N/A</v>
      </c>
      <c r="T158" s="18" t="str">
        <f ca="1">IFERROR(__xludf.DUMMYFUNCTION("""COMPUTED_VALUE"""),"0xF07A")</f>
        <v>0xF07A</v>
      </c>
      <c r="U158" s="18" t="str">
        <f ca="1">IFERROR(__xludf.DUMMYFUNCTION("""COMPUTED_VALUE"""),"0x0A")</f>
        <v>0x0A</v>
      </c>
      <c r="V158" s="18" t="str">
        <f ca="1">IFERROR(__xludf.DUMMYFUNCTION("""COMPUTED_VALUE"""),"0x0104")</f>
        <v>0x0104</v>
      </c>
      <c r="W158" s="18" t="str">
        <f ca="1">IFERROR(__xludf.DUMMYFUNCTION("""COMPUTED_VALUE"""),"0x0201")</f>
        <v>0x0201</v>
      </c>
      <c r="X158" s="18" t="str">
        <f ca="1">IFERROR(__xludf.DUMMYFUNCTION("""COMPUTED_VALUE"""),"0x31")</f>
        <v>0x31</v>
      </c>
      <c r="Y158" s="18" t="e">
        <f ca="1"/>
        <v>#NAME?</v>
      </c>
      <c r="Z158" s="18" t="str">
        <f ca="1">IFERROR(__xludf.DUMMYFUNCTION("""COMPUTED_VALUE"""),"N/A")</f>
        <v>N/A</v>
      </c>
      <c r="AA158" s="18" t="str">
        <f ca="1">IFERROR(__xludf.DUMMYFUNCTION("""COMPUTED_VALUE"""),"N/A")</f>
        <v>N/A</v>
      </c>
      <c r="AC158" s="59" t="s">
        <v>1139</v>
      </c>
      <c r="AD158" s="59" t="s">
        <v>1139</v>
      </c>
      <c r="AE158" s="59" t="s">
        <v>1160</v>
      </c>
      <c r="AF158" s="59" t="s">
        <v>1166</v>
      </c>
      <c r="AG158" s="59" t="s">
        <v>1166</v>
      </c>
      <c r="AH158" s="59" t="s">
        <v>1169</v>
      </c>
      <c r="AI158" s="59" t="s">
        <v>1173</v>
      </c>
      <c r="AJ158" s="59" t="s">
        <v>1173</v>
      </c>
      <c r="AK158" s="59" t="s">
        <v>1173</v>
      </c>
      <c r="AL158" s="59" t="s">
        <v>1173</v>
      </c>
      <c r="AM158" s="59" t="s">
        <v>1173</v>
      </c>
      <c r="AN158" s="59" t="s">
        <v>1179</v>
      </c>
      <c r="AO158" s="59" t="s">
        <v>1179</v>
      </c>
      <c r="AP158" s="59" t="s">
        <v>1180</v>
      </c>
      <c r="AQ158" s="59" t="s">
        <v>1150</v>
      </c>
      <c r="AR158" s="59" t="s">
        <v>1150</v>
      </c>
      <c r="AS158" s="59" t="s">
        <v>1181</v>
      </c>
      <c r="AT158" s="59" t="s">
        <v>1181</v>
      </c>
    </row>
    <row r="159" spans="1:46" x14ac:dyDescent="0.25">
      <c r="A159" s="18" t="str">
        <v>changeover_relay_inverted:{"type":"attribute","data_type":"bool","is_readonly":false,"reporting_type":"polled","poll_freq":86400,"default_value":false,"zigbee_metadata":{"attr_id":61584,"endpoint_id":10,"profile_id":260,"cluster_id":513,"zcl_data_type":16,"read_formatter":"lambdax:bool(x)","write_formatter":"lambdax:int(x)"}},</v>
      </c>
      <c r="B159" s="52" t="str">
        <f ca="1"/>
        <v>0x0201 0xF090</v>
      </c>
      <c r="C159" s="52" t="str">
        <f ca="1">IFERROR(__xludf.DUMMYFUNCTION("""COMPUTED_VALUE"""),"changeover_relay_inverted")</f>
        <v>changeover_relay_inverted</v>
      </c>
      <c r="D159" s="18" t="str">
        <f ca="1">IFERROR(__xludf.DUMMYFUNCTION("""COMPUTED_VALUE"""),"attribute")</f>
        <v>attribute</v>
      </c>
      <c r="E159" s="18" t="str">
        <f ca="1">IFERROR(__xludf.DUMMYFUNCTION("""COMPUTED_VALUE"""),"bool")</f>
        <v>bool</v>
      </c>
      <c r="F159" s="18" t="str">
        <f ca="1">IFERROR(__xludf.DUMMYFUNCTION("""COMPUTED_VALUE"""),"false")</f>
        <v>false</v>
      </c>
      <c r="G159" s="18" t="str">
        <f ca="1">IFERROR(__xludf.DUMMYFUNCTION("""COMPUTED_VALUE"""),"polled")</f>
        <v>polled</v>
      </c>
      <c r="H159" s="18" t="str">
        <f ca="1">IFERROR(__xludf.DUMMYFUNCTION("""COMPUTED_VALUE"""),"86400")</f>
        <v>86400</v>
      </c>
      <c r="I159" s="18" t="str">
        <f ca="1">IFERROR(__xludf.DUMMYFUNCTION("""COMPUTED_VALUE"""),"N/A")</f>
        <v>N/A</v>
      </c>
      <c r="J159" s="18" t="str">
        <f ca="1">IFERROR(__xludf.DUMMYFUNCTION("""COMPUTED_VALUE"""),"N/A")</f>
        <v>N/A</v>
      </c>
      <c r="K159" s="18" t="str">
        <f ca="1">IFERROR(__xludf.DUMMYFUNCTION("""COMPUTED_VALUE"""),"N/A")</f>
        <v>N/A</v>
      </c>
      <c r="L159" s="18" t="str">
        <f ca="1">IFERROR(__xludf.DUMMYFUNCTION("""COMPUTED_VALUE"""),"N/A")</f>
        <v>N/A</v>
      </c>
      <c r="M159" s="18" t="str">
        <f ca="1">IFERROR(__xludf.DUMMYFUNCTION("""COMPUTED_VALUE"""),"N/A")</f>
        <v>N/A</v>
      </c>
      <c r="N159" s="18" t="str">
        <f ca="1">IFERROR(__xludf.DUMMYFUNCTION("""COMPUTED_VALUE"""),"N/A")</f>
        <v>N/A</v>
      </c>
      <c r="O159" s="18" t="str">
        <f ca="1">IFERROR(__xludf.DUMMYFUNCTION("""COMPUTED_VALUE"""),"N/A")</f>
        <v>N/A</v>
      </c>
      <c r="P159" s="18" t="str">
        <f ca="1">IFERROR(__xludf.DUMMYFUNCTION("""COMPUTED_VALUE"""),"N/A")</f>
        <v>N/A</v>
      </c>
      <c r="Q159" s="18" t="str">
        <f ca="1">IFERROR(__xludf.DUMMYFUNCTION("""COMPUTED_VALUE"""),"N/A")</f>
        <v>N/A</v>
      </c>
      <c r="R159" s="18" t="str">
        <f ca="1">IFERROR(__xludf.DUMMYFUNCTION("""COMPUTED_VALUE"""),"N/A")</f>
        <v>N/A</v>
      </c>
      <c r="S159" s="18" t="str">
        <f ca="1">IFERROR(__xludf.DUMMYFUNCTION("""COMPUTED_VALUE"""),"false")</f>
        <v>false</v>
      </c>
      <c r="T159" s="18" t="str">
        <f ca="1">IFERROR(__xludf.DUMMYFUNCTION("""COMPUTED_VALUE"""),"0xF090")</f>
        <v>0xF090</v>
      </c>
      <c r="U159" s="18" t="str">
        <f ca="1">IFERROR(__xludf.DUMMYFUNCTION("""COMPUTED_VALUE"""),"0x0A")</f>
        <v>0x0A</v>
      </c>
      <c r="V159" s="18" t="str">
        <f ca="1">IFERROR(__xludf.DUMMYFUNCTION("""COMPUTED_VALUE"""),"0x0104")</f>
        <v>0x0104</v>
      </c>
      <c r="W159" s="18" t="str">
        <f ca="1">IFERROR(__xludf.DUMMYFUNCTION("""COMPUTED_VALUE"""),"0x0201")</f>
        <v>0x0201</v>
      </c>
      <c r="X159" s="18" t="str">
        <f ca="1">IFERROR(__xludf.DUMMYFUNCTION("""COMPUTED_VALUE"""),"0x10")</f>
        <v>0x10</v>
      </c>
      <c r="Y159" s="18" t="e">
        <f ca="1"/>
        <v>#NAME?</v>
      </c>
      <c r="Z159" s="18" t="str">
        <f ca="1">IFERROR(__xludf.DUMMYFUNCTION("""COMPUTED_VALUE"""),"lambdax:int(x)")</f>
        <v>lambdax:int(x)</v>
      </c>
      <c r="AA159" s="18" t="str">
        <f ca="1">IFERROR(__xludf.DUMMYFUNCTION("""COMPUTED_VALUE"""),"lambdax:bool(x)")</f>
        <v>lambdax:bool(x)</v>
      </c>
      <c r="AC159" s="59" t="s">
        <v>1142</v>
      </c>
      <c r="AD159" s="59" t="s">
        <v>1142</v>
      </c>
      <c r="AE159" s="59" t="s">
        <v>1163</v>
      </c>
      <c r="AF159" s="59" t="s">
        <v>1169</v>
      </c>
      <c r="AG159" s="59" t="s">
        <v>1169</v>
      </c>
      <c r="AH159" s="59" t="s">
        <v>1173</v>
      </c>
      <c r="AI159" s="59" t="s">
        <v>1176</v>
      </c>
      <c r="AJ159" s="59" t="s">
        <v>1176</v>
      </c>
      <c r="AK159" s="59" t="s">
        <v>1176</v>
      </c>
      <c r="AL159" s="59" t="s">
        <v>1176</v>
      </c>
      <c r="AM159" s="59" t="s">
        <v>1176</v>
      </c>
      <c r="AN159" s="59" t="s">
        <v>1182</v>
      </c>
      <c r="AO159" s="59" t="s">
        <v>1182</v>
      </c>
      <c r="AP159" s="59" t="s">
        <v>1183</v>
      </c>
      <c r="AQ159" s="59" t="s">
        <v>1153</v>
      </c>
      <c r="AR159" s="59" t="s">
        <v>1153</v>
      </c>
      <c r="AS159" s="59" t="s">
        <v>1184</v>
      </c>
      <c r="AT159" s="59" t="s">
        <v>1184</v>
      </c>
    </row>
    <row r="160" spans="1:46" x14ac:dyDescent="0.25">
      <c r="A160" s="18" t="str">
        <v>aquastat_enabled:{"type":"attribute","data_type":"bool","is_readonly":false,"reporting_type":"polled","poll_freq":86400,"default_value":false,"zigbee_metadata":{"attr_id":61600,"endpoint_id":10,"profile_id":260,"cluster_id":513,"zcl_data_type":16,"read_formatter":"lambdax:bool(x)","write_formatter":"lambdax:int(x)"}},</v>
      </c>
      <c r="B160" s="52" t="str">
        <f ca="1"/>
        <v>0x0201 0xF0A0</v>
      </c>
      <c r="C160" s="52" t="str">
        <f ca="1">IFERROR(__xludf.DUMMYFUNCTION("""COMPUTED_VALUE"""),"aquastat_enabled")</f>
        <v>aquastat_enabled</v>
      </c>
      <c r="D160" s="18" t="str">
        <f ca="1">IFERROR(__xludf.DUMMYFUNCTION("""COMPUTED_VALUE"""),"attribute")</f>
        <v>attribute</v>
      </c>
      <c r="E160" s="18" t="str">
        <f ca="1">IFERROR(__xludf.DUMMYFUNCTION("""COMPUTED_VALUE"""),"bool")</f>
        <v>bool</v>
      </c>
      <c r="F160" s="18" t="str">
        <f ca="1">IFERROR(__xludf.DUMMYFUNCTION("""COMPUTED_VALUE"""),"false")</f>
        <v>false</v>
      </c>
      <c r="G160" s="18" t="str">
        <f ca="1">IFERROR(__xludf.DUMMYFUNCTION("""COMPUTED_VALUE"""),"polled")</f>
        <v>polled</v>
      </c>
      <c r="H160" s="18" t="str">
        <f ca="1">IFERROR(__xludf.DUMMYFUNCTION("""COMPUTED_VALUE"""),"86400")</f>
        <v>86400</v>
      </c>
      <c r="I160" s="18" t="str">
        <f ca="1">IFERROR(__xludf.DUMMYFUNCTION("""COMPUTED_VALUE"""),"N/A")</f>
        <v>N/A</v>
      </c>
      <c r="J160" s="18" t="str">
        <f ca="1">IFERROR(__xludf.DUMMYFUNCTION("""COMPUTED_VALUE"""),"N/A")</f>
        <v>N/A</v>
      </c>
      <c r="K160" s="18" t="str">
        <f ca="1">IFERROR(__xludf.DUMMYFUNCTION("""COMPUTED_VALUE"""),"N/A")</f>
        <v>N/A</v>
      </c>
      <c r="L160" s="18" t="str">
        <f ca="1">IFERROR(__xludf.DUMMYFUNCTION("""COMPUTED_VALUE"""),"N/A")</f>
        <v>N/A</v>
      </c>
      <c r="M160" s="18" t="str">
        <f ca="1">IFERROR(__xludf.DUMMYFUNCTION("""COMPUTED_VALUE"""),"N/A")</f>
        <v>N/A</v>
      </c>
      <c r="N160" s="18" t="str">
        <f ca="1">IFERROR(__xludf.DUMMYFUNCTION("""COMPUTED_VALUE"""),"N/A")</f>
        <v>N/A</v>
      </c>
      <c r="O160" s="18" t="str">
        <f ca="1">IFERROR(__xludf.DUMMYFUNCTION("""COMPUTED_VALUE"""),"N/A")</f>
        <v>N/A</v>
      </c>
      <c r="P160" s="18" t="str">
        <f ca="1">IFERROR(__xludf.DUMMYFUNCTION("""COMPUTED_VALUE"""),"N/A")</f>
        <v>N/A</v>
      </c>
      <c r="Q160" s="18" t="str">
        <f ca="1">IFERROR(__xludf.DUMMYFUNCTION("""COMPUTED_VALUE"""),"N/A")</f>
        <v>N/A</v>
      </c>
      <c r="R160" s="18" t="str">
        <f ca="1">IFERROR(__xludf.DUMMYFUNCTION("""COMPUTED_VALUE"""),"N/A")</f>
        <v>N/A</v>
      </c>
      <c r="S160" s="18" t="str">
        <f ca="1">IFERROR(__xludf.DUMMYFUNCTION("""COMPUTED_VALUE"""),"false")</f>
        <v>false</v>
      </c>
      <c r="T160" s="18" t="str">
        <f ca="1">IFERROR(__xludf.DUMMYFUNCTION("""COMPUTED_VALUE"""),"0xF0A0")</f>
        <v>0xF0A0</v>
      </c>
      <c r="U160" s="18" t="str">
        <f ca="1">IFERROR(__xludf.DUMMYFUNCTION("""COMPUTED_VALUE"""),"0x0A")</f>
        <v>0x0A</v>
      </c>
      <c r="V160" s="18" t="str">
        <f ca="1">IFERROR(__xludf.DUMMYFUNCTION("""COMPUTED_VALUE"""),"0x0104")</f>
        <v>0x0104</v>
      </c>
      <c r="W160" s="18" t="str">
        <f ca="1">IFERROR(__xludf.DUMMYFUNCTION("""COMPUTED_VALUE"""),"0x0201")</f>
        <v>0x0201</v>
      </c>
      <c r="X160" s="18" t="str">
        <f ca="1">IFERROR(__xludf.DUMMYFUNCTION("""COMPUTED_VALUE"""),"0x10")</f>
        <v>0x10</v>
      </c>
      <c r="Y160" s="18" t="e">
        <f ca="1"/>
        <v>#NAME?</v>
      </c>
      <c r="Z160" s="18" t="str">
        <f ca="1">IFERROR(__xludf.DUMMYFUNCTION("""COMPUTED_VALUE"""),"lambdax:int(x)")</f>
        <v>lambdax:int(x)</v>
      </c>
      <c r="AA160" s="18" t="str">
        <f ca="1">IFERROR(__xludf.DUMMYFUNCTION("""COMPUTED_VALUE"""),"lambdax:bool(x)")</f>
        <v>lambdax:bool(x)</v>
      </c>
      <c r="AC160" s="59" t="s">
        <v>1145</v>
      </c>
      <c r="AD160" s="59" t="s">
        <v>1145</v>
      </c>
      <c r="AE160" s="59" t="s">
        <v>1166</v>
      </c>
      <c r="AF160" s="59" t="s">
        <v>1173</v>
      </c>
      <c r="AG160" s="59" t="s">
        <v>1173</v>
      </c>
      <c r="AH160" s="59" t="s">
        <v>1176</v>
      </c>
      <c r="AI160" s="59" t="s">
        <v>1179</v>
      </c>
      <c r="AJ160" s="59" t="s">
        <v>1179</v>
      </c>
      <c r="AK160" s="59" t="s">
        <v>1179</v>
      </c>
      <c r="AL160" s="59" t="s">
        <v>1179</v>
      </c>
      <c r="AM160" s="59" t="s">
        <v>1179</v>
      </c>
      <c r="AN160" s="59" t="s">
        <v>1185</v>
      </c>
      <c r="AO160" s="59" t="s">
        <v>1185</v>
      </c>
      <c r="AP160" s="59" t="s">
        <v>1186</v>
      </c>
      <c r="AQ160" s="59" t="s">
        <v>1156</v>
      </c>
      <c r="AR160" s="59" t="s">
        <v>1156</v>
      </c>
      <c r="AS160" s="59" t="s">
        <v>1187</v>
      </c>
      <c r="AT160" s="59" t="s">
        <v>1187</v>
      </c>
    </row>
    <row r="161" spans="1:46" x14ac:dyDescent="0.25">
      <c r="A161" s="18" t="str">
        <v>aquastat_low_temp_threshold:{"type":"attribute","data_type":"float","is_readonly":false,"reporting_type":"polled","poll_freq":86400,"default_value":0,"decimal_places":2,"zigbee_metadata":{"attr_id":61601,"endpoint_id":10,"profile_id":260,"cluster_id":513,"zcl_data_type":41,"write_formatter":"lambdax:int(round(x,2)*100)","read_formatter":"lambdax:x/100"}},</v>
      </c>
      <c r="B161" s="52" t="str">
        <f ca="1"/>
        <v>0x0201 0xF0A1</v>
      </c>
      <c r="C161" s="52" t="str">
        <f ca="1">IFERROR(__xludf.DUMMYFUNCTION("""COMPUTED_VALUE"""),"aquastat_low_temp_threshold")</f>
        <v>aquastat_low_temp_threshold</v>
      </c>
      <c r="D161" s="18" t="str">
        <f ca="1">IFERROR(__xludf.DUMMYFUNCTION("""COMPUTED_VALUE"""),"attribute")</f>
        <v>attribute</v>
      </c>
      <c r="E161" s="18" t="str">
        <f ca="1">IFERROR(__xludf.DUMMYFUNCTION("""COMPUTED_VALUE"""),"float")</f>
        <v>float</v>
      </c>
      <c r="F161" s="18" t="str">
        <f ca="1">IFERROR(__xludf.DUMMYFUNCTION("""COMPUTED_VALUE"""),"false")</f>
        <v>false</v>
      </c>
      <c r="G161" s="18" t="str">
        <f ca="1">IFERROR(__xludf.DUMMYFUNCTION("""COMPUTED_VALUE"""),"polled")</f>
        <v>polled</v>
      </c>
      <c r="H161" s="18" t="str">
        <f ca="1">IFERROR(__xludf.DUMMYFUNCTION("""COMPUTED_VALUE"""),"86400")</f>
        <v>86400</v>
      </c>
      <c r="I161" s="18" t="str">
        <f ca="1">IFERROR(__xludf.DUMMYFUNCTION("""COMPUTED_VALUE"""),"N/A")</f>
        <v>N/A</v>
      </c>
      <c r="J161" s="18" t="str">
        <f ca="1">IFERROR(__xludf.DUMMYFUNCTION("""COMPUTED_VALUE"""),"N/A")</f>
        <v>N/A</v>
      </c>
      <c r="K161" s="18" t="str">
        <f ca="1">IFERROR(__xludf.DUMMYFUNCTION("""COMPUTED_VALUE"""),"N/A")</f>
        <v>N/A</v>
      </c>
      <c r="L161" s="18" t="str">
        <f ca="1">IFERROR(__xludf.DUMMYFUNCTION("""COMPUTED_VALUE"""),"N/A")</f>
        <v>N/A</v>
      </c>
      <c r="M161" s="18" t="str">
        <f ca="1">IFERROR(__xludf.DUMMYFUNCTION("""COMPUTED_VALUE"""),"N/A")</f>
        <v>N/A</v>
      </c>
      <c r="N161" s="18" t="str">
        <f ca="1">IFERROR(__xludf.DUMMYFUNCTION("""COMPUTED_VALUE"""),"N/A")</f>
        <v>N/A</v>
      </c>
      <c r="O161" s="18" t="str">
        <f ca="1">IFERROR(__xludf.DUMMYFUNCTION("""COMPUTED_VALUE"""),"N/A")</f>
        <v>N/A</v>
      </c>
      <c r="P161" s="18" t="str">
        <f ca="1">IFERROR(__xludf.DUMMYFUNCTION("""COMPUTED_VALUE"""),"N/A")</f>
        <v>N/A</v>
      </c>
      <c r="Q161" s="18" t="str">
        <f ca="1">IFERROR(__xludf.DUMMYFUNCTION("""COMPUTED_VALUE"""),"N/A")</f>
        <v>N/A</v>
      </c>
      <c r="R161" s="18" t="str">
        <f ca="1">IFERROR(__xludf.DUMMYFUNCTION("""COMPUTED_VALUE"""),"2")</f>
        <v>2</v>
      </c>
      <c r="S161" s="18" t="str">
        <f ca="1">IFERROR(__xludf.DUMMYFUNCTION("""COMPUTED_VALUE"""),"0")</f>
        <v>0</v>
      </c>
      <c r="T161" s="18" t="str">
        <f ca="1">IFERROR(__xludf.DUMMYFUNCTION("""COMPUTED_VALUE"""),"0xF0A1")</f>
        <v>0xF0A1</v>
      </c>
      <c r="U161" s="18" t="str">
        <f ca="1">IFERROR(__xludf.DUMMYFUNCTION("""COMPUTED_VALUE"""),"0x0A")</f>
        <v>0x0A</v>
      </c>
      <c r="V161" s="18" t="str">
        <f ca="1">IFERROR(__xludf.DUMMYFUNCTION("""COMPUTED_VALUE"""),"0x0104")</f>
        <v>0x0104</v>
      </c>
      <c r="W161" s="18" t="str">
        <f ca="1">IFERROR(__xludf.DUMMYFUNCTION("""COMPUTED_VALUE"""),"0x0201")</f>
        <v>0x0201</v>
      </c>
      <c r="X161" s="18" t="str">
        <f ca="1">IFERROR(__xludf.DUMMYFUNCTION("""COMPUTED_VALUE"""),"0x29")</f>
        <v>0x29</v>
      </c>
      <c r="Y161" s="18" t="e">
        <f ca="1"/>
        <v>#NAME?</v>
      </c>
      <c r="Z161" s="18" t="str">
        <f ca="1">IFERROR(__xludf.DUMMYFUNCTION("""COMPUTED_VALUE"""),"lambdax:int(round(x,2)*100)")</f>
        <v>lambdax:int(round(x,2)*100)</v>
      </c>
      <c r="AA161" s="18" t="str">
        <f ca="1">IFERROR(__xludf.DUMMYFUNCTION("""COMPUTED_VALUE"""),"lambdax:x/100")</f>
        <v>lambdax:x/100</v>
      </c>
      <c r="AC161" s="59" t="s">
        <v>1148</v>
      </c>
      <c r="AD161" s="59" t="s">
        <v>1148</v>
      </c>
      <c r="AE161" s="59" t="s">
        <v>1169</v>
      </c>
      <c r="AF161" s="59" t="s">
        <v>1176</v>
      </c>
      <c r="AG161" s="59" t="s">
        <v>1176</v>
      </c>
      <c r="AH161" s="59" t="s">
        <v>1179</v>
      </c>
      <c r="AI161" s="59" t="s">
        <v>1182</v>
      </c>
      <c r="AJ161" s="59" t="s">
        <v>1182</v>
      </c>
      <c r="AK161" s="59" t="s">
        <v>1182</v>
      </c>
      <c r="AL161" s="59" t="s">
        <v>1182</v>
      </c>
      <c r="AM161" s="59" t="s">
        <v>1182</v>
      </c>
      <c r="AN161" s="59" t="s">
        <v>1188</v>
      </c>
      <c r="AO161" s="59" t="s">
        <v>1188</v>
      </c>
      <c r="AP161" s="59" t="s">
        <v>1189</v>
      </c>
      <c r="AQ161" s="59" t="s">
        <v>1159</v>
      </c>
      <c r="AR161" s="59" t="s">
        <v>1159</v>
      </c>
      <c r="AS161" s="59" t="s">
        <v>1190</v>
      </c>
      <c r="AT161" s="59" t="s">
        <v>1190</v>
      </c>
    </row>
    <row r="162" spans="1:46" x14ac:dyDescent="0.25">
      <c r="A162" s="18" t="str">
        <v>aquastat_high_temp_threshold:{"type":"attribute","data_type":"float","is_readonly":false,"reporting_type":"polled","poll_freq":86400,"default_value":0,"decimal_places":2,"zigbee_metadata":{"attr_id":61602,"endpoint_id":10,"profile_id":260,"cluster_id":513,"zcl_data_type":41,"write_formatter":"lambdax:int(round(x,2)*100)","read_formatter":"lambdax:x/100"}},</v>
      </c>
      <c r="B162" s="52" t="str">
        <f ca="1"/>
        <v>0x0201 0xF0A2</v>
      </c>
      <c r="C162" s="52" t="str">
        <f ca="1">IFERROR(__xludf.DUMMYFUNCTION("""COMPUTED_VALUE"""),"aquastat_high_temp_threshold")</f>
        <v>aquastat_high_temp_threshold</v>
      </c>
      <c r="D162" s="18" t="str">
        <f ca="1">IFERROR(__xludf.DUMMYFUNCTION("""COMPUTED_VALUE"""),"attribute")</f>
        <v>attribute</v>
      </c>
      <c r="E162" s="18" t="str">
        <f ca="1">IFERROR(__xludf.DUMMYFUNCTION("""COMPUTED_VALUE"""),"float")</f>
        <v>float</v>
      </c>
      <c r="F162" s="18" t="str">
        <f ca="1">IFERROR(__xludf.DUMMYFUNCTION("""COMPUTED_VALUE"""),"false")</f>
        <v>false</v>
      </c>
      <c r="G162" s="18" t="str">
        <f ca="1">IFERROR(__xludf.DUMMYFUNCTION("""COMPUTED_VALUE"""),"polled")</f>
        <v>polled</v>
      </c>
      <c r="H162" s="18" t="str">
        <f ca="1">IFERROR(__xludf.DUMMYFUNCTION("""COMPUTED_VALUE"""),"86400")</f>
        <v>86400</v>
      </c>
      <c r="I162" s="18" t="str">
        <f ca="1">IFERROR(__xludf.DUMMYFUNCTION("""COMPUTED_VALUE"""),"N/A")</f>
        <v>N/A</v>
      </c>
      <c r="J162" s="18" t="str">
        <f ca="1">IFERROR(__xludf.DUMMYFUNCTION("""COMPUTED_VALUE"""),"N/A")</f>
        <v>N/A</v>
      </c>
      <c r="K162" s="18" t="str">
        <f ca="1">IFERROR(__xludf.DUMMYFUNCTION("""COMPUTED_VALUE"""),"N/A")</f>
        <v>N/A</v>
      </c>
      <c r="L162" s="18" t="str">
        <f ca="1">IFERROR(__xludf.DUMMYFUNCTION("""COMPUTED_VALUE"""),"N/A")</f>
        <v>N/A</v>
      </c>
      <c r="M162" s="18" t="str">
        <f ca="1">IFERROR(__xludf.DUMMYFUNCTION("""COMPUTED_VALUE"""),"N/A")</f>
        <v>N/A</v>
      </c>
      <c r="N162" s="18" t="str">
        <f ca="1">IFERROR(__xludf.DUMMYFUNCTION("""COMPUTED_VALUE"""),"N/A")</f>
        <v>N/A</v>
      </c>
      <c r="O162" s="18" t="str">
        <f ca="1">IFERROR(__xludf.DUMMYFUNCTION("""COMPUTED_VALUE"""),"N/A")</f>
        <v>N/A</v>
      </c>
      <c r="P162" s="18" t="str">
        <f ca="1">IFERROR(__xludf.DUMMYFUNCTION("""COMPUTED_VALUE"""),"N/A")</f>
        <v>N/A</v>
      </c>
      <c r="Q162" s="18" t="str">
        <f ca="1">IFERROR(__xludf.DUMMYFUNCTION("""COMPUTED_VALUE"""),"N/A")</f>
        <v>N/A</v>
      </c>
      <c r="R162" s="18" t="str">
        <f ca="1">IFERROR(__xludf.DUMMYFUNCTION("""COMPUTED_VALUE"""),"2")</f>
        <v>2</v>
      </c>
      <c r="S162" s="18" t="str">
        <f ca="1">IFERROR(__xludf.DUMMYFUNCTION("""COMPUTED_VALUE"""),"0")</f>
        <v>0</v>
      </c>
      <c r="T162" s="18" t="str">
        <f ca="1">IFERROR(__xludf.DUMMYFUNCTION("""COMPUTED_VALUE"""),"0xF0A2")</f>
        <v>0xF0A2</v>
      </c>
      <c r="U162" s="18" t="str">
        <f ca="1">IFERROR(__xludf.DUMMYFUNCTION("""COMPUTED_VALUE"""),"0x0A")</f>
        <v>0x0A</v>
      </c>
      <c r="V162" s="18" t="str">
        <f ca="1">IFERROR(__xludf.DUMMYFUNCTION("""COMPUTED_VALUE"""),"0x0104")</f>
        <v>0x0104</v>
      </c>
      <c r="W162" s="18" t="str">
        <f ca="1">IFERROR(__xludf.DUMMYFUNCTION("""COMPUTED_VALUE"""),"0x0201")</f>
        <v>0x0201</v>
      </c>
      <c r="X162" s="18" t="str">
        <f ca="1">IFERROR(__xludf.DUMMYFUNCTION("""COMPUTED_VALUE"""),"0x29")</f>
        <v>0x29</v>
      </c>
      <c r="Y162" s="18" t="e">
        <f ca="1"/>
        <v>#NAME?</v>
      </c>
      <c r="Z162" s="18" t="str">
        <f ca="1">IFERROR(__xludf.DUMMYFUNCTION("""COMPUTED_VALUE"""),"lambdax:int(round(x,2)*100)")</f>
        <v>lambdax:int(round(x,2)*100)</v>
      </c>
      <c r="AA162" s="18" t="str">
        <f ca="1">IFERROR(__xludf.DUMMYFUNCTION("""COMPUTED_VALUE"""),"lambdax:x/100")</f>
        <v>lambdax:x/100</v>
      </c>
      <c r="AC162" s="59" t="s">
        <v>1151</v>
      </c>
      <c r="AD162" s="59" t="s">
        <v>1151</v>
      </c>
      <c r="AE162" s="59" t="s">
        <v>1173</v>
      </c>
      <c r="AF162" s="59" t="s">
        <v>1179</v>
      </c>
      <c r="AG162" s="59" t="s">
        <v>1179</v>
      </c>
      <c r="AH162" s="59" t="s">
        <v>1182</v>
      </c>
      <c r="AI162" s="59" t="s">
        <v>1185</v>
      </c>
      <c r="AJ162" s="59" t="s">
        <v>1185</v>
      </c>
      <c r="AK162" s="59" t="s">
        <v>1185</v>
      </c>
      <c r="AL162" s="59" t="s">
        <v>1185</v>
      </c>
      <c r="AM162" s="59" t="s">
        <v>1185</v>
      </c>
      <c r="AN162" s="59" t="s">
        <v>1191</v>
      </c>
      <c r="AO162" s="59" t="s">
        <v>1191</v>
      </c>
      <c r="AP162" s="59" t="s">
        <v>1192</v>
      </c>
      <c r="AQ162" s="59" t="s">
        <v>1162</v>
      </c>
      <c r="AR162" s="59" t="s">
        <v>1162</v>
      </c>
      <c r="AS162" s="59" t="s">
        <v>1193</v>
      </c>
      <c r="AT162" s="59" t="s">
        <v>1193</v>
      </c>
    </row>
    <row r="163" spans="1:46" x14ac:dyDescent="0.25">
      <c r="A163" s="18" t="str">
        <v>aquastat_hysteresis_time:{"type":"attribute","data_type":"uint8","is_readonly":false,"reporting_type":"polled","poll_freq":86400,"default_value":5,"zigbee_metadata":{"attr_id":61603,"endpoint_id":10,"profile_id":260,"cluster_id":513,"zcl_data_type":32}},</v>
      </c>
      <c r="B163" s="52" t="str">
        <f ca="1"/>
        <v>0x0201 0xF0A3</v>
      </c>
      <c r="C163" s="52" t="str">
        <f ca="1">IFERROR(__xludf.DUMMYFUNCTION("""COMPUTED_VALUE"""),"aquastat_hysteresis_time")</f>
        <v>aquastat_hysteresis_time</v>
      </c>
      <c r="D163" s="18" t="str">
        <f ca="1">IFERROR(__xludf.DUMMYFUNCTION("""COMPUTED_VALUE"""),"attribute")</f>
        <v>attribute</v>
      </c>
      <c r="E163" s="18" t="str">
        <f ca="1">IFERROR(__xludf.DUMMYFUNCTION("""COMPUTED_VALUE"""),"uint8")</f>
        <v>uint8</v>
      </c>
      <c r="F163" s="18" t="str">
        <f ca="1">IFERROR(__xludf.DUMMYFUNCTION("""COMPUTED_VALUE"""),"false")</f>
        <v>false</v>
      </c>
      <c r="G163" s="18" t="str">
        <f ca="1">IFERROR(__xludf.DUMMYFUNCTION("""COMPUTED_VALUE"""),"polled")</f>
        <v>polled</v>
      </c>
      <c r="H163" s="18" t="str">
        <f ca="1">IFERROR(__xludf.DUMMYFUNCTION("""COMPUTED_VALUE"""),"86400")</f>
        <v>86400</v>
      </c>
      <c r="I163" s="18" t="str">
        <f ca="1">IFERROR(__xludf.DUMMYFUNCTION("""COMPUTED_VALUE"""),"N/A")</f>
        <v>N/A</v>
      </c>
      <c r="J163" s="18" t="str">
        <f ca="1">IFERROR(__xludf.DUMMYFUNCTION("""COMPUTED_VALUE"""),"N/A")</f>
        <v>N/A</v>
      </c>
      <c r="K163" s="18" t="str">
        <f ca="1">IFERROR(__xludf.DUMMYFUNCTION("""COMPUTED_VALUE"""),"N/A")</f>
        <v>N/A</v>
      </c>
      <c r="L163" s="18" t="str">
        <f ca="1">IFERROR(__xludf.DUMMYFUNCTION("""COMPUTED_VALUE"""),"N/A")</f>
        <v>N/A</v>
      </c>
      <c r="M163" s="18" t="str">
        <f ca="1">IFERROR(__xludf.DUMMYFUNCTION("""COMPUTED_VALUE"""),"N/A")</f>
        <v>N/A</v>
      </c>
      <c r="N163" s="18" t="str">
        <f ca="1">IFERROR(__xludf.DUMMYFUNCTION("""COMPUTED_VALUE"""),"N/A")</f>
        <v>N/A</v>
      </c>
      <c r="O163" s="18" t="str">
        <f ca="1">IFERROR(__xludf.DUMMYFUNCTION("""COMPUTED_VALUE"""),"N/A")</f>
        <v>N/A</v>
      </c>
      <c r="P163" s="18" t="str">
        <f ca="1">IFERROR(__xludf.DUMMYFUNCTION("""COMPUTED_VALUE"""),"N/A")</f>
        <v>N/A</v>
      </c>
      <c r="Q163" s="18" t="str">
        <f ca="1">IFERROR(__xludf.DUMMYFUNCTION("""COMPUTED_VALUE"""),"N/A")</f>
        <v>N/A</v>
      </c>
      <c r="R163" s="18" t="str">
        <f ca="1">IFERROR(__xludf.DUMMYFUNCTION("""COMPUTED_VALUE"""),"N/A")</f>
        <v>N/A</v>
      </c>
      <c r="S163" s="18" t="str">
        <f ca="1">IFERROR(__xludf.DUMMYFUNCTION("""COMPUTED_VALUE"""),"5")</f>
        <v>5</v>
      </c>
      <c r="T163" s="18" t="str">
        <f ca="1">IFERROR(__xludf.DUMMYFUNCTION("""COMPUTED_VALUE"""),"0xF0A3")</f>
        <v>0xF0A3</v>
      </c>
      <c r="U163" s="18" t="str">
        <f ca="1">IFERROR(__xludf.DUMMYFUNCTION("""COMPUTED_VALUE"""),"0x0A")</f>
        <v>0x0A</v>
      </c>
      <c r="V163" s="18" t="str">
        <f ca="1">IFERROR(__xludf.DUMMYFUNCTION("""COMPUTED_VALUE"""),"0x0104")</f>
        <v>0x0104</v>
      </c>
      <c r="W163" s="18" t="str">
        <f ca="1">IFERROR(__xludf.DUMMYFUNCTION("""COMPUTED_VALUE"""),"0x0201")</f>
        <v>0x0201</v>
      </c>
      <c r="X163" s="18" t="str">
        <f ca="1">IFERROR(__xludf.DUMMYFUNCTION("""COMPUTED_VALUE"""),"0x20")</f>
        <v>0x20</v>
      </c>
      <c r="Y163" s="18" t="e">
        <f ca="1"/>
        <v>#NAME?</v>
      </c>
      <c r="Z163" s="18" t="str">
        <f ca="1">IFERROR(__xludf.DUMMYFUNCTION("""COMPUTED_VALUE"""),"N/A")</f>
        <v>N/A</v>
      </c>
      <c r="AA163" s="18" t="str">
        <f ca="1">IFERROR(__xludf.DUMMYFUNCTION("""COMPUTED_VALUE"""),"N/A")</f>
        <v>N/A</v>
      </c>
      <c r="AC163" s="59" t="s">
        <v>1154</v>
      </c>
      <c r="AD163" s="59" t="s">
        <v>1154</v>
      </c>
      <c r="AE163" s="59" t="s">
        <v>1176</v>
      </c>
      <c r="AF163" s="59" t="s">
        <v>1182</v>
      </c>
      <c r="AG163" s="59" t="s">
        <v>1182</v>
      </c>
      <c r="AH163" s="59" t="s">
        <v>1185</v>
      </c>
      <c r="AI163" s="59" t="s">
        <v>1188</v>
      </c>
      <c r="AJ163" s="59" t="s">
        <v>1188</v>
      </c>
      <c r="AK163" s="59" t="s">
        <v>1188</v>
      </c>
      <c r="AL163" s="59" t="s">
        <v>1188</v>
      </c>
      <c r="AM163" s="59" t="s">
        <v>1188</v>
      </c>
      <c r="AN163" s="59" t="s">
        <v>1194</v>
      </c>
      <c r="AO163" s="59" t="s">
        <v>1194</v>
      </c>
      <c r="AP163" s="59" t="s">
        <v>1195</v>
      </c>
      <c r="AQ163" s="59" t="s">
        <v>1165</v>
      </c>
      <c r="AR163" s="59" t="s">
        <v>1165</v>
      </c>
      <c r="AS163" s="59" t="s">
        <v>1196</v>
      </c>
      <c r="AT163" s="59" t="s">
        <v>1196</v>
      </c>
    </row>
    <row r="164" spans="1:46" x14ac:dyDescent="0.25">
      <c r="A164" s="18" t="str">
        <v>aquastat_changeover_min_period:{"type":"attribute","data_type":"uint16","is_readonly":false,"reporting_type":"polled","poll_freq":86400,"default_value":240,"zigbee_metadata":{"attr_id":61604,"endpoint_id":10,"profile_id":260,"cluster_id":513,"zcl_data_type":33}},</v>
      </c>
      <c r="B164" s="52" t="str">
        <f ca="1"/>
        <v>0x0201 0xF0A4</v>
      </c>
      <c r="C164" s="52" t="str">
        <f ca="1">IFERROR(__xludf.DUMMYFUNCTION("""COMPUTED_VALUE"""),"aquastat_changeover_min_period")</f>
        <v>aquastat_changeover_min_period</v>
      </c>
      <c r="D164" s="18" t="str">
        <f ca="1">IFERROR(__xludf.DUMMYFUNCTION("""COMPUTED_VALUE"""),"attribute")</f>
        <v>attribute</v>
      </c>
      <c r="E164" s="18" t="str">
        <f ca="1">IFERROR(__xludf.DUMMYFUNCTION("""COMPUTED_VALUE"""),"uint16")</f>
        <v>uint16</v>
      </c>
      <c r="F164" s="18" t="str">
        <f ca="1">IFERROR(__xludf.DUMMYFUNCTION("""COMPUTED_VALUE"""),"false")</f>
        <v>false</v>
      </c>
      <c r="G164" s="18" t="str">
        <f ca="1">IFERROR(__xludf.DUMMYFUNCTION("""COMPUTED_VALUE"""),"polled")</f>
        <v>polled</v>
      </c>
      <c r="H164" s="18" t="str">
        <f ca="1">IFERROR(__xludf.DUMMYFUNCTION("""COMPUTED_VALUE"""),"86400")</f>
        <v>86400</v>
      </c>
      <c r="I164" s="18" t="str">
        <f ca="1">IFERROR(__xludf.DUMMYFUNCTION("""COMPUTED_VALUE"""),"N/A")</f>
        <v>N/A</v>
      </c>
      <c r="J164" s="18" t="str">
        <f ca="1">IFERROR(__xludf.DUMMYFUNCTION("""COMPUTED_VALUE"""),"N/A")</f>
        <v>N/A</v>
      </c>
      <c r="K164" s="18" t="str">
        <f ca="1">IFERROR(__xludf.DUMMYFUNCTION("""COMPUTED_VALUE"""),"N/A")</f>
        <v>N/A</v>
      </c>
      <c r="L164" s="18" t="str">
        <f ca="1">IFERROR(__xludf.DUMMYFUNCTION("""COMPUTED_VALUE"""),"N/A")</f>
        <v>N/A</v>
      </c>
      <c r="M164" s="18" t="str">
        <f ca="1">IFERROR(__xludf.DUMMYFUNCTION("""COMPUTED_VALUE"""),"N/A")</f>
        <v>N/A</v>
      </c>
      <c r="N164" s="18" t="str">
        <f ca="1">IFERROR(__xludf.DUMMYFUNCTION("""COMPUTED_VALUE"""),"N/A")</f>
        <v>N/A</v>
      </c>
      <c r="O164" s="18" t="str">
        <f ca="1">IFERROR(__xludf.DUMMYFUNCTION("""COMPUTED_VALUE"""),"N/A")</f>
        <v>N/A</v>
      </c>
      <c r="P164" s="18" t="str">
        <f ca="1">IFERROR(__xludf.DUMMYFUNCTION("""COMPUTED_VALUE"""),"N/A")</f>
        <v>N/A</v>
      </c>
      <c r="Q164" s="18" t="str">
        <f ca="1">IFERROR(__xludf.DUMMYFUNCTION("""COMPUTED_VALUE"""),"N/A")</f>
        <v>N/A</v>
      </c>
      <c r="R164" s="18" t="str">
        <f ca="1">IFERROR(__xludf.DUMMYFUNCTION("""COMPUTED_VALUE"""),"N/A")</f>
        <v>N/A</v>
      </c>
      <c r="S164" s="18" t="str">
        <f ca="1">IFERROR(__xludf.DUMMYFUNCTION("""COMPUTED_VALUE"""),"240")</f>
        <v>240</v>
      </c>
      <c r="T164" s="18" t="str">
        <f ca="1">IFERROR(__xludf.DUMMYFUNCTION("""COMPUTED_VALUE"""),"0xF0A4")</f>
        <v>0xF0A4</v>
      </c>
      <c r="U164" s="18" t="str">
        <f ca="1">IFERROR(__xludf.DUMMYFUNCTION("""COMPUTED_VALUE"""),"0x0A")</f>
        <v>0x0A</v>
      </c>
      <c r="V164" s="18" t="str">
        <f ca="1">IFERROR(__xludf.DUMMYFUNCTION("""COMPUTED_VALUE"""),"0x0104")</f>
        <v>0x0104</v>
      </c>
      <c r="W164" s="18" t="str">
        <f ca="1">IFERROR(__xludf.DUMMYFUNCTION("""COMPUTED_VALUE"""),"0x0201")</f>
        <v>0x0201</v>
      </c>
      <c r="X164" s="18" t="str">
        <f ca="1">IFERROR(__xludf.DUMMYFUNCTION("""COMPUTED_VALUE"""),"0x21")</f>
        <v>0x21</v>
      </c>
      <c r="Y164" s="18" t="e">
        <f ca="1"/>
        <v>#NAME?</v>
      </c>
      <c r="Z164" s="18" t="str">
        <f ca="1">IFERROR(__xludf.DUMMYFUNCTION("""COMPUTED_VALUE"""),"N/A")</f>
        <v>N/A</v>
      </c>
      <c r="AA164" s="18" t="str">
        <f ca="1">IFERROR(__xludf.DUMMYFUNCTION("""COMPUTED_VALUE"""),"N/A")</f>
        <v>N/A</v>
      </c>
      <c r="AC164" s="59" t="s">
        <v>1157</v>
      </c>
      <c r="AD164" s="59" t="s">
        <v>1157</v>
      </c>
      <c r="AE164" s="59" t="s">
        <v>1179</v>
      </c>
      <c r="AF164" s="59" t="s">
        <v>1185</v>
      </c>
      <c r="AG164" s="59" t="s">
        <v>1185</v>
      </c>
      <c r="AH164" s="59" t="s">
        <v>1188</v>
      </c>
      <c r="AI164" s="59" t="s">
        <v>1191</v>
      </c>
      <c r="AJ164" s="59" t="s">
        <v>1191</v>
      </c>
      <c r="AK164" s="59" t="s">
        <v>1191</v>
      </c>
      <c r="AL164" s="59" t="s">
        <v>1191</v>
      </c>
      <c r="AM164" s="59" t="s">
        <v>1191</v>
      </c>
      <c r="AN164" s="59" t="s">
        <v>1197</v>
      </c>
      <c r="AO164" s="59" t="s">
        <v>1197</v>
      </c>
      <c r="AP164" s="59" t="s">
        <v>1198</v>
      </c>
      <c r="AQ164" s="59" t="s">
        <v>1168</v>
      </c>
      <c r="AR164" s="59" t="s">
        <v>1168</v>
      </c>
      <c r="AS164" s="59" t="s">
        <v>1199</v>
      </c>
      <c r="AT164" s="59" t="s">
        <v>1199</v>
      </c>
    </row>
    <row r="165" spans="1:46" x14ac:dyDescent="0.25">
      <c r="A165" s="18" t="str">
        <v>aquastat_chilled_modes_available:{"type":"attribute","data_type":"enum","is_readonly":false,"reporting_type":"polled","poll_freq":86400,"enum_values":["cool_only","heat_only","cool+heat","auto"],"default_value":"cool_only","zigbee_metadata":{"attr_id":61605,"endpoint_id":10,"profile_id":260,"cluster_id":513,"zcl_data_type":24,"write_formatter":"lambdax:{'cool_only':1,'heat_only':2,'cool+heat':3,'auto':4}[x]","read_formatter":"lambdax:{1:'cool_only',2:'heat_only',3:'cool+heat',4:'auto'}.get(x,'unknown')"}},</v>
      </c>
      <c r="B165" s="52" t="str">
        <f ca="1"/>
        <v>0x0201 0xF0A5</v>
      </c>
      <c r="C165" s="52" t="str">
        <f ca="1">IFERROR(__xludf.DUMMYFUNCTION("""COMPUTED_VALUE"""),"aquastat_chilled_modes_available")</f>
        <v>aquastat_chilled_modes_available</v>
      </c>
      <c r="D165" s="18" t="str">
        <f ca="1">IFERROR(__xludf.DUMMYFUNCTION("""COMPUTED_VALUE"""),"attribute")</f>
        <v>attribute</v>
      </c>
      <c r="E165" s="18" t="str">
        <f ca="1">IFERROR(__xludf.DUMMYFUNCTION("""COMPUTED_VALUE"""),"enum")</f>
        <v>enum</v>
      </c>
      <c r="F165" s="18" t="str">
        <f ca="1">IFERROR(__xludf.DUMMYFUNCTION("""COMPUTED_VALUE"""),"false")</f>
        <v>false</v>
      </c>
      <c r="G165" s="18" t="str">
        <f ca="1">IFERROR(__xludf.DUMMYFUNCTION("""COMPUTED_VALUE"""),"polled")</f>
        <v>polled</v>
      </c>
      <c r="H165" s="18" t="str">
        <f ca="1">IFERROR(__xludf.DUMMYFUNCTION("""COMPUTED_VALUE"""),"86400")</f>
        <v>86400</v>
      </c>
      <c r="I165" s="18" t="str">
        <f ca="1">IFERROR(__xludf.DUMMYFUNCTION("""COMPUTED_VALUE"""),"N/A")</f>
        <v>N/A</v>
      </c>
      <c r="J165" s="18" t="str">
        <f ca="1">IFERROR(__xludf.DUMMYFUNCTION("""COMPUTED_VALUE"""),"N/A")</f>
        <v>N/A</v>
      </c>
      <c r="K165" s="18" t="str">
        <f ca="1">IFERROR(__xludf.DUMMYFUNCTION("""COMPUTED_VALUE"""),"N/A")</f>
        <v>N/A</v>
      </c>
      <c r="L165" s="18" t="str">
        <f ca="1">IFERROR(__xludf.DUMMYFUNCTION("""COMPUTED_VALUE"""),"N/A")</f>
        <v>N/A</v>
      </c>
      <c r="M165" s="18" t="str">
        <f ca="1">IFERROR(__xludf.DUMMYFUNCTION("""COMPUTED_VALUE"""),"N/A")</f>
        <v>N/A</v>
      </c>
      <c r="N165" s="18" t="str">
        <f ca="1">IFERROR(__xludf.DUMMYFUNCTION("""COMPUTED_VALUE"""),"N/A")</f>
        <v>N/A</v>
      </c>
      <c r="O165" s="18" t="str">
        <f ca="1">IFERROR(__xludf.DUMMYFUNCTION("""COMPUTED_VALUE"""),"N/A")</f>
        <v>N/A</v>
      </c>
      <c r="P165" s="18" t="str">
        <f ca="1">IFERROR(__xludf.DUMMYFUNCTION("""COMPUTED_VALUE"""),"""cool_only"",""heat_only"",""cool+heat"",""auto""")</f>
        <v>"cool_only","heat_only","cool+heat","auto"</v>
      </c>
      <c r="Q165" s="18" t="str">
        <f ca="1">IFERROR(__xludf.DUMMYFUNCTION("""COMPUTED_VALUE"""),"N/A")</f>
        <v>N/A</v>
      </c>
      <c r="R165" s="18" t="str">
        <f ca="1">IFERROR(__xludf.DUMMYFUNCTION("""COMPUTED_VALUE"""),"N/A")</f>
        <v>N/A</v>
      </c>
      <c r="S165" s="18" t="str">
        <f ca="1">IFERROR(__xludf.DUMMYFUNCTION("""COMPUTED_VALUE"""),"""cool_only""")</f>
        <v>"cool_only"</v>
      </c>
      <c r="T165" s="18" t="str">
        <f ca="1">IFERROR(__xludf.DUMMYFUNCTION("""COMPUTED_VALUE"""),"0xF0A5")</f>
        <v>0xF0A5</v>
      </c>
      <c r="U165" s="18" t="str">
        <f ca="1">IFERROR(__xludf.DUMMYFUNCTION("""COMPUTED_VALUE"""),"0x0A")</f>
        <v>0x0A</v>
      </c>
      <c r="V165" s="18" t="str">
        <f ca="1">IFERROR(__xludf.DUMMYFUNCTION("""COMPUTED_VALUE"""),"0x0104")</f>
        <v>0x0104</v>
      </c>
      <c r="W165" s="18" t="str">
        <f ca="1">IFERROR(__xludf.DUMMYFUNCTION("""COMPUTED_VALUE"""),"0x0201")</f>
        <v>0x0201</v>
      </c>
      <c r="X165" s="18" t="str">
        <f ca="1">IFERROR(__xludf.DUMMYFUNCTION("""COMPUTED_VALUE"""),"0x18")</f>
        <v>0x18</v>
      </c>
      <c r="Y165" s="18" t="e">
        <f ca="1"/>
        <v>#NAME?</v>
      </c>
      <c r="Z165" s="18" t="str">
        <f ca="1">IFERROR(__xludf.DUMMYFUNCTION("""COMPUTED_VALUE"""),"lambdax:{'cool_only':1,'heat_only':2,'cool+heat':3,'auto':4}[x]")</f>
        <v>lambdax:{'cool_only':1,'heat_only':2,'cool+heat':3,'auto':4}[x]</v>
      </c>
      <c r="AA165" s="18" t="str">
        <f ca="1">IFERROR(__xludf.DUMMYFUNCTION("""COMPUTED_VALUE"""),"lambdax:{1:'cool_only',2:'heat_only',3:'cool+heat',4:'auto'}.get(x,'unknown')")</f>
        <v>lambdax:{1:'cool_only',2:'heat_only',3:'cool+heat',4:'auto'}.get(x,'unknown')</v>
      </c>
      <c r="AC165" s="59" t="s">
        <v>1160</v>
      </c>
      <c r="AD165" s="59" t="s">
        <v>1160</v>
      </c>
      <c r="AE165" s="59" t="s">
        <v>1182</v>
      </c>
      <c r="AF165" s="59" t="s">
        <v>1188</v>
      </c>
      <c r="AG165" s="59" t="s">
        <v>1188</v>
      </c>
      <c r="AH165" s="59" t="s">
        <v>1191</v>
      </c>
      <c r="AI165" s="59" t="s">
        <v>1194</v>
      </c>
      <c r="AJ165" s="59" t="s">
        <v>1194</v>
      </c>
      <c r="AK165" s="59" t="s">
        <v>1194</v>
      </c>
      <c r="AL165" s="59" t="s">
        <v>1194</v>
      </c>
      <c r="AM165" s="59" t="s">
        <v>1194</v>
      </c>
      <c r="AN165" s="59" t="s">
        <v>1200</v>
      </c>
      <c r="AO165" s="59" t="s">
        <v>1200</v>
      </c>
      <c r="AP165" s="59" t="s">
        <v>1201</v>
      </c>
      <c r="AQ165" s="59" t="s">
        <v>1171</v>
      </c>
      <c r="AR165" s="59" t="s">
        <v>1171</v>
      </c>
      <c r="AS165" s="59" t="s">
        <v>1202</v>
      </c>
      <c r="AT165" s="59" t="s">
        <v>1202</v>
      </c>
    </row>
    <row r="166" spans="1:46" x14ac:dyDescent="0.25">
      <c r="A166" s="18" t="str">
        <v>aquastat_heated_modes_available:{"type":"attribute","data_type":"enum","is_readonly":false,"reporting_type":"polled","poll_freq":86400,"enum_values":["cool_only","heat_only","cool+heat","auto"],"default_value":"heat_only","zigbee_metadata":{"attr_id":61606,"endpoint_id":10,"profile_id":260,"cluster_id":513,"zcl_data_type":24,"write_formatter":"lambdax:{'cool_only':1,'heat_only':2,'cool+heat':3,'auto':4}[x]","read_formatter":"lambdax:{1:'cool_only',2:'heat_only',3:'cool+heat',4:'auto'}.get(x,'unknown')"}},</v>
      </c>
      <c r="B166" s="52" t="str">
        <f ca="1"/>
        <v>0x0201 0xF0A6</v>
      </c>
      <c r="C166" s="52" t="str">
        <f ca="1">IFERROR(__xludf.DUMMYFUNCTION("""COMPUTED_VALUE"""),"aquastat_heated_modes_available")</f>
        <v>aquastat_heated_modes_available</v>
      </c>
      <c r="D166" s="18" t="str">
        <f ca="1">IFERROR(__xludf.DUMMYFUNCTION("""COMPUTED_VALUE"""),"attribute")</f>
        <v>attribute</v>
      </c>
      <c r="E166" s="18" t="str">
        <f ca="1">IFERROR(__xludf.DUMMYFUNCTION("""COMPUTED_VALUE"""),"enum")</f>
        <v>enum</v>
      </c>
      <c r="F166" s="18" t="str">
        <f ca="1">IFERROR(__xludf.DUMMYFUNCTION("""COMPUTED_VALUE"""),"false")</f>
        <v>false</v>
      </c>
      <c r="G166" s="18" t="str">
        <f ca="1">IFERROR(__xludf.DUMMYFUNCTION("""COMPUTED_VALUE"""),"polled")</f>
        <v>polled</v>
      </c>
      <c r="H166" s="18" t="str">
        <f ca="1">IFERROR(__xludf.DUMMYFUNCTION("""COMPUTED_VALUE"""),"86400")</f>
        <v>86400</v>
      </c>
      <c r="I166" s="18" t="str">
        <f ca="1">IFERROR(__xludf.DUMMYFUNCTION("""COMPUTED_VALUE"""),"N/A")</f>
        <v>N/A</v>
      </c>
      <c r="J166" s="18" t="str">
        <f ca="1">IFERROR(__xludf.DUMMYFUNCTION("""COMPUTED_VALUE"""),"N/A")</f>
        <v>N/A</v>
      </c>
      <c r="K166" s="18" t="str">
        <f ca="1">IFERROR(__xludf.DUMMYFUNCTION("""COMPUTED_VALUE"""),"N/A")</f>
        <v>N/A</v>
      </c>
      <c r="L166" s="18" t="str">
        <f ca="1">IFERROR(__xludf.DUMMYFUNCTION("""COMPUTED_VALUE"""),"N/A")</f>
        <v>N/A</v>
      </c>
      <c r="M166" s="18" t="str">
        <f ca="1">IFERROR(__xludf.DUMMYFUNCTION("""COMPUTED_VALUE"""),"N/A")</f>
        <v>N/A</v>
      </c>
      <c r="N166" s="18" t="str">
        <f ca="1">IFERROR(__xludf.DUMMYFUNCTION("""COMPUTED_VALUE"""),"N/A")</f>
        <v>N/A</v>
      </c>
      <c r="O166" s="18" t="str">
        <f ca="1">IFERROR(__xludf.DUMMYFUNCTION("""COMPUTED_VALUE"""),"N/A")</f>
        <v>N/A</v>
      </c>
      <c r="P166" s="18" t="str">
        <f ca="1">IFERROR(__xludf.DUMMYFUNCTION("""COMPUTED_VALUE"""),"""cool_only"",""heat_only"",""cool+heat"",""auto""")</f>
        <v>"cool_only","heat_only","cool+heat","auto"</v>
      </c>
      <c r="Q166" s="18" t="str">
        <f ca="1">IFERROR(__xludf.DUMMYFUNCTION("""COMPUTED_VALUE"""),"N/A")</f>
        <v>N/A</v>
      </c>
      <c r="R166" s="18" t="str">
        <f ca="1">IFERROR(__xludf.DUMMYFUNCTION("""COMPUTED_VALUE"""),"N/A")</f>
        <v>N/A</v>
      </c>
      <c r="S166" s="18" t="str">
        <f ca="1">IFERROR(__xludf.DUMMYFUNCTION("""COMPUTED_VALUE"""),"""heat_only""")</f>
        <v>"heat_only"</v>
      </c>
      <c r="T166" s="18" t="str">
        <f ca="1">IFERROR(__xludf.DUMMYFUNCTION("""COMPUTED_VALUE"""),"0xF0A6")</f>
        <v>0xF0A6</v>
      </c>
      <c r="U166" s="18" t="str">
        <f ca="1">IFERROR(__xludf.DUMMYFUNCTION("""COMPUTED_VALUE"""),"0x0A")</f>
        <v>0x0A</v>
      </c>
      <c r="V166" s="18" t="str">
        <f ca="1">IFERROR(__xludf.DUMMYFUNCTION("""COMPUTED_VALUE"""),"0x0104")</f>
        <v>0x0104</v>
      </c>
      <c r="W166" s="18" t="str">
        <f ca="1">IFERROR(__xludf.DUMMYFUNCTION("""COMPUTED_VALUE"""),"0x0201")</f>
        <v>0x0201</v>
      </c>
      <c r="X166" s="18" t="str">
        <f ca="1">IFERROR(__xludf.DUMMYFUNCTION("""COMPUTED_VALUE"""),"0x18")</f>
        <v>0x18</v>
      </c>
      <c r="Y166" s="18" t="e">
        <f ca="1"/>
        <v>#NAME?</v>
      </c>
      <c r="Z166" s="18" t="str">
        <f ca="1">IFERROR(__xludf.DUMMYFUNCTION("""COMPUTED_VALUE"""),"lambdax:{'cool_only':1,'heat_only':2,'cool+heat':3,'auto':4}[x]")</f>
        <v>lambdax:{'cool_only':1,'heat_only':2,'cool+heat':3,'auto':4}[x]</v>
      </c>
      <c r="AA166" s="18" t="str">
        <f ca="1">IFERROR(__xludf.DUMMYFUNCTION("""COMPUTED_VALUE"""),"lambdax:{1:'cool_only',2:'heat_only',3:'cool+heat',4:'auto'}.get(x,'unknown')")</f>
        <v>lambdax:{1:'cool_only',2:'heat_only',3:'cool+heat',4:'auto'}.get(x,'unknown')</v>
      </c>
      <c r="AC166" s="59" t="s">
        <v>1163</v>
      </c>
      <c r="AD166" s="59" t="s">
        <v>1163</v>
      </c>
      <c r="AE166" s="59" t="s">
        <v>1185</v>
      </c>
      <c r="AF166" s="59" t="s">
        <v>1191</v>
      </c>
      <c r="AG166" s="59" t="s">
        <v>1191</v>
      </c>
      <c r="AH166" s="59" t="s">
        <v>1194</v>
      </c>
      <c r="AI166" s="59" t="s">
        <v>1197</v>
      </c>
      <c r="AJ166" s="59" t="s">
        <v>1197</v>
      </c>
      <c r="AK166" s="59" t="s">
        <v>1197</v>
      </c>
      <c r="AL166" s="59" t="s">
        <v>1197</v>
      </c>
      <c r="AM166" s="59" t="s">
        <v>1197</v>
      </c>
      <c r="AN166" s="59" t="s">
        <v>1203</v>
      </c>
      <c r="AO166" s="59" t="s">
        <v>1203</v>
      </c>
      <c r="AP166" s="59" t="s">
        <v>1204</v>
      </c>
      <c r="AQ166" s="59" t="s">
        <v>1175</v>
      </c>
      <c r="AR166" s="59" t="s">
        <v>1175</v>
      </c>
      <c r="AS166" s="59" t="s">
        <v>1205</v>
      </c>
      <c r="AT166" s="59" t="s">
        <v>1205</v>
      </c>
    </row>
    <row r="167" spans="1:46" x14ac:dyDescent="0.25">
      <c r="A167" s="18" t="str">
        <v>aquastat_chilled_changeover_mode:{"type":"attribute","data_type":"enum","is_readonly":false,"reporting_type":"polled","poll_freq":86400,"default_value":"cool","enum_values":["off","cool","heat","auto"],"zigbee_metadata":{"attr_id":61607,"endpoint_id":10,"profile_id":260,"cluster_id":513,"zcl_data_type":48,"write_formatter":"lambdax:{'off':0,'auto':1,'cool':3,'heat':4}[x]","read_formatter":"lambdax:{0:'off',1:'auto',3:'cool',4:'heat'}.get(x,'unknown')"}},</v>
      </c>
      <c r="B167" s="52" t="str">
        <f ca="1"/>
        <v>0x0201 0xF0A7</v>
      </c>
      <c r="C167" s="52" t="str">
        <f ca="1">IFERROR(__xludf.DUMMYFUNCTION("""COMPUTED_VALUE"""),"aquastat_chilled_changeover_mode")</f>
        <v>aquastat_chilled_changeover_mode</v>
      </c>
      <c r="D167" s="18" t="str">
        <f ca="1">IFERROR(__xludf.DUMMYFUNCTION("""COMPUTED_VALUE"""),"attribute")</f>
        <v>attribute</v>
      </c>
      <c r="E167" s="18" t="str">
        <f ca="1">IFERROR(__xludf.DUMMYFUNCTION("""COMPUTED_VALUE"""),"enum")</f>
        <v>enum</v>
      </c>
      <c r="F167" s="18" t="str">
        <f ca="1">IFERROR(__xludf.DUMMYFUNCTION("""COMPUTED_VALUE"""),"false")</f>
        <v>false</v>
      </c>
      <c r="G167" s="18" t="str">
        <f ca="1">IFERROR(__xludf.DUMMYFUNCTION("""COMPUTED_VALUE"""),"polled")</f>
        <v>polled</v>
      </c>
      <c r="H167" s="18" t="str">
        <f ca="1">IFERROR(__xludf.DUMMYFUNCTION("""COMPUTED_VALUE"""),"86400")</f>
        <v>86400</v>
      </c>
      <c r="I167" s="18" t="str">
        <f ca="1">IFERROR(__xludf.DUMMYFUNCTION("""COMPUTED_VALUE"""),"N/A")</f>
        <v>N/A</v>
      </c>
      <c r="J167" s="18" t="str">
        <f ca="1">IFERROR(__xludf.DUMMYFUNCTION("""COMPUTED_VALUE"""),"N/A")</f>
        <v>N/A</v>
      </c>
      <c r="K167" s="18" t="str">
        <f ca="1">IFERROR(__xludf.DUMMYFUNCTION("""COMPUTED_VALUE"""),"N/A")</f>
        <v>N/A</v>
      </c>
      <c r="L167" s="18" t="str">
        <f ca="1">IFERROR(__xludf.DUMMYFUNCTION("""COMPUTED_VALUE"""),"N/A")</f>
        <v>N/A</v>
      </c>
      <c r="M167" s="18" t="str">
        <f ca="1">IFERROR(__xludf.DUMMYFUNCTION("""COMPUTED_VALUE"""),"N/A")</f>
        <v>N/A</v>
      </c>
      <c r="N167" s="18" t="str">
        <f ca="1">IFERROR(__xludf.DUMMYFUNCTION("""COMPUTED_VALUE"""),"N/A")</f>
        <v>N/A</v>
      </c>
      <c r="O167" s="18" t="str">
        <f ca="1">IFERROR(__xludf.DUMMYFUNCTION("""COMPUTED_VALUE"""),"N/A")</f>
        <v>N/A</v>
      </c>
      <c r="P167" s="18" t="str">
        <f ca="1">IFERROR(__xludf.DUMMYFUNCTION("""COMPUTED_VALUE"""),"""off"",""cool"",""heat"",""auto""")</f>
        <v>"off","cool","heat","auto"</v>
      </c>
      <c r="Q167" s="18" t="str">
        <f ca="1">IFERROR(__xludf.DUMMYFUNCTION("""COMPUTED_VALUE"""),"N/A")</f>
        <v>N/A</v>
      </c>
      <c r="R167" s="18" t="str">
        <f ca="1">IFERROR(__xludf.DUMMYFUNCTION("""COMPUTED_VALUE"""),"N/A")</f>
        <v>N/A</v>
      </c>
      <c r="S167" s="18" t="str">
        <f ca="1">IFERROR(__xludf.DUMMYFUNCTION("""COMPUTED_VALUE"""),"""cool""")</f>
        <v>"cool"</v>
      </c>
      <c r="T167" s="18" t="str">
        <f ca="1">IFERROR(__xludf.DUMMYFUNCTION("""COMPUTED_VALUE"""),"0xF0A7")</f>
        <v>0xF0A7</v>
      </c>
      <c r="U167" s="18" t="str">
        <f ca="1">IFERROR(__xludf.DUMMYFUNCTION("""COMPUTED_VALUE"""),"0x0A")</f>
        <v>0x0A</v>
      </c>
      <c r="V167" s="18" t="str">
        <f ca="1">IFERROR(__xludf.DUMMYFUNCTION("""COMPUTED_VALUE"""),"0x0104")</f>
        <v>0x0104</v>
      </c>
      <c r="W167" s="18" t="str">
        <f ca="1">IFERROR(__xludf.DUMMYFUNCTION("""COMPUTED_VALUE"""),"0x0201")</f>
        <v>0x0201</v>
      </c>
      <c r="X167" s="18" t="str">
        <f ca="1">IFERROR(__xludf.DUMMYFUNCTION("""COMPUTED_VALUE"""),"0x30")</f>
        <v>0x30</v>
      </c>
      <c r="Y167" s="18" t="e">
        <f ca="1"/>
        <v>#NAME?</v>
      </c>
      <c r="Z167" s="18" t="str">
        <f ca="1">IFERROR(__xludf.DUMMYFUNCTION("""COMPUTED_VALUE"""),"lambdax:{'off':0,'auto':1,'cool':3,'heat':4}[x]")</f>
        <v>lambdax:{'off':0,'auto':1,'cool':3,'heat':4}[x]</v>
      </c>
      <c r="AA167" s="18" t="str">
        <f ca="1">IFERROR(__xludf.DUMMYFUNCTION("""COMPUTED_VALUE"""),"lambdax:{0:'off',1:'auto',3:'cool',4:'heat'}.get(x,'unknown')")</f>
        <v>lambdax:{0:'off',1:'auto',3:'cool',4:'heat'}.get(x,'unknown')</v>
      </c>
      <c r="AC167" s="59" t="s">
        <v>1166</v>
      </c>
      <c r="AD167" s="59" t="s">
        <v>1166</v>
      </c>
      <c r="AE167" s="59" t="s">
        <v>1188</v>
      </c>
      <c r="AF167" s="59" t="s">
        <v>1194</v>
      </c>
      <c r="AG167" s="59" t="s">
        <v>1194</v>
      </c>
      <c r="AH167" s="59" t="s">
        <v>1197</v>
      </c>
      <c r="AI167" s="59" t="s">
        <v>1200</v>
      </c>
      <c r="AJ167" s="59" t="s">
        <v>1200</v>
      </c>
      <c r="AK167" s="59" t="s">
        <v>1200</v>
      </c>
      <c r="AL167" s="59" t="s">
        <v>1200</v>
      </c>
      <c r="AM167" s="59" t="s">
        <v>1200</v>
      </c>
      <c r="AN167" s="59" t="s">
        <v>1206</v>
      </c>
      <c r="AO167" s="59" t="s">
        <v>1206</v>
      </c>
      <c r="AP167" s="59" t="s">
        <v>1207</v>
      </c>
      <c r="AQ167" s="59" t="s">
        <v>1178</v>
      </c>
      <c r="AR167" s="59" t="s">
        <v>1178</v>
      </c>
      <c r="AS167" s="59" t="s">
        <v>1208</v>
      </c>
      <c r="AT167" s="59" t="s">
        <v>1208</v>
      </c>
    </row>
    <row r="168" spans="1:46" x14ac:dyDescent="0.25">
      <c r="A168" s="18" t="str">
        <v>aquastat_heated_changeover_mode:{"type":"attribute","data_type":"enum","is_readonly":false,"reporting_type":"polled","poll_freq":86400,"default_value":"heat","enum_values":["off","cool","heat","auto"],"zigbee_metadata":{"attr_id":61608,"endpoint_id":10,"profile_id":260,"cluster_id":513,"zcl_data_type":48,"write_formatter":"lambdax:{'off':0,'auto':1,'cool':3,'heat':4}[x]","read_formatter":"lambdax:{0:'off',1:'auto',3:'cool',4:'heat'}.get(x,'unknown')"}},</v>
      </c>
      <c r="B168" s="52" t="str">
        <f ca="1"/>
        <v>0x0201 0xF0A8</v>
      </c>
      <c r="C168" s="52" t="str">
        <f ca="1">IFERROR(__xludf.DUMMYFUNCTION("""COMPUTED_VALUE"""),"aquastat_heated_changeover_mode")</f>
        <v>aquastat_heated_changeover_mode</v>
      </c>
      <c r="D168" s="18" t="str">
        <f ca="1">IFERROR(__xludf.DUMMYFUNCTION("""COMPUTED_VALUE"""),"attribute")</f>
        <v>attribute</v>
      </c>
      <c r="E168" s="18" t="str">
        <f ca="1">IFERROR(__xludf.DUMMYFUNCTION("""COMPUTED_VALUE"""),"enum")</f>
        <v>enum</v>
      </c>
      <c r="F168" s="18" t="str">
        <f ca="1">IFERROR(__xludf.DUMMYFUNCTION("""COMPUTED_VALUE"""),"false")</f>
        <v>false</v>
      </c>
      <c r="G168" s="18" t="str">
        <f ca="1">IFERROR(__xludf.DUMMYFUNCTION("""COMPUTED_VALUE"""),"polled")</f>
        <v>polled</v>
      </c>
      <c r="H168" s="18" t="str">
        <f ca="1">IFERROR(__xludf.DUMMYFUNCTION("""COMPUTED_VALUE"""),"86400")</f>
        <v>86400</v>
      </c>
      <c r="I168" s="18" t="str">
        <f ca="1">IFERROR(__xludf.DUMMYFUNCTION("""COMPUTED_VALUE"""),"N/A")</f>
        <v>N/A</v>
      </c>
      <c r="J168" s="18" t="str">
        <f ca="1">IFERROR(__xludf.DUMMYFUNCTION("""COMPUTED_VALUE"""),"N/A")</f>
        <v>N/A</v>
      </c>
      <c r="K168" s="18" t="str">
        <f ca="1">IFERROR(__xludf.DUMMYFUNCTION("""COMPUTED_VALUE"""),"N/A")</f>
        <v>N/A</v>
      </c>
      <c r="L168" s="18" t="str">
        <f ca="1">IFERROR(__xludf.DUMMYFUNCTION("""COMPUTED_VALUE"""),"N/A")</f>
        <v>N/A</v>
      </c>
      <c r="M168" s="18" t="str">
        <f ca="1">IFERROR(__xludf.DUMMYFUNCTION("""COMPUTED_VALUE"""),"N/A")</f>
        <v>N/A</v>
      </c>
      <c r="N168" s="18" t="str">
        <f ca="1">IFERROR(__xludf.DUMMYFUNCTION("""COMPUTED_VALUE"""),"N/A")</f>
        <v>N/A</v>
      </c>
      <c r="O168" s="18" t="str">
        <f ca="1">IFERROR(__xludf.DUMMYFUNCTION("""COMPUTED_VALUE"""),"N/A")</f>
        <v>N/A</v>
      </c>
      <c r="P168" s="18" t="str">
        <f ca="1">IFERROR(__xludf.DUMMYFUNCTION("""COMPUTED_VALUE"""),"""off"",""cool"",""heat"",""auto""")</f>
        <v>"off","cool","heat","auto"</v>
      </c>
      <c r="Q168" s="18" t="str">
        <f ca="1">IFERROR(__xludf.DUMMYFUNCTION("""COMPUTED_VALUE"""),"N/A")</f>
        <v>N/A</v>
      </c>
      <c r="R168" s="18" t="str">
        <f ca="1">IFERROR(__xludf.DUMMYFUNCTION("""COMPUTED_VALUE"""),"N/A")</f>
        <v>N/A</v>
      </c>
      <c r="S168" s="18" t="str">
        <f ca="1">IFERROR(__xludf.DUMMYFUNCTION("""COMPUTED_VALUE"""),"""heat""")</f>
        <v>"heat"</v>
      </c>
      <c r="T168" s="18" t="str">
        <f ca="1">IFERROR(__xludf.DUMMYFUNCTION("""COMPUTED_VALUE"""),"0xF0A8")</f>
        <v>0xF0A8</v>
      </c>
      <c r="U168" s="18" t="str">
        <f ca="1">IFERROR(__xludf.DUMMYFUNCTION("""COMPUTED_VALUE"""),"0x0A")</f>
        <v>0x0A</v>
      </c>
      <c r="V168" s="18" t="str">
        <f ca="1">IFERROR(__xludf.DUMMYFUNCTION("""COMPUTED_VALUE"""),"0x0104")</f>
        <v>0x0104</v>
      </c>
      <c r="W168" s="18" t="str">
        <f ca="1">IFERROR(__xludf.DUMMYFUNCTION("""COMPUTED_VALUE"""),"0x0201")</f>
        <v>0x0201</v>
      </c>
      <c r="X168" s="18" t="str">
        <f ca="1">IFERROR(__xludf.DUMMYFUNCTION("""COMPUTED_VALUE"""),"0x30")</f>
        <v>0x30</v>
      </c>
      <c r="Y168" s="18" t="e">
        <f ca="1"/>
        <v>#NAME?</v>
      </c>
      <c r="Z168" s="18" t="str">
        <f ca="1">IFERROR(__xludf.DUMMYFUNCTION("""COMPUTED_VALUE"""),"lambdax:{'off':0,'auto':1,'cool':3,'heat':4}[x]")</f>
        <v>lambdax:{'off':0,'auto':1,'cool':3,'heat':4}[x]</v>
      </c>
      <c r="AA168" s="18" t="str">
        <f ca="1">IFERROR(__xludf.DUMMYFUNCTION("""COMPUTED_VALUE"""),"lambdax:{0:'off',1:'auto',3:'cool',4:'heat'}.get(x,'unknown')")</f>
        <v>lambdax:{0:'off',1:'auto',3:'cool',4:'heat'}.get(x,'unknown')</v>
      </c>
      <c r="AC168" s="59" t="s">
        <v>1169</v>
      </c>
      <c r="AD168" s="59" t="s">
        <v>1169</v>
      </c>
      <c r="AE168" s="59" t="s">
        <v>1191</v>
      </c>
      <c r="AF168" s="59" t="s">
        <v>1197</v>
      </c>
      <c r="AG168" s="59" t="s">
        <v>1197</v>
      </c>
      <c r="AH168" s="59" t="s">
        <v>1200</v>
      </c>
      <c r="AI168" s="59" t="s">
        <v>1203</v>
      </c>
      <c r="AJ168" s="59" t="s">
        <v>1203</v>
      </c>
      <c r="AK168" s="59" t="s">
        <v>1203</v>
      </c>
      <c r="AL168" s="59" t="s">
        <v>1203</v>
      </c>
      <c r="AM168" s="59" t="s">
        <v>1203</v>
      </c>
      <c r="AN168" s="59" t="s">
        <v>1209</v>
      </c>
      <c r="AO168" s="59" t="s">
        <v>1209</v>
      </c>
      <c r="AP168" s="59" t="s">
        <v>1210</v>
      </c>
      <c r="AQ168" s="59" t="s">
        <v>1181</v>
      </c>
      <c r="AR168" s="59" t="s">
        <v>1181</v>
      </c>
      <c r="AS168" s="59" t="s">
        <v>1211</v>
      </c>
      <c r="AT168" s="59" t="s">
        <v>1211</v>
      </c>
    </row>
    <row r="169" spans="1:46" x14ac:dyDescent="0.25">
      <c r="A169" s="18" t="str">
        <v>lanai_enabled:{"type":"attribute","data_type":"bool","is_readonly":false,"reporting_type":"polled","poll_freq":86400,"default_value":false,"zigbee_metadata":{"attr_id":61616,"endpoint_id":10,"profile_id":260,"cluster_id":513,"zcl_data_type":16,"read_formatter":"lambdax:bool(x)","write_formatter":"lambdax:int(x)"}},</v>
      </c>
      <c r="B169" s="52" t="str">
        <f ca="1"/>
        <v>0x0201 0xF0B0</v>
      </c>
      <c r="C169" s="52" t="str">
        <f ca="1">IFERROR(__xludf.DUMMYFUNCTION("""COMPUTED_VALUE"""),"lanai_enabled")</f>
        <v>lanai_enabled</v>
      </c>
      <c r="D169" s="18" t="str">
        <f ca="1">IFERROR(__xludf.DUMMYFUNCTION("""COMPUTED_VALUE"""),"attribute")</f>
        <v>attribute</v>
      </c>
      <c r="E169" s="18" t="str">
        <f ca="1">IFERROR(__xludf.DUMMYFUNCTION("""COMPUTED_VALUE"""),"bool")</f>
        <v>bool</v>
      </c>
      <c r="F169" s="18" t="str">
        <f ca="1">IFERROR(__xludf.DUMMYFUNCTION("""COMPUTED_VALUE"""),"false")</f>
        <v>false</v>
      </c>
      <c r="G169" s="18" t="str">
        <f ca="1">IFERROR(__xludf.DUMMYFUNCTION("""COMPUTED_VALUE"""),"polled")</f>
        <v>polled</v>
      </c>
      <c r="H169" s="18" t="str">
        <f ca="1">IFERROR(__xludf.DUMMYFUNCTION("""COMPUTED_VALUE"""),"86400")</f>
        <v>86400</v>
      </c>
      <c r="I169" s="18" t="str">
        <f ca="1">IFERROR(__xludf.DUMMYFUNCTION("""COMPUTED_VALUE"""),"N/A")</f>
        <v>N/A</v>
      </c>
      <c r="J169" s="18" t="str">
        <f ca="1">IFERROR(__xludf.DUMMYFUNCTION("""COMPUTED_VALUE"""),"N/A")</f>
        <v>N/A</v>
      </c>
      <c r="K169" s="18" t="str">
        <f ca="1">IFERROR(__xludf.DUMMYFUNCTION("""COMPUTED_VALUE"""),"N/A")</f>
        <v>N/A</v>
      </c>
      <c r="L169" s="18" t="str">
        <f ca="1">IFERROR(__xludf.DUMMYFUNCTION("""COMPUTED_VALUE"""),"N/A")</f>
        <v>N/A</v>
      </c>
      <c r="M169" s="18" t="str">
        <f ca="1">IFERROR(__xludf.DUMMYFUNCTION("""COMPUTED_VALUE"""),"N/A")</f>
        <v>N/A</v>
      </c>
      <c r="N169" s="18" t="str">
        <f ca="1">IFERROR(__xludf.DUMMYFUNCTION("""COMPUTED_VALUE"""),"N/A")</f>
        <v>N/A</v>
      </c>
      <c r="O169" s="18" t="str">
        <f ca="1">IFERROR(__xludf.DUMMYFUNCTION("""COMPUTED_VALUE"""),"N/A")</f>
        <v>N/A</v>
      </c>
      <c r="P169" s="18" t="str">
        <f ca="1">IFERROR(__xludf.DUMMYFUNCTION("""COMPUTED_VALUE"""),"N/A")</f>
        <v>N/A</v>
      </c>
      <c r="Q169" s="18" t="str">
        <f ca="1">IFERROR(__xludf.DUMMYFUNCTION("""COMPUTED_VALUE"""),"N/A")</f>
        <v>N/A</v>
      </c>
      <c r="R169" s="18" t="str">
        <f ca="1">IFERROR(__xludf.DUMMYFUNCTION("""COMPUTED_VALUE"""),"N/A")</f>
        <v>N/A</v>
      </c>
      <c r="S169" s="18" t="str">
        <f ca="1">IFERROR(__xludf.DUMMYFUNCTION("""COMPUTED_VALUE"""),"false")</f>
        <v>false</v>
      </c>
      <c r="T169" s="18" t="str">
        <f ca="1">IFERROR(__xludf.DUMMYFUNCTION("""COMPUTED_VALUE"""),"0xF0B0")</f>
        <v>0xF0B0</v>
      </c>
      <c r="U169" s="18" t="str">
        <f ca="1">IFERROR(__xludf.DUMMYFUNCTION("""COMPUTED_VALUE"""),"0x0A")</f>
        <v>0x0A</v>
      </c>
      <c r="V169" s="18" t="str">
        <f ca="1">IFERROR(__xludf.DUMMYFUNCTION("""COMPUTED_VALUE"""),"0x0104")</f>
        <v>0x0104</v>
      </c>
      <c r="W169" s="18" t="str">
        <f ca="1">IFERROR(__xludf.DUMMYFUNCTION("""COMPUTED_VALUE"""),"0x0201")</f>
        <v>0x0201</v>
      </c>
      <c r="X169" s="18" t="str">
        <f ca="1">IFERROR(__xludf.DUMMYFUNCTION("""COMPUTED_VALUE"""),"0x10")</f>
        <v>0x10</v>
      </c>
      <c r="Y169" s="18" t="e">
        <f ca="1"/>
        <v>#NAME?</v>
      </c>
      <c r="Z169" s="18" t="str">
        <f ca="1">IFERROR(__xludf.DUMMYFUNCTION("""COMPUTED_VALUE"""),"lambdax:int(x)")</f>
        <v>lambdax:int(x)</v>
      </c>
      <c r="AA169" s="18" t="str">
        <f ca="1">IFERROR(__xludf.DUMMYFUNCTION("""COMPUTED_VALUE"""),"lambdax:bool(x)")</f>
        <v>lambdax:bool(x)</v>
      </c>
      <c r="AC169" s="59" t="s">
        <v>1173</v>
      </c>
      <c r="AD169" s="59" t="s">
        <v>1173</v>
      </c>
      <c r="AE169" s="59" t="s">
        <v>1194</v>
      </c>
      <c r="AF169" s="59" t="s">
        <v>1200</v>
      </c>
      <c r="AG169" s="59" t="s">
        <v>1200</v>
      </c>
      <c r="AH169" s="59" t="s">
        <v>1203</v>
      </c>
      <c r="AI169" s="59" t="s">
        <v>1206</v>
      </c>
      <c r="AJ169" s="59" t="s">
        <v>1206</v>
      </c>
      <c r="AK169" s="59" t="s">
        <v>1206</v>
      </c>
      <c r="AL169" s="59" t="s">
        <v>1206</v>
      </c>
      <c r="AM169" s="59" t="s">
        <v>1206</v>
      </c>
      <c r="AN169" s="59" t="s">
        <v>1212</v>
      </c>
      <c r="AO169" s="59" t="s">
        <v>1212</v>
      </c>
      <c r="AP169" s="59" t="s">
        <v>1213</v>
      </c>
      <c r="AQ169" s="59" t="s">
        <v>1184</v>
      </c>
      <c r="AR169" s="59" t="s">
        <v>1184</v>
      </c>
      <c r="AS169" s="59" t="s">
        <v>1214</v>
      </c>
      <c r="AT169" s="59" t="s">
        <v>1214</v>
      </c>
    </row>
    <row r="170" spans="1:46" x14ac:dyDescent="0.25">
      <c r="A170" s="18" t="str">
        <v>lanai_delay_time:{"type":"attribute","data_type":"uint16","is_readonly":false,"reporting_type":"polled","poll_freq":86400,"default_value":60,"zigbee_metadata":{"attr_id":61617,"endpoint_id":10,"profile_id":260,"cluster_id":513,"zcl_data_type":33}},</v>
      </c>
      <c r="B170" s="52" t="str">
        <f ca="1"/>
        <v>0x0201 0xF0B1</v>
      </c>
      <c r="C170" s="52" t="str">
        <f ca="1">IFERROR(__xludf.DUMMYFUNCTION("""COMPUTED_VALUE"""),"lanai_delay_time")</f>
        <v>lanai_delay_time</v>
      </c>
      <c r="D170" s="18" t="str">
        <f ca="1">IFERROR(__xludf.DUMMYFUNCTION("""COMPUTED_VALUE"""),"attribute")</f>
        <v>attribute</v>
      </c>
      <c r="E170" s="18" t="str">
        <f ca="1">IFERROR(__xludf.DUMMYFUNCTION("""COMPUTED_VALUE"""),"uint16")</f>
        <v>uint16</v>
      </c>
      <c r="F170" s="18" t="str">
        <f ca="1">IFERROR(__xludf.DUMMYFUNCTION("""COMPUTED_VALUE"""),"false")</f>
        <v>false</v>
      </c>
      <c r="G170" s="18" t="str">
        <f ca="1">IFERROR(__xludf.DUMMYFUNCTION("""COMPUTED_VALUE"""),"polled")</f>
        <v>polled</v>
      </c>
      <c r="H170" s="18" t="str">
        <f ca="1">IFERROR(__xludf.DUMMYFUNCTION("""COMPUTED_VALUE"""),"86400")</f>
        <v>86400</v>
      </c>
      <c r="I170" s="18" t="str">
        <f ca="1">IFERROR(__xludf.DUMMYFUNCTION("""COMPUTED_VALUE"""),"N/A")</f>
        <v>N/A</v>
      </c>
      <c r="J170" s="18" t="str">
        <f ca="1">IFERROR(__xludf.DUMMYFUNCTION("""COMPUTED_VALUE"""),"N/A")</f>
        <v>N/A</v>
      </c>
      <c r="K170" s="18" t="str">
        <f ca="1">IFERROR(__xludf.DUMMYFUNCTION("""COMPUTED_VALUE"""),"N/A")</f>
        <v>N/A</v>
      </c>
      <c r="L170" s="18" t="str">
        <f ca="1">IFERROR(__xludf.DUMMYFUNCTION("""COMPUTED_VALUE"""),"N/A")</f>
        <v>N/A</v>
      </c>
      <c r="M170" s="18" t="str">
        <f ca="1">IFERROR(__xludf.DUMMYFUNCTION("""COMPUTED_VALUE"""),"N/A")</f>
        <v>N/A</v>
      </c>
      <c r="N170" s="18" t="str">
        <f ca="1">IFERROR(__xludf.DUMMYFUNCTION("""COMPUTED_VALUE"""),"N/A")</f>
        <v>N/A</v>
      </c>
      <c r="O170" s="18" t="str">
        <f ca="1">IFERROR(__xludf.DUMMYFUNCTION("""COMPUTED_VALUE"""),"N/A")</f>
        <v>N/A</v>
      </c>
      <c r="P170" s="18" t="str">
        <f ca="1">IFERROR(__xludf.DUMMYFUNCTION("""COMPUTED_VALUE"""),"N/A")</f>
        <v>N/A</v>
      </c>
      <c r="Q170" s="18" t="str">
        <f ca="1">IFERROR(__xludf.DUMMYFUNCTION("""COMPUTED_VALUE"""),"N/A")</f>
        <v>N/A</v>
      </c>
      <c r="R170" s="18" t="str">
        <f ca="1">IFERROR(__xludf.DUMMYFUNCTION("""COMPUTED_VALUE"""),"N/A")</f>
        <v>N/A</v>
      </c>
      <c r="S170" s="18" t="str">
        <f ca="1">IFERROR(__xludf.DUMMYFUNCTION("""COMPUTED_VALUE"""),"60")</f>
        <v>60</v>
      </c>
      <c r="T170" s="18" t="str">
        <f ca="1">IFERROR(__xludf.DUMMYFUNCTION("""COMPUTED_VALUE"""),"0xF0B1")</f>
        <v>0xF0B1</v>
      </c>
      <c r="U170" s="18" t="str">
        <f ca="1">IFERROR(__xludf.DUMMYFUNCTION("""COMPUTED_VALUE"""),"0x0A")</f>
        <v>0x0A</v>
      </c>
      <c r="V170" s="18" t="str">
        <f ca="1">IFERROR(__xludf.DUMMYFUNCTION("""COMPUTED_VALUE"""),"0x0104")</f>
        <v>0x0104</v>
      </c>
      <c r="W170" s="18" t="str">
        <f ca="1">IFERROR(__xludf.DUMMYFUNCTION("""COMPUTED_VALUE"""),"0x0201")</f>
        <v>0x0201</v>
      </c>
      <c r="X170" s="18" t="str">
        <f ca="1">IFERROR(__xludf.DUMMYFUNCTION("""COMPUTED_VALUE"""),"0x21")</f>
        <v>0x21</v>
      </c>
      <c r="Y170" s="18" t="e">
        <f ca="1"/>
        <v>#NAME?</v>
      </c>
      <c r="Z170" s="18" t="str">
        <f ca="1">IFERROR(__xludf.DUMMYFUNCTION("""COMPUTED_VALUE"""),"N/A")</f>
        <v>N/A</v>
      </c>
      <c r="AA170" s="18" t="str">
        <f ca="1">IFERROR(__xludf.DUMMYFUNCTION("""COMPUTED_VALUE"""),"N/A")</f>
        <v>N/A</v>
      </c>
      <c r="AC170" s="59" t="s">
        <v>1176</v>
      </c>
      <c r="AD170" s="59" t="s">
        <v>1176</v>
      </c>
      <c r="AE170" s="59" t="s">
        <v>1197</v>
      </c>
      <c r="AF170" s="59" t="s">
        <v>1203</v>
      </c>
      <c r="AG170" s="59" t="s">
        <v>1203</v>
      </c>
      <c r="AH170" s="59" t="s">
        <v>1206</v>
      </c>
      <c r="AI170" s="59" t="s">
        <v>1209</v>
      </c>
      <c r="AJ170" s="59" t="s">
        <v>1209</v>
      </c>
      <c r="AK170" s="59" t="s">
        <v>1209</v>
      </c>
      <c r="AL170" s="59" t="s">
        <v>1209</v>
      </c>
      <c r="AM170" s="59" t="s">
        <v>1209</v>
      </c>
      <c r="AN170" s="59" t="s">
        <v>1215</v>
      </c>
      <c r="AO170" s="59" t="s">
        <v>1215</v>
      </c>
      <c r="AP170" s="59" t="s">
        <v>1216</v>
      </c>
      <c r="AQ170" s="59" t="s">
        <v>1187</v>
      </c>
      <c r="AR170" s="59" t="s">
        <v>1187</v>
      </c>
      <c r="AS170" s="59" t="s">
        <v>1217</v>
      </c>
      <c r="AT170" s="59" t="s">
        <v>1217</v>
      </c>
    </row>
    <row r="171" spans="1:46" x14ac:dyDescent="0.25">
      <c r="A171" s="18" t="str">
        <v>lanai_entry_offline_time:{"type":"attribute","data_type":"uint8","is_readonly":false,"reporting_type":"polled","poll_freq":86400,"default_value":16,"zigbee_metadata":{"attr_id":61618,"endpoint_id":10,"profile_id":260,"cluster_id":513,"zcl_data_type":32}},</v>
      </c>
      <c r="B171" s="52" t="str">
        <f ca="1"/>
        <v>0x0201 0xF0B2</v>
      </c>
      <c r="C171" s="52" t="str">
        <f ca="1">IFERROR(__xludf.DUMMYFUNCTION("""COMPUTED_VALUE"""),"lanai_entry_offline_time")</f>
        <v>lanai_entry_offline_time</v>
      </c>
      <c r="D171" s="18" t="str">
        <f ca="1">IFERROR(__xludf.DUMMYFUNCTION("""COMPUTED_VALUE"""),"attribute")</f>
        <v>attribute</v>
      </c>
      <c r="E171" s="18" t="str">
        <f ca="1">IFERROR(__xludf.DUMMYFUNCTION("""COMPUTED_VALUE"""),"uint8")</f>
        <v>uint8</v>
      </c>
      <c r="F171" s="18" t="str">
        <f ca="1">IFERROR(__xludf.DUMMYFUNCTION("""COMPUTED_VALUE"""),"false")</f>
        <v>false</v>
      </c>
      <c r="G171" s="18" t="str">
        <f ca="1">IFERROR(__xludf.DUMMYFUNCTION("""COMPUTED_VALUE"""),"polled")</f>
        <v>polled</v>
      </c>
      <c r="H171" s="18" t="str">
        <f ca="1">IFERROR(__xludf.DUMMYFUNCTION("""COMPUTED_VALUE"""),"86400")</f>
        <v>86400</v>
      </c>
      <c r="I171" s="18" t="str">
        <f ca="1">IFERROR(__xludf.DUMMYFUNCTION("""COMPUTED_VALUE"""),"N/A")</f>
        <v>N/A</v>
      </c>
      <c r="J171" s="18" t="str">
        <f ca="1">IFERROR(__xludf.DUMMYFUNCTION("""COMPUTED_VALUE"""),"N/A")</f>
        <v>N/A</v>
      </c>
      <c r="K171" s="18" t="str">
        <f ca="1">IFERROR(__xludf.DUMMYFUNCTION("""COMPUTED_VALUE"""),"N/A")</f>
        <v>N/A</v>
      </c>
      <c r="L171" s="18" t="str">
        <f ca="1">IFERROR(__xludf.DUMMYFUNCTION("""COMPUTED_VALUE"""),"N/A")</f>
        <v>N/A</v>
      </c>
      <c r="M171" s="18" t="str">
        <f ca="1">IFERROR(__xludf.DUMMYFUNCTION("""COMPUTED_VALUE"""),"N/A")</f>
        <v>N/A</v>
      </c>
      <c r="N171" s="18" t="str">
        <f ca="1">IFERROR(__xludf.DUMMYFUNCTION("""COMPUTED_VALUE"""),"N/A")</f>
        <v>N/A</v>
      </c>
      <c r="O171" s="18" t="str">
        <f ca="1">IFERROR(__xludf.DUMMYFUNCTION("""COMPUTED_VALUE"""),"N/A")</f>
        <v>N/A</v>
      </c>
      <c r="P171" s="18" t="str">
        <f ca="1">IFERROR(__xludf.DUMMYFUNCTION("""COMPUTED_VALUE"""),"N/A")</f>
        <v>N/A</v>
      </c>
      <c r="Q171" s="18" t="str">
        <f ca="1">IFERROR(__xludf.DUMMYFUNCTION("""COMPUTED_VALUE"""),"N/A")</f>
        <v>N/A</v>
      </c>
      <c r="R171" s="18" t="str">
        <f ca="1">IFERROR(__xludf.DUMMYFUNCTION("""COMPUTED_VALUE"""),"N/A")</f>
        <v>N/A</v>
      </c>
      <c r="S171" s="18" t="str">
        <f ca="1">IFERROR(__xludf.DUMMYFUNCTION("""COMPUTED_VALUE"""),"16")</f>
        <v>16</v>
      </c>
      <c r="T171" s="18" t="str">
        <f ca="1">IFERROR(__xludf.DUMMYFUNCTION("""COMPUTED_VALUE"""),"0xF0B2")</f>
        <v>0xF0B2</v>
      </c>
      <c r="U171" s="18" t="str">
        <f ca="1">IFERROR(__xludf.DUMMYFUNCTION("""COMPUTED_VALUE"""),"0x0A")</f>
        <v>0x0A</v>
      </c>
      <c r="V171" s="18" t="str">
        <f ca="1">IFERROR(__xludf.DUMMYFUNCTION("""COMPUTED_VALUE"""),"0x0104")</f>
        <v>0x0104</v>
      </c>
      <c r="W171" s="18" t="str">
        <f ca="1">IFERROR(__xludf.DUMMYFUNCTION("""COMPUTED_VALUE"""),"0x0201")</f>
        <v>0x0201</v>
      </c>
      <c r="X171" s="18" t="str">
        <f ca="1">IFERROR(__xludf.DUMMYFUNCTION("""COMPUTED_VALUE"""),"0x20")</f>
        <v>0x20</v>
      </c>
      <c r="Y171" s="18" t="e">
        <f ca="1"/>
        <v>#NAME?</v>
      </c>
      <c r="Z171" s="18" t="str">
        <f ca="1">IFERROR(__xludf.DUMMYFUNCTION("""COMPUTED_VALUE"""),"N/A")</f>
        <v>N/A</v>
      </c>
      <c r="AA171" s="18" t="str">
        <f ca="1">IFERROR(__xludf.DUMMYFUNCTION("""COMPUTED_VALUE"""),"N/A")</f>
        <v>N/A</v>
      </c>
      <c r="AC171" s="59" t="s">
        <v>1179</v>
      </c>
      <c r="AD171" s="59" t="s">
        <v>1179</v>
      </c>
      <c r="AE171" s="59" t="s">
        <v>1200</v>
      </c>
      <c r="AF171" s="59" t="s">
        <v>1206</v>
      </c>
      <c r="AG171" s="59" t="s">
        <v>1206</v>
      </c>
      <c r="AH171" s="59" t="s">
        <v>1209</v>
      </c>
      <c r="AI171" s="59" t="s">
        <v>1212</v>
      </c>
      <c r="AJ171" s="59" t="s">
        <v>1212</v>
      </c>
      <c r="AK171" s="59" t="s">
        <v>1212</v>
      </c>
      <c r="AL171" s="59" t="s">
        <v>1212</v>
      </c>
      <c r="AM171" s="59" t="s">
        <v>1212</v>
      </c>
      <c r="AN171" s="59" t="s">
        <v>1218</v>
      </c>
      <c r="AO171" s="59" t="s">
        <v>1218</v>
      </c>
      <c r="AP171" s="59" t="s">
        <v>1219</v>
      </c>
      <c r="AQ171" s="59" t="s">
        <v>1190</v>
      </c>
      <c r="AR171" s="59" t="s">
        <v>1190</v>
      </c>
      <c r="AS171" s="59" t="s">
        <v>1220</v>
      </c>
      <c r="AT171" s="59" t="s">
        <v>1220</v>
      </c>
    </row>
    <row r="172" spans="1:46" x14ac:dyDescent="0.25">
      <c r="A172" s="18" t="str">
        <v>unocc_delay_exit_event:{"type":"attribute","data_type":"uint8","is_readonly":false,"reporting_type":"polled","poll_freq":86400,"default_value":5,"zigbee_metadata":{"attr_id":61704,"endpoint_id":10,"profile_id":260,"cluster_id":513,"zcl_data_type":32}},</v>
      </c>
      <c r="B172" s="52" t="str">
        <f ca="1"/>
        <v>0x0201 0xF108</v>
      </c>
      <c r="C172" s="52" t="str">
        <f ca="1">IFERROR(__xludf.DUMMYFUNCTION("""COMPUTED_VALUE"""),"unocc_delay_exit_event")</f>
        <v>unocc_delay_exit_event</v>
      </c>
      <c r="D172" s="18" t="str">
        <f ca="1">IFERROR(__xludf.DUMMYFUNCTION("""COMPUTED_VALUE"""),"attribute")</f>
        <v>attribute</v>
      </c>
      <c r="E172" s="18" t="str">
        <f ca="1">IFERROR(__xludf.DUMMYFUNCTION("""COMPUTED_VALUE"""),"uint8")</f>
        <v>uint8</v>
      </c>
      <c r="F172" s="18" t="str">
        <f ca="1">IFERROR(__xludf.DUMMYFUNCTION("""COMPUTED_VALUE"""),"false")</f>
        <v>false</v>
      </c>
      <c r="G172" s="18" t="str">
        <f ca="1">IFERROR(__xludf.DUMMYFUNCTION("""COMPUTED_VALUE"""),"polled")</f>
        <v>polled</v>
      </c>
      <c r="H172" s="18" t="str">
        <f ca="1">IFERROR(__xludf.DUMMYFUNCTION("""COMPUTED_VALUE"""),"86400")</f>
        <v>86400</v>
      </c>
      <c r="I172" s="18" t="str">
        <f ca="1">IFERROR(__xludf.DUMMYFUNCTION("""COMPUTED_VALUE"""),"N/A")</f>
        <v>N/A</v>
      </c>
      <c r="J172" s="18" t="str">
        <f ca="1">IFERROR(__xludf.DUMMYFUNCTION("""COMPUTED_VALUE"""),"N/A")</f>
        <v>N/A</v>
      </c>
      <c r="K172" s="18" t="str">
        <f ca="1">IFERROR(__xludf.DUMMYFUNCTION("""COMPUTED_VALUE"""),"N/A")</f>
        <v>N/A</v>
      </c>
      <c r="L172" s="18" t="str">
        <f ca="1">IFERROR(__xludf.DUMMYFUNCTION("""COMPUTED_VALUE"""),"N/A")</f>
        <v>N/A</v>
      </c>
      <c r="M172" s="18" t="str">
        <f ca="1">IFERROR(__xludf.DUMMYFUNCTION("""COMPUTED_VALUE"""),"N/A")</f>
        <v>N/A</v>
      </c>
      <c r="N172" s="18" t="str">
        <f ca="1">IFERROR(__xludf.DUMMYFUNCTION("""COMPUTED_VALUE"""),"N/A")</f>
        <v>N/A</v>
      </c>
      <c r="O172" s="18" t="str">
        <f ca="1">IFERROR(__xludf.DUMMYFUNCTION("""COMPUTED_VALUE"""),"N/A")</f>
        <v>N/A</v>
      </c>
      <c r="P172" s="18" t="str">
        <f ca="1">IFERROR(__xludf.DUMMYFUNCTION("""COMPUTED_VALUE"""),"N/A")</f>
        <v>N/A</v>
      </c>
      <c r="Q172" s="18" t="str">
        <f ca="1">IFERROR(__xludf.DUMMYFUNCTION("""COMPUTED_VALUE"""),"N/A")</f>
        <v>N/A</v>
      </c>
      <c r="R172" s="18" t="str">
        <f ca="1">IFERROR(__xludf.DUMMYFUNCTION("""COMPUTED_VALUE"""),"N/A")</f>
        <v>N/A</v>
      </c>
      <c r="S172" s="18" t="str">
        <f ca="1">IFERROR(__xludf.DUMMYFUNCTION("""COMPUTED_VALUE"""),"5")</f>
        <v>5</v>
      </c>
      <c r="T172" s="18" t="str">
        <f ca="1">IFERROR(__xludf.DUMMYFUNCTION("""COMPUTED_VALUE"""),"0xF108")</f>
        <v>0xF108</v>
      </c>
      <c r="U172" s="18" t="str">
        <f ca="1">IFERROR(__xludf.DUMMYFUNCTION("""COMPUTED_VALUE"""),"0x0A")</f>
        <v>0x0A</v>
      </c>
      <c r="V172" s="18" t="str">
        <f ca="1">IFERROR(__xludf.DUMMYFUNCTION("""COMPUTED_VALUE"""),"0x0104")</f>
        <v>0x0104</v>
      </c>
      <c r="W172" s="18" t="str">
        <f ca="1">IFERROR(__xludf.DUMMYFUNCTION("""COMPUTED_VALUE"""),"0x0201")</f>
        <v>0x0201</v>
      </c>
      <c r="X172" s="18" t="str">
        <f ca="1">IFERROR(__xludf.DUMMYFUNCTION("""COMPUTED_VALUE"""),"0x20")</f>
        <v>0x20</v>
      </c>
      <c r="Y172" s="18" t="e">
        <f ca="1"/>
        <v>#NAME?</v>
      </c>
      <c r="Z172" s="18" t="str">
        <f ca="1">IFERROR(__xludf.DUMMYFUNCTION("""COMPUTED_VALUE"""),"N/A")</f>
        <v>N/A</v>
      </c>
      <c r="AA172" s="18" t="str">
        <f ca="1">IFERROR(__xludf.DUMMYFUNCTION("""COMPUTED_VALUE"""),"N/A")</f>
        <v>N/A</v>
      </c>
      <c r="AC172" s="59" t="s">
        <v>1182</v>
      </c>
      <c r="AD172" s="59" t="s">
        <v>1182</v>
      </c>
      <c r="AE172" s="59" t="s">
        <v>1203</v>
      </c>
      <c r="AF172" s="59" t="s">
        <v>1209</v>
      </c>
      <c r="AG172" s="59" t="s">
        <v>1209</v>
      </c>
      <c r="AH172" s="59" t="s">
        <v>1212</v>
      </c>
      <c r="AI172" s="59" t="s">
        <v>1215</v>
      </c>
      <c r="AJ172" s="59" t="s">
        <v>1215</v>
      </c>
      <c r="AK172" s="59" t="s">
        <v>1215</v>
      </c>
      <c r="AL172" s="59" t="s">
        <v>1215</v>
      </c>
      <c r="AM172" s="59" t="s">
        <v>1215</v>
      </c>
      <c r="AN172" s="59" t="s">
        <v>1221</v>
      </c>
      <c r="AO172" s="59" t="s">
        <v>1221</v>
      </c>
      <c r="AP172" s="59" t="s">
        <v>1222</v>
      </c>
      <c r="AQ172" s="59" t="s">
        <v>1193</v>
      </c>
      <c r="AR172" s="59" t="s">
        <v>1193</v>
      </c>
      <c r="AS172" s="59" t="s">
        <v>1223</v>
      </c>
      <c r="AT172" s="59" t="s">
        <v>1223</v>
      </c>
    </row>
    <row r="173" spans="1:46" x14ac:dyDescent="0.25">
      <c r="A173" s="18" t="str">
        <v>display_more_button_disabled:{"type":"attribute","data_type":"bool","is_readonly":false,"reporting_type":"polled","poll_freq":86400,"default_value":false,"zigbee_metadata":{"attr_id":25,"endpoint_id":10,"profile_id":260,"cluster_id":64517,"zcl_data_type":16,"read_formatter":"lambdax:bool(x)","write_formatter":"lambdax:int(x)"}},</v>
      </c>
      <c r="B173" s="52" t="str">
        <f ca="1"/>
        <v>0xFC05 0x0019</v>
      </c>
      <c r="C173" s="52" t="str">
        <f ca="1">IFERROR(__xludf.DUMMYFUNCTION("""COMPUTED_VALUE"""),"display_more_button_disabled")</f>
        <v>display_more_button_disabled</v>
      </c>
      <c r="D173" s="18" t="str">
        <f ca="1">IFERROR(__xludf.DUMMYFUNCTION("""COMPUTED_VALUE"""),"attribute")</f>
        <v>attribute</v>
      </c>
      <c r="E173" s="18" t="str">
        <f ca="1">IFERROR(__xludf.DUMMYFUNCTION("""COMPUTED_VALUE"""),"bool")</f>
        <v>bool</v>
      </c>
      <c r="F173" s="18" t="str">
        <f ca="1">IFERROR(__xludf.DUMMYFUNCTION("""COMPUTED_VALUE"""),"false")</f>
        <v>false</v>
      </c>
      <c r="G173" s="18" t="str">
        <f ca="1">IFERROR(__xludf.DUMMYFUNCTION("""COMPUTED_VALUE"""),"polled")</f>
        <v>polled</v>
      </c>
      <c r="H173" s="18" t="str">
        <f ca="1">IFERROR(__xludf.DUMMYFUNCTION("""COMPUTED_VALUE"""),"86400")</f>
        <v>86400</v>
      </c>
      <c r="I173" s="18" t="str">
        <f ca="1">IFERROR(__xludf.DUMMYFUNCTION("""COMPUTED_VALUE"""),"N/A")</f>
        <v>N/A</v>
      </c>
      <c r="J173" s="18" t="str">
        <f ca="1">IFERROR(__xludf.DUMMYFUNCTION("""COMPUTED_VALUE"""),"N/A")</f>
        <v>N/A</v>
      </c>
      <c r="K173" s="18" t="str">
        <f ca="1">IFERROR(__xludf.DUMMYFUNCTION("""COMPUTED_VALUE"""),"N/A")</f>
        <v>N/A</v>
      </c>
      <c r="L173" s="18" t="str">
        <f ca="1">IFERROR(__xludf.DUMMYFUNCTION("""COMPUTED_VALUE"""),"N/A")</f>
        <v>N/A</v>
      </c>
      <c r="M173" s="18" t="str">
        <f ca="1">IFERROR(__xludf.DUMMYFUNCTION("""COMPUTED_VALUE"""),"N/A")</f>
        <v>N/A</v>
      </c>
      <c r="N173" s="18" t="str">
        <f ca="1">IFERROR(__xludf.DUMMYFUNCTION("""COMPUTED_VALUE"""),"N/A")</f>
        <v>N/A</v>
      </c>
      <c r="O173" s="18" t="str">
        <f ca="1">IFERROR(__xludf.DUMMYFUNCTION("""COMPUTED_VALUE"""),"N/A")</f>
        <v>N/A</v>
      </c>
      <c r="P173" s="18" t="str">
        <f ca="1">IFERROR(__xludf.DUMMYFUNCTION("""COMPUTED_VALUE"""),"N/A")</f>
        <v>N/A</v>
      </c>
      <c r="Q173" s="18" t="str">
        <f ca="1">IFERROR(__xludf.DUMMYFUNCTION("""COMPUTED_VALUE"""),"N/A")</f>
        <v>N/A</v>
      </c>
      <c r="R173" s="18" t="str">
        <f ca="1">IFERROR(__xludf.DUMMYFUNCTION("""COMPUTED_VALUE"""),"N/A")</f>
        <v>N/A</v>
      </c>
      <c r="S173" s="18" t="str">
        <f ca="1">IFERROR(__xludf.DUMMYFUNCTION("""COMPUTED_VALUE"""),"false")</f>
        <v>false</v>
      </c>
      <c r="T173" s="18" t="str">
        <f ca="1">IFERROR(__xludf.DUMMYFUNCTION("""COMPUTED_VALUE"""),"0x0019")</f>
        <v>0x0019</v>
      </c>
      <c r="U173" s="18" t="str">
        <f ca="1">IFERROR(__xludf.DUMMYFUNCTION("""COMPUTED_VALUE"""),"0x0A")</f>
        <v>0x0A</v>
      </c>
      <c r="V173" s="18" t="str">
        <f ca="1">IFERROR(__xludf.DUMMYFUNCTION("""COMPUTED_VALUE"""),"0x0104")</f>
        <v>0x0104</v>
      </c>
      <c r="W173" s="18" t="str">
        <f ca="1">IFERROR(__xludf.DUMMYFUNCTION("""COMPUTED_VALUE"""),"0xFC05")</f>
        <v>0xFC05</v>
      </c>
      <c r="X173" s="18" t="str">
        <f ca="1">IFERROR(__xludf.DUMMYFUNCTION("""COMPUTED_VALUE"""),"0x10")</f>
        <v>0x10</v>
      </c>
      <c r="Y173" s="18" t="e">
        <f ca="1"/>
        <v>#NAME?</v>
      </c>
      <c r="Z173" s="18" t="str">
        <f ca="1">IFERROR(__xludf.DUMMYFUNCTION("""COMPUTED_VALUE"""),"lambdax:int(x)")</f>
        <v>lambdax:int(x)</v>
      </c>
      <c r="AA173" s="18" t="str">
        <f ca="1">IFERROR(__xludf.DUMMYFUNCTION("""COMPUTED_VALUE"""),"lambdax:bool(x)")</f>
        <v>lambdax:bool(x)</v>
      </c>
      <c r="AC173" s="59" t="s">
        <v>1185</v>
      </c>
      <c r="AD173" s="59" t="s">
        <v>1185</v>
      </c>
      <c r="AE173" s="59" t="s">
        <v>1206</v>
      </c>
      <c r="AF173" s="59" t="s">
        <v>1212</v>
      </c>
      <c r="AG173" s="59" t="s">
        <v>1212</v>
      </c>
      <c r="AH173" s="59" t="s">
        <v>1215</v>
      </c>
      <c r="AI173" s="59" t="s">
        <v>1218</v>
      </c>
      <c r="AJ173" s="59" t="s">
        <v>1218</v>
      </c>
      <c r="AK173" s="59" t="s">
        <v>1218</v>
      </c>
      <c r="AL173" s="59" t="s">
        <v>1218</v>
      </c>
      <c r="AM173" s="59" t="s">
        <v>1218</v>
      </c>
      <c r="AN173" s="59" t="s">
        <v>1224</v>
      </c>
      <c r="AO173" s="59" t="s">
        <v>1224</v>
      </c>
      <c r="AP173" s="59" t="s">
        <v>1225</v>
      </c>
      <c r="AQ173" s="59" t="s">
        <v>1196</v>
      </c>
      <c r="AR173" s="59" t="s">
        <v>1196</v>
      </c>
      <c r="AS173" s="59" t="s">
        <v>1226</v>
      </c>
      <c r="AT173" s="59" t="s">
        <v>1226</v>
      </c>
    </row>
    <row r="174" spans="1:46" x14ac:dyDescent="0.25">
      <c r="A174" s="18" t="str">
        <v>reporting_type:{"type":"attribute","data_type":"enum","is_readonly":false,"reporting_type":"polled","poll_freq":86400,"default_value":"wifi","enum_values":["forwarding","wifi"],"zigbee_metadata":{"attr_id":24,"endpoint_id":10,"profile_id":260,"cluster_id":64517,"zcl_data_type":32,"write_formatter":"lambdax:{'forwarding':0,'wifi':1}[x]","read_formatter":"lambdax:{0:'forwarding',1:'wifi'}.get(x,'unknown')"}},</v>
      </c>
      <c r="B174" s="52" t="str">
        <f ca="1"/>
        <v>0xFC05 0x0018</v>
      </c>
      <c r="C174" s="52" t="str">
        <f ca="1">IFERROR(__xludf.DUMMYFUNCTION("""COMPUTED_VALUE"""),"reporting_type")</f>
        <v>reporting_type</v>
      </c>
      <c r="D174" s="18" t="str">
        <f ca="1">IFERROR(__xludf.DUMMYFUNCTION("""COMPUTED_VALUE"""),"attribute")</f>
        <v>attribute</v>
      </c>
      <c r="E174" s="18" t="str">
        <f ca="1">IFERROR(__xludf.DUMMYFUNCTION("""COMPUTED_VALUE"""),"enum")</f>
        <v>enum</v>
      </c>
      <c r="F174" s="18" t="str">
        <f ca="1">IFERROR(__xludf.DUMMYFUNCTION("""COMPUTED_VALUE"""),"false")</f>
        <v>false</v>
      </c>
      <c r="G174" s="18" t="str">
        <f ca="1">IFERROR(__xludf.DUMMYFUNCTION("""COMPUTED_VALUE"""),"polled")</f>
        <v>polled</v>
      </c>
      <c r="H174" s="18" t="str">
        <f ca="1">IFERROR(__xludf.DUMMYFUNCTION("""COMPUTED_VALUE"""),"86400")</f>
        <v>86400</v>
      </c>
      <c r="I174" s="18" t="str">
        <f ca="1">IFERROR(__xludf.DUMMYFUNCTION("""COMPUTED_VALUE"""),"N/A")</f>
        <v>N/A</v>
      </c>
      <c r="J174" s="18" t="str">
        <f ca="1">IFERROR(__xludf.DUMMYFUNCTION("""COMPUTED_VALUE"""),"N/A")</f>
        <v>N/A</v>
      </c>
      <c r="K174" s="18" t="str">
        <f ca="1">IFERROR(__xludf.DUMMYFUNCTION("""COMPUTED_VALUE"""),"N/A")</f>
        <v>N/A</v>
      </c>
      <c r="L174" s="18" t="str">
        <f ca="1">IFERROR(__xludf.DUMMYFUNCTION("""COMPUTED_VALUE"""),"N/A")</f>
        <v>N/A</v>
      </c>
      <c r="M174" s="18" t="str">
        <f ca="1">IFERROR(__xludf.DUMMYFUNCTION("""COMPUTED_VALUE"""),"N/A")</f>
        <v>N/A</v>
      </c>
      <c r="N174" s="18" t="str">
        <f ca="1">IFERROR(__xludf.DUMMYFUNCTION("""COMPUTED_VALUE"""),"N/A")</f>
        <v>N/A</v>
      </c>
      <c r="O174" s="18" t="str">
        <f ca="1">IFERROR(__xludf.DUMMYFUNCTION("""COMPUTED_VALUE"""),"N/A")</f>
        <v>N/A</v>
      </c>
      <c r="P174" s="18" t="str">
        <f ca="1">IFERROR(__xludf.DUMMYFUNCTION("""COMPUTED_VALUE"""),"""forwarding"",""wifi""")</f>
        <v>"forwarding","wifi"</v>
      </c>
      <c r="Q174" s="18" t="str">
        <f ca="1">IFERROR(__xludf.DUMMYFUNCTION("""COMPUTED_VALUE"""),"N/A")</f>
        <v>N/A</v>
      </c>
      <c r="R174" s="18" t="str">
        <f ca="1">IFERROR(__xludf.DUMMYFUNCTION("""COMPUTED_VALUE"""),"N/A")</f>
        <v>N/A</v>
      </c>
      <c r="S174" s="18" t="str">
        <f ca="1">IFERROR(__xludf.DUMMYFUNCTION("""COMPUTED_VALUE"""),"""wifi""")</f>
        <v>"wifi"</v>
      </c>
      <c r="T174" s="18" t="str">
        <f ca="1">IFERROR(__xludf.DUMMYFUNCTION("""COMPUTED_VALUE"""),"0x0018")</f>
        <v>0x0018</v>
      </c>
      <c r="U174" s="18" t="str">
        <f ca="1">IFERROR(__xludf.DUMMYFUNCTION("""COMPUTED_VALUE"""),"0x0A")</f>
        <v>0x0A</v>
      </c>
      <c r="V174" s="18" t="str">
        <f ca="1">IFERROR(__xludf.DUMMYFUNCTION("""COMPUTED_VALUE"""),"0x0104")</f>
        <v>0x0104</v>
      </c>
      <c r="W174" s="18" t="str">
        <f ca="1">IFERROR(__xludf.DUMMYFUNCTION("""COMPUTED_VALUE"""),"0xFC05")</f>
        <v>0xFC05</v>
      </c>
      <c r="X174" s="18" t="str">
        <f ca="1">IFERROR(__xludf.DUMMYFUNCTION("""COMPUTED_VALUE"""),"0x20")</f>
        <v>0x20</v>
      </c>
      <c r="Y174" s="18" t="e">
        <f ca="1"/>
        <v>#NAME?</v>
      </c>
      <c r="Z174" s="18" t="str">
        <f ca="1">IFERROR(__xludf.DUMMYFUNCTION("""COMPUTED_VALUE"""),"lambdax:{'forwarding':0,'wifi':1}[x]")</f>
        <v>lambdax:{'forwarding':0,'wifi':1}[x]</v>
      </c>
      <c r="AA174" s="18" t="str">
        <f ca="1">IFERROR(__xludf.DUMMYFUNCTION("""COMPUTED_VALUE"""),"lambdax:{0:'forwarding',1:'wifi'}.get(x,'unknown')")</f>
        <v>lambdax:{0:'forwarding',1:'wifi'}.get(x,'unknown')</v>
      </c>
      <c r="AC174" s="59" t="s">
        <v>1188</v>
      </c>
      <c r="AD174" s="59" t="s">
        <v>1188</v>
      </c>
      <c r="AE174" s="59" t="s">
        <v>1209</v>
      </c>
      <c r="AF174" s="59" t="s">
        <v>1215</v>
      </c>
      <c r="AG174" s="59" t="s">
        <v>1215</v>
      </c>
      <c r="AH174" s="59" t="s">
        <v>1218</v>
      </c>
      <c r="AI174" s="59" t="s">
        <v>1221</v>
      </c>
      <c r="AJ174" s="59" t="s">
        <v>1221</v>
      </c>
      <c r="AK174" s="59" t="s">
        <v>1221</v>
      </c>
      <c r="AL174" s="59" t="s">
        <v>1221</v>
      </c>
      <c r="AM174" s="59" t="s">
        <v>1221</v>
      </c>
      <c r="AN174" s="59" t="s">
        <v>1227</v>
      </c>
      <c r="AO174" s="59" t="s">
        <v>1227</v>
      </c>
      <c r="AP174" s="59" t="s">
        <v>1228</v>
      </c>
      <c r="AQ174" s="59" t="s">
        <v>1199</v>
      </c>
      <c r="AR174" s="59" t="s">
        <v>1199</v>
      </c>
      <c r="AS174" s="59" t="s">
        <v>1229</v>
      </c>
      <c r="AT174" s="59" t="s">
        <v>1229</v>
      </c>
    </row>
    <row r="175" spans="1:46" x14ac:dyDescent="0.25">
      <c r="A175" s="18" t="str">
        <v>zigbee_enabled:{"type":"attribute","data_type":"bool","is_readonly":true,"reporting_type":"polled","poll_freq":86400,"zigbee_metadata":{"attr_id":3,"endpoint_id":10,"profile_id":260,"cluster_id":0,"zcl_data_type":32,"read_formatter":"lambdax:not(bool(x))"}},</v>
      </c>
      <c r="B175" s="52" t="str">
        <f ca="1"/>
        <v>0x0000 0x0003</v>
      </c>
      <c r="C175" s="52" t="str">
        <f ca="1">IFERROR(__xludf.DUMMYFUNCTION("""COMPUTED_VALUE"""),"zigbee_enabled")</f>
        <v>zigbee_enabled</v>
      </c>
      <c r="D175" s="18" t="str">
        <f ca="1">IFERROR(__xludf.DUMMYFUNCTION("""COMPUTED_VALUE"""),"attribute")</f>
        <v>attribute</v>
      </c>
      <c r="E175" s="18" t="str">
        <f ca="1">IFERROR(__xludf.DUMMYFUNCTION("""COMPUTED_VALUE"""),"bool")</f>
        <v>bool</v>
      </c>
      <c r="F175" s="18" t="str">
        <f ca="1">IFERROR(__xludf.DUMMYFUNCTION("""COMPUTED_VALUE"""),"true")</f>
        <v>true</v>
      </c>
      <c r="G175" s="18" t="str">
        <f ca="1">IFERROR(__xludf.DUMMYFUNCTION("""COMPUTED_VALUE"""),"polled")</f>
        <v>polled</v>
      </c>
      <c r="H175" s="18" t="str">
        <f ca="1">IFERROR(__xludf.DUMMYFUNCTION("""COMPUTED_VALUE"""),"86400")</f>
        <v>86400</v>
      </c>
      <c r="I175" s="18" t="str">
        <f ca="1">IFERROR(__xludf.DUMMYFUNCTION("""COMPUTED_VALUE"""),"N/A")</f>
        <v>N/A</v>
      </c>
      <c r="J175" s="18" t="str">
        <f ca="1">IFERROR(__xludf.DUMMYFUNCTION("""COMPUTED_VALUE"""),"N/A")</f>
        <v>N/A</v>
      </c>
      <c r="K175" s="18" t="str">
        <f ca="1">IFERROR(__xludf.DUMMYFUNCTION("""COMPUTED_VALUE"""),"N/A")</f>
        <v>N/A</v>
      </c>
      <c r="L175" s="18" t="str">
        <f ca="1">IFERROR(__xludf.DUMMYFUNCTION("""COMPUTED_VALUE"""),"N/A")</f>
        <v>N/A</v>
      </c>
      <c r="M175" s="18" t="str">
        <f ca="1">IFERROR(__xludf.DUMMYFUNCTION("""COMPUTED_VALUE"""),"N/A")</f>
        <v>N/A</v>
      </c>
      <c r="N175" s="18" t="str">
        <f ca="1">IFERROR(__xludf.DUMMYFUNCTION("""COMPUTED_VALUE"""),"N/A")</f>
        <v>N/A</v>
      </c>
      <c r="O175" s="18" t="str">
        <f ca="1">IFERROR(__xludf.DUMMYFUNCTION("""COMPUTED_VALUE"""),"N/A")</f>
        <v>N/A</v>
      </c>
      <c r="P175" s="18" t="str">
        <f ca="1">IFERROR(__xludf.DUMMYFUNCTION("""COMPUTED_VALUE"""),"N/A")</f>
        <v>N/A</v>
      </c>
      <c r="Q175" s="18" t="str">
        <f ca="1">IFERROR(__xludf.DUMMYFUNCTION("""COMPUTED_VALUE"""),"N/A")</f>
        <v>N/A</v>
      </c>
      <c r="R175" s="18" t="str">
        <f ca="1">IFERROR(__xludf.DUMMYFUNCTION("""COMPUTED_VALUE"""),"N/A")</f>
        <v>N/A</v>
      </c>
      <c r="S175" s="18" t="str">
        <f ca="1">IFERROR(__xludf.DUMMYFUNCTION("""COMPUTED_VALUE"""),"N/A")</f>
        <v>N/A</v>
      </c>
      <c r="T175" s="18" t="str">
        <f ca="1">IFERROR(__xludf.DUMMYFUNCTION("""COMPUTED_VALUE"""),"0x0003")</f>
        <v>0x0003</v>
      </c>
      <c r="U175" s="18" t="str">
        <f ca="1">IFERROR(__xludf.DUMMYFUNCTION("""COMPUTED_VALUE"""),"0x0A")</f>
        <v>0x0A</v>
      </c>
      <c r="V175" s="18" t="str">
        <f ca="1">IFERROR(__xludf.DUMMYFUNCTION("""COMPUTED_VALUE"""),"0x0104")</f>
        <v>0x0104</v>
      </c>
      <c r="W175" s="18" t="str">
        <f ca="1">IFERROR(__xludf.DUMMYFUNCTION("""COMPUTED_VALUE"""),"0x0000")</f>
        <v>0x0000</v>
      </c>
      <c r="X175" s="18" t="str">
        <f ca="1">IFERROR(__xludf.DUMMYFUNCTION("""COMPUTED_VALUE"""),"0x20")</f>
        <v>0x20</v>
      </c>
      <c r="Y175" s="18" t="e">
        <f ca="1"/>
        <v>#NAME?</v>
      </c>
      <c r="Z175" s="18" t="str">
        <f ca="1">IFERROR(__xludf.DUMMYFUNCTION("""COMPUTED_VALUE"""),"N/A")</f>
        <v>N/A</v>
      </c>
      <c r="AA175" s="18" t="str">
        <f ca="1">IFERROR(__xludf.DUMMYFUNCTION("""COMPUTED_VALUE"""),"lambdax:not(bool(x))")</f>
        <v>lambdax:not(bool(x))</v>
      </c>
      <c r="AC175" s="59" t="s">
        <v>1191</v>
      </c>
      <c r="AD175" s="59" t="s">
        <v>1191</v>
      </c>
      <c r="AE175" s="59" t="s">
        <v>1212</v>
      </c>
      <c r="AF175" s="59" t="s">
        <v>1218</v>
      </c>
      <c r="AG175" s="59" t="s">
        <v>1218</v>
      </c>
      <c r="AH175" s="59" t="s">
        <v>1221</v>
      </c>
      <c r="AI175" s="59" t="s">
        <v>1224</v>
      </c>
      <c r="AJ175" s="59" t="s">
        <v>1224</v>
      </c>
      <c r="AK175" s="59" t="s">
        <v>1224</v>
      </c>
      <c r="AL175" s="59" t="s">
        <v>1224</v>
      </c>
      <c r="AM175" s="59" t="s">
        <v>1224</v>
      </c>
      <c r="AN175" s="59" t="s">
        <v>1230</v>
      </c>
      <c r="AO175" s="59" t="s">
        <v>1230</v>
      </c>
      <c r="AP175" s="59" t="s">
        <v>1231</v>
      </c>
      <c r="AQ175" s="59" t="s">
        <v>1202</v>
      </c>
      <c r="AR175" s="59" t="s">
        <v>1202</v>
      </c>
      <c r="AS175" s="59" t="s">
        <v>1232</v>
      </c>
      <c r="AT175" s="59" t="s">
        <v>1232</v>
      </c>
    </row>
    <row r="176" spans="1:46" x14ac:dyDescent="0.25">
      <c r="A176" s="18" t="str">
        <v>display_thermostat_menu_enabled:{"type":"attribute","data_type":"bool","is_readonly":false,"reporting_type":"polled","poll_freq":86400,"default_value":false,"zigbee_metadata":{"attr_id":27,"endpoint_id":10,"profile_id":260,"cluster_id":64517,"zcl_data_type":16,"read_formatter":"lambdax:bool(x)","write_formatter":"lambdax:int(x)"}},</v>
      </c>
      <c r="B176" s="52" t="str">
        <f ca="1"/>
        <v>0xFC05 0x001B</v>
      </c>
      <c r="C176" s="52" t="str">
        <f ca="1">IFERROR(__xludf.DUMMYFUNCTION("""COMPUTED_VALUE"""),"display_thermostat_menu_enabled")</f>
        <v>display_thermostat_menu_enabled</v>
      </c>
      <c r="D176" s="18" t="str">
        <f ca="1">IFERROR(__xludf.DUMMYFUNCTION("""COMPUTED_VALUE"""),"attribute")</f>
        <v>attribute</v>
      </c>
      <c r="E176" s="18" t="str">
        <f ca="1">IFERROR(__xludf.DUMMYFUNCTION("""COMPUTED_VALUE"""),"bool")</f>
        <v>bool</v>
      </c>
      <c r="F176" s="18" t="str">
        <f ca="1">IFERROR(__xludf.DUMMYFUNCTION("""COMPUTED_VALUE"""),"false")</f>
        <v>false</v>
      </c>
      <c r="G176" s="18" t="str">
        <f ca="1">IFERROR(__xludf.DUMMYFUNCTION("""COMPUTED_VALUE"""),"polled")</f>
        <v>polled</v>
      </c>
      <c r="H176" s="18" t="str">
        <f ca="1">IFERROR(__xludf.DUMMYFUNCTION("""COMPUTED_VALUE"""),"86400")</f>
        <v>86400</v>
      </c>
      <c r="I176" s="18" t="str">
        <f ca="1">IFERROR(__xludf.DUMMYFUNCTION("""COMPUTED_VALUE"""),"N/A")</f>
        <v>N/A</v>
      </c>
      <c r="J176" s="18" t="str">
        <f ca="1">IFERROR(__xludf.DUMMYFUNCTION("""COMPUTED_VALUE"""),"N/A")</f>
        <v>N/A</v>
      </c>
      <c r="K176" s="18" t="str">
        <f ca="1">IFERROR(__xludf.DUMMYFUNCTION("""COMPUTED_VALUE"""),"N/A")</f>
        <v>N/A</v>
      </c>
      <c r="L176" s="18" t="str">
        <f ca="1">IFERROR(__xludf.DUMMYFUNCTION("""COMPUTED_VALUE"""),"N/A")</f>
        <v>N/A</v>
      </c>
      <c r="M176" s="18" t="str">
        <f ca="1">IFERROR(__xludf.DUMMYFUNCTION("""COMPUTED_VALUE"""),"N/A")</f>
        <v>N/A</v>
      </c>
      <c r="N176" s="18" t="str">
        <f ca="1">IFERROR(__xludf.DUMMYFUNCTION("""COMPUTED_VALUE"""),"N/A")</f>
        <v>N/A</v>
      </c>
      <c r="O176" s="18" t="str">
        <f ca="1">IFERROR(__xludf.DUMMYFUNCTION("""COMPUTED_VALUE"""),"N/A")</f>
        <v>N/A</v>
      </c>
      <c r="P176" s="18" t="str">
        <f ca="1">IFERROR(__xludf.DUMMYFUNCTION("""COMPUTED_VALUE"""),"N/A")</f>
        <v>N/A</v>
      </c>
      <c r="Q176" s="18" t="str">
        <f ca="1">IFERROR(__xludf.DUMMYFUNCTION("""COMPUTED_VALUE"""),"N/A")</f>
        <v>N/A</v>
      </c>
      <c r="R176" s="18" t="str">
        <f ca="1">IFERROR(__xludf.DUMMYFUNCTION("""COMPUTED_VALUE"""),"N/A")</f>
        <v>N/A</v>
      </c>
      <c r="S176" s="18" t="str">
        <f ca="1">IFERROR(__xludf.DUMMYFUNCTION("""COMPUTED_VALUE"""),"false")</f>
        <v>false</v>
      </c>
      <c r="T176" s="18" t="str">
        <f ca="1">IFERROR(__xludf.DUMMYFUNCTION("""COMPUTED_VALUE"""),"0x001B")</f>
        <v>0x001B</v>
      </c>
      <c r="U176" s="18" t="str">
        <f ca="1">IFERROR(__xludf.DUMMYFUNCTION("""COMPUTED_VALUE"""),"0x0A")</f>
        <v>0x0A</v>
      </c>
      <c r="V176" s="18" t="str">
        <f ca="1">IFERROR(__xludf.DUMMYFUNCTION("""COMPUTED_VALUE"""),"0x0104")</f>
        <v>0x0104</v>
      </c>
      <c r="W176" s="18" t="str">
        <f ca="1">IFERROR(__xludf.DUMMYFUNCTION("""COMPUTED_VALUE"""),"0xFC05")</f>
        <v>0xFC05</v>
      </c>
      <c r="X176" s="18" t="str">
        <f ca="1">IFERROR(__xludf.DUMMYFUNCTION("""COMPUTED_VALUE"""),"0x10")</f>
        <v>0x10</v>
      </c>
      <c r="Y176" s="18" t="e">
        <f ca="1"/>
        <v>#NAME?</v>
      </c>
      <c r="Z176" s="18" t="str">
        <f ca="1">IFERROR(__xludf.DUMMYFUNCTION("""COMPUTED_VALUE"""),"lambdax:int(x)")</f>
        <v>lambdax:int(x)</v>
      </c>
      <c r="AA176" s="18" t="str">
        <f ca="1">IFERROR(__xludf.DUMMYFUNCTION("""COMPUTED_VALUE"""),"lambdax:bool(x)")</f>
        <v>lambdax:bool(x)</v>
      </c>
      <c r="AC176" s="59" t="s">
        <v>1194</v>
      </c>
      <c r="AD176" s="59" t="s">
        <v>1194</v>
      </c>
      <c r="AE176" s="59" t="s">
        <v>1215</v>
      </c>
      <c r="AF176" s="59" t="s">
        <v>1221</v>
      </c>
      <c r="AG176" s="59" t="s">
        <v>1221</v>
      </c>
      <c r="AH176" s="59" t="s">
        <v>1224</v>
      </c>
      <c r="AI176" s="59" t="s">
        <v>1227</v>
      </c>
      <c r="AJ176" s="59" t="s">
        <v>1227</v>
      </c>
      <c r="AK176" s="59" t="s">
        <v>1227</v>
      </c>
      <c r="AL176" s="59" t="s">
        <v>1227</v>
      </c>
      <c r="AM176" s="59" t="s">
        <v>1227</v>
      </c>
      <c r="AN176" s="59" t="s">
        <v>1233</v>
      </c>
      <c r="AO176" s="59" t="s">
        <v>1233</v>
      </c>
      <c r="AP176" s="59" t="s">
        <v>1234</v>
      </c>
      <c r="AQ176" s="59" t="s">
        <v>1205</v>
      </c>
      <c r="AR176" s="59" t="s">
        <v>1205</v>
      </c>
      <c r="AS176" s="59" t="s">
        <v>1235</v>
      </c>
      <c r="AT176" s="59" t="s">
        <v>1235</v>
      </c>
    </row>
    <row r="177" spans="1:46" x14ac:dyDescent="0.25">
      <c r="A177" s="18" t="str">
        <v>scenes_occ:{"type":"attribute","data_type":"bool","is_readonly":true,"reporting_type":"reported","report_max":3600,"report_min":0,"zigbee_metadata":{"attr_id":61440,"endpoint_id":10,"profile_id":260,"cluster_id":5,"zcl_data_type":16,"read_formatter":"lambdax:bool(x)"}},</v>
      </c>
      <c r="B177" s="52" t="str">
        <f ca="1"/>
        <v>0x0005 0xF000</v>
      </c>
      <c r="C177" s="52" t="str">
        <f ca="1">IFERROR(__xludf.DUMMYFUNCTION("""COMPUTED_VALUE"""),"scenes_occ")</f>
        <v>scenes_occ</v>
      </c>
      <c r="D177" s="18" t="str">
        <f ca="1">IFERROR(__xludf.DUMMYFUNCTION("""COMPUTED_VALUE"""),"attribute")</f>
        <v>attribute</v>
      </c>
      <c r="E177" s="18" t="str">
        <f ca="1">IFERROR(__xludf.DUMMYFUNCTION("""COMPUTED_VALUE"""),"bool")</f>
        <v>bool</v>
      </c>
      <c r="F177" s="18" t="str">
        <f ca="1">IFERROR(__xludf.DUMMYFUNCTION("""COMPUTED_VALUE"""),"true")</f>
        <v>true</v>
      </c>
      <c r="G177" s="18" t="str">
        <f ca="1">IFERROR(__xludf.DUMMYFUNCTION("""COMPUTED_VALUE"""),"reported")</f>
        <v>reported</v>
      </c>
      <c r="H177" s="18" t="str">
        <f ca="1">IFERROR(__xludf.DUMMYFUNCTION("""COMPUTED_VALUE"""),"N/A")</f>
        <v>N/A</v>
      </c>
      <c r="I177" s="18" t="str">
        <f ca="1">IFERROR(__xludf.DUMMYFUNCTION("""COMPUTED_VALUE"""),"3600")</f>
        <v>3600</v>
      </c>
      <c r="J177" s="18" t="str">
        <f ca="1">IFERROR(__xludf.DUMMYFUNCTION("""COMPUTED_VALUE"""),"0")</f>
        <v>0</v>
      </c>
      <c r="K177" s="18" t="str">
        <f ca="1">IFERROR(__xludf.DUMMYFUNCTION("""COMPUTED_VALUE"""),"N/A")</f>
        <v>N/A</v>
      </c>
      <c r="L177" s="18" t="str">
        <f ca="1">IFERROR(__xludf.DUMMYFUNCTION("""COMPUTED_VALUE"""),"N/A")</f>
        <v>N/A</v>
      </c>
      <c r="M177" s="18" t="str">
        <f ca="1">IFERROR(__xludf.DUMMYFUNCTION("""COMPUTED_VALUE"""),"N/A")</f>
        <v>N/A</v>
      </c>
      <c r="N177" s="18" t="str">
        <f ca="1">IFERROR(__xludf.DUMMYFUNCTION("""COMPUTED_VALUE"""),"N/A")</f>
        <v>N/A</v>
      </c>
      <c r="O177" s="18" t="str">
        <f ca="1">IFERROR(__xludf.DUMMYFUNCTION("""COMPUTED_VALUE"""),"N/A")</f>
        <v>N/A</v>
      </c>
      <c r="P177" s="18" t="str">
        <f ca="1">IFERROR(__xludf.DUMMYFUNCTION("""COMPUTED_VALUE"""),"N/A")</f>
        <v>N/A</v>
      </c>
      <c r="Q177" s="18" t="str">
        <f ca="1">IFERROR(__xludf.DUMMYFUNCTION("""COMPUTED_VALUE"""),"N/A")</f>
        <v>N/A</v>
      </c>
      <c r="R177" s="18" t="str">
        <f ca="1">IFERROR(__xludf.DUMMYFUNCTION("""COMPUTED_VALUE"""),"N/A")</f>
        <v>N/A</v>
      </c>
      <c r="S177" s="18" t="str">
        <f ca="1">IFERROR(__xludf.DUMMYFUNCTION("""COMPUTED_VALUE"""),"N/A")</f>
        <v>N/A</v>
      </c>
      <c r="T177" s="18" t="str">
        <f ca="1">IFERROR(__xludf.DUMMYFUNCTION("""COMPUTED_VALUE"""),"0xF000")</f>
        <v>0xF000</v>
      </c>
      <c r="U177" s="18" t="str">
        <f ca="1">IFERROR(__xludf.DUMMYFUNCTION("""COMPUTED_VALUE"""),"0x0A")</f>
        <v>0x0A</v>
      </c>
      <c r="V177" s="18" t="str">
        <f ca="1">IFERROR(__xludf.DUMMYFUNCTION("""COMPUTED_VALUE"""),"0x0104")</f>
        <v>0x0104</v>
      </c>
      <c r="W177" s="18" t="str">
        <f ca="1">IFERROR(__xludf.DUMMYFUNCTION("""COMPUTED_VALUE"""),"0x0005")</f>
        <v>0x0005</v>
      </c>
      <c r="X177" s="18" t="str">
        <f ca="1">IFERROR(__xludf.DUMMYFUNCTION("""COMPUTED_VALUE"""),"0x10")</f>
        <v>0x10</v>
      </c>
      <c r="Y177" s="18" t="e">
        <f ca="1"/>
        <v>#NAME?</v>
      </c>
      <c r="Z177" s="18" t="str">
        <f ca="1">IFERROR(__xludf.DUMMYFUNCTION("""COMPUTED_VALUE"""),"N/A")</f>
        <v>N/A</v>
      </c>
      <c r="AA177" s="18" t="str">
        <f ca="1">IFERROR(__xludf.DUMMYFUNCTION("""COMPUTED_VALUE"""),"lambdax:bool(x)")</f>
        <v>lambdax:bool(x)</v>
      </c>
      <c r="AC177" s="59" t="s">
        <v>1197</v>
      </c>
      <c r="AD177" s="59" t="s">
        <v>1197</v>
      </c>
      <c r="AE177" s="59" t="s">
        <v>1218</v>
      </c>
      <c r="AF177" s="59" t="s">
        <v>1224</v>
      </c>
      <c r="AG177" s="59" t="s">
        <v>1224</v>
      </c>
      <c r="AH177" s="59" t="s">
        <v>1227</v>
      </c>
      <c r="AI177" s="59" t="s">
        <v>1230</v>
      </c>
      <c r="AJ177" s="59" t="s">
        <v>1230</v>
      </c>
      <c r="AK177" s="59" t="s">
        <v>1230</v>
      </c>
      <c r="AL177" s="59" t="s">
        <v>1230</v>
      </c>
      <c r="AM177" s="59" t="s">
        <v>1230</v>
      </c>
      <c r="AN177" s="59" t="s">
        <v>1236</v>
      </c>
      <c r="AO177" s="59" t="s">
        <v>1236</v>
      </c>
      <c r="AP177" s="59" t="s">
        <v>1237</v>
      </c>
      <c r="AQ177" s="59" t="s">
        <v>1208</v>
      </c>
      <c r="AR177" s="59" t="s">
        <v>1208</v>
      </c>
      <c r="AS177" s="59" t="s">
        <v>1238</v>
      </c>
      <c r="AT177" s="59" t="s">
        <v>1238</v>
      </c>
    </row>
    <row r="178" spans="1:46" x14ac:dyDescent="0.25">
      <c r="A178" s="18" t="str">
        <v>scenes_occ_aux:{"type":"attribute","data_type":"bool","is_readonly":true,"reporting_type":"reported","report_max":3600,"report_min":0,"zigbee_metadata":{"attr_id":61441,"endpoint_id":10,"profile_id":260,"cluster_id":5,"zcl_data_type":16,"read_formatter":"lambdax:bool(x)"}},</v>
      </c>
      <c r="B178" s="52" t="str">
        <f ca="1"/>
        <v>0x0005 0xF001</v>
      </c>
      <c r="C178" s="52" t="str">
        <f ca="1">IFERROR(__xludf.DUMMYFUNCTION("""COMPUTED_VALUE"""),"scenes_occ_aux")</f>
        <v>scenes_occ_aux</v>
      </c>
      <c r="D178" s="18" t="str">
        <f ca="1">IFERROR(__xludf.DUMMYFUNCTION("""COMPUTED_VALUE"""),"attribute")</f>
        <v>attribute</v>
      </c>
      <c r="E178" s="18" t="str">
        <f ca="1">IFERROR(__xludf.DUMMYFUNCTION("""COMPUTED_VALUE"""),"bool")</f>
        <v>bool</v>
      </c>
      <c r="F178" s="18" t="str">
        <f ca="1">IFERROR(__xludf.DUMMYFUNCTION("""COMPUTED_VALUE"""),"true")</f>
        <v>true</v>
      </c>
      <c r="G178" s="18" t="str">
        <f ca="1">IFERROR(__xludf.DUMMYFUNCTION("""COMPUTED_VALUE"""),"reported")</f>
        <v>reported</v>
      </c>
      <c r="H178" s="18" t="str">
        <f ca="1">IFERROR(__xludf.DUMMYFUNCTION("""COMPUTED_VALUE"""),"N/A")</f>
        <v>N/A</v>
      </c>
      <c r="I178" s="18" t="str">
        <f ca="1">IFERROR(__xludf.DUMMYFUNCTION("""COMPUTED_VALUE"""),"3600")</f>
        <v>3600</v>
      </c>
      <c r="J178" s="18" t="str">
        <f ca="1">IFERROR(__xludf.DUMMYFUNCTION("""COMPUTED_VALUE"""),"0")</f>
        <v>0</v>
      </c>
      <c r="K178" s="18" t="str">
        <f ca="1">IFERROR(__xludf.DUMMYFUNCTION("""COMPUTED_VALUE"""),"N/A")</f>
        <v>N/A</v>
      </c>
      <c r="L178" s="18" t="str">
        <f ca="1">IFERROR(__xludf.DUMMYFUNCTION("""COMPUTED_VALUE"""),"N/A")</f>
        <v>N/A</v>
      </c>
      <c r="M178" s="18" t="str">
        <f ca="1">IFERROR(__xludf.DUMMYFUNCTION("""COMPUTED_VALUE"""),"N/A")</f>
        <v>N/A</v>
      </c>
      <c r="N178" s="18" t="str">
        <f ca="1">IFERROR(__xludf.DUMMYFUNCTION("""COMPUTED_VALUE"""),"N/A")</f>
        <v>N/A</v>
      </c>
      <c r="O178" s="18" t="str">
        <f ca="1">IFERROR(__xludf.DUMMYFUNCTION("""COMPUTED_VALUE"""),"N/A")</f>
        <v>N/A</v>
      </c>
      <c r="P178" s="18" t="str">
        <f ca="1">IFERROR(__xludf.DUMMYFUNCTION("""COMPUTED_VALUE"""),"N/A")</f>
        <v>N/A</v>
      </c>
      <c r="Q178" s="18" t="str">
        <f ca="1">IFERROR(__xludf.DUMMYFUNCTION("""COMPUTED_VALUE"""),"N/A")</f>
        <v>N/A</v>
      </c>
      <c r="R178" s="18" t="str">
        <f ca="1">IFERROR(__xludf.DUMMYFUNCTION("""COMPUTED_VALUE"""),"N/A")</f>
        <v>N/A</v>
      </c>
      <c r="S178" s="18" t="str">
        <f ca="1">IFERROR(__xludf.DUMMYFUNCTION("""COMPUTED_VALUE"""),"N/A")</f>
        <v>N/A</v>
      </c>
      <c r="T178" s="18" t="str">
        <f ca="1">IFERROR(__xludf.DUMMYFUNCTION("""COMPUTED_VALUE"""),"0xF001")</f>
        <v>0xF001</v>
      </c>
      <c r="U178" s="18" t="str">
        <f ca="1">IFERROR(__xludf.DUMMYFUNCTION("""COMPUTED_VALUE"""),"0x0A")</f>
        <v>0x0A</v>
      </c>
      <c r="V178" s="18" t="str">
        <f ca="1">IFERROR(__xludf.DUMMYFUNCTION("""COMPUTED_VALUE"""),"0x0104")</f>
        <v>0x0104</v>
      </c>
      <c r="W178" s="18" t="str">
        <f ca="1">IFERROR(__xludf.DUMMYFUNCTION("""COMPUTED_VALUE"""),"0x0005")</f>
        <v>0x0005</v>
      </c>
      <c r="X178" s="18" t="str">
        <f ca="1">IFERROR(__xludf.DUMMYFUNCTION("""COMPUTED_VALUE"""),"0x10")</f>
        <v>0x10</v>
      </c>
      <c r="Y178" s="18" t="e">
        <f ca="1"/>
        <v>#NAME?</v>
      </c>
      <c r="Z178" s="18" t="str">
        <f ca="1">IFERROR(__xludf.DUMMYFUNCTION("""COMPUTED_VALUE"""),"N/A")</f>
        <v>N/A</v>
      </c>
      <c r="AA178" s="18" t="str">
        <f ca="1">IFERROR(__xludf.DUMMYFUNCTION("""COMPUTED_VALUE"""),"lambdax:bool(x)")</f>
        <v>lambdax:bool(x)</v>
      </c>
      <c r="AC178" s="59" t="s">
        <v>1200</v>
      </c>
      <c r="AD178" s="59" t="s">
        <v>1200</v>
      </c>
      <c r="AE178" s="59" t="s">
        <v>1221</v>
      </c>
      <c r="AF178" s="59" t="s">
        <v>1227</v>
      </c>
      <c r="AG178" s="59" t="s">
        <v>1227</v>
      </c>
      <c r="AH178" s="59" t="s">
        <v>1230</v>
      </c>
      <c r="AI178" s="59" t="s">
        <v>1233</v>
      </c>
      <c r="AJ178" s="59" t="s">
        <v>1233</v>
      </c>
      <c r="AK178" s="59" t="s">
        <v>1233</v>
      </c>
      <c r="AL178" s="59" t="s">
        <v>1233</v>
      </c>
      <c r="AM178" s="59" t="s">
        <v>1233</v>
      </c>
      <c r="AN178" s="59" t="s">
        <v>1239</v>
      </c>
      <c r="AO178" s="59" t="s">
        <v>1239</v>
      </c>
      <c r="AP178" s="59" t="s">
        <v>1240</v>
      </c>
      <c r="AQ178" s="59" t="s">
        <v>1211</v>
      </c>
      <c r="AR178" s="59" t="s">
        <v>1211</v>
      </c>
      <c r="AS178" s="59" t="s">
        <v>1241</v>
      </c>
      <c r="AT178" s="59" t="s">
        <v>1241</v>
      </c>
    </row>
    <row r="179" spans="1:46" x14ac:dyDescent="0.25">
      <c r="A179" s="18" t="str">
        <v>scenes_unocc_delay:{"type":"attribute","data_type":"uint16","is_readonly":false,"reporting_type":"polled","poll_freq":86400,"default_value":480,"zigbee_metadata":{"attr_id":61442,"endpoint_id":10,"profile_id":260,"cluster_id":5,"zcl_data_type":33}},</v>
      </c>
      <c r="B179" s="52" t="str">
        <f ca="1"/>
        <v>0x0005 0xF002</v>
      </c>
      <c r="C179" s="52" t="str">
        <f ca="1">IFERROR(__xludf.DUMMYFUNCTION("""COMPUTED_VALUE"""),"scenes_unocc_delay")</f>
        <v>scenes_unocc_delay</v>
      </c>
      <c r="D179" s="18" t="str">
        <f ca="1">IFERROR(__xludf.DUMMYFUNCTION("""COMPUTED_VALUE"""),"attribute")</f>
        <v>attribute</v>
      </c>
      <c r="E179" s="18" t="str">
        <f ca="1">IFERROR(__xludf.DUMMYFUNCTION("""COMPUTED_VALUE"""),"uint16")</f>
        <v>uint16</v>
      </c>
      <c r="F179" s="18" t="str">
        <f ca="1">IFERROR(__xludf.DUMMYFUNCTION("""COMPUTED_VALUE"""),"false")</f>
        <v>false</v>
      </c>
      <c r="G179" s="18" t="str">
        <f ca="1">IFERROR(__xludf.DUMMYFUNCTION("""COMPUTED_VALUE"""),"polled")</f>
        <v>polled</v>
      </c>
      <c r="H179" s="18" t="str">
        <f ca="1">IFERROR(__xludf.DUMMYFUNCTION("""COMPUTED_VALUE"""),"86400")</f>
        <v>86400</v>
      </c>
      <c r="I179" s="18" t="str">
        <f ca="1">IFERROR(__xludf.DUMMYFUNCTION("""COMPUTED_VALUE"""),"N/A")</f>
        <v>N/A</v>
      </c>
      <c r="J179" s="18" t="str">
        <f ca="1">IFERROR(__xludf.DUMMYFUNCTION("""COMPUTED_VALUE"""),"N/A")</f>
        <v>N/A</v>
      </c>
      <c r="K179" s="18" t="str">
        <f ca="1">IFERROR(__xludf.DUMMYFUNCTION("""COMPUTED_VALUE"""),"N/A")</f>
        <v>N/A</v>
      </c>
      <c r="L179" s="18" t="str">
        <f ca="1">IFERROR(__xludf.DUMMYFUNCTION("""COMPUTED_VALUE"""),"N/A")</f>
        <v>N/A</v>
      </c>
      <c r="M179" s="18" t="str">
        <f ca="1">IFERROR(__xludf.DUMMYFUNCTION("""COMPUTED_VALUE"""),"N/A")</f>
        <v>N/A</v>
      </c>
      <c r="N179" s="18" t="str">
        <f ca="1">IFERROR(__xludf.DUMMYFUNCTION("""COMPUTED_VALUE"""),"N/A")</f>
        <v>N/A</v>
      </c>
      <c r="O179" s="18" t="str">
        <f ca="1">IFERROR(__xludf.DUMMYFUNCTION("""COMPUTED_VALUE"""),"N/A")</f>
        <v>N/A</v>
      </c>
      <c r="P179" s="18" t="str">
        <f ca="1">IFERROR(__xludf.DUMMYFUNCTION("""COMPUTED_VALUE"""),"N/A")</f>
        <v>N/A</v>
      </c>
      <c r="Q179" s="18" t="str">
        <f ca="1">IFERROR(__xludf.DUMMYFUNCTION("""COMPUTED_VALUE"""),"N/A")</f>
        <v>N/A</v>
      </c>
      <c r="R179" s="18" t="str">
        <f ca="1">IFERROR(__xludf.DUMMYFUNCTION("""COMPUTED_VALUE"""),"N/A")</f>
        <v>N/A</v>
      </c>
      <c r="S179" s="18" t="str">
        <f ca="1">IFERROR(__xludf.DUMMYFUNCTION("""COMPUTED_VALUE"""),"480")</f>
        <v>480</v>
      </c>
      <c r="T179" s="18" t="str">
        <f ca="1">IFERROR(__xludf.DUMMYFUNCTION("""COMPUTED_VALUE"""),"0xF002")</f>
        <v>0xF002</v>
      </c>
      <c r="U179" s="18" t="str">
        <f ca="1">IFERROR(__xludf.DUMMYFUNCTION("""COMPUTED_VALUE"""),"0x0A")</f>
        <v>0x0A</v>
      </c>
      <c r="V179" s="18" t="str">
        <f ca="1">IFERROR(__xludf.DUMMYFUNCTION("""COMPUTED_VALUE"""),"0x0104")</f>
        <v>0x0104</v>
      </c>
      <c r="W179" s="18" t="str">
        <f ca="1">IFERROR(__xludf.DUMMYFUNCTION("""COMPUTED_VALUE"""),"0x0005")</f>
        <v>0x0005</v>
      </c>
      <c r="X179" s="18" t="str">
        <f ca="1">IFERROR(__xludf.DUMMYFUNCTION("""COMPUTED_VALUE"""),"0x21")</f>
        <v>0x21</v>
      </c>
      <c r="Y179" s="18" t="e">
        <f ca="1"/>
        <v>#NAME?</v>
      </c>
      <c r="Z179" s="18" t="str">
        <f ca="1">IFERROR(__xludf.DUMMYFUNCTION("""COMPUTED_VALUE"""),"N/A")</f>
        <v>N/A</v>
      </c>
      <c r="AA179" s="18" t="str">
        <f ca="1">IFERROR(__xludf.DUMMYFUNCTION("""COMPUTED_VALUE"""),"N/A")</f>
        <v>N/A</v>
      </c>
      <c r="AC179" s="59" t="s">
        <v>1203</v>
      </c>
      <c r="AD179" s="59" t="s">
        <v>1203</v>
      </c>
      <c r="AE179" s="59" t="s">
        <v>1224</v>
      </c>
      <c r="AF179" s="59" t="s">
        <v>1230</v>
      </c>
      <c r="AG179" s="59" t="s">
        <v>1230</v>
      </c>
      <c r="AH179" s="59" t="s">
        <v>1233</v>
      </c>
      <c r="AI179" s="59" t="s">
        <v>1236</v>
      </c>
      <c r="AJ179" s="59" t="s">
        <v>1236</v>
      </c>
      <c r="AK179" s="59" t="s">
        <v>1236</v>
      </c>
      <c r="AL179" s="59" t="s">
        <v>1236</v>
      </c>
      <c r="AM179" s="59" t="s">
        <v>1236</v>
      </c>
      <c r="AN179" s="59" t="s">
        <v>1242</v>
      </c>
      <c r="AO179" s="59" t="s">
        <v>1242</v>
      </c>
      <c r="AP179" s="59" t="s">
        <v>1243</v>
      </c>
      <c r="AQ179" s="59" t="s">
        <v>1214</v>
      </c>
      <c r="AR179" s="59" t="s">
        <v>1214</v>
      </c>
      <c r="AS179" s="59" t="s">
        <v>1244</v>
      </c>
      <c r="AT179" s="59" t="s">
        <v>1244</v>
      </c>
    </row>
    <row r="180" spans="1:46" x14ac:dyDescent="0.25">
      <c r="A180" s="18" t="str">
        <v>scenes_unocc_aux_delay:{"type":"attribute","data_type":"uint16","is_readonly":false,"reporting_type":"polled","poll_freq":86400,"default_value":1440,"zigbee_metadata":{"attr_id":61443,"endpoint_id":10,"profile_id":260,"cluster_id":5,"zcl_data_type":33}},</v>
      </c>
      <c r="B180" s="52" t="str">
        <f ca="1"/>
        <v>0x0005 0xF003</v>
      </c>
      <c r="C180" s="52" t="str">
        <f ca="1">IFERROR(__xludf.DUMMYFUNCTION("""COMPUTED_VALUE"""),"scenes_unocc_aux_delay")</f>
        <v>scenes_unocc_aux_delay</v>
      </c>
      <c r="D180" s="18" t="str">
        <f ca="1">IFERROR(__xludf.DUMMYFUNCTION("""COMPUTED_VALUE"""),"attribute")</f>
        <v>attribute</v>
      </c>
      <c r="E180" s="18" t="str">
        <f ca="1">IFERROR(__xludf.DUMMYFUNCTION("""COMPUTED_VALUE"""),"uint16")</f>
        <v>uint16</v>
      </c>
      <c r="F180" s="18" t="str">
        <f ca="1">IFERROR(__xludf.DUMMYFUNCTION("""COMPUTED_VALUE"""),"false")</f>
        <v>false</v>
      </c>
      <c r="G180" s="18" t="str">
        <f ca="1">IFERROR(__xludf.DUMMYFUNCTION("""COMPUTED_VALUE"""),"polled")</f>
        <v>polled</v>
      </c>
      <c r="H180" s="18" t="str">
        <f ca="1">IFERROR(__xludf.DUMMYFUNCTION("""COMPUTED_VALUE"""),"86400")</f>
        <v>86400</v>
      </c>
      <c r="I180" s="18" t="str">
        <f ca="1">IFERROR(__xludf.DUMMYFUNCTION("""COMPUTED_VALUE"""),"N/A")</f>
        <v>N/A</v>
      </c>
      <c r="J180" s="18" t="str">
        <f ca="1">IFERROR(__xludf.DUMMYFUNCTION("""COMPUTED_VALUE"""),"N/A")</f>
        <v>N/A</v>
      </c>
      <c r="K180" s="18" t="str">
        <f ca="1">IFERROR(__xludf.DUMMYFUNCTION("""COMPUTED_VALUE"""),"N/A")</f>
        <v>N/A</v>
      </c>
      <c r="L180" s="18" t="str">
        <f ca="1">IFERROR(__xludf.DUMMYFUNCTION("""COMPUTED_VALUE"""),"N/A")</f>
        <v>N/A</v>
      </c>
      <c r="M180" s="18" t="str">
        <f ca="1">IFERROR(__xludf.DUMMYFUNCTION("""COMPUTED_VALUE"""),"N/A")</f>
        <v>N/A</v>
      </c>
      <c r="N180" s="18" t="str">
        <f ca="1">IFERROR(__xludf.DUMMYFUNCTION("""COMPUTED_VALUE"""),"N/A")</f>
        <v>N/A</v>
      </c>
      <c r="O180" s="18" t="str">
        <f ca="1">IFERROR(__xludf.DUMMYFUNCTION("""COMPUTED_VALUE"""),"N/A")</f>
        <v>N/A</v>
      </c>
      <c r="P180" s="18" t="str">
        <f ca="1">IFERROR(__xludf.DUMMYFUNCTION("""COMPUTED_VALUE"""),"N/A")</f>
        <v>N/A</v>
      </c>
      <c r="Q180" s="18" t="str">
        <f ca="1">IFERROR(__xludf.DUMMYFUNCTION("""COMPUTED_VALUE"""),"N/A")</f>
        <v>N/A</v>
      </c>
      <c r="R180" s="18" t="str">
        <f ca="1">IFERROR(__xludf.DUMMYFUNCTION("""COMPUTED_VALUE"""),"N/A")</f>
        <v>N/A</v>
      </c>
      <c r="S180" s="18" t="str">
        <f ca="1">IFERROR(__xludf.DUMMYFUNCTION("""COMPUTED_VALUE"""),"1440")</f>
        <v>1440</v>
      </c>
      <c r="T180" s="18" t="str">
        <f ca="1">IFERROR(__xludf.DUMMYFUNCTION("""COMPUTED_VALUE"""),"0xF003")</f>
        <v>0xF003</v>
      </c>
      <c r="U180" s="18" t="str">
        <f ca="1">IFERROR(__xludf.DUMMYFUNCTION("""COMPUTED_VALUE"""),"0x0A")</f>
        <v>0x0A</v>
      </c>
      <c r="V180" s="18" t="str">
        <f ca="1">IFERROR(__xludf.DUMMYFUNCTION("""COMPUTED_VALUE"""),"0x0104")</f>
        <v>0x0104</v>
      </c>
      <c r="W180" s="18" t="str">
        <f ca="1">IFERROR(__xludf.DUMMYFUNCTION("""COMPUTED_VALUE"""),"0x0005")</f>
        <v>0x0005</v>
      </c>
      <c r="X180" s="18" t="str">
        <f ca="1">IFERROR(__xludf.DUMMYFUNCTION("""COMPUTED_VALUE"""),"0x21")</f>
        <v>0x21</v>
      </c>
      <c r="Y180" s="18" t="e">
        <f ca="1"/>
        <v>#NAME?</v>
      </c>
      <c r="Z180" s="18" t="str">
        <f ca="1">IFERROR(__xludf.DUMMYFUNCTION("""COMPUTED_VALUE"""),"N/A")</f>
        <v>N/A</v>
      </c>
      <c r="AA180" s="18" t="str">
        <f ca="1">IFERROR(__xludf.DUMMYFUNCTION("""COMPUTED_VALUE"""),"N/A")</f>
        <v>N/A</v>
      </c>
      <c r="AC180" s="59" t="s">
        <v>1206</v>
      </c>
      <c r="AD180" s="59" t="s">
        <v>1206</v>
      </c>
      <c r="AE180" s="59" t="s">
        <v>1227</v>
      </c>
      <c r="AF180" s="59" t="s">
        <v>1233</v>
      </c>
      <c r="AG180" s="59" t="s">
        <v>1233</v>
      </c>
      <c r="AH180" s="59" t="s">
        <v>1236</v>
      </c>
      <c r="AI180" s="59" t="s">
        <v>1239</v>
      </c>
      <c r="AJ180" s="59" t="s">
        <v>1239</v>
      </c>
      <c r="AK180" s="59" t="s">
        <v>1239</v>
      </c>
      <c r="AL180" s="59" t="s">
        <v>1239</v>
      </c>
      <c r="AM180" s="59" t="s">
        <v>1239</v>
      </c>
      <c r="AN180" s="59" t="s">
        <v>1245</v>
      </c>
      <c r="AO180" s="59" t="s">
        <v>1245</v>
      </c>
      <c r="AP180" s="59" t="s">
        <v>1246</v>
      </c>
      <c r="AQ180" s="59" t="s">
        <v>1217</v>
      </c>
      <c r="AR180" s="59" t="s">
        <v>1217</v>
      </c>
      <c r="AS180" s="59" t="s">
        <v>1247</v>
      </c>
      <c r="AT180" s="59" t="s">
        <v>1247</v>
      </c>
    </row>
    <row r="181" spans="1:46" x14ac:dyDescent="0.25">
      <c r="A181" s="18" t="str">
        <v>time_to_scenes_unocc:{"type":"attribute","data_type":"uint32","is_readonly":true,"reporting_type":"diagnostic","zigbee_metadata":{"attr_id":61444,"endpoint_id":10,"profile_id":260,"cluster_id":5,"zcl_data_type":35}},</v>
      </c>
      <c r="B181" s="52" t="str">
        <f ca="1"/>
        <v>0x0005 0xF004</v>
      </c>
      <c r="C181" s="52" t="str">
        <f ca="1">IFERROR(__xludf.DUMMYFUNCTION("""COMPUTED_VALUE"""),"time_to_scenes_unocc")</f>
        <v>time_to_scenes_unocc</v>
      </c>
      <c r="D181" s="18" t="str">
        <f ca="1">IFERROR(__xludf.DUMMYFUNCTION("""COMPUTED_VALUE"""),"attribute")</f>
        <v>attribute</v>
      </c>
      <c r="E181" s="18" t="str">
        <f ca="1">IFERROR(__xludf.DUMMYFUNCTION("""COMPUTED_VALUE"""),"uint32")</f>
        <v>uint32</v>
      </c>
      <c r="F181" s="18" t="str">
        <f ca="1">IFERROR(__xludf.DUMMYFUNCTION("""COMPUTED_VALUE"""),"true")</f>
        <v>true</v>
      </c>
      <c r="G181" s="18" t="str">
        <f ca="1">IFERROR(__xludf.DUMMYFUNCTION("""COMPUTED_VALUE"""),"diagnostic")</f>
        <v>diagnostic</v>
      </c>
      <c r="H181" s="18" t="str">
        <f ca="1">IFERROR(__xludf.DUMMYFUNCTION("""COMPUTED_VALUE"""),"N/A")</f>
        <v>N/A</v>
      </c>
      <c r="I181" s="18" t="str">
        <f ca="1">IFERROR(__xludf.DUMMYFUNCTION("""COMPUTED_VALUE"""),"N/A")</f>
        <v>N/A</v>
      </c>
      <c r="J181" s="18" t="str">
        <f ca="1">IFERROR(__xludf.DUMMYFUNCTION("""COMPUTED_VALUE"""),"N/A")</f>
        <v>N/A</v>
      </c>
      <c r="K181" s="18" t="str">
        <f ca="1">IFERROR(__xludf.DUMMYFUNCTION("""COMPUTED_VALUE"""),"N/A")</f>
        <v>N/A</v>
      </c>
      <c r="L181" s="18" t="str">
        <f ca="1">IFERROR(__xludf.DUMMYFUNCTION("""COMPUTED_VALUE"""),"N/A")</f>
        <v>N/A</v>
      </c>
      <c r="M181" s="18" t="str">
        <f ca="1">IFERROR(__xludf.DUMMYFUNCTION("""COMPUTED_VALUE"""),"N/A")</f>
        <v>N/A</v>
      </c>
      <c r="N181" s="18" t="str">
        <f ca="1">IFERROR(__xludf.DUMMYFUNCTION("""COMPUTED_VALUE"""),"N/A")</f>
        <v>N/A</v>
      </c>
      <c r="O181" s="18" t="str">
        <f ca="1">IFERROR(__xludf.DUMMYFUNCTION("""COMPUTED_VALUE"""),"N/A")</f>
        <v>N/A</v>
      </c>
      <c r="P181" s="18" t="str">
        <f ca="1">IFERROR(__xludf.DUMMYFUNCTION("""COMPUTED_VALUE"""),"N/A")</f>
        <v>N/A</v>
      </c>
      <c r="Q181" s="18" t="str">
        <f ca="1">IFERROR(__xludf.DUMMYFUNCTION("""COMPUTED_VALUE"""),"N/A")</f>
        <v>N/A</v>
      </c>
      <c r="R181" s="18" t="str">
        <f ca="1">IFERROR(__xludf.DUMMYFUNCTION("""COMPUTED_VALUE"""),"N/A")</f>
        <v>N/A</v>
      </c>
      <c r="S181" s="18" t="str">
        <f ca="1">IFERROR(__xludf.DUMMYFUNCTION("""COMPUTED_VALUE"""),"N/A")</f>
        <v>N/A</v>
      </c>
      <c r="T181" s="18" t="str">
        <f ca="1">IFERROR(__xludf.DUMMYFUNCTION("""COMPUTED_VALUE"""),"0xF004")</f>
        <v>0xF004</v>
      </c>
      <c r="U181" s="18" t="str">
        <f ca="1">IFERROR(__xludf.DUMMYFUNCTION("""COMPUTED_VALUE"""),"0x0A")</f>
        <v>0x0A</v>
      </c>
      <c r="V181" s="18" t="str">
        <f ca="1">IFERROR(__xludf.DUMMYFUNCTION("""COMPUTED_VALUE"""),"0x0104")</f>
        <v>0x0104</v>
      </c>
      <c r="W181" s="18" t="str">
        <f ca="1">IFERROR(__xludf.DUMMYFUNCTION("""COMPUTED_VALUE"""),"0x0005")</f>
        <v>0x0005</v>
      </c>
      <c r="X181" s="18" t="str">
        <f ca="1">IFERROR(__xludf.DUMMYFUNCTION("""COMPUTED_VALUE"""),"0x23")</f>
        <v>0x23</v>
      </c>
      <c r="Y181" s="18" t="e">
        <f ca="1"/>
        <v>#NAME?</v>
      </c>
      <c r="Z181" s="18" t="str">
        <f ca="1">IFERROR(__xludf.DUMMYFUNCTION("""COMPUTED_VALUE"""),"N/A")</f>
        <v>N/A</v>
      </c>
      <c r="AA181" s="18" t="str">
        <f ca="1">IFERROR(__xludf.DUMMYFUNCTION("""COMPUTED_VALUE"""),"N/A")</f>
        <v>N/A</v>
      </c>
      <c r="AC181" s="59" t="s">
        <v>1209</v>
      </c>
      <c r="AD181" s="59" t="s">
        <v>1209</v>
      </c>
      <c r="AE181" s="59" t="s">
        <v>1230</v>
      </c>
      <c r="AF181" s="59" t="s">
        <v>1236</v>
      </c>
      <c r="AG181" s="59" t="s">
        <v>1236</v>
      </c>
      <c r="AH181" s="59" t="s">
        <v>1239</v>
      </c>
      <c r="AI181" s="59" t="s">
        <v>1242</v>
      </c>
      <c r="AJ181" s="59" t="s">
        <v>1242</v>
      </c>
      <c r="AK181" s="59" t="s">
        <v>1242</v>
      </c>
      <c r="AL181" s="59" t="s">
        <v>1242</v>
      </c>
      <c r="AM181" s="59" t="s">
        <v>1242</v>
      </c>
      <c r="AN181" s="59" t="s">
        <v>1248</v>
      </c>
      <c r="AO181" s="59" t="s">
        <v>1248</v>
      </c>
      <c r="AP181" s="59" t="s">
        <v>1249</v>
      </c>
      <c r="AQ181" s="59" t="s">
        <v>1220</v>
      </c>
      <c r="AR181" s="59" t="s">
        <v>1220</v>
      </c>
      <c r="AS181" s="59" t="s">
        <v>1250</v>
      </c>
      <c r="AT181" s="59" t="s">
        <v>1250</v>
      </c>
    </row>
    <row r="182" spans="1:46" x14ac:dyDescent="0.25">
      <c r="A182" s="18" t="str">
        <v>time_to_scenes_unocc_aux:{"type":"attribute","data_type":"uint32","is_readonly":true,"reporting_type":"diagnostic","zigbee_metadata":{"attr_id":61445,"endpoint_id":10,"profile_id":260,"cluster_id":5,"zcl_data_type":35}},</v>
      </c>
      <c r="B182" s="52" t="str">
        <f ca="1"/>
        <v>0x0005 0xF005</v>
      </c>
      <c r="C182" s="52" t="str">
        <f ca="1">IFERROR(__xludf.DUMMYFUNCTION("""COMPUTED_VALUE"""),"time_to_scenes_unocc_aux")</f>
        <v>time_to_scenes_unocc_aux</v>
      </c>
      <c r="D182" s="18" t="str">
        <f ca="1">IFERROR(__xludf.DUMMYFUNCTION("""COMPUTED_VALUE"""),"attribute")</f>
        <v>attribute</v>
      </c>
      <c r="E182" s="18" t="str">
        <f ca="1">IFERROR(__xludf.DUMMYFUNCTION("""COMPUTED_VALUE"""),"uint32")</f>
        <v>uint32</v>
      </c>
      <c r="F182" s="18" t="str">
        <f ca="1">IFERROR(__xludf.DUMMYFUNCTION("""COMPUTED_VALUE"""),"true")</f>
        <v>true</v>
      </c>
      <c r="G182" s="18" t="str">
        <f ca="1">IFERROR(__xludf.DUMMYFUNCTION("""COMPUTED_VALUE"""),"diagnostic")</f>
        <v>diagnostic</v>
      </c>
      <c r="H182" s="18" t="str">
        <f ca="1">IFERROR(__xludf.DUMMYFUNCTION("""COMPUTED_VALUE"""),"N/A")</f>
        <v>N/A</v>
      </c>
      <c r="I182" s="18" t="str">
        <f ca="1">IFERROR(__xludf.DUMMYFUNCTION("""COMPUTED_VALUE"""),"N/A")</f>
        <v>N/A</v>
      </c>
      <c r="J182" s="18" t="str">
        <f ca="1">IFERROR(__xludf.DUMMYFUNCTION("""COMPUTED_VALUE"""),"N/A")</f>
        <v>N/A</v>
      </c>
      <c r="K182" s="18" t="str">
        <f ca="1">IFERROR(__xludf.DUMMYFUNCTION("""COMPUTED_VALUE"""),"N/A")</f>
        <v>N/A</v>
      </c>
      <c r="L182" s="18" t="str">
        <f ca="1">IFERROR(__xludf.DUMMYFUNCTION("""COMPUTED_VALUE"""),"N/A")</f>
        <v>N/A</v>
      </c>
      <c r="M182" s="18" t="str">
        <f ca="1">IFERROR(__xludf.DUMMYFUNCTION("""COMPUTED_VALUE"""),"N/A")</f>
        <v>N/A</v>
      </c>
      <c r="N182" s="18" t="str">
        <f ca="1">IFERROR(__xludf.DUMMYFUNCTION("""COMPUTED_VALUE"""),"N/A")</f>
        <v>N/A</v>
      </c>
      <c r="O182" s="18" t="str">
        <f ca="1">IFERROR(__xludf.DUMMYFUNCTION("""COMPUTED_VALUE"""),"N/A")</f>
        <v>N/A</v>
      </c>
      <c r="P182" s="18" t="str">
        <f ca="1">IFERROR(__xludf.DUMMYFUNCTION("""COMPUTED_VALUE"""),"N/A")</f>
        <v>N/A</v>
      </c>
      <c r="Q182" s="18" t="str">
        <f ca="1">IFERROR(__xludf.DUMMYFUNCTION("""COMPUTED_VALUE"""),"N/A")</f>
        <v>N/A</v>
      </c>
      <c r="R182" s="18" t="str">
        <f ca="1">IFERROR(__xludf.DUMMYFUNCTION("""COMPUTED_VALUE"""),"N/A")</f>
        <v>N/A</v>
      </c>
      <c r="S182" s="18" t="str">
        <f ca="1">IFERROR(__xludf.DUMMYFUNCTION("""COMPUTED_VALUE"""),"N/A")</f>
        <v>N/A</v>
      </c>
      <c r="T182" s="18" t="str">
        <f ca="1">IFERROR(__xludf.DUMMYFUNCTION("""COMPUTED_VALUE"""),"0xF005")</f>
        <v>0xF005</v>
      </c>
      <c r="U182" s="18" t="str">
        <f ca="1">IFERROR(__xludf.DUMMYFUNCTION("""COMPUTED_VALUE"""),"0x0A")</f>
        <v>0x0A</v>
      </c>
      <c r="V182" s="18" t="str">
        <f ca="1">IFERROR(__xludf.DUMMYFUNCTION("""COMPUTED_VALUE"""),"0x0104")</f>
        <v>0x0104</v>
      </c>
      <c r="W182" s="18" t="str">
        <f ca="1">IFERROR(__xludf.DUMMYFUNCTION("""COMPUTED_VALUE"""),"0x0005")</f>
        <v>0x0005</v>
      </c>
      <c r="X182" s="18" t="str">
        <f ca="1">IFERROR(__xludf.DUMMYFUNCTION("""COMPUTED_VALUE"""),"0x23")</f>
        <v>0x23</v>
      </c>
      <c r="Y182" s="18" t="e">
        <f ca="1"/>
        <v>#NAME?</v>
      </c>
      <c r="Z182" s="18" t="str">
        <f ca="1">IFERROR(__xludf.DUMMYFUNCTION("""COMPUTED_VALUE"""),"N/A")</f>
        <v>N/A</v>
      </c>
      <c r="AA182" s="18" t="str">
        <f ca="1">IFERROR(__xludf.DUMMYFUNCTION("""COMPUTED_VALUE"""),"N/A")</f>
        <v>N/A</v>
      </c>
      <c r="AC182" s="59" t="s">
        <v>1212</v>
      </c>
      <c r="AD182" s="59" t="s">
        <v>1212</v>
      </c>
      <c r="AE182" s="59" t="s">
        <v>1233</v>
      </c>
      <c r="AF182" s="59" t="s">
        <v>1239</v>
      </c>
      <c r="AG182" s="59" t="s">
        <v>1239</v>
      </c>
      <c r="AH182" s="59" t="s">
        <v>1242</v>
      </c>
      <c r="AI182" s="59" t="s">
        <v>1245</v>
      </c>
      <c r="AJ182" s="59" t="s">
        <v>1245</v>
      </c>
      <c r="AK182" s="59" t="s">
        <v>1245</v>
      </c>
      <c r="AL182" s="59" t="s">
        <v>1245</v>
      </c>
      <c r="AM182" s="59" t="s">
        <v>1245</v>
      </c>
      <c r="AN182" s="59" t="s">
        <v>1251</v>
      </c>
      <c r="AO182" s="59" t="s">
        <v>1251</v>
      </c>
      <c r="AP182" s="59" t="s">
        <v>1252</v>
      </c>
      <c r="AQ182" s="59" t="s">
        <v>1223</v>
      </c>
      <c r="AR182" s="59" t="s">
        <v>1223</v>
      </c>
      <c r="AS182" s="59" t="s">
        <v>1253</v>
      </c>
      <c r="AT182" s="59" t="s">
        <v>1253</v>
      </c>
    </row>
    <row r="183" spans="1:46" x14ac:dyDescent="0.25">
      <c r="A183" s="18" t="str">
        <v>hvac_test_mode_timeout:{"type":"attribute","data_type":"uint16","is_readonly":false,"reporting_type":"polled","poll_freq":86400,"default_value":30,"zigbee_metadata":{"attr_id":61515,"endpoint_id":10,"profile_id":260,"cluster_id":513,"zcl_data_type":33}},</v>
      </c>
      <c r="B183" s="52" t="str">
        <f ca="1"/>
        <v>0x0201 0xF04B</v>
      </c>
      <c r="C183" s="52" t="str">
        <f ca="1">IFERROR(__xludf.DUMMYFUNCTION("""COMPUTED_VALUE"""),"hvac_test_mode_timeout")</f>
        <v>hvac_test_mode_timeout</v>
      </c>
      <c r="D183" s="18" t="str">
        <f ca="1">IFERROR(__xludf.DUMMYFUNCTION("""COMPUTED_VALUE"""),"attribute")</f>
        <v>attribute</v>
      </c>
      <c r="E183" s="18" t="str">
        <f ca="1">IFERROR(__xludf.DUMMYFUNCTION("""COMPUTED_VALUE"""),"uint16")</f>
        <v>uint16</v>
      </c>
      <c r="F183" s="18" t="str">
        <f ca="1">IFERROR(__xludf.DUMMYFUNCTION("""COMPUTED_VALUE"""),"false")</f>
        <v>false</v>
      </c>
      <c r="G183" s="18" t="str">
        <f ca="1">IFERROR(__xludf.DUMMYFUNCTION("""COMPUTED_VALUE"""),"polled")</f>
        <v>polled</v>
      </c>
      <c r="H183" s="18" t="str">
        <f ca="1">IFERROR(__xludf.DUMMYFUNCTION("""COMPUTED_VALUE"""),"86400")</f>
        <v>86400</v>
      </c>
      <c r="I183" s="18" t="str">
        <f ca="1">IFERROR(__xludf.DUMMYFUNCTION("""COMPUTED_VALUE"""),"N/A")</f>
        <v>N/A</v>
      </c>
      <c r="J183" s="18" t="str">
        <f ca="1">IFERROR(__xludf.DUMMYFUNCTION("""COMPUTED_VALUE"""),"N/A")</f>
        <v>N/A</v>
      </c>
      <c r="K183" s="18" t="str">
        <f ca="1">IFERROR(__xludf.DUMMYFUNCTION("""COMPUTED_VALUE"""),"N/A")</f>
        <v>N/A</v>
      </c>
      <c r="L183" s="18" t="str">
        <f ca="1">IFERROR(__xludf.DUMMYFUNCTION("""COMPUTED_VALUE"""),"N/A")</f>
        <v>N/A</v>
      </c>
      <c r="M183" s="18" t="str">
        <f ca="1">IFERROR(__xludf.DUMMYFUNCTION("""COMPUTED_VALUE"""),"N/A")</f>
        <v>N/A</v>
      </c>
      <c r="N183" s="18" t="str">
        <f ca="1">IFERROR(__xludf.DUMMYFUNCTION("""COMPUTED_VALUE"""),"N/A")</f>
        <v>N/A</v>
      </c>
      <c r="O183" s="18" t="str">
        <f ca="1">IFERROR(__xludf.DUMMYFUNCTION("""COMPUTED_VALUE"""),"N/A")</f>
        <v>N/A</v>
      </c>
      <c r="P183" s="18" t="str">
        <f ca="1">IFERROR(__xludf.DUMMYFUNCTION("""COMPUTED_VALUE"""),"N/A")</f>
        <v>N/A</v>
      </c>
      <c r="Q183" s="18" t="str">
        <f ca="1">IFERROR(__xludf.DUMMYFUNCTION("""COMPUTED_VALUE"""),"N/A")</f>
        <v>N/A</v>
      </c>
      <c r="R183" s="18" t="str">
        <f ca="1">IFERROR(__xludf.DUMMYFUNCTION("""COMPUTED_VALUE"""),"N/A")</f>
        <v>N/A</v>
      </c>
      <c r="S183" s="18" t="str">
        <f ca="1">IFERROR(__xludf.DUMMYFUNCTION("""COMPUTED_VALUE"""),"30")</f>
        <v>30</v>
      </c>
      <c r="T183" s="18" t="str">
        <f ca="1">IFERROR(__xludf.DUMMYFUNCTION("""COMPUTED_VALUE"""),"0xF04B")</f>
        <v>0xF04B</v>
      </c>
      <c r="U183" s="18" t="str">
        <f ca="1">IFERROR(__xludf.DUMMYFUNCTION("""COMPUTED_VALUE"""),"0x0A")</f>
        <v>0x0A</v>
      </c>
      <c r="V183" s="18" t="str">
        <f ca="1">IFERROR(__xludf.DUMMYFUNCTION("""COMPUTED_VALUE"""),"0x0104")</f>
        <v>0x0104</v>
      </c>
      <c r="W183" s="18" t="str">
        <f ca="1">IFERROR(__xludf.DUMMYFUNCTION("""COMPUTED_VALUE"""),"0x0201")</f>
        <v>0x0201</v>
      </c>
      <c r="X183" s="18" t="str">
        <f ca="1">IFERROR(__xludf.DUMMYFUNCTION("""COMPUTED_VALUE"""),"0x21")</f>
        <v>0x21</v>
      </c>
      <c r="Y183" s="18" t="e">
        <f ca="1"/>
        <v>#NAME?</v>
      </c>
      <c r="Z183" s="18" t="str">
        <f ca="1">IFERROR(__xludf.DUMMYFUNCTION("""COMPUTED_VALUE"""),"N/A")</f>
        <v>N/A</v>
      </c>
      <c r="AA183" s="18" t="str">
        <f ca="1">IFERROR(__xludf.DUMMYFUNCTION("""COMPUTED_VALUE"""),"N/A")</f>
        <v>N/A</v>
      </c>
      <c r="AC183" s="59" t="s">
        <v>1215</v>
      </c>
      <c r="AD183" s="59" t="s">
        <v>1215</v>
      </c>
      <c r="AE183" s="59" t="s">
        <v>1236</v>
      </c>
      <c r="AF183" s="59" t="s">
        <v>1242</v>
      </c>
      <c r="AG183" s="59" t="s">
        <v>1242</v>
      </c>
      <c r="AH183" s="59" t="s">
        <v>1245</v>
      </c>
      <c r="AI183" s="59" t="s">
        <v>1248</v>
      </c>
      <c r="AJ183" s="59" t="s">
        <v>1248</v>
      </c>
      <c r="AK183" s="59" t="s">
        <v>1248</v>
      </c>
      <c r="AL183" s="59" t="s">
        <v>1248</v>
      </c>
      <c r="AM183" s="59" t="s">
        <v>1248</v>
      </c>
      <c r="AN183" s="59" t="s">
        <v>1254</v>
      </c>
      <c r="AO183" s="59" t="s">
        <v>1254</v>
      </c>
      <c r="AP183" s="59" t="s">
        <v>1255</v>
      </c>
      <c r="AQ183" s="59" t="s">
        <v>1226</v>
      </c>
      <c r="AR183" s="59" t="s">
        <v>1226</v>
      </c>
      <c r="AS183" s="59" t="s">
        <v>1256</v>
      </c>
      <c r="AT183" s="59" t="s">
        <v>1256</v>
      </c>
    </row>
    <row r="184" spans="1:46" x14ac:dyDescent="0.25">
      <c r="A184" s="18" t="str">
        <v>hvac_test_mode_enable:{"type":"attribute","data_type":"bool","is_readonly":false,"reporting_type":"diagnostic","zigbee_metadata":{"attr_id":61516,"endpoint_id":10,"profile_id":260,"cluster_id":513,"zcl_data_type":16}},</v>
      </c>
      <c r="B184" s="52" t="str">
        <f ca="1"/>
        <v>0x0201 0xF04C</v>
      </c>
      <c r="C184" s="52" t="str">
        <f ca="1">IFERROR(__xludf.DUMMYFUNCTION("""COMPUTED_VALUE"""),"hvac_test_mode_enable")</f>
        <v>hvac_test_mode_enable</v>
      </c>
      <c r="D184" s="18" t="str">
        <f ca="1">IFERROR(__xludf.DUMMYFUNCTION("""COMPUTED_VALUE"""),"attribute")</f>
        <v>attribute</v>
      </c>
      <c r="E184" s="18" t="str">
        <f ca="1">IFERROR(__xludf.DUMMYFUNCTION("""COMPUTED_VALUE"""),"bool")</f>
        <v>bool</v>
      </c>
      <c r="F184" s="18" t="str">
        <f ca="1">IFERROR(__xludf.DUMMYFUNCTION("""COMPUTED_VALUE"""),"false")</f>
        <v>false</v>
      </c>
      <c r="G184" s="18" t="str">
        <f ca="1">IFERROR(__xludf.DUMMYFUNCTION("""COMPUTED_VALUE"""),"diagnostic")</f>
        <v>diagnostic</v>
      </c>
      <c r="H184" s="18" t="str">
        <f ca="1">IFERROR(__xludf.DUMMYFUNCTION("""COMPUTED_VALUE"""),"N/A")</f>
        <v>N/A</v>
      </c>
      <c r="I184" s="18" t="str">
        <f ca="1">IFERROR(__xludf.DUMMYFUNCTION("""COMPUTED_VALUE"""),"N/A")</f>
        <v>N/A</v>
      </c>
      <c r="J184" s="18" t="str">
        <f ca="1">IFERROR(__xludf.DUMMYFUNCTION("""COMPUTED_VALUE"""),"N/A")</f>
        <v>N/A</v>
      </c>
      <c r="K184" s="18" t="str">
        <f ca="1">IFERROR(__xludf.DUMMYFUNCTION("""COMPUTED_VALUE"""),"N/A")</f>
        <v>N/A</v>
      </c>
      <c r="L184" s="18" t="str">
        <f ca="1">IFERROR(__xludf.DUMMYFUNCTION("""COMPUTED_VALUE"""),"N/A")</f>
        <v>N/A</v>
      </c>
      <c r="M184" s="18" t="str">
        <f ca="1">IFERROR(__xludf.DUMMYFUNCTION("""COMPUTED_VALUE"""),"N/A")</f>
        <v>N/A</v>
      </c>
      <c r="N184" s="18" t="str">
        <f ca="1">IFERROR(__xludf.DUMMYFUNCTION("""COMPUTED_VALUE"""),"N/A")</f>
        <v>N/A</v>
      </c>
      <c r="O184" s="18" t="str">
        <f ca="1">IFERROR(__xludf.DUMMYFUNCTION("""COMPUTED_VALUE"""),"N/A")</f>
        <v>N/A</v>
      </c>
      <c r="P184" s="18" t="str">
        <f ca="1">IFERROR(__xludf.DUMMYFUNCTION("""COMPUTED_VALUE"""),"N/A")</f>
        <v>N/A</v>
      </c>
      <c r="Q184" s="18" t="str">
        <f ca="1">IFERROR(__xludf.DUMMYFUNCTION("""COMPUTED_VALUE"""),"N/A")</f>
        <v>N/A</v>
      </c>
      <c r="R184" s="18" t="str">
        <f ca="1">IFERROR(__xludf.DUMMYFUNCTION("""COMPUTED_VALUE"""),"N/A")</f>
        <v>N/A</v>
      </c>
      <c r="S184" s="18" t="str">
        <f ca="1">IFERROR(__xludf.DUMMYFUNCTION("""COMPUTED_VALUE"""),"N/A")</f>
        <v>N/A</v>
      </c>
      <c r="T184" s="18" t="str">
        <f ca="1">IFERROR(__xludf.DUMMYFUNCTION("""COMPUTED_VALUE"""),"0xF04C")</f>
        <v>0xF04C</v>
      </c>
      <c r="U184" s="18" t="str">
        <f ca="1">IFERROR(__xludf.DUMMYFUNCTION("""COMPUTED_VALUE"""),"0x0A")</f>
        <v>0x0A</v>
      </c>
      <c r="V184" s="18" t="str">
        <f ca="1">IFERROR(__xludf.DUMMYFUNCTION("""COMPUTED_VALUE"""),"0x0104")</f>
        <v>0x0104</v>
      </c>
      <c r="W184" s="18" t="str">
        <f ca="1">IFERROR(__xludf.DUMMYFUNCTION("""COMPUTED_VALUE"""),"0x0201")</f>
        <v>0x0201</v>
      </c>
      <c r="X184" s="18" t="str">
        <f ca="1">IFERROR(__xludf.DUMMYFUNCTION("""COMPUTED_VALUE"""),"0x10")</f>
        <v>0x10</v>
      </c>
      <c r="Y184" s="18" t="e">
        <f ca="1"/>
        <v>#NAME?</v>
      </c>
      <c r="Z184" s="18" t="str">
        <f ca="1">IFERROR(__xludf.DUMMYFUNCTION("""COMPUTED_VALUE"""),"N/A")</f>
        <v>N/A</v>
      </c>
      <c r="AA184" s="18" t="str">
        <f ca="1">IFERROR(__xludf.DUMMYFUNCTION("""COMPUTED_VALUE"""),"N/A")</f>
        <v>N/A</v>
      </c>
      <c r="AC184" s="59" t="s">
        <v>1218</v>
      </c>
      <c r="AD184" s="59" t="s">
        <v>1218</v>
      </c>
      <c r="AE184" s="59" t="s">
        <v>1239</v>
      </c>
      <c r="AF184" s="59" t="s">
        <v>1245</v>
      </c>
      <c r="AG184" s="59" t="s">
        <v>1245</v>
      </c>
      <c r="AH184" s="59" t="s">
        <v>1248</v>
      </c>
      <c r="AI184" s="59" t="s">
        <v>1251</v>
      </c>
      <c r="AJ184" s="59" t="s">
        <v>1251</v>
      </c>
      <c r="AK184" s="59" t="s">
        <v>1251</v>
      </c>
      <c r="AL184" s="59" t="s">
        <v>1251</v>
      </c>
      <c r="AM184" s="59" t="s">
        <v>1251</v>
      </c>
      <c r="AN184" s="59" t="s">
        <v>1257</v>
      </c>
      <c r="AO184" s="59" t="s">
        <v>1257</v>
      </c>
      <c r="AP184" s="59" t="s">
        <v>1258</v>
      </c>
      <c r="AQ184" s="59" t="s">
        <v>1229</v>
      </c>
      <c r="AR184" s="59" t="s">
        <v>1229</v>
      </c>
      <c r="AS184" s="59" t="s">
        <v>1259</v>
      </c>
      <c r="AT184" s="59" t="s">
        <v>1259</v>
      </c>
    </row>
    <row r="185" spans="1:46" x14ac:dyDescent="0.25">
      <c r="A185" s="18" t="str">
        <v>hvac_test_mode_time_remaining:{"type":"attribute","data_type":"uint16","is_readonly":true,"reporting_type":"diagnostic","zigbee_metadata":{"attr_id":61517,"endpoint_id":10,"profile_id":260,"cluster_id":513,"zcl_data_type":33}},</v>
      </c>
      <c r="B185" s="52" t="str">
        <f ca="1"/>
        <v>0x0201 0xF04D</v>
      </c>
      <c r="C185" s="52" t="str">
        <f ca="1">IFERROR(__xludf.DUMMYFUNCTION("""COMPUTED_VALUE"""),"hvac_test_mode_time_remaining")</f>
        <v>hvac_test_mode_time_remaining</v>
      </c>
      <c r="D185" s="18" t="str">
        <f ca="1">IFERROR(__xludf.DUMMYFUNCTION("""COMPUTED_VALUE"""),"attribute")</f>
        <v>attribute</v>
      </c>
      <c r="E185" s="18" t="str">
        <f ca="1">IFERROR(__xludf.DUMMYFUNCTION("""COMPUTED_VALUE"""),"uint16")</f>
        <v>uint16</v>
      </c>
      <c r="F185" s="18" t="str">
        <f ca="1">IFERROR(__xludf.DUMMYFUNCTION("""COMPUTED_VALUE"""),"true")</f>
        <v>true</v>
      </c>
      <c r="G185" s="18" t="str">
        <f ca="1">IFERROR(__xludf.DUMMYFUNCTION("""COMPUTED_VALUE"""),"diagnostic")</f>
        <v>diagnostic</v>
      </c>
      <c r="H185" s="18" t="str">
        <f ca="1">IFERROR(__xludf.DUMMYFUNCTION("""COMPUTED_VALUE"""),"N/A")</f>
        <v>N/A</v>
      </c>
      <c r="I185" s="18" t="str">
        <f ca="1">IFERROR(__xludf.DUMMYFUNCTION("""COMPUTED_VALUE"""),"N/A")</f>
        <v>N/A</v>
      </c>
      <c r="J185" s="18" t="str">
        <f ca="1">IFERROR(__xludf.DUMMYFUNCTION("""COMPUTED_VALUE"""),"N/A")</f>
        <v>N/A</v>
      </c>
      <c r="K185" s="18" t="str">
        <f ca="1">IFERROR(__xludf.DUMMYFUNCTION("""COMPUTED_VALUE"""),"N/A")</f>
        <v>N/A</v>
      </c>
      <c r="L185" s="18" t="str">
        <f ca="1">IFERROR(__xludf.DUMMYFUNCTION("""COMPUTED_VALUE"""),"N/A")</f>
        <v>N/A</v>
      </c>
      <c r="M185" s="18" t="str">
        <f ca="1">IFERROR(__xludf.DUMMYFUNCTION("""COMPUTED_VALUE"""),"N/A")</f>
        <v>N/A</v>
      </c>
      <c r="N185" s="18" t="str">
        <f ca="1">IFERROR(__xludf.DUMMYFUNCTION("""COMPUTED_VALUE"""),"N/A")</f>
        <v>N/A</v>
      </c>
      <c r="O185" s="18" t="str">
        <f ca="1">IFERROR(__xludf.DUMMYFUNCTION("""COMPUTED_VALUE"""),"N/A")</f>
        <v>N/A</v>
      </c>
      <c r="P185" s="18" t="str">
        <f ca="1">IFERROR(__xludf.DUMMYFUNCTION("""COMPUTED_VALUE"""),"N/A")</f>
        <v>N/A</v>
      </c>
      <c r="Q185" s="18" t="str">
        <f ca="1">IFERROR(__xludf.DUMMYFUNCTION("""COMPUTED_VALUE"""),"N/A")</f>
        <v>N/A</v>
      </c>
      <c r="R185" s="18" t="str">
        <f ca="1">IFERROR(__xludf.DUMMYFUNCTION("""COMPUTED_VALUE"""),"N/A")</f>
        <v>N/A</v>
      </c>
      <c r="S185" s="18" t="str">
        <f ca="1">IFERROR(__xludf.DUMMYFUNCTION("""COMPUTED_VALUE"""),"N/A")</f>
        <v>N/A</v>
      </c>
      <c r="T185" s="18" t="str">
        <f ca="1">IFERROR(__xludf.DUMMYFUNCTION("""COMPUTED_VALUE"""),"0xF04D")</f>
        <v>0xF04D</v>
      </c>
      <c r="U185" s="18" t="str">
        <f ca="1">IFERROR(__xludf.DUMMYFUNCTION("""COMPUTED_VALUE"""),"0x0A")</f>
        <v>0x0A</v>
      </c>
      <c r="V185" s="18" t="str">
        <f ca="1">IFERROR(__xludf.DUMMYFUNCTION("""COMPUTED_VALUE"""),"0x0104")</f>
        <v>0x0104</v>
      </c>
      <c r="W185" s="18" t="str">
        <f ca="1">IFERROR(__xludf.DUMMYFUNCTION("""COMPUTED_VALUE"""),"0x0201")</f>
        <v>0x0201</v>
      </c>
      <c r="X185" s="18" t="str">
        <f ca="1">IFERROR(__xludf.DUMMYFUNCTION("""COMPUTED_VALUE"""),"0x21")</f>
        <v>0x21</v>
      </c>
      <c r="Y185" s="18" t="e">
        <f ca="1"/>
        <v>#NAME?</v>
      </c>
      <c r="Z185" s="18" t="str">
        <f ca="1">IFERROR(__xludf.DUMMYFUNCTION("""COMPUTED_VALUE"""),"N/A")</f>
        <v>N/A</v>
      </c>
      <c r="AA185" s="18" t="str">
        <f ca="1">IFERROR(__xludf.DUMMYFUNCTION("""COMPUTED_VALUE"""),"N/A")</f>
        <v>N/A</v>
      </c>
      <c r="AC185" s="59" t="s">
        <v>1221</v>
      </c>
      <c r="AD185" s="59" t="s">
        <v>1221</v>
      </c>
      <c r="AE185" s="59" t="s">
        <v>1242</v>
      </c>
      <c r="AF185" s="59" t="s">
        <v>1248</v>
      </c>
      <c r="AG185" s="59" t="s">
        <v>1248</v>
      </c>
      <c r="AH185" s="59" t="s">
        <v>1251</v>
      </c>
      <c r="AI185" s="59" t="s">
        <v>1254</v>
      </c>
      <c r="AJ185" s="59" t="s">
        <v>1254</v>
      </c>
      <c r="AK185" s="59" t="s">
        <v>1254</v>
      </c>
      <c r="AL185" s="59" t="s">
        <v>1254</v>
      </c>
      <c r="AM185" s="59" t="s">
        <v>1254</v>
      </c>
      <c r="AN185" s="59" t="s">
        <v>1260</v>
      </c>
      <c r="AO185" s="59" t="s">
        <v>1260</v>
      </c>
      <c r="AP185" s="59" t="s">
        <v>1261</v>
      </c>
      <c r="AQ185" s="59" t="s">
        <v>1232</v>
      </c>
      <c r="AR185" s="59" t="s">
        <v>1232</v>
      </c>
      <c r="AS185" s="59" t="s">
        <v>1262</v>
      </c>
      <c r="AT185" s="59" t="s">
        <v>1262</v>
      </c>
    </row>
    <row r="186" spans="1:46" x14ac:dyDescent="0.25">
      <c r="A186" s="18" t="str">
        <v>lanai_contacts:{"type":"attribute","data_type":"uint8","is_readonly":true,"reporting_type":"diagnostic","zigbee_metadata":{"attr_id":61623,"endpoint_id":10,"profile_id":260,"cluster_id":513,"zcl_data_type":24}},</v>
      </c>
      <c r="B186" s="52" t="str">
        <f ca="1"/>
        <v>0x0201 0xF0B7</v>
      </c>
      <c r="C186" s="52" t="str">
        <f ca="1">IFERROR(__xludf.DUMMYFUNCTION("""COMPUTED_VALUE"""),"lanai_contacts")</f>
        <v>lanai_contacts</v>
      </c>
      <c r="D186" s="18" t="str">
        <f ca="1">IFERROR(__xludf.DUMMYFUNCTION("""COMPUTED_VALUE"""),"attribute")</f>
        <v>attribute</v>
      </c>
      <c r="E186" s="18" t="str">
        <f ca="1">IFERROR(__xludf.DUMMYFUNCTION("""COMPUTED_VALUE"""),"uint8")</f>
        <v>uint8</v>
      </c>
      <c r="F186" s="18" t="str">
        <f ca="1">IFERROR(__xludf.DUMMYFUNCTION("""COMPUTED_VALUE"""),"true")</f>
        <v>true</v>
      </c>
      <c r="G186" s="18" t="str">
        <f ca="1">IFERROR(__xludf.DUMMYFUNCTION("""COMPUTED_VALUE"""),"diagnostic")</f>
        <v>diagnostic</v>
      </c>
      <c r="H186" s="18" t="str">
        <f ca="1">IFERROR(__xludf.DUMMYFUNCTION("""COMPUTED_VALUE"""),"N/A")</f>
        <v>N/A</v>
      </c>
      <c r="I186" s="18" t="str">
        <f ca="1">IFERROR(__xludf.DUMMYFUNCTION("""COMPUTED_VALUE"""),"N/A")</f>
        <v>N/A</v>
      </c>
      <c r="J186" s="18" t="str">
        <f ca="1">IFERROR(__xludf.DUMMYFUNCTION("""COMPUTED_VALUE"""),"N/A")</f>
        <v>N/A</v>
      </c>
      <c r="K186" s="18" t="str">
        <f ca="1">IFERROR(__xludf.DUMMYFUNCTION("""COMPUTED_VALUE"""),"N/A")</f>
        <v>N/A</v>
      </c>
      <c r="L186" s="18" t="str">
        <f ca="1">IFERROR(__xludf.DUMMYFUNCTION("""COMPUTED_VALUE"""),"N/A")</f>
        <v>N/A</v>
      </c>
      <c r="M186" s="18" t="str">
        <f ca="1">IFERROR(__xludf.DUMMYFUNCTION("""COMPUTED_VALUE"""),"N/A")</f>
        <v>N/A</v>
      </c>
      <c r="N186" s="18" t="str">
        <f ca="1">IFERROR(__xludf.DUMMYFUNCTION("""COMPUTED_VALUE"""),"N/A")</f>
        <v>N/A</v>
      </c>
      <c r="O186" s="18" t="str">
        <f ca="1">IFERROR(__xludf.DUMMYFUNCTION("""COMPUTED_VALUE"""),"N/A")</f>
        <v>N/A</v>
      </c>
      <c r="P186" s="18" t="str">
        <f ca="1">IFERROR(__xludf.DUMMYFUNCTION("""COMPUTED_VALUE"""),"N/A")</f>
        <v>N/A</v>
      </c>
      <c r="Q186" s="18" t="str">
        <f ca="1">IFERROR(__xludf.DUMMYFUNCTION("""COMPUTED_VALUE"""),"N/A")</f>
        <v>N/A</v>
      </c>
      <c r="R186" s="18" t="str">
        <f ca="1">IFERROR(__xludf.DUMMYFUNCTION("""COMPUTED_VALUE"""),"N/A")</f>
        <v>N/A</v>
      </c>
      <c r="S186" s="18" t="str">
        <f ca="1">IFERROR(__xludf.DUMMYFUNCTION("""COMPUTED_VALUE"""),"N/A")</f>
        <v>N/A</v>
      </c>
      <c r="T186" s="18" t="str">
        <f ca="1">IFERROR(__xludf.DUMMYFUNCTION("""COMPUTED_VALUE"""),"0xF0B7")</f>
        <v>0xF0B7</v>
      </c>
      <c r="U186" s="18" t="str">
        <f ca="1">IFERROR(__xludf.DUMMYFUNCTION("""COMPUTED_VALUE"""),"0x0A")</f>
        <v>0x0A</v>
      </c>
      <c r="V186" s="18" t="str">
        <f ca="1">IFERROR(__xludf.DUMMYFUNCTION("""COMPUTED_VALUE"""),"0x0104")</f>
        <v>0x0104</v>
      </c>
      <c r="W186" s="18" t="str">
        <f ca="1">IFERROR(__xludf.DUMMYFUNCTION("""COMPUTED_VALUE"""),"0x0201")</f>
        <v>0x0201</v>
      </c>
      <c r="X186" s="18" t="str">
        <f ca="1">IFERROR(__xludf.DUMMYFUNCTION("""COMPUTED_VALUE"""),"0x18")</f>
        <v>0x18</v>
      </c>
      <c r="Y186" s="18" t="e">
        <f ca="1"/>
        <v>#NAME?</v>
      </c>
      <c r="Z186" s="18" t="str">
        <f ca="1">IFERROR(__xludf.DUMMYFUNCTION("""COMPUTED_VALUE"""),"N/A")</f>
        <v>N/A</v>
      </c>
      <c r="AA186" s="18" t="str">
        <f ca="1">IFERROR(__xludf.DUMMYFUNCTION("""COMPUTED_VALUE"""),"N/A")</f>
        <v>N/A</v>
      </c>
      <c r="AC186" s="59" t="s">
        <v>1224</v>
      </c>
      <c r="AD186" s="59" t="s">
        <v>1224</v>
      </c>
      <c r="AE186" s="59" t="s">
        <v>1245</v>
      </c>
      <c r="AF186" s="59" t="s">
        <v>1251</v>
      </c>
      <c r="AG186" s="59" t="s">
        <v>1251</v>
      </c>
      <c r="AH186" s="59" t="s">
        <v>1254</v>
      </c>
      <c r="AI186" s="59" t="s">
        <v>1257</v>
      </c>
      <c r="AJ186" s="59" t="s">
        <v>1257</v>
      </c>
      <c r="AK186" s="59" t="s">
        <v>1257</v>
      </c>
      <c r="AL186" s="59" t="s">
        <v>1257</v>
      </c>
      <c r="AM186" s="59" t="s">
        <v>1257</v>
      </c>
      <c r="AN186" s="59" t="s">
        <v>1263</v>
      </c>
      <c r="AO186" s="59" t="s">
        <v>1263</v>
      </c>
      <c r="AP186" s="59" t="s">
        <v>1264</v>
      </c>
      <c r="AQ186" s="59" t="s">
        <v>1235</v>
      </c>
      <c r="AR186" s="59" t="s">
        <v>1235</v>
      </c>
      <c r="AS186" s="59" t="s">
        <v>1265</v>
      </c>
      <c r="AT186" s="59" t="s">
        <v>1265</v>
      </c>
    </row>
    <row r="187" spans="1:46" x14ac:dyDescent="0.25">
      <c r="A187" s="18" t="str">
        <v>entry_contacts:{"type":"attribute","data_type":"uint8","is_readonly":true,"reporting_type":"diagnostic","zigbee_metadata":{"attr_id":61624,"endpoint_id":10,"profile_id":260,"cluster_id":513,"zcl_data_type":24}},</v>
      </c>
      <c r="B187" s="52" t="str">
        <f ca="1"/>
        <v>0x0201 0xF0B8</v>
      </c>
      <c r="C187" s="52" t="str">
        <f ca="1">IFERROR(__xludf.DUMMYFUNCTION("""COMPUTED_VALUE"""),"entry_contacts")</f>
        <v>entry_contacts</v>
      </c>
      <c r="D187" s="18" t="str">
        <f ca="1">IFERROR(__xludf.DUMMYFUNCTION("""COMPUTED_VALUE"""),"attribute")</f>
        <v>attribute</v>
      </c>
      <c r="E187" s="18" t="str">
        <f ca="1">IFERROR(__xludf.DUMMYFUNCTION("""COMPUTED_VALUE"""),"uint8")</f>
        <v>uint8</v>
      </c>
      <c r="F187" s="18" t="str">
        <f ca="1">IFERROR(__xludf.DUMMYFUNCTION("""COMPUTED_VALUE"""),"true")</f>
        <v>true</v>
      </c>
      <c r="G187" s="18" t="str">
        <f ca="1">IFERROR(__xludf.DUMMYFUNCTION("""COMPUTED_VALUE"""),"diagnostic")</f>
        <v>diagnostic</v>
      </c>
      <c r="H187" s="18" t="str">
        <f ca="1">IFERROR(__xludf.DUMMYFUNCTION("""COMPUTED_VALUE"""),"N/A")</f>
        <v>N/A</v>
      </c>
      <c r="I187" s="18" t="str">
        <f ca="1">IFERROR(__xludf.DUMMYFUNCTION("""COMPUTED_VALUE"""),"N/A")</f>
        <v>N/A</v>
      </c>
      <c r="J187" s="18" t="str">
        <f ca="1">IFERROR(__xludf.DUMMYFUNCTION("""COMPUTED_VALUE"""),"N/A")</f>
        <v>N/A</v>
      </c>
      <c r="K187" s="18" t="str">
        <f ca="1">IFERROR(__xludf.DUMMYFUNCTION("""COMPUTED_VALUE"""),"N/A")</f>
        <v>N/A</v>
      </c>
      <c r="L187" s="18" t="str">
        <f ca="1">IFERROR(__xludf.DUMMYFUNCTION("""COMPUTED_VALUE"""),"N/A")</f>
        <v>N/A</v>
      </c>
      <c r="M187" s="18" t="str">
        <f ca="1">IFERROR(__xludf.DUMMYFUNCTION("""COMPUTED_VALUE"""),"N/A")</f>
        <v>N/A</v>
      </c>
      <c r="N187" s="18" t="str">
        <f ca="1">IFERROR(__xludf.DUMMYFUNCTION("""COMPUTED_VALUE"""),"N/A")</f>
        <v>N/A</v>
      </c>
      <c r="O187" s="18" t="str">
        <f ca="1">IFERROR(__xludf.DUMMYFUNCTION("""COMPUTED_VALUE"""),"N/A")</f>
        <v>N/A</v>
      </c>
      <c r="P187" s="18" t="str">
        <f ca="1">IFERROR(__xludf.DUMMYFUNCTION("""COMPUTED_VALUE"""),"N/A")</f>
        <v>N/A</v>
      </c>
      <c r="Q187" s="18" t="str">
        <f ca="1">IFERROR(__xludf.DUMMYFUNCTION("""COMPUTED_VALUE"""),"N/A")</f>
        <v>N/A</v>
      </c>
      <c r="R187" s="18" t="str">
        <f ca="1">IFERROR(__xludf.DUMMYFUNCTION("""COMPUTED_VALUE"""),"N/A")</f>
        <v>N/A</v>
      </c>
      <c r="S187" s="18" t="str">
        <f ca="1">IFERROR(__xludf.DUMMYFUNCTION("""COMPUTED_VALUE"""),"N/A")</f>
        <v>N/A</v>
      </c>
      <c r="T187" s="18" t="str">
        <f ca="1">IFERROR(__xludf.DUMMYFUNCTION("""COMPUTED_VALUE"""),"0xF0B8")</f>
        <v>0xF0B8</v>
      </c>
      <c r="U187" s="18" t="str">
        <f ca="1">IFERROR(__xludf.DUMMYFUNCTION("""COMPUTED_VALUE"""),"0x0A")</f>
        <v>0x0A</v>
      </c>
      <c r="V187" s="18" t="str">
        <f ca="1">IFERROR(__xludf.DUMMYFUNCTION("""COMPUTED_VALUE"""),"0x0104")</f>
        <v>0x0104</v>
      </c>
      <c r="W187" s="18" t="str">
        <f ca="1">IFERROR(__xludf.DUMMYFUNCTION("""COMPUTED_VALUE"""),"0x0201")</f>
        <v>0x0201</v>
      </c>
      <c r="X187" s="18" t="str">
        <f ca="1">IFERROR(__xludf.DUMMYFUNCTION("""COMPUTED_VALUE"""),"0x18")</f>
        <v>0x18</v>
      </c>
      <c r="Y187" s="18" t="e">
        <f ca="1"/>
        <v>#NAME?</v>
      </c>
      <c r="Z187" s="18" t="str">
        <f ca="1">IFERROR(__xludf.DUMMYFUNCTION("""COMPUTED_VALUE"""),"N/A")</f>
        <v>N/A</v>
      </c>
      <c r="AA187" s="18" t="str">
        <f ca="1">IFERROR(__xludf.DUMMYFUNCTION("""COMPUTED_VALUE"""),"N/A")</f>
        <v>N/A</v>
      </c>
      <c r="AC187" s="59" t="s">
        <v>1227</v>
      </c>
      <c r="AD187" s="59" t="s">
        <v>1227</v>
      </c>
      <c r="AE187" s="59" t="s">
        <v>1248</v>
      </c>
      <c r="AF187" s="59" t="s">
        <v>1254</v>
      </c>
      <c r="AG187" s="59" t="s">
        <v>1254</v>
      </c>
      <c r="AH187" s="59" t="s">
        <v>1257</v>
      </c>
      <c r="AI187" s="59" t="s">
        <v>1260</v>
      </c>
      <c r="AJ187" s="59" t="s">
        <v>1260</v>
      </c>
      <c r="AK187" s="59" t="s">
        <v>1260</v>
      </c>
      <c r="AL187" s="59" t="s">
        <v>1260</v>
      </c>
      <c r="AM187" s="59" t="s">
        <v>1260</v>
      </c>
      <c r="AN187" s="59" t="s">
        <v>1266</v>
      </c>
      <c r="AO187" s="59" t="s">
        <v>1266</v>
      </c>
      <c r="AP187" s="59" t="s">
        <v>1267</v>
      </c>
      <c r="AQ187" s="59" t="s">
        <v>1238</v>
      </c>
      <c r="AR187" s="59" t="s">
        <v>1238</v>
      </c>
      <c r="AS187" s="59" t="s">
        <v>1268</v>
      </c>
      <c r="AT187" s="59" t="s">
        <v>1269</v>
      </c>
    </row>
    <row r="188" spans="1:46" x14ac:dyDescent="0.25">
      <c r="A188" s="18" t="str">
        <v>entry_online:{"type":"attribute","data_type":"uint8","is_readonly":true,"reporting_type":"reported","report_max":3600,"report_min":0,"zigbee_metadata":{"attr_id":61625,"endpoint_id":10,"profile_id":260,"cluster_id":513,"zcl_data_type":24}},</v>
      </c>
      <c r="B188" s="52" t="str">
        <f ca="1"/>
        <v>0x0201 0xF0B9</v>
      </c>
      <c r="C188" s="52" t="str">
        <f ca="1">IFERROR(__xludf.DUMMYFUNCTION("""COMPUTED_VALUE"""),"entry_online")</f>
        <v>entry_online</v>
      </c>
      <c r="D188" s="18" t="str">
        <f ca="1">IFERROR(__xludf.DUMMYFUNCTION("""COMPUTED_VALUE"""),"attribute")</f>
        <v>attribute</v>
      </c>
      <c r="E188" s="18" t="str">
        <f ca="1">IFERROR(__xludf.DUMMYFUNCTION("""COMPUTED_VALUE"""),"uint8")</f>
        <v>uint8</v>
      </c>
      <c r="F188" s="18" t="str">
        <f ca="1">IFERROR(__xludf.DUMMYFUNCTION("""COMPUTED_VALUE"""),"true")</f>
        <v>true</v>
      </c>
      <c r="G188" s="18" t="str">
        <f ca="1">IFERROR(__xludf.DUMMYFUNCTION("""COMPUTED_VALUE"""),"reported")</f>
        <v>reported</v>
      </c>
      <c r="H188" s="18" t="str">
        <f ca="1">IFERROR(__xludf.DUMMYFUNCTION("""COMPUTED_VALUE"""),"N/A")</f>
        <v>N/A</v>
      </c>
      <c r="I188" s="18" t="str">
        <f ca="1">IFERROR(__xludf.DUMMYFUNCTION("""COMPUTED_VALUE"""),"3600")</f>
        <v>3600</v>
      </c>
      <c r="J188" s="18" t="str">
        <f ca="1">IFERROR(__xludf.DUMMYFUNCTION("""COMPUTED_VALUE"""),"0")</f>
        <v>0</v>
      </c>
      <c r="K188" s="18" t="str">
        <f ca="1">IFERROR(__xludf.DUMMYFUNCTION("""COMPUTED_VALUE"""),"N/A")</f>
        <v>N/A</v>
      </c>
      <c r="L188" s="18" t="str">
        <f ca="1">IFERROR(__xludf.DUMMYFUNCTION("""COMPUTED_VALUE"""),"N/A")</f>
        <v>N/A</v>
      </c>
      <c r="M188" s="18" t="str">
        <f ca="1">IFERROR(__xludf.DUMMYFUNCTION("""COMPUTED_VALUE"""),"N/A")</f>
        <v>N/A</v>
      </c>
      <c r="N188" s="18" t="str">
        <f ca="1">IFERROR(__xludf.DUMMYFUNCTION("""COMPUTED_VALUE"""),"N/A")</f>
        <v>N/A</v>
      </c>
      <c r="O188" s="18" t="str">
        <f ca="1">IFERROR(__xludf.DUMMYFUNCTION("""COMPUTED_VALUE"""),"N/A")</f>
        <v>N/A</v>
      </c>
      <c r="P188" s="18" t="str">
        <f ca="1">IFERROR(__xludf.DUMMYFUNCTION("""COMPUTED_VALUE"""),"N/A")</f>
        <v>N/A</v>
      </c>
      <c r="Q188" s="18" t="str">
        <f ca="1">IFERROR(__xludf.DUMMYFUNCTION("""COMPUTED_VALUE"""),"N/A")</f>
        <v>N/A</v>
      </c>
      <c r="R188" s="18" t="str">
        <f ca="1">IFERROR(__xludf.DUMMYFUNCTION("""COMPUTED_VALUE"""),"N/A")</f>
        <v>N/A</v>
      </c>
      <c r="S188" s="18" t="str">
        <f ca="1">IFERROR(__xludf.DUMMYFUNCTION("""COMPUTED_VALUE"""),"N/A")</f>
        <v>N/A</v>
      </c>
      <c r="T188" s="18" t="str">
        <f ca="1">IFERROR(__xludf.DUMMYFUNCTION("""COMPUTED_VALUE"""),"0xF0B9")</f>
        <v>0xF0B9</v>
      </c>
      <c r="U188" s="18" t="str">
        <f ca="1">IFERROR(__xludf.DUMMYFUNCTION("""COMPUTED_VALUE"""),"0x0A")</f>
        <v>0x0A</v>
      </c>
      <c r="V188" s="18" t="str">
        <f ca="1">IFERROR(__xludf.DUMMYFUNCTION("""COMPUTED_VALUE"""),"0x0104")</f>
        <v>0x0104</v>
      </c>
      <c r="W188" s="18" t="str">
        <f ca="1">IFERROR(__xludf.DUMMYFUNCTION("""COMPUTED_VALUE"""),"0x0201")</f>
        <v>0x0201</v>
      </c>
      <c r="X188" s="18" t="str">
        <f ca="1">IFERROR(__xludf.DUMMYFUNCTION("""COMPUTED_VALUE"""),"0x18")</f>
        <v>0x18</v>
      </c>
      <c r="Y188" s="18" t="e">
        <f ca="1"/>
        <v>#NAME?</v>
      </c>
      <c r="Z188" s="18" t="str">
        <f ca="1">IFERROR(__xludf.DUMMYFUNCTION("""COMPUTED_VALUE"""),"N/A")</f>
        <v>N/A</v>
      </c>
      <c r="AA188" s="18" t="str">
        <f ca="1">IFERROR(__xludf.DUMMYFUNCTION("""COMPUTED_VALUE"""),"N/A")</f>
        <v>N/A</v>
      </c>
      <c r="AC188" s="59" t="s">
        <v>1230</v>
      </c>
      <c r="AD188" s="59" t="s">
        <v>1230</v>
      </c>
      <c r="AE188" s="59" t="s">
        <v>1251</v>
      </c>
      <c r="AF188" s="59" t="s">
        <v>1257</v>
      </c>
      <c r="AG188" s="59" t="s">
        <v>1257</v>
      </c>
      <c r="AH188" s="59" t="s">
        <v>1260</v>
      </c>
      <c r="AI188" s="59" t="s">
        <v>1263</v>
      </c>
      <c r="AJ188" s="59" t="s">
        <v>1263</v>
      </c>
      <c r="AK188" s="59" t="s">
        <v>1263</v>
      </c>
      <c r="AL188" s="59" t="s">
        <v>1263</v>
      </c>
      <c r="AM188" s="59" t="s">
        <v>1263</v>
      </c>
      <c r="AN188" s="59" t="s">
        <v>1270</v>
      </c>
      <c r="AO188" s="59" t="s">
        <v>1270</v>
      </c>
      <c r="AP188" s="59" t="s">
        <v>1271</v>
      </c>
      <c r="AQ188" s="59" t="s">
        <v>1241</v>
      </c>
      <c r="AR188" s="59" t="s">
        <v>1241</v>
      </c>
      <c r="AS188" s="59" t="s">
        <v>1269</v>
      </c>
      <c r="AT188" s="59" t="s">
        <v>1272</v>
      </c>
    </row>
    <row r="189" spans="1:46" x14ac:dyDescent="0.25">
      <c r="A189" s="18" t="str">
        <v>entry_open:{"type":"telemetry","data_type":"uint8","is_readonly":true,"reporting_type":"reported","report_max":3600,"report_min":0,"zigbee_metadata":{"attr_id":61626,"endpoint_id":10,"profile_id":260,"cluster_id":513,"zcl_data_type":24}},</v>
      </c>
      <c r="B189" s="52" t="str">
        <f ca="1"/>
        <v>0x0201 0xF0BA</v>
      </c>
      <c r="C189" s="52" t="str">
        <f ca="1">IFERROR(__xludf.DUMMYFUNCTION("""COMPUTED_VALUE"""),"entry_open")</f>
        <v>entry_open</v>
      </c>
      <c r="D189" s="18" t="str">
        <f ca="1">IFERROR(__xludf.DUMMYFUNCTION("""COMPUTED_VALUE"""),"telemetry")</f>
        <v>telemetry</v>
      </c>
      <c r="E189" s="18" t="str">
        <f ca="1">IFERROR(__xludf.DUMMYFUNCTION("""COMPUTED_VALUE"""),"uint8")</f>
        <v>uint8</v>
      </c>
      <c r="F189" s="18" t="str">
        <f ca="1">IFERROR(__xludf.DUMMYFUNCTION("""COMPUTED_VALUE"""),"true")</f>
        <v>true</v>
      </c>
      <c r="G189" s="18" t="str">
        <f ca="1">IFERROR(__xludf.DUMMYFUNCTION("""COMPUTED_VALUE"""),"reported")</f>
        <v>reported</v>
      </c>
      <c r="H189" s="18" t="str">
        <f ca="1">IFERROR(__xludf.DUMMYFUNCTION("""COMPUTED_VALUE"""),"N/A")</f>
        <v>N/A</v>
      </c>
      <c r="I189" s="18" t="str">
        <f ca="1">IFERROR(__xludf.DUMMYFUNCTION("""COMPUTED_VALUE"""),"3600")</f>
        <v>3600</v>
      </c>
      <c r="J189" s="18" t="str">
        <f ca="1">IFERROR(__xludf.DUMMYFUNCTION("""COMPUTED_VALUE"""),"0")</f>
        <v>0</v>
      </c>
      <c r="K189" s="18" t="str">
        <f ca="1">IFERROR(__xludf.DUMMYFUNCTION("""COMPUTED_VALUE"""),"N/A")</f>
        <v>N/A</v>
      </c>
      <c r="L189" s="18" t="str">
        <f ca="1">IFERROR(__xludf.DUMMYFUNCTION("""COMPUTED_VALUE"""),"N/A")</f>
        <v>N/A</v>
      </c>
      <c r="M189" s="18" t="str">
        <f ca="1">IFERROR(__xludf.DUMMYFUNCTION("""COMPUTED_VALUE"""),"N/A")</f>
        <v>N/A</v>
      </c>
      <c r="N189" s="18" t="str">
        <f ca="1">IFERROR(__xludf.DUMMYFUNCTION("""COMPUTED_VALUE"""),"N/A")</f>
        <v>N/A</v>
      </c>
      <c r="O189" s="18" t="str">
        <f ca="1">IFERROR(__xludf.DUMMYFUNCTION("""COMPUTED_VALUE"""),"N/A")</f>
        <v>N/A</v>
      </c>
      <c r="P189" s="18" t="str">
        <f ca="1">IFERROR(__xludf.DUMMYFUNCTION("""COMPUTED_VALUE"""),"N/A")</f>
        <v>N/A</v>
      </c>
      <c r="Q189" s="18" t="str">
        <f ca="1">IFERROR(__xludf.DUMMYFUNCTION("""COMPUTED_VALUE"""),"N/A")</f>
        <v>N/A</v>
      </c>
      <c r="R189" s="18" t="str">
        <f ca="1">IFERROR(__xludf.DUMMYFUNCTION("""COMPUTED_VALUE"""),"N/A")</f>
        <v>N/A</v>
      </c>
      <c r="S189" s="18" t="str">
        <f ca="1">IFERROR(__xludf.DUMMYFUNCTION("""COMPUTED_VALUE"""),"N/A")</f>
        <v>N/A</v>
      </c>
      <c r="T189" s="18" t="str">
        <f ca="1">IFERROR(__xludf.DUMMYFUNCTION("""COMPUTED_VALUE"""),"0xF0BA")</f>
        <v>0xF0BA</v>
      </c>
      <c r="U189" s="18" t="str">
        <f ca="1">IFERROR(__xludf.DUMMYFUNCTION("""COMPUTED_VALUE"""),"0x0A")</f>
        <v>0x0A</v>
      </c>
      <c r="V189" s="18" t="str">
        <f ca="1">IFERROR(__xludf.DUMMYFUNCTION("""COMPUTED_VALUE"""),"0x0104")</f>
        <v>0x0104</v>
      </c>
      <c r="W189" s="18" t="str">
        <f ca="1">IFERROR(__xludf.DUMMYFUNCTION("""COMPUTED_VALUE"""),"0x0201")</f>
        <v>0x0201</v>
      </c>
      <c r="X189" s="18" t="str">
        <f ca="1">IFERROR(__xludf.DUMMYFUNCTION("""COMPUTED_VALUE"""),"0x18")</f>
        <v>0x18</v>
      </c>
      <c r="Y189" s="18" t="e">
        <f ca="1"/>
        <v>#NAME?</v>
      </c>
      <c r="Z189" s="18" t="str">
        <f ca="1">IFERROR(__xludf.DUMMYFUNCTION("""COMPUTED_VALUE"""),"N/A")</f>
        <v>N/A</v>
      </c>
      <c r="AA189" s="18" t="str">
        <f ca="1">IFERROR(__xludf.DUMMYFUNCTION("""COMPUTED_VALUE"""),"N/A")</f>
        <v>N/A</v>
      </c>
      <c r="AC189" s="59" t="s">
        <v>1233</v>
      </c>
      <c r="AD189" s="59" t="s">
        <v>1233</v>
      </c>
      <c r="AE189" s="59" t="s">
        <v>1254</v>
      </c>
      <c r="AF189" s="59" t="s">
        <v>1260</v>
      </c>
      <c r="AG189" s="59" t="s">
        <v>1260</v>
      </c>
      <c r="AH189" s="59" t="s">
        <v>1263</v>
      </c>
      <c r="AI189" s="59" t="s">
        <v>1266</v>
      </c>
      <c r="AJ189" s="59" t="s">
        <v>1266</v>
      </c>
      <c r="AK189" s="59" t="s">
        <v>1266</v>
      </c>
      <c r="AL189" s="59" t="s">
        <v>1266</v>
      </c>
      <c r="AM189" s="59" t="s">
        <v>1266</v>
      </c>
      <c r="AN189" s="59" t="s">
        <v>1273</v>
      </c>
      <c r="AO189" s="59" t="s">
        <v>1273</v>
      </c>
      <c r="AP189" s="59" t="s">
        <v>1274</v>
      </c>
      <c r="AQ189" s="59" t="s">
        <v>1244</v>
      </c>
      <c r="AR189" s="59" t="s">
        <v>1244</v>
      </c>
      <c r="AS189" s="59" t="s">
        <v>1272</v>
      </c>
      <c r="AT189" s="59" t="s">
        <v>1275</v>
      </c>
    </row>
    <row r="190" spans="1:46" x14ac:dyDescent="0.25">
      <c r="A190" s="18" t="str">
        <v>entry_open_time:{"type":"attribute","data_type":"uint16","is_readonly":true,"reporting_type":"diagnostic","zigbee_metadata":{"attr_id":61627,"endpoint_id":10,"profile_id":260,"cluster_id":513,"zcl_data_type":33}},</v>
      </c>
      <c r="B190" s="52" t="str">
        <f ca="1"/>
        <v>0x0201 0xF0BB</v>
      </c>
      <c r="C190" s="52" t="str">
        <f ca="1">IFERROR(__xludf.DUMMYFUNCTION("""COMPUTED_VALUE"""),"entry_open_time")</f>
        <v>entry_open_time</v>
      </c>
      <c r="D190" s="18" t="str">
        <f ca="1">IFERROR(__xludf.DUMMYFUNCTION("""COMPUTED_VALUE"""),"attribute")</f>
        <v>attribute</v>
      </c>
      <c r="E190" s="18" t="str">
        <f ca="1">IFERROR(__xludf.DUMMYFUNCTION("""COMPUTED_VALUE"""),"uint16")</f>
        <v>uint16</v>
      </c>
      <c r="F190" s="18" t="str">
        <f ca="1">IFERROR(__xludf.DUMMYFUNCTION("""COMPUTED_VALUE"""),"true")</f>
        <v>true</v>
      </c>
      <c r="G190" s="18" t="str">
        <f ca="1">IFERROR(__xludf.DUMMYFUNCTION("""COMPUTED_VALUE"""),"diagnostic")</f>
        <v>diagnostic</v>
      </c>
      <c r="H190" s="18" t="str">
        <f ca="1">IFERROR(__xludf.DUMMYFUNCTION("""COMPUTED_VALUE"""),"N/A")</f>
        <v>N/A</v>
      </c>
      <c r="I190" s="18" t="str">
        <f ca="1">IFERROR(__xludf.DUMMYFUNCTION("""COMPUTED_VALUE"""),"N/A")</f>
        <v>N/A</v>
      </c>
      <c r="J190" s="18" t="str">
        <f ca="1">IFERROR(__xludf.DUMMYFUNCTION("""COMPUTED_VALUE"""),"N/A")</f>
        <v>N/A</v>
      </c>
      <c r="K190" s="18" t="str">
        <f ca="1">IFERROR(__xludf.DUMMYFUNCTION("""COMPUTED_VALUE"""),"N/A")</f>
        <v>N/A</v>
      </c>
      <c r="L190" s="18" t="str">
        <f ca="1">IFERROR(__xludf.DUMMYFUNCTION("""COMPUTED_VALUE"""),"N/A")</f>
        <v>N/A</v>
      </c>
      <c r="M190" s="18" t="str">
        <f ca="1">IFERROR(__xludf.DUMMYFUNCTION("""COMPUTED_VALUE"""),"N/A")</f>
        <v>N/A</v>
      </c>
      <c r="N190" s="18" t="str">
        <f ca="1">IFERROR(__xludf.DUMMYFUNCTION("""COMPUTED_VALUE"""),"N/A")</f>
        <v>N/A</v>
      </c>
      <c r="O190" s="18" t="str">
        <f ca="1">IFERROR(__xludf.DUMMYFUNCTION("""COMPUTED_VALUE"""),"N/A")</f>
        <v>N/A</v>
      </c>
      <c r="P190" s="18" t="str">
        <f ca="1">IFERROR(__xludf.DUMMYFUNCTION("""COMPUTED_VALUE"""),"N/A")</f>
        <v>N/A</v>
      </c>
      <c r="Q190" s="18" t="str">
        <f ca="1">IFERROR(__xludf.DUMMYFUNCTION("""COMPUTED_VALUE"""),"N/A")</f>
        <v>N/A</v>
      </c>
      <c r="R190" s="18" t="str">
        <f ca="1">IFERROR(__xludf.DUMMYFUNCTION("""COMPUTED_VALUE"""),"N/A")</f>
        <v>N/A</v>
      </c>
      <c r="S190" s="18" t="str">
        <f ca="1">IFERROR(__xludf.DUMMYFUNCTION("""COMPUTED_VALUE"""),"N/A")</f>
        <v>N/A</v>
      </c>
      <c r="T190" s="18" t="str">
        <f ca="1">IFERROR(__xludf.DUMMYFUNCTION("""COMPUTED_VALUE"""),"0xF0BB")</f>
        <v>0xF0BB</v>
      </c>
      <c r="U190" s="18" t="str">
        <f ca="1">IFERROR(__xludf.DUMMYFUNCTION("""COMPUTED_VALUE"""),"0x0A")</f>
        <v>0x0A</v>
      </c>
      <c r="V190" s="18" t="str">
        <f ca="1">IFERROR(__xludf.DUMMYFUNCTION("""COMPUTED_VALUE"""),"0x0104")</f>
        <v>0x0104</v>
      </c>
      <c r="W190" s="18" t="str">
        <f ca="1">IFERROR(__xludf.DUMMYFUNCTION("""COMPUTED_VALUE"""),"0x0201")</f>
        <v>0x0201</v>
      </c>
      <c r="X190" s="18" t="str">
        <f ca="1">IFERROR(__xludf.DUMMYFUNCTION("""COMPUTED_VALUE"""),"0x21")</f>
        <v>0x21</v>
      </c>
      <c r="Y190" s="18" t="e">
        <f ca="1"/>
        <v>#NAME?</v>
      </c>
      <c r="Z190" s="18" t="str">
        <f ca="1">IFERROR(__xludf.DUMMYFUNCTION("""COMPUTED_VALUE"""),"N/A")</f>
        <v>N/A</v>
      </c>
      <c r="AA190" s="18" t="str">
        <f ca="1">IFERROR(__xludf.DUMMYFUNCTION("""COMPUTED_VALUE"""),"N/A")</f>
        <v>N/A</v>
      </c>
      <c r="AC190" s="59" t="s">
        <v>1236</v>
      </c>
      <c r="AD190" s="59" t="s">
        <v>1236</v>
      </c>
      <c r="AE190" s="59" t="s">
        <v>1257</v>
      </c>
      <c r="AF190" s="59" t="s">
        <v>1263</v>
      </c>
      <c r="AG190" s="59" t="s">
        <v>1263</v>
      </c>
      <c r="AH190" s="59" t="s">
        <v>1266</v>
      </c>
      <c r="AI190" s="59" t="s">
        <v>1270</v>
      </c>
      <c r="AJ190" s="59" t="s">
        <v>1270</v>
      </c>
      <c r="AK190" s="59" t="s">
        <v>1270</v>
      </c>
      <c r="AL190" s="59" t="s">
        <v>1270</v>
      </c>
      <c r="AM190" s="59" t="s">
        <v>1270</v>
      </c>
      <c r="AN190" s="59" t="s">
        <v>1276</v>
      </c>
      <c r="AO190" s="59" t="s">
        <v>1276</v>
      </c>
      <c r="AP190" s="59" t="s">
        <v>1233</v>
      </c>
      <c r="AQ190" s="59" t="s">
        <v>1247</v>
      </c>
      <c r="AR190" s="59" t="s">
        <v>1247</v>
      </c>
      <c r="AS190" s="59" t="s">
        <v>1275</v>
      </c>
      <c r="AT190" s="59" t="s">
        <v>1277</v>
      </c>
    </row>
    <row r="191" spans="1:46" x14ac:dyDescent="0.25">
      <c r="A191" s="18" t="str">
        <v>entry_unchanged_timeout:{"type":"attribute","data_type":"uint8","is_readonly":false,"reporting_type":"polled","poll_freq":86400,"default_value":16,"zigbee_metadata":{"attr_id":61628,"endpoint_id":10,"profile_id":260,"cluster_id":513,"zcl_data_type":32}},</v>
      </c>
      <c r="B191" s="52" t="str">
        <f ca="1"/>
        <v>0x0201 0xF0BC</v>
      </c>
      <c r="C191" s="52" t="str">
        <f ca="1">IFERROR(__xludf.DUMMYFUNCTION("""COMPUTED_VALUE"""),"entry_unchanged_timeout")</f>
        <v>entry_unchanged_timeout</v>
      </c>
      <c r="D191" s="18" t="str">
        <f ca="1">IFERROR(__xludf.DUMMYFUNCTION("""COMPUTED_VALUE"""),"attribute")</f>
        <v>attribute</v>
      </c>
      <c r="E191" s="18" t="str">
        <f ca="1">IFERROR(__xludf.DUMMYFUNCTION("""COMPUTED_VALUE"""),"uint8")</f>
        <v>uint8</v>
      </c>
      <c r="F191" s="18" t="str">
        <f ca="1">IFERROR(__xludf.DUMMYFUNCTION("""COMPUTED_VALUE"""),"false")</f>
        <v>false</v>
      </c>
      <c r="G191" s="18" t="str">
        <f ca="1">IFERROR(__xludf.DUMMYFUNCTION("""COMPUTED_VALUE"""),"polled")</f>
        <v>polled</v>
      </c>
      <c r="H191" s="18" t="str">
        <f ca="1">IFERROR(__xludf.DUMMYFUNCTION("""COMPUTED_VALUE"""),"86400")</f>
        <v>86400</v>
      </c>
      <c r="I191" s="18" t="str">
        <f ca="1">IFERROR(__xludf.DUMMYFUNCTION("""COMPUTED_VALUE"""),"N/A")</f>
        <v>N/A</v>
      </c>
      <c r="J191" s="18" t="str">
        <f ca="1">IFERROR(__xludf.DUMMYFUNCTION("""COMPUTED_VALUE"""),"N/A")</f>
        <v>N/A</v>
      </c>
      <c r="K191" s="18" t="str">
        <f ca="1">IFERROR(__xludf.DUMMYFUNCTION("""COMPUTED_VALUE"""),"N/A")</f>
        <v>N/A</v>
      </c>
      <c r="L191" s="18" t="str">
        <f ca="1">IFERROR(__xludf.DUMMYFUNCTION("""COMPUTED_VALUE"""),"N/A")</f>
        <v>N/A</v>
      </c>
      <c r="M191" s="18" t="str">
        <f ca="1">IFERROR(__xludf.DUMMYFUNCTION("""COMPUTED_VALUE"""),"N/A")</f>
        <v>N/A</v>
      </c>
      <c r="N191" s="18" t="str">
        <f ca="1">IFERROR(__xludf.DUMMYFUNCTION("""COMPUTED_VALUE"""),"N/A")</f>
        <v>N/A</v>
      </c>
      <c r="O191" s="18" t="str">
        <f ca="1">IFERROR(__xludf.DUMMYFUNCTION("""COMPUTED_VALUE"""),"N/A")</f>
        <v>N/A</v>
      </c>
      <c r="P191" s="18" t="str">
        <f ca="1">IFERROR(__xludf.DUMMYFUNCTION("""COMPUTED_VALUE"""),"N/A")</f>
        <v>N/A</v>
      </c>
      <c r="Q191" s="18" t="str">
        <f ca="1">IFERROR(__xludf.DUMMYFUNCTION("""COMPUTED_VALUE"""),"N/A")</f>
        <v>N/A</v>
      </c>
      <c r="R191" s="18" t="str">
        <f ca="1">IFERROR(__xludf.DUMMYFUNCTION("""COMPUTED_VALUE"""),"N/A")</f>
        <v>N/A</v>
      </c>
      <c r="S191" s="18" t="str">
        <f ca="1">IFERROR(__xludf.DUMMYFUNCTION("""COMPUTED_VALUE"""),"16")</f>
        <v>16</v>
      </c>
      <c r="T191" s="18" t="str">
        <f ca="1">IFERROR(__xludf.DUMMYFUNCTION("""COMPUTED_VALUE"""),"0xF0BC")</f>
        <v>0xF0BC</v>
      </c>
      <c r="U191" s="18" t="str">
        <f ca="1">IFERROR(__xludf.DUMMYFUNCTION("""COMPUTED_VALUE"""),"0x0A")</f>
        <v>0x0A</v>
      </c>
      <c r="V191" s="18" t="str">
        <f ca="1">IFERROR(__xludf.DUMMYFUNCTION("""COMPUTED_VALUE"""),"0x0104")</f>
        <v>0x0104</v>
      </c>
      <c r="W191" s="18" t="str">
        <f ca="1">IFERROR(__xludf.DUMMYFUNCTION("""COMPUTED_VALUE"""),"0x0201")</f>
        <v>0x0201</v>
      </c>
      <c r="X191" s="18" t="str">
        <f ca="1">IFERROR(__xludf.DUMMYFUNCTION("""COMPUTED_VALUE"""),"0x20")</f>
        <v>0x20</v>
      </c>
      <c r="Y191" s="18" t="e">
        <f ca="1"/>
        <v>#NAME?</v>
      </c>
      <c r="Z191" s="18" t="str">
        <f ca="1">IFERROR(__xludf.DUMMYFUNCTION("""COMPUTED_VALUE"""),"N/A")</f>
        <v>N/A</v>
      </c>
      <c r="AA191" s="18" t="str">
        <f ca="1">IFERROR(__xludf.DUMMYFUNCTION("""COMPUTED_VALUE"""),"N/A")</f>
        <v>N/A</v>
      </c>
      <c r="AC191" s="59" t="s">
        <v>1239</v>
      </c>
      <c r="AD191" s="59" t="s">
        <v>1239</v>
      </c>
      <c r="AE191" s="59" t="s">
        <v>1260</v>
      </c>
      <c r="AF191" s="59" t="s">
        <v>1266</v>
      </c>
      <c r="AG191" s="59" t="s">
        <v>1266</v>
      </c>
      <c r="AH191" s="59" t="s">
        <v>1270</v>
      </c>
      <c r="AI191" s="59" t="s">
        <v>1273</v>
      </c>
      <c r="AJ191" s="59" t="s">
        <v>1273</v>
      </c>
      <c r="AK191" s="59" t="s">
        <v>1273</v>
      </c>
      <c r="AL191" s="59" t="s">
        <v>1273</v>
      </c>
      <c r="AM191" s="59" t="s">
        <v>1273</v>
      </c>
      <c r="AN191" s="59" t="s">
        <v>1278</v>
      </c>
      <c r="AO191" s="59" t="s">
        <v>1278</v>
      </c>
      <c r="AP191" s="59" t="s">
        <v>1279</v>
      </c>
      <c r="AQ191" s="59" t="s">
        <v>1250</v>
      </c>
      <c r="AR191" s="59" t="s">
        <v>1250</v>
      </c>
      <c r="AS191" s="59" t="s">
        <v>1277</v>
      </c>
      <c r="AT191" s="59" t="s">
        <v>1280</v>
      </c>
    </row>
    <row r="192" spans="1:46" x14ac:dyDescent="0.25">
      <c r="A192" s="18" t="str">
        <v>entry_door_not_changing:{"type":"attribute","data_type":"uint8","is_readonly":true,"reporting_type":"reported","report_max":3600,"report_min":0,"zigbee_metadata":{"attr_id":61629,"endpoint_id":10,"profile_id":260,"cluster_id":513,"zcl_data_type":24}},</v>
      </c>
      <c r="B192" s="52" t="str">
        <f ca="1"/>
        <v>0x0201 0xF0BD</v>
      </c>
      <c r="C192" s="52" t="str">
        <f ca="1">IFERROR(__xludf.DUMMYFUNCTION("""COMPUTED_VALUE"""),"entry_door_not_changing")</f>
        <v>entry_door_not_changing</v>
      </c>
      <c r="D192" s="18" t="str">
        <f ca="1">IFERROR(__xludf.DUMMYFUNCTION("""COMPUTED_VALUE"""),"attribute")</f>
        <v>attribute</v>
      </c>
      <c r="E192" s="18" t="str">
        <f ca="1">IFERROR(__xludf.DUMMYFUNCTION("""COMPUTED_VALUE"""),"uint8")</f>
        <v>uint8</v>
      </c>
      <c r="F192" s="18" t="str">
        <f ca="1">IFERROR(__xludf.DUMMYFUNCTION("""COMPUTED_VALUE"""),"true")</f>
        <v>true</v>
      </c>
      <c r="G192" s="18" t="str">
        <f ca="1">IFERROR(__xludf.DUMMYFUNCTION("""COMPUTED_VALUE"""),"reported")</f>
        <v>reported</v>
      </c>
      <c r="H192" s="18" t="str">
        <f ca="1">IFERROR(__xludf.DUMMYFUNCTION("""COMPUTED_VALUE"""),"N/A")</f>
        <v>N/A</v>
      </c>
      <c r="I192" s="18" t="str">
        <f ca="1">IFERROR(__xludf.DUMMYFUNCTION("""COMPUTED_VALUE"""),"3600")</f>
        <v>3600</v>
      </c>
      <c r="J192" s="18" t="str">
        <f ca="1">IFERROR(__xludf.DUMMYFUNCTION("""COMPUTED_VALUE"""),"0")</f>
        <v>0</v>
      </c>
      <c r="K192" s="18" t="str">
        <f ca="1">IFERROR(__xludf.DUMMYFUNCTION("""COMPUTED_VALUE"""),"N/A")</f>
        <v>N/A</v>
      </c>
      <c r="L192" s="18" t="str">
        <f ca="1">IFERROR(__xludf.DUMMYFUNCTION("""COMPUTED_VALUE"""),"N/A")</f>
        <v>N/A</v>
      </c>
      <c r="M192" s="18" t="str">
        <f ca="1">IFERROR(__xludf.DUMMYFUNCTION("""COMPUTED_VALUE"""),"N/A")</f>
        <v>N/A</v>
      </c>
      <c r="N192" s="18" t="str">
        <f ca="1">IFERROR(__xludf.DUMMYFUNCTION("""COMPUTED_VALUE"""),"N/A")</f>
        <v>N/A</v>
      </c>
      <c r="O192" s="18" t="str">
        <f ca="1">IFERROR(__xludf.DUMMYFUNCTION("""COMPUTED_VALUE"""),"N/A")</f>
        <v>N/A</v>
      </c>
      <c r="P192" s="18" t="str">
        <f ca="1">IFERROR(__xludf.DUMMYFUNCTION("""COMPUTED_VALUE"""),"N/A")</f>
        <v>N/A</v>
      </c>
      <c r="Q192" s="18" t="str">
        <f ca="1">IFERROR(__xludf.DUMMYFUNCTION("""COMPUTED_VALUE"""),"N/A")</f>
        <v>N/A</v>
      </c>
      <c r="R192" s="18" t="str">
        <f ca="1">IFERROR(__xludf.DUMMYFUNCTION("""COMPUTED_VALUE"""),"N/A")</f>
        <v>N/A</v>
      </c>
      <c r="S192" s="18" t="str">
        <f ca="1">IFERROR(__xludf.DUMMYFUNCTION("""COMPUTED_VALUE"""),"N/A")</f>
        <v>N/A</v>
      </c>
      <c r="T192" s="18" t="str">
        <f ca="1">IFERROR(__xludf.DUMMYFUNCTION("""COMPUTED_VALUE"""),"0xF0BD")</f>
        <v>0xF0BD</v>
      </c>
      <c r="U192" s="18" t="str">
        <f ca="1">IFERROR(__xludf.DUMMYFUNCTION("""COMPUTED_VALUE"""),"0x0A")</f>
        <v>0x0A</v>
      </c>
      <c r="V192" s="18" t="str">
        <f ca="1">IFERROR(__xludf.DUMMYFUNCTION("""COMPUTED_VALUE"""),"0x0104")</f>
        <v>0x0104</v>
      </c>
      <c r="W192" s="18" t="str">
        <f ca="1">IFERROR(__xludf.DUMMYFUNCTION("""COMPUTED_VALUE"""),"0x0201")</f>
        <v>0x0201</v>
      </c>
      <c r="X192" s="18" t="str">
        <f ca="1">IFERROR(__xludf.DUMMYFUNCTION("""COMPUTED_VALUE"""),"0x18")</f>
        <v>0x18</v>
      </c>
      <c r="Y192" s="18" t="e">
        <f ca="1"/>
        <v>#NAME?</v>
      </c>
      <c r="Z192" s="18" t="str">
        <f ca="1">IFERROR(__xludf.DUMMYFUNCTION("""COMPUTED_VALUE"""),"N/A")</f>
        <v>N/A</v>
      </c>
      <c r="AA192" s="18" t="str">
        <f ca="1">IFERROR(__xludf.DUMMYFUNCTION("""COMPUTED_VALUE"""),"N/A")</f>
        <v>N/A</v>
      </c>
      <c r="AC192" s="59" t="s">
        <v>1242</v>
      </c>
      <c r="AD192" s="59" t="s">
        <v>1242</v>
      </c>
      <c r="AE192" s="59" t="s">
        <v>1263</v>
      </c>
      <c r="AF192" s="59" t="s">
        <v>1270</v>
      </c>
      <c r="AG192" s="59" t="s">
        <v>1270</v>
      </c>
      <c r="AH192" s="59" t="s">
        <v>1273</v>
      </c>
      <c r="AI192" s="59" t="s">
        <v>1276</v>
      </c>
      <c r="AJ192" s="59" t="s">
        <v>1276</v>
      </c>
      <c r="AK192" s="59" t="s">
        <v>1276</v>
      </c>
      <c r="AL192" s="59" t="s">
        <v>1276</v>
      </c>
      <c r="AM192" s="59" t="s">
        <v>1276</v>
      </c>
      <c r="AN192" s="59" t="s">
        <v>1281</v>
      </c>
      <c r="AO192" s="59" t="s">
        <v>1281</v>
      </c>
      <c r="AP192" s="59" t="s">
        <v>1282</v>
      </c>
      <c r="AQ192" s="59" t="s">
        <v>1253</v>
      </c>
      <c r="AR192" s="59" t="s">
        <v>1253</v>
      </c>
      <c r="AS192" s="59" t="s">
        <v>1280</v>
      </c>
      <c r="AT192" s="59" t="s">
        <v>1283</v>
      </c>
    </row>
    <row r="193" spans="1:46" x14ac:dyDescent="0.25">
      <c r="A193" s="18" t="str">
        <v>door_occ_lock_enabled:{"type":"attribute","data_type":"uint8","is_readonly":false,"reporting_type":"polled","poll_freq":86400,"default_value":0,"zigbee_metadata":{"attr_id":61648,"endpoint_id":10,"profile_id":260,"cluster_id":513,"zcl_data_type":24}},</v>
      </c>
      <c r="B193" s="52" t="str">
        <f ca="1"/>
        <v>0x0201 0xF0D0</v>
      </c>
      <c r="C193" s="52" t="str">
        <f ca="1">IFERROR(__xludf.DUMMYFUNCTION("""COMPUTED_VALUE"""),"door_occ_lock_enabled")</f>
        <v>door_occ_lock_enabled</v>
      </c>
      <c r="D193" s="18" t="str">
        <f ca="1">IFERROR(__xludf.DUMMYFUNCTION("""COMPUTED_VALUE"""),"attribute")</f>
        <v>attribute</v>
      </c>
      <c r="E193" s="18" t="str">
        <f ca="1">IFERROR(__xludf.DUMMYFUNCTION("""COMPUTED_VALUE"""),"uint8")</f>
        <v>uint8</v>
      </c>
      <c r="F193" s="18" t="str">
        <f ca="1">IFERROR(__xludf.DUMMYFUNCTION("""COMPUTED_VALUE"""),"false")</f>
        <v>false</v>
      </c>
      <c r="G193" s="18" t="str">
        <f ca="1">IFERROR(__xludf.DUMMYFUNCTION("""COMPUTED_VALUE"""),"polled")</f>
        <v>polled</v>
      </c>
      <c r="H193" s="18" t="str">
        <f ca="1">IFERROR(__xludf.DUMMYFUNCTION("""COMPUTED_VALUE"""),"86400")</f>
        <v>86400</v>
      </c>
      <c r="I193" s="18" t="str">
        <f ca="1">IFERROR(__xludf.DUMMYFUNCTION("""COMPUTED_VALUE"""),"N/A")</f>
        <v>N/A</v>
      </c>
      <c r="J193" s="18" t="str">
        <f ca="1">IFERROR(__xludf.DUMMYFUNCTION("""COMPUTED_VALUE"""),"N/A")</f>
        <v>N/A</v>
      </c>
      <c r="K193" s="18" t="str">
        <f ca="1">IFERROR(__xludf.DUMMYFUNCTION("""COMPUTED_VALUE"""),"N/A")</f>
        <v>N/A</v>
      </c>
      <c r="L193" s="18" t="str">
        <f ca="1">IFERROR(__xludf.DUMMYFUNCTION("""COMPUTED_VALUE"""),"N/A")</f>
        <v>N/A</v>
      </c>
      <c r="M193" s="18" t="str">
        <f ca="1">IFERROR(__xludf.DUMMYFUNCTION("""COMPUTED_VALUE"""),"N/A")</f>
        <v>N/A</v>
      </c>
      <c r="N193" s="18" t="str">
        <f ca="1">IFERROR(__xludf.DUMMYFUNCTION("""COMPUTED_VALUE"""),"N/A")</f>
        <v>N/A</v>
      </c>
      <c r="O193" s="18" t="str">
        <f ca="1">IFERROR(__xludf.DUMMYFUNCTION("""COMPUTED_VALUE"""),"N/A")</f>
        <v>N/A</v>
      </c>
      <c r="P193" s="18" t="str">
        <f ca="1">IFERROR(__xludf.DUMMYFUNCTION("""COMPUTED_VALUE"""),"N/A")</f>
        <v>N/A</v>
      </c>
      <c r="Q193" s="18" t="str">
        <f ca="1">IFERROR(__xludf.DUMMYFUNCTION("""COMPUTED_VALUE"""),"N/A")</f>
        <v>N/A</v>
      </c>
      <c r="R193" s="18" t="str">
        <f ca="1">IFERROR(__xludf.DUMMYFUNCTION("""COMPUTED_VALUE"""),"N/A")</f>
        <v>N/A</v>
      </c>
      <c r="S193" s="18" t="str">
        <f ca="1">IFERROR(__xludf.DUMMYFUNCTION("""COMPUTED_VALUE"""),"0")</f>
        <v>0</v>
      </c>
      <c r="T193" s="18" t="str">
        <f ca="1">IFERROR(__xludf.DUMMYFUNCTION("""COMPUTED_VALUE"""),"0xF0D0")</f>
        <v>0xF0D0</v>
      </c>
      <c r="U193" s="18" t="str">
        <f ca="1">IFERROR(__xludf.DUMMYFUNCTION("""COMPUTED_VALUE"""),"0x0A")</f>
        <v>0x0A</v>
      </c>
      <c r="V193" s="18" t="str">
        <f ca="1">IFERROR(__xludf.DUMMYFUNCTION("""COMPUTED_VALUE"""),"0x0104")</f>
        <v>0x0104</v>
      </c>
      <c r="W193" s="18" t="str">
        <f ca="1">IFERROR(__xludf.DUMMYFUNCTION("""COMPUTED_VALUE"""),"0x0201")</f>
        <v>0x0201</v>
      </c>
      <c r="X193" s="18" t="str">
        <f ca="1">IFERROR(__xludf.DUMMYFUNCTION("""COMPUTED_VALUE"""),"0x18")</f>
        <v>0x18</v>
      </c>
      <c r="Y193" s="18" t="e">
        <f ca="1"/>
        <v>#NAME?</v>
      </c>
      <c r="Z193" s="18" t="str">
        <f ca="1">IFERROR(__xludf.DUMMYFUNCTION("""COMPUTED_VALUE"""),"N/A")</f>
        <v>N/A</v>
      </c>
      <c r="AA193" s="18" t="str">
        <f ca="1">IFERROR(__xludf.DUMMYFUNCTION("""COMPUTED_VALUE"""),"N/A")</f>
        <v>N/A</v>
      </c>
      <c r="AC193" s="59" t="s">
        <v>1245</v>
      </c>
      <c r="AD193" s="59" t="s">
        <v>1245</v>
      </c>
      <c r="AE193" s="59" t="s">
        <v>1266</v>
      </c>
      <c r="AF193" s="59" t="s">
        <v>1273</v>
      </c>
      <c r="AG193" s="59" t="s">
        <v>1273</v>
      </c>
      <c r="AH193" s="59" t="s">
        <v>1276</v>
      </c>
      <c r="AI193" s="59" t="s">
        <v>1278</v>
      </c>
      <c r="AJ193" s="59" t="s">
        <v>1278</v>
      </c>
      <c r="AK193" s="59" t="s">
        <v>1278</v>
      </c>
      <c r="AL193" s="59" t="s">
        <v>1278</v>
      </c>
      <c r="AM193" s="59" t="s">
        <v>1278</v>
      </c>
      <c r="AN193" s="59" t="s">
        <v>1284</v>
      </c>
      <c r="AO193" s="59" t="s">
        <v>1284</v>
      </c>
      <c r="AP193" s="59" t="s">
        <v>1285</v>
      </c>
      <c r="AQ193" s="59" t="s">
        <v>1256</v>
      </c>
      <c r="AR193" s="59" t="s">
        <v>1256</v>
      </c>
      <c r="AS193" s="59" t="s">
        <v>1283</v>
      </c>
      <c r="AT193" s="59" t="s">
        <v>1286</v>
      </c>
    </row>
    <row r="194" spans="1:46" x14ac:dyDescent="0.25">
      <c r="A194" s="18" t="str">
        <v>local_door_occ_lock_delay:{"type":"attribute","data_type":"uint16","is_readonly":false,"reporting_type":"polled","poll_freq":86400,"default_value":10,"zigbee_metadata":{"attr_id":61649,"endpoint_id":10,"profile_id":260,"cluster_id":513,"zcl_data_type":33}},</v>
      </c>
      <c r="B194" s="52" t="str">
        <f ca="1"/>
        <v>0x0201 0xF0D1</v>
      </c>
      <c r="C194" s="52" t="str">
        <f ca="1">IFERROR(__xludf.DUMMYFUNCTION("""COMPUTED_VALUE"""),"local_door_occ_lock_delay")</f>
        <v>local_door_occ_lock_delay</v>
      </c>
      <c r="D194" s="18" t="str">
        <f ca="1">IFERROR(__xludf.DUMMYFUNCTION("""COMPUTED_VALUE"""),"attribute")</f>
        <v>attribute</v>
      </c>
      <c r="E194" s="18" t="str">
        <f ca="1">IFERROR(__xludf.DUMMYFUNCTION("""COMPUTED_VALUE"""),"uint16")</f>
        <v>uint16</v>
      </c>
      <c r="F194" s="18" t="str">
        <f ca="1">IFERROR(__xludf.DUMMYFUNCTION("""COMPUTED_VALUE"""),"false")</f>
        <v>false</v>
      </c>
      <c r="G194" s="18" t="str">
        <f ca="1">IFERROR(__xludf.DUMMYFUNCTION("""COMPUTED_VALUE"""),"polled")</f>
        <v>polled</v>
      </c>
      <c r="H194" s="18" t="str">
        <f ca="1">IFERROR(__xludf.DUMMYFUNCTION("""COMPUTED_VALUE"""),"86400")</f>
        <v>86400</v>
      </c>
      <c r="I194" s="18" t="str">
        <f ca="1">IFERROR(__xludf.DUMMYFUNCTION("""COMPUTED_VALUE"""),"N/A")</f>
        <v>N/A</v>
      </c>
      <c r="J194" s="18" t="str">
        <f ca="1">IFERROR(__xludf.DUMMYFUNCTION("""COMPUTED_VALUE"""),"N/A")</f>
        <v>N/A</v>
      </c>
      <c r="K194" s="18" t="str">
        <f ca="1">IFERROR(__xludf.DUMMYFUNCTION("""COMPUTED_VALUE"""),"N/A")</f>
        <v>N/A</v>
      </c>
      <c r="L194" s="18" t="str">
        <f ca="1">IFERROR(__xludf.DUMMYFUNCTION("""COMPUTED_VALUE"""),"N/A")</f>
        <v>N/A</v>
      </c>
      <c r="M194" s="18" t="str">
        <f ca="1">IFERROR(__xludf.DUMMYFUNCTION("""COMPUTED_VALUE"""),"N/A")</f>
        <v>N/A</v>
      </c>
      <c r="N194" s="18" t="str">
        <f ca="1">IFERROR(__xludf.DUMMYFUNCTION("""COMPUTED_VALUE"""),"N/A")</f>
        <v>N/A</v>
      </c>
      <c r="O194" s="18" t="str">
        <f ca="1">IFERROR(__xludf.DUMMYFUNCTION("""COMPUTED_VALUE"""),"N/A")</f>
        <v>N/A</v>
      </c>
      <c r="P194" s="18" t="str">
        <f ca="1">IFERROR(__xludf.DUMMYFUNCTION("""COMPUTED_VALUE"""),"N/A")</f>
        <v>N/A</v>
      </c>
      <c r="Q194" s="18" t="str">
        <f ca="1">IFERROR(__xludf.DUMMYFUNCTION("""COMPUTED_VALUE"""),"N/A")</f>
        <v>N/A</v>
      </c>
      <c r="R194" s="18" t="str">
        <f ca="1">IFERROR(__xludf.DUMMYFUNCTION("""COMPUTED_VALUE"""),"N/A")</f>
        <v>N/A</v>
      </c>
      <c r="S194" s="18" t="str">
        <f ca="1">IFERROR(__xludf.DUMMYFUNCTION("""COMPUTED_VALUE"""),"10")</f>
        <v>10</v>
      </c>
      <c r="T194" s="18" t="str">
        <f ca="1">IFERROR(__xludf.DUMMYFUNCTION("""COMPUTED_VALUE"""),"0xF0D1")</f>
        <v>0xF0D1</v>
      </c>
      <c r="U194" s="18" t="str">
        <f ca="1">IFERROR(__xludf.DUMMYFUNCTION("""COMPUTED_VALUE"""),"0x0A")</f>
        <v>0x0A</v>
      </c>
      <c r="V194" s="18" t="str">
        <f ca="1">IFERROR(__xludf.DUMMYFUNCTION("""COMPUTED_VALUE"""),"0x0104")</f>
        <v>0x0104</v>
      </c>
      <c r="W194" s="18" t="str">
        <f ca="1">IFERROR(__xludf.DUMMYFUNCTION("""COMPUTED_VALUE"""),"0x0201")</f>
        <v>0x0201</v>
      </c>
      <c r="X194" s="18" t="str">
        <f ca="1">IFERROR(__xludf.DUMMYFUNCTION("""COMPUTED_VALUE"""),"0x21")</f>
        <v>0x21</v>
      </c>
      <c r="Y194" s="18" t="e">
        <f ca="1"/>
        <v>#NAME?</v>
      </c>
      <c r="Z194" s="18" t="str">
        <f ca="1">IFERROR(__xludf.DUMMYFUNCTION("""COMPUTED_VALUE"""),"N/A")</f>
        <v>N/A</v>
      </c>
      <c r="AA194" s="18" t="str">
        <f ca="1">IFERROR(__xludf.DUMMYFUNCTION("""COMPUTED_VALUE"""),"N/A")</f>
        <v>N/A</v>
      </c>
      <c r="AC194" s="59" t="s">
        <v>1248</v>
      </c>
      <c r="AD194" s="59" t="s">
        <v>1248</v>
      </c>
      <c r="AE194" s="59" t="s">
        <v>1270</v>
      </c>
      <c r="AF194" s="59" t="s">
        <v>1276</v>
      </c>
      <c r="AG194" s="59" t="s">
        <v>1276</v>
      </c>
      <c r="AH194" s="59" t="s">
        <v>1278</v>
      </c>
      <c r="AI194" s="59" t="s">
        <v>1281</v>
      </c>
      <c r="AJ194" s="59" t="s">
        <v>1281</v>
      </c>
      <c r="AK194" s="59" t="s">
        <v>1281</v>
      </c>
      <c r="AL194" s="59" t="s">
        <v>1281</v>
      </c>
      <c r="AM194" s="59" t="s">
        <v>1281</v>
      </c>
      <c r="AN194" s="59" t="s">
        <v>1287</v>
      </c>
      <c r="AO194" s="59" t="s">
        <v>1287</v>
      </c>
      <c r="AP194" s="59" t="s">
        <v>1288</v>
      </c>
      <c r="AQ194" s="59" t="s">
        <v>1259</v>
      </c>
      <c r="AR194" s="59" t="s">
        <v>1259</v>
      </c>
      <c r="AS194" s="59" t="s">
        <v>1286</v>
      </c>
      <c r="AT194" s="59" t="s">
        <v>1289</v>
      </c>
    </row>
    <row r="195" spans="1:46" x14ac:dyDescent="0.25">
      <c r="A195" s="18" t="str">
        <v>remote_door_occ_lock_delay:{"type":"attribute","data_type":"uint16","is_readonly":false,"reporting_type":"polled","poll_freq":86400,"default_value":900,"zigbee_metadata":{"attr_id":61650,"endpoint_id":10,"profile_id":260,"cluster_id":513,"zcl_data_type":33}},</v>
      </c>
      <c r="B195" s="52" t="str">
        <f ca="1"/>
        <v>0x0201 0xF0D2</v>
      </c>
      <c r="C195" s="52" t="str">
        <f ca="1">IFERROR(__xludf.DUMMYFUNCTION("""COMPUTED_VALUE"""),"remote_door_occ_lock_delay")</f>
        <v>remote_door_occ_lock_delay</v>
      </c>
      <c r="D195" s="18" t="str">
        <f ca="1">IFERROR(__xludf.DUMMYFUNCTION("""COMPUTED_VALUE"""),"attribute")</f>
        <v>attribute</v>
      </c>
      <c r="E195" s="18" t="str">
        <f ca="1">IFERROR(__xludf.DUMMYFUNCTION("""COMPUTED_VALUE"""),"uint16")</f>
        <v>uint16</v>
      </c>
      <c r="F195" s="18" t="str">
        <f ca="1">IFERROR(__xludf.DUMMYFUNCTION("""COMPUTED_VALUE"""),"false")</f>
        <v>false</v>
      </c>
      <c r="G195" s="18" t="str">
        <f ca="1">IFERROR(__xludf.DUMMYFUNCTION("""COMPUTED_VALUE"""),"polled")</f>
        <v>polled</v>
      </c>
      <c r="H195" s="18" t="str">
        <f ca="1">IFERROR(__xludf.DUMMYFUNCTION("""COMPUTED_VALUE"""),"86400")</f>
        <v>86400</v>
      </c>
      <c r="I195" s="18" t="str">
        <f ca="1">IFERROR(__xludf.DUMMYFUNCTION("""COMPUTED_VALUE"""),"N/A")</f>
        <v>N/A</v>
      </c>
      <c r="J195" s="18" t="str">
        <f ca="1">IFERROR(__xludf.DUMMYFUNCTION("""COMPUTED_VALUE"""),"N/A")</f>
        <v>N/A</v>
      </c>
      <c r="K195" s="18" t="str">
        <f ca="1">IFERROR(__xludf.DUMMYFUNCTION("""COMPUTED_VALUE"""),"N/A")</f>
        <v>N/A</v>
      </c>
      <c r="L195" s="18" t="str">
        <f ca="1">IFERROR(__xludf.DUMMYFUNCTION("""COMPUTED_VALUE"""),"N/A")</f>
        <v>N/A</v>
      </c>
      <c r="M195" s="18" t="str">
        <f ca="1">IFERROR(__xludf.DUMMYFUNCTION("""COMPUTED_VALUE"""),"N/A")</f>
        <v>N/A</v>
      </c>
      <c r="N195" s="18" t="str">
        <f ca="1">IFERROR(__xludf.DUMMYFUNCTION("""COMPUTED_VALUE"""),"N/A")</f>
        <v>N/A</v>
      </c>
      <c r="O195" s="18" t="str">
        <f ca="1">IFERROR(__xludf.DUMMYFUNCTION("""COMPUTED_VALUE"""),"N/A")</f>
        <v>N/A</v>
      </c>
      <c r="P195" s="18" t="str">
        <f ca="1">IFERROR(__xludf.DUMMYFUNCTION("""COMPUTED_VALUE"""),"N/A")</f>
        <v>N/A</v>
      </c>
      <c r="Q195" s="18" t="str">
        <f ca="1">IFERROR(__xludf.DUMMYFUNCTION("""COMPUTED_VALUE"""),"N/A")</f>
        <v>N/A</v>
      </c>
      <c r="R195" s="18" t="str">
        <f ca="1">IFERROR(__xludf.DUMMYFUNCTION("""COMPUTED_VALUE"""),"N/A")</f>
        <v>N/A</v>
      </c>
      <c r="S195" s="18" t="str">
        <f ca="1">IFERROR(__xludf.DUMMYFUNCTION("""COMPUTED_VALUE"""),"900")</f>
        <v>900</v>
      </c>
      <c r="T195" s="18" t="str">
        <f ca="1">IFERROR(__xludf.DUMMYFUNCTION("""COMPUTED_VALUE"""),"0xF0D2")</f>
        <v>0xF0D2</v>
      </c>
      <c r="U195" s="18" t="str">
        <f ca="1">IFERROR(__xludf.DUMMYFUNCTION("""COMPUTED_VALUE"""),"0x0A")</f>
        <v>0x0A</v>
      </c>
      <c r="V195" s="18" t="str">
        <f ca="1">IFERROR(__xludf.DUMMYFUNCTION("""COMPUTED_VALUE"""),"0x0104")</f>
        <v>0x0104</v>
      </c>
      <c r="W195" s="18" t="str">
        <f ca="1">IFERROR(__xludf.DUMMYFUNCTION("""COMPUTED_VALUE"""),"0x0201")</f>
        <v>0x0201</v>
      </c>
      <c r="X195" s="18" t="str">
        <f ca="1">IFERROR(__xludf.DUMMYFUNCTION("""COMPUTED_VALUE"""),"0x21")</f>
        <v>0x21</v>
      </c>
      <c r="Y195" s="18" t="e">
        <f ca="1"/>
        <v>#NAME?</v>
      </c>
      <c r="Z195" s="18" t="str">
        <f ca="1">IFERROR(__xludf.DUMMYFUNCTION("""COMPUTED_VALUE"""),"N/A")</f>
        <v>N/A</v>
      </c>
      <c r="AA195" s="18" t="str">
        <f ca="1">IFERROR(__xludf.DUMMYFUNCTION("""COMPUTED_VALUE"""),"N/A")</f>
        <v>N/A</v>
      </c>
      <c r="AC195" s="59" t="s">
        <v>1251</v>
      </c>
      <c r="AD195" s="59" t="s">
        <v>1251</v>
      </c>
      <c r="AE195" s="59" t="s">
        <v>1273</v>
      </c>
      <c r="AF195" s="59" t="s">
        <v>1278</v>
      </c>
      <c r="AG195" s="59" t="s">
        <v>1278</v>
      </c>
      <c r="AH195" s="59" t="s">
        <v>1281</v>
      </c>
      <c r="AI195" s="59" t="s">
        <v>1284</v>
      </c>
      <c r="AJ195" s="59" t="s">
        <v>1284</v>
      </c>
      <c r="AK195" s="59" t="s">
        <v>1284</v>
      </c>
      <c r="AL195" s="59" t="s">
        <v>1284</v>
      </c>
      <c r="AM195" s="59" t="s">
        <v>1284</v>
      </c>
      <c r="AN195" s="59" t="s">
        <v>1290</v>
      </c>
      <c r="AO195" s="59" t="s">
        <v>1290</v>
      </c>
      <c r="AP195" s="59" t="s">
        <v>1291</v>
      </c>
      <c r="AQ195" s="59" t="s">
        <v>1262</v>
      </c>
      <c r="AR195" s="59" t="s">
        <v>1262</v>
      </c>
      <c r="AS195" s="59" t="s">
        <v>1289</v>
      </c>
      <c r="AT195" s="59" t="s">
        <v>1292</v>
      </c>
    </row>
    <row r="196" spans="1:46" x14ac:dyDescent="0.25">
      <c r="A196" s="18" t="str">
        <v>door_occ_lock_max_duration:{"type":"attribute","data_type":"uint8","is_readonly":false,"reporting_type":"polled","poll_freq":86400,"default_value":10,"zigbee_metadata":{"attr_id":61651,"endpoint_id":10,"profile_id":260,"cluster_id":513,"zcl_data_type":32}},</v>
      </c>
      <c r="B196" s="52" t="str">
        <f ca="1"/>
        <v>0x0201 0xF0D3</v>
      </c>
      <c r="C196" s="52" t="str">
        <f ca="1">IFERROR(__xludf.DUMMYFUNCTION("""COMPUTED_VALUE"""),"door_occ_lock_max_duration")</f>
        <v>door_occ_lock_max_duration</v>
      </c>
      <c r="D196" s="18" t="str">
        <f ca="1">IFERROR(__xludf.DUMMYFUNCTION("""COMPUTED_VALUE"""),"attribute")</f>
        <v>attribute</v>
      </c>
      <c r="E196" s="18" t="str">
        <f ca="1">IFERROR(__xludf.DUMMYFUNCTION("""COMPUTED_VALUE"""),"uint8")</f>
        <v>uint8</v>
      </c>
      <c r="F196" s="18" t="str">
        <f ca="1">IFERROR(__xludf.DUMMYFUNCTION("""COMPUTED_VALUE"""),"false")</f>
        <v>false</v>
      </c>
      <c r="G196" s="18" t="str">
        <f ca="1">IFERROR(__xludf.DUMMYFUNCTION("""COMPUTED_VALUE"""),"polled")</f>
        <v>polled</v>
      </c>
      <c r="H196" s="18" t="str">
        <f ca="1">IFERROR(__xludf.DUMMYFUNCTION("""COMPUTED_VALUE"""),"86400")</f>
        <v>86400</v>
      </c>
      <c r="I196" s="18" t="str">
        <f ca="1">IFERROR(__xludf.DUMMYFUNCTION("""COMPUTED_VALUE"""),"N/A")</f>
        <v>N/A</v>
      </c>
      <c r="J196" s="18" t="str">
        <f ca="1">IFERROR(__xludf.DUMMYFUNCTION("""COMPUTED_VALUE"""),"N/A")</f>
        <v>N/A</v>
      </c>
      <c r="K196" s="18" t="str">
        <f ca="1">IFERROR(__xludf.DUMMYFUNCTION("""COMPUTED_VALUE"""),"N/A")</f>
        <v>N/A</v>
      </c>
      <c r="L196" s="18" t="str">
        <f ca="1">IFERROR(__xludf.DUMMYFUNCTION("""COMPUTED_VALUE"""),"N/A")</f>
        <v>N/A</v>
      </c>
      <c r="M196" s="18" t="str">
        <f ca="1">IFERROR(__xludf.DUMMYFUNCTION("""COMPUTED_VALUE"""),"N/A")</f>
        <v>N/A</v>
      </c>
      <c r="N196" s="18" t="str">
        <f ca="1">IFERROR(__xludf.DUMMYFUNCTION("""COMPUTED_VALUE"""),"N/A")</f>
        <v>N/A</v>
      </c>
      <c r="O196" s="18" t="str">
        <f ca="1">IFERROR(__xludf.DUMMYFUNCTION("""COMPUTED_VALUE"""),"N/A")</f>
        <v>N/A</v>
      </c>
      <c r="P196" s="18" t="str">
        <f ca="1">IFERROR(__xludf.DUMMYFUNCTION("""COMPUTED_VALUE"""),"N/A")</f>
        <v>N/A</v>
      </c>
      <c r="Q196" s="18" t="str">
        <f ca="1">IFERROR(__xludf.DUMMYFUNCTION("""COMPUTED_VALUE"""),"N/A")</f>
        <v>N/A</v>
      </c>
      <c r="R196" s="18" t="str">
        <f ca="1">IFERROR(__xludf.DUMMYFUNCTION("""COMPUTED_VALUE"""),"N/A")</f>
        <v>N/A</v>
      </c>
      <c r="S196" s="18" t="str">
        <f ca="1">IFERROR(__xludf.DUMMYFUNCTION("""COMPUTED_VALUE"""),"10")</f>
        <v>10</v>
      </c>
      <c r="T196" s="18" t="str">
        <f ca="1">IFERROR(__xludf.DUMMYFUNCTION("""COMPUTED_VALUE"""),"0xF0D3")</f>
        <v>0xF0D3</v>
      </c>
      <c r="U196" s="18" t="str">
        <f ca="1">IFERROR(__xludf.DUMMYFUNCTION("""COMPUTED_VALUE"""),"0x0A")</f>
        <v>0x0A</v>
      </c>
      <c r="V196" s="18" t="str">
        <f ca="1">IFERROR(__xludf.DUMMYFUNCTION("""COMPUTED_VALUE"""),"0x0104")</f>
        <v>0x0104</v>
      </c>
      <c r="W196" s="18" t="str">
        <f ca="1">IFERROR(__xludf.DUMMYFUNCTION("""COMPUTED_VALUE"""),"0x0201")</f>
        <v>0x0201</v>
      </c>
      <c r="X196" s="18" t="str">
        <f ca="1">IFERROR(__xludf.DUMMYFUNCTION("""COMPUTED_VALUE"""),"0x20")</f>
        <v>0x20</v>
      </c>
      <c r="Y196" s="18" t="e">
        <f ca="1"/>
        <v>#NAME?</v>
      </c>
      <c r="Z196" s="18" t="str">
        <f ca="1">IFERROR(__xludf.DUMMYFUNCTION("""COMPUTED_VALUE"""),"N/A")</f>
        <v>N/A</v>
      </c>
      <c r="AA196" s="18" t="str">
        <f ca="1">IFERROR(__xludf.DUMMYFUNCTION("""COMPUTED_VALUE"""),"N/A")</f>
        <v>N/A</v>
      </c>
      <c r="AC196" s="59" t="s">
        <v>1254</v>
      </c>
      <c r="AD196" s="59" t="s">
        <v>1254</v>
      </c>
      <c r="AE196" s="59" t="s">
        <v>1276</v>
      </c>
      <c r="AF196" s="59" t="s">
        <v>1281</v>
      </c>
      <c r="AG196" s="59" t="s">
        <v>1281</v>
      </c>
      <c r="AH196" s="59" t="s">
        <v>1284</v>
      </c>
      <c r="AI196" s="59" t="s">
        <v>1287</v>
      </c>
      <c r="AJ196" s="59" t="s">
        <v>1287</v>
      </c>
      <c r="AK196" s="59" t="s">
        <v>1287</v>
      </c>
      <c r="AL196" s="59" t="s">
        <v>1287</v>
      </c>
      <c r="AM196" s="59" t="s">
        <v>1287</v>
      </c>
      <c r="AN196" s="59" t="s">
        <v>1293</v>
      </c>
      <c r="AO196" s="59" t="s">
        <v>1293</v>
      </c>
      <c r="AP196" s="59" t="s">
        <v>1294</v>
      </c>
      <c r="AQ196" s="59" t="s">
        <v>1265</v>
      </c>
      <c r="AR196" s="59" t="s">
        <v>1265</v>
      </c>
      <c r="AS196" s="59" t="s">
        <v>1292</v>
      </c>
      <c r="AT196" s="59" t="s">
        <v>1295</v>
      </c>
    </row>
    <row r="197" spans="1:46" x14ac:dyDescent="0.25">
      <c r="A197" s="18" t="str">
        <v>door_occ_locked:{"type":"telemetry","data_type":"bool","is_readonly":true,"reporting_type":"reported","report_max":3600,"report_min":0,"zigbee_metadata":{"attr_id":61652,"endpoint_id":10,"profile_id":260,"cluster_id":513,"zcl_data_type":16}},</v>
      </c>
      <c r="B197" s="52" t="str">
        <f ca="1"/>
        <v>0x0201 0xF0D4</v>
      </c>
      <c r="C197" s="52" t="str">
        <f ca="1">IFERROR(__xludf.DUMMYFUNCTION("""COMPUTED_VALUE"""),"door_occ_locked")</f>
        <v>door_occ_locked</v>
      </c>
      <c r="D197" s="18" t="str">
        <f ca="1">IFERROR(__xludf.DUMMYFUNCTION("""COMPUTED_VALUE"""),"telemetry")</f>
        <v>telemetry</v>
      </c>
      <c r="E197" s="18" t="str">
        <f ca="1">IFERROR(__xludf.DUMMYFUNCTION("""COMPUTED_VALUE"""),"bool")</f>
        <v>bool</v>
      </c>
      <c r="F197" s="18" t="str">
        <f ca="1">IFERROR(__xludf.DUMMYFUNCTION("""COMPUTED_VALUE"""),"true")</f>
        <v>true</v>
      </c>
      <c r="G197" s="18" t="str">
        <f ca="1">IFERROR(__xludf.DUMMYFUNCTION("""COMPUTED_VALUE"""),"reported")</f>
        <v>reported</v>
      </c>
      <c r="H197" s="18" t="str">
        <f ca="1">IFERROR(__xludf.DUMMYFUNCTION("""COMPUTED_VALUE"""),"N/A")</f>
        <v>N/A</v>
      </c>
      <c r="I197" s="18" t="str">
        <f ca="1">IFERROR(__xludf.DUMMYFUNCTION("""COMPUTED_VALUE"""),"3600")</f>
        <v>3600</v>
      </c>
      <c r="J197" s="18" t="str">
        <f ca="1">IFERROR(__xludf.DUMMYFUNCTION("""COMPUTED_VALUE"""),"0")</f>
        <v>0</v>
      </c>
      <c r="K197" s="18" t="str">
        <f ca="1">IFERROR(__xludf.DUMMYFUNCTION("""COMPUTED_VALUE"""),"N/A")</f>
        <v>N/A</v>
      </c>
      <c r="L197" s="18" t="str">
        <f ca="1">IFERROR(__xludf.DUMMYFUNCTION("""COMPUTED_VALUE"""),"N/A")</f>
        <v>N/A</v>
      </c>
      <c r="M197" s="18" t="str">
        <f ca="1">IFERROR(__xludf.DUMMYFUNCTION("""COMPUTED_VALUE"""),"N/A")</f>
        <v>N/A</v>
      </c>
      <c r="N197" s="18" t="str">
        <f ca="1">IFERROR(__xludf.DUMMYFUNCTION("""COMPUTED_VALUE"""),"N/A")</f>
        <v>N/A</v>
      </c>
      <c r="O197" s="18" t="str">
        <f ca="1">IFERROR(__xludf.DUMMYFUNCTION("""COMPUTED_VALUE"""),"N/A")</f>
        <v>N/A</v>
      </c>
      <c r="P197" s="18" t="str">
        <f ca="1">IFERROR(__xludf.DUMMYFUNCTION("""COMPUTED_VALUE"""),"N/A")</f>
        <v>N/A</v>
      </c>
      <c r="Q197" s="18" t="str">
        <f ca="1">IFERROR(__xludf.DUMMYFUNCTION("""COMPUTED_VALUE"""),"N/A")</f>
        <v>N/A</v>
      </c>
      <c r="R197" s="18" t="str">
        <f ca="1">IFERROR(__xludf.DUMMYFUNCTION("""COMPUTED_VALUE"""),"N/A")</f>
        <v>N/A</v>
      </c>
      <c r="S197" s="18" t="str">
        <f ca="1">IFERROR(__xludf.DUMMYFUNCTION("""COMPUTED_VALUE"""),"N/A")</f>
        <v>N/A</v>
      </c>
      <c r="T197" s="18" t="str">
        <f ca="1">IFERROR(__xludf.DUMMYFUNCTION("""COMPUTED_VALUE"""),"0xF0D4")</f>
        <v>0xF0D4</v>
      </c>
      <c r="U197" s="18" t="str">
        <f ca="1">IFERROR(__xludf.DUMMYFUNCTION("""COMPUTED_VALUE"""),"0x0A")</f>
        <v>0x0A</v>
      </c>
      <c r="V197" s="18" t="str">
        <f ca="1">IFERROR(__xludf.DUMMYFUNCTION("""COMPUTED_VALUE"""),"0x0104")</f>
        <v>0x0104</v>
      </c>
      <c r="W197" s="18" t="str">
        <f ca="1">IFERROR(__xludf.DUMMYFUNCTION("""COMPUTED_VALUE"""),"0x0201")</f>
        <v>0x0201</v>
      </c>
      <c r="X197" s="18" t="str">
        <f ca="1">IFERROR(__xludf.DUMMYFUNCTION("""COMPUTED_VALUE"""),"0x10")</f>
        <v>0x10</v>
      </c>
      <c r="Y197" s="18" t="e">
        <f ca="1"/>
        <v>#NAME?</v>
      </c>
      <c r="Z197" s="18" t="str">
        <f ca="1">IFERROR(__xludf.DUMMYFUNCTION("""COMPUTED_VALUE"""),"N/A")</f>
        <v>N/A</v>
      </c>
      <c r="AA197" s="18" t="str">
        <f ca="1">IFERROR(__xludf.DUMMYFUNCTION("""COMPUTED_VALUE"""),"N/A")</f>
        <v>N/A</v>
      </c>
      <c r="AC197" s="59" t="s">
        <v>1257</v>
      </c>
      <c r="AD197" s="59" t="s">
        <v>1257</v>
      </c>
      <c r="AE197" s="59" t="s">
        <v>1278</v>
      </c>
      <c r="AF197" s="59" t="s">
        <v>1284</v>
      </c>
      <c r="AG197" s="59" t="s">
        <v>1284</v>
      </c>
      <c r="AH197" s="59" t="s">
        <v>1287</v>
      </c>
      <c r="AI197" s="59" t="s">
        <v>1290</v>
      </c>
      <c r="AJ197" s="59" t="s">
        <v>1290</v>
      </c>
      <c r="AK197" s="59" t="s">
        <v>1290</v>
      </c>
      <c r="AL197" s="59" t="s">
        <v>1290</v>
      </c>
      <c r="AM197" s="59" t="s">
        <v>1290</v>
      </c>
      <c r="AN197" s="59" t="s">
        <v>1296</v>
      </c>
      <c r="AO197" s="59" t="s">
        <v>1296</v>
      </c>
      <c r="AP197" s="59" t="s">
        <v>1297</v>
      </c>
      <c r="AQ197" s="59" t="s">
        <v>1268</v>
      </c>
      <c r="AR197" s="59" t="s">
        <v>1268</v>
      </c>
      <c r="AS197" s="59" t="s">
        <v>1295</v>
      </c>
      <c r="AT197" s="59" t="s">
        <v>1298</v>
      </c>
    </row>
    <row r="198" spans="1:46" x14ac:dyDescent="0.25">
      <c r="A198" s="18" t="str">
        <v>door_occ_lock_time_remaining:{"type":"attribute","data_type":"uint16","is_readonly":true,"reporting_type":"diagnostic","zigbee_metadata":{"attr_id":61653,"endpoint_id":10,"profile_id":260,"cluster_id":513,"zcl_data_type":33}},</v>
      </c>
      <c r="B198" s="52" t="str">
        <f ca="1"/>
        <v>0x0201 0xF0D5</v>
      </c>
      <c r="C198" s="52" t="str">
        <f ca="1">IFERROR(__xludf.DUMMYFUNCTION("""COMPUTED_VALUE"""),"door_occ_lock_time_remaining")</f>
        <v>door_occ_lock_time_remaining</v>
      </c>
      <c r="D198" s="18" t="str">
        <f ca="1">IFERROR(__xludf.DUMMYFUNCTION("""COMPUTED_VALUE"""),"attribute")</f>
        <v>attribute</v>
      </c>
      <c r="E198" s="18" t="str">
        <f ca="1">IFERROR(__xludf.DUMMYFUNCTION("""COMPUTED_VALUE"""),"uint16")</f>
        <v>uint16</v>
      </c>
      <c r="F198" s="18" t="str">
        <f ca="1">IFERROR(__xludf.DUMMYFUNCTION("""COMPUTED_VALUE"""),"true")</f>
        <v>true</v>
      </c>
      <c r="G198" s="18" t="str">
        <f ca="1">IFERROR(__xludf.DUMMYFUNCTION("""COMPUTED_VALUE"""),"diagnostic")</f>
        <v>diagnostic</v>
      </c>
      <c r="H198" s="18" t="str">
        <f ca="1">IFERROR(__xludf.DUMMYFUNCTION("""COMPUTED_VALUE"""),"N/A")</f>
        <v>N/A</v>
      </c>
      <c r="I198" s="18" t="str">
        <f ca="1">IFERROR(__xludf.DUMMYFUNCTION("""COMPUTED_VALUE"""),"N/A")</f>
        <v>N/A</v>
      </c>
      <c r="J198" s="18" t="str">
        <f ca="1">IFERROR(__xludf.DUMMYFUNCTION("""COMPUTED_VALUE"""),"N/A")</f>
        <v>N/A</v>
      </c>
      <c r="K198" s="18" t="str">
        <f ca="1">IFERROR(__xludf.DUMMYFUNCTION("""COMPUTED_VALUE"""),"N/A")</f>
        <v>N/A</v>
      </c>
      <c r="L198" s="18" t="str">
        <f ca="1">IFERROR(__xludf.DUMMYFUNCTION("""COMPUTED_VALUE"""),"N/A")</f>
        <v>N/A</v>
      </c>
      <c r="M198" s="18" t="str">
        <f ca="1">IFERROR(__xludf.DUMMYFUNCTION("""COMPUTED_VALUE"""),"N/A")</f>
        <v>N/A</v>
      </c>
      <c r="N198" s="18" t="str">
        <f ca="1">IFERROR(__xludf.DUMMYFUNCTION("""COMPUTED_VALUE"""),"N/A")</f>
        <v>N/A</v>
      </c>
      <c r="O198" s="18" t="str">
        <f ca="1">IFERROR(__xludf.DUMMYFUNCTION("""COMPUTED_VALUE"""),"N/A")</f>
        <v>N/A</v>
      </c>
      <c r="P198" s="18" t="str">
        <f ca="1">IFERROR(__xludf.DUMMYFUNCTION("""COMPUTED_VALUE"""),"N/A")</f>
        <v>N/A</v>
      </c>
      <c r="Q198" s="18" t="str">
        <f ca="1">IFERROR(__xludf.DUMMYFUNCTION("""COMPUTED_VALUE"""),"N/A")</f>
        <v>N/A</v>
      </c>
      <c r="R198" s="18" t="str">
        <f ca="1">IFERROR(__xludf.DUMMYFUNCTION("""COMPUTED_VALUE"""),"N/A")</f>
        <v>N/A</v>
      </c>
      <c r="S198" s="18" t="str">
        <f ca="1">IFERROR(__xludf.DUMMYFUNCTION("""COMPUTED_VALUE"""),"N/A")</f>
        <v>N/A</v>
      </c>
      <c r="T198" s="18" t="str">
        <f ca="1">IFERROR(__xludf.DUMMYFUNCTION("""COMPUTED_VALUE"""),"0xF0D5")</f>
        <v>0xF0D5</v>
      </c>
      <c r="U198" s="18" t="str">
        <f ca="1">IFERROR(__xludf.DUMMYFUNCTION("""COMPUTED_VALUE"""),"0x0A")</f>
        <v>0x0A</v>
      </c>
      <c r="V198" s="18" t="str">
        <f ca="1">IFERROR(__xludf.DUMMYFUNCTION("""COMPUTED_VALUE"""),"0x0104")</f>
        <v>0x0104</v>
      </c>
      <c r="W198" s="18" t="str">
        <f ca="1">IFERROR(__xludf.DUMMYFUNCTION("""COMPUTED_VALUE"""),"0x0201")</f>
        <v>0x0201</v>
      </c>
      <c r="X198" s="18" t="str">
        <f ca="1">IFERROR(__xludf.DUMMYFUNCTION("""COMPUTED_VALUE"""),"0x21")</f>
        <v>0x21</v>
      </c>
      <c r="Y198" s="18" t="e">
        <f ca="1"/>
        <v>#NAME?</v>
      </c>
      <c r="Z198" s="18" t="str">
        <f ca="1">IFERROR(__xludf.DUMMYFUNCTION("""COMPUTED_VALUE"""),"N/A")</f>
        <v>N/A</v>
      </c>
      <c r="AA198" s="18" t="str">
        <f ca="1">IFERROR(__xludf.DUMMYFUNCTION("""COMPUTED_VALUE"""),"N/A")</f>
        <v>N/A</v>
      </c>
      <c r="AC198" s="59" t="s">
        <v>1260</v>
      </c>
      <c r="AD198" s="59" t="s">
        <v>1260</v>
      </c>
      <c r="AE198" s="59" t="s">
        <v>1281</v>
      </c>
      <c r="AF198" s="59" t="s">
        <v>1287</v>
      </c>
      <c r="AG198" s="59" t="s">
        <v>1287</v>
      </c>
      <c r="AH198" s="59" t="s">
        <v>1290</v>
      </c>
      <c r="AI198" s="59" t="s">
        <v>1293</v>
      </c>
      <c r="AJ198" s="59" t="s">
        <v>1293</v>
      </c>
      <c r="AK198" s="59" t="s">
        <v>1293</v>
      </c>
      <c r="AL198" s="59" t="s">
        <v>1293</v>
      </c>
      <c r="AM198" s="59" t="s">
        <v>1293</v>
      </c>
      <c r="AN198" s="59" t="s">
        <v>1299</v>
      </c>
      <c r="AO198" s="59" t="s">
        <v>1299</v>
      </c>
      <c r="AP198" s="59" t="s">
        <v>1257</v>
      </c>
      <c r="AQ198" s="59" t="s">
        <v>1269</v>
      </c>
      <c r="AR198" s="59" t="s">
        <v>1269</v>
      </c>
      <c r="AS198" s="59" t="s">
        <v>1298</v>
      </c>
      <c r="AT198" s="59" t="s">
        <v>1300</v>
      </c>
    </row>
    <row r="199" spans="1:46" x14ac:dyDescent="0.25">
      <c r="A199" s="18" t="str">
        <v>illuminance_measurement:{"type":"telemetry","data_type":"uint16","is_readonly":true,"reporting_type":"reported","report_max":3600,"report_min":0,"report_threshold":25,"default_value":null,"zigbee_metadata":{"attr_id":0,"endpoint_id":10,"profile_id":260,"cluster_id":1024,"zcl_data_type":33}},</v>
      </c>
      <c r="B199" s="52" t="str">
        <f ca="1"/>
        <v>0x0400 0x0000</v>
      </c>
      <c r="C199" s="52" t="str">
        <f ca="1">IFERROR(__xludf.DUMMYFUNCTION("""COMPUTED_VALUE"""),"illuminance_measurement")</f>
        <v>illuminance_measurement</v>
      </c>
      <c r="D199" s="18" t="str">
        <f ca="1">IFERROR(__xludf.DUMMYFUNCTION("""COMPUTED_VALUE"""),"telemetry")</f>
        <v>telemetry</v>
      </c>
      <c r="E199" s="18" t="str">
        <f ca="1">IFERROR(__xludf.DUMMYFUNCTION("""COMPUTED_VALUE"""),"uint16")</f>
        <v>uint16</v>
      </c>
      <c r="F199" s="18" t="str">
        <f ca="1">IFERROR(__xludf.DUMMYFUNCTION("""COMPUTED_VALUE"""),"true")</f>
        <v>true</v>
      </c>
      <c r="G199" s="18" t="str">
        <f ca="1">IFERROR(__xludf.DUMMYFUNCTION("""COMPUTED_VALUE"""),"reported")</f>
        <v>reported</v>
      </c>
      <c r="H199" s="18" t="str">
        <f ca="1">IFERROR(__xludf.DUMMYFUNCTION("""COMPUTED_VALUE"""),"N/A")</f>
        <v>N/A</v>
      </c>
      <c r="I199" s="18" t="str">
        <f ca="1">IFERROR(__xludf.DUMMYFUNCTION("""COMPUTED_VALUE"""),"3600")</f>
        <v>3600</v>
      </c>
      <c r="J199" s="18" t="str">
        <f ca="1">IFERROR(__xludf.DUMMYFUNCTION("""COMPUTED_VALUE"""),"0")</f>
        <v>0</v>
      </c>
      <c r="K199" s="18" t="str">
        <f ca="1">IFERROR(__xludf.DUMMYFUNCTION("""COMPUTED_VALUE"""),"25")</f>
        <v>25</v>
      </c>
      <c r="L199" s="18" t="str">
        <f ca="1">IFERROR(__xludf.DUMMYFUNCTION("""COMPUTED_VALUE"""),"N/A")</f>
        <v>N/A</v>
      </c>
      <c r="M199" s="18" t="str">
        <f ca="1">IFERROR(__xludf.DUMMYFUNCTION("""COMPUTED_VALUE"""),"N/A")</f>
        <v>N/A</v>
      </c>
      <c r="N199" s="18" t="str">
        <f ca="1">IFERROR(__xludf.DUMMYFUNCTION("""COMPUTED_VALUE"""),"N/A")</f>
        <v>N/A</v>
      </c>
      <c r="O199" s="18" t="str">
        <f ca="1">IFERROR(__xludf.DUMMYFUNCTION("""COMPUTED_VALUE"""),"N/A")</f>
        <v>N/A</v>
      </c>
      <c r="P199" s="18" t="str">
        <f ca="1">IFERROR(__xludf.DUMMYFUNCTION("""COMPUTED_VALUE"""),"N/A")</f>
        <v>N/A</v>
      </c>
      <c r="Q199" s="18" t="str">
        <f ca="1">IFERROR(__xludf.DUMMYFUNCTION("""COMPUTED_VALUE"""),"N/A")</f>
        <v>N/A</v>
      </c>
      <c r="R199" s="18" t="str">
        <f ca="1">IFERROR(__xludf.DUMMYFUNCTION("""COMPUTED_VALUE"""),"N/A")</f>
        <v>N/A</v>
      </c>
      <c r="S199" s="18" t="str">
        <f ca="1">IFERROR(__xludf.DUMMYFUNCTION("""COMPUTED_VALUE"""),"null")</f>
        <v>null</v>
      </c>
      <c r="T199" s="18" t="str">
        <f ca="1">IFERROR(__xludf.DUMMYFUNCTION("""COMPUTED_VALUE"""),"0x0000")</f>
        <v>0x0000</v>
      </c>
      <c r="U199" s="18" t="str">
        <f ca="1">IFERROR(__xludf.DUMMYFUNCTION("""COMPUTED_VALUE"""),"0x0A")</f>
        <v>0x0A</v>
      </c>
      <c r="V199" s="18" t="str">
        <f ca="1">IFERROR(__xludf.DUMMYFUNCTION("""COMPUTED_VALUE"""),"0x0104")</f>
        <v>0x0104</v>
      </c>
      <c r="W199" s="18" t="str">
        <f ca="1">IFERROR(__xludf.DUMMYFUNCTION("""COMPUTED_VALUE"""),"0x0400")</f>
        <v>0x0400</v>
      </c>
      <c r="X199" s="18" t="str">
        <f ca="1">IFERROR(__xludf.DUMMYFUNCTION("""COMPUTED_VALUE"""),"0x21")</f>
        <v>0x21</v>
      </c>
      <c r="Y199" s="18" t="e">
        <f ca="1"/>
        <v>#NAME?</v>
      </c>
      <c r="Z199" s="18" t="str">
        <f ca="1">IFERROR(__xludf.DUMMYFUNCTION("""COMPUTED_VALUE"""),"N/A")</f>
        <v>N/A</v>
      </c>
      <c r="AA199" s="18" t="str">
        <f ca="1">IFERROR(__xludf.DUMMYFUNCTION("""COMPUTED_VALUE"""),"N/A")</f>
        <v>N/A</v>
      </c>
      <c r="AC199" s="59" t="s">
        <v>1263</v>
      </c>
      <c r="AD199" s="59" t="s">
        <v>1263</v>
      </c>
      <c r="AE199" s="59" t="s">
        <v>1284</v>
      </c>
      <c r="AF199" s="59" t="s">
        <v>1290</v>
      </c>
      <c r="AG199" s="59" t="s">
        <v>1290</v>
      </c>
      <c r="AH199" s="59" t="s">
        <v>1293</v>
      </c>
      <c r="AI199" s="59" t="s">
        <v>1296</v>
      </c>
      <c r="AJ199" s="59" t="s">
        <v>1296</v>
      </c>
      <c r="AK199" s="59" t="s">
        <v>1296</v>
      </c>
      <c r="AL199" s="59" t="s">
        <v>1296</v>
      </c>
      <c r="AM199" s="59" t="s">
        <v>1296</v>
      </c>
      <c r="AN199" s="59" t="s">
        <v>1301</v>
      </c>
      <c r="AO199" s="59" t="s">
        <v>1301</v>
      </c>
      <c r="AP199" s="59" t="s">
        <v>1302</v>
      </c>
      <c r="AQ199" s="59" t="s">
        <v>1272</v>
      </c>
      <c r="AR199" s="59" t="s">
        <v>1272</v>
      </c>
      <c r="AS199" s="59" t="s">
        <v>1303</v>
      </c>
      <c r="AT199" s="59" t="s">
        <v>1304</v>
      </c>
    </row>
    <row r="200" spans="1:46" x14ac:dyDescent="0.25">
      <c r="A200" s="18" t="str">
        <v>local_sensor_occupied:{"type":"telemetry","data_type":"enum","is_readonly":true,"reporting_type":"reported","report_max":3600,"report_min":0,"enum_values":["occupied","unoccupied"],"zigbee_metadata":{"attr_id":0,"endpoint_id":10,"profile_id":260,"cluster_id":1030,"zcl_data_type":24,"read_formatter":"lambdax:'occupied'ifx&amp;0x01else'unoccupied'"}},</v>
      </c>
      <c r="B200" s="52" t="str">
        <f ca="1"/>
        <v>0x0406 0x0000</v>
      </c>
      <c r="C200" s="52" t="str">
        <f ca="1">IFERROR(__xludf.DUMMYFUNCTION("""COMPUTED_VALUE"""),"local_sensor_occupied")</f>
        <v>local_sensor_occupied</v>
      </c>
      <c r="D200" s="18" t="str">
        <f ca="1">IFERROR(__xludf.DUMMYFUNCTION("""COMPUTED_VALUE"""),"telemetry")</f>
        <v>telemetry</v>
      </c>
      <c r="E200" s="18" t="str">
        <f ca="1">IFERROR(__xludf.DUMMYFUNCTION("""COMPUTED_VALUE"""),"enum")</f>
        <v>enum</v>
      </c>
      <c r="F200" s="18" t="str">
        <f ca="1">IFERROR(__xludf.DUMMYFUNCTION("""COMPUTED_VALUE"""),"true")</f>
        <v>true</v>
      </c>
      <c r="G200" s="18" t="str">
        <f ca="1">IFERROR(__xludf.DUMMYFUNCTION("""COMPUTED_VALUE"""),"reported")</f>
        <v>reported</v>
      </c>
      <c r="H200" s="18" t="str">
        <f ca="1">IFERROR(__xludf.DUMMYFUNCTION("""COMPUTED_VALUE"""),"N/A")</f>
        <v>N/A</v>
      </c>
      <c r="I200" s="18" t="str">
        <f ca="1">IFERROR(__xludf.DUMMYFUNCTION("""COMPUTED_VALUE"""),"3600")</f>
        <v>3600</v>
      </c>
      <c r="J200" s="18" t="str">
        <f ca="1">IFERROR(__xludf.DUMMYFUNCTION("""COMPUTED_VALUE"""),"0")</f>
        <v>0</v>
      </c>
      <c r="K200" s="18" t="str">
        <f ca="1">IFERROR(__xludf.DUMMYFUNCTION("""COMPUTED_VALUE"""),"N/A")</f>
        <v>N/A</v>
      </c>
      <c r="L200" s="18" t="str">
        <f ca="1">IFERROR(__xludf.DUMMYFUNCTION("""COMPUTED_VALUE"""),"N/A")</f>
        <v>N/A</v>
      </c>
      <c r="M200" s="18" t="str">
        <f ca="1">IFERROR(__xludf.DUMMYFUNCTION("""COMPUTED_VALUE"""),"N/A")</f>
        <v>N/A</v>
      </c>
      <c r="N200" s="18" t="str">
        <f ca="1">IFERROR(__xludf.DUMMYFUNCTION("""COMPUTED_VALUE"""),"N/A")</f>
        <v>N/A</v>
      </c>
      <c r="O200" s="18" t="str">
        <f ca="1">IFERROR(__xludf.DUMMYFUNCTION("""COMPUTED_VALUE"""),"N/A")</f>
        <v>N/A</v>
      </c>
      <c r="P200" s="18" t="str">
        <f ca="1">IFERROR(__xludf.DUMMYFUNCTION("""COMPUTED_VALUE"""),"""occupied"",""unoccupied""")</f>
        <v>"occupied","unoccupied"</v>
      </c>
      <c r="Q200" s="18" t="str">
        <f ca="1">IFERROR(__xludf.DUMMYFUNCTION("""COMPUTED_VALUE"""),"N/A")</f>
        <v>N/A</v>
      </c>
      <c r="R200" s="18" t="str">
        <f ca="1">IFERROR(__xludf.DUMMYFUNCTION("""COMPUTED_VALUE"""),"N/A")</f>
        <v>N/A</v>
      </c>
      <c r="S200" s="18" t="str">
        <f ca="1">IFERROR(__xludf.DUMMYFUNCTION("""COMPUTED_VALUE"""),"N/A")</f>
        <v>N/A</v>
      </c>
      <c r="T200" s="18" t="str">
        <f ca="1">IFERROR(__xludf.DUMMYFUNCTION("""COMPUTED_VALUE"""),"0x0000")</f>
        <v>0x0000</v>
      </c>
      <c r="U200" s="18" t="str">
        <f ca="1">IFERROR(__xludf.DUMMYFUNCTION("""COMPUTED_VALUE"""),"0x0A")</f>
        <v>0x0A</v>
      </c>
      <c r="V200" s="18" t="str">
        <f ca="1">IFERROR(__xludf.DUMMYFUNCTION("""COMPUTED_VALUE"""),"0x0104")</f>
        <v>0x0104</v>
      </c>
      <c r="W200" s="18" t="str">
        <f ca="1">IFERROR(__xludf.DUMMYFUNCTION("""COMPUTED_VALUE"""),"0x0406")</f>
        <v>0x0406</v>
      </c>
      <c r="X200" s="18" t="str">
        <f ca="1">IFERROR(__xludf.DUMMYFUNCTION("""COMPUTED_VALUE"""),"0x18")</f>
        <v>0x18</v>
      </c>
      <c r="Y200" s="18" t="e">
        <f ca="1"/>
        <v>#NAME?</v>
      </c>
      <c r="Z200" s="18" t="str">
        <f ca="1">IFERROR(__xludf.DUMMYFUNCTION("""COMPUTED_VALUE"""),"N/A")</f>
        <v>N/A</v>
      </c>
      <c r="AA200" s="18" t="str">
        <f ca="1">IFERROR(__xludf.DUMMYFUNCTION("""COMPUTED_VALUE"""),"lambdax:'occupied'ifx&amp;0x01else'unoccupied'")</f>
        <v>lambdax:'occupied'ifx&amp;0x01else'unoccupied'</v>
      </c>
      <c r="AC200" s="59" t="s">
        <v>1266</v>
      </c>
      <c r="AD200" s="59" t="s">
        <v>1266</v>
      </c>
      <c r="AE200" s="59" t="s">
        <v>1287</v>
      </c>
      <c r="AF200" s="59" t="s">
        <v>1293</v>
      </c>
      <c r="AG200" s="59" t="s">
        <v>1293</v>
      </c>
      <c r="AH200" s="59" t="s">
        <v>1296</v>
      </c>
      <c r="AI200" s="59" t="s">
        <v>1299</v>
      </c>
      <c r="AJ200" s="59" t="s">
        <v>1299</v>
      </c>
      <c r="AK200" s="59" t="s">
        <v>1299</v>
      </c>
      <c r="AL200" s="59" t="s">
        <v>1299</v>
      </c>
      <c r="AM200" s="59" t="s">
        <v>1299</v>
      </c>
      <c r="AN200" s="59" t="s">
        <v>1305</v>
      </c>
      <c r="AO200" s="59" t="s">
        <v>1305</v>
      </c>
      <c r="AP200" s="59" t="s">
        <v>1306</v>
      </c>
      <c r="AQ200" s="59" t="s">
        <v>1275</v>
      </c>
      <c r="AR200" s="59" t="s">
        <v>1275</v>
      </c>
      <c r="AS200" s="59" t="s">
        <v>1304</v>
      </c>
      <c r="AT200" s="59" t="s">
        <v>1307</v>
      </c>
    </row>
    <row r="201" spans="1:46" x14ac:dyDescent="0.25">
      <c r="A201" s="18" t="str">
        <v>pir_unocc_delay:{"type":"attribute","data_type":"uint16","is_readonly":false,"reporting_type":"polled","poll_freq":86400,"default_value":600,"zigbee_metadata":{"attr_id":16,"endpoint_id":10,"profile_id":260,"cluster_id":1030,"zcl_data_type":33}},</v>
      </c>
      <c r="B201" s="52" t="str">
        <f ca="1"/>
        <v>0x0406 0x0010</v>
      </c>
      <c r="C201" s="52" t="str">
        <f ca="1">IFERROR(__xludf.DUMMYFUNCTION("""COMPUTED_VALUE"""),"pir_unocc_delay")</f>
        <v>pir_unocc_delay</v>
      </c>
      <c r="D201" s="18" t="str">
        <f ca="1">IFERROR(__xludf.DUMMYFUNCTION("""COMPUTED_VALUE"""),"attribute")</f>
        <v>attribute</v>
      </c>
      <c r="E201" s="18" t="str">
        <f ca="1">IFERROR(__xludf.DUMMYFUNCTION("""COMPUTED_VALUE"""),"uint16")</f>
        <v>uint16</v>
      </c>
      <c r="F201" s="18" t="str">
        <f ca="1">IFERROR(__xludf.DUMMYFUNCTION("""COMPUTED_VALUE"""),"false")</f>
        <v>false</v>
      </c>
      <c r="G201" s="18" t="str">
        <f ca="1">IFERROR(__xludf.DUMMYFUNCTION("""COMPUTED_VALUE"""),"polled")</f>
        <v>polled</v>
      </c>
      <c r="H201" s="18" t="str">
        <f ca="1">IFERROR(__xludf.DUMMYFUNCTION("""COMPUTED_VALUE"""),"86400")</f>
        <v>86400</v>
      </c>
      <c r="I201" s="18" t="str">
        <f ca="1">IFERROR(__xludf.DUMMYFUNCTION("""COMPUTED_VALUE"""),"N/A")</f>
        <v>N/A</v>
      </c>
      <c r="J201" s="18" t="str">
        <f ca="1">IFERROR(__xludf.DUMMYFUNCTION("""COMPUTED_VALUE"""),"N/A")</f>
        <v>N/A</v>
      </c>
      <c r="K201" s="18" t="str">
        <f ca="1">IFERROR(__xludf.DUMMYFUNCTION("""COMPUTED_VALUE"""),"N/A")</f>
        <v>N/A</v>
      </c>
      <c r="L201" s="18" t="str">
        <f ca="1">IFERROR(__xludf.DUMMYFUNCTION("""COMPUTED_VALUE"""),"N/A")</f>
        <v>N/A</v>
      </c>
      <c r="M201" s="18" t="str">
        <f ca="1">IFERROR(__xludf.DUMMYFUNCTION("""COMPUTED_VALUE"""),"N/A")</f>
        <v>N/A</v>
      </c>
      <c r="N201" s="18" t="str">
        <f ca="1">IFERROR(__xludf.DUMMYFUNCTION("""COMPUTED_VALUE"""),"N/A")</f>
        <v>N/A</v>
      </c>
      <c r="O201" s="18" t="str">
        <f ca="1">IFERROR(__xludf.DUMMYFUNCTION("""COMPUTED_VALUE"""),"N/A")</f>
        <v>N/A</v>
      </c>
      <c r="P201" s="18" t="str">
        <f ca="1">IFERROR(__xludf.DUMMYFUNCTION("""COMPUTED_VALUE"""),"N/A")</f>
        <v>N/A</v>
      </c>
      <c r="Q201" s="18" t="str">
        <f ca="1">IFERROR(__xludf.DUMMYFUNCTION("""COMPUTED_VALUE"""),"N/A")</f>
        <v>N/A</v>
      </c>
      <c r="R201" s="18" t="str">
        <f ca="1">IFERROR(__xludf.DUMMYFUNCTION("""COMPUTED_VALUE"""),"N/A")</f>
        <v>N/A</v>
      </c>
      <c r="S201" s="18" t="str">
        <f ca="1">IFERROR(__xludf.DUMMYFUNCTION("""COMPUTED_VALUE"""),"600")</f>
        <v>600</v>
      </c>
      <c r="T201" s="18" t="str">
        <f ca="1">IFERROR(__xludf.DUMMYFUNCTION("""COMPUTED_VALUE"""),"0x0010")</f>
        <v>0x0010</v>
      </c>
      <c r="U201" s="18" t="str">
        <f ca="1">IFERROR(__xludf.DUMMYFUNCTION("""COMPUTED_VALUE"""),"0x0A")</f>
        <v>0x0A</v>
      </c>
      <c r="V201" s="18" t="str">
        <f ca="1">IFERROR(__xludf.DUMMYFUNCTION("""COMPUTED_VALUE"""),"0x0104")</f>
        <v>0x0104</v>
      </c>
      <c r="W201" s="18" t="str">
        <f ca="1">IFERROR(__xludf.DUMMYFUNCTION("""COMPUTED_VALUE"""),"0x0406")</f>
        <v>0x0406</v>
      </c>
      <c r="X201" s="18" t="str">
        <f ca="1">IFERROR(__xludf.DUMMYFUNCTION("""COMPUTED_VALUE"""),"0x21")</f>
        <v>0x21</v>
      </c>
      <c r="Y201" s="18" t="e">
        <f ca="1"/>
        <v>#NAME?</v>
      </c>
      <c r="Z201" s="18" t="str">
        <f ca="1">IFERROR(__xludf.DUMMYFUNCTION("""COMPUTED_VALUE"""),"N/A")</f>
        <v>N/A</v>
      </c>
      <c r="AA201" s="18" t="str">
        <f ca="1">IFERROR(__xludf.DUMMYFUNCTION("""COMPUTED_VALUE"""),"N/A")</f>
        <v>N/A</v>
      </c>
      <c r="AC201" s="59" t="s">
        <v>1270</v>
      </c>
      <c r="AD201" s="59" t="s">
        <v>1270</v>
      </c>
      <c r="AE201" s="59" t="s">
        <v>1290</v>
      </c>
      <c r="AF201" s="59" t="s">
        <v>1296</v>
      </c>
      <c r="AG201" s="59" t="s">
        <v>1296</v>
      </c>
      <c r="AH201" s="59" t="s">
        <v>1299</v>
      </c>
      <c r="AI201" s="59" t="s">
        <v>1301</v>
      </c>
      <c r="AJ201" s="59" t="s">
        <v>1301</v>
      </c>
      <c r="AK201" s="59" t="s">
        <v>1301</v>
      </c>
      <c r="AL201" s="59" t="s">
        <v>1301</v>
      </c>
      <c r="AM201" s="59" t="s">
        <v>1301</v>
      </c>
      <c r="AN201" s="59" t="s">
        <v>1308</v>
      </c>
      <c r="AO201" s="59" t="s">
        <v>1308</v>
      </c>
      <c r="AP201" s="59" t="s">
        <v>1309</v>
      </c>
      <c r="AQ201" s="59" t="s">
        <v>1277</v>
      </c>
      <c r="AR201" s="59" t="s">
        <v>1277</v>
      </c>
      <c r="AS201" s="59" t="s">
        <v>1307</v>
      </c>
      <c r="AT201" s="59" t="s">
        <v>1310</v>
      </c>
    </row>
    <row r="202" spans="1:46" x14ac:dyDescent="0.25">
      <c r="A202" s="18" t="str">
        <v>pir_sensor_threshold:{"type":"attribute","data_type":"uint8","is_readonly":false,"reporting_type":"polled","poll_freq":86400,"default_value":12,"zigbee_metadata":{"attr_id":61441,"endpoint_id":10,"profile_id":260,"cluster_id":1030,"zcl_data_type":32}},</v>
      </c>
      <c r="B202" s="52" t="str">
        <f ca="1"/>
        <v>0x0406 0xF001</v>
      </c>
      <c r="C202" s="52" t="str">
        <f ca="1">IFERROR(__xludf.DUMMYFUNCTION("""COMPUTED_VALUE"""),"pir_sensor_threshold")</f>
        <v>pir_sensor_threshold</v>
      </c>
      <c r="D202" s="18" t="str">
        <f ca="1">IFERROR(__xludf.DUMMYFUNCTION("""COMPUTED_VALUE"""),"attribute")</f>
        <v>attribute</v>
      </c>
      <c r="E202" s="18" t="str">
        <f ca="1">IFERROR(__xludf.DUMMYFUNCTION("""COMPUTED_VALUE"""),"uint8")</f>
        <v>uint8</v>
      </c>
      <c r="F202" s="18" t="str">
        <f ca="1">IFERROR(__xludf.DUMMYFUNCTION("""COMPUTED_VALUE"""),"false")</f>
        <v>false</v>
      </c>
      <c r="G202" s="18" t="str">
        <f ca="1">IFERROR(__xludf.DUMMYFUNCTION("""COMPUTED_VALUE"""),"polled")</f>
        <v>polled</v>
      </c>
      <c r="H202" s="18" t="str">
        <f ca="1">IFERROR(__xludf.DUMMYFUNCTION("""COMPUTED_VALUE"""),"86400")</f>
        <v>86400</v>
      </c>
      <c r="I202" s="18" t="str">
        <f ca="1">IFERROR(__xludf.DUMMYFUNCTION("""COMPUTED_VALUE"""),"N/A")</f>
        <v>N/A</v>
      </c>
      <c r="J202" s="18" t="str">
        <f ca="1">IFERROR(__xludf.DUMMYFUNCTION("""COMPUTED_VALUE"""),"N/A")</f>
        <v>N/A</v>
      </c>
      <c r="K202" s="18" t="str">
        <f ca="1">IFERROR(__xludf.DUMMYFUNCTION("""COMPUTED_VALUE"""),"N/A")</f>
        <v>N/A</v>
      </c>
      <c r="L202" s="18" t="str">
        <f ca="1">IFERROR(__xludf.DUMMYFUNCTION("""COMPUTED_VALUE"""),"N/A")</f>
        <v>N/A</v>
      </c>
      <c r="M202" s="18" t="str">
        <f ca="1">IFERROR(__xludf.DUMMYFUNCTION("""COMPUTED_VALUE"""),"N/A")</f>
        <v>N/A</v>
      </c>
      <c r="N202" s="18" t="str">
        <f ca="1">IFERROR(__xludf.DUMMYFUNCTION("""COMPUTED_VALUE"""),"N/A")</f>
        <v>N/A</v>
      </c>
      <c r="O202" s="18" t="str">
        <f ca="1">IFERROR(__xludf.DUMMYFUNCTION("""COMPUTED_VALUE"""),"N/A")</f>
        <v>N/A</v>
      </c>
      <c r="P202" s="18" t="str">
        <f ca="1">IFERROR(__xludf.DUMMYFUNCTION("""COMPUTED_VALUE"""),"N/A")</f>
        <v>N/A</v>
      </c>
      <c r="Q202" s="18" t="str">
        <f ca="1">IFERROR(__xludf.DUMMYFUNCTION("""COMPUTED_VALUE"""),"N/A")</f>
        <v>N/A</v>
      </c>
      <c r="R202" s="18" t="str">
        <f ca="1">IFERROR(__xludf.DUMMYFUNCTION("""COMPUTED_VALUE"""),"N/A")</f>
        <v>N/A</v>
      </c>
      <c r="S202" s="18" t="str">
        <f ca="1">IFERROR(__xludf.DUMMYFUNCTION("""COMPUTED_VALUE"""),"12")</f>
        <v>12</v>
      </c>
      <c r="T202" s="18" t="str">
        <f ca="1">IFERROR(__xludf.DUMMYFUNCTION("""COMPUTED_VALUE"""),"0xF001")</f>
        <v>0xF001</v>
      </c>
      <c r="U202" s="18" t="str">
        <f ca="1">IFERROR(__xludf.DUMMYFUNCTION("""COMPUTED_VALUE"""),"0x0A")</f>
        <v>0x0A</v>
      </c>
      <c r="V202" s="18" t="str">
        <f ca="1">IFERROR(__xludf.DUMMYFUNCTION("""COMPUTED_VALUE"""),"0x0104")</f>
        <v>0x0104</v>
      </c>
      <c r="W202" s="18" t="str">
        <f ca="1">IFERROR(__xludf.DUMMYFUNCTION("""COMPUTED_VALUE"""),"0x0406")</f>
        <v>0x0406</v>
      </c>
      <c r="X202" s="18" t="str">
        <f ca="1">IFERROR(__xludf.DUMMYFUNCTION("""COMPUTED_VALUE"""),"0x20")</f>
        <v>0x20</v>
      </c>
      <c r="Y202" s="18" t="e">
        <f ca="1"/>
        <v>#NAME?</v>
      </c>
      <c r="Z202" s="18" t="str">
        <f ca="1">IFERROR(__xludf.DUMMYFUNCTION("""COMPUTED_VALUE"""),"N/A")</f>
        <v>N/A</v>
      </c>
      <c r="AA202" s="18" t="str">
        <f ca="1">IFERROR(__xludf.DUMMYFUNCTION("""COMPUTED_VALUE"""),"N/A")</f>
        <v>N/A</v>
      </c>
      <c r="AC202" s="59" t="s">
        <v>1273</v>
      </c>
      <c r="AD202" s="59" t="s">
        <v>1273</v>
      </c>
      <c r="AE202" s="59" t="s">
        <v>1293</v>
      </c>
      <c r="AF202" s="59" t="s">
        <v>1299</v>
      </c>
      <c r="AG202" s="59" t="s">
        <v>1299</v>
      </c>
      <c r="AH202" s="59" t="s">
        <v>1301</v>
      </c>
      <c r="AI202" s="59" t="s">
        <v>1305</v>
      </c>
      <c r="AJ202" s="59" t="s">
        <v>1305</v>
      </c>
      <c r="AK202" s="59" t="s">
        <v>1305</v>
      </c>
      <c r="AL202" s="59" t="s">
        <v>1305</v>
      </c>
      <c r="AM202" s="59" t="s">
        <v>1305</v>
      </c>
      <c r="AN202" s="59" t="s">
        <v>1311</v>
      </c>
      <c r="AO202" s="59" t="s">
        <v>1311</v>
      </c>
      <c r="AP202" s="59" t="s">
        <v>1312</v>
      </c>
      <c r="AQ202" s="59" t="s">
        <v>1280</v>
      </c>
      <c r="AR202" s="59" t="s">
        <v>1280</v>
      </c>
      <c r="AS202" s="59" t="s">
        <v>1310</v>
      </c>
      <c r="AT202" s="59" t="s">
        <v>1313</v>
      </c>
    </row>
    <row r="203" spans="1:46" x14ac:dyDescent="0.25">
      <c r="A203" s="18" t="str">
        <v>dry_contact:{"type":"telemetry","data_type":"enum","is_readonly":true,"reporting_type":"reported","report_max":3600,"report_min":0,"enum_values":["opened","closed"],"zigbee_metadata":{"attr_id":2,"endpoint_id":10,"profile_id":260,"cluster_id":1280,"zcl_data_type":25,"read_formatter":"lambdax:'opened'ifx&amp;0x01else'closed'"}},</v>
      </c>
      <c r="B203" s="52" t="str">
        <f ca="1"/>
        <v>0x0500 0x0002</v>
      </c>
      <c r="C203" s="52" t="str">
        <f ca="1">IFERROR(__xludf.DUMMYFUNCTION("""COMPUTED_VALUE"""),"dry_contact")</f>
        <v>dry_contact</v>
      </c>
      <c r="D203" s="18" t="str">
        <f ca="1">IFERROR(__xludf.DUMMYFUNCTION("""COMPUTED_VALUE"""),"telemetry")</f>
        <v>telemetry</v>
      </c>
      <c r="E203" s="18" t="str">
        <f ca="1">IFERROR(__xludf.DUMMYFUNCTION("""COMPUTED_VALUE"""),"enum")</f>
        <v>enum</v>
      </c>
      <c r="F203" s="18" t="str">
        <f ca="1">IFERROR(__xludf.DUMMYFUNCTION("""COMPUTED_VALUE"""),"true")</f>
        <v>true</v>
      </c>
      <c r="G203" s="18" t="str">
        <f ca="1">IFERROR(__xludf.DUMMYFUNCTION("""COMPUTED_VALUE"""),"reported")</f>
        <v>reported</v>
      </c>
      <c r="H203" s="18" t="str">
        <f ca="1">IFERROR(__xludf.DUMMYFUNCTION("""COMPUTED_VALUE"""),"N/A")</f>
        <v>N/A</v>
      </c>
      <c r="I203" s="18" t="str">
        <f ca="1">IFERROR(__xludf.DUMMYFUNCTION("""COMPUTED_VALUE"""),"3600")</f>
        <v>3600</v>
      </c>
      <c r="J203" s="18" t="str">
        <f ca="1">IFERROR(__xludf.DUMMYFUNCTION("""COMPUTED_VALUE"""),"0")</f>
        <v>0</v>
      </c>
      <c r="K203" s="18" t="str">
        <f ca="1">IFERROR(__xludf.DUMMYFUNCTION("""COMPUTED_VALUE"""),"N/A")</f>
        <v>N/A</v>
      </c>
      <c r="L203" s="18" t="str">
        <f ca="1">IFERROR(__xludf.DUMMYFUNCTION("""COMPUTED_VALUE"""),"N/A")</f>
        <v>N/A</v>
      </c>
      <c r="M203" s="18" t="str">
        <f ca="1">IFERROR(__xludf.DUMMYFUNCTION("""COMPUTED_VALUE"""),"N/A")</f>
        <v>N/A</v>
      </c>
      <c r="N203" s="18" t="str">
        <f ca="1">IFERROR(__xludf.DUMMYFUNCTION("""COMPUTED_VALUE"""),"N/A")</f>
        <v>N/A</v>
      </c>
      <c r="O203" s="18" t="str">
        <f ca="1">IFERROR(__xludf.DUMMYFUNCTION("""COMPUTED_VALUE"""),"N/A")</f>
        <v>N/A</v>
      </c>
      <c r="P203" s="18" t="str">
        <f ca="1">IFERROR(__xludf.DUMMYFUNCTION("""COMPUTED_VALUE"""),"""opened"",""closed""")</f>
        <v>"opened","closed"</v>
      </c>
      <c r="Q203" s="18" t="str">
        <f ca="1">IFERROR(__xludf.DUMMYFUNCTION("""COMPUTED_VALUE"""),"N/A")</f>
        <v>N/A</v>
      </c>
      <c r="R203" s="18" t="str">
        <f ca="1">IFERROR(__xludf.DUMMYFUNCTION("""COMPUTED_VALUE"""),"N/A")</f>
        <v>N/A</v>
      </c>
      <c r="S203" s="18" t="str">
        <f ca="1">IFERROR(__xludf.DUMMYFUNCTION("""COMPUTED_VALUE"""),"N/A")</f>
        <v>N/A</v>
      </c>
      <c r="T203" s="18" t="str">
        <f ca="1">IFERROR(__xludf.DUMMYFUNCTION("""COMPUTED_VALUE"""),"0x0002")</f>
        <v>0x0002</v>
      </c>
      <c r="U203" s="18" t="str">
        <f ca="1">IFERROR(__xludf.DUMMYFUNCTION("""COMPUTED_VALUE"""),"0x0A")</f>
        <v>0x0A</v>
      </c>
      <c r="V203" s="18" t="str">
        <f ca="1">IFERROR(__xludf.DUMMYFUNCTION("""COMPUTED_VALUE"""),"0x0104")</f>
        <v>0x0104</v>
      </c>
      <c r="W203" s="18" t="str">
        <f ca="1">IFERROR(__xludf.DUMMYFUNCTION("""COMPUTED_VALUE"""),"0x0500")</f>
        <v>0x0500</v>
      </c>
      <c r="X203" s="18" t="str">
        <f ca="1">IFERROR(__xludf.DUMMYFUNCTION("""COMPUTED_VALUE"""),"0x19")</f>
        <v>0x19</v>
      </c>
      <c r="Y203" s="18" t="e">
        <f ca="1"/>
        <v>#NAME?</v>
      </c>
      <c r="Z203" s="18" t="str">
        <f ca="1">IFERROR(__xludf.DUMMYFUNCTION("""COMPUTED_VALUE"""),"N/A")</f>
        <v>N/A</v>
      </c>
      <c r="AA203" s="18" t="str">
        <f ca="1">IFERROR(__xludf.DUMMYFUNCTION("""COMPUTED_VALUE"""),"lambdax:'opened'ifx&amp;0x01else'closed'")</f>
        <v>lambdax:'opened'ifx&amp;0x01else'closed'</v>
      </c>
      <c r="AC203" s="59" t="s">
        <v>1276</v>
      </c>
      <c r="AD203" s="59" t="s">
        <v>1276</v>
      </c>
      <c r="AE203" s="59" t="s">
        <v>1296</v>
      </c>
      <c r="AF203" s="59" t="s">
        <v>1301</v>
      </c>
      <c r="AG203" s="59" t="s">
        <v>1301</v>
      </c>
      <c r="AH203" s="59" t="s">
        <v>1305</v>
      </c>
      <c r="AI203" s="59" t="s">
        <v>1308</v>
      </c>
      <c r="AJ203" s="59" t="s">
        <v>1308</v>
      </c>
      <c r="AK203" s="59" t="s">
        <v>1308</v>
      </c>
      <c r="AL203" s="59" t="s">
        <v>1308</v>
      </c>
      <c r="AM203" s="59" t="s">
        <v>1308</v>
      </c>
      <c r="AN203" s="59" t="s">
        <v>1314</v>
      </c>
      <c r="AO203" s="59" t="s">
        <v>1314</v>
      </c>
      <c r="AP203" s="59" t="s">
        <v>1315</v>
      </c>
      <c r="AQ203" s="59" t="s">
        <v>1283</v>
      </c>
      <c r="AR203" s="59" t="s">
        <v>1283</v>
      </c>
      <c r="AS203" s="59" t="s">
        <v>1313</v>
      </c>
      <c r="AT203" s="59" t="s">
        <v>1316</v>
      </c>
    </row>
    <row r="204" spans="1:46" x14ac:dyDescent="0.25">
      <c r="A204" s="18" t="str">
        <v>zigbee_node_type:{"type":"attribute","data_type":"enum","is_readonly":false,"reporting_type":"polled","poll_freq":86400,"default_value":"coordinator","enum_values":["coordinator","router","end_device"],"zigbee_metadata":{"attr_id":28,"endpoint_id":10,"profile_id":260,"cluster_id":64517,"zcl_data_type":48,"write_formatter":"lambdax:{'coordinator':0,'router':1,'end_device':2}[x]","read_formatter":"lambdax:{0:'coordinator',1:'router',2:'end_device'}.get(x,'unknown')"}},</v>
      </c>
      <c r="B204" s="52" t="str">
        <f ca="1"/>
        <v>0xFC05 0x001C</v>
      </c>
      <c r="C204" s="52" t="str">
        <f ca="1">IFERROR(__xludf.DUMMYFUNCTION("""COMPUTED_VALUE"""),"zigbee_node_type")</f>
        <v>zigbee_node_type</v>
      </c>
      <c r="D204" s="18" t="str">
        <f ca="1">IFERROR(__xludf.DUMMYFUNCTION("""COMPUTED_VALUE"""),"attribute")</f>
        <v>attribute</v>
      </c>
      <c r="E204" s="18" t="str">
        <f ca="1">IFERROR(__xludf.DUMMYFUNCTION("""COMPUTED_VALUE"""),"enum")</f>
        <v>enum</v>
      </c>
      <c r="F204" s="18" t="str">
        <f ca="1">IFERROR(__xludf.DUMMYFUNCTION("""COMPUTED_VALUE"""),"false")</f>
        <v>false</v>
      </c>
      <c r="G204" s="18" t="str">
        <f ca="1">IFERROR(__xludf.DUMMYFUNCTION("""COMPUTED_VALUE"""),"polled")</f>
        <v>polled</v>
      </c>
      <c r="H204" s="18" t="str">
        <f ca="1">IFERROR(__xludf.DUMMYFUNCTION("""COMPUTED_VALUE"""),"86400")</f>
        <v>86400</v>
      </c>
      <c r="I204" s="18" t="str">
        <f ca="1">IFERROR(__xludf.DUMMYFUNCTION("""COMPUTED_VALUE"""),"N/A")</f>
        <v>N/A</v>
      </c>
      <c r="J204" s="18" t="str">
        <f ca="1">IFERROR(__xludf.DUMMYFUNCTION("""COMPUTED_VALUE"""),"N/A")</f>
        <v>N/A</v>
      </c>
      <c r="K204" s="18" t="str">
        <f ca="1">IFERROR(__xludf.DUMMYFUNCTION("""COMPUTED_VALUE"""),"N/A")</f>
        <v>N/A</v>
      </c>
      <c r="L204" s="18" t="str">
        <f ca="1">IFERROR(__xludf.DUMMYFUNCTION("""COMPUTED_VALUE"""),"N/A")</f>
        <v>N/A</v>
      </c>
      <c r="M204" s="18" t="str">
        <f ca="1">IFERROR(__xludf.DUMMYFUNCTION("""COMPUTED_VALUE"""),"N/A")</f>
        <v>N/A</v>
      </c>
      <c r="N204" s="18" t="str">
        <f ca="1">IFERROR(__xludf.DUMMYFUNCTION("""COMPUTED_VALUE"""),"N/A")</f>
        <v>N/A</v>
      </c>
      <c r="O204" s="18" t="str">
        <f ca="1">IFERROR(__xludf.DUMMYFUNCTION("""COMPUTED_VALUE"""),"N/A")</f>
        <v>N/A</v>
      </c>
      <c r="P204" s="18" t="str">
        <f ca="1">IFERROR(__xludf.DUMMYFUNCTION("""COMPUTED_VALUE"""),"""coordinator"",""router"",""end_device""")</f>
        <v>"coordinator","router","end_device"</v>
      </c>
      <c r="Q204" s="18" t="str">
        <f ca="1">IFERROR(__xludf.DUMMYFUNCTION("""COMPUTED_VALUE"""),"N/A")</f>
        <v>N/A</v>
      </c>
      <c r="R204" s="18" t="str">
        <f ca="1">IFERROR(__xludf.DUMMYFUNCTION("""COMPUTED_VALUE"""),"N/A")</f>
        <v>N/A</v>
      </c>
      <c r="S204" s="18" t="str">
        <f ca="1">IFERROR(__xludf.DUMMYFUNCTION("""COMPUTED_VALUE"""),"""coordinator""")</f>
        <v>"coordinator"</v>
      </c>
      <c r="T204" s="18" t="str">
        <f ca="1">IFERROR(__xludf.DUMMYFUNCTION("""COMPUTED_VALUE"""),"0x001C")</f>
        <v>0x001C</v>
      </c>
      <c r="U204" s="18" t="str">
        <f ca="1">IFERROR(__xludf.DUMMYFUNCTION("""COMPUTED_VALUE"""),"0x0A")</f>
        <v>0x0A</v>
      </c>
      <c r="V204" s="18" t="str">
        <f ca="1">IFERROR(__xludf.DUMMYFUNCTION("""COMPUTED_VALUE"""),"0x0104")</f>
        <v>0x0104</v>
      </c>
      <c r="W204" s="18" t="str">
        <f ca="1">IFERROR(__xludf.DUMMYFUNCTION("""COMPUTED_VALUE"""),"0xFC05")</f>
        <v>0xFC05</v>
      </c>
      <c r="X204" s="18" t="str">
        <f ca="1">IFERROR(__xludf.DUMMYFUNCTION("""COMPUTED_VALUE"""),"0x30")</f>
        <v>0x30</v>
      </c>
      <c r="Y204" s="18" t="e">
        <f ca="1"/>
        <v>#NAME?</v>
      </c>
      <c r="Z204" s="18" t="str">
        <f ca="1">IFERROR(__xludf.DUMMYFUNCTION("""COMPUTED_VALUE"""),"lambdax:{'coordinator':0,'router':1,'end_device':2}[x]")</f>
        <v>lambdax:{'coordinator':0,'router':1,'end_device':2}[x]</v>
      </c>
      <c r="AA204" s="18" t="str">
        <f ca="1">IFERROR(__xludf.DUMMYFUNCTION("""COMPUTED_VALUE"""),"lambdax:{0:'coordinator',1:'router',2:'end_device'}.get(x,'unknown')")</f>
        <v>lambdax:{0:'coordinator',1:'router',2:'end_device'}.get(x,'unknown')</v>
      </c>
      <c r="AC204" s="59" t="s">
        <v>1278</v>
      </c>
      <c r="AD204" s="59" t="s">
        <v>1278</v>
      </c>
      <c r="AE204" s="59" t="s">
        <v>1299</v>
      </c>
      <c r="AF204" s="59" t="s">
        <v>1305</v>
      </c>
      <c r="AG204" s="59" t="s">
        <v>1305</v>
      </c>
      <c r="AH204" s="59" t="s">
        <v>1308</v>
      </c>
      <c r="AI204" s="59" t="s">
        <v>1311</v>
      </c>
      <c r="AJ204" s="59" t="s">
        <v>1311</v>
      </c>
      <c r="AK204" s="59" t="s">
        <v>1311</v>
      </c>
      <c r="AL204" s="59" t="s">
        <v>1311</v>
      </c>
      <c r="AM204" s="59" t="s">
        <v>1311</v>
      </c>
      <c r="AN204" s="59" t="s">
        <v>1317</v>
      </c>
      <c r="AO204" s="59" t="s">
        <v>1317</v>
      </c>
      <c r="AP204" s="59" t="s">
        <v>1318</v>
      </c>
      <c r="AQ204" s="59" t="s">
        <v>1286</v>
      </c>
      <c r="AR204" s="59" t="s">
        <v>1286</v>
      </c>
      <c r="AS204" s="59" t="s">
        <v>1316</v>
      </c>
      <c r="AT204" s="59" t="s">
        <v>1319</v>
      </c>
    </row>
    <row r="205" spans="1:46" x14ac:dyDescent="0.25">
      <c r="A205" s="18" t="str">
        <v>primary_temp_sensor:{"type":"attribute","data_type":"enum","is_readonly":false,"reporting_type":"polled","poll_freq":86400,"default_value":"local_internal_sensor","enum_values":["remote_device_0","remote_device_1","remote_device_2","remote_device_3","remote_device_4","remote_device_5","remote_device_6","remote_device_7","remote_device_8","remote_device_9","remote_device_10","remote_device_11","remote_device_12","remote_device_13","remote_device_14","remote_device_15","remote_device_16","remote_device_17","remote_device_18","remote_device_19","remote_device_20","remote_device_21","remote_device_22","remote_device_23","remote_device_24","remote_device_25","remote_device_26","remote_device_27","remote_device_28","remote_device_29","remote_device_30","remote_device_31","local_internal_sensor","local_external_sensor_1","local_external_sensor_2","local_external_sensor_3","local_external_sensor_4","none"],"zigbee_metadata":{"attr_id":61519,"endpoint_id":10,"profile_id":260,"cluster_id":513,"zcl_data_type":48,"write_formatter":"lambdax:{'remote_device_0':0,'remote_device_1':1,'remote_device_2':2,'remote_device_3':3,'remote_device_4':4,'remote_device_5':5,'remote_device_6':6,'remote_device_7':7,'remote_device_8':8,'remote_device_9':9,'remote_device_10':10,'remote_device_11':11,'remote_device_12':12,'remote_device_13':13,'remote_device_14':14,'remote_device_15':15,'remote_device_16':16,'remote_device_17':17,'remote_device_18':18,'remote_device_19':19,'remote_device_20':20,'remote_device_21':21,'remote_device_22':22,'remote_device_23':23,'remote_device_24':24,'remote_device_25':25,'remote_device_26':26,'remote_device_27':27,'remote_device_28':28,'remote_device_29':29,'remote_device_30':30,'remote_device_31':31,'local_internal_sensor':32,'local_external_sensor_1':33,'local_external_sensor_2':34,'local_external_sensor_3':35,'local_external_sensor_4':36,'none':255}[x]","read_formatter":"lambdax:{0:'remote_device_0',1:'remote_device_1',2:'remote_device_2',3:'remote_device_3',4:'remote_device_4',5:'remote_device_5',6:'remote_device_6',7:'remote_device_7',8:'remote_device_8',9:'remote_device_9',10:'remote_device_10',11:'remote_device_11',12:'remote_device_12',13:'remote_device_13',14:'remote_device_14',15:'remote_device_15',16:'remote_device_16',17:'remote_device_17',18:'remote_device_18',19:'remote_device_19',20:'remote_device_20',21:'remote_device_21',22:'remote_device_22',23:'remote_device_23',24:'remote_device_24',25:'remote_device_25',26:'remote_device_26',27:'remote_device_27',28:'remote_device_28',29:'remote_device_29',30:'remote_device_30',31:'remote_device_31',32:'local_internal_sensor',33:'local_external_sensor_1',34:'local_external_sensor_2',35:'local_external_sensor_3',36:'local_external_sensor_4',255:'none'}.get(x,'unknown')"}},</v>
      </c>
      <c r="B205" s="52" t="str">
        <f ca="1"/>
        <v>0x0201 0xF04F</v>
      </c>
      <c r="C205" s="52" t="str">
        <f ca="1">IFERROR(__xludf.DUMMYFUNCTION("""COMPUTED_VALUE"""),"primary_temp_sensor")</f>
        <v>primary_temp_sensor</v>
      </c>
      <c r="D205" s="18" t="str">
        <f ca="1">IFERROR(__xludf.DUMMYFUNCTION("""COMPUTED_VALUE"""),"attribute")</f>
        <v>attribute</v>
      </c>
      <c r="E205" s="18" t="str">
        <f ca="1">IFERROR(__xludf.DUMMYFUNCTION("""COMPUTED_VALUE"""),"enum")</f>
        <v>enum</v>
      </c>
      <c r="F205" s="18" t="str">
        <f ca="1">IFERROR(__xludf.DUMMYFUNCTION("""COMPUTED_VALUE"""),"false")</f>
        <v>false</v>
      </c>
      <c r="G205" s="18" t="str">
        <f ca="1">IFERROR(__xludf.DUMMYFUNCTION("""COMPUTED_VALUE"""),"polled")</f>
        <v>polled</v>
      </c>
      <c r="H205" s="18" t="str">
        <f ca="1">IFERROR(__xludf.DUMMYFUNCTION("""COMPUTED_VALUE"""),"86400")</f>
        <v>86400</v>
      </c>
      <c r="I205" s="18" t="str">
        <f ca="1">IFERROR(__xludf.DUMMYFUNCTION("""COMPUTED_VALUE"""),"N/A")</f>
        <v>N/A</v>
      </c>
      <c r="J205" s="18" t="str">
        <f ca="1">IFERROR(__xludf.DUMMYFUNCTION("""COMPUTED_VALUE"""),"N/A")</f>
        <v>N/A</v>
      </c>
      <c r="K205" s="18" t="str">
        <f ca="1">IFERROR(__xludf.DUMMYFUNCTION("""COMPUTED_VALUE"""),"N/A")</f>
        <v>N/A</v>
      </c>
      <c r="L205" s="18" t="str">
        <f ca="1">IFERROR(__xludf.DUMMYFUNCTION("""COMPUTED_VALUE"""),"N/A")</f>
        <v>N/A</v>
      </c>
      <c r="M205" s="18" t="str">
        <f ca="1">IFERROR(__xludf.DUMMYFUNCTION("""COMPUTED_VALUE"""),"N/A")</f>
        <v>N/A</v>
      </c>
      <c r="N205" s="18" t="str">
        <f ca="1">IFERROR(__xludf.DUMMYFUNCTION("""COMPUTED_VALUE"""),"N/A")</f>
        <v>N/A</v>
      </c>
      <c r="O205" s="18" t="str">
        <f ca="1">IFERROR(__xludf.DUMMYFUNCTION("""COMPUTED_VALUE"""),"N/A")</f>
        <v>N/A</v>
      </c>
      <c r="P205" s="18" t="str">
        <f ca="1">IFERROR(__xludf.DUMMYFUNCTION("""COMPUTED_VALUE"""),"""remote_device_0"",""remote_device_1"",""remote_device_2"",""remote_device_3"",""remote_device_4"",""remote_device_5"",""remote_device_6"",""remote_device_7"",""remote_device_8"",""remote_device_9"",""remote_device_10"",""remote_device_11"",""remote_devi"&amp;"ce_12"",""remote_device_13"",""remote_device_14"",""remote_device_15"",""remote_device_16"",""remote_device_17"",""remote_device_18"",""remote_device_19"",""remote_device_20"",""remote_device_21"",""remote_device_22"",""remote_device_23"",""remote_device_"&amp;"24"",""remote_device_25"",""remote_device_26"",""remote_device_27"",""remote_device_28"",""remote_device_29"",""remote_device_30"",""remote_device_31"",""local_internal_sensor"",""local_external_sensor_1"",""local_external_sensor_2"",""local_external_sens"&amp;"or_3"",""local_external_sensor_4"",""none""")</f>
        <v>"remote_device_0","remote_device_1","remote_device_2","remote_device_3","remote_device_4","remote_device_5","remote_device_6","remote_device_7","remote_device_8","remote_device_9","remote_device_10","remote_device_11","remote_device_12","remote_device_13","remote_device_14","remote_device_15","remote_device_16","remote_device_17","remote_device_18","remote_device_19","remote_device_20","remote_device_21","remote_device_22","remote_device_23","remote_device_24","remote_device_25","remote_device_26","remote_device_27","remote_device_28","remote_device_29","remote_device_30","remote_device_31","local_internal_sensor","local_external_sensor_1","local_external_sensor_2","local_external_sensor_3","local_external_sensor_4","none"</v>
      </c>
      <c r="Q205" s="18" t="str">
        <f ca="1">IFERROR(__xludf.DUMMYFUNCTION("""COMPUTED_VALUE"""),"N/A")</f>
        <v>N/A</v>
      </c>
      <c r="R205" s="18" t="str">
        <f ca="1">IFERROR(__xludf.DUMMYFUNCTION("""COMPUTED_VALUE"""),"N/A")</f>
        <v>N/A</v>
      </c>
      <c r="S205" s="18" t="str">
        <f ca="1">IFERROR(__xludf.DUMMYFUNCTION("""COMPUTED_VALUE"""),"""local_internal_sensor""")</f>
        <v>"local_internal_sensor"</v>
      </c>
      <c r="T205" s="18" t="str">
        <f ca="1">IFERROR(__xludf.DUMMYFUNCTION("""COMPUTED_VALUE"""),"0xF04F")</f>
        <v>0xF04F</v>
      </c>
      <c r="U205" s="18" t="str">
        <f ca="1">IFERROR(__xludf.DUMMYFUNCTION("""COMPUTED_VALUE"""),"0x0A")</f>
        <v>0x0A</v>
      </c>
      <c r="V205" s="18" t="str">
        <f ca="1">IFERROR(__xludf.DUMMYFUNCTION("""COMPUTED_VALUE"""),"0x0104")</f>
        <v>0x0104</v>
      </c>
      <c r="W205" s="18" t="str">
        <f ca="1">IFERROR(__xludf.DUMMYFUNCTION("""COMPUTED_VALUE"""),"0x0201")</f>
        <v>0x0201</v>
      </c>
      <c r="X205" s="18" t="str">
        <f ca="1">IFERROR(__xludf.DUMMYFUNCTION("""COMPUTED_VALUE"""),"0x30")</f>
        <v>0x30</v>
      </c>
      <c r="Y205" s="18" t="e">
        <f ca="1"/>
        <v>#NAME?</v>
      </c>
      <c r="Z205" s="18" t="str">
        <f ca="1">IFERROR(__xludf.DUMMYFUNCTION("""COMPUTED_VALUE"""),"lambdax:{'remote_device_0':0,'remote_device_1':1,'remote_device_2':2,'remote_device_3':3,'remote_device_4':4,'remote_device_5':5,'remote_device_6':6,'remote_device_7':7,'remote_device_8':8,'remote_device_9':9,'remote_device_10':10,'remote_device_11':11,'r"&amp;"emote_device_12':12,'remote_device_13':13,'remote_device_14':14,'remote_device_15':15,'remote_device_16':16,'remote_device_17':17,'remote_device_18':18,'remote_device_19':19,'remote_device_20':20,'remote_device_21':21,'remote_device_22':22,'remote_device_"&amp;"23':23,'remote_device_24':24,'remote_device_25':25,'remote_device_26':26,'remote_device_27':27,'remote_device_28':28,'remote_device_29':29,'remote_device_30':30,'remote_device_31':31,'local_internal_sensor':32,'local_external_sensor_1':33,'local_external_"&amp;"sensor_2':34,'local_external_sensor_3':35,'local_external_sensor_4':36,'none':255}[x]")</f>
        <v>lambdax:{'remote_device_0':0,'remote_device_1':1,'remote_device_2':2,'remote_device_3':3,'remote_device_4':4,'remote_device_5':5,'remote_device_6':6,'remote_device_7':7,'remote_device_8':8,'remote_device_9':9,'remote_device_10':10,'remote_device_11':11,'remote_device_12':12,'remote_device_13':13,'remote_device_14':14,'remote_device_15':15,'remote_device_16':16,'remote_device_17':17,'remote_device_18':18,'remote_device_19':19,'remote_device_20':20,'remote_device_21':21,'remote_device_22':22,'remote_device_23':23,'remote_device_24':24,'remote_device_25':25,'remote_device_26':26,'remote_device_27':27,'remote_device_28':28,'remote_device_29':29,'remote_device_30':30,'remote_device_31':31,'local_internal_sensor':32,'local_external_sensor_1':33,'local_external_sensor_2':34,'local_external_sensor_3':35,'local_external_sensor_4':36,'none':255}[x]</v>
      </c>
      <c r="AA205" s="18" t="str">
        <f ca="1">IFERROR(__xludf.DUMMYFUNCTION("""COMPUTED_VALUE"""),"lambdax:{0:'remote_device_0',1:'remote_device_1',2:'remote_device_2',3:'remote_device_3',4:'remote_device_4',5:'remote_device_5',6:'remote_device_6',7:'remote_device_7',8:'remote_device_8',9:'remote_device_9',10:'remote_device_10',11:'remote_device_11',12"&amp;":'remote_device_12',13:'remote_device_13',14:'remote_device_14',15:'remote_device_15',16:'remote_device_16',17:'remote_device_17',18:'remote_device_18',19:'remote_device_19',20:'remote_device_20',21:'remote_device_21',22:'remote_device_22',23:'remote_devi"&amp;"ce_23',24:'remote_device_24',25:'remote_device_25',26:'remote_device_26',27:'remote_device_27',28:'remote_device_28',29:'remote_device_29',30:'remote_device_30',31:'remote_device_31',32:'local_internal_sensor',33:'local_external_sensor_1',34:'local_extern"&amp;"al_sensor_2',35:'local_external_sensor_3',36:'local_external_sensor_4',255:'none'}.get(x,'unknown')")</f>
        <v>lambdax:{0:'remote_device_0',1:'remote_device_1',2:'remote_device_2',3:'remote_device_3',4:'remote_device_4',5:'remote_device_5',6:'remote_device_6',7:'remote_device_7',8:'remote_device_8',9:'remote_device_9',10:'remote_device_10',11:'remote_device_11',12:'remote_device_12',13:'remote_device_13',14:'remote_device_14',15:'remote_device_15',16:'remote_device_16',17:'remote_device_17',18:'remote_device_18',19:'remote_device_19',20:'remote_device_20',21:'remote_device_21',22:'remote_device_22',23:'remote_device_23',24:'remote_device_24',25:'remote_device_25',26:'remote_device_26',27:'remote_device_27',28:'remote_device_28',29:'remote_device_29',30:'remote_device_30',31:'remote_device_31',32:'local_internal_sensor',33:'local_external_sensor_1',34:'local_external_sensor_2',35:'local_external_sensor_3',36:'local_external_sensor_4',255:'none'}.get(x,'unknown')</v>
      </c>
      <c r="AC205" s="59" t="s">
        <v>1281</v>
      </c>
      <c r="AD205" s="59" t="s">
        <v>1281</v>
      </c>
      <c r="AE205" s="59" t="s">
        <v>1301</v>
      </c>
      <c r="AF205" s="59" t="s">
        <v>1308</v>
      </c>
      <c r="AG205" s="59" t="s">
        <v>1308</v>
      </c>
      <c r="AH205" s="59" t="s">
        <v>1311</v>
      </c>
      <c r="AI205" s="59" t="s">
        <v>1314</v>
      </c>
      <c r="AJ205" s="59" t="s">
        <v>1314</v>
      </c>
      <c r="AK205" s="59" t="s">
        <v>1314</v>
      </c>
      <c r="AL205" s="59" t="s">
        <v>1314</v>
      </c>
      <c r="AM205" s="59" t="s">
        <v>1314</v>
      </c>
      <c r="AN205" s="59" t="s">
        <v>1320</v>
      </c>
      <c r="AO205" s="59" t="s">
        <v>1320</v>
      </c>
      <c r="AP205" s="59" t="s">
        <v>1321</v>
      </c>
      <c r="AQ205" s="59" t="s">
        <v>1289</v>
      </c>
      <c r="AR205" s="59" t="s">
        <v>1289</v>
      </c>
      <c r="AS205" s="59" t="s">
        <v>1319</v>
      </c>
      <c r="AT205" s="59" t="s">
        <v>1322</v>
      </c>
    </row>
    <row r="206" spans="1:46" x14ac:dyDescent="0.25">
      <c r="A206" s="18" t="str">
        <v>local_secondary_temp_sensors:{"type":"attribute","data_type":"uint8","is_readonly":false,"reporting_type":"polled","poll_freq":86400,"default_value":0,"zigbee_metadata":{"attr_id":61520,"endpoint_id":10,"profile_id":260,"cluster_id":513,"zcl_data_type":24}},</v>
      </c>
      <c r="B206" s="52" t="str">
        <f ca="1"/>
        <v>0x0201 0xF050</v>
      </c>
      <c r="C206" s="52" t="str">
        <f ca="1">IFERROR(__xludf.DUMMYFUNCTION("""COMPUTED_VALUE"""),"local_secondary_temp_sensors")</f>
        <v>local_secondary_temp_sensors</v>
      </c>
      <c r="D206" s="18" t="str">
        <f ca="1">IFERROR(__xludf.DUMMYFUNCTION("""COMPUTED_VALUE"""),"attribute")</f>
        <v>attribute</v>
      </c>
      <c r="E206" s="18" t="str">
        <f ca="1">IFERROR(__xludf.DUMMYFUNCTION("""COMPUTED_VALUE"""),"uint8")</f>
        <v>uint8</v>
      </c>
      <c r="F206" s="18" t="str">
        <f ca="1">IFERROR(__xludf.DUMMYFUNCTION("""COMPUTED_VALUE"""),"false")</f>
        <v>false</v>
      </c>
      <c r="G206" s="18" t="str">
        <f ca="1">IFERROR(__xludf.DUMMYFUNCTION("""COMPUTED_VALUE"""),"polled")</f>
        <v>polled</v>
      </c>
      <c r="H206" s="18" t="str">
        <f ca="1">IFERROR(__xludf.DUMMYFUNCTION("""COMPUTED_VALUE"""),"86400")</f>
        <v>86400</v>
      </c>
      <c r="I206" s="18" t="str">
        <f ca="1">IFERROR(__xludf.DUMMYFUNCTION("""COMPUTED_VALUE"""),"N/A")</f>
        <v>N/A</v>
      </c>
      <c r="J206" s="18" t="str">
        <f ca="1">IFERROR(__xludf.DUMMYFUNCTION("""COMPUTED_VALUE"""),"N/A")</f>
        <v>N/A</v>
      </c>
      <c r="K206" s="18" t="str">
        <f ca="1">IFERROR(__xludf.DUMMYFUNCTION("""COMPUTED_VALUE"""),"N/A")</f>
        <v>N/A</v>
      </c>
      <c r="L206" s="18" t="str">
        <f ca="1">IFERROR(__xludf.DUMMYFUNCTION("""COMPUTED_VALUE"""),"N/A")</f>
        <v>N/A</v>
      </c>
      <c r="M206" s="18" t="str">
        <f ca="1">IFERROR(__xludf.DUMMYFUNCTION("""COMPUTED_VALUE"""),"N/A")</f>
        <v>N/A</v>
      </c>
      <c r="N206" s="18" t="str">
        <f ca="1">IFERROR(__xludf.DUMMYFUNCTION("""COMPUTED_VALUE"""),"N/A")</f>
        <v>N/A</v>
      </c>
      <c r="O206" s="18" t="str">
        <f ca="1">IFERROR(__xludf.DUMMYFUNCTION("""COMPUTED_VALUE"""),"N/A")</f>
        <v>N/A</v>
      </c>
      <c r="P206" s="18" t="str">
        <f ca="1">IFERROR(__xludf.DUMMYFUNCTION("""COMPUTED_VALUE"""),"N/A")</f>
        <v>N/A</v>
      </c>
      <c r="Q206" s="18" t="str">
        <f ca="1">IFERROR(__xludf.DUMMYFUNCTION("""COMPUTED_VALUE"""),"N/A")</f>
        <v>N/A</v>
      </c>
      <c r="R206" s="18" t="str">
        <f ca="1">IFERROR(__xludf.DUMMYFUNCTION("""COMPUTED_VALUE"""),"N/A")</f>
        <v>N/A</v>
      </c>
      <c r="S206" s="18" t="str">
        <f ca="1">IFERROR(__xludf.DUMMYFUNCTION("""COMPUTED_VALUE"""),"0")</f>
        <v>0</v>
      </c>
      <c r="T206" s="18" t="str">
        <f ca="1">IFERROR(__xludf.DUMMYFUNCTION("""COMPUTED_VALUE"""),"0xF050")</f>
        <v>0xF050</v>
      </c>
      <c r="U206" s="18" t="str">
        <f ca="1">IFERROR(__xludf.DUMMYFUNCTION("""COMPUTED_VALUE"""),"0x0A")</f>
        <v>0x0A</v>
      </c>
      <c r="V206" s="18" t="str">
        <f ca="1">IFERROR(__xludf.DUMMYFUNCTION("""COMPUTED_VALUE"""),"0x0104")</f>
        <v>0x0104</v>
      </c>
      <c r="W206" s="18" t="str">
        <f ca="1">IFERROR(__xludf.DUMMYFUNCTION("""COMPUTED_VALUE"""),"0x0201")</f>
        <v>0x0201</v>
      </c>
      <c r="X206" s="18" t="str">
        <f ca="1">IFERROR(__xludf.DUMMYFUNCTION("""COMPUTED_VALUE"""),"0x18")</f>
        <v>0x18</v>
      </c>
      <c r="Y206" s="18" t="e">
        <f ca="1"/>
        <v>#NAME?</v>
      </c>
      <c r="Z206" s="18" t="str">
        <f ca="1">IFERROR(__xludf.DUMMYFUNCTION("""COMPUTED_VALUE"""),"N/A")</f>
        <v>N/A</v>
      </c>
      <c r="AA206" s="18" t="str">
        <f ca="1">IFERROR(__xludf.DUMMYFUNCTION("""COMPUTED_VALUE"""),"N/A")</f>
        <v>N/A</v>
      </c>
      <c r="AC206" s="59" t="s">
        <v>1284</v>
      </c>
      <c r="AD206" s="59" t="s">
        <v>1284</v>
      </c>
      <c r="AE206" s="59" t="s">
        <v>1305</v>
      </c>
      <c r="AF206" s="59" t="s">
        <v>1311</v>
      </c>
      <c r="AG206" s="59" t="s">
        <v>1311</v>
      </c>
      <c r="AH206" s="59" t="s">
        <v>1314</v>
      </c>
      <c r="AI206" s="59" t="s">
        <v>1317</v>
      </c>
      <c r="AJ206" s="59" t="s">
        <v>1317</v>
      </c>
      <c r="AK206" s="59" t="s">
        <v>1317</v>
      </c>
      <c r="AL206" s="59" t="s">
        <v>1317</v>
      </c>
      <c r="AM206" s="59" t="s">
        <v>1317</v>
      </c>
      <c r="AN206" s="59" t="s">
        <v>1323</v>
      </c>
      <c r="AO206" s="59" t="s">
        <v>1323</v>
      </c>
      <c r="AP206" s="59" t="s">
        <v>1324</v>
      </c>
      <c r="AQ206" s="59" t="s">
        <v>1292</v>
      </c>
      <c r="AR206" s="59" t="s">
        <v>1292</v>
      </c>
      <c r="AS206" s="59" t="s">
        <v>1322</v>
      </c>
      <c r="AT206" s="59" t="s">
        <v>1325</v>
      </c>
    </row>
    <row r="207" spans="1:46" x14ac:dyDescent="0.25">
      <c r="A207" s="18" t="str">
        <v>remote_secondary_temp_sensors:{"type":"attribute","data_type":"uint32","is_readonly":false,"reporting_type":"polled","poll_freq":86400,"default_value":0,"zigbee_metadata":{"attr_id":61521,"endpoint_id":10,"profile_id":260,"cluster_id":513,"zcl_data_type":27}},</v>
      </c>
      <c r="B207" s="52" t="str">
        <f ca="1"/>
        <v>0x0201 0xF051</v>
      </c>
      <c r="C207" s="52" t="str">
        <f ca="1">IFERROR(__xludf.DUMMYFUNCTION("""COMPUTED_VALUE"""),"remote_secondary_temp_sensors")</f>
        <v>remote_secondary_temp_sensors</v>
      </c>
      <c r="D207" s="18" t="str">
        <f ca="1">IFERROR(__xludf.DUMMYFUNCTION("""COMPUTED_VALUE"""),"attribute")</f>
        <v>attribute</v>
      </c>
      <c r="E207" s="18" t="str">
        <f ca="1">IFERROR(__xludf.DUMMYFUNCTION("""COMPUTED_VALUE"""),"uint32")</f>
        <v>uint32</v>
      </c>
      <c r="F207" s="18" t="str">
        <f ca="1">IFERROR(__xludf.DUMMYFUNCTION("""COMPUTED_VALUE"""),"false")</f>
        <v>false</v>
      </c>
      <c r="G207" s="18" t="str">
        <f ca="1">IFERROR(__xludf.DUMMYFUNCTION("""COMPUTED_VALUE"""),"polled")</f>
        <v>polled</v>
      </c>
      <c r="H207" s="18" t="str">
        <f ca="1">IFERROR(__xludf.DUMMYFUNCTION("""COMPUTED_VALUE"""),"86400")</f>
        <v>86400</v>
      </c>
      <c r="I207" s="18" t="str">
        <f ca="1">IFERROR(__xludf.DUMMYFUNCTION("""COMPUTED_VALUE"""),"N/A")</f>
        <v>N/A</v>
      </c>
      <c r="J207" s="18" t="str">
        <f ca="1">IFERROR(__xludf.DUMMYFUNCTION("""COMPUTED_VALUE"""),"N/A")</f>
        <v>N/A</v>
      </c>
      <c r="K207" s="18" t="str">
        <f ca="1">IFERROR(__xludf.DUMMYFUNCTION("""COMPUTED_VALUE"""),"N/A")</f>
        <v>N/A</v>
      </c>
      <c r="L207" s="18" t="str">
        <f ca="1">IFERROR(__xludf.DUMMYFUNCTION("""COMPUTED_VALUE"""),"N/A")</f>
        <v>N/A</v>
      </c>
      <c r="M207" s="18" t="str">
        <f ca="1">IFERROR(__xludf.DUMMYFUNCTION("""COMPUTED_VALUE"""),"N/A")</f>
        <v>N/A</v>
      </c>
      <c r="N207" s="18" t="str">
        <f ca="1">IFERROR(__xludf.DUMMYFUNCTION("""COMPUTED_VALUE"""),"N/A")</f>
        <v>N/A</v>
      </c>
      <c r="O207" s="18" t="str">
        <f ca="1">IFERROR(__xludf.DUMMYFUNCTION("""COMPUTED_VALUE"""),"N/A")</f>
        <v>N/A</v>
      </c>
      <c r="P207" s="18" t="str">
        <f ca="1">IFERROR(__xludf.DUMMYFUNCTION("""COMPUTED_VALUE"""),"N/A")</f>
        <v>N/A</v>
      </c>
      <c r="Q207" s="18" t="str">
        <f ca="1">IFERROR(__xludf.DUMMYFUNCTION("""COMPUTED_VALUE"""),"N/A")</f>
        <v>N/A</v>
      </c>
      <c r="R207" s="18" t="str">
        <f ca="1">IFERROR(__xludf.DUMMYFUNCTION("""COMPUTED_VALUE"""),"N/A")</f>
        <v>N/A</v>
      </c>
      <c r="S207" s="18" t="str">
        <f ca="1">IFERROR(__xludf.DUMMYFUNCTION("""COMPUTED_VALUE"""),"0")</f>
        <v>0</v>
      </c>
      <c r="T207" s="18" t="str">
        <f ca="1">IFERROR(__xludf.DUMMYFUNCTION("""COMPUTED_VALUE"""),"0xF051")</f>
        <v>0xF051</v>
      </c>
      <c r="U207" s="18" t="str">
        <f ca="1">IFERROR(__xludf.DUMMYFUNCTION("""COMPUTED_VALUE"""),"0x0A")</f>
        <v>0x0A</v>
      </c>
      <c r="V207" s="18" t="str">
        <f ca="1">IFERROR(__xludf.DUMMYFUNCTION("""COMPUTED_VALUE"""),"0x0104")</f>
        <v>0x0104</v>
      </c>
      <c r="W207" s="18" t="str">
        <f ca="1">IFERROR(__xludf.DUMMYFUNCTION("""COMPUTED_VALUE"""),"0x0201")</f>
        <v>0x0201</v>
      </c>
      <c r="X207" s="18" t="str">
        <f ca="1">IFERROR(__xludf.DUMMYFUNCTION("""COMPUTED_VALUE"""),"0x1B")</f>
        <v>0x1B</v>
      </c>
      <c r="Y207" s="18" t="e">
        <f ca="1"/>
        <v>#NAME?</v>
      </c>
      <c r="Z207" s="18" t="str">
        <f ca="1">IFERROR(__xludf.DUMMYFUNCTION("""COMPUTED_VALUE"""),"N/A")</f>
        <v>N/A</v>
      </c>
      <c r="AA207" s="18" t="str">
        <f ca="1">IFERROR(__xludf.DUMMYFUNCTION("""COMPUTED_VALUE"""),"N/A")</f>
        <v>N/A</v>
      </c>
      <c r="AC207" s="59" t="s">
        <v>1287</v>
      </c>
      <c r="AD207" s="59" t="s">
        <v>1287</v>
      </c>
      <c r="AE207" s="59" t="s">
        <v>1308</v>
      </c>
      <c r="AF207" s="59" t="s">
        <v>1314</v>
      </c>
      <c r="AG207" s="59" t="s">
        <v>1314</v>
      </c>
      <c r="AH207" s="59" t="s">
        <v>1317</v>
      </c>
      <c r="AI207" s="59" t="s">
        <v>1320</v>
      </c>
      <c r="AJ207" s="59" t="s">
        <v>1320</v>
      </c>
      <c r="AK207" s="59" t="s">
        <v>1320</v>
      </c>
      <c r="AL207" s="59" t="s">
        <v>1320</v>
      </c>
      <c r="AM207" s="59" t="s">
        <v>1320</v>
      </c>
      <c r="AN207" s="59" t="s">
        <v>1326</v>
      </c>
      <c r="AO207" s="59" t="s">
        <v>1326</v>
      </c>
      <c r="AP207" s="59" t="s">
        <v>1327</v>
      </c>
      <c r="AQ207" s="59" t="s">
        <v>1295</v>
      </c>
      <c r="AR207" s="59" t="s">
        <v>1295</v>
      </c>
      <c r="AS207" s="59" t="s">
        <v>1325</v>
      </c>
      <c r="AT207" s="59" t="s">
        <v>1328</v>
      </c>
    </row>
    <row r="208" spans="1:46" x14ac:dyDescent="0.25">
      <c r="A208" s="18" t="str">
        <v>temp_sensors_online:{"type":"attribute","data_type":"uint32","is_readonly":true,"reporting_type":"reported","report_max":3600,"report_min":0,"zigbee_metadata":{"attr_id":61522,"endpoint_id":10,"profile_id":260,"cluster_id":513,"zcl_data_type":27}},</v>
      </c>
      <c r="B208" s="52" t="str">
        <f ca="1"/>
        <v>0x0201 0xF052</v>
      </c>
      <c r="C208" s="52" t="str">
        <f ca="1">IFERROR(__xludf.DUMMYFUNCTION("""COMPUTED_VALUE"""),"temp_sensors_online")</f>
        <v>temp_sensors_online</v>
      </c>
      <c r="D208" s="18" t="str">
        <f ca="1">IFERROR(__xludf.DUMMYFUNCTION("""COMPUTED_VALUE"""),"attribute")</f>
        <v>attribute</v>
      </c>
      <c r="E208" s="18" t="str">
        <f ca="1">IFERROR(__xludf.DUMMYFUNCTION("""COMPUTED_VALUE"""),"uint32")</f>
        <v>uint32</v>
      </c>
      <c r="F208" s="18" t="str">
        <f ca="1">IFERROR(__xludf.DUMMYFUNCTION("""COMPUTED_VALUE"""),"true")</f>
        <v>true</v>
      </c>
      <c r="G208" s="18" t="str">
        <f ca="1">IFERROR(__xludf.DUMMYFUNCTION("""COMPUTED_VALUE"""),"reported")</f>
        <v>reported</v>
      </c>
      <c r="H208" s="18" t="str">
        <f ca="1">IFERROR(__xludf.DUMMYFUNCTION("""COMPUTED_VALUE"""),"N/A")</f>
        <v>N/A</v>
      </c>
      <c r="I208" s="18" t="str">
        <f ca="1">IFERROR(__xludf.DUMMYFUNCTION("""COMPUTED_VALUE"""),"3600")</f>
        <v>3600</v>
      </c>
      <c r="J208" s="18" t="str">
        <f ca="1">IFERROR(__xludf.DUMMYFUNCTION("""COMPUTED_VALUE"""),"0")</f>
        <v>0</v>
      </c>
      <c r="K208" s="18" t="str">
        <f ca="1">IFERROR(__xludf.DUMMYFUNCTION("""COMPUTED_VALUE"""),"N/A")</f>
        <v>N/A</v>
      </c>
      <c r="L208" s="18" t="str">
        <f ca="1">IFERROR(__xludf.DUMMYFUNCTION("""COMPUTED_VALUE"""),"N/A")</f>
        <v>N/A</v>
      </c>
      <c r="M208" s="18" t="str">
        <f ca="1">IFERROR(__xludf.DUMMYFUNCTION("""COMPUTED_VALUE"""),"N/A")</f>
        <v>N/A</v>
      </c>
      <c r="N208" s="18" t="str">
        <f ca="1">IFERROR(__xludf.DUMMYFUNCTION("""COMPUTED_VALUE"""),"N/A")</f>
        <v>N/A</v>
      </c>
      <c r="O208" s="18" t="str">
        <f ca="1">IFERROR(__xludf.DUMMYFUNCTION("""COMPUTED_VALUE"""),"N/A")</f>
        <v>N/A</v>
      </c>
      <c r="P208" s="18" t="str">
        <f ca="1">IFERROR(__xludf.DUMMYFUNCTION("""COMPUTED_VALUE"""),"N/A")</f>
        <v>N/A</v>
      </c>
      <c r="Q208" s="18" t="str">
        <f ca="1">IFERROR(__xludf.DUMMYFUNCTION("""COMPUTED_VALUE"""),"N/A")</f>
        <v>N/A</v>
      </c>
      <c r="R208" s="18" t="str">
        <f ca="1">IFERROR(__xludf.DUMMYFUNCTION("""COMPUTED_VALUE"""),"N/A")</f>
        <v>N/A</v>
      </c>
      <c r="S208" s="18" t="str">
        <f ca="1">IFERROR(__xludf.DUMMYFUNCTION("""COMPUTED_VALUE"""),"N/A")</f>
        <v>N/A</v>
      </c>
      <c r="T208" s="18" t="str">
        <f ca="1">IFERROR(__xludf.DUMMYFUNCTION("""COMPUTED_VALUE"""),"0xF052")</f>
        <v>0xF052</v>
      </c>
      <c r="U208" s="18" t="str">
        <f ca="1">IFERROR(__xludf.DUMMYFUNCTION("""COMPUTED_VALUE"""),"0x0A")</f>
        <v>0x0A</v>
      </c>
      <c r="V208" s="18" t="str">
        <f ca="1">IFERROR(__xludf.DUMMYFUNCTION("""COMPUTED_VALUE"""),"0x0104")</f>
        <v>0x0104</v>
      </c>
      <c r="W208" s="18" t="str">
        <f ca="1">IFERROR(__xludf.DUMMYFUNCTION("""COMPUTED_VALUE"""),"0x0201")</f>
        <v>0x0201</v>
      </c>
      <c r="X208" s="18" t="str">
        <f ca="1">IFERROR(__xludf.DUMMYFUNCTION("""COMPUTED_VALUE"""),"0x1B")</f>
        <v>0x1B</v>
      </c>
      <c r="Y208" s="18" t="e">
        <f ca="1"/>
        <v>#NAME?</v>
      </c>
      <c r="Z208" s="18" t="str">
        <f ca="1">IFERROR(__xludf.DUMMYFUNCTION("""COMPUTED_VALUE"""),"N/A")</f>
        <v>N/A</v>
      </c>
      <c r="AA208" s="18" t="str">
        <f ca="1">IFERROR(__xludf.DUMMYFUNCTION("""COMPUTED_VALUE"""),"N/A")</f>
        <v>N/A</v>
      </c>
      <c r="AC208" s="59" t="s">
        <v>1290</v>
      </c>
      <c r="AD208" s="59" t="s">
        <v>1290</v>
      </c>
      <c r="AE208" s="59" t="s">
        <v>1311</v>
      </c>
      <c r="AF208" s="59" t="s">
        <v>1317</v>
      </c>
      <c r="AG208" s="59" t="s">
        <v>1317</v>
      </c>
      <c r="AH208" s="59" t="s">
        <v>1320</v>
      </c>
      <c r="AI208" s="59" t="s">
        <v>1323</v>
      </c>
      <c r="AJ208" s="59" t="s">
        <v>1323</v>
      </c>
      <c r="AK208" s="59" t="s">
        <v>1323</v>
      </c>
      <c r="AL208" s="59" t="s">
        <v>1323</v>
      </c>
      <c r="AM208" s="59" t="s">
        <v>1323</v>
      </c>
      <c r="AN208" s="59" t="s">
        <v>1329</v>
      </c>
      <c r="AO208" s="59" t="s">
        <v>1329</v>
      </c>
      <c r="AP208" s="59" t="s">
        <v>1330</v>
      </c>
      <c r="AQ208" s="59" t="s">
        <v>1298</v>
      </c>
      <c r="AR208" s="59" t="s">
        <v>1298</v>
      </c>
      <c r="AS208" s="59" t="s">
        <v>1328</v>
      </c>
      <c r="AT208" s="59" t="s">
        <v>1331</v>
      </c>
    </row>
    <row r="209" spans="1:46" x14ac:dyDescent="0.25">
      <c r="A209" s="18" t="str">
        <v>ventilation_option:{"type":"attribute","data_type":"enum","is_readonly":false,"reporting_type":"polled","poll_freq":86400,"enum_values":["none","standard","smart"],"default_value":"none","zigbee_metadata":{"attr_id":61760,"endpoint_id":10,"profile_id":260,"cluster_id":513,"zcl_data_type":48,"write_formatter":"lambdax:{'none':0,'standard':1,'smart':2}[x]","read_formatter":"lambdax:{0:'none',1:'standard',2:'smart'}.get(x,'unknown')"}},</v>
      </c>
      <c r="B209" s="52" t="str">
        <f ca="1"/>
        <v>0x0201 0xF140</v>
      </c>
      <c r="C209" s="52" t="str">
        <f ca="1">IFERROR(__xludf.DUMMYFUNCTION("""COMPUTED_VALUE"""),"ventilation_option")</f>
        <v>ventilation_option</v>
      </c>
      <c r="D209" s="18" t="str">
        <f ca="1">IFERROR(__xludf.DUMMYFUNCTION("""COMPUTED_VALUE"""),"attribute")</f>
        <v>attribute</v>
      </c>
      <c r="E209" s="18" t="str">
        <f ca="1">IFERROR(__xludf.DUMMYFUNCTION("""COMPUTED_VALUE"""),"enum")</f>
        <v>enum</v>
      </c>
      <c r="F209" s="18" t="str">
        <f ca="1">IFERROR(__xludf.DUMMYFUNCTION("""COMPUTED_VALUE"""),"false")</f>
        <v>false</v>
      </c>
      <c r="G209" s="18" t="str">
        <f ca="1">IFERROR(__xludf.DUMMYFUNCTION("""COMPUTED_VALUE"""),"polled")</f>
        <v>polled</v>
      </c>
      <c r="H209" s="18" t="str">
        <f ca="1">IFERROR(__xludf.DUMMYFUNCTION("""COMPUTED_VALUE"""),"86400")</f>
        <v>86400</v>
      </c>
      <c r="I209" s="18" t="str">
        <f ca="1">IFERROR(__xludf.DUMMYFUNCTION("""COMPUTED_VALUE"""),"N/A")</f>
        <v>N/A</v>
      </c>
      <c r="J209" s="18" t="str">
        <f ca="1">IFERROR(__xludf.DUMMYFUNCTION("""COMPUTED_VALUE"""),"N/A")</f>
        <v>N/A</v>
      </c>
      <c r="K209" s="18" t="str">
        <f ca="1">IFERROR(__xludf.DUMMYFUNCTION("""COMPUTED_VALUE"""),"N/A")</f>
        <v>N/A</v>
      </c>
      <c r="L209" s="18" t="str">
        <f ca="1">IFERROR(__xludf.DUMMYFUNCTION("""COMPUTED_VALUE"""),"N/A")</f>
        <v>N/A</v>
      </c>
      <c r="M209" s="18" t="str">
        <f ca="1">IFERROR(__xludf.DUMMYFUNCTION("""COMPUTED_VALUE"""),"N/A")</f>
        <v>N/A</v>
      </c>
      <c r="N209" s="18" t="str">
        <f ca="1">IFERROR(__xludf.DUMMYFUNCTION("""COMPUTED_VALUE"""),"N/A")</f>
        <v>N/A</v>
      </c>
      <c r="O209" s="18" t="str">
        <f ca="1">IFERROR(__xludf.DUMMYFUNCTION("""COMPUTED_VALUE"""),"N/A")</f>
        <v>N/A</v>
      </c>
      <c r="P209" s="18" t="str">
        <f ca="1">IFERROR(__xludf.DUMMYFUNCTION("""COMPUTED_VALUE"""),"""none"",""standard"",""smart""")</f>
        <v>"none","standard","smart"</v>
      </c>
      <c r="Q209" s="18" t="str">
        <f ca="1">IFERROR(__xludf.DUMMYFUNCTION("""COMPUTED_VALUE"""),"N/A")</f>
        <v>N/A</v>
      </c>
      <c r="R209" s="18" t="str">
        <f ca="1">IFERROR(__xludf.DUMMYFUNCTION("""COMPUTED_VALUE"""),"N/A")</f>
        <v>N/A</v>
      </c>
      <c r="S209" s="18" t="str">
        <f ca="1">IFERROR(__xludf.DUMMYFUNCTION("""COMPUTED_VALUE"""),"""none""")</f>
        <v>"none"</v>
      </c>
      <c r="T209" s="18" t="str">
        <f ca="1">IFERROR(__xludf.DUMMYFUNCTION("""COMPUTED_VALUE"""),"0xF140")</f>
        <v>0xF140</v>
      </c>
      <c r="U209" s="18" t="str">
        <f ca="1">IFERROR(__xludf.DUMMYFUNCTION("""COMPUTED_VALUE"""),"0x0A")</f>
        <v>0x0A</v>
      </c>
      <c r="V209" s="18" t="str">
        <f ca="1">IFERROR(__xludf.DUMMYFUNCTION("""COMPUTED_VALUE"""),"0x0104")</f>
        <v>0x0104</v>
      </c>
      <c r="W209" s="18" t="str">
        <f ca="1">IFERROR(__xludf.DUMMYFUNCTION("""COMPUTED_VALUE"""),"0x0201")</f>
        <v>0x0201</v>
      </c>
      <c r="X209" s="18" t="str">
        <f ca="1">IFERROR(__xludf.DUMMYFUNCTION("""COMPUTED_VALUE"""),"0x30")</f>
        <v>0x30</v>
      </c>
      <c r="Y209" s="18" t="e">
        <f ca="1"/>
        <v>#NAME?</v>
      </c>
      <c r="Z209" s="18" t="str">
        <f ca="1">IFERROR(__xludf.DUMMYFUNCTION("""COMPUTED_VALUE"""),"lambdax:{'none':0,'standard':1,'smart':2}[x]")</f>
        <v>lambdax:{'none':0,'standard':1,'smart':2}[x]</v>
      </c>
      <c r="AA209" s="18" t="str">
        <f ca="1">IFERROR(__xludf.DUMMYFUNCTION("""COMPUTED_VALUE"""),"lambdax:{0:'none',1:'standard',2:'smart'}.get(x,'unknown')")</f>
        <v>lambdax:{0:'none',1:'standard',2:'smart'}.get(x,'unknown')</v>
      </c>
      <c r="AC209" s="59" t="s">
        <v>1293</v>
      </c>
      <c r="AD209" s="59" t="s">
        <v>1293</v>
      </c>
      <c r="AE209" s="59" t="s">
        <v>1314</v>
      </c>
      <c r="AF209" s="59" t="s">
        <v>1320</v>
      </c>
      <c r="AG209" s="59" t="s">
        <v>1320</v>
      </c>
      <c r="AH209" s="59" t="s">
        <v>1323</v>
      </c>
      <c r="AI209" s="59" t="s">
        <v>1326</v>
      </c>
      <c r="AJ209" s="59" t="s">
        <v>1326</v>
      </c>
      <c r="AK209" s="59" t="s">
        <v>1326</v>
      </c>
      <c r="AL209" s="59" t="s">
        <v>1326</v>
      </c>
      <c r="AM209" s="59" t="s">
        <v>1326</v>
      </c>
      <c r="AN209" s="59" t="s">
        <v>1332</v>
      </c>
      <c r="AO209" s="59" t="s">
        <v>1332</v>
      </c>
      <c r="AP209" s="59" t="s">
        <v>1333</v>
      </c>
      <c r="AQ209" s="59" t="s">
        <v>1334</v>
      </c>
      <c r="AR209" s="59" t="s">
        <v>1303</v>
      </c>
      <c r="AS209" s="59" t="s">
        <v>1331</v>
      </c>
      <c r="AT209" s="59" t="s">
        <v>1335</v>
      </c>
    </row>
    <row r="210" spans="1:46" x14ac:dyDescent="0.25">
      <c r="A210" s="18" t="str">
        <v>standard_ventilation_duty_cycle:{"type":"attribute","data_type":"uint8","is_readonly":false,"reporting_type":"polled","poll_freq":86400,"max":60,"min":0,"default_value":15,"zigbee_metadata":{"attr_id":61761,"endpoint_id":10,"profile_id":260,"cluster_id":513,"zcl_data_type":32}},</v>
      </c>
      <c r="B210" s="52" t="str">
        <f ca="1"/>
        <v>0x0201 0xF141</v>
      </c>
      <c r="C210" s="52" t="str">
        <f ca="1">IFERROR(__xludf.DUMMYFUNCTION("""COMPUTED_VALUE"""),"standard_ventilation_duty_cycle")</f>
        <v>standard_ventilation_duty_cycle</v>
      </c>
      <c r="D210" s="18" t="str">
        <f ca="1">IFERROR(__xludf.DUMMYFUNCTION("""COMPUTED_VALUE"""),"attribute")</f>
        <v>attribute</v>
      </c>
      <c r="E210" s="18" t="str">
        <f ca="1">IFERROR(__xludf.DUMMYFUNCTION("""COMPUTED_VALUE"""),"uint8")</f>
        <v>uint8</v>
      </c>
      <c r="F210" s="18" t="str">
        <f ca="1">IFERROR(__xludf.DUMMYFUNCTION("""COMPUTED_VALUE"""),"false")</f>
        <v>false</v>
      </c>
      <c r="G210" s="18" t="str">
        <f ca="1">IFERROR(__xludf.DUMMYFUNCTION("""COMPUTED_VALUE"""),"polled")</f>
        <v>polled</v>
      </c>
      <c r="H210" s="18" t="str">
        <f ca="1">IFERROR(__xludf.DUMMYFUNCTION("""COMPUTED_VALUE"""),"86400")</f>
        <v>86400</v>
      </c>
      <c r="I210" s="18" t="str">
        <f ca="1">IFERROR(__xludf.DUMMYFUNCTION("""COMPUTED_VALUE"""),"N/A")</f>
        <v>N/A</v>
      </c>
      <c r="J210" s="18" t="str">
        <f ca="1">IFERROR(__xludf.DUMMYFUNCTION("""COMPUTED_VALUE"""),"N/A")</f>
        <v>N/A</v>
      </c>
      <c r="K210" s="18" t="str">
        <f ca="1">IFERROR(__xludf.DUMMYFUNCTION("""COMPUTED_VALUE"""),"N/A")</f>
        <v>N/A</v>
      </c>
      <c r="L210" s="18" t="str">
        <f ca="1">IFERROR(__xludf.DUMMYFUNCTION("""COMPUTED_VALUE"""),"60")</f>
        <v>60</v>
      </c>
      <c r="M210" s="18" t="str">
        <f ca="1">IFERROR(__xludf.DUMMYFUNCTION("""COMPUTED_VALUE"""),"0")</f>
        <v>0</v>
      </c>
      <c r="N210" s="18" t="str">
        <f ca="1">IFERROR(__xludf.DUMMYFUNCTION("""COMPUTED_VALUE"""),"N/A")</f>
        <v>N/A</v>
      </c>
      <c r="O210" s="18" t="str">
        <f ca="1">IFERROR(__xludf.DUMMYFUNCTION("""COMPUTED_VALUE"""),"N/A")</f>
        <v>N/A</v>
      </c>
      <c r="P210" s="18" t="str">
        <f ca="1">IFERROR(__xludf.DUMMYFUNCTION("""COMPUTED_VALUE"""),"N/A")</f>
        <v>N/A</v>
      </c>
      <c r="Q210" s="18" t="str">
        <f ca="1">IFERROR(__xludf.DUMMYFUNCTION("""COMPUTED_VALUE"""),"N/A")</f>
        <v>N/A</v>
      </c>
      <c r="R210" s="18" t="str">
        <f ca="1">IFERROR(__xludf.DUMMYFUNCTION("""COMPUTED_VALUE"""),"N/A")</f>
        <v>N/A</v>
      </c>
      <c r="S210" s="18" t="str">
        <f ca="1">IFERROR(__xludf.DUMMYFUNCTION("""COMPUTED_VALUE"""),"15")</f>
        <v>15</v>
      </c>
      <c r="T210" s="18" t="str">
        <f ca="1">IFERROR(__xludf.DUMMYFUNCTION("""COMPUTED_VALUE"""),"0xF141")</f>
        <v>0xF141</v>
      </c>
      <c r="U210" s="18" t="str">
        <f ca="1">IFERROR(__xludf.DUMMYFUNCTION("""COMPUTED_VALUE"""),"0x0A")</f>
        <v>0x0A</v>
      </c>
      <c r="V210" s="18" t="str">
        <f ca="1">IFERROR(__xludf.DUMMYFUNCTION("""COMPUTED_VALUE"""),"0x0104")</f>
        <v>0x0104</v>
      </c>
      <c r="W210" s="18" t="str">
        <f ca="1">IFERROR(__xludf.DUMMYFUNCTION("""COMPUTED_VALUE"""),"0x0201")</f>
        <v>0x0201</v>
      </c>
      <c r="X210" s="18" t="str">
        <f ca="1">IFERROR(__xludf.DUMMYFUNCTION("""COMPUTED_VALUE"""),"0x20")</f>
        <v>0x20</v>
      </c>
      <c r="Y210" s="18" t="e">
        <f ca="1"/>
        <v>#NAME?</v>
      </c>
      <c r="Z210" s="18" t="str">
        <f ca="1">IFERROR(__xludf.DUMMYFUNCTION("""COMPUTED_VALUE"""),"N/A")</f>
        <v>N/A</v>
      </c>
      <c r="AA210" s="18" t="str">
        <f ca="1">IFERROR(__xludf.DUMMYFUNCTION("""COMPUTED_VALUE"""),"N/A")</f>
        <v>N/A</v>
      </c>
      <c r="AC210" s="59" t="s">
        <v>1296</v>
      </c>
      <c r="AD210" s="59" t="s">
        <v>1296</v>
      </c>
      <c r="AE210" s="59" t="s">
        <v>1317</v>
      </c>
      <c r="AF210" s="59" t="s">
        <v>1323</v>
      </c>
      <c r="AG210" s="59" t="s">
        <v>1323</v>
      </c>
      <c r="AH210" s="59" t="s">
        <v>1326</v>
      </c>
      <c r="AI210" s="59" t="s">
        <v>1329</v>
      </c>
      <c r="AJ210" s="59" t="s">
        <v>1329</v>
      </c>
      <c r="AK210" s="59" t="s">
        <v>1329</v>
      </c>
      <c r="AL210" s="59" t="s">
        <v>1329</v>
      </c>
      <c r="AM210" s="59" t="s">
        <v>1329</v>
      </c>
      <c r="AN210" s="59" t="s">
        <v>1336</v>
      </c>
      <c r="AO210" s="59" t="s">
        <v>1336</v>
      </c>
      <c r="AP210" s="59" t="s">
        <v>1337</v>
      </c>
      <c r="AQ210" s="59" t="s">
        <v>1338</v>
      </c>
      <c r="AR210" s="59" t="s">
        <v>1304</v>
      </c>
      <c r="AS210" s="59" t="s">
        <v>1335</v>
      </c>
      <c r="AT210" s="59" t="s">
        <v>1339</v>
      </c>
    </row>
    <row r="211" spans="1:46" x14ac:dyDescent="0.25">
      <c r="A211" s="18" t="str">
        <v>smart_ventilation_home_size:{"type":"attribute","data_type":"uint16","is_readonly":false,"reporting_type":"polled","poll_freq":86400,"max":10000,"min":0,"default_value":2250,"zigbee_metadata":{"attr_id":61762,"endpoint_id":10,"profile_id":260,"cluster_id":513,"zcl_data_type":33}},</v>
      </c>
      <c r="B211" s="52" t="str">
        <f ca="1"/>
        <v>0x0201 0xF142</v>
      </c>
      <c r="C211" s="52" t="str">
        <f ca="1">IFERROR(__xludf.DUMMYFUNCTION("""COMPUTED_VALUE"""),"smart_ventilation_home_size")</f>
        <v>smart_ventilation_home_size</v>
      </c>
      <c r="D211" s="18" t="str">
        <f ca="1">IFERROR(__xludf.DUMMYFUNCTION("""COMPUTED_VALUE"""),"attribute")</f>
        <v>attribute</v>
      </c>
      <c r="E211" s="18" t="str">
        <f ca="1">IFERROR(__xludf.DUMMYFUNCTION("""COMPUTED_VALUE"""),"uint16")</f>
        <v>uint16</v>
      </c>
      <c r="F211" s="18" t="str">
        <f ca="1">IFERROR(__xludf.DUMMYFUNCTION("""COMPUTED_VALUE"""),"false")</f>
        <v>false</v>
      </c>
      <c r="G211" s="18" t="str">
        <f ca="1">IFERROR(__xludf.DUMMYFUNCTION("""COMPUTED_VALUE"""),"polled")</f>
        <v>polled</v>
      </c>
      <c r="H211" s="18" t="str">
        <f ca="1">IFERROR(__xludf.DUMMYFUNCTION("""COMPUTED_VALUE"""),"86400")</f>
        <v>86400</v>
      </c>
      <c r="I211" s="18" t="str">
        <f ca="1">IFERROR(__xludf.DUMMYFUNCTION("""COMPUTED_VALUE"""),"N/A")</f>
        <v>N/A</v>
      </c>
      <c r="J211" s="18" t="str">
        <f ca="1">IFERROR(__xludf.DUMMYFUNCTION("""COMPUTED_VALUE"""),"N/A")</f>
        <v>N/A</v>
      </c>
      <c r="K211" s="18" t="str">
        <f ca="1">IFERROR(__xludf.DUMMYFUNCTION("""COMPUTED_VALUE"""),"N/A")</f>
        <v>N/A</v>
      </c>
      <c r="L211" s="18" t="str">
        <f ca="1">IFERROR(__xludf.DUMMYFUNCTION("""COMPUTED_VALUE"""),"10000")</f>
        <v>10000</v>
      </c>
      <c r="M211" s="18" t="str">
        <f ca="1">IFERROR(__xludf.DUMMYFUNCTION("""COMPUTED_VALUE"""),"0")</f>
        <v>0</v>
      </c>
      <c r="N211" s="18" t="str">
        <f ca="1">IFERROR(__xludf.DUMMYFUNCTION("""COMPUTED_VALUE"""),"N/A")</f>
        <v>N/A</v>
      </c>
      <c r="O211" s="18" t="str">
        <f ca="1">IFERROR(__xludf.DUMMYFUNCTION("""COMPUTED_VALUE"""),"N/A")</f>
        <v>N/A</v>
      </c>
      <c r="P211" s="18" t="str">
        <f ca="1">IFERROR(__xludf.DUMMYFUNCTION("""COMPUTED_VALUE"""),"N/A")</f>
        <v>N/A</v>
      </c>
      <c r="Q211" s="18" t="str">
        <f ca="1">IFERROR(__xludf.DUMMYFUNCTION("""COMPUTED_VALUE"""),"N/A")</f>
        <v>N/A</v>
      </c>
      <c r="R211" s="18" t="str">
        <f ca="1">IFERROR(__xludf.DUMMYFUNCTION("""COMPUTED_VALUE"""),"N/A")</f>
        <v>N/A</v>
      </c>
      <c r="S211" s="18" t="str">
        <f ca="1">IFERROR(__xludf.DUMMYFUNCTION("""COMPUTED_VALUE"""),"2250")</f>
        <v>2250</v>
      </c>
      <c r="T211" s="18" t="str">
        <f ca="1">IFERROR(__xludf.DUMMYFUNCTION("""COMPUTED_VALUE"""),"0xF142")</f>
        <v>0xF142</v>
      </c>
      <c r="U211" s="18" t="str">
        <f ca="1">IFERROR(__xludf.DUMMYFUNCTION("""COMPUTED_VALUE"""),"0x0A")</f>
        <v>0x0A</v>
      </c>
      <c r="V211" s="18" t="str">
        <f ca="1">IFERROR(__xludf.DUMMYFUNCTION("""COMPUTED_VALUE"""),"0x0104")</f>
        <v>0x0104</v>
      </c>
      <c r="W211" s="18" t="str">
        <f ca="1">IFERROR(__xludf.DUMMYFUNCTION("""COMPUTED_VALUE"""),"0x0201")</f>
        <v>0x0201</v>
      </c>
      <c r="X211" s="18" t="str">
        <f ca="1">IFERROR(__xludf.DUMMYFUNCTION("""COMPUTED_VALUE"""),"0x21")</f>
        <v>0x21</v>
      </c>
      <c r="Y211" s="18" t="e">
        <f ca="1"/>
        <v>#NAME?</v>
      </c>
      <c r="Z211" s="18" t="str">
        <f ca="1">IFERROR(__xludf.DUMMYFUNCTION("""COMPUTED_VALUE"""),"N/A")</f>
        <v>N/A</v>
      </c>
      <c r="AA211" s="18" t="str">
        <f ca="1">IFERROR(__xludf.DUMMYFUNCTION("""COMPUTED_VALUE"""),"N/A")</f>
        <v>N/A</v>
      </c>
      <c r="AC211" s="59" t="s">
        <v>1299</v>
      </c>
      <c r="AD211" s="59" t="s">
        <v>1299</v>
      </c>
      <c r="AE211" s="59" t="s">
        <v>1320</v>
      </c>
      <c r="AF211" s="59" t="s">
        <v>1326</v>
      </c>
      <c r="AG211" s="59" t="s">
        <v>1326</v>
      </c>
      <c r="AH211" s="59" t="s">
        <v>1329</v>
      </c>
      <c r="AI211" s="59" t="s">
        <v>1332</v>
      </c>
      <c r="AJ211" s="59" t="s">
        <v>1332</v>
      </c>
      <c r="AK211" s="59" t="s">
        <v>1332</v>
      </c>
      <c r="AL211" s="59" t="s">
        <v>1332</v>
      </c>
      <c r="AM211" s="59" t="s">
        <v>1332</v>
      </c>
      <c r="AN211" s="59" t="s">
        <v>1340</v>
      </c>
      <c r="AO211" s="59" t="s">
        <v>1340</v>
      </c>
      <c r="AP211" s="59" t="s">
        <v>1341</v>
      </c>
      <c r="AQ211" s="59" t="s">
        <v>1342</v>
      </c>
      <c r="AR211" s="59" t="s">
        <v>1307</v>
      </c>
      <c r="AS211" s="59" t="s">
        <v>1339</v>
      </c>
      <c r="AT211" s="59" t="s">
        <v>1343</v>
      </c>
    </row>
    <row r="212" spans="1:46" x14ac:dyDescent="0.25">
      <c r="A212" s="18" t="str">
        <v>smart_ventilation_number_of_bedrooms:{"type":"attribute","data_type":"uint8","is_readonly":false,"reporting_type":"polled","poll_freq":86400,"max":10,"min":1,"default_value":15,"zigbee_metadata":{"attr_id":61763,"endpoint_id":10,"profile_id":260,"cluster_id":513,"zcl_data_type":32}},</v>
      </c>
      <c r="B212" s="52" t="str">
        <f ca="1"/>
        <v>0x0201 0xF143</v>
      </c>
      <c r="C212" s="52" t="str">
        <f ca="1">IFERROR(__xludf.DUMMYFUNCTION("""COMPUTED_VALUE"""),"smart_ventilation_number_of_bedrooms")</f>
        <v>smart_ventilation_number_of_bedrooms</v>
      </c>
      <c r="D212" s="18" t="str">
        <f ca="1">IFERROR(__xludf.DUMMYFUNCTION("""COMPUTED_VALUE"""),"attribute")</f>
        <v>attribute</v>
      </c>
      <c r="E212" s="18" t="str">
        <f ca="1">IFERROR(__xludf.DUMMYFUNCTION("""COMPUTED_VALUE"""),"uint8")</f>
        <v>uint8</v>
      </c>
      <c r="F212" s="18" t="str">
        <f ca="1">IFERROR(__xludf.DUMMYFUNCTION("""COMPUTED_VALUE"""),"false")</f>
        <v>false</v>
      </c>
      <c r="G212" s="18" t="str">
        <f ca="1">IFERROR(__xludf.DUMMYFUNCTION("""COMPUTED_VALUE"""),"polled")</f>
        <v>polled</v>
      </c>
      <c r="H212" s="18" t="str">
        <f ca="1">IFERROR(__xludf.DUMMYFUNCTION("""COMPUTED_VALUE"""),"86400")</f>
        <v>86400</v>
      </c>
      <c r="I212" s="18" t="str">
        <f ca="1">IFERROR(__xludf.DUMMYFUNCTION("""COMPUTED_VALUE"""),"N/A")</f>
        <v>N/A</v>
      </c>
      <c r="J212" s="18" t="str">
        <f ca="1">IFERROR(__xludf.DUMMYFUNCTION("""COMPUTED_VALUE"""),"N/A")</f>
        <v>N/A</v>
      </c>
      <c r="K212" s="18" t="str">
        <f ca="1">IFERROR(__xludf.DUMMYFUNCTION("""COMPUTED_VALUE"""),"N/A")</f>
        <v>N/A</v>
      </c>
      <c r="L212" s="18" t="str">
        <f ca="1">IFERROR(__xludf.DUMMYFUNCTION("""COMPUTED_VALUE"""),"10")</f>
        <v>10</v>
      </c>
      <c r="M212" s="18" t="str">
        <f ca="1">IFERROR(__xludf.DUMMYFUNCTION("""COMPUTED_VALUE"""),"1")</f>
        <v>1</v>
      </c>
      <c r="N212" s="18" t="str">
        <f ca="1">IFERROR(__xludf.DUMMYFUNCTION("""COMPUTED_VALUE"""),"N/A")</f>
        <v>N/A</v>
      </c>
      <c r="O212" s="18" t="str">
        <f ca="1">IFERROR(__xludf.DUMMYFUNCTION("""COMPUTED_VALUE"""),"N/A")</f>
        <v>N/A</v>
      </c>
      <c r="P212" s="18" t="str">
        <f ca="1">IFERROR(__xludf.DUMMYFUNCTION("""COMPUTED_VALUE"""),"N/A")</f>
        <v>N/A</v>
      </c>
      <c r="Q212" s="18" t="str">
        <f ca="1">IFERROR(__xludf.DUMMYFUNCTION("""COMPUTED_VALUE"""),"N/A")</f>
        <v>N/A</v>
      </c>
      <c r="R212" s="18" t="str">
        <f ca="1">IFERROR(__xludf.DUMMYFUNCTION("""COMPUTED_VALUE"""),"N/A")</f>
        <v>N/A</v>
      </c>
      <c r="S212" s="18" t="str">
        <f ca="1">IFERROR(__xludf.DUMMYFUNCTION("""COMPUTED_VALUE"""),"15")</f>
        <v>15</v>
      </c>
      <c r="T212" s="18" t="str">
        <f ca="1">IFERROR(__xludf.DUMMYFUNCTION("""COMPUTED_VALUE"""),"0xF143")</f>
        <v>0xF143</v>
      </c>
      <c r="U212" s="18" t="str">
        <f ca="1">IFERROR(__xludf.DUMMYFUNCTION("""COMPUTED_VALUE"""),"0x0A")</f>
        <v>0x0A</v>
      </c>
      <c r="V212" s="18" t="str">
        <f ca="1">IFERROR(__xludf.DUMMYFUNCTION("""COMPUTED_VALUE"""),"0x0104")</f>
        <v>0x0104</v>
      </c>
      <c r="W212" s="18" t="str">
        <f ca="1">IFERROR(__xludf.DUMMYFUNCTION("""COMPUTED_VALUE"""),"0x0201")</f>
        <v>0x0201</v>
      </c>
      <c r="X212" s="18" t="str">
        <f ca="1">IFERROR(__xludf.DUMMYFUNCTION("""COMPUTED_VALUE"""),"0x20")</f>
        <v>0x20</v>
      </c>
      <c r="Y212" s="18" t="e">
        <f ca="1"/>
        <v>#NAME?</v>
      </c>
      <c r="Z212" s="18" t="str">
        <f ca="1">IFERROR(__xludf.DUMMYFUNCTION("""COMPUTED_VALUE"""),"N/A")</f>
        <v>N/A</v>
      </c>
      <c r="AA212" s="18" t="str">
        <f ca="1">IFERROR(__xludf.DUMMYFUNCTION("""COMPUTED_VALUE"""),"N/A")</f>
        <v>N/A</v>
      </c>
      <c r="AC212" s="59" t="s">
        <v>1301</v>
      </c>
      <c r="AD212" s="59" t="s">
        <v>1301</v>
      </c>
      <c r="AE212" s="59" t="s">
        <v>1323</v>
      </c>
      <c r="AF212" s="59" t="s">
        <v>1329</v>
      </c>
      <c r="AG212" s="59" t="s">
        <v>1329</v>
      </c>
      <c r="AH212" s="59" t="s">
        <v>1332</v>
      </c>
      <c r="AI212" s="59" t="s">
        <v>1336</v>
      </c>
      <c r="AJ212" s="59" t="s">
        <v>1336</v>
      </c>
      <c r="AK212" s="59" t="s">
        <v>1336</v>
      </c>
      <c r="AL212" s="59" t="s">
        <v>1336</v>
      </c>
      <c r="AM212" s="59" t="s">
        <v>1336</v>
      </c>
      <c r="AN212" s="59" t="s">
        <v>1344</v>
      </c>
      <c r="AO212" s="59" t="s">
        <v>1344</v>
      </c>
      <c r="AP212" s="59" t="s">
        <v>1345</v>
      </c>
      <c r="AQ212" s="59" t="s">
        <v>1307</v>
      </c>
      <c r="AR212" s="59" t="s">
        <v>1310</v>
      </c>
      <c r="AS212" s="59" t="s">
        <v>1343</v>
      </c>
      <c r="AT212" s="59" t="s">
        <v>1346</v>
      </c>
    </row>
    <row r="213" spans="1:46" x14ac:dyDescent="0.25">
      <c r="A213" s="18" t="str">
        <v>smart_ventilation_required_fan_size:{"type":"attribute","data_type":"uint16","is_readonly":true,"reporting_type":"polled","poll_freq":86400,"zigbee_metadata":{"attr_id":61764,"endpoint_id":10,"profile_id":260,"cluster_id":513,"zcl_data_type":33}},</v>
      </c>
      <c r="B213" s="52" t="str">
        <f ca="1"/>
        <v>0x0201 0xF144</v>
      </c>
      <c r="C213" s="52" t="str">
        <f ca="1">IFERROR(__xludf.DUMMYFUNCTION("""COMPUTED_VALUE"""),"smart_ventilation_required_fan_size")</f>
        <v>smart_ventilation_required_fan_size</v>
      </c>
      <c r="D213" s="18" t="str">
        <f ca="1">IFERROR(__xludf.DUMMYFUNCTION("""COMPUTED_VALUE"""),"attribute")</f>
        <v>attribute</v>
      </c>
      <c r="E213" s="18" t="str">
        <f ca="1">IFERROR(__xludf.DUMMYFUNCTION("""COMPUTED_VALUE"""),"uint16")</f>
        <v>uint16</v>
      </c>
      <c r="F213" s="18" t="str">
        <f ca="1">IFERROR(__xludf.DUMMYFUNCTION("""COMPUTED_VALUE"""),"true")</f>
        <v>true</v>
      </c>
      <c r="G213" s="18" t="str">
        <f ca="1">IFERROR(__xludf.DUMMYFUNCTION("""COMPUTED_VALUE"""),"polled")</f>
        <v>polled</v>
      </c>
      <c r="H213" s="18" t="str">
        <f ca="1">IFERROR(__xludf.DUMMYFUNCTION("""COMPUTED_VALUE"""),"86400")</f>
        <v>86400</v>
      </c>
      <c r="I213" s="18" t="str">
        <f ca="1">IFERROR(__xludf.DUMMYFUNCTION("""COMPUTED_VALUE"""),"N/A")</f>
        <v>N/A</v>
      </c>
      <c r="J213" s="18" t="str">
        <f ca="1">IFERROR(__xludf.DUMMYFUNCTION("""COMPUTED_VALUE"""),"N/A")</f>
        <v>N/A</v>
      </c>
      <c r="K213" s="18" t="str">
        <f ca="1">IFERROR(__xludf.DUMMYFUNCTION("""COMPUTED_VALUE"""),"N/A")</f>
        <v>N/A</v>
      </c>
      <c r="L213" s="18" t="str">
        <f ca="1">IFERROR(__xludf.DUMMYFUNCTION("""COMPUTED_VALUE"""),"N/A")</f>
        <v>N/A</v>
      </c>
      <c r="M213" s="18" t="str">
        <f ca="1">IFERROR(__xludf.DUMMYFUNCTION("""COMPUTED_VALUE"""),"N/A")</f>
        <v>N/A</v>
      </c>
      <c r="N213" s="18" t="str">
        <f ca="1">IFERROR(__xludf.DUMMYFUNCTION("""COMPUTED_VALUE"""),"N/A")</f>
        <v>N/A</v>
      </c>
      <c r="O213" s="18" t="str">
        <f ca="1">IFERROR(__xludf.DUMMYFUNCTION("""COMPUTED_VALUE"""),"N/A")</f>
        <v>N/A</v>
      </c>
      <c r="P213" s="18" t="str">
        <f ca="1">IFERROR(__xludf.DUMMYFUNCTION("""COMPUTED_VALUE"""),"N/A")</f>
        <v>N/A</v>
      </c>
      <c r="Q213" s="18" t="str">
        <f ca="1">IFERROR(__xludf.DUMMYFUNCTION("""COMPUTED_VALUE"""),"N/A")</f>
        <v>N/A</v>
      </c>
      <c r="R213" s="18" t="str">
        <f ca="1">IFERROR(__xludf.DUMMYFUNCTION("""COMPUTED_VALUE"""),"N/A")</f>
        <v>N/A</v>
      </c>
      <c r="S213" s="18" t="str">
        <f ca="1">IFERROR(__xludf.DUMMYFUNCTION("""COMPUTED_VALUE"""),"N/A")</f>
        <v>N/A</v>
      </c>
      <c r="T213" s="18" t="str">
        <f ca="1">IFERROR(__xludf.DUMMYFUNCTION("""COMPUTED_VALUE"""),"0xF144")</f>
        <v>0xF144</v>
      </c>
      <c r="U213" s="18" t="str">
        <f ca="1">IFERROR(__xludf.DUMMYFUNCTION("""COMPUTED_VALUE"""),"0x0A")</f>
        <v>0x0A</v>
      </c>
      <c r="V213" s="18" t="str">
        <f ca="1">IFERROR(__xludf.DUMMYFUNCTION("""COMPUTED_VALUE"""),"0x0104")</f>
        <v>0x0104</v>
      </c>
      <c r="W213" s="18" t="str">
        <f ca="1">IFERROR(__xludf.DUMMYFUNCTION("""COMPUTED_VALUE"""),"0x0201")</f>
        <v>0x0201</v>
      </c>
      <c r="X213" s="18" t="str">
        <f ca="1">IFERROR(__xludf.DUMMYFUNCTION("""COMPUTED_VALUE"""),"0x21")</f>
        <v>0x21</v>
      </c>
      <c r="Y213" s="18" t="e">
        <f ca="1"/>
        <v>#NAME?</v>
      </c>
      <c r="Z213" s="18" t="str">
        <f ca="1">IFERROR(__xludf.DUMMYFUNCTION("""COMPUTED_VALUE"""),"N/A")</f>
        <v>N/A</v>
      </c>
      <c r="AA213" s="18" t="str">
        <f ca="1">IFERROR(__xludf.DUMMYFUNCTION("""COMPUTED_VALUE"""),"N/A")</f>
        <v>N/A</v>
      </c>
      <c r="AC213" s="59" t="s">
        <v>1305</v>
      </c>
      <c r="AD213" s="59" t="s">
        <v>1305</v>
      </c>
      <c r="AE213" s="59" t="s">
        <v>1326</v>
      </c>
      <c r="AF213" s="59" t="s">
        <v>1332</v>
      </c>
      <c r="AG213" s="59" t="s">
        <v>1332</v>
      </c>
      <c r="AH213" s="59" t="s">
        <v>1336</v>
      </c>
      <c r="AI213" s="59" t="s">
        <v>1340</v>
      </c>
      <c r="AJ213" s="59" t="s">
        <v>1340</v>
      </c>
      <c r="AK213" s="59" t="s">
        <v>1340</v>
      </c>
      <c r="AL213" s="59" t="s">
        <v>1340</v>
      </c>
      <c r="AM213" s="59" t="s">
        <v>1340</v>
      </c>
      <c r="AN213" s="59" t="s">
        <v>1347</v>
      </c>
      <c r="AO213" s="59" t="s">
        <v>1347</v>
      </c>
      <c r="AP213" s="59" t="s">
        <v>1348</v>
      </c>
      <c r="AQ213" s="59" t="s">
        <v>1310</v>
      </c>
      <c r="AR213" s="59" t="s">
        <v>1313</v>
      </c>
      <c r="AS213" s="59" t="s">
        <v>1346</v>
      </c>
      <c r="AT213" s="59" t="s">
        <v>1349</v>
      </c>
    </row>
    <row r="214" spans="1:46" x14ac:dyDescent="0.25">
      <c r="A214" s="18" t="str">
        <v>smart_ventilation_fan_size:{"type":"attribute","data_type":"uint16","is_readonly":false,"reporting_type":"polled","poll_freq":86400,"max":3000,"min":0,"default_value":600,"zigbee_metadata":{"attr_id":61765,"endpoint_id":10,"profile_id":260,"cluster_id":513,"zcl_data_type":33}},</v>
      </c>
      <c r="B214" s="52" t="str">
        <f ca="1"/>
        <v>0x0201 0xF145</v>
      </c>
      <c r="C214" s="52" t="str">
        <f ca="1">IFERROR(__xludf.DUMMYFUNCTION("""COMPUTED_VALUE"""),"smart_ventilation_fan_size")</f>
        <v>smart_ventilation_fan_size</v>
      </c>
      <c r="D214" s="18" t="str">
        <f ca="1">IFERROR(__xludf.DUMMYFUNCTION("""COMPUTED_VALUE"""),"attribute")</f>
        <v>attribute</v>
      </c>
      <c r="E214" s="18" t="str">
        <f ca="1">IFERROR(__xludf.DUMMYFUNCTION("""COMPUTED_VALUE"""),"uint16")</f>
        <v>uint16</v>
      </c>
      <c r="F214" s="18" t="str">
        <f ca="1">IFERROR(__xludf.DUMMYFUNCTION("""COMPUTED_VALUE"""),"false")</f>
        <v>false</v>
      </c>
      <c r="G214" s="18" t="str">
        <f ca="1">IFERROR(__xludf.DUMMYFUNCTION("""COMPUTED_VALUE"""),"polled")</f>
        <v>polled</v>
      </c>
      <c r="H214" s="18" t="str">
        <f ca="1">IFERROR(__xludf.DUMMYFUNCTION("""COMPUTED_VALUE"""),"86400")</f>
        <v>86400</v>
      </c>
      <c r="I214" s="18" t="str">
        <f ca="1">IFERROR(__xludf.DUMMYFUNCTION("""COMPUTED_VALUE"""),"N/A")</f>
        <v>N/A</v>
      </c>
      <c r="J214" s="18" t="str">
        <f ca="1">IFERROR(__xludf.DUMMYFUNCTION("""COMPUTED_VALUE"""),"N/A")</f>
        <v>N/A</v>
      </c>
      <c r="K214" s="18" t="str">
        <f ca="1">IFERROR(__xludf.DUMMYFUNCTION("""COMPUTED_VALUE"""),"N/A")</f>
        <v>N/A</v>
      </c>
      <c r="L214" s="18" t="str">
        <f ca="1">IFERROR(__xludf.DUMMYFUNCTION("""COMPUTED_VALUE"""),"3000")</f>
        <v>3000</v>
      </c>
      <c r="M214" s="18" t="str">
        <f ca="1">IFERROR(__xludf.DUMMYFUNCTION("""COMPUTED_VALUE"""),"0")</f>
        <v>0</v>
      </c>
      <c r="N214" s="18" t="str">
        <f ca="1">IFERROR(__xludf.DUMMYFUNCTION("""COMPUTED_VALUE"""),"N/A")</f>
        <v>N/A</v>
      </c>
      <c r="O214" s="18" t="str">
        <f ca="1">IFERROR(__xludf.DUMMYFUNCTION("""COMPUTED_VALUE"""),"N/A")</f>
        <v>N/A</v>
      </c>
      <c r="P214" s="18" t="str">
        <f ca="1">IFERROR(__xludf.DUMMYFUNCTION("""COMPUTED_VALUE"""),"N/A")</f>
        <v>N/A</v>
      </c>
      <c r="Q214" s="18" t="str">
        <f ca="1">IFERROR(__xludf.DUMMYFUNCTION("""COMPUTED_VALUE"""),"N/A")</f>
        <v>N/A</v>
      </c>
      <c r="R214" s="18" t="str">
        <f ca="1">IFERROR(__xludf.DUMMYFUNCTION("""COMPUTED_VALUE"""),"N/A")</f>
        <v>N/A</v>
      </c>
      <c r="S214" s="18" t="str">
        <f ca="1">IFERROR(__xludf.DUMMYFUNCTION("""COMPUTED_VALUE"""),"600")</f>
        <v>600</v>
      </c>
      <c r="T214" s="18" t="str">
        <f ca="1">IFERROR(__xludf.DUMMYFUNCTION("""COMPUTED_VALUE"""),"0xF145")</f>
        <v>0xF145</v>
      </c>
      <c r="U214" s="18" t="str">
        <f ca="1">IFERROR(__xludf.DUMMYFUNCTION("""COMPUTED_VALUE"""),"0x0A")</f>
        <v>0x0A</v>
      </c>
      <c r="V214" s="18" t="str">
        <f ca="1">IFERROR(__xludf.DUMMYFUNCTION("""COMPUTED_VALUE"""),"0x0104")</f>
        <v>0x0104</v>
      </c>
      <c r="W214" s="18" t="str">
        <f ca="1">IFERROR(__xludf.DUMMYFUNCTION("""COMPUTED_VALUE"""),"0x0201")</f>
        <v>0x0201</v>
      </c>
      <c r="X214" s="18" t="str">
        <f ca="1">IFERROR(__xludf.DUMMYFUNCTION("""COMPUTED_VALUE"""),"0x21")</f>
        <v>0x21</v>
      </c>
      <c r="Y214" s="18" t="e">
        <f ca="1"/>
        <v>#NAME?</v>
      </c>
      <c r="Z214" s="18" t="str">
        <f ca="1">IFERROR(__xludf.DUMMYFUNCTION("""COMPUTED_VALUE"""),"N/A")</f>
        <v>N/A</v>
      </c>
      <c r="AA214" s="18" t="str">
        <f ca="1">IFERROR(__xludf.DUMMYFUNCTION("""COMPUTED_VALUE"""),"N/A")</f>
        <v>N/A</v>
      </c>
      <c r="AC214" s="59" t="s">
        <v>1308</v>
      </c>
      <c r="AD214" s="59" t="s">
        <v>1308</v>
      </c>
      <c r="AE214" s="59" t="s">
        <v>1329</v>
      </c>
      <c r="AF214" s="59" t="s">
        <v>1336</v>
      </c>
      <c r="AG214" s="59" t="s">
        <v>1336</v>
      </c>
      <c r="AH214" s="59" t="s">
        <v>1340</v>
      </c>
      <c r="AI214" s="59" t="s">
        <v>1344</v>
      </c>
      <c r="AJ214" s="59" t="s">
        <v>1344</v>
      </c>
      <c r="AK214" s="59" t="s">
        <v>1344</v>
      </c>
      <c r="AL214" s="59" t="s">
        <v>1344</v>
      </c>
      <c r="AM214" s="59" t="s">
        <v>1344</v>
      </c>
      <c r="AN214" s="59" t="s">
        <v>1350</v>
      </c>
      <c r="AO214" s="59" t="s">
        <v>1350</v>
      </c>
      <c r="AP214" s="59" t="s">
        <v>1351</v>
      </c>
      <c r="AQ214" s="59" t="s">
        <v>1313</v>
      </c>
      <c r="AR214" s="59" t="s">
        <v>1316</v>
      </c>
      <c r="AS214" s="59" t="s">
        <v>1349</v>
      </c>
      <c r="AT214" s="59" t="s">
        <v>1352</v>
      </c>
    </row>
    <row r="215" spans="1:46" x14ac:dyDescent="0.25">
      <c r="A215" s="18" t="str">
        <v>ventilation_duty_cycle:{"type":"attribute","data_type":"uint8","is_readonly":true,"reporting_type":"polled","poll_freq":86400,"zigbee_metadata":{"attr_id":61766,"endpoint_id":10,"profile_id":260,"cluster_id":513,"zcl_data_type":32}},</v>
      </c>
      <c r="B215" s="52" t="str">
        <f ca="1"/>
        <v>0x0201 0xF146</v>
      </c>
      <c r="C215" s="52" t="str">
        <f ca="1">IFERROR(__xludf.DUMMYFUNCTION("""COMPUTED_VALUE"""),"ventilation_duty_cycle")</f>
        <v>ventilation_duty_cycle</v>
      </c>
      <c r="D215" s="18" t="str">
        <f ca="1">IFERROR(__xludf.DUMMYFUNCTION("""COMPUTED_VALUE"""),"attribute")</f>
        <v>attribute</v>
      </c>
      <c r="E215" s="18" t="str">
        <f ca="1">IFERROR(__xludf.DUMMYFUNCTION("""COMPUTED_VALUE"""),"uint8")</f>
        <v>uint8</v>
      </c>
      <c r="F215" s="18" t="str">
        <f ca="1">IFERROR(__xludf.DUMMYFUNCTION("""COMPUTED_VALUE"""),"true")</f>
        <v>true</v>
      </c>
      <c r="G215" s="18" t="str">
        <f ca="1">IFERROR(__xludf.DUMMYFUNCTION("""COMPUTED_VALUE"""),"polled")</f>
        <v>polled</v>
      </c>
      <c r="H215" s="18" t="str">
        <f ca="1">IFERROR(__xludf.DUMMYFUNCTION("""COMPUTED_VALUE"""),"86400")</f>
        <v>86400</v>
      </c>
      <c r="I215" s="18" t="str">
        <f ca="1">IFERROR(__xludf.DUMMYFUNCTION("""COMPUTED_VALUE"""),"N/A")</f>
        <v>N/A</v>
      </c>
      <c r="J215" s="18" t="str">
        <f ca="1">IFERROR(__xludf.DUMMYFUNCTION("""COMPUTED_VALUE"""),"N/A")</f>
        <v>N/A</v>
      </c>
      <c r="K215" s="18" t="str">
        <f ca="1">IFERROR(__xludf.DUMMYFUNCTION("""COMPUTED_VALUE"""),"N/A")</f>
        <v>N/A</v>
      </c>
      <c r="L215" s="18" t="str">
        <f ca="1">IFERROR(__xludf.DUMMYFUNCTION("""COMPUTED_VALUE"""),"N/A")</f>
        <v>N/A</v>
      </c>
      <c r="M215" s="18" t="str">
        <f ca="1">IFERROR(__xludf.DUMMYFUNCTION("""COMPUTED_VALUE"""),"N/A")</f>
        <v>N/A</v>
      </c>
      <c r="N215" s="18" t="str">
        <f ca="1">IFERROR(__xludf.DUMMYFUNCTION("""COMPUTED_VALUE"""),"N/A")</f>
        <v>N/A</v>
      </c>
      <c r="O215" s="18" t="str">
        <f ca="1">IFERROR(__xludf.DUMMYFUNCTION("""COMPUTED_VALUE"""),"N/A")</f>
        <v>N/A</v>
      </c>
      <c r="P215" s="18" t="str">
        <f ca="1">IFERROR(__xludf.DUMMYFUNCTION("""COMPUTED_VALUE"""),"N/A")</f>
        <v>N/A</v>
      </c>
      <c r="Q215" s="18" t="str">
        <f ca="1">IFERROR(__xludf.DUMMYFUNCTION("""COMPUTED_VALUE"""),"N/A")</f>
        <v>N/A</v>
      </c>
      <c r="R215" s="18" t="str">
        <f ca="1">IFERROR(__xludf.DUMMYFUNCTION("""COMPUTED_VALUE"""),"N/A")</f>
        <v>N/A</v>
      </c>
      <c r="S215" s="18" t="str">
        <f ca="1">IFERROR(__xludf.DUMMYFUNCTION("""COMPUTED_VALUE"""),"N/A")</f>
        <v>N/A</v>
      </c>
      <c r="T215" s="18" t="str">
        <f ca="1">IFERROR(__xludf.DUMMYFUNCTION("""COMPUTED_VALUE"""),"0xF146")</f>
        <v>0xF146</v>
      </c>
      <c r="U215" s="18" t="str">
        <f ca="1">IFERROR(__xludf.DUMMYFUNCTION("""COMPUTED_VALUE"""),"0x0A")</f>
        <v>0x0A</v>
      </c>
      <c r="V215" s="18" t="str">
        <f ca="1">IFERROR(__xludf.DUMMYFUNCTION("""COMPUTED_VALUE"""),"0x0104")</f>
        <v>0x0104</v>
      </c>
      <c r="W215" s="18" t="str">
        <f ca="1">IFERROR(__xludf.DUMMYFUNCTION("""COMPUTED_VALUE"""),"0x0201")</f>
        <v>0x0201</v>
      </c>
      <c r="X215" s="18" t="str">
        <f ca="1">IFERROR(__xludf.DUMMYFUNCTION("""COMPUTED_VALUE"""),"0x20")</f>
        <v>0x20</v>
      </c>
      <c r="Y215" s="18" t="e">
        <f ca="1"/>
        <v>#NAME?</v>
      </c>
      <c r="Z215" s="18" t="str">
        <f ca="1">IFERROR(__xludf.DUMMYFUNCTION("""COMPUTED_VALUE"""),"N/A")</f>
        <v>N/A</v>
      </c>
      <c r="AA215" s="18" t="str">
        <f ca="1">IFERROR(__xludf.DUMMYFUNCTION("""COMPUTED_VALUE"""),"N/A")</f>
        <v>N/A</v>
      </c>
      <c r="AC215" s="59" t="s">
        <v>1311</v>
      </c>
      <c r="AD215" s="59" t="s">
        <v>1311</v>
      </c>
      <c r="AE215" s="59" t="s">
        <v>1332</v>
      </c>
      <c r="AF215" s="59" t="s">
        <v>1340</v>
      </c>
      <c r="AG215" s="59" t="s">
        <v>1340</v>
      </c>
      <c r="AH215" s="59" t="s">
        <v>1344</v>
      </c>
      <c r="AI215" s="59" t="s">
        <v>1347</v>
      </c>
      <c r="AJ215" s="59" t="s">
        <v>1347</v>
      </c>
      <c r="AK215" s="59" t="s">
        <v>1347</v>
      </c>
      <c r="AL215" s="59" t="s">
        <v>1347</v>
      </c>
      <c r="AM215" s="59" t="s">
        <v>1347</v>
      </c>
      <c r="AN215" s="59" t="s">
        <v>1353</v>
      </c>
      <c r="AO215" s="59" t="s">
        <v>1353</v>
      </c>
      <c r="AP215" s="59" t="s">
        <v>1354</v>
      </c>
      <c r="AQ215" s="59" t="s">
        <v>1316</v>
      </c>
      <c r="AR215" s="59" t="s">
        <v>1319</v>
      </c>
      <c r="AS215" s="59" t="s">
        <v>1352</v>
      </c>
      <c r="AT215" s="59" t="s">
        <v>1355</v>
      </c>
    </row>
    <row r="216" spans="1:46" x14ac:dyDescent="0.25">
      <c r="A216" s="18" t="str">
        <v>ventilation_required_minutes_remaining_this_hour:{"type":"attribute","data_type":"uint8","is_readonly":true,"reporting_type":"diagnostic","zigbee_metadata":{"attr_id":61767,"endpoint_id":10,"profile_id":260,"cluster_id":513,"zcl_data_type":32}},</v>
      </c>
      <c r="B216" s="52" t="str">
        <f ca="1"/>
        <v>0x0201 0xF147</v>
      </c>
      <c r="C216" s="52" t="str">
        <f ca="1">IFERROR(__xludf.DUMMYFUNCTION("""COMPUTED_VALUE"""),"ventilation_required_minutes_remaining_this_hour")</f>
        <v>ventilation_required_minutes_remaining_this_hour</v>
      </c>
      <c r="D216" s="18" t="str">
        <f ca="1">IFERROR(__xludf.DUMMYFUNCTION("""COMPUTED_VALUE"""),"attribute")</f>
        <v>attribute</v>
      </c>
      <c r="E216" s="18" t="str">
        <f ca="1">IFERROR(__xludf.DUMMYFUNCTION("""COMPUTED_VALUE"""),"uint8")</f>
        <v>uint8</v>
      </c>
      <c r="F216" s="18" t="str">
        <f ca="1">IFERROR(__xludf.DUMMYFUNCTION("""COMPUTED_VALUE"""),"true")</f>
        <v>true</v>
      </c>
      <c r="G216" s="18" t="str">
        <f ca="1">IFERROR(__xludf.DUMMYFUNCTION("""COMPUTED_VALUE"""),"diagnostic")</f>
        <v>diagnostic</v>
      </c>
      <c r="H216" s="18" t="str">
        <f ca="1">IFERROR(__xludf.DUMMYFUNCTION("""COMPUTED_VALUE"""),"N/A")</f>
        <v>N/A</v>
      </c>
      <c r="I216" s="18" t="str">
        <f ca="1">IFERROR(__xludf.DUMMYFUNCTION("""COMPUTED_VALUE"""),"N/A")</f>
        <v>N/A</v>
      </c>
      <c r="J216" s="18" t="str">
        <f ca="1">IFERROR(__xludf.DUMMYFUNCTION("""COMPUTED_VALUE"""),"N/A")</f>
        <v>N/A</v>
      </c>
      <c r="K216" s="18" t="str">
        <f ca="1">IFERROR(__xludf.DUMMYFUNCTION("""COMPUTED_VALUE"""),"N/A")</f>
        <v>N/A</v>
      </c>
      <c r="L216" s="18" t="str">
        <f ca="1">IFERROR(__xludf.DUMMYFUNCTION("""COMPUTED_VALUE"""),"N/A")</f>
        <v>N/A</v>
      </c>
      <c r="M216" s="18" t="str">
        <f ca="1">IFERROR(__xludf.DUMMYFUNCTION("""COMPUTED_VALUE"""),"N/A")</f>
        <v>N/A</v>
      </c>
      <c r="N216" s="18" t="str">
        <f ca="1">IFERROR(__xludf.DUMMYFUNCTION("""COMPUTED_VALUE"""),"N/A")</f>
        <v>N/A</v>
      </c>
      <c r="O216" s="18" t="str">
        <f ca="1">IFERROR(__xludf.DUMMYFUNCTION("""COMPUTED_VALUE"""),"N/A")</f>
        <v>N/A</v>
      </c>
      <c r="P216" s="18" t="str">
        <f ca="1">IFERROR(__xludf.DUMMYFUNCTION("""COMPUTED_VALUE"""),"N/A")</f>
        <v>N/A</v>
      </c>
      <c r="Q216" s="18" t="str">
        <f ca="1">IFERROR(__xludf.DUMMYFUNCTION("""COMPUTED_VALUE"""),"N/A")</f>
        <v>N/A</v>
      </c>
      <c r="R216" s="18" t="str">
        <f ca="1">IFERROR(__xludf.DUMMYFUNCTION("""COMPUTED_VALUE"""),"N/A")</f>
        <v>N/A</v>
      </c>
      <c r="S216" s="18" t="str">
        <f ca="1">IFERROR(__xludf.DUMMYFUNCTION("""COMPUTED_VALUE"""),"N/A")</f>
        <v>N/A</v>
      </c>
      <c r="T216" s="18" t="str">
        <f ca="1">IFERROR(__xludf.DUMMYFUNCTION("""COMPUTED_VALUE"""),"0xF147")</f>
        <v>0xF147</v>
      </c>
      <c r="U216" s="18" t="str">
        <f ca="1">IFERROR(__xludf.DUMMYFUNCTION("""COMPUTED_VALUE"""),"0x0A")</f>
        <v>0x0A</v>
      </c>
      <c r="V216" s="18" t="str">
        <f ca="1">IFERROR(__xludf.DUMMYFUNCTION("""COMPUTED_VALUE"""),"0x0104")</f>
        <v>0x0104</v>
      </c>
      <c r="W216" s="18" t="str">
        <f ca="1">IFERROR(__xludf.DUMMYFUNCTION("""COMPUTED_VALUE"""),"0x0201")</f>
        <v>0x0201</v>
      </c>
      <c r="X216" s="18" t="str">
        <f ca="1">IFERROR(__xludf.DUMMYFUNCTION("""COMPUTED_VALUE"""),"0x20")</f>
        <v>0x20</v>
      </c>
      <c r="Y216" s="18" t="e">
        <f ca="1"/>
        <v>#NAME?</v>
      </c>
      <c r="Z216" s="18" t="str">
        <f ca="1">IFERROR(__xludf.DUMMYFUNCTION("""COMPUTED_VALUE"""),"N/A")</f>
        <v>N/A</v>
      </c>
      <c r="AA216" s="18" t="str">
        <f ca="1">IFERROR(__xludf.DUMMYFUNCTION("""COMPUTED_VALUE"""),"N/A")</f>
        <v>N/A</v>
      </c>
      <c r="AC216" s="59" t="s">
        <v>1314</v>
      </c>
      <c r="AD216" s="59" t="s">
        <v>1314</v>
      </c>
      <c r="AE216" s="59" t="s">
        <v>1336</v>
      </c>
      <c r="AF216" s="59" t="s">
        <v>1344</v>
      </c>
      <c r="AG216" s="59" t="s">
        <v>1344</v>
      </c>
      <c r="AH216" s="59" t="s">
        <v>1347</v>
      </c>
      <c r="AI216" s="59" t="s">
        <v>1350</v>
      </c>
      <c r="AJ216" s="59" t="s">
        <v>1350</v>
      </c>
      <c r="AK216" s="59" t="s">
        <v>1350</v>
      </c>
      <c r="AL216" s="59" t="s">
        <v>1350</v>
      </c>
      <c r="AM216" s="59" t="s">
        <v>1350</v>
      </c>
      <c r="AN216" s="59" t="s">
        <v>1356</v>
      </c>
      <c r="AO216" s="59" t="s">
        <v>1356</v>
      </c>
      <c r="AP216" s="59" t="s">
        <v>1357</v>
      </c>
      <c r="AQ216" s="59" t="s">
        <v>1319</v>
      </c>
      <c r="AR216" s="59" t="s">
        <v>1322</v>
      </c>
      <c r="AS216" s="59" t="s">
        <v>1355</v>
      </c>
      <c r="AT216" s="59"/>
    </row>
    <row r="217" spans="1:46" x14ac:dyDescent="0.25">
      <c r="A217" s="18" t="str">
        <v>ventilation_minutes_remaining_this_hour:{"type":"attribute","data_type":"uint8","is_readonly":true,"reporting_type":"diagnostic","zigbee_metadata":{"attr_id":61768,"endpoint_id":10,"profile_id":260,"cluster_id":513,"zcl_data_type":32}},</v>
      </c>
      <c r="B217" s="52" t="str">
        <f ca="1"/>
        <v>0x0201 0xF148</v>
      </c>
      <c r="C217" s="52" t="str">
        <f ca="1">IFERROR(__xludf.DUMMYFUNCTION("""COMPUTED_VALUE"""),"ventilation_minutes_remaining_this_hour")</f>
        <v>ventilation_minutes_remaining_this_hour</v>
      </c>
      <c r="D217" s="18" t="str">
        <f ca="1">IFERROR(__xludf.DUMMYFUNCTION("""COMPUTED_VALUE"""),"attribute")</f>
        <v>attribute</v>
      </c>
      <c r="E217" s="18" t="str">
        <f ca="1">IFERROR(__xludf.DUMMYFUNCTION("""COMPUTED_VALUE"""),"uint8")</f>
        <v>uint8</v>
      </c>
      <c r="F217" s="18" t="str">
        <f ca="1">IFERROR(__xludf.DUMMYFUNCTION("""COMPUTED_VALUE"""),"true")</f>
        <v>true</v>
      </c>
      <c r="G217" s="18" t="str">
        <f ca="1">IFERROR(__xludf.DUMMYFUNCTION("""COMPUTED_VALUE"""),"diagnostic")</f>
        <v>diagnostic</v>
      </c>
      <c r="H217" s="18" t="str">
        <f ca="1">IFERROR(__xludf.DUMMYFUNCTION("""COMPUTED_VALUE"""),"N/A")</f>
        <v>N/A</v>
      </c>
      <c r="I217" s="18" t="str">
        <f ca="1">IFERROR(__xludf.DUMMYFUNCTION("""COMPUTED_VALUE"""),"N/A")</f>
        <v>N/A</v>
      </c>
      <c r="J217" s="18" t="str">
        <f ca="1">IFERROR(__xludf.DUMMYFUNCTION("""COMPUTED_VALUE"""),"N/A")</f>
        <v>N/A</v>
      </c>
      <c r="K217" s="18" t="str">
        <f ca="1">IFERROR(__xludf.DUMMYFUNCTION("""COMPUTED_VALUE"""),"N/A")</f>
        <v>N/A</v>
      </c>
      <c r="L217" s="18" t="str">
        <f ca="1">IFERROR(__xludf.DUMMYFUNCTION("""COMPUTED_VALUE"""),"N/A")</f>
        <v>N/A</v>
      </c>
      <c r="M217" s="18" t="str">
        <f ca="1">IFERROR(__xludf.DUMMYFUNCTION("""COMPUTED_VALUE"""),"N/A")</f>
        <v>N/A</v>
      </c>
      <c r="N217" s="18" t="str">
        <f ca="1">IFERROR(__xludf.DUMMYFUNCTION("""COMPUTED_VALUE"""),"N/A")</f>
        <v>N/A</v>
      </c>
      <c r="O217" s="18" t="str">
        <f ca="1">IFERROR(__xludf.DUMMYFUNCTION("""COMPUTED_VALUE"""),"N/A")</f>
        <v>N/A</v>
      </c>
      <c r="P217" s="18" t="str">
        <f ca="1">IFERROR(__xludf.DUMMYFUNCTION("""COMPUTED_VALUE"""),"N/A")</f>
        <v>N/A</v>
      </c>
      <c r="Q217" s="18" t="str">
        <f ca="1">IFERROR(__xludf.DUMMYFUNCTION("""COMPUTED_VALUE"""),"N/A")</f>
        <v>N/A</v>
      </c>
      <c r="R217" s="18" t="str">
        <f ca="1">IFERROR(__xludf.DUMMYFUNCTION("""COMPUTED_VALUE"""),"N/A")</f>
        <v>N/A</v>
      </c>
      <c r="S217" s="18" t="str">
        <f ca="1">IFERROR(__xludf.DUMMYFUNCTION("""COMPUTED_VALUE"""),"N/A")</f>
        <v>N/A</v>
      </c>
      <c r="T217" s="18" t="str">
        <f ca="1">IFERROR(__xludf.DUMMYFUNCTION("""COMPUTED_VALUE"""),"0xF148")</f>
        <v>0xF148</v>
      </c>
      <c r="U217" s="18" t="str">
        <f ca="1">IFERROR(__xludf.DUMMYFUNCTION("""COMPUTED_VALUE"""),"0x0A")</f>
        <v>0x0A</v>
      </c>
      <c r="V217" s="18" t="str">
        <f ca="1">IFERROR(__xludf.DUMMYFUNCTION("""COMPUTED_VALUE"""),"0x0104")</f>
        <v>0x0104</v>
      </c>
      <c r="W217" s="18" t="str">
        <f ca="1">IFERROR(__xludf.DUMMYFUNCTION("""COMPUTED_VALUE"""),"0x0201")</f>
        <v>0x0201</v>
      </c>
      <c r="X217" s="18" t="str">
        <f ca="1">IFERROR(__xludf.DUMMYFUNCTION("""COMPUTED_VALUE"""),"0x20")</f>
        <v>0x20</v>
      </c>
      <c r="Y217" s="18" t="e">
        <f ca="1"/>
        <v>#NAME?</v>
      </c>
      <c r="Z217" s="18" t="str">
        <f ca="1">IFERROR(__xludf.DUMMYFUNCTION("""COMPUTED_VALUE"""),"N/A")</f>
        <v>N/A</v>
      </c>
      <c r="AA217" s="18" t="str">
        <f ca="1">IFERROR(__xludf.DUMMYFUNCTION("""COMPUTED_VALUE"""),"N/A")</f>
        <v>N/A</v>
      </c>
      <c r="AC217" s="59" t="s">
        <v>1317</v>
      </c>
      <c r="AD217" s="59" t="s">
        <v>1317</v>
      </c>
      <c r="AE217" s="59" t="s">
        <v>1340</v>
      </c>
      <c r="AF217" s="59" t="s">
        <v>1347</v>
      </c>
      <c r="AG217" s="59" t="s">
        <v>1347</v>
      </c>
      <c r="AH217" s="59" t="s">
        <v>1350</v>
      </c>
      <c r="AI217" s="59" t="s">
        <v>1353</v>
      </c>
      <c r="AJ217" s="59" t="s">
        <v>1353</v>
      </c>
      <c r="AK217" s="59" t="s">
        <v>1353</v>
      </c>
      <c r="AL217" s="59" t="s">
        <v>1353</v>
      </c>
      <c r="AM217" s="59" t="s">
        <v>1353</v>
      </c>
      <c r="AN217" s="59" t="s">
        <v>1358</v>
      </c>
      <c r="AO217" s="59" t="s">
        <v>1358</v>
      </c>
      <c r="AP217" s="59" t="s">
        <v>1359</v>
      </c>
      <c r="AQ217" s="59" t="s">
        <v>1322</v>
      </c>
      <c r="AR217" s="59" t="s">
        <v>1325</v>
      </c>
      <c r="AS217" s="59"/>
      <c r="AT217" s="59"/>
    </row>
    <row r="218" spans="1:46" x14ac:dyDescent="0.25">
      <c r="A218" s="18" t="str">
        <v>ventilation_engaged:{"type":"attribute","data_type":"bool","is_readonly":true,"reporting_type":"reported","report_max":3600,"report_min":0,"zigbee_metadata":{"attr_id":61769,"endpoint_id":10,"profile_id":260,"cluster_id":513,"zcl_data_type":16,"read_formatter":"lambdax:bool(x)"}},</v>
      </c>
      <c r="B218" s="52" t="str">
        <f ca="1"/>
        <v>0x0201 0xF149</v>
      </c>
      <c r="C218" s="52" t="str">
        <f ca="1">IFERROR(__xludf.DUMMYFUNCTION("""COMPUTED_VALUE"""),"ventilation_engaged")</f>
        <v>ventilation_engaged</v>
      </c>
      <c r="D218" s="18" t="str">
        <f ca="1">IFERROR(__xludf.DUMMYFUNCTION("""COMPUTED_VALUE"""),"attribute")</f>
        <v>attribute</v>
      </c>
      <c r="E218" s="18" t="str">
        <f ca="1">IFERROR(__xludf.DUMMYFUNCTION("""COMPUTED_VALUE"""),"bool")</f>
        <v>bool</v>
      </c>
      <c r="F218" s="18" t="str">
        <f ca="1">IFERROR(__xludf.DUMMYFUNCTION("""COMPUTED_VALUE"""),"true")</f>
        <v>true</v>
      </c>
      <c r="G218" s="18" t="str">
        <f ca="1">IFERROR(__xludf.DUMMYFUNCTION("""COMPUTED_VALUE"""),"reported")</f>
        <v>reported</v>
      </c>
      <c r="H218" s="18" t="str">
        <f ca="1">IFERROR(__xludf.DUMMYFUNCTION("""COMPUTED_VALUE"""),"N/A")</f>
        <v>N/A</v>
      </c>
      <c r="I218" s="18" t="str">
        <f ca="1">IFERROR(__xludf.DUMMYFUNCTION("""COMPUTED_VALUE"""),"3600")</f>
        <v>3600</v>
      </c>
      <c r="J218" s="18" t="str">
        <f ca="1">IFERROR(__xludf.DUMMYFUNCTION("""COMPUTED_VALUE"""),"0")</f>
        <v>0</v>
      </c>
      <c r="K218" s="18" t="str">
        <f ca="1">IFERROR(__xludf.DUMMYFUNCTION("""COMPUTED_VALUE"""),"N/A")</f>
        <v>N/A</v>
      </c>
      <c r="L218" s="18" t="str">
        <f ca="1">IFERROR(__xludf.DUMMYFUNCTION("""COMPUTED_VALUE"""),"N/A")</f>
        <v>N/A</v>
      </c>
      <c r="M218" s="18" t="str">
        <f ca="1">IFERROR(__xludf.DUMMYFUNCTION("""COMPUTED_VALUE"""),"N/A")</f>
        <v>N/A</v>
      </c>
      <c r="N218" s="18" t="str">
        <f ca="1">IFERROR(__xludf.DUMMYFUNCTION("""COMPUTED_VALUE"""),"N/A")</f>
        <v>N/A</v>
      </c>
      <c r="O218" s="18" t="str">
        <f ca="1">IFERROR(__xludf.DUMMYFUNCTION("""COMPUTED_VALUE"""),"N/A")</f>
        <v>N/A</v>
      </c>
      <c r="P218" s="18" t="str">
        <f ca="1">IFERROR(__xludf.DUMMYFUNCTION("""COMPUTED_VALUE"""),"N/A")</f>
        <v>N/A</v>
      </c>
      <c r="Q218" s="18" t="str">
        <f ca="1">IFERROR(__xludf.DUMMYFUNCTION("""COMPUTED_VALUE"""),"N/A")</f>
        <v>N/A</v>
      </c>
      <c r="R218" s="18" t="str">
        <f ca="1">IFERROR(__xludf.DUMMYFUNCTION("""COMPUTED_VALUE"""),"N/A")</f>
        <v>N/A</v>
      </c>
      <c r="S218" s="18" t="str">
        <f ca="1">IFERROR(__xludf.DUMMYFUNCTION("""COMPUTED_VALUE"""),"N/A")</f>
        <v>N/A</v>
      </c>
      <c r="T218" s="18" t="str">
        <f ca="1">IFERROR(__xludf.DUMMYFUNCTION("""COMPUTED_VALUE"""),"0xF149")</f>
        <v>0xF149</v>
      </c>
      <c r="U218" s="18" t="str">
        <f ca="1">IFERROR(__xludf.DUMMYFUNCTION("""COMPUTED_VALUE"""),"0x0A")</f>
        <v>0x0A</v>
      </c>
      <c r="V218" s="18" t="str">
        <f ca="1">IFERROR(__xludf.DUMMYFUNCTION("""COMPUTED_VALUE"""),"0x0104")</f>
        <v>0x0104</v>
      </c>
      <c r="W218" s="18" t="str">
        <f ca="1">IFERROR(__xludf.DUMMYFUNCTION("""COMPUTED_VALUE"""),"0x0201")</f>
        <v>0x0201</v>
      </c>
      <c r="X218" s="18" t="str">
        <f ca="1">IFERROR(__xludf.DUMMYFUNCTION("""COMPUTED_VALUE"""),"0x10")</f>
        <v>0x10</v>
      </c>
      <c r="Y218" s="18" t="e">
        <f ca="1"/>
        <v>#NAME?</v>
      </c>
      <c r="Z218" s="18" t="str">
        <f ca="1">IFERROR(__xludf.DUMMYFUNCTION("""COMPUTED_VALUE"""),"N/A")</f>
        <v>N/A</v>
      </c>
      <c r="AA218" s="18" t="str">
        <f ca="1">IFERROR(__xludf.DUMMYFUNCTION("""COMPUTED_VALUE"""),"lambdax:bool(x)")</f>
        <v>lambdax:bool(x)</v>
      </c>
      <c r="AC218" s="59" t="s">
        <v>1320</v>
      </c>
      <c r="AD218" s="59" t="s">
        <v>1320</v>
      </c>
      <c r="AE218" s="59" t="s">
        <v>1344</v>
      </c>
      <c r="AF218" s="59" t="s">
        <v>1350</v>
      </c>
      <c r="AG218" s="59" t="s">
        <v>1350</v>
      </c>
      <c r="AH218" s="59" t="s">
        <v>1353</v>
      </c>
      <c r="AI218" s="59" t="s">
        <v>1356</v>
      </c>
      <c r="AJ218" s="59" t="s">
        <v>1356</v>
      </c>
      <c r="AK218" s="59" t="s">
        <v>1356</v>
      </c>
      <c r="AL218" s="59" t="s">
        <v>1356</v>
      </c>
      <c r="AM218" s="59" t="s">
        <v>1356</v>
      </c>
      <c r="AN218" s="59" t="s">
        <v>1360</v>
      </c>
      <c r="AO218" s="59" t="s">
        <v>1360</v>
      </c>
      <c r="AP218" s="59" t="s">
        <v>1361</v>
      </c>
      <c r="AQ218" s="59" t="s">
        <v>1325</v>
      </c>
      <c r="AR218" s="59" t="s">
        <v>1328</v>
      </c>
      <c r="AS218" s="59"/>
      <c r="AT218" s="59"/>
    </row>
    <row r="219" spans="1:46" x14ac:dyDescent="0.25">
      <c r="A219" s="18" t="str">
        <v>manual_ventilation_setting:{"type":"attribute","data_type":"enum","is_readonly":false,"reporting_type":"polled","poll_freq":86400,"enum_values":["auto","1_hour","2_hours","4_hours"],"default_value":"auto","zigbee_metadata":{"attr_id":61770,"endpoint_id":10,"profile_id":260,"cluster_id":513,"zcl_data_type":48,"write_formatter":"lambdax:{'1_hour':1,'2_hours':2,'4_hours':3,'auto':5}[x]","read_formatter":"lambdax:{1:'1_hour',2:'2_hours',3:'4_hours',5:'auto'}.get(x,'unknown')"}},</v>
      </c>
      <c r="B219" s="52" t="str">
        <f ca="1"/>
        <v>0x0201 0xF14A</v>
      </c>
      <c r="C219" s="52" t="str">
        <f ca="1">IFERROR(__xludf.DUMMYFUNCTION("""COMPUTED_VALUE"""),"manual_ventilation_setting")</f>
        <v>manual_ventilation_setting</v>
      </c>
      <c r="D219" s="18" t="str">
        <f ca="1">IFERROR(__xludf.DUMMYFUNCTION("""COMPUTED_VALUE"""),"attribute")</f>
        <v>attribute</v>
      </c>
      <c r="E219" s="18" t="str">
        <f ca="1">IFERROR(__xludf.DUMMYFUNCTION("""COMPUTED_VALUE"""),"enum")</f>
        <v>enum</v>
      </c>
      <c r="F219" s="18" t="str">
        <f ca="1">IFERROR(__xludf.DUMMYFUNCTION("""COMPUTED_VALUE"""),"false")</f>
        <v>false</v>
      </c>
      <c r="G219" s="18" t="str">
        <f ca="1">IFERROR(__xludf.DUMMYFUNCTION("""COMPUTED_VALUE"""),"polled")</f>
        <v>polled</v>
      </c>
      <c r="H219" s="18" t="str">
        <f ca="1">IFERROR(__xludf.DUMMYFUNCTION("""COMPUTED_VALUE"""),"86400")</f>
        <v>86400</v>
      </c>
      <c r="I219" s="18" t="str">
        <f ca="1">IFERROR(__xludf.DUMMYFUNCTION("""COMPUTED_VALUE"""),"N/A")</f>
        <v>N/A</v>
      </c>
      <c r="J219" s="18" t="str">
        <f ca="1">IFERROR(__xludf.DUMMYFUNCTION("""COMPUTED_VALUE"""),"N/A")</f>
        <v>N/A</v>
      </c>
      <c r="K219" s="18" t="str">
        <f ca="1">IFERROR(__xludf.DUMMYFUNCTION("""COMPUTED_VALUE"""),"N/A")</f>
        <v>N/A</v>
      </c>
      <c r="L219" s="18" t="str">
        <f ca="1">IFERROR(__xludf.DUMMYFUNCTION("""COMPUTED_VALUE"""),"N/A")</f>
        <v>N/A</v>
      </c>
      <c r="M219" s="18" t="str">
        <f ca="1">IFERROR(__xludf.DUMMYFUNCTION("""COMPUTED_VALUE"""),"N/A")</f>
        <v>N/A</v>
      </c>
      <c r="N219" s="18" t="str">
        <f ca="1">IFERROR(__xludf.DUMMYFUNCTION("""COMPUTED_VALUE"""),"N/A")</f>
        <v>N/A</v>
      </c>
      <c r="O219" s="18" t="str">
        <f ca="1">IFERROR(__xludf.DUMMYFUNCTION("""COMPUTED_VALUE"""),"N/A")</f>
        <v>N/A</v>
      </c>
      <c r="P219" s="18" t="str">
        <f ca="1">IFERROR(__xludf.DUMMYFUNCTION("""COMPUTED_VALUE"""),"""auto"",""1_hour"",""2_hours"",""4_hours""")</f>
        <v>"auto","1_hour","2_hours","4_hours"</v>
      </c>
      <c r="Q219" s="18" t="str">
        <f ca="1">IFERROR(__xludf.DUMMYFUNCTION("""COMPUTED_VALUE"""),"N/A")</f>
        <v>N/A</v>
      </c>
      <c r="R219" s="18" t="str">
        <f ca="1">IFERROR(__xludf.DUMMYFUNCTION("""COMPUTED_VALUE"""),"N/A")</f>
        <v>N/A</v>
      </c>
      <c r="S219" s="18" t="str">
        <f ca="1">IFERROR(__xludf.DUMMYFUNCTION("""COMPUTED_VALUE"""),"""auto""")</f>
        <v>"auto"</v>
      </c>
      <c r="T219" s="18" t="str">
        <f ca="1">IFERROR(__xludf.DUMMYFUNCTION("""COMPUTED_VALUE"""),"0xF14A")</f>
        <v>0xF14A</v>
      </c>
      <c r="U219" s="18" t="str">
        <f ca="1">IFERROR(__xludf.DUMMYFUNCTION("""COMPUTED_VALUE"""),"0x0A")</f>
        <v>0x0A</v>
      </c>
      <c r="V219" s="18" t="str">
        <f ca="1">IFERROR(__xludf.DUMMYFUNCTION("""COMPUTED_VALUE"""),"0x0104")</f>
        <v>0x0104</v>
      </c>
      <c r="W219" s="18" t="str">
        <f ca="1">IFERROR(__xludf.DUMMYFUNCTION("""COMPUTED_VALUE"""),"0x0201")</f>
        <v>0x0201</v>
      </c>
      <c r="X219" s="18" t="str">
        <f ca="1">IFERROR(__xludf.DUMMYFUNCTION("""COMPUTED_VALUE"""),"0x30")</f>
        <v>0x30</v>
      </c>
      <c r="Y219" s="18" t="e">
        <f ca="1"/>
        <v>#NAME?</v>
      </c>
      <c r="Z219" s="18" t="str">
        <f ca="1">IFERROR(__xludf.DUMMYFUNCTION("""COMPUTED_VALUE"""),"lambdax:{'1_hour':1,'2_hours':2,'4_hours':3,'auto':5}[x]")</f>
        <v>lambdax:{'1_hour':1,'2_hours':2,'4_hours':3,'auto':5}[x]</v>
      </c>
      <c r="AA219" s="18" t="str">
        <f ca="1">IFERROR(__xludf.DUMMYFUNCTION("""COMPUTED_VALUE"""),"lambdax:{1:'1_hour',2:'2_hours',3:'4_hours',5:'auto'}.get(x,'unknown')")</f>
        <v>lambdax:{1:'1_hour',2:'2_hours',3:'4_hours',5:'auto'}.get(x,'unknown')</v>
      </c>
      <c r="AC219" s="59" t="s">
        <v>1323</v>
      </c>
      <c r="AD219" s="59" t="s">
        <v>1323</v>
      </c>
      <c r="AE219" s="59" t="s">
        <v>1347</v>
      </c>
      <c r="AF219" s="59" t="s">
        <v>1353</v>
      </c>
      <c r="AG219" s="59" t="s">
        <v>1353</v>
      </c>
      <c r="AH219" s="59" t="s">
        <v>1356</v>
      </c>
      <c r="AI219" s="59" t="s">
        <v>1358</v>
      </c>
      <c r="AJ219" s="59" t="s">
        <v>1358</v>
      </c>
      <c r="AK219" s="59" t="s">
        <v>1358</v>
      </c>
      <c r="AL219" s="59" t="s">
        <v>1358</v>
      </c>
      <c r="AM219" s="59" t="s">
        <v>1358</v>
      </c>
      <c r="AN219" s="59" t="s">
        <v>1362</v>
      </c>
      <c r="AO219" s="59" t="s">
        <v>1362</v>
      </c>
      <c r="AP219" s="59" t="s">
        <v>1363</v>
      </c>
      <c r="AQ219" s="59" t="s">
        <v>1328</v>
      </c>
      <c r="AR219" s="59" t="s">
        <v>1331</v>
      </c>
      <c r="AS219" s="59"/>
      <c r="AT219" s="59"/>
    </row>
    <row r="220" spans="1:46" x14ac:dyDescent="0.25">
      <c r="A220" s="18" t="str">
        <v>manual_ventilation_minutes_remaining:{"type":"attribute","data_type":"uint16","is_readonly":true,"reporting_type":"diagnostic","zigbee_metadata":{"attr_id":61771,"endpoint_id":10,"profile_id":260,"cluster_id":513,"zcl_data_type":33}},</v>
      </c>
      <c r="B220" s="52" t="str">
        <f ca="1"/>
        <v>0x0201 0xF14B</v>
      </c>
      <c r="C220" s="52" t="str">
        <f ca="1">IFERROR(__xludf.DUMMYFUNCTION("""COMPUTED_VALUE"""),"manual_ventilation_minutes_remaining")</f>
        <v>manual_ventilation_minutes_remaining</v>
      </c>
      <c r="D220" s="18" t="str">
        <f ca="1">IFERROR(__xludf.DUMMYFUNCTION("""COMPUTED_VALUE"""),"attribute")</f>
        <v>attribute</v>
      </c>
      <c r="E220" s="18" t="str">
        <f ca="1">IFERROR(__xludf.DUMMYFUNCTION("""COMPUTED_VALUE"""),"uint16")</f>
        <v>uint16</v>
      </c>
      <c r="F220" s="18" t="str">
        <f ca="1">IFERROR(__xludf.DUMMYFUNCTION("""COMPUTED_VALUE"""),"true")</f>
        <v>true</v>
      </c>
      <c r="G220" s="18" t="str">
        <f ca="1">IFERROR(__xludf.DUMMYFUNCTION("""COMPUTED_VALUE"""),"diagnostic")</f>
        <v>diagnostic</v>
      </c>
      <c r="H220" s="18" t="str">
        <f ca="1">IFERROR(__xludf.DUMMYFUNCTION("""COMPUTED_VALUE"""),"N/A")</f>
        <v>N/A</v>
      </c>
      <c r="I220" s="18" t="str">
        <f ca="1">IFERROR(__xludf.DUMMYFUNCTION("""COMPUTED_VALUE"""),"N/A")</f>
        <v>N/A</v>
      </c>
      <c r="J220" s="18" t="str">
        <f ca="1">IFERROR(__xludf.DUMMYFUNCTION("""COMPUTED_VALUE"""),"N/A")</f>
        <v>N/A</v>
      </c>
      <c r="K220" s="18" t="str">
        <f ca="1">IFERROR(__xludf.DUMMYFUNCTION("""COMPUTED_VALUE"""),"N/A")</f>
        <v>N/A</v>
      </c>
      <c r="L220" s="18" t="str">
        <f ca="1">IFERROR(__xludf.DUMMYFUNCTION("""COMPUTED_VALUE"""),"N/A")</f>
        <v>N/A</v>
      </c>
      <c r="M220" s="18" t="str">
        <f ca="1">IFERROR(__xludf.DUMMYFUNCTION("""COMPUTED_VALUE"""),"N/A")</f>
        <v>N/A</v>
      </c>
      <c r="N220" s="18" t="str">
        <f ca="1">IFERROR(__xludf.DUMMYFUNCTION("""COMPUTED_VALUE"""),"N/A")</f>
        <v>N/A</v>
      </c>
      <c r="O220" s="18" t="str">
        <f ca="1">IFERROR(__xludf.DUMMYFUNCTION("""COMPUTED_VALUE"""),"N/A")</f>
        <v>N/A</v>
      </c>
      <c r="P220" s="18" t="str">
        <f ca="1">IFERROR(__xludf.DUMMYFUNCTION("""COMPUTED_VALUE"""),"N/A")</f>
        <v>N/A</v>
      </c>
      <c r="Q220" s="18" t="str">
        <f ca="1">IFERROR(__xludf.DUMMYFUNCTION("""COMPUTED_VALUE"""),"N/A")</f>
        <v>N/A</v>
      </c>
      <c r="R220" s="18" t="str">
        <f ca="1">IFERROR(__xludf.DUMMYFUNCTION("""COMPUTED_VALUE"""),"N/A")</f>
        <v>N/A</v>
      </c>
      <c r="S220" s="18" t="str">
        <f ca="1">IFERROR(__xludf.DUMMYFUNCTION("""COMPUTED_VALUE"""),"N/A")</f>
        <v>N/A</v>
      </c>
      <c r="T220" s="18" t="str">
        <f ca="1">IFERROR(__xludf.DUMMYFUNCTION("""COMPUTED_VALUE"""),"0xF14B")</f>
        <v>0xF14B</v>
      </c>
      <c r="U220" s="18" t="str">
        <f ca="1">IFERROR(__xludf.DUMMYFUNCTION("""COMPUTED_VALUE"""),"0x0A")</f>
        <v>0x0A</v>
      </c>
      <c r="V220" s="18" t="str">
        <f ca="1">IFERROR(__xludf.DUMMYFUNCTION("""COMPUTED_VALUE"""),"0x0104")</f>
        <v>0x0104</v>
      </c>
      <c r="W220" s="18" t="str">
        <f ca="1">IFERROR(__xludf.DUMMYFUNCTION("""COMPUTED_VALUE"""),"0x0201")</f>
        <v>0x0201</v>
      </c>
      <c r="X220" s="18" t="str">
        <f ca="1">IFERROR(__xludf.DUMMYFUNCTION("""COMPUTED_VALUE"""),"0x21")</f>
        <v>0x21</v>
      </c>
      <c r="Y220" s="18" t="e">
        <f ca="1"/>
        <v>#NAME?</v>
      </c>
      <c r="Z220" s="18" t="str">
        <f ca="1">IFERROR(__xludf.DUMMYFUNCTION("""COMPUTED_VALUE"""),"N/A")</f>
        <v>N/A</v>
      </c>
      <c r="AA220" s="18" t="str">
        <f ca="1">IFERROR(__xludf.DUMMYFUNCTION("""COMPUTED_VALUE"""),"N/A")</f>
        <v>N/A</v>
      </c>
      <c r="AC220" s="59" t="s">
        <v>1326</v>
      </c>
      <c r="AD220" s="59" t="s">
        <v>1326</v>
      </c>
      <c r="AE220" s="59" t="s">
        <v>1350</v>
      </c>
      <c r="AF220" s="59" t="s">
        <v>1356</v>
      </c>
      <c r="AG220" s="59" t="s">
        <v>1356</v>
      </c>
      <c r="AH220" s="59" t="s">
        <v>1358</v>
      </c>
      <c r="AI220" s="59" t="s">
        <v>1360</v>
      </c>
      <c r="AJ220" s="59" t="s">
        <v>1360</v>
      </c>
      <c r="AK220" s="59" t="s">
        <v>1360</v>
      </c>
      <c r="AL220" s="59" t="s">
        <v>1360</v>
      </c>
      <c r="AM220" s="59" t="s">
        <v>1360</v>
      </c>
      <c r="AN220" s="59" t="s">
        <v>1364</v>
      </c>
      <c r="AO220" s="59" t="s">
        <v>1365</v>
      </c>
      <c r="AP220" s="59" t="s">
        <v>1366</v>
      </c>
      <c r="AQ220" s="59" t="s">
        <v>1331</v>
      </c>
      <c r="AR220" s="59" t="s">
        <v>1335</v>
      </c>
      <c r="AS220" s="59"/>
      <c r="AT220" s="59"/>
    </row>
    <row r="221" spans="1:46" x14ac:dyDescent="0.25">
      <c r="A221" s="18" t="str">
        <v>user_rh_target_editing_enabled:{"type":"attribute","data_type":"bool","is_readonly":false,"reporting_type":"polled","poll_freq":86400,"default_value":false,"zigbee_metadata":{"attr_id":61776,"endpoint_id":10,"profile_id":260,"cluster_id":513,"zcl_data_type":16,"read_formatter":"lambdax:bool(x)","write_formatter":"lambdax:int(x)"}},</v>
      </c>
      <c r="B221" s="52" t="str">
        <f ca="1"/>
        <v>0x0201 0xF150</v>
      </c>
      <c r="C221" s="52" t="str">
        <f ca="1">IFERROR(__xludf.DUMMYFUNCTION("""COMPUTED_VALUE"""),"user_rh_target_editing_enabled")</f>
        <v>user_rh_target_editing_enabled</v>
      </c>
      <c r="D221" s="18" t="str">
        <f ca="1">IFERROR(__xludf.DUMMYFUNCTION("""COMPUTED_VALUE"""),"attribute")</f>
        <v>attribute</v>
      </c>
      <c r="E221" s="18" t="str">
        <f ca="1">IFERROR(__xludf.DUMMYFUNCTION("""COMPUTED_VALUE"""),"bool")</f>
        <v>bool</v>
      </c>
      <c r="F221" s="18" t="str">
        <f ca="1">IFERROR(__xludf.DUMMYFUNCTION("""COMPUTED_VALUE"""),"false")</f>
        <v>false</v>
      </c>
      <c r="G221" s="18" t="str">
        <f ca="1">IFERROR(__xludf.DUMMYFUNCTION("""COMPUTED_VALUE"""),"polled")</f>
        <v>polled</v>
      </c>
      <c r="H221" s="18" t="str">
        <f ca="1">IFERROR(__xludf.DUMMYFUNCTION("""COMPUTED_VALUE"""),"86400")</f>
        <v>86400</v>
      </c>
      <c r="I221" s="18" t="str">
        <f ca="1">IFERROR(__xludf.DUMMYFUNCTION("""COMPUTED_VALUE"""),"N/A")</f>
        <v>N/A</v>
      </c>
      <c r="J221" s="18" t="str">
        <f ca="1">IFERROR(__xludf.DUMMYFUNCTION("""COMPUTED_VALUE"""),"N/A")</f>
        <v>N/A</v>
      </c>
      <c r="K221" s="18" t="str">
        <f ca="1">IFERROR(__xludf.DUMMYFUNCTION("""COMPUTED_VALUE"""),"N/A")</f>
        <v>N/A</v>
      </c>
      <c r="L221" s="18" t="str">
        <f ca="1">IFERROR(__xludf.DUMMYFUNCTION("""COMPUTED_VALUE"""),"N/A")</f>
        <v>N/A</v>
      </c>
      <c r="M221" s="18" t="str">
        <f ca="1">IFERROR(__xludf.DUMMYFUNCTION("""COMPUTED_VALUE"""),"N/A")</f>
        <v>N/A</v>
      </c>
      <c r="N221" s="18" t="str">
        <f ca="1">IFERROR(__xludf.DUMMYFUNCTION("""COMPUTED_VALUE"""),"N/A")</f>
        <v>N/A</v>
      </c>
      <c r="O221" s="18" t="str">
        <f ca="1">IFERROR(__xludf.DUMMYFUNCTION("""COMPUTED_VALUE"""),"N/A")</f>
        <v>N/A</v>
      </c>
      <c r="P221" s="18" t="str">
        <f ca="1">IFERROR(__xludf.DUMMYFUNCTION("""COMPUTED_VALUE"""),"N/A")</f>
        <v>N/A</v>
      </c>
      <c r="Q221" s="18" t="str">
        <f ca="1">IFERROR(__xludf.DUMMYFUNCTION("""COMPUTED_VALUE"""),"N/A")</f>
        <v>N/A</v>
      </c>
      <c r="R221" s="18" t="str">
        <f ca="1">IFERROR(__xludf.DUMMYFUNCTION("""COMPUTED_VALUE"""),"N/A")</f>
        <v>N/A</v>
      </c>
      <c r="S221" s="18" t="str">
        <f ca="1">IFERROR(__xludf.DUMMYFUNCTION("""COMPUTED_VALUE"""),"false")</f>
        <v>false</v>
      </c>
      <c r="T221" s="18" t="str">
        <f ca="1">IFERROR(__xludf.DUMMYFUNCTION("""COMPUTED_VALUE"""),"0xF150")</f>
        <v>0xF150</v>
      </c>
      <c r="U221" s="18" t="str">
        <f ca="1">IFERROR(__xludf.DUMMYFUNCTION("""COMPUTED_VALUE"""),"0x0A")</f>
        <v>0x0A</v>
      </c>
      <c r="V221" s="18" t="str">
        <f ca="1">IFERROR(__xludf.DUMMYFUNCTION("""COMPUTED_VALUE"""),"0x0104")</f>
        <v>0x0104</v>
      </c>
      <c r="W221" s="18" t="str">
        <f ca="1">IFERROR(__xludf.DUMMYFUNCTION("""COMPUTED_VALUE"""),"0x0201")</f>
        <v>0x0201</v>
      </c>
      <c r="X221" s="18" t="str">
        <f ca="1">IFERROR(__xludf.DUMMYFUNCTION("""COMPUTED_VALUE"""),"0x10")</f>
        <v>0x10</v>
      </c>
      <c r="Y221" s="18" t="e">
        <f ca="1"/>
        <v>#NAME?</v>
      </c>
      <c r="Z221" s="18" t="str">
        <f ca="1">IFERROR(__xludf.DUMMYFUNCTION("""COMPUTED_VALUE"""),"lambdax:int(x)")</f>
        <v>lambdax:int(x)</v>
      </c>
      <c r="AA221" s="18" t="str">
        <f ca="1">IFERROR(__xludf.DUMMYFUNCTION("""COMPUTED_VALUE"""),"lambdax:bool(x)")</f>
        <v>lambdax:bool(x)</v>
      </c>
      <c r="AC221" s="59" t="s">
        <v>1329</v>
      </c>
      <c r="AD221" s="59" t="s">
        <v>1329</v>
      </c>
      <c r="AE221" s="59" t="s">
        <v>1353</v>
      </c>
      <c r="AF221" s="59" t="s">
        <v>1367</v>
      </c>
      <c r="AG221" s="59" t="s">
        <v>1367</v>
      </c>
      <c r="AH221" s="59" t="s">
        <v>1360</v>
      </c>
      <c r="AI221" s="59" t="s">
        <v>1362</v>
      </c>
      <c r="AJ221" s="59" t="s">
        <v>1362</v>
      </c>
      <c r="AK221" s="59" t="s">
        <v>1362</v>
      </c>
      <c r="AL221" s="59" t="s">
        <v>1362</v>
      </c>
      <c r="AM221" s="59" t="s">
        <v>1362</v>
      </c>
      <c r="AN221" s="59" t="s">
        <v>1368</v>
      </c>
      <c r="AO221" s="59" t="s">
        <v>1369</v>
      </c>
      <c r="AP221" s="59" t="s">
        <v>1370</v>
      </c>
      <c r="AQ221" s="59" t="s">
        <v>1335</v>
      </c>
      <c r="AR221" s="59" t="s">
        <v>1339</v>
      </c>
      <c r="AS221" s="59"/>
      <c r="AT221" s="59"/>
    </row>
    <row r="222" spans="1:46" x14ac:dyDescent="0.25">
      <c r="A222" s="18" t="str">
        <v>user_rh_target_min:{"type":"attribute","data_type":"uint8","is_readonly":false,"reporting_type":"polled","poll_freq":86400,"max":90,"min":10,"default_value":50,"zigbee_metadata":{"attr_id":61777,"endpoint_id":10,"profile_id":260,"cluster_id":513,"zcl_data_type":32}},</v>
      </c>
      <c r="B222" s="52" t="str">
        <f ca="1"/>
        <v>0x0201 0xF151</v>
      </c>
      <c r="C222" s="52" t="str">
        <f ca="1">IFERROR(__xludf.DUMMYFUNCTION("""COMPUTED_VALUE"""),"user_rh_target_min")</f>
        <v>user_rh_target_min</v>
      </c>
      <c r="D222" s="18" t="str">
        <f ca="1">IFERROR(__xludf.DUMMYFUNCTION("""COMPUTED_VALUE"""),"attribute")</f>
        <v>attribute</v>
      </c>
      <c r="E222" s="18" t="str">
        <f ca="1">IFERROR(__xludf.DUMMYFUNCTION("""COMPUTED_VALUE"""),"uint8")</f>
        <v>uint8</v>
      </c>
      <c r="F222" s="18" t="str">
        <f ca="1">IFERROR(__xludf.DUMMYFUNCTION("""COMPUTED_VALUE"""),"false")</f>
        <v>false</v>
      </c>
      <c r="G222" s="18" t="str">
        <f ca="1">IFERROR(__xludf.DUMMYFUNCTION("""COMPUTED_VALUE"""),"polled")</f>
        <v>polled</v>
      </c>
      <c r="H222" s="18" t="str">
        <f ca="1">IFERROR(__xludf.DUMMYFUNCTION("""COMPUTED_VALUE"""),"86400")</f>
        <v>86400</v>
      </c>
      <c r="I222" s="18" t="str">
        <f ca="1">IFERROR(__xludf.DUMMYFUNCTION("""COMPUTED_VALUE"""),"N/A")</f>
        <v>N/A</v>
      </c>
      <c r="J222" s="18" t="str">
        <f ca="1">IFERROR(__xludf.DUMMYFUNCTION("""COMPUTED_VALUE"""),"N/A")</f>
        <v>N/A</v>
      </c>
      <c r="K222" s="18" t="str">
        <f ca="1">IFERROR(__xludf.DUMMYFUNCTION("""COMPUTED_VALUE"""),"N/A")</f>
        <v>N/A</v>
      </c>
      <c r="L222" s="18" t="str">
        <f ca="1">IFERROR(__xludf.DUMMYFUNCTION("""COMPUTED_VALUE"""),"90")</f>
        <v>90</v>
      </c>
      <c r="M222" s="18" t="str">
        <f ca="1">IFERROR(__xludf.DUMMYFUNCTION("""COMPUTED_VALUE"""),"10")</f>
        <v>10</v>
      </c>
      <c r="N222" s="18" t="str">
        <f ca="1">IFERROR(__xludf.DUMMYFUNCTION("""COMPUTED_VALUE"""),"N/A")</f>
        <v>N/A</v>
      </c>
      <c r="O222" s="18" t="str">
        <f ca="1">IFERROR(__xludf.DUMMYFUNCTION("""COMPUTED_VALUE"""),"N/A")</f>
        <v>N/A</v>
      </c>
      <c r="P222" s="18" t="str">
        <f ca="1">IFERROR(__xludf.DUMMYFUNCTION("""COMPUTED_VALUE"""),"N/A")</f>
        <v>N/A</v>
      </c>
      <c r="Q222" s="18" t="str">
        <f ca="1">IFERROR(__xludf.DUMMYFUNCTION("""COMPUTED_VALUE"""),"N/A")</f>
        <v>N/A</v>
      </c>
      <c r="R222" s="18" t="str">
        <f ca="1">IFERROR(__xludf.DUMMYFUNCTION("""COMPUTED_VALUE"""),"N/A")</f>
        <v>N/A</v>
      </c>
      <c r="S222" s="18" t="str">
        <f ca="1">IFERROR(__xludf.DUMMYFUNCTION("""COMPUTED_VALUE"""),"50")</f>
        <v>50</v>
      </c>
      <c r="T222" s="18" t="str">
        <f ca="1">IFERROR(__xludf.DUMMYFUNCTION("""COMPUTED_VALUE"""),"0xF151")</f>
        <v>0xF151</v>
      </c>
      <c r="U222" s="18" t="str">
        <f ca="1">IFERROR(__xludf.DUMMYFUNCTION("""COMPUTED_VALUE"""),"0x0A")</f>
        <v>0x0A</v>
      </c>
      <c r="V222" s="18" t="str">
        <f ca="1">IFERROR(__xludf.DUMMYFUNCTION("""COMPUTED_VALUE"""),"0x0104")</f>
        <v>0x0104</v>
      </c>
      <c r="W222" s="18" t="str">
        <f ca="1">IFERROR(__xludf.DUMMYFUNCTION("""COMPUTED_VALUE"""),"0x0201")</f>
        <v>0x0201</v>
      </c>
      <c r="X222" s="18" t="str">
        <f ca="1">IFERROR(__xludf.DUMMYFUNCTION("""COMPUTED_VALUE"""),"0x20")</f>
        <v>0x20</v>
      </c>
      <c r="Y222" s="18" t="e">
        <f ca="1"/>
        <v>#NAME?</v>
      </c>
      <c r="Z222" s="18" t="str">
        <f ca="1">IFERROR(__xludf.DUMMYFUNCTION("""COMPUTED_VALUE"""),"N/A")</f>
        <v>N/A</v>
      </c>
      <c r="AA222" s="18" t="str">
        <f ca="1">IFERROR(__xludf.DUMMYFUNCTION("""COMPUTED_VALUE"""),"N/A")</f>
        <v>N/A</v>
      </c>
      <c r="AC222" s="59" t="s">
        <v>1332</v>
      </c>
      <c r="AD222" s="59" t="s">
        <v>1332</v>
      </c>
      <c r="AE222" s="59" t="s">
        <v>1356</v>
      </c>
      <c r="AF222" s="59" t="s">
        <v>1371</v>
      </c>
      <c r="AG222" s="59" t="s">
        <v>1371</v>
      </c>
      <c r="AH222" s="59" t="s">
        <v>1362</v>
      </c>
      <c r="AI222" s="59" t="s">
        <v>1372</v>
      </c>
      <c r="AJ222" s="59" t="s">
        <v>1372</v>
      </c>
      <c r="AK222" s="59" t="s">
        <v>1372</v>
      </c>
      <c r="AL222" s="59" t="s">
        <v>1364</v>
      </c>
      <c r="AM222" s="59" t="s">
        <v>1364</v>
      </c>
      <c r="AN222" s="59" t="s">
        <v>1373</v>
      </c>
      <c r="AO222" s="59" t="s">
        <v>1374</v>
      </c>
      <c r="AP222" s="59" t="s">
        <v>1375</v>
      </c>
      <c r="AQ222" s="59" t="s">
        <v>1339</v>
      </c>
      <c r="AR222" s="59" t="s">
        <v>1343</v>
      </c>
      <c r="AS222" s="59"/>
      <c r="AT222" s="59"/>
    </row>
    <row r="223" spans="1:46" x14ac:dyDescent="0.25">
      <c r="A223" s="18" t="str">
        <v>user_rh_target_max:{"type":"attribute","data_type":"uint8","is_readonly":false,"reporting_type":"polled","poll_freq":86400,"max":90,"min":10,"default_value":75,"zigbee_metadata":{"attr_id":61778,"endpoint_id":10,"profile_id":260,"cluster_id":513,"zcl_data_type":32}},</v>
      </c>
      <c r="B223" s="52" t="str">
        <f ca="1"/>
        <v>0x0201 0xF152</v>
      </c>
      <c r="C223" s="52" t="str">
        <f ca="1">IFERROR(__xludf.DUMMYFUNCTION("""COMPUTED_VALUE"""),"user_rh_target_max")</f>
        <v>user_rh_target_max</v>
      </c>
      <c r="D223" s="18" t="str">
        <f ca="1">IFERROR(__xludf.DUMMYFUNCTION("""COMPUTED_VALUE"""),"attribute")</f>
        <v>attribute</v>
      </c>
      <c r="E223" s="18" t="str">
        <f ca="1">IFERROR(__xludf.DUMMYFUNCTION("""COMPUTED_VALUE"""),"uint8")</f>
        <v>uint8</v>
      </c>
      <c r="F223" s="18" t="str">
        <f ca="1">IFERROR(__xludf.DUMMYFUNCTION("""COMPUTED_VALUE"""),"false")</f>
        <v>false</v>
      </c>
      <c r="G223" s="18" t="str">
        <f ca="1">IFERROR(__xludf.DUMMYFUNCTION("""COMPUTED_VALUE"""),"polled")</f>
        <v>polled</v>
      </c>
      <c r="H223" s="18" t="str">
        <f ca="1">IFERROR(__xludf.DUMMYFUNCTION("""COMPUTED_VALUE"""),"86400")</f>
        <v>86400</v>
      </c>
      <c r="I223" s="18" t="str">
        <f ca="1">IFERROR(__xludf.DUMMYFUNCTION("""COMPUTED_VALUE"""),"N/A")</f>
        <v>N/A</v>
      </c>
      <c r="J223" s="18" t="str">
        <f ca="1">IFERROR(__xludf.DUMMYFUNCTION("""COMPUTED_VALUE"""),"N/A")</f>
        <v>N/A</v>
      </c>
      <c r="K223" s="18" t="str">
        <f ca="1">IFERROR(__xludf.DUMMYFUNCTION("""COMPUTED_VALUE"""),"N/A")</f>
        <v>N/A</v>
      </c>
      <c r="L223" s="18" t="str">
        <f ca="1">IFERROR(__xludf.DUMMYFUNCTION("""COMPUTED_VALUE"""),"90")</f>
        <v>90</v>
      </c>
      <c r="M223" s="18" t="str">
        <f ca="1">IFERROR(__xludf.DUMMYFUNCTION("""COMPUTED_VALUE"""),"10")</f>
        <v>10</v>
      </c>
      <c r="N223" s="18" t="str">
        <f ca="1">IFERROR(__xludf.DUMMYFUNCTION("""COMPUTED_VALUE"""),"N/A")</f>
        <v>N/A</v>
      </c>
      <c r="O223" s="18" t="str">
        <f ca="1">IFERROR(__xludf.DUMMYFUNCTION("""COMPUTED_VALUE"""),"N/A")</f>
        <v>N/A</v>
      </c>
      <c r="P223" s="18" t="str">
        <f ca="1">IFERROR(__xludf.DUMMYFUNCTION("""COMPUTED_VALUE"""),"N/A")</f>
        <v>N/A</v>
      </c>
      <c r="Q223" s="18" t="str">
        <f ca="1">IFERROR(__xludf.DUMMYFUNCTION("""COMPUTED_VALUE"""),"N/A")</f>
        <v>N/A</v>
      </c>
      <c r="R223" s="18" t="str">
        <f ca="1">IFERROR(__xludf.DUMMYFUNCTION("""COMPUTED_VALUE"""),"N/A")</f>
        <v>N/A</v>
      </c>
      <c r="S223" s="18" t="str">
        <f ca="1">IFERROR(__xludf.DUMMYFUNCTION("""COMPUTED_VALUE"""),"75")</f>
        <v>75</v>
      </c>
      <c r="T223" s="18" t="str">
        <f ca="1">IFERROR(__xludf.DUMMYFUNCTION("""COMPUTED_VALUE"""),"0xF152")</f>
        <v>0xF152</v>
      </c>
      <c r="U223" s="18" t="str">
        <f ca="1">IFERROR(__xludf.DUMMYFUNCTION("""COMPUTED_VALUE"""),"0x0A")</f>
        <v>0x0A</v>
      </c>
      <c r="V223" s="18" t="str">
        <f ca="1">IFERROR(__xludf.DUMMYFUNCTION("""COMPUTED_VALUE"""),"0x0104")</f>
        <v>0x0104</v>
      </c>
      <c r="W223" s="18" t="str">
        <f ca="1">IFERROR(__xludf.DUMMYFUNCTION("""COMPUTED_VALUE"""),"0x0201")</f>
        <v>0x0201</v>
      </c>
      <c r="X223" s="18" t="str">
        <f ca="1">IFERROR(__xludf.DUMMYFUNCTION("""COMPUTED_VALUE"""),"0x20")</f>
        <v>0x20</v>
      </c>
      <c r="Y223" s="18" t="e">
        <f ca="1"/>
        <v>#NAME?</v>
      </c>
      <c r="Z223" s="18" t="str">
        <f ca="1">IFERROR(__xludf.DUMMYFUNCTION("""COMPUTED_VALUE"""),"N/A")</f>
        <v>N/A</v>
      </c>
      <c r="AA223" s="18" t="str">
        <f ca="1">IFERROR(__xludf.DUMMYFUNCTION("""COMPUTED_VALUE"""),"N/A")</f>
        <v>N/A</v>
      </c>
      <c r="AC223" s="59" t="s">
        <v>1336</v>
      </c>
      <c r="AD223" s="59" t="s">
        <v>1336</v>
      </c>
      <c r="AE223" s="59" t="s">
        <v>1367</v>
      </c>
      <c r="AF223" s="59" t="s">
        <v>1376</v>
      </c>
      <c r="AG223" s="59" t="s">
        <v>1376</v>
      </c>
      <c r="AH223" s="59" t="s">
        <v>1372</v>
      </c>
      <c r="AI223" s="59" t="s">
        <v>1377</v>
      </c>
      <c r="AJ223" s="59" t="s">
        <v>1377</v>
      </c>
      <c r="AK223" s="59" t="s">
        <v>1377</v>
      </c>
      <c r="AL223" s="59" t="s">
        <v>1368</v>
      </c>
      <c r="AM223" s="59" t="s">
        <v>1368</v>
      </c>
      <c r="AN223" s="59" t="s">
        <v>1378</v>
      </c>
      <c r="AO223" s="59" t="s">
        <v>1379</v>
      </c>
      <c r="AP223" s="59" t="s">
        <v>1380</v>
      </c>
      <c r="AQ223" s="59" t="s">
        <v>1343</v>
      </c>
      <c r="AR223" s="59" t="s">
        <v>1346</v>
      </c>
      <c r="AS223" s="59"/>
      <c r="AT223" s="59"/>
    </row>
    <row r="224" spans="1:46" x14ac:dyDescent="0.25">
      <c r="A224" s="18" t="str">
        <v>rh_target_limit:{"type":"attribute","data_type":"uint8","is_readonly":false,"reporting_type":"polled","poll_freq":86400,"max":90,"min":10,"default_value":50,"zigbee_metadata":{"attr_id":61779,"endpoint_id":10,"profile_id":260,"cluster_id":513,"zcl_data_type":32}},</v>
      </c>
      <c r="B224" s="52" t="str">
        <f ca="1"/>
        <v>0x0201 0xF153</v>
      </c>
      <c r="C224" s="52" t="str">
        <f ca="1">IFERROR(__xludf.DUMMYFUNCTION("""COMPUTED_VALUE"""),"rh_target_limit")</f>
        <v>rh_target_limit</v>
      </c>
      <c r="D224" s="18" t="str">
        <f ca="1">IFERROR(__xludf.DUMMYFUNCTION("""COMPUTED_VALUE"""),"attribute")</f>
        <v>attribute</v>
      </c>
      <c r="E224" s="18" t="str">
        <f ca="1">IFERROR(__xludf.DUMMYFUNCTION("""COMPUTED_VALUE"""),"uint8")</f>
        <v>uint8</v>
      </c>
      <c r="F224" s="18" t="str">
        <f ca="1">IFERROR(__xludf.DUMMYFUNCTION("""COMPUTED_VALUE"""),"false")</f>
        <v>false</v>
      </c>
      <c r="G224" s="18" t="str">
        <f ca="1">IFERROR(__xludf.DUMMYFUNCTION("""COMPUTED_VALUE"""),"polled")</f>
        <v>polled</v>
      </c>
      <c r="H224" s="18" t="str">
        <f ca="1">IFERROR(__xludf.DUMMYFUNCTION("""COMPUTED_VALUE"""),"86400")</f>
        <v>86400</v>
      </c>
      <c r="I224" s="18" t="str">
        <f ca="1">IFERROR(__xludf.DUMMYFUNCTION("""COMPUTED_VALUE"""),"N/A")</f>
        <v>N/A</v>
      </c>
      <c r="J224" s="18" t="str">
        <f ca="1">IFERROR(__xludf.DUMMYFUNCTION("""COMPUTED_VALUE"""),"N/A")</f>
        <v>N/A</v>
      </c>
      <c r="K224" s="18" t="str">
        <f ca="1">IFERROR(__xludf.DUMMYFUNCTION("""COMPUTED_VALUE"""),"N/A")</f>
        <v>N/A</v>
      </c>
      <c r="L224" s="18" t="str">
        <f ca="1">IFERROR(__xludf.DUMMYFUNCTION("""COMPUTED_VALUE"""),"90")</f>
        <v>90</v>
      </c>
      <c r="M224" s="18" t="str">
        <f ca="1">IFERROR(__xludf.DUMMYFUNCTION("""COMPUTED_VALUE"""),"10")</f>
        <v>10</v>
      </c>
      <c r="N224" s="18" t="str">
        <f ca="1">IFERROR(__xludf.DUMMYFUNCTION("""COMPUTED_VALUE"""),"N/A")</f>
        <v>N/A</v>
      </c>
      <c r="O224" s="18" t="str">
        <f ca="1">IFERROR(__xludf.DUMMYFUNCTION("""COMPUTED_VALUE"""),"N/A")</f>
        <v>N/A</v>
      </c>
      <c r="P224" s="18" t="str">
        <f ca="1">IFERROR(__xludf.DUMMYFUNCTION("""COMPUTED_VALUE"""),"N/A")</f>
        <v>N/A</v>
      </c>
      <c r="Q224" s="18" t="str">
        <f ca="1">IFERROR(__xludf.DUMMYFUNCTION("""COMPUTED_VALUE"""),"N/A")</f>
        <v>N/A</v>
      </c>
      <c r="R224" s="18" t="str">
        <f ca="1">IFERROR(__xludf.DUMMYFUNCTION("""COMPUTED_VALUE"""),"N/A")</f>
        <v>N/A</v>
      </c>
      <c r="S224" s="18" t="str">
        <f ca="1">IFERROR(__xludf.DUMMYFUNCTION("""COMPUTED_VALUE"""),"50")</f>
        <v>50</v>
      </c>
      <c r="T224" s="18" t="str">
        <f ca="1">IFERROR(__xludf.DUMMYFUNCTION("""COMPUTED_VALUE"""),"0xF153")</f>
        <v>0xF153</v>
      </c>
      <c r="U224" s="18" t="str">
        <f ca="1">IFERROR(__xludf.DUMMYFUNCTION("""COMPUTED_VALUE"""),"0x0A")</f>
        <v>0x0A</v>
      </c>
      <c r="V224" s="18" t="str">
        <f ca="1">IFERROR(__xludf.DUMMYFUNCTION("""COMPUTED_VALUE"""),"0x0104")</f>
        <v>0x0104</v>
      </c>
      <c r="W224" s="18" t="str">
        <f ca="1">IFERROR(__xludf.DUMMYFUNCTION("""COMPUTED_VALUE"""),"0x0201")</f>
        <v>0x0201</v>
      </c>
      <c r="X224" s="18" t="str">
        <f ca="1">IFERROR(__xludf.DUMMYFUNCTION("""COMPUTED_VALUE"""),"0x20")</f>
        <v>0x20</v>
      </c>
      <c r="Y224" s="18" t="e">
        <f ca="1"/>
        <v>#NAME?</v>
      </c>
      <c r="Z224" s="18" t="str">
        <f ca="1">IFERROR(__xludf.DUMMYFUNCTION("""COMPUTED_VALUE"""),"N/A")</f>
        <v>N/A</v>
      </c>
      <c r="AA224" s="18" t="str">
        <f ca="1">IFERROR(__xludf.DUMMYFUNCTION("""COMPUTED_VALUE"""),"N/A")</f>
        <v>N/A</v>
      </c>
      <c r="AC224" s="59" t="s">
        <v>1340</v>
      </c>
      <c r="AD224" s="59" t="s">
        <v>1340</v>
      </c>
      <c r="AE224" s="59" t="s">
        <v>1371</v>
      </c>
      <c r="AF224" s="59" t="s">
        <v>1372</v>
      </c>
      <c r="AG224" s="59" t="s">
        <v>1372</v>
      </c>
      <c r="AH224" s="59" t="s">
        <v>1377</v>
      </c>
      <c r="AI224" s="59" t="s">
        <v>1381</v>
      </c>
      <c r="AJ224" s="59" t="s">
        <v>1381</v>
      </c>
      <c r="AK224" s="59" t="s">
        <v>1381</v>
      </c>
      <c r="AL224" s="59" t="s">
        <v>1373</v>
      </c>
      <c r="AM224" s="59" t="s">
        <v>1373</v>
      </c>
      <c r="AN224" s="59" t="s">
        <v>1382</v>
      </c>
      <c r="AO224" s="59" t="s">
        <v>1383</v>
      </c>
      <c r="AP224" s="59" t="s">
        <v>1384</v>
      </c>
      <c r="AQ224" s="59" t="s">
        <v>1346</v>
      </c>
      <c r="AR224" s="59" t="s">
        <v>1349</v>
      </c>
      <c r="AS224" s="59"/>
      <c r="AT224" s="59"/>
    </row>
    <row r="225" spans="1:46" x14ac:dyDescent="0.25">
      <c r="A225" s="18" t="str">
        <v>humidistat_min_off_time:{"type":"attribute","data_type":"uint8","is_readonly":false,"reporting_type":"polled","poll_freq":86400,"max":60,"min":1,"default_value":15,"zigbee_metadata":{"attr_id":61780,"endpoint_id":10,"profile_id":260,"cluster_id":513,"zcl_data_type":32}},</v>
      </c>
      <c r="B225" s="52" t="str">
        <f ca="1"/>
        <v>0x0201 0xF154</v>
      </c>
      <c r="C225" s="52" t="str">
        <f ca="1">IFERROR(__xludf.DUMMYFUNCTION("""COMPUTED_VALUE"""),"humidistat_min_off_time")</f>
        <v>humidistat_min_off_time</v>
      </c>
      <c r="D225" s="18" t="str">
        <f ca="1">IFERROR(__xludf.DUMMYFUNCTION("""COMPUTED_VALUE"""),"attribute")</f>
        <v>attribute</v>
      </c>
      <c r="E225" s="18" t="str">
        <f ca="1">IFERROR(__xludf.DUMMYFUNCTION("""COMPUTED_VALUE"""),"uint8")</f>
        <v>uint8</v>
      </c>
      <c r="F225" s="18" t="str">
        <f ca="1">IFERROR(__xludf.DUMMYFUNCTION("""COMPUTED_VALUE"""),"false")</f>
        <v>false</v>
      </c>
      <c r="G225" s="18" t="str">
        <f ca="1">IFERROR(__xludf.DUMMYFUNCTION("""COMPUTED_VALUE"""),"polled")</f>
        <v>polled</v>
      </c>
      <c r="H225" s="18" t="str">
        <f ca="1">IFERROR(__xludf.DUMMYFUNCTION("""COMPUTED_VALUE"""),"86400")</f>
        <v>86400</v>
      </c>
      <c r="I225" s="18" t="str">
        <f ca="1">IFERROR(__xludf.DUMMYFUNCTION("""COMPUTED_VALUE"""),"N/A")</f>
        <v>N/A</v>
      </c>
      <c r="J225" s="18" t="str">
        <f ca="1">IFERROR(__xludf.DUMMYFUNCTION("""COMPUTED_VALUE"""),"N/A")</f>
        <v>N/A</v>
      </c>
      <c r="K225" s="18" t="str">
        <f ca="1">IFERROR(__xludf.DUMMYFUNCTION("""COMPUTED_VALUE"""),"N/A")</f>
        <v>N/A</v>
      </c>
      <c r="L225" s="18" t="str">
        <f ca="1">IFERROR(__xludf.DUMMYFUNCTION("""COMPUTED_VALUE"""),"60")</f>
        <v>60</v>
      </c>
      <c r="M225" s="18" t="str">
        <f ca="1">IFERROR(__xludf.DUMMYFUNCTION("""COMPUTED_VALUE"""),"1")</f>
        <v>1</v>
      </c>
      <c r="N225" s="18" t="str">
        <f ca="1">IFERROR(__xludf.DUMMYFUNCTION("""COMPUTED_VALUE"""),"N/A")</f>
        <v>N/A</v>
      </c>
      <c r="O225" s="18" t="str">
        <f ca="1">IFERROR(__xludf.DUMMYFUNCTION("""COMPUTED_VALUE"""),"N/A")</f>
        <v>N/A</v>
      </c>
      <c r="P225" s="18" t="str">
        <f ca="1">IFERROR(__xludf.DUMMYFUNCTION("""COMPUTED_VALUE"""),"N/A")</f>
        <v>N/A</v>
      </c>
      <c r="Q225" s="18" t="str">
        <f ca="1">IFERROR(__xludf.DUMMYFUNCTION("""COMPUTED_VALUE"""),"N/A")</f>
        <v>N/A</v>
      </c>
      <c r="R225" s="18" t="str">
        <f ca="1">IFERROR(__xludf.DUMMYFUNCTION("""COMPUTED_VALUE"""),"N/A")</f>
        <v>N/A</v>
      </c>
      <c r="S225" s="18" t="str">
        <f ca="1">IFERROR(__xludf.DUMMYFUNCTION("""COMPUTED_VALUE"""),"15")</f>
        <v>15</v>
      </c>
      <c r="T225" s="18" t="str">
        <f ca="1">IFERROR(__xludf.DUMMYFUNCTION("""COMPUTED_VALUE"""),"0xF154")</f>
        <v>0xF154</v>
      </c>
      <c r="U225" s="18" t="str">
        <f ca="1">IFERROR(__xludf.DUMMYFUNCTION("""COMPUTED_VALUE"""),"0x0A")</f>
        <v>0x0A</v>
      </c>
      <c r="V225" s="18" t="str">
        <f ca="1">IFERROR(__xludf.DUMMYFUNCTION("""COMPUTED_VALUE"""),"0x0104")</f>
        <v>0x0104</v>
      </c>
      <c r="W225" s="18" t="str">
        <f ca="1">IFERROR(__xludf.DUMMYFUNCTION("""COMPUTED_VALUE"""),"0x0201")</f>
        <v>0x0201</v>
      </c>
      <c r="X225" s="18" t="str">
        <f ca="1">IFERROR(__xludf.DUMMYFUNCTION("""COMPUTED_VALUE"""),"0x20")</f>
        <v>0x20</v>
      </c>
      <c r="Y225" s="18" t="e">
        <f ca="1"/>
        <v>#NAME?</v>
      </c>
      <c r="Z225" s="18" t="str">
        <f ca="1">IFERROR(__xludf.DUMMYFUNCTION("""COMPUTED_VALUE"""),"N/A")</f>
        <v>N/A</v>
      </c>
      <c r="AA225" s="18" t="str">
        <f ca="1">IFERROR(__xludf.DUMMYFUNCTION("""COMPUTED_VALUE"""),"N/A")</f>
        <v>N/A</v>
      </c>
      <c r="AC225" s="59" t="s">
        <v>1344</v>
      </c>
      <c r="AD225" s="59" t="s">
        <v>1344</v>
      </c>
      <c r="AE225" s="59" t="s">
        <v>1376</v>
      </c>
      <c r="AF225" s="59" t="s">
        <v>1385</v>
      </c>
      <c r="AG225" s="59" t="s">
        <v>1385</v>
      </c>
      <c r="AH225" s="59" t="s">
        <v>1381</v>
      </c>
      <c r="AI225" s="59" t="s">
        <v>1386</v>
      </c>
      <c r="AJ225" s="59" t="s">
        <v>1386</v>
      </c>
      <c r="AK225" s="59" t="s">
        <v>1386</v>
      </c>
      <c r="AL225" s="59" t="s">
        <v>1378</v>
      </c>
      <c r="AM225" s="59" t="s">
        <v>1378</v>
      </c>
      <c r="AN225" s="59" t="s">
        <v>1387</v>
      </c>
      <c r="AO225" s="59" t="s">
        <v>1388</v>
      </c>
      <c r="AP225" s="59" t="s">
        <v>1389</v>
      </c>
      <c r="AQ225" s="59" t="s">
        <v>1349</v>
      </c>
      <c r="AR225" s="59" t="s">
        <v>1352</v>
      </c>
      <c r="AS225" s="59"/>
      <c r="AT225" s="59"/>
    </row>
    <row r="226" spans="1:46" x14ac:dyDescent="0.25">
      <c r="A226" s="18" t="str">
        <v>humidistat_min_on_time:{"type":"attribute","data_type":"uint8","is_readonly":false,"reporting_type":"polled","poll_freq":86400,"max":60,"min":1,"default_value":15,"zigbee_metadata":{"attr_id":61781,"endpoint_id":10,"profile_id":260,"cluster_id":513,"zcl_data_type":32}},</v>
      </c>
      <c r="B226" s="52" t="str">
        <f ca="1"/>
        <v>0x0201 0xF155</v>
      </c>
      <c r="C226" s="52" t="str">
        <f ca="1">IFERROR(__xludf.DUMMYFUNCTION("""COMPUTED_VALUE"""),"humidistat_min_on_time")</f>
        <v>humidistat_min_on_time</v>
      </c>
      <c r="D226" s="18" t="str">
        <f ca="1">IFERROR(__xludf.DUMMYFUNCTION("""COMPUTED_VALUE"""),"attribute")</f>
        <v>attribute</v>
      </c>
      <c r="E226" s="18" t="str">
        <f ca="1">IFERROR(__xludf.DUMMYFUNCTION("""COMPUTED_VALUE"""),"uint8")</f>
        <v>uint8</v>
      </c>
      <c r="F226" s="18" t="str">
        <f ca="1">IFERROR(__xludf.DUMMYFUNCTION("""COMPUTED_VALUE"""),"false")</f>
        <v>false</v>
      </c>
      <c r="G226" s="18" t="str">
        <f ca="1">IFERROR(__xludf.DUMMYFUNCTION("""COMPUTED_VALUE"""),"polled")</f>
        <v>polled</v>
      </c>
      <c r="H226" s="18" t="str">
        <f ca="1">IFERROR(__xludf.DUMMYFUNCTION("""COMPUTED_VALUE"""),"86400")</f>
        <v>86400</v>
      </c>
      <c r="I226" s="18" t="str">
        <f ca="1">IFERROR(__xludf.DUMMYFUNCTION("""COMPUTED_VALUE"""),"N/A")</f>
        <v>N/A</v>
      </c>
      <c r="J226" s="18" t="str">
        <f ca="1">IFERROR(__xludf.DUMMYFUNCTION("""COMPUTED_VALUE"""),"N/A")</f>
        <v>N/A</v>
      </c>
      <c r="K226" s="18" t="str">
        <f ca="1">IFERROR(__xludf.DUMMYFUNCTION("""COMPUTED_VALUE"""),"N/A")</f>
        <v>N/A</v>
      </c>
      <c r="L226" s="18" t="str">
        <f ca="1">IFERROR(__xludf.DUMMYFUNCTION("""COMPUTED_VALUE"""),"60")</f>
        <v>60</v>
      </c>
      <c r="M226" s="18" t="str">
        <f ca="1">IFERROR(__xludf.DUMMYFUNCTION("""COMPUTED_VALUE"""),"1")</f>
        <v>1</v>
      </c>
      <c r="N226" s="18" t="str">
        <f ca="1">IFERROR(__xludf.DUMMYFUNCTION("""COMPUTED_VALUE"""),"N/A")</f>
        <v>N/A</v>
      </c>
      <c r="O226" s="18" t="str">
        <f ca="1">IFERROR(__xludf.DUMMYFUNCTION("""COMPUTED_VALUE"""),"N/A")</f>
        <v>N/A</v>
      </c>
      <c r="P226" s="18" t="str">
        <f ca="1">IFERROR(__xludf.DUMMYFUNCTION("""COMPUTED_VALUE"""),"N/A")</f>
        <v>N/A</v>
      </c>
      <c r="Q226" s="18" t="str">
        <f ca="1">IFERROR(__xludf.DUMMYFUNCTION("""COMPUTED_VALUE"""),"N/A")</f>
        <v>N/A</v>
      </c>
      <c r="R226" s="18" t="str">
        <f ca="1">IFERROR(__xludf.DUMMYFUNCTION("""COMPUTED_VALUE"""),"N/A")</f>
        <v>N/A</v>
      </c>
      <c r="S226" s="18" t="str">
        <f ca="1">IFERROR(__xludf.DUMMYFUNCTION("""COMPUTED_VALUE"""),"15")</f>
        <v>15</v>
      </c>
      <c r="T226" s="18" t="str">
        <f ca="1">IFERROR(__xludf.DUMMYFUNCTION("""COMPUTED_VALUE"""),"0xF155")</f>
        <v>0xF155</v>
      </c>
      <c r="U226" s="18" t="str">
        <f ca="1">IFERROR(__xludf.DUMMYFUNCTION("""COMPUTED_VALUE"""),"0x0A")</f>
        <v>0x0A</v>
      </c>
      <c r="V226" s="18" t="str">
        <f ca="1">IFERROR(__xludf.DUMMYFUNCTION("""COMPUTED_VALUE"""),"0x0104")</f>
        <v>0x0104</v>
      </c>
      <c r="W226" s="18" t="str">
        <f ca="1">IFERROR(__xludf.DUMMYFUNCTION("""COMPUTED_VALUE"""),"0x0201")</f>
        <v>0x0201</v>
      </c>
      <c r="X226" s="18" t="str">
        <f ca="1">IFERROR(__xludf.DUMMYFUNCTION("""COMPUTED_VALUE"""),"0x20")</f>
        <v>0x20</v>
      </c>
      <c r="Y226" s="18" t="e">
        <f ca="1"/>
        <v>#NAME?</v>
      </c>
      <c r="Z226" s="18" t="str">
        <f ca="1">IFERROR(__xludf.DUMMYFUNCTION("""COMPUTED_VALUE"""),"N/A")</f>
        <v>N/A</v>
      </c>
      <c r="AA226" s="18" t="str">
        <f ca="1">IFERROR(__xludf.DUMMYFUNCTION("""COMPUTED_VALUE"""),"N/A")</f>
        <v>N/A</v>
      </c>
      <c r="AC226" s="59" t="s">
        <v>1347</v>
      </c>
      <c r="AD226" s="59" t="s">
        <v>1347</v>
      </c>
      <c r="AE226" s="59" t="s">
        <v>1372</v>
      </c>
      <c r="AF226" s="59" t="s">
        <v>1390</v>
      </c>
      <c r="AG226" s="59" t="s">
        <v>1390</v>
      </c>
      <c r="AH226" s="59" t="s">
        <v>1386</v>
      </c>
      <c r="AI226" s="59" t="s">
        <v>1391</v>
      </c>
      <c r="AJ226" s="59" t="s">
        <v>1391</v>
      </c>
      <c r="AK226" s="59" t="s">
        <v>1391</v>
      </c>
      <c r="AL226" s="59" t="s">
        <v>1382</v>
      </c>
      <c r="AM226" s="59" t="s">
        <v>1382</v>
      </c>
      <c r="AN226" s="59" t="s">
        <v>1392</v>
      </c>
      <c r="AO226" s="59" t="s">
        <v>1393</v>
      </c>
      <c r="AP226" s="59" t="s">
        <v>1394</v>
      </c>
      <c r="AQ226" s="59" t="s">
        <v>1352</v>
      </c>
      <c r="AR226" s="59" t="s">
        <v>1355</v>
      </c>
      <c r="AS226" s="59"/>
      <c r="AT226" s="59"/>
    </row>
    <row r="227" spans="1:46" x14ac:dyDescent="0.25">
      <c r="A227" s="18" t="str">
        <v>humidistat_stages:{"type":"attribute","data_type":"uint8","is_readonly":false,"reporting_type":"polled","poll_freq":86400,"max":5,"min":0,"default_value":1,"zigbee_metadata":{"attr_id":61782,"endpoint_id":10,"profile_id":260,"cluster_id":513,"zcl_data_type":32}},</v>
      </c>
      <c r="B227" s="52" t="str">
        <f ca="1"/>
        <v>0x0201 0xF156</v>
      </c>
      <c r="C227" s="52" t="str">
        <f ca="1">IFERROR(__xludf.DUMMYFUNCTION("""COMPUTED_VALUE"""),"humidistat_stages")</f>
        <v>humidistat_stages</v>
      </c>
      <c r="D227" s="18" t="str">
        <f ca="1">IFERROR(__xludf.DUMMYFUNCTION("""COMPUTED_VALUE"""),"attribute")</f>
        <v>attribute</v>
      </c>
      <c r="E227" s="18" t="str">
        <f ca="1">IFERROR(__xludf.DUMMYFUNCTION("""COMPUTED_VALUE"""),"uint8")</f>
        <v>uint8</v>
      </c>
      <c r="F227" s="18" t="str">
        <f ca="1">IFERROR(__xludf.DUMMYFUNCTION("""COMPUTED_VALUE"""),"false")</f>
        <v>false</v>
      </c>
      <c r="G227" s="18" t="str">
        <f ca="1">IFERROR(__xludf.DUMMYFUNCTION("""COMPUTED_VALUE"""),"polled")</f>
        <v>polled</v>
      </c>
      <c r="H227" s="18" t="str">
        <f ca="1">IFERROR(__xludf.DUMMYFUNCTION("""COMPUTED_VALUE"""),"86400")</f>
        <v>86400</v>
      </c>
      <c r="I227" s="18" t="str">
        <f ca="1">IFERROR(__xludf.DUMMYFUNCTION("""COMPUTED_VALUE"""),"N/A")</f>
        <v>N/A</v>
      </c>
      <c r="J227" s="18" t="str">
        <f ca="1">IFERROR(__xludf.DUMMYFUNCTION("""COMPUTED_VALUE"""),"N/A")</f>
        <v>N/A</v>
      </c>
      <c r="K227" s="18" t="str">
        <f ca="1">IFERROR(__xludf.DUMMYFUNCTION("""COMPUTED_VALUE"""),"N/A")</f>
        <v>N/A</v>
      </c>
      <c r="L227" s="18" t="str">
        <f ca="1">IFERROR(__xludf.DUMMYFUNCTION("""COMPUTED_VALUE"""),"5")</f>
        <v>5</v>
      </c>
      <c r="M227" s="18" t="str">
        <f ca="1">IFERROR(__xludf.DUMMYFUNCTION("""COMPUTED_VALUE"""),"0")</f>
        <v>0</v>
      </c>
      <c r="N227" s="18" t="str">
        <f ca="1">IFERROR(__xludf.DUMMYFUNCTION("""COMPUTED_VALUE"""),"N/A")</f>
        <v>N/A</v>
      </c>
      <c r="O227" s="18" t="str">
        <f ca="1">IFERROR(__xludf.DUMMYFUNCTION("""COMPUTED_VALUE"""),"N/A")</f>
        <v>N/A</v>
      </c>
      <c r="P227" s="18" t="str">
        <f ca="1">IFERROR(__xludf.DUMMYFUNCTION("""COMPUTED_VALUE"""),"N/A")</f>
        <v>N/A</v>
      </c>
      <c r="Q227" s="18" t="str">
        <f ca="1">IFERROR(__xludf.DUMMYFUNCTION("""COMPUTED_VALUE"""),"N/A")</f>
        <v>N/A</v>
      </c>
      <c r="R227" s="18" t="str">
        <f ca="1">IFERROR(__xludf.DUMMYFUNCTION("""COMPUTED_VALUE"""),"N/A")</f>
        <v>N/A</v>
      </c>
      <c r="S227" s="18" t="str">
        <f ca="1">IFERROR(__xludf.DUMMYFUNCTION("""COMPUTED_VALUE"""),"1")</f>
        <v>1</v>
      </c>
      <c r="T227" s="18" t="str">
        <f ca="1">IFERROR(__xludf.DUMMYFUNCTION("""COMPUTED_VALUE"""),"0xF156")</f>
        <v>0xF156</v>
      </c>
      <c r="U227" s="18" t="str">
        <f ca="1">IFERROR(__xludf.DUMMYFUNCTION("""COMPUTED_VALUE"""),"0x0A")</f>
        <v>0x0A</v>
      </c>
      <c r="V227" s="18" t="str">
        <f ca="1">IFERROR(__xludf.DUMMYFUNCTION("""COMPUTED_VALUE"""),"0x0104")</f>
        <v>0x0104</v>
      </c>
      <c r="W227" s="18" t="str">
        <f ca="1">IFERROR(__xludf.DUMMYFUNCTION("""COMPUTED_VALUE"""),"0x0201")</f>
        <v>0x0201</v>
      </c>
      <c r="X227" s="18" t="str">
        <f ca="1">IFERROR(__xludf.DUMMYFUNCTION("""COMPUTED_VALUE"""),"0x20")</f>
        <v>0x20</v>
      </c>
      <c r="Y227" s="18" t="e">
        <f ca="1"/>
        <v>#NAME?</v>
      </c>
      <c r="Z227" s="18" t="str">
        <f ca="1">IFERROR(__xludf.DUMMYFUNCTION("""COMPUTED_VALUE"""),"N/A")</f>
        <v>N/A</v>
      </c>
      <c r="AA227" s="18" t="str">
        <f ca="1">IFERROR(__xludf.DUMMYFUNCTION("""COMPUTED_VALUE"""),"N/A")</f>
        <v>N/A</v>
      </c>
      <c r="AC227" s="59" t="s">
        <v>1350</v>
      </c>
      <c r="AD227" s="59" t="s">
        <v>1350</v>
      </c>
      <c r="AE227" s="59" t="s">
        <v>1385</v>
      </c>
      <c r="AF227" s="59" t="s">
        <v>1395</v>
      </c>
      <c r="AG227" s="59" t="s">
        <v>1395</v>
      </c>
      <c r="AH227" s="59" t="s">
        <v>1391</v>
      </c>
      <c r="AI227" s="59" t="s">
        <v>1396</v>
      </c>
      <c r="AJ227" s="59" t="s">
        <v>1396</v>
      </c>
      <c r="AK227" s="59" t="s">
        <v>1396</v>
      </c>
      <c r="AL227" s="59" t="s">
        <v>1387</v>
      </c>
      <c r="AM227" s="59" t="s">
        <v>1387</v>
      </c>
      <c r="AN227" s="59" t="s">
        <v>1397</v>
      </c>
      <c r="AO227" s="59" t="s">
        <v>1398</v>
      </c>
      <c r="AP227" s="59" t="s">
        <v>1399</v>
      </c>
      <c r="AQ227" s="59" t="s">
        <v>1355</v>
      </c>
      <c r="AR227" s="59"/>
      <c r="AS227" s="59"/>
      <c r="AT227" s="59"/>
    </row>
    <row r="228" spans="1:46" x14ac:dyDescent="0.25">
      <c r="A228" s="18" t="str">
        <v>humidistat_stage_threshold_time:{"type":"attribute","data_type":"uint8","is_readonly":false,"reporting_type":"polled","poll_freq":86400,"max":60,"min":0,"default_value":10,"zigbee_metadata":{"attr_id":61783,"endpoint_id":10,"profile_id":260,"cluster_id":513,"zcl_data_type":32}},</v>
      </c>
      <c r="B228" s="52" t="str">
        <f ca="1"/>
        <v>0x0201 0xF157</v>
      </c>
      <c r="C228" s="52" t="str">
        <f ca="1">IFERROR(__xludf.DUMMYFUNCTION("""COMPUTED_VALUE"""),"humidistat_stage_threshold_time")</f>
        <v>humidistat_stage_threshold_time</v>
      </c>
      <c r="D228" s="18" t="str">
        <f ca="1">IFERROR(__xludf.DUMMYFUNCTION("""COMPUTED_VALUE"""),"attribute")</f>
        <v>attribute</v>
      </c>
      <c r="E228" s="18" t="str">
        <f ca="1">IFERROR(__xludf.DUMMYFUNCTION("""COMPUTED_VALUE"""),"uint8")</f>
        <v>uint8</v>
      </c>
      <c r="F228" s="18" t="str">
        <f ca="1">IFERROR(__xludf.DUMMYFUNCTION("""COMPUTED_VALUE"""),"false")</f>
        <v>false</v>
      </c>
      <c r="G228" s="18" t="str">
        <f ca="1">IFERROR(__xludf.DUMMYFUNCTION("""COMPUTED_VALUE"""),"polled")</f>
        <v>polled</v>
      </c>
      <c r="H228" s="18" t="str">
        <f ca="1">IFERROR(__xludf.DUMMYFUNCTION("""COMPUTED_VALUE"""),"86400")</f>
        <v>86400</v>
      </c>
      <c r="I228" s="18" t="str">
        <f ca="1">IFERROR(__xludf.DUMMYFUNCTION("""COMPUTED_VALUE"""),"N/A")</f>
        <v>N/A</v>
      </c>
      <c r="J228" s="18" t="str">
        <f ca="1">IFERROR(__xludf.DUMMYFUNCTION("""COMPUTED_VALUE"""),"N/A")</f>
        <v>N/A</v>
      </c>
      <c r="K228" s="18" t="str">
        <f ca="1">IFERROR(__xludf.DUMMYFUNCTION("""COMPUTED_VALUE"""),"N/A")</f>
        <v>N/A</v>
      </c>
      <c r="L228" s="18" t="str">
        <f ca="1">IFERROR(__xludf.DUMMYFUNCTION("""COMPUTED_VALUE"""),"60")</f>
        <v>60</v>
      </c>
      <c r="M228" s="18" t="str">
        <f ca="1">IFERROR(__xludf.DUMMYFUNCTION("""COMPUTED_VALUE"""),"0")</f>
        <v>0</v>
      </c>
      <c r="N228" s="18" t="str">
        <f ca="1">IFERROR(__xludf.DUMMYFUNCTION("""COMPUTED_VALUE"""),"N/A")</f>
        <v>N/A</v>
      </c>
      <c r="O228" s="18" t="str">
        <f ca="1">IFERROR(__xludf.DUMMYFUNCTION("""COMPUTED_VALUE"""),"N/A")</f>
        <v>N/A</v>
      </c>
      <c r="P228" s="18" t="str">
        <f ca="1">IFERROR(__xludf.DUMMYFUNCTION("""COMPUTED_VALUE"""),"N/A")</f>
        <v>N/A</v>
      </c>
      <c r="Q228" s="18" t="str">
        <f ca="1">IFERROR(__xludf.DUMMYFUNCTION("""COMPUTED_VALUE"""),"N/A")</f>
        <v>N/A</v>
      </c>
      <c r="R228" s="18" t="str">
        <f ca="1">IFERROR(__xludf.DUMMYFUNCTION("""COMPUTED_VALUE"""),"N/A")</f>
        <v>N/A</v>
      </c>
      <c r="S228" s="18" t="str">
        <f ca="1">IFERROR(__xludf.DUMMYFUNCTION("""COMPUTED_VALUE"""),"10")</f>
        <v>10</v>
      </c>
      <c r="T228" s="18" t="str">
        <f ca="1">IFERROR(__xludf.DUMMYFUNCTION("""COMPUTED_VALUE"""),"0xF157")</f>
        <v>0xF157</v>
      </c>
      <c r="U228" s="18" t="str">
        <f ca="1">IFERROR(__xludf.DUMMYFUNCTION("""COMPUTED_VALUE"""),"0x0A")</f>
        <v>0x0A</v>
      </c>
      <c r="V228" s="18" t="str">
        <f ca="1">IFERROR(__xludf.DUMMYFUNCTION("""COMPUTED_VALUE"""),"0x0104")</f>
        <v>0x0104</v>
      </c>
      <c r="W228" s="18" t="str">
        <f ca="1">IFERROR(__xludf.DUMMYFUNCTION("""COMPUTED_VALUE"""),"0x0201")</f>
        <v>0x0201</v>
      </c>
      <c r="X228" s="18" t="str">
        <f ca="1">IFERROR(__xludf.DUMMYFUNCTION("""COMPUTED_VALUE"""),"0x20")</f>
        <v>0x20</v>
      </c>
      <c r="Y228" s="18" t="e">
        <f ca="1"/>
        <v>#NAME?</v>
      </c>
      <c r="Z228" s="18" t="str">
        <f ca="1">IFERROR(__xludf.DUMMYFUNCTION("""COMPUTED_VALUE"""),"N/A")</f>
        <v>N/A</v>
      </c>
      <c r="AA228" s="18" t="str">
        <f ca="1">IFERROR(__xludf.DUMMYFUNCTION("""COMPUTED_VALUE"""),"N/A")</f>
        <v>N/A</v>
      </c>
      <c r="AC228" s="59" t="s">
        <v>1353</v>
      </c>
      <c r="AD228" s="59" t="s">
        <v>1353</v>
      </c>
      <c r="AE228" s="59" t="s">
        <v>1390</v>
      </c>
      <c r="AF228" s="59" t="s">
        <v>1400</v>
      </c>
      <c r="AG228" s="59" t="s">
        <v>1400</v>
      </c>
      <c r="AH228" s="59" t="s">
        <v>1396</v>
      </c>
      <c r="AI228" s="59" t="s">
        <v>1401</v>
      </c>
      <c r="AJ228" s="59" t="s">
        <v>1401</v>
      </c>
      <c r="AK228" s="59" t="s">
        <v>1401</v>
      </c>
      <c r="AL228" s="59" t="s">
        <v>1392</v>
      </c>
      <c r="AM228" s="59" t="s">
        <v>1392</v>
      </c>
      <c r="AN228" s="59" t="s">
        <v>1365</v>
      </c>
      <c r="AO228" s="59" t="s">
        <v>1402</v>
      </c>
      <c r="AP228" s="59" t="s">
        <v>1403</v>
      </c>
      <c r="AQ228" s="59"/>
      <c r="AR228" s="59"/>
      <c r="AS228" s="59"/>
      <c r="AT228" s="59"/>
    </row>
    <row r="229" spans="1:46" x14ac:dyDescent="0.25">
      <c r="A229" s="18" t="str">
        <v>dew_point_target:{"type":"attribute","data_type":"float","is_readonly":false,"reporting_type":"reported","report_max":3600,"report_min":0,"report_threshold":0,"default_value":null,"zigbee_metadata":{"attr_id":61784,"endpoint_id":10,"profile_id":260,"cluster_id":513,"zcl_data_type":41,"write_formatter":"lambdax:int(round(x,2)*100)","read_formatter":"lambdax:x/100"}},</v>
      </c>
      <c r="B229" s="52" t="str">
        <f ca="1"/>
        <v>0x0201 0xF158</v>
      </c>
      <c r="C229" s="52" t="str">
        <f ca="1">IFERROR(__xludf.DUMMYFUNCTION("""COMPUTED_VALUE"""),"dew_point_target")</f>
        <v>dew_point_target</v>
      </c>
      <c r="D229" s="18" t="str">
        <f ca="1">IFERROR(__xludf.DUMMYFUNCTION("""COMPUTED_VALUE"""),"attribute")</f>
        <v>attribute</v>
      </c>
      <c r="E229" s="18" t="str">
        <f ca="1">IFERROR(__xludf.DUMMYFUNCTION("""COMPUTED_VALUE"""),"float")</f>
        <v>float</v>
      </c>
      <c r="F229" s="18" t="str">
        <f ca="1">IFERROR(__xludf.DUMMYFUNCTION("""COMPUTED_VALUE"""),"false")</f>
        <v>false</v>
      </c>
      <c r="G229" s="18" t="str">
        <f ca="1">IFERROR(__xludf.DUMMYFUNCTION("""COMPUTED_VALUE"""),"reported")</f>
        <v>reported</v>
      </c>
      <c r="H229" s="18" t="str">
        <f ca="1">IFERROR(__xludf.DUMMYFUNCTION("""COMPUTED_VALUE"""),"N/A")</f>
        <v>N/A</v>
      </c>
      <c r="I229" s="18" t="str">
        <f ca="1">IFERROR(__xludf.DUMMYFUNCTION("""COMPUTED_VALUE"""),"3600")</f>
        <v>3600</v>
      </c>
      <c r="J229" s="18" t="str">
        <f ca="1">IFERROR(__xludf.DUMMYFUNCTION("""COMPUTED_VALUE"""),"0")</f>
        <v>0</v>
      </c>
      <c r="K229" s="18" t="str">
        <f ca="1">IFERROR(__xludf.DUMMYFUNCTION("""COMPUTED_VALUE"""),"0")</f>
        <v>0</v>
      </c>
      <c r="L229" s="18" t="str">
        <f ca="1">IFERROR(__xludf.DUMMYFUNCTION("""COMPUTED_VALUE"""),"N/A")</f>
        <v>N/A</v>
      </c>
      <c r="M229" s="18" t="str">
        <f ca="1">IFERROR(__xludf.DUMMYFUNCTION("""COMPUTED_VALUE"""),"N/A")</f>
        <v>N/A</v>
      </c>
      <c r="N229" s="18" t="str">
        <f ca="1">IFERROR(__xludf.DUMMYFUNCTION("""COMPUTED_VALUE"""),"N/A")</f>
        <v>N/A</v>
      </c>
      <c r="O229" s="18" t="str">
        <f ca="1">IFERROR(__xludf.DUMMYFUNCTION("""COMPUTED_VALUE"""),"N/A")</f>
        <v>N/A</v>
      </c>
      <c r="P229" s="18" t="str">
        <f ca="1">IFERROR(__xludf.DUMMYFUNCTION("""COMPUTED_VALUE"""),"N/A")</f>
        <v>N/A</v>
      </c>
      <c r="Q229" s="18" t="str">
        <f ca="1">IFERROR(__xludf.DUMMYFUNCTION("""COMPUTED_VALUE"""),"N/A")</f>
        <v>N/A</v>
      </c>
      <c r="R229" s="18" t="str">
        <f ca="1">IFERROR(__xludf.DUMMYFUNCTION("""COMPUTED_VALUE"""),"N/A")</f>
        <v>N/A</v>
      </c>
      <c r="S229" s="18" t="str">
        <f ca="1">IFERROR(__xludf.DUMMYFUNCTION("""COMPUTED_VALUE"""),"null")</f>
        <v>null</v>
      </c>
      <c r="T229" s="18" t="str">
        <f ca="1">IFERROR(__xludf.DUMMYFUNCTION("""COMPUTED_VALUE"""),"0xF158")</f>
        <v>0xF158</v>
      </c>
      <c r="U229" s="18" t="str">
        <f ca="1">IFERROR(__xludf.DUMMYFUNCTION("""COMPUTED_VALUE"""),"0x0A")</f>
        <v>0x0A</v>
      </c>
      <c r="V229" s="18" t="str">
        <f ca="1">IFERROR(__xludf.DUMMYFUNCTION("""COMPUTED_VALUE"""),"0x0104")</f>
        <v>0x0104</v>
      </c>
      <c r="W229" s="18" t="str">
        <f ca="1">IFERROR(__xludf.DUMMYFUNCTION("""COMPUTED_VALUE"""),"0x0201")</f>
        <v>0x0201</v>
      </c>
      <c r="X229" s="18" t="str">
        <f ca="1">IFERROR(__xludf.DUMMYFUNCTION("""COMPUTED_VALUE"""),"0x29")</f>
        <v>0x29</v>
      </c>
      <c r="Y229" s="18" t="e">
        <f ca="1"/>
        <v>#NAME?</v>
      </c>
      <c r="Z229" s="18" t="str">
        <f ca="1">IFERROR(__xludf.DUMMYFUNCTION("""COMPUTED_VALUE"""),"lambdax:int(round(x,2)*100)")</f>
        <v>lambdax:int(round(x,2)*100)</v>
      </c>
      <c r="AA229" s="18" t="str">
        <f ca="1">IFERROR(__xludf.DUMMYFUNCTION("""COMPUTED_VALUE"""),"lambdax:x/100")</f>
        <v>lambdax:x/100</v>
      </c>
      <c r="AC229" s="59" t="s">
        <v>1356</v>
      </c>
      <c r="AD229" s="59" t="s">
        <v>1356</v>
      </c>
      <c r="AE229" s="59" t="s">
        <v>1395</v>
      </c>
      <c r="AF229" s="59" t="s">
        <v>1404</v>
      </c>
      <c r="AG229" s="59" t="s">
        <v>1404</v>
      </c>
      <c r="AH229" s="59" t="s">
        <v>1401</v>
      </c>
      <c r="AI229" s="59" t="s">
        <v>1405</v>
      </c>
      <c r="AJ229" s="59" t="s">
        <v>1405</v>
      </c>
      <c r="AK229" s="59" t="s">
        <v>1405</v>
      </c>
      <c r="AL229" s="59" t="s">
        <v>1397</v>
      </c>
      <c r="AM229" s="59" t="s">
        <v>1397</v>
      </c>
      <c r="AN229" s="59" t="s">
        <v>1369</v>
      </c>
      <c r="AO229" s="59" t="s">
        <v>1406</v>
      </c>
      <c r="AP229" s="59" t="s">
        <v>1407</v>
      </c>
      <c r="AQ229" s="59"/>
      <c r="AR229" s="59"/>
      <c r="AS229" s="59"/>
      <c r="AT229" s="59"/>
    </row>
    <row r="230" spans="1:46" x14ac:dyDescent="0.25">
      <c r="A230" s="18" t="str">
        <v>user_dew_point_target_min:{"type":"attribute","data_type":"float","is_readonly":false,"reporting_type":"polled","poll_freq":86400,"max":35,"min":0,"decimal_places":2,"default_value":4.44,"zigbee_metadata":{"attr_id":61785,"endpoint_id":10,"profile_id":260,"cluster_id":513,"zcl_data_type":41,"write_formatter":"lambdax:int(round(x,2)*100)","read_formatter":"lambdax:x/100"}},</v>
      </c>
      <c r="B230" s="52" t="str">
        <f ca="1"/>
        <v>0x0201 0xF159</v>
      </c>
      <c r="C230" s="52" t="str">
        <f ca="1">IFERROR(__xludf.DUMMYFUNCTION("""COMPUTED_VALUE"""),"user_dew_point_target_min")</f>
        <v>user_dew_point_target_min</v>
      </c>
      <c r="D230" s="18" t="str">
        <f ca="1">IFERROR(__xludf.DUMMYFUNCTION("""COMPUTED_VALUE"""),"attribute")</f>
        <v>attribute</v>
      </c>
      <c r="E230" s="18" t="str">
        <f ca="1">IFERROR(__xludf.DUMMYFUNCTION("""COMPUTED_VALUE"""),"float")</f>
        <v>float</v>
      </c>
      <c r="F230" s="18" t="str">
        <f ca="1">IFERROR(__xludf.DUMMYFUNCTION("""COMPUTED_VALUE"""),"false")</f>
        <v>false</v>
      </c>
      <c r="G230" s="18" t="str">
        <f ca="1">IFERROR(__xludf.DUMMYFUNCTION("""COMPUTED_VALUE"""),"polled")</f>
        <v>polled</v>
      </c>
      <c r="H230" s="18" t="str">
        <f ca="1">IFERROR(__xludf.DUMMYFUNCTION("""COMPUTED_VALUE"""),"86400")</f>
        <v>86400</v>
      </c>
      <c r="I230" s="18" t="str">
        <f ca="1">IFERROR(__xludf.DUMMYFUNCTION("""COMPUTED_VALUE"""),"N/A")</f>
        <v>N/A</v>
      </c>
      <c r="J230" s="18" t="str">
        <f ca="1">IFERROR(__xludf.DUMMYFUNCTION("""COMPUTED_VALUE"""),"N/A")</f>
        <v>N/A</v>
      </c>
      <c r="K230" s="18" t="str">
        <f ca="1">IFERROR(__xludf.DUMMYFUNCTION("""COMPUTED_VALUE"""),"N/A")</f>
        <v>N/A</v>
      </c>
      <c r="L230" s="18" t="str">
        <f ca="1">IFERROR(__xludf.DUMMYFUNCTION("""COMPUTED_VALUE"""),"35")</f>
        <v>35</v>
      </c>
      <c r="M230" s="18" t="str">
        <f ca="1">IFERROR(__xludf.DUMMYFUNCTION("""COMPUTED_VALUE"""),"0")</f>
        <v>0</v>
      </c>
      <c r="N230" s="18" t="str">
        <f ca="1">IFERROR(__xludf.DUMMYFUNCTION("""COMPUTED_VALUE"""),"N/A")</f>
        <v>N/A</v>
      </c>
      <c r="O230" s="18" t="str">
        <f ca="1">IFERROR(__xludf.DUMMYFUNCTION("""COMPUTED_VALUE"""),"N/A")</f>
        <v>N/A</v>
      </c>
      <c r="P230" s="18" t="str">
        <f ca="1">IFERROR(__xludf.DUMMYFUNCTION("""COMPUTED_VALUE"""),"N/A")</f>
        <v>N/A</v>
      </c>
      <c r="Q230" s="18" t="str">
        <f ca="1">IFERROR(__xludf.DUMMYFUNCTION("""COMPUTED_VALUE"""),"N/A")</f>
        <v>N/A</v>
      </c>
      <c r="R230" s="18" t="str">
        <f ca="1">IFERROR(__xludf.DUMMYFUNCTION("""COMPUTED_VALUE"""),"2")</f>
        <v>2</v>
      </c>
      <c r="S230" s="18" t="str">
        <f ca="1">IFERROR(__xludf.DUMMYFUNCTION("""COMPUTED_VALUE"""),"4.44")</f>
        <v>4.44</v>
      </c>
      <c r="T230" s="18" t="str">
        <f ca="1">IFERROR(__xludf.DUMMYFUNCTION("""COMPUTED_VALUE"""),"0xF159")</f>
        <v>0xF159</v>
      </c>
      <c r="U230" s="18" t="str">
        <f ca="1">IFERROR(__xludf.DUMMYFUNCTION("""COMPUTED_VALUE"""),"0x0A")</f>
        <v>0x0A</v>
      </c>
      <c r="V230" s="18" t="str">
        <f ca="1">IFERROR(__xludf.DUMMYFUNCTION("""COMPUTED_VALUE"""),"0x0104")</f>
        <v>0x0104</v>
      </c>
      <c r="W230" s="18" t="str">
        <f ca="1">IFERROR(__xludf.DUMMYFUNCTION("""COMPUTED_VALUE"""),"0x0201")</f>
        <v>0x0201</v>
      </c>
      <c r="X230" s="18" t="str">
        <f ca="1">IFERROR(__xludf.DUMMYFUNCTION("""COMPUTED_VALUE"""),"0x29")</f>
        <v>0x29</v>
      </c>
      <c r="Y230" s="18" t="e">
        <f ca="1"/>
        <v>#NAME?</v>
      </c>
      <c r="Z230" s="18" t="str">
        <f ca="1">IFERROR(__xludf.DUMMYFUNCTION("""COMPUTED_VALUE"""),"lambdax:int(round(x,2)*100)")</f>
        <v>lambdax:int(round(x,2)*100)</v>
      </c>
      <c r="AA230" s="18" t="str">
        <f ca="1">IFERROR(__xludf.DUMMYFUNCTION("""COMPUTED_VALUE"""),"lambdax:x/100")</f>
        <v>lambdax:x/100</v>
      </c>
      <c r="AC230" s="59" t="s">
        <v>1367</v>
      </c>
      <c r="AD230" s="59" t="s">
        <v>1367</v>
      </c>
      <c r="AE230" s="59" t="s">
        <v>1400</v>
      </c>
      <c r="AF230" s="59" t="s">
        <v>1401</v>
      </c>
      <c r="AG230" s="59" t="s">
        <v>1401</v>
      </c>
      <c r="AH230" s="59" t="s">
        <v>1405</v>
      </c>
      <c r="AI230" s="59" t="s">
        <v>1408</v>
      </c>
      <c r="AJ230" s="59" t="s">
        <v>1408</v>
      </c>
      <c r="AK230" s="59" t="s">
        <v>1408</v>
      </c>
      <c r="AL230" s="59" t="s">
        <v>1365</v>
      </c>
      <c r="AM230" s="59" t="s">
        <v>1365</v>
      </c>
      <c r="AN230" s="59" t="s">
        <v>1374</v>
      </c>
      <c r="AO230" s="59" t="s">
        <v>1409</v>
      </c>
      <c r="AP230" s="59" t="s">
        <v>1410</v>
      </c>
      <c r="AQ230" s="59"/>
      <c r="AR230" s="59"/>
      <c r="AS230" s="59"/>
      <c r="AT230" s="59"/>
    </row>
    <row r="231" spans="1:46" x14ac:dyDescent="0.25">
      <c r="A231" s="18" t="str">
        <v>user_dew_point_target_max:{"type":"attribute","data_type":"float","is_readonly":false,"reporting_type":"polled","poll_freq":86400,"max":35,"min":0,"decimal_places":2,"default_value":21.11,"zigbee_metadata":{"attr_id":61786,"endpoint_id":10,"profile_id":260,"cluster_id":513,"zcl_data_type":41,"write_formatter":"lambdax:int(round(x,2)*100)","read_formatter":"lambdax:x/100"}},</v>
      </c>
      <c r="B231" s="52" t="str">
        <f ca="1"/>
        <v>0x0201 0xF15A</v>
      </c>
      <c r="C231" s="52" t="str">
        <f ca="1">IFERROR(__xludf.DUMMYFUNCTION("""COMPUTED_VALUE"""),"user_dew_point_target_max")</f>
        <v>user_dew_point_target_max</v>
      </c>
      <c r="D231" s="18" t="str">
        <f ca="1">IFERROR(__xludf.DUMMYFUNCTION("""COMPUTED_VALUE"""),"attribute")</f>
        <v>attribute</v>
      </c>
      <c r="E231" s="18" t="str">
        <f ca="1">IFERROR(__xludf.DUMMYFUNCTION("""COMPUTED_VALUE"""),"float")</f>
        <v>float</v>
      </c>
      <c r="F231" s="18" t="str">
        <f ca="1">IFERROR(__xludf.DUMMYFUNCTION("""COMPUTED_VALUE"""),"false")</f>
        <v>false</v>
      </c>
      <c r="G231" s="18" t="str">
        <f ca="1">IFERROR(__xludf.DUMMYFUNCTION("""COMPUTED_VALUE"""),"polled")</f>
        <v>polled</v>
      </c>
      <c r="H231" s="18" t="str">
        <f ca="1">IFERROR(__xludf.DUMMYFUNCTION("""COMPUTED_VALUE"""),"86400")</f>
        <v>86400</v>
      </c>
      <c r="I231" s="18" t="str">
        <f ca="1">IFERROR(__xludf.DUMMYFUNCTION("""COMPUTED_VALUE"""),"N/A")</f>
        <v>N/A</v>
      </c>
      <c r="J231" s="18" t="str">
        <f ca="1">IFERROR(__xludf.DUMMYFUNCTION("""COMPUTED_VALUE"""),"N/A")</f>
        <v>N/A</v>
      </c>
      <c r="K231" s="18" t="str">
        <f ca="1">IFERROR(__xludf.DUMMYFUNCTION("""COMPUTED_VALUE"""),"N/A")</f>
        <v>N/A</v>
      </c>
      <c r="L231" s="18" t="str">
        <f ca="1">IFERROR(__xludf.DUMMYFUNCTION("""COMPUTED_VALUE"""),"35")</f>
        <v>35</v>
      </c>
      <c r="M231" s="18" t="str">
        <f ca="1">IFERROR(__xludf.DUMMYFUNCTION("""COMPUTED_VALUE"""),"0")</f>
        <v>0</v>
      </c>
      <c r="N231" s="18" t="str">
        <f ca="1">IFERROR(__xludf.DUMMYFUNCTION("""COMPUTED_VALUE"""),"N/A")</f>
        <v>N/A</v>
      </c>
      <c r="O231" s="18" t="str">
        <f ca="1">IFERROR(__xludf.DUMMYFUNCTION("""COMPUTED_VALUE"""),"N/A")</f>
        <v>N/A</v>
      </c>
      <c r="P231" s="18" t="str">
        <f ca="1">IFERROR(__xludf.DUMMYFUNCTION("""COMPUTED_VALUE"""),"N/A")</f>
        <v>N/A</v>
      </c>
      <c r="Q231" s="18" t="str">
        <f ca="1">IFERROR(__xludf.DUMMYFUNCTION("""COMPUTED_VALUE"""),"N/A")</f>
        <v>N/A</v>
      </c>
      <c r="R231" s="18" t="str">
        <f ca="1">IFERROR(__xludf.DUMMYFUNCTION("""COMPUTED_VALUE"""),"2")</f>
        <v>2</v>
      </c>
      <c r="S231" s="18" t="str">
        <f ca="1">IFERROR(__xludf.DUMMYFUNCTION("""COMPUTED_VALUE"""),"21.11")</f>
        <v>21.11</v>
      </c>
      <c r="T231" s="18" t="str">
        <f ca="1">IFERROR(__xludf.DUMMYFUNCTION("""COMPUTED_VALUE"""),"0xF15A")</f>
        <v>0xF15A</v>
      </c>
      <c r="U231" s="18" t="str">
        <f ca="1">IFERROR(__xludf.DUMMYFUNCTION("""COMPUTED_VALUE"""),"0x0A")</f>
        <v>0x0A</v>
      </c>
      <c r="V231" s="18" t="str">
        <f ca="1">IFERROR(__xludf.DUMMYFUNCTION("""COMPUTED_VALUE"""),"0x0104")</f>
        <v>0x0104</v>
      </c>
      <c r="W231" s="18" t="str">
        <f ca="1">IFERROR(__xludf.DUMMYFUNCTION("""COMPUTED_VALUE"""),"0x0201")</f>
        <v>0x0201</v>
      </c>
      <c r="X231" s="18" t="str">
        <f ca="1">IFERROR(__xludf.DUMMYFUNCTION("""COMPUTED_VALUE"""),"0x29")</f>
        <v>0x29</v>
      </c>
      <c r="Y231" s="18" t="e">
        <f ca="1"/>
        <v>#NAME?</v>
      </c>
      <c r="Z231" s="18" t="str">
        <f ca="1">IFERROR(__xludf.DUMMYFUNCTION("""COMPUTED_VALUE"""),"lambdax:int(round(x,2)*100)")</f>
        <v>lambdax:int(round(x,2)*100)</v>
      </c>
      <c r="AA231" s="18" t="str">
        <f ca="1">IFERROR(__xludf.DUMMYFUNCTION("""COMPUTED_VALUE"""),"lambdax:x/100")</f>
        <v>lambdax:x/100</v>
      </c>
      <c r="AC231" s="59" t="s">
        <v>1371</v>
      </c>
      <c r="AD231" s="59" t="s">
        <v>1371</v>
      </c>
      <c r="AE231" s="59" t="s">
        <v>1404</v>
      </c>
      <c r="AF231" s="59" t="s">
        <v>1405</v>
      </c>
      <c r="AG231" s="59" t="s">
        <v>1405</v>
      </c>
      <c r="AH231" s="59" t="s">
        <v>1408</v>
      </c>
      <c r="AI231" s="59" t="s">
        <v>1411</v>
      </c>
      <c r="AJ231" s="59" t="s">
        <v>1411</v>
      </c>
      <c r="AK231" s="59" t="s">
        <v>1411</v>
      </c>
      <c r="AL231" s="59" t="s">
        <v>1369</v>
      </c>
      <c r="AM231" s="59" t="s">
        <v>1369</v>
      </c>
      <c r="AN231" s="59" t="s">
        <v>1379</v>
      </c>
      <c r="AO231" s="59" t="s">
        <v>1412</v>
      </c>
      <c r="AP231" s="59" t="s">
        <v>1413</v>
      </c>
      <c r="AQ231" s="59"/>
      <c r="AR231" s="59"/>
      <c r="AS231" s="59"/>
      <c r="AT231" s="59"/>
    </row>
    <row r="232" spans="1:46" x14ac:dyDescent="0.25">
      <c r="A232" s="18" t="str">
        <v>dew_point_target_limit:{"type":"attribute","data_type":"float","is_readonly":false,"reporting_type":"polled","poll_freq":86400,"max":35,"min":0,"decimal_places":2,"default_value":4.44,"zigbee_metadata":{"attr_id":61787,"endpoint_id":10,"profile_id":260,"cluster_id":513,"zcl_data_type":41,"write_formatter":"lambdax:int(round(x,2)*100)","read_formatter":"lambdax:x/100"}},</v>
      </c>
      <c r="B232" s="52" t="str">
        <f ca="1"/>
        <v>0x0201 0xF15B</v>
      </c>
      <c r="C232" s="52" t="str">
        <f ca="1">IFERROR(__xludf.DUMMYFUNCTION("""COMPUTED_VALUE"""),"dew_point_target_limit")</f>
        <v>dew_point_target_limit</v>
      </c>
      <c r="D232" s="18" t="str">
        <f ca="1">IFERROR(__xludf.DUMMYFUNCTION("""COMPUTED_VALUE"""),"attribute")</f>
        <v>attribute</v>
      </c>
      <c r="E232" s="18" t="str">
        <f ca="1">IFERROR(__xludf.DUMMYFUNCTION("""COMPUTED_VALUE"""),"float")</f>
        <v>float</v>
      </c>
      <c r="F232" s="18" t="str">
        <f ca="1">IFERROR(__xludf.DUMMYFUNCTION("""COMPUTED_VALUE"""),"false")</f>
        <v>false</v>
      </c>
      <c r="G232" s="18" t="str">
        <f ca="1">IFERROR(__xludf.DUMMYFUNCTION("""COMPUTED_VALUE"""),"polled")</f>
        <v>polled</v>
      </c>
      <c r="H232" s="18" t="str">
        <f ca="1">IFERROR(__xludf.DUMMYFUNCTION("""COMPUTED_VALUE"""),"86400")</f>
        <v>86400</v>
      </c>
      <c r="I232" s="18" t="str">
        <f ca="1">IFERROR(__xludf.DUMMYFUNCTION("""COMPUTED_VALUE"""),"N/A")</f>
        <v>N/A</v>
      </c>
      <c r="J232" s="18" t="str">
        <f ca="1">IFERROR(__xludf.DUMMYFUNCTION("""COMPUTED_VALUE"""),"N/A")</f>
        <v>N/A</v>
      </c>
      <c r="K232" s="18" t="str">
        <f ca="1">IFERROR(__xludf.DUMMYFUNCTION("""COMPUTED_VALUE"""),"N/A")</f>
        <v>N/A</v>
      </c>
      <c r="L232" s="18" t="str">
        <f ca="1">IFERROR(__xludf.DUMMYFUNCTION("""COMPUTED_VALUE"""),"35")</f>
        <v>35</v>
      </c>
      <c r="M232" s="18" t="str">
        <f ca="1">IFERROR(__xludf.DUMMYFUNCTION("""COMPUTED_VALUE"""),"0")</f>
        <v>0</v>
      </c>
      <c r="N232" s="18" t="str">
        <f ca="1">IFERROR(__xludf.DUMMYFUNCTION("""COMPUTED_VALUE"""),"N/A")</f>
        <v>N/A</v>
      </c>
      <c r="O232" s="18" t="str">
        <f ca="1">IFERROR(__xludf.DUMMYFUNCTION("""COMPUTED_VALUE"""),"N/A")</f>
        <v>N/A</v>
      </c>
      <c r="P232" s="18" t="str">
        <f ca="1">IFERROR(__xludf.DUMMYFUNCTION("""COMPUTED_VALUE"""),"N/A")</f>
        <v>N/A</v>
      </c>
      <c r="Q232" s="18" t="str">
        <f ca="1">IFERROR(__xludf.DUMMYFUNCTION("""COMPUTED_VALUE"""),"N/A")</f>
        <v>N/A</v>
      </c>
      <c r="R232" s="18" t="str">
        <f ca="1">IFERROR(__xludf.DUMMYFUNCTION("""COMPUTED_VALUE"""),"2")</f>
        <v>2</v>
      </c>
      <c r="S232" s="18" t="str">
        <f ca="1">IFERROR(__xludf.DUMMYFUNCTION("""COMPUTED_VALUE"""),"4.44")</f>
        <v>4.44</v>
      </c>
      <c r="T232" s="18" t="str">
        <f ca="1">IFERROR(__xludf.DUMMYFUNCTION("""COMPUTED_VALUE"""),"0xF15B")</f>
        <v>0xF15B</v>
      </c>
      <c r="U232" s="18" t="str">
        <f ca="1">IFERROR(__xludf.DUMMYFUNCTION("""COMPUTED_VALUE"""),"0x0A")</f>
        <v>0x0A</v>
      </c>
      <c r="V232" s="18" t="str">
        <f ca="1">IFERROR(__xludf.DUMMYFUNCTION("""COMPUTED_VALUE"""),"0x0104")</f>
        <v>0x0104</v>
      </c>
      <c r="W232" s="18" t="str">
        <f ca="1">IFERROR(__xludf.DUMMYFUNCTION("""COMPUTED_VALUE"""),"0x0201")</f>
        <v>0x0201</v>
      </c>
      <c r="X232" s="18" t="str">
        <f ca="1">IFERROR(__xludf.DUMMYFUNCTION("""COMPUTED_VALUE"""),"0x29")</f>
        <v>0x29</v>
      </c>
      <c r="Y232" s="18" t="e">
        <f ca="1"/>
        <v>#NAME?</v>
      </c>
      <c r="Z232" s="18" t="str">
        <f ca="1">IFERROR(__xludf.DUMMYFUNCTION("""COMPUTED_VALUE"""),"lambdax:int(round(x,2)*100)")</f>
        <v>lambdax:int(round(x,2)*100)</v>
      </c>
      <c r="AA232" s="18" t="str">
        <f ca="1">IFERROR(__xludf.DUMMYFUNCTION("""COMPUTED_VALUE"""),"lambdax:x/100")</f>
        <v>lambdax:x/100</v>
      </c>
      <c r="AC232" s="59" t="s">
        <v>1376</v>
      </c>
      <c r="AD232" s="59" t="s">
        <v>1376</v>
      </c>
      <c r="AE232" s="59" t="s">
        <v>1401</v>
      </c>
      <c r="AF232" s="59" t="s">
        <v>1408</v>
      </c>
      <c r="AG232" s="59" t="s">
        <v>1408</v>
      </c>
      <c r="AH232" s="59" t="s">
        <v>1411</v>
      </c>
      <c r="AI232" s="59" t="s">
        <v>1414</v>
      </c>
      <c r="AJ232" s="59" t="s">
        <v>1414</v>
      </c>
      <c r="AK232" s="59" t="s">
        <v>1414</v>
      </c>
      <c r="AL232" s="59" t="s">
        <v>1374</v>
      </c>
      <c r="AM232" s="59" t="s">
        <v>1374</v>
      </c>
      <c r="AN232" s="59" t="s">
        <v>1383</v>
      </c>
      <c r="AO232" s="59" t="s">
        <v>1415</v>
      </c>
      <c r="AP232" s="59" t="s">
        <v>1416</v>
      </c>
      <c r="AQ232" s="59"/>
      <c r="AR232" s="59"/>
      <c r="AS232" s="59"/>
      <c r="AT232" s="59"/>
    </row>
    <row r="233" spans="1:46" x14ac:dyDescent="0.25">
      <c r="A233" s="18" t="str">
        <v>unocc_delay_extended_deep_setback:{"type":"attribute","data_type":"uint16","is_readonly":false,"reporting_type":"polled","poll_freq":86400,"default_value":false,"zigbee_metadata":{"attr_id":61792,"endpoint_id":10,"profile_id":260,"cluster_id":513,"zcl_data_type":33}},</v>
      </c>
      <c r="B233" s="52" t="str">
        <f ca="1"/>
        <v>0x0201 0xF160</v>
      </c>
      <c r="C233" s="52" t="str">
        <f ca="1">IFERROR(__xludf.DUMMYFUNCTION("""COMPUTED_VALUE"""),"unocc_delay_extended_deep_setback")</f>
        <v>unocc_delay_extended_deep_setback</v>
      </c>
      <c r="D233" s="18" t="str">
        <f ca="1">IFERROR(__xludf.DUMMYFUNCTION("""COMPUTED_VALUE"""),"attribute")</f>
        <v>attribute</v>
      </c>
      <c r="E233" s="18" t="str">
        <f ca="1">IFERROR(__xludf.DUMMYFUNCTION("""COMPUTED_VALUE"""),"uint16")</f>
        <v>uint16</v>
      </c>
      <c r="F233" s="18" t="str">
        <f ca="1">IFERROR(__xludf.DUMMYFUNCTION("""COMPUTED_VALUE"""),"false")</f>
        <v>false</v>
      </c>
      <c r="G233" s="18" t="str">
        <f ca="1">IFERROR(__xludf.DUMMYFUNCTION("""COMPUTED_VALUE"""),"polled")</f>
        <v>polled</v>
      </c>
      <c r="H233" s="18" t="str">
        <f ca="1">IFERROR(__xludf.DUMMYFUNCTION("""COMPUTED_VALUE"""),"86400")</f>
        <v>86400</v>
      </c>
      <c r="I233" s="18" t="str">
        <f ca="1">IFERROR(__xludf.DUMMYFUNCTION("""COMPUTED_VALUE"""),"N/A")</f>
        <v>N/A</v>
      </c>
      <c r="J233" s="18" t="str">
        <f ca="1">IFERROR(__xludf.DUMMYFUNCTION("""COMPUTED_VALUE"""),"N/A")</f>
        <v>N/A</v>
      </c>
      <c r="K233" s="18" t="str">
        <f ca="1">IFERROR(__xludf.DUMMYFUNCTION("""COMPUTED_VALUE"""),"N/A")</f>
        <v>N/A</v>
      </c>
      <c r="L233" s="18" t="str">
        <f ca="1">IFERROR(__xludf.DUMMYFUNCTION("""COMPUTED_VALUE"""),"N/A")</f>
        <v>N/A</v>
      </c>
      <c r="M233" s="18" t="str">
        <f ca="1">IFERROR(__xludf.DUMMYFUNCTION("""COMPUTED_VALUE"""),"N/A")</f>
        <v>N/A</v>
      </c>
      <c r="N233" s="18" t="str">
        <f ca="1">IFERROR(__xludf.DUMMYFUNCTION("""COMPUTED_VALUE"""),"N/A")</f>
        <v>N/A</v>
      </c>
      <c r="O233" s="18" t="str">
        <f ca="1">IFERROR(__xludf.DUMMYFUNCTION("""COMPUTED_VALUE"""),"N/A")</f>
        <v>N/A</v>
      </c>
      <c r="P233" s="18" t="str">
        <f ca="1">IFERROR(__xludf.DUMMYFUNCTION("""COMPUTED_VALUE"""),"N/A")</f>
        <v>N/A</v>
      </c>
      <c r="Q233" s="18" t="str">
        <f ca="1">IFERROR(__xludf.DUMMYFUNCTION("""COMPUTED_VALUE"""),"N/A")</f>
        <v>N/A</v>
      </c>
      <c r="R233" s="18" t="str">
        <f ca="1">IFERROR(__xludf.DUMMYFUNCTION("""COMPUTED_VALUE"""),"N/A")</f>
        <v>N/A</v>
      </c>
      <c r="S233" s="18" t="str">
        <f ca="1">IFERROR(__xludf.DUMMYFUNCTION("""COMPUTED_VALUE"""),"false")</f>
        <v>false</v>
      </c>
      <c r="T233" s="18" t="str">
        <f ca="1">IFERROR(__xludf.DUMMYFUNCTION("""COMPUTED_VALUE"""),"0xF160")</f>
        <v>0xF160</v>
      </c>
      <c r="U233" s="18" t="str">
        <f ca="1">IFERROR(__xludf.DUMMYFUNCTION("""COMPUTED_VALUE"""),"0x0A")</f>
        <v>0x0A</v>
      </c>
      <c r="V233" s="18" t="str">
        <f ca="1">IFERROR(__xludf.DUMMYFUNCTION("""COMPUTED_VALUE"""),"0x0104")</f>
        <v>0x0104</v>
      </c>
      <c r="W233" s="18" t="str">
        <f ca="1">IFERROR(__xludf.DUMMYFUNCTION("""COMPUTED_VALUE"""),"0x0201")</f>
        <v>0x0201</v>
      </c>
      <c r="X233" s="18" t="str">
        <f ca="1">IFERROR(__xludf.DUMMYFUNCTION("""COMPUTED_VALUE"""),"0x21")</f>
        <v>0x21</v>
      </c>
      <c r="Y233" s="18" t="e">
        <f ca="1"/>
        <v>#NAME?</v>
      </c>
      <c r="Z233" s="18" t="str">
        <f ca="1">IFERROR(__xludf.DUMMYFUNCTION("""COMPUTED_VALUE"""),"N/A")</f>
        <v>N/A</v>
      </c>
      <c r="AA233" s="18" t="str">
        <f ca="1">IFERROR(__xludf.DUMMYFUNCTION("""COMPUTED_VALUE"""),"N/A")</f>
        <v>N/A</v>
      </c>
      <c r="AC233" s="59" t="s">
        <v>1372</v>
      </c>
      <c r="AD233" s="59" t="s">
        <v>1372</v>
      </c>
      <c r="AE233" s="59" t="s">
        <v>1405</v>
      </c>
      <c r="AF233" s="59" t="s">
        <v>1411</v>
      </c>
      <c r="AG233" s="59" t="s">
        <v>1411</v>
      </c>
      <c r="AH233" s="59" t="s">
        <v>1414</v>
      </c>
      <c r="AI233" s="59" t="s">
        <v>1417</v>
      </c>
      <c r="AJ233" s="59" t="s">
        <v>1417</v>
      </c>
      <c r="AK233" s="59" t="s">
        <v>1417</v>
      </c>
      <c r="AL233" s="59" t="s">
        <v>1379</v>
      </c>
      <c r="AM233" s="59" t="s">
        <v>1379</v>
      </c>
      <c r="AN233" s="59" t="s">
        <v>1388</v>
      </c>
      <c r="AO233" s="59" t="s">
        <v>1418</v>
      </c>
      <c r="AP233" s="59" t="s">
        <v>1419</v>
      </c>
      <c r="AQ233" s="59"/>
      <c r="AR233" s="59"/>
      <c r="AS233" s="59"/>
      <c r="AT233" s="59"/>
    </row>
    <row r="234" spans="1:46" x14ac:dyDescent="0.25">
      <c r="A234" s="18" t="str">
        <v>extended_deep_heat_setback:{"type":"attribute","data_type":"float","is_readonly":false,"reporting_type":"polled","poll_freq":86400,"max":35,"min":0,"decimal_places":2,"default_value":16.67,"zigbee_metadata":{"attr_id":61793,"endpoint_id":10,"profile_id":260,"cluster_id":513,"zcl_data_type":41,"write_formatter":"lambdax:int(round(x,2)*100)","read_formatter":"lambdax:x/100"}},</v>
      </c>
      <c r="B234" s="52" t="str">
        <f ca="1"/>
        <v>0x0201 0xF161</v>
      </c>
      <c r="C234" s="52" t="str">
        <f ca="1">IFERROR(__xludf.DUMMYFUNCTION("""COMPUTED_VALUE"""),"extended_deep_heat_setback")</f>
        <v>extended_deep_heat_setback</v>
      </c>
      <c r="D234" s="18" t="str">
        <f ca="1">IFERROR(__xludf.DUMMYFUNCTION("""COMPUTED_VALUE"""),"attribute")</f>
        <v>attribute</v>
      </c>
      <c r="E234" s="18" t="str">
        <f ca="1">IFERROR(__xludf.DUMMYFUNCTION("""COMPUTED_VALUE"""),"float")</f>
        <v>float</v>
      </c>
      <c r="F234" s="18" t="str">
        <f ca="1">IFERROR(__xludf.DUMMYFUNCTION("""COMPUTED_VALUE"""),"false")</f>
        <v>false</v>
      </c>
      <c r="G234" s="18" t="str">
        <f ca="1">IFERROR(__xludf.DUMMYFUNCTION("""COMPUTED_VALUE"""),"polled")</f>
        <v>polled</v>
      </c>
      <c r="H234" s="18" t="str">
        <f ca="1">IFERROR(__xludf.DUMMYFUNCTION("""COMPUTED_VALUE"""),"86400")</f>
        <v>86400</v>
      </c>
      <c r="I234" s="18" t="str">
        <f ca="1">IFERROR(__xludf.DUMMYFUNCTION("""COMPUTED_VALUE"""),"N/A")</f>
        <v>N/A</v>
      </c>
      <c r="J234" s="18" t="str">
        <f ca="1">IFERROR(__xludf.DUMMYFUNCTION("""COMPUTED_VALUE"""),"N/A")</f>
        <v>N/A</v>
      </c>
      <c r="K234" s="18" t="str">
        <f ca="1">IFERROR(__xludf.DUMMYFUNCTION("""COMPUTED_VALUE"""),"N/A")</f>
        <v>N/A</v>
      </c>
      <c r="L234" s="18" t="str">
        <f ca="1">IFERROR(__xludf.DUMMYFUNCTION("""COMPUTED_VALUE"""),"35")</f>
        <v>35</v>
      </c>
      <c r="M234" s="18" t="str">
        <f ca="1">IFERROR(__xludf.DUMMYFUNCTION("""COMPUTED_VALUE"""),"0")</f>
        <v>0</v>
      </c>
      <c r="N234" s="18" t="str">
        <f ca="1">IFERROR(__xludf.DUMMYFUNCTION("""COMPUTED_VALUE"""),"N/A")</f>
        <v>N/A</v>
      </c>
      <c r="O234" s="18" t="str">
        <f ca="1">IFERROR(__xludf.DUMMYFUNCTION("""COMPUTED_VALUE"""),"N/A")</f>
        <v>N/A</v>
      </c>
      <c r="P234" s="18" t="str">
        <f ca="1">IFERROR(__xludf.DUMMYFUNCTION("""COMPUTED_VALUE"""),"N/A")</f>
        <v>N/A</v>
      </c>
      <c r="Q234" s="18" t="str">
        <f ca="1">IFERROR(__xludf.DUMMYFUNCTION("""COMPUTED_VALUE"""),"N/A")</f>
        <v>N/A</v>
      </c>
      <c r="R234" s="18" t="str">
        <f ca="1">IFERROR(__xludf.DUMMYFUNCTION("""COMPUTED_VALUE"""),"2")</f>
        <v>2</v>
      </c>
      <c r="S234" s="18" t="str">
        <f ca="1">IFERROR(__xludf.DUMMYFUNCTION("""COMPUTED_VALUE"""),"16.67")</f>
        <v>16.67</v>
      </c>
      <c r="T234" s="18" t="str">
        <f ca="1">IFERROR(__xludf.DUMMYFUNCTION("""COMPUTED_VALUE"""),"0xF161")</f>
        <v>0xF161</v>
      </c>
      <c r="U234" s="18" t="str">
        <f ca="1">IFERROR(__xludf.DUMMYFUNCTION("""COMPUTED_VALUE"""),"0x0A")</f>
        <v>0x0A</v>
      </c>
      <c r="V234" s="18" t="str">
        <f ca="1">IFERROR(__xludf.DUMMYFUNCTION("""COMPUTED_VALUE"""),"0x0104")</f>
        <v>0x0104</v>
      </c>
      <c r="W234" s="18" t="str">
        <f ca="1">IFERROR(__xludf.DUMMYFUNCTION("""COMPUTED_VALUE"""),"0x0201")</f>
        <v>0x0201</v>
      </c>
      <c r="X234" s="18" t="str">
        <f ca="1">IFERROR(__xludf.DUMMYFUNCTION("""COMPUTED_VALUE"""),"0x29")</f>
        <v>0x29</v>
      </c>
      <c r="Y234" s="18" t="e">
        <f ca="1"/>
        <v>#NAME?</v>
      </c>
      <c r="Z234" s="18" t="str">
        <f ca="1">IFERROR(__xludf.DUMMYFUNCTION("""COMPUTED_VALUE"""),"lambdax:int(round(x,2)*100)")</f>
        <v>lambdax:int(round(x,2)*100)</v>
      </c>
      <c r="AA234" s="18" t="str">
        <f ca="1">IFERROR(__xludf.DUMMYFUNCTION("""COMPUTED_VALUE"""),"lambdax:x/100")</f>
        <v>lambdax:x/100</v>
      </c>
      <c r="AC234" s="59" t="s">
        <v>1385</v>
      </c>
      <c r="AD234" s="59" t="s">
        <v>1385</v>
      </c>
      <c r="AE234" s="59" t="s">
        <v>1408</v>
      </c>
      <c r="AF234" s="59" t="s">
        <v>1420</v>
      </c>
      <c r="AG234" s="59" t="s">
        <v>1420</v>
      </c>
      <c r="AH234" s="59" t="s">
        <v>1417</v>
      </c>
      <c r="AI234" s="59" t="s">
        <v>1364</v>
      </c>
      <c r="AJ234" s="59" t="s">
        <v>1364</v>
      </c>
      <c r="AK234" s="59" t="s">
        <v>1364</v>
      </c>
      <c r="AL234" s="59" t="s">
        <v>1421</v>
      </c>
      <c r="AM234" s="59" t="s">
        <v>1421</v>
      </c>
      <c r="AN234" s="59" t="s">
        <v>1393</v>
      </c>
      <c r="AO234" s="59" t="s">
        <v>1422</v>
      </c>
      <c r="AP234" s="59" t="s">
        <v>1423</v>
      </c>
      <c r="AQ234" s="59"/>
      <c r="AR234" s="59"/>
      <c r="AS234" s="59"/>
      <c r="AT234" s="59"/>
    </row>
    <row r="235" spans="1:46" x14ac:dyDescent="0.25">
      <c r="A235" s="18" t="str">
        <v>extended_deep_cool_setback:{"type":"attribute","data_type":"float","is_readonly":false,"reporting_type":"polled","poll_freq":86400,"max":35,"min":0,"decimal_places":2,"default_value":29.44,"zigbee_metadata":{"attr_id":61794,"endpoint_id":10,"profile_id":260,"cluster_id":513,"zcl_data_type":41,"write_formatter":"lambdax:int(round(x,2)*100)","read_formatter":"lambdax:x/100"}},</v>
      </c>
      <c r="B235" s="52" t="str">
        <f ca="1"/>
        <v>0x0201 0xF162</v>
      </c>
      <c r="C235" s="52" t="str">
        <f ca="1">IFERROR(__xludf.DUMMYFUNCTION("""COMPUTED_VALUE"""),"extended_deep_cool_setback")</f>
        <v>extended_deep_cool_setback</v>
      </c>
      <c r="D235" s="18" t="str">
        <f ca="1">IFERROR(__xludf.DUMMYFUNCTION("""COMPUTED_VALUE"""),"attribute")</f>
        <v>attribute</v>
      </c>
      <c r="E235" s="18" t="str">
        <f ca="1">IFERROR(__xludf.DUMMYFUNCTION("""COMPUTED_VALUE"""),"float")</f>
        <v>float</v>
      </c>
      <c r="F235" s="18" t="str">
        <f ca="1">IFERROR(__xludf.DUMMYFUNCTION("""COMPUTED_VALUE"""),"false")</f>
        <v>false</v>
      </c>
      <c r="G235" s="18" t="str">
        <f ca="1">IFERROR(__xludf.DUMMYFUNCTION("""COMPUTED_VALUE"""),"polled")</f>
        <v>polled</v>
      </c>
      <c r="H235" s="18" t="str">
        <f ca="1">IFERROR(__xludf.DUMMYFUNCTION("""COMPUTED_VALUE"""),"86400")</f>
        <v>86400</v>
      </c>
      <c r="I235" s="18" t="str">
        <f ca="1">IFERROR(__xludf.DUMMYFUNCTION("""COMPUTED_VALUE"""),"N/A")</f>
        <v>N/A</v>
      </c>
      <c r="J235" s="18" t="str">
        <f ca="1">IFERROR(__xludf.DUMMYFUNCTION("""COMPUTED_VALUE"""),"N/A")</f>
        <v>N/A</v>
      </c>
      <c r="K235" s="18" t="str">
        <f ca="1">IFERROR(__xludf.DUMMYFUNCTION("""COMPUTED_VALUE"""),"N/A")</f>
        <v>N/A</v>
      </c>
      <c r="L235" s="18" t="str">
        <f ca="1">IFERROR(__xludf.DUMMYFUNCTION("""COMPUTED_VALUE"""),"35")</f>
        <v>35</v>
      </c>
      <c r="M235" s="18" t="str">
        <f ca="1">IFERROR(__xludf.DUMMYFUNCTION("""COMPUTED_VALUE"""),"0")</f>
        <v>0</v>
      </c>
      <c r="N235" s="18" t="str">
        <f ca="1">IFERROR(__xludf.DUMMYFUNCTION("""COMPUTED_VALUE"""),"N/A")</f>
        <v>N/A</v>
      </c>
      <c r="O235" s="18" t="str">
        <f ca="1">IFERROR(__xludf.DUMMYFUNCTION("""COMPUTED_VALUE"""),"N/A")</f>
        <v>N/A</v>
      </c>
      <c r="P235" s="18" t="str">
        <f ca="1">IFERROR(__xludf.DUMMYFUNCTION("""COMPUTED_VALUE"""),"N/A")</f>
        <v>N/A</v>
      </c>
      <c r="Q235" s="18" t="str">
        <f ca="1">IFERROR(__xludf.DUMMYFUNCTION("""COMPUTED_VALUE"""),"N/A")</f>
        <v>N/A</v>
      </c>
      <c r="R235" s="18" t="str">
        <f ca="1">IFERROR(__xludf.DUMMYFUNCTION("""COMPUTED_VALUE"""),"2")</f>
        <v>2</v>
      </c>
      <c r="S235" s="18" t="str">
        <f ca="1">IFERROR(__xludf.DUMMYFUNCTION("""COMPUTED_VALUE"""),"29.44")</f>
        <v>29.44</v>
      </c>
      <c r="T235" s="18" t="str">
        <f ca="1">IFERROR(__xludf.DUMMYFUNCTION("""COMPUTED_VALUE"""),"0xF162")</f>
        <v>0xF162</v>
      </c>
      <c r="U235" s="18" t="str">
        <f ca="1">IFERROR(__xludf.DUMMYFUNCTION("""COMPUTED_VALUE"""),"0x0A")</f>
        <v>0x0A</v>
      </c>
      <c r="V235" s="18" t="str">
        <f ca="1">IFERROR(__xludf.DUMMYFUNCTION("""COMPUTED_VALUE"""),"0x0104")</f>
        <v>0x0104</v>
      </c>
      <c r="W235" s="18" t="str">
        <f ca="1">IFERROR(__xludf.DUMMYFUNCTION("""COMPUTED_VALUE"""),"0x0201")</f>
        <v>0x0201</v>
      </c>
      <c r="X235" s="18" t="str">
        <f ca="1">IFERROR(__xludf.DUMMYFUNCTION("""COMPUTED_VALUE"""),"0x29")</f>
        <v>0x29</v>
      </c>
      <c r="Y235" s="18" t="e">
        <f ca="1"/>
        <v>#NAME?</v>
      </c>
      <c r="Z235" s="18" t="str">
        <f ca="1">IFERROR(__xludf.DUMMYFUNCTION("""COMPUTED_VALUE"""),"lambdax:int(round(x,2)*100)")</f>
        <v>lambdax:int(round(x,2)*100)</v>
      </c>
      <c r="AA235" s="18" t="str">
        <f ca="1">IFERROR(__xludf.DUMMYFUNCTION("""COMPUTED_VALUE"""),"lambdax:x/100")</f>
        <v>lambdax:x/100</v>
      </c>
      <c r="AC235" s="59" t="s">
        <v>1390</v>
      </c>
      <c r="AD235" s="59" t="s">
        <v>1390</v>
      </c>
      <c r="AE235" s="59" t="s">
        <v>1411</v>
      </c>
      <c r="AF235" s="59" t="s">
        <v>1424</v>
      </c>
      <c r="AG235" s="59" t="s">
        <v>1424</v>
      </c>
      <c r="AH235" s="59" t="s">
        <v>1364</v>
      </c>
      <c r="AI235" s="59" t="s">
        <v>1368</v>
      </c>
      <c r="AJ235" s="59" t="s">
        <v>1368</v>
      </c>
      <c r="AK235" s="59" t="s">
        <v>1368</v>
      </c>
      <c r="AL235" s="59" t="s">
        <v>1388</v>
      </c>
      <c r="AM235" s="59" t="s">
        <v>1388</v>
      </c>
      <c r="AN235" s="59" t="s">
        <v>1398</v>
      </c>
      <c r="AO235" s="59" t="s">
        <v>1425</v>
      </c>
      <c r="AP235" s="59" t="s">
        <v>1426</v>
      </c>
      <c r="AQ235" s="59"/>
      <c r="AR235" s="59"/>
      <c r="AS235" s="59"/>
      <c r="AT235" s="59"/>
    </row>
    <row r="236" spans="1:46" x14ac:dyDescent="0.25">
      <c r="A236" s="18" t="str">
        <v>extended_deep_delta_setback:{"type":"attribute","data_type":"float","is_readonly":false,"reporting_type":"polled","poll_freq":86400,"max":10,"min":0,"decimal_places":2,"default_value":5,"zigbee_metadata":{"attr_id":61795,"endpoint_id":10,"profile_id":260,"cluster_id":513,"zcl_data_type":33,"write_formatter":"lambdax:int(round(x,2)*100)","read_formatter":"lambdax:x/100"}},</v>
      </c>
      <c r="B236" s="52" t="str">
        <f ca="1"/>
        <v>0x0201 0xF163</v>
      </c>
      <c r="C236" s="52" t="str">
        <f ca="1">IFERROR(__xludf.DUMMYFUNCTION("""COMPUTED_VALUE"""),"extended_deep_delta_setback")</f>
        <v>extended_deep_delta_setback</v>
      </c>
      <c r="D236" s="18" t="str">
        <f ca="1">IFERROR(__xludf.DUMMYFUNCTION("""COMPUTED_VALUE"""),"attribute")</f>
        <v>attribute</v>
      </c>
      <c r="E236" s="18" t="str">
        <f ca="1">IFERROR(__xludf.DUMMYFUNCTION("""COMPUTED_VALUE"""),"float")</f>
        <v>float</v>
      </c>
      <c r="F236" s="18" t="str">
        <f ca="1">IFERROR(__xludf.DUMMYFUNCTION("""COMPUTED_VALUE"""),"false")</f>
        <v>false</v>
      </c>
      <c r="G236" s="18" t="str">
        <f ca="1">IFERROR(__xludf.DUMMYFUNCTION("""COMPUTED_VALUE"""),"polled")</f>
        <v>polled</v>
      </c>
      <c r="H236" s="18" t="str">
        <f ca="1">IFERROR(__xludf.DUMMYFUNCTION("""COMPUTED_VALUE"""),"86400")</f>
        <v>86400</v>
      </c>
      <c r="I236" s="18" t="str">
        <f ca="1">IFERROR(__xludf.DUMMYFUNCTION("""COMPUTED_VALUE"""),"N/A")</f>
        <v>N/A</v>
      </c>
      <c r="J236" s="18" t="str">
        <f ca="1">IFERROR(__xludf.DUMMYFUNCTION("""COMPUTED_VALUE"""),"N/A")</f>
        <v>N/A</v>
      </c>
      <c r="K236" s="18" t="str">
        <f ca="1">IFERROR(__xludf.DUMMYFUNCTION("""COMPUTED_VALUE"""),"N/A")</f>
        <v>N/A</v>
      </c>
      <c r="L236" s="18" t="str">
        <f ca="1">IFERROR(__xludf.DUMMYFUNCTION("""COMPUTED_VALUE"""),"10")</f>
        <v>10</v>
      </c>
      <c r="M236" s="18" t="str">
        <f ca="1">IFERROR(__xludf.DUMMYFUNCTION("""COMPUTED_VALUE"""),"0")</f>
        <v>0</v>
      </c>
      <c r="N236" s="18" t="str">
        <f ca="1">IFERROR(__xludf.DUMMYFUNCTION("""COMPUTED_VALUE"""),"N/A")</f>
        <v>N/A</v>
      </c>
      <c r="O236" s="18" t="str">
        <f ca="1">IFERROR(__xludf.DUMMYFUNCTION("""COMPUTED_VALUE"""),"N/A")</f>
        <v>N/A</v>
      </c>
      <c r="P236" s="18" t="str">
        <f ca="1">IFERROR(__xludf.DUMMYFUNCTION("""COMPUTED_VALUE"""),"N/A")</f>
        <v>N/A</v>
      </c>
      <c r="Q236" s="18" t="str">
        <f ca="1">IFERROR(__xludf.DUMMYFUNCTION("""COMPUTED_VALUE"""),"N/A")</f>
        <v>N/A</v>
      </c>
      <c r="R236" s="18" t="str">
        <f ca="1">IFERROR(__xludf.DUMMYFUNCTION("""COMPUTED_VALUE"""),"2")</f>
        <v>2</v>
      </c>
      <c r="S236" s="18" t="str">
        <f ca="1">IFERROR(__xludf.DUMMYFUNCTION("""COMPUTED_VALUE"""),"5")</f>
        <v>5</v>
      </c>
      <c r="T236" s="18" t="str">
        <f ca="1">IFERROR(__xludf.DUMMYFUNCTION("""COMPUTED_VALUE"""),"0xF163")</f>
        <v>0xF163</v>
      </c>
      <c r="U236" s="18" t="str">
        <f ca="1">IFERROR(__xludf.DUMMYFUNCTION("""COMPUTED_VALUE"""),"0x0A")</f>
        <v>0x0A</v>
      </c>
      <c r="V236" s="18" t="str">
        <f ca="1">IFERROR(__xludf.DUMMYFUNCTION("""COMPUTED_VALUE"""),"0x0104")</f>
        <v>0x0104</v>
      </c>
      <c r="W236" s="18" t="str">
        <f ca="1">IFERROR(__xludf.DUMMYFUNCTION("""COMPUTED_VALUE"""),"0x0201")</f>
        <v>0x0201</v>
      </c>
      <c r="X236" s="18" t="str">
        <f ca="1">IFERROR(__xludf.DUMMYFUNCTION("""COMPUTED_VALUE"""),"0x21")</f>
        <v>0x21</v>
      </c>
      <c r="Y236" s="18" t="e">
        <f ca="1"/>
        <v>#NAME?</v>
      </c>
      <c r="Z236" s="18" t="str">
        <f ca="1">IFERROR(__xludf.DUMMYFUNCTION("""COMPUTED_VALUE"""),"lambdax:int(round(x,2)*100)")</f>
        <v>lambdax:int(round(x,2)*100)</v>
      </c>
      <c r="AA236" s="18" t="str">
        <f ca="1">IFERROR(__xludf.DUMMYFUNCTION("""COMPUTED_VALUE"""),"lambdax:x/100")</f>
        <v>lambdax:x/100</v>
      </c>
      <c r="AC236" s="59" t="s">
        <v>1395</v>
      </c>
      <c r="AD236" s="59" t="s">
        <v>1395</v>
      </c>
      <c r="AE236" s="59" t="s">
        <v>1420</v>
      </c>
      <c r="AF236" s="59" t="s">
        <v>1427</v>
      </c>
      <c r="AG236" s="59" t="s">
        <v>1427</v>
      </c>
      <c r="AH236" s="59" t="s">
        <v>1368</v>
      </c>
      <c r="AI236" s="59" t="s">
        <v>1373</v>
      </c>
      <c r="AJ236" s="59" t="s">
        <v>1373</v>
      </c>
      <c r="AK236" s="59" t="s">
        <v>1373</v>
      </c>
      <c r="AL236" s="59" t="s">
        <v>1428</v>
      </c>
      <c r="AM236" s="59" t="s">
        <v>1428</v>
      </c>
      <c r="AN236" s="59" t="s">
        <v>1402</v>
      </c>
      <c r="AO236" s="59" t="s">
        <v>1429</v>
      </c>
      <c r="AP236" s="59" t="s">
        <v>1430</v>
      </c>
      <c r="AQ236" s="59"/>
      <c r="AR236" s="59"/>
      <c r="AS236" s="59"/>
      <c r="AT236" s="59"/>
    </row>
    <row r="237" spans="1:46" x14ac:dyDescent="0.25">
      <c r="A237" s="18" t="str">
        <v>extended_deep_setback_min:{"type":"attribute","data_type":"float","is_readonly":false,"reporting_type":"polled","poll_freq":86400,"max":35,"min":0,"decimal_places":2,"default_value":16.67,"zigbee_metadata":{"attr_id":61796,"endpoint_id":10,"profile_id":260,"cluster_id":513,"zcl_data_type":41,"write_formatter":"lambdax:int(round(x,2)*100)","read_formatter":"lambdax:x/100"}},</v>
      </c>
      <c r="B237" s="52" t="str">
        <f ca="1"/>
        <v>0x0201 0xF164</v>
      </c>
      <c r="C237" s="52" t="str">
        <f ca="1">IFERROR(__xludf.DUMMYFUNCTION("""COMPUTED_VALUE"""),"extended_deep_setback_min")</f>
        <v>extended_deep_setback_min</v>
      </c>
      <c r="D237" s="18" t="str">
        <f ca="1">IFERROR(__xludf.DUMMYFUNCTION("""COMPUTED_VALUE"""),"attribute")</f>
        <v>attribute</v>
      </c>
      <c r="E237" s="18" t="str">
        <f ca="1">IFERROR(__xludf.DUMMYFUNCTION("""COMPUTED_VALUE"""),"float")</f>
        <v>float</v>
      </c>
      <c r="F237" s="18" t="str">
        <f ca="1">IFERROR(__xludf.DUMMYFUNCTION("""COMPUTED_VALUE"""),"false")</f>
        <v>false</v>
      </c>
      <c r="G237" s="18" t="str">
        <f ca="1">IFERROR(__xludf.DUMMYFUNCTION("""COMPUTED_VALUE"""),"polled")</f>
        <v>polled</v>
      </c>
      <c r="H237" s="18" t="str">
        <f ca="1">IFERROR(__xludf.DUMMYFUNCTION("""COMPUTED_VALUE"""),"86400")</f>
        <v>86400</v>
      </c>
      <c r="I237" s="18" t="str">
        <f ca="1">IFERROR(__xludf.DUMMYFUNCTION("""COMPUTED_VALUE"""),"N/A")</f>
        <v>N/A</v>
      </c>
      <c r="J237" s="18" t="str">
        <f ca="1">IFERROR(__xludf.DUMMYFUNCTION("""COMPUTED_VALUE"""),"N/A")</f>
        <v>N/A</v>
      </c>
      <c r="K237" s="18" t="str">
        <f ca="1">IFERROR(__xludf.DUMMYFUNCTION("""COMPUTED_VALUE"""),"N/A")</f>
        <v>N/A</v>
      </c>
      <c r="L237" s="18" t="str">
        <f ca="1">IFERROR(__xludf.DUMMYFUNCTION("""COMPUTED_VALUE"""),"35")</f>
        <v>35</v>
      </c>
      <c r="M237" s="18" t="str">
        <f ca="1">IFERROR(__xludf.DUMMYFUNCTION("""COMPUTED_VALUE"""),"0")</f>
        <v>0</v>
      </c>
      <c r="N237" s="18" t="str">
        <f ca="1">IFERROR(__xludf.DUMMYFUNCTION("""COMPUTED_VALUE"""),"N/A")</f>
        <v>N/A</v>
      </c>
      <c r="O237" s="18" t="str">
        <f ca="1">IFERROR(__xludf.DUMMYFUNCTION("""COMPUTED_VALUE"""),"N/A")</f>
        <v>N/A</v>
      </c>
      <c r="P237" s="18" t="str">
        <f ca="1">IFERROR(__xludf.DUMMYFUNCTION("""COMPUTED_VALUE"""),"N/A")</f>
        <v>N/A</v>
      </c>
      <c r="Q237" s="18" t="str">
        <f ca="1">IFERROR(__xludf.DUMMYFUNCTION("""COMPUTED_VALUE"""),"N/A")</f>
        <v>N/A</v>
      </c>
      <c r="R237" s="18" t="str">
        <f ca="1">IFERROR(__xludf.DUMMYFUNCTION("""COMPUTED_VALUE"""),"2")</f>
        <v>2</v>
      </c>
      <c r="S237" s="18" t="str">
        <f ca="1">IFERROR(__xludf.DUMMYFUNCTION("""COMPUTED_VALUE"""),"16.67")</f>
        <v>16.67</v>
      </c>
      <c r="T237" s="18" t="str">
        <f ca="1">IFERROR(__xludf.DUMMYFUNCTION("""COMPUTED_VALUE"""),"0xF164")</f>
        <v>0xF164</v>
      </c>
      <c r="U237" s="18" t="str">
        <f ca="1">IFERROR(__xludf.DUMMYFUNCTION("""COMPUTED_VALUE"""),"0x0A")</f>
        <v>0x0A</v>
      </c>
      <c r="V237" s="18" t="str">
        <f ca="1">IFERROR(__xludf.DUMMYFUNCTION("""COMPUTED_VALUE"""),"0x0104")</f>
        <v>0x0104</v>
      </c>
      <c r="W237" s="18" t="str">
        <f ca="1">IFERROR(__xludf.DUMMYFUNCTION("""COMPUTED_VALUE"""),"0x0201")</f>
        <v>0x0201</v>
      </c>
      <c r="X237" s="18" t="str">
        <f ca="1">IFERROR(__xludf.DUMMYFUNCTION("""COMPUTED_VALUE"""),"0x29")</f>
        <v>0x29</v>
      </c>
      <c r="Y237" s="18" t="e">
        <f ca="1"/>
        <v>#NAME?</v>
      </c>
      <c r="Z237" s="18" t="str">
        <f ca="1">IFERROR(__xludf.DUMMYFUNCTION("""COMPUTED_VALUE"""),"lambdax:int(round(x,2)*100)")</f>
        <v>lambdax:int(round(x,2)*100)</v>
      </c>
      <c r="AA237" s="18" t="str">
        <f ca="1">IFERROR(__xludf.DUMMYFUNCTION("""COMPUTED_VALUE"""),"lambdax:x/100")</f>
        <v>lambdax:x/100</v>
      </c>
      <c r="AC237" s="59" t="s">
        <v>1400</v>
      </c>
      <c r="AD237" s="59" t="s">
        <v>1400</v>
      </c>
      <c r="AE237" s="59" t="s">
        <v>1424</v>
      </c>
      <c r="AF237" s="59" t="s">
        <v>1431</v>
      </c>
      <c r="AG237" s="59" t="s">
        <v>1431</v>
      </c>
      <c r="AH237" s="59" t="s">
        <v>1373</v>
      </c>
      <c r="AI237" s="59" t="s">
        <v>1378</v>
      </c>
      <c r="AJ237" s="59" t="s">
        <v>1378</v>
      </c>
      <c r="AK237" s="59" t="s">
        <v>1378</v>
      </c>
      <c r="AL237" s="59" t="s">
        <v>1398</v>
      </c>
      <c r="AM237" s="59" t="s">
        <v>1398</v>
      </c>
      <c r="AN237" s="59" t="s">
        <v>1406</v>
      </c>
      <c r="AO237" s="59" t="s">
        <v>1432</v>
      </c>
      <c r="AP237" s="59" t="s">
        <v>1433</v>
      </c>
      <c r="AQ237" s="59"/>
      <c r="AR237" s="59"/>
      <c r="AS237" s="59"/>
      <c r="AT237" s="59"/>
    </row>
    <row r="238" spans="1:46" x14ac:dyDescent="0.25">
      <c r="A238" s="18" t="str">
        <v>extended_deep_setback_max:{"type":"attribute","data_type":"float","is_readonly":false,"reporting_type":"polled","poll_freq":86400,"max":35,"min":0,"decimal_places":2,"default_value":16.67,"zigbee_metadata":{"attr_id":61797,"endpoint_id":10,"profile_id":260,"cluster_id":513,"zcl_data_type":41,"write_formatter":"lambdax:int(round(x,2)*100)","read_formatter":"lambdax:x/100"}},</v>
      </c>
      <c r="B238" s="52" t="str">
        <f ca="1"/>
        <v>0x0201 0xF165</v>
      </c>
      <c r="C238" s="52" t="str">
        <f ca="1">IFERROR(__xludf.DUMMYFUNCTION("""COMPUTED_VALUE"""),"extended_deep_setback_max")</f>
        <v>extended_deep_setback_max</v>
      </c>
      <c r="D238" s="18" t="str">
        <f ca="1">IFERROR(__xludf.DUMMYFUNCTION("""COMPUTED_VALUE"""),"attribute")</f>
        <v>attribute</v>
      </c>
      <c r="E238" s="18" t="str">
        <f ca="1">IFERROR(__xludf.DUMMYFUNCTION("""COMPUTED_VALUE"""),"float")</f>
        <v>float</v>
      </c>
      <c r="F238" s="18" t="str">
        <f ca="1">IFERROR(__xludf.DUMMYFUNCTION("""COMPUTED_VALUE"""),"false")</f>
        <v>false</v>
      </c>
      <c r="G238" s="18" t="str">
        <f ca="1">IFERROR(__xludf.DUMMYFUNCTION("""COMPUTED_VALUE"""),"polled")</f>
        <v>polled</v>
      </c>
      <c r="H238" s="18" t="str">
        <f ca="1">IFERROR(__xludf.DUMMYFUNCTION("""COMPUTED_VALUE"""),"86400")</f>
        <v>86400</v>
      </c>
      <c r="I238" s="18" t="str">
        <f ca="1">IFERROR(__xludf.DUMMYFUNCTION("""COMPUTED_VALUE"""),"N/A")</f>
        <v>N/A</v>
      </c>
      <c r="J238" s="18" t="str">
        <f ca="1">IFERROR(__xludf.DUMMYFUNCTION("""COMPUTED_VALUE"""),"N/A")</f>
        <v>N/A</v>
      </c>
      <c r="K238" s="18" t="str">
        <f ca="1">IFERROR(__xludf.DUMMYFUNCTION("""COMPUTED_VALUE"""),"N/A")</f>
        <v>N/A</v>
      </c>
      <c r="L238" s="18" t="str">
        <f ca="1">IFERROR(__xludf.DUMMYFUNCTION("""COMPUTED_VALUE"""),"35")</f>
        <v>35</v>
      </c>
      <c r="M238" s="18" t="str">
        <f ca="1">IFERROR(__xludf.DUMMYFUNCTION("""COMPUTED_VALUE"""),"0")</f>
        <v>0</v>
      </c>
      <c r="N238" s="18" t="str">
        <f ca="1">IFERROR(__xludf.DUMMYFUNCTION("""COMPUTED_VALUE"""),"N/A")</f>
        <v>N/A</v>
      </c>
      <c r="O238" s="18" t="str">
        <f ca="1">IFERROR(__xludf.DUMMYFUNCTION("""COMPUTED_VALUE"""),"N/A")</f>
        <v>N/A</v>
      </c>
      <c r="P238" s="18" t="str">
        <f ca="1">IFERROR(__xludf.DUMMYFUNCTION("""COMPUTED_VALUE"""),"N/A")</f>
        <v>N/A</v>
      </c>
      <c r="Q238" s="18" t="str">
        <f ca="1">IFERROR(__xludf.DUMMYFUNCTION("""COMPUTED_VALUE"""),"N/A")</f>
        <v>N/A</v>
      </c>
      <c r="R238" s="18" t="str">
        <f ca="1">IFERROR(__xludf.DUMMYFUNCTION("""COMPUTED_VALUE"""),"2")</f>
        <v>2</v>
      </c>
      <c r="S238" s="18" t="str">
        <f ca="1">IFERROR(__xludf.DUMMYFUNCTION("""COMPUTED_VALUE"""),"16.67")</f>
        <v>16.67</v>
      </c>
      <c r="T238" s="18" t="str">
        <f ca="1">IFERROR(__xludf.DUMMYFUNCTION("""COMPUTED_VALUE"""),"0xF165")</f>
        <v>0xF165</v>
      </c>
      <c r="U238" s="18" t="str">
        <f ca="1">IFERROR(__xludf.DUMMYFUNCTION("""COMPUTED_VALUE"""),"0x0A")</f>
        <v>0x0A</v>
      </c>
      <c r="V238" s="18" t="str">
        <f ca="1">IFERROR(__xludf.DUMMYFUNCTION("""COMPUTED_VALUE"""),"0x0104")</f>
        <v>0x0104</v>
      </c>
      <c r="W238" s="18" t="str">
        <f ca="1">IFERROR(__xludf.DUMMYFUNCTION("""COMPUTED_VALUE"""),"0x0201")</f>
        <v>0x0201</v>
      </c>
      <c r="X238" s="18" t="str">
        <f ca="1">IFERROR(__xludf.DUMMYFUNCTION("""COMPUTED_VALUE"""),"0x29")</f>
        <v>0x29</v>
      </c>
      <c r="Y238" s="18" t="e">
        <f ca="1"/>
        <v>#NAME?</v>
      </c>
      <c r="Z238" s="18" t="str">
        <f ca="1">IFERROR(__xludf.DUMMYFUNCTION("""COMPUTED_VALUE"""),"lambdax:int(round(x,2)*100)")</f>
        <v>lambdax:int(round(x,2)*100)</v>
      </c>
      <c r="AA238" s="18" t="str">
        <f ca="1">IFERROR(__xludf.DUMMYFUNCTION("""COMPUTED_VALUE"""),"lambdax:x/100")</f>
        <v>lambdax:x/100</v>
      </c>
      <c r="AC238" s="59" t="s">
        <v>1404</v>
      </c>
      <c r="AD238" s="59" t="s">
        <v>1404</v>
      </c>
      <c r="AE238" s="59" t="s">
        <v>1427</v>
      </c>
      <c r="AF238" s="59" t="s">
        <v>1434</v>
      </c>
      <c r="AG238" s="59" t="s">
        <v>1434</v>
      </c>
      <c r="AH238" s="59" t="s">
        <v>1378</v>
      </c>
      <c r="AI238" s="59" t="s">
        <v>1382</v>
      </c>
      <c r="AJ238" s="59" t="s">
        <v>1382</v>
      </c>
      <c r="AK238" s="59" t="s">
        <v>1382</v>
      </c>
      <c r="AL238" s="59" t="s">
        <v>1402</v>
      </c>
      <c r="AM238" s="59" t="s">
        <v>1402</v>
      </c>
      <c r="AN238" s="59" t="s">
        <v>1409</v>
      </c>
      <c r="AO238" s="59" t="s">
        <v>1435</v>
      </c>
      <c r="AP238" s="59" t="s">
        <v>1436</v>
      </c>
      <c r="AQ238" s="59"/>
      <c r="AR238" s="59"/>
      <c r="AS238" s="59"/>
      <c r="AT238" s="59"/>
    </row>
    <row r="239" spans="1:46" x14ac:dyDescent="0.25">
      <c r="A239" s="18" t="str">
        <v>extended_deep_setback_active:{"type":"telemetry","data_type":"bool","is_readonly":true,"reporting_type":"reported","report_max":3600,"report_min":0,"zigbee_metadata":{"attr_id":61798,"endpoint_id":10,"profile_id":260,"cluster_id":513,"zcl_data_type":16,"read_formatter":"lambdax:bool(x)"}},</v>
      </c>
      <c r="B239" s="52" t="str">
        <f ca="1"/>
        <v>0x0201 0xF166</v>
      </c>
      <c r="C239" s="52" t="str">
        <f ca="1">IFERROR(__xludf.DUMMYFUNCTION("""COMPUTED_VALUE"""),"extended_deep_setback_active")</f>
        <v>extended_deep_setback_active</v>
      </c>
      <c r="D239" s="18" t="str">
        <f ca="1">IFERROR(__xludf.DUMMYFUNCTION("""COMPUTED_VALUE"""),"telemetry")</f>
        <v>telemetry</v>
      </c>
      <c r="E239" s="18" t="str">
        <f ca="1">IFERROR(__xludf.DUMMYFUNCTION("""COMPUTED_VALUE"""),"bool")</f>
        <v>bool</v>
      </c>
      <c r="F239" s="18" t="str">
        <f ca="1">IFERROR(__xludf.DUMMYFUNCTION("""COMPUTED_VALUE"""),"true")</f>
        <v>true</v>
      </c>
      <c r="G239" s="18" t="str">
        <f ca="1">IFERROR(__xludf.DUMMYFUNCTION("""COMPUTED_VALUE"""),"reported")</f>
        <v>reported</v>
      </c>
      <c r="H239" s="18" t="str">
        <f ca="1">IFERROR(__xludf.DUMMYFUNCTION("""COMPUTED_VALUE"""),"N/A")</f>
        <v>N/A</v>
      </c>
      <c r="I239" s="18" t="str">
        <f ca="1">IFERROR(__xludf.DUMMYFUNCTION("""COMPUTED_VALUE"""),"3600")</f>
        <v>3600</v>
      </c>
      <c r="J239" s="18" t="str">
        <f ca="1">IFERROR(__xludf.DUMMYFUNCTION("""COMPUTED_VALUE"""),"0")</f>
        <v>0</v>
      </c>
      <c r="K239" s="18" t="str">
        <f ca="1">IFERROR(__xludf.DUMMYFUNCTION("""COMPUTED_VALUE"""),"N/A")</f>
        <v>N/A</v>
      </c>
      <c r="L239" s="18" t="str">
        <f ca="1">IFERROR(__xludf.DUMMYFUNCTION("""COMPUTED_VALUE"""),"N/A")</f>
        <v>N/A</v>
      </c>
      <c r="M239" s="18" t="str">
        <f ca="1">IFERROR(__xludf.DUMMYFUNCTION("""COMPUTED_VALUE"""),"N/A")</f>
        <v>N/A</v>
      </c>
      <c r="N239" s="18" t="str">
        <f ca="1">IFERROR(__xludf.DUMMYFUNCTION("""COMPUTED_VALUE"""),"N/A")</f>
        <v>N/A</v>
      </c>
      <c r="O239" s="18" t="str">
        <f ca="1">IFERROR(__xludf.DUMMYFUNCTION("""COMPUTED_VALUE"""),"N/A")</f>
        <v>N/A</v>
      </c>
      <c r="P239" s="18" t="str">
        <f ca="1">IFERROR(__xludf.DUMMYFUNCTION("""COMPUTED_VALUE"""),"N/A")</f>
        <v>N/A</v>
      </c>
      <c r="Q239" s="18" t="str">
        <f ca="1">IFERROR(__xludf.DUMMYFUNCTION("""COMPUTED_VALUE"""),"N/A")</f>
        <v>N/A</v>
      </c>
      <c r="R239" s="18" t="str">
        <f ca="1">IFERROR(__xludf.DUMMYFUNCTION("""COMPUTED_VALUE"""),"N/A")</f>
        <v>N/A</v>
      </c>
      <c r="S239" s="18" t="str">
        <f ca="1">IFERROR(__xludf.DUMMYFUNCTION("""COMPUTED_VALUE"""),"N/A")</f>
        <v>N/A</v>
      </c>
      <c r="T239" s="18" t="str">
        <f ca="1">IFERROR(__xludf.DUMMYFUNCTION("""COMPUTED_VALUE"""),"0xF166")</f>
        <v>0xF166</v>
      </c>
      <c r="U239" s="18" t="str">
        <f ca="1">IFERROR(__xludf.DUMMYFUNCTION("""COMPUTED_VALUE"""),"0x0A")</f>
        <v>0x0A</v>
      </c>
      <c r="V239" s="18" t="str">
        <f ca="1">IFERROR(__xludf.DUMMYFUNCTION("""COMPUTED_VALUE"""),"0x0104")</f>
        <v>0x0104</v>
      </c>
      <c r="W239" s="18" t="str">
        <f ca="1">IFERROR(__xludf.DUMMYFUNCTION("""COMPUTED_VALUE"""),"0x0201")</f>
        <v>0x0201</v>
      </c>
      <c r="X239" s="18" t="str">
        <f ca="1">IFERROR(__xludf.DUMMYFUNCTION("""COMPUTED_VALUE"""),"0x10")</f>
        <v>0x10</v>
      </c>
      <c r="Y239" s="18" t="e">
        <f ca="1"/>
        <v>#NAME?</v>
      </c>
      <c r="Z239" s="18" t="str">
        <f ca="1">IFERROR(__xludf.DUMMYFUNCTION("""COMPUTED_VALUE"""),"N/A")</f>
        <v>N/A</v>
      </c>
      <c r="AA239" s="18" t="str">
        <f ca="1">IFERROR(__xludf.DUMMYFUNCTION("""COMPUTED_VALUE"""),"lambdax:bool(x)")</f>
        <v>lambdax:bool(x)</v>
      </c>
      <c r="AC239" s="59" t="s">
        <v>1401</v>
      </c>
      <c r="AD239" s="59" t="s">
        <v>1401</v>
      </c>
      <c r="AE239" s="59" t="s">
        <v>1431</v>
      </c>
      <c r="AF239" s="59" t="s">
        <v>1437</v>
      </c>
      <c r="AG239" s="59" t="s">
        <v>1437</v>
      </c>
      <c r="AH239" s="59" t="s">
        <v>1382</v>
      </c>
      <c r="AI239" s="59" t="s">
        <v>1387</v>
      </c>
      <c r="AJ239" s="59" t="s">
        <v>1387</v>
      </c>
      <c r="AK239" s="59" t="s">
        <v>1387</v>
      </c>
      <c r="AL239" s="59" t="s">
        <v>1406</v>
      </c>
      <c r="AM239" s="59" t="s">
        <v>1406</v>
      </c>
      <c r="AN239" s="59" t="s">
        <v>1412</v>
      </c>
      <c r="AO239" s="59" t="s">
        <v>1438</v>
      </c>
      <c r="AP239" s="59" t="s">
        <v>1439</v>
      </c>
      <c r="AQ239" s="59"/>
      <c r="AR239" s="59"/>
      <c r="AS239" s="59"/>
      <c r="AT239" s="59"/>
    </row>
    <row r="240" spans="1:46" x14ac:dyDescent="0.25">
      <c r="A240" s="18" t="str">
        <v>setpoint_reset_enable:{"type":"attribute","data_type":"enum","is_readonly":false,"reporting_type":"polled","poll_freq":86400,"enum_values":["disabled","setpoint_only","setpoint_and_mode"],"default_value":false,"zigbee_metadata":{"attr_id":61808,"endpoint_id":10,"profile_id":260,"cluster_id":513,"zcl_data_type":48,"write_formatter":"lambdax:{'disabled':0,'setpoint_only':1,'setpoint_and_mode':2}[x]","read_formatter":"lambdax:{0:'disabled',1:'setpoint_only',2:'setpoint_and_mode'}.get(x,'unknown')"}},</v>
      </c>
      <c r="B240" s="52" t="str">
        <f ca="1"/>
        <v>0x0201 0xF170</v>
      </c>
      <c r="C240" s="52" t="str">
        <f ca="1">IFERROR(__xludf.DUMMYFUNCTION("""COMPUTED_VALUE"""),"setpoint_reset_enable")</f>
        <v>setpoint_reset_enable</v>
      </c>
      <c r="D240" s="18" t="str">
        <f ca="1">IFERROR(__xludf.DUMMYFUNCTION("""COMPUTED_VALUE"""),"attribute")</f>
        <v>attribute</v>
      </c>
      <c r="E240" s="18" t="str">
        <f ca="1">IFERROR(__xludf.DUMMYFUNCTION("""COMPUTED_VALUE"""),"enum")</f>
        <v>enum</v>
      </c>
      <c r="F240" s="18" t="str">
        <f ca="1">IFERROR(__xludf.DUMMYFUNCTION("""COMPUTED_VALUE"""),"false")</f>
        <v>false</v>
      </c>
      <c r="G240" s="18" t="str">
        <f ca="1">IFERROR(__xludf.DUMMYFUNCTION("""COMPUTED_VALUE"""),"polled")</f>
        <v>polled</v>
      </c>
      <c r="H240" s="18" t="str">
        <f ca="1">IFERROR(__xludf.DUMMYFUNCTION("""COMPUTED_VALUE"""),"86400")</f>
        <v>86400</v>
      </c>
      <c r="I240" s="18" t="str">
        <f ca="1">IFERROR(__xludf.DUMMYFUNCTION("""COMPUTED_VALUE"""),"N/A")</f>
        <v>N/A</v>
      </c>
      <c r="J240" s="18" t="str">
        <f ca="1">IFERROR(__xludf.DUMMYFUNCTION("""COMPUTED_VALUE"""),"N/A")</f>
        <v>N/A</v>
      </c>
      <c r="K240" s="18" t="str">
        <f ca="1">IFERROR(__xludf.DUMMYFUNCTION("""COMPUTED_VALUE"""),"N/A")</f>
        <v>N/A</v>
      </c>
      <c r="L240" s="18" t="str">
        <f ca="1">IFERROR(__xludf.DUMMYFUNCTION("""COMPUTED_VALUE"""),"N/A")</f>
        <v>N/A</v>
      </c>
      <c r="M240" s="18" t="str">
        <f ca="1">IFERROR(__xludf.DUMMYFUNCTION("""COMPUTED_VALUE"""),"N/A")</f>
        <v>N/A</v>
      </c>
      <c r="N240" s="18" t="str">
        <f ca="1">IFERROR(__xludf.DUMMYFUNCTION("""COMPUTED_VALUE"""),"N/A")</f>
        <v>N/A</v>
      </c>
      <c r="O240" s="18" t="str">
        <f ca="1">IFERROR(__xludf.DUMMYFUNCTION("""COMPUTED_VALUE"""),"N/A")</f>
        <v>N/A</v>
      </c>
      <c r="P240" s="18" t="str">
        <f ca="1">IFERROR(__xludf.DUMMYFUNCTION("""COMPUTED_VALUE"""),"""disabled"",""setpoint_only"",""setpoint_and_mode""")</f>
        <v>"disabled","setpoint_only","setpoint_and_mode"</v>
      </c>
      <c r="Q240" s="18" t="str">
        <f ca="1">IFERROR(__xludf.DUMMYFUNCTION("""COMPUTED_VALUE"""),"N/A")</f>
        <v>N/A</v>
      </c>
      <c r="R240" s="18" t="str">
        <f ca="1">IFERROR(__xludf.DUMMYFUNCTION("""COMPUTED_VALUE"""),"N/A")</f>
        <v>N/A</v>
      </c>
      <c r="S240" s="18" t="str">
        <f ca="1">IFERROR(__xludf.DUMMYFUNCTION("""COMPUTED_VALUE"""),"false")</f>
        <v>false</v>
      </c>
      <c r="T240" s="18" t="str">
        <f ca="1">IFERROR(__xludf.DUMMYFUNCTION("""COMPUTED_VALUE"""),"0xF170")</f>
        <v>0xF170</v>
      </c>
      <c r="U240" s="18" t="str">
        <f ca="1">IFERROR(__xludf.DUMMYFUNCTION("""COMPUTED_VALUE"""),"0x0A")</f>
        <v>0x0A</v>
      </c>
      <c r="V240" s="18" t="str">
        <f ca="1">IFERROR(__xludf.DUMMYFUNCTION("""COMPUTED_VALUE"""),"0x0104")</f>
        <v>0x0104</v>
      </c>
      <c r="W240" s="18" t="str">
        <f ca="1">IFERROR(__xludf.DUMMYFUNCTION("""COMPUTED_VALUE"""),"0x0201")</f>
        <v>0x0201</v>
      </c>
      <c r="X240" s="18" t="str">
        <f ca="1">IFERROR(__xludf.DUMMYFUNCTION("""COMPUTED_VALUE"""),"0x30")</f>
        <v>0x30</v>
      </c>
      <c r="Y240" s="18" t="e">
        <f ca="1"/>
        <v>#NAME?</v>
      </c>
      <c r="Z240" s="18" t="str">
        <f ca="1">IFERROR(__xludf.DUMMYFUNCTION("""COMPUTED_VALUE"""),"lambdax:{'disabled':0,'setpoint_only':1,'setpoint_and_mode':2}[x]")</f>
        <v>lambdax:{'disabled':0,'setpoint_only':1,'setpoint_and_mode':2}[x]</v>
      </c>
      <c r="AA240" s="18" t="str">
        <f ca="1">IFERROR(__xludf.DUMMYFUNCTION("""COMPUTED_VALUE"""),"lambdax:{0:'disabled',1:'setpoint_only',2:'setpoint_and_mode'}.get(x,'unknown')")</f>
        <v>lambdax:{0:'disabled',1:'setpoint_only',2:'setpoint_and_mode'}.get(x,'unknown')</v>
      </c>
      <c r="AC240" s="59" t="s">
        <v>1405</v>
      </c>
      <c r="AD240" s="59" t="s">
        <v>1405</v>
      </c>
      <c r="AE240" s="59" t="s">
        <v>1434</v>
      </c>
      <c r="AF240" s="59" t="s">
        <v>1440</v>
      </c>
      <c r="AG240" s="59" t="s">
        <v>1440</v>
      </c>
      <c r="AH240" s="59" t="s">
        <v>1387</v>
      </c>
      <c r="AI240" s="59" t="s">
        <v>1392</v>
      </c>
      <c r="AJ240" s="59" t="s">
        <v>1392</v>
      </c>
      <c r="AK240" s="59" t="s">
        <v>1392</v>
      </c>
      <c r="AL240" s="59" t="s">
        <v>1409</v>
      </c>
      <c r="AM240" s="59" t="s">
        <v>1409</v>
      </c>
      <c r="AN240" s="59" t="s">
        <v>1415</v>
      </c>
      <c r="AO240" s="59" t="s">
        <v>1441</v>
      </c>
      <c r="AP240" s="59" t="s">
        <v>1442</v>
      </c>
      <c r="AQ240" s="59"/>
      <c r="AR240" s="59"/>
      <c r="AS240" s="59"/>
      <c r="AT240" s="59"/>
    </row>
    <row r="241" spans="1:46" x14ac:dyDescent="0.25">
      <c r="A241" s="18" t="str">
        <v>setpoint_reset_timeout:{"type":"attribute","data_type":"uint16","is_readonly":false,"reporting_type":"polled","poll_freq":86400,"default_value":false,"zigbee_metadata":{"attr_id":61809,"endpoint_id":10,"profile_id":260,"cluster_id":513,"zcl_data_type":33}},</v>
      </c>
      <c r="B241" s="52" t="str">
        <f ca="1"/>
        <v>0x0201 0xF171</v>
      </c>
      <c r="C241" s="52" t="str">
        <f ca="1">IFERROR(__xludf.DUMMYFUNCTION("""COMPUTED_VALUE"""),"setpoint_reset_timeout")</f>
        <v>setpoint_reset_timeout</v>
      </c>
      <c r="D241" s="18" t="str">
        <f ca="1">IFERROR(__xludf.DUMMYFUNCTION("""COMPUTED_VALUE"""),"attribute")</f>
        <v>attribute</v>
      </c>
      <c r="E241" s="18" t="str">
        <f ca="1">IFERROR(__xludf.DUMMYFUNCTION("""COMPUTED_VALUE"""),"uint16")</f>
        <v>uint16</v>
      </c>
      <c r="F241" s="18" t="str">
        <f ca="1">IFERROR(__xludf.DUMMYFUNCTION("""COMPUTED_VALUE"""),"false")</f>
        <v>false</v>
      </c>
      <c r="G241" s="18" t="str">
        <f ca="1">IFERROR(__xludf.DUMMYFUNCTION("""COMPUTED_VALUE"""),"polled")</f>
        <v>polled</v>
      </c>
      <c r="H241" s="18" t="str">
        <f ca="1">IFERROR(__xludf.DUMMYFUNCTION("""COMPUTED_VALUE"""),"86400")</f>
        <v>86400</v>
      </c>
      <c r="I241" s="18" t="str">
        <f ca="1">IFERROR(__xludf.DUMMYFUNCTION("""COMPUTED_VALUE"""),"N/A")</f>
        <v>N/A</v>
      </c>
      <c r="J241" s="18" t="str">
        <f ca="1">IFERROR(__xludf.DUMMYFUNCTION("""COMPUTED_VALUE"""),"N/A")</f>
        <v>N/A</v>
      </c>
      <c r="K241" s="18" t="str">
        <f ca="1">IFERROR(__xludf.DUMMYFUNCTION("""COMPUTED_VALUE"""),"N/A")</f>
        <v>N/A</v>
      </c>
      <c r="L241" s="18" t="str">
        <f ca="1">IFERROR(__xludf.DUMMYFUNCTION("""COMPUTED_VALUE"""),"N/A")</f>
        <v>N/A</v>
      </c>
      <c r="M241" s="18" t="str">
        <f ca="1">IFERROR(__xludf.DUMMYFUNCTION("""COMPUTED_VALUE"""),"N/A")</f>
        <v>N/A</v>
      </c>
      <c r="N241" s="18" t="str">
        <f ca="1">IFERROR(__xludf.DUMMYFUNCTION("""COMPUTED_VALUE"""),"N/A")</f>
        <v>N/A</v>
      </c>
      <c r="O241" s="18" t="str">
        <f ca="1">IFERROR(__xludf.DUMMYFUNCTION("""COMPUTED_VALUE"""),"N/A")</f>
        <v>N/A</v>
      </c>
      <c r="P241" s="18" t="str">
        <f ca="1">IFERROR(__xludf.DUMMYFUNCTION("""COMPUTED_VALUE"""),"N/A")</f>
        <v>N/A</v>
      </c>
      <c r="Q241" s="18" t="str">
        <f ca="1">IFERROR(__xludf.DUMMYFUNCTION("""COMPUTED_VALUE"""),"N/A")</f>
        <v>N/A</v>
      </c>
      <c r="R241" s="18" t="str">
        <f ca="1">IFERROR(__xludf.DUMMYFUNCTION("""COMPUTED_VALUE"""),"N/A")</f>
        <v>N/A</v>
      </c>
      <c r="S241" s="18" t="str">
        <f ca="1">IFERROR(__xludf.DUMMYFUNCTION("""COMPUTED_VALUE"""),"false")</f>
        <v>false</v>
      </c>
      <c r="T241" s="18" t="str">
        <f ca="1">IFERROR(__xludf.DUMMYFUNCTION("""COMPUTED_VALUE"""),"0xF171")</f>
        <v>0xF171</v>
      </c>
      <c r="U241" s="18" t="str">
        <f ca="1">IFERROR(__xludf.DUMMYFUNCTION("""COMPUTED_VALUE"""),"0x0A")</f>
        <v>0x0A</v>
      </c>
      <c r="V241" s="18" t="str">
        <f ca="1">IFERROR(__xludf.DUMMYFUNCTION("""COMPUTED_VALUE"""),"0x0104")</f>
        <v>0x0104</v>
      </c>
      <c r="W241" s="18" t="str">
        <f ca="1">IFERROR(__xludf.DUMMYFUNCTION("""COMPUTED_VALUE"""),"0x0201")</f>
        <v>0x0201</v>
      </c>
      <c r="X241" s="18" t="str">
        <f ca="1">IFERROR(__xludf.DUMMYFUNCTION("""COMPUTED_VALUE"""),"0x21")</f>
        <v>0x21</v>
      </c>
      <c r="Y241" s="18" t="e">
        <f ca="1"/>
        <v>#NAME?</v>
      </c>
      <c r="Z241" s="18" t="str">
        <f ca="1">IFERROR(__xludf.DUMMYFUNCTION("""COMPUTED_VALUE"""),"N/A")</f>
        <v>N/A</v>
      </c>
      <c r="AA241" s="18" t="str">
        <f ca="1">IFERROR(__xludf.DUMMYFUNCTION("""COMPUTED_VALUE"""),"N/A")</f>
        <v>N/A</v>
      </c>
      <c r="AC241" s="59" t="s">
        <v>1408</v>
      </c>
      <c r="AD241" s="59" t="s">
        <v>1408</v>
      </c>
      <c r="AE241" s="59" t="s">
        <v>1437</v>
      </c>
      <c r="AF241" s="59" t="s">
        <v>1443</v>
      </c>
      <c r="AG241" s="59" t="s">
        <v>1443</v>
      </c>
      <c r="AH241" s="59" t="s">
        <v>1392</v>
      </c>
      <c r="AI241" s="59" t="s">
        <v>1397</v>
      </c>
      <c r="AJ241" s="59" t="s">
        <v>1397</v>
      </c>
      <c r="AK241" s="59" t="s">
        <v>1397</v>
      </c>
      <c r="AL241" s="59" t="s">
        <v>1412</v>
      </c>
      <c r="AM241" s="59" t="s">
        <v>1412</v>
      </c>
      <c r="AN241" s="59" t="s">
        <v>1418</v>
      </c>
      <c r="AO241" s="59" t="s">
        <v>1444</v>
      </c>
      <c r="AP241" s="59" t="s">
        <v>1445</v>
      </c>
      <c r="AQ241" s="59"/>
      <c r="AR241" s="59"/>
      <c r="AS241" s="59"/>
      <c r="AT241" s="59"/>
    </row>
    <row r="242" spans="1:46" x14ac:dyDescent="0.25">
      <c r="A242" s="18" t="str">
        <v>setpoint_reset_hvac_mode:{"type":"attribute","data_type":"enum","is_readonly":false,"reporting_type":"polled","poll_freq":86400,"bound_attr_enum":"system_modes_available","enum_values":["off","cool","heat","auto"],"default_value":"off","zigbee_metadata":{"attr_id":61810,"endpoint_id":10,"profile_id":260,"cluster_id":513,"zcl_data_type":48,"write_formatter":"lambdax:{'off':0,'auto':1,'cool':3,'heat':4}[x]","read_formatter":"lambdax:{0:'off',1:'auto',3:'cool',4:'heat'}.get(x,'unknown')"}},</v>
      </c>
      <c r="B242" s="52" t="str">
        <f ca="1"/>
        <v>0x0201 0xF172</v>
      </c>
      <c r="C242" s="52" t="str">
        <f ca="1">IFERROR(__xludf.DUMMYFUNCTION("""COMPUTED_VALUE"""),"setpoint_reset_hvac_mode")</f>
        <v>setpoint_reset_hvac_mode</v>
      </c>
      <c r="D242" s="18" t="str">
        <f ca="1">IFERROR(__xludf.DUMMYFUNCTION("""COMPUTED_VALUE"""),"attribute")</f>
        <v>attribute</v>
      </c>
      <c r="E242" s="18" t="str">
        <f ca="1">IFERROR(__xludf.DUMMYFUNCTION("""COMPUTED_VALUE"""),"enum")</f>
        <v>enum</v>
      </c>
      <c r="F242" s="18" t="str">
        <f ca="1">IFERROR(__xludf.DUMMYFUNCTION("""COMPUTED_VALUE"""),"false")</f>
        <v>false</v>
      </c>
      <c r="G242" s="18" t="str">
        <f ca="1">IFERROR(__xludf.DUMMYFUNCTION("""COMPUTED_VALUE"""),"polled")</f>
        <v>polled</v>
      </c>
      <c r="H242" s="18" t="str">
        <f ca="1">IFERROR(__xludf.DUMMYFUNCTION("""COMPUTED_VALUE"""),"86400")</f>
        <v>86400</v>
      </c>
      <c r="I242" s="18" t="str">
        <f ca="1">IFERROR(__xludf.DUMMYFUNCTION("""COMPUTED_VALUE"""),"N/A")</f>
        <v>N/A</v>
      </c>
      <c r="J242" s="18" t="str">
        <f ca="1">IFERROR(__xludf.DUMMYFUNCTION("""COMPUTED_VALUE"""),"N/A")</f>
        <v>N/A</v>
      </c>
      <c r="K242" s="18" t="str">
        <f ca="1">IFERROR(__xludf.DUMMYFUNCTION("""COMPUTED_VALUE"""),"N/A")</f>
        <v>N/A</v>
      </c>
      <c r="L242" s="18" t="str">
        <f ca="1">IFERROR(__xludf.DUMMYFUNCTION("""COMPUTED_VALUE"""),"N/A")</f>
        <v>N/A</v>
      </c>
      <c r="M242" s="18" t="str">
        <f ca="1">IFERROR(__xludf.DUMMYFUNCTION("""COMPUTED_VALUE"""),"N/A")</f>
        <v>N/A</v>
      </c>
      <c r="N242" s="18" t="str">
        <f ca="1">IFERROR(__xludf.DUMMYFUNCTION("""COMPUTED_VALUE"""),"N/A")</f>
        <v>N/A</v>
      </c>
      <c r="O242" s="18" t="str">
        <f ca="1">IFERROR(__xludf.DUMMYFUNCTION("""COMPUTED_VALUE"""),"N/A")</f>
        <v>N/A</v>
      </c>
      <c r="P242" s="18" t="str">
        <f ca="1">IFERROR(__xludf.DUMMYFUNCTION("""COMPUTED_VALUE"""),"""off"",""cool"",""heat"",""auto""")</f>
        <v>"off","cool","heat","auto"</v>
      </c>
      <c r="Q242" s="18" t="str">
        <f ca="1">IFERROR(__xludf.DUMMYFUNCTION("""COMPUTED_VALUE"""),"system_modes_available")</f>
        <v>system_modes_available</v>
      </c>
      <c r="R242" s="18" t="str">
        <f ca="1">IFERROR(__xludf.DUMMYFUNCTION("""COMPUTED_VALUE"""),"N/A")</f>
        <v>N/A</v>
      </c>
      <c r="S242" s="18" t="str">
        <f ca="1">IFERROR(__xludf.DUMMYFUNCTION("""COMPUTED_VALUE"""),"""off""")</f>
        <v>"off"</v>
      </c>
      <c r="T242" s="18" t="str">
        <f ca="1">IFERROR(__xludf.DUMMYFUNCTION("""COMPUTED_VALUE"""),"0xF172")</f>
        <v>0xF172</v>
      </c>
      <c r="U242" s="18" t="str">
        <f ca="1">IFERROR(__xludf.DUMMYFUNCTION("""COMPUTED_VALUE"""),"0x0A")</f>
        <v>0x0A</v>
      </c>
      <c r="V242" s="18" t="str">
        <f ca="1">IFERROR(__xludf.DUMMYFUNCTION("""COMPUTED_VALUE"""),"0x0104")</f>
        <v>0x0104</v>
      </c>
      <c r="W242" s="18" t="str">
        <f ca="1">IFERROR(__xludf.DUMMYFUNCTION("""COMPUTED_VALUE"""),"0x0201")</f>
        <v>0x0201</v>
      </c>
      <c r="X242" s="18" t="str">
        <f ca="1">IFERROR(__xludf.DUMMYFUNCTION("""COMPUTED_VALUE"""),"0x30")</f>
        <v>0x30</v>
      </c>
      <c r="Y242" s="18" t="e">
        <f ca="1"/>
        <v>#NAME?</v>
      </c>
      <c r="Z242" s="18" t="str">
        <f ca="1">IFERROR(__xludf.DUMMYFUNCTION("""COMPUTED_VALUE"""),"lambdax:{'off':0,'auto':1,'cool':3,'heat':4}[x]")</f>
        <v>lambdax:{'off':0,'auto':1,'cool':3,'heat':4}[x]</v>
      </c>
      <c r="AA242" s="18" t="str">
        <f ca="1">IFERROR(__xludf.DUMMYFUNCTION("""COMPUTED_VALUE"""),"lambdax:{0:'off',1:'auto',3:'cool',4:'heat'}.get(x,'unknown')")</f>
        <v>lambdax:{0:'off',1:'auto',3:'cool',4:'heat'}.get(x,'unknown')</v>
      </c>
      <c r="AC242" s="59" t="s">
        <v>1411</v>
      </c>
      <c r="AD242" s="59" t="s">
        <v>1411</v>
      </c>
      <c r="AE242" s="59" t="s">
        <v>1440</v>
      </c>
      <c r="AF242" s="59" t="s">
        <v>1364</v>
      </c>
      <c r="AG242" s="59" t="s">
        <v>1364</v>
      </c>
      <c r="AH242" s="59" t="s">
        <v>1397</v>
      </c>
      <c r="AI242" s="59" t="s">
        <v>1446</v>
      </c>
      <c r="AJ242" s="59" t="s">
        <v>1446</v>
      </c>
      <c r="AK242" s="59" t="s">
        <v>1365</v>
      </c>
      <c r="AL242" s="59" t="s">
        <v>1415</v>
      </c>
      <c r="AM242" s="59" t="s">
        <v>1415</v>
      </c>
      <c r="AN242" s="59" t="s">
        <v>1422</v>
      </c>
      <c r="AO242" s="59" t="s">
        <v>1447</v>
      </c>
      <c r="AP242" s="59" t="s">
        <v>1448</v>
      </c>
      <c r="AQ242" s="59"/>
      <c r="AR242" s="59"/>
      <c r="AS242" s="59"/>
      <c r="AT242" s="59"/>
    </row>
    <row r="243" spans="1:46" x14ac:dyDescent="0.25">
      <c r="A243" s="18" t="str">
        <v>setpoint_reset_cool_setpoint:{"type":"attribute","data_type":"float","is_readonly":false,"reporting_type":"polled","poll_freq":86400,"max":35,"min":0,"decimal_places":2,"bound_attr_max":"cool_setpoint_max","bound_attr_min":"cool_setpoint_min","default_value":26.67,"zigbee_metadata":{"attr_id":61811,"endpoint_id":10,"profile_id":260,"cluster_id":513,"zcl_data_type":41,"write_formatter":"lambdax:int(round(x,2)*100)","read_formatter":"lambdax:x/100"}},</v>
      </c>
      <c r="B243" s="52" t="str">
        <f ca="1"/>
        <v>0x0201 0xF173</v>
      </c>
      <c r="C243" s="52" t="str">
        <f ca="1">IFERROR(__xludf.DUMMYFUNCTION("""COMPUTED_VALUE"""),"setpoint_reset_cool_setpoint")</f>
        <v>setpoint_reset_cool_setpoint</v>
      </c>
      <c r="D243" s="18" t="str">
        <f ca="1">IFERROR(__xludf.DUMMYFUNCTION("""COMPUTED_VALUE"""),"attribute")</f>
        <v>attribute</v>
      </c>
      <c r="E243" s="18" t="str">
        <f ca="1">IFERROR(__xludf.DUMMYFUNCTION("""COMPUTED_VALUE"""),"float")</f>
        <v>float</v>
      </c>
      <c r="F243" s="18" t="str">
        <f ca="1">IFERROR(__xludf.DUMMYFUNCTION("""COMPUTED_VALUE"""),"false")</f>
        <v>false</v>
      </c>
      <c r="G243" s="18" t="str">
        <f ca="1">IFERROR(__xludf.DUMMYFUNCTION("""COMPUTED_VALUE"""),"polled")</f>
        <v>polled</v>
      </c>
      <c r="H243" s="18" t="str">
        <f ca="1">IFERROR(__xludf.DUMMYFUNCTION("""COMPUTED_VALUE"""),"86400")</f>
        <v>86400</v>
      </c>
      <c r="I243" s="18" t="str">
        <f ca="1">IFERROR(__xludf.DUMMYFUNCTION("""COMPUTED_VALUE"""),"N/A")</f>
        <v>N/A</v>
      </c>
      <c r="J243" s="18" t="str">
        <f ca="1">IFERROR(__xludf.DUMMYFUNCTION("""COMPUTED_VALUE"""),"N/A")</f>
        <v>N/A</v>
      </c>
      <c r="K243" s="18" t="str">
        <f ca="1">IFERROR(__xludf.DUMMYFUNCTION("""COMPUTED_VALUE"""),"N/A")</f>
        <v>N/A</v>
      </c>
      <c r="L243" s="18" t="str">
        <f ca="1">IFERROR(__xludf.DUMMYFUNCTION("""COMPUTED_VALUE"""),"35")</f>
        <v>35</v>
      </c>
      <c r="M243" s="18" t="str">
        <f ca="1">IFERROR(__xludf.DUMMYFUNCTION("""COMPUTED_VALUE"""),"0")</f>
        <v>0</v>
      </c>
      <c r="N243" s="18" t="str">
        <f ca="1">IFERROR(__xludf.DUMMYFUNCTION("""COMPUTED_VALUE"""),"cool_setpoint_max")</f>
        <v>cool_setpoint_max</v>
      </c>
      <c r="O243" s="18" t="str">
        <f ca="1">IFERROR(__xludf.DUMMYFUNCTION("""COMPUTED_VALUE"""),"cool_setpoint_min")</f>
        <v>cool_setpoint_min</v>
      </c>
      <c r="P243" s="18" t="str">
        <f ca="1">IFERROR(__xludf.DUMMYFUNCTION("""COMPUTED_VALUE"""),"N/A")</f>
        <v>N/A</v>
      </c>
      <c r="Q243" s="18" t="str">
        <f ca="1">IFERROR(__xludf.DUMMYFUNCTION("""COMPUTED_VALUE"""),"N/A")</f>
        <v>N/A</v>
      </c>
      <c r="R243" s="18" t="str">
        <f ca="1">IFERROR(__xludf.DUMMYFUNCTION("""COMPUTED_VALUE"""),"2")</f>
        <v>2</v>
      </c>
      <c r="S243" s="18" t="str">
        <f ca="1">IFERROR(__xludf.DUMMYFUNCTION("""COMPUTED_VALUE"""),"26.67")</f>
        <v>26.67</v>
      </c>
      <c r="T243" s="18" t="str">
        <f ca="1">IFERROR(__xludf.DUMMYFUNCTION("""COMPUTED_VALUE"""),"0xF173")</f>
        <v>0xF173</v>
      </c>
      <c r="U243" s="18" t="str">
        <f ca="1">IFERROR(__xludf.DUMMYFUNCTION("""COMPUTED_VALUE"""),"0x0A")</f>
        <v>0x0A</v>
      </c>
      <c r="V243" s="18" t="str">
        <f ca="1">IFERROR(__xludf.DUMMYFUNCTION("""COMPUTED_VALUE"""),"0x0104")</f>
        <v>0x0104</v>
      </c>
      <c r="W243" s="18" t="str">
        <f ca="1">IFERROR(__xludf.DUMMYFUNCTION("""COMPUTED_VALUE"""),"0x0201")</f>
        <v>0x0201</v>
      </c>
      <c r="X243" s="18" t="str">
        <f ca="1">IFERROR(__xludf.DUMMYFUNCTION("""COMPUTED_VALUE"""),"0x29")</f>
        <v>0x29</v>
      </c>
      <c r="Y243" s="18" t="e">
        <f ca="1"/>
        <v>#NAME?</v>
      </c>
      <c r="Z243" s="18" t="str">
        <f ca="1">IFERROR(__xludf.DUMMYFUNCTION("""COMPUTED_VALUE"""),"lambdax:int(round(x,2)*100)")</f>
        <v>lambdax:int(round(x,2)*100)</v>
      </c>
      <c r="AA243" s="18" t="str">
        <f ca="1">IFERROR(__xludf.DUMMYFUNCTION("""COMPUTED_VALUE"""),"lambdax:x/100")</f>
        <v>lambdax:x/100</v>
      </c>
      <c r="AC243" s="59" t="s">
        <v>1420</v>
      </c>
      <c r="AD243" s="59" t="s">
        <v>1420</v>
      </c>
      <c r="AE243" s="59" t="s">
        <v>1443</v>
      </c>
      <c r="AF243" s="59" t="s">
        <v>1368</v>
      </c>
      <c r="AG243" s="59" t="s">
        <v>1368</v>
      </c>
      <c r="AH243" s="59" t="s">
        <v>1446</v>
      </c>
      <c r="AI243" s="59" t="s">
        <v>1449</v>
      </c>
      <c r="AJ243" s="59" t="s">
        <v>1449</v>
      </c>
      <c r="AK243" s="59" t="s">
        <v>1369</v>
      </c>
      <c r="AL243" s="59" t="s">
        <v>1418</v>
      </c>
      <c r="AM243" s="59" t="s">
        <v>1418</v>
      </c>
      <c r="AN243" s="59" t="s">
        <v>1425</v>
      </c>
      <c r="AO243" s="59" t="s">
        <v>1450</v>
      </c>
      <c r="AP243" s="59" t="s">
        <v>1451</v>
      </c>
      <c r="AQ243" s="59"/>
      <c r="AR243" s="59"/>
      <c r="AS243" s="59"/>
      <c r="AT243" s="59"/>
    </row>
    <row r="244" spans="1:46" x14ac:dyDescent="0.25">
      <c r="A244" s="18" t="str">
        <v>setpoint_reset_heat_setpoint:{"type":"attribute","data_type":"float","is_readonly":false,"reporting_type":"polled","poll_freq":86400,"max":35,"min":0,"decimal_places":2,"bound_attr_max":"heat_setpoint_max","bound_attr_min":"heat_setpoint_min","default_value":15.56,"zigbee_metadata":{"attr_id":61812,"endpoint_id":10,"profile_id":260,"cluster_id":513,"zcl_data_type":41,"write_formatter":"lambdax:int(round(x,2)*100)","read_formatter":"lambdax:x/100"}},</v>
      </c>
      <c r="B244" s="52" t="str">
        <f ca="1"/>
        <v>0x0201 0xF174</v>
      </c>
      <c r="C244" s="52" t="str">
        <f ca="1">IFERROR(__xludf.DUMMYFUNCTION("""COMPUTED_VALUE"""),"setpoint_reset_heat_setpoint")</f>
        <v>setpoint_reset_heat_setpoint</v>
      </c>
      <c r="D244" s="18" t="str">
        <f ca="1">IFERROR(__xludf.DUMMYFUNCTION("""COMPUTED_VALUE"""),"attribute")</f>
        <v>attribute</v>
      </c>
      <c r="E244" s="18" t="str">
        <f ca="1">IFERROR(__xludf.DUMMYFUNCTION("""COMPUTED_VALUE"""),"float")</f>
        <v>float</v>
      </c>
      <c r="F244" s="18" t="str">
        <f ca="1">IFERROR(__xludf.DUMMYFUNCTION("""COMPUTED_VALUE"""),"false")</f>
        <v>false</v>
      </c>
      <c r="G244" s="18" t="str">
        <f ca="1">IFERROR(__xludf.DUMMYFUNCTION("""COMPUTED_VALUE"""),"polled")</f>
        <v>polled</v>
      </c>
      <c r="H244" s="18" t="str">
        <f ca="1">IFERROR(__xludf.DUMMYFUNCTION("""COMPUTED_VALUE"""),"86400")</f>
        <v>86400</v>
      </c>
      <c r="I244" s="18" t="str">
        <f ca="1">IFERROR(__xludf.DUMMYFUNCTION("""COMPUTED_VALUE"""),"N/A")</f>
        <v>N/A</v>
      </c>
      <c r="J244" s="18" t="str">
        <f ca="1">IFERROR(__xludf.DUMMYFUNCTION("""COMPUTED_VALUE"""),"N/A")</f>
        <v>N/A</v>
      </c>
      <c r="K244" s="18" t="str">
        <f ca="1">IFERROR(__xludf.DUMMYFUNCTION("""COMPUTED_VALUE"""),"N/A")</f>
        <v>N/A</v>
      </c>
      <c r="L244" s="18" t="str">
        <f ca="1">IFERROR(__xludf.DUMMYFUNCTION("""COMPUTED_VALUE"""),"35")</f>
        <v>35</v>
      </c>
      <c r="M244" s="18" t="str">
        <f ca="1">IFERROR(__xludf.DUMMYFUNCTION("""COMPUTED_VALUE"""),"0")</f>
        <v>0</v>
      </c>
      <c r="N244" s="18" t="str">
        <f ca="1">IFERROR(__xludf.DUMMYFUNCTION("""COMPUTED_VALUE"""),"heat_setpoint_max")</f>
        <v>heat_setpoint_max</v>
      </c>
      <c r="O244" s="18" t="str">
        <f ca="1">IFERROR(__xludf.DUMMYFUNCTION("""COMPUTED_VALUE"""),"heat_setpoint_min")</f>
        <v>heat_setpoint_min</v>
      </c>
      <c r="P244" s="18" t="str">
        <f ca="1">IFERROR(__xludf.DUMMYFUNCTION("""COMPUTED_VALUE"""),"N/A")</f>
        <v>N/A</v>
      </c>
      <c r="Q244" s="18" t="str">
        <f ca="1">IFERROR(__xludf.DUMMYFUNCTION("""COMPUTED_VALUE"""),"N/A")</f>
        <v>N/A</v>
      </c>
      <c r="R244" s="18" t="str">
        <f ca="1">IFERROR(__xludf.DUMMYFUNCTION("""COMPUTED_VALUE"""),"2")</f>
        <v>2</v>
      </c>
      <c r="S244" s="18" t="str">
        <f ca="1">IFERROR(__xludf.DUMMYFUNCTION("""COMPUTED_VALUE"""),"15.56")</f>
        <v>15.56</v>
      </c>
      <c r="T244" s="18" t="str">
        <f ca="1">IFERROR(__xludf.DUMMYFUNCTION("""COMPUTED_VALUE"""),"0xF174")</f>
        <v>0xF174</v>
      </c>
      <c r="U244" s="18" t="str">
        <f ca="1">IFERROR(__xludf.DUMMYFUNCTION("""COMPUTED_VALUE"""),"0x0A")</f>
        <v>0x0A</v>
      </c>
      <c r="V244" s="18" t="str">
        <f ca="1">IFERROR(__xludf.DUMMYFUNCTION("""COMPUTED_VALUE"""),"0x0104")</f>
        <v>0x0104</v>
      </c>
      <c r="W244" s="18" t="str">
        <f ca="1">IFERROR(__xludf.DUMMYFUNCTION("""COMPUTED_VALUE"""),"0x0201")</f>
        <v>0x0201</v>
      </c>
      <c r="X244" s="18" t="str">
        <f ca="1">IFERROR(__xludf.DUMMYFUNCTION("""COMPUTED_VALUE"""),"0x29")</f>
        <v>0x29</v>
      </c>
      <c r="Y244" s="18" t="e">
        <f ca="1"/>
        <v>#NAME?</v>
      </c>
      <c r="Z244" s="18" t="str">
        <f ca="1">IFERROR(__xludf.DUMMYFUNCTION("""COMPUTED_VALUE"""),"lambdax:int(round(x,2)*100)")</f>
        <v>lambdax:int(round(x,2)*100)</v>
      </c>
      <c r="AA244" s="18" t="str">
        <f ca="1">IFERROR(__xludf.DUMMYFUNCTION("""COMPUTED_VALUE"""),"lambdax:x/100")</f>
        <v>lambdax:x/100</v>
      </c>
      <c r="AC244" s="59" t="s">
        <v>1424</v>
      </c>
      <c r="AD244" s="59" t="s">
        <v>1424</v>
      </c>
      <c r="AE244" s="59" t="s">
        <v>1364</v>
      </c>
      <c r="AF244" s="59" t="s">
        <v>1373</v>
      </c>
      <c r="AG244" s="59" t="s">
        <v>1373</v>
      </c>
      <c r="AH244" s="59" t="s">
        <v>1449</v>
      </c>
      <c r="AI244" s="59" t="s">
        <v>1452</v>
      </c>
      <c r="AJ244" s="59" t="s">
        <v>1452</v>
      </c>
      <c r="AK244" s="59" t="s">
        <v>1374</v>
      </c>
      <c r="AL244" s="59" t="s">
        <v>1422</v>
      </c>
      <c r="AM244" s="59" t="s">
        <v>1422</v>
      </c>
      <c r="AN244" s="59" t="s">
        <v>1429</v>
      </c>
      <c r="AO244" s="59" t="s">
        <v>1453</v>
      </c>
      <c r="AP244" s="59" t="s">
        <v>1454</v>
      </c>
      <c r="AQ244" s="59"/>
      <c r="AR244" s="59"/>
      <c r="AS244" s="59"/>
      <c r="AT244" s="59"/>
    </row>
    <row r="245" spans="1:46" x14ac:dyDescent="0.25">
      <c r="A245" s="18" t="str">
        <v>relay_0_load_temperature_compensation:{"type":"attribute","data_type":"float","is_readonly":false,"reporting_type":"polled","poll_freq":86400,"max":5,"min":1,"decimal_places":2,"default_value":0,"zigbee_metadata":{"attr_id":61824,"endpoint_id":10,"profile_id":260,"cluster_id":513,"zcl_data_type":33,"write_formatter":"lambdax:int(round(x,2)*100)","read_formatter":"lambdax:x/100"}},</v>
      </c>
      <c r="B245" s="52" t="str">
        <f ca="1"/>
        <v>0x0201 0xF180</v>
      </c>
      <c r="C245" s="52" t="str">
        <f ca="1">IFERROR(__xludf.DUMMYFUNCTION("""COMPUTED_VALUE"""),"relay_0_load_temperature_compensation")</f>
        <v>relay_0_load_temperature_compensation</v>
      </c>
      <c r="D245" s="18" t="str">
        <f ca="1">IFERROR(__xludf.DUMMYFUNCTION("""COMPUTED_VALUE"""),"attribute")</f>
        <v>attribute</v>
      </c>
      <c r="E245" s="18" t="str">
        <f ca="1">IFERROR(__xludf.DUMMYFUNCTION("""COMPUTED_VALUE"""),"float")</f>
        <v>float</v>
      </c>
      <c r="F245" s="18" t="str">
        <f ca="1">IFERROR(__xludf.DUMMYFUNCTION("""COMPUTED_VALUE"""),"false")</f>
        <v>false</v>
      </c>
      <c r="G245" s="18" t="str">
        <f ca="1">IFERROR(__xludf.DUMMYFUNCTION("""COMPUTED_VALUE"""),"polled")</f>
        <v>polled</v>
      </c>
      <c r="H245" s="18" t="str">
        <f ca="1">IFERROR(__xludf.DUMMYFUNCTION("""COMPUTED_VALUE"""),"86400")</f>
        <v>86400</v>
      </c>
      <c r="I245" s="18" t="str">
        <f ca="1">IFERROR(__xludf.DUMMYFUNCTION("""COMPUTED_VALUE"""),"N/A")</f>
        <v>N/A</v>
      </c>
      <c r="J245" s="18" t="str">
        <f ca="1">IFERROR(__xludf.DUMMYFUNCTION("""COMPUTED_VALUE"""),"N/A")</f>
        <v>N/A</v>
      </c>
      <c r="K245" s="18" t="str">
        <f ca="1">IFERROR(__xludf.DUMMYFUNCTION("""COMPUTED_VALUE"""),"N/A")</f>
        <v>N/A</v>
      </c>
      <c r="L245" s="18" t="str">
        <f ca="1">IFERROR(__xludf.DUMMYFUNCTION("""COMPUTED_VALUE"""),"5")</f>
        <v>5</v>
      </c>
      <c r="M245" s="18" t="str">
        <f ca="1">IFERROR(__xludf.DUMMYFUNCTION("""COMPUTED_VALUE"""),"1")</f>
        <v>1</v>
      </c>
      <c r="N245" s="18" t="str">
        <f ca="1">IFERROR(__xludf.DUMMYFUNCTION("""COMPUTED_VALUE"""),"N/A")</f>
        <v>N/A</v>
      </c>
      <c r="O245" s="18" t="str">
        <f ca="1">IFERROR(__xludf.DUMMYFUNCTION("""COMPUTED_VALUE"""),"N/A")</f>
        <v>N/A</v>
      </c>
      <c r="P245" s="18" t="str">
        <f ca="1">IFERROR(__xludf.DUMMYFUNCTION("""COMPUTED_VALUE"""),"N/A")</f>
        <v>N/A</v>
      </c>
      <c r="Q245" s="18" t="str">
        <f ca="1">IFERROR(__xludf.DUMMYFUNCTION("""COMPUTED_VALUE"""),"N/A")</f>
        <v>N/A</v>
      </c>
      <c r="R245" s="18" t="str">
        <f ca="1">IFERROR(__xludf.DUMMYFUNCTION("""COMPUTED_VALUE"""),"2")</f>
        <v>2</v>
      </c>
      <c r="S245" s="18" t="str">
        <f ca="1">IFERROR(__xludf.DUMMYFUNCTION("""COMPUTED_VALUE"""),"0")</f>
        <v>0</v>
      </c>
      <c r="T245" s="18" t="str">
        <f ca="1">IFERROR(__xludf.DUMMYFUNCTION("""COMPUTED_VALUE"""),"0xF180")</f>
        <v>0xF180</v>
      </c>
      <c r="U245" s="18" t="str">
        <f ca="1">IFERROR(__xludf.DUMMYFUNCTION("""COMPUTED_VALUE"""),"0x0A")</f>
        <v>0x0A</v>
      </c>
      <c r="V245" s="18" t="str">
        <f ca="1">IFERROR(__xludf.DUMMYFUNCTION("""COMPUTED_VALUE"""),"0x0104")</f>
        <v>0x0104</v>
      </c>
      <c r="W245" s="18" t="str">
        <f ca="1">IFERROR(__xludf.DUMMYFUNCTION("""COMPUTED_VALUE"""),"0x0201")</f>
        <v>0x0201</v>
      </c>
      <c r="X245" s="18" t="str">
        <f ca="1">IFERROR(__xludf.DUMMYFUNCTION("""COMPUTED_VALUE"""),"0x21")</f>
        <v>0x21</v>
      </c>
      <c r="Y245" s="18" t="e">
        <f ca="1"/>
        <v>#NAME?</v>
      </c>
      <c r="Z245" s="18" t="str">
        <f ca="1">IFERROR(__xludf.DUMMYFUNCTION("""COMPUTED_VALUE"""),"lambdax:int(round(x,2)*100)")</f>
        <v>lambdax:int(round(x,2)*100)</v>
      </c>
      <c r="AA245" s="18" t="str">
        <f ca="1">IFERROR(__xludf.DUMMYFUNCTION("""COMPUTED_VALUE"""),"lambdax:x/100")</f>
        <v>lambdax:x/100</v>
      </c>
      <c r="AC245" s="59" t="s">
        <v>1427</v>
      </c>
      <c r="AD245" s="59" t="s">
        <v>1427</v>
      </c>
      <c r="AE245" s="59" t="s">
        <v>1368</v>
      </c>
      <c r="AF245" s="59" t="s">
        <v>1378</v>
      </c>
      <c r="AG245" s="59" t="s">
        <v>1378</v>
      </c>
      <c r="AH245" s="59" t="s">
        <v>1452</v>
      </c>
      <c r="AI245" s="59" t="s">
        <v>1365</v>
      </c>
      <c r="AJ245" s="59" t="s">
        <v>1365</v>
      </c>
      <c r="AK245" s="59" t="s">
        <v>1379</v>
      </c>
      <c r="AL245" s="59" t="s">
        <v>1425</v>
      </c>
      <c r="AM245" s="59" t="s">
        <v>1425</v>
      </c>
      <c r="AN245" s="59" t="s">
        <v>1432</v>
      </c>
      <c r="AO245" s="59" t="s">
        <v>1455</v>
      </c>
      <c r="AP245" s="59" t="s">
        <v>1456</v>
      </c>
      <c r="AQ245" s="59"/>
      <c r="AR245" s="59"/>
      <c r="AS245" s="59"/>
      <c r="AT245" s="59"/>
    </row>
    <row r="246" spans="1:46" x14ac:dyDescent="0.25">
      <c r="A246" s="18" t="str">
        <v>relay_1_load_temperature_compensation:{"type":"attribute","data_type":"float","is_readonly":false,"reporting_type":"polled","poll_freq":86400,"max":5,"min":1,"decimal_places":2,"default_value":0,"zigbee_metadata":{"attr_id":61825,"endpoint_id":10,"profile_id":260,"cluster_id":513,"zcl_data_type":33,"write_formatter":"lambdax:int(round(x,2)*100)","read_formatter":"lambdax:x/100"}},</v>
      </c>
      <c r="B246" s="52" t="str">
        <f ca="1"/>
        <v>0x0201 0xF181</v>
      </c>
      <c r="C246" s="52" t="str">
        <f ca="1">IFERROR(__xludf.DUMMYFUNCTION("""COMPUTED_VALUE"""),"relay_1_load_temperature_compensation")</f>
        <v>relay_1_load_temperature_compensation</v>
      </c>
      <c r="D246" s="18" t="str">
        <f ca="1">IFERROR(__xludf.DUMMYFUNCTION("""COMPUTED_VALUE"""),"attribute")</f>
        <v>attribute</v>
      </c>
      <c r="E246" s="18" t="str">
        <f ca="1">IFERROR(__xludf.DUMMYFUNCTION("""COMPUTED_VALUE"""),"float")</f>
        <v>float</v>
      </c>
      <c r="F246" s="18" t="str">
        <f ca="1">IFERROR(__xludf.DUMMYFUNCTION("""COMPUTED_VALUE"""),"false")</f>
        <v>false</v>
      </c>
      <c r="G246" s="18" t="str">
        <f ca="1">IFERROR(__xludf.DUMMYFUNCTION("""COMPUTED_VALUE"""),"polled")</f>
        <v>polled</v>
      </c>
      <c r="H246" s="18" t="str">
        <f ca="1">IFERROR(__xludf.DUMMYFUNCTION("""COMPUTED_VALUE"""),"86400")</f>
        <v>86400</v>
      </c>
      <c r="I246" s="18" t="str">
        <f ca="1">IFERROR(__xludf.DUMMYFUNCTION("""COMPUTED_VALUE"""),"N/A")</f>
        <v>N/A</v>
      </c>
      <c r="J246" s="18" t="str">
        <f ca="1">IFERROR(__xludf.DUMMYFUNCTION("""COMPUTED_VALUE"""),"N/A")</f>
        <v>N/A</v>
      </c>
      <c r="K246" s="18" t="str">
        <f ca="1">IFERROR(__xludf.DUMMYFUNCTION("""COMPUTED_VALUE"""),"N/A")</f>
        <v>N/A</v>
      </c>
      <c r="L246" s="18" t="str">
        <f ca="1">IFERROR(__xludf.DUMMYFUNCTION("""COMPUTED_VALUE"""),"5")</f>
        <v>5</v>
      </c>
      <c r="M246" s="18" t="str">
        <f ca="1">IFERROR(__xludf.DUMMYFUNCTION("""COMPUTED_VALUE"""),"1")</f>
        <v>1</v>
      </c>
      <c r="N246" s="18" t="str">
        <f ca="1">IFERROR(__xludf.DUMMYFUNCTION("""COMPUTED_VALUE"""),"N/A")</f>
        <v>N/A</v>
      </c>
      <c r="O246" s="18" t="str">
        <f ca="1">IFERROR(__xludf.DUMMYFUNCTION("""COMPUTED_VALUE"""),"N/A")</f>
        <v>N/A</v>
      </c>
      <c r="P246" s="18" t="str">
        <f ca="1">IFERROR(__xludf.DUMMYFUNCTION("""COMPUTED_VALUE"""),"N/A")</f>
        <v>N/A</v>
      </c>
      <c r="Q246" s="18" t="str">
        <f ca="1">IFERROR(__xludf.DUMMYFUNCTION("""COMPUTED_VALUE"""),"N/A")</f>
        <v>N/A</v>
      </c>
      <c r="R246" s="18" t="str">
        <f ca="1">IFERROR(__xludf.DUMMYFUNCTION("""COMPUTED_VALUE"""),"2")</f>
        <v>2</v>
      </c>
      <c r="S246" s="18" t="str">
        <f ca="1">IFERROR(__xludf.DUMMYFUNCTION("""COMPUTED_VALUE"""),"0")</f>
        <v>0</v>
      </c>
      <c r="T246" s="18" t="str">
        <f ca="1">IFERROR(__xludf.DUMMYFUNCTION("""COMPUTED_VALUE"""),"0xF181")</f>
        <v>0xF181</v>
      </c>
      <c r="U246" s="18" t="str">
        <f ca="1">IFERROR(__xludf.DUMMYFUNCTION("""COMPUTED_VALUE"""),"0x0A")</f>
        <v>0x0A</v>
      </c>
      <c r="V246" s="18" t="str">
        <f ca="1">IFERROR(__xludf.DUMMYFUNCTION("""COMPUTED_VALUE"""),"0x0104")</f>
        <v>0x0104</v>
      </c>
      <c r="W246" s="18" t="str">
        <f ca="1">IFERROR(__xludf.DUMMYFUNCTION("""COMPUTED_VALUE"""),"0x0201")</f>
        <v>0x0201</v>
      </c>
      <c r="X246" s="18" t="str">
        <f ca="1">IFERROR(__xludf.DUMMYFUNCTION("""COMPUTED_VALUE"""),"0x21")</f>
        <v>0x21</v>
      </c>
      <c r="Y246" s="18" t="e">
        <f ca="1"/>
        <v>#NAME?</v>
      </c>
      <c r="Z246" s="18" t="str">
        <f ca="1">IFERROR(__xludf.DUMMYFUNCTION("""COMPUTED_VALUE"""),"lambdax:int(round(x,2)*100)")</f>
        <v>lambdax:int(round(x,2)*100)</v>
      </c>
      <c r="AA246" s="18" t="str">
        <f ca="1">IFERROR(__xludf.DUMMYFUNCTION("""COMPUTED_VALUE"""),"lambdax:x/100")</f>
        <v>lambdax:x/100</v>
      </c>
      <c r="AC246" s="59" t="s">
        <v>1431</v>
      </c>
      <c r="AD246" s="59" t="s">
        <v>1431</v>
      </c>
      <c r="AE246" s="59" t="s">
        <v>1373</v>
      </c>
      <c r="AF246" s="59" t="s">
        <v>1382</v>
      </c>
      <c r="AG246" s="59" t="s">
        <v>1382</v>
      </c>
      <c r="AH246" s="59" t="s">
        <v>1365</v>
      </c>
      <c r="AI246" s="59" t="s">
        <v>1369</v>
      </c>
      <c r="AJ246" s="59" t="s">
        <v>1369</v>
      </c>
      <c r="AK246" s="59" t="s">
        <v>1421</v>
      </c>
      <c r="AL246" s="59" t="s">
        <v>1429</v>
      </c>
      <c r="AM246" s="59" t="s">
        <v>1429</v>
      </c>
      <c r="AN246" s="59" t="s">
        <v>1435</v>
      </c>
      <c r="AO246" s="59" t="s">
        <v>1457</v>
      </c>
      <c r="AP246" s="59" t="s">
        <v>1458</v>
      </c>
      <c r="AQ246" s="59"/>
      <c r="AR246" s="59"/>
      <c r="AS246" s="59"/>
      <c r="AT246" s="59"/>
    </row>
    <row r="247" spans="1:46" x14ac:dyDescent="0.25">
      <c r="A247" s="18" t="str">
        <v>relay_2_load_temperature_compensation:{"type":"attribute","data_type":"float","is_readonly":false,"reporting_type":"polled","poll_freq":86400,"max":5,"min":1,"decimal_places":2,"default_value":0,"zigbee_metadata":{"attr_id":61826,"endpoint_id":10,"profile_id":260,"cluster_id":513,"zcl_data_type":33,"write_formatter":"lambdax:int(round(x,2)*100)","read_formatter":"lambdax:x/100"}},</v>
      </c>
      <c r="B247" s="52" t="str">
        <f ca="1"/>
        <v>0x0201 0xF182</v>
      </c>
      <c r="C247" s="52" t="str">
        <f ca="1">IFERROR(__xludf.DUMMYFUNCTION("""COMPUTED_VALUE"""),"relay_2_load_temperature_compensation")</f>
        <v>relay_2_load_temperature_compensation</v>
      </c>
      <c r="D247" s="18" t="str">
        <f ca="1">IFERROR(__xludf.DUMMYFUNCTION("""COMPUTED_VALUE"""),"attribute")</f>
        <v>attribute</v>
      </c>
      <c r="E247" s="18" t="str">
        <f ca="1">IFERROR(__xludf.DUMMYFUNCTION("""COMPUTED_VALUE"""),"float")</f>
        <v>float</v>
      </c>
      <c r="F247" s="18" t="str">
        <f ca="1">IFERROR(__xludf.DUMMYFUNCTION("""COMPUTED_VALUE"""),"false")</f>
        <v>false</v>
      </c>
      <c r="G247" s="18" t="str">
        <f ca="1">IFERROR(__xludf.DUMMYFUNCTION("""COMPUTED_VALUE"""),"polled")</f>
        <v>polled</v>
      </c>
      <c r="H247" s="18" t="str">
        <f ca="1">IFERROR(__xludf.DUMMYFUNCTION("""COMPUTED_VALUE"""),"86400")</f>
        <v>86400</v>
      </c>
      <c r="I247" s="18" t="str">
        <f ca="1">IFERROR(__xludf.DUMMYFUNCTION("""COMPUTED_VALUE"""),"N/A")</f>
        <v>N/A</v>
      </c>
      <c r="J247" s="18" t="str">
        <f ca="1">IFERROR(__xludf.DUMMYFUNCTION("""COMPUTED_VALUE"""),"N/A")</f>
        <v>N/A</v>
      </c>
      <c r="K247" s="18" t="str">
        <f ca="1">IFERROR(__xludf.DUMMYFUNCTION("""COMPUTED_VALUE"""),"N/A")</f>
        <v>N/A</v>
      </c>
      <c r="L247" s="18" t="str">
        <f ca="1">IFERROR(__xludf.DUMMYFUNCTION("""COMPUTED_VALUE"""),"5")</f>
        <v>5</v>
      </c>
      <c r="M247" s="18" t="str">
        <f ca="1">IFERROR(__xludf.DUMMYFUNCTION("""COMPUTED_VALUE"""),"1")</f>
        <v>1</v>
      </c>
      <c r="N247" s="18" t="str">
        <f ca="1">IFERROR(__xludf.DUMMYFUNCTION("""COMPUTED_VALUE"""),"N/A")</f>
        <v>N/A</v>
      </c>
      <c r="O247" s="18" t="str">
        <f ca="1">IFERROR(__xludf.DUMMYFUNCTION("""COMPUTED_VALUE"""),"N/A")</f>
        <v>N/A</v>
      </c>
      <c r="P247" s="18" t="str">
        <f ca="1">IFERROR(__xludf.DUMMYFUNCTION("""COMPUTED_VALUE"""),"N/A")</f>
        <v>N/A</v>
      </c>
      <c r="Q247" s="18" t="str">
        <f ca="1">IFERROR(__xludf.DUMMYFUNCTION("""COMPUTED_VALUE"""),"N/A")</f>
        <v>N/A</v>
      </c>
      <c r="R247" s="18" t="str">
        <f ca="1">IFERROR(__xludf.DUMMYFUNCTION("""COMPUTED_VALUE"""),"2")</f>
        <v>2</v>
      </c>
      <c r="S247" s="18" t="str">
        <f ca="1">IFERROR(__xludf.DUMMYFUNCTION("""COMPUTED_VALUE"""),"0")</f>
        <v>0</v>
      </c>
      <c r="T247" s="18" t="str">
        <f ca="1">IFERROR(__xludf.DUMMYFUNCTION("""COMPUTED_VALUE"""),"0xF182")</f>
        <v>0xF182</v>
      </c>
      <c r="U247" s="18" t="str">
        <f ca="1">IFERROR(__xludf.DUMMYFUNCTION("""COMPUTED_VALUE"""),"0x0A")</f>
        <v>0x0A</v>
      </c>
      <c r="V247" s="18" t="str">
        <f ca="1">IFERROR(__xludf.DUMMYFUNCTION("""COMPUTED_VALUE"""),"0x0104")</f>
        <v>0x0104</v>
      </c>
      <c r="W247" s="18" t="str">
        <f ca="1">IFERROR(__xludf.DUMMYFUNCTION("""COMPUTED_VALUE"""),"0x0201")</f>
        <v>0x0201</v>
      </c>
      <c r="X247" s="18" t="str">
        <f ca="1">IFERROR(__xludf.DUMMYFUNCTION("""COMPUTED_VALUE"""),"0x21")</f>
        <v>0x21</v>
      </c>
      <c r="Y247" s="18" t="e">
        <f ca="1"/>
        <v>#NAME?</v>
      </c>
      <c r="Z247" s="18" t="str">
        <f ca="1">IFERROR(__xludf.DUMMYFUNCTION("""COMPUTED_VALUE"""),"lambdax:int(round(x,2)*100)")</f>
        <v>lambdax:int(round(x,2)*100)</v>
      </c>
      <c r="AA247" s="18" t="str">
        <f ca="1">IFERROR(__xludf.DUMMYFUNCTION("""COMPUTED_VALUE"""),"lambdax:x/100")</f>
        <v>lambdax:x/100</v>
      </c>
      <c r="AC247" s="59" t="s">
        <v>1434</v>
      </c>
      <c r="AD247" s="59" t="s">
        <v>1434</v>
      </c>
      <c r="AE247" s="59" t="s">
        <v>1378</v>
      </c>
      <c r="AF247" s="59" t="s">
        <v>1387</v>
      </c>
      <c r="AG247" s="59" t="s">
        <v>1387</v>
      </c>
      <c r="AH247" s="59" t="s">
        <v>1369</v>
      </c>
      <c r="AI247" s="59" t="s">
        <v>1374</v>
      </c>
      <c r="AJ247" s="59" t="s">
        <v>1374</v>
      </c>
      <c r="AK247" s="59" t="s">
        <v>1388</v>
      </c>
      <c r="AL247" s="59" t="s">
        <v>1432</v>
      </c>
      <c r="AM247" s="59" t="s">
        <v>1432</v>
      </c>
      <c r="AN247" s="59" t="s">
        <v>1438</v>
      </c>
      <c r="AO247" s="59" t="s">
        <v>1459</v>
      </c>
      <c r="AP247" s="59" t="s">
        <v>1460</v>
      </c>
      <c r="AQ247" s="59"/>
      <c r="AR247" s="59"/>
      <c r="AS247" s="59"/>
      <c r="AT247" s="59"/>
    </row>
    <row r="248" spans="1:46" x14ac:dyDescent="0.25">
      <c r="A248" s="18" t="str">
        <v>relay_3_load_temperature_compensation:{"type":"attribute","data_type":"float","is_readonly":false,"reporting_type":"polled","poll_freq":86400,"max":5,"min":1,"decimal_places":2,"default_value":0,"zigbee_metadata":{"attr_id":61827,"endpoint_id":10,"profile_id":260,"cluster_id":513,"zcl_data_type":33,"write_formatter":"lambdax:int(round(x,2)*100)","read_formatter":"lambdax:x/100"}},</v>
      </c>
      <c r="B248" s="52" t="str">
        <f ca="1"/>
        <v>0x0201 0xF183</v>
      </c>
      <c r="C248" s="52" t="str">
        <f ca="1">IFERROR(__xludf.DUMMYFUNCTION("""COMPUTED_VALUE"""),"relay_3_load_temperature_compensation")</f>
        <v>relay_3_load_temperature_compensation</v>
      </c>
      <c r="D248" s="18" t="str">
        <f ca="1">IFERROR(__xludf.DUMMYFUNCTION("""COMPUTED_VALUE"""),"attribute")</f>
        <v>attribute</v>
      </c>
      <c r="E248" s="18" t="str">
        <f ca="1">IFERROR(__xludf.DUMMYFUNCTION("""COMPUTED_VALUE"""),"float")</f>
        <v>float</v>
      </c>
      <c r="F248" s="18" t="str">
        <f ca="1">IFERROR(__xludf.DUMMYFUNCTION("""COMPUTED_VALUE"""),"false")</f>
        <v>false</v>
      </c>
      <c r="G248" s="18" t="str">
        <f ca="1">IFERROR(__xludf.DUMMYFUNCTION("""COMPUTED_VALUE"""),"polled")</f>
        <v>polled</v>
      </c>
      <c r="H248" s="18" t="str">
        <f ca="1">IFERROR(__xludf.DUMMYFUNCTION("""COMPUTED_VALUE"""),"86400")</f>
        <v>86400</v>
      </c>
      <c r="I248" s="18" t="str">
        <f ca="1">IFERROR(__xludf.DUMMYFUNCTION("""COMPUTED_VALUE"""),"N/A")</f>
        <v>N/A</v>
      </c>
      <c r="J248" s="18" t="str">
        <f ca="1">IFERROR(__xludf.DUMMYFUNCTION("""COMPUTED_VALUE"""),"N/A")</f>
        <v>N/A</v>
      </c>
      <c r="K248" s="18" t="str">
        <f ca="1">IFERROR(__xludf.DUMMYFUNCTION("""COMPUTED_VALUE"""),"N/A")</f>
        <v>N/A</v>
      </c>
      <c r="L248" s="18" t="str">
        <f ca="1">IFERROR(__xludf.DUMMYFUNCTION("""COMPUTED_VALUE"""),"5")</f>
        <v>5</v>
      </c>
      <c r="M248" s="18" t="str">
        <f ca="1">IFERROR(__xludf.DUMMYFUNCTION("""COMPUTED_VALUE"""),"1")</f>
        <v>1</v>
      </c>
      <c r="N248" s="18" t="str">
        <f ca="1">IFERROR(__xludf.DUMMYFUNCTION("""COMPUTED_VALUE"""),"N/A")</f>
        <v>N/A</v>
      </c>
      <c r="O248" s="18" t="str">
        <f ca="1">IFERROR(__xludf.DUMMYFUNCTION("""COMPUTED_VALUE"""),"N/A")</f>
        <v>N/A</v>
      </c>
      <c r="P248" s="18" t="str">
        <f ca="1">IFERROR(__xludf.DUMMYFUNCTION("""COMPUTED_VALUE"""),"N/A")</f>
        <v>N/A</v>
      </c>
      <c r="Q248" s="18" t="str">
        <f ca="1">IFERROR(__xludf.DUMMYFUNCTION("""COMPUTED_VALUE"""),"N/A")</f>
        <v>N/A</v>
      </c>
      <c r="R248" s="18" t="str">
        <f ca="1">IFERROR(__xludf.DUMMYFUNCTION("""COMPUTED_VALUE"""),"2")</f>
        <v>2</v>
      </c>
      <c r="S248" s="18" t="str">
        <f ca="1">IFERROR(__xludf.DUMMYFUNCTION("""COMPUTED_VALUE"""),"0")</f>
        <v>0</v>
      </c>
      <c r="T248" s="18" t="str">
        <f ca="1">IFERROR(__xludf.DUMMYFUNCTION("""COMPUTED_VALUE"""),"0xF183")</f>
        <v>0xF183</v>
      </c>
      <c r="U248" s="18" t="str">
        <f ca="1">IFERROR(__xludf.DUMMYFUNCTION("""COMPUTED_VALUE"""),"0x0A")</f>
        <v>0x0A</v>
      </c>
      <c r="V248" s="18" t="str">
        <f ca="1">IFERROR(__xludf.DUMMYFUNCTION("""COMPUTED_VALUE"""),"0x0104")</f>
        <v>0x0104</v>
      </c>
      <c r="W248" s="18" t="str">
        <f ca="1">IFERROR(__xludf.DUMMYFUNCTION("""COMPUTED_VALUE"""),"0x0201")</f>
        <v>0x0201</v>
      </c>
      <c r="X248" s="18" t="str">
        <f ca="1">IFERROR(__xludf.DUMMYFUNCTION("""COMPUTED_VALUE"""),"0x21")</f>
        <v>0x21</v>
      </c>
      <c r="Y248" s="18" t="e">
        <f ca="1"/>
        <v>#NAME?</v>
      </c>
      <c r="Z248" s="18" t="str">
        <f ca="1">IFERROR(__xludf.DUMMYFUNCTION("""COMPUTED_VALUE"""),"lambdax:int(round(x,2)*100)")</f>
        <v>lambdax:int(round(x,2)*100)</v>
      </c>
      <c r="AA248" s="18" t="str">
        <f ca="1">IFERROR(__xludf.DUMMYFUNCTION("""COMPUTED_VALUE"""),"lambdax:x/100")</f>
        <v>lambdax:x/100</v>
      </c>
      <c r="AC248" s="59" t="s">
        <v>1437</v>
      </c>
      <c r="AD248" s="59" t="s">
        <v>1437</v>
      </c>
      <c r="AE248" s="59" t="s">
        <v>1382</v>
      </c>
      <c r="AF248" s="59" t="s">
        <v>1392</v>
      </c>
      <c r="AG248" s="59" t="s">
        <v>1392</v>
      </c>
      <c r="AH248" s="59" t="s">
        <v>1374</v>
      </c>
      <c r="AI248" s="59" t="s">
        <v>1379</v>
      </c>
      <c r="AJ248" s="59" t="s">
        <v>1379</v>
      </c>
      <c r="AK248" s="59" t="s">
        <v>1428</v>
      </c>
      <c r="AL248" s="59" t="s">
        <v>1435</v>
      </c>
      <c r="AM248" s="59" t="s">
        <v>1435</v>
      </c>
      <c r="AN248" s="59" t="s">
        <v>1441</v>
      </c>
      <c r="AO248" s="59" t="s">
        <v>1461</v>
      </c>
      <c r="AP248" s="59" t="s">
        <v>1462</v>
      </c>
      <c r="AQ248" s="59"/>
      <c r="AR248" s="59"/>
      <c r="AS248" s="59"/>
      <c r="AT248" s="59"/>
    </row>
    <row r="249" spans="1:46" x14ac:dyDescent="0.25">
      <c r="A249" s="18" t="str">
        <v>relay_4_load_temperature_compensation:{"type":"attribute","data_type":"float","is_readonly":false,"reporting_type":"polled","poll_freq":86400,"max":5,"min":1,"decimal_places":2,"default_value":0,"zigbee_metadata":{"attr_id":61828,"endpoint_id":10,"profile_id":260,"cluster_id":513,"zcl_data_type":33,"write_formatter":"lambdax:int(round(x,2)*100)","read_formatter":"lambdax:x/100"}},</v>
      </c>
      <c r="B249" s="52" t="str">
        <f ca="1"/>
        <v>0x0201 0xF184</v>
      </c>
      <c r="C249" s="52" t="str">
        <f ca="1">IFERROR(__xludf.DUMMYFUNCTION("""COMPUTED_VALUE"""),"relay_4_load_temperature_compensation")</f>
        <v>relay_4_load_temperature_compensation</v>
      </c>
      <c r="D249" s="18" t="str">
        <f ca="1">IFERROR(__xludf.DUMMYFUNCTION("""COMPUTED_VALUE"""),"attribute")</f>
        <v>attribute</v>
      </c>
      <c r="E249" s="18" t="str">
        <f ca="1">IFERROR(__xludf.DUMMYFUNCTION("""COMPUTED_VALUE"""),"float")</f>
        <v>float</v>
      </c>
      <c r="F249" s="18" t="str">
        <f ca="1">IFERROR(__xludf.DUMMYFUNCTION("""COMPUTED_VALUE"""),"false")</f>
        <v>false</v>
      </c>
      <c r="G249" s="18" t="str">
        <f ca="1">IFERROR(__xludf.DUMMYFUNCTION("""COMPUTED_VALUE"""),"polled")</f>
        <v>polled</v>
      </c>
      <c r="H249" s="18" t="str">
        <f ca="1">IFERROR(__xludf.DUMMYFUNCTION("""COMPUTED_VALUE"""),"86400")</f>
        <v>86400</v>
      </c>
      <c r="I249" s="18" t="str">
        <f ca="1">IFERROR(__xludf.DUMMYFUNCTION("""COMPUTED_VALUE"""),"N/A")</f>
        <v>N/A</v>
      </c>
      <c r="J249" s="18" t="str">
        <f ca="1">IFERROR(__xludf.DUMMYFUNCTION("""COMPUTED_VALUE"""),"N/A")</f>
        <v>N/A</v>
      </c>
      <c r="K249" s="18" t="str">
        <f ca="1">IFERROR(__xludf.DUMMYFUNCTION("""COMPUTED_VALUE"""),"N/A")</f>
        <v>N/A</v>
      </c>
      <c r="L249" s="18" t="str">
        <f ca="1">IFERROR(__xludf.DUMMYFUNCTION("""COMPUTED_VALUE"""),"5")</f>
        <v>5</v>
      </c>
      <c r="M249" s="18" t="str">
        <f ca="1">IFERROR(__xludf.DUMMYFUNCTION("""COMPUTED_VALUE"""),"1")</f>
        <v>1</v>
      </c>
      <c r="N249" s="18" t="str">
        <f ca="1">IFERROR(__xludf.DUMMYFUNCTION("""COMPUTED_VALUE"""),"N/A")</f>
        <v>N/A</v>
      </c>
      <c r="O249" s="18" t="str">
        <f ca="1">IFERROR(__xludf.DUMMYFUNCTION("""COMPUTED_VALUE"""),"N/A")</f>
        <v>N/A</v>
      </c>
      <c r="P249" s="18" t="str">
        <f ca="1">IFERROR(__xludf.DUMMYFUNCTION("""COMPUTED_VALUE"""),"N/A")</f>
        <v>N/A</v>
      </c>
      <c r="Q249" s="18" t="str">
        <f ca="1">IFERROR(__xludf.DUMMYFUNCTION("""COMPUTED_VALUE"""),"N/A")</f>
        <v>N/A</v>
      </c>
      <c r="R249" s="18" t="str">
        <f ca="1">IFERROR(__xludf.DUMMYFUNCTION("""COMPUTED_VALUE"""),"2")</f>
        <v>2</v>
      </c>
      <c r="S249" s="18" t="str">
        <f ca="1">IFERROR(__xludf.DUMMYFUNCTION("""COMPUTED_VALUE"""),"0")</f>
        <v>0</v>
      </c>
      <c r="T249" s="18" t="str">
        <f ca="1">IFERROR(__xludf.DUMMYFUNCTION("""COMPUTED_VALUE"""),"0xF184")</f>
        <v>0xF184</v>
      </c>
      <c r="U249" s="18" t="str">
        <f ca="1">IFERROR(__xludf.DUMMYFUNCTION("""COMPUTED_VALUE"""),"0x0A")</f>
        <v>0x0A</v>
      </c>
      <c r="V249" s="18" t="str">
        <f ca="1">IFERROR(__xludf.DUMMYFUNCTION("""COMPUTED_VALUE"""),"0x0104")</f>
        <v>0x0104</v>
      </c>
      <c r="W249" s="18" t="str">
        <f ca="1">IFERROR(__xludf.DUMMYFUNCTION("""COMPUTED_VALUE"""),"0x0201")</f>
        <v>0x0201</v>
      </c>
      <c r="X249" s="18" t="str">
        <f ca="1">IFERROR(__xludf.DUMMYFUNCTION("""COMPUTED_VALUE"""),"0x21")</f>
        <v>0x21</v>
      </c>
      <c r="Y249" s="18" t="e">
        <f ca="1"/>
        <v>#NAME?</v>
      </c>
      <c r="Z249" s="18" t="str">
        <f ca="1">IFERROR(__xludf.DUMMYFUNCTION("""COMPUTED_VALUE"""),"lambdax:int(round(x,2)*100)")</f>
        <v>lambdax:int(round(x,2)*100)</v>
      </c>
      <c r="AA249" s="18" t="str">
        <f ca="1">IFERROR(__xludf.DUMMYFUNCTION("""COMPUTED_VALUE"""),"lambdax:x/100")</f>
        <v>lambdax:x/100</v>
      </c>
      <c r="AC249" s="59" t="s">
        <v>1440</v>
      </c>
      <c r="AD249" s="59" t="s">
        <v>1440</v>
      </c>
      <c r="AE249" s="59" t="s">
        <v>1387</v>
      </c>
      <c r="AF249" s="59" t="s">
        <v>1397</v>
      </c>
      <c r="AG249" s="59" t="s">
        <v>1397</v>
      </c>
      <c r="AH249" s="59" t="s">
        <v>1379</v>
      </c>
      <c r="AI249" s="59" t="s">
        <v>1421</v>
      </c>
      <c r="AJ249" s="59" t="s">
        <v>1421</v>
      </c>
      <c r="AK249" s="59" t="s">
        <v>1398</v>
      </c>
      <c r="AL249" s="59" t="s">
        <v>1438</v>
      </c>
      <c r="AM249" s="59" t="s">
        <v>1438</v>
      </c>
      <c r="AN249" s="59" t="s">
        <v>1444</v>
      </c>
      <c r="AO249" s="59" t="s">
        <v>1463</v>
      </c>
      <c r="AP249" s="59" t="s">
        <v>1464</v>
      </c>
      <c r="AQ249" s="59"/>
      <c r="AR249" s="59"/>
      <c r="AS249" s="59"/>
      <c r="AT249" s="59"/>
    </row>
    <row r="250" spans="1:46" x14ac:dyDescent="0.25">
      <c r="A250" s="18" t="str">
        <v>relay_5_load_temperature_compensation:{"type":"attribute","data_type":"float","is_readonly":false,"reporting_type":"polled","poll_freq":86400,"max":5,"min":1,"decimal_places":2,"default_value":0,"zigbee_metadata":{"attr_id":61829,"endpoint_id":10,"profile_id":260,"cluster_id":513,"zcl_data_type":33,"write_formatter":"lambdax:int(round(x,2)*100)","read_formatter":"lambdax:x/100"}},</v>
      </c>
      <c r="B250" s="52" t="str">
        <f ca="1"/>
        <v>0x0201 0xF185</v>
      </c>
      <c r="C250" s="52" t="str">
        <f ca="1">IFERROR(__xludf.DUMMYFUNCTION("""COMPUTED_VALUE"""),"relay_5_load_temperature_compensation")</f>
        <v>relay_5_load_temperature_compensation</v>
      </c>
      <c r="D250" s="18" t="str">
        <f ca="1">IFERROR(__xludf.DUMMYFUNCTION("""COMPUTED_VALUE"""),"attribute")</f>
        <v>attribute</v>
      </c>
      <c r="E250" s="18" t="str">
        <f ca="1">IFERROR(__xludf.DUMMYFUNCTION("""COMPUTED_VALUE"""),"float")</f>
        <v>float</v>
      </c>
      <c r="F250" s="18" t="str">
        <f ca="1">IFERROR(__xludf.DUMMYFUNCTION("""COMPUTED_VALUE"""),"false")</f>
        <v>false</v>
      </c>
      <c r="G250" s="18" t="str">
        <f ca="1">IFERROR(__xludf.DUMMYFUNCTION("""COMPUTED_VALUE"""),"polled")</f>
        <v>polled</v>
      </c>
      <c r="H250" s="18" t="str">
        <f ca="1">IFERROR(__xludf.DUMMYFUNCTION("""COMPUTED_VALUE"""),"86400")</f>
        <v>86400</v>
      </c>
      <c r="I250" s="18" t="str">
        <f ca="1">IFERROR(__xludf.DUMMYFUNCTION("""COMPUTED_VALUE"""),"N/A")</f>
        <v>N/A</v>
      </c>
      <c r="J250" s="18" t="str">
        <f ca="1">IFERROR(__xludf.DUMMYFUNCTION("""COMPUTED_VALUE"""),"N/A")</f>
        <v>N/A</v>
      </c>
      <c r="K250" s="18" t="str">
        <f ca="1">IFERROR(__xludf.DUMMYFUNCTION("""COMPUTED_VALUE"""),"N/A")</f>
        <v>N/A</v>
      </c>
      <c r="L250" s="18" t="str">
        <f ca="1">IFERROR(__xludf.DUMMYFUNCTION("""COMPUTED_VALUE"""),"5")</f>
        <v>5</v>
      </c>
      <c r="M250" s="18" t="str">
        <f ca="1">IFERROR(__xludf.DUMMYFUNCTION("""COMPUTED_VALUE"""),"1")</f>
        <v>1</v>
      </c>
      <c r="N250" s="18" t="str">
        <f ca="1">IFERROR(__xludf.DUMMYFUNCTION("""COMPUTED_VALUE"""),"N/A")</f>
        <v>N/A</v>
      </c>
      <c r="O250" s="18" t="str">
        <f ca="1">IFERROR(__xludf.DUMMYFUNCTION("""COMPUTED_VALUE"""),"N/A")</f>
        <v>N/A</v>
      </c>
      <c r="P250" s="18" t="str">
        <f ca="1">IFERROR(__xludf.DUMMYFUNCTION("""COMPUTED_VALUE"""),"N/A")</f>
        <v>N/A</v>
      </c>
      <c r="Q250" s="18" t="str">
        <f ca="1">IFERROR(__xludf.DUMMYFUNCTION("""COMPUTED_VALUE"""),"N/A")</f>
        <v>N/A</v>
      </c>
      <c r="R250" s="18" t="str">
        <f ca="1">IFERROR(__xludf.DUMMYFUNCTION("""COMPUTED_VALUE"""),"2")</f>
        <v>2</v>
      </c>
      <c r="S250" s="18" t="str">
        <f ca="1">IFERROR(__xludf.DUMMYFUNCTION("""COMPUTED_VALUE"""),"0")</f>
        <v>0</v>
      </c>
      <c r="T250" s="18" t="str">
        <f ca="1">IFERROR(__xludf.DUMMYFUNCTION("""COMPUTED_VALUE"""),"0xF185")</f>
        <v>0xF185</v>
      </c>
      <c r="U250" s="18" t="str">
        <f ca="1">IFERROR(__xludf.DUMMYFUNCTION("""COMPUTED_VALUE"""),"0x0A")</f>
        <v>0x0A</v>
      </c>
      <c r="V250" s="18" t="str">
        <f ca="1">IFERROR(__xludf.DUMMYFUNCTION("""COMPUTED_VALUE"""),"0x0104")</f>
        <v>0x0104</v>
      </c>
      <c r="W250" s="18" t="str">
        <f ca="1">IFERROR(__xludf.DUMMYFUNCTION("""COMPUTED_VALUE"""),"0x0201")</f>
        <v>0x0201</v>
      </c>
      <c r="X250" s="18" t="str">
        <f ca="1">IFERROR(__xludf.DUMMYFUNCTION("""COMPUTED_VALUE"""),"0x21")</f>
        <v>0x21</v>
      </c>
      <c r="Y250" s="18" t="e">
        <f ca="1"/>
        <v>#NAME?</v>
      </c>
      <c r="Z250" s="18" t="str">
        <f ca="1">IFERROR(__xludf.DUMMYFUNCTION("""COMPUTED_VALUE"""),"lambdax:int(round(x,2)*100)")</f>
        <v>lambdax:int(round(x,2)*100)</v>
      </c>
      <c r="AA250" s="18" t="str">
        <f ca="1">IFERROR(__xludf.DUMMYFUNCTION("""COMPUTED_VALUE"""),"lambdax:x/100")</f>
        <v>lambdax:x/100</v>
      </c>
      <c r="AC250" s="59" t="s">
        <v>1443</v>
      </c>
      <c r="AD250" s="59" t="s">
        <v>1443</v>
      </c>
      <c r="AE250" s="59" t="s">
        <v>1392</v>
      </c>
      <c r="AF250" s="59" t="s">
        <v>1446</v>
      </c>
      <c r="AG250" s="59" t="s">
        <v>1446</v>
      </c>
      <c r="AH250" s="59" t="s">
        <v>1421</v>
      </c>
      <c r="AI250" s="59" t="s">
        <v>1388</v>
      </c>
      <c r="AJ250" s="59" t="s">
        <v>1388</v>
      </c>
      <c r="AK250" s="59" t="s">
        <v>1402</v>
      </c>
      <c r="AL250" s="59" t="s">
        <v>1441</v>
      </c>
      <c r="AM250" s="59" t="s">
        <v>1441</v>
      </c>
      <c r="AN250" s="59" t="s">
        <v>1447</v>
      </c>
      <c r="AO250" s="59" t="s">
        <v>1465</v>
      </c>
      <c r="AP250" s="59" t="s">
        <v>1466</v>
      </c>
      <c r="AQ250" s="59"/>
      <c r="AR250" s="59"/>
      <c r="AS250" s="59"/>
      <c r="AT250" s="59"/>
    </row>
    <row r="251" spans="1:46" x14ac:dyDescent="0.25">
      <c r="A251" s="18" t="str">
        <v>relay_6_load_temperature_compensation:{"type":"attribute","data_type":"float","is_readonly":false,"reporting_type":"polled","poll_freq":86400,"max":5,"min":1,"decimal_places":2,"default_value":0,"zigbee_metadata":{"attr_id":61830,"endpoint_id":10,"profile_id":260,"cluster_id":513,"zcl_data_type":33,"write_formatter":"lambdax:int(round(x,2)*100)","read_formatter":"lambdax:x/100"}},</v>
      </c>
      <c r="B251" s="52" t="str">
        <f ca="1"/>
        <v>0x0201 0xF186</v>
      </c>
      <c r="C251" s="52" t="str">
        <f ca="1">IFERROR(__xludf.DUMMYFUNCTION("""COMPUTED_VALUE"""),"relay_6_load_temperature_compensation")</f>
        <v>relay_6_load_temperature_compensation</v>
      </c>
      <c r="D251" s="18" t="str">
        <f ca="1">IFERROR(__xludf.DUMMYFUNCTION("""COMPUTED_VALUE"""),"attribute")</f>
        <v>attribute</v>
      </c>
      <c r="E251" s="18" t="str">
        <f ca="1">IFERROR(__xludf.DUMMYFUNCTION("""COMPUTED_VALUE"""),"float")</f>
        <v>float</v>
      </c>
      <c r="F251" s="18" t="str">
        <f ca="1">IFERROR(__xludf.DUMMYFUNCTION("""COMPUTED_VALUE"""),"false")</f>
        <v>false</v>
      </c>
      <c r="G251" s="18" t="str">
        <f ca="1">IFERROR(__xludf.DUMMYFUNCTION("""COMPUTED_VALUE"""),"polled")</f>
        <v>polled</v>
      </c>
      <c r="H251" s="18" t="str">
        <f ca="1">IFERROR(__xludf.DUMMYFUNCTION("""COMPUTED_VALUE"""),"86400")</f>
        <v>86400</v>
      </c>
      <c r="I251" s="18" t="str">
        <f ca="1">IFERROR(__xludf.DUMMYFUNCTION("""COMPUTED_VALUE"""),"N/A")</f>
        <v>N/A</v>
      </c>
      <c r="J251" s="18" t="str">
        <f ca="1">IFERROR(__xludf.DUMMYFUNCTION("""COMPUTED_VALUE"""),"N/A")</f>
        <v>N/A</v>
      </c>
      <c r="K251" s="18" t="str">
        <f ca="1">IFERROR(__xludf.DUMMYFUNCTION("""COMPUTED_VALUE"""),"N/A")</f>
        <v>N/A</v>
      </c>
      <c r="L251" s="18" t="str">
        <f ca="1">IFERROR(__xludf.DUMMYFUNCTION("""COMPUTED_VALUE"""),"5")</f>
        <v>5</v>
      </c>
      <c r="M251" s="18" t="str">
        <f ca="1">IFERROR(__xludf.DUMMYFUNCTION("""COMPUTED_VALUE"""),"1")</f>
        <v>1</v>
      </c>
      <c r="N251" s="18" t="str">
        <f ca="1">IFERROR(__xludf.DUMMYFUNCTION("""COMPUTED_VALUE"""),"N/A")</f>
        <v>N/A</v>
      </c>
      <c r="O251" s="18" t="str">
        <f ca="1">IFERROR(__xludf.DUMMYFUNCTION("""COMPUTED_VALUE"""),"N/A")</f>
        <v>N/A</v>
      </c>
      <c r="P251" s="18" t="str">
        <f ca="1">IFERROR(__xludf.DUMMYFUNCTION("""COMPUTED_VALUE"""),"N/A")</f>
        <v>N/A</v>
      </c>
      <c r="Q251" s="18" t="str">
        <f ca="1">IFERROR(__xludf.DUMMYFUNCTION("""COMPUTED_VALUE"""),"N/A")</f>
        <v>N/A</v>
      </c>
      <c r="R251" s="18" t="str">
        <f ca="1">IFERROR(__xludf.DUMMYFUNCTION("""COMPUTED_VALUE"""),"2")</f>
        <v>2</v>
      </c>
      <c r="S251" s="18" t="str">
        <f ca="1">IFERROR(__xludf.DUMMYFUNCTION("""COMPUTED_VALUE"""),"0")</f>
        <v>0</v>
      </c>
      <c r="T251" s="18" t="str">
        <f ca="1">IFERROR(__xludf.DUMMYFUNCTION("""COMPUTED_VALUE"""),"0xF186")</f>
        <v>0xF186</v>
      </c>
      <c r="U251" s="18" t="str">
        <f ca="1">IFERROR(__xludf.DUMMYFUNCTION("""COMPUTED_VALUE"""),"0x0A")</f>
        <v>0x0A</v>
      </c>
      <c r="V251" s="18" t="str">
        <f ca="1">IFERROR(__xludf.DUMMYFUNCTION("""COMPUTED_VALUE"""),"0x0104")</f>
        <v>0x0104</v>
      </c>
      <c r="W251" s="18" t="str">
        <f ca="1">IFERROR(__xludf.DUMMYFUNCTION("""COMPUTED_VALUE"""),"0x0201")</f>
        <v>0x0201</v>
      </c>
      <c r="X251" s="18" t="str">
        <f ca="1">IFERROR(__xludf.DUMMYFUNCTION("""COMPUTED_VALUE"""),"0x21")</f>
        <v>0x21</v>
      </c>
      <c r="Y251" s="18" t="e">
        <f ca="1"/>
        <v>#NAME?</v>
      </c>
      <c r="Z251" s="18" t="str">
        <f ca="1">IFERROR(__xludf.DUMMYFUNCTION("""COMPUTED_VALUE"""),"lambdax:int(round(x,2)*100)")</f>
        <v>lambdax:int(round(x,2)*100)</v>
      </c>
      <c r="AA251" s="18" t="str">
        <f ca="1">IFERROR(__xludf.DUMMYFUNCTION("""COMPUTED_VALUE"""),"lambdax:x/100")</f>
        <v>lambdax:x/100</v>
      </c>
      <c r="AC251" s="59" t="s">
        <v>1467</v>
      </c>
      <c r="AD251" s="59" t="s">
        <v>1364</v>
      </c>
      <c r="AE251" s="59" t="s">
        <v>1397</v>
      </c>
      <c r="AF251" s="59" t="s">
        <v>1449</v>
      </c>
      <c r="AG251" s="59" t="s">
        <v>1449</v>
      </c>
      <c r="AH251" s="59" t="s">
        <v>1388</v>
      </c>
      <c r="AI251" s="59" t="s">
        <v>1428</v>
      </c>
      <c r="AJ251" s="59" t="s">
        <v>1428</v>
      </c>
      <c r="AK251" s="59" t="s">
        <v>1406</v>
      </c>
      <c r="AL251" s="59" t="s">
        <v>1444</v>
      </c>
      <c r="AM251" s="59" t="s">
        <v>1444</v>
      </c>
      <c r="AN251" s="59" t="s">
        <v>1450</v>
      </c>
      <c r="AO251" s="59" t="s">
        <v>1468</v>
      </c>
      <c r="AP251" s="59" t="s">
        <v>1469</v>
      </c>
      <c r="AQ251" s="59"/>
      <c r="AR251" s="59"/>
      <c r="AS251" s="59"/>
      <c r="AT251" s="59"/>
    </row>
    <row r="252" spans="1:46" x14ac:dyDescent="0.25">
      <c r="A252" s="18" t="str">
        <v>relay_7_load_temperature_compensation:{"type":"attribute","data_type":"float","is_readonly":false,"reporting_type":"polled","poll_freq":86400,"max":5,"min":1,"decimal_places":2,"default_value":0,"zigbee_metadata":{"attr_id":61831,"endpoint_id":10,"profile_id":260,"cluster_id":513,"zcl_data_type":33,"write_formatter":"lambdax:int(round(x,2)*100)","read_formatter":"lambdax:x/100"}},</v>
      </c>
      <c r="B252" s="52" t="str">
        <f ca="1"/>
        <v>0x0201 0xF187</v>
      </c>
      <c r="C252" s="52" t="str">
        <f ca="1">IFERROR(__xludf.DUMMYFUNCTION("""COMPUTED_VALUE"""),"relay_7_load_temperature_compensation")</f>
        <v>relay_7_load_temperature_compensation</v>
      </c>
      <c r="D252" s="18" t="str">
        <f ca="1">IFERROR(__xludf.DUMMYFUNCTION("""COMPUTED_VALUE"""),"attribute")</f>
        <v>attribute</v>
      </c>
      <c r="E252" s="18" t="str">
        <f ca="1">IFERROR(__xludf.DUMMYFUNCTION("""COMPUTED_VALUE"""),"float")</f>
        <v>float</v>
      </c>
      <c r="F252" s="18" t="str">
        <f ca="1">IFERROR(__xludf.DUMMYFUNCTION("""COMPUTED_VALUE"""),"false")</f>
        <v>false</v>
      </c>
      <c r="G252" s="18" t="str">
        <f ca="1">IFERROR(__xludf.DUMMYFUNCTION("""COMPUTED_VALUE"""),"polled")</f>
        <v>polled</v>
      </c>
      <c r="H252" s="18" t="str">
        <f ca="1">IFERROR(__xludf.DUMMYFUNCTION("""COMPUTED_VALUE"""),"86400")</f>
        <v>86400</v>
      </c>
      <c r="I252" s="18" t="str">
        <f ca="1">IFERROR(__xludf.DUMMYFUNCTION("""COMPUTED_VALUE"""),"N/A")</f>
        <v>N/A</v>
      </c>
      <c r="J252" s="18" t="str">
        <f ca="1">IFERROR(__xludf.DUMMYFUNCTION("""COMPUTED_VALUE"""),"N/A")</f>
        <v>N/A</v>
      </c>
      <c r="K252" s="18" t="str">
        <f ca="1">IFERROR(__xludf.DUMMYFUNCTION("""COMPUTED_VALUE"""),"N/A")</f>
        <v>N/A</v>
      </c>
      <c r="L252" s="18" t="str">
        <f ca="1">IFERROR(__xludf.DUMMYFUNCTION("""COMPUTED_VALUE"""),"5")</f>
        <v>5</v>
      </c>
      <c r="M252" s="18" t="str">
        <f ca="1">IFERROR(__xludf.DUMMYFUNCTION("""COMPUTED_VALUE"""),"1")</f>
        <v>1</v>
      </c>
      <c r="N252" s="18" t="str">
        <f ca="1">IFERROR(__xludf.DUMMYFUNCTION("""COMPUTED_VALUE"""),"N/A")</f>
        <v>N/A</v>
      </c>
      <c r="O252" s="18" t="str">
        <f ca="1">IFERROR(__xludf.DUMMYFUNCTION("""COMPUTED_VALUE"""),"N/A")</f>
        <v>N/A</v>
      </c>
      <c r="P252" s="18" t="str">
        <f ca="1">IFERROR(__xludf.DUMMYFUNCTION("""COMPUTED_VALUE"""),"N/A")</f>
        <v>N/A</v>
      </c>
      <c r="Q252" s="18" t="str">
        <f ca="1">IFERROR(__xludf.DUMMYFUNCTION("""COMPUTED_VALUE"""),"N/A")</f>
        <v>N/A</v>
      </c>
      <c r="R252" s="18" t="str">
        <f ca="1">IFERROR(__xludf.DUMMYFUNCTION("""COMPUTED_VALUE"""),"2")</f>
        <v>2</v>
      </c>
      <c r="S252" s="18" t="str">
        <f ca="1">IFERROR(__xludf.DUMMYFUNCTION("""COMPUTED_VALUE"""),"0")</f>
        <v>0</v>
      </c>
      <c r="T252" s="18" t="str">
        <f ca="1">IFERROR(__xludf.DUMMYFUNCTION("""COMPUTED_VALUE"""),"0xF187")</f>
        <v>0xF187</v>
      </c>
      <c r="U252" s="18" t="str">
        <f ca="1">IFERROR(__xludf.DUMMYFUNCTION("""COMPUTED_VALUE"""),"0x0A")</f>
        <v>0x0A</v>
      </c>
      <c r="V252" s="18" t="str">
        <f ca="1">IFERROR(__xludf.DUMMYFUNCTION("""COMPUTED_VALUE"""),"0x0104")</f>
        <v>0x0104</v>
      </c>
      <c r="W252" s="18" t="str">
        <f ca="1">IFERROR(__xludf.DUMMYFUNCTION("""COMPUTED_VALUE"""),"0x0201")</f>
        <v>0x0201</v>
      </c>
      <c r="X252" s="18" t="str">
        <f ca="1">IFERROR(__xludf.DUMMYFUNCTION("""COMPUTED_VALUE"""),"0x21")</f>
        <v>0x21</v>
      </c>
      <c r="Y252" s="18" t="e">
        <f ca="1"/>
        <v>#NAME?</v>
      </c>
      <c r="Z252" s="18" t="str">
        <f ca="1">IFERROR(__xludf.DUMMYFUNCTION("""COMPUTED_VALUE"""),"lambdax:int(round(x,2)*100)")</f>
        <v>lambdax:int(round(x,2)*100)</v>
      </c>
      <c r="AA252" s="18" t="str">
        <f ca="1">IFERROR(__xludf.DUMMYFUNCTION("""COMPUTED_VALUE"""),"lambdax:x/100")</f>
        <v>lambdax:x/100</v>
      </c>
      <c r="AC252" s="59" t="s">
        <v>1470</v>
      </c>
      <c r="AD252" s="59" t="s">
        <v>1368</v>
      </c>
      <c r="AE252" s="59" t="s">
        <v>1446</v>
      </c>
      <c r="AF252" s="59" t="s">
        <v>1452</v>
      </c>
      <c r="AG252" s="59" t="s">
        <v>1452</v>
      </c>
      <c r="AH252" s="59" t="s">
        <v>1428</v>
      </c>
      <c r="AI252" s="59" t="s">
        <v>1398</v>
      </c>
      <c r="AJ252" s="59" t="s">
        <v>1398</v>
      </c>
      <c r="AK252" s="59" t="s">
        <v>1471</v>
      </c>
      <c r="AL252" s="59" t="s">
        <v>1447</v>
      </c>
      <c r="AM252" s="59" t="s">
        <v>1447</v>
      </c>
      <c r="AN252" s="59" t="s">
        <v>1453</v>
      </c>
      <c r="AO252" s="59" t="s">
        <v>1472</v>
      </c>
      <c r="AP252" s="59" t="s">
        <v>1473</v>
      </c>
      <c r="AQ252" s="59"/>
      <c r="AR252" s="59"/>
      <c r="AS252" s="59"/>
      <c r="AT252" s="59"/>
    </row>
    <row r="253" spans="1:46" x14ac:dyDescent="0.25">
      <c r="A253" s="18" t="str">
        <v>analog_output_setting_0:{"type":"attribute","data_type":"float","is_readonly":false,"reporting_type":"polled","poll_freq":86400,"default_value":0,"zigbee_metadata":{"attr_id":61856,"endpoint_id":10,"profile_id":260,"cluster_id":513,"zcl_data_type":32}},</v>
      </c>
      <c r="B253" s="52" t="str">
        <f ca="1"/>
        <v>0x0201 0xF1A0</v>
      </c>
      <c r="C253" s="52" t="str">
        <f ca="1">IFERROR(__xludf.DUMMYFUNCTION("""COMPUTED_VALUE"""),"analog_output_setting_0")</f>
        <v>analog_output_setting_0</v>
      </c>
      <c r="D253" s="18" t="str">
        <f ca="1">IFERROR(__xludf.DUMMYFUNCTION("""COMPUTED_VALUE"""),"attribute")</f>
        <v>attribute</v>
      </c>
      <c r="E253" s="18" t="str">
        <f ca="1">IFERROR(__xludf.DUMMYFUNCTION("""COMPUTED_VALUE"""),"float")</f>
        <v>float</v>
      </c>
      <c r="F253" s="18" t="str">
        <f ca="1">IFERROR(__xludf.DUMMYFUNCTION("""COMPUTED_VALUE"""),"false")</f>
        <v>false</v>
      </c>
      <c r="G253" s="18" t="str">
        <f ca="1">IFERROR(__xludf.DUMMYFUNCTION("""COMPUTED_VALUE"""),"polled")</f>
        <v>polled</v>
      </c>
      <c r="H253" s="18" t="str">
        <f ca="1">IFERROR(__xludf.DUMMYFUNCTION("""COMPUTED_VALUE"""),"86400")</f>
        <v>86400</v>
      </c>
      <c r="I253" s="18" t="str">
        <f ca="1">IFERROR(__xludf.DUMMYFUNCTION("""COMPUTED_VALUE"""),"N/A")</f>
        <v>N/A</v>
      </c>
      <c r="J253" s="18" t="str">
        <f ca="1">IFERROR(__xludf.DUMMYFUNCTION("""COMPUTED_VALUE"""),"N/A")</f>
        <v>N/A</v>
      </c>
      <c r="K253" s="18" t="str">
        <f ca="1">IFERROR(__xludf.DUMMYFUNCTION("""COMPUTED_VALUE"""),"N/A")</f>
        <v>N/A</v>
      </c>
      <c r="L253" s="18" t="str">
        <f ca="1">IFERROR(__xludf.DUMMYFUNCTION("""COMPUTED_VALUE"""),"N/A")</f>
        <v>N/A</v>
      </c>
      <c r="M253" s="18" t="str">
        <f ca="1">IFERROR(__xludf.DUMMYFUNCTION("""COMPUTED_VALUE"""),"N/A")</f>
        <v>N/A</v>
      </c>
      <c r="N253" s="18" t="str">
        <f ca="1">IFERROR(__xludf.DUMMYFUNCTION("""COMPUTED_VALUE"""),"N/A")</f>
        <v>N/A</v>
      </c>
      <c r="O253" s="18" t="str">
        <f ca="1">IFERROR(__xludf.DUMMYFUNCTION("""COMPUTED_VALUE"""),"N/A")</f>
        <v>N/A</v>
      </c>
      <c r="P253" s="18" t="str">
        <f ca="1">IFERROR(__xludf.DUMMYFUNCTION("""COMPUTED_VALUE"""),"N/A")</f>
        <v>N/A</v>
      </c>
      <c r="Q253" s="18" t="str">
        <f ca="1">IFERROR(__xludf.DUMMYFUNCTION("""COMPUTED_VALUE"""),"N/A")</f>
        <v>N/A</v>
      </c>
      <c r="R253" s="18" t="str">
        <f ca="1">IFERROR(__xludf.DUMMYFUNCTION("""COMPUTED_VALUE"""),"N/A")</f>
        <v>N/A</v>
      </c>
      <c r="S253" s="18" t="str">
        <f ca="1">IFERROR(__xludf.DUMMYFUNCTION("""COMPUTED_VALUE"""),"0")</f>
        <v>0</v>
      </c>
      <c r="T253" s="18" t="str">
        <f ca="1">IFERROR(__xludf.DUMMYFUNCTION("""COMPUTED_VALUE"""),"0xF1A0")</f>
        <v>0xF1A0</v>
      </c>
      <c r="U253" s="18" t="str">
        <f ca="1">IFERROR(__xludf.DUMMYFUNCTION("""COMPUTED_VALUE"""),"0x0A")</f>
        <v>0x0A</v>
      </c>
      <c r="V253" s="18" t="str">
        <f ca="1">IFERROR(__xludf.DUMMYFUNCTION("""COMPUTED_VALUE"""),"0x0104")</f>
        <v>0x0104</v>
      </c>
      <c r="W253" s="18" t="str">
        <f ca="1">IFERROR(__xludf.DUMMYFUNCTION("""COMPUTED_VALUE"""),"0x0201")</f>
        <v>0x0201</v>
      </c>
      <c r="X253" s="18" t="str">
        <f ca="1">IFERROR(__xludf.DUMMYFUNCTION("""COMPUTED_VALUE"""),"0x20")</f>
        <v>0x20</v>
      </c>
      <c r="Y253" s="18" t="e">
        <f ca="1"/>
        <v>#NAME?</v>
      </c>
      <c r="Z253" s="18" t="str">
        <f ca="1">IFERROR(__xludf.DUMMYFUNCTION("""COMPUTED_VALUE"""),"N/A")</f>
        <v>N/A</v>
      </c>
      <c r="AA253" s="18" t="str">
        <f ca="1">IFERROR(__xludf.DUMMYFUNCTION("""COMPUTED_VALUE"""),"N/A")</f>
        <v>N/A</v>
      </c>
      <c r="AC253" s="59" t="s">
        <v>1474</v>
      </c>
      <c r="AD253" s="59" t="s">
        <v>1373</v>
      </c>
      <c r="AE253" s="59" t="s">
        <v>1449</v>
      </c>
      <c r="AF253" s="59" t="s">
        <v>1475</v>
      </c>
      <c r="AG253" s="59" t="s">
        <v>1365</v>
      </c>
      <c r="AH253" s="59" t="s">
        <v>1398</v>
      </c>
      <c r="AI253" s="59" t="s">
        <v>1402</v>
      </c>
      <c r="AJ253" s="59" t="s">
        <v>1402</v>
      </c>
      <c r="AK253" s="59" t="s">
        <v>1476</v>
      </c>
      <c r="AL253" s="59" t="s">
        <v>1450</v>
      </c>
      <c r="AM253" s="59" t="s">
        <v>1450</v>
      </c>
      <c r="AN253" s="59" t="s">
        <v>1455</v>
      </c>
      <c r="AO253" s="59" t="s">
        <v>1477</v>
      </c>
      <c r="AP253" s="59" t="s">
        <v>1478</v>
      </c>
      <c r="AQ253" s="59"/>
      <c r="AR253" s="59"/>
      <c r="AS253" s="59"/>
      <c r="AT253" s="59"/>
    </row>
    <row r="254" spans="1:46" x14ac:dyDescent="0.25">
      <c r="A254" s="18" t="str">
        <v>analog_output_setting_1:{"type":"attribute","data_type":"float","is_readonly":false,"reporting_type":"polled","poll_freq":86400,"default_value":0,"zigbee_metadata":{"attr_id":61857,"endpoint_id":10,"profile_id":260,"cluster_id":513,"zcl_data_type":32}},</v>
      </c>
      <c r="B254" s="52" t="str">
        <f ca="1"/>
        <v>0x0201 0xF1A1</v>
      </c>
      <c r="C254" s="52" t="str">
        <f ca="1">IFERROR(__xludf.DUMMYFUNCTION("""COMPUTED_VALUE"""),"analog_output_setting_1")</f>
        <v>analog_output_setting_1</v>
      </c>
      <c r="D254" s="18" t="str">
        <f ca="1">IFERROR(__xludf.DUMMYFUNCTION("""COMPUTED_VALUE"""),"attribute")</f>
        <v>attribute</v>
      </c>
      <c r="E254" s="18" t="str">
        <f ca="1">IFERROR(__xludf.DUMMYFUNCTION("""COMPUTED_VALUE"""),"float")</f>
        <v>float</v>
      </c>
      <c r="F254" s="18" t="str">
        <f ca="1">IFERROR(__xludf.DUMMYFUNCTION("""COMPUTED_VALUE"""),"false")</f>
        <v>false</v>
      </c>
      <c r="G254" s="18" t="str">
        <f ca="1">IFERROR(__xludf.DUMMYFUNCTION("""COMPUTED_VALUE"""),"polled")</f>
        <v>polled</v>
      </c>
      <c r="H254" s="18" t="str">
        <f ca="1">IFERROR(__xludf.DUMMYFUNCTION("""COMPUTED_VALUE"""),"86400")</f>
        <v>86400</v>
      </c>
      <c r="I254" s="18" t="str">
        <f ca="1">IFERROR(__xludf.DUMMYFUNCTION("""COMPUTED_VALUE"""),"N/A")</f>
        <v>N/A</v>
      </c>
      <c r="J254" s="18" t="str">
        <f ca="1">IFERROR(__xludf.DUMMYFUNCTION("""COMPUTED_VALUE"""),"N/A")</f>
        <v>N/A</v>
      </c>
      <c r="K254" s="18" t="str">
        <f ca="1">IFERROR(__xludf.DUMMYFUNCTION("""COMPUTED_VALUE"""),"N/A")</f>
        <v>N/A</v>
      </c>
      <c r="L254" s="18" t="str">
        <f ca="1">IFERROR(__xludf.DUMMYFUNCTION("""COMPUTED_VALUE"""),"N/A")</f>
        <v>N/A</v>
      </c>
      <c r="M254" s="18" t="str">
        <f ca="1">IFERROR(__xludf.DUMMYFUNCTION("""COMPUTED_VALUE"""),"N/A")</f>
        <v>N/A</v>
      </c>
      <c r="N254" s="18" t="str">
        <f ca="1">IFERROR(__xludf.DUMMYFUNCTION("""COMPUTED_VALUE"""),"N/A")</f>
        <v>N/A</v>
      </c>
      <c r="O254" s="18" t="str">
        <f ca="1">IFERROR(__xludf.DUMMYFUNCTION("""COMPUTED_VALUE"""),"N/A")</f>
        <v>N/A</v>
      </c>
      <c r="P254" s="18" t="str">
        <f ca="1">IFERROR(__xludf.DUMMYFUNCTION("""COMPUTED_VALUE"""),"N/A")</f>
        <v>N/A</v>
      </c>
      <c r="Q254" s="18" t="str">
        <f ca="1">IFERROR(__xludf.DUMMYFUNCTION("""COMPUTED_VALUE"""),"N/A")</f>
        <v>N/A</v>
      </c>
      <c r="R254" s="18" t="str">
        <f ca="1">IFERROR(__xludf.DUMMYFUNCTION("""COMPUTED_VALUE"""),"N/A")</f>
        <v>N/A</v>
      </c>
      <c r="S254" s="18" t="str">
        <f ca="1">IFERROR(__xludf.DUMMYFUNCTION("""COMPUTED_VALUE"""),"0")</f>
        <v>0</v>
      </c>
      <c r="T254" s="18" t="str">
        <f ca="1">IFERROR(__xludf.DUMMYFUNCTION("""COMPUTED_VALUE"""),"0xF1A1")</f>
        <v>0xF1A1</v>
      </c>
      <c r="U254" s="18" t="str">
        <f ca="1">IFERROR(__xludf.DUMMYFUNCTION("""COMPUTED_VALUE"""),"0x0A")</f>
        <v>0x0A</v>
      </c>
      <c r="V254" s="18" t="str">
        <f ca="1">IFERROR(__xludf.DUMMYFUNCTION("""COMPUTED_VALUE"""),"0x0104")</f>
        <v>0x0104</v>
      </c>
      <c r="W254" s="18" t="str">
        <f ca="1">IFERROR(__xludf.DUMMYFUNCTION("""COMPUTED_VALUE"""),"0x0201")</f>
        <v>0x0201</v>
      </c>
      <c r="X254" s="18" t="str">
        <f ca="1">IFERROR(__xludf.DUMMYFUNCTION("""COMPUTED_VALUE"""),"0x20")</f>
        <v>0x20</v>
      </c>
      <c r="Y254" s="18" t="e">
        <f ca="1"/>
        <v>#NAME?</v>
      </c>
      <c r="Z254" s="18" t="str">
        <f ca="1">IFERROR(__xludf.DUMMYFUNCTION("""COMPUTED_VALUE"""),"N/A")</f>
        <v>N/A</v>
      </c>
      <c r="AA254" s="18" t="str">
        <f ca="1">IFERROR(__xludf.DUMMYFUNCTION("""COMPUTED_VALUE"""),"N/A")</f>
        <v>N/A</v>
      </c>
      <c r="AC254" s="59" t="s">
        <v>1479</v>
      </c>
      <c r="AD254" s="59" t="s">
        <v>1378</v>
      </c>
      <c r="AE254" s="59" t="s">
        <v>1452</v>
      </c>
      <c r="AF254" s="59" t="s">
        <v>1480</v>
      </c>
      <c r="AG254" s="59" t="s">
        <v>1369</v>
      </c>
      <c r="AH254" s="59" t="s">
        <v>1402</v>
      </c>
      <c r="AI254" s="59" t="s">
        <v>1406</v>
      </c>
      <c r="AJ254" s="59" t="s">
        <v>1406</v>
      </c>
      <c r="AK254" s="59" t="s">
        <v>1481</v>
      </c>
      <c r="AL254" s="59" t="s">
        <v>1453</v>
      </c>
      <c r="AM254" s="59" t="s">
        <v>1453</v>
      </c>
      <c r="AN254" s="59" t="s">
        <v>1457</v>
      </c>
      <c r="AO254" s="59" t="s">
        <v>1482</v>
      </c>
      <c r="AP254" s="59" t="s">
        <v>1483</v>
      </c>
      <c r="AQ254" s="59"/>
      <c r="AR254" s="59"/>
      <c r="AS254" s="59"/>
      <c r="AT254" s="59"/>
    </row>
    <row r="255" spans="1:46" x14ac:dyDescent="0.25">
      <c r="A255" s="18" t="str">
        <v>analog_output_setting_2:{"type":"attribute","data_type":"float","is_readonly":false,"reporting_type":"polled","poll_freq":86400,"default_value":0,"zigbee_metadata":{"attr_id":61858,"endpoint_id":10,"profile_id":260,"cluster_id":513,"zcl_data_type":32}},</v>
      </c>
      <c r="B255" s="52" t="str">
        <f ca="1"/>
        <v>0x0201 0xF1A2</v>
      </c>
      <c r="C255" s="52" t="str">
        <f ca="1">IFERROR(__xludf.DUMMYFUNCTION("""COMPUTED_VALUE"""),"analog_output_setting_2")</f>
        <v>analog_output_setting_2</v>
      </c>
      <c r="D255" s="18" t="str">
        <f ca="1">IFERROR(__xludf.DUMMYFUNCTION("""COMPUTED_VALUE"""),"attribute")</f>
        <v>attribute</v>
      </c>
      <c r="E255" s="18" t="str">
        <f ca="1">IFERROR(__xludf.DUMMYFUNCTION("""COMPUTED_VALUE"""),"float")</f>
        <v>float</v>
      </c>
      <c r="F255" s="18" t="str">
        <f ca="1">IFERROR(__xludf.DUMMYFUNCTION("""COMPUTED_VALUE"""),"false")</f>
        <v>false</v>
      </c>
      <c r="G255" s="18" t="str">
        <f ca="1">IFERROR(__xludf.DUMMYFUNCTION("""COMPUTED_VALUE"""),"polled")</f>
        <v>polled</v>
      </c>
      <c r="H255" s="18" t="str">
        <f ca="1">IFERROR(__xludf.DUMMYFUNCTION("""COMPUTED_VALUE"""),"86400")</f>
        <v>86400</v>
      </c>
      <c r="I255" s="18" t="str">
        <f ca="1">IFERROR(__xludf.DUMMYFUNCTION("""COMPUTED_VALUE"""),"N/A")</f>
        <v>N/A</v>
      </c>
      <c r="J255" s="18" t="str">
        <f ca="1">IFERROR(__xludf.DUMMYFUNCTION("""COMPUTED_VALUE"""),"N/A")</f>
        <v>N/A</v>
      </c>
      <c r="K255" s="18" t="str">
        <f ca="1">IFERROR(__xludf.DUMMYFUNCTION("""COMPUTED_VALUE"""),"N/A")</f>
        <v>N/A</v>
      </c>
      <c r="L255" s="18" t="str">
        <f ca="1">IFERROR(__xludf.DUMMYFUNCTION("""COMPUTED_VALUE"""),"N/A")</f>
        <v>N/A</v>
      </c>
      <c r="M255" s="18" t="str">
        <f ca="1">IFERROR(__xludf.DUMMYFUNCTION("""COMPUTED_VALUE"""),"N/A")</f>
        <v>N/A</v>
      </c>
      <c r="N255" s="18" t="str">
        <f ca="1">IFERROR(__xludf.DUMMYFUNCTION("""COMPUTED_VALUE"""),"N/A")</f>
        <v>N/A</v>
      </c>
      <c r="O255" s="18" t="str">
        <f ca="1">IFERROR(__xludf.DUMMYFUNCTION("""COMPUTED_VALUE"""),"N/A")</f>
        <v>N/A</v>
      </c>
      <c r="P255" s="18" t="str">
        <f ca="1">IFERROR(__xludf.DUMMYFUNCTION("""COMPUTED_VALUE"""),"N/A")</f>
        <v>N/A</v>
      </c>
      <c r="Q255" s="18" t="str">
        <f ca="1">IFERROR(__xludf.DUMMYFUNCTION("""COMPUTED_VALUE"""),"N/A")</f>
        <v>N/A</v>
      </c>
      <c r="R255" s="18" t="str">
        <f ca="1">IFERROR(__xludf.DUMMYFUNCTION("""COMPUTED_VALUE"""),"N/A")</f>
        <v>N/A</v>
      </c>
      <c r="S255" s="18" t="str">
        <f ca="1">IFERROR(__xludf.DUMMYFUNCTION("""COMPUTED_VALUE"""),"0")</f>
        <v>0</v>
      </c>
      <c r="T255" s="18" t="str">
        <f ca="1">IFERROR(__xludf.DUMMYFUNCTION("""COMPUTED_VALUE"""),"0xF1A2")</f>
        <v>0xF1A2</v>
      </c>
      <c r="U255" s="18" t="str">
        <f ca="1">IFERROR(__xludf.DUMMYFUNCTION("""COMPUTED_VALUE"""),"0x0A")</f>
        <v>0x0A</v>
      </c>
      <c r="V255" s="18" t="str">
        <f ca="1">IFERROR(__xludf.DUMMYFUNCTION("""COMPUTED_VALUE"""),"0x0104")</f>
        <v>0x0104</v>
      </c>
      <c r="W255" s="18" t="str">
        <f ca="1">IFERROR(__xludf.DUMMYFUNCTION("""COMPUTED_VALUE"""),"0x0201")</f>
        <v>0x0201</v>
      </c>
      <c r="X255" s="18" t="str">
        <f ca="1">IFERROR(__xludf.DUMMYFUNCTION("""COMPUTED_VALUE"""),"0x20")</f>
        <v>0x20</v>
      </c>
      <c r="Y255" s="18" t="e">
        <f ca="1"/>
        <v>#NAME?</v>
      </c>
      <c r="Z255" s="18" t="str">
        <f ca="1">IFERROR(__xludf.DUMMYFUNCTION("""COMPUTED_VALUE"""),"N/A")</f>
        <v>N/A</v>
      </c>
      <c r="AA255" s="18" t="str">
        <f ca="1">IFERROR(__xludf.DUMMYFUNCTION("""COMPUTED_VALUE"""),"N/A")</f>
        <v>N/A</v>
      </c>
      <c r="AC255" s="59" t="s">
        <v>1484</v>
      </c>
      <c r="AD255" s="59" t="s">
        <v>1382</v>
      </c>
      <c r="AE255" s="59" t="s">
        <v>1475</v>
      </c>
      <c r="AF255" s="59" t="s">
        <v>1365</v>
      </c>
      <c r="AG255" s="59" t="s">
        <v>1374</v>
      </c>
      <c r="AH255" s="59" t="s">
        <v>1406</v>
      </c>
      <c r="AI255" s="59" t="s">
        <v>1485</v>
      </c>
      <c r="AJ255" s="59" t="s">
        <v>1486</v>
      </c>
      <c r="AK255" s="59" t="s">
        <v>1487</v>
      </c>
      <c r="AL255" s="59" t="s">
        <v>1455</v>
      </c>
      <c r="AM255" s="59" t="s">
        <v>1455</v>
      </c>
      <c r="AN255" s="59" t="s">
        <v>1459</v>
      </c>
      <c r="AO255" s="59" t="s">
        <v>1488</v>
      </c>
      <c r="AP255" s="59" t="s">
        <v>1489</v>
      </c>
      <c r="AQ255" s="59"/>
      <c r="AR255" s="59"/>
      <c r="AS255" s="59"/>
      <c r="AT255" s="59"/>
    </row>
    <row r="256" spans="1:46" x14ac:dyDescent="0.25">
      <c r="A256" s="18" t="str">
        <v>analog_output_setting_3:{"type":"attribute","data_type":"float","is_readonly":false,"reporting_type":"polled","poll_freq":86400,"default_value":0,"zigbee_metadata":{"attr_id":61859,"endpoint_id":10,"profile_id":260,"cluster_id":513,"zcl_data_type":32}},</v>
      </c>
      <c r="B256" s="52" t="str">
        <f ca="1"/>
        <v>0x0201 0xF1A3</v>
      </c>
      <c r="C256" s="52" t="str">
        <f ca="1">IFERROR(__xludf.DUMMYFUNCTION("""COMPUTED_VALUE"""),"analog_output_setting_3")</f>
        <v>analog_output_setting_3</v>
      </c>
      <c r="D256" s="18" t="str">
        <f ca="1">IFERROR(__xludf.DUMMYFUNCTION("""COMPUTED_VALUE"""),"attribute")</f>
        <v>attribute</v>
      </c>
      <c r="E256" s="18" t="str">
        <f ca="1">IFERROR(__xludf.DUMMYFUNCTION("""COMPUTED_VALUE"""),"float")</f>
        <v>float</v>
      </c>
      <c r="F256" s="18" t="str">
        <f ca="1">IFERROR(__xludf.DUMMYFUNCTION("""COMPUTED_VALUE"""),"false")</f>
        <v>false</v>
      </c>
      <c r="G256" s="18" t="str">
        <f ca="1">IFERROR(__xludf.DUMMYFUNCTION("""COMPUTED_VALUE"""),"polled")</f>
        <v>polled</v>
      </c>
      <c r="H256" s="18" t="str">
        <f ca="1">IFERROR(__xludf.DUMMYFUNCTION("""COMPUTED_VALUE"""),"86400")</f>
        <v>86400</v>
      </c>
      <c r="I256" s="18" t="str">
        <f ca="1">IFERROR(__xludf.DUMMYFUNCTION("""COMPUTED_VALUE"""),"N/A")</f>
        <v>N/A</v>
      </c>
      <c r="J256" s="18" t="str">
        <f ca="1">IFERROR(__xludf.DUMMYFUNCTION("""COMPUTED_VALUE"""),"N/A")</f>
        <v>N/A</v>
      </c>
      <c r="K256" s="18" t="str">
        <f ca="1">IFERROR(__xludf.DUMMYFUNCTION("""COMPUTED_VALUE"""),"N/A")</f>
        <v>N/A</v>
      </c>
      <c r="L256" s="18" t="str">
        <f ca="1">IFERROR(__xludf.DUMMYFUNCTION("""COMPUTED_VALUE"""),"N/A")</f>
        <v>N/A</v>
      </c>
      <c r="M256" s="18" t="str">
        <f ca="1">IFERROR(__xludf.DUMMYFUNCTION("""COMPUTED_VALUE"""),"N/A")</f>
        <v>N/A</v>
      </c>
      <c r="N256" s="18" t="str">
        <f ca="1">IFERROR(__xludf.DUMMYFUNCTION("""COMPUTED_VALUE"""),"N/A")</f>
        <v>N/A</v>
      </c>
      <c r="O256" s="18" t="str">
        <f ca="1">IFERROR(__xludf.DUMMYFUNCTION("""COMPUTED_VALUE"""),"N/A")</f>
        <v>N/A</v>
      </c>
      <c r="P256" s="18" t="str">
        <f ca="1">IFERROR(__xludf.DUMMYFUNCTION("""COMPUTED_VALUE"""),"N/A")</f>
        <v>N/A</v>
      </c>
      <c r="Q256" s="18" t="str">
        <f ca="1">IFERROR(__xludf.DUMMYFUNCTION("""COMPUTED_VALUE"""),"N/A")</f>
        <v>N/A</v>
      </c>
      <c r="R256" s="18" t="str">
        <f ca="1">IFERROR(__xludf.DUMMYFUNCTION("""COMPUTED_VALUE"""),"N/A")</f>
        <v>N/A</v>
      </c>
      <c r="S256" s="18" t="str">
        <f ca="1">IFERROR(__xludf.DUMMYFUNCTION("""COMPUTED_VALUE"""),"0")</f>
        <v>0</v>
      </c>
      <c r="T256" s="18" t="str">
        <f ca="1">IFERROR(__xludf.DUMMYFUNCTION("""COMPUTED_VALUE"""),"0xF1A3")</f>
        <v>0xF1A3</v>
      </c>
      <c r="U256" s="18" t="str">
        <f ca="1">IFERROR(__xludf.DUMMYFUNCTION("""COMPUTED_VALUE"""),"0x0A")</f>
        <v>0x0A</v>
      </c>
      <c r="V256" s="18" t="str">
        <f ca="1">IFERROR(__xludf.DUMMYFUNCTION("""COMPUTED_VALUE"""),"0x0104")</f>
        <v>0x0104</v>
      </c>
      <c r="W256" s="18" t="str">
        <f ca="1">IFERROR(__xludf.DUMMYFUNCTION("""COMPUTED_VALUE"""),"0x0201")</f>
        <v>0x0201</v>
      </c>
      <c r="X256" s="18" t="str">
        <f ca="1">IFERROR(__xludf.DUMMYFUNCTION("""COMPUTED_VALUE"""),"0x20")</f>
        <v>0x20</v>
      </c>
      <c r="Y256" s="18" t="e">
        <f ca="1"/>
        <v>#NAME?</v>
      </c>
      <c r="Z256" s="18" t="str">
        <f ca="1">IFERROR(__xludf.DUMMYFUNCTION("""COMPUTED_VALUE"""),"N/A")</f>
        <v>N/A</v>
      </c>
      <c r="AA256" s="18" t="str">
        <f ca="1">IFERROR(__xludf.DUMMYFUNCTION("""COMPUTED_VALUE"""),"N/A")</f>
        <v>N/A</v>
      </c>
      <c r="AC256" s="59" t="s">
        <v>1490</v>
      </c>
      <c r="AD256" s="59" t="s">
        <v>1387</v>
      </c>
      <c r="AE256" s="59" t="s">
        <v>1480</v>
      </c>
      <c r="AF256" s="59" t="s">
        <v>1369</v>
      </c>
      <c r="AG256" s="59" t="s">
        <v>1379</v>
      </c>
      <c r="AH256" s="59" t="s">
        <v>1485</v>
      </c>
      <c r="AI256" s="59" t="s">
        <v>1491</v>
      </c>
      <c r="AJ256" s="59" t="s">
        <v>1492</v>
      </c>
      <c r="AK256" s="59" t="s">
        <v>1493</v>
      </c>
      <c r="AL256" s="59" t="s">
        <v>1457</v>
      </c>
      <c r="AM256" s="59" t="s">
        <v>1457</v>
      </c>
      <c r="AN256" s="59" t="s">
        <v>1461</v>
      </c>
      <c r="AO256" s="59" t="s">
        <v>1494</v>
      </c>
      <c r="AP256" s="59" t="s">
        <v>1495</v>
      </c>
      <c r="AQ256" s="59"/>
      <c r="AR256" s="59"/>
      <c r="AS256" s="59"/>
      <c r="AT256" s="59"/>
    </row>
    <row r="257" spans="1:46" x14ac:dyDescent="0.25">
      <c r="A257" s="18" t="str">
        <v>analog_output_setting_4:{"type":"attribute","data_type":"float","is_readonly":false,"reporting_type":"polled","poll_freq":86400,"default_value":0,"zigbee_metadata":{"attr_id":61860,"endpoint_id":10,"profile_id":260,"cluster_id":513,"zcl_data_type":32}},</v>
      </c>
      <c r="B257" s="52" t="str">
        <f ca="1"/>
        <v>0x0201 0xF1A4</v>
      </c>
      <c r="C257" s="52" t="str">
        <f ca="1">IFERROR(__xludf.DUMMYFUNCTION("""COMPUTED_VALUE"""),"analog_output_setting_4")</f>
        <v>analog_output_setting_4</v>
      </c>
      <c r="D257" s="18" t="str">
        <f ca="1">IFERROR(__xludf.DUMMYFUNCTION("""COMPUTED_VALUE"""),"attribute")</f>
        <v>attribute</v>
      </c>
      <c r="E257" s="18" t="str">
        <f ca="1">IFERROR(__xludf.DUMMYFUNCTION("""COMPUTED_VALUE"""),"float")</f>
        <v>float</v>
      </c>
      <c r="F257" s="18" t="str">
        <f ca="1">IFERROR(__xludf.DUMMYFUNCTION("""COMPUTED_VALUE"""),"false")</f>
        <v>false</v>
      </c>
      <c r="G257" s="18" t="str">
        <f ca="1">IFERROR(__xludf.DUMMYFUNCTION("""COMPUTED_VALUE"""),"polled")</f>
        <v>polled</v>
      </c>
      <c r="H257" s="18" t="str">
        <f ca="1">IFERROR(__xludf.DUMMYFUNCTION("""COMPUTED_VALUE"""),"86400")</f>
        <v>86400</v>
      </c>
      <c r="I257" s="18" t="str">
        <f ca="1">IFERROR(__xludf.DUMMYFUNCTION("""COMPUTED_VALUE"""),"N/A")</f>
        <v>N/A</v>
      </c>
      <c r="J257" s="18" t="str">
        <f ca="1">IFERROR(__xludf.DUMMYFUNCTION("""COMPUTED_VALUE"""),"N/A")</f>
        <v>N/A</v>
      </c>
      <c r="K257" s="18" t="str">
        <f ca="1">IFERROR(__xludf.DUMMYFUNCTION("""COMPUTED_VALUE"""),"N/A")</f>
        <v>N/A</v>
      </c>
      <c r="L257" s="18" t="str">
        <f ca="1">IFERROR(__xludf.DUMMYFUNCTION("""COMPUTED_VALUE"""),"N/A")</f>
        <v>N/A</v>
      </c>
      <c r="M257" s="18" t="str">
        <f ca="1">IFERROR(__xludf.DUMMYFUNCTION("""COMPUTED_VALUE"""),"N/A")</f>
        <v>N/A</v>
      </c>
      <c r="N257" s="18" t="str">
        <f ca="1">IFERROR(__xludf.DUMMYFUNCTION("""COMPUTED_VALUE"""),"N/A")</f>
        <v>N/A</v>
      </c>
      <c r="O257" s="18" t="str">
        <f ca="1">IFERROR(__xludf.DUMMYFUNCTION("""COMPUTED_VALUE"""),"N/A")</f>
        <v>N/A</v>
      </c>
      <c r="P257" s="18" t="str">
        <f ca="1">IFERROR(__xludf.DUMMYFUNCTION("""COMPUTED_VALUE"""),"N/A")</f>
        <v>N/A</v>
      </c>
      <c r="Q257" s="18" t="str">
        <f ca="1">IFERROR(__xludf.DUMMYFUNCTION("""COMPUTED_VALUE"""),"N/A")</f>
        <v>N/A</v>
      </c>
      <c r="R257" s="18" t="str">
        <f ca="1">IFERROR(__xludf.DUMMYFUNCTION("""COMPUTED_VALUE"""),"N/A")</f>
        <v>N/A</v>
      </c>
      <c r="S257" s="18" t="str">
        <f ca="1">IFERROR(__xludf.DUMMYFUNCTION("""COMPUTED_VALUE"""),"0")</f>
        <v>0</v>
      </c>
      <c r="T257" s="18" t="str">
        <f ca="1">IFERROR(__xludf.DUMMYFUNCTION("""COMPUTED_VALUE"""),"0xF1A4")</f>
        <v>0xF1A4</v>
      </c>
      <c r="U257" s="18" t="str">
        <f ca="1">IFERROR(__xludf.DUMMYFUNCTION("""COMPUTED_VALUE"""),"0x0A")</f>
        <v>0x0A</v>
      </c>
      <c r="V257" s="18" t="str">
        <f ca="1">IFERROR(__xludf.DUMMYFUNCTION("""COMPUTED_VALUE"""),"0x0104")</f>
        <v>0x0104</v>
      </c>
      <c r="W257" s="18" t="str">
        <f ca="1">IFERROR(__xludf.DUMMYFUNCTION("""COMPUTED_VALUE"""),"0x0201")</f>
        <v>0x0201</v>
      </c>
      <c r="X257" s="18" t="str">
        <f ca="1">IFERROR(__xludf.DUMMYFUNCTION("""COMPUTED_VALUE"""),"0x20")</f>
        <v>0x20</v>
      </c>
      <c r="Y257" s="18" t="e">
        <f ca="1"/>
        <v>#NAME?</v>
      </c>
      <c r="Z257" s="18" t="str">
        <f ca="1">IFERROR(__xludf.DUMMYFUNCTION("""COMPUTED_VALUE"""),"N/A")</f>
        <v>N/A</v>
      </c>
      <c r="AA257" s="18" t="str">
        <f ca="1">IFERROR(__xludf.DUMMYFUNCTION("""COMPUTED_VALUE"""),"N/A")</f>
        <v>N/A</v>
      </c>
      <c r="AC257" s="59" t="s">
        <v>1496</v>
      </c>
      <c r="AD257" s="59" t="s">
        <v>1392</v>
      </c>
      <c r="AE257" s="59" t="s">
        <v>1365</v>
      </c>
      <c r="AF257" s="59" t="s">
        <v>1374</v>
      </c>
      <c r="AG257" s="59" t="s">
        <v>1421</v>
      </c>
      <c r="AH257" s="59" t="s">
        <v>1491</v>
      </c>
      <c r="AI257" s="59" t="s">
        <v>1497</v>
      </c>
      <c r="AJ257" s="59" t="s">
        <v>1498</v>
      </c>
      <c r="AK257" s="59" t="s">
        <v>1499</v>
      </c>
      <c r="AL257" s="59" t="s">
        <v>1459</v>
      </c>
      <c r="AM257" s="59" t="s">
        <v>1459</v>
      </c>
      <c r="AN257" s="59" t="s">
        <v>1463</v>
      </c>
      <c r="AO257" s="59" t="s">
        <v>1500</v>
      </c>
      <c r="AP257" s="59" t="s">
        <v>1501</v>
      </c>
      <c r="AQ257" s="59"/>
      <c r="AR257" s="59"/>
      <c r="AS257" s="59"/>
      <c r="AT257" s="59"/>
    </row>
    <row r="258" spans="1:46" x14ac:dyDescent="0.25">
      <c r="A258" s="18" t="str">
        <v>analog_output_setting_5:{"type":"attribute","data_type":"float","is_readonly":false,"reporting_type":"polled","poll_freq":86400,"default_value":0,"zigbee_metadata":{"attr_id":61861,"endpoint_id":10,"profile_id":260,"cluster_id":513,"zcl_data_type":32}},</v>
      </c>
      <c r="B258" s="52" t="str">
        <f ca="1"/>
        <v>0x0201 0xF1A5</v>
      </c>
      <c r="C258" s="52" t="str">
        <f ca="1">IFERROR(__xludf.DUMMYFUNCTION("""COMPUTED_VALUE"""),"analog_output_setting_5")</f>
        <v>analog_output_setting_5</v>
      </c>
      <c r="D258" s="18" t="str">
        <f ca="1">IFERROR(__xludf.DUMMYFUNCTION("""COMPUTED_VALUE"""),"attribute")</f>
        <v>attribute</v>
      </c>
      <c r="E258" s="18" t="str">
        <f ca="1">IFERROR(__xludf.DUMMYFUNCTION("""COMPUTED_VALUE"""),"float")</f>
        <v>float</v>
      </c>
      <c r="F258" s="18" t="str">
        <f ca="1">IFERROR(__xludf.DUMMYFUNCTION("""COMPUTED_VALUE"""),"false")</f>
        <v>false</v>
      </c>
      <c r="G258" s="18" t="str">
        <f ca="1">IFERROR(__xludf.DUMMYFUNCTION("""COMPUTED_VALUE"""),"polled")</f>
        <v>polled</v>
      </c>
      <c r="H258" s="18" t="str">
        <f ca="1">IFERROR(__xludf.DUMMYFUNCTION("""COMPUTED_VALUE"""),"86400")</f>
        <v>86400</v>
      </c>
      <c r="I258" s="18" t="str">
        <f ca="1">IFERROR(__xludf.DUMMYFUNCTION("""COMPUTED_VALUE"""),"N/A")</f>
        <v>N/A</v>
      </c>
      <c r="J258" s="18" t="str">
        <f ca="1">IFERROR(__xludf.DUMMYFUNCTION("""COMPUTED_VALUE"""),"N/A")</f>
        <v>N/A</v>
      </c>
      <c r="K258" s="18" t="str">
        <f ca="1">IFERROR(__xludf.DUMMYFUNCTION("""COMPUTED_VALUE"""),"N/A")</f>
        <v>N/A</v>
      </c>
      <c r="L258" s="18" t="str">
        <f ca="1">IFERROR(__xludf.DUMMYFUNCTION("""COMPUTED_VALUE"""),"N/A")</f>
        <v>N/A</v>
      </c>
      <c r="M258" s="18" t="str">
        <f ca="1">IFERROR(__xludf.DUMMYFUNCTION("""COMPUTED_VALUE"""),"N/A")</f>
        <v>N/A</v>
      </c>
      <c r="N258" s="18" t="str">
        <f ca="1">IFERROR(__xludf.DUMMYFUNCTION("""COMPUTED_VALUE"""),"N/A")</f>
        <v>N/A</v>
      </c>
      <c r="O258" s="18" t="str">
        <f ca="1">IFERROR(__xludf.DUMMYFUNCTION("""COMPUTED_VALUE"""),"N/A")</f>
        <v>N/A</v>
      </c>
      <c r="P258" s="18" t="str">
        <f ca="1">IFERROR(__xludf.DUMMYFUNCTION("""COMPUTED_VALUE"""),"N/A")</f>
        <v>N/A</v>
      </c>
      <c r="Q258" s="18" t="str">
        <f ca="1">IFERROR(__xludf.DUMMYFUNCTION("""COMPUTED_VALUE"""),"N/A")</f>
        <v>N/A</v>
      </c>
      <c r="R258" s="18" t="str">
        <f ca="1">IFERROR(__xludf.DUMMYFUNCTION("""COMPUTED_VALUE"""),"N/A")</f>
        <v>N/A</v>
      </c>
      <c r="S258" s="18" t="str">
        <f ca="1">IFERROR(__xludf.DUMMYFUNCTION("""COMPUTED_VALUE"""),"0")</f>
        <v>0</v>
      </c>
      <c r="T258" s="18" t="str">
        <f ca="1">IFERROR(__xludf.DUMMYFUNCTION("""COMPUTED_VALUE"""),"0xF1A5")</f>
        <v>0xF1A5</v>
      </c>
      <c r="U258" s="18" t="str">
        <f ca="1">IFERROR(__xludf.DUMMYFUNCTION("""COMPUTED_VALUE"""),"0x0A")</f>
        <v>0x0A</v>
      </c>
      <c r="V258" s="18" t="str">
        <f ca="1">IFERROR(__xludf.DUMMYFUNCTION("""COMPUTED_VALUE"""),"0x0104")</f>
        <v>0x0104</v>
      </c>
      <c r="W258" s="18" t="str">
        <f ca="1">IFERROR(__xludf.DUMMYFUNCTION("""COMPUTED_VALUE"""),"0x0201")</f>
        <v>0x0201</v>
      </c>
      <c r="X258" s="18" t="str">
        <f ca="1">IFERROR(__xludf.DUMMYFUNCTION("""COMPUTED_VALUE"""),"0x20")</f>
        <v>0x20</v>
      </c>
      <c r="Y258" s="18" t="e">
        <f ca="1"/>
        <v>#NAME?</v>
      </c>
      <c r="Z258" s="18" t="str">
        <f ca="1">IFERROR(__xludf.DUMMYFUNCTION("""COMPUTED_VALUE"""),"N/A")</f>
        <v>N/A</v>
      </c>
      <c r="AA258" s="18" t="str">
        <f ca="1">IFERROR(__xludf.DUMMYFUNCTION("""COMPUTED_VALUE"""),"N/A")</f>
        <v>N/A</v>
      </c>
      <c r="AC258" s="59" t="s">
        <v>1502</v>
      </c>
      <c r="AD258" s="59" t="s">
        <v>1397</v>
      </c>
      <c r="AE258" s="59" t="s">
        <v>1369</v>
      </c>
      <c r="AF258" s="59" t="s">
        <v>1379</v>
      </c>
      <c r="AG258" s="59" t="s">
        <v>1388</v>
      </c>
      <c r="AH258" s="59" t="s">
        <v>1497</v>
      </c>
      <c r="AI258" s="59" t="s">
        <v>1503</v>
      </c>
      <c r="AJ258" s="59" t="s">
        <v>1504</v>
      </c>
      <c r="AK258" s="59" t="s">
        <v>1505</v>
      </c>
      <c r="AL258" s="59" t="s">
        <v>1461</v>
      </c>
      <c r="AM258" s="59" t="s">
        <v>1461</v>
      </c>
      <c r="AN258" s="59" t="s">
        <v>1465</v>
      </c>
      <c r="AO258" s="59" t="s">
        <v>1506</v>
      </c>
      <c r="AP258" s="59" t="s">
        <v>1457</v>
      </c>
      <c r="AQ258" s="59"/>
      <c r="AR258" s="59"/>
      <c r="AS258" s="59"/>
      <c r="AT258" s="59"/>
    </row>
    <row r="259" spans="1:46" x14ac:dyDescent="0.25">
      <c r="A259" s="18" t="str">
        <v>analog_output_setting_6:{"type":"attribute","data_type":"float","is_readonly":false,"reporting_type":"polled","poll_freq":86400,"default_value":0,"zigbee_metadata":{"attr_id":61862,"endpoint_id":10,"profile_id":260,"cluster_id":513,"zcl_data_type":32}},</v>
      </c>
      <c r="B259" s="52" t="str">
        <f ca="1"/>
        <v>0x0201 0xF1A6</v>
      </c>
      <c r="C259" s="52" t="str">
        <f ca="1">IFERROR(__xludf.DUMMYFUNCTION("""COMPUTED_VALUE"""),"analog_output_setting_6")</f>
        <v>analog_output_setting_6</v>
      </c>
      <c r="D259" s="18" t="str">
        <f ca="1">IFERROR(__xludf.DUMMYFUNCTION("""COMPUTED_VALUE"""),"attribute")</f>
        <v>attribute</v>
      </c>
      <c r="E259" s="18" t="str">
        <f ca="1">IFERROR(__xludf.DUMMYFUNCTION("""COMPUTED_VALUE"""),"float")</f>
        <v>float</v>
      </c>
      <c r="F259" s="18" t="str">
        <f ca="1">IFERROR(__xludf.DUMMYFUNCTION("""COMPUTED_VALUE"""),"false")</f>
        <v>false</v>
      </c>
      <c r="G259" s="18" t="str">
        <f ca="1">IFERROR(__xludf.DUMMYFUNCTION("""COMPUTED_VALUE"""),"polled")</f>
        <v>polled</v>
      </c>
      <c r="H259" s="18" t="str">
        <f ca="1">IFERROR(__xludf.DUMMYFUNCTION("""COMPUTED_VALUE"""),"86400")</f>
        <v>86400</v>
      </c>
      <c r="I259" s="18" t="str">
        <f ca="1">IFERROR(__xludf.DUMMYFUNCTION("""COMPUTED_VALUE"""),"N/A")</f>
        <v>N/A</v>
      </c>
      <c r="J259" s="18" t="str">
        <f ca="1">IFERROR(__xludf.DUMMYFUNCTION("""COMPUTED_VALUE"""),"N/A")</f>
        <v>N/A</v>
      </c>
      <c r="K259" s="18" t="str">
        <f ca="1">IFERROR(__xludf.DUMMYFUNCTION("""COMPUTED_VALUE"""),"N/A")</f>
        <v>N/A</v>
      </c>
      <c r="L259" s="18" t="str">
        <f ca="1">IFERROR(__xludf.DUMMYFUNCTION("""COMPUTED_VALUE"""),"N/A")</f>
        <v>N/A</v>
      </c>
      <c r="M259" s="18" t="str">
        <f ca="1">IFERROR(__xludf.DUMMYFUNCTION("""COMPUTED_VALUE"""),"N/A")</f>
        <v>N/A</v>
      </c>
      <c r="N259" s="18" t="str">
        <f ca="1">IFERROR(__xludf.DUMMYFUNCTION("""COMPUTED_VALUE"""),"N/A")</f>
        <v>N/A</v>
      </c>
      <c r="O259" s="18" t="str">
        <f ca="1">IFERROR(__xludf.DUMMYFUNCTION("""COMPUTED_VALUE"""),"N/A")</f>
        <v>N/A</v>
      </c>
      <c r="P259" s="18" t="str">
        <f ca="1">IFERROR(__xludf.DUMMYFUNCTION("""COMPUTED_VALUE"""),"N/A")</f>
        <v>N/A</v>
      </c>
      <c r="Q259" s="18" t="str">
        <f ca="1">IFERROR(__xludf.DUMMYFUNCTION("""COMPUTED_VALUE"""),"N/A")</f>
        <v>N/A</v>
      </c>
      <c r="R259" s="18" t="str">
        <f ca="1">IFERROR(__xludf.DUMMYFUNCTION("""COMPUTED_VALUE"""),"N/A")</f>
        <v>N/A</v>
      </c>
      <c r="S259" s="18" t="str">
        <f ca="1">IFERROR(__xludf.DUMMYFUNCTION("""COMPUTED_VALUE"""),"0")</f>
        <v>0</v>
      </c>
      <c r="T259" s="18" t="str">
        <f ca="1">IFERROR(__xludf.DUMMYFUNCTION("""COMPUTED_VALUE"""),"0xF1A6")</f>
        <v>0xF1A6</v>
      </c>
      <c r="U259" s="18" t="str">
        <f ca="1">IFERROR(__xludf.DUMMYFUNCTION("""COMPUTED_VALUE"""),"0x0A")</f>
        <v>0x0A</v>
      </c>
      <c r="V259" s="18" t="str">
        <f ca="1">IFERROR(__xludf.DUMMYFUNCTION("""COMPUTED_VALUE"""),"0x0104")</f>
        <v>0x0104</v>
      </c>
      <c r="W259" s="18" t="str">
        <f ca="1">IFERROR(__xludf.DUMMYFUNCTION("""COMPUTED_VALUE"""),"0x0201")</f>
        <v>0x0201</v>
      </c>
      <c r="X259" s="18" t="str">
        <f ca="1">IFERROR(__xludf.DUMMYFUNCTION("""COMPUTED_VALUE"""),"0x20")</f>
        <v>0x20</v>
      </c>
      <c r="Y259" s="18" t="e">
        <f ca="1"/>
        <v>#NAME?</v>
      </c>
      <c r="Z259" s="18" t="str">
        <f ca="1">IFERROR(__xludf.DUMMYFUNCTION("""COMPUTED_VALUE"""),"N/A")</f>
        <v>N/A</v>
      </c>
      <c r="AA259" s="18" t="str">
        <f ca="1">IFERROR(__xludf.DUMMYFUNCTION("""COMPUTED_VALUE"""),"N/A")</f>
        <v>N/A</v>
      </c>
      <c r="AC259" s="59" t="s">
        <v>1507</v>
      </c>
      <c r="AD259" s="59" t="s">
        <v>1446</v>
      </c>
      <c r="AE259" s="59" t="s">
        <v>1374</v>
      </c>
      <c r="AF259" s="59" t="s">
        <v>1421</v>
      </c>
      <c r="AG259" s="59" t="s">
        <v>1428</v>
      </c>
      <c r="AH259" s="59" t="s">
        <v>1503</v>
      </c>
      <c r="AI259" s="59" t="s">
        <v>1508</v>
      </c>
      <c r="AJ259" s="59" t="s">
        <v>1509</v>
      </c>
      <c r="AK259" s="59" t="s">
        <v>1510</v>
      </c>
      <c r="AL259" s="59" t="s">
        <v>1463</v>
      </c>
      <c r="AM259" s="59" t="s">
        <v>1463</v>
      </c>
      <c r="AN259" s="59" t="s">
        <v>1468</v>
      </c>
      <c r="AO259" s="59" t="s">
        <v>1511</v>
      </c>
      <c r="AP259" s="59" t="s">
        <v>1459</v>
      </c>
      <c r="AQ259" s="59"/>
      <c r="AR259" s="59"/>
      <c r="AS259" s="59"/>
      <c r="AT259" s="59"/>
    </row>
    <row r="260" spans="1:46" x14ac:dyDescent="0.25">
      <c r="A260" s="18" t="str">
        <v>analog_output_setting_7:{"type":"attribute","data_type":"float","is_readonly":false,"reporting_type":"polled","poll_freq":86400,"default_value":0,"zigbee_metadata":{"attr_id":61863,"endpoint_id":10,"profile_id":260,"cluster_id":513,"zcl_data_type":32}},</v>
      </c>
      <c r="B260" s="52" t="str">
        <f ca="1"/>
        <v>0x0201 0xF1A7</v>
      </c>
      <c r="C260" s="52" t="str">
        <f ca="1">IFERROR(__xludf.DUMMYFUNCTION("""COMPUTED_VALUE"""),"analog_output_setting_7")</f>
        <v>analog_output_setting_7</v>
      </c>
      <c r="D260" s="18" t="str">
        <f ca="1">IFERROR(__xludf.DUMMYFUNCTION("""COMPUTED_VALUE"""),"attribute")</f>
        <v>attribute</v>
      </c>
      <c r="E260" s="18" t="str">
        <f ca="1">IFERROR(__xludf.DUMMYFUNCTION("""COMPUTED_VALUE"""),"float")</f>
        <v>float</v>
      </c>
      <c r="F260" s="18" t="str">
        <f ca="1">IFERROR(__xludf.DUMMYFUNCTION("""COMPUTED_VALUE"""),"false")</f>
        <v>false</v>
      </c>
      <c r="G260" s="18" t="str">
        <f ca="1">IFERROR(__xludf.DUMMYFUNCTION("""COMPUTED_VALUE"""),"polled")</f>
        <v>polled</v>
      </c>
      <c r="H260" s="18" t="str">
        <f ca="1">IFERROR(__xludf.DUMMYFUNCTION("""COMPUTED_VALUE"""),"86400")</f>
        <v>86400</v>
      </c>
      <c r="I260" s="18" t="str">
        <f ca="1">IFERROR(__xludf.DUMMYFUNCTION("""COMPUTED_VALUE"""),"N/A")</f>
        <v>N/A</v>
      </c>
      <c r="J260" s="18" t="str">
        <f ca="1">IFERROR(__xludf.DUMMYFUNCTION("""COMPUTED_VALUE"""),"N/A")</f>
        <v>N/A</v>
      </c>
      <c r="K260" s="18" t="str">
        <f ca="1">IFERROR(__xludf.DUMMYFUNCTION("""COMPUTED_VALUE"""),"N/A")</f>
        <v>N/A</v>
      </c>
      <c r="L260" s="18" t="str">
        <f ca="1">IFERROR(__xludf.DUMMYFUNCTION("""COMPUTED_VALUE"""),"N/A")</f>
        <v>N/A</v>
      </c>
      <c r="M260" s="18" t="str">
        <f ca="1">IFERROR(__xludf.DUMMYFUNCTION("""COMPUTED_VALUE"""),"N/A")</f>
        <v>N/A</v>
      </c>
      <c r="N260" s="18" t="str">
        <f ca="1">IFERROR(__xludf.DUMMYFUNCTION("""COMPUTED_VALUE"""),"N/A")</f>
        <v>N/A</v>
      </c>
      <c r="O260" s="18" t="str">
        <f ca="1">IFERROR(__xludf.DUMMYFUNCTION("""COMPUTED_VALUE"""),"N/A")</f>
        <v>N/A</v>
      </c>
      <c r="P260" s="18" t="str">
        <f ca="1">IFERROR(__xludf.DUMMYFUNCTION("""COMPUTED_VALUE"""),"N/A")</f>
        <v>N/A</v>
      </c>
      <c r="Q260" s="18" t="str">
        <f ca="1">IFERROR(__xludf.DUMMYFUNCTION("""COMPUTED_VALUE"""),"N/A")</f>
        <v>N/A</v>
      </c>
      <c r="R260" s="18" t="str">
        <f ca="1">IFERROR(__xludf.DUMMYFUNCTION("""COMPUTED_VALUE"""),"N/A")</f>
        <v>N/A</v>
      </c>
      <c r="S260" s="18" t="str">
        <f ca="1">IFERROR(__xludf.DUMMYFUNCTION("""COMPUTED_VALUE"""),"0")</f>
        <v>0</v>
      </c>
      <c r="T260" s="18" t="str">
        <f ca="1">IFERROR(__xludf.DUMMYFUNCTION("""COMPUTED_VALUE"""),"0xF1A7")</f>
        <v>0xF1A7</v>
      </c>
      <c r="U260" s="18" t="str">
        <f ca="1">IFERROR(__xludf.DUMMYFUNCTION("""COMPUTED_VALUE"""),"0x0A")</f>
        <v>0x0A</v>
      </c>
      <c r="V260" s="18" t="str">
        <f ca="1">IFERROR(__xludf.DUMMYFUNCTION("""COMPUTED_VALUE"""),"0x0104")</f>
        <v>0x0104</v>
      </c>
      <c r="W260" s="18" t="str">
        <f ca="1">IFERROR(__xludf.DUMMYFUNCTION("""COMPUTED_VALUE"""),"0x0201")</f>
        <v>0x0201</v>
      </c>
      <c r="X260" s="18" t="str">
        <f ca="1">IFERROR(__xludf.DUMMYFUNCTION("""COMPUTED_VALUE"""),"0x20")</f>
        <v>0x20</v>
      </c>
      <c r="Y260" s="18" t="e">
        <f ca="1"/>
        <v>#NAME?</v>
      </c>
      <c r="Z260" s="18" t="str">
        <f ca="1">IFERROR(__xludf.DUMMYFUNCTION("""COMPUTED_VALUE"""),"N/A")</f>
        <v>N/A</v>
      </c>
      <c r="AA260" s="18" t="str">
        <f ca="1">IFERROR(__xludf.DUMMYFUNCTION("""COMPUTED_VALUE"""),"N/A")</f>
        <v>N/A</v>
      </c>
      <c r="AC260" s="59" t="s">
        <v>1512</v>
      </c>
      <c r="AD260" s="59" t="s">
        <v>1449</v>
      </c>
      <c r="AE260" s="59" t="s">
        <v>1379</v>
      </c>
      <c r="AF260" s="59" t="s">
        <v>1388</v>
      </c>
      <c r="AG260" s="59" t="s">
        <v>1398</v>
      </c>
      <c r="AH260" s="59" t="s">
        <v>1508</v>
      </c>
      <c r="AI260" s="59" t="s">
        <v>1513</v>
      </c>
      <c r="AJ260" s="59" t="s">
        <v>1514</v>
      </c>
      <c r="AK260" s="59" t="s">
        <v>1515</v>
      </c>
      <c r="AL260" s="59" t="s">
        <v>1465</v>
      </c>
      <c r="AM260" s="59" t="s">
        <v>1465</v>
      </c>
      <c r="AN260" s="59" t="s">
        <v>1472</v>
      </c>
      <c r="AO260" s="59" t="s">
        <v>1516</v>
      </c>
      <c r="AP260" s="59" t="s">
        <v>1461</v>
      </c>
      <c r="AQ260" s="59"/>
      <c r="AR260" s="59"/>
      <c r="AS260" s="59"/>
      <c r="AT260" s="59"/>
    </row>
    <row r="261" spans="1:46" x14ac:dyDescent="0.25">
      <c r="A261" s="18" t="str">
        <v>contact_config_0:{"type":"attribute","data_type":"int16","is_readonly":false,"reporting_type":"polled","poll_freq":86400,"default_value":null,"zigbee_metadata":{"attr_id":61952,"endpoint_id":10,"profile_id":260,"cluster_id":513,"zcl_data_type":35}},</v>
      </c>
      <c r="B261" s="52" t="str">
        <f ca="1"/>
        <v>0x0201 0xF200</v>
      </c>
      <c r="C261" s="52" t="str">
        <f ca="1">IFERROR(__xludf.DUMMYFUNCTION("""COMPUTED_VALUE"""),"contact_config_0")</f>
        <v>contact_config_0</v>
      </c>
      <c r="D261" s="18" t="str">
        <f ca="1">IFERROR(__xludf.DUMMYFUNCTION("""COMPUTED_VALUE"""),"attribute")</f>
        <v>attribute</v>
      </c>
      <c r="E261" s="18" t="str">
        <f ca="1">IFERROR(__xludf.DUMMYFUNCTION("""COMPUTED_VALUE"""),"int16")</f>
        <v>int16</v>
      </c>
      <c r="F261" s="18" t="str">
        <f ca="1">IFERROR(__xludf.DUMMYFUNCTION("""COMPUTED_VALUE"""),"false")</f>
        <v>false</v>
      </c>
      <c r="G261" s="18" t="str">
        <f ca="1">IFERROR(__xludf.DUMMYFUNCTION("""COMPUTED_VALUE"""),"polled")</f>
        <v>polled</v>
      </c>
      <c r="H261" s="18" t="str">
        <f ca="1">IFERROR(__xludf.DUMMYFUNCTION("""COMPUTED_VALUE"""),"86400")</f>
        <v>86400</v>
      </c>
      <c r="I261" s="18" t="str">
        <f ca="1">IFERROR(__xludf.DUMMYFUNCTION("""COMPUTED_VALUE"""),"N/A")</f>
        <v>N/A</v>
      </c>
      <c r="J261" s="18" t="str">
        <f ca="1">IFERROR(__xludf.DUMMYFUNCTION("""COMPUTED_VALUE"""),"N/A")</f>
        <v>N/A</v>
      </c>
      <c r="K261" s="18" t="str">
        <f ca="1">IFERROR(__xludf.DUMMYFUNCTION("""COMPUTED_VALUE"""),"N/A")</f>
        <v>N/A</v>
      </c>
      <c r="L261" s="18" t="str">
        <f ca="1">IFERROR(__xludf.DUMMYFUNCTION("""COMPUTED_VALUE"""),"N/A")</f>
        <v>N/A</v>
      </c>
      <c r="M261" s="18" t="str">
        <f ca="1">IFERROR(__xludf.DUMMYFUNCTION("""COMPUTED_VALUE"""),"N/A")</f>
        <v>N/A</v>
      </c>
      <c r="N261" s="18" t="str">
        <f ca="1">IFERROR(__xludf.DUMMYFUNCTION("""COMPUTED_VALUE"""),"N/A")</f>
        <v>N/A</v>
      </c>
      <c r="O261" s="18" t="str">
        <f ca="1">IFERROR(__xludf.DUMMYFUNCTION("""COMPUTED_VALUE"""),"N/A")</f>
        <v>N/A</v>
      </c>
      <c r="P261" s="18" t="str">
        <f ca="1">IFERROR(__xludf.DUMMYFUNCTION("""COMPUTED_VALUE"""),"N/A")</f>
        <v>N/A</v>
      </c>
      <c r="Q261" s="18" t="str">
        <f ca="1">IFERROR(__xludf.DUMMYFUNCTION("""COMPUTED_VALUE"""),"N/A")</f>
        <v>N/A</v>
      </c>
      <c r="R261" s="18" t="str">
        <f ca="1">IFERROR(__xludf.DUMMYFUNCTION("""COMPUTED_VALUE"""),"N/A")</f>
        <v>N/A</v>
      </c>
      <c r="S261" s="18" t="str">
        <f ca="1">IFERROR(__xludf.DUMMYFUNCTION("""COMPUTED_VALUE"""),"null")</f>
        <v>null</v>
      </c>
      <c r="T261" s="18" t="str">
        <f ca="1">IFERROR(__xludf.DUMMYFUNCTION("""COMPUTED_VALUE"""),"0xF200")</f>
        <v>0xF200</v>
      </c>
      <c r="U261" s="18" t="str">
        <f ca="1">IFERROR(__xludf.DUMMYFUNCTION("""COMPUTED_VALUE"""),"0x0A")</f>
        <v>0x0A</v>
      </c>
      <c r="V261" s="18" t="str">
        <f ca="1">IFERROR(__xludf.DUMMYFUNCTION("""COMPUTED_VALUE"""),"0x0104")</f>
        <v>0x0104</v>
      </c>
      <c r="W261" s="18" t="str">
        <f ca="1">IFERROR(__xludf.DUMMYFUNCTION("""COMPUTED_VALUE"""),"0x0201")</f>
        <v>0x0201</v>
      </c>
      <c r="X261" s="18" t="str">
        <f ca="1">IFERROR(__xludf.DUMMYFUNCTION("""COMPUTED_VALUE"""),"0x23")</f>
        <v>0x23</v>
      </c>
      <c r="Y261" s="18" t="e">
        <f ca="1"/>
        <v>#NAME?</v>
      </c>
      <c r="Z261" s="18" t="str">
        <f ca="1">IFERROR(__xludf.DUMMYFUNCTION("""COMPUTED_VALUE"""),"N/A")</f>
        <v>N/A</v>
      </c>
      <c r="AA261" s="18" t="str">
        <f ca="1">IFERROR(__xludf.DUMMYFUNCTION("""COMPUTED_VALUE"""),"N/A")</f>
        <v>N/A</v>
      </c>
      <c r="AC261" s="59" t="s">
        <v>1364</v>
      </c>
      <c r="AD261" s="59" t="s">
        <v>1452</v>
      </c>
      <c r="AE261" s="59" t="s">
        <v>1421</v>
      </c>
      <c r="AF261" s="59" t="s">
        <v>1428</v>
      </c>
      <c r="AG261" s="59" t="s">
        <v>1402</v>
      </c>
      <c r="AH261" s="59" t="s">
        <v>1513</v>
      </c>
      <c r="AI261" s="59" t="s">
        <v>1517</v>
      </c>
      <c r="AJ261" s="59" t="s">
        <v>1517</v>
      </c>
      <c r="AK261" s="59" t="s">
        <v>1409</v>
      </c>
      <c r="AL261" s="59" t="s">
        <v>1468</v>
      </c>
      <c r="AM261" s="59" t="s">
        <v>1468</v>
      </c>
      <c r="AN261" s="59" t="s">
        <v>1477</v>
      </c>
      <c r="AO261" s="59" t="s">
        <v>1355</v>
      </c>
      <c r="AP261" s="59" t="s">
        <v>1463</v>
      </c>
      <c r="AQ261" s="59"/>
      <c r="AR261" s="59"/>
      <c r="AS261" s="59"/>
      <c r="AT261" s="59"/>
    </row>
    <row r="262" spans="1:46" x14ac:dyDescent="0.25">
      <c r="A262" s="18" t="str">
        <v>contact_config_1:{"type":"attribute","data_type":"int16","is_readonly":false,"reporting_type":"polled","poll_freq":86400,"default_value":null,"zigbee_metadata":{"attr_id":61953,"endpoint_id":10,"profile_id":260,"cluster_id":513,"zcl_data_type":35}},</v>
      </c>
      <c r="B262" s="52" t="str">
        <f ca="1"/>
        <v>0x0201 0xF201</v>
      </c>
      <c r="C262" s="52" t="str">
        <f ca="1">IFERROR(__xludf.DUMMYFUNCTION("""COMPUTED_VALUE"""),"contact_config_1")</f>
        <v>contact_config_1</v>
      </c>
      <c r="D262" s="18" t="str">
        <f ca="1">IFERROR(__xludf.DUMMYFUNCTION("""COMPUTED_VALUE"""),"attribute")</f>
        <v>attribute</v>
      </c>
      <c r="E262" s="18" t="str">
        <f ca="1">IFERROR(__xludf.DUMMYFUNCTION("""COMPUTED_VALUE"""),"int16")</f>
        <v>int16</v>
      </c>
      <c r="F262" s="18" t="str">
        <f ca="1">IFERROR(__xludf.DUMMYFUNCTION("""COMPUTED_VALUE"""),"false")</f>
        <v>false</v>
      </c>
      <c r="G262" s="18" t="str">
        <f ca="1">IFERROR(__xludf.DUMMYFUNCTION("""COMPUTED_VALUE"""),"polled")</f>
        <v>polled</v>
      </c>
      <c r="H262" s="18" t="str">
        <f ca="1">IFERROR(__xludf.DUMMYFUNCTION("""COMPUTED_VALUE"""),"86400")</f>
        <v>86400</v>
      </c>
      <c r="I262" s="18" t="str">
        <f ca="1">IFERROR(__xludf.DUMMYFUNCTION("""COMPUTED_VALUE"""),"N/A")</f>
        <v>N/A</v>
      </c>
      <c r="J262" s="18" t="str">
        <f ca="1">IFERROR(__xludf.DUMMYFUNCTION("""COMPUTED_VALUE"""),"N/A")</f>
        <v>N/A</v>
      </c>
      <c r="K262" s="18" t="str">
        <f ca="1">IFERROR(__xludf.DUMMYFUNCTION("""COMPUTED_VALUE"""),"N/A")</f>
        <v>N/A</v>
      </c>
      <c r="L262" s="18" t="str">
        <f ca="1">IFERROR(__xludf.DUMMYFUNCTION("""COMPUTED_VALUE"""),"N/A")</f>
        <v>N/A</v>
      </c>
      <c r="M262" s="18" t="str">
        <f ca="1">IFERROR(__xludf.DUMMYFUNCTION("""COMPUTED_VALUE"""),"N/A")</f>
        <v>N/A</v>
      </c>
      <c r="N262" s="18" t="str">
        <f ca="1">IFERROR(__xludf.DUMMYFUNCTION("""COMPUTED_VALUE"""),"N/A")</f>
        <v>N/A</v>
      </c>
      <c r="O262" s="18" t="str">
        <f ca="1">IFERROR(__xludf.DUMMYFUNCTION("""COMPUTED_VALUE"""),"N/A")</f>
        <v>N/A</v>
      </c>
      <c r="P262" s="18" t="str">
        <f ca="1">IFERROR(__xludf.DUMMYFUNCTION("""COMPUTED_VALUE"""),"N/A")</f>
        <v>N/A</v>
      </c>
      <c r="Q262" s="18" t="str">
        <f ca="1">IFERROR(__xludf.DUMMYFUNCTION("""COMPUTED_VALUE"""),"N/A")</f>
        <v>N/A</v>
      </c>
      <c r="R262" s="18" t="str">
        <f ca="1">IFERROR(__xludf.DUMMYFUNCTION("""COMPUTED_VALUE"""),"N/A")</f>
        <v>N/A</v>
      </c>
      <c r="S262" s="18" t="str">
        <f ca="1">IFERROR(__xludf.DUMMYFUNCTION("""COMPUTED_VALUE"""),"null")</f>
        <v>null</v>
      </c>
      <c r="T262" s="18" t="str">
        <f ca="1">IFERROR(__xludf.DUMMYFUNCTION("""COMPUTED_VALUE"""),"0xF201")</f>
        <v>0xF201</v>
      </c>
      <c r="U262" s="18" t="str">
        <f ca="1">IFERROR(__xludf.DUMMYFUNCTION("""COMPUTED_VALUE"""),"0x0A")</f>
        <v>0x0A</v>
      </c>
      <c r="V262" s="18" t="str">
        <f ca="1">IFERROR(__xludf.DUMMYFUNCTION("""COMPUTED_VALUE"""),"0x0104")</f>
        <v>0x0104</v>
      </c>
      <c r="W262" s="18" t="str">
        <f ca="1">IFERROR(__xludf.DUMMYFUNCTION("""COMPUTED_VALUE"""),"0x0201")</f>
        <v>0x0201</v>
      </c>
      <c r="X262" s="18" t="str">
        <f ca="1">IFERROR(__xludf.DUMMYFUNCTION("""COMPUTED_VALUE"""),"0x23")</f>
        <v>0x23</v>
      </c>
      <c r="Y262" s="18" t="e">
        <f ca="1"/>
        <v>#NAME?</v>
      </c>
      <c r="Z262" s="18" t="str">
        <f ca="1">IFERROR(__xludf.DUMMYFUNCTION("""COMPUTED_VALUE"""),"N/A")</f>
        <v>N/A</v>
      </c>
      <c r="AA262" s="18" t="str">
        <f ca="1">IFERROR(__xludf.DUMMYFUNCTION("""COMPUTED_VALUE"""),"N/A")</f>
        <v>N/A</v>
      </c>
      <c r="AC262" s="59" t="s">
        <v>1368</v>
      </c>
      <c r="AD262" s="59" t="s">
        <v>1475</v>
      </c>
      <c r="AE262" s="59" t="s">
        <v>1388</v>
      </c>
      <c r="AF262" s="59" t="s">
        <v>1398</v>
      </c>
      <c r="AG262" s="59" t="s">
        <v>1406</v>
      </c>
      <c r="AH262" s="59" t="s">
        <v>1517</v>
      </c>
      <c r="AI262" s="59" t="s">
        <v>1471</v>
      </c>
      <c r="AJ262" s="59" t="s">
        <v>1471</v>
      </c>
      <c r="AK262" s="59" t="s">
        <v>1412</v>
      </c>
      <c r="AL262" s="59" t="s">
        <v>1472</v>
      </c>
      <c r="AM262" s="59" t="s">
        <v>1472</v>
      </c>
      <c r="AN262" s="59" t="s">
        <v>1482</v>
      </c>
      <c r="AO262" s="59"/>
      <c r="AP262" s="59" t="s">
        <v>1465</v>
      </c>
      <c r="AQ262" s="59"/>
      <c r="AR262" s="59"/>
      <c r="AS262" s="59"/>
      <c r="AT262" s="59"/>
    </row>
    <row r="263" spans="1:46" x14ac:dyDescent="0.25">
      <c r="A263" s="18" t="str">
        <v>contact_config_2:{"type":"attribute","data_type":"int16","is_readonly":false,"reporting_type":"polled","poll_freq":86400,"default_value":null,"zigbee_metadata":{"attr_id":61954,"endpoint_id":10,"profile_id":260,"cluster_id":513,"zcl_data_type":35}},</v>
      </c>
      <c r="B263" s="52" t="str">
        <f ca="1"/>
        <v>0x0201 0xF202</v>
      </c>
      <c r="C263" s="52" t="str">
        <f ca="1">IFERROR(__xludf.DUMMYFUNCTION("""COMPUTED_VALUE"""),"contact_config_2")</f>
        <v>contact_config_2</v>
      </c>
      <c r="D263" s="18" t="str">
        <f ca="1">IFERROR(__xludf.DUMMYFUNCTION("""COMPUTED_VALUE"""),"attribute")</f>
        <v>attribute</v>
      </c>
      <c r="E263" s="18" t="str">
        <f ca="1">IFERROR(__xludf.DUMMYFUNCTION("""COMPUTED_VALUE"""),"int16")</f>
        <v>int16</v>
      </c>
      <c r="F263" s="18" t="str">
        <f ca="1">IFERROR(__xludf.DUMMYFUNCTION("""COMPUTED_VALUE"""),"false")</f>
        <v>false</v>
      </c>
      <c r="G263" s="18" t="str">
        <f ca="1">IFERROR(__xludf.DUMMYFUNCTION("""COMPUTED_VALUE"""),"polled")</f>
        <v>polled</v>
      </c>
      <c r="H263" s="18" t="str">
        <f ca="1">IFERROR(__xludf.DUMMYFUNCTION("""COMPUTED_VALUE"""),"86400")</f>
        <v>86400</v>
      </c>
      <c r="I263" s="18" t="str">
        <f ca="1">IFERROR(__xludf.DUMMYFUNCTION("""COMPUTED_VALUE"""),"N/A")</f>
        <v>N/A</v>
      </c>
      <c r="J263" s="18" t="str">
        <f ca="1">IFERROR(__xludf.DUMMYFUNCTION("""COMPUTED_VALUE"""),"N/A")</f>
        <v>N/A</v>
      </c>
      <c r="K263" s="18" t="str">
        <f ca="1">IFERROR(__xludf.DUMMYFUNCTION("""COMPUTED_VALUE"""),"N/A")</f>
        <v>N/A</v>
      </c>
      <c r="L263" s="18" t="str">
        <f ca="1">IFERROR(__xludf.DUMMYFUNCTION("""COMPUTED_VALUE"""),"N/A")</f>
        <v>N/A</v>
      </c>
      <c r="M263" s="18" t="str">
        <f ca="1">IFERROR(__xludf.DUMMYFUNCTION("""COMPUTED_VALUE"""),"N/A")</f>
        <v>N/A</v>
      </c>
      <c r="N263" s="18" t="str">
        <f ca="1">IFERROR(__xludf.DUMMYFUNCTION("""COMPUTED_VALUE"""),"N/A")</f>
        <v>N/A</v>
      </c>
      <c r="O263" s="18" t="str">
        <f ca="1">IFERROR(__xludf.DUMMYFUNCTION("""COMPUTED_VALUE"""),"N/A")</f>
        <v>N/A</v>
      </c>
      <c r="P263" s="18" t="str">
        <f ca="1">IFERROR(__xludf.DUMMYFUNCTION("""COMPUTED_VALUE"""),"N/A")</f>
        <v>N/A</v>
      </c>
      <c r="Q263" s="18" t="str">
        <f ca="1">IFERROR(__xludf.DUMMYFUNCTION("""COMPUTED_VALUE"""),"N/A")</f>
        <v>N/A</v>
      </c>
      <c r="R263" s="18" t="str">
        <f ca="1">IFERROR(__xludf.DUMMYFUNCTION("""COMPUTED_VALUE"""),"N/A")</f>
        <v>N/A</v>
      </c>
      <c r="S263" s="18" t="str">
        <f ca="1">IFERROR(__xludf.DUMMYFUNCTION("""COMPUTED_VALUE"""),"null")</f>
        <v>null</v>
      </c>
      <c r="T263" s="18" t="str">
        <f ca="1">IFERROR(__xludf.DUMMYFUNCTION("""COMPUTED_VALUE"""),"0xF202")</f>
        <v>0xF202</v>
      </c>
      <c r="U263" s="18" t="str">
        <f ca="1">IFERROR(__xludf.DUMMYFUNCTION("""COMPUTED_VALUE"""),"0x0A")</f>
        <v>0x0A</v>
      </c>
      <c r="V263" s="18" t="str">
        <f ca="1">IFERROR(__xludf.DUMMYFUNCTION("""COMPUTED_VALUE"""),"0x0104")</f>
        <v>0x0104</v>
      </c>
      <c r="W263" s="18" t="str">
        <f ca="1">IFERROR(__xludf.DUMMYFUNCTION("""COMPUTED_VALUE"""),"0x0201")</f>
        <v>0x0201</v>
      </c>
      <c r="X263" s="18" t="str">
        <f ca="1">IFERROR(__xludf.DUMMYFUNCTION("""COMPUTED_VALUE"""),"0x23")</f>
        <v>0x23</v>
      </c>
      <c r="Y263" s="18" t="e">
        <f ca="1"/>
        <v>#NAME?</v>
      </c>
      <c r="Z263" s="18" t="str">
        <f ca="1">IFERROR(__xludf.DUMMYFUNCTION("""COMPUTED_VALUE"""),"N/A")</f>
        <v>N/A</v>
      </c>
      <c r="AA263" s="18" t="str">
        <f ca="1">IFERROR(__xludf.DUMMYFUNCTION("""COMPUTED_VALUE"""),"N/A")</f>
        <v>N/A</v>
      </c>
      <c r="AC263" s="59" t="s">
        <v>1373</v>
      </c>
      <c r="AD263" s="59" t="s">
        <v>1480</v>
      </c>
      <c r="AE263" s="59" t="s">
        <v>1428</v>
      </c>
      <c r="AF263" s="59" t="s">
        <v>1402</v>
      </c>
      <c r="AG263" s="59" t="s">
        <v>1485</v>
      </c>
      <c r="AH263" s="59" t="s">
        <v>1471</v>
      </c>
      <c r="AI263" s="59" t="s">
        <v>1476</v>
      </c>
      <c r="AJ263" s="59" t="s">
        <v>1476</v>
      </c>
      <c r="AK263" s="59" t="s">
        <v>1415</v>
      </c>
      <c r="AL263" s="59" t="s">
        <v>1477</v>
      </c>
      <c r="AM263" s="59" t="s">
        <v>1477</v>
      </c>
      <c r="AN263" s="59" t="s">
        <v>1488</v>
      </c>
      <c r="AO263" s="59"/>
      <c r="AP263" s="59" t="s">
        <v>1468</v>
      </c>
      <c r="AQ263" s="59"/>
      <c r="AR263" s="59"/>
      <c r="AS263" s="59"/>
      <c r="AT263" s="59"/>
    </row>
    <row r="264" spans="1:46" x14ac:dyDescent="0.25">
      <c r="A264" s="18" t="str">
        <v>contact_config_3:{"type":"attribute","data_type":"int16","is_readonly":false,"reporting_type":"polled","poll_freq":86400,"default_value":null,"zigbee_metadata":{"attr_id":61955,"endpoint_id":10,"profile_id":260,"cluster_id":513,"zcl_data_type":35}},</v>
      </c>
      <c r="B264" s="52" t="str">
        <f ca="1"/>
        <v>0x0201 0xF203</v>
      </c>
      <c r="C264" s="52" t="str">
        <f ca="1">IFERROR(__xludf.DUMMYFUNCTION("""COMPUTED_VALUE"""),"contact_config_3")</f>
        <v>contact_config_3</v>
      </c>
      <c r="D264" s="18" t="str">
        <f ca="1">IFERROR(__xludf.DUMMYFUNCTION("""COMPUTED_VALUE"""),"attribute")</f>
        <v>attribute</v>
      </c>
      <c r="E264" s="18" t="str">
        <f ca="1">IFERROR(__xludf.DUMMYFUNCTION("""COMPUTED_VALUE"""),"int16")</f>
        <v>int16</v>
      </c>
      <c r="F264" s="18" t="str">
        <f ca="1">IFERROR(__xludf.DUMMYFUNCTION("""COMPUTED_VALUE"""),"false")</f>
        <v>false</v>
      </c>
      <c r="G264" s="18" t="str">
        <f ca="1">IFERROR(__xludf.DUMMYFUNCTION("""COMPUTED_VALUE"""),"polled")</f>
        <v>polled</v>
      </c>
      <c r="H264" s="18" t="str">
        <f ca="1">IFERROR(__xludf.DUMMYFUNCTION("""COMPUTED_VALUE"""),"86400")</f>
        <v>86400</v>
      </c>
      <c r="I264" s="18" t="str">
        <f ca="1">IFERROR(__xludf.DUMMYFUNCTION("""COMPUTED_VALUE"""),"N/A")</f>
        <v>N/A</v>
      </c>
      <c r="J264" s="18" t="str">
        <f ca="1">IFERROR(__xludf.DUMMYFUNCTION("""COMPUTED_VALUE"""),"N/A")</f>
        <v>N/A</v>
      </c>
      <c r="K264" s="18" t="str">
        <f ca="1">IFERROR(__xludf.DUMMYFUNCTION("""COMPUTED_VALUE"""),"N/A")</f>
        <v>N/A</v>
      </c>
      <c r="L264" s="18" t="str">
        <f ca="1">IFERROR(__xludf.DUMMYFUNCTION("""COMPUTED_VALUE"""),"N/A")</f>
        <v>N/A</v>
      </c>
      <c r="M264" s="18" t="str">
        <f ca="1">IFERROR(__xludf.DUMMYFUNCTION("""COMPUTED_VALUE"""),"N/A")</f>
        <v>N/A</v>
      </c>
      <c r="N264" s="18" t="str">
        <f ca="1">IFERROR(__xludf.DUMMYFUNCTION("""COMPUTED_VALUE"""),"N/A")</f>
        <v>N/A</v>
      </c>
      <c r="O264" s="18" t="str">
        <f ca="1">IFERROR(__xludf.DUMMYFUNCTION("""COMPUTED_VALUE"""),"N/A")</f>
        <v>N/A</v>
      </c>
      <c r="P264" s="18" t="str">
        <f ca="1">IFERROR(__xludf.DUMMYFUNCTION("""COMPUTED_VALUE"""),"N/A")</f>
        <v>N/A</v>
      </c>
      <c r="Q264" s="18" t="str">
        <f ca="1">IFERROR(__xludf.DUMMYFUNCTION("""COMPUTED_VALUE"""),"N/A")</f>
        <v>N/A</v>
      </c>
      <c r="R264" s="18" t="str">
        <f ca="1">IFERROR(__xludf.DUMMYFUNCTION("""COMPUTED_VALUE"""),"N/A")</f>
        <v>N/A</v>
      </c>
      <c r="S264" s="18" t="str">
        <f ca="1">IFERROR(__xludf.DUMMYFUNCTION("""COMPUTED_VALUE"""),"null")</f>
        <v>null</v>
      </c>
      <c r="T264" s="18" t="str">
        <f ca="1">IFERROR(__xludf.DUMMYFUNCTION("""COMPUTED_VALUE"""),"0xF203")</f>
        <v>0xF203</v>
      </c>
      <c r="U264" s="18" t="str">
        <f ca="1">IFERROR(__xludf.DUMMYFUNCTION("""COMPUTED_VALUE"""),"0x0A")</f>
        <v>0x0A</v>
      </c>
      <c r="V264" s="18" t="str">
        <f ca="1">IFERROR(__xludf.DUMMYFUNCTION("""COMPUTED_VALUE"""),"0x0104")</f>
        <v>0x0104</v>
      </c>
      <c r="W264" s="18" t="str">
        <f ca="1">IFERROR(__xludf.DUMMYFUNCTION("""COMPUTED_VALUE"""),"0x0201")</f>
        <v>0x0201</v>
      </c>
      <c r="X264" s="18" t="str">
        <f ca="1">IFERROR(__xludf.DUMMYFUNCTION("""COMPUTED_VALUE"""),"0x23")</f>
        <v>0x23</v>
      </c>
      <c r="Y264" s="18" t="e">
        <f ca="1"/>
        <v>#NAME?</v>
      </c>
      <c r="Z264" s="18" t="str">
        <f ca="1">IFERROR(__xludf.DUMMYFUNCTION("""COMPUTED_VALUE"""),"N/A")</f>
        <v>N/A</v>
      </c>
      <c r="AA264" s="18" t="str">
        <f ca="1">IFERROR(__xludf.DUMMYFUNCTION("""COMPUTED_VALUE"""),"N/A")</f>
        <v>N/A</v>
      </c>
      <c r="AC264" s="59" t="s">
        <v>1378</v>
      </c>
      <c r="AD264" s="59" t="s">
        <v>1365</v>
      </c>
      <c r="AE264" s="59" t="s">
        <v>1398</v>
      </c>
      <c r="AF264" s="59" t="s">
        <v>1406</v>
      </c>
      <c r="AG264" s="59" t="s">
        <v>1491</v>
      </c>
      <c r="AH264" s="59" t="s">
        <v>1476</v>
      </c>
      <c r="AI264" s="59" t="s">
        <v>1481</v>
      </c>
      <c r="AJ264" s="59" t="s">
        <v>1481</v>
      </c>
      <c r="AK264" s="59" t="s">
        <v>1418</v>
      </c>
      <c r="AL264" s="59" t="s">
        <v>1482</v>
      </c>
      <c r="AM264" s="59" t="s">
        <v>1482</v>
      </c>
      <c r="AN264" s="59" t="s">
        <v>1494</v>
      </c>
      <c r="AO264" s="59"/>
      <c r="AP264" s="59" t="s">
        <v>1472</v>
      </c>
      <c r="AQ264" s="59"/>
      <c r="AR264" s="59"/>
      <c r="AS264" s="59"/>
      <c r="AT264" s="59"/>
    </row>
    <row r="265" spans="1:46" x14ac:dyDescent="0.25">
      <c r="A265" s="18" t="str">
        <v>contact_config_4:{"type":"attribute","data_type":"int16","is_readonly":false,"reporting_type":"polled","poll_freq":86400,"default_value":null,"zigbee_metadata":{"attr_id":61956,"endpoint_id":10,"profile_id":260,"cluster_id":513,"zcl_data_type":35}},</v>
      </c>
      <c r="B265" s="52" t="str">
        <f ca="1"/>
        <v>0x0201 0xF204</v>
      </c>
      <c r="C265" s="52" t="str">
        <f ca="1">IFERROR(__xludf.DUMMYFUNCTION("""COMPUTED_VALUE"""),"contact_config_4")</f>
        <v>contact_config_4</v>
      </c>
      <c r="D265" s="18" t="str">
        <f ca="1">IFERROR(__xludf.DUMMYFUNCTION("""COMPUTED_VALUE"""),"attribute")</f>
        <v>attribute</v>
      </c>
      <c r="E265" s="18" t="str">
        <f ca="1">IFERROR(__xludf.DUMMYFUNCTION("""COMPUTED_VALUE"""),"int16")</f>
        <v>int16</v>
      </c>
      <c r="F265" s="18" t="str">
        <f ca="1">IFERROR(__xludf.DUMMYFUNCTION("""COMPUTED_VALUE"""),"false")</f>
        <v>false</v>
      </c>
      <c r="G265" s="18" t="str">
        <f ca="1">IFERROR(__xludf.DUMMYFUNCTION("""COMPUTED_VALUE"""),"polled")</f>
        <v>polled</v>
      </c>
      <c r="H265" s="18" t="str">
        <f ca="1">IFERROR(__xludf.DUMMYFUNCTION("""COMPUTED_VALUE"""),"86400")</f>
        <v>86400</v>
      </c>
      <c r="I265" s="18" t="str">
        <f ca="1">IFERROR(__xludf.DUMMYFUNCTION("""COMPUTED_VALUE"""),"N/A")</f>
        <v>N/A</v>
      </c>
      <c r="J265" s="18" t="str">
        <f ca="1">IFERROR(__xludf.DUMMYFUNCTION("""COMPUTED_VALUE"""),"N/A")</f>
        <v>N/A</v>
      </c>
      <c r="K265" s="18" t="str">
        <f ca="1">IFERROR(__xludf.DUMMYFUNCTION("""COMPUTED_VALUE"""),"N/A")</f>
        <v>N/A</v>
      </c>
      <c r="L265" s="18" t="str">
        <f ca="1">IFERROR(__xludf.DUMMYFUNCTION("""COMPUTED_VALUE"""),"N/A")</f>
        <v>N/A</v>
      </c>
      <c r="M265" s="18" t="str">
        <f ca="1">IFERROR(__xludf.DUMMYFUNCTION("""COMPUTED_VALUE"""),"N/A")</f>
        <v>N/A</v>
      </c>
      <c r="N265" s="18" t="str">
        <f ca="1">IFERROR(__xludf.DUMMYFUNCTION("""COMPUTED_VALUE"""),"N/A")</f>
        <v>N/A</v>
      </c>
      <c r="O265" s="18" t="str">
        <f ca="1">IFERROR(__xludf.DUMMYFUNCTION("""COMPUTED_VALUE"""),"N/A")</f>
        <v>N/A</v>
      </c>
      <c r="P265" s="18" t="str">
        <f ca="1">IFERROR(__xludf.DUMMYFUNCTION("""COMPUTED_VALUE"""),"N/A")</f>
        <v>N/A</v>
      </c>
      <c r="Q265" s="18" t="str">
        <f ca="1">IFERROR(__xludf.DUMMYFUNCTION("""COMPUTED_VALUE"""),"N/A")</f>
        <v>N/A</v>
      </c>
      <c r="R265" s="18" t="str">
        <f ca="1">IFERROR(__xludf.DUMMYFUNCTION("""COMPUTED_VALUE"""),"N/A")</f>
        <v>N/A</v>
      </c>
      <c r="S265" s="18" t="str">
        <f ca="1">IFERROR(__xludf.DUMMYFUNCTION("""COMPUTED_VALUE"""),"null")</f>
        <v>null</v>
      </c>
      <c r="T265" s="18" t="str">
        <f ca="1">IFERROR(__xludf.DUMMYFUNCTION("""COMPUTED_VALUE"""),"0xF204")</f>
        <v>0xF204</v>
      </c>
      <c r="U265" s="18" t="str">
        <f ca="1">IFERROR(__xludf.DUMMYFUNCTION("""COMPUTED_VALUE"""),"0x0A")</f>
        <v>0x0A</v>
      </c>
      <c r="V265" s="18" t="str">
        <f ca="1">IFERROR(__xludf.DUMMYFUNCTION("""COMPUTED_VALUE"""),"0x0104")</f>
        <v>0x0104</v>
      </c>
      <c r="W265" s="18" t="str">
        <f ca="1">IFERROR(__xludf.DUMMYFUNCTION("""COMPUTED_VALUE"""),"0x0201")</f>
        <v>0x0201</v>
      </c>
      <c r="X265" s="18" t="str">
        <f ca="1">IFERROR(__xludf.DUMMYFUNCTION("""COMPUTED_VALUE"""),"0x23")</f>
        <v>0x23</v>
      </c>
      <c r="Y265" s="18" t="e">
        <f ca="1"/>
        <v>#NAME?</v>
      </c>
      <c r="Z265" s="18" t="str">
        <f ca="1">IFERROR(__xludf.DUMMYFUNCTION("""COMPUTED_VALUE"""),"N/A")</f>
        <v>N/A</v>
      </c>
      <c r="AA265" s="18" t="str">
        <f ca="1">IFERROR(__xludf.DUMMYFUNCTION("""COMPUTED_VALUE"""),"N/A")</f>
        <v>N/A</v>
      </c>
      <c r="AC265" s="59" t="s">
        <v>1382</v>
      </c>
      <c r="AD265" s="59" t="s">
        <v>1369</v>
      </c>
      <c r="AE265" s="59" t="s">
        <v>1402</v>
      </c>
      <c r="AF265" s="59" t="s">
        <v>1485</v>
      </c>
      <c r="AG265" s="59" t="s">
        <v>1497</v>
      </c>
      <c r="AH265" s="59" t="s">
        <v>1481</v>
      </c>
      <c r="AI265" s="59" t="s">
        <v>1487</v>
      </c>
      <c r="AJ265" s="59" t="s">
        <v>1487</v>
      </c>
      <c r="AK265" s="59" t="s">
        <v>1422</v>
      </c>
      <c r="AL265" s="59" t="s">
        <v>1488</v>
      </c>
      <c r="AM265" s="59" t="s">
        <v>1488</v>
      </c>
      <c r="AN265" s="59" t="s">
        <v>1500</v>
      </c>
      <c r="AO265" s="59"/>
      <c r="AP265" s="59" t="s">
        <v>1477</v>
      </c>
      <c r="AQ265" s="59"/>
      <c r="AR265" s="59"/>
      <c r="AS265" s="59"/>
      <c r="AT265" s="59"/>
    </row>
    <row r="266" spans="1:46" x14ac:dyDescent="0.25">
      <c r="A266" s="18" t="str">
        <v>contact_config_5:{"type":"attribute","data_type":"int16","is_readonly":false,"reporting_type":"polled","poll_freq":86400,"default_value":null,"zigbee_metadata":{"attr_id":61957,"endpoint_id":10,"profile_id":260,"cluster_id":513,"zcl_data_type":35}},</v>
      </c>
      <c r="B266" s="52" t="str">
        <f ca="1"/>
        <v>0x0201 0xF205</v>
      </c>
      <c r="C266" s="52" t="str">
        <f ca="1">IFERROR(__xludf.DUMMYFUNCTION("""COMPUTED_VALUE"""),"contact_config_5")</f>
        <v>contact_config_5</v>
      </c>
      <c r="D266" s="18" t="str">
        <f ca="1">IFERROR(__xludf.DUMMYFUNCTION("""COMPUTED_VALUE"""),"attribute")</f>
        <v>attribute</v>
      </c>
      <c r="E266" s="18" t="str">
        <f ca="1">IFERROR(__xludf.DUMMYFUNCTION("""COMPUTED_VALUE"""),"int16")</f>
        <v>int16</v>
      </c>
      <c r="F266" s="18" t="str">
        <f ca="1">IFERROR(__xludf.DUMMYFUNCTION("""COMPUTED_VALUE"""),"false")</f>
        <v>false</v>
      </c>
      <c r="G266" s="18" t="str">
        <f ca="1">IFERROR(__xludf.DUMMYFUNCTION("""COMPUTED_VALUE"""),"polled")</f>
        <v>polled</v>
      </c>
      <c r="H266" s="18" t="str">
        <f ca="1">IFERROR(__xludf.DUMMYFUNCTION("""COMPUTED_VALUE"""),"86400")</f>
        <v>86400</v>
      </c>
      <c r="I266" s="18" t="str">
        <f ca="1">IFERROR(__xludf.DUMMYFUNCTION("""COMPUTED_VALUE"""),"N/A")</f>
        <v>N/A</v>
      </c>
      <c r="J266" s="18" t="str">
        <f ca="1">IFERROR(__xludf.DUMMYFUNCTION("""COMPUTED_VALUE"""),"N/A")</f>
        <v>N/A</v>
      </c>
      <c r="K266" s="18" t="str">
        <f ca="1">IFERROR(__xludf.DUMMYFUNCTION("""COMPUTED_VALUE"""),"N/A")</f>
        <v>N/A</v>
      </c>
      <c r="L266" s="18" t="str">
        <f ca="1">IFERROR(__xludf.DUMMYFUNCTION("""COMPUTED_VALUE"""),"N/A")</f>
        <v>N/A</v>
      </c>
      <c r="M266" s="18" t="str">
        <f ca="1">IFERROR(__xludf.DUMMYFUNCTION("""COMPUTED_VALUE"""),"N/A")</f>
        <v>N/A</v>
      </c>
      <c r="N266" s="18" t="str">
        <f ca="1">IFERROR(__xludf.DUMMYFUNCTION("""COMPUTED_VALUE"""),"N/A")</f>
        <v>N/A</v>
      </c>
      <c r="O266" s="18" t="str">
        <f ca="1">IFERROR(__xludf.DUMMYFUNCTION("""COMPUTED_VALUE"""),"N/A")</f>
        <v>N/A</v>
      </c>
      <c r="P266" s="18" t="str">
        <f ca="1">IFERROR(__xludf.DUMMYFUNCTION("""COMPUTED_VALUE"""),"N/A")</f>
        <v>N/A</v>
      </c>
      <c r="Q266" s="18" t="str">
        <f ca="1">IFERROR(__xludf.DUMMYFUNCTION("""COMPUTED_VALUE"""),"N/A")</f>
        <v>N/A</v>
      </c>
      <c r="R266" s="18" t="str">
        <f ca="1">IFERROR(__xludf.DUMMYFUNCTION("""COMPUTED_VALUE"""),"N/A")</f>
        <v>N/A</v>
      </c>
      <c r="S266" s="18" t="str">
        <f ca="1">IFERROR(__xludf.DUMMYFUNCTION("""COMPUTED_VALUE"""),"null")</f>
        <v>null</v>
      </c>
      <c r="T266" s="18" t="str">
        <f ca="1">IFERROR(__xludf.DUMMYFUNCTION("""COMPUTED_VALUE"""),"0xF205")</f>
        <v>0xF205</v>
      </c>
      <c r="U266" s="18" t="str">
        <f ca="1">IFERROR(__xludf.DUMMYFUNCTION("""COMPUTED_VALUE"""),"0x0A")</f>
        <v>0x0A</v>
      </c>
      <c r="V266" s="18" t="str">
        <f ca="1">IFERROR(__xludf.DUMMYFUNCTION("""COMPUTED_VALUE"""),"0x0104")</f>
        <v>0x0104</v>
      </c>
      <c r="W266" s="18" t="str">
        <f ca="1">IFERROR(__xludf.DUMMYFUNCTION("""COMPUTED_VALUE"""),"0x0201")</f>
        <v>0x0201</v>
      </c>
      <c r="X266" s="18" t="str">
        <f ca="1">IFERROR(__xludf.DUMMYFUNCTION("""COMPUTED_VALUE"""),"0x23")</f>
        <v>0x23</v>
      </c>
      <c r="Y266" s="18" t="e">
        <f ca="1"/>
        <v>#NAME?</v>
      </c>
      <c r="Z266" s="18" t="str">
        <f ca="1">IFERROR(__xludf.DUMMYFUNCTION("""COMPUTED_VALUE"""),"N/A")</f>
        <v>N/A</v>
      </c>
      <c r="AA266" s="18" t="str">
        <f ca="1">IFERROR(__xludf.DUMMYFUNCTION("""COMPUTED_VALUE"""),"N/A")</f>
        <v>N/A</v>
      </c>
      <c r="AC266" s="59" t="s">
        <v>1387</v>
      </c>
      <c r="AD266" s="59" t="s">
        <v>1374</v>
      </c>
      <c r="AE266" s="59" t="s">
        <v>1406</v>
      </c>
      <c r="AF266" s="59" t="s">
        <v>1491</v>
      </c>
      <c r="AG266" s="59" t="s">
        <v>1503</v>
      </c>
      <c r="AH266" s="59" t="s">
        <v>1487</v>
      </c>
      <c r="AI266" s="59" t="s">
        <v>1493</v>
      </c>
      <c r="AJ266" s="59" t="s">
        <v>1493</v>
      </c>
      <c r="AK266" s="59" t="s">
        <v>1425</v>
      </c>
      <c r="AL266" s="59" t="s">
        <v>1494</v>
      </c>
      <c r="AM266" s="59" t="s">
        <v>1494</v>
      </c>
      <c r="AN266" s="59" t="s">
        <v>1506</v>
      </c>
      <c r="AO266" s="59"/>
      <c r="AP266" s="59" t="s">
        <v>1482</v>
      </c>
      <c r="AQ266" s="59"/>
      <c r="AR266" s="59"/>
      <c r="AS266" s="59"/>
      <c r="AT266" s="59"/>
    </row>
    <row r="267" spans="1:46" x14ac:dyDescent="0.25">
      <c r="A267" s="18" t="str">
        <v>contact_config_6:{"type":"attribute","data_type":"int16","is_readonly":false,"reporting_type":"polled","poll_freq":86400,"default_value":null,"zigbee_metadata":{"attr_id":61958,"endpoint_id":10,"profile_id":260,"cluster_id":513,"zcl_data_type":35}},</v>
      </c>
      <c r="B267" s="52" t="str">
        <f ca="1"/>
        <v>0x0201 0xF206</v>
      </c>
      <c r="C267" s="52" t="str">
        <f ca="1">IFERROR(__xludf.DUMMYFUNCTION("""COMPUTED_VALUE"""),"contact_config_6")</f>
        <v>contact_config_6</v>
      </c>
      <c r="D267" s="18" t="str">
        <f ca="1">IFERROR(__xludf.DUMMYFUNCTION("""COMPUTED_VALUE"""),"attribute")</f>
        <v>attribute</v>
      </c>
      <c r="E267" s="18" t="str">
        <f ca="1">IFERROR(__xludf.DUMMYFUNCTION("""COMPUTED_VALUE"""),"int16")</f>
        <v>int16</v>
      </c>
      <c r="F267" s="18" t="str">
        <f ca="1">IFERROR(__xludf.DUMMYFUNCTION("""COMPUTED_VALUE"""),"false")</f>
        <v>false</v>
      </c>
      <c r="G267" s="18" t="str">
        <f ca="1">IFERROR(__xludf.DUMMYFUNCTION("""COMPUTED_VALUE"""),"polled")</f>
        <v>polled</v>
      </c>
      <c r="H267" s="18" t="str">
        <f ca="1">IFERROR(__xludf.DUMMYFUNCTION("""COMPUTED_VALUE"""),"86400")</f>
        <v>86400</v>
      </c>
      <c r="I267" s="18" t="str">
        <f ca="1">IFERROR(__xludf.DUMMYFUNCTION("""COMPUTED_VALUE"""),"N/A")</f>
        <v>N/A</v>
      </c>
      <c r="J267" s="18" t="str">
        <f ca="1">IFERROR(__xludf.DUMMYFUNCTION("""COMPUTED_VALUE"""),"N/A")</f>
        <v>N/A</v>
      </c>
      <c r="K267" s="18" t="str">
        <f ca="1">IFERROR(__xludf.DUMMYFUNCTION("""COMPUTED_VALUE"""),"N/A")</f>
        <v>N/A</v>
      </c>
      <c r="L267" s="18" t="str">
        <f ca="1">IFERROR(__xludf.DUMMYFUNCTION("""COMPUTED_VALUE"""),"N/A")</f>
        <v>N/A</v>
      </c>
      <c r="M267" s="18" t="str">
        <f ca="1">IFERROR(__xludf.DUMMYFUNCTION("""COMPUTED_VALUE"""),"N/A")</f>
        <v>N/A</v>
      </c>
      <c r="N267" s="18" t="str">
        <f ca="1">IFERROR(__xludf.DUMMYFUNCTION("""COMPUTED_VALUE"""),"N/A")</f>
        <v>N/A</v>
      </c>
      <c r="O267" s="18" t="str">
        <f ca="1">IFERROR(__xludf.DUMMYFUNCTION("""COMPUTED_VALUE"""),"N/A")</f>
        <v>N/A</v>
      </c>
      <c r="P267" s="18" t="str">
        <f ca="1">IFERROR(__xludf.DUMMYFUNCTION("""COMPUTED_VALUE"""),"N/A")</f>
        <v>N/A</v>
      </c>
      <c r="Q267" s="18" t="str">
        <f ca="1">IFERROR(__xludf.DUMMYFUNCTION("""COMPUTED_VALUE"""),"N/A")</f>
        <v>N/A</v>
      </c>
      <c r="R267" s="18" t="str">
        <f ca="1">IFERROR(__xludf.DUMMYFUNCTION("""COMPUTED_VALUE"""),"N/A")</f>
        <v>N/A</v>
      </c>
      <c r="S267" s="18" t="str">
        <f ca="1">IFERROR(__xludf.DUMMYFUNCTION("""COMPUTED_VALUE"""),"null")</f>
        <v>null</v>
      </c>
      <c r="T267" s="18" t="str">
        <f ca="1">IFERROR(__xludf.DUMMYFUNCTION("""COMPUTED_VALUE"""),"0xF206")</f>
        <v>0xF206</v>
      </c>
      <c r="U267" s="18" t="str">
        <f ca="1">IFERROR(__xludf.DUMMYFUNCTION("""COMPUTED_VALUE"""),"0x0A")</f>
        <v>0x0A</v>
      </c>
      <c r="V267" s="18" t="str">
        <f ca="1">IFERROR(__xludf.DUMMYFUNCTION("""COMPUTED_VALUE"""),"0x0104")</f>
        <v>0x0104</v>
      </c>
      <c r="W267" s="18" t="str">
        <f ca="1">IFERROR(__xludf.DUMMYFUNCTION("""COMPUTED_VALUE"""),"0x0201")</f>
        <v>0x0201</v>
      </c>
      <c r="X267" s="18" t="str">
        <f ca="1">IFERROR(__xludf.DUMMYFUNCTION("""COMPUTED_VALUE"""),"0x23")</f>
        <v>0x23</v>
      </c>
      <c r="Y267" s="18" t="e">
        <f ca="1"/>
        <v>#NAME?</v>
      </c>
      <c r="Z267" s="18" t="str">
        <f ca="1">IFERROR(__xludf.DUMMYFUNCTION("""COMPUTED_VALUE"""),"N/A")</f>
        <v>N/A</v>
      </c>
      <c r="AA267" s="18" t="str">
        <f ca="1">IFERROR(__xludf.DUMMYFUNCTION("""COMPUTED_VALUE"""),"N/A")</f>
        <v>N/A</v>
      </c>
      <c r="AC267" s="59" t="s">
        <v>1392</v>
      </c>
      <c r="AD267" s="59" t="s">
        <v>1379</v>
      </c>
      <c r="AE267" s="59" t="s">
        <v>1485</v>
      </c>
      <c r="AF267" s="59" t="s">
        <v>1497</v>
      </c>
      <c r="AG267" s="59" t="s">
        <v>1508</v>
      </c>
      <c r="AH267" s="59" t="s">
        <v>1493</v>
      </c>
      <c r="AI267" s="59" t="s">
        <v>1499</v>
      </c>
      <c r="AJ267" s="59" t="s">
        <v>1499</v>
      </c>
      <c r="AK267" s="59" t="s">
        <v>1429</v>
      </c>
      <c r="AL267" s="59" t="s">
        <v>1500</v>
      </c>
      <c r="AM267" s="59" t="s">
        <v>1500</v>
      </c>
      <c r="AN267" s="59" t="s">
        <v>1511</v>
      </c>
      <c r="AO267" s="59"/>
      <c r="AP267" s="59" t="s">
        <v>1488</v>
      </c>
      <c r="AQ267" s="59"/>
      <c r="AR267" s="59"/>
      <c r="AS267" s="59"/>
      <c r="AT267" s="59"/>
    </row>
    <row r="268" spans="1:46" x14ac:dyDescent="0.25">
      <c r="A268" s="18" t="str">
        <v>contact_config_7:{"type":"attribute","data_type":"int16","is_readonly":false,"reporting_type":"polled","poll_freq":86400,"default_value":null,"zigbee_metadata":{"attr_id":61959,"endpoint_id":10,"profile_id":260,"cluster_id":513,"zcl_data_type":35}},</v>
      </c>
      <c r="B268" s="52" t="str">
        <f ca="1"/>
        <v>0x0201 0xF207</v>
      </c>
      <c r="C268" s="52" t="str">
        <f ca="1">IFERROR(__xludf.DUMMYFUNCTION("""COMPUTED_VALUE"""),"contact_config_7")</f>
        <v>contact_config_7</v>
      </c>
      <c r="D268" s="18" t="str">
        <f ca="1">IFERROR(__xludf.DUMMYFUNCTION("""COMPUTED_VALUE"""),"attribute")</f>
        <v>attribute</v>
      </c>
      <c r="E268" s="18" t="str">
        <f ca="1">IFERROR(__xludf.DUMMYFUNCTION("""COMPUTED_VALUE"""),"int16")</f>
        <v>int16</v>
      </c>
      <c r="F268" s="18" t="str">
        <f ca="1">IFERROR(__xludf.DUMMYFUNCTION("""COMPUTED_VALUE"""),"false")</f>
        <v>false</v>
      </c>
      <c r="G268" s="18" t="str">
        <f ca="1">IFERROR(__xludf.DUMMYFUNCTION("""COMPUTED_VALUE"""),"polled")</f>
        <v>polled</v>
      </c>
      <c r="H268" s="18" t="str">
        <f ca="1">IFERROR(__xludf.DUMMYFUNCTION("""COMPUTED_VALUE"""),"86400")</f>
        <v>86400</v>
      </c>
      <c r="I268" s="18" t="str">
        <f ca="1">IFERROR(__xludf.DUMMYFUNCTION("""COMPUTED_VALUE"""),"N/A")</f>
        <v>N/A</v>
      </c>
      <c r="J268" s="18" t="str">
        <f ca="1">IFERROR(__xludf.DUMMYFUNCTION("""COMPUTED_VALUE"""),"N/A")</f>
        <v>N/A</v>
      </c>
      <c r="K268" s="18" t="str">
        <f ca="1">IFERROR(__xludf.DUMMYFUNCTION("""COMPUTED_VALUE"""),"N/A")</f>
        <v>N/A</v>
      </c>
      <c r="L268" s="18" t="str">
        <f ca="1">IFERROR(__xludf.DUMMYFUNCTION("""COMPUTED_VALUE"""),"N/A")</f>
        <v>N/A</v>
      </c>
      <c r="M268" s="18" t="str">
        <f ca="1">IFERROR(__xludf.DUMMYFUNCTION("""COMPUTED_VALUE"""),"N/A")</f>
        <v>N/A</v>
      </c>
      <c r="N268" s="18" t="str">
        <f ca="1">IFERROR(__xludf.DUMMYFUNCTION("""COMPUTED_VALUE"""),"N/A")</f>
        <v>N/A</v>
      </c>
      <c r="O268" s="18" t="str">
        <f ca="1">IFERROR(__xludf.DUMMYFUNCTION("""COMPUTED_VALUE"""),"N/A")</f>
        <v>N/A</v>
      </c>
      <c r="P268" s="18" t="str">
        <f ca="1">IFERROR(__xludf.DUMMYFUNCTION("""COMPUTED_VALUE"""),"N/A")</f>
        <v>N/A</v>
      </c>
      <c r="Q268" s="18" t="str">
        <f ca="1">IFERROR(__xludf.DUMMYFUNCTION("""COMPUTED_VALUE"""),"N/A")</f>
        <v>N/A</v>
      </c>
      <c r="R268" s="18" t="str">
        <f ca="1">IFERROR(__xludf.DUMMYFUNCTION("""COMPUTED_VALUE"""),"N/A")</f>
        <v>N/A</v>
      </c>
      <c r="S268" s="18" t="str">
        <f ca="1">IFERROR(__xludf.DUMMYFUNCTION("""COMPUTED_VALUE"""),"null")</f>
        <v>null</v>
      </c>
      <c r="T268" s="18" t="str">
        <f ca="1">IFERROR(__xludf.DUMMYFUNCTION("""COMPUTED_VALUE"""),"0xF207")</f>
        <v>0xF207</v>
      </c>
      <c r="U268" s="18" t="str">
        <f ca="1">IFERROR(__xludf.DUMMYFUNCTION("""COMPUTED_VALUE"""),"0x0A")</f>
        <v>0x0A</v>
      </c>
      <c r="V268" s="18" t="str">
        <f ca="1">IFERROR(__xludf.DUMMYFUNCTION("""COMPUTED_VALUE"""),"0x0104")</f>
        <v>0x0104</v>
      </c>
      <c r="W268" s="18" t="str">
        <f ca="1">IFERROR(__xludf.DUMMYFUNCTION("""COMPUTED_VALUE"""),"0x0201")</f>
        <v>0x0201</v>
      </c>
      <c r="X268" s="18" t="str">
        <f ca="1">IFERROR(__xludf.DUMMYFUNCTION("""COMPUTED_VALUE"""),"0x23")</f>
        <v>0x23</v>
      </c>
      <c r="Y268" s="18" t="e">
        <f ca="1"/>
        <v>#NAME?</v>
      </c>
      <c r="Z268" s="18" t="str">
        <f ca="1">IFERROR(__xludf.DUMMYFUNCTION("""COMPUTED_VALUE"""),"N/A")</f>
        <v>N/A</v>
      </c>
      <c r="AA268" s="18" t="str">
        <f ca="1">IFERROR(__xludf.DUMMYFUNCTION("""COMPUTED_VALUE"""),"N/A")</f>
        <v>N/A</v>
      </c>
      <c r="AC268" s="59" t="s">
        <v>1397</v>
      </c>
      <c r="AD268" s="59" t="s">
        <v>1421</v>
      </c>
      <c r="AE268" s="59" t="s">
        <v>1491</v>
      </c>
      <c r="AF268" s="59" t="s">
        <v>1503</v>
      </c>
      <c r="AG268" s="59" t="s">
        <v>1513</v>
      </c>
      <c r="AH268" s="59" t="s">
        <v>1499</v>
      </c>
      <c r="AI268" s="59" t="s">
        <v>1505</v>
      </c>
      <c r="AJ268" s="59" t="s">
        <v>1505</v>
      </c>
      <c r="AK268" s="59" t="s">
        <v>1432</v>
      </c>
      <c r="AL268" s="59" t="s">
        <v>1506</v>
      </c>
      <c r="AM268" s="59" t="s">
        <v>1506</v>
      </c>
      <c r="AN268" s="59" t="s">
        <v>1516</v>
      </c>
      <c r="AO268" s="59"/>
      <c r="AP268" s="59" t="s">
        <v>1494</v>
      </c>
      <c r="AQ268" s="59"/>
      <c r="AR268" s="59"/>
      <c r="AS268" s="59"/>
      <c r="AT268" s="59"/>
    </row>
    <row r="269" spans="1:46" x14ac:dyDescent="0.25">
      <c r="A269" s="18" t="str">
        <v>ntc_beta_sensor_0:{"type":"attribute","data_type":"uint16","is_readonly":false,"reporting_type":"polled","poll_freq":86400,"zigbee_metadata":{"attr_id":61632,"endpoint_id":10,"profile_id":260,"cluster_id":513,"zcl_data_type":33}},</v>
      </c>
      <c r="B269" s="52" t="str">
        <f ca="1"/>
        <v>0x0201 0xF0C0</v>
      </c>
      <c r="C269" s="52" t="str">
        <f ca="1">IFERROR(__xludf.DUMMYFUNCTION("""COMPUTED_VALUE"""),"ntc_beta_sensor_0")</f>
        <v>ntc_beta_sensor_0</v>
      </c>
      <c r="D269" s="18" t="str">
        <f ca="1">IFERROR(__xludf.DUMMYFUNCTION("""COMPUTED_VALUE"""),"attribute")</f>
        <v>attribute</v>
      </c>
      <c r="E269" s="18" t="str">
        <f ca="1">IFERROR(__xludf.DUMMYFUNCTION("""COMPUTED_VALUE"""),"uint16")</f>
        <v>uint16</v>
      </c>
      <c r="F269" s="18" t="str">
        <f ca="1">IFERROR(__xludf.DUMMYFUNCTION("""COMPUTED_VALUE"""),"false")</f>
        <v>false</v>
      </c>
      <c r="G269" s="18" t="str">
        <f ca="1">IFERROR(__xludf.DUMMYFUNCTION("""COMPUTED_VALUE"""),"polled")</f>
        <v>polled</v>
      </c>
      <c r="H269" s="18" t="str">
        <f ca="1">IFERROR(__xludf.DUMMYFUNCTION("""COMPUTED_VALUE"""),"86400")</f>
        <v>86400</v>
      </c>
      <c r="I269" s="18" t="str">
        <f ca="1">IFERROR(__xludf.DUMMYFUNCTION("""COMPUTED_VALUE"""),"N/A")</f>
        <v>N/A</v>
      </c>
      <c r="J269" s="18" t="str">
        <f ca="1">IFERROR(__xludf.DUMMYFUNCTION("""COMPUTED_VALUE"""),"N/A")</f>
        <v>N/A</v>
      </c>
      <c r="K269" s="18" t="str">
        <f ca="1">IFERROR(__xludf.DUMMYFUNCTION("""COMPUTED_VALUE"""),"N/A")</f>
        <v>N/A</v>
      </c>
      <c r="L269" s="18" t="str">
        <f ca="1">IFERROR(__xludf.DUMMYFUNCTION("""COMPUTED_VALUE"""),"N/A")</f>
        <v>N/A</v>
      </c>
      <c r="M269" s="18" t="str">
        <f ca="1">IFERROR(__xludf.DUMMYFUNCTION("""COMPUTED_VALUE"""),"N/A")</f>
        <v>N/A</v>
      </c>
      <c r="N269" s="18" t="str">
        <f ca="1">IFERROR(__xludf.DUMMYFUNCTION("""COMPUTED_VALUE"""),"N/A")</f>
        <v>N/A</v>
      </c>
      <c r="O269" s="18" t="str">
        <f ca="1">IFERROR(__xludf.DUMMYFUNCTION("""COMPUTED_VALUE"""),"N/A")</f>
        <v>N/A</v>
      </c>
      <c r="P269" s="18" t="str">
        <f ca="1">IFERROR(__xludf.DUMMYFUNCTION("""COMPUTED_VALUE"""),"N/A")</f>
        <v>N/A</v>
      </c>
      <c r="Q269" s="18" t="str">
        <f ca="1">IFERROR(__xludf.DUMMYFUNCTION("""COMPUTED_VALUE"""),"N/A")</f>
        <v>N/A</v>
      </c>
      <c r="R269" s="18" t="str">
        <f ca="1">IFERROR(__xludf.DUMMYFUNCTION("""COMPUTED_VALUE"""),"N/A")</f>
        <v>N/A</v>
      </c>
      <c r="S269" s="18" t="str">
        <f ca="1">IFERROR(__xludf.DUMMYFUNCTION("""COMPUTED_VALUE"""),"N/A")</f>
        <v>N/A</v>
      </c>
      <c r="T269" s="18" t="str">
        <f ca="1">IFERROR(__xludf.DUMMYFUNCTION("""COMPUTED_VALUE"""),"0xF0C0")</f>
        <v>0xF0C0</v>
      </c>
      <c r="U269" s="18" t="str">
        <f ca="1">IFERROR(__xludf.DUMMYFUNCTION("""COMPUTED_VALUE"""),"0x0A")</f>
        <v>0x0A</v>
      </c>
      <c r="V269" s="18" t="str">
        <f ca="1">IFERROR(__xludf.DUMMYFUNCTION("""COMPUTED_VALUE"""),"0x0104")</f>
        <v>0x0104</v>
      </c>
      <c r="W269" s="18" t="str">
        <f ca="1">IFERROR(__xludf.DUMMYFUNCTION("""COMPUTED_VALUE"""),"0x0201")</f>
        <v>0x0201</v>
      </c>
      <c r="X269" s="18" t="str">
        <f ca="1">IFERROR(__xludf.DUMMYFUNCTION("""COMPUTED_VALUE"""),"0x21")</f>
        <v>0x21</v>
      </c>
      <c r="Y269" s="18" t="e">
        <f ca="1"/>
        <v>#NAME?</v>
      </c>
      <c r="Z269" s="18" t="str">
        <f ca="1">IFERROR(__xludf.DUMMYFUNCTION("""COMPUTED_VALUE"""),"N/A")</f>
        <v>N/A</v>
      </c>
      <c r="AA269" s="18" t="str">
        <f ca="1">IFERROR(__xludf.DUMMYFUNCTION("""COMPUTED_VALUE"""),"N/A")</f>
        <v>N/A</v>
      </c>
      <c r="AC269" s="59" t="s">
        <v>1446</v>
      </c>
      <c r="AD269" s="59" t="s">
        <v>1388</v>
      </c>
      <c r="AE269" s="59" t="s">
        <v>1497</v>
      </c>
      <c r="AF269" s="59" t="s">
        <v>1508</v>
      </c>
      <c r="AG269" s="59" t="s">
        <v>1517</v>
      </c>
      <c r="AH269" s="59" t="s">
        <v>1505</v>
      </c>
      <c r="AI269" s="59" t="s">
        <v>1510</v>
      </c>
      <c r="AJ269" s="59" t="s">
        <v>1510</v>
      </c>
      <c r="AK269" s="59" t="s">
        <v>1435</v>
      </c>
      <c r="AL269" s="59" t="s">
        <v>1511</v>
      </c>
      <c r="AM269" s="59" t="s">
        <v>1511</v>
      </c>
      <c r="AN269" s="59" t="s">
        <v>1355</v>
      </c>
      <c r="AO269" s="59"/>
      <c r="AP269" s="59" t="s">
        <v>1500</v>
      </c>
      <c r="AQ269" s="59"/>
      <c r="AR269" s="59"/>
      <c r="AS269" s="59"/>
      <c r="AT269" s="59"/>
    </row>
    <row r="270" spans="1:46" x14ac:dyDescent="0.25">
      <c r="A270" s="18" t="str">
        <v>ntc_beta_sensor_1:{"type":"attribute","data_type":"uint16","is_readonly":false,"reporting_type":"polled","poll_freq":86400,"zigbee_metadata":{"attr_id":61633,"endpoint_id":10,"profile_id":260,"cluster_id":513,"zcl_data_type":33}},</v>
      </c>
      <c r="B270" s="52" t="str">
        <f ca="1"/>
        <v>0x0201 0xF0C1</v>
      </c>
      <c r="C270" s="52" t="str">
        <f ca="1">IFERROR(__xludf.DUMMYFUNCTION("""COMPUTED_VALUE"""),"ntc_beta_sensor_1")</f>
        <v>ntc_beta_sensor_1</v>
      </c>
      <c r="D270" s="18" t="str">
        <f ca="1">IFERROR(__xludf.DUMMYFUNCTION("""COMPUTED_VALUE"""),"attribute")</f>
        <v>attribute</v>
      </c>
      <c r="E270" s="18" t="str">
        <f ca="1">IFERROR(__xludf.DUMMYFUNCTION("""COMPUTED_VALUE"""),"uint16")</f>
        <v>uint16</v>
      </c>
      <c r="F270" s="18" t="str">
        <f ca="1">IFERROR(__xludf.DUMMYFUNCTION("""COMPUTED_VALUE"""),"false")</f>
        <v>false</v>
      </c>
      <c r="G270" s="18" t="str">
        <f ca="1">IFERROR(__xludf.DUMMYFUNCTION("""COMPUTED_VALUE"""),"polled")</f>
        <v>polled</v>
      </c>
      <c r="H270" s="18" t="str">
        <f ca="1">IFERROR(__xludf.DUMMYFUNCTION("""COMPUTED_VALUE"""),"86400")</f>
        <v>86400</v>
      </c>
      <c r="I270" s="18" t="str">
        <f ca="1">IFERROR(__xludf.DUMMYFUNCTION("""COMPUTED_VALUE"""),"N/A")</f>
        <v>N/A</v>
      </c>
      <c r="J270" s="18" t="str">
        <f ca="1">IFERROR(__xludf.DUMMYFUNCTION("""COMPUTED_VALUE"""),"N/A")</f>
        <v>N/A</v>
      </c>
      <c r="K270" s="18" t="str">
        <f ca="1">IFERROR(__xludf.DUMMYFUNCTION("""COMPUTED_VALUE"""),"N/A")</f>
        <v>N/A</v>
      </c>
      <c r="L270" s="18" t="str">
        <f ca="1">IFERROR(__xludf.DUMMYFUNCTION("""COMPUTED_VALUE"""),"N/A")</f>
        <v>N/A</v>
      </c>
      <c r="M270" s="18" t="str">
        <f ca="1">IFERROR(__xludf.DUMMYFUNCTION("""COMPUTED_VALUE"""),"N/A")</f>
        <v>N/A</v>
      </c>
      <c r="N270" s="18" t="str">
        <f ca="1">IFERROR(__xludf.DUMMYFUNCTION("""COMPUTED_VALUE"""),"N/A")</f>
        <v>N/A</v>
      </c>
      <c r="O270" s="18" t="str">
        <f ca="1">IFERROR(__xludf.DUMMYFUNCTION("""COMPUTED_VALUE"""),"N/A")</f>
        <v>N/A</v>
      </c>
      <c r="P270" s="18" t="str">
        <f ca="1">IFERROR(__xludf.DUMMYFUNCTION("""COMPUTED_VALUE"""),"N/A")</f>
        <v>N/A</v>
      </c>
      <c r="Q270" s="18" t="str">
        <f ca="1">IFERROR(__xludf.DUMMYFUNCTION("""COMPUTED_VALUE"""),"N/A")</f>
        <v>N/A</v>
      </c>
      <c r="R270" s="18" t="str">
        <f ca="1">IFERROR(__xludf.DUMMYFUNCTION("""COMPUTED_VALUE"""),"N/A")</f>
        <v>N/A</v>
      </c>
      <c r="S270" s="18" t="str">
        <f ca="1">IFERROR(__xludf.DUMMYFUNCTION("""COMPUTED_VALUE"""),"N/A")</f>
        <v>N/A</v>
      </c>
      <c r="T270" s="18" t="str">
        <f ca="1">IFERROR(__xludf.DUMMYFUNCTION("""COMPUTED_VALUE"""),"0xF0C1")</f>
        <v>0xF0C1</v>
      </c>
      <c r="U270" s="18" t="str">
        <f ca="1">IFERROR(__xludf.DUMMYFUNCTION("""COMPUTED_VALUE"""),"0x0A")</f>
        <v>0x0A</v>
      </c>
      <c r="V270" s="18" t="str">
        <f ca="1">IFERROR(__xludf.DUMMYFUNCTION("""COMPUTED_VALUE"""),"0x0104")</f>
        <v>0x0104</v>
      </c>
      <c r="W270" s="18" t="str">
        <f ca="1">IFERROR(__xludf.DUMMYFUNCTION("""COMPUTED_VALUE"""),"0x0201")</f>
        <v>0x0201</v>
      </c>
      <c r="X270" s="18" t="str">
        <f ca="1">IFERROR(__xludf.DUMMYFUNCTION("""COMPUTED_VALUE"""),"0x21")</f>
        <v>0x21</v>
      </c>
      <c r="Y270" s="18" t="e">
        <f ca="1"/>
        <v>#NAME?</v>
      </c>
      <c r="Z270" s="18" t="str">
        <f ca="1">IFERROR(__xludf.DUMMYFUNCTION("""COMPUTED_VALUE"""),"N/A")</f>
        <v>N/A</v>
      </c>
      <c r="AA270" s="18" t="str">
        <f ca="1">IFERROR(__xludf.DUMMYFUNCTION("""COMPUTED_VALUE"""),"N/A")</f>
        <v>N/A</v>
      </c>
      <c r="AC270" s="59" t="s">
        <v>1449</v>
      </c>
      <c r="AD270" s="59" t="s">
        <v>1428</v>
      </c>
      <c r="AE270" s="59" t="s">
        <v>1503</v>
      </c>
      <c r="AF270" s="59" t="s">
        <v>1513</v>
      </c>
      <c r="AG270" s="59" t="s">
        <v>1471</v>
      </c>
      <c r="AH270" s="59" t="s">
        <v>1510</v>
      </c>
      <c r="AI270" s="59" t="s">
        <v>1515</v>
      </c>
      <c r="AJ270" s="59" t="s">
        <v>1515</v>
      </c>
      <c r="AK270" s="59" t="s">
        <v>1438</v>
      </c>
      <c r="AL270" s="59" t="s">
        <v>1516</v>
      </c>
      <c r="AM270" s="59" t="s">
        <v>1516</v>
      </c>
      <c r="AN270" s="59"/>
      <c r="AO270" s="59"/>
      <c r="AP270" s="59" t="s">
        <v>1506</v>
      </c>
      <c r="AQ270" s="59"/>
      <c r="AR270" s="59"/>
      <c r="AS270" s="59"/>
      <c r="AT270" s="59"/>
    </row>
    <row r="271" spans="1:46" x14ac:dyDescent="0.25">
      <c r="A271" s="18" t="str">
        <v>ntc_beta_sensor_2:{"type":"attribute","data_type":"uint16","is_readonly":false,"reporting_type":"polled","poll_freq":86400,"zigbee_metadata":{"attr_id":61634,"endpoint_id":10,"profile_id":260,"cluster_id":513,"zcl_data_type":33}},</v>
      </c>
      <c r="B271" s="52" t="str">
        <f ca="1"/>
        <v>0x0201 0xF0C2</v>
      </c>
      <c r="C271" s="52" t="str">
        <f ca="1">IFERROR(__xludf.DUMMYFUNCTION("""COMPUTED_VALUE"""),"ntc_beta_sensor_2")</f>
        <v>ntc_beta_sensor_2</v>
      </c>
      <c r="D271" s="18" t="str">
        <f ca="1">IFERROR(__xludf.DUMMYFUNCTION("""COMPUTED_VALUE"""),"attribute")</f>
        <v>attribute</v>
      </c>
      <c r="E271" s="18" t="str">
        <f ca="1">IFERROR(__xludf.DUMMYFUNCTION("""COMPUTED_VALUE"""),"uint16")</f>
        <v>uint16</v>
      </c>
      <c r="F271" s="18" t="str">
        <f ca="1">IFERROR(__xludf.DUMMYFUNCTION("""COMPUTED_VALUE"""),"false")</f>
        <v>false</v>
      </c>
      <c r="G271" s="18" t="str">
        <f ca="1">IFERROR(__xludf.DUMMYFUNCTION("""COMPUTED_VALUE"""),"polled")</f>
        <v>polled</v>
      </c>
      <c r="H271" s="18" t="str">
        <f ca="1">IFERROR(__xludf.DUMMYFUNCTION("""COMPUTED_VALUE"""),"86400")</f>
        <v>86400</v>
      </c>
      <c r="I271" s="18" t="str">
        <f ca="1">IFERROR(__xludf.DUMMYFUNCTION("""COMPUTED_VALUE"""),"N/A")</f>
        <v>N/A</v>
      </c>
      <c r="J271" s="18" t="str">
        <f ca="1">IFERROR(__xludf.DUMMYFUNCTION("""COMPUTED_VALUE"""),"N/A")</f>
        <v>N/A</v>
      </c>
      <c r="K271" s="18" t="str">
        <f ca="1">IFERROR(__xludf.DUMMYFUNCTION("""COMPUTED_VALUE"""),"N/A")</f>
        <v>N/A</v>
      </c>
      <c r="L271" s="18" t="str">
        <f ca="1">IFERROR(__xludf.DUMMYFUNCTION("""COMPUTED_VALUE"""),"N/A")</f>
        <v>N/A</v>
      </c>
      <c r="M271" s="18" t="str">
        <f ca="1">IFERROR(__xludf.DUMMYFUNCTION("""COMPUTED_VALUE"""),"N/A")</f>
        <v>N/A</v>
      </c>
      <c r="N271" s="18" t="str">
        <f ca="1">IFERROR(__xludf.DUMMYFUNCTION("""COMPUTED_VALUE"""),"N/A")</f>
        <v>N/A</v>
      </c>
      <c r="O271" s="18" t="str">
        <f ca="1">IFERROR(__xludf.DUMMYFUNCTION("""COMPUTED_VALUE"""),"N/A")</f>
        <v>N/A</v>
      </c>
      <c r="P271" s="18" t="str">
        <f ca="1">IFERROR(__xludf.DUMMYFUNCTION("""COMPUTED_VALUE"""),"N/A")</f>
        <v>N/A</v>
      </c>
      <c r="Q271" s="18" t="str">
        <f ca="1">IFERROR(__xludf.DUMMYFUNCTION("""COMPUTED_VALUE"""),"N/A")</f>
        <v>N/A</v>
      </c>
      <c r="R271" s="18" t="str">
        <f ca="1">IFERROR(__xludf.DUMMYFUNCTION("""COMPUTED_VALUE"""),"N/A")</f>
        <v>N/A</v>
      </c>
      <c r="S271" s="18" t="str">
        <f ca="1">IFERROR(__xludf.DUMMYFUNCTION("""COMPUTED_VALUE"""),"N/A")</f>
        <v>N/A</v>
      </c>
      <c r="T271" s="18" t="str">
        <f ca="1">IFERROR(__xludf.DUMMYFUNCTION("""COMPUTED_VALUE"""),"0xF0C2")</f>
        <v>0xF0C2</v>
      </c>
      <c r="U271" s="18" t="str">
        <f ca="1">IFERROR(__xludf.DUMMYFUNCTION("""COMPUTED_VALUE"""),"0x0A")</f>
        <v>0x0A</v>
      </c>
      <c r="V271" s="18" t="str">
        <f ca="1">IFERROR(__xludf.DUMMYFUNCTION("""COMPUTED_VALUE"""),"0x0104")</f>
        <v>0x0104</v>
      </c>
      <c r="W271" s="18" t="str">
        <f ca="1">IFERROR(__xludf.DUMMYFUNCTION("""COMPUTED_VALUE"""),"0x0201")</f>
        <v>0x0201</v>
      </c>
      <c r="X271" s="18" t="str">
        <f ca="1">IFERROR(__xludf.DUMMYFUNCTION("""COMPUTED_VALUE"""),"0x21")</f>
        <v>0x21</v>
      </c>
      <c r="Y271" s="18" t="e">
        <f ca="1"/>
        <v>#NAME?</v>
      </c>
      <c r="Z271" s="18" t="str">
        <f ca="1">IFERROR(__xludf.DUMMYFUNCTION("""COMPUTED_VALUE"""),"N/A")</f>
        <v>N/A</v>
      </c>
      <c r="AA271" s="18" t="str">
        <f ca="1">IFERROR(__xludf.DUMMYFUNCTION("""COMPUTED_VALUE"""),"N/A")</f>
        <v>N/A</v>
      </c>
      <c r="AC271" s="59" t="s">
        <v>1452</v>
      </c>
      <c r="AD271" s="59" t="s">
        <v>1398</v>
      </c>
      <c r="AE271" s="59" t="s">
        <v>1508</v>
      </c>
      <c r="AF271" s="59" t="s">
        <v>1518</v>
      </c>
      <c r="AG271" s="59" t="s">
        <v>1476</v>
      </c>
      <c r="AH271" s="59" t="s">
        <v>1515</v>
      </c>
      <c r="AI271" s="59" t="s">
        <v>1409</v>
      </c>
      <c r="AJ271" s="59" t="s">
        <v>1409</v>
      </c>
      <c r="AK271" s="59" t="s">
        <v>1441</v>
      </c>
      <c r="AL271" s="59" t="s">
        <v>1355</v>
      </c>
      <c r="AM271" s="59" t="s">
        <v>1355</v>
      </c>
      <c r="AN271" s="59"/>
      <c r="AO271" s="59"/>
      <c r="AP271" s="59" t="s">
        <v>1511</v>
      </c>
      <c r="AQ271" s="59"/>
      <c r="AR271" s="59"/>
      <c r="AS271" s="59"/>
      <c r="AT271" s="59"/>
    </row>
    <row r="272" spans="1:46" x14ac:dyDescent="0.25">
      <c r="A272" s="18" t="str">
        <v>device_type:{"type":"telemetry","data_type":"enum","is_readonly":true,"reporting_type":"polled","poll_freq":86400,"enum_values":["touchflex","touchcombo","aida"],"zigbee_metadata":{"attr_id":0,"endpoint_id":10,"profile_id":260,"cluster_id":64512,"zcl_data_type":48,"read_formatter":"lambdax:{0:'touchflex',1:'touchcombo',2:'aida'}.get(x,'unknown')"}},</v>
      </c>
      <c r="B272" s="52" t="str">
        <f ca="1"/>
        <v>0xFC00 0x0000</v>
      </c>
      <c r="C272" s="52" t="str">
        <f ca="1">IFERROR(__xludf.DUMMYFUNCTION("""COMPUTED_VALUE"""),"device_type")</f>
        <v>device_type</v>
      </c>
      <c r="D272" s="18" t="str">
        <f ca="1">IFERROR(__xludf.DUMMYFUNCTION("""COMPUTED_VALUE"""),"telemetry")</f>
        <v>telemetry</v>
      </c>
      <c r="E272" s="18" t="str">
        <f ca="1">IFERROR(__xludf.DUMMYFUNCTION("""COMPUTED_VALUE"""),"enum")</f>
        <v>enum</v>
      </c>
      <c r="F272" s="18" t="str">
        <f ca="1">IFERROR(__xludf.DUMMYFUNCTION("""COMPUTED_VALUE"""),"true")</f>
        <v>true</v>
      </c>
      <c r="G272" s="18" t="str">
        <f ca="1">IFERROR(__xludf.DUMMYFUNCTION("""COMPUTED_VALUE"""),"polled")</f>
        <v>polled</v>
      </c>
      <c r="H272" s="18" t="str">
        <f ca="1">IFERROR(__xludf.DUMMYFUNCTION("""COMPUTED_VALUE"""),"86400")</f>
        <v>86400</v>
      </c>
      <c r="I272" s="18" t="str">
        <f ca="1">IFERROR(__xludf.DUMMYFUNCTION("""COMPUTED_VALUE"""),"N/A")</f>
        <v>N/A</v>
      </c>
      <c r="J272" s="18" t="str">
        <f ca="1">IFERROR(__xludf.DUMMYFUNCTION("""COMPUTED_VALUE"""),"N/A")</f>
        <v>N/A</v>
      </c>
      <c r="K272" s="18" t="str">
        <f ca="1">IFERROR(__xludf.DUMMYFUNCTION("""COMPUTED_VALUE"""),"N/A")</f>
        <v>N/A</v>
      </c>
      <c r="L272" s="18" t="str">
        <f ca="1">IFERROR(__xludf.DUMMYFUNCTION("""COMPUTED_VALUE"""),"N/A")</f>
        <v>N/A</v>
      </c>
      <c r="M272" s="18" t="str">
        <f ca="1">IFERROR(__xludf.DUMMYFUNCTION("""COMPUTED_VALUE"""),"N/A")</f>
        <v>N/A</v>
      </c>
      <c r="N272" s="18" t="str">
        <f ca="1">IFERROR(__xludf.DUMMYFUNCTION("""COMPUTED_VALUE"""),"N/A")</f>
        <v>N/A</v>
      </c>
      <c r="O272" s="18" t="str">
        <f ca="1">IFERROR(__xludf.DUMMYFUNCTION("""COMPUTED_VALUE"""),"N/A")</f>
        <v>N/A</v>
      </c>
      <c r="P272" s="18" t="str">
        <f ca="1">IFERROR(__xludf.DUMMYFUNCTION("""COMPUTED_VALUE"""),"""touchflex"",""touchcombo"",""aida""")</f>
        <v>"touchflex","touchcombo","aida"</v>
      </c>
      <c r="Q272" s="18" t="str">
        <f ca="1">IFERROR(__xludf.DUMMYFUNCTION("""COMPUTED_VALUE"""),"N/A")</f>
        <v>N/A</v>
      </c>
      <c r="R272" s="18" t="str">
        <f ca="1">IFERROR(__xludf.DUMMYFUNCTION("""COMPUTED_VALUE"""),"N/A")</f>
        <v>N/A</v>
      </c>
      <c r="S272" s="18" t="str">
        <f ca="1">IFERROR(__xludf.DUMMYFUNCTION("""COMPUTED_VALUE"""),"N/A")</f>
        <v>N/A</v>
      </c>
      <c r="T272" s="18" t="str">
        <f ca="1">IFERROR(__xludf.DUMMYFUNCTION("""COMPUTED_VALUE"""),"0x0000")</f>
        <v>0x0000</v>
      </c>
      <c r="U272" s="18" t="str">
        <f ca="1">IFERROR(__xludf.DUMMYFUNCTION("""COMPUTED_VALUE"""),"0x0A")</f>
        <v>0x0A</v>
      </c>
      <c r="V272" s="18" t="str">
        <f ca="1">IFERROR(__xludf.DUMMYFUNCTION("""COMPUTED_VALUE"""),"0x0104")</f>
        <v>0x0104</v>
      </c>
      <c r="W272" s="18" t="str">
        <f ca="1">IFERROR(__xludf.DUMMYFUNCTION("""COMPUTED_VALUE"""),"0xFC00")</f>
        <v>0xFC00</v>
      </c>
      <c r="X272" s="18" t="str">
        <f ca="1">IFERROR(__xludf.DUMMYFUNCTION("""COMPUTED_VALUE"""),"0x30")</f>
        <v>0x30</v>
      </c>
      <c r="Y272" s="18" t="e">
        <f ca="1"/>
        <v>#NAME?</v>
      </c>
      <c r="Z272" s="18" t="str">
        <f ca="1">IFERROR(__xludf.DUMMYFUNCTION("""COMPUTED_VALUE"""),"N/A")</f>
        <v>N/A</v>
      </c>
      <c r="AA272" s="18" t="str">
        <f ca="1">IFERROR(__xludf.DUMMYFUNCTION("""COMPUTED_VALUE"""),"lambdax:{0:'touchflex',1:'touchcombo',2:'aida'}.get(x,'unknown')")</f>
        <v>lambdax:{0:'touchflex',1:'touchcombo',2:'aida'}.get(x,'unknown')</v>
      </c>
      <c r="AC272" s="59" t="s">
        <v>1475</v>
      </c>
      <c r="AD272" s="59" t="s">
        <v>1402</v>
      </c>
      <c r="AE272" s="59" t="s">
        <v>1513</v>
      </c>
      <c r="AF272" s="59" t="s">
        <v>1517</v>
      </c>
      <c r="AG272" s="59" t="s">
        <v>1481</v>
      </c>
      <c r="AH272" s="59" t="s">
        <v>1409</v>
      </c>
      <c r="AI272" s="59" t="s">
        <v>1412</v>
      </c>
      <c r="AJ272" s="59" t="s">
        <v>1412</v>
      </c>
      <c r="AK272" s="59" t="s">
        <v>1444</v>
      </c>
      <c r="AL272" s="59" t="s">
        <v>1516</v>
      </c>
      <c r="AM272" s="59"/>
      <c r="AN272" s="59"/>
      <c r="AO272" s="59" t="s">
        <v>1516</v>
      </c>
      <c r="AP272" s="59"/>
      <c r="AQ272" s="59"/>
      <c r="AR272" s="59"/>
      <c r="AS272" s="59"/>
      <c r="AT272" s="59"/>
    </row>
    <row r="273" spans="1:46" x14ac:dyDescent="0.25">
      <c r="A273" s="18" t="str">
        <v>device_subtype:{"type":"telemetry","data_type":"uint8","is_readonly":true,"reporting_type":"polled","poll_freq":86400,"zigbee_metadata":{"attr_id":1,"endpoint_id":10,"profile_id":260,"cluster_id":64512,"zcl_data_type":48}},</v>
      </c>
      <c r="B273" s="52" t="str">
        <f ca="1"/>
        <v>0xFC00 0x0001</v>
      </c>
      <c r="C273" s="52" t="str">
        <f ca="1">IFERROR(__xludf.DUMMYFUNCTION("""COMPUTED_VALUE"""),"device_subtype")</f>
        <v>device_subtype</v>
      </c>
      <c r="D273" s="18" t="str">
        <f ca="1">IFERROR(__xludf.DUMMYFUNCTION("""COMPUTED_VALUE"""),"telemetry")</f>
        <v>telemetry</v>
      </c>
      <c r="E273" s="18" t="str">
        <f ca="1">IFERROR(__xludf.DUMMYFUNCTION("""COMPUTED_VALUE"""),"uint8")</f>
        <v>uint8</v>
      </c>
      <c r="F273" s="18" t="str">
        <f ca="1">IFERROR(__xludf.DUMMYFUNCTION("""COMPUTED_VALUE"""),"true")</f>
        <v>true</v>
      </c>
      <c r="G273" s="18" t="str">
        <f ca="1">IFERROR(__xludf.DUMMYFUNCTION("""COMPUTED_VALUE"""),"polled")</f>
        <v>polled</v>
      </c>
      <c r="H273" s="18" t="str">
        <f ca="1">IFERROR(__xludf.DUMMYFUNCTION("""COMPUTED_VALUE"""),"86400")</f>
        <v>86400</v>
      </c>
      <c r="I273" s="18" t="str">
        <f ca="1">IFERROR(__xludf.DUMMYFUNCTION("""COMPUTED_VALUE"""),"N/A")</f>
        <v>N/A</v>
      </c>
      <c r="J273" s="18" t="str">
        <f ca="1">IFERROR(__xludf.DUMMYFUNCTION("""COMPUTED_VALUE"""),"N/A")</f>
        <v>N/A</v>
      </c>
      <c r="K273" s="18" t="str">
        <f ca="1">IFERROR(__xludf.DUMMYFUNCTION("""COMPUTED_VALUE"""),"N/A")</f>
        <v>N/A</v>
      </c>
      <c r="L273" s="18" t="str">
        <f ca="1">IFERROR(__xludf.DUMMYFUNCTION("""COMPUTED_VALUE"""),"N/A")</f>
        <v>N/A</v>
      </c>
      <c r="M273" s="18" t="str">
        <f ca="1">IFERROR(__xludf.DUMMYFUNCTION("""COMPUTED_VALUE"""),"N/A")</f>
        <v>N/A</v>
      </c>
      <c r="N273" s="18" t="str">
        <f ca="1">IFERROR(__xludf.DUMMYFUNCTION("""COMPUTED_VALUE"""),"N/A")</f>
        <v>N/A</v>
      </c>
      <c r="O273" s="18" t="str">
        <f ca="1">IFERROR(__xludf.DUMMYFUNCTION("""COMPUTED_VALUE"""),"N/A")</f>
        <v>N/A</v>
      </c>
      <c r="P273" s="18" t="str">
        <f ca="1">IFERROR(__xludf.DUMMYFUNCTION("""COMPUTED_VALUE"""),"N/A")</f>
        <v>N/A</v>
      </c>
      <c r="Q273" s="18" t="str">
        <f ca="1">IFERROR(__xludf.DUMMYFUNCTION("""COMPUTED_VALUE"""),"N/A")</f>
        <v>N/A</v>
      </c>
      <c r="R273" s="18" t="str">
        <f ca="1">IFERROR(__xludf.DUMMYFUNCTION("""COMPUTED_VALUE"""),"N/A")</f>
        <v>N/A</v>
      </c>
      <c r="S273" s="18" t="str">
        <f ca="1">IFERROR(__xludf.DUMMYFUNCTION("""COMPUTED_VALUE"""),"N/A")</f>
        <v>N/A</v>
      </c>
      <c r="T273" s="18" t="str">
        <f ca="1">IFERROR(__xludf.DUMMYFUNCTION("""COMPUTED_VALUE"""),"0x0001")</f>
        <v>0x0001</v>
      </c>
      <c r="U273" s="18" t="str">
        <f ca="1">IFERROR(__xludf.DUMMYFUNCTION("""COMPUTED_VALUE"""),"0x0A")</f>
        <v>0x0A</v>
      </c>
      <c r="V273" s="18" t="str">
        <f ca="1">IFERROR(__xludf.DUMMYFUNCTION("""COMPUTED_VALUE"""),"0x0104")</f>
        <v>0x0104</v>
      </c>
      <c r="W273" s="18" t="str">
        <f ca="1">IFERROR(__xludf.DUMMYFUNCTION("""COMPUTED_VALUE"""),"0xFC00")</f>
        <v>0xFC00</v>
      </c>
      <c r="X273" s="18" t="str">
        <f ca="1">IFERROR(__xludf.DUMMYFUNCTION("""COMPUTED_VALUE"""),"0x30")</f>
        <v>0x30</v>
      </c>
      <c r="Y273" s="18" t="e">
        <f ca="1"/>
        <v>#NAME?</v>
      </c>
      <c r="Z273" s="18" t="str">
        <f ca="1">IFERROR(__xludf.DUMMYFUNCTION("""COMPUTED_VALUE"""),"N/A")</f>
        <v>N/A</v>
      </c>
      <c r="AA273" s="18" t="str">
        <f ca="1">IFERROR(__xludf.DUMMYFUNCTION("""COMPUTED_VALUE"""),"N/A")</f>
        <v>N/A</v>
      </c>
      <c r="AC273" s="59" t="s">
        <v>1480</v>
      </c>
      <c r="AD273" s="59" t="s">
        <v>1406</v>
      </c>
      <c r="AE273" s="59" t="s">
        <v>1518</v>
      </c>
      <c r="AF273" s="59" t="s">
        <v>1471</v>
      </c>
      <c r="AG273" s="59" t="s">
        <v>1487</v>
      </c>
      <c r="AH273" s="59" t="s">
        <v>1412</v>
      </c>
      <c r="AI273" s="59" t="s">
        <v>1415</v>
      </c>
      <c r="AJ273" s="59" t="s">
        <v>1415</v>
      </c>
      <c r="AK273" s="59" t="s">
        <v>1447</v>
      </c>
      <c r="AL273" s="59" t="s">
        <v>1355</v>
      </c>
      <c r="AM273" s="59"/>
      <c r="AN273" s="59"/>
      <c r="AO273" s="59" t="s">
        <v>1355</v>
      </c>
      <c r="AP273" s="59"/>
      <c r="AQ273" s="59"/>
      <c r="AR273" s="59"/>
      <c r="AS273" s="59"/>
      <c r="AT273" s="59"/>
    </row>
    <row r="274" spans="1:46" x14ac:dyDescent="0.25">
      <c r="A274" s="18" t="str">
        <v>display_schedule_menu_enabled:{"type":"attribute","data_type":"bool","is_readonly":false,"reporting_type":"polled","poll_freq":86400,"default_value":false,"zigbee_metadata":{"attr_id":29,"endpoint_id":10,"profile_id":260,"cluster_id":64517,"zcl_data_type":16,"read_formatter":"lambdax:bool(x)","write_formatter":"lambdax:int(x)"}},</v>
      </c>
      <c r="B274" s="52" t="str">
        <f ca="1"/>
        <v>0xFC05 0x001D</v>
      </c>
      <c r="C274" s="52" t="str">
        <f ca="1">IFERROR(__xludf.DUMMYFUNCTION("""COMPUTED_VALUE"""),"display_schedule_menu_enabled")</f>
        <v>display_schedule_menu_enabled</v>
      </c>
      <c r="D274" s="18" t="str">
        <f ca="1">IFERROR(__xludf.DUMMYFUNCTION("""COMPUTED_VALUE"""),"attribute")</f>
        <v>attribute</v>
      </c>
      <c r="E274" s="18" t="str">
        <f ca="1">IFERROR(__xludf.DUMMYFUNCTION("""COMPUTED_VALUE"""),"bool")</f>
        <v>bool</v>
      </c>
      <c r="F274" s="18" t="str">
        <f ca="1">IFERROR(__xludf.DUMMYFUNCTION("""COMPUTED_VALUE"""),"false")</f>
        <v>false</v>
      </c>
      <c r="G274" s="18" t="str">
        <f ca="1">IFERROR(__xludf.DUMMYFUNCTION("""COMPUTED_VALUE"""),"polled")</f>
        <v>polled</v>
      </c>
      <c r="H274" s="18" t="str">
        <f ca="1">IFERROR(__xludf.DUMMYFUNCTION("""COMPUTED_VALUE"""),"86400")</f>
        <v>86400</v>
      </c>
      <c r="I274" s="18" t="str">
        <f ca="1">IFERROR(__xludf.DUMMYFUNCTION("""COMPUTED_VALUE"""),"N/A")</f>
        <v>N/A</v>
      </c>
      <c r="J274" s="18" t="str">
        <f ca="1">IFERROR(__xludf.DUMMYFUNCTION("""COMPUTED_VALUE"""),"N/A")</f>
        <v>N/A</v>
      </c>
      <c r="K274" s="18" t="str">
        <f ca="1">IFERROR(__xludf.DUMMYFUNCTION("""COMPUTED_VALUE"""),"N/A")</f>
        <v>N/A</v>
      </c>
      <c r="L274" s="18" t="str">
        <f ca="1">IFERROR(__xludf.DUMMYFUNCTION("""COMPUTED_VALUE"""),"N/A")</f>
        <v>N/A</v>
      </c>
      <c r="M274" s="18" t="str">
        <f ca="1">IFERROR(__xludf.DUMMYFUNCTION("""COMPUTED_VALUE"""),"N/A")</f>
        <v>N/A</v>
      </c>
      <c r="N274" s="18" t="str">
        <f ca="1">IFERROR(__xludf.DUMMYFUNCTION("""COMPUTED_VALUE"""),"N/A")</f>
        <v>N/A</v>
      </c>
      <c r="O274" s="18" t="str">
        <f ca="1">IFERROR(__xludf.DUMMYFUNCTION("""COMPUTED_VALUE"""),"N/A")</f>
        <v>N/A</v>
      </c>
      <c r="P274" s="18" t="str">
        <f ca="1">IFERROR(__xludf.DUMMYFUNCTION("""COMPUTED_VALUE"""),"N/A")</f>
        <v>N/A</v>
      </c>
      <c r="Q274" s="18" t="str">
        <f ca="1">IFERROR(__xludf.DUMMYFUNCTION("""COMPUTED_VALUE"""),"N/A")</f>
        <v>N/A</v>
      </c>
      <c r="R274" s="18" t="str">
        <f ca="1">IFERROR(__xludf.DUMMYFUNCTION("""COMPUTED_VALUE"""),"N/A")</f>
        <v>N/A</v>
      </c>
      <c r="S274" s="18" t="str">
        <f ca="1">IFERROR(__xludf.DUMMYFUNCTION("""COMPUTED_VALUE"""),"false")</f>
        <v>false</v>
      </c>
      <c r="T274" s="18" t="str">
        <f ca="1">IFERROR(__xludf.DUMMYFUNCTION("""COMPUTED_VALUE"""),"0x001D")</f>
        <v>0x001D</v>
      </c>
      <c r="U274" s="18" t="str">
        <f ca="1">IFERROR(__xludf.DUMMYFUNCTION("""COMPUTED_VALUE"""),"0x0A")</f>
        <v>0x0A</v>
      </c>
      <c r="V274" s="18" t="str">
        <f ca="1">IFERROR(__xludf.DUMMYFUNCTION("""COMPUTED_VALUE"""),"0x0104")</f>
        <v>0x0104</v>
      </c>
      <c r="W274" s="18" t="str">
        <f ca="1">IFERROR(__xludf.DUMMYFUNCTION("""COMPUTED_VALUE"""),"0xFC05")</f>
        <v>0xFC05</v>
      </c>
      <c r="X274" s="18" t="str">
        <f ca="1">IFERROR(__xludf.DUMMYFUNCTION("""COMPUTED_VALUE"""),"0x10")</f>
        <v>0x10</v>
      </c>
      <c r="Y274" s="18" t="e">
        <f ca="1"/>
        <v>#NAME?</v>
      </c>
      <c r="Z274" s="18" t="str">
        <f ca="1">IFERROR(__xludf.DUMMYFUNCTION("""COMPUTED_VALUE"""),"lambdax:int(x)")</f>
        <v>lambdax:int(x)</v>
      </c>
      <c r="AA274" s="18" t="str">
        <f ca="1">IFERROR(__xludf.DUMMYFUNCTION("""COMPUTED_VALUE"""),"lambdax:bool(x)")</f>
        <v>lambdax:bool(x)</v>
      </c>
      <c r="AC274" s="59" t="s">
        <v>1365</v>
      </c>
      <c r="AD274" s="59" t="s">
        <v>1485</v>
      </c>
      <c r="AE274" s="59" t="s">
        <v>1517</v>
      </c>
      <c r="AF274" s="59" t="s">
        <v>1476</v>
      </c>
      <c r="AG274" s="59" t="s">
        <v>1493</v>
      </c>
      <c r="AH274" s="59" t="s">
        <v>1415</v>
      </c>
      <c r="AI274" s="59" t="s">
        <v>1418</v>
      </c>
      <c r="AJ274" s="59" t="s">
        <v>1418</v>
      </c>
      <c r="AK274" s="59" t="s">
        <v>1450</v>
      </c>
      <c r="AL274" s="59"/>
      <c r="AM274" s="59"/>
      <c r="AN274" s="59"/>
      <c r="AO274" s="59"/>
      <c r="AP274" s="59"/>
      <c r="AQ274" s="59"/>
      <c r="AR274" s="59"/>
      <c r="AS274" s="59"/>
      <c r="AT274" s="59"/>
    </row>
    <row r="275" spans="1:46" x14ac:dyDescent="0.25">
      <c r="A275" s="18" t="str">
        <v>display_settings_menu_enabled:{"type":"attribute","data_type":"bool","is_readonly":false,"reporting_type":"polled","poll_freq":86400,"default_value":false,"zigbee_metadata":{"attr_id":30,"endpoint_id":10,"profile_id":260,"cluster_id":64517,"zcl_data_type":16,"read_formatter":"lambdax:bool(x)","write_formatter":"lambdax:int(x)"}},</v>
      </c>
      <c r="B275" s="52" t="str">
        <f ca="1"/>
        <v>0xFC05 0x001E</v>
      </c>
      <c r="C275" s="52" t="str">
        <f ca="1">IFERROR(__xludf.DUMMYFUNCTION("""COMPUTED_VALUE"""),"display_settings_menu_enabled")</f>
        <v>display_settings_menu_enabled</v>
      </c>
      <c r="D275" s="18" t="str">
        <f ca="1">IFERROR(__xludf.DUMMYFUNCTION("""COMPUTED_VALUE"""),"attribute")</f>
        <v>attribute</v>
      </c>
      <c r="E275" s="18" t="str">
        <f ca="1">IFERROR(__xludf.DUMMYFUNCTION("""COMPUTED_VALUE"""),"bool")</f>
        <v>bool</v>
      </c>
      <c r="F275" s="18" t="str">
        <f ca="1">IFERROR(__xludf.DUMMYFUNCTION("""COMPUTED_VALUE"""),"false")</f>
        <v>false</v>
      </c>
      <c r="G275" s="18" t="str">
        <f ca="1">IFERROR(__xludf.DUMMYFUNCTION("""COMPUTED_VALUE"""),"polled")</f>
        <v>polled</v>
      </c>
      <c r="H275" s="18" t="str">
        <f ca="1">IFERROR(__xludf.DUMMYFUNCTION("""COMPUTED_VALUE"""),"86400")</f>
        <v>86400</v>
      </c>
      <c r="I275" s="18" t="str">
        <f ca="1">IFERROR(__xludf.DUMMYFUNCTION("""COMPUTED_VALUE"""),"N/A")</f>
        <v>N/A</v>
      </c>
      <c r="J275" s="18" t="str">
        <f ca="1">IFERROR(__xludf.DUMMYFUNCTION("""COMPUTED_VALUE"""),"N/A")</f>
        <v>N/A</v>
      </c>
      <c r="K275" s="18" t="str">
        <f ca="1">IFERROR(__xludf.DUMMYFUNCTION("""COMPUTED_VALUE"""),"N/A")</f>
        <v>N/A</v>
      </c>
      <c r="L275" s="18" t="str">
        <f ca="1">IFERROR(__xludf.DUMMYFUNCTION("""COMPUTED_VALUE"""),"N/A")</f>
        <v>N/A</v>
      </c>
      <c r="M275" s="18" t="str">
        <f ca="1">IFERROR(__xludf.DUMMYFUNCTION("""COMPUTED_VALUE"""),"N/A")</f>
        <v>N/A</v>
      </c>
      <c r="N275" s="18" t="str">
        <f ca="1">IFERROR(__xludf.DUMMYFUNCTION("""COMPUTED_VALUE"""),"N/A")</f>
        <v>N/A</v>
      </c>
      <c r="O275" s="18" t="str">
        <f ca="1">IFERROR(__xludf.DUMMYFUNCTION("""COMPUTED_VALUE"""),"N/A")</f>
        <v>N/A</v>
      </c>
      <c r="P275" s="18" t="str">
        <f ca="1">IFERROR(__xludf.DUMMYFUNCTION("""COMPUTED_VALUE"""),"N/A")</f>
        <v>N/A</v>
      </c>
      <c r="Q275" s="18" t="str">
        <f ca="1">IFERROR(__xludf.DUMMYFUNCTION("""COMPUTED_VALUE"""),"N/A")</f>
        <v>N/A</v>
      </c>
      <c r="R275" s="18" t="str">
        <f ca="1">IFERROR(__xludf.DUMMYFUNCTION("""COMPUTED_VALUE"""),"N/A")</f>
        <v>N/A</v>
      </c>
      <c r="S275" s="18" t="str">
        <f ca="1">IFERROR(__xludf.DUMMYFUNCTION("""COMPUTED_VALUE"""),"false")</f>
        <v>false</v>
      </c>
      <c r="T275" s="18" t="str">
        <f ca="1">IFERROR(__xludf.DUMMYFUNCTION("""COMPUTED_VALUE"""),"0x001E")</f>
        <v>0x001E</v>
      </c>
      <c r="U275" s="18" t="str">
        <f ca="1">IFERROR(__xludf.DUMMYFUNCTION("""COMPUTED_VALUE"""),"0x0A")</f>
        <v>0x0A</v>
      </c>
      <c r="V275" s="18" t="str">
        <f ca="1">IFERROR(__xludf.DUMMYFUNCTION("""COMPUTED_VALUE"""),"0x0104")</f>
        <v>0x0104</v>
      </c>
      <c r="W275" s="18" t="str">
        <f ca="1">IFERROR(__xludf.DUMMYFUNCTION("""COMPUTED_VALUE"""),"0xFC05")</f>
        <v>0xFC05</v>
      </c>
      <c r="X275" s="18" t="str">
        <f ca="1">IFERROR(__xludf.DUMMYFUNCTION("""COMPUTED_VALUE"""),"0x10")</f>
        <v>0x10</v>
      </c>
      <c r="Y275" s="18" t="e">
        <f ca="1"/>
        <v>#NAME?</v>
      </c>
      <c r="Z275" s="18" t="str">
        <f ca="1">IFERROR(__xludf.DUMMYFUNCTION("""COMPUTED_VALUE"""),"lambdax:int(x)")</f>
        <v>lambdax:int(x)</v>
      </c>
      <c r="AA275" s="18" t="str">
        <f ca="1">IFERROR(__xludf.DUMMYFUNCTION("""COMPUTED_VALUE"""),"lambdax:bool(x)")</f>
        <v>lambdax:bool(x)</v>
      </c>
      <c r="AC275" s="59" t="s">
        <v>1369</v>
      </c>
      <c r="AD275" s="59" t="s">
        <v>1491</v>
      </c>
      <c r="AE275" s="59" t="s">
        <v>1471</v>
      </c>
      <c r="AF275" s="59" t="s">
        <v>1481</v>
      </c>
      <c r="AG275" s="59" t="s">
        <v>1499</v>
      </c>
      <c r="AH275" s="59" t="s">
        <v>1418</v>
      </c>
      <c r="AI275" s="59" t="s">
        <v>1422</v>
      </c>
      <c r="AJ275" s="59" t="s">
        <v>1422</v>
      </c>
      <c r="AK275" s="59" t="s">
        <v>1453</v>
      </c>
      <c r="AL275" s="59"/>
      <c r="AM275" s="59"/>
      <c r="AN275" s="59"/>
      <c r="AO275" s="59"/>
      <c r="AP275" s="59"/>
      <c r="AQ275" s="59"/>
      <c r="AR275" s="59"/>
      <c r="AS275" s="59"/>
      <c r="AT275" s="59"/>
    </row>
    <row r="276" spans="1:46" x14ac:dyDescent="0.25">
      <c r="A276" s="18" t="str">
        <v>display_wifi_menu:{"type":"attribute","data_type":"enum","is_readonly":false,"reporting_type":"polled","poll_freq":86400,"default_value":"off","enum_values":["off","claim","wifi+claim"],"zigbee_metadata":{"attr_id":31,"endpoint_id":10,"profile_id":260,"cluster_id":64517,"zcl_data_type":48,"write_formatter":"lambdax:{'off':0,'claim':1,'wifi+claim':2}[x]","read_formatter":"lambdax:{0:'off',1:'claim',2:'wifi+claim'}.get(x,'unknown')"}},</v>
      </c>
      <c r="B276" s="52" t="str">
        <f ca="1"/>
        <v>0xFC05 0x001F</v>
      </c>
      <c r="C276" s="52" t="str">
        <f ca="1">IFERROR(__xludf.DUMMYFUNCTION("""COMPUTED_VALUE"""),"display_wifi_menu")</f>
        <v>display_wifi_menu</v>
      </c>
      <c r="D276" s="18" t="str">
        <f ca="1">IFERROR(__xludf.DUMMYFUNCTION("""COMPUTED_VALUE"""),"attribute")</f>
        <v>attribute</v>
      </c>
      <c r="E276" s="18" t="str">
        <f ca="1">IFERROR(__xludf.DUMMYFUNCTION("""COMPUTED_VALUE"""),"enum")</f>
        <v>enum</v>
      </c>
      <c r="F276" s="18" t="str">
        <f ca="1">IFERROR(__xludf.DUMMYFUNCTION("""COMPUTED_VALUE"""),"false")</f>
        <v>false</v>
      </c>
      <c r="G276" s="18" t="str">
        <f ca="1">IFERROR(__xludf.DUMMYFUNCTION("""COMPUTED_VALUE"""),"polled")</f>
        <v>polled</v>
      </c>
      <c r="H276" s="18" t="str">
        <f ca="1">IFERROR(__xludf.DUMMYFUNCTION("""COMPUTED_VALUE"""),"86400")</f>
        <v>86400</v>
      </c>
      <c r="I276" s="18" t="str">
        <f ca="1">IFERROR(__xludf.DUMMYFUNCTION("""COMPUTED_VALUE"""),"N/A")</f>
        <v>N/A</v>
      </c>
      <c r="J276" s="18" t="str">
        <f ca="1">IFERROR(__xludf.DUMMYFUNCTION("""COMPUTED_VALUE"""),"N/A")</f>
        <v>N/A</v>
      </c>
      <c r="K276" s="18" t="str">
        <f ca="1">IFERROR(__xludf.DUMMYFUNCTION("""COMPUTED_VALUE"""),"N/A")</f>
        <v>N/A</v>
      </c>
      <c r="L276" s="18" t="str">
        <f ca="1">IFERROR(__xludf.DUMMYFUNCTION("""COMPUTED_VALUE"""),"N/A")</f>
        <v>N/A</v>
      </c>
      <c r="M276" s="18" t="str">
        <f ca="1">IFERROR(__xludf.DUMMYFUNCTION("""COMPUTED_VALUE"""),"N/A")</f>
        <v>N/A</v>
      </c>
      <c r="N276" s="18" t="str">
        <f ca="1">IFERROR(__xludf.DUMMYFUNCTION("""COMPUTED_VALUE"""),"N/A")</f>
        <v>N/A</v>
      </c>
      <c r="O276" s="18" t="str">
        <f ca="1">IFERROR(__xludf.DUMMYFUNCTION("""COMPUTED_VALUE"""),"N/A")</f>
        <v>N/A</v>
      </c>
      <c r="P276" s="18" t="str">
        <f ca="1">IFERROR(__xludf.DUMMYFUNCTION("""COMPUTED_VALUE"""),"""off"",""claim"",""wifi+claim""")</f>
        <v>"off","claim","wifi+claim"</v>
      </c>
      <c r="Q276" s="18" t="str">
        <f ca="1">IFERROR(__xludf.DUMMYFUNCTION("""COMPUTED_VALUE"""),"N/A")</f>
        <v>N/A</v>
      </c>
      <c r="R276" s="18" t="str">
        <f ca="1">IFERROR(__xludf.DUMMYFUNCTION("""COMPUTED_VALUE"""),"N/A")</f>
        <v>N/A</v>
      </c>
      <c r="S276" s="18" t="str">
        <f ca="1">IFERROR(__xludf.DUMMYFUNCTION("""COMPUTED_VALUE"""),"""off""")</f>
        <v>"off"</v>
      </c>
      <c r="T276" s="18" t="str">
        <f ca="1">IFERROR(__xludf.DUMMYFUNCTION("""COMPUTED_VALUE"""),"0x001F")</f>
        <v>0x001F</v>
      </c>
      <c r="U276" s="18" t="str">
        <f ca="1">IFERROR(__xludf.DUMMYFUNCTION("""COMPUTED_VALUE"""),"0x0A")</f>
        <v>0x0A</v>
      </c>
      <c r="V276" s="18" t="str">
        <f ca="1">IFERROR(__xludf.DUMMYFUNCTION("""COMPUTED_VALUE"""),"0x0104")</f>
        <v>0x0104</v>
      </c>
      <c r="W276" s="18" t="str">
        <f ca="1">IFERROR(__xludf.DUMMYFUNCTION("""COMPUTED_VALUE"""),"0xFC05")</f>
        <v>0xFC05</v>
      </c>
      <c r="X276" s="18" t="str">
        <f ca="1">IFERROR(__xludf.DUMMYFUNCTION("""COMPUTED_VALUE"""),"0x30")</f>
        <v>0x30</v>
      </c>
      <c r="Y276" s="18" t="e">
        <f ca="1"/>
        <v>#NAME?</v>
      </c>
      <c r="Z276" s="18" t="str">
        <f ca="1">IFERROR(__xludf.DUMMYFUNCTION("""COMPUTED_VALUE"""),"lambdax:{'off':0,'claim':1,'wifi+claim':2}[x]")</f>
        <v>lambdax:{'off':0,'claim':1,'wifi+claim':2}[x]</v>
      </c>
      <c r="AA276" s="18" t="str">
        <f ca="1">IFERROR(__xludf.DUMMYFUNCTION("""COMPUTED_VALUE"""),"lambdax:{0:'off',1:'claim',2:'wifi+claim'}.get(x,'unknown')")</f>
        <v>lambdax:{0:'off',1:'claim',2:'wifi+claim'}.get(x,'unknown')</v>
      </c>
      <c r="AC276" s="59" t="s">
        <v>1374</v>
      </c>
      <c r="AD276" s="59" t="s">
        <v>1497</v>
      </c>
      <c r="AE276" s="59" t="s">
        <v>1476</v>
      </c>
      <c r="AF276" s="59" t="s">
        <v>1487</v>
      </c>
      <c r="AG276" s="59" t="s">
        <v>1505</v>
      </c>
      <c r="AH276" s="59" t="s">
        <v>1422</v>
      </c>
      <c r="AI276" s="59" t="s">
        <v>1425</v>
      </c>
      <c r="AJ276" s="59" t="s">
        <v>1425</v>
      </c>
      <c r="AK276" s="59" t="s">
        <v>1455</v>
      </c>
      <c r="AL276" s="59"/>
      <c r="AM276" s="59"/>
      <c r="AN276" s="59"/>
      <c r="AO276" s="59"/>
      <c r="AP276" s="59"/>
      <c r="AQ276" s="59"/>
      <c r="AR276" s="59"/>
      <c r="AS276" s="59"/>
      <c r="AT276" s="59"/>
    </row>
    <row r="277" spans="1:46" x14ac:dyDescent="0.25">
      <c r="A277" s="18" t="str">
        <v>display_leaf_button_disabled:{"type":"attribute","data_type":"bool","is_readonly":false,"reporting_type":"polled","poll_freq":86400,"default_value":true,"zigbee_metadata":{"attr_id":33,"endpoint_id":10,"profile_id":260,"cluster_id":64517,"zcl_data_type":16,"read_formatter":"lambdax:bool(x)","write_formatter":"lambdax:int(x)"}},</v>
      </c>
      <c r="B277" s="52" t="str">
        <f ca="1"/>
        <v>0xFC05 0x0021</v>
      </c>
      <c r="C277" s="52" t="str">
        <f ca="1">IFERROR(__xludf.DUMMYFUNCTION("""COMPUTED_VALUE"""),"display_leaf_button_disabled")</f>
        <v>display_leaf_button_disabled</v>
      </c>
      <c r="D277" s="18" t="str">
        <f ca="1">IFERROR(__xludf.DUMMYFUNCTION("""COMPUTED_VALUE"""),"attribute")</f>
        <v>attribute</v>
      </c>
      <c r="E277" s="18" t="str">
        <f ca="1">IFERROR(__xludf.DUMMYFUNCTION("""COMPUTED_VALUE"""),"bool")</f>
        <v>bool</v>
      </c>
      <c r="F277" s="18" t="str">
        <f ca="1">IFERROR(__xludf.DUMMYFUNCTION("""COMPUTED_VALUE"""),"false")</f>
        <v>false</v>
      </c>
      <c r="G277" s="18" t="str">
        <f ca="1">IFERROR(__xludf.DUMMYFUNCTION("""COMPUTED_VALUE"""),"polled")</f>
        <v>polled</v>
      </c>
      <c r="H277" s="18" t="str">
        <f ca="1">IFERROR(__xludf.DUMMYFUNCTION("""COMPUTED_VALUE"""),"86400")</f>
        <v>86400</v>
      </c>
      <c r="I277" s="18" t="str">
        <f ca="1">IFERROR(__xludf.DUMMYFUNCTION("""COMPUTED_VALUE"""),"N/A")</f>
        <v>N/A</v>
      </c>
      <c r="J277" s="18" t="str">
        <f ca="1">IFERROR(__xludf.DUMMYFUNCTION("""COMPUTED_VALUE"""),"N/A")</f>
        <v>N/A</v>
      </c>
      <c r="K277" s="18" t="str">
        <f ca="1">IFERROR(__xludf.DUMMYFUNCTION("""COMPUTED_VALUE"""),"N/A")</f>
        <v>N/A</v>
      </c>
      <c r="L277" s="18" t="str">
        <f ca="1">IFERROR(__xludf.DUMMYFUNCTION("""COMPUTED_VALUE"""),"N/A")</f>
        <v>N/A</v>
      </c>
      <c r="M277" s="18" t="str">
        <f ca="1">IFERROR(__xludf.DUMMYFUNCTION("""COMPUTED_VALUE"""),"N/A")</f>
        <v>N/A</v>
      </c>
      <c r="N277" s="18" t="str">
        <f ca="1">IFERROR(__xludf.DUMMYFUNCTION("""COMPUTED_VALUE"""),"N/A")</f>
        <v>N/A</v>
      </c>
      <c r="O277" s="18" t="str">
        <f ca="1">IFERROR(__xludf.DUMMYFUNCTION("""COMPUTED_VALUE"""),"N/A")</f>
        <v>N/A</v>
      </c>
      <c r="P277" s="18" t="str">
        <f ca="1">IFERROR(__xludf.DUMMYFUNCTION("""COMPUTED_VALUE"""),"N/A")</f>
        <v>N/A</v>
      </c>
      <c r="Q277" s="18" t="str">
        <f ca="1">IFERROR(__xludf.DUMMYFUNCTION("""COMPUTED_VALUE"""),"N/A")</f>
        <v>N/A</v>
      </c>
      <c r="R277" s="18" t="str">
        <f ca="1">IFERROR(__xludf.DUMMYFUNCTION("""COMPUTED_VALUE"""),"N/A")</f>
        <v>N/A</v>
      </c>
      <c r="S277" s="18" t="str">
        <f ca="1">IFERROR(__xludf.DUMMYFUNCTION("""COMPUTED_VALUE"""),"true")</f>
        <v>true</v>
      </c>
      <c r="T277" s="18" t="str">
        <f ca="1">IFERROR(__xludf.DUMMYFUNCTION("""COMPUTED_VALUE"""),"0x0021")</f>
        <v>0x0021</v>
      </c>
      <c r="U277" s="18" t="str">
        <f ca="1">IFERROR(__xludf.DUMMYFUNCTION("""COMPUTED_VALUE"""),"0x0A")</f>
        <v>0x0A</v>
      </c>
      <c r="V277" s="18" t="str">
        <f ca="1">IFERROR(__xludf.DUMMYFUNCTION("""COMPUTED_VALUE"""),"0x0104")</f>
        <v>0x0104</v>
      </c>
      <c r="W277" s="18" t="str">
        <f ca="1">IFERROR(__xludf.DUMMYFUNCTION("""COMPUTED_VALUE"""),"0xFC05")</f>
        <v>0xFC05</v>
      </c>
      <c r="X277" s="18" t="str">
        <f ca="1">IFERROR(__xludf.DUMMYFUNCTION("""COMPUTED_VALUE"""),"0x10")</f>
        <v>0x10</v>
      </c>
      <c r="Y277" s="18" t="e">
        <f ca="1"/>
        <v>#NAME?</v>
      </c>
      <c r="Z277" s="18" t="str">
        <f ca="1">IFERROR(__xludf.DUMMYFUNCTION("""COMPUTED_VALUE"""),"lambdax:int(x)")</f>
        <v>lambdax:int(x)</v>
      </c>
      <c r="AA277" s="18" t="str">
        <f ca="1">IFERROR(__xludf.DUMMYFUNCTION("""COMPUTED_VALUE"""),"lambdax:bool(x)")</f>
        <v>lambdax:bool(x)</v>
      </c>
      <c r="AC277" s="59" t="s">
        <v>1379</v>
      </c>
      <c r="AD277" s="59" t="s">
        <v>1503</v>
      </c>
      <c r="AE277" s="59" t="s">
        <v>1481</v>
      </c>
      <c r="AF277" s="59" t="s">
        <v>1493</v>
      </c>
      <c r="AG277" s="59" t="s">
        <v>1510</v>
      </c>
      <c r="AH277" s="59" t="s">
        <v>1425</v>
      </c>
      <c r="AI277" s="59" t="s">
        <v>1429</v>
      </c>
      <c r="AJ277" s="59" t="s">
        <v>1429</v>
      </c>
      <c r="AK277" s="59" t="s">
        <v>1457</v>
      </c>
      <c r="AL277" s="59"/>
      <c r="AM277" s="59"/>
      <c r="AN277" s="59"/>
      <c r="AO277" s="59"/>
      <c r="AP277" s="59"/>
      <c r="AQ277" s="59"/>
      <c r="AR277" s="59"/>
      <c r="AS277" s="59"/>
      <c r="AT277" s="59"/>
    </row>
    <row r="278" spans="1:46" x14ac:dyDescent="0.25">
      <c r="A278" s="18" t="str">
        <v>oem_brand:{"type":"tko_only","data_type":"enum","is_readonly":false,"reporting_type":"polled","poll_freq":86400,"default_value":"none","enum_values":["none","vda","trane","santa_fe","renew_aire"],"zigbee_metadata":{"attr_id":34,"endpoint_id":10,"profile_id":260,"cluster_id":64517,"zcl_data_type":48,"write_formatter":"lambdax:{'none':0,'vda':1,'trane':2,'santa_fe':3,'renew_aire':4}[x]","read_formatter":"lambdax:{0:'none',1:'vda',2:'trane',3:'santa_fe',4:'renew_aire',255:'none'}.get(x,'unknown')"}},</v>
      </c>
      <c r="B278" s="52" t="str">
        <f ca="1"/>
        <v>0xFC05 0x0022</v>
      </c>
      <c r="C278" s="52" t="str">
        <f ca="1">IFERROR(__xludf.DUMMYFUNCTION("""COMPUTED_VALUE"""),"oem_brand")</f>
        <v>oem_brand</v>
      </c>
      <c r="D278" s="18" t="str">
        <f ca="1">IFERROR(__xludf.DUMMYFUNCTION("""COMPUTED_VALUE"""),"tko")</f>
        <v>tko</v>
      </c>
      <c r="E278" s="18" t="str">
        <f ca="1">IFERROR(__xludf.DUMMYFUNCTION("""COMPUTED_VALUE"""),"enum")</f>
        <v>enum</v>
      </c>
      <c r="F278" s="18" t="str">
        <f ca="1">IFERROR(__xludf.DUMMYFUNCTION("""COMPUTED_VALUE"""),"false")</f>
        <v>false</v>
      </c>
      <c r="G278" s="18" t="str">
        <f ca="1">IFERROR(__xludf.DUMMYFUNCTION("""COMPUTED_VALUE"""),"polled")</f>
        <v>polled</v>
      </c>
      <c r="H278" s="18" t="str">
        <f ca="1">IFERROR(__xludf.DUMMYFUNCTION("""COMPUTED_VALUE"""),"86400")</f>
        <v>86400</v>
      </c>
      <c r="I278" s="18" t="str">
        <f ca="1">IFERROR(__xludf.DUMMYFUNCTION("""COMPUTED_VALUE"""),"N/A")</f>
        <v>N/A</v>
      </c>
      <c r="J278" s="18" t="str">
        <f ca="1">IFERROR(__xludf.DUMMYFUNCTION("""COMPUTED_VALUE"""),"N/A")</f>
        <v>N/A</v>
      </c>
      <c r="K278" s="18" t="str">
        <f ca="1">IFERROR(__xludf.DUMMYFUNCTION("""COMPUTED_VALUE"""),"N/A")</f>
        <v>N/A</v>
      </c>
      <c r="L278" s="18" t="str">
        <f ca="1">IFERROR(__xludf.DUMMYFUNCTION("""COMPUTED_VALUE"""),"N/A")</f>
        <v>N/A</v>
      </c>
      <c r="M278" s="18" t="str">
        <f ca="1">IFERROR(__xludf.DUMMYFUNCTION("""COMPUTED_VALUE"""),"N/A")</f>
        <v>N/A</v>
      </c>
      <c r="N278" s="18" t="str">
        <f ca="1">IFERROR(__xludf.DUMMYFUNCTION("""COMPUTED_VALUE"""),"N/A")</f>
        <v>N/A</v>
      </c>
      <c r="O278" s="18" t="str">
        <f ca="1">IFERROR(__xludf.DUMMYFUNCTION("""COMPUTED_VALUE"""),"N/A")</f>
        <v>N/A</v>
      </c>
      <c r="P278" s="18" t="str">
        <f ca="1">IFERROR(__xludf.DUMMYFUNCTION("""COMPUTED_VALUE"""),"""none"",""vda"",""trane"",""santa_fe"",""renew_aire""")</f>
        <v>"none","vda","trane","santa_fe","renew_aire"</v>
      </c>
      <c r="Q278" s="18" t="str">
        <f ca="1">IFERROR(__xludf.DUMMYFUNCTION("""COMPUTED_VALUE"""),"N/A")</f>
        <v>N/A</v>
      </c>
      <c r="R278" s="18" t="str">
        <f ca="1">IFERROR(__xludf.DUMMYFUNCTION("""COMPUTED_VALUE"""),"N/A")</f>
        <v>N/A</v>
      </c>
      <c r="S278" s="18" t="str">
        <f ca="1">IFERROR(__xludf.DUMMYFUNCTION("""COMPUTED_VALUE"""),"""none""")</f>
        <v>"none"</v>
      </c>
      <c r="T278" s="18" t="str">
        <f ca="1">IFERROR(__xludf.DUMMYFUNCTION("""COMPUTED_VALUE"""),"0x0022")</f>
        <v>0x0022</v>
      </c>
      <c r="U278" s="18" t="str">
        <f ca="1">IFERROR(__xludf.DUMMYFUNCTION("""COMPUTED_VALUE"""),"0x0A")</f>
        <v>0x0A</v>
      </c>
      <c r="V278" s="18" t="str">
        <f ca="1">IFERROR(__xludf.DUMMYFUNCTION("""COMPUTED_VALUE"""),"0x0104")</f>
        <v>0x0104</v>
      </c>
      <c r="W278" s="18" t="str">
        <f ca="1">IFERROR(__xludf.DUMMYFUNCTION("""COMPUTED_VALUE"""),"0xFC05")</f>
        <v>0xFC05</v>
      </c>
      <c r="X278" s="18" t="str">
        <f ca="1">IFERROR(__xludf.DUMMYFUNCTION("""COMPUTED_VALUE"""),"0x30")</f>
        <v>0x30</v>
      </c>
      <c r="Y278" s="18" t="e">
        <f ca="1"/>
        <v>#NAME?</v>
      </c>
      <c r="Z278" s="18" t="str">
        <f ca="1">IFERROR(__xludf.DUMMYFUNCTION("""COMPUTED_VALUE"""),"lambdax:{'none':0,'vda':1,'trane':2,'santa_fe':3,'renew_aire':4}[x]")</f>
        <v>lambdax:{'none':0,'vda':1,'trane':2,'santa_fe':3,'renew_aire':4}[x]</v>
      </c>
      <c r="AA278" s="18" t="str">
        <f ca="1">IFERROR(__xludf.DUMMYFUNCTION("""COMPUTED_VALUE"""),"lambdax:{0:'none',1:'vda',2:'trane',3:'santa_fe',4:'renew_aire',255:'none'}.get(x,'unknown')")</f>
        <v>lambdax:{0:'none',1:'vda',2:'trane',3:'santa_fe',4:'renew_aire',255:'none'}.get(x,'unknown')</v>
      </c>
      <c r="AC278" s="59" t="s">
        <v>1421</v>
      </c>
      <c r="AD278" s="59" t="s">
        <v>1508</v>
      </c>
      <c r="AE278" s="59" t="s">
        <v>1487</v>
      </c>
      <c r="AF278" s="59" t="s">
        <v>1499</v>
      </c>
      <c r="AG278" s="59" t="s">
        <v>1515</v>
      </c>
      <c r="AH278" s="59" t="s">
        <v>1429</v>
      </c>
      <c r="AI278" s="59" t="s">
        <v>1432</v>
      </c>
      <c r="AJ278" s="59" t="s">
        <v>1432</v>
      </c>
      <c r="AK278" s="59" t="s">
        <v>1459</v>
      </c>
      <c r="AL278" s="59"/>
      <c r="AM278" s="59"/>
      <c r="AN278" s="59"/>
      <c r="AO278" s="59"/>
      <c r="AP278" s="59"/>
      <c r="AQ278" s="59"/>
      <c r="AR278" s="59"/>
      <c r="AS278" s="59"/>
      <c r="AT278" s="59"/>
    </row>
    <row r="279" spans="1:46" x14ac:dyDescent="0.25">
      <c r="A279" s="18" t="str">
        <v>display_set_time_reminder:{"type":"attribute","data_type":"bool","is_readonly":false,"reporting_type":"polled","poll_freq":86400,"default_value":false,"zigbee_metadata":{"attr_id":35,"endpoint_id":10,"profile_id":260,"cluster_id":64517,"zcl_data_type":16,"read_formatter":"lambdax:bool(x)","write_formatter":"lambdax:int(x)"}},</v>
      </c>
      <c r="B279" s="52" t="str">
        <f ca="1"/>
        <v>0xFC05 0x0023</v>
      </c>
      <c r="C279" s="52" t="str">
        <f ca="1">IFERROR(__xludf.DUMMYFUNCTION("""COMPUTED_VALUE"""),"display_set_time_reminder")</f>
        <v>display_set_time_reminder</v>
      </c>
      <c r="D279" s="18" t="str">
        <f ca="1">IFERROR(__xludf.DUMMYFUNCTION("""COMPUTED_VALUE"""),"attribute")</f>
        <v>attribute</v>
      </c>
      <c r="E279" s="18" t="str">
        <f ca="1">IFERROR(__xludf.DUMMYFUNCTION("""COMPUTED_VALUE"""),"bool")</f>
        <v>bool</v>
      </c>
      <c r="F279" s="18" t="str">
        <f ca="1">IFERROR(__xludf.DUMMYFUNCTION("""COMPUTED_VALUE"""),"false")</f>
        <v>false</v>
      </c>
      <c r="G279" s="18" t="str">
        <f ca="1">IFERROR(__xludf.DUMMYFUNCTION("""COMPUTED_VALUE"""),"polled")</f>
        <v>polled</v>
      </c>
      <c r="H279" s="18" t="str">
        <f ca="1">IFERROR(__xludf.DUMMYFUNCTION("""COMPUTED_VALUE"""),"86400")</f>
        <v>86400</v>
      </c>
      <c r="I279" s="18" t="str">
        <f ca="1">IFERROR(__xludf.DUMMYFUNCTION("""COMPUTED_VALUE"""),"N/A")</f>
        <v>N/A</v>
      </c>
      <c r="J279" s="18" t="str">
        <f ca="1">IFERROR(__xludf.DUMMYFUNCTION("""COMPUTED_VALUE"""),"N/A")</f>
        <v>N/A</v>
      </c>
      <c r="K279" s="18" t="str">
        <f ca="1">IFERROR(__xludf.DUMMYFUNCTION("""COMPUTED_VALUE"""),"N/A")</f>
        <v>N/A</v>
      </c>
      <c r="L279" s="18" t="str">
        <f ca="1">IFERROR(__xludf.DUMMYFUNCTION("""COMPUTED_VALUE"""),"N/A")</f>
        <v>N/A</v>
      </c>
      <c r="M279" s="18" t="str">
        <f ca="1">IFERROR(__xludf.DUMMYFUNCTION("""COMPUTED_VALUE"""),"N/A")</f>
        <v>N/A</v>
      </c>
      <c r="N279" s="18" t="str">
        <f ca="1">IFERROR(__xludf.DUMMYFUNCTION("""COMPUTED_VALUE"""),"N/A")</f>
        <v>N/A</v>
      </c>
      <c r="O279" s="18" t="str">
        <f ca="1">IFERROR(__xludf.DUMMYFUNCTION("""COMPUTED_VALUE"""),"N/A")</f>
        <v>N/A</v>
      </c>
      <c r="P279" s="18" t="str">
        <f ca="1">IFERROR(__xludf.DUMMYFUNCTION("""COMPUTED_VALUE"""),"N/A")</f>
        <v>N/A</v>
      </c>
      <c r="Q279" s="18" t="str">
        <f ca="1">IFERROR(__xludf.DUMMYFUNCTION("""COMPUTED_VALUE"""),"N/A")</f>
        <v>N/A</v>
      </c>
      <c r="R279" s="18" t="str">
        <f ca="1">IFERROR(__xludf.DUMMYFUNCTION("""COMPUTED_VALUE"""),"N/A")</f>
        <v>N/A</v>
      </c>
      <c r="S279" s="18" t="str">
        <f ca="1">IFERROR(__xludf.DUMMYFUNCTION("""COMPUTED_VALUE"""),"false")</f>
        <v>false</v>
      </c>
      <c r="T279" s="18" t="str">
        <f ca="1">IFERROR(__xludf.DUMMYFUNCTION("""COMPUTED_VALUE"""),"0x0023")</f>
        <v>0x0023</v>
      </c>
      <c r="U279" s="18" t="str">
        <f ca="1">IFERROR(__xludf.DUMMYFUNCTION("""COMPUTED_VALUE"""),"0x0A")</f>
        <v>0x0A</v>
      </c>
      <c r="V279" s="18" t="str">
        <f ca="1">IFERROR(__xludf.DUMMYFUNCTION("""COMPUTED_VALUE"""),"0x0104")</f>
        <v>0x0104</v>
      </c>
      <c r="W279" s="18" t="str">
        <f ca="1">IFERROR(__xludf.DUMMYFUNCTION("""COMPUTED_VALUE"""),"0xFC05")</f>
        <v>0xFC05</v>
      </c>
      <c r="X279" s="18" t="str">
        <f ca="1">IFERROR(__xludf.DUMMYFUNCTION("""COMPUTED_VALUE"""),"0x10")</f>
        <v>0x10</v>
      </c>
      <c r="Y279" s="18" t="e">
        <f ca="1"/>
        <v>#NAME?</v>
      </c>
      <c r="Z279" s="18" t="str">
        <f ca="1">IFERROR(__xludf.DUMMYFUNCTION("""COMPUTED_VALUE"""),"lambdax:int(x)")</f>
        <v>lambdax:int(x)</v>
      </c>
      <c r="AA279" s="18" t="str">
        <f ca="1">IFERROR(__xludf.DUMMYFUNCTION("""COMPUTED_VALUE"""),"lambdax:bool(x)")</f>
        <v>lambdax:bool(x)</v>
      </c>
      <c r="AC279" s="59" t="s">
        <v>1388</v>
      </c>
      <c r="AD279" s="59" t="s">
        <v>1513</v>
      </c>
      <c r="AE279" s="59" t="s">
        <v>1493</v>
      </c>
      <c r="AF279" s="59" t="s">
        <v>1505</v>
      </c>
      <c r="AG279" s="59" t="s">
        <v>1409</v>
      </c>
      <c r="AH279" s="59" t="s">
        <v>1432</v>
      </c>
      <c r="AI279" s="59" t="s">
        <v>1435</v>
      </c>
      <c r="AJ279" s="59" t="s">
        <v>1435</v>
      </c>
      <c r="AK279" s="59" t="s">
        <v>1461</v>
      </c>
      <c r="AL279" s="59"/>
      <c r="AM279" s="59"/>
      <c r="AN279" s="59"/>
      <c r="AO279" s="59"/>
      <c r="AP279" s="59"/>
      <c r="AQ279" s="59"/>
      <c r="AR279" s="59"/>
      <c r="AS279" s="59"/>
      <c r="AT279" s="59"/>
    </row>
    <row r="280" spans="1:46" x14ac:dyDescent="0.25">
      <c r="A280" s="18" t="str">
        <v>startup_screen:{"type":"tko_only","data_type":"enum","is_readonly":false,"reporting_type":"polled","poll_freq":86400,"default_value":"none","enum_values":["none","select_device_type","select_preset"],"zigbee_metadata":{"attr_id":36,"endpoint_id":10,"profile_id":260,"cluster_id":64517,"zcl_data_type":48,"write_formatter":"lambdax:{'none':0,'select_device_type':1,'select_preset':2}[x]","read_formatter":"lambdax:{0:'none',1:'select_device_type',2:'select_preset'}.get(x,'unknown')"}},</v>
      </c>
      <c r="B280" s="52" t="str">
        <f ca="1"/>
        <v>0xFC05 0x0024</v>
      </c>
      <c r="C280" s="52" t="str">
        <f ca="1">IFERROR(__xludf.DUMMYFUNCTION("""COMPUTED_VALUE"""),"startup_screen")</f>
        <v>startup_screen</v>
      </c>
      <c r="D280" s="18" t="str">
        <f ca="1">IFERROR(__xludf.DUMMYFUNCTION("""COMPUTED_VALUE"""),"tko")</f>
        <v>tko</v>
      </c>
      <c r="E280" s="18" t="str">
        <f ca="1">IFERROR(__xludf.DUMMYFUNCTION("""COMPUTED_VALUE"""),"enum")</f>
        <v>enum</v>
      </c>
      <c r="F280" s="18" t="str">
        <f ca="1">IFERROR(__xludf.DUMMYFUNCTION("""COMPUTED_VALUE"""),"false")</f>
        <v>false</v>
      </c>
      <c r="G280" s="18" t="str">
        <f ca="1">IFERROR(__xludf.DUMMYFUNCTION("""COMPUTED_VALUE"""),"polled")</f>
        <v>polled</v>
      </c>
      <c r="H280" s="18" t="str">
        <f ca="1">IFERROR(__xludf.DUMMYFUNCTION("""COMPUTED_VALUE"""),"86400")</f>
        <v>86400</v>
      </c>
      <c r="I280" s="18" t="str">
        <f ca="1">IFERROR(__xludf.DUMMYFUNCTION("""COMPUTED_VALUE"""),"N/A")</f>
        <v>N/A</v>
      </c>
      <c r="J280" s="18" t="str">
        <f ca="1">IFERROR(__xludf.DUMMYFUNCTION("""COMPUTED_VALUE"""),"N/A")</f>
        <v>N/A</v>
      </c>
      <c r="K280" s="18" t="str">
        <f ca="1">IFERROR(__xludf.DUMMYFUNCTION("""COMPUTED_VALUE"""),"N/A")</f>
        <v>N/A</v>
      </c>
      <c r="L280" s="18" t="str">
        <f ca="1">IFERROR(__xludf.DUMMYFUNCTION("""COMPUTED_VALUE"""),"N/A")</f>
        <v>N/A</v>
      </c>
      <c r="M280" s="18" t="str">
        <f ca="1">IFERROR(__xludf.DUMMYFUNCTION("""COMPUTED_VALUE"""),"N/A")</f>
        <v>N/A</v>
      </c>
      <c r="N280" s="18" t="str">
        <f ca="1">IFERROR(__xludf.DUMMYFUNCTION("""COMPUTED_VALUE"""),"N/A")</f>
        <v>N/A</v>
      </c>
      <c r="O280" s="18" t="str">
        <f ca="1">IFERROR(__xludf.DUMMYFUNCTION("""COMPUTED_VALUE"""),"N/A")</f>
        <v>N/A</v>
      </c>
      <c r="P280" s="18" t="str">
        <f ca="1">IFERROR(__xludf.DUMMYFUNCTION("""COMPUTED_VALUE"""),"""none"",""select_device_type"",""select_preset""")</f>
        <v>"none","select_device_type","select_preset"</v>
      </c>
      <c r="Q280" s="18" t="str">
        <f ca="1">IFERROR(__xludf.DUMMYFUNCTION("""COMPUTED_VALUE"""),"N/A")</f>
        <v>N/A</v>
      </c>
      <c r="R280" s="18" t="str">
        <f ca="1">IFERROR(__xludf.DUMMYFUNCTION("""COMPUTED_VALUE"""),"N/A")</f>
        <v>N/A</v>
      </c>
      <c r="S280" s="18" t="str">
        <f ca="1">IFERROR(__xludf.DUMMYFUNCTION("""COMPUTED_VALUE"""),"""none""")</f>
        <v>"none"</v>
      </c>
      <c r="T280" s="18" t="str">
        <f ca="1">IFERROR(__xludf.DUMMYFUNCTION("""COMPUTED_VALUE"""),"0x0024")</f>
        <v>0x0024</v>
      </c>
      <c r="U280" s="18" t="str">
        <f ca="1">IFERROR(__xludf.DUMMYFUNCTION("""COMPUTED_VALUE"""),"0x0A")</f>
        <v>0x0A</v>
      </c>
      <c r="V280" s="18" t="str">
        <f ca="1">IFERROR(__xludf.DUMMYFUNCTION("""COMPUTED_VALUE"""),"0x0104")</f>
        <v>0x0104</v>
      </c>
      <c r="W280" s="18" t="str">
        <f ca="1">IFERROR(__xludf.DUMMYFUNCTION("""COMPUTED_VALUE"""),"0xFC05")</f>
        <v>0xFC05</v>
      </c>
      <c r="X280" s="18" t="str">
        <f ca="1">IFERROR(__xludf.DUMMYFUNCTION("""COMPUTED_VALUE"""),"0x30")</f>
        <v>0x30</v>
      </c>
      <c r="Y280" s="18" t="e">
        <f ca="1"/>
        <v>#NAME?</v>
      </c>
      <c r="Z280" s="18" t="str">
        <f ca="1">IFERROR(__xludf.DUMMYFUNCTION("""COMPUTED_VALUE"""),"lambdax:{'none':0,'select_device_type':1,'select_preset':2}[x]")</f>
        <v>lambdax:{'none':0,'select_device_type':1,'select_preset':2}[x]</v>
      </c>
      <c r="AA280" s="18" t="str">
        <f ca="1">IFERROR(__xludf.DUMMYFUNCTION("""COMPUTED_VALUE"""),"lambdax:{0:'none',1:'select_device_type',2:'select_preset'}.get(x,'unknown')")</f>
        <v>lambdax:{0:'none',1:'select_device_type',2:'select_preset'}.get(x,'unknown')</v>
      </c>
      <c r="AC280" s="59" t="s">
        <v>1428</v>
      </c>
      <c r="AD280" s="59" t="s">
        <v>1518</v>
      </c>
      <c r="AE280" s="59" t="s">
        <v>1499</v>
      </c>
      <c r="AF280" s="59" t="s">
        <v>1510</v>
      </c>
      <c r="AG280" s="59" t="s">
        <v>1412</v>
      </c>
      <c r="AH280" s="59" t="s">
        <v>1435</v>
      </c>
      <c r="AI280" s="59" t="s">
        <v>1438</v>
      </c>
      <c r="AJ280" s="59" t="s">
        <v>1438</v>
      </c>
      <c r="AK280" s="59" t="s">
        <v>1463</v>
      </c>
      <c r="AL280" s="59"/>
      <c r="AM280" s="59"/>
      <c r="AN280" s="59"/>
      <c r="AO280" s="59"/>
      <c r="AP280" s="59"/>
      <c r="AQ280" s="59"/>
      <c r="AR280" s="59"/>
      <c r="AS280" s="59"/>
      <c r="AT280" s="59"/>
    </row>
    <row r="281" spans="1:46" x14ac:dyDescent="0.25">
      <c r="A281" s="18" t="str">
        <v>password_level_1:{"type":"attribute","data_type":"uint16","is_readonly":false,"reporting_type":"polled","poll_freq":86400,"default_value":65535,"zigbee_metadata":{"attr_id":37,"endpoint_id":10,"profile_id":260,"cluster_id":64517,"zcl_data_type":33}},</v>
      </c>
      <c r="B281" s="52" t="str">
        <f ca="1"/>
        <v>0xFC05 0x0025</v>
      </c>
      <c r="C281" s="52" t="str">
        <f ca="1">IFERROR(__xludf.DUMMYFUNCTION("""COMPUTED_VALUE"""),"password_level_1")</f>
        <v>password_level_1</v>
      </c>
      <c r="D281" s="18" t="str">
        <f ca="1">IFERROR(__xludf.DUMMYFUNCTION("""COMPUTED_VALUE"""),"attribute")</f>
        <v>attribute</v>
      </c>
      <c r="E281" s="18" t="str">
        <f ca="1">IFERROR(__xludf.DUMMYFUNCTION("""COMPUTED_VALUE"""),"uint16")</f>
        <v>uint16</v>
      </c>
      <c r="F281" s="18" t="str">
        <f ca="1">IFERROR(__xludf.DUMMYFUNCTION("""COMPUTED_VALUE"""),"false")</f>
        <v>false</v>
      </c>
      <c r="G281" s="18" t="str">
        <f ca="1">IFERROR(__xludf.DUMMYFUNCTION("""COMPUTED_VALUE"""),"polled")</f>
        <v>polled</v>
      </c>
      <c r="H281" s="18" t="str">
        <f ca="1">IFERROR(__xludf.DUMMYFUNCTION("""COMPUTED_VALUE"""),"86400")</f>
        <v>86400</v>
      </c>
      <c r="I281" s="18" t="str">
        <f ca="1">IFERROR(__xludf.DUMMYFUNCTION("""COMPUTED_VALUE"""),"N/A")</f>
        <v>N/A</v>
      </c>
      <c r="J281" s="18" t="str">
        <f ca="1">IFERROR(__xludf.DUMMYFUNCTION("""COMPUTED_VALUE"""),"N/A")</f>
        <v>N/A</v>
      </c>
      <c r="K281" s="18" t="str">
        <f ca="1">IFERROR(__xludf.DUMMYFUNCTION("""COMPUTED_VALUE"""),"N/A")</f>
        <v>N/A</v>
      </c>
      <c r="L281" s="18" t="str">
        <f ca="1">IFERROR(__xludf.DUMMYFUNCTION("""COMPUTED_VALUE"""),"N/A")</f>
        <v>N/A</v>
      </c>
      <c r="M281" s="18" t="str">
        <f ca="1">IFERROR(__xludf.DUMMYFUNCTION("""COMPUTED_VALUE"""),"N/A")</f>
        <v>N/A</v>
      </c>
      <c r="N281" s="18" t="str">
        <f ca="1">IFERROR(__xludf.DUMMYFUNCTION("""COMPUTED_VALUE"""),"N/A")</f>
        <v>N/A</v>
      </c>
      <c r="O281" s="18" t="str">
        <f ca="1">IFERROR(__xludf.DUMMYFUNCTION("""COMPUTED_VALUE"""),"N/A")</f>
        <v>N/A</v>
      </c>
      <c r="P281" s="18" t="str">
        <f ca="1">IFERROR(__xludf.DUMMYFUNCTION("""COMPUTED_VALUE"""),"N/A")</f>
        <v>N/A</v>
      </c>
      <c r="Q281" s="18" t="str">
        <f ca="1">IFERROR(__xludf.DUMMYFUNCTION("""COMPUTED_VALUE"""),"N/A")</f>
        <v>N/A</v>
      </c>
      <c r="R281" s="18" t="str">
        <f ca="1">IFERROR(__xludf.DUMMYFUNCTION("""COMPUTED_VALUE"""),"N/A")</f>
        <v>N/A</v>
      </c>
      <c r="S281" s="18" t="str">
        <f ca="1">IFERROR(__xludf.DUMMYFUNCTION("""COMPUTED_VALUE"""),"65535")</f>
        <v>65535</v>
      </c>
      <c r="T281" s="18" t="str">
        <f ca="1">IFERROR(__xludf.DUMMYFUNCTION("""COMPUTED_VALUE"""),"0x0025")</f>
        <v>0x0025</v>
      </c>
      <c r="U281" s="18" t="str">
        <f ca="1">IFERROR(__xludf.DUMMYFUNCTION("""COMPUTED_VALUE"""),"0x0A")</f>
        <v>0x0A</v>
      </c>
      <c r="V281" s="18" t="str">
        <f ca="1">IFERROR(__xludf.DUMMYFUNCTION("""COMPUTED_VALUE"""),"0x0104")</f>
        <v>0x0104</v>
      </c>
      <c r="W281" s="18" t="str">
        <f ca="1">IFERROR(__xludf.DUMMYFUNCTION("""COMPUTED_VALUE"""),"0xFC05")</f>
        <v>0xFC05</v>
      </c>
      <c r="X281" s="18" t="str">
        <f ca="1">IFERROR(__xludf.DUMMYFUNCTION("""COMPUTED_VALUE"""),"0x21")</f>
        <v>0x21</v>
      </c>
      <c r="Y281" s="18" t="e">
        <f ca="1"/>
        <v>#NAME?</v>
      </c>
      <c r="Z281" s="18" t="str">
        <f ca="1">IFERROR(__xludf.DUMMYFUNCTION("""COMPUTED_VALUE"""),"N/A")</f>
        <v>N/A</v>
      </c>
      <c r="AA281" s="18" t="str">
        <f ca="1">IFERROR(__xludf.DUMMYFUNCTION("""COMPUTED_VALUE"""),"N/A")</f>
        <v>N/A</v>
      </c>
      <c r="AC281" s="59" t="s">
        <v>1398</v>
      </c>
      <c r="AD281" s="59" t="s">
        <v>1517</v>
      </c>
      <c r="AE281" s="59" t="s">
        <v>1505</v>
      </c>
      <c r="AF281" s="59" t="s">
        <v>1515</v>
      </c>
      <c r="AG281" s="59" t="s">
        <v>1415</v>
      </c>
      <c r="AH281" s="59" t="s">
        <v>1438</v>
      </c>
      <c r="AI281" s="59" t="s">
        <v>1441</v>
      </c>
      <c r="AJ281" s="59" t="s">
        <v>1441</v>
      </c>
      <c r="AK281" s="59" t="s">
        <v>1465</v>
      </c>
      <c r="AL281" s="59"/>
      <c r="AM281" s="59"/>
      <c r="AN281" s="59"/>
      <c r="AO281" s="59"/>
      <c r="AP281" s="59"/>
      <c r="AQ281" s="59"/>
      <c r="AR281" s="59"/>
      <c r="AS281" s="59"/>
      <c r="AT281" s="59"/>
    </row>
    <row r="282" spans="1:46" x14ac:dyDescent="0.25">
      <c r="A282" s="18" t="str">
        <v>password_level_2:{"type":"attribute","data_type":"uint16","is_readonly":false,"reporting_type":"polled","poll_freq":86400,"default_value":65535,"zigbee_metadata":{"attr_id":38,"endpoint_id":10,"profile_id":260,"cluster_id":64517,"zcl_data_type":33}},</v>
      </c>
      <c r="B282" s="52" t="str">
        <f ca="1"/>
        <v>0xFC05 0x0026</v>
      </c>
      <c r="C282" s="52" t="str">
        <f ca="1">IFERROR(__xludf.DUMMYFUNCTION("""COMPUTED_VALUE"""),"password_level_2")</f>
        <v>password_level_2</v>
      </c>
      <c r="D282" s="18" t="str">
        <f ca="1">IFERROR(__xludf.DUMMYFUNCTION("""COMPUTED_VALUE"""),"attribute")</f>
        <v>attribute</v>
      </c>
      <c r="E282" s="18" t="str">
        <f ca="1">IFERROR(__xludf.DUMMYFUNCTION("""COMPUTED_VALUE"""),"uint16")</f>
        <v>uint16</v>
      </c>
      <c r="F282" s="18" t="str">
        <f ca="1">IFERROR(__xludf.DUMMYFUNCTION("""COMPUTED_VALUE"""),"false")</f>
        <v>false</v>
      </c>
      <c r="G282" s="18" t="str">
        <f ca="1">IFERROR(__xludf.DUMMYFUNCTION("""COMPUTED_VALUE"""),"polled")</f>
        <v>polled</v>
      </c>
      <c r="H282" s="18" t="str">
        <f ca="1">IFERROR(__xludf.DUMMYFUNCTION("""COMPUTED_VALUE"""),"86400")</f>
        <v>86400</v>
      </c>
      <c r="I282" s="18" t="str">
        <f ca="1">IFERROR(__xludf.DUMMYFUNCTION("""COMPUTED_VALUE"""),"N/A")</f>
        <v>N/A</v>
      </c>
      <c r="J282" s="18" t="str">
        <f ca="1">IFERROR(__xludf.DUMMYFUNCTION("""COMPUTED_VALUE"""),"N/A")</f>
        <v>N/A</v>
      </c>
      <c r="K282" s="18" t="str">
        <f ca="1">IFERROR(__xludf.DUMMYFUNCTION("""COMPUTED_VALUE"""),"N/A")</f>
        <v>N/A</v>
      </c>
      <c r="L282" s="18" t="str">
        <f ca="1">IFERROR(__xludf.DUMMYFUNCTION("""COMPUTED_VALUE"""),"N/A")</f>
        <v>N/A</v>
      </c>
      <c r="M282" s="18" t="str">
        <f ca="1">IFERROR(__xludf.DUMMYFUNCTION("""COMPUTED_VALUE"""),"N/A")</f>
        <v>N/A</v>
      </c>
      <c r="N282" s="18" t="str">
        <f ca="1">IFERROR(__xludf.DUMMYFUNCTION("""COMPUTED_VALUE"""),"N/A")</f>
        <v>N/A</v>
      </c>
      <c r="O282" s="18" t="str">
        <f ca="1">IFERROR(__xludf.DUMMYFUNCTION("""COMPUTED_VALUE"""),"N/A")</f>
        <v>N/A</v>
      </c>
      <c r="P282" s="18" t="str">
        <f ca="1">IFERROR(__xludf.DUMMYFUNCTION("""COMPUTED_VALUE"""),"N/A")</f>
        <v>N/A</v>
      </c>
      <c r="Q282" s="18" t="str">
        <f ca="1">IFERROR(__xludf.DUMMYFUNCTION("""COMPUTED_VALUE"""),"N/A")</f>
        <v>N/A</v>
      </c>
      <c r="R282" s="18" t="str">
        <f ca="1">IFERROR(__xludf.DUMMYFUNCTION("""COMPUTED_VALUE"""),"N/A")</f>
        <v>N/A</v>
      </c>
      <c r="S282" s="18" t="str">
        <f ca="1">IFERROR(__xludf.DUMMYFUNCTION("""COMPUTED_VALUE"""),"65535")</f>
        <v>65535</v>
      </c>
      <c r="T282" s="18" t="str">
        <f ca="1">IFERROR(__xludf.DUMMYFUNCTION("""COMPUTED_VALUE"""),"0x0026")</f>
        <v>0x0026</v>
      </c>
      <c r="U282" s="18" t="str">
        <f ca="1">IFERROR(__xludf.DUMMYFUNCTION("""COMPUTED_VALUE"""),"0x0A")</f>
        <v>0x0A</v>
      </c>
      <c r="V282" s="18" t="str">
        <f ca="1">IFERROR(__xludf.DUMMYFUNCTION("""COMPUTED_VALUE"""),"0x0104")</f>
        <v>0x0104</v>
      </c>
      <c r="W282" s="18" t="str">
        <f ca="1">IFERROR(__xludf.DUMMYFUNCTION("""COMPUTED_VALUE"""),"0xFC05")</f>
        <v>0xFC05</v>
      </c>
      <c r="X282" s="18" t="str">
        <f ca="1">IFERROR(__xludf.DUMMYFUNCTION("""COMPUTED_VALUE"""),"0x21")</f>
        <v>0x21</v>
      </c>
      <c r="Y282" s="18" t="e">
        <f ca="1"/>
        <v>#NAME?</v>
      </c>
      <c r="Z282" s="18" t="str">
        <f ca="1">IFERROR(__xludf.DUMMYFUNCTION("""COMPUTED_VALUE"""),"N/A")</f>
        <v>N/A</v>
      </c>
      <c r="AA282" s="18" t="str">
        <f ca="1">IFERROR(__xludf.DUMMYFUNCTION("""COMPUTED_VALUE"""),"N/A")</f>
        <v>N/A</v>
      </c>
      <c r="AC282" s="59" t="s">
        <v>1402</v>
      </c>
      <c r="AD282" s="59" t="s">
        <v>1471</v>
      </c>
      <c r="AE282" s="59" t="s">
        <v>1510</v>
      </c>
      <c r="AF282" s="59" t="s">
        <v>1409</v>
      </c>
      <c r="AG282" s="59" t="s">
        <v>1418</v>
      </c>
      <c r="AH282" s="59" t="s">
        <v>1441</v>
      </c>
      <c r="AI282" s="59" t="s">
        <v>1444</v>
      </c>
      <c r="AJ282" s="59" t="s">
        <v>1444</v>
      </c>
      <c r="AK282" s="59" t="s">
        <v>1468</v>
      </c>
      <c r="AL282" s="59"/>
      <c r="AM282" s="59"/>
      <c r="AN282" s="59"/>
      <c r="AO282" s="59"/>
      <c r="AP282" s="59"/>
      <c r="AQ282" s="59"/>
      <c r="AR282" s="59"/>
      <c r="AS282" s="59"/>
      <c r="AT282" s="59"/>
    </row>
    <row r="283" spans="1:46" x14ac:dyDescent="0.25">
      <c r="A283" s="18" t="str">
        <v>bacnet_oid:{"type":"attribute","data_type":"uint32","is_readonly":false,"reporting_type":"polled","poll_freq":86400,"default_value":null,"zigbee_metadata":{"attr_id":39,"endpoint_id":10,"profile_id":260,"cluster_id":64517,"zcl_data_type":35}},</v>
      </c>
      <c r="B283" s="52" t="str">
        <f ca="1"/>
        <v>0xFC05 0x0027</v>
      </c>
      <c r="C283" s="52" t="str">
        <f ca="1">IFERROR(__xludf.DUMMYFUNCTION("""COMPUTED_VALUE"""),"bacnet_oid")</f>
        <v>bacnet_oid</v>
      </c>
      <c r="D283" s="18" t="str">
        <f ca="1">IFERROR(__xludf.DUMMYFUNCTION("""COMPUTED_VALUE"""),"attribute")</f>
        <v>attribute</v>
      </c>
      <c r="E283" s="18" t="str">
        <f ca="1">IFERROR(__xludf.DUMMYFUNCTION("""COMPUTED_VALUE"""),"uint32")</f>
        <v>uint32</v>
      </c>
      <c r="F283" s="18" t="str">
        <f ca="1">IFERROR(__xludf.DUMMYFUNCTION("""COMPUTED_VALUE"""),"false")</f>
        <v>false</v>
      </c>
      <c r="G283" s="18" t="str">
        <f ca="1">IFERROR(__xludf.DUMMYFUNCTION("""COMPUTED_VALUE"""),"polled")</f>
        <v>polled</v>
      </c>
      <c r="H283" s="18" t="str">
        <f ca="1">IFERROR(__xludf.DUMMYFUNCTION("""COMPUTED_VALUE"""),"86400")</f>
        <v>86400</v>
      </c>
      <c r="I283" s="18" t="str">
        <f ca="1">IFERROR(__xludf.DUMMYFUNCTION("""COMPUTED_VALUE"""),"N/A")</f>
        <v>N/A</v>
      </c>
      <c r="J283" s="18" t="str">
        <f ca="1">IFERROR(__xludf.DUMMYFUNCTION("""COMPUTED_VALUE"""),"N/A")</f>
        <v>N/A</v>
      </c>
      <c r="K283" s="18" t="str">
        <f ca="1">IFERROR(__xludf.DUMMYFUNCTION("""COMPUTED_VALUE"""),"N/A")</f>
        <v>N/A</v>
      </c>
      <c r="L283" s="18" t="str">
        <f ca="1">IFERROR(__xludf.DUMMYFUNCTION("""COMPUTED_VALUE"""),"N/A")</f>
        <v>N/A</v>
      </c>
      <c r="M283" s="18" t="str">
        <f ca="1">IFERROR(__xludf.DUMMYFUNCTION("""COMPUTED_VALUE"""),"N/A")</f>
        <v>N/A</v>
      </c>
      <c r="N283" s="18" t="str">
        <f ca="1">IFERROR(__xludf.DUMMYFUNCTION("""COMPUTED_VALUE"""),"N/A")</f>
        <v>N/A</v>
      </c>
      <c r="O283" s="18" t="str">
        <f ca="1">IFERROR(__xludf.DUMMYFUNCTION("""COMPUTED_VALUE"""),"N/A")</f>
        <v>N/A</v>
      </c>
      <c r="P283" s="18" t="str">
        <f ca="1">IFERROR(__xludf.DUMMYFUNCTION("""COMPUTED_VALUE"""),"N/A")</f>
        <v>N/A</v>
      </c>
      <c r="Q283" s="18" t="str">
        <f ca="1">IFERROR(__xludf.DUMMYFUNCTION("""COMPUTED_VALUE"""),"N/A")</f>
        <v>N/A</v>
      </c>
      <c r="R283" s="18" t="str">
        <f ca="1">IFERROR(__xludf.DUMMYFUNCTION("""COMPUTED_VALUE"""),"N/A")</f>
        <v>N/A</v>
      </c>
      <c r="S283" s="18" t="str">
        <f ca="1">IFERROR(__xludf.DUMMYFUNCTION("""COMPUTED_VALUE"""),"null")</f>
        <v>null</v>
      </c>
      <c r="T283" s="18" t="str">
        <f ca="1">IFERROR(__xludf.DUMMYFUNCTION("""COMPUTED_VALUE"""),"0x0027")</f>
        <v>0x0027</v>
      </c>
      <c r="U283" s="18" t="str">
        <f ca="1">IFERROR(__xludf.DUMMYFUNCTION("""COMPUTED_VALUE"""),"0x0A")</f>
        <v>0x0A</v>
      </c>
      <c r="V283" s="18" t="str">
        <f ca="1">IFERROR(__xludf.DUMMYFUNCTION("""COMPUTED_VALUE"""),"0x0104")</f>
        <v>0x0104</v>
      </c>
      <c r="W283" s="18" t="str">
        <f ca="1">IFERROR(__xludf.DUMMYFUNCTION("""COMPUTED_VALUE"""),"0xFC05")</f>
        <v>0xFC05</v>
      </c>
      <c r="X283" s="18" t="str">
        <f ca="1">IFERROR(__xludf.DUMMYFUNCTION("""COMPUTED_VALUE"""),"0x23")</f>
        <v>0x23</v>
      </c>
      <c r="Y283" s="18" t="e">
        <f ca="1"/>
        <v>#NAME?</v>
      </c>
      <c r="Z283" s="18" t="str">
        <f ca="1">IFERROR(__xludf.DUMMYFUNCTION("""COMPUTED_VALUE"""),"N/A")</f>
        <v>N/A</v>
      </c>
      <c r="AA283" s="18" t="str">
        <f ca="1">IFERROR(__xludf.DUMMYFUNCTION("""COMPUTED_VALUE"""),"N/A")</f>
        <v>N/A</v>
      </c>
      <c r="AC283" s="59" t="s">
        <v>1406</v>
      </c>
      <c r="AD283" s="59" t="s">
        <v>1476</v>
      </c>
      <c r="AE283" s="59" t="s">
        <v>1515</v>
      </c>
      <c r="AF283" s="59" t="s">
        <v>1412</v>
      </c>
      <c r="AG283" s="59" t="s">
        <v>1422</v>
      </c>
      <c r="AH283" s="59" t="s">
        <v>1444</v>
      </c>
      <c r="AI283" s="59" t="s">
        <v>1447</v>
      </c>
      <c r="AJ283" s="59" t="s">
        <v>1447</v>
      </c>
      <c r="AK283" s="59" t="s">
        <v>1472</v>
      </c>
      <c r="AL283" s="59"/>
      <c r="AM283" s="59"/>
      <c r="AN283" s="59"/>
      <c r="AO283" s="59"/>
      <c r="AP283" s="59"/>
      <c r="AQ283" s="59"/>
      <c r="AR283" s="59"/>
      <c r="AS283" s="59"/>
      <c r="AT283" s="59"/>
    </row>
    <row r="284" spans="1:46" x14ac:dyDescent="0.25">
      <c r="A284" s="18" t="str">
        <v>push_button_config_key_1:{"type":"attribute","data_type":"enum","is_readonly":false,"reporting_type":"polled","poll_freq":86400,"default_value":"cycle_modes","enum_values":["none","up_arrow","down_arrow","on_off","cycle_modes","heat","cool","auto","cycle_fan","fan_up","fan_down","change_temp_units","leaf","backlight","DND","MUR"],"zigbee_metadata":{"attr_id":40,"endpoint_id":10,"profile_id":260,"cluster_id":64517,"zcl_data_type":48,"write_formatter":"lambdax:{'none':0,'up_arrow':1,'down_arrow':2,'on_off':3,'cycle_modes':4,'heat':5,'cool':6,'auto':7,'cycle_fan':8,'fan_up':9,'fan_down':10,'change_temp_units':11,'leaf':12,'backlight':13,'DND':14,'MUR':15}[x]","read_formatter":"lambdax:{0:'none',1:'up_arrow',2:'down_arrow',3:'on_off',4:'cycle_modes',5:'heat',6:'cool',7:'auto',8:'cycle_fan',9:'fan_up',10:'fan_down',11:'change_temp_units',12:'leaf',13:'baclight',14:'DND',15:'MUR'}.get(x,'unknown')"}},</v>
      </c>
      <c r="B284" s="52" t="str">
        <f ca="1"/>
        <v>0xFC05 0x0028</v>
      </c>
      <c r="C284" s="52" t="str">
        <f ca="1">IFERROR(__xludf.DUMMYFUNCTION("""COMPUTED_VALUE"""),"push_button_config_key_1")</f>
        <v>push_button_config_key_1</v>
      </c>
      <c r="D284" s="18" t="str">
        <f ca="1">IFERROR(__xludf.DUMMYFUNCTION("""COMPUTED_VALUE"""),"attribute")</f>
        <v>attribute</v>
      </c>
      <c r="E284" s="18" t="str">
        <f ca="1">IFERROR(__xludf.DUMMYFUNCTION("""COMPUTED_VALUE"""),"enum")</f>
        <v>enum</v>
      </c>
      <c r="F284" s="18" t="str">
        <f ca="1">IFERROR(__xludf.DUMMYFUNCTION("""COMPUTED_VALUE"""),"false")</f>
        <v>false</v>
      </c>
      <c r="G284" s="18" t="str">
        <f ca="1">IFERROR(__xludf.DUMMYFUNCTION("""COMPUTED_VALUE"""),"polled")</f>
        <v>polled</v>
      </c>
      <c r="H284" s="18" t="str">
        <f ca="1">IFERROR(__xludf.DUMMYFUNCTION("""COMPUTED_VALUE"""),"86400")</f>
        <v>86400</v>
      </c>
      <c r="I284" s="18" t="str">
        <f ca="1">IFERROR(__xludf.DUMMYFUNCTION("""COMPUTED_VALUE"""),"N/A")</f>
        <v>N/A</v>
      </c>
      <c r="J284" s="18" t="str">
        <f ca="1">IFERROR(__xludf.DUMMYFUNCTION("""COMPUTED_VALUE"""),"N/A")</f>
        <v>N/A</v>
      </c>
      <c r="K284" s="18" t="str">
        <f ca="1">IFERROR(__xludf.DUMMYFUNCTION("""COMPUTED_VALUE"""),"N/A")</f>
        <v>N/A</v>
      </c>
      <c r="L284" s="18" t="str">
        <f ca="1">IFERROR(__xludf.DUMMYFUNCTION("""COMPUTED_VALUE"""),"N/A")</f>
        <v>N/A</v>
      </c>
      <c r="M284" s="18" t="str">
        <f ca="1">IFERROR(__xludf.DUMMYFUNCTION("""COMPUTED_VALUE"""),"N/A")</f>
        <v>N/A</v>
      </c>
      <c r="N284" s="18" t="str">
        <f ca="1">IFERROR(__xludf.DUMMYFUNCTION("""COMPUTED_VALUE"""),"N/A")</f>
        <v>N/A</v>
      </c>
      <c r="O284" s="18" t="str">
        <f ca="1">IFERROR(__xludf.DUMMYFUNCTION("""COMPUTED_VALUE"""),"N/A")</f>
        <v>N/A</v>
      </c>
      <c r="P284" s="18" t="str">
        <f ca="1">IFERROR(__xludf.DUMMYFUNCTION("""COMPUTED_VALUE"""),"""none"",""up_arrow"",""down_arrow"",""on_off"",""cycle_modes"",""heat"",""cool"",""auto"",""cycle_fan"",""fan_up"",""fan_down"",""change_temp_units"",""leaf"",""backlight"",""DND"",""MUR""")</f>
        <v>"none","up_arrow","down_arrow","on_off","cycle_modes","heat","cool","auto","cycle_fan","fan_up","fan_down","change_temp_units","leaf","backlight","DND","MUR"</v>
      </c>
      <c r="Q284" s="18" t="str">
        <f ca="1">IFERROR(__xludf.DUMMYFUNCTION("""COMPUTED_VALUE"""),"N/A")</f>
        <v>N/A</v>
      </c>
      <c r="R284" s="18" t="str">
        <f ca="1">IFERROR(__xludf.DUMMYFUNCTION("""COMPUTED_VALUE"""),"N/A")</f>
        <v>N/A</v>
      </c>
      <c r="S284" s="18" t="str">
        <f ca="1">IFERROR(__xludf.DUMMYFUNCTION("""COMPUTED_VALUE"""),"""cycle_modes""")</f>
        <v>"cycle_modes"</v>
      </c>
      <c r="T284" s="18" t="str">
        <f ca="1">IFERROR(__xludf.DUMMYFUNCTION("""COMPUTED_VALUE"""),"0x0028")</f>
        <v>0x0028</v>
      </c>
      <c r="U284" s="18" t="str">
        <f ca="1">IFERROR(__xludf.DUMMYFUNCTION("""COMPUTED_VALUE"""),"0x0A")</f>
        <v>0x0A</v>
      </c>
      <c r="V284" s="18" t="str">
        <f ca="1">IFERROR(__xludf.DUMMYFUNCTION("""COMPUTED_VALUE"""),"0x0104")</f>
        <v>0x0104</v>
      </c>
      <c r="W284" s="18" t="str">
        <f ca="1">IFERROR(__xludf.DUMMYFUNCTION("""COMPUTED_VALUE"""),"0xFC05")</f>
        <v>0xFC05</v>
      </c>
      <c r="X284" s="18" t="str">
        <f ca="1">IFERROR(__xludf.DUMMYFUNCTION("""COMPUTED_VALUE"""),"0x30")</f>
        <v>0x30</v>
      </c>
      <c r="Y284" s="18" t="e">
        <f ca="1"/>
        <v>#NAME?</v>
      </c>
      <c r="Z284" s="18" t="str">
        <f ca="1">IFERROR(__xludf.DUMMYFUNCTION("""COMPUTED_VALUE"""),"lambdax:{'none':0,'up_arrow':1,'down_arrow':2,'on_off':3,'cycle_modes':4,'heat':5,'cool':6,'auto':7,'cycle_fan':8,'fan_up':9,'fan_down':10,'change_temp_units':11,'leaf':12,'backlight':13,'DND':14,'MUR':15}[x]")</f>
        <v>lambdax:{'none':0,'up_arrow':1,'down_arrow':2,'on_off':3,'cycle_modes':4,'heat':5,'cool':6,'auto':7,'cycle_fan':8,'fan_up':9,'fan_down':10,'change_temp_units':11,'leaf':12,'backlight':13,'DND':14,'MUR':15}[x]</v>
      </c>
      <c r="AA284" s="18" t="str">
        <f ca="1">IFERROR(__xludf.DUMMYFUNCTION("""COMPUTED_VALUE"""),"lambdax:{0:'none',1:'up_arrow',2:'down_arrow',3:'on_off',4:'cycle_modes',5:'heat',6:'cool',7:'auto',8:'cycle_fan',9:'fan_up',10:'fan_down',11:'change_temp_units',12:'leaf',13:'baclight',14:'DND',15:'MUR'}.get(x,'unknown')")</f>
        <v>lambdax:{0:'none',1:'up_arrow',2:'down_arrow',3:'on_off',4:'cycle_modes',5:'heat',6:'cool',7:'auto',8:'cycle_fan',9:'fan_up',10:'fan_down',11:'change_temp_units',12:'leaf',13:'baclight',14:'DND',15:'MUR'}.get(x,'unknown')</v>
      </c>
      <c r="AC284" s="59" t="s">
        <v>1485</v>
      </c>
      <c r="AD284" s="59" t="s">
        <v>1481</v>
      </c>
      <c r="AE284" s="59" t="s">
        <v>1409</v>
      </c>
      <c r="AF284" s="59" t="s">
        <v>1415</v>
      </c>
      <c r="AG284" s="59" t="s">
        <v>1425</v>
      </c>
      <c r="AH284" s="59" t="s">
        <v>1447</v>
      </c>
      <c r="AI284" s="59" t="s">
        <v>1450</v>
      </c>
      <c r="AJ284" s="59" t="s">
        <v>1450</v>
      </c>
      <c r="AK284" s="59" t="s">
        <v>1477</v>
      </c>
      <c r="AL284" s="59"/>
      <c r="AM284" s="59"/>
      <c r="AN284" s="59"/>
      <c r="AO284" s="59"/>
      <c r="AP284" s="59"/>
      <c r="AQ284" s="59"/>
      <c r="AR284" s="59"/>
      <c r="AS284" s="59"/>
      <c r="AT284" s="59"/>
    </row>
    <row r="285" spans="1:46" x14ac:dyDescent="0.25">
      <c r="A285" s="18" t="str">
        <v>push_button_config_key_2:{"type":"attribute","data_type":"enum","is_readonly":false,"reporting_type":"polled","poll_freq":86400,"default_value":"change_temp_units","enum_values":["none","up_arrow","down_arrow","on_off","cycle_modes","heat","cool","auto","cycle_fan","fan_up","fan_down","change_temp_units","leaf","backlight","DND","MUR"],"zigbee_metadata":{"attr_id":41,"endpoint_id":10,"profile_id":260,"cluster_id":64517,"zcl_data_type":48,"write_formatter":"lambdax:{'none':0,'up_arrow':1,'down_arrow':2,'on_off':3,'cycle_modes':4,'heat':5,'cool':6,'auto':7,'cycle_fan':8,'fan_up':9,'fan_down':10,'change_temp_units':11,'leaf':12,'backlight':13,'DND':14,'MUR':15}[x]","read_formatter":"lambdax:{0:'none',1:'up_arrow',2:'down_arrow',3:'on_off',4:'cycle_modes',5:'heat',6:'cool',7:'auto',8:'cycle_fan',9:'fan_up',10:'fan_down',11:'change_temp_units',12:'leaf',13:'baclight',14:'DND',15:'MUR'}.get(x,'unknown')"}},</v>
      </c>
      <c r="B285" s="52" t="str">
        <f ca="1"/>
        <v>0xFC05 0x0029</v>
      </c>
      <c r="C285" s="52" t="str">
        <f ca="1">IFERROR(__xludf.DUMMYFUNCTION("""COMPUTED_VALUE"""),"push_button_config_key_2")</f>
        <v>push_button_config_key_2</v>
      </c>
      <c r="D285" s="18" t="str">
        <f ca="1">IFERROR(__xludf.DUMMYFUNCTION("""COMPUTED_VALUE"""),"attribute")</f>
        <v>attribute</v>
      </c>
      <c r="E285" s="18" t="str">
        <f ca="1">IFERROR(__xludf.DUMMYFUNCTION("""COMPUTED_VALUE"""),"enum")</f>
        <v>enum</v>
      </c>
      <c r="F285" s="18" t="str">
        <f ca="1">IFERROR(__xludf.DUMMYFUNCTION("""COMPUTED_VALUE"""),"false")</f>
        <v>false</v>
      </c>
      <c r="G285" s="18" t="str">
        <f ca="1">IFERROR(__xludf.DUMMYFUNCTION("""COMPUTED_VALUE"""),"polled")</f>
        <v>polled</v>
      </c>
      <c r="H285" s="18" t="str">
        <f ca="1">IFERROR(__xludf.DUMMYFUNCTION("""COMPUTED_VALUE"""),"86400")</f>
        <v>86400</v>
      </c>
      <c r="I285" s="18" t="str">
        <f ca="1">IFERROR(__xludf.DUMMYFUNCTION("""COMPUTED_VALUE"""),"N/A")</f>
        <v>N/A</v>
      </c>
      <c r="J285" s="18" t="str">
        <f ca="1">IFERROR(__xludf.DUMMYFUNCTION("""COMPUTED_VALUE"""),"N/A")</f>
        <v>N/A</v>
      </c>
      <c r="K285" s="18" t="str">
        <f ca="1">IFERROR(__xludf.DUMMYFUNCTION("""COMPUTED_VALUE"""),"N/A")</f>
        <v>N/A</v>
      </c>
      <c r="L285" s="18" t="str">
        <f ca="1">IFERROR(__xludf.DUMMYFUNCTION("""COMPUTED_VALUE"""),"N/A")</f>
        <v>N/A</v>
      </c>
      <c r="M285" s="18" t="str">
        <f ca="1">IFERROR(__xludf.DUMMYFUNCTION("""COMPUTED_VALUE"""),"N/A")</f>
        <v>N/A</v>
      </c>
      <c r="N285" s="18" t="str">
        <f ca="1">IFERROR(__xludf.DUMMYFUNCTION("""COMPUTED_VALUE"""),"N/A")</f>
        <v>N/A</v>
      </c>
      <c r="O285" s="18" t="str">
        <f ca="1">IFERROR(__xludf.DUMMYFUNCTION("""COMPUTED_VALUE"""),"N/A")</f>
        <v>N/A</v>
      </c>
      <c r="P285" s="18" t="str">
        <f ca="1">IFERROR(__xludf.DUMMYFUNCTION("""COMPUTED_VALUE"""),"""none"",""up_arrow"",""down_arrow"",""on_off"",""cycle_modes"",""heat"",""cool"",""auto"",""cycle_fan"",""fan_up"",""fan_down"",""change_temp_units"",""leaf"",""backlight"",""DND"",""MUR""")</f>
        <v>"none","up_arrow","down_arrow","on_off","cycle_modes","heat","cool","auto","cycle_fan","fan_up","fan_down","change_temp_units","leaf","backlight","DND","MUR"</v>
      </c>
      <c r="Q285" s="18" t="str">
        <f ca="1">IFERROR(__xludf.DUMMYFUNCTION("""COMPUTED_VALUE"""),"N/A")</f>
        <v>N/A</v>
      </c>
      <c r="R285" s="18" t="str">
        <f ca="1">IFERROR(__xludf.DUMMYFUNCTION("""COMPUTED_VALUE"""),"N/A")</f>
        <v>N/A</v>
      </c>
      <c r="S285" s="18" t="str">
        <f ca="1">IFERROR(__xludf.DUMMYFUNCTION("""COMPUTED_VALUE"""),"""change_temp_units""")</f>
        <v>"change_temp_units"</v>
      </c>
      <c r="T285" s="18" t="str">
        <f ca="1">IFERROR(__xludf.DUMMYFUNCTION("""COMPUTED_VALUE"""),"0x0029")</f>
        <v>0x0029</v>
      </c>
      <c r="U285" s="18" t="str">
        <f ca="1">IFERROR(__xludf.DUMMYFUNCTION("""COMPUTED_VALUE"""),"0x0A")</f>
        <v>0x0A</v>
      </c>
      <c r="V285" s="18" t="str">
        <f ca="1">IFERROR(__xludf.DUMMYFUNCTION("""COMPUTED_VALUE"""),"0x0104")</f>
        <v>0x0104</v>
      </c>
      <c r="W285" s="18" t="str">
        <f ca="1">IFERROR(__xludf.DUMMYFUNCTION("""COMPUTED_VALUE"""),"0xFC05")</f>
        <v>0xFC05</v>
      </c>
      <c r="X285" s="18" t="str">
        <f ca="1">IFERROR(__xludf.DUMMYFUNCTION("""COMPUTED_VALUE"""),"0x30")</f>
        <v>0x30</v>
      </c>
      <c r="Y285" s="18" t="e">
        <f ca="1"/>
        <v>#NAME?</v>
      </c>
      <c r="Z285" s="18" t="str">
        <f ca="1">IFERROR(__xludf.DUMMYFUNCTION("""COMPUTED_VALUE"""),"lambdax:{'none':0,'up_arrow':1,'down_arrow':2,'on_off':3,'cycle_modes':4,'heat':5,'cool':6,'auto':7,'cycle_fan':8,'fan_up':9,'fan_down':10,'change_temp_units':11,'leaf':12,'backlight':13,'DND':14,'MUR':15}[x]")</f>
        <v>lambdax:{'none':0,'up_arrow':1,'down_arrow':2,'on_off':3,'cycle_modes':4,'heat':5,'cool':6,'auto':7,'cycle_fan':8,'fan_up':9,'fan_down':10,'change_temp_units':11,'leaf':12,'backlight':13,'DND':14,'MUR':15}[x]</v>
      </c>
      <c r="AA285" s="18" t="str">
        <f ca="1">IFERROR(__xludf.DUMMYFUNCTION("""COMPUTED_VALUE"""),"lambdax:{0:'none',1:'up_arrow',2:'down_arrow',3:'on_off',4:'cycle_modes',5:'heat',6:'cool',7:'auto',8:'cycle_fan',9:'fan_up',10:'fan_down',11:'change_temp_units',12:'leaf',13:'baclight',14:'DND',15:'MUR'}.get(x,'unknown')")</f>
        <v>lambdax:{0:'none',1:'up_arrow',2:'down_arrow',3:'on_off',4:'cycle_modes',5:'heat',6:'cool',7:'auto',8:'cycle_fan',9:'fan_up',10:'fan_down',11:'change_temp_units',12:'leaf',13:'baclight',14:'DND',15:'MUR'}.get(x,'unknown')</v>
      </c>
      <c r="AC285" s="59" t="s">
        <v>1491</v>
      </c>
      <c r="AD285" s="59" t="s">
        <v>1487</v>
      </c>
      <c r="AE285" s="59" t="s">
        <v>1412</v>
      </c>
      <c r="AF285" s="59" t="s">
        <v>1418</v>
      </c>
      <c r="AG285" s="59" t="s">
        <v>1429</v>
      </c>
      <c r="AH285" s="59" t="s">
        <v>1450</v>
      </c>
      <c r="AI285" s="59" t="s">
        <v>1453</v>
      </c>
      <c r="AJ285" s="59" t="s">
        <v>1453</v>
      </c>
      <c r="AK285" s="59" t="s">
        <v>1482</v>
      </c>
      <c r="AL285" s="59"/>
      <c r="AM285" s="59"/>
      <c r="AN285" s="59"/>
      <c r="AO285" s="59"/>
      <c r="AP285" s="59"/>
      <c r="AQ285" s="59"/>
      <c r="AR285" s="59"/>
      <c r="AS285" s="59"/>
      <c r="AT285" s="59"/>
    </row>
    <row r="286" spans="1:46" x14ac:dyDescent="0.25">
      <c r="A286" s="18" t="str">
        <v>push_button_config_key_3:{"type":"attribute","data_type":"enum","is_readonly":false,"reporting_type":"polled","poll_freq":86400,"default_value":"cycle_fan","enum_values":["none","up_arrow","down_arrow","on_off","cycle_modes","heat","cool","auto","cycle_fan","fan_up","fan_down","change_temp_units","leaf","backlight","DND","MUR"],"zigbee_metadata":{"attr_id":42,"endpoint_id":10,"profile_id":260,"cluster_id":64517,"zcl_data_type":48,"write_formatter":"lambdax:{'none':0,'up_arrow':1,'down_arrow':2,'on_off':3,'cycle_modes':4,'heat':5,'cool':6,'auto':7,'cycle_fan':8,'fan_up':9,'fan_down':10,'change_temp_units':11,'leaf':12,'backlight':13,'DND':14,'MUR':15}[x]","read_formatter":"lambdax:{0:'none',1:'up_arrow',2:'down_arrow',3:'on_off',4:'cycle_modes',5:'heat',6:'cool',7:'auto',8:'cycle_fan',9:'fan_up',10:'fan_down',11:'change_temp_units',12:'leaf',13:'baclight',14:'DND',15:'MUR'}.get(x,'unknown')"}},</v>
      </c>
      <c r="B286" s="52" t="str">
        <f ca="1"/>
        <v>0xFC05 0x002A</v>
      </c>
      <c r="C286" s="52" t="str">
        <f ca="1">IFERROR(__xludf.DUMMYFUNCTION("""COMPUTED_VALUE"""),"push_button_config_key_3")</f>
        <v>push_button_config_key_3</v>
      </c>
      <c r="D286" s="18" t="str">
        <f ca="1">IFERROR(__xludf.DUMMYFUNCTION("""COMPUTED_VALUE"""),"attribute")</f>
        <v>attribute</v>
      </c>
      <c r="E286" s="18" t="str">
        <f ca="1">IFERROR(__xludf.DUMMYFUNCTION("""COMPUTED_VALUE"""),"enum")</f>
        <v>enum</v>
      </c>
      <c r="F286" s="18" t="str">
        <f ca="1">IFERROR(__xludf.DUMMYFUNCTION("""COMPUTED_VALUE"""),"false")</f>
        <v>false</v>
      </c>
      <c r="G286" s="18" t="str">
        <f ca="1">IFERROR(__xludf.DUMMYFUNCTION("""COMPUTED_VALUE"""),"polled")</f>
        <v>polled</v>
      </c>
      <c r="H286" s="18" t="str">
        <f ca="1">IFERROR(__xludf.DUMMYFUNCTION("""COMPUTED_VALUE"""),"86400")</f>
        <v>86400</v>
      </c>
      <c r="I286" s="18" t="str">
        <f ca="1">IFERROR(__xludf.DUMMYFUNCTION("""COMPUTED_VALUE"""),"N/A")</f>
        <v>N/A</v>
      </c>
      <c r="J286" s="18" t="str">
        <f ca="1">IFERROR(__xludf.DUMMYFUNCTION("""COMPUTED_VALUE"""),"N/A")</f>
        <v>N/A</v>
      </c>
      <c r="K286" s="18" t="str">
        <f ca="1">IFERROR(__xludf.DUMMYFUNCTION("""COMPUTED_VALUE"""),"N/A")</f>
        <v>N/A</v>
      </c>
      <c r="L286" s="18" t="str">
        <f ca="1">IFERROR(__xludf.DUMMYFUNCTION("""COMPUTED_VALUE"""),"N/A")</f>
        <v>N/A</v>
      </c>
      <c r="M286" s="18" t="str">
        <f ca="1">IFERROR(__xludf.DUMMYFUNCTION("""COMPUTED_VALUE"""),"N/A")</f>
        <v>N/A</v>
      </c>
      <c r="N286" s="18" t="str">
        <f ca="1">IFERROR(__xludf.DUMMYFUNCTION("""COMPUTED_VALUE"""),"N/A")</f>
        <v>N/A</v>
      </c>
      <c r="O286" s="18" t="str">
        <f ca="1">IFERROR(__xludf.DUMMYFUNCTION("""COMPUTED_VALUE"""),"N/A")</f>
        <v>N/A</v>
      </c>
      <c r="P286" s="18" t="str">
        <f ca="1">IFERROR(__xludf.DUMMYFUNCTION("""COMPUTED_VALUE"""),"""none"",""up_arrow"",""down_arrow"",""on_off"",""cycle_modes"",""heat"",""cool"",""auto"",""cycle_fan"",""fan_up"",""fan_down"",""change_temp_units"",""leaf"",""backlight"",""DND"",""MUR""")</f>
        <v>"none","up_arrow","down_arrow","on_off","cycle_modes","heat","cool","auto","cycle_fan","fan_up","fan_down","change_temp_units","leaf","backlight","DND","MUR"</v>
      </c>
      <c r="Q286" s="18" t="str">
        <f ca="1">IFERROR(__xludf.DUMMYFUNCTION("""COMPUTED_VALUE"""),"N/A")</f>
        <v>N/A</v>
      </c>
      <c r="R286" s="18" t="str">
        <f ca="1">IFERROR(__xludf.DUMMYFUNCTION("""COMPUTED_VALUE"""),"N/A")</f>
        <v>N/A</v>
      </c>
      <c r="S286" s="18" t="str">
        <f ca="1">IFERROR(__xludf.DUMMYFUNCTION("""COMPUTED_VALUE"""),"""cycle_fan""")</f>
        <v>"cycle_fan"</v>
      </c>
      <c r="T286" s="18" t="str">
        <f ca="1">IFERROR(__xludf.DUMMYFUNCTION("""COMPUTED_VALUE"""),"0x002A")</f>
        <v>0x002A</v>
      </c>
      <c r="U286" s="18" t="str">
        <f ca="1">IFERROR(__xludf.DUMMYFUNCTION("""COMPUTED_VALUE"""),"0x0A")</f>
        <v>0x0A</v>
      </c>
      <c r="V286" s="18" t="str">
        <f ca="1">IFERROR(__xludf.DUMMYFUNCTION("""COMPUTED_VALUE"""),"0x0104")</f>
        <v>0x0104</v>
      </c>
      <c r="W286" s="18" t="str">
        <f ca="1">IFERROR(__xludf.DUMMYFUNCTION("""COMPUTED_VALUE"""),"0xFC05")</f>
        <v>0xFC05</v>
      </c>
      <c r="X286" s="18" t="str">
        <f ca="1">IFERROR(__xludf.DUMMYFUNCTION("""COMPUTED_VALUE"""),"0x30")</f>
        <v>0x30</v>
      </c>
      <c r="Y286" s="18" t="e">
        <f ca="1"/>
        <v>#NAME?</v>
      </c>
      <c r="Z286" s="18" t="str">
        <f ca="1">IFERROR(__xludf.DUMMYFUNCTION("""COMPUTED_VALUE"""),"lambdax:{'none':0,'up_arrow':1,'down_arrow':2,'on_off':3,'cycle_modes':4,'heat':5,'cool':6,'auto':7,'cycle_fan':8,'fan_up':9,'fan_down':10,'change_temp_units':11,'leaf':12,'backlight':13,'DND':14,'MUR':15}[x]")</f>
        <v>lambdax:{'none':0,'up_arrow':1,'down_arrow':2,'on_off':3,'cycle_modes':4,'heat':5,'cool':6,'auto':7,'cycle_fan':8,'fan_up':9,'fan_down':10,'change_temp_units':11,'leaf':12,'backlight':13,'DND':14,'MUR':15}[x]</v>
      </c>
      <c r="AA286" s="18" t="str">
        <f ca="1">IFERROR(__xludf.DUMMYFUNCTION("""COMPUTED_VALUE"""),"lambdax:{0:'none',1:'up_arrow',2:'down_arrow',3:'on_off',4:'cycle_modes',5:'heat',6:'cool',7:'auto',8:'cycle_fan',9:'fan_up',10:'fan_down',11:'change_temp_units',12:'leaf',13:'baclight',14:'DND',15:'MUR'}.get(x,'unknown')")</f>
        <v>lambdax:{0:'none',1:'up_arrow',2:'down_arrow',3:'on_off',4:'cycle_modes',5:'heat',6:'cool',7:'auto',8:'cycle_fan',9:'fan_up',10:'fan_down',11:'change_temp_units',12:'leaf',13:'baclight',14:'DND',15:'MUR'}.get(x,'unknown')</v>
      </c>
      <c r="AC286" s="59" t="s">
        <v>1497</v>
      </c>
      <c r="AD286" s="59" t="s">
        <v>1493</v>
      </c>
      <c r="AE286" s="59" t="s">
        <v>1415</v>
      </c>
      <c r="AF286" s="59" t="s">
        <v>1422</v>
      </c>
      <c r="AG286" s="59" t="s">
        <v>1432</v>
      </c>
      <c r="AH286" s="59" t="s">
        <v>1453</v>
      </c>
      <c r="AI286" s="59" t="s">
        <v>1455</v>
      </c>
      <c r="AJ286" s="59" t="s">
        <v>1455</v>
      </c>
      <c r="AK286" s="59" t="s">
        <v>1488</v>
      </c>
      <c r="AL286" s="59"/>
      <c r="AM286" s="59"/>
      <c r="AN286" s="59"/>
      <c r="AO286" s="59"/>
      <c r="AP286" s="59"/>
      <c r="AQ286" s="59"/>
      <c r="AR286" s="59"/>
      <c r="AS286" s="59"/>
      <c r="AT286" s="59"/>
    </row>
    <row r="287" spans="1:46" x14ac:dyDescent="0.25">
      <c r="A287" s="18" t="str">
        <v>push_button_config_key_4:{"type":"attribute","data_type":"enum","is_readonly":false,"reporting_type":"polled","poll_freq":86400,"default_value":"leaf","enum_values":["none","up_arrow","down_arrow","on_off","cycle_modes","heat","cool","auto","cycle_fan","fan_up","fan_down","change_temp_units","leaf","backlight","DND","MUR"],"zigbee_metadata":{"attr_id":43,"endpoint_id":10,"profile_id":260,"cluster_id":64517,"zcl_data_type":48,"write_formatter":"lambdax:{'none':0,'up_arrow':1,'down_arrow':2,'on_off':3,'cycle_modes':4,'heat':5,'cool':6,'auto':7,'cycle_fan':8,'fan_up':9,'fan_down':10,'change_temp_units':11,'leaf':12,'backlight':13,'DND':14,'MUR':15}[x]","read_formatter":"lambdax:{0:'none',1:'up_arrow',2:'down_arrow',3:'on_off',4:'cycle_modes',5:'heat',6:'cool',7:'auto',8:'cycle_fan',9:'fan_up',10:'fan_down',11:'change_temp_units',12:'leaf',13:'baclight',14:'DND',15:'MUR'}.get(x,'unknown')"}},</v>
      </c>
      <c r="B287" s="52" t="str">
        <f ca="1"/>
        <v>0xFC05 0x002B</v>
      </c>
      <c r="C287" s="52" t="str">
        <f ca="1">IFERROR(__xludf.DUMMYFUNCTION("""COMPUTED_VALUE"""),"push_button_config_key_4")</f>
        <v>push_button_config_key_4</v>
      </c>
      <c r="D287" s="18" t="str">
        <f ca="1">IFERROR(__xludf.DUMMYFUNCTION("""COMPUTED_VALUE"""),"attribute")</f>
        <v>attribute</v>
      </c>
      <c r="E287" s="18" t="str">
        <f ca="1">IFERROR(__xludf.DUMMYFUNCTION("""COMPUTED_VALUE"""),"enum")</f>
        <v>enum</v>
      </c>
      <c r="F287" s="18" t="str">
        <f ca="1">IFERROR(__xludf.DUMMYFUNCTION("""COMPUTED_VALUE"""),"false")</f>
        <v>false</v>
      </c>
      <c r="G287" s="18" t="str">
        <f ca="1">IFERROR(__xludf.DUMMYFUNCTION("""COMPUTED_VALUE"""),"polled")</f>
        <v>polled</v>
      </c>
      <c r="H287" s="18" t="str">
        <f ca="1">IFERROR(__xludf.DUMMYFUNCTION("""COMPUTED_VALUE"""),"86400")</f>
        <v>86400</v>
      </c>
      <c r="I287" s="18" t="str">
        <f ca="1">IFERROR(__xludf.DUMMYFUNCTION("""COMPUTED_VALUE"""),"N/A")</f>
        <v>N/A</v>
      </c>
      <c r="J287" s="18" t="str">
        <f ca="1">IFERROR(__xludf.DUMMYFUNCTION("""COMPUTED_VALUE"""),"N/A")</f>
        <v>N/A</v>
      </c>
      <c r="K287" s="18" t="str">
        <f ca="1">IFERROR(__xludf.DUMMYFUNCTION("""COMPUTED_VALUE"""),"N/A")</f>
        <v>N/A</v>
      </c>
      <c r="L287" s="18" t="str">
        <f ca="1">IFERROR(__xludf.DUMMYFUNCTION("""COMPUTED_VALUE"""),"N/A")</f>
        <v>N/A</v>
      </c>
      <c r="M287" s="18" t="str">
        <f ca="1">IFERROR(__xludf.DUMMYFUNCTION("""COMPUTED_VALUE"""),"N/A")</f>
        <v>N/A</v>
      </c>
      <c r="N287" s="18" t="str">
        <f ca="1">IFERROR(__xludf.DUMMYFUNCTION("""COMPUTED_VALUE"""),"N/A")</f>
        <v>N/A</v>
      </c>
      <c r="O287" s="18" t="str">
        <f ca="1">IFERROR(__xludf.DUMMYFUNCTION("""COMPUTED_VALUE"""),"N/A")</f>
        <v>N/A</v>
      </c>
      <c r="P287" s="18" t="str">
        <f ca="1">IFERROR(__xludf.DUMMYFUNCTION("""COMPUTED_VALUE"""),"""none"",""up_arrow"",""down_arrow"",""on_off"",""cycle_modes"",""heat"",""cool"",""auto"",""cycle_fan"",""fan_up"",""fan_down"",""change_temp_units"",""leaf"",""backlight"",""DND"",""MUR""")</f>
        <v>"none","up_arrow","down_arrow","on_off","cycle_modes","heat","cool","auto","cycle_fan","fan_up","fan_down","change_temp_units","leaf","backlight","DND","MUR"</v>
      </c>
      <c r="Q287" s="18" t="str">
        <f ca="1">IFERROR(__xludf.DUMMYFUNCTION("""COMPUTED_VALUE"""),"N/A")</f>
        <v>N/A</v>
      </c>
      <c r="R287" s="18" t="str">
        <f ca="1">IFERROR(__xludf.DUMMYFUNCTION("""COMPUTED_VALUE"""),"N/A")</f>
        <v>N/A</v>
      </c>
      <c r="S287" s="18" t="str">
        <f ca="1">IFERROR(__xludf.DUMMYFUNCTION("""COMPUTED_VALUE"""),"""leaf""")</f>
        <v>"leaf"</v>
      </c>
      <c r="T287" s="18" t="str">
        <f ca="1">IFERROR(__xludf.DUMMYFUNCTION("""COMPUTED_VALUE"""),"0x002B")</f>
        <v>0x002B</v>
      </c>
      <c r="U287" s="18" t="str">
        <f ca="1">IFERROR(__xludf.DUMMYFUNCTION("""COMPUTED_VALUE"""),"0x0A")</f>
        <v>0x0A</v>
      </c>
      <c r="V287" s="18" t="str">
        <f ca="1">IFERROR(__xludf.DUMMYFUNCTION("""COMPUTED_VALUE"""),"0x0104")</f>
        <v>0x0104</v>
      </c>
      <c r="W287" s="18" t="str">
        <f ca="1">IFERROR(__xludf.DUMMYFUNCTION("""COMPUTED_VALUE"""),"0xFC05")</f>
        <v>0xFC05</v>
      </c>
      <c r="X287" s="18" t="str">
        <f ca="1">IFERROR(__xludf.DUMMYFUNCTION("""COMPUTED_VALUE"""),"0x30")</f>
        <v>0x30</v>
      </c>
      <c r="Y287" s="18" t="e">
        <f ca="1"/>
        <v>#NAME?</v>
      </c>
      <c r="Z287" s="18" t="str">
        <f ca="1">IFERROR(__xludf.DUMMYFUNCTION("""COMPUTED_VALUE"""),"lambdax:{'none':0,'up_arrow':1,'down_arrow':2,'on_off':3,'cycle_modes':4,'heat':5,'cool':6,'auto':7,'cycle_fan':8,'fan_up':9,'fan_down':10,'change_temp_units':11,'leaf':12,'backlight':13,'DND':14,'MUR':15}[x]")</f>
        <v>lambdax:{'none':0,'up_arrow':1,'down_arrow':2,'on_off':3,'cycle_modes':4,'heat':5,'cool':6,'auto':7,'cycle_fan':8,'fan_up':9,'fan_down':10,'change_temp_units':11,'leaf':12,'backlight':13,'DND':14,'MUR':15}[x]</v>
      </c>
      <c r="AA287" s="18" t="str">
        <f ca="1">IFERROR(__xludf.DUMMYFUNCTION("""COMPUTED_VALUE"""),"lambdax:{0:'none',1:'up_arrow',2:'down_arrow',3:'on_off',4:'cycle_modes',5:'heat',6:'cool',7:'auto',8:'cycle_fan',9:'fan_up',10:'fan_down',11:'change_temp_units',12:'leaf',13:'baclight',14:'DND',15:'MUR'}.get(x,'unknown')")</f>
        <v>lambdax:{0:'none',1:'up_arrow',2:'down_arrow',3:'on_off',4:'cycle_modes',5:'heat',6:'cool',7:'auto',8:'cycle_fan',9:'fan_up',10:'fan_down',11:'change_temp_units',12:'leaf',13:'baclight',14:'DND',15:'MUR'}.get(x,'unknown')</v>
      </c>
      <c r="AC287" s="59" t="s">
        <v>1503</v>
      </c>
      <c r="AD287" s="59" t="s">
        <v>1499</v>
      </c>
      <c r="AE287" s="59" t="s">
        <v>1418</v>
      </c>
      <c r="AF287" s="59" t="s">
        <v>1425</v>
      </c>
      <c r="AG287" s="59" t="s">
        <v>1435</v>
      </c>
      <c r="AH287" s="59" t="s">
        <v>1455</v>
      </c>
      <c r="AI287" s="59" t="s">
        <v>1457</v>
      </c>
      <c r="AJ287" s="59" t="s">
        <v>1457</v>
      </c>
      <c r="AK287" s="59" t="s">
        <v>1494</v>
      </c>
      <c r="AL287" s="59"/>
      <c r="AM287" s="59"/>
      <c r="AN287" s="59"/>
      <c r="AO287" s="59"/>
      <c r="AP287" s="59"/>
      <c r="AQ287" s="59"/>
      <c r="AR287" s="59"/>
      <c r="AS287" s="59"/>
      <c r="AT287" s="59"/>
    </row>
    <row r="288" spans="1:46" x14ac:dyDescent="0.25">
      <c r="A288" s="18" t="str">
        <v>push_button_config_key_5:{"type":"attribute","data_type":"enum","is_readonly":false,"reporting_type":"polled","poll_freq":86400,"default_value":"up_arrow","enum_values":["none","up_arrow","down_arrow","on_off","cycle_modes","heat","cool","auto","cycle_fan","fan_up","fan_down","change_temp_units","leaf","backlight","DND","MUR"],"zigbee_metadata":{"attr_id":44,"endpoint_id":10,"profile_id":260,"cluster_id":64517,"zcl_data_type":48,"write_formatter":"lambdax:{'none':0,'up_arrow':1,'down_arrow':2,'on_off':3,'cycle_modes':4,'heat':5,'cool':6,'auto':7,'cycle_fan':8,'fan_up':9,'fan_down':10,'change_temp_units':11,'leaf':12,'backlight':13,'DND':14,'MUR':15}[x]","read_formatter":"lambdax:{0:'none',1:'up_arrow',2:'down_arrow',3:'on_off',4:'cycle_modes',5:'heat',6:'cool',7:'auto',8:'cycle_fan',9:'fan_up',10:'fan_down',11:'change_temp_units',12:'leaf',13:'baclight',14:'DND',15:'MUR'}.get(x,'unknown')"}},</v>
      </c>
      <c r="B288" s="52" t="str">
        <f ca="1"/>
        <v>0xFC05 0x002C</v>
      </c>
      <c r="C288" s="52" t="str">
        <f ca="1">IFERROR(__xludf.DUMMYFUNCTION("""COMPUTED_VALUE"""),"push_button_config_key_5")</f>
        <v>push_button_config_key_5</v>
      </c>
      <c r="D288" s="18" t="str">
        <f ca="1">IFERROR(__xludf.DUMMYFUNCTION("""COMPUTED_VALUE"""),"attribute")</f>
        <v>attribute</v>
      </c>
      <c r="E288" s="18" t="str">
        <f ca="1">IFERROR(__xludf.DUMMYFUNCTION("""COMPUTED_VALUE"""),"enum")</f>
        <v>enum</v>
      </c>
      <c r="F288" s="18" t="str">
        <f ca="1">IFERROR(__xludf.DUMMYFUNCTION("""COMPUTED_VALUE"""),"false")</f>
        <v>false</v>
      </c>
      <c r="G288" s="18" t="str">
        <f ca="1">IFERROR(__xludf.DUMMYFUNCTION("""COMPUTED_VALUE"""),"polled")</f>
        <v>polled</v>
      </c>
      <c r="H288" s="18" t="str">
        <f ca="1">IFERROR(__xludf.DUMMYFUNCTION("""COMPUTED_VALUE"""),"86400")</f>
        <v>86400</v>
      </c>
      <c r="I288" s="18" t="str">
        <f ca="1">IFERROR(__xludf.DUMMYFUNCTION("""COMPUTED_VALUE"""),"N/A")</f>
        <v>N/A</v>
      </c>
      <c r="J288" s="18" t="str">
        <f ca="1">IFERROR(__xludf.DUMMYFUNCTION("""COMPUTED_VALUE"""),"N/A")</f>
        <v>N/A</v>
      </c>
      <c r="K288" s="18" t="str">
        <f ca="1">IFERROR(__xludf.DUMMYFUNCTION("""COMPUTED_VALUE"""),"N/A")</f>
        <v>N/A</v>
      </c>
      <c r="L288" s="18" t="str">
        <f ca="1">IFERROR(__xludf.DUMMYFUNCTION("""COMPUTED_VALUE"""),"N/A")</f>
        <v>N/A</v>
      </c>
      <c r="M288" s="18" t="str">
        <f ca="1">IFERROR(__xludf.DUMMYFUNCTION("""COMPUTED_VALUE"""),"N/A")</f>
        <v>N/A</v>
      </c>
      <c r="N288" s="18" t="str">
        <f ca="1">IFERROR(__xludf.DUMMYFUNCTION("""COMPUTED_VALUE"""),"N/A")</f>
        <v>N/A</v>
      </c>
      <c r="O288" s="18" t="str">
        <f ca="1">IFERROR(__xludf.DUMMYFUNCTION("""COMPUTED_VALUE"""),"N/A")</f>
        <v>N/A</v>
      </c>
      <c r="P288" s="18" t="str">
        <f ca="1">IFERROR(__xludf.DUMMYFUNCTION("""COMPUTED_VALUE"""),"""none"",""up_arrow"",""down_arrow"",""on_off"",""cycle_modes"",""heat"",""cool"",""auto"",""cycle_fan"",""fan_up"",""fan_down"",""change_temp_units"",""leaf"",""backlight"",""DND"",""MUR""")</f>
        <v>"none","up_arrow","down_arrow","on_off","cycle_modes","heat","cool","auto","cycle_fan","fan_up","fan_down","change_temp_units","leaf","backlight","DND","MUR"</v>
      </c>
      <c r="Q288" s="18" t="str">
        <f ca="1">IFERROR(__xludf.DUMMYFUNCTION("""COMPUTED_VALUE"""),"N/A")</f>
        <v>N/A</v>
      </c>
      <c r="R288" s="18" t="str">
        <f ca="1">IFERROR(__xludf.DUMMYFUNCTION("""COMPUTED_VALUE"""),"N/A")</f>
        <v>N/A</v>
      </c>
      <c r="S288" s="18" t="str">
        <f ca="1">IFERROR(__xludf.DUMMYFUNCTION("""COMPUTED_VALUE"""),"""up_arrow""")</f>
        <v>"up_arrow"</v>
      </c>
      <c r="T288" s="18" t="str">
        <f ca="1">IFERROR(__xludf.DUMMYFUNCTION("""COMPUTED_VALUE"""),"0x002C")</f>
        <v>0x002C</v>
      </c>
      <c r="U288" s="18" t="str">
        <f ca="1">IFERROR(__xludf.DUMMYFUNCTION("""COMPUTED_VALUE"""),"0x0A")</f>
        <v>0x0A</v>
      </c>
      <c r="V288" s="18" t="str">
        <f ca="1">IFERROR(__xludf.DUMMYFUNCTION("""COMPUTED_VALUE"""),"0x0104")</f>
        <v>0x0104</v>
      </c>
      <c r="W288" s="18" t="str">
        <f ca="1">IFERROR(__xludf.DUMMYFUNCTION("""COMPUTED_VALUE"""),"0xFC05")</f>
        <v>0xFC05</v>
      </c>
      <c r="X288" s="18" t="str">
        <f ca="1">IFERROR(__xludf.DUMMYFUNCTION("""COMPUTED_VALUE"""),"0x30")</f>
        <v>0x30</v>
      </c>
      <c r="Y288" s="18" t="e">
        <f ca="1"/>
        <v>#NAME?</v>
      </c>
      <c r="Z288" s="18" t="str">
        <f ca="1">IFERROR(__xludf.DUMMYFUNCTION("""COMPUTED_VALUE"""),"lambdax:{'none':0,'up_arrow':1,'down_arrow':2,'on_off':3,'cycle_modes':4,'heat':5,'cool':6,'auto':7,'cycle_fan':8,'fan_up':9,'fan_down':10,'change_temp_units':11,'leaf':12,'backlight':13,'DND':14,'MUR':15}[x]")</f>
        <v>lambdax:{'none':0,'up_arrow':1,'down_arrow':2,'on_off':3,'cycle_modes':4,'heat':5,'cool':6,'auto':7,'cycle_fan':8,'fan_up':9,'fan_down':10,'change_temp_units':11,'leaf':12,'backlight':13,'DND':14,'MUR':15}[x]</v>
      </c>
      <c r="AA288" s="18" t="str">
        <f ca="1">IFERROR(__xludf.DUMMYFUNCTION("""COMPUTED_VALUE"""),"lambdax:{0:'none',1:'up_arrow',2:'down_arrow',3:'on_off',4:'cycle_modes',5:'heat',6:'cool',7:'auto',8:'cycle_fan',9:'fan_up',10:'fan_down',11:'change_temp_units',12:'leaf',13:'baclight',14:'DND',15:'MUR'}.get(x,'unknown')")</f>
        <v>lambdax:{0:'none',1:'up_arrow',2:'down_arrow',3:'on_off',4:'cycle_modes',5:'heat',6:'cool',7:'auto',8:'cycle_fan',9:'fan_up',10:'fan_down',11:'change_temp_units',12:'leaf',13:'baclight',14:'DND',15:'MUR'}.get(x,'unknown')</v>
      </c>
      <c r="AC288" s="59" t="s">
        <v>1508</v>
      </c>
      <c r="AD288" s="59" t="s">
        <v>1505</v>
      </c>
      <c r="AE288" s="59" t="s">
        <v>1422</v>
      </c>
      <c r="AF288" s="59" t="s">
        <v>1429</v>
      </c>
      <c r="AG288" s="59" t="s">
        <v>1438</v>
      </c>
      <c r="AH288" s="59" t="s">
        <v>1457</v>
      </c>
      <c r="AI288" s="59" t="s">
        <v>1459</v>
      </c>
      <c r="AJ288" s="59" t="s">
        <v>1459</v>
      </c>
      <c r="AK288" s="59" t="s">
        <v>1500</v>
      </c>
      <c r="AL288" s="59"/>
      <c r="AM288" s="59"/>
      <c r="AN288" s="59"/>
      <c r="AO288" s="59"/>
      <c r="AP288" s="59"/>
      <c r="AQ288" s="59"/>
      <c r="AR288" s="59"/>
      <c r="AS288" s="59"/>
      <c r="AT288" s="59"/>
    </row>
    <row r="289" spans="1:46" x14ac:dyDescent="0.25">
      <c r="A289" s="18" t="str">
        <v>push_button_config_key_6:{"type":"attribute","data_type":"enum","is_readonly":false,"reporting_type":"polled","poll_freq":86400,"default_value":"down_arrow","enum_values":["none","up_arrow","down_arrow","on_off","cycle_modes","heat","cool","auto","cycle_fan","fan_up","fan_down","change_temp_units","leaf","backlight","DND","MUR"],"zigbee_metadata":{"attr_id":45,"endpoint_id":10,"profile_id":260,"cluster_id":64517,"zcl_data_type":48,"write_formatter":"lambdax:{'none':0,'up_arrow':1,'down_arrow':2,'on_off':3,'cycle_modes':4,'heat':5,'cool':6,'auto':7,'cycle_fan':8,'fan_up':9,'fan_down':10,'change_temp_units':11,'leaf':12,'backlight':13,'DND':14,'MUR':15}[x]","read_formatter":"lambdax:{0:'none',1:'up_arrow',2:'down_arrow',3:'on_off',4:'cycle_modes',5:'heat',6:'cool',7:'auto',8:'cycle_fan',9:'fan_up',10:'fan_down',11:'change_temp_units',12:'leaf',13:'baclight',14:'DND',15:'MUR'}.get(x,'unknown')"}},</v>
      </c>
      <c r="B289" s="52" t="str">
        <f ca="1"/>
        <v>0xFC05 0x002D</v>
      </c>
      <c r="C289" s="52" t="str">
        <f ca="1">IFERROR(__xludf.DUMMYFUNCTION("""COMPUTED_VALUE"""),"push_button_config_key_6")</f>
        <v>push_button_config_key_6</v>
      </c>
      <c r="D289" s="18" t="str">
        <f ca="1">IFERROR(__xludf.DUMMYFUNCTION("""COMPUTED_VALUE"""),"attribute")</f>
        <v>attribute</v>
      </c>
      <c r="E289" s="18" t="str">
        <f ca="1">IFERROR(__xludf.DUMMYFUNCTION("""COMPUTED_VALUE"""),"enum")</f>
        <v>enum</v>
      </c>
      <c r="F289" s="18" t="str">
        <f ca="1">IFERROR(__xludf.DUMMYFUNCTION("""COMPUTED_VALUE"""),"false")</f>
        <v>false</v>
      </c>
      <c r="G289" s="18" t="str">
        <f ca="1">IFERROR(__xludf.DUMMYFUNCTION("""COMPUTED_VALUE"""),"polled")</f>
        <v>polled</v>
      </c>
      <c r="H289" s="18" t="str">
        <f ca="1">IFERROR(__xludf.DUMMYFUNCTION("""COMPUTED_VALUE"""),"86400")</f>
        <v>86400</v>
      </c>
      <c r="I289" s="18" t="str">
        <f ca="1">IFERROR(__xludf.DUMMYFUNCTION("""COMPUTED_VALUE"""),"N/A")</f>
        <v>N/A</v>
      </c>
      <c r="J289" s="18" t="str">
        <f ca="1">IFERROR(__xludf.DUMMYFUNCTION("""COMPUTED_VALUE"""),"N/A")</f>
        <v>N/A</v>
      </c>
      <c r="K289" s="18" t="str">
        <f ca="1">IFERROR(__xludf.DUMMYFUNCTION("""COMPUTED_VALUE"""),"N/A")</f>
        <v>N/A</v>
      </c>
      <c r="L289" s="18" t="str">
        <f ca="1">IFERROR(__xludf.DUMMYFUNCTION("""COMPUTED_VALUE"""),"N/A")</f>
        <v>N/A</v>
      </c>
      <c r="M289" s="18" t="str">
        <f ca="1">IFERROR(__xludf.DUMMYFUNCTION("""COMPUTED_VALUE"""),"N/A")</f>
        <v>N/A</v>
      </c>
      <c r="N289" s="18" t="str">
        <f ca="1">IFERROR(__xludf.DUMMYFUNCTION("""COMPUTED_VALUE"""),"N/A")</f>
        <v>N/A</v>
      </c>
      <c r="O289" s="18" t="str">
        <f ca="1">IFERROR(__xludf.DUMMYFUNCTION("""COMPUTED_VALUE"""),"N/A")</f>
        <v>N/A</v>
      </c>
      <c r="P289" s="18" t="str">
        <f ca="1">IFERROR(__xludf.DUMMYFUNCTION("""COMPUTED_VALUE"""),"""none"",""up_arrow"",""down_arrow"",""on_off"",""cycle_modes"",""heat"",""cool"",""auto"",""cycle_fan"",""fan_up"",""fan_down"",""change_temp_units"",""leaf"",""backlight"",""DND"",""MUR""")</f>
        <v>"none","up_arrow","down_arrow","on_off","cycle_modes","heat","cool","auto","cycle_fan","fan_up","fan_down","change_temp_units","leaf","backlight","DND","MUR"</v>
      </c>
      <c r="Q289" s="18" t="str">
        <f ca="1">IFERROR(__xludf.DUMMYFUNCTION("""COMPUTED_VALUE"""),"N/A")</f>
        <v>N/A</v>
      </c>
      <c r="R289" s="18" t="str">
        <f ca="1">IFERROR(__xludf.DUMMYFUNCTION("""COMPUTED_VALUE"""),"N/A")</f>
        <v>N/A</v>
      </c>
      <c r="S289" s="18" t="str">
        <f ca="1">IFERROR(__xludf.DUMMYFUNCTION("""COMPUTED_VALUE"""),"""down_arrow""")</f>
        <v>"down_arrow"</v>
      </c>
      <c r="T289" s="18" t="str">
        <f ca="1">IFERROR(__xludf.DUMMYFUNCTION("""COMPUTED_VALUE"""),"0x002D")</f>
        <v>0x002D</v>
      </c>
      <c r="U289" s="18" t="str">
        <f ca="1">IFERROR(__xludf.DUMMYFUNCTION("""COMPUTED_VALUE"""),"0x0A")</f>
        <v>0x0A</v>
      </c>
      <c r="V289" s="18" t="str">
        <f ca="1">IFERROR(__xludf.DUMMYFUNCTION("""COMPUTED_VALUE"""),"0x0104")</f>
        <v>0x0104</v>
      </c>
      <c r="W289" s="18" t="str">
        <f ca="1">IFERROR(__xludf.DUMMYFUNCTION("""COMPUTED_VALUE"""),"0xFC05")</f>
        <v>0xFC05</v>
      </c>
      <c r="X289" s="18" t="str">
        <f ca="1">IFERROR(__xludf.DUMMYFUNCTION("""COMPUTED_VALUE"""),"0x30")</f>
        <v>0x30</v>
      </c>
      <c r="Y289" s="18" t="e">
        <f ca="1"/>
        <v>#NAME?</v>
      </c>
      <c r="Z289" s="18" t="str">
        <f ca="1">IFERROR(__xludf.DUMMYFUNCTION("""COMPUTED_VALUE"""),"lambdax:{'none':0,'up_arrow':1,'down_arrow':2,'on_off':3,'cycle_modes':4,'heat':5,'cool':6,'auto':7,'cycle_fan':8,'fan_up':9,'fan_down':10,'change_temp_units':11,'leaf':12,'backlight':13,'DND':14,'MUR':15}[x]")</f>
        <v>lambdax:{'none':0,'up_arrow':1,'down_arrow':2,'on_off':3,'cycle_modes':4,'heat':5,'cool':6,'auto':7,'cycle_fan':8,'fan_up':9,'fan_down':10,'change_temp_units':11,'leaf':12,'backlight':13,'DND':14,'MUR':15}[x]</v>
      </c>
      <c r="AA289" s="18" t="str">
        <f ca="1">IFERROR(__xludf.DUMMYFUNCTION("""COMPUTED_VALUE"""),"lambdax:{0:'none',1:'up_arrow',2:'down_arrow',3:'on_off',4:'cycle_modes',5:'heat',6:'cool',7:'auto',8:'cycle_fan',9:'fan_up',10:'fan_down',11:'change_temp_units',12:'leaf',13:'baclight',14:'DND',15:'MUR'}.get(x,'unknown')")</f>
        <v>lambdax:{0:'none',1:'up_arrow',2:'down_arrow',3:'on_off',4:'cycle_modes',5:'heat',6:'cool',7:'auto',8:'cycle_fan',9:'fan_up',10:'fan_down',11:'change_temp_units',12:'leaf',13:'baclight',14:'DND',15:'MUR'}.get(x,'unknown')</v>
      </c>
      <c r="AC289" s="59" t="s">
        <v>1513</v>
      </c>
      <c r="AD289" s="59" t="s">
        <v>1510</v>
      </c>
      <c r="AE289" s="59" t="s">
        <v>1425</v>
      </c>
      <c r="AF289" s="59" t="s">
        <v>1432</v>
      </c>
      <c r="AG289" s="59" t="s">
        <v>1441</v>
      </c>
      <c r="AH289" s="59" t="s">
        <v>1459</v>
      </c>
      <c r="AI289" s="59" t="s">
        <v>1461</v>
      </c>
      <c r="AJ289" s="59" t="s">
        <v>1461</v>
      </c>
      <c r="AK289" s="59" t="s">
        <v>1506</v>
      </c>
      <c r="AL289" s="59"/>
      <c r="AM289" s="59"/>
      <c r="AN289" s="59"/>
      <c r="AO289" s="59"/>
      <c r="AP289" s="59"/>
      <c r="AQ289" s="59"/>
      <c r="AR289" s="59"/>
      <c r="AS289" s="59"/>
      <c r="AT289" s="59"/>
    </row>
    <row r="290" spans="1:46" x14ac:dyDescent="0.25">
      <c r="A290" s="18" t="str">
        <v>last_preset_applied:{"type":"telemetry","data_type":"uint8","is_readonly":false,"reporting_type":"polled","poll_freq":86400,"default_value":false,"zigbee_metadata":{"attr_id":46,"endpoint_id":10,"profile_id":260,"cluster_id":64517,"zcl_data_type":32}},</v>
      </c>
      <c r="B290" s="52" t="str">
        <f ca="1"/>
        <v>0xFC05 0x002E</v>
      </c>
      <c r="C290" s="52" t="str">
        <f ca="1">IFERROR(__xludf.DUMMYFUNCTION("""COMPUTED_VALUE"""),"last_preset_applied")</f>
        <v>last_preset_applied</v>
      </c>
      <c r="D290" s="18" t="str">
        <f ca="1">IFERROR(__xludf.DUMMYFUNCTION("""COMPUTED_VALUE"""),"telemetry")</f>
        <v>telemetry</v>
      </c>
      <c r="E290" s="18" t="str">
        <f ca="1">IFERROR(__xludf.DUMMYFUNCTION("""COMPUTED_VALUE"""),"uint8")</f>
        <v>uint8</v>
      </c>
      <c r="F290" s="18" t="str">
        <f ca="1">IFERROR(__xludf.DUMMYFUNCTION("""COMPUTED_VALUE"""),"false")</f>
        <v>false</v>
      </c>
      <c r="G290" s="18" t="str">
        <f ca="1">IFERROR(__xludf.DUMMYFUNCTION("""COMPUTED_VALUE"""),"polled")</f>
        <v>polled</v>
      </c>
      <c r="H290" s="18" t="str">
        <f ca="1">IFERROR(__xludf.DUMMYFUNCTION("""COMPUTED_VALUE"""),"86400")</f>
        <v>86400</v>
      </c>
      <c r="I290" s="18" t="str">
        <f ca="1">IFERROR(__xludf.DUMMYFUNCTION("""COMPUTED_VALUE"""),"N/A")</f>
        <v>N/A</v>
      </c>
      <c r="J290" s="18" t="str">
        <f ca="1">IFERROR(__xludf.DUMMYFUNCTION("""COMPUTED_VALUE"""),"N/A")</f>
        <v>N/A</v>
      </c>
      <c r="K290" s="18" t="str">
        <f ca="1">IFERROR(__xludf.DUMMYFUNCTION("""COMPUTED_VALUE"""),"N/A")</f>
        <v>N/A</v>
      </c>
      <c r="L290" s="18" t="str">
        <f ca="1">IFERROR(__xludf.DUMMYFUNCTION("""COMPUTED_VALUE"""),"N/A")</f>
        <v>N/A</v>
      </c>
      <c r="M290" s="18" t="str">
        <f ca="1">IFERROR(__xludf.DUMMYFUNCTION("""COMPUTED_VALUE"""),"N/A")</f>
        <v>N/A</v>
      </c>
      <c r="N290" s="18" t="str">
        <f ca="1">IFERROR(__xludf.DUMMYFUNCTION("""COMPUTED_VALUE"""),"N/A")</f>
        <v>N/A</v>
      </c>
      <c r="O290" s="18" t="str">
        <f ca="1">IFERROR(__xludf.DUMMYFUNCTION("""COMPUTED_VALUE"""),"N/A")</f>
        <v>N/A</v>
      </c>
      <c r="P290" s="18" t="str">
        <f ca="1">IFERROR(__xludf.DUMMYFUNCTION("""COMPUTED_VALUE"""),"N/A")</f>
        <v>N/A</v>
      </c>
      <c r="Q290" s="18" t="str">
        <f ca="1">IFERROR(__xludf.DUMMYFUNCTION("""COMPUTED_VALUE"""),"N/A")</f>
        <v>N/A</v>
      </c>
      <c r="R290" s="18" t="str">
        <f ca="1">IFERROR(__xludf.DUMMYFUNCTION("""COMPUTED_VALUE"""),"N/A")</f>
        <v>N/A</v>
      </c>
      <c r="S290" s="18" t="str">
        <f ca="1">IFERROR(__xludf.DUMMYFUNCTION("""COMPUTED_VALUE"""),"false")</f>
        <v>false</v>
      </c>
      <c r="T290" s="18" t="str">
        <f ca="1">IFERROR(__xludf.DUMMYFUNCTION("""COMPUTED_VALUE"""),"0x002E")</f>
        <v>0x002E</v>
      </c>
      <c r="U290" s="18" t="str">
        <f ca="1">IFERROR(__xludf.DUMMYFUNCTION("""COMPUTED_VALUE"""),"0x0A")</f>
        <v>0x0A</v>
      </c>
      <c r="V290" s="18" t="str">
        <f ca="1">IFERROR(__xludf.DUMMYFUNCTION("""COMPUTED_VALUE"""),"0x0104")</f>
        <v>0x0104</v>
      </c>
      <c r="W290" s="18" t="str">
        <f ca="1">IFERROR(__xludf.DUMMYFUNCTION("""COMPUTED_VALUE"""),"0xFC05")</f>
        <v>0xFC05</v>
      </c>
      <c r="X290" s="18" t="str">
        <f ca="1">IFERROR(__xludf.DUMMYFUNCTION("""COMPUTED_VALUE"""),"0x20")</f>
        <v>0x20</v>
      </c>
      <c r="Y290" s="18" t="e">
        <f ca="1"/>
        <v>#NAME?</v>
      </c>
      <c r="Z290" s="18" t="str">
        <f ca="1">IFERROR(__xludf.DUMMYFUNCTION("""COMPUTED_VALUE"""),"N/A")</f>
        <v>N/A</v>
      </c>
      <c r="AA290" s="18" t="str">
        <f ca="1">IFERROR(__xludf.DUMMYFUNCTION("""COMPUTED_VALUE"""),"N/A")</f>
        <v>N/A</v>
      </c>
      <c r="AC290" s="59" t="s">
        <v>1518</v>
      </c>
      <c r="AD290" s="59" t="s">
        <v>1515</v>
      </c>
      <c r="AE290" s="59" t="s">
        <v>1429</v>
      </c>
      <c r="AF290" s="59" t="s">
        <v>1435</v>
      </c>
      <c r="AG290" s="59" t="s">
        <v>1444</v>
      </c>
      <c r="AH290" s="59" t="s">
        <v>1461</v>
      </c>
      <c r="AI290" s="59" t="s">
        <v>1463</v>
      </c>
      <c r="AJ290" s="59" t="s">
        <v>1463</v>
      </c>
      <c r="AK290" s="59" t="s">
        <v>1511</v>
      </c>
      <c r="AL290" s="59"/>
      <c r="AM290" s="59"/>
      <c r="AN290" s="59"/>
      <c r="AO290" s="59"/>
      <c r="AP290" s="59"/>
      <c r="AQ290" s="59"/>
      <c r="AR290" s="59"/>
      <c r="AS290" s="59"/>
      <c r="AT290" s="59"/>
    </row>
    <row r="291" spans="1:46" x14ac:dyDescent="0.25">
      <c r="A291" s="18" t="str">
        <v>zigbee_nonsecure:{"type":"tko_only","data_type":"bool","is_readonly":false,"reporting_type":"polled","poll_freq":86400,"default_value":false,"zigbee_metadata":{"attr_id":47,"endpoint_id":10,"profile_id":260,"cluster_id":64517,"zcl_data_type":16}},</v>
      </c>
      <c r="B291" s="52" t="str">
        <f ca="1"/>
        <v>0xFC05 0x002F</v>
      </c>
      <c r="C291" s="52" t="str">
        <f ca="1">IFERROR(__xludf.DUMMYFUNCTION("""COMPUTED_VALUE"""),"zigbee_nonsecure")</f>
        <v>zigbee_nonsecure</v>
      </c>
      <c r="D291" s="18" t="str">
        <f ca="1">IFERROR(__xludf.DUMMYFUNCTION("""COMPUTED_VALUE"""),"tko")</f>
        <v>tko</v>
      </c>
      <c r="E291" s="18" t="str">
        <f ca="1">IFERROR(__xludf.DUMMYFUNCTION("""COMPUTED_VALUE"""),"bool")</f>
        <v>bool</v>
      </c>
      <c r="F291" s="18" t="str">
        <f ca="1">IFERROR(__xludf.DUMMYFUNCTION("""COMPUTED_VALUE"""),"false")</f>
        <v>false</v>
      </c>
      <c r="G291" s="18" t="str">
        <f ca="1">IFERROR(__xludf.DUMMYFUNCTION("""COMPUTED_VALUE"""),"polled")</f>
        <v>polled</v>
      </c>
      <c r="H291" s="18" t="str">
        <f ca="1">IFERROR(__xludf.DUMMYFUNCTION("""COMPUTED_VALUE"""),"86400")</f>
        <v>86400</v>
      </c>
      <c r="I291" s="18" t="str">
        <f ca="1">IFERROR(__xludf.DUMMYFUNCTION("""COMPUTED_VALUE"""),"N/A")</f>
        <v>N/A</v>
      </c>
      <c r="J291" s="18" t="str">
        <f ca="1">IFERROR(__xludf.DUMMYFUNCTION("""COMPUTED_VALUE"""),"N/A")</f>
        <v>N/A</v>
      </c>
      <c r="K291" s="18" t="str">
        <f ca="1">IFERROR(__xludf.DUMMYFUNCTION("""COMPUTED_VALUE"""),"N/A")</f>
        <v>N/A</v>
      </c>
      <c r="L291" s="18" t="str">
        <f ca="1">IFERROR(__xludf.DUMMYFUNCTION("""COMPUTED_VALUE"""),"N/A")</f>
        <v>N/A</v>
      </c>
      <c r="M291" s="18" t="str">
        <f ca="1">IFERROR(__xludf.DUMMYFUNCTION("""COMPUTED_VALUE"""),"N/A")</f>
        <v>N/A</v>
      </c>
      <c r="N291" s="18" t="str">
        <f ca="1">IFERROR(__xludf.DUMMYFUNCTION("""COMPUTED_VALUE"""),"N/A")</f>
        <v>N/A</v>
      </c>
      <c r="O291" s="18" t="str">
        <f ca="1">IFERROR(__xludf.DUMMYFUNCTION("""COMPUTED_VALUE"""),"N/A")</f>
        <v>N/A</v>
      </c>
      <c r="P291" s="18" t="str">
        <f ca="1">IFERROR(__xludf.DUMMYFUNCTION("""COMPUTED_VALUE"""),"N/A")</f>
        <v>N/A</v>
      </c>
      <c r="Q291" s="18" t="str">
        <f ca="1">IFERROR(__xludf.DUMMYFUNCTION("""COMPUTED_VALUE"""),"N/A")</f>
        <v>N/A</v>
      </c>
      <c r="R291" s="18" t="str">
        <f ca="1">IFERROR(__xludf.DUMMYFUNCTION("""COMPUTED_VALUE"""),"N/A")</f>
        <v>N/A</v>
      </c>
      <c r="S291" s="18" t="str">
        <f ca="1">IFERROR(__xludf.DUMMYFUNCTION("""COMPUTED_VALUE"""),"false")</f>
        <v>false</v>
      </c>
      <c r="T291" s="18" t="str">
        <f ca="1">IFERROR(__xludf.DUMMYFUNCTION("""COMPUTED_VALUE"""),"0x002F")</f>
        <v>0x002F</v>
      </c>
      <c r="U291" s="18" t="str">
        <f ca="1">IFERROR(__xludf.DUMMYFUNCTION("""COMPUTED_VALUE"""),"0x0A")</f>
        <v>0x0A</v>
      </c>
      <c r="V291" s="18" t="str">
        <f ca="1">IFERROR(__xludf.DUMMYFUNCTION("""COMPUTED_VALUE"""),"0x0104")</f>
        <v>0x0104</v>
      </c>
      <c r="W291" s="18" t="str">
        <f ca="1">IFERROR(__xludf.DUMMYFUNCTION("""COMPUTED_VALUE"""),"0xFC05")</f>
        <v>0xFC05</v>
      </c>
      <c r="X291" s="18" t="str">
        <f ca="1">IFERROR(__xludf.DUMMYFUNCTION("""COMPUTED_VALUE"""),"0x10")</f>
        <v>0x10</v>
      </c>
      <c r="Y291" s="18" t="e">
        <f ca="1"/>
        <v>#NAME?</v>
      </c>
      <c r="Z291" s="18" t="str">
        <f ca="1">IFERROR(__xludf.DUMMYFUNCTION("""COMPUTED_VALUE"""),"N/A")</f>
        <v>N/A</v>
      </c>
      <c r="AA291" s="18" t="str">
        <f ca="1">IFERROR(__xludf.DUMMYFUNCTION("""COMPUTED_VALUE"""),"N/A")</f>
        <v>N/A</v>
      </c>
      <c r="AC291" s="59" t="s">
        <v>1517</v>
      </c>
      <c r="AD291" s="59" t="s">
        <v>1409</v>
      </c>
      <c r="AE291" s="59" t="s">
        <v>1432</v>
      </c>
      <c r="AF291" s="59" t="s">
        <v>1438</v>
      </c>
      <c r="AG291" s="59" t="s">
        <v>1447</v>
      </c>
      <c r="AH291" s="59" t="s">
        <v>1463</v>
      </c>
      <c r="AI291" s="59" t="s">
        <v>1465</v>
      </c>
      <c r="AJ291" s="59" t="s">
        <v>1465</v>
      </c>
      <c r="AK291" s="59" t="s">
        <v>1516</v>
      </c>
      <c r="AL291" s="59"/>
      <c r="AM291" s="59"/>
      <c r="AN291" s="59"/>
      <c r="AO291" s="59"/>
      <c r="AP291" s="59"/>
      <c r="AQ291" s="59"/>
      <c r="AR291" s="59"/>
      <c r="AS291" s="59"/>
      <c r="AT291" s="59"/>
    </row>
    <row r="292" spans="1:46" x14ac:dyDescent="0.25">
      <c r="A292" s="18" t="str">
        <v>ui_enhanced_icons:{"type":"attribute","data_type":"bool","is_readonly":false,"reporting_type":"polled","poll_freq":86400,"default_value":false,"zigbee_metadata":{"attr_id":48,"endpoint_id":10,"profile_id":260,"cluster_id":64517,"zcl_data_type":16}},</v>
      </c>
      <c r="B292" s="52" t="str">
        <f ca="1"/>
        <v>0xFC05 0x0030</v>
      </c>
      <c r="C292" s="52" t="str">
        <f ca="1">IFERROR(__xludf.DUMMYFUNCTION("""COMPUTED_VALUE"""),"ui_enhanced_icons")</f>
        <v>ui_enhanced_icons</v>
      </c>
      <c r="D292" s="18" t="str">
        <f ca="1">IFERROR(__xludf.DUMMYFUNCTION("""COMPUTED_VALUE"""),"attribute")</f>
        <v>attribute</v>
      </c>
      <c r="E292" s="18" t="str">
        <f ca="1">IFERROR(__xludf.DUMMYFUNCTION("""COMPUTED_VALUE"""),"bool")</f>
        <v>bool</v>
      </c>
      <c r="F292" s="18" t="str">
        <f ca="1">IFERROR(__xludf.DUMMYFUNCTION("""COMPUTED_VALUE"""),"false")</f>
        <v>false</v>
      </c>
      <c r="G292" s="18" t="str">
        <f ca="1">IFERROR(__xludf.DUMMYFUNCTION("""COMPUTED_VALUE"""),"polled")</f>
        <v>polled</v>
      </c>
      <c r="H292" s="18" t="str">
        <f ca="1">IFERROR(__xludf.DUMMYFUNCTION("""COMPUTED_VALUE"""),"86400")</f>
        <v>86400</v>
      </c>
      <c r="I292" s="18" t="str">
        <f ca="1">IFERROR(__xludf.DUMMYFUNCTION("""COMPUTED_VALUE"""),"N/A")</f>
        <v>N/A</v>
      </c>
      <c r="J292" s="18" t="str">
        <f ca="1">IFERROR(__xludf.DUMMYFUNCTION("""COMPUTED_VALUE"""),"N/A")</f>
        <v>N/A</v>
      </c>
      <c r="K292" s="18" t="str">
        <f ca="1">IFERROR(__xludf.DUMMYFUNCTION("""COMPUTED_VALUE"""),"N/A")</f>
        <v>N/A</v>
      </c>
      <c r="L292" s="18" t="str">
        <f ca="1">IFERROR(__xludf.DUMMYFUNCTION("""COMPUTED_VALUE"""),"N/A")</f>
        <v>N/A</v>
      </c>
      <c r="M292" s="18" t="str">
        <f ca="1">IFERROR(__xludf.DUMMYFUNCTION("""COMPUTED_VALUE"""),"N/A")</f>
        <v>N/A</v>
      </c>
      <c r="N292" s="18" t="str">
        <f ca="1">IFERROR(__xludf.DUMMYFUNCTION("""COMPUTED_VALUE"""),"N/A")</f>
        <v>N/A</v>
      </c>
      <c r="O292" s="18" t="str">
        <f ca="1">IFERROR(__xludf.DUMMYFUNCTION("""COMPUTED_VALUE"""),"N/A")</f>
        <v>N/A</v>
      </c>
      <c r="P292" s="18" t="str">
        <f ca="1">IFERROR(__xludf.DUMMYFUNCTION("""COMPUTED_VALUE"""),"N/A")</f>
        <v>N/A</v>
      </c>
      <c r="Q292" s="18" t="str">
        <f ca="1">IFERROR(__xludf.DUMMYFUNCTION("""COMPUTED_VALUE"""),"N/A")</f>
        <v>N/A</v>
      </c>
      <c r="R292" s="18" t="str">
        <f ca="1">IFERROR(__xludf.DUMMYFUNCTION("""COMPUTED_VALUE"""),"N/A")</f>
        <v>N/A</v>
      </c>
      <c r="S292" s="18" t="str">
        <f ca="1">IFERROR(__xludf.DUMMYFUNCTION("""COMPUTED_VALUE"""),"false")</f>
        <v>false</v>
      </c>
      <c r="T292" s="18" t="str">
        <f ca="1">IFERROR(__xludf.DUMMYFUNCTION("""COMPUTED_VALUE"""),"0x0030")</f>
        <v>0x0030</v>
      </c>
      <c r="U292" s="18" t="str">
        <f ca="1">IFERROR(__xludf.DUMMYFUNCTION("""COMPUTED_VALUE"""),"0x0A")</f>
        <v>0x0A</v>
      </c>
      <c r="V292" s="18" t="str">
        <f ca="1">IFERROR(__xludf.DUMMYFUNCTION("""COMPUTED_VALUE"""),"0x0104")</f>
        <v>0x0104</v>
      </c>
      <c r="W292" s="18" t="str">
        <f ca="1">IFERROR(__xludf.DUMMYFUNCTION("""COMPUTED_VALUE"""),"0xFC05")</f>
        <v>0xFC05</v>
      </c>
      <c r="X292" s="18" t="str">
        <f ca="1">IFERROR(__xludf.DUMMYFUNCTION("""COMPUTED_VALUE"""),"0x10")</f>
        <v>0x10</v>
      </c>
      <c r="Y292" s="18" t="e">
        <f ca="1"/>
        <v>#NAME?</v>
      </c>
      <c r="Z292" s="18" t="str">
        <f ca="1">IFERROR(__xludf.DUMMYFUNCTION("""COMPUTED_VALUE"""),"N/A")</f>
        <v>N/A</v>
      </c>
      <c r="AA292" s="18" t="str">
        <f ca="1">IFERROR(__xludf.DUMMYFUNCTION("""COMPUTED_VALUE"""),"N/A")</f>
        <v>N/A</v>
      </c>
      <c r="AC292" s="59" t="s">
        <v>1471</v>
      </c>
      <c r="AD292" s="59" t="s">
        <v>1412</v>
      </c>
      <c r="AE292" s="59" t="s">
        <v>1435</v>
      </c>
      <c r="AF292" s="59" t="s">
        <v>1441</v>
      </c>
      <c r="AG292" s="59" t="s">
        <v>1450</v>
      </c>
      <c r="AH292" s="59" t="s">
        <v>1465</v>
      </c>
      <c r="AI292" s="59" t="s">
        <v>1468</v>
      </c>
      <c r="AJ292" s="59" t="s">
        <v>1468</v>
      </c>
      <c r="AK292" s="59" t="s">
        <v>1355</v>
      </c>
      <c r="AL292" s="59"/>
      <c r="AM292" s="59"/>
      <c r="AN292" s="59"/>
      <c r="AO292" s="59"/>
      <c r="AP292" s="59"/>
      <c r="AQ292" s="59"/>
      <c r="AR292" s="59"/>
      <c r="AS292" s="59"/>
      <c r="AT292" s="59"/>
    </row>
    <row r="293" spans="1:46" x14ac:dyDescent="0.25">
      <c r="A293" s="18" t="str">
        <v>leaf_button_function:{"type":"attribute","data_type":"enum","is_readonly":false,"reporting_type":"polled","poll_freq":86400,"enum_values":["smart_away","green_mode"],"default_value":"smart_away","zigbee_metadata":{"attr_id":49,"endpoint_id":10,"profile_id":260,"cluster_id":64517,"zcl_data_type":48,"write_formatter":"lambdax:{'smart_away':0,'green_mode':1}[x]","read_formatter":"lambdax:{0:'smart_away',1:'green_mode'}.get(x,'unknown')"}},</v>
      </c>
      <c r="B293" s="52" t="str">
        <f ca="1"/>
        <v>0xFC05 0x0031</v>
      </c>
      <c r="C293" s="52" t="str">
        <f ca="1">IFERROR(__xludf.DUMMYFUNCTION("""COMPUTED_VALUE"""),"leaf_button_function")</f>
        <v>leaf_button_function</v>
      </c>
      <c r="D293" s="18" t="str">
        <f ca="1">IFERROR(__xludf.DUMMYFUNCTION("""COMPUTED_VALUE"""),"attribute")</f>
        <v>attribute</v>
      </c>
      <c r="E293" s="18" t="str">
        <f ca="1">IFERROR(__xludf.DUMMYFUNCTION("""COMPUTED_VALUE"""),"enum")</f>
        <v>enum</v>
      </c>
      <c r="F293" s="18" t="str">
        <f ca="1">IFERROR(__xludf.DUMMYFUNCTION("""COMPUTED_VALUE"""),"false")</f>
        <v>false</v>
      </c>
      <c r="G293" s="18" t="str">
        <f ca="1">IFERROR(__xludf.DUMMYFUNCTION("""COMPUTED_VALUE"""),"polled")</f>
        <v>polled</v>
      </c>
      <c r="H293" s="18" t="str">
        <f ca="1">IFERROR(__xludf.DUMMYFUNCTION("""COMPUTED_VALUE"""),"86400")</f>
        <v>86400</v>
      </c>
      <c r="I293" s="18" t="str">
        <f ca="1">IFERROR(__xludf.DUMMYFUNCTION("""COMPUTED_VALUE"""),"N/A")</f>
        <v>N/A</v>
      </c>
      <c r="J293" s="18" t="str">
        <f ca="1">IFERROR(__xludf.DUMMYFUNCTION("""COMPUTED_VALUE"""),"N/A")</f>
        <v>N/A</v>
      </c>
      <c r="K293" s="18" t="str">
        <f ca="1">IFERROR(__xludf.DUMMYFUNCTION("""COMPUTED_VALUE"""),"N/A")</f>
        <v>N/A</v>
      </c>
      <c r="L293" s="18" t="str">
        <f ca="1">IFERROR(__xludf.DUMMYFUNCTION("""COMPUTED_VALUE"""),"N/A")</f>
        <v>N/A</v>
      </c>
      <c r="M293" s="18" t="str">
        <f ca="1">IFERROR(__xludf.DUMMYFUNCTION("""COMPUTED_VALUE"""),"N/A")</f>
        <v>N/A</v>
      </c>
      <c r="N293" s="18" t="str">
        <f ca="1">IFERROR(__xludf.DUMMYFUNCTION("""COMPUTED_VALUE"""),"N/A")</f>
        <v>N/A</v>
      </c>
      <c r="O293" s="18" t="str">
        <f ca="1">IFERROR(__xludf.DUMMYFUNCTION("""COMPUTED_VALUE"""),"N/A")</f>
        <v>N/A</v>
      </c>
      <c r="P293" s="18" t="str">
        <f ca="1">IFERROR(__xludf.DUMMYFUNCTION("""COMPUTED_VALUE"""),"""smart_away"",""green_mode""")</f>
        <v>"smart_away","green_mode"</v>
      </c>
      <c r="Q293" s="18" t="str">
        <f ca="1">IFERROR(__xludf.DUMMYFUNCTION("""COMPUTED_VALUE"""),"N/A")</f>
        <v>N/A</v>
      </c>
      <c r="R293" s="18" t="str">
        <f ca="1">IFERROR(__xludf.DUMMYFUNCTION("""COMPUTED_VALUE"""),"N/A")</f>
        <v>N/A</v>
      </c>
      <c r="S293" s="18" t="str">
        <f ca="1">IFERROR(__xludf.DUMMYFUNCTION("""COMPUTED_VALUE"""),"""smart_away""")</f>
        <v>"smart_away"</v>
      </c>
      <c r="T293" s="18" t="str">
        <f ca="1">IFERROR(__xludf.DUMMYFUNCTION("""COMPUTED_VALUE"""),"0x0031")</f>
        <v>0x0031</v>
      </c>
      <c r="U293" s="18" t="str">
        <f ca="1">IFERROR(__xludf.DUMMYFUNCTION("""COMPUTED_VALUE"""),"0x0A")</f>
        <v>0x0A</v>
      </c>
      <c r="V293" s="18" t="str">
        <f ca="1">IFERROR(__xludf.DUMMYFUNCTION("""COMPUTED_VALUE"""),"0x0104")</f>
        <v>0x0104</v>
      </c>
      <c r="W293" s="18" t="str">
        <f ca="1">IFERROR(__xludf.DUMMYFUNCTION("""COMPUTED_VALUE"""),"0xFC05")</f>
        <v>0xFC05</v>
      </c>
      <c r="X293" s="18" t="str">
        <f ca="1">IFERROR(__xludf.DUMMYFUNCTION("""COMPUTED_VALUE"""),"0x30")</f>
        <v>0x30</v>
      </c>
      <c r="Y293" s="18" t="e">
        <f ca="1"/>
        <v>#NAME?</v>
      </c>
      <c r="Z293" s="18" t="str">
        <f ca="1">IFERROR(__xludf.DUMMYFUNCTION("""COMPUTED_VALUE"""),"lambdax:{'smart_away':0,'green_mode':1}[x]")</f>
        <v>lambdax:{'smart_away':0,'green_mode':1}[x]</v>
      </c>
      <c r="AA293" s="18" t="str">
        <f ca="1">IFERROR(__xludf.DUMMYFUNCTION("""COMPUTED_VALUE"""),"lambdax:{0:'smart_away',1:'green_mode'}.get(x,'unknown')")</f>
        <v>lambdax:{0:'smart_away',1:'green_mode'}.get(x,'unknown')</v>
      </c>
      <c r="AC293" s="59" t="s">
        <v>1476</v>
      </c>
      <c r="AD293" s="59" t="s">
        <v>1415</v>
      </c>
      <c r="AE293" s="59" t="s">
        <v>1438</v>
      </c>
      <c r="AF293" s="59" t="s">
        <v>1444</v>
      </c>
      <c r="AG293" s="59" t="s">
        <v>1453</v>
      </c>
      <c r="AH293" s="59" t="s">
        <v>1468</v>
      </c>
      <c r="AI293" s="59" t="s">
        <v>1472</v>
      </c>
      <c r="AJ293" s="59" t="s">
        <v>1472</v>
      </c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</row>
    <row r="294" spans="1:46" x14ac:dyDescent="0.25">
      <c r="A294" s="18" t="str">
        <v>rui_soft_button_config:{"type":"attribute","data_type":"uint16","is_readonly":false,"reporting_type":"polled","poll_freq":86400,"default_value":null,"zigbee_metadata":{"attr_id":51,"endpoint_id":10,"profile_id":260,"cluster_id":64517,"zcl_data_type":33}},</v>
      </c>
      <c r="B294" s="52" t="str">
        <f ca="1"/>
        <v>0xFC05 0x0033</v>
      </c>
      <c r="C294" s="52" t="str">
        <f ca="1">IFERROR(__xludf.DUMMYFUNCTION("""COMPUTED_VALUE"""),"rui_soft_button_config")</f>
        <v>rui_soft_button_config</v>
      </c>
      <c r="D294" s="18" t="str">
        <f ca="1">IFERROR(__xludf.DUMMYFUNCTION("""COMPUTED_VALUE"""),"attribute")</f>
        <v>attribute</v>
      </c>
      <c r="E294" s="18" t="str">
        <f ca="1">IFERROR(__xludf.DUMMYFUNCTION("""COMPUTED_VALUE"""),"uint16")</f>
        <v>uint16</v>
      </c>
      <c r="F294" s="18" t="str">
        <f ca="1">IFERROR(__xludf.DUMMYFUNCTION("""COMPUTED_VALUE"""),"false")</f>
        <v>false</v>
      </c>
      <c r="G294" s="18" t="str">
        <f ca="1">IFERROR(__xludf.DUMMYFUNCTION("""COMPUTED_VALUE"""),"polled")</f>
        <v>polled</v>
      </c>
      <c r="H294" s="18" t="str">
        <f ca="1">IFERROR(__xludf.DUMMYFUNCTION("""COMPUTED_VALUE"""),"86400")</f>
        <v>86400</v>
      </c>
      <c r="I294" s="18" t="str">
        <f ca="1">IFERROR(__xludf.DUMMYFUNCTION("""COMPUTED_VALUE"""),"N/A")</f>
        <v>N/A</v>
      </c>
      <c r="J294" s="18" t="str">
        <f ca="1">IFERROR(__xludf.DUMMYFUNCTION("""COMPUTED_VALUE"""),"N/A")</f>
        <v>N/A</v>
      </c>
      <c r="K294" s="18" t="str">
        <f ca="1">IFERROR(__xludf.DUMMYFUNCTION("""COMPUTED_VALUE"""),"N/A")</f>
        <v>N/A</v>
      </c>
      <c r="L294" s="18" t="str">
        <f ca="1">IFERROR(__xludf.DUMMYFUNCTION("""COMPUTED_VALUE"""),"N/A")</f>
        <v>N/A</v>
      </c>
      <c r="M294" s="18" t="str">
        <f ca="1">IFERROR(__xludf.DUMMYFUNCTION("""COMPUTED_VALUE"""),"N/A")</f>
        <v>N/A</v>
      </c>
      <c r="N294" s="18" t="str">
        <f ca="1">IFERROR(__xludf.DUMMYFUNCTION("""COMPUTED_VALUE"""),"N/A")</f>
        <v>N/A</v>
      </c>
      <c r="O294" s="18" t="str">
        <f ca="1">IFERROR(__xludf.DUMMYFUNCTION("""COMPUTED_VALUE"""),"N/A")</f>
        <v>N/A</v>
      </c>
      <c r="P294" s="18" t="str">
        <f ca="1">IFERROR(__xludf.DUMMYFUNCTION("""COMPUTED_VALUE"""),"N/A")</f>
        <v>N/A</v>
      </c>
      <c r="Q294" s="18" t="str">
        <f ca="1">IFERROR(__xludf.DUMMYFUNCTION("""COMPUTED_VALUE"""),"N/A")</f>
        <v>N/A</v>
      </c>
      <c r="R294" s="18" t="str">
        <f ca="1">IFERROR(__xludf.DUMMYFUNCTION("""COMPUTED_VALUE"""),"N/A")</f>
        <v>N/A</v>
      </c>
      <c r="S294" s="18" t="str">
        <f ca="1">IFERROR(__xludf.DUMMYFUNCTION("""COMPUTED_VALUE"""),"null")</f>
        <v>null</v>
      </c>
      <c r="T294" s="18" t="str">
        <f ca="1">IFERROR(__xludf.DUMMYFUNCTION("""COMPUTED_VALUE"""),"0x0033")</f>
        <v>0x0033</v>
      </c>
      <c r="U294" s="18" t="str">
        <f ca="1">IFERROR(__xludf.DUMMYFUNCTION("""COMPUTED_VALUE"""),"0x0A")</f>
        <v>0x0A</v>
      </c>
      <c r="V294" s="18" t="str">
        <f ca="1">IFERROR(__xludf.DUMMYFUNCTION("""COMPUTED_VALUE"""),"0x0104")</f>
        <v>0x0104</v>
      </c>
      <c r="W294" s="18" t="str">
        <f ca="1">IFERROR(__xludf.DUMMYFUNCTION("""COMPUTED_VALUE"""),"0xFC05")</f>
        <v>0xFC05</v>
      </c>
      <c r="X294" s="18" t="str">
        <f ca="1">IFERROR(__xludf.DUMMYFUNCTION("""COMPUTED_VALUE"""),"0x21")</f>
        <v>0x21</v>
      </c>
      <c r="Y294" s="18" t="e">
        <f ca="1"/>
        <v>#NAME?</v>
      </c>
      <c r="Z294" s="18" t="str">
        <f ca="1">IFERROR(__xludf.DUMMYFUNCTION("""COMPUTED_VALUE"""),"N/A")</f>
        <v>N/A</v>
      </c>
      <c r="AA294" s="18" t="str">
        <f ca="1">IFERROR(__xludf.DUMMYFUNCTION("""COMPUTED_VALUE"""),"N/A")</f>
        <v>N/A</v>
      </c>
      <c r="AC294" s="59" t="s">
        <v>1519</v>
      </c>
      <c r="AD294" s="59" t="s">
        <v>1418</v>
      </c>
      <c r="AE294" s="59" t="s">
        <v>1441</v>
      </c>
      <c r="AF294" s="59" t="s">
        <v>1447</v>
      </c>
      <c r="AG294" s="59" t="s">
        <v>1455</v>
      </c>
      <c r="AH294" s="59" t="s">
        <v>1472</v>
      </c>
      <c r="AI294" s="59" t="s">
        <v>1477</v>
      </c>
      <c r="AJ294" s="59" t="s">
        <v>1477</v>
      </c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</row>
    <row r="295" spans="1:46" x14ac:dyDescent="0.25">
      <c r="A295" s="18" t="str">
        <v>lcd_revision:{"type":"attribute","data_type":"uint8","is_readonly":false,"reporting_type":"polled","poll_freq":86400,"default_value":null,"zigbee_metadata":{"attr_id":55,"endpoint_id":10,"profile_id":260,"cluster_id":64517,"zcl_data_type":32}},</v>
      </c>
      <c r="B295" s="52" t="str">
        <f ca="1"/>
        <v>0xFC05 0x0037</v>
      </c>
      <c r="C295" s="52" t="str">
        <f ca="1">IFERROR(__xludf.DUMMYFUNCTION("""COMPUTED_VALUE"""),"lcd_revision")</f>
        <v>lcd_revision</v>
      </c>
      <c r="D295" s="18" t="str">
        <f ca="1">IFERROR(__xludf.DUMMYFUNCTION("""COMPUTED_VALUE"""),"attribute")</f>
        <v>attribute</v>
      </c>
      <c r="E295" s="18" t="str">
        <f ca="1">IFERROR(__xludf.DUMMYFUNCTION("""COMPUTED_VALUE"""),"uint8")</f>
        <v>uint8</v>
      </c>
      <c r="F295" s="18" t="str">
        <f ca="1">IFERROR(__xludf.DUMMYFUNCTION("""COMPUTED_VALUE"""),"false")</f>
        <v>false</v>
      </c>
      <c r="G295" s="18" t="str">
        <f ca="1">IFERROR(__xludf.DUMMYFUNCTION("""COMPUTED_VALUE"""),"polled")</f>
        <v>polled</v>
      </c>
      <c r="H295" s="18" t="str">
        <f ca="1">IFERROR(__xludf.DUMMYFUNCTION("""COMPUTED_VALUE"""),"86400")</f>
        <v>86400</v>
      </c>
      <c r="I295" s="18" t="str">
        <f ca="1">IFERROR(__xludf.DUMMYFUNCTION("""COMPUTED_VALUE"""),"N/A")</f>
        <v>N/A</v>
      </c>
      <c r="J295" s="18" t="str">
        <f ca="1">IFERROR(__xludf.DUMMYFUNCTION("""COMPUTED_VALUE"""),"N/A")</f>
        <v>N/A</v>
      </c>
      <c r="K295" s="18" t="str">
        <f ca="1">IFERROR(__xludf.DUMMYFUNCTION("""COMPUTED_VALUE"""),"N/A")</f>
        <v>N/A</v>
      </c>
      <c r="L295" s="18" t="str">
        <f ca="1">IFERROR(__xludf.DUMMYFUNCTION("""COMPUTED_VALUE"""),"N/A")</f>
        <v>N/A</v>
      </c>
      <c r="M295" s="18" t="str">
        <f ca="1">IFERROR(__xludf.DUMMYFUNCTION("""COMPUTED_VALUE"""),"N/A")</f>
        <v>N/A</v>
      </c>
      <c r="N295" s="18" t="str">
        <f ca="1">IFERROR(__xludf.DUMMYFUNCTION("""COMPUTED_VALUE"""),"N/A")</f>
        <v>N/A</v>
      </c>
      <c r="O295" s="18" t="str">
        <f ca="1">IFERROR(__xludf.DUMMYFUNCTION("""COMPUTED_VALUE"""),"N/A")</f>
        <v>N/A</v>
      </c>
      <c r="P295" s="18" t="str">
        <f ca="1">IFERROR(__xludf.DUMMYFUNCTION("""COMPUTED_VALUE"""),"N/A")</f>
        <v>N/A</v>
      </c>
      <c r="Q295" s="18" t="str">
        <f ca="1">IFERROR(__xludf.DUMMYFUNCTION("""COMPUTED_VALUE"""),"N/A")</f>
        <v>N/A</v>
      </c>
      <c r="R295" s="18" t="str">
        <f ca="1">IFERROR(__xludf.DUMMYFUNCTION("""COMPUTED_VALUE"""),"N/A")</f>
        <v>N/A</v>
      </c>
      <c r="S295" s="18" t="str">
        <f ca="1">IFERROR(__xludf.DUMMYFUNCTION("""COMPUTED_VALUE"""),"null")</f>
        <v>null</v>
      </c>
      <c r="T295" s="18" t="str">
        <f ca="1">IFERROR(__xludf.DUMMYFUNCTION("""COMPUTED_VALUE"""),"0x0037")</f>
        <v>0x0037</v>
      </c>
      <c r="U295" s="18" t="str">
        <f ca="1">IFERROR(__xludf.DUMMYFUNCTION("""COMPUTED_VALUE"""),"0x0A")</f>
        <v>0x0A</v>
      </c>
      <c r="V295" s="18" t="str">
        <f ca="1">IFERROR(__xludf.DUMMYFUNCTION("""COMPUTED_VALUE"""),"0x0104")</f>
        <v>0x0104</v>
      </c>
      <c r="W295" s="18" t="str">
        <f ca="1">IFERROR(__xludf.DUMMYFUNCTION("""COMPUTED_VALUE"""),"0xFC05")</f>
        <v>0xFC05</v>
      </c>
      <c r="X295" s="18" t="str">
        <f ca="1">IFERROR(__xludf.DUMMYFUNCTION("""COMPUTED_VALUE"""),"0x20")</f>
        <v>0x20</v>
      </c>
      <c r="Y295" s="18" t="e">
        <f ca="1"/>
        <v>#NAME?</v>
      </c>
      <c r="Z295" s="18" t="str">
        <f ca="1">IFERROR(__xludf.DUMMYFUNCTION("""COMPUTED_VALUE"""),"N/A")</f>
        <v>N/A</v>
      </c>
      <c r="AA295" s="18" t="str">
        <f ca="1">IFERROR(__xludf.DUMMYFUNCTION("""COMPUTED_VALUE"""),"N/A")</f>
        <v>N/A</v>
      </c>
      <c r="AC295" s="59" t="s">
        <v>1520</v>
      </c>
      <c r="AD295" s="59" t="s">
        <v>1422</v>
      </c>
      <c r="AE295" s="59" t="s">
        <v>1444</v>
      </c>
      <c r="AF295" s="59" t="s">
        <v>1450</v>
      </c>
      <c r="AG295" s="59" t="s">
        <v>1457</v>
      </c>
      <c r="AH295" s="59" t="s">
        <v>1477</v>
      </c>
      <c r="AI295" s="59" t="s">
        <v>1482</v>
      </c>
      <c r="AJ295" s="59" t="s">
        <v>1482</v>
      </c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</row>
    <row r="296" spans="1:46" x14ac:dyDescent="0.25">
      <c r="A296" s="18" t="str">
        <v>do_not_disturb:{"type":"attribute","data_type":"bool","is_readonly":false,"reporting_type":"reported","report_max":3600,"report_min":0,"default_value":null,"zigbee_metadata":{"attr_id":1,"endpoint_id":10,"profile_id":260,"cluster_id":64519,"zcl_data_type":16}},</v>
      </c>
      <c r="B296" s="52" t="str">
        <f ca="1"/>
        <v>0xFC07 0x0001</v>
      </c>
      <c r="C296" s="52" t="str">
        <f ca="1">IFERROR(__xludf.DUMMYFUNCTION("""COMPUTED_VALUE"""),"do_not_disturb")</f>
        <v>do_not_disturb</v>
      </c>
      <c r="D296" s="18" t="str">
        <f ca="1">IFERROR(__xludf.DUMMYFUNCTION("""COMPUTED_VALUE"""),"attribute")</f>
        <v>attribute</v>
      </c>
      <c r="E296" s="18" t="str">
        <f ca="1">IFERROR(__xludf.DUMMYFUNCTION("""COMPUTED_VALUE"""),"bool")</f>
        <v>bool</v>
      </c>
      <c r="F296" s="18" t="str">
        <f ca="1">IFERROR(__xludf.DUMMYFUNCTION("""COMPUTED_VALUE"""),"false")</f>
        <v>false</v>
      </c>
      <c r="G296" s="18" t="str">
        <f ca="1">IFERROR(__xludf.DUMMYFUNCTION("""COMPUTED_VALUE"""),"reported")</f>
        <v>reported</v>
      </c>
      <c r="H296" s="18" t="str">
        <f ca="1">IFERROR(__xludf.DUMMYFUNCTION("""COMPUTED_VALUE"""),"N/A")</f>
        <v>N/A</v>
      </c>
      <c r="I296" s="18" t="str">
        <f ca="1">IFERROR(__xludf.DUMMYFUNCTION("""COMPUTED_VALUE"""),"3600")</f>
        <v>3600</v>
      </c>
      <c r="J296" s="18" t="str">
        <f ca="1">IFERROR(__xludf.DUMMYFUNCTION("""COMPUTED_VALUE"""),"0")</f>
        <v>0</v>
      </c>
      <c r="K296" s="18" t="str">
        <f ca="1">IFERROR(__xludf.DUMMYFUNCTION("""COMPUTED_VALUE"""),"N/A")</f>
        <v>N/A</v>
      </c>
      <c r="L296" s="18" t="str">
        <f ca="1">IFERROR(__xludf.DUMMYFUNCTION("""COMPUTED_VALUE"""),"N/A")</f>
        <v>N/A</v>
      </c>
      <c r="M296" s="18" t="str">
        <f ca="1">IFERROR(__xludf.DUMMYFUNCTION("""COMPUTED_VALUE"""),"N/A")</f>
        <v>N/A</v>
      </c>
      <c r="N296" s="18" t="str">
        <f ca="1">IFERROR(__xludf.DUMMYFUNCTION("""COMPUTED_VALUE"""),"N/A")</f>
        <v>N/A</v>
      </c>
      <c r="O296" s="18" t="str">
        <f ca="1">IFERROR(__xludf.DUMMYFUNCTION("""COMPUTED_VALUE"""),"N/A")</f>
        <v>N/A</v>
      </c>
      <c r="P296" s="18" t="str">
        <f ca="1">IFERROR(__xludf.DUMMYFUNCTION("""COMPUTED_VALUE"""),"N/A")</f>
        <v>N/A</v>
      </c>
      <c r="Q296" s="18" t="str">
        <f ca="1">IFERROR(__xludf.DUMMYFUNCTION("""COMPUTED_VALUE"""),"N/A")</f>
        <v>N/A</v>
      </c>
      <c r="R296" s="18" t="str">
        <f ca="1">IFERROR(__xludf.DUMMYFUNCTION("""COMPUTED_VALUE"""),"N/A")</f>
        <v>N/A</v>
      </c>
      <c r="S296" s="18" t="str">
        <f ca="1">IFERROR(__xludf.DUMMYFUNCTION("""COMPUTED_VALUE"""),"null")</f>
        <v>null</v>
      </c>
      <c r="T296" s="18" t="str">
        <f ca="1">IFERROR(__xludf.DUMMYFUNCTION("""COMPUTED_VALUE"""),"0x0001")</f>
        <v>0x0001</v>
      </c>
      <c r="U296" s="18" t="str">
        <f ca="1">IFERROR(__xludf.DUMMYFUNCTION("""COMPUTED_VALUE"""),"0x0A")</f>
        <v>0x0A</v>
      </c>
      <c r="V296" s="18" t="str">
        <f ca="1">IFERROR(__xludf.DUMMYFUNCTION("""COMPUTED_VALUE"""),"0x0104")</f>
        <v>0x0104</v>
      </c>
      <c r="W296" s="18" t="str">
        <f ca="1">IFERROR(__xludf.DUMMYFUNCTION("""COMPUTED_VALUE"""),"0xFC07")</f>
        <v>0xFC07</v>
      </c>
      <c r="X296" s="18" t="str">
        <f ca="1">IFERROR(__xludf.DUMMYFUNCTION("""COMPUTED_VALUE"""),"0x10")</f>
        <v>0x10</v>
      </c>
      <c r="Y296" s="18" t="e">
        <f ca="1"/>
        <v>#NAME?</v>
      </c>
      <c r="Z296" s="18" t="str">
        <f ca="1">IFERROR(__xludf.DUMMYFUNCTION("""COMPUTED_VALUE"""),"N/A")</f>
        <v>N/A</v>
      </c>
      <c r="AA296" s="18" t="str">
        <f ca="1">IFERROR(__xludf.DUMMYFUNCTION("""COMPUTED_VALUE"""),"N/A")</f>
        <v>N/A</v>
      </c>
      <c r="AC296" s="59" t="s">
        <v>1481</v>
      </c>
      <c r="AD296" s="59" t="s">
        <v>1425</v>
      </c>
      <c r="AE296" s="59" t="s">
        <v>1447</v>
      </c>
      <c r="AF296" s="59" t="s">
        <v>1453</v>
      </c>
      <c r="AG296" s="59" t="s">
        <v>1459</v>
      </c>
      <c r="AH296" s="59" t="s">
        <v>1482</v>
      </c>
      <c r="AI296" s="59" t="s">
        <v>1488</v>
      </c>
      <c r="AJ296" s="59" t="s">
        <v>1488</v>
      </c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</row>
    <row r="297" spans="1:46" x14ac:dyDescent="0.25">
      <c r="A297" s="18" t="str">
        <v>make_up_room:{"type":"attribute","data_type":"bool","is_readonly":false,"reporting_type":"reported","report_max":3600,"report_min":0,"default_value":null,"zigbee_metadata":{"attr_id":2,"endpoint_id":10,"profile_id":260,"cluster_id":64519,"zcl_data_type":16}},</v>
      </c>
      <c r="B297" s="52" t="str">
        <f ca="1"/>
        <v>0xFC07 0x0002</v>
      </c>
      <c r="C297" s="52" t="str">
        <f ca="1">IFERROR(__xludf.DUMMYFUNCTION("""COMPUTED_VALUE"""),"make_up_room")</f>
        <v>make_up_room</v>
      </c>
      <c r="D297" s="18" t="str">
        <f ca="1">IFERROR(__xludf.DUMMYFUNCTION("""COMPUTED_VALUE"""),"attribute")</f>
        <v>attribute</v>
      </c>
      <c r="E297" s="18" t="str">
        <f ca="1">IFERROR(__xludf.DUMMYFUNCTION("""COMPUTED_VALUE"""),"bool")</f>
        <v>bool</v>
      </c>
      <c r="F297" s="18" t="str">
        <f ca="1">IFERROR(__xludf.DUMMYFUNCTION("""COMPUTED_VALUE"""),"false")</f>
        <v>false</v>
      </c>
      <c r="G297" s="18" t="str">
        <f ca="1">IFERROR(__xludf.DUMMYFUNCTION("""COMPUTED_VALUE"""),"reported")</f>
        <v>reported</v>
      </c>
      <c r="H297" s="18" t="str">
        <f ca="1">IFERROR(__xludf.DUMMYFUNCTION("""COMPUTED_VALUE"""),"N/A")</f>
        <v>N/A</v>
      </c>
      <c r="I297" s="18" t="str">
        <f ca="1">IFERROR(__xludf.DUMMYFUNCTION("""COMPUTED_VALUE"""),"3600")</f>
        <v>3600</v>
      </c>
      <c r="J297" s="18" t="str">
        <f ca="1">IFERROR(__xludf.DUMMYFUNCTION("""COMPUTED_VALUE"""),"0")</f>
        <v>0</v>
      </c>
      <c r="K297" s="18" t="str">
        <f ca="1">IFERROR(__xludf.DUMMYFUNCTION("""COMPUTED_VALUE"""),"N/A")</f>
        <v>N/A</v>
      </c>
      <c r="L297" s="18" t="str">
        <f ca="1">IFERROR(__xludf.DUMMYFUNCTION("""COMPUTED_VALUE"""),"N/A")</f>
        <v>N/A</v>
      </c>
      <c r="M297" s="18" t="str">
        <f ca="1">IFERROR(__xludf.DUMMYFUNCTION("""COMPUTED_VALUE"""),"N/A")</f>
        <v>N/A</v>
      </c>
      <c r="N297" s="18" t="str">
        <f ca="1">IFERROR(__xludf.DUMMYFUNCTION("""COMPUTED_VALUE"""),"N/A")</f>
        <v>N/A</v>
      </c>
      <c r="O297" s="18" t="str">
        <f ca="1">IFERROR(__xludf.DUMMYFUNCTION("""COMPUTED_VALUE"""),"N/A")</f>
        <v>N/A</v>
      </c>
      <c r="P297" s="18" t="str">
        <f ca="1">IFERROR(__xludf.DUMMYFUNCTION("""COMPUTED_VALUE"""),"N/A")</f>
        <v>N/A</v>
      </c>
      <c r="Q297" s="18" t="str">
        <f ca="1">IFERROR(__xludf.DUMMYFUNCTION("""COMPUTED_VALUE"""),"N/A")</f>
        <v>N/A</v>
      </c>
      <c r="R297" s="18" t="str">
        <f ca="1">IFERROR(__xludf.DUMMYFUNCTION("""COMPUTED_VALUE"""),"N/A")</f>
        <v>N/A</v>
      </c>
      <c r="S297" s="18" t="str">
        <f ca="1">IFERROR(__xludf.DUMMYFUNCTION("""COMPUTED_VALUE"""),"null")</f>
        <v>null</v>
      </c>
      <c r="T297" s="18" t="str">
        <f ca="1">IFERROR(__xludf.DUMMYFUNCTION("""COMPUTED_VALUE"""),"0x0002")</f>
        <v>0x0002</v>
      </c>
      <c r="U297" s="18" t="str">
        <f ca="1">IFERROR(__xludf.DUMMYFUNCTION("""COMPUTED_VALUE"""),"0x0A")</f>
        <v>0x0A</v>
      </c>
      <c r="V297" s="18" t="str">
        <f ca="1">IFERROR(__xludf.DUMMYFUNCTION("""COMPUTED_VALUE"""),"0x0104")</f>
        <v>0x0104</v>
      </c>
      <c r="W297" s="18" t="str">
        <f ca="1">IFERROR(__xludf.DUMMYFUNCTION("""COMPUTED_VALUE"""),"0xFC07")</f>
        <v>0xFC07</v>
      </c>
      <c r="X297" s="18" t="str">
        <f ca="1">IFERROR(__xludf.DUMMYFUNCTION("""COMPUTED_VALUE"""),"0x10")</f>
        <v>0x10</v>
      </c>
      <c r="Y297" s="18" t="e">
        <f ca="1"/>
        <v>#NAME?</v>
      </c>
      <c r="Z297" s="18" t="str">
        <f ca="1">IFERROR(__xludf.DUMMYFUNCTION("""COMPUTED_VALUE"""),"N/A")</f>
        <v>N/A</v>
      </c>
      <c r="AA297" s="18" t="str">
        <f ca="1">IFERROR(__xludf.DUMMYFUNCTION("""COMPUTED_VALUE"""),"N/A")</f>
        <v>N/A</v>
      </c>
      <c r="AC297" s="59" t="s">
        <v>1487</v>
      </c>
      <c r="AD297" s="59" t="s">
        <v>1429</v>
      </c>
      <c r="AE297" s="59" t="s">
        <v>1450</v>
      </c>
      <c r="AF297" s="59" t="s">
        <v>1455</v>
      </c>
      <c r="AG297" s="59" t="s">
        <v>1461</v>
      </c>
      <c r="AH297" s="59" t="s">
        <v>1488</v>
      </c>
      <c r="AI297" s="59" t="s">
        <v>1494</v>
      </c>
      <c r="AJ297" s="59" t="s">
        <v>1494</v>
      </c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</row>
    <row r="298" spans="1:46" x14ac:dyDescent="0.25">
      <c r="A298" s="18" t="str">
        <v>dnd_contacts:{"type":"telemetry","data_type":"uint8","is_readonly":true,"reporting_type":"diagnostic","zigbee_metadata":{"attr_id":3,"endpoint_id":10,"profile_id":260,"cluster_id":64519,"zcl_data_type":24}},</v>
      </c>
      <c r="B298" s="52" t="str">
        <f ca="1"/>
        <v>0xFC07 0x0003</v>
      </c>
      <c r="C298" s="52" t="str">
        <f ca="1">IFERROR(__xludf.DUMMYFUNCTION("""COMPUTED_VALUE"""),"dnd_contacts")</f>
        <v>dnd_contacts</v>
      </c>
      <c r="D298" s="18" t="str">
        <f ca="1">IFERROR(__xludf.DUMMYFUNCTION("""COMPUTED_VALUE"""),"telemetry")</f>
        <v>telemetry</v>
      </c>
      <c r="E298" s="18" t="str">
        <f ca="1">IFERROR(__xludf.DUMMYFUNCTION("""COMPUTED_VALUE"""),"uint8")</f>
        <v>uint8</v>
      </c>
      <c r="F298" s="18" t="str">
        <f ca="1">IFERROR(__xludf.DUMMYFUNCTION("""COMPUTED_VALUE"""),"true")</f>
        <v>true</v>
      </c>
      <c r="G298" s="18" t="str">
        <f ca="1">IFERROR(__xludf.DUMMYFUNCTION("""COMPUTED_VALUE"""),"diagnostic")</f>
        <v>diagnostic</v>
      </c>
      <c r="H298" s="18" t="str">
        <f ca="1">IFERROR(__xludf.DUMMYFUNCTION("""COMPUTED_VALUE"""),"N/A")</f>
        <v>N/A</v>
      </c>
      <c r="I298" s="18" t="str">
        <f ca="1">IFERROR(__xludf.DUMMYFUNCTION("""COMPUTED_VALUE"""),"N/A")</f>
        <v>N/A</v>
      </c>
      <c r="J298" s="18" t="str">
        <f ca="1">IFERROR(__xludf.DUMMYFUNCTION("""COMPUTED_VALUE"""),"N/A")</f>
        <v>N/A</v>
      </c>
      <c r="K298" s="18" t="str">
        <f ca="1">IFERROR(__xludf.DUMMYFUNCTION("""COMPUTED_VALUE"""),"N/A")</f>
        <v>N/A</v>
      </c>
      <c r="L298" s="18" t="str">
        <f ca="1">IFERROR(__xludf.DUMMYFUNCTION("""COMPUTED_VALUE"""),"N/A")</f>
        <v>N/A</v>
      </c>
      <c r="M298" s="18" t="str">
        <f ca="1">IFERROR(__xludf.DUMMYFUNCTION("""COMPUTED_VALUE"""),"N/A")</f>
        <v>N/A</v>
      </c>
      <c r="N298" s="18" t="str">
        <f ca="1">IFERROR(__xludf.DUMMYFUNCTION("""COMPUTED_VALUE"""),"N/A")</f>
        <v>N/A</v>
      </c>
      <c r="O298" s="18" t="str">
        <f ca="1">IFERROR(__xludf.DUMMYFUNCTION("""COMPUTED_VALUE"""),"N/A")</f>
        <v>N/A</v>
      </c>
      <c r="P298" s="18" t="str">
        <f ca="1">IFERROR(__xludf.DUMMYFUNCTION("""COMPUTED_VALUE"""),"N/A")</f>
        <v>N/A</v>
      </c>
      <c r="Q298" s="18" t="str">
        <f ca="1">IFERROR(__xludf.DUMMYFUNCTION("""COMPUTED_VALUE"""),"N/A")</f>
        <v>N/A</v>
      </c>
      <c r="R298" s="18" t="str">
        <f ca="1">IFERROR(__xludf.DUMMYFUNCTION("""COMPUTED_VALUE"""),"N/A")</f>
        <v>N/A</v>
      </c>
      <c r="S298" s="18" t="str">
        <f ca="1">IFERROR(__xludf.DUMMYFUNCTION("""COMPUTED_VALUE"""),"N/A")</f>
        <v>N/A</v>
      </c>
      <c r="T298" s="18" t="str">
        <f ca="1">IFERROR(__xludf.DUMMYFUNCTION("""COMPUTED_VALUE"""),"0x0003")</f>
        <v>0x0003</v>
      </c>
      <c r="U298" s="18" t="str">
        <f ca="1">IFERROR(__xludf.DUMMYFUNCTION("""COMPUTED_VALUE"""),"0x0A")</f>
        <v>0x0A</v>
      </c>
      <c r="V298" s="18" t="str">
        <f ca="1">IFERROR(__xludf.DUMMYFUNCTION("""COMPUTED_VALUE"""),"0x0104")</f>
        <v>0x0104</v>
      </c>
      <c r="W298" s="18" t="str">
        <f ca="1">IFERROR(__xludf.DUMMYFUNCTION("""COMPUTED_VALUE"""),"0xFC07")</f>
        <v>0xFC07</v>
      </c>
      <c r="X298" s="18" t="str">
        <f ca="1">IFERROR(__xludf.DUMMYFUNCTION("""COMPUTED_VALUE"""),"0x18")</f>
        <v>0x18</v>
      </c>
      <c r="Y298" s="18" t="e">
        <f ca="1"/>
        <v>#NAME?</v>
      </c>
      <c r="Z298" s="18" t="str">
        <f ca="1">IFERROR(__xludf.DUMMYFUNCTION("""COMPUTED_VALUE"""),"N/A")</f>
        <v>N/A</v>
      </c>
      <c r="AA298" s="18" t="str">
        <f ca="1">IFERROR(__xludf.DUMMYFUNCTION("""COMPUTED_VALUE"""),"N/A")</f>
        <v>N/A</v>
      </c>
      <c r="AC298" s="59" t="s">
        <v>1493</v>
      </c>
      <c r="AD298" s="59" t="s">
        <v>1432</v>
      </c>
      <c r="AE298" s="59" t="s">
        <v>1453</v>
      </c>
      <c r="AF298" s="59" t="s">
        <v>1457</v>
      </c>
      <c r="AG298" s="59" t="s">
        <v>1463</v>
      </c>
      <c r="AH298" s="59" t="s">
        <v>1494</v>
      </c>
      <c r="AI298" s="59" t="s">
        <v>1500</v>
      </c>
      <c r="AJ298" s="59" t="s">
        <v>1500</v>
      </c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</row>
    <row r="299" spans="1:46" x14ac:dyDescent="0.25">
      <c r="A299" s="18" t="str">
        <v>mur_contacts:{"type":"telemetry","data_type":"uint8","is_readonly":true,"reporting_type":"diagnostic","zigbee_metadata":{"attr_id":4,"endpoint_id":10,"profile_id":260,"cluster_id":64519,"zcl_data_type":24}},</v>
      </c>
      <c r="B299" s="52" t="str">
        <f ca="1"/>
        <v>0xFC07 0x0004</v>
      </c>
      <c r="C299" s="52" t="str">
        <f ca="1">IFERROR(__xludf.DUMMYFUNCTION("""COMPUTED_VALUE"""),"mur_contacts")</f>
        <v>mur_contacts</v>
      </c>
      <c r="D299" s="18" t="str">
        <f ca="1">IFERROR(__xludf.DUMMYFUNCTION("""COMPUTED_VALUE"""),"telemetry")</f>
        <v>telemetry</v>
      </c>
      <c r="E299" s="18" t="str">
        <f ca="1">IFERROR(__xludf.DUMMYFUNCTION("""COMPUTED_VALUE"""),"uint8")</f>
        <v>uint8</v>
      </c>
      <c r="F299" s="18" t="str">
        <f ca="1">IFERROR(__xludf.DUMMYFUNCTION("""COMPUTED_VALUE"""),"true")</f>
        <v>true</v>
      </c>
      <c r="G299" s="18" t="str">
        <f ca="1">IFERROR(__xludf.DUMMYFUNCTION("""COMPUTED_VALUE"""),"diagnostic")</f>
        <v>diagnostic</v>
      </c>
      <c r="H299" s="18" t="str">
        <f ca="1">IFERROR(__xludf.DUMMYFUNCTION("""COMPUTED_VALUE"""),"N/A")</f>
        <v>N/A</v>
      </c>
      <c r="I299" s="18" t="str">
        <f ca="1">IFERROR(__xludf.DUMMYFUNCTION("""COMPUTED_VALUE"""),"N/A")</f>
        <v>N/A</v>
      </c>
      <c r="J299" s="18" t="str">
        <f ca="1">IFERROR(__xludf.DUMMYFUNCTION("""COMPUTED_VALUE"""),"N/A")</f>
        <v>N/A</v>
      </c>
      <c r="K299" s="18" t="str">
        <f ca="1">IFERROR(__xludf.DUMMYFUNCTION("""COMPUTED_VALUE"""),"N/A")</f>
        <v>N/A</v>
      </c>
      <c r="L299" s="18" t="str">
        <f ca="1">IFERROR(__xludf.DUMMYFUNCTION("""COMPUTED_VALUE"""),"N/A")</f>
        <v>N/A</v>
      </c>
      <c r="M299" s="18" t="str">
        <f ca="1">IFERROR(__xludf.DUMMYFUNCTION("""COMPUTED_VALUE"""),"N/A")</f>
        <v>N/A</v>
      </c>
      <c r="N299" s="18" t="str">
        <f ca="1">IFERROR(__xludf.DUMMYFUNCTION("""COMPUTED_VALUE"""),"N/A")</f>
        <v>N/A</v>
      </c>
      <c r="O299" s="18" t="str">
        <f ca="1">IFERROR(__xludf.DUMMYFUNCTION("""COMPUTED_VALUE"""),"N/A")</f>
        <v>N/A</v>
      </c>
      <c r="P299" s="18" t="str">
        <f ca="1">IFERROR(__xludf.DUMMYFUNCTION("""COMPUTED_VALUE"""),"N/A")</f>
        <v>N/A</v>
      </c>
      <c r="Q299" s="18" t="str">
        <f ca="1">IFERROR(__xludf.DUMMYFUNCTION("""COMPUTED_VALUE"""),"N/A")</f>
        <v>N/A</v>
      </c>
      <c r="R299" s="18" t="str">
        <f ca="1">IFERROR(__xludf.DUMMYFUNCTION("""COMPUTED_VALUE"""),"N/A")</f>
        <v>N/A</v>
      </c>
      <c r="S299" s="18" t="str">
        <f ca="1">IFERROR(__xludf.DUMMYFUNCTION("""COMPUTED_VALUE"""),"N/A")</f>
        <v>N/A</v>
      </c>
      <c r="T299" s="18" t="str">
        <f ca="1">IFERROR(__xludf.DUMMYFUNCTION("""COMPUTED_VALUE"""),"0x0004")</f>
        <v>0x0004</v>
      </c>
      <c r="U299" s="18" t="str">
        <f ca="1">IFERROR(__xludf.DUMMYFUNCTION("""COMPUTED_VALUE"""),"0x0A")</f>
        <v>0x0A</v>
      </c>
      <c r="V299" s="18" t="str">
        <f ca="1">IFERROR(__xludf.DUMMYFUNCTION("""COMPUTED_VALUE"""),"0x0104")</f>
        <v>0x0104</v>
      </c>
      <c r="W299" s="18" t="str">
        <f ca="1">IFERROR(__xludf.DUMMYFUNCTION("""COMPUTED_VALUE"""),"0xFC07")</f>
        <v>0xFC07</v>
      </c>
      <c r="X299" s="18" t="str">
        <f ca="1">IFERROR(__xludf.DUMMYFUNCTION("""COMPUTED_VALUE"""),"0x18")</f>
        <v>0x18</v>
      </c>
      <c r="Y299" s="18" t="e">
        <f ca="1"/>
        <v>#NAME?</v>
      </c>
      <c r="Z299" s="18" t="str">
        <f ca="1">IFERROR(__xludf.DUMMYFUNCTION("""COMPUTED_VALUE"""),"N/A")</f>
        <v>N/A</v>
      </c>
      <c r="AA299" s="18" t="str">
        <f ca="1">IFERROR(__xludf.DUMMYFUNCTION("""COMPUTED_VALUE"""),"N/A")</f>
        <v>N/A</v>
      </c>
      <c r="AC299" s="59" t="s">
        <v>1499</v>
      </c>
      <c r="AD299" s="59" t="s">
        <v>1435</v>
      </c>
      <c r="AE299" s="59" t="s">
        <v>1455</v>
      </c>
      <c r="AF299" s="59" t="s">
        <v>1459</v>
      </c>
      <c r="AG299" s="59" t="s">
        <v>1465</v>
      </c>
      <c r="AH299" s="59" t="s">
        <v>1500</v>
      </c>
      <c r="AI299" s="59" t="s">
        <v>1506</v>
      </c>
      <c r="AJ299" s="59" t="s">
        <v>1506</v>
      </c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</row>
    <row r="300" spans="1:46" x14ac:dyDescent="0.25">
      <c r="A300" s="18" t="str">
        <v>dnd_contacts_active:{"type":"telemetry","data_type":"uint8","is_readonly":true,"reporting_type":"diagnostic","zigbee_metadata":{"attr_id":5,"endpoint_id":10,"profile_id":260,"cluster_id":64519,"zcl_data_type":24}},</v>
      </c>
      <c r="B300" s="52" t="str">
        <f ca="1"/>
        <v>0xFC07 0x0005</v>
      </c>
      <c r="C300" s="52" t="str">
        <f ca="1">IFERROR(__xludf.DUMMYFUNCTION("""COMPUTED_VALUE"""),"dnd_contacts_active")</f>
        <v>dnd_contacts_active</v>
      </c>
      <c r="D300" s="18" t="str">
        <f ca="1">IFERROR(__xludf.DUMMYFUNCTION("""COMPUTED_VALUE"""),"telemetry")</f>
        <v>telemetry</v>
      </c>
      <c r="E300" s="18" t="str">
        <f ca="1">IFERROR(__xludf.DUMMYFUNCTION("""COMPUTED_VALUE"""),"uint8")</f>
        <v>uint8</v>
      </c>
      <c r="F300" s="18" t="str">
        <f ca="1">IFERROR(__xludf.DUMMYFUNCTION("""COMPUTED_VALUE"""),"true")</f>
        <v>true</v>
      </c>
      <c r="G300" s="18" t="str">
        <f ca="1">IFERROR(__xludf.DUMMYFUNCTION("""COMPUTED_VALUE"""),"diagnostic")</f>
        <v>diagnostic</v>
      </c>
      <c r="H300" s="18" t="str">
        <f ca="1">IFERROR(__xludf.DUMMYFUNCTION("""COMPUTED_VALUE"""),"N/A")</f>
        <v>N/A</v>
      </c>
      <c r="I300" s="18" t="str">
        <f ca="1">IFERROR(__xludf.DUMMYFUNCTION("""COMPUTED_VALUE"""),"N/A")</f>
        <v>N/A</v>
      </c>
      <c r="J300" s="18" t="str">
        <f ca="1">IFERROR(__xludf.DUMMYFUNCTION("""COMPUTED_VALUE"""),"N/A")</f>
        <v>N/A</v>
      </c>
      <c r="K300" s="18" t="str">
        <f ca="1">IFERROR(__xludf.DUMMYFUNCTION("""COMPUTED_VALUE"""),"N/A")</f>
        <v>N/A</v>
      </c>
      <c r="L300" s="18" t="str">
        <f ca="1">IFERROR(__xludf.DUMMYFUNCTION("""COMPUTED_VALUE"""),"N/A")</f>
        <v>N/A</v>
      </c>
      <c r="M300" s="18" t="str">
        <f ca="1">IFERROR(__xludf.DUMMYFUNCTION("""COMPUTED_VALUE"""),"N/A")</f>
        <v>N/A</v>
      </c>
      <c r="N300" s="18" t="str">
        <f ca="1">IFERROR(__xludf.DUMMYFUNCTION("""COMPUTED_VALUE"""),"N/A")</f>
        <v>N/A</v>
      </c>
      <c r="O300" s="18" t="str">
        <f ca="1">IFERROR(__xludf.DUMMYFUNCTION("""COMPUTED_VALUE"""),"N/A")</f>
        <v>N/A</v>
      </c>
      <c r="P300" s="18" t="str">
        <f ca="1">IFERROR(__xludf.DUMMYFUNCTION("""COMPUTED_VALUE"""),"N/A")</f>
        <v>N/A</v>
      </c>
      <c r="Q300" s="18" t="str">
        <f ca="1">IFERROR(__xludf.DUMMYFUNCTION("""COMPUTED_VALUE"""),"N/A")</f>
        <v>N/A</v>
      </c>
      <c r="R300" s="18" t="str">
        <f ca="1">IFERROR(__xludf.DUMMYFUNCTION("""COMPUTED_VALUE"""),"N/A")</f>
        <v>N/A</v>
      </c>
      <c r="S300" s="18" t="str">
        <f ca="1">IFERROR(__xludf.DUMMYFUNCTION("""COMPUTED_VALUE"""),"N/A")</f>
        <v>N/A</v>
      </c>
      <c r="T300" s="18" t="str">
        <f ca="1">IFERROR(__xludf.DUMMYFUNCTION("""COMPUTED_VALUE"""),"0x0005")</f>
        <v>0x0005</v>
      </c>
      <c r="U300" s="18" t="str">
        <f ca="1">IFERROR(__xludf.DUMMYFUNCTION("""COMPUTED_VALUE"""),"0x0A")</f>
        <v>0x0A</v>
      </c>
      <c r="V300" s="18" t="str">
        <f ca="1">IFERROR(__xludf.DUMMYFUNCTION("""COMPUTED_VALUE"""),"0x0104")</f>
        <v>0x0104</v>
      </c>
      <c r="W300" s="18" t="str">
        <f ca="1">IFERROR(__xludf.DUMMYFUNCTION("""COMPUTED_VALUE"""),"0xFC07")</f>
        <v>0xFC07</v>
      </c>
      <c r="X300" s="18" t="str">
        <f ca="1">IFERROR(__xludf.DUMMYFUNCTION("""COMPUTED_VALUE"""),"0x18")</f>
        <v>0x18</v>
      </c>
      <c r="Y300" s="18" t="e">
        <f ca="1"/>
        <v>#NAME?</v>
      </c>
      <c r="Z300" s="18" t="str">
        <f ca="1">IFERROR(__xludf.DUMMYFUNCTION("""COMPUTED_VALUE"""),"N/A")</f>
        <v>N/A</v>
      </c>
      <c r="AA300" s="18" t="str">
        <f ca="1">IFERROR(__xludf.DUMMYFUNCTION("""COMPUTED_VALUE"""),"N/A")</f>
        <v>N/A</v>
      </c>
      <c r="AC300" s="59" t="s">
        <v>1505</v>
      </c>
      <c r="AD300" s="59" t="s">
        <v>1438</v>
      </c>
      <c r="AE300" s="59" t="s">
        <v>1457</v>
      </c>
      <c r="AF300" s="59" t="s">
        <v>1461</v>
      </c>
      <c r="AG300" s="59" t="s">
        <v>1468</v>
      </c>
      <c r="AH300" s="59" t="s">
        <v>1506</v>
      </c>
      <c r="AI300" s="59" t="s">
        <v>1511</v>
      </c>
      <c r="AJ300" s="59" t="s">
        <v>1511</v>
      </c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</row>
    <row r="301" spans="1:46" x14ac:dyDescent="0.25">
      <c r="A301" s="18" t="str">
        <v>mur_contacts_active:{"type":"telemetry","data_type":"uint8","is_readonly":true,"reporting_type":"diagnostic","zigbee_metadata":{"attr_id":6,"endpoint_id":10,"profile_id":260,"cluster_id":64519,"zcl_data_type":24}},</v>
      </c>
      <c r="B301" s="52" t="str">
        <f ca="1"/>
        <v>0xFC07 0x0006</v>
      </c>
      <c r="C301" s="52" t="str">
        <f ca="1">IFERROR(__xludf.DUMMYFUNCTION("""COMPUTED_VALUE"""),"mur_contacts_active")</f>
        <v>mur_contacts_active</v>
      </c>
      <c r="D301" s="18" t="str">
        <f ca="1">IFERROR(__xludf.DUMMYFUNCTION("""COMPUTED_VALUE"""),"telemetry")</f>
        <v>telemetry</v>
      </c>
      <c r="E301" s="18" t="str">
        <f ca="1">IFERROR(__xludf.DUMMYFUNCTION("""COMPUTED_VALUE"""),"uint8")</f>
        <v>uint8</v>
      </c>
      <c r="F301" s="18" t="str">
        <f ca="1">IFERROR(__xludf.DUMMYFUNCTION("""COMPUTED_VALUE"""),"true")</f>
        <v>true</v>
      </c>
      <c r="G301" s="18" t="str">
        <f ca="1">IFERROR(__xludf.DUMMYFUNCTION("""COMPUTED_VALUE"""),"diagnostic")</f>
        <v>diagnostic</v>
      </c>
      <c r="H301" s="18" t="str">
        <f ca="1">IFERROR(__xludf.DUMMYFUNCTION("""COMPUTED_VALUE"""),"N/A")</f>
        <v>N/A</v>
      </c>
      <c r="I301" s="18" t="str">
        <f ca="1">IFERROR(__xludf.DUMMYFUNCTION("""COMPUTED_VALUE"""),"N/A")</f>
        <v>N/A</v>
      </c>
      <c r="J301" s="18" t="str">
        <f ca="1">IFERROR(__xludf.DUMMYFUNCTION("""COMPUTED_VALUE"""),"N/A")</f>
        <v>N/A</v>
      </c>
      <c r="K301" s="18" t="str">
        <f ca="1">IFERROR(__xludf.DUMMYFUNCTION("""COMPUTED_VALUE"""),"N/A")</f>
        <v>N/A</v>
      </c>
      <c r="L301" s="18" t="str">
        <f ca="1">IFERROR(__xludf.DUMMYFUNCTION("""COMPUTED_VALUE"""),"N/A")</f>
        <v>N/A</v>
      </c>
      <c r="M301" s="18" t="str">
        <f ca="1">IFERROR(__xludf.DUMMYFUNCTION("""COMPUTED_VALUE"""),"N/A")</f>
        <v>N/A</v>
      </c>
      <c r="N301" s="18" t="str">
        <f ca="1">IFERROR(__xludf.DUMMYFUNCTION("""COMPUTED_VALUE"""),"N/A")</f>
        <v>N/A</v>
      </c>
      <c r="O301" s="18" t="str">
        <f ca="1">IFERROR(__xludf.DUMMYFUNCTION("""COMPUTED_VALUE"""),"N/A")</f>
        <v>N/A</v>
      </c>
      <c r="P301" s="18" t="str">
        <f ca="1">IFERROR(__xludf.DUMMYFUNCTION("""COMPUTED_VALUE"""),"N/A")</f>
        <v>N/A</v>
      </c>
      <c r="Q301" s="18" t="str">
        <f ca="1">IFERROR(__xludf.DUMMYFUNCTION("""COMPUTED_VALUE"""),"N/A")</f>
        <v>N/A</v>
      </c>
      <c r="R301" s="18" t="str">
        <f ca="1">IFERROR(__xludf.DUMMYFUNCTION("""COMPUTED_VALUE"""),"N/A")</f>
        <v>N/A</v>
      </c>
      <c r="S301" s="18" t="str">
        <f ca="1">IFERROR(__xludf.DUMMYFUNCTION("""COMPUTED_VALUE"""),"N/A")</f>
        <v>N/A</v>
      </c>
      <c r="T301" s="18" t="str">
        <f ca="1">IFERROR(__xludf.DUMMYFUNCTION("""COMPUTED_VALUE"""),"0x0006")</f>
        <v>0x0006</v>
      </c>
      <c r="U301" s="18" t="str">
        <f ca="1">IFERROR(__xludf.DUMMYFUNCTION("""COMPUTED_VALUE"""),"0x0A")</f>
        <v>0x0A</v>
      </c>
      <c r="V301" s="18" t="str">
        <f ca="1">IFERROR(__xludf.DUMMYFUNCTION("""COMPUTED_VALUE"""),"0x0104")</f>
        <v>0x0104</v>
      </c>
      <c r="W301" s="18" t="str">
        <f ca="1">IFERROR(__xludf.DUMMYFUNCTION("""COMPUTED_VALUE"""),"0xFC07")</f>
        <v>0xFC07</v>
      </c>
      <c r="X301" s="18" t="str">
        <f ca="1">IFERROR(__xludf.DUMMYFUNCTION("""COMPUTED_VALUE"""),"0x18")</f>
        <v>0x18</v>
      </c>
      <c r="Y301" s="18" t="e">
        <f ca="1"/>
        <v>#NAME?</v>
      </c>
      <c r="Z301" s="18" t="str">
        <f ca="1">IFERROR(__xludf.DUMMYFUNCTION("""COMPUTED_VALUE"""),"N/A")</f>
        <v>N/A</v>
      </c>
      <c r="AA301" s="18" t="str">
        <f ca="1">IFERROR(__xludf.DUMMYFUNCTION("""COMPUTED_VALUE"""),"N/A")</f>
        <v>N/A</v>
      </c>
      <c r="AC301" s="59" t="s">
        <v>1510</v>
      </c>
      <c r="AD301" s="59" t="s">
        <v>1441</v>
      </c>
      <c r="AE301" s="59" t="s">
        <v>1459</v>
      </c>
      <c r="AF301" s="59" t="s">
        <v>1463</v>
      </c>
      <c r="AG301" s="59" t="s">
        <v>1472</v>
      </c>
      <c r="AH301" s="59" t="s">
        <v>1511</v>
      </c>
      <c r="AI301" s="59" t="s">
        <v>1516</v>
      </c>
      <c r="AJ301" s="59" t="s">
        <v>1516</v>
      </c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</row>
    <row r="302" spans="1:46" x14ac:dyDescent="0.25">
      <c r="A302" s="18" t="str">
        <v>green_mode_active:{"type":"attribute","data_type":"bool","is_readonly":false,"reporting_type":"reported","report_max":3600,"report_min":0,"default_value":null,"zigbee_metadata":{"attr_id":7,"endpoint_id":10,"profile_id":260,"cluster_id":64519,"zcl_data_type":16}},</v>
      </c>
      <c r="B302" s="52" t="str">
        <f ca="1"/>
        <v>0xFC07 0x0007</v>
      </c>
      <c r="C302" s="52" t="str">
        <f ca="1">IFERROR(__xludf.DUMMYFUNCTION("""COMPUTED_VALUE"""),"green_mode_active")</f>
        <v>green_mode_active</v>
      </c>
      <c r="D302" s="18" t="str">
        <f ca="1">IFERROR(__xludf.DUMMYFUNCTION("""COMPUTED_VALUE"""),"attribute")</f>
        <v>attribute</v>
      </c>
      <c r="E302" s="18" t="str">
        <f ca="1">IFERROR(__xludf.DUMMYFUNCTION("""COMPUTED_VALUE"""),"bool")</f>
        <v>bool</v>
      </c>
      <c r="F302" s="18" t="str">
        <f ca="1">IFERROR(__xludf.DUMMYFUNCTION("""COMPUTED_VALUE"""),"false")</f>
        <v>false</v>
      </c>
      <c r="G302" s="18" t="str">
        <f ca="1">IFERROR(__xludf.DUMMYFUNCTION("""COMPUTED_VALUE"""),"reported")</f>
        <v>reported</v>
      </c>
      <c r="H302" s="18" t="str">
        <f ca="1">IFERROR(__xludf.DUMMYFUNCTION("""COMPUTED_VALUE"""),"N/A")</f>
        <v>N/A</v>
      </c>
      <c r="I302" s="18" t="str">
        <f ca="1">IFERROR(__xludf.DUMMYFUNCTION("""COMPUTED_VALUE"""),"3600")</f>
        <v>3600</v>
      </c>
      <c r="J302" s="18" t="str">
        <f ca="1">IFERROR(__xludf.DUMMYFUNCTION("""COMPUTED_VALUE"""),"0")</f>
        <v>0</v>
      </c>
      <c r="K302" s="18" t="str">
        <f ca="1">IFERROR(__xludf.DUMMYFUNCTION("""COMPUTED_VALUE"""),"N/A")</f>
        <v>N/A</v>
      </c>
      <c r="L302" s="18" t="str">
        <f ca="1">IFERROR(__xludf.DUMMYFUNCTION("""COMPUTED_VALUE"""),"N/A")</f>
        <v>N/A</v>
      </c>
      <c r="M302" s="18" t="str">
        <f ca="1">IFERROR(__xludf.DUMMYFUNCTION("""COMPUTED_VALUE"""),"N/A")</f>
        <v>N/A</v>
      </c>
      <c r="N302" s="18" t="str">
        <f ca="1">IFERROR(__xludf.DUMMYFUNCTION("""COMPUTED_VALUE"""),"N/A")</f>
        <v>N/A</v>
      </c>
      <c r="O302" s="18" t="str">
        <f ca="1">IFERROR(__xludf.DUMMYFUNCTION("""COMPUTED_VALUE"""),"N/A")</f>
        <v>N/A</v>
      </c>
      <c r="P302" s="18" t="str">
        <f ca="1">IFERROR(__xludf.DUMMYFUNCTION("""COMPUTED_VALUE"""),"N/A")</f>
        <v>N/A</v>
      </c>
      <c r="Q302" s="18" t="str">
        <f ca="1">IFERROR(__xludf.DUMMYFUNCTION("""COMPUTED_VALUE"""),"N/A")</f>
        <v>N/A</v>
      </c>
      <c r="R302" s="18" t="str">
        <f ca="1">IFERROR(__xludf.DUMMYFUNCTION("""COMPUTED_VALUE"""),"N/A")</f>
        <v>N/A</v>
      </c>
      <c r="S302" s="18" t="str">
        <f ca="1">IFERROR(__xludf.DUMMYFUNCTION("""COMPUTED_VALUE"""),"null")</f>
        <v>null</v>
      </c>
      <c r="T302" s="18" t="str">
        <f ca="1">IFERROR(__xludf.DUMMYFUNCTION("""COMPUTED_VALUE"""),"0x0007")</f>
        <v>0x0007</v>
      </c>
      <c r="U302" s="18" t="str">
        <f ca="1">IFERROR(__xludf.DUMMYFUNCTION("""COMPUTED_VALUE"""),"0x0A")</f>
        <v>0x0A</v>
      </c>
      <c r="V302" s="18" t="str">
        <f ca="1">IFERROR(__xludf.DUMMYFUNCTION("""COMPUTED_VALUE"""),"0x0104")</f>
        <v>0x0104</v>
      </c>
      <c r="W302" s="18" t="str">
        <f ca="1">IFERROR(__xludf.DUMMYFUNCTION("""COMPUTED_VALUE"""),"0xFC07")</f>
        <v>0xFC07</v>
      </c>
      <c r="X302" s="18" t="str">
        <f ca="1">IFERROR(__xludf.DUMMYFUNCTION("""COMPUTED_VALUE"""),"0x10")</f>
        <v>0x10</v>
      </c>
      <c r="Y302" s="18" t="e">
        <f ca="1"/>
        <v>#NAME?</v>
      </c>
      <c r="Z302" s="18" t="str">
        <f ca="1">IFERROR(__xludf.DUMMYFUNCTION("""COMPUTED_VALUE"""),"N/A")</f>
        <v>N/A</v>
      </c>
      <c r="AA302" s="18" t="str">
        <f ca="1">IFERROR(__xludf.DUMMYFUNCTION("""COMPUTED_VALUE"""),"N/A")</f>
        <v>N/A</v>
      </c>
      <c r="AC302" s="59" t="s">
        <v>1515</v>
      </c>
      <c r="AD302" s="59" t="s">
        <v>1444</v>
      </c>
      <c r="AE302" s="59" t="s">
        <v>1461</v>
      </c>
      <c r="AF302" s="59" t="s">
        <v>1465</v>
      </c>
      <c r="AG302" s="59" t="s">
        <v>1477</v>
      </c>
      <c r="AH302" s="59" t="s">
        <v>1516</v>
      </c>
      <c r="AI302" s="59" t="s">
        <v>1355</v>
      </c>
      <c r="AJ302" s="59" t="s">
        <v>1355</v>
      </c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</row>
    <row r="303" spans="1:46" x14ac:dyDescent="0.25">
      <c r="A303" s="18" t="str">
        <v>device_table_slot_1:{"type":"attribute","data_type":"uint64","is_readonly":false,"reporting_type":"polled","poll_freq":86400,"default_value":null,"zigbee_metadata":{"attr_id":257,"endpoint_id":10,"profile_id":260,"cluster_id":64530,"zcl_data_type":240}},</v>
      </c>
      <c r="B303" s="52" t="str">
        <f ca="1"/>
        <v>0xFC12 0x0101</v>
      </c>
      <c r="C303" s="52" t="str">
        <f ca="1">IFERROR(__xludf.DUMMYFUNCTION("""COMPUTED_VALUE"""),"device_table_slot_1")</f>
        <v>device_table_slot_1</v>
      </c>
      <c r="D303" s="18" t="str">
        <f ca="1">IFERROR(__xludf.DUMMYFUNCTION("""COMPUTED_VALUE"""),"attribute")</f>
        <v>attribute</v>
      </c>
      <c r="E303" s="18" t="str">
        <f ca="1">IFERROR(__xludf.DUMMYFUNCTION("""COMPUTED_VALUE"""),"uint64")</f>
        <v>uint64</v>
      </c>
      <c r="F303" s="18" t="str">
        <f ca="1">IFERROR(__xludf.DUMMYFUNCTION("""COMPUTED_VALUE"""),"false")</f>
        <v>false</v>
      </c>
      <c r="G303" s="18" t="str">
        <f ca="1">IFERROR(__xludf.DUMMYFUNCTION("""COMPUTED_VALUE"""),"polled")</f>
        <v>polled</v>
      </c>
      <c r="H303" s="18" t="str">
        <f ca="1">IFERROR(__xludf.DUMMYFUNCTION("""COMPUTED_VALUE"""),"86400")</f>
        <v>86400</v>
      </c>
      <c r="I303" s="18" t="str">
        <f ca="1">IFERROR(__xludf.DUMMYFUNCTION("""COMPUTED_VALUE"""),"N/A")</f>
        <v>N/A</v>
      </c>
      <c r="J303" s="18" t="str">
        <f ca="1">IFERROR(__xludf.DUMMYFUNCTION("""COMPUTED_VALUE"""),"N/A")</f>
        <v>N/A</v>
      </c>
      <c r="K303" s="18" t="str">
        <f ca="1">IFERROR(__xludf.DUMMYFUNCTION("""COMPUTED_VALUE"""),"N/A")</f>
        <v>N/A</v>
      </c>
      <c r="L303" s="18" t="str">
        <f ca="1">IFERROR(__xludf.DUMMYFUNCTION("""COMPUTED_VALUE"""),"N/A")</f>
        <v>N/A</v>
      </c>
      <c r="M303" s="18" t="str">
        <f ca="1">IFERROR(__xludf.DUMMYFUNCTION("""COMPUTED_VALUE"""),"N/A")</f>
        <v>N/A</v>
      </c>
      <c r="N303" s="18" t="str">
        <f ca="1">IFERROR(__xludf.DUMMYFUNCTION("""COMPUTED_VALUE"""),"N/A")</f>
        <v>N/A</v>
      </c>
      <c r="O303" s="18" t="str">
        <f ca="1">IFERROR(__xludf.DUMMYFUNCTION("""COMPUTED_VALUE"""),"N/A")</f>
        <v>N/A</v>
      </c>
      <c r="P303" s="18" t="str">
        <f ca="1">IFERROR(__xludf.DUMMYFUNCTION("""COMPUTED_VALUE"""),"N/A")</f>
        <v>N/A</v>
      </c>
      <c r="Q303" s="18" t="str">
        <f ca="1">IFERROR(__xludf.DUMMYFUNCTION("""COMPUTED_VALUE"""),"N/A")</f>
        <v>N/A</v>
      </c>
      <c r="R303" s="18" t="str">
        <f ca="1">IFERROR(__xludf.DUMMYFUNCTION("""COMPUTED_VALUE"""),"N/A")</f>
        <v>N/A</v>
      </c>
      <c r="S303" s="18" t="str">
        <f ca="1">IFERROR(__xludf.DUMMYFUNCTION("""COMPUTED_VALUE"""),"null")</f>
        <v>null</v>
      </c>
      <c r="T303" s="18" t="str">
        <f ca="1">IFERROR(__xludf.DUMMYFUNCTION("""COMPUTED_VALUE"""),"0x0101")</f>
        <v>0x0101</v>
      </c>
      <c r="U303" s="18" t="str">
        <f ca="1">IFERROR(__xludf.DUMMYFUNCTION("""COMPUTED_VALUE"""),"0x0A")</f>
        <v>0x0A</v>
      </c>
      <c r="V303" s="18" t="str">
        <f ca="1">IFERROR(__xludf.DUMMYFUNCTION("""COMPUTED_VALUE"""),"0x0104")</f>
        <v>0x0104</v>
      </c>
      <c r="W303" s="18" t="str">
        <f ca="1">IFERROR(__xludf.DUMMYFUNCTION("""COMPUTED_VALUE"""),"0xFC12")</f>
        <v>0xFC12</v>
      </c>
      <c r="X303" s="18" t="str">
        <f ca="1">IFERROR(__xludf.DUMMYFUNCTION("""COMPUTED_VALUE"""),"0xF0")</f>
        <v>0xF0</v>
      </c>
      <c r="Y303" s="18" t="e">
        <f ca="1"/>
        <v>#NAME?</v>
      </c>
      <c r="Z303" s="18" t="str">
        <f ca="1">IFERROR(__xludf.DUMMYFUNCTION("""COMPUTED_VALUE"""),"N/A")</f>
        <v>N/A</v>
      </c>
      <c r="AA303" s="18" t="str">
        <f ca="1">IFERROR(__xludf.DUMMYFUNCTION("""COMPUTED_VALUE"""),"N/A")</f>
        <v>N/A</v>
      </c>
      <c r="AC303" s="59" t="s">
        <v>1409</v>
      </c>
      <c r="AD303" s="59" t="s">
        <v>1447</v>
      </c>
      <c r="AE303" s="59" t="s">
        <v>1463</v>
      </c>
      <c r="AF303" s="59" t="s">
        <v>1468</v>
      </c>
      <c r="AG303" s="59" t="s">
        <v>1482</v>
      </c>
      <c r="AH303" s="59" t="s">
        <v>1355</v>
      </c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</row>
    <row r="304" spans="1:46" x14ac:dyDescent="0.25">
      <c r="A304" s="18" t="str">
        <v>device_table_slot_2:{"type":"attribute","data_type":"uint64","is_readonly":false,"reporting_type":"polled","poll_freq":86400,"default_value":null,"zigbee_metadata":{"attr_id":258,"endpoint_id":10,"profile_id":260,"cluster_id":64530,"zcl_data_type":240}},</v>
      </c>
      <c r="B304" s="52" t="str">
        <f ca="1"/>
        <v>0xFC12 0x0102</v>
      </c>
      <c r="C304" s="52" t="str">
        <f ca="1">IFERROR(__xludf.DUMMYFUNCTION("""COMPUTED_VALUE"""),"device_table_slot_2")</f>
        <v>device_table_slot_2</v>
      </c>
      <c r="D304" s="18" t="str">
        <f ca="1">IFERROR(__xludf.DUMMYFUNCTION("""COMPUTED_VALUE"""),"attribute")</f>
        <v>attribute</v>
      </c>
      <c r="E304" s="18" t="str">
        <f ca="1">IFERROR(__xludf.DUMMYFUNCTION("""COMPUTED_VALUE"""),"uint64")</f>
        <v>uint64</v>
      </c>
      <c r="F304" s="18" t="str">
        <f ca="1">IFERROR(__xludf.DUMMYFUNCTION("""COMPUTED_VALUE"""),"false")</f>
        <v>false</v>
      </c>
      <c r="G304" s="18" t="str">
        <f ca="1">IFERROR(__xludf.DUMMYFUNCTION("""COMPUTED_VALUE"""),"polled")</f>
        <v>polled</v>
      </c>
      <c r="H304" s="18" t="str">
        <f ca="1">IFERROR(__xludf.DUMMYFUNCTION("""COMPUTED_VALUE"""),"86400")</f>
        <v>86400</v>
      </c>
      <c r="I304" s="18" t="str">
        <f ca="1">IFERROR(__xludf.DUMMYFUNCTION("""COMPUTED_VALUE"""),"N/A")</f>
        <v>N/A</v>
      </c>
      <c r="J304" s="18" t="str">
        <f ca="1">IFERROR(__xludf.DUMMYFUNCTION("""COMPUTED_VALUE"""),"N/A")</f>
        <v>N/A</v>
      </c>
      <c r="K304" s="18" t="str">
        <f ca="1">IFERROR(__xludf.DUMMYFUNCTION("""COMPUTED_VALUE"""),"N/A")</f>
        <v>N/A</v>
      </c>
      <c r="L304" s="18" t="str">
        <f ca="1">IFERROR(__xludf.DUMMYFUNCTION("""COMPUTED_VALUE"""),"N/A")</f>
        <v>N/A</v>
      </c>
      <c r="M304" s="18" t="str">
        <f ca="1">IFERROR(__xludf.DUMMYFUNCTION("""COMPUTED_VALUE"""),"N/A")</f>
        <v>N/A</v>
      </c>
      <c r="N304" s="18" t="str">
        <f ca="1">IFERROR(__xludf.DUMMYFUNCTION("""COMPUTED_VALUE"""),"N/A")</f>
        <v>N/A</v>
      </c>
      <c r="O304" s="18" t="str">
        <f ca="1">IFERROR(__xludf.DUMMYFUNCTION("""COMPUTED_VALUE"""),"N/A")</f>
        <v>N/A</v>
      </c>
      <c r="P304" s="18" t="str">
        <f ca="1">IFERROR(__xludf.DUMMYFUNCTION("""COMPUTED_VALUE"""),"N/A")</f>
        <v>N/A</v>
      </c>
      <c r="Q304" s="18" t="str">
        <f ca="1">IFERROR(__xludf.DUMMYFUNCTION("""COMPUTED_VALUE"""),"N/A")</f>
        <v>N/A</v>
      </c>
      <c r="R304" s="18" t="str">
        <f ca="1">IFERROR(__xludf.DUMMYFUNCTION("""COMPUTED_VALUE"""),"N/A")</f>
        <v>N/A</v>
      </c>
      <c r="S304" s="18" t="str">
        <f ca="1">IFERROR(__xludf.DUMMYFUNCTION("""COMPUTED_VALUE"""),"null")</f>
        <v>null</v>
      </c>
      <c r="T304" s="18" t="str">
        <f ca="1">IFERROR(__xludf.DUMMYFUNCTION("""COMPUTED_VALUE"""),"0x0102")</f>
        <v>0x0102</v>
      </c>
      <c r="U304" s="18" t="str">
        <f ca="1">IFERROR(__xludf.DUMMYFUNCTION("""COMPUTED_VALUE"""),"0x0A")</f>
        <v>0x0A</v>
      </c>
      <c r="V304" s="18" t="str">
        <f ca="1">IFERROR(__xludf.DUMMYFUNCTION("""COMPUTED_VALUE"""),"0x0104")</f>
        <v>0x0104</v>
      </c>
      <c r="W304" s="18" t="str">
        <f ca="1">IFERROR(__xludf.DUMMYFUNCTION("""COMPUTED_VALUE"""),"0xFC12")</f>
        <v>0xFC12</v>
      </c>
      <c r="X304" s="18" t="str">
        <f ca="1">IFERROR(__xludf.DUMMYFUNCTION("""COMPUTED_VALUE"""),"0xF0")</f>
        <v>0xF0</v>
      </c>
      <c r="Y304" s="18" t="e">
        <f ca="1"/>
        <v>#NAME?</v>
      </c>
      <c r="Z304" s="18" t="str">
        <f ca="1">IFERROR(__xludf.DUMMYFUNCTION("""COMPUTED_VALUE"""),"N/A")</f>
        <v>N/A</v>
      </c>
      <c r="AA304" s="18" t="str">
        <f ca="1">IFERROR(__xludf.DUMMYFUNCTION("""COMPUTED_VALUE"""),"N/A")</f>
        <v>N/A</v>
      </c>
      <c r="AC304" s="59" t="s">
        <v>1412</v>
      </c>
      <c r="AD304" s="59" t="s">
        <v>1450</v>
      </c>
      <c r="AE304" s="59" t="s">
        <v>1465</v>
      </c>
      <c r="AF304" s="59" t="s">
        <v>1472</v>
      </c>
      <c r="AG304" s="59" t="s">
        <v>1488</v>
      </c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</row>
    <row r="305" spans="1:46" x14ac:dyDescent="0.25">
      <c r="A305" s="18" t="str">
        <v>device_table_slot_3:{"type":"attribute","data_type":"uint64","is_readonly":false,"reporting_type":"polled","poll_freq":86400,"default_value":null,"zigbee_metadata":{"attr_id":259,"endpoint_id":10,"profile_id":260,"cluster_id":64530,"zcl_data_type":240}},</v>
      </c>
      <c r="B305" s="52" t="str">
        <f ca="1"/>
        <v>0xFC12 0x0103</v>
      </c>
      <c r="C305" s="52" t="str">
        <f ca="1">IFERROR(__xludf.DUMMYFUNCTION("""COMPUTED_VALUE"""),"device_table_slot_3")</f>
        <v>device_table_slot_3</v>
      </c>
      <c r="D305" s="18" t="str">
        <f ca="1">IFERROR(__xludf.DUMMYFUNCTION("""COMPUTED_VALUE"""),"attribute")</f>
        <v>attribute</v>
      </c>
      <c r="E305" s="18" t="str">
        <f ca="1">IFERROR(__xludf.DUMMYFUNCTION("""COMPUTED_VALUE"""),"uint64")</f>
        <v>uint64</v>
      </c>
      <c r="F305" s="18" t="str">
        <f ca="1">IFERROR(__xludf.DUMMYFUNCTION("""COMPUTED_VALUE"""),"false")</f>
        <v>false</v>
      </c>
      <c r="G305" s="18" t="str">
        <f ca="1">IFERROR(__xludf.DUMMYFUNCTION("""COMPUTED_VALUE"""),"polled")</f>
        <v>polled</v>
      </c>
      <c r="H305" s="18" t="str">
        <f ca="1">IFERROR(__xludf.DUMMYFUNCTION("""COMPUTED_VALUE"""),"86400")</f>
        <v>86400</v>
      </c>
      <c r="I305" s="18" t="str">
        <f ca="1">IFERROR(__xludf.DUMMYFUNCTION("""COMPUTED_VALUE"""),"N/A")</f>
        <v>N/A</v>
      </c>
      <c r="J305" s="18" t="str">
        <f ca="1">IFERROR(__xludf.DUMMYFUNCTION("""COMPUTED_VALUE"""),"N/A")</f>
        <v>N/A</v>
      </c>
      <c r="K305" s="18" t="str">
        <f ca="1">IFERROR(__xludf.DUMMYFUNCTION("""COMPUTED_VALUE"""),"N/A")</f>
        <v>N/A</v>
      </c>
      <c r="L305" s="18" t="str">
        <f ca="1">IFERROR(__xludf.DUMMYFUNCTION("""COMPUTED_VALUE"""),"N/A")</f>
        <v>N/A</v>
      </c>
      <c r="M305" s="18" t="str">
        <f ca="1">IFERROR(__xludf.DUMMYFUNCTION("""COMPUTED_VALUE"""),"N/A")</f>
        <v>N/A</v>
      </c>
      <c r="N305" s="18" t="str">
        <f ca="1">IFERROR(__xludf.DUMMYFUNCTION("""COMPUTED_VALUE"""),"N/A")</f>
        <v>N/A</v>
      </c>
      <c r="O305" s="18" t="str">
        <f ca="1">IFERROR(__xludf.DUMMYFUNCTION("""COMPUTED_VALUE"""),"N/A")</f>
        <v>N/A</v>
      </c>
      <c r="P305" s="18" t="str">
        <f ca="1">IFERROR(__xludf.DUMMYFUNCTION("""COMPUTED_VALUE"""),"N/A")</f>
        <v>N/A</v>
      </c>
      <c r="Q305" s="18" t="str">
        <f ca="1">IFERROR(__xludf.DUMMYFUNCTION("""COMPUTED_VALUE"""),"N/A")</f>
        <v>N/A</v>
      </c>
      <c r="R305" s="18" t="str">
        <f ca="1">IFERROR(__xludf.DUMMYFUNCTION("""COMPUTED_VALUE"""),"N/A")</f>
        <v>N/A</v>
      </c>
      <c r="S305" s="18" t="str">
        <f ca="1">IFERROR(__xludf.DUMMYFUNCTION("""COMPUTED_VALUE"""),"null")</f>
        <v>null</v>
      </c>
      <c r="T305" s="18" t="str">
        <f ca="1">IFERROR(__xludf.DUMMYFUNCTION("""COMPUTED_VALUE"""),"0x0103")</f>
        <v>0x0103</v>
      </c>
      <c r="U305" s="18" t="str">
        <f ca="1">IFERROR(__xludf.DUMMYFUNCTION("""COMPUTED_VALUE"""),"0x0A")</f>
        <v>0x0A</v>
      </c>
      <c r="V305" s="18" t="str">
        <f ca="1">IFERROR(__xludf.DUMMYFUNCTION("""COMPUTED_VALUE"""),"0x0104")</f>
        <v>0x0104</v>
      </c>
      <c r="W305" s="18" t="str">
        <f ca="1">IFERROR(__xludf.DUMMYFUNCTION("""COMPUTED_VALUE"""),"0xFC12")</f>
        <v>0xFC12</v>
      </c>
      <c r="X305" s="18" t="str">
        <f ca="1">IFERROR(__xludf.DUMMYFUNCTION("""COMPUTED_VALUE"""),"0xF0")</f>
        <v>0xF0</v>
      </c>
      <c r="Y305" s="18" t="e">
        <f ca="1"/>
        <v>#NAME?</v>
      </c>
      <c r="Z305" s="18" t="str">
        <f ca="1">IFERROR(__xludf.DUMMYFUNCTION("""COMPUTED_VALUE"""),"N/A")</f>
        <v>N/A</v>
      </c>
      <c r="AA305" s="18" t="str">
        <f ca="1">IFERROR(__xludf.DUMMYFUNCTION("""COMPUTED_VALUE"""),"N/A")</f>
        <v>N/A</v>
      </c>
      <c r="AC305" s="59" t="s">
        <v>1415</v>
      </c>
      <c r="AD305" s="59" t="s">
        <v>1453</v>
      </c>
      <c r="AE305" s="59" t="s">
        <v>1468</v>
      </c>
      <c r="AF305" s="59" t="s">
        <v>1477</v>
      </c>
      <c r="AG305" s="59" t="s">
        <v>1494</v>
      </c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</row>
    <row r="306" spans="1:46" x14ac:dyDescent="0.25">
      <c r="A306" s="18" t="str">
        <v>device_table_slot_4:{"type":"attribute","data_type":"uint64","is_readonly":false,"reporting_type":"polled","poll_freq":86400,"default_value":null,"zigbee_metadata":{"attr_id":260,"endpoint_id":10,"profile_id":260,"cluster_id":64530,"zcl_data_type":240}},</v>
      </c>
      <c r="B306" s="52" t="str">
        <f ca="1"/>
        <v>0xFC12 0x0104</v>
      </c>
      <c r="C306" s="52" t="str">
        <f ca="1">IFERROR(__xludf.DUMMYFUNCTION("""COMPUTED_VALUE"""),"device_table_slot_4")</f>
        <v>device_table_slot_4</v>
      </c>
      <c r="D306" s="18" t="str">
        <f ca="1">IFERROR(__xludf.DUMMYFUNCTION("""COMPUTED_VALUE"""),"attribute")</f>
        <v>attribute</v>
      </c>
      <c r="E306" s="18" t="str">
        <f ca="1">IFERROR(__xludf.DUMMYFUNCTION("""COMPUTED_VALUE"""),"uint64")</f>
        <v>uint64</v>
      </c>
      <c r="F306" s="18" t="str">
        <f ca="1">IFERROR(__xludf.DUMMYFUNCTION("""COMPUTED_VALUE"""),"false")</f>
        <v>false</v>
      </c>
      <c r="G306" s="18" t="str">
        <f ca="1">IFERROR(__xludf.DUMMYFUNCTION("""COMPUTED_VALUE"""),"polled")</f>
        <v>polled</v>
      </c>
      <c r="H306" s="18" t="str">
        <f ca="1">IFERROR(__xludf.DUMMYFUNCTION("""COMPUTED_VALUE"""),"86400")</f>
        <v>86400</v>
      </c>
      <c r="I306" s="18" t="str">
        <f ca="1">IFERROR(__xludf.DUMMYFUNCTION("""COMPUTED_VALUE"""),"N/A")</f>
        <v>N/A</v>
      </c>
      <c r="J306" s="18" t="str">
        <f ca="1">IFERROR(__xludf.DUMMYFUNCTION("""COMPUTED_VALUE"""),"N/A")</f>
        <v>N/A</v>
      </c>
      <c r="K306" s="18" t="str">
        <f ca="1">IFERROR(__xludf.DUMMYFUNCTION("""COMPUTED_VALUE"""),"N/A")</f>
        <v>N/A</v>
      </c>
      <c r="L306" s="18" t="str">
        <f ca="1">IFERROR(__xludf.DUMMYFUNCTION("""COMPUTED_VALUE"""),"N/A")</f>
        <v>N/A</v>
      </c>
      <c r="M306" s="18" t="str">
        <f ca="1">IFERROR(__xludf.DUMMYFUNCTION("""COMPUTED_VALUE"""),"N/A")</f>
        <v>N/A</v>
      </c>
      <c r="N306" s="18" t="str">
        <f ca="1">IFERROR(__xludf.DUMMYFUNCTION("""COMPUTED_VALUE"""),"N/A")</f>
        <v>N/A</v>
      </c>
      <c r="O306" s="18" t="str">
        <f ca="1">IFERROR(__xludf.DUMMYFUNCTION("""COMPUTED_VALUE"""),"N/A")</f>
        <v>N/A</v>
      </c>
      <c r="P306" s="18" t="str">
        <f ca="1">IFERROR(__xludf.DUMMYFUNCTION("""COMPUTED_VALUE"""),"N/A")</f>
        <v>N/A</v>
      </c>
      <c r="Q306" s="18" t="str">
        <f ca="1">IFERROR(__xludf.DUMMYFUNCTION("""COMPUTED_VALUE"""),"N/A")</f>
        <v>N/A</v>
      </c>
      <c r="R306" s="18" t="str">
        <f ca="1">IFERROR(__xludf.DUMMYFUNCTION("""COMPUTED_VALUE"""),"N/A")</f>
        <v>N/A</v>
      </c>
      <c r="S306" s="18" t="str">
        <f ca="1">IFERROR(__xludf.DUMMYFUNCTION("""COMPUTED_VALUE"""),"null")</f>
        <v>null</v>
      </c>
      <c r="T306" s="18" t="str">
        <f ca="1">IFERROR(__xludf.DUMMYFUNCTION("""COMPUTED_VALUE"""),"0x0104")</f>
        <v>0x0104</v>
      </c>
      <c r="U306" s="18" t="str">
        <f ca="1">IFERROR(__xludf.DUMMYFUNCTION("""COMPUTED_VALUE"""),"0x0A")</f>
        <v>0x0A</v>
      </c>
      <c r="V306" s="18" t="str">
        <f ca="1">IFERROR(__xludf.DUMMYFUNCTION("""COMPUTED_VALUE"""),"0x0104")</f>
        <v>0x0104</v>
      </c>
      <c r="W306" s="18" t="str">
        <f ca="1">IFERROR(__xludf.DUMMYFUNCTION("""COMPUTED_VALUE"""),"0xFC12")</f>
        <v>0xFC12</v>
      </c>
      <c r="X306" s="18" t="str">
        <f ca="1">IFERROR(__xludf.DUMMYFUNCTION("""COMPUTED_VALUE"""),"0xF0")</f>
        <v>0xF0</v>
      </c>
      <c r="Y306" s="18" t="e">
        <f ca="1"/>
        <v>#NAME?</v>
      </c>
      <c r="Z306" s="18" t="str">
        <f ca="1">IFERROR(__xludf.DUMMYFUNCTION("""COMPUTED_VALUE"""),"N/A")</f>
        <v>N/A</v>
      </c>
      <c r="AA306" s="18" t="str">
        <f ca="1">IFERROR(__xludf.DUMMYFUNCTION("""COMPUTED_VALUE"""),"N/A")</f>
        <v>N/A</v>
      </c>
      <c r="AC306" s="59" t="s">
        <v>1418</v>
      </c>
      <c r="AD306" s="59" t="s">
        <v>1455</v>
      </c>
      <c r="AE306" s="59" t="s">
        <v>1472</v>
      </c>
      <c r="AF306" s="59" t="s">
        <v>1482</v>
      </c>
      <c r="AG306" s="59" t="s">
        <v>1500</v>
      </c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</row>
    <row r="307" spans="1:46" x14ac:dyDescent="0.25">
      <c r="A307" s="18" t="str">
        <v>device_table_slot_5:{"type":"attribute","data_type":"uint64","is_readonly":false,"reporting_type":"polled","poll_freq":86400,"default_value":null,"zigbee_metadata":{"attr_id":261,"endpoint_id":10,"profile_id":260,"cluster_id":64530,"zcl_data_type":240}},</v>
      </c>
      <c r="B307" s="52" t="str">
        <f ca="1"/>
        <v>0xFC12 0x0105</v>
      </c>
      <c r="C307" s="52" t="str">
        <f ca="1">IFERROR(__xludf.DUMMYFUNCTION("""COMPUTED_VALUE"""),"device_table_slot_5")</f>
        <v>device_table_slot_5</v>
      </c>
      <c r="D307" s="18" t="str">
        <f ca="1">IFERROR(__xludf.DUMMYFUNCTION("""COMPUTED_VALUE"""),"attribute")</f>
        <v>attribute</v>
      </c>
      <c r="E307" s="18" t="str">
        <f ca="1">IFERROR(__xludf.DUMMYFUNCTION("""COMPUTED_VALUE"""),"uint64")</f>
        <v>uint64</v>
      </c>
      <c r="F307" s="18" t="str">
        <f ca="1">IFERROR(__xludf.DUMMYFUNCTION("""COMPUTED_VALUE"""),"false")</f>
        <v>false</v>
      </c>
      <c r="G307" s="18" t="str">
        <f ca="1">IFERROR(__xludf.DUMMYFUNCTION("""COMPUTED_VALUE"""),"polled")</f>
        <v>polled</v>
      </c>
      <c r="H307" s="18" t="str">
        <f ca="1">IFERROR(__xludf.DUMMYFUNCTION("""COMPUTED_VALUE"""),"86400")</f>
        <v>86400</v>
      </c>
      <c r="I307" s="18" t="str">
        <f ca="1">IFERROR(__xludf.DUMMYFUNCTION("""COMPUTED_VALUE"""),"N/A")</f>
        <v>N/A</v>
      </c>
      <c r="J307" s="18" t="str">
        <f ca="1">IFERROR(__xludf.DUMMYFUNCTION("""COMPUTED_VALUE"""),"N/A")</f>
        <v>N/A</v>
      </c>
      <c r="K307" s="18" t="str">
        <f ca="1">IFERROR(__xludf.DUMMYFUNCTION("""COMPUTED_VALUE"""),"N/A")</f>
        <v>N/A</v>
      </c>
      <c r="L307" s="18" t="str">
        <f ca="1">IFERROR(__xludf.DUMMYFUNCTION("""COMPUTED_VALUE"""),"N/A")</f>
        <v>N/A</v>
      </c>
      <c r="M307" s="18" t="str">
        <f ca="1">IFERROR(__xludf.DUMMYFUNCTION("""COMPUTED_VALUE"""),"N/A")</f>
        <v>N/A</v>
      </c>
      <c r="N307" s="18" t="str">
        <f ca="1">IFERROR(__xludf.DUMMYFUNCTION("""COMPUTED_VALUE"""),"N/A")</f>
        <v>N/A</v>
      </c>
      <c r="O307" s="18" t="str">
        <f ca="1">IFERROR(__xludf.DUMMYFUNCTION("""COMPUTED_VALUE"""),"N/A")</f>
        <v>N/A</v>
      </c>
      <c r="P307" s="18" t="str">
        <f ca="1">IFERROR(__xludf.DUMMYFUNCTION("""COMPUTED_VALUE"""),"N/A")</f>
        <v>N/A</v>
      </c>
      <c r="Q307" s="18" t="str">
        <f ca="1">IFERROR(__xludf.DUMMYFUNCTION("""COMPUTED_VALUE"""),"N/A")</f>
        <v>N/A</v>
      </c>
      <c r="R307" s="18" t="str">
        <f ca="1">IFERROR(__xludf.DUMMYFUNCTION("""COMPUTED_VALUE"""),"N/A")</f>
        <v>N/A</v>
      </c>
      <c r="S307" s="18" t="str">
        <f ca="1">IFERROR(__xludf.DUMMYFUNCTION("""COMPUTED_VALUE"""),"null")</f>
        <v>null</v>
      </c>
      <c r="T307" s="18" t="str">
        <f ca="1">IFERROR(__xludf.DUMMYFUNCTION("""COMPUTED_VALUE"""),"0x0105")</f>
        <v>0x0105</v>
      </c>
      <c r="U307" s="18" t="str">
        <f ca="1">IFERROR(__xludf.DUMMYFUNCTION("""COMPUTED_VALUE"""),"0x0A")</f>
        <v>0x0A</v>
      </c>
      <c r="V307" s="18" t="str">
        <f ca="1">IFERROR(__xludf.DUMMYFUNCTION("""COMPUTED_VALUE"""),"0x0104")</f>
        <v>0x0104</v>
      </c>
      <c r="W307" s="18" t="str">
        <f ca="1">IFERROR(__xludf.DUMMYFUNCTION("""COMPUTED_VALUE"""),"0xFC12")</f>
        <v>0xFC12</v>
      </c>
      <c r="X307" s="18" t="str">
        <f ca="1">IFERROR(__xludf.DUMMYFUNCTION("""COMPUTED_VALUE"""),"0xF0")</f>
        <v>0xF0</v>
      </c>
      <c r="Y307" s="18" t="e">
        <f ca="1"/>
        <v>#NAME?</v>
      </c>
      <c r="Z307" s="18" t="str">
        <f ca="1">IFERROR(__xludf.DUMMYFUNCTION("""COMPUTED_VALUE"""),"N/A")</f>
        <v>N/A</v>
      </c>
      <c r="AA307" s="18" t="str">
        <f ca="1">IFERROR(__xludf.DUMMYFUNCTION("""COMPUTED_VALUE"""),"N/A")</f>
        <v>N/A</v>
      </c>
      <c r="AC307" s="59" t="s">
        <v>1422</v>
      </c>
      <c r="AD307" s="59" t="s">
        <v>1457</v>
      </c>
      <c r="AE307" s="59" t="s">
        <v>1477</v>
      </c>
      <c r="AF307" s="59" t="s">
        <v>1488</v>
      </c>
      <c r="AG307" s="59" t="s">
        <v>1506</v>
      </c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</row>
    <row r="308" spans="1:46" x14ac:dyDescent="0.25">
      <c r="A308" s="18" t="str">
        <v>device_table_slot_6:{"type":"attribute","data_type":"uint64","is_readonly":false,"reporting_type":"polled","poll_freq":86400,"default_value":null,"zigbee_metadata":{"attr_id":262,"endpoint_id":10,"profile_id":260,"cluster_id":64530,"zcl_data_type":240}},</v>
      </c>
      <c r="B308" s="52" t="str">
        <f ca="1"/>
        <v>0xFC12 0x0106</v>
      </c>
      <c r="C308" s="52" t="str">
        <f ca="1">IFERROR(__xludf.DUMMYFUNCTION("""COMPUTED_VALUE"""),"device_table_slot_6")</f>
        <v>device_table_slot_6</v>
      </c>
      <c r="D308" s="18" t="str">
        <f ca="1">IFERROR(__xludf.DUMMYFUNCTION("""COMPUTED_VALUE"""),"attribute")</f>
        <v>attribute</v>
      </c>
      <c r="E308" s="18" t="str">
        <f ca="1">IFERROR(__xludf.DUMMYFUNCTION("""COMPUTED_VALUE"""),"uint64")</f>
        <v>uint64</v>
      </c>
      <c r="F308" s="18" t="str">
        <f ca="1">IFERROR(__xludf.DUMMYFUNCTION("""COMPUTED_VALUE"""),"false")</f>
        <v>false</v>
      </c>
      <c r="G308" s="18" t="str">
        <f ca="1">IFERROR(__xludf.DUMMYFUNCTION("""COMPUTED_VALUE"""),"polled")</f>
        <v>polled</v>
      </c>
      <c r="H308" s="18" t="str">
        <f ca="1">IFERROR(__xludf.DUMMYFUNCTION("""COMPUTED_VALUE"""),"86400")</f>
        <v>86400</v>
      </c>
      <c r="I308" s="18" t="str">
        <f ca="1">IFERROR(__xludf.DUMMYFUNCTION("""COMPUTED_VALUE"""),"N/A")</f>
        <v>N/A</v>
      </c>
      <c r="J308" s="18" t="str">
        <f ca="1">IFERROR(__xludf.DUMMYFUNCTION("""COMPUTED_VALUE"""),"N/A")</f>
        <v>N/A</v>
      </c>
      <c r="K308" s="18" t="str">
        <f ca="1">IFERROR(__xludf.DUMMYFUNCTION("""COMPUTED_VALUE"""),"N/A")</f>
        <v>N/A</v>
      </c>
      <c r="L308" s="18" t="str">
        <f ca="1">IFERROR(__xludf.DUMMYFUNCTION("""COMPUTED_VALUE"""),"N/A")</f>
        <v>N/A</v>
      </c>
      <c r="M308" s="18" t="str">
        <f ca="1">IFERROR(__xludf.DUMMYFUNCTION("""COMPUTED_VALUE"""),"N/A")</f>
        <v>N/A</v>
      </c>
      <c r="N308" s="18" t="str">
        <f ca="1">IFERROR(__xludf.DUMMYFUNCTION("""COMPUTED_VALUE"""),"N/A")</f>
        <v>N/A</v>
      </c>
      <c r="O308" s="18" t="str">
        <f ca="1">IFERROR(__xludf.DUMMYFUNCTION("""COMPUTED_VALUE"""),"N/A")</f>
        <v>N/A</v>
      </c>
      <c r="P308" s="18" t="str">
        <f ca="1">IFERROR(__xludf.DUMMYFUNCTION("""COMPUTED_VALUE"""),"N/A")</f>
        <v>N/A</v>
      </c>
      <c r="Q308" s="18" t="str">
        <f ca="1">IFERROR(__xludf.DUMMYFUNCTION("""COMPUTED_VALUE"""),"N/A")</f>
        <v>N/A</v>
      </c>
      <c r="R308" s="18" t="str">
        <f ca="1">IFERROR(__xludf.DUMMYFUNCTION("""COMPUTED_VALUE"""),"N/A")</f>
        <v>N/A</v>
      </c>
      <c r="S308" s="18" t="str">
        <f ca="1">IFERROR(__xludf.DUMMYFUNCTION("""COMPUTED_VALUE"""),"null")</f>
        <v>null</v>
      </c>
      <c r="T308" s="18" t="str">
        <f ca="1">IFERROR(__xludf.DUMMYFUNCTION("""COMPUTED_VALUE"""),"0x0106")</f>
        <v>0x0106</v>
      </c>
      <c r="U308" s="18" t="str">
        <f ca="1">IFERROR(__xludf.DUMMYFUNCTION("""COMPUTED_VALUE"""),"0x0A")</f>
        <v>0x0A</v>
      </c>
      <c r="V308" s="18" t="str">
        <f ca="1">IFERROR(__xludf.DUMMYFUNCTION("""COMPUTED_VALUE"""),"0x0104")</f>
        <v>0x0104</v>
      </c>
      <c r="W308" s="18" t="str">
        <f ca="1">IFERROR(__xludf.DUMMYFUNCTION("""COMPUTED_VALUE"""),"0xFC12")</f>
        <v>0xFC12</v>
      </c>
      <c r="X308" s="18" t="str">
        <f ca="1">IFERROR(__xludf.DUMMYFUNCTION("""COMPUTED_VALUE"""),"0xF0")</f>
        <v>0xF0</v>
      </c>
      <c r="Y308" s="18" t="e">
        <f ca="1"/>
        <v>#NAME?</v>
      </c>
      <c r="Z308" s="18" t="str">
        <f ca="1">IFERROR(__xludf.DUMMYFUNCTION("""COMPUTED_VALUE"""),"N/A")</f>
        <v>N/A</v>
      </c>
      <c r="AA308" s="18" t="str">
        <f ca="1">IFERROR(__xludf.DUMMYFUNCTION("""COMPUTED_VALUE"""),"N/A")</f>
        <v>N/A</v>
      </c>
      <c r="AC308" s="59" t="s">
        <v>1425</v>
      </c>
      <c r="AD308" s="59" t="s">
        <v>1459</v>
      </c>
      <c r="AE308" s="59" t="s">
        <v>1482</v>
      </c>
      <c r="AF308" s="59" t="s">
        <v>1494</v>
      </c>
      <c r="AG308" s="59" t="s">
        <v>1511</v>
      </c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</row>
    <row r="309" spans="1:46" x14ac:dyDescent="0.25">
      <c r="A309" s="18" t="str">
        <v>device_table_slot_7:{"type":"attribute","data_type":"uint64","is_readonly":false,"reporting_type":"polled","poll_freq":86400,"default_value":null,"zigbee_metadata":{"attr_id":263,"endpoint_id":10,"profile_id":260,"cluster_id":64530,"zcl_data_type":240}},</v>
      </c>
      <c r="B309" s="52" t="str">
        <f ca="1"/>
        <v>0xFC12 0x0107</v>
      </c>
      <c r="C309" s="52" t="str">
        <f ca="1">IFERROR(__xludf.DUMMYFUNCTION("""COMPUTED_VALUE"""),"device_table_slot_7")</f>
        <v>device_table_slot_7</v>
      </c>
      <c r="D309" s="18" t="str">
        <f ca="1">IFERROR(__xludf.DUMMYFUNCTION("""COMPUTED_VALUE"""),"attribute")</f>
        <v>attribute</v>
      </c>
      <c r="E309" s="18" t="str">
        <f ca="1">IFERROR(__xludf.DUMMYFUNCTION("""COMPUTED_VALUE"""),"uint64")</f>
        <v>uint64</v>
      </c>
      <c r="F309" s="18" t="str">
        <f ca="1">IFERROR(__xludf.DUMMYFUNCTION("""COMPUTED_VALUE"""),"false")</f>
        <v>false</v>
      </c>
      <c r="G309" s="18" t="str">
        <f ca="1">IFERROR(__xludf.DUMMYFUNCTION("""COMPUTED_VALUE"""),"polled")</f>
        <v>polled</v>
      </c>
      <c r="H309" s="18" t="str">
        <f ca="1">IFERROR(__xludf.DUMMYFUNCTION("""COMPUTED_VALUE"""),"86400")</f>
        <v>86400</v>
      </c>
      <c r="I309" s="18" t="str">
        <f ca="1">IFERROR(__xludf.DUMMYFUNCTION("""COMPUTED_VALUE"""),"N/A")</f>
        <v>N/A</v>
      </c>
      <c r="J309" s="18" t="str">
        <f ca="1">IFERROR(__xludf.DUMMYFUNCTION("""COMPUTED_VALUE"""),"N/A")</f>
        <v>N/A</v>
      </c>
      <c r="K309" s="18" t="str">
        <f ca="1">IFERROR(__xludf.DUMMYFUNCTION("""COMPUTED_VALUE"""),"N/A")</f>
        <v>N/A</v>
      </c>
      <c r="L309" s="18" t="str">
        <f ca="1">IFERROR(__xludf.DUMMYFUNCTION("""COMPUTED_VALUE"""),"N/A")</f>
        <v>N/A</v>
      </c>
      <c r="M309" s="18" t="str">
        <f ca="1">IFERROR(__xludf.DUMMYFUNCTION("""COMPUTED_VALUE"""),"N/A")</f>
        <v>N/A</v>
      </c>
      <c r="N309" s="18" t="str">
        <f ca="1">IFERROR(__xludf.DUMMYFUNCTION("""COMPUTED_VALUE"""),"N/A")</f>
        <v>N/A</v>
      </c>
      <c r="O309" s="18" t="str">
        <f ca="1">IFERROR(__xludf.DUMMYFUNCTION("""COMPUTED_VALUE"""),"N/A")</f>
        <v>N/A</v>
      </c>
      <c r="P309" s="18" t="str">
        <f ca="1">IFERROR(__xludf.DUMMYFUNCTION("""COMPUTED_VALUE"""),"N/A")</f>
        <v>N/A</v>
      </c>
      <c r="Q309" s="18" t="str">
        <f ca="1">IFERROR(__xludf.DUMMYFUNCTION("""COMPUTED_VALUE"""),"N/A")</f>
        <v>N/A</v>
      </c>
      <c r="R309" s="18" t="str">
        <f ca="1">IFERROR(__xludf.DUMMYFUNCTION("""COMPUTED_VALUE"""),"N/A")</f>
        <v>N/A</v>
      </c>
      <c r="S309" s="18" t="str">
        <f ca="1">IFERROR(__xludf.DUMMYFUNCTION("""COMPUTED_VALUE"""),"null")</f>
        <v>null</v>
      </c>
      <c r="T309" s="18" t="str">
        <f ca="1">IFERROR(__xludf.DUMMYFUNCTION("""COMPUTED_VALUE"""),"0x0107")</f>
        <v>0x0107</v>
      </c>
      <c r="U309" s="18" t="str">
        <f ca="1">IFERROR(__xludf.DUMMYFUNCTION("""COMPUTED_VALUE"""),"0x0A")</f>
        <v>0x0A</v>
      </c>
      <c r="V309" s="18" t="str">
        <f ca="1">IFERROR(__xludf.DUMMYFUNCTION("""COMPUTED_VALUE"""),"0x0104")</f>
        <v>0x0104</v>
      </c>
      <c r="W309" s="18" t="str">
        <f ca="1">IFERROR(__xludf.DUMMYFUNCTION("""COMPUTED_VALUE"""),"0xFC12")</f>
        <v>0xFC12</v>
      </c>
      <c r="X309" s="18" t="str">
        <f ca="1">IFERROR(__xludf.DUMMYFUNCTION("""COMPUTED_VALUE"""),"0xF0")</f>
        <v>0xF0</v>
      </c>
      <c r="Y309" s="18" t="e">
        <f ca="1"/>
        <v>#NAME?</v>
      </c>
      <c r="Z309" s="18" t="str">
        <f ca="1">IFERROR(__xludf.DUMMYFUNCTION("""COMPUTED_VALUE"""),"N/A")</f>
        <v>N/A</v>
      </c>
      <c r="AA309" s="18" t="str">
        <f ca="1">IFERROR(__xludf.DUMMYFUNCTION("""COMPUTED_VALUE"""),"N/A")</f>
        <v>N/A</v>
      </c>
      <c r="AC309" s="59" t="s">
        <v>1429</v>
      </c>
      <c r="AD309" s="59" t="s">
        <v>1461</v>
      </c>
      <c r="AE309" s="59" t="s">
        <v>1488</v>
      </c>
      <c r="AF309" s="59" t="s">
        <v>1500</v>
      </c>
      <c r="AG309" s="59" t="s">
        <v>1516</v>
      </c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</row>
    <row r="310" spans="1:46" x14ac:dyDescent="0.25">
      <c r="A310" s="18" t="str">
        <v>device_table_slot_8:{"type":"attribute","data_type":"uint64","is_readonly":false,"reporting_type":"polled","poll_freq":86400,"default_value":null,"zigbee_metadata":{"attr_id":264,"endpoint_id":10,"profile_id":260,"cluster_id":64530,"zcl_data_type":240}},</v>
      </c>
      <c r="B310" s="52" t="str">
        <f ca="1"/>
        <v>0xFC12 0x0108</v>
      </c>
      <c r="C310" s="52" t="str">
        <f ca="1">IFERROR(__xludf.DUMMYFUNCTION("""COMPUTED_VALUE"""),"device_table_slot_8")</f>
        <v>device_table_slot_8</v>
      </c>
      <c r="D310" s="18" t="str">
        <f ca="1">IFERROR(__xludf.DUMMYFUNCTION("""COMPUTED_VALUE"""),"attribute")</f>
        <v>attribute</v>
      </c>
      <c r="E310" s="18" t="str">
        <f ca="1">IFERROR(__xludf.DUMMYFUNCTION("""COMPUTED_VALUE"""),"uint64")</f>
        <v>uint64</v>
      </c>
      <c r="F310" s="18" t="str">
        <f ca="1">IFERROR(__xludf.DUMMYFUNCTION("""COMPUTED_VALUE"""),"false")</f>
        <v>false</v>
      </c>
      <c r="G310" s="18" t="str">
        <f ca="1">IFERROR(__xludf.DUMMYFUNCTION("""COMPUTED_VALUE"""),"polled")</f>
        <v>polled</v>
      </c>
      <c r="H310" s="18" t="str">
        <f ca="1">IFERROR(__xludf.DUMMYFUNCTION("""COMPUTED_VALUE"""),"86400")</f>
        <v>86400</v>
      </c>
      <c r="I310" s="18" t="str">
        <f ca="1">IFERROR(__xludf.DUMMYFUNCTION("""COMPUTED_VALUE"""),"N/A")</f>
        <v>N/A</v>
      </c>
      <c r="J310" s="18" t="str">
        <f ca="1">IFERROR(__xludf.DUMMYFUNCTION("""COMPUTED_VALUE"""),"N/A")</f>
        <v>N/A</v>
      </c>
      <c r="K310" s="18" t="str">
        <f ca="1">IFERROR(__xludf.DUMMYFUNCTION("""COMPUTED_VALUE"""),"N/A")</f>
        <v>N/A</v>
      </c>
      <c r="L310" s="18" t="str">
        <f ca="1">IFERROR(__xludf.DUMMYFUNCTION("""COMPUTED_VALUE"""),"N/A")</f>
        <v>N/A</v>
      </c>
      <c r="M310" s="18" t="str">
        <f ca="1">IFERROR(__xludf.DUMMYFUNCTION("""COMPUTED_VALUE"""),"N/A")</f>
        <v>N/A</v>
      </c>
      <c r="N310" s="18" t="str">
        <f ca="1">IFERROR(__xludf.DUMMYFUNCTION("""COMPUTED_VALUE"""),"N/A")</f>
        <v>N/A</v>
      </c>
      <c r="O310" s="18" t="str">
        <f ca="1">IFERROR(__xludf.DUMMYFUNCTION("""COMPUTED_VALUE"""),"N/A")</f>
        <v>N/A</v>
      </c>
      <c r="P310" s="18" t="str">
        <f ca="1">IFERROR(__xludf.DUMMYFUNCTION("""COMPUTED_VALUE"""),"N/A")</f>
        <v>N/A</v>
      </c>
      <c r="Q310" s="18" t="str">
        <f ca="1">IFERROR(__xludf.DUMMYFUNCTION("""COMPUTED_VALUE"""),"N/A")</f>
        <v>N/A</v>
      </c>
      <c r="R310" s="18" t="str">
        <f ca="1">IFERROR(__xludf.DUMMYFUNCTION("""COMPUTED_VALUE"""),"N/A")</f>
        <v>N/A</v>
      </c>
      <c r="S310" s="18" t="str">
        <f ca="1">IFERROR(__xludf.DUMMYFUNCTION("""COMPUTED_VALUE"""),"null")</f>
        <v>null</v>
      </c>
      <c r="T310" s="18" t="str">
        <f ca="1">IFERROR(__xludf.DUMMYFUNCTION("""COMPUTED_VALUE"""),"0x0108")</f>
        <v>0x0108</v>
      </c>
      <c r="U310" s="18" t="str">
        <f ca="1">IFERROR(__xludf.DUMMYFUNCTION("""COMPUTED_VALUE"""),"0x0A")</f>
        <v>0x0A</v>
      </c>
      <c r="V310" s="18" t="str">
        <f ca="1">IFERROR(__xludf.DUMMYFUNCTION("""COMPUTED_VALUE"""),"0x0104")</f>
        <v>0x0104</v>
      </c>
      <c r="W310" s="18" t="str">
        <f ca="1">IFERROR(__xludf.DUMMYFUNCTION("""COMPUTED_VALUE"""),"0xFC12")</f>
        <v>0xFC12</v>
      </c>
      <c r="X310" s="18" t="str">
        <f ca="1">IFERROR(__xludf.DUMMYFUNCTION("""COMPUTED_VALUE"""),"0xF0")</f>
        <v>0xF0</v>
      </c>
      <c r="Y310" s="18" t="e">
        <f ca="1"/>
        <v>#NAME?</v>
      </c>
      <c r="Z310" s="18" t="str">
        <f ca="1">IFERROR(__xludf.DUMMYFUNCTION("""COMPUTED_VALUE"""),"N/A")</f>
        <v>N/A</v>
      </c>
      <c r="AA310" s="18" t="str">
        <f ca="1">IFERROR(__xludf.DUMMYFUNCTION("""COMPUTED_VALUE"""),"N/A")</f>
        <v>N/A</v>
      </c>
      <c r="AC310" s="59" t="s">
        <v>1432</v>
      </c>
      <c r="AD310" s="59" t="s">
        <v>1463</v>
      </c>
      <c r="AE310" s="59" t="s">
        <v>1494</v>
      </c>
      <c r="AF310" s="59" t="s">
        <v>1506</v>
      </c>
      <c r="AG310" s="59" t="s">
        <v>1355</v>
      </c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</row>
    <row r="311" spans="1:46" x14ac:dyDescent="0.25">
      <c r="A311" s="18" t="str">
        <v>device_table_slot_9:{"type":"attribute","data_type":"uint64","is_readonly":false,"reporting_type":"polled","poll_freq":86400,"default_value":null,"zigbee_metadata":{"attr_id":265,"endpoint_id":10,"profile_id":260,"cluster_id":64530,"zcl_data_type":240}},</v>
      </c>
      <c r="B311" s="52" t="str">
        <f ca="1"/>
        <v>0xFC12 0x0109</v>
      </c>
      <c r="C311" s="52" t="str">
        <f ca="1">IFERROR(__xludf.DUMMYFUNCTION("""COMPUTED_VALUE"""),"device_table_slot_9")</f>
        <v>device_table_slot_9</v>
      </c>
      <c r="D311" s="18" t="str">
        <f ca="1">IFERROR(__xludf.DUMMYFUNCTION("""COMPUTED_VALUE"""),"attribute")</f>
        <v>attribute</v>
      </c>
      <c r="E311" s="18" t="str">
        <f ca="1">IFERROR(__xludf.DUMMYFUNCTION("""COMPUTED_VALUE"""),"uint64")</f>
        <v>uint64</v>
      </c>
      <c r="F311" s="18" t="str">
        <f ca="1">IFERROR(__xludf.DUMMYFUNCTION("""COMPUTED_VALUE"""),"false")</f>
        <v>false</v>
      </c>
      <c r="G311" s="18" t="str">
        <f ca="1">IFERROR(__xludf.DUMMYFUNCTION("""COMPUTED_VALUE"""),"polled")</f>
        <v>polled</v>
      </c>
      <c r="H311" s="18" t="str">
        <f ca="1">IFERROR(__xludf.DUMMYFUNCTION("""COMPUTED_VALUE"""),"86400")</f>
        <v>86400</v>
      </c>
      <c r="I311" s="18" t="str">
        <f ca="1">IFERROR(__xludf.DUMMYFUNCTION("""COMPUTED_VALUE"""),"N/A")</f>
        <v>N/A</v>
      </c>
      <c r="J311" s="18" t="str">
        <f ca="1">IFERROR(__xludf.DUMMYFUNCTION("""COMPUTED_VALUE"""),"N/A")</f>
        <v>N/A</v>
      </c>
      <c r="K311" s="18" t="str">
        <f ca="1">IFERROR(__xludf.DUMMYFUNCTION("""COMPUTED_VALUE"""),"N/A")</f>
        <v>N/A</v>
      </c>
      <c r="L311" s="18" t="str">
        <f ca="1">IFERROR(__xludf.DUMMYFUNCTION("""COMPUTED_VALUE"""),"N/A")</f>
        <v>N/A</v>
      </c>
      <c r="M311" s="18" t="str">
        <f ca="1">IFERROR(__xludf.DUMMYFUNCTION("""COMPUTED_VALUE"""),"N/A")</f>
        <v>N/A</v>
      </c>
      <c r="N311" s="18" t="str">
        <f ca="1">IFERROR(__xludf.DUMMYFUNCTION("""COMPUTED_VALUE"""),"N/A")</f>
        <v>N/A</v>
      </c>
      <c r="O311" s="18" t="str">
        <f ca="1">IFERROR(__xludf.DUMMYFUNCTION("""COMPUTED_VALUE"""),"N/A")</f>
        <v>N/A</v>
      </c>
      <c r="P311" s="18" t="str">
        <f ca="1">IFERROR(__xludf.DUMMYFUNCTION("""COMPUTED_VALUE"""),"N/A")</f>
        <v>N/A</v>
      </c>
      <c r="Q311" s="18" t="str">
        <f ca="1">IFERROR(__xludf.DUMMYFUNCTION("""COMPUTED_VALUE"""),"N/A")</f>
        <v>N/A</v>
      </c>
      <c r="R311" s="18" t="str">
        <f ca="1">IFERROR(__xludf.DUMMYFUNCTION("""COMPUTED_VALUE"""),"N/A")</f>
        <v>N/A</v>
      </c>
      <c r="S311" s="18" t="str">
        <f ca="1">IFERROR(__xludf.DUMMYFUNCTION("""COMPUTED_VALUE"""),"null")</f>
        <v>null</v>
      </c>
      <c r="T311" s="18" t="str">
        <f ca="1">IFERROR(__xludf.DUMMYFUNCTION("""COMPUTED_VALUE"""),"0x0109")</f>
        <v>0x0109</v>
      </c>
      <c r="U311" s="18" t="str">
        <f ca="1">IFERROR(__xludf.DUMMYFUNCTION("""COMPUTED_VALUE"""),"0x0A")</f>
        <v>0x0A</v>
      </c>
      <c r="V311" s="18" t="str">
        <f ca="1">IFERROR(__xludf.DUMMYFUNCTION("""COMPUTED_VALUE"""),"0x0104")</f>
        <v>0x0104</v>
      </c>
      <c r="W311" s="18" t="str">
        <f ca="1">IFERROR(__xludf.DUMMYFUNCTION("""COMPUTED_VALUE"""),"0xFC12")</f>
        <v>0xFC12</v>
      </c>
      <c r="X311" s="18" t="str">
        <f ca="1">IFERROR(__xludf.DUMMYFUNCTION("""COMPUTED_VALUE"""),"0xF0")</f>
        <v>0xF0</v>
      </c>
      <c r="Y311" s="18" t="e">
        <f ca="1"/>
        <v>#NAME?</v>
      </c>
      <c r="Z311" s="18" t="str">
        <f ca="1">IFERROR(__xludf.DUMMYFUNCTION("""COMPUTED_VALUE"""),"N/A")</f>
        <v>N/A</v>
      </c>
      <c r="AA311" s="18" t="str">
        <f ca="1">IFERROR(__xludf.DUMMYFUNCTION("""COMPUTED_VALUE"""),"N/A")</f>
        <v>N/A</v>
      </c>
      <c r="AC311" s="59" t="s">
        <v>1435</v>
      </c>
      <c r="AD311" s="59" t="s">
        <v>1465</v>
      </c>
      <c r="AE311" s="59" t="s">
        <v>1500</v>
      </c>
      <c r="AF311" s="59" t="s">
        <v>1511</v>
      </c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</row>
    <row r="312" spans="1:46" x14ac:dyDescent="0.25">
      <c r="A312" s="18" t="str">
        <v>device_table_slot_10:{"type":"attribute","data_type":"uint64","is_readonly":false,"reporting_type":"polled","poll_freq":86400,"default_value":null,"zigbee_metadata":{"attr_id":266,"endpoint_id":10,"profile_id":260,"cluster_id":64530,"zcl_data_type":240}},</v>
      </c>
      <c r="B312" s="52" t="str">
        <f ca="1"/>
        <v>0xFC12 0x010A</v>
      </c>
      <c r="C312" s="52" t="str">
        <f ca="1">IFERROR(__xludf.DUMMYFUNCTION("""COMPUTED_VALUE"""),"device_table_slot_10")</f>
        <v>device_table_slot_10</v>
      </c>
      <c r="D312" s="18" t="str">
        <f ca="1">IFERROR(__xludf.DUMMYFUNCTION("""COMPUTED_VALUE"""),"attribute")</f>
        <v>attribute</v>
      </c>
      <c r="E312" s="18" t="str">
        <f ca="1">IFERROR(__xludf.DUMMYFUNCTION("""COMPUTED_VALUE"""),"uint64")</f>
        <v>uint64</v>
      </c>
      <c r="F312" s="18" t="str">
        <f ca="1">IFERROR(__xludf.DUMMYFUNCTION("""COMPUTED_VALUE"""),"false")</f>
        <v>false</v>
      </c>
      <c r="G312" s="18" t="str">
        <f ca="1">IFERROR(__xludf.DUMMYFUNCTION("""COMPUTED_VALUE"""),"polled")</f>
        <v>polled</v>
      </c>
      <c r="H312" s="18" t="str">
        <f ca="1">IFERROR(__xludf.DUMMYFUNCTION("""COMPUTED_VALUE"""),"86400")</f>
        <v>86400</v>
      </c>
      <c r="I312" s="18" t="str">
        <f ca="1">IFERROR(__xludf.DUMMYFUNCTION("""COMPUTED_VALUE"""),"N/A")</f>
        <v>N/A</v>
      </c>
      <c r="J312" s="18" t="str">
        <f ca="1">IFERROR(__xludf.DUMMYFUNCTION("""COMPUTED_VALUE"""),"N/A")</f>
        <v>N/A</v>
      </c>
      <c r="K312" s="18" t="str">
        <f ca="1">IFERROR(__xludf.DUMMYFUNCTION("""COMPUTED_VALUE"""),"N/A")</f>
        <v>N/A</v>
      </c>
      <c r="L312" s="18" t="str">
        <f ca="1">IFERROR(__xludf.DUMMYFUNCTION("""COMPUTED_VALUE"""),"N/A")</f>
        <v>N/A</v>
      </c>
      <c r="M312" s="18" t="str">
        <f ca="1">IFERROR(__xludf.DUMMYFUNCTION("""COMPUTED_VALUE"""),"N/A")</f>
        <v>N/A</v>
      </c>
      <c r="N312" s="18" t="str">
        <f ca="1">IFERROR(__xludf.DUMMYFUNCTION("""COMPUTED_VALUE"""),"N/A")</f>
        <v>N/A</v>
      </c>
      <c r="O312" s="18" t="str">
        <f ca="1">IFERROR(__xludf.DUMMYFUNCTION("""COMPUTED_VALUE"""),"N/A")</f>
        <v>N/A</v>
      </c>
      <c r="P312" s="18" t="str">
        <f ca="1">IFERROR(__xludf.DUMMYFUNCTION("""COMPUTED_VALUE"""),"N/A")</f>
        <v>N/A</v>
      </c>
      <c r="Q312" s="18" t="str">
        <f ca="1">IFERROR(__xludf.DUMMYFUNCTION("""COMPUTED_VALUE"""),"N/A")</f>
        <v>N/A</v>
      </c>
      <c r="R312" s="18" t="str">
        <f ca="1">IFERROR(__xludf.DUMMYFUNCTION("""COMPUTED_VALUE"""),"N/A")</f>
        <v>N/A</v>
      </c>
      <c r="S312" s="18" t="str">
        <f ca="1">IFERROR(__xludf.DUMMYFUNCTION("""COMPUTED_VALUE"""),"null")</f>
        <v>null</v>
      </c>
      <c r="T312" s="18" t="str">
        <f ca="1">IFERROR(__xludf.DUMMYFUNCTION("""COMPUTED_VALUE"""),"0x010A")</f>
        <v>0x010A</v>
      </c>
      <c r="U312" s="18" t="str">
        <f ca="1">IFERROR(__xludf.DUMMYFUNCTION("""COMPUTED_VALUE"""),"0x0A")</f>
        <v>0x0A</v>
      </c>
      <c r="V312" s="18" t="str">
        <f ca="1">IFERROR(__xludf.DUMMYFUNCTION("""COMPUTED_VALUE"""),"0x0104")</f>
        <v>0x0104</v>
      </c>
      <c r="W312" s="18" t="str">
        <f ca="1">IFERROR(__xludf.DUMMYFUNCTION("""COMPUTED_VALUE"""),"0xFC12")</f>
        <v>0xFC12</v>
      </c>
      <c r="X312" s="18" t="str">
        <f ca="1">IFERROR(__xludf.DUMMYFUNCTION("""COMPUTED_VALUE"""),"0xF0")</f>
        <v>0xF0</v>
      </c>
      <c r="Y312" s="18" t="e">
        <f ca="1"/>
        <v>#NAME?</v>
      </c>
      <c r="Z312" s="18" t="str">
        <f ca="1">IFERROR(__xludf.DUMMYFUNCTION("""COMPUTED_VALUE"""),"N/A")</f>
        <v>N/A</v>
      </c>
      <c r="AA312" s="18" t="str">
        <f ca="1">IFERROR(__xludf.DUMMYFUNCTION("""COMPUTED_VALUE"""),"N/A")</f>
        <v>N/A</v>
      </c>
      <c r="AC312" s="59" t="s">
        <v>1438</v>
      </c>
      <c r="AD312" s="59" t="s">
        <v>1468</v>
      </c>
      <c r="AE312" s="59" t="s">
        <v>1506</v>
      </c>
      <c r="AF312" s="59" t="s">
        <v>1516</v>
      </c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</row>
    <row r="313" spans="1:46" x14ac:dyDescent="0.25">
      <c r="A313" s="18" t="str">
        <v>device_table_slot_11:{"type":"attribute","data_type":"uint64","is_readonly":false,"reporting_type":"polled","poll_freq":86400,"default_value":null,"zigbee_metadata":{"attr_id":267,"endpoint_id":10,"profile_id":260,"cluster_id":64530,"zcl_data_type":240}},</v>
      </c>
      <c r="B313" s="52" t="str">
        <f ca="1"/>
        <v>0xFC12 0x010B</v>
      </c>
      <c r="C313" s="52" t="str">
        <f ca="1">IFERROR(__xludf.DUMMYFUNCTION("""COMPUTED_VALUE"""),"device_table_slot_11")</f>
        <v>device_table_slot_11</v>
      </c>
      <c r="D313" s="18" t="str">
        <f ca="1">IFERROR(__xludf.DUMMYFUNCTION("""COMPUTED_VALUE"""),"attribute")</f>
        <v>attribute</v>
      </c>
      <c r="E313" s="18" t="str">
        <f ca="1">IFERROR(__xludf.DUMMYFUNCTION("""COMPUTED_VALUE"""),"uint64")</f>
        <v>uint64</v>
      </c>
      <c r="F313" s="18" t="str">
        <f ca="1">IFERROR(__xludf.DUMMYFUNCTION("""COMPUTED_VALUE"""),"false")</f>
        <v>false</v>
      </c>
      <c r="G313" s="18" t="str">
        <f ca="1">IFERROR(__xludf.DUMMYFUNCTION("""COMPUTED_VALUE"""),"polled")</f>
        <v>polled</v>
      </c>
      <c r="H313" s="18" t="str">
        <f ca="1">IFERROR(__xludf.DUMMYFUNCTION("""COMPUTED_VALUE"""),"86400")</f>
        <v>86400</v>
      </c>
      <c r="I313" s="18" t="str">
        <f ca="1">IFERROR(__xludf.DUMMYFUNCTION("""COMPUTED_VALUE"""),"N/A")</f>
        <v>N/A</v>
      </c>
      <c r="J313" s="18" t="str">
        <f ca="1">IFERROR(__xludf.DUMMYFUNCTION("""COMPUTED_VALUE"""),"N/A")</f>
        <v>N/A</v>
      </c>
      <c r="K313" s="18" t="str">
        <f ca="1">IFERROR(__xludf.DUMMYFUNCTION("""COMPUTED_VALUE"""),"N/A")</f>
        <v>N/A</v>
      </c>
      <c r="L313" s="18" t="str">
        <f ca="1">IFERROR(__xludf.DUMMYFUNCTION("""COMPUTED_VALUE"""),"N/A")</f>
        <v>N/A</v>
      </c>
      <c r="M313" s="18" t="str">
        <f ca="1">IFERROR(__xludf.DUMMYFUNCTION("""COMPUTED_VALUE"""),"N/A")</f>
        <v>N/A</v>
      </c>
      <c r="N313" s="18" t="str">
        <f ca="1">IFERROR(__xludf.DUMMYFUNCTION("""COMPUTED_VALUE"""),"N/A")</f>
        <v>N/A</v>
      </c>
      <c r="O313" s="18" t="str">
        <f ca="1">IFERROR(__xludf.DUMMYFUNCTION("""COMPUTED_VALUE"""),"N/A")</f>
        <v>N/A</v>
      </c>
      <c r="P313" s="18" t="str">
        <f ca="1">IFERROR(__xludf.DUMMYFUNCTION("""COMPUTED_VALUE"""),"N/A")</f>
        <v>N/A</v>
      </c>
      <c r="Q313" s="18" t="str">
        <f ca="1">IFERROR(__xludf.DUMMYFUNCTION("""COMPUTED_VALUE"""),"N/A")</f>
        <v>N/A</v>
      </c>
      <c r="R313" s="18" t="str">
        <f ca="1">IFERROR(__xludf.DUMMYFUNCTION("""COMPUTED_VALUE"""),"N/A")</f>
        <v>N/A</v>
      </c>
      <c r="S313" s="18" t="str">
        <f ca="1">IFERROR(__xludf.DUMMYFUNCTION("""COMPUTED_VALUE"""),"null")</f>
        <v>null</v>
      </c>
      <c r="T313" s="18" t="str">
        <f ca="1">IFERROR(__xludf.DUMMYFUNCTION("""COMPUTED_VALUE"""),"0x010B")</f>
        <v>0x010B</v>
      </c>
      <c r="U313" s="18" t="str">
        <f ca="1">IFERROR(__xludf.DUMMYFUNCTION("""COMPUTED_VALUE"""),"0x0A")</f>
        <v>0x0A</v>
      </c>
      <c r="V313" s="18" t="str">
        <f ca="1">IFERROR(__xludf.DUMMYFUNCTION("""COMPUTED_VALUE"""),"0x0104")</f>
        <v>0x0104</v>
      </c>
      <c r="W313" s="18" t="str">
        <f ca="1">IFERROR(__xludf.DUMMYFUNCTION("""COMPUTED_VALUE"""),"0xFC12")</f>
        <v>0xFC12</v>
      </c>
      <c r="X313" s="18" t="str">
        <f ca="1">IFERROR(__xludf.DUMMYFUNCTION("""COMPUTED_VALUE"""),"0xF0")</f>
        <v>0xF0</v>
      </c>
      <c r="Y313" s="18" t="e">
        <f ca="1"/>
        <v>#NAME?</v>
      </c>
      <c r="Z313" s="18" t="str">
        <f ca="1">IFERROR(__xludf.DUMMYFUNCTION("""COMPUTED_VALUE"""),"N/A")</f>
        <v>N/A</v>
      </c>
      <c r="AA313" s="18" t="str">
        <f ca="1">IFERROR(__xludf.DUMMYFUNCTION("""COMPUTED_VALUE"""),"N/A")</f>
        <v>N/A</v>
      </c>
      <c r="AC313" s="59" t="s">
        <v>1441</v>
      </c>
      <c r="AD313" s="59" t="s">
        <v>1472</v>
      </c>
      <c r="AE313" s="59" t="s">
        <v>1511</v>
      </c>
      <c r="AF313" s="59" t="s">
        <v>1355</v>
      </c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</row>
    <row r="314" spans="1:46" x14ac:dyDescent="0.25">
      <c r="A314" s="18" t="str">
        <v>device_table_slot_12:{"type":"attribute","data_type":"uint64","is_readonly":false,"reporting_type":"polled","poll_freq":86400,"default_value":null,"zigbee_metadata":{"attr_id":268,"endpoint_id":10,"profile_id":260,"cluster_id":64530,"zcl_data_type":240}},</v>
      </c>
      <c r="B314" s="52" t="str">
        <f ca="1"/>
        <v>0xFC12 0x010C</v>
      </c>
      <c r="C314" s="52" t="str">
        <f ca="1">IFERROR(__xludf.DUMMYFUNCTION("""COMPUTED_VALUE"""),"device_table_slot_12")</f>
        <v>device_table_slot_12</v>
      </c>
      <c r="D314" s="18" t="str">
        <f ca="1">IFERROR(__xludf.DUMMYFUNCTION("""COMPUTED_VALUE"""),"attribute")</f>
        <v>attribute</v>
      </c>
      <c r="E314" s="18" t="str">
        <f ca="1">IFERROR(__xludf.DUMMYFUNCTION("""COMPUTED_VALUE"""),"uint64")</f>
        <v>uint64</v>
      </c>
      <c r="F314" s="18" t="str">
        <f ca="1">IFERROR(__xludf.DUMMYFUNCTION("""COMPUTED_VALUE"""),"false")</f>
        <v>false</v>
      </c>
      <c r="G314" s="18" t="str">
        <f ca="1">IFERROR(__xludf.DUMMYFUNCTION("""COMPUTED_VALUE"""),"polled")</f>
        <v>polled</v>
      </c>
      <c r="H314" s="18" t="str">
        <f ca="1">IFERROR(__xludf.DUMMYFUNCTION("""COMPUTED_VALUE"""),"86400")</f>
        <v>86400</v>
      </c>
      <c r="I314" s="18" t="str">
        <f ca="1">IFERROR(__xludf.DUMMYFUNCTION("""COMPUTED_VALUE"""),"N/A")</f>
        <v>N/A</v>
      </c>
      <c r="J314" s="18" t="str">
        <f ca="1">IFERROR(__xludf.DUMMYFUNCTION("""COMPUTED_VALUE"""),"N/A")</f>
        <v>N/A</v>
      </c>
      <c r="K314" s="18" t="str">
        <f ca="1">IFERROR(__xludf.DUMMYFUNCTION("""COMPUTED_VALUE"""),"N/A")</f>
        <v>N/A</v>
      </c>
      <c r="L314" s="18" t="str">
        <f ca="1">IFERROR(__xludf.DUMMYFUNCTION("""COMPUTED_VALUE"""),"N/A")</f>
        <v>N/A</v>
      </c>
      <c r="M314" s="18" t="str">
        <f ca="1">IFERROR(__xludf.DUMMYFUNCTION("""COMPUTED_VALUE"""),"N/A")</f>
        <v>N/A</v>
      </c>
      <c r="N314" s="18" t="str">
        <f ca="1">IFERROR(__xludf.DUMMYFUNCTION("""COMPUTED_VALUE"""),"N/A")</f>
        <v>N/A</v>
      </c>
      <c r="O314" s="18" t="str">
        <f ca="1">IFERROR(__xludf.DUMMYFUNCTION("""COMPUTED_VALUE"""),"N/A")</f>
        <v>N/A</v>
      </c>
      <c r="P314" s="18" t="str">
        <f ca="1">IFERROR(__xludf.DUMMYFUNCTION("""COMPUTED_VALUE"""),"N/A")</f>
        <v>N/A</v>
      </c>
      <c r="Q314" s="18" t="str">
        <f ca="1">IFERROR(__xludf.DUMMYFUNCTION("""COMPUTED_VALUE"""),"N/A")</f>
        <v>N/A</v>
      </c>
      <c r="R314" s="18" t="str">
        <f ca="1">IFERROR(__xludf.DUMMYFUNCTION("""COMPUTED_VALUE"""),"N/A")</f>
        <v>N/A</v>
      </c>
      <c r="S314" s="18" t="str">
        <f ca="1">IFERROR(__xludf.DUMMYFUNCTION("""COMPUTED_VALUE"""),"null")</f>
        <v>null</v>
      </c>
      <c r="T314" s="18" t="str">
        <f ca="1">IFERROR(__xludf.DUMMYFUNCTION("""COMPUTED_VALUE"""),"0x010C")</f>
        <v>0x010C</v>
      </c>
      <c r="U314" s="18" t="str">
        <f ca="1">IFERROR(__xludf.DUMMYFUNCTION("""COMPUTED_VALUE"""),"0x0A")</f>
        <v>0x0A</v>
      </c>
      <c r="V314" s="18" t="str">
        <f ca="1">IFERROR(__xludf.DUMMYFUNCTION("""COMPUTED_VALUE"""),"0x0104")</f>
        <v>0x0104</v>
      </c>
      <c r="W314" s="18" t="str">
        <f ca="1">IFERROR(__xludf.DUMMYFUNCTION("""COMPUTED_VALUE"""),"0xFC12")</f>
        <v>0xFC12</v>
      </c>
      <c r="X314" s="18" t="str">
        <f ca="1">IFERROR(__xludf.DUMMYFUNCTION("""COMPUTED_VALUE"""),"0xF0")</f>
        <v>0xF0</v>
      </c>
      <c r="Y314" s="18" t="e">
        <f ca="1"/>
        <v>#NAME?</v>
      </c>
      <c r="Z314" s="18" t="str">
        <f ca="1">IFERROR(__xludf.DUMMYFUNCTION("""COMPUTED_VALUE"""),"N/A")</f>
        <v>N/A</v>
      </c>
      <c r="AA314" s="18" t="str">
        <f ca="1">IFERROR(__xludf.DUMMYFUNCTION("""COMPUTED_VALUE"""),"N/A")</f>
        <v>N/A</v>
      </c>
      <c r="AC314" s="59" t="s">
        <v>1444</v>
      </c>
      <c r="AD314" s="59" t="s">
        <v>1477</v>
      </c>
      <c r="AE314" s="59" t="s">
        <v>1516</v>
      </c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</row>
    <row r="315" spans="1:46" x14ac:dyDescent="0.25">
      <c r="A315" s="18" t="str">
        <v>device_table_slot_13:{"type":"attribute","data_type":"uint64","is_readonly":false,"reporting_type":"polled","poll_freq":86400,"default_value":null,"zigbee_metadata":{"attr_id":269,"endpoint_id":10,"profile_id":260,"cluster_id":64530,"zcl_data_type":240}},</v>
      </c>
      <c r="B315" s="52" t="str">
        <f ca="1"/>
        <v>0xFC12 0x010D</v>
      </c>
      <c r="C315" s="52" t="str">
        <f ca="1">IFERROR(__xludf.DUMMYFUNCTION("""COMPUTED_VALUE"""),"device_table_slot_13")</f>
        <v>device_table_slot_13</v>
      </c>
      <c r="D315" s="18" t="str">
        <f ca="1">IFERROR(__xludf.DUMMYFUNCTION("""COMPUTED_VALUE"""),"attribute")</f>
        <v>attribute</v>
      </c>
      <c r="E315" s="18" t="str">
        <f ca="1">IFERROR(__xludf.DUMMYFUNCTION("""COMPUTED_VALUE"""),"uint64")</f>
        <v>uint64</v>
      </c>
      <c r="F315" s="18" t="str">
        <f ca="1">IFERROR(__xludf.DUMMYFUNCTION("""COMPUTED_VALUE"""),"false")</f>
        <v>false</v>
      </c>
      <c r="G315" s="18" t="str">
        <f ca="1">IFERROR(__xludf.DUMMYFUNCTION("""COMPUTED_VALUE"""),"polled")</f>
        <v>polled</v>
      </c>
      <c r="H315" s="18" t="str">
        <f ca="1">IFERROR(__xludf.DUMMYFUNCTION("""COMPUTED_VALUE"""),"86400")</f>
        <v>86400</v>
      </c>
      <c r="I315" s="18" t="str">
        <f ca="1">IFERROR(__xludf.DUMMYFUNCTION("""COMPUTED_VALUE"""),"N/A")</f>
        <v>N/A</v>
      </c>
      <c r="J315" s="18" t="str">
        <f ca="1">IFERROR(__xludf.DUMMYFUNCTION("""COMPUTED_VALUE"""),"N/A")</f>
        <v>N/A</v>
      </c>
      <c r="K315" s="18" t="str">
        <f ca="1">IFERROR(__xludf.DUMMYFUNCTION("""COMPUTED_VALUE"""),"N/A")</f>
        <v>N/A</v>
      </c>
      <c r="L315" s="18" t="str">
        <f ca="1">IFERROR(__xludf.DUMMYFUNCTION("""COMPUTED_VALUE"""),"N/A")</f>
        <v>N/A</v>
      </c>
      <c r="M315" s="18" t="str">
        <f ca="1">IFERROR(__xludf.DUMMYFUNCTION("""COMPUTED_VALUE"""),"N/A")</f>
        <v>N/A</v>
      </c>
      <c r="N315" s="18" t="str">
        <f ca="1">IFERROR(__xludf.DUMMYFUNCTION("""COMPUTED_VALUE"""),"N/A")</f>
        <v>N/A</v>
      </c>
      <c r="O315" s="18" t="str">
        <f ca="1">IFERROR(__xludf.DUMMYFUNCTION("""COMPUTED_VALUE"""),"N/A")</f>
        <v>N/A</v>
      </c>
      <c r="P315" s="18" t="str">
        <f ca="1">IFERROR(__xludf.DUMMYFUNCTION("""COMPUTED_VALUE"""),"N/A")</f>
        <v>N/A</v>
      </c>
      <c r="Q315" s="18" t="str">
        <f ca="1">IFERROR(__xludf.DUMMYFUNCTION("""COMPUTED_VALUE"""),"N/A")</f>
        <v>N/A</v>
      </c>
      <c r="R315" s="18" t="str">
        <f ca="1">IFERROR(__xludf.DUMMYFUNCTION("""COMPUTED_VALUE"""),"N/A")</f>
        <v>N/A</v>
      </c>
      <c r="S315" s="18" t="str">
        <f ca="1">IFERROR(__xludf.DUMMYFUNCTION("""COMPUTED_VALUE"""),"null")</f>
        <v>null</v>
      </c>
      <c r="T315" s="18" t="str">
        <f ca="1">IFERROR(__xludf.DUMMYFUNCTION("""COMPUTED_VALUE"""),"0x010D")</f>
        <v>0x010D</v>
      </c>
      <c r="U315" s="18" t="str">
        <f ca="1">IFERROR(__xludf.DUMMYFUNCTION("""COMPUTED_VALUE"""),"0x0A")</f>
        <v>0x0A</v>
      </c>
      <c r="V315" s="18" t="str">
        <f ca="1">IFERROR(__xludf.DUMMYFUNCTION("""COMPUTED_VALUE"""),"0x0104")</f>
        <v>0x0104</v>
      </c>
      <c r="W315" s="18" t="str">
        <f ca="1">IFERROR(__xludf.DUMMYFUNCTION("""COMPUTED_VALUE"""),"0xFC12")</f>
        <v>0xFC12</v>
      </c>
      <c r="X315" s="18" t="str">
        <f ca="1">IFERROR(__xludf.DUMMYFUNCTION("""COMPUTED_VALUE"""),"0xF0")</f>
        <v>0xF0</v>
      </c>
      <c r="Y315" s="18" t="e">
        <f ca="1"/>
        <v>#NAME?</v>
      </c>
      <c r="Z315" s="18" t="str">
        <f ca="1">IFERROR(__xludf.DUMMYFUNCTION("""COMPUTED_VALUE"""),"N/A")</f>
        <v>N/A</v>
      </c>
      <c r="AA315" s="18" t="str">
        <f ca="1">IFERROR(__xludf.DUMMYFUNCTION("""COMPUTED_VALUE"""),"N/A")</f>
        <v>N/A</v>
      </c>
      <c r="AC315" s="59" t="s">
        <v>1447</v>
      </c>
      <c r="AD315" s="59" t="s">
        <v>1482</v>
      </c>
      <c r="AE315" s="59" t="s">
        <v>1355</v>
      </c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</row>
    <row r="316" spans="1:46" x14ac:dyDescent="0.25">
      <c r="A316" s="18" t="str">
        <v>device_table_slot_14:{"type":"attribute","data_type":"uint64","is_readonly":false,"reporting_type":"polled","poll_freq":86400,"default_value":null,"zigbee_metadata":{"attr_id":270,"endpoint_id":10,"profile_id":260,"cluster_id":64530,"zcl_data_type":240}},</v>
      </c>
      <c r="B316" s="52" t="str">
        <f ca="1"/>
        <v>0xFC12 0x010E</v>
      </c>
      <c r="C316" s="52" t="str">
        <f ca="1">IFERROR(__xludf.DUMMYFUNCTION("""COMPUTED_VALUE"""),"device_table_slot_14")</f>
        <v>device_table_slot_14</v>
      </c>
      <c r="D316" s="18" t="str">
        <f ca="1">IFERROR(__xludf.DUMMYFUNCTION("""COMPUTED_VALUE"""),"attribute")</f>
        <v>attribute</v>
      </c>
      <c r="E316" s="18" t="str">
        <f ca="1">IFERROR(__xludf.DUMMYFUNCTION("""COMPUTED_VALUE"""),"uint64")</f>
        <v>uint64</v>
      </c>
      <c r="F316" s="18" t="str">
        <f ca="1">IFERROR(__xludf.DUMMYFUNCTION("""COMPUTED_VALUE"""),"false")</f>
        <v>false</v>
      </c>
      <c r="G316" s="18" t="str">
        <f ca="1">IFERROR(__xludf.DUMMYFUNCTION("""COMPUTED_VALUE"""),"polled")</f>
        <v>polled</v>
      </c>
      <c r="H316" s="18" t="str">
        <f ca="1">IFERROR(__xludf.DUMMYFUNCTION("""COMPUTED_VALUE"""),"86400")</f>
        <v>86400</v>
      </c>
      <c r="I316" s="18" t="str">
        <f ca="1">IFERROR(__xludf.DUMMYFUNCTION("""COMPUTED_VALUE"""),"N/A")</f>
        <v>N/A</v>
      </c>
      <c r="J316" s="18" t="str">
        <f ca="1">IFERROR(__xludf.DUMMYFUNCTION("""COMPUTED_VALUE"""),"N/A")</f>
        <v>N/A</v>
      </c>
      <c r="K316" s="18" t="str">
        <f ca="1">IFERROR(__xludf.DUMMYFUNCTION("""COMPUTED_VALUE"""),"N/A")</f>
        <v>N/A</v>
      </c>
      <c r="L316" s="18" t="str">
        <f ca="1">IFERROR(__xludf.DUMMYFUNCTION("""COMPUTED_VALUE"""),"N/A")</f>
        <v>N/A</v>
      </c>
      <c r="M316" s="18" t="str">
        <f ca="1">IFERROR(__xludf.DUMMYFUNCTION("""COMPUTED_VALUE"""),"N/A")</f>
        <v>N/A</v>
      </c>
      <c r="N316" s="18" t="str">
        <f ca="1">IFERROR(__xludf.DUMMYFUNCTION("""COMPUTED_VALUE"""),"N/A")</f>
        <v>N/A</v>
      </c>
      <c r="O316" s="18" t="str">
        <f ca="1">IFERROR(__xludf.DUMMYFUNCTION("""COMPUTED_VALUE"""),"N/A")</f>
        <v>N/A</v>
      </c>
      <c r="P316" s="18" t="str">
        <f ca="1">IFERROR(__xludf.DUMMYFUNCTION("""COMPUTED_VALUE"""),"N/A")</f>
        <v>N/A</v>
      </c>
      <c r="Q316" s="18" t="str">
        <f ca="1">IFERROR(__xludf.DUMMYFUNCTION("""COMPUTED_VALUE"""),"N/A")</f>
        <v>N/A</v>
      </c>
      <c r="R316" s="18" t="str">
        <f ca="1">IFERROR(__xludf.DUMMYFUNCTION("""COMPUTED_VALUE"""),"N/A")</f>
        <v>N/A</v>
      </c>
      <c r="S316" s="18" t="str">
        <f ca="1">IFERROR(__xludf.DUMMYFUNCTION("""COMPUTED_VALUE"""),"null")</f>
        <v>null</v>
      </c>
      <c r="T316" s="18" t="str">
        <f ca="1">IFERROR(__xludf.DUMMYFUNCTION("""COMPUTED_VALUE"""),"0x010E")</f>
        <v>0x010E</v>
      </c>
      <c r="U316" s="18" t="str">
        <f ca="1">IFERROR(__xludf.DUMMYFUNCTION("""COMPUTED_VALUE"""),"0x0A")</f>
        <v>0x0A</v>
      </c>
      <c r="V316" s="18" t="str">
        <f ca="1">IFERROR(__xludf.DUMMYFUNCTION("""COMPUTED_VALUE"""),"0x0104")</f>
        <v>0x0104</v>
      </c>
      <c r="W316" s="18" t="str">
        <f ca="1">IFERROR(__xludf.DUMMYFUNCTION("""COMPUTED_VALUE"""),"0xFC12")</f>
        <v>0xFC12</v>
      </c>
      <c r="X316" s="18" t="str">
        <f ca="1">IFERROR(__xludf.DUMMYFUNCTION("""COMPUTED_VALUE"""),"0xF0")</f>
        <v>0xF0</v>
      </c>
      <c r="Y316" s="18" t="e">
        <f ca="1"/>
        <v>#NAME?</v>
      </c>
      <c r="Z316" s="18" t="str">
        <f ca="1">IFERROR(__xludf.DUMMYFUNCTION("""COMPUTED_VALUE"""),"N/A")</f>
        <v>N/A</v>
      </c>
      <c r="AA316" s="18" t="str">
        <f ca="1">IFERROR(__xludf.DUMMYFUNCTION("""COMPUTED_VALUE"""),"N/A")</f>
        <v>N/A</v>
      </c>
      <c r="AC316" s="59" t="s">
        <v>1450</v>
      </c>
      <c r="AD316" s="59" t="s">
        <v>1488</v>
      </c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</row>
    <row r="317" spans="1:46" x14ac:dyDescent="0.25">
      <c r="A317" s="18" t="str">
        <v>device_table_slot_15:{"type":"attribute","data_type":"uint64","is_readonly":false,"reporting_type":"polled","poll_freq":86400,"default_value":null,"zigbee_metadata":{"attr_id":271,"endpoint_id":10,"profile_id":260,"cluster_id":64530,"zcl_data_type":240}},</v>
      </c>
      <c r="B317" s="52" t="str">
        <f ca="1"/>
        <v>0xFC12 0x010F</v>
      </c>
      <c r="C317" s="52" t="str">
        <f ca="1">IFERROR(__xludf.DUMMYFUNCTION("""COMPUTED_VALUE"""),"device_table_slot_15")</f>
        <v>device_table_slot_15</v>
      </c>
      <c r="D317" s="18" t="str">
        <f ca="1">IFERROR(__xludf.DUMMYFUNCTION("""COMPUTED_VALUE"""),"attribute")</f>
        <v>attribute</v>
      </c>
      <c r="E317" s="18" t="str">
        <f ca="1">IFERROR(__xludf.DUMMYFUNCTION("""COMPUTED_VALUE"""),"uint64")</f>
        <v>uint64</v>
      </c>
      <c r="F317" s="18" t="str">
        <f ca="1">IFERROR(__xludf.DUMMYFUNCTION("""COMPUTED_VALUE"""),"false")</f>
        <v>false</v>
      </c>
      <c r="G317" s="18" t="str">
        <f ca="1">IFERROR(__xludf.DUMMYFUNCTION("""COMPUTED_VALUE"""),"polled")</f>
        <v>polled</v>
      </c>
      <c r="H317" s="18" t="str">
        <f ca="1">IFERROR(__xludf.DUMMYFUNCTION("""COMPUTED_VALUE"""),"86400")</f>
        <v>86400</v>
      </c>
      <c r="I317" s="18" t="str">
        <f ca="1">IFERROR(__xludf.DUMMYFUNCTION("""COMPUTED_VALUE"""),"N/A")</f>
        <v>N/A</v>
      </c>
      <c r="J317" s="18" t="str">
        <f ca="1">IFERROR(__xludf.DUMMYFUNCTION("""COMPUTED_VALUE"""),"N/A")</f>
        <v>N/A</v>
      </c>
      <c r="K317" s="18" t="str">
        <f ca="1">IFERROR(__xludf.DUMMYFUNCTION("""COMPUTED_VALUE"""),"N/A")</f>
        <v>N/A</v>
      </c>
      <c r="L317" s="18" t="str">
        <f ca="1">IFERROR(__xludf.DUMMYFUNCTION("""COMPUTED_VALUE"""),"N/A")</f>
        <v>N/A</v>
      </c>
      <c r="M317" s="18" t="str">
        <f ca="1">IFERROR(__xludf.DUMMYFUNCTION("""COMPUTED_VALUE"""),"N/A")</f>
        <v>N/A</v>
      </c>
      <c r="N317" s="18" t="str">
        <f ca="1">IFERROR(__xludf.DUMMYFUNCTION("""COMPUTED_VALUE"""),"N/A")</f>
        <v>N/A</v>
      </c>
      <c r="O317" s="18" t="str">
        <f ca="1">IFERROR(__xludf.DUMMYFUNCTION("""COMPUTED_VALUE"""),"N/A")</f>
        <v>N/A</v>
      </c>
      <c r="P317" s="18" t="str">
        <f ca="1">IFERROR(__xludf.DUMMYFUNCTION("""COMPUTED_VALUE"""),"N/A")</f>
        <v>N/A</v>
      </c>
      <c r="Q317" s="18" t="str">
        <f ca="1">IFERROR(__xludf.DUMMYFUNCTION("""COMPUTED_VALUE"""),"N/A")</f>
        <v>N/A</v>
      </c>
      <c r="R317" s="18" t="str">
        <f ca="1">IFERROR(__xludf.DUMMYFUNCTION("""COMPUTED_VALUE"""),"N/A")</f>
        <v>N/A</v>
      </c>
      <c r="S317" s="18" t="str">
        <f ca="1">IFERROR(__xludf.DUMMYFUNCTION("""COMPUTED_VALUE"""),"null")</f>
        <v>null</v>
      </c>
      <c r="T317" s="18" t="str">
        <f ca="1">IFERROR(__xludf.DUMMYFUNCTION("""COMPUTED_VALUE"""),"0x010F")</f>
        <v>0x010F</v>
      </c>
      <c r="U317" s="18" t="str">
        <f ca="1">IFERROR(__xludf.DUMMYFUNCTION("""COMPUTED_VALUE"""),"0x0A")</f>
        <v>0x0A</v>
      </c>
      <c r="V317" s="18" t="str">
        <f ca="1">IFERROR(__xludf.DUMMYFUNCTION("""COMPUTED_VALUE"""),"0x0104")</f>
        <v>0x0104</v>
      </c>
      <c r="W317" s="18" t="str">
        <f ca="1">IFERROR(__xludf.DUMMYFUNCTION("""COMPUTED_VALUE"""),"0xFC12")</f>
        <v>0xFC12</v>
      </c>
      <c r="X317" s="18" t="str">
        <f ca="1">IFERROR(__xludf.DUMMYFUNCTION("""COMPUTED_VALUE"""),"0xF0")</f>
        <v>0xF0</v>
      </c>
      <c r="Y317" s="18" t="e">
        <f ca="1"/>
        <v>#NAME?</v>
      </c>
      <c r="Z317" s="18" t="str">
        <f ca="1">IFERROR(__xludf.DUMMYFUNCTION("""COMPUTED_VALUE"""),"N/A")</f>
        <v>N/A</v>
      </c>
      <c r="AA317" s="18" t="str">
        <f ca="1">IFERROR(__xludf.DUMMYFUNCTION("""COMPUTED_VALUE"""),"N/A")</f>
        <v>N/A</v>
      </c>
      <c r="AC317" s="59" t="s">
        <v>1453</v>
      </c>
      <c r="AD317" s="59" t="s">
        <v>1494</v>
      </c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</row>
    <row r="318" spans="1:46" x14ac:dyDescent="0.25">
      <c r="A318" s="18" t="str">
        <v>device_table_slot_16:{"type":"attribute","data_type":"uint64","is_readonly":false,"reporting_type":"polled","poll_freq":86400,"default_value":null,"zigbee_metadata":{"attr_id":272,"endpoint_id":10,"profile_id":260,"cluster_id":64530,"zcl_data_type":240}}},</v>
      </c>
      <c r="B318" s="52" t="str">
        <f ca="1"/>
        <v>0xFC12 0x0110</v>
      </c>
      <c r="C318" s="52" t="str">
        <f ca="1">IFERROR(__xludf.DUMMYFUNCTION("""COMPUTED_VALUE"""),"device_table_slot_16")</f>
        <v>device_table_slot_16</v>
      </c>
      <c r="D318" s="18" t="str">
        <f ca="1">IFERROR(__xludf.DUMMYFUNCTION("""COMPUTED_VALUE"""),"attribute")</f>
        <v>attribute</v>
      </c>
      <c r="E318" s="18" t="str">
        <f ca="1">IFERROR(__xludf.DUMMYFUNCTION("""COMPUTED_VALUE"""),"uint64")</f>
        <v>uint64</v>
      </c>
      <c r="F318" s="18" t="str">
        <f ca="1">IFERROR(__xludf.DUMMYFUNCTION("""COMPUTED_VALUE"""),"false")</f>
        <v>false</v>
      </c>
      <c r="G318" s="18" t="str">
        <f ca="1">IFERROR(__xludf.DUMMYFUNCTION("""COMPUTED_VALUE"""),"polled")</f>
        <v>polled</v>
      </c>
      <c r="H318" s="18" t="str">
        <f ca="1">IFERROR(__xludf.DUMMYFUNCTION("""COMPUTED_VALUE"""),"86400")</f>
        <v>86400</v>
      </c>
      <c r="I318" s="18" t="str">
        <f ca="1">IFERROR(__xludf.DUMMYFUNCTION("""COMPUTED_VALUE"""),"N/A")</f>
        <v>N/A</v>
      </c>
      <c r="J318" s="18" t="str">
        <f ca="1">IFERROR(__xludf.DUMMYFUNCTION("""COMPUTED_VALUE"""),"N/A")</f>
        <v>N/A</v>
      </c>
      <c r="K318" s="18" t="str">
        <f ca="1">IFERROR(__xludf.DUMMYFUNCTION("""COMPUTED_VALUE"""),"N/A")</f>
        <v>N/A</v>
      </c>
      <c r="L318" s="18" t="str">
        <f ca="1">IFERROR(__xludf.DUMMYFUNCTION("""COMPUTED_VALUE"""),"N/A")</f>
        <v>N/A</v>
      </c>
      <c r="M318" s="18" t="str">
        <f ca="1">IFERROR(__xludf.DUMMYFUNCTION("""COMPUTED_VALUE"""),"N/A")</f>
        <v>N/A</v>
      </c>
      <c r="N318" s="18" t="str">
        <f ca="1">IFERROR(__xludf.DUMMYFUNCTION("""COMPUTED_VALUE"""),"N/A")</f>
        <v>N/A</v>
      </c>
      <c r="O318" s="18" t="str">
        <f ca="1">IFERROR(__xludf.DUMMYFUNCTION("""COMPUTED_VALUE"""),"N/A")</f>
        <v>N/A</v>
      </c>
      <c r="P318" s="18" t="str">
        <f ca="1">IFERROR(__xludf.DUMMYFUNCTION("""COMPUTED_VALUE"""),"N/A")</f>
        <v>N/A</v>
      </c>
      <c r="Q318" s="18" t="str">
        <f ca="1">IFERROR(__xludf.DUMMYFUNCTION("""COMPUTED_VALUE"""),"N/A")</f>
        <v>N/A</v>
      </c>
      <c r="R318" s="18" t="str">
        <f ca="1">IFERROR(__xludf.DUMMYFUNCTION("""COMPUTED_VALUE"""),"N/A")</f>
        <v>N/A</v>
      </c>
      <c r="S318" s="18" t="str">
        <f ca="1">IFERROR(__xludf.DUMMYFUNCTION("""COMPUTED_VALUE"""),"null")</f>
        <v>null</v>
      </c>
      <c r="T318" s="18" t="str">
        <f ca="1">IFERROR(__xludf.DUMMYFUNCTION("""COMPUTED_VALUE"""),"0x0110")</f>
        <v>0x0110</v>
      </c>
      <c r="U318" s="18" t="str">
        <f ca="1">IFERROR(__xludf.DUMMYFUNCTION("""COMPUTED_VALUE"""),"0x0A")</f>
        <v>0x0A</v>
      </c>
      <c r="V318" s="18" t="str">
        <f ca="1">IFERROR(__xludf.DUMMYFUNCTION("""COMPUTED_VALUE"""),"0x0104")</f>
        <v>0x0104</v>
      </c>
      <c r="W318" s="18" t="str">
        <f ca="1">IFERROR(__xludf.DUMMYFUNCTION("""COMPUTED_VALUE"""),"0xFC12")</f>
        <v>0xFC12</v>
      </c>
      <c r="X318" s="18" t="str">
        <f ca="1">IFERROR(__xludf.DUMMYFUNCTION("""COMPUTED_VALUE"""),"0xF0")</f>
        <v>0xF0</v>
      </c>
      <c r="Y318" s="18" t="e">
        <f ca="1"/>
        <v>#NAME?</v>
      </c>
      <c r="Z318" s="18" t="str">
        <f ca="1">IFERROR(__xludf.DUMMYFUNCTION("""COMPUTED_VALUE"""),"N/A")</f>
        <v>N/A</v>
      </c>
      <c r="AA318" s="18" t="str">
        <f ca="1">IFERROR(__xludf.DUMMYFUNCTION("""COMPUTED_VALUE"""),"N/A")</f>
        <v>N/A</v>
      </c>
      <c r="AC318" s="59" t="s">
        <v>1455</v>
      </c>
      <c r="AD318" s="59" t="s">
        <v>1500</v>
      </c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</row>
    <row r="319" spans="1:46" x14ac:dyDescent="0.25">
      <c r="A319" s="18" t="str">
        <v>commands:{},</v>
      </c>
      <c r="B319" s="52" t="str">
        <f ca="1"/>
        <v>N/A</v>
      </c>
      <c r="C319" s="52" t="str">
        <f ca="1">IFERROR(__xludf.DUMMYFUNCTION("""COMPUTED_VALUE"""),"N/A")</f>
        <v>N/A</v>
      </c>
      <c r="D319" s="18" t="str">
        <f ca="1">IFERROR(__xludf.DUMMYFUNCTION("""COMPUTED_VALUE"""),"N/A")</f>
        <v>N/A</v>
      </c>
      <c r="E319" s="18" t="str">
        <f ca="1">IFERROR(__xludf.DUMMYFUNCTION("""COMPUTED_VALUE"""),"N/A")</f>
        <v>N/A</v>
      </c>
      <c r="F319" s="18" t="str">
        <f ca="1">IFERROR(__xludf.DUMMYFUNCTION("""COMPUTED_VALUE"""),"N/A")</f>
        <v>N/A</v>
      </c>
      <c r="G319" s="18" t="str">
        <f ca="1">IFERROR(__xludf.DUMMYFUNCTION("""COMPUTED_VALUE"""),"N/A")</f>
        <v>N/A</v>
      </c>
      <c r="H319" s="18" t="str">
        <f ca="1">IFERROR(__xludf.DUMMYFUNCTION("""COMPUTED_VALUE"""),"N/A")</f>
        <v>N/A</v>
      </c>
      <c r="I319" s="18" t="str">
        <f ca="1">IFERROR(__xludf.DUMMYFUNCTION("""COMPUTED_VALUE"""),"N/A")</f>
        <v>N/A</v>
      </c>
      <c r="J319" s="18" t="str">
        <f ca="1">IFERROR(__xludf.DUMMYFUNCTION("""COMPUTED_VALUE"""),"N/A")</f>
        <v>N/A</v>
      </c>
      <c r="K319" s="18" t="str">
        <f ca="1">IFERROR(__xludf.DUMMYFUNCTION("""COMPUTED_VALUE"""),"N/A")</f>
        <v>N/A</v>
      </c>
      <c r="L319" s="18" t="str">
        <f ca="1">IFERROR(__xludf.DUMMYFUNCTION("""COMPUTED_VALUE"""),"N/A")</f>
        <v>N/A</v>
      </c>
      <c r="M319" s="18" t="str">
        <f ca="1">IFERROR(__xludf.DUMMYFUNCTION("""COMPUTED_VALUE"""),"N/A")</f>
        <v>N/A</v>
      </c>
      <c r="N319" s="18" t="str">
        <f ca="1">IFERROR(__xludf.DUMMYFUNCTION("""COMPUTED_VALUE"""),"N/A")</f>
        <v>N/A</v>
      </c>
      <c r="O319" s="18" t="str">
        <f ca="1">IFERROR(__xludf.DUMMYFUNCTION("""COMPUTED_VALUE"""),"N/A")</f>
        <v>N/A</v>
      </c>
      <c r="P319" s="18" t="str">
        <f ca="1">IFERROR(__xludf.DUMMYFUNCTION("""COMPUTED_VALUE"""),"N/A")</f>
        <v>N/A</v>
      </c>
      <c r="Q319" s="18" t="str">
        <f ca="1">IFERROR(__xludf.DUMMYFUNCTION("""COMPUTED_VALUE"""),"N/A")</f>
        <v>N/A</v>
      </c>
      <c r="R319" s="18" t="str">
        <f ca="1">IFERROR(__xludf.DUMMYFUNCTION("""COMPUTED_VALUE"""),"N/A")</f>
        <v>N/A</v>
      </c>
      <c r="S319" s="18" t="str">
        <f ca="1">IFERROR(__xludf.DUMMYFUNCTION("""COMPUTED_VALUE"""),"N/A")</f>
        <v>N/A</v>
      </c>
      <c r="T319" s="18" t="str">
        <f ca="1">IFERROR(__xludf.DUMMYFUNCTION("""COMPUTED_VALUE"""),"N/A")</f>
        <v>N/A</v>
      </c>
      <c r="U319" s="18" t="str">
        <f ca="1">IFERROR(__xludf.DUMMYFUNCTION("""COMPUTED_VALUE"""),"N/A")</f>
        <v>N/A</v>
      </c>
      <c r="V319" s="18" t="str">
        <f ca="1">IFERROR(__xludf.DUMMYFUNCTION("""COMPUTED_VALUE"""),"N/A")</f>
        <v>N/A</v>
      </c>
      <c r="W319" s="18" t="str">
        <f ca="1">IFERROR(__xludf.DUMMYFUNCTION("""COMPUTED_VALUE"""),"N/A")</f>
        <v>N/A</v>
      </c>
      <c r="X319" s="18" t="str">
        <f ca="1">IFERROR(__xludf.DUMMYFUNCTION("""COMPUTED_VALUE"""),"N/A")</f>
        <v>N/A</v>
      </c>
      <c r="Y319" s="18" t="e">
        <f ca="1"/>
        <v>#NAME?</v>
      </c>
      <c r="Z319" s="18" t="str">
        <f ca="1">IFERROR(__xludf.DUMMYFUNCTION("""COMPUTED_VALUE"""),"N/A")</f>
        <v>N/A</v>
      </c>
      <c r="AA319" s="18" t="str">
        <f ca="1">IFERROR(__xludf.DUMMYFUNCTION("""COMPUTED_VALUE"""),"N/A")</f>
        <v>N/A</v>
      </c>
      <c r="AC319" s="59" t="s">
        <v>1457</v>
      </c>
      <c r="AD319" s="59" t="s">
        <v>1506</v>
      </c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</row>
    <row r="320" spans="1:46" x14ac:dyDescent="0.25">
      <c r="A320" s="18" t="str">
        <v>plugs:{},</v>
      </c>
      <c r="B320" s="52" t="str">
        <f ca="1"/>
        <v>N/A</v>
      </c>
      <c r="C320" s="52" t="str">
        <f ca="1">IFERROR(__xludf.DUMMYFUNCTION("""COMPUTED_VALUE"""),"N/A")</f>
        <v>N/A</v>
      </c>
      <c r="D320" s="18" t="str">
        <f ca="1">IFERROR(__xludf.DUMMYFUNCTION("""COMPUTED_VALUE"""),"N/A")</f>
        <v>N/A</v>
      </c>
      <c r="E320" s="18" t="str">
        <f ca="1">IFERROR(__xludf.DUMMYFUNCTION("""COMPUTED_VALUE"""),"N/A")</f>
        <v>N/A</v>
      </c>
      <c r="F320" s="18" t="str">
        <f ca="1">IFERROR(__xludf.DUMMYFUNCTION("""COMPUTED_VALUE"""),"N/A")</f>
        <v>N/A</v>
      </c>
      <c r="G320" s="18" t="str">
        <f ca="1">IFERROR(__xludf.DUMMYFUNCTION("""COMPUTED_VALUE"""),"N/A")</f>
        <v>N/A</v>
      </c>
      <c r="H320" s="18" t="str">
        <f ca="1">IFERROR(__xludf.DUMMYFUNCTION("""COMPUTED_VALUE"""),"N/A")</f>
        <v>N/A</v>
      </c>
      <c r="I320" s="18" t="str">
        <f ca="1">IFERROR(__xludf.DUMMYFUNCTION("""COMPUTED_VALUE"""),"N/A")</f>
        <v>N/A</v>
      </c>
      <c r="J320" s="18" t="str">
        <f ca="1">IFERROR(__xludf.DUMMYFUNCTION("""COMPUTED_VALUE"""),"N/A")</f>
        <v>N/A</v>
      </c>
      <c r="K320" s="18" t="str">
        <f ca="1">IFERROR(__xludf.DUMMYFUNCTION("""COMPUTED_VALUE"""),"N/A")</f>
        <v>N/A</v>
      </c>
      <c r="L320" s="18" t="str">
        <f ca="1">IFERROR(__xludf.DUMMYFUNCTION("""COMPUTED_VALUE"""),"N/A")</f>
        <v>N/A</v>
      </c>
      <c r="M320" s="18" t="str">
        <f ca="1">IFERROR(__xludf.DUMMYFUNCTION("""COMPUTED_VALUE"""),"N/A")</f>
        <v>N/A</v>
      </c>
      <c r="N320" s="18" t="str">
        <f ca="1">IFERROR(__xludf.DUMMYFUNCTION("""COMPUTED_VALUE"""),"N/A")</f>
        <v>N/A</v>
      </c>
      <c r="O320" s="18" t="str">
        <f ca="1">IFERROR(__xludf.DUMMYFUNCTION("""COMPUTED_VALUE"""),"N/A")</f>
        <v>N/A</v>
      </c>
      <c r="P320" s="18" t="str">
        <f ca="1">IFERROR(__xludf.DUMMYFUNCTION("""COMPUTED_VALUE"""),"N/A")</f>
        <v>N/A</v>
      </c>
      <c r="Q320" s="18" t="str">
        <f ca="1">IFERROR(__xludf.DUMMYFUNCTION("""COMPUTED_VALUE"""),"N/A")</f>
        <v>N/A</v>
      </c>
      <c r="R320" s="18" t="str">
        <f ca="1">IFERROR(__xludf.DUMMYFUNCTION("""COMPUTED_VALUE"""),"N/A")</f>
        <v>N/A</v>
      </c>
      <c r="S320" s="18" t="str">
        <f ca="1">IFERROR(__xludf.DUMMYFUNCTION("""COMPUTED_VALUE"""),"N/A")</f>
        <v>N/A</v>
      </c>
      <c r="T320" s="18" t="str">
        <f ca="1">IFERROR(__xludf.DUMMYFUNCTION("""COMPUTED_VALUE"""),"N/A")</f>
        <v>N/A</v>
      </c>
      <c r="U320" s="18" t="str">
        <f ca="1">IFERROR(__xludf.DUMMYFUNCTION("""COMPUTED_VALUE"""),"N/A")</f>
        <v>N/A</v>
      </c>
      <c r="V320" s="18" t="str">
        <f ca="1">IFERROR(__xludf.DUMMYFUNCTION("""COMPUTED_VALUE"""),"N/A")</f>
        <v>N/A</v>
      </c>
      <c r="W320" s="18" t="str">
        <f ca="1">IFERROR(__xludf.DUMMYFUNCTION("""COMPUTED_VALUE"""),"N/A")</f>
        <v>N/A</v>
      </c>
      <c r="X320" s="18" t="str">
        <f ca="1">IFERROR(__xludf.DUMMYFUNCTION("""COMPUTED_VALUE"""),"N/A")</f>
        <v>N/A</v>
      </c>
      <c r="Y320" s="18" t="e">
        <f ca="1"/>
        <v>#NAME?</v>
      </c>
      <c r="Z320" s="18" t="str">
        <f ca="1">IFERROR(__xludf.DUMMYFUNCTION("""COMPUTED_VALUE"""),"N/A")</f>
        <v>N/A</v>
      </c>
      <c r="AA320" s="18" t="str">
        <f ca="1">IFERROR(__xludf.DUMMYFUNCTION("""COMPUTED_VALUE"""),"N/A")</f>
        <v>N/A</v>
      </c>
      <c r="AC320" s="59" t="s">
        <v>1459</v>
      </c>
      <c r="AD320" s="59" t="s">
        <v>1511</v>
      </c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</row>
    <row r="321" spans="1:46" x14ac:dyDescent="0.25">
      <c r="A321" s="18" t="str">
        <v>sockets:{},</v>
      </c>
      <c r="B321" s="52" t="str">
        <f ca="1"/>
        <v>N/A</v>
      </c>
      <c r="C321" s="52" t="str">
        <f ca="1">IFERROR(__xludf.DUMMYFUNCTION("""COMPUTED_VALUE"""),"N/A")</f>
        <v>N/A</v>
      </c>
      <c r="D321" s="18" t="str">
        <f ca="1">IFERROR(__xludf.DUMMYFUNCTION("""COMPUTED_VALUE"""),"N/A")</f>
        <v>N/A</v>
      </c>
      <c r="E321" s="18" t="str">
        <f ca="1">IFERROR(__xludf.DUMMYFUNCTION("""COMPUTED_VALUE"""),"N/A")</f>
        <v>N/A</v>
      </c>
      <c r="F321" s="18" t="str">
        <f ca="1">IFERROR(__xludf.DUMMYFUNCTION("""COMPUTED_VALUE"""),"N/A")</f>
        <v>N/A</v>
      </c>
      <c r="G321" s="18" t="str">
        <f ca="1">IFERROR(__xludf.DUMMYFUNCTION("""COMPUTED_VALUE"""),"N/A")</f>
        <v>N/A</v>
      </c>
      <c r="H321" s="18" t="str">
        <f ca="1">IFERROR(__xludf.DUMMYFUNCTION("""COMPUTED_VALUE"""),"N/A")</f>
        <v>N/A</v>
      </c>
      <c r="I321" s="18" t="str">
        <f ca="1">IFERROR(__xludf.DUMMYFUNCTION("""COMPUTED_VALUE"""),"N/A")</f>
        <v>N/A</v>
      </c>
      <c r="J321" s="18" t="str">
        <f ca="1">IFERROR(__xludf.DUMMYFUNCTION("""COMPUTED_VALUE"""),"N/A")</f>
        <v>N/A</v>
      </c>
      <c r="K321" s="18" t="str">
        <f ca="1">IFERROR(__xludf.DUMMYFUNCTION("""COMPUTED_VALUE"""),"N/A")</f>
        <v>N/A</v>
      </c>
      <c r="L321" s="18" t="str">
        <f ca="1">IFERROR(__xludf.DUMMYFUNCTION("""COMPUTED_VALUE"""),"N/A")</f>
        <v>N/A</v>
      </c>
      <c r="M321" s="18" t="str">
        <f ca="1">IFERROR(__xludf.DUMMYFUNCTION("""COMPUTED_VALUE"""),"N/A")</f>
        <v>N/A</v>
      </c>
      <c r="N321" s="18" t="str">
        <f ca="1">IFERROR(__xludf.DUMMYFUNCTION("""COMPUTED_VALUE"""),"N/A")</f>
        <v>N/A</v>
      </c>
      <c r="O321" s="18" t="str">
        <f ca="1">IFERROR(__xludf.DUMMYFUNCTION("""COMPUTED_VALUE"""),"N/A")</f>
        <v>N/A</v>
      </c>
      <c r="P321" s="18" t="str">
        <f ca="1">IFERROR(__xludf.DUMMYFUNCTION("""COMPUTED_VALUE"""),"N/A")</f>
        <v>N/A</v>
      </c>
      <c r="Q321" s="18" t="str">
        <f ca="1">IFERROR(__xludf.DUMMYFUNCTION("""COMPUTED_VALUE"""),"N/A")</f>
        <v>N/A</v>
      </c>
      <c r="R321" s="18" t="str">
        <f ca="1">IFERROR(__xludf.DUMMYFUNCTION("""COMPUTED_VALUE"""),"N/A")</f>
        <v>N/A</v>
      </c>
      <c r="S321" s="18" t="str">
        <f ca="1">IFERROR(__xludf.DUMMYFUNCTION("""COMPUTED_VALUE"""),"N/A")</f>
        <v>N/A</v>
      </c>
      <c r="T321" s="18" t="str">
        <f ca="1">IFERROR(__xludf.DUMMYFUNCTION("""COMPUTED_VALUE"""),"N/A")</f>
        <v>N/A</v>
      </c>
      <c r="U321" s="18" t="str">
        <f ca="1">IFERROR(__xludf.DUMMYFUNCTION("""COMPUTED_VALUE"""),"N/A")</f>
        <v>N/A</v>
      </c>
      <c r="V321" s="18" t="str">
        <f ca="1">IFERROR(__xludf.DUMMYFUNCTION("""COMPUTED_VALUE"""),"N/A")</f>
        <v>N/A</v>
      </c>
      <c r="W321" s="18" t="str">
        <f ca="1">IFERROR(__xludf.DUMMYFUNCTION("""COMPUTED_VALUE"""),"N/A")</f>
        <v>N/A</v>
      </c>
      <c r="X321" s="18" t="str">
        <f ca="1">IFERROR(__xludf.DUMMYFUNCTION("""COMPUTED_VALUE"""),"N/A")</f>
        <v>N/A</v>
      </c>
      <c r="Y321" s="18" t="e">
        <f ca="1"/>
        <v>#NAME?</v>
      </c>
      <c r="Z321" s="18" t="str">
        <f ca="1">IFERROR(__xludf.DUMMYFUNCTION("""COMPUTED_VALUE"""),"N/A")</f>
        <v>N/A</v>
      </c>
      <c r="AA321" s="18" t="str">
        <f ca="1">IFERROR(__xludf.DUMMYFUNCTION("""COMPUTED_VALUE"""),"N/A")</f>
        <v>N/A</v>
      </c>
      <c r="AC321" s="59" t="s">
        <v>1461</v>
      </c>
      <c r="AD321" s="59" t="s">
        <v>1516</v>
      </c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</row>
    <row r="322" spans="1:46" x14ac:dyDescent="0.25">
      <c r="A322" s="18" t="str">
        <v>protocol_settings:{"identifying_params":{"basic_model":"TouchFlex-WZ","basic_hw_ver":0,"basic_hw_ver_conditional":"=="},</v>
      </c>
      <c r="B322" s="52" t="str">
        <f ca="1"/>
        <v>N/A</v>
      </c>
      <c r="C322" s="52" t="str">
        <f ca="1">IFERROR(__xludf.DUMMYFUNCTION("""COMPUTED_VALUE"""),"N/A")</f>
        <v>N/A</v>
      </c>
      <c r="D322" s="18" t="str">
        <f ca="1">IFERROR(__xludf.DUMMYFUNCTION("""COMPUTED_VALUE"""),"N/A")</f>
        <v>N/A</v>
      </c>
      <c r="E322" s="18" t="str">
        <f ca="1">IFERROR(__xludf.DUMMYFUNCTION("""COMPUTED_VALUE"""),"N/A")</f>
        <v>N/A</v>
      </c>
      <c r="F322" s="18" t="str">
        <f ca="1">IFERROR(__xludf.DUMMYFUNCTION("""COMPUTED_VALUE"""),"N/A")</f>
        <v>N/A</v>
      </c>
      <c r="G322" s="18" t="str">
        <f ca="1">IFERROR(__xludf.DUMMYFUNCTION("""COMPUTED_VALUE"""),"N/A")</f>
        <v>N/A</v>
      </c>
      <c r="H322" s="18" t="str">
        <f ca="1">IFERROR(__xludf.DUMMYFUNCTION("""COMPUTED_VALUE"""),"N/A")</f>
        <v>N/A</v>
      </c>
      <c r="I322" s="18" t="str">
        <f ca="1">IFERROR(__xludf.DUMMYFUNCTION("""COMPUTED_VALUE"""),"N/A")</f>
        <v>N/A</v>
      </c>
      <c r="J322" s="18" t="str">
        <f ca="1">IFERROR(__xludf.DUMMYFUNCTION("""COMPUTED_VALUE"""),"N/A")</f>
        <v>N/A</v>
      </c>
      <c r="K322" s="18" t="str">
        <f ca="1">IFERROR(__xludf.DUMMYFUNCTION("""COMPUTED_VALUE"""),"N/A")</f>
        <v>N/A</v>
      </c>
      <c r="L322" s="18" t="str">
        <f ca="1">IFERROR(__xludf.DUMMYFUNCTION("""COMPUTED_VALUE"""),"N/A")</f>
        <v>N/A</v>
      </c>
      <c r="M322" s="18" t="str">
        <f ca="1">IFERROR(__xludf.DUMMYFUNCTION("""COMPUTED_VALUE"""),"N/A")</f>
        <v>N/A</v>
      </c>
      <c r="N322" s="18" t="str">
        <f ca="1">IFERROR(__xludf.DUMMYFUNCTION("""COMPUTED_VALUE"""),"N/A")</f>
        <v>N/A</v>
      </c>
      <c r="O322" s="18" t="str">
        <f ca="1">IFERROR(__xludf.DUMMYFUNCTION("""COMPUTED_VALUE"""),"N/A")</f>
        <v>N/A</v>
      </c>
      <c r="P322" s="18" t="str">
        <f ca="1">IFERROR(__xludf.DUMMYFUNCTION("""COMPUTED_VALUE"""),"N/A")</f>
        <v>N/A</v>
      </c>
      <c r="Q322" s="18" t="str">
        <f ca="1">IFERROR(__xludf.DUMMYFUNCTION("""COMPUTED_VALUE"""),"N/A")</f>
        <v>N/A</v>
      </c>
      <c r="R322" s="18" t="str">
        <f ca="1">IFERROR(__xludf.DUMMYFUNCTION("""COMPUTED_VALUE"""),"N/A")</f>
        <v>N/A</v>
      </c>
      <c r="S322" s="18" t="str">
        <f ca="1">IFERROR(__xludf.DUMMYFUNCTION("""COMPUTED_VALUE"""),"N/A")</f>
        <v>N/A</v>
      </c>
      <c r="T322" s="18" t="str">
        <f ca="1">IFERROR(__xludf.DUMMYFUNCTION("""COMPUTED_VALUE"""),"N/A")</f>
        <v>N/A</v>
      </c>
      <c r="U322" s="18" t="str">
        <f ca="1">IFERROR(__xludf.DUMMYFUNCTION("""COMPUTED_VALUE"""),"N/A")</f>
        <v>N/A</v>
      </c>
      <c r="V322" s="18" t="str">
        <f ca="1">IFERROR(__xludf.DUMMYFUNCTION("""COMPUTED_VALUE"""),"N/A")</f>
        <v>N/A</v>
      </c>
      <c r="W322" s="18" t="str">
        <f ca="1">IFERROR(__xludf.DUMMYFUNCTION("""COMPUTED_VALUE"""),"N/A")</f>
        <v>N/A</v>
      </c>
      <c r="X322" s="18" t="str">
        <f ca="1">IFERROR(__xludf.DUMMYFUNCTION("""COMPUTED_VALUE"""),"N/A")</f>
        <v>N/A</v>
      </c>
      <c r="Y322" s="18" t="e">
        <f ca="1"/>
        <v>#NAME?</v>
      </c>
      <c r="Z322" s="18" t="str">
        <f ca="1">IFERROR(__xludf.DUMMYFUNCTION("""COMPUTED_VALUE"""),"N/A")</f>
        <v>N/A</v>
      </c>
      <c r="AA322" s="18" t="str">
        <f ca="1">IFERROR(__xludf.DUMMYFUNCTION("""COMPUTED_VALUE"""),"N/A")</f>
        <v>N/A</v>
      </c>
      <c r="AC322" s="59" t="s">
        <v>1463</v>
      </c>
      <c r="AD322" s="59" t="s">
        <v>1355</v>
      </c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</row>
    <row r="323" spans="1:46" x14ac:dyDescent="0.25">
      <c r="A323" s="18" t="str">
        <v>is_end_device:false,"is_sleepy":false,"cmd_timeout":25,"poll_control_support":false,"ota_support":true,"ota_notify_support":true},</v>
      </c>
      <c r="B323" s="52" t="str">
        <f ca="1"/>
        <v>N/A</v>
      </c>
      <c r="C323" s="52" t="str">
        <f ca="1">IFERROR(__xludf.DUMMYFUNCTION("""COMPUTED_VALUE"""),"N/A")</f>
        <v>N/A</v>
      </c>
      <c r="D323" s="18" t="str">
        <f ca="1">IFERROR(__xludf.DUMMYFUNCTION("""COMPUTED_VALUE"""),"N/A")</f>
        <v>N/A</v>
      </c>
      <c r="E323" s="18" t="str">
        <f ca="1">IFERROR(__xludf.DUMMYFUNCTION("""COMPUTED_VALUE"""),"N/A")</f>
        <v>N/A</v>
      </c>
      <c r="F323" s="18" t="str">
        <f ca="1">IFERROR(__xludf.DUMMYFUNCTION("""COMPUTED_VALUE"""),"N/A")</f>
        <v>N/A</v>
      </c>
      <c r="G323" s="18" t="str">
        <f ca="1">IFERROR(__xludf.DUMMYFUNCTION("""COMPUTED_VALUE"""),"N/A")</f>
        <v>N/A</v>
      </c>
      <c r="H323" s="18" t="str">
        <f ca="1">IFERROR(__xludf.DUMMYFUNCTION("""COMPUTED_VALUE"""),"N/A")</f>
        <v>N/A</v>
      </c>
      <c r="I323" s="18" t="str">
        <f ca="1">IFERROR(__xludf.DUMMYFUNCTION("""COMPUTED_VALUE"""),"N/A")</f>
        <v>N/A</v>
      </c>
      <c r="J323" s="18" t="str">
        <f ca="1">IFERROR(__xludf.DUMMYFUNCTION("""COMPUTED_VALUE"""),"N/A")</f>
        <v>N/A</v>
      </c>
      <c r="K323" s="18" t="str">
        <f ca="1">IFERROR(__xludf.DUMMYFUNCTION("""COMPUTED_VALUE"""),"N/A")</f>
        <v>N/A</v>
      </c>
      <c r="L323" s="18" t="str">
        <f ca="1">IFERROR(__xludf.DUMMYFUNCTION("""COMPUTED_VALUE"""),"N/A")</f>
        <v>N/A</v>
      </c>
      <c r="M323" s="18" t="str">
        <f ca="1">IFERROR(__xludf.DUMMYFUNCTION("""COMPUTED_VALUE"""),"N/A")</f>
        <v>N/A</v>
      </c>
      <c r="N323" s="18" t="str">
        <f ca="1">IFERROR(__xludf.DUMMYFUNCTION("""COMPUTED_VALUE"""),"N/A")</f>
        <v>N/A</v>
      </c>
      <c r="O323" s="18" t="str">
        <f ca="1">IFERROR(__xludf.DUMMYFUNCTION("""COMPUTED_VALUE"""),"N/A")</f>
        <v>N/A</v>
      </c>
      <c r="P323" s="18" t="str">
        <f ca="1">IFERROR(__xludf.DUMMYFUNCTION("""COMPUTED_VALUE"""),"N/A")</f>
        <v>N/A</v>
      </c>
      <c r="Q323" s="18" t="str">
        <f ca="1">IFERROR(__xludf.DUMMYFUNCTION("""COMPUTED_VALUE"""),"N/A")</f>
        <v>N/A</v>
      </c>
      <c r="R323" s="18" t="str">
        <f ca="1">IFERROR(__xludf.DUMMYFUNCTION("""COMPUTED_VALUE"""),"N/A")</f>
        <v>N/A</v>
      </c>
      <c r="S323" s="18" t="str">
        <f ca="1">IFERROR(__xludf.DUMMYFUNCTION("""COMPUTED_VALUE"""),"N/A")</f>
        <v>N/A</v>
      </c>
      <c r="T323" s="18" t="str">
        <f ca="1">IFERROR(__xludf.DUMMYFUNCTION("""COMPUTED_VALUE"""),"N/A")</f>
        <v>N/A</v>
      </c>
      <c r="U323" s="18" t="str">
        <f ca="1">IFERROR(__xludf.DUMMYFUNCTION("""COMPUTED_VALUE"""),"N/A")</f>
        <v>N/A</v>
      </c>
      <c r="V323" s="18" t="str">
        <f ca="1">IFERROR(__xludf.DUMMYFUNCTION("""COMPUTED_VALUE"""),"N/A")</f>
        <v>N/A</v>
      </c>
      <c r="W323" s="18" t="str">
        <f ca="1">IFERROR(__xludf.DUMMYFUNCTION("""COMPUTED_VALUE"""),"N/A")</f>
        <v>N/A</v>
      </c>
      <c r="X323" s="18" t="str">
        <f ca="1">IFERROR(__xludf.DUMMYFUNCTION("""COMPUTED_VALUE"""),"N/A")</f>
        <v>N/A</v>
      </c>
      <c r="Y323" s="18" t="e">
        <f ca="1"/>
        <v>#NAME?</v>
      </c>
      <c r="Z323" s="18" t="str">
        <f ca="1">IFERROR(__xludf.DUMMYFUNCTION("""COMPUTED_VALUE"""),"N/A")</f>
        <v>N/A</v>
      </c>
      <c r="AA323" s="18" t="str">
        <f ca="1">IFERROR(__xludf.DUMMYFUNCTION("""COMPUTED_VALUE"""),"N/A")</f>
        <v>N/A</v>
      </c>
      <c r="AC323" s="59" t="s">
        <v>1465</v>
      </c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</row>
    <row r="324" spans="1:46" x14ac:dyDescent="0.25">
      <c r="A324" s="18" t="str">
        <v>commissioning_steps:[{"name":{"en":"EnterCommissioningMode"},</v>
      </c>
      <c r="B324" s="52" t="str">
        <f ca="1"/>
        <v>N/A</v>
      </c>
      <c r="C324" s="52" t="str">
        <f ca="1">IFERROR(__xludf.DUMMYFUNCTION("""COMPUTED_VALUE"""),"N/A")</f>
        <v>N/A</v>
      </c>
      <c r="D324" s="18" t="str">
        <f ca="1">IFERROR(__xludf.DUMMYFUNCTION("""COMPUTED_VALUE"""),"N/A")</f>
        <v>N/A</v>
      </c>
      <c r="E324" s="18" t="str">
        <f ca="1">IFERROR(__xludf.DUMMYFUNCTION("""COMPUTED_VALUE"""),"N/A")</f>
        <v>N/A</v>
      </c>
      <c r="F324" s="18" t="str">
        <f ca="1">IFERROR(__xludf.DUMMYFUNCTION("""COMPUTED_VALUE"""),"N/A")</f>
        <v>N/A</v>
      </c>
      <c r="G324" s="18" t="str">
        <f ca="1">IFERROR(__xludf.DUMMYFUNCTION("""COMPUTED_VALUE"""),"N/A")</f>
        <v>N/A</v>
      </c>
      <c r="H324" s="18" t="str">
        <f ca="1">IFERROR(__xludf.DUMMYFUNCTION("""COMPUTED_VALUE"""),"N/A")</f>
        <v>N/A</v>
      </c>
      <c r="I324" s="18" t="str">
        <f ca="1">IFERROR(__xludf.DUMMYFUNCTION("""COMPUTED_VALUE"""),"N/A")</f>
        <v>N/A</v>
      </c>
      <c r="J324" s="18" t="str">
        <f ca="1">IFERROR(__xludf.DUMMYFUNCTION("""COMPUTED_VALUE"""),"N/A")</f>
        <v>N/A</v>
      </c>
      <c r="K324" s="18" t="str">
        <f ca="1">IFERROR(__xludf.DUMMYFUNCTION("""COMPUTED_VALUE"""),"N/A")</f>
        <v>N/A</v>
      </c>
      <c r="L324" s="18" t="str">
        <f ca="1">IFERROR(__xludf.DUMMYFUNCTION("""COMPUTED_VALUE"""),"N/A")</f>
        <v>N/A</v>
      </c>
      <c r="M324" s="18" t="str">
        <f ca="1">IFERROR(__xludf.DUMMYFUNCTION("""COMPUTED_VALUE"""),"N/A")</f>
        <v>N/A</v>
      </c>
      <c r="N324" s="18" t="str">
        <f ca="1">IFERROR(__xludf.DUMMYFUNCTION("""COMPUTED_VALUE"""),"N/A")</f>
        <v>N/A</v>
      </c>
      <c r="O324" s="18" t="str">
        <f ca="1">IFERROR(__xludf.DUMMYFUNCTION("""COMPUTED_VALUE"""),"N/A")</f>
        <v>N/A</v>
      </c>
      <c r="P324" s="18" t="str">
        <f ca="1">IFERROR(__xludf.DUMMYFUNCTION("""COMPUTED_VALUE"""),"N/A")</f>
        <v>N/A</v>
      </c>
      <c r="Q324" s="18" t="str">
        <f ca="1">IFERROR(__xludf.DUMMYFUNCTION("""COMPUTED_VALUE"""),"N/A")</f>
        <v>N/A</v>
      </c>
      <c r="R324" s="18" t="str">
        <f ca="1">IFERROR(__xludf.DUMMYFUNCTION("""COMPUTED_VALUE"""),"N/A")</f>
        <v>N/A</v>
      </c>
      <c r="S324" s="18" t="str">
        <f ca="1">IFERROR(__xludf.DUMMYFUNCTION("""COMPUTED_VALUE"""),"N/A")</f>
        <v>N/A</v>
      </c>
      <c r="T324" s="18" t="str">
        <f ca="1">IFERROR(__xludf.DUMMYFUNCTION("""COMPUTED_VALUE"""),"N/A")</f>
        <v>N/A</v>
      </c>
      <c r="U324" s="18" t="str">
        <f ca="1">IFERROR(__xludf.DUMMYFUNCTION("""COMPUTED_VALUE"""),"N/A")</f>
        <v>N/A</v>
      </c>
      <c r="V324" s="18" t="str">
        <f ca="1">IFERROR(__xludf.DUMMYFUNCTION("""COMPUTED_VALUE"""),"N/A")</f>
        <v>N/A</v>
      </c>
      <c r="W324" s="18" t="str">
        <f ca="1">IFERROR(__xludf.DUMMYFUNCTION("""COMPUTED_VALUE"""),"N/A")</f>
        <v>N/A</v>
      </c>
      <c r="X324" s="18" t="str">
        <f ca="1">IFERROR(__xludf.DUMMYFUNCTION("""COMPUTED_VALUE"""),"N/A")</f>
        <v>N/A</v>
      </c>
      <c r="Y324" s="18" t="e">
        <f ca="1"/>
        <v>#NAME?</v>
      </c>
      <c r="Z324" s="18" t="str">
        <f ca="1">IFERROR(__xludf.DUMMYFUNCTION("""COMPUTED_VALUE"""),"N/A")</f>
        <v>N/A</v>
      </c>
      <c r="AA324" s="18" t="str">
        <f ca="1">IFERROR(__xludf.DUMMYFUNCTION("""COMPUTED_VALUE"""),"N/A")</f>
        <v>N/A</v>
      </c>
      <c r="AC324" s="59" t="s">
        <v>1468</v>
      </c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</row>
    <row r="325" spans="1:46" x14ac:dyDescent="0.25">
      <c r="A325" s="18" t="str">
        <v>type:"turn_on_joining","instructions":[{"image":"https://s3.amazonaws.com/tko-prod-commissioning-files/step_screenshots/touchflexwifi/Device.png","text":{"en":"LocatetheTouchThermostatinthehouse"}},</v>
      </c>
      <c r="B325" s="52" t="str">
        <f ca="1"/>
        <v>N/A</v>
      </c>
      <c r="C325" s="52" t="str">
        <f ca="1">IFERROR(__xludf.DUMMYFUNCTION("""COMPUTED_VALUE"""),"N/A")</f>
        <v>N/A</v>
      </c>
      <c r="D325" s="18" t="str">
        <f ca="1">IFERROR(__xludf.DUMMYFUNCTION("""COMPUTED_VALUE"""),"N/A")</f>
        <v>N/A</v>
      </c>
      <c r="E325" s="18" t="str">
        <f ca="1">IFERROR(__xludf.DUMMYFUNCTION("""COMPUTED_VALUE"""),"N/A")</f>
        <v>N/A</v>
      </c>
      <c r="F325" s="18" t="str">
        <f ca="1">IFERROR(__xludf.DUMMYFUNCTION("""COMPUTED_VALUE"""),"N/A")</f>
        <v>N/A</v>
      </c>
      <c r="G325" s="18" t="str">
        <f ca="1">IFERROR(__xludf.DUMMYFUNCTION("""COMPUTED_VALUE"""),"N/A")</f>
        <v>N/A</v>
      </c>
      <c r="H325" s="18" t="str">
        <f ca="1">IFERROR(__xludf.DUMMYFUNCTION("""COMPUTED_VALUE"""),"N/A")</f>
        <v>N/A</v>
      </c>
      <c r="I325" s="18" t="str">
        <f ca="1">IFERROR(__xludf.DUMMYFUNCTION("""COMPUTED_VALUE"""),"N/A")</f>
        <v>N/A</v>
      </c>
      <c r="J325" s="18" t="str">
        <f ca="1">IFERROR(__xludf.DUMMYFUNCTION("""COMPUTED_VALUE"""),"N/A")</f>
        <v>N/A</v>
      </c>
      <c r="K325" s="18" t="str">
        <f ca="1">IFERROR(__xludf.DUMMYFUNCTION("""COMPUTED_VALUE"""),"N/A")</f>
        <v>N/A</v>
      </c>
      <c r="L325" s="18" t="str">
        <f ca="1">IFERROR(__xludf.DUMMYFUNCTION("""COMPUTED_VALUE"""),"N/A")</f>
        <v>N/A</v>
      </c>
      <c r="M325" s="18" t="str">
        <f ca="1">IFERROR(__xludf.DUMMYFUNCTION("""COMPUTED_VALUE"""),"N/A")</f>
        <v>N/A</v>
      </c>
      <c r="N325" s="18" t="str">
        <f ca="1">IFERROR(__xludf.DUMMYFUNCTION("""COMPUTED_VALUE"""),"N/A")</f>
        <v>N/A</v>
      </c>
      <c r="O325" s="18" t="str">
        <f ca="1">IFERROR(__xludf.DUMMYFUNCTION("""COMPUTED_VALUE"""),"N/A")</f>
        <v>N/A</v>
      </c>
      <c r="P325" s="18" t="str">
        <f ca="1">IFERROR(__xludf.DUMMYFUNCTION("""COMPUTED_VALUE"""),"N/A")</f>
        <v>N/A</v>
      </c>
      <c r="Q325" s="18" t="str">
        <f ca="1">IFERROR(__xludf.DUMMYFUNCTION("""COMPUTED_VALUE"""),"N/A")</f>
        <v>N/A</v>
      </c>
      <c r="R325" s="18" t="str">
        <f ca="1">IFERROR(__xludf.DUMMYFUNCTION("""COMPUTED_VALUE"""),"N/A")</f>
        <v>N/A</v>
      </c>
      <c r="S325" s="18" t="str">
        <f ca="1">IFERROR(__xludf.DUMMYFUNCTION("""COMPUTED_VALUE"""),"N/A")</f>
        <v>N/A</v>
      </c>
      <c r="T325" s="18" t="str">
        <f ca="1">IFERROR(__xludf.DUMMYFUNCTION("""COMPUTED_VALUE"""),"N/A")</f>
        <v>N/A</v>
      </c>
      <c r="U325" s="18" t="str">
        <f ca="1">IFERROR(__xludf.DUMMYFUNCTION("""COMPUTED_VALUE"""),"N/A")</f>
        <v>N/A</v>
      </c>
      <c r="V325" s="18" t="str">
        <f ca="1">IFERROR(__xludf.DUMMYFUNCTION("""COMPUTED_VALUE"""),"N/A")</f>
        <v>N/A</v>
      </c>
      <c r="W325" s="18" t="str">
        <f ca="1">IFERROR(__xludf.DUMMYFUNCTION("""COMPUTED_VALUE"""),"N/A")</f>
        <v>N/A</v>
      </c>
      <c r="X325" s="18" t="str">
        <f ca="1">IFERROR(__xludf.DUMMYFUNCTION("""COMPUTED_VALUE"""),"N/A")</f>
        <v>N/A</v>
      </c>
      <c r="Y325" s="18" t="e">
        <f ca="1"/>
        <v>#NAME?</v>
      </c>
      <c r="Z325" s="18" t="str">
        <f ca="1">IFERROR(__xludf.DUMMYFUNCTION("""COMPUTED_VALUE"""),"N/A")</f>
        <v>N/A</v>
      </c>
      <c r="AA325" s="18" t="str">
        <f ca="1">IFERROR(__xludf.DUMMYFUNCTION("""COMPUTED_VALUE"""),"N/A")</f>
        <v>N/A</v>
      </c>
      <c r="AC325" s="59" t="s">
        <v>1472</v>
      </c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</row>
    <row r="326" spans="1:46" x14ac:dyDescent="0.25">
      <c r="A326" s="18" t="str">
        <v>{"image":"https://s3.amazonaws.com/tko-prod-commissioning-files/step_screenshots/touchflexwifi/Home.png","text":{"en":"3-FingerTaponthethermostatscreen"}},</v>
      </c>
      <c r="B326" s="52" t="str">
        <f ca="1"/>
        <v>N/A</v>
      </c>
      <c r="C326" s="52" t="str">
        <f ca="1">IFERROR(__xludf.DUMMYFUNCTION("""COMPUTED_VALUE"""),"N/A")</f>
        <v>N/A</v>
      </c>
      <c r="D326" s="18" t="str">
        <f ca="1">IFERROR(__xludf.DUMMYFUNCTION("""COMPUTED_VALUE"""),"N/A")</f>
        <v>N/A</v>
      </c>
      <c r="E326" s="18" t="str">
        <f ca="1">IFERROR(__xludf.DUMMYFUNCTION("""COMPUTED_VALUE"""),"N/A")</f>
        <v>N/A</v>
      </c>
      <c r="F326" s="18" t="str">
        <f ca="1">IFERROR(__xludf.DUMMYFUNCTION("""COMPUTED_VALUE"""),"N/A")</f>
        <v>N/A</v>
      </c>
      <c r="G326" s="18" t="str">
        <f ca="1">IFERROR(__xludf.DUMMYFUNCTION("""COMPUTED_VALUE"""),"N/A")</f>
        <v>N/A</v>
      </c>
      <c r="H326" s="18" t="str">
        <f ca="1">IFERROR(__xludf.DUMMYFUNCTION("""COMPUTED_VALUE"""),"N/A")</f>
        <v>N/A</v>
      </c>
      <c r="I326" s="18" t="str">
        <f ca="1">IFERROR(__xludf.DUMMYFUNCTION("""COMPUTED_VALUE"""),"N/A")</f>
        <v>N/A</v>
      </c>
      <c r="J326" s="18" t="str">
        <f ca="1">IFERROR(__xludf.DUMMYFUNCTION("""COMPUTED_VALUE"""),"N/A")</f>
        <v>N/A</v>
      </c>
      <c r="K326" s="18" t="str">
        <f ca="1">IFERROR(__xludf.DUMMYFUNCTION("""COMPUTED_VALUE"""),"N/A")</f>
        <v>N/A</v>
      </c>
      <c r="L326" s="18" t="str">
        <f ca="1">IFERROR(__xludf.DUMMYFUNCTION("""COMPUTED_VALUE"""),"N/A")</f>
        <v>N/A</v>
      </c>
      <c r="M326" s="18" t="str">
        <f ca="1">IFERROR(__xludf.DUMMYFUNCTION("""COMPUTED_VALUE"""),"N/A")</f>
        <v>N/A</v>
      </c>
      <c r="N326" s="18" t="str">
        <f ca="1">IFERROR(__xludf.DUMMYFUNCTION("""COMPUTED_VALUE"""),"N/A")</f>
        <v>N/A</v>
      </c>
      <c r="O326" s="18" t="str">
        <f ca="1">IFERROR(__xludf.DUMMYFUNCTION("""COMPUTED_VALUE"""),"N/A")</f>
        <v>N/A</v>
      </c>
      <c r="P326" s="18" t="str">
        <f ca="1">IFERROR(__xludf.DUMMYFUNCTION("""COMPUTED_VALUE"""),"N/A")</f>
        <v>N/A</v>
      </c>
      <c r="Q326" s="18" t="str">
        <f ca="1">IFERROR(__xludf.DUMMYFUNCTION("""COMPUTED_VALUE"""),"N/A")</f>
        <v>N/A</v>
      </c>
      <c r="R326" s="18" t="str">
        <f ca="1">IFERROR(__xludf.DUMMYFUNCTION("""COMPUTED_VALUE"""),"N/A")</f>
        <v>N/A</v>
      </c>
      <c r="S326" s="18" t="str">
        <f ca="1">IFERROR(__xludf.DUMMYFUNCTION("""COMPUTED_VALUE"""),"N/A")</f>
        <v>N/A</v>
      </c>
      <c r="T326" s="18" t="str">
        <f ca="1">IFERROR(__xludf.DUMMYFUNCTION("""COMPUTED_VALUE"""),"N/A")</f>
        <v>N/A</v>
      </c>
      <c r="U326" s="18" t="str">
        <f ca="1">IFERROR(__xludf.DUMMYFUNCTION("""COMPUTED_VALUE"""),"N/A")</f>
        <v>N/A</v>
      </c>
      <c r="V326" s="18" t="str">
        <f ca="1">IFERROR(__xludf.DUMMYFUNCTION("""COMPUTED_VALUE"""),"N/A")</f>
        <v>N/A</v>
      </c>
      <c r="W326" s="18" t="str">
        <f ca="1">IFERROR(__xludf.DUMMYFUNCTION("""COMPUTED_VALUE"""),"N/A")</f>
        <v>N/A</v>
      </c>
      <c r="X326" s="18" t="str">
        <f ca="1">IFERROR(__xludf.DUMMYFUNCTION("""COMPUTED_VALUE"""),"N/A")</f>
        <v>N/A</v>
      </c>
      <c r="Y326" s="18" t="e">
        <f ca="1"/>
        <v>#NAME?</v>
      </c>
      <c r="Z326" s="18" t="str">
        <f ca="1">IFERROR(__xludf.DUMMYFUNCTION("""COMPUTED_VALUE"""),"N/A")</f>
        <v>N/A</v>
      </c>
      <c r="AA326" s="18" t="str">
        <f ca="1">IFERROR(__xludf.DUMMYFUNCTION("""COMPUTED_VALUE"""),"N/A")</f>
        <v>N/A</v>
      </c>
      <c r="AC326" s="59" t="s">
        <v>1477</v>
      </c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</row>
    <row r="327" spans="1:46" x14ac:dyDescent="0.25">
      <c r="A327" s="18" t="str">
        <v>{"image":"https://s3.amazonaws.com/tko-prod-commissioning-files/step_screenshots/touchflexwifi/SystemStatus.png","text":{"en":"Tap'Config'fromthe'SystemStatus'screen"}},</v>
      </c>
      <c r="B327" s="52" t="str">
        <f ca="1"/>
        <v>N/A</v>
      </c>
      <c r="C327" s="52" t="str">
        <f ca="1">IFERROR(__xludf.DUMMYFUNCTION("""COMPUTED_VALUE"""),"N/A")</f>
        <v>N/A</v>
      </c>
      <c r="D327" s="18" t="str">
        <f ca="1">IFERROR(__xludf.DUMMYFUNCTION("""COMPUTED_VALUE"""),"N/A")</f>
        <v>N/A</v>
      </c>
      <c r="E327" s="18" t="str">
        <f ca="1">IFERROR(__xludf.DUMMYFUNCTION("""COMPUTED_VALUE"""),"N/A")</f>
        <v>N/A</v>
      </c>
      <c r="F327" s="18" t="str">
        <f ca="1">IFERROR(__xludf.DUMMYFUNCTION("""COMPUTED_VALUE"""),"N/A")</f>
        <v>N/A</v>
      </c>
      <c r="G327" s="18" t="str">
        <f ca="1">IFERROR(__xludf.DUMMYFUNCTION("""COMPUTED_VALUE"""),"N/A")</f>
        <v>N/A</v>
      </c>
      <c r="H327" s="18" t="str">
        <f ca="1">IFERROR(__xludf.DUMMYFUNCTION("""COMPUTED_VALUE"""),"N/A")</f>
        <v>N/A</v>
      </c>
      <c r="I327" s="18" t="str">
        <f ca="1">IFERROR(__xludf.DUMMYFUNCTION("""COMPUTED_VALUE"""),"N/A")</f>
        <v>N/A</v>
      </c>
      <c r="J327" s="18" t="str">
        <f ca="1">IFERROR(__xludf.DUMMYFUNCTION("""COMPUTED_VALUE"""),"N/A")</f>
        <v>N/A</v>
      </c>
      <c r="K327" s="18" t="str">
        <f ca="1">IFERROR(__xludf.DUMMYFUNCTION("""COMPUTED_VALUE"""),"N/A")</f>
        <v>N/A</v>
      </c>
      <c r="L327" s="18" t="str">
        <f ca="1">IFERROR(__xludf.DUMMYFUNCTION("""COMPUTED_VALUE"""),"N/A")</f>
        <v>N/A</v>
      </c>
      <c r="M327" s="18" t="str">
        <f ca="1">IFERROR(__xludf.DUMMYFUNCTION("""COMPUTED_VALUE"""),"N/A")</f>
        <v>N/A</v>
      </c>
      <c r="N327" s="18" t="str">
        <f ca="1">IFERROR(__xludf.DUMMYFUNCTION("""COMPUTED_VALUE"""),"N/A")</f>
        <v>N/A</v>
      </c>
      <c r="O327" s="18" t="str">
        <f ca="1">IFERROR(__xludf.DUMMYFUNCTION("""COMPUTED_VALUE"""),"N/A")</f>
        <v>N/A</v>
      </c>
      <c r="P327" s="18" t="str">
        <f ca="1">IFERROR(__xludf.DUMMYFUNCTION("""COMPUTED_VALUE"""),"N/A")</f>
        <v>N/A</v>
      </c>
      <c r="Q327" s="18" t="str">
        <f ca="1">IFERROR(__xludf.DUMMYFUNCTION("""COMPUTED_VALUE"""),"N/A")</f>
        <v>N/A</v>
      </c>
      <c r="R327" s="18" t="str">
        <f ca="1">IFERROR(__xludf.DUMMYFUNCTION("""COMPUTED_VALUE"""),"N/A")</f>
        <v>N/A</v>
      </c>
      <c r="S327" s="18" t="str">
        <f ca="1">IFERROR(__xludf.DUMMYFUNCTION("""COMPUTED_VALUE"""),"N/A")</f>
        <v>N/A</v>
      </c>
      <c r="T327" s="18" t="str">
        <f ca="1">IFERROR(__xludf.DUMMYFUNCTION("""COMPUTED_VALUE"""),"N/A")</f>
        <v>N/A</v>
      </c>
      <c r="U327" s="18" t="str">
        <f ca="1">IFERROR(__xludf.DUMMYFUNCTION("""COMPUTED_VALUE"""),"N/A")</f>
        <v>N/A</v>
      </c>
      <c r="V327" s="18" t="str">
        <f ca="1">IFERROR(__xludf.DUMMYFUNCTION("""COMPUTED_VALUE"""),"N/A")</f>
        <v>N/A</v>
      </c>
      <c r="W327" s="18" t="str">
        <f ca="1">IFERROR(__xludf.DUMMYFUNCTION("""COMPUTED_VALUE"""),"N/A")</f>
        <v>N/A</v>
      </c>
      <c r="X327" s="18" t="str">
        <f ca="1">IFERROR(__xludf.DUMMYFUNCTION("""COMPUTED_VALUE"""),"N/A")</f>
        <v>N/A</v>
      </c>
      <c r="Y327" s="18" t="e">
        <f ca="1"/>
        <v>#NAME?</v>
      </c>
      <c r="Z327" s="18" t="str">
        <f ca="1">IFERROR(__xludf.DUMMYFUNCTION("""COMPUTED_VALUE"""),"N/A")</f>
        <v>N/A</v>
      </c>
      <c r="AA327" s="18" t="str">
        <f ca="1">IFERROR(__xludf.DUMMYFUNCTION("""COMPUTED_VALUE"""),"N/A")</f>
        <v>N/A</v>
      </c>
      <c r="AC327" s="59" t="s">
        <v>1482</v>
      </c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</row>
    <row r="328" spans="1:46" x14ac:dyDescent="0.25">
      <c r="A328" s="18" t="str">
        <v>{"image":"https://s3.amazonaws.com/tko-prod-commissioning-files/step_screenshots/touchflexwifi/Enterpassword.png","text":{"en":"Usethekeyboardtotypethepassword:C57A"}},</v>
      </c>
      <c r="B328" s="52" t="str">
        <f ca="1"/>
        <v>N/A</v>
      </c>
      <c r="C328" s="52" t="str">
        <f ca="1">IFERROR(__xludf.DUMMYFUNCTION("""COMPUTED_VALUE"""),"N/A")</f>
        <v>N/A</v>
      </c>
      <c r="D328" s="18" t="str">
        <f ca="1">IFERROR(__xludf.DUMMYFUNCTION("""COMPUTED_VALUE"""),"N/A")</f>
        <v>N/A</v>
      </c>
      <c r="E328" s="18" t="str">
        <f ca="1">IFERROR(__xludf.DUMMYFUNCTION("""COMPUTED_VALUE"""),"N/A")</f>
        <v>N/A</v>
      </c>
      <c r="F328" s="18" t="str">
        <f ca="1">IFERROR(__xludf.DUMMYFUNCTION("""COMPUTED_VALUE"""),"N/A")</f>
        <v>N/A</v>
      </c>
      <c r="G328" s="18" t="str">
        <f ca="1">IFERROR(__xludf.DUMMYFUNCTION("""COMPUTED_VALUE"""),"N/A")</f>
        <v>N/A</v>
      </c>
      <c r="H328" s="18" t="str">
        <f ca="1">IFERROR(__xludf.DUMMYFUNCTION("""COMPUTED_VALUE"""),"N/A")</f>
        <v>N/A</v>
      </c>
      <c r="I328" s="18" t="str">
        <f ca="1">IFERROR(__xludf.DUMMYFUNCTION("""COMPUTED_VALUE"""),"N/A")</f>
        <v>N/A</v>
      </c>
      <c r="J328" s="18" t="str">
        <f ca="1">IFERROR(__xludf.DUMMYFUNCTION("""COMPUTED_VALUE"""),"N/A")</f>
        <v>N/A</v>
      </c>
      <c r="K328" s="18" t="str">
        <f ca="1">IFERROR(__xludf.DUMMYFUNCTION("""COMPUTED_VALUE"""),"N/A")</f>
        <v>N/A</v>
      </c>
      <c r="L328" s="18" t="str">
        <f ca="1">IFERROR(__xludf.DUMMYFUNCTION("""COMPUTED_VALUE"""),"N/A")</f>
        <v>N/A</v>
      </c>
      <c r="M328" s="18" t="str">
        <f ca="1">IFERROR(__xludf.DUMMYFUNCTION("""COMPUTED_VALUE"""),"N/A")</f>
        <v>N/A</v>
      </c>
      <c r="N328" s="18" t="str">
        <f ca="1">IFERROR(__xludf.DUMMYFUNCTION("""COMPUTED_VALUE"""),"N/A")</f>
        <v>N/A</v>
      </c>
      <c r="O328" s="18" t="str">
        <f ca="1">IFERROR(__xludf.DUMMYFUNCTION("""COMPUTED_VALUE"""),"N/A")</f>
        <v>N/A</v>
      </c>
      <c r="P328" s="18" t="str">
        <f ca="1">IFERROR(__xludf.DUMMYFUNCTION("""COMPUTED_VALUE"""),"N/A")</f>
        <v>N/A</v>
      </c>
      <c r="Q328" s="18" t="str">
        <f ca="1">IFERROR(__xludf.DUMMYFUNCTION("""COMPUTED_VALUE"""),"N/A")</f>
        <v>N/A</v>
      </c>
      <c r="R328" s="18" t="str">
        <f ca="1">IFERROR(__xludf.DUMMYFUNCTION("""COMPUTED_VALUE"""),"N/A")</f>
        <v>N/A</v>
      </c>
      <c r="S328" s="18" t="str">
        <f ca="1">IFERROR(__xludf.DUMMYFUNCTION("""COMPUTED_VALUE"""),"N/A")</f>
        <v>N/A</v>
      </c>
      <c r="T328" s="18" t="str">
        <f ca="1">IFERROR(__xludf.DUMMYFUNCTION("""COMPUTED_VALUE"""),"N/A")</f>
        <v>N/A</v>
      </c>
      <c r="U328" s="18" t="str">
        <f ca="1">IFERROR(__xludf.DUMMYFUNCTION("""COMPUTED_VALUE"""),"N/A")</f>
        <v>N/A</v>
      </c>
      <c r="V328" s="18" t="str">
        <f ca="1">IFERROR(__xludf.DUMMYFUNCTION("""COMPUTED_VALUE"""),"N/A")</f>
        <v>N/A</v>
      </c>
      <c r="W328" s="18" t="str">
        <f ca="1">IFERROR(__xludf.DUMMYFUNCTION("""COMPUTED_VALUE"""),"N/A")</f>
        <v>N/A</v>
      </c>
      <c r="X328" s="18" t="str">
        <f ca="1">IFERROR(__xludf.DUMMYFUNCTION("""COMPUTED_VALUE"""),"N/A")</f>
        <v>N/A</v>
      </c>
      <c r="Y328" s="18" t="e">
        <f ca="1"/>
        <v>#NAME?</v>
      </c>
      <c r="Z328" s="18" t="str">
        <f ca="1">IFERROR(__xludf.DUMMYFUNCTION("""COMPUTED_VALUE"""),"N/A")</f>
        <v>N/A</v>
      </c>
      <c r="AA328" s="18" t="str">
        <f ca="1">IFERROR(__xludf.DUMMYFUNCTION("""COMPUTED_VALUE"""),"N/A")</f>
        <v>N/A</v>
      </c>
      <c r="AC328" s="59" t="s">
        <v>1488</v>
      </c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</row>
    <row r="329" spans="1:46" x14ac:dyDescent="0.25">
      <c r="A329" s="18" t="str">
        <v>{"image":"https://s3.amazonaws.com/tko-prod-commissioning-files/step_screenshots/touchflexwifi/Enterpassword_enter.png","text":{"en":"Tap'Enter'"}},</v>
      </c>
      <c r="B329" s="52" t="str">
        <f ca="1"/>
        <v>N/A</v>
      </c>
      <c r="C329" s="52" t="str">
        <f ca="1">IFERROR(__xludf.DUMMYFUNCTION("""COMPUTED_VALUE"""),"N/A")</f>
        <v>N/A</v>
      </c>
      <c r="D329" s="18" t="str">
        <f ca="1">IFERROR(__xludf.DUMMYFUNCTION("""COMPUTED_VALUE"""),"N/A")</f>
        <v>N/A</v>
      </c>
      <c r="E329" s="18" t="str">
        <f ca="1">IFERROR(__xludf.DUMMYFUNCTION("""COMPUTED_VALUE"""),"N/A")</f>
        <v>N/A</v>
      </c>
      <c r="F329" s="18" t="str">
        <f ca="1">IFERROR(__xludf.DUMMYFUNCTION("""COMPUTED_VALUE"""),"N/A")</f>
        <v>N/A</v>
      </c>
      <c r="G329" s="18" t="str">
        <f ca="1">IFERROR(__xludf.DUMMYFUNCTION("""COMPUTED_VALUE"""),"N/A")</f>
        <v>N/A</v>
      </c>
      <c r="H329" s="18" t="str">
        <f ca="1">IFERROR(__xludf.DUMMYFUNCTION("""COMPUTED_VALUE"""),"N/A")</f>
        <v>N/A</v>
      </c>
      <c r="I329" s="18" t="str">
        <f ca="1">IFERROR(__xludf.DUMMYFUNCTION("""COMPUTED_VALUE"""),"N/A")</f>
        <v>N/A</v>
      </c>
      <c r="J329" s="18" t="str">
        <f ca="1">IFERROR(__xludf.DUMMYFUNCTION("""COMPUTED_VALUE"""),"N/A")</f>
        <v>N/A</v>
      </c>
      <c r="K329" s="18" t="str">
        <f ca="1">IFERROR(__xludf.DUMMYFUNCTION("""COMPUTED_VALUE"""),"N/A")</f>
        <v>N/A</v>
      </c>
      <c r="L329" s="18" t="str">
        <f ca="1">IFERROR(__xludf.DUMMYFUNCTION("""COMPUTED_VALUE"""),"N/A")</f>
        <v>N/A</v>
      </c>
      <c r="M329" s="18" t="str">
        <f ca="1">IFERROR(__xludf.DUMMYFUNCTION("""COMPUTED_VALUE"""),"N/A")</f>
        <v>N/A</v>
      </c>
      <c r="N329" s="18" t="str">
        <f ca="1">IFERROR(__xludf.DUMMYFUNCTION("""COMPUTED_VALUE"""),"N/A")</f>
        <v>N/A</v>
      </c>
      <c r="O329" s="18" t="str">
        <f ca="1">IFERROR(__xludf.DUMMYFUNCTION("""COMPUTED_VALUE"""),"N/A")</f>
        <v>N/A</v>
      </c>
      <c r="P329" s="18" t="str">
        <f ca="1">IFERROR(__xludf.DUMMYFUNCTION("""COMPUTED_VALUE"""),"N/A")</f>
        <v>N/A</v>
      </c>
      <c r="Q329" s="18" t="str">
        <f ca="1">IFERROR(__xludf.DUMMYFUNCTION("""COMPUTED_VALUE"""),"N/A")</f>
        <v>N/A</v>
      </c>
      <c r="R329" s="18" t="str">
        <f ca="1">IFERROR(__xludf.DUMMYFUNCTION("""COMPUTED_VALUE"""),"N/A")</f>
        <v>N/A</v>
      </c>
      <c r="S329" s="18" t="str">
        <f ca="1">IFERROR(__xludf.DUMMYFUNCTION("""COMPUTED_VALUE"""),"N/A")</f>
        <v>N/A</v>
      </c>
      <c r="T329" s="18" t="str">
        <f ca="1">IFERROR(__xludf.DUMMYFUNCTION("""COMPUTED_VALUE"""),"N/A")</f>
        <v>N/A</v>
      </c>
      <c r="U329" s="18" t="str">
        <f ca="1">IFERROR(__xludf.DUMMYFUNCTION("""COMPUTED_VALUE"""),"N/A")</f>
        <v>N/A</v>
      </c>
      <c r="V329" s="18" t="str">
        <f ca="1">IFERROR(__xludf.DUMMYFUNCTION("""COMPUTED_VALUE"""),"N/A")</f>
        <v>N/A</v>
      </c>
      <c r="W329" s="18" t="str">
        <f ca="1">IFERROR(__xludf.DUMMYFUNCTION("""COMPUTED_VALUE"""),"N/A")</f>
        <v>N/A</v>
      </c>
      <c r="X329" s="18" t="str">
        <f ca="1">IFERROR(__xludf.DUMMYFUNCTION("""COMPUTED_VALUE"""),"N/A")</f>
        <v>N/A</v>
      </c>
      <c r="Y329" s="18" t="e">
        <f ca="1"/>
        <v>#NAME?</v>
      </c>
      <c r="Z329" s="18" t="str">
        <f ca="1">IFERROR(__xludf.DUMMYFUNCTION("""COMPUTED_VALUE"""),"N/A")</f>
        <v>N/A</v>
      </c>
      <c r="AA329" s="18" t="str">
        <f ca="1">IFERROR(__xludf.DUMMYFUNCTION("""COMPUTED_VALUE"""),"N/A")</f>
        <v>N/A</v>
      </c>
      <c r="AC329" s="59" t="s">
        <v>1494</v>
      </c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</row>
    <row r="330" spans="1:46" x14ac:dyDescent="0.25">
      <c r="A330" s="18" t="str">
        <v>{"image":"https://s3.amazonaws.com/tko-prod-commissioning-files/step_screenshots/touchflexwifi/Commish.png","text":{"en":"Tap'Commish'"}}]},</v>
      </c>
      <c r="B330" s="52" t="str">
        <f ca="1"/>
        <v>N/A</v>
      </c>
      <c r="C330" s="52" t="str">
        <f ca="1">IFERROR(__xludf.DUMMYFUNCTION("""COMPUTED_VALUE"""),"N/A")</f>
        <v>N/A</v>
      </c>
      <c r="D330" s="18" t="str">
        <f ca="1">IFERROR(__xludf.DUMMYFUNCTION("""COMPUTED_VALUE"""),"N/A")</f>
        <v>N/A</v>
      </c>
      <c r="E330" s="18" t="str">
        <f ca="1">IFERROR(__xludf.DUMMYFUNCTION("""COMPUTED_VALUE"""),"N/A")</f>
        <v>N/A</v>
      </c>
      <c r="F330" s="18" t="str">
        <f ca="1">IFERROR(__xludf.DUMMYFUNCTION("""COMPUTED_VALUE"""),"N/A")</f>
        <v>N/A</v>
      </c>
      <c r="G330" s="18" t="str">
        <f ca="1">IFERROR(__xludf.DUMMYFUNCTION("""COMPUTED_VALUE"""),"N/A")</f>
        <v>N/A</v>
      </c>
      <c r="H330" s="18" t="str">
        <f ca="1">IFERROR(__xludf.DUMMYFUNCTION("""COMPUTED_VALUE"""),"N/A")</f>
        <v>N/A</v>
      </c>
      <c r="I330" s="18" t="str">
        <f ca="1">IFERROR(__xludf.DUMMYFUNCTION("""COMPUTED_VALUE"""),"N/A")</f>
        <v>N/A</v>
      </c>
      <c r="J330" s="18" t="str">
        <f ca="1">IFERROR(__xludf.DUMMYFUNCTION("""COMPUTED_VALUE"""),"N/A")</f>
        <v>N/A</v>
      </c>
      <c r="K330" s="18" t="str">
        <f ca="1">IFERROR(__xludf.DUMMYFUNCTION("""COMPUTED_VALUE"""),"N/A")</f>
        <v>N/A</v>
      </c>
      <c r="L330" s="18" t="str">
        <f ca="1">IFERROR(__xludf.DUMMYFUNCTION("""COMPUTED_VALUE"""),"N/A")</f>
        <v>N/A</v>
      </c>
      <c r="M330" s="18" t="str">
        <f ca="1">IFERROR(__xludf.DUMMYFUNCTION("""COMPUTED_VALUE"""),"N/A")</f>
        <v>N/A</v>
      </c>
      <c r="N330" s="18" t="str">
        <f ca="1">IFERROR(__xludf.DUMMYFUNCTION("""COMPUTED_VALUE"""),"N/A")</f>
        <v>N/A</v>
      </c>
      <c r="O330" s="18" t="str">
        <f ca="1">IFERROR(__xludf.DUMMYFUNCTION("""COMPUTED_VALUE"""),"N/A")</f>
        <v>N/A</v>
      </c>
      <c r="P330" s="18" t="str">
        <f ca="1">IFERROR(__xludf.DUMMYFUNCTION("""COMPUTED_VALUE"""),"N/A")</f>
        <v>N/A</v>
      </c>
      <c r="Q330" s="18" t="str">
        <f ca="1">IFERROR(__xludf.DUMMYFUNCTION("""COMPUTED_VALUE"""),"N/A")</f>
        <v>N/A</v>
      </c>
      <c r="R330" s="18" t="str">
        <f ca="1">IFERROR(__xludf.DUMMYFUNCTION("""COMPUTED_VALUE"""),"N/A")</f>
        <v>N/A</v>
      </c>
      <c r="S330" s="18" t="str">
        <f ca="1">IFERROR(__xludf.DUMMYFUNCTION("""COMPUTED_VALUE"""),"N/A")</f>
        <v>N/A</v>
      </c>
      <c r="T330" s="18" t="str">
        <f ca="1">IFERROR(__xludf.DUMMYFUNCTION("""COMPUTED_VALUE"""),"N/A")</f>
        <v>N/A</v>
      </c>
      <c r="U330" s="18" t="str">
        <f ca="1">IFERROR(__xludf.DUMMYFUNCTION("""COMPUTED_VALUE"""),"N/A")</f>
        <v>N/A</v>
      </c>
      <c r="V330" s="18" t="str">
        <f ca="1">IFERROR(__xludf.DUMMYFUNCTION("""COMPUTED_VALUE"""),"N/A")</f>
        <v>N/A</v>
      </c>
      <c r="W330" s="18" t="str">
        <f ca="1">IFERROR(__xludf.DUMMYFUNCTION("""COMPUTED_VALUE"""),"N/A")</f>
        <v>N/A</v>
      </c>
      <c r="X330" s="18" t="str">
        <f ca="1">IFERROR(__xludf.DUMMYFUNCTION("""COMPUTED_VALUE"""),"N/A")</f>
        <v>N/A</v>
      </c>
      <c r="Y330" s="18" t="e">
        <f ca="1"/>
        <v>#NAME?</v>
      </c>
      <c r="Z330" s="18" t="str">
        <f ca="1">IFERROR(__xludf.DUMMYFUNCTION("""COMPUTED_VALUE"""),"N/A")</f>
        <v>N/A</v>
      </c>
      <c r="AA330" s="18" t="str">
        <f ca="1">IFERROR(__xludf.DUMMYFUNCTION("""COMPUTED_VALUE"""),"N/A")</f>
        <v>N/A</v>
      </c>
      <c r="AC330" s="59" t="s">
        <v>1500</v>
      </c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</row>
    <row r="331" spans="1:46" x14ac:dyDescent="0.25">
      <c r="A331" s="18" t="str">
        <v>{"name":{"en":"StartCommissioning"},</v>
      </c>
      <c r="B331" s="52" t="str">
        <f ca="1"/>
        <v>N/A</v>
      </c>
      <c r="C331" s="52" t="str">
        <f ca="1">IFERROR(__xludf.DUMMYFUNCTION("""COMPUTED_VALUE"""),"N/A")</f>
        <v>N/A</v>
      </c>
      <c r="D331" s="18" t="str">
        <f ca="1">IFERROR(__xludf.DUMMYFUNCTION("""COMPUTED_VALUE"""),"N/A")</f>
        <v>N/A</v>
      </c>
      <c r="E331" s="18" t="str">
        <f ca="1">IFERROR(__xludf.DUMMYFUNCTION("""COMPUTED_VALUE"""),"N/A")</f>
        <v>N/A</v>
      </c>
      <c r="F331" s="18" t="str">
        <f ca="1">IFERROR(__xludf.DUMMYFUNCTION("""COMPUTED_VALUE"""),"N/A")</f>
        <v>N/A</v>
      </c>
      <c r="G331" s="18" t="str">
        <f ca="1">IFERROR(__xludf.DUMMYFUNCTION("""COMPUTED_VALUE"""),"N/A")</f>
        <v>N/A</v>
      </c>
      <c r="H331" s="18" t="str">
        <f ca="1">IFERROR(__xludf.DUMMYFUNCTION("""COMPUTED_VALUE"""),"N/A")</f>
        <v>N/A</v>
      </c>
      <c r="I331" s="18" t="str">
        <f ca="1">IFERROR(__xludf.DUMMYFUNCTION("""COMPUTED_VALUE"""),"N/A")</f>
        <v>N/A</v>
      </c>
      <c r="J331" s="18" t="str">
        <f ca="1">IFERROR(__xludf.DUMMYFUNCTION("""COMPUTED_VALUE"""),"N/A")</f>
        <v>N/A</v>
      </c>
      <c r="K331" s="18" t="str">
        <f ca="1">IFERROR(__xludf.DUMMYFUNCTION("""COMPUTED_VALUE"""),"N/A")</f>
        <v>N/A</v>
      </c>
      <c r="L331" s="18" t="str">
        <f ca="1">IFERROR(__xludf.DUMMYFUNCTION("""COMPUTED_VALUE"""),"N/A")</f>
        <v>N/A</v>
      </c>
      <c r="M331" s="18" t="str">
        <f ca="1">IFERROR(__xludf.DUMMYFUNCTION("""COMPUTED_VALUE"""),"N/A")</f>
        <v>N/A</v>
      </c>
      <c r="N331" s="18" t="str">
        <f ca="1">IFERROR(__xludf.DUMMYFUNCTION("""COMPUTED_VALUE"""),"N/A")</f>
        <v>N/A</v>
      </c>
      <c r="O331" s="18" t="str">
        <f ca="1">IFERROR(__xludf.DUMMYFUNCTION("""COMPUTED_VALUE"""),"N/A")</f>
        <v>N/A</v>
      </c>
      <c r="P331" s="18" t="str">
        <f ca="1">IFERROR(__xludf.DUMMYFUNCTION("""COMPUTED_VALUE"""),"N/A")</f>
        <v>N/A</v>
      </c>
      <c r="Q331" s="18" t="str">
        <f ca="1">IFERROR(__xludf.DUMMYFUNCTION("""COMPUTED_VALUE"""),"N/A")</f>
        <v>N/A</v>
      </c>
      <c r="R331" s="18" t="str">
        <f ca="1">IFERROR(__xludf.DUMMYFUNCTION("""COMPUTED_VALUE"""),"N/A")</f>
        <v>N/A</v>
      </c>
      <c r="S331" s="18" t="str">
        <f ca="1">IFERROR(__xludf.DUMMYFUNCTION("""COMPUTED_VALUE"""),"N/A")</f>
        <v>N/A</v>
      </c>
      <c r="T331" s="18" t="str">
        <f ca="1">IFERROR(__xludf.DUMMYFUNCTION("""COMPUTED_VALUE"""),"N/A")</f>
        <v>N/A</v>
      </c>
      <c r="U331" s="18" t="str">
        <f ca="1">IFERROR(__xludf.DUMMYFUNCTION("""COMPUTED_VALUE"""),"N/A")</f>
        <v>N/A</v>
      </c>
      <c r="V331" s="18" t="str">
        <f ca="1">IFERROR(__xludf.DUMMYFUNCTION("""COMPUTED_VALUE"""),"N/A")</f>
        <v>N/A</v>
      </c>
      <c r="W331" s="18" t="str">
        <f ca="1">IFERROR(__xludf.DUMMYFUNCTION("""COMPUTED_VALUE"""),"N/A")</f>
        <v>N/A</v>
      </c>
      <c r="X331" s="18" t="str">
        <f ca="1">IFERROR(__xludf.DUMMYFUNCTION("""COMPUTED_VALUE"""),"N/A")</f>
        <v>N/A</v>
      </c>
      <c r="Y331" s="18" t="e">
        <f ca="1"/>
        <v>#NAME?</v>
      </c>
      <c r="Z331" s="18" t="str">
        <f ca="1">IFERROR(__xludf.DUMMYFUNCTION("""COMPUTED_VALUE"""),"N/A")</f>
        <v>N/A</v>
      </c>
      <c r="AA331" s="18" t="str">
        <f ca="1">IFERROR(__xludf.DUMMYFUNCTION("""COMPUTED_VALUE"""),"N/A")</f>
        <v>N/A</v>
      </c>
      <c r="AC331" s="59" t="s">
        <v>1506</v>
      </c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</row>
    <row r="332" spans="1:46" x14ac:dyDescent="0.25">
      <c r="A332" s="18" t="str">
        <v>type:"initiate_search","instructions":[{"image":"https://s3.amazonaws.com/tko-prod-commissioning-files/step_screenshots/touchflexwifi/Searchingconnection.png","text":{"en":"TouchFlexhasenabledit'suniqueWIFISSIDandisnowwaitingfortheTablettoconnecttoit"}}]},</v>
      </c>
      <c r="B332" s="52" t="str">
        <f ca="1"/>
        <v>N/A</v>
      </c>
      <c r="C332" s="52" t="str">
        <f ca="1">IFERROR(__xludf.DUMMYFUNCTION("""COMPUTED_VALUE"""),"N/A")</f>
        <v>N/A</v>
      </c>
      <c r="D332" s="18" t="str">
        <f ca="1">IFERROR(__xludf.DUMMYFUNCTION("""COMPUTED_VALUE"""),"N/A")</f>
        <v>N/A</v>
      </c>
      <c r="E332" s="18" t="str">
        <f ca="1">IFERROR(__xludf.DUMMYFUNCTION("""COMPUTED_VALUE"""),"N/A")</f>
        <v>N/A</v>
      </c>
      <c r="F332" s="18" t="str">
        <f ca="1">IFERROR(__xludf.DUMMYFUNCTION("""COMPUTED_VALUE"""),"N/A")</f>
        <v>N/A</v>
      </c>
      <c r="G332" s="18" t="str">
        <f ca="1">IFERROR(__xludf.DUMMYFUNCTION("""COMPUTED_VALUE"""),"N/A")</f>
        <v>N/A</v>
      </c>
      <c r="H332" s="18" t="str">
        <f ca="1">IFERROR(__xludf.DUMMYFUNCTION("""COMPUTED_VALUE"""),"N/A")</f>
        <v>N/A</v>
      </c>
      <c r="I332" s="18" t="str">
        <f ca="1">IFERROR(__xludf.DUMMYFUNCTION("""COMPUTED_VALUE"""),"N/A")</f>
        <v>N/A</v>
      </c>
      <c r="J332" s="18" t="str">
        <f ca="1">IFERROR(__xludf.DUMMYFUNCTION("""COMPUTED_VALUE"""),"N/A")</f>
        <v>N/A</v>
      </c>
      <c r="K332" s="18" t="str">
        <f ca="1">IFERROR(__xludf.DUMMYFUNCTION("""COMPUTED_VALUE"""),"N/A")</f>
        <v>N/A</v>
      </c>
      <c r="L332" s="18" t="str">
        <f ca="1">IFERROR(__xludf.DUMMYFUNCTION("""COMPUTED_VALUE"""),"N/A")</f>
        <v>N/A</v>
      </c>
      <c r="M332" s="18" t="str">
        <f ca="1">IFERROR(__xludf.DUMMYFUNCTION("""COMPUTED_VALUE"""),"N/A")</f>
        <v>N/A</v>
      </c>
      <c r="N332" s="18" t="str">
        <f ca="1">IFERROR(__xludf.DUMMYFUNCTION("""COMPUTED_VALUE"""),"N/A")</f>
        <v>N/A</v>
      </c>
      <c r="O332" s="18" t="str">
        <f ca="1">IFERROR(__xludf.DUMMYFUNCTION("""COMPUTED_VALUE"""),"N/A")</f>
        <v>N/A</v>
      </c>
      <c r="P332" s="18" t="str">
        <f ca="1">IFERROR(__xludf.DUMMYFUNCTION("""COMPUTED_VALUE"""),"N/A")</f>
        <v>N/A</v>
      </c>
      <c r="Q332" s="18" t="str">
        <f ca="1">IFERROR(__xludf.DUMMYFUNCTION("""COMPUTED_VALUE"""),"N/A")</f>
        <v>N/A</v>
      </c>
      <c r="R332" s="18" t="str">
        <f ca="1">IFERROR(__xludf.DUMMYFUNCTION("""COMPUTED_VALUE"""),"N/A")</f>
        <v>N/A</v>
      </c>
      <c r="S332" s="18" t="str">
        <f ca="1">IFERROR(__xludf.DUMMYFUNCTION("""COMPUTED_VALUE"""),"N/A")</f>
        <v>N/A</v>
      </c>
      <c r="T332" s="18" t="str">
        <f ca="1">IFERROR(__xludf.DUMMYFUNCTION("""COMPUTED_VALUE"""),"N/A")</f>
        <v>N/A</v>
      </c>
      <c r="U332" s="18" t="str">
        <f ca="1">IFERROR(__xludf.DUMMYFUNCTION("""COMPUTED_VALUE"""),"N/A")</f>
        <v>N/A</v>
      </c>
      <c r="V332" s="18" t="str">
        <f ca="1">IFERROR(__xludf.DUMMYFUNCTION("""COMPUTED_VALUE"""),"N/A")</f>
        <v>N/A</v>
      </c>
      <c r="W332" s="18" t="str">
        <f ca="1">IFERROR(__xludf.DUMMYFUNCTION("""COMPUTED_VALUE"""),"N/A")</f>
        <v>N/A</v>
      </c>
      <c r="X332" s="18" t="str">
        <f ca="1">IFERROR(__xludf.DUMMYFUNCTION("""COMPUTED_VALUE"""),"N/A")</f>
        <v>N/A</v>
      </c>
      <c r="Y332" s="18" t="e">
        <f ca="1"/>
        <v>#NAME?</v>
      </c>
      <c r="Z332" s="18" t="str">
        <f ca="1">IFERROR(__xludf.DUMMYFUNCTION("""COMPUTED_VALUE"""),"N/A")</f>
        <v>N/A</v>
      </c>
      <c r="AA332" s="18" t="str">
        <f ca="1">IFERROR(__xludf.DUMMYFUNCTION("""COMPUTED_VALUE"""),"N/A")</f>
        <v>N/A</v>
      </c>
      <c r="AC332" s="59" t="s">
        <v>1511</v>
      </c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</row>
    <row r="333" spans="1:46" x14ac:dyDescent="0.25">
      <c r="A333" s="18" t="str">
        <v>{"name":{"en":"Commissioning"},</v>
      </c>
      <c r="B333" s="52" t="str">
        <f ca="1"/>
        <v>N/A</v>
      </c>
      <c r="C333" s="52" t="str">
        <f ca="1">IFERROR(__xludf.DUMMYFUNCTION("""COMPUTED_VALUE"""),"N/A")</f>
        <v>N/A</v>
      </c>
      <c r="D333" s="18" t="str">
        <f ca="1">IFERROR(__xludf.DUMMYFUNCTION("""COMPUTED_VALUE"""),"N/A")</f>
        <v>N/A</v>
      </c>
      <c r="E333" s="18" t="str">
        <f ca="1">IFERROR(__xludf.DUMMYFUNCTION("""COMPUTED_VALUE"""),"N/A")</f>
        <v>N/A</v>
      </c>
      <c r="F333" s="18" t="str">
        <f ca="1">IFERROR(__xludf.DUMMYFUNCTION("""COMPUTED_VALUE"""),"N/A")</f>
        <v>N/A</v>
      </c>
      <c r="G333" s="18" t="str">
        <f ca="1">IFERROR(__xludf.DUMMYFUNCTION("""COMPUTED_VALUE"""),"N/A")</f>
        <v>N/A</v>
      </c>
      <c r="H333" s="18" t="str">
        <f ca="1">IFERROR(__xludf.DUMMYFUNCTION("""COMPUTED_VALUE"""),"N/A")</f>
        <v>N/A</v>
      </c>
      <c r="I333" s="18" t="str">
        <f ca="1">IFERROR(__xludf.DUMMYFUNCTION("""COMPUTED_VALUE"""),"N/A")</f>
        <v>N/A</v>
      </c>
      <c r="J333" s="18" t="str">
        <f ca="1">IFERROR(__xludf.DUMMYFUNCTION("""COMPUTED_VALUE"""),"N/A")</f>
        <v>N/A</v>
      </c>
      <c r="K333" s="18" t="str">
        <f ca="1">IFERROR(__xludf.DUMMYFUNCTION("""COMPUTED_VALUE"""),"N/A")</f>
        <v>N/A</v>
      </c>
      <c r="L333" s="18" t="str">
        <f ca="1">IFERROR(__xludf.DUMMYFUNCTION("""COMPUTED_VALUE"""),"N/A")</f>
        <v>N/A</v>
      </c>
      <c r="M333" s="18" t="str">
        <f ca="1">IFERROR(__xludf.DUMMYFUNCTION("""COMPUTED_VALUE"""),"N/A")</f>
        <v>N/A</v>
      </c>
      <c r="N333" s="18" t="str">
        <f ca="1">IFERROR(__xludf.DUMMYFUNCTION("""COMPUTED_VALUE"""),"N/A")</f>
        <v>N/A</v>
      </c>
      <c r="O333" s="18" t="str">
        <f ca="1">IFERROR(__xludf.DUMMYFUNCTION("""COMPUTED_VALUE"""),"N/A")</f>
        <v>N/A</v>
      </c>
      <c r="P333" s="18" t="str">
        <f ca="1">IFERROR(__xludf.DUMMYFUNCTION("""COMPUTED_VALUE"""),"N/A")</f>
        <v>N/A</v>
      </c>
      <c r="Q333" s="18" t="str">
        <f ca="1">IFERROR(__xludf.DUMMYFUNCTION("""COMPUTED_VALUE"""),"N/A")</f>
        <v>N/A</v>
      </c>
      <c r="R333" s="18" t="str">
        <f ca="1">IFERROR(__xludf.DUMMYFUNCTION("""COMPUTED_VALUE"""),"N/A")</f>
        <v>N/A</v>
      </c>
      <c r="S333" s="18" t="str">
        <f ca="1">IFERROR(__xludf.DUMMYFUNCTION("""COMPUTED_VALUE"""),"N/A")</f>
        <v>N/A</v>
      </c>
      <c r="T333" s="18" t="str">
        <f ca="1">IFERROR(__xludf.DUMMYFUNCTION("""COMPUTED_VALUE"""),"N/A")</f>
        <v>N/A</v>
      </c>
      <c r="U333" s="18" t="str">
        <f ca="1">IFERROR(__xludf.DUMMYFUNCTION("""COMPUTED_VALUE"""),"N/A")</f>
        <v>N/A</v>
      </c>
      <c r="V333" s="18" t="str">
        <f ca="1">IFERROR(__xludf.DUMMYFUNCTION("""COMPUTED_VALUE"""),"N/A")</f>
        <v>N/A</v>
      </c>
      <c r="W333" s="18" t="str">
        <f ca="1">IFERROR(__xludf.DUMMYFUNCTION("""COMPUTED_VALUE"""),"N/A")</f>
        <v>N/A</v>
      </c>
      <c r="X333" s="18" t="str">
        <f ca="1">IFERROR(__xludf.DUMMYFUNCTION("""COMPUTED_VALUE"""),"N/A")</f>
        <v>N/A</v>
      </c>
      <c r="Y333" s="18" t="e">
        <f ca="1"/>
        <v>#NAME?</v>
      </c>
      <c r="Z333" s="18" t="str">
        <f ca="1">IFERROR(__xludf.DUMMYFUNCTION("""COMPUTED_VALUE"""),"N/A")</f>
        <v>N/A</v>
      </c>
      <c r="AA333" s="18" t="str">
        <f ca="1">IFERROR(__xludf.DUMMYFUNCTION("""COMPUTED_VALUE"""),"N/A")</f>
        <v>N/A</v>
      </c>
      <c r="AC333" s="59" t="s">
        <v>1516</v>
      </c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</row>
    <row r="334" spans="1:46" x14ac:dyDescent="0.25">
      <c r="A334" s="18" t="str">
        <v>type:"commissioning","instructions":[]}]}</v>
      </c>
      <c r="B334" s="52" t="str">
        <f ca="1"/>
        <v>N/A</v>
      </c>
      <c r="C334" s="52" t="str">
        <f ca="1">IFERROR(__xludf.DUMMYFUNCTION("""COMPUTED_VALUE"""),"N/A")</f>
        <v>N/A</v>
      </c>
      <c r="D334" s="18" t="str">
        <f ca="1">IFERROR(__xludf.DUMMYFUNCTION("""COMPUTED_VALUE"""),"N/A")</f>
        <v>N/A</v>
      </c>
      <c r="E334" s="18" t="str">
        <f ca="1">IFERROR(__xludf.DUMMYFUNCTION("""COMPUTED_VALUE"""),"N/A")</f>
        <v>N/A</v>
      </c>
      <c r="F334" s="18" t="str">
        <f ca="1">IFERROR(__xludf.DUMMYFUNCTION("""COMPUTED_VALUE"""),"N/A")</f>
        <v>N/A</v>
      </c>
      <c r="G334" s="18" t="str">
        <f ca="1">IFERROR(__xludf.DUMMYFUNCTION("""COMPUTED_VALUE"""),"N/A")</f>
        <v>N/A</v>
      </c>
      <c r="H334" s="18" t="str">
        <f ca="1">IFERROR(__xludf.DUMMYFUNCTION("""COMPUTED_VALUE"""),"N/A")</f>
        <v>N/A</v>
      </c>
      <c r="I334" s="18" t="str">
        <f ca="1">IFERROR(__xludf.DUMMYFUNCTION("""COMPUTED_VALUE"""),"N/A")</f>
        <v>N/A</v>
      </c>
      <c r="J334" s="18" t="str">
        <f ca="1">IFERROR(__xludf.DUMMYFUNCTION("""COMPUTED_VALUE"""),"N/A")</f>
        <v>N/A</v>
      </c>
      <c r="K334" s="18" t="str">
        <f ca="1">IFERROR(__xludf.DUMMYFUNCTION("""COMPUTED_VALUE"""),"N/A")</f>
        <v>N/A</v>
      </c>
      <c r="L334" s="18" t="str">
        <f ca="1">IFERROR(__xludf.DUMMYFUNCTION("""COMPUTED_VALUE"""),"N/A")</f>
        <v>N/A</v>
      </c>
      <c r="M334" s="18" t="str">
        <f ca="1">IFERROR(__xludf.DUMMYFUNCTION("""COMPUTED_VALUE"""),"N/A")</f>
        <v>N/A</v>
      </c>
      <c r="N334" s="18" t="str">
        <f ca="1">IFERROR(__xludf.DUMMYFUNCTION("""COMPUTED_VALUE"""),"N/A")</f>
        <v>N/A</v>
      </c>
      <c r="O334" s="18" t="str">
        <f ca="1">IFERROR(__xludf.DUMMYFUNCTION("""COMPUTED_VALUE"""),"N/A")</f>
        <v>N/A</v>
      </c>
      <c r="P334" s="18" t="str">
        <f ca="1">IFERROR(__xludf.DUMMYFUNCTION("""COMPUTED_VALUE"""),"N/A")</f>
        <v>N/A</v>
      </c>
      <c r="Q334" s="18" t="str">
        <f ca="1">IFERROR(__xludf.DUMMYFUNCTION("""COMPUTED_VALUE"""),"N/A")</f>
        <v>N/A</v>
      </c>
      <c r="R334" s="18" t="str">
        <f ca="1">IFERROR(__xludf.DUMMYFUNCTION("""COMPUTED_VALUE"""),"N/A")</f>
        <v>N/A</v>
      </c>
      <c r="S334" s="18" t="str">
        <f ca="1">IFERROR(__xludf.DUMMYFUNCTION("""COMPUTED_VALUE"""),"N/A")</f>
        <v>N/A</v>
      </c>
      <c r="T334" s="18" t="str">
        <f ca="1">IFERROR(__xludf.DUMMYFUNCTION("""COMPUTED_VALUE"""),"N/A")</f>
        <v>N/A</v>
      </c>
      <c r="U334" s="18" t="str">
        <f ca="1">IFERROR(__xludf.DUMMYFUNCTION("""COMPUTED_VALUE"""),"N/A")</f>
        <v>N/A</v>
      </c>
      <c r="V334" s="18" t="str">
        <f ca="1">IFERROR(__xludf.DUMMYFUNCTION("""COMPUTED_VALUE"""),"N/A")</f>
        <v>N/A</v>
      </c>
      <c r="W334" s="18" t="str">
        <f ca="1">IFERROR(__xludf.DUMMYFUNCTION("""COMPUTED_VALUE"""),"N/A")</f>
        <v>N/A</v>
      </c>
      <c r="X334" s="18" t="str">
        <f ca="1">IFERROR(__xludf.DUMMYFUNCTION("""COMPUTED_VALUE"""),"N/A")</f>
        <v>N/A</v>
      </c>
      <c r="Y334" s="18" t="e">
        <f ca="1"/>
        <v>#NAME?</v>
      </c>
      <c r="Z334" s="18" t="str">
        <f ca="1">IFERROR(__xludf.DUMMYFUNCTION("""COMPUTED_VALUE"""),"N/A")</f>
        <v>N/A</v>
      </c>
      <c r="AA334" s="18" t="str">
        <f ca="1">IFERROR(__xludf.DUMMYFUNCTION("""COMPUTED_VALUE"""),"N/A")</f>
        <v>N/A</v>
      </c>
      <c r="AC334" s="59" t="s">
        <v>1355</v>
      </c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</row>
    <row r="335" spans="1:46" x14ac:dyDescent="0.25">
      <c r="A335" s="18">
        <v>0</v>
      </c>
      <c r="B335" s="52" t="str">
        <f ca="1"/>
        <v/>
      </c>
      <c r="C335" s="52" t="str">
        <f ca="1">IFERROR(__xludf.DUMMYFUNCTION("""COMPUTED_VALUE"""),"")</f>
        <v/>
      </c>
      <c r="D335" s="18" t="str">
        <f ca="1">IFERROR(__xludf.DUMMYFUNCTION("""COMPUTED_VALUE"""),"")</f>
        <v/>
      </c>
      <c r="E335" s="18" t="str">
        <f ca="1">IFERROR(__xludf.DUMMYFUNCTION("""COMPUTED_VALUE"""),"")</f>
        <v/>
      </c>
      <c r="F335" s="18" t="str">
        <f ca="1">IFERROR(__xludf.DUMMYFUNCTION("""COMPUTED_VALUE"""),"")</f>
        <v/>
      </c>
      <c r="G335" s="18" t="str">
        <f ca="1">IFERROR(__xludf.DUMMYFUNCTION("""COMPUTED_VALUE"""),"")</f>
        <v/>
      </c>
      <c r="H335" s="18" t="str">
        <f ca="1">IFERROR(__xludf.DUMMYFUNCTION("""COMPUTED_VALUE"""),"")</f>
        <v/>
      </c>
      <c r="I335" s="18" t="str">
        <f ca="1">IFERROR(__xludf.DUMMYFUNCTION("""COMPUTED_VALUE"""),"")</f>
        <v/>
      </c>
      <c r="J335" s="18" t="str">
        <f ca="1">IFERROR(__xludf.DUMMYFUNCTION("""COMPUTED_VALUE"""),"")</f>
        <v/>
      </c>
      <c r="K335" s="18" t="str">
        <f ca="1">IFERROR(__xludf.DUMMYFUNCTION("""COMPUTED_VALUE"""),"")</f>
        <v/>
      </c>
      <c r="L335" s="18" t="str">
        <f ca="1">IFERROR(__xludf.DUMMYFUNCTION("""COMPUTED_VALUE"""),"")</f>
        <v/>
      </c>
      <c r="M335" s="18" t="str">
        <f ca="1">IFERROR(__xludf.DUMMYFUNCTION("""COMPUTED_VALUE"""),"")</f>
        <v/>
      </c>
      <c r="N335" s="18" t="str">
        <f ca="1">IFERROR(__xludf.DUMMYFUNCTION("""COMPUTED_VALUE"""),"")</f>
        <v/>
      </c>
      <c r="O335" s="18" t="str">
        <f ca="1">IFERROR(__xludf.DUMMYFUNCTION("""COMPUTED_VALUE"""),"")</f>
        <v/>
      </c>
      <c r="P335" s="18" t="str">
        <f ca="1">IFERROR(__xludf.DUMMYFUNCTION("""COMPUTED_VALUE"""),"")</f>
        <v/>
      </c>
      <c r="Q335" s="18" t="str">
        <f ca="1">IFERROR(__xludf.DUMMYFUNCTION("""COMPUTED_VALUE"""),"")</f>
        <v/>
      </c>
      <c r="R335" s="18" t="str">
        <f ca="1">IFERROR(__xludf.DUMMYFUNCTION("""COMPUTED_VALUE"""),"")</f>
        <v/>
      </c>
      <c r="S335" s="18" t="str">
        <f ca="1">IFERROR(__xludf.DUMMYFUNCTION("""COMPUTED_VALUE"""),"")</f>
        <v/>
      </c>
      <c r="T335" s="18" t="str">
        <f ca="1">IFERROR(__xludf.DUMMYFUNCTION("""COMPUTED_VALUE"""),"")</f>
        <v/>
      </c>
      <c r="U335" s="18" t="str">
        <f ca="1">IFERROR(__xludf.DUMMYFUNCTION("""COMPUTED_VALUE"""),"")</f>
        <v/>
      </c>
      <c r="V335" s="18" t="str">
        <f ca="1">IFERROR(__xludf.DUMMYFUNCTION("""COMPUTED_VALUE"""),"")</f>
        <v/>
      </c>
      <c r="W335" s="18" t="str">
        <f ca="1">IFERROR(__xludf.DUMMYFUNCTION("""COMPUTED_VALUE"""),"")</f>
        <v/>
      </c>
      <c r="X335" s="18" t="str">
        <f ca="1">IFERROR(__xludf.DUMMYFUNCTION("""COMPUTED_VALUE"""),"")</f>
        <v/>
      </c>
      <c r="Y335" s="18" t="e">
        <f ca="1"/>
        <v>#NAME?</v>
      </c>
      <c r="Z335" s="18" t="str">
        <f ca="1">IFERROR(__xludf.DUMMYFUNCTION("""COMPUTED_VALUE"""),"")</f>
        <v/>
      </c>
      <c r="AA335" s="18" t="str">
        <f ca="1">IFERROR(__xludf.DUMMYFUNCTION("""COMPUTED_VALUE"""),"")</f>
        <v/>
      </c>
      <c r="AC335" s="59"/>
    </row>
    <row r="336" spans="1:46" x14ac:dyDescent="0.25">
      <c r="A336" s="18">
        <v>0</v>
      </c>
      <c r="B336" s="52" t="str">
        <f ca="1"/>
        <v/>
      </c>
      <c r="C336" s="52" t="str">
        <f ca="1">IFERROR(__xludf.DUMMYFUNCTION("""COMPUTED_VALUE"""),"")</f>
        <v/>
      </c>
      <c r="D336" s="18" t="str">
        <f ca="1">IFERROR(__xludf.DUMMYFUNCTION("""COMPUTED_VALUE"""),"")</f>
        <v/>
      </c>
      <c r="E336" s="18" t="str">
        <f ca="1">IFERROR(__xludf.DUMMYFUNCTION("""COMPUTED_VALUE"""),"")</f>
        <v/>
      </c>
      <c r="F336" s="18" t="str">
        <f ca="1">IFERROR(__xludf.DUMMYFUNCTION("""COMPUTED_VALUE"""),"")</f>
        <v/>
      </c>
      <c r="G336" s="18" t="str">
        <f ca="1">IFERROR(__xludf.DUMMYFUNCTION("""COMPUTED_VALUE"""),"")</f>
        <v/>
      </c>
      <c r="H336" s="18" t="str">
        <f ca="1">IFERROR(__xludf.DUMMYFUNCTION("""COMPUTED_VALUE"""),"")</f>
        <v/>
      </c>
      <c r="I336" s="18" t="str">
        <f ca="1">IFERROR(__xludf.DUMMYFUNCTION("""COMPUTED_VALUE"""),"")</f>
        <v/>
      </c>
      <c r="J336" s="18" t="str">
        <f ca="1">IFERROR(__xludf.DUMMYFUNCTION("""COMPUTED_VALUE"""),"")</f>
        <v/>
      </c>
      <c r="K336" s="18" t="str">
        <f ca="1">IFERROR(__xludf.DUMMYFUNCTION("""COMPUTED_VALUE"""),"")</f>
        <v/>
      </c>
      <c r="L336" s="18" t="str">
        <f ca="1">IFERROR(__xludf.DUMMYFUNCTION("""COMPUTED_VALUE"""),"")</f>
        <v/>
      </c>
      <c r="M336" s="18" t="str">
        <f ca="1">IFERROR(__xludf.DUMMYFUNCTION("""COMPUTED_VALUE"""),"")</f>
        <v/>
      </c>
      <c r="N336" s="18" t="str">
        <f ca="1">IFERROR(__xludf.DUMMYFUNCTION("""COMPUTED_VALUE"""),"")</f>
        <v/>
      </c>
      <c r="O336" s="18" t="str">
        <f ca="1">IFERROR(__xludf.DUMMYFUNCTION("""COMPUTED_VALUE"""),"")</f>
        <v/>
      </c>
      <c r="P336" s="18" t="str">
        <f ca="1">IFERROR(__xludf.DUMMYFUNCTION("""COMPUTED_VALUE"""),"")</f>
        <v/>
      </c>
      <c r="Q336" s="18" t="str">
        <f ca="1">IFERROR(__xludf.DUMMYFUNCTION("""COMPUTED_VALUE"""),"")</f>
        <v/>
      </c>
      <c r="R336" s="18" t="str">
        <f ca="1">IFERROR(__xludf.DUMMYFUNCTION("""COMPUTED_VALUE"""),"")</f>
        <v/>
      </c>
      <c r="S336" s="18" t="str">
        <f ca="1">IFERROR(__xludf.DUMMYFUNCTION("""COMPUTED_VALUE"""),"")</f>
        <v/>
      </c>
      <c r="T336" s="18" t="str">
        <f ca="1">IFERROR(__xludf.DUMMYFUNCTION("""COMPUTED_VALUE"""),"")</f>
        <v/>
      </c>
      <c r="U336" s="18" t="str">
        <f ca="1">IFERROR(__xludf.DUMMYFUNCTION("""COMPUTED_VALUE"""),"")</f>
        <v/>
      </c>
      <c r="V336" s="18" t="str">
        <f ca="1">IFERROR(__xludf.DUMMYFUNCTION("""COMPUTED_VALUE"""),"")</f>
        <v/>
      </c>
      <c r="W336" s="18" t="str">
        <f ca="1">IFERROR(__xludf.DUMMYFUNCTION("""COMPUTED_VALUE"""),"")</f>
        <v/>
      </c>
      <c r="X336" s="18" t="str">
        <f ca="1">IFERROR(__xludf.DUMMYFUNCTION("""COMPUTED_VALUE"""),"")</f>
        <v/>
      </c>
      <c r="Y336" s="18" t="e">
        <f ca="1"/>
        <v>#NAME?</v>
      </c>
      <c r="Z336" s="18" t="str">
        <f ca="1">IFERROR(__xludf.DUMMYFUNCTION("""COMPUTED_VALUE"""),"")</f>
        <v/>
      </c>
      <c r="AA336" s="18" t="str">
        <f ca="1">IFERROR(__xludf.DUMMYFUNCTION("""COMPUTED_VALUE"""),"")</f>
        <v/>
      </c>
      <c r="AC336" s="59"/>
    </row>
    <row r="337" spans="1:29" x14ac:dyDescent="0.25">
      <c r="A337" s="18">
        <v>0</v>
      </c>
      <c r="B337" s="52" t="str">
        <f ca="1"/>
        <v/>
      </c>
      <c r="C337" s="52" t="str">
        <f ca="1">IFERROR(__xludf.DUMMYFUNCTION("""COMPUTED_VALUE"""),"")</f>
        <v/>
      </c>
      <c r="D337" s="18" t="str">
        <f ca="1">IFERROR(__xludf.DUMMYFUNCTION("""COMPUTED_VALUE"""),"")</f>
        <v/>
      </c>
      <c r="E337" s="18" t="str">
        <f ca="1">IFERROR(__xludf.DUMMYFUNCTION("""COMPUTED_VALUE"""),"")</f>
        <v/>
      </c>
      <c r="F337" s="18" t="str">
        <f ca="1">IFERROR(__xludf.DUMMYFUNCTION("""COMPUTED_VALUE"""),"")</f>
        <v/>
      </c>
      <c r="G337" s="18" t="str">
        <f ca="1">IFERROR(__xludf.DUMMYFUNCTION("""COMPUTED_VALUE"""),"")</f>
        <v/>
      </c>
      <c r="H337" s="18" t="str">
        <f ca="1">IFERROR(__xludf.DUMMYFUNCTION("""COMPUTED_VALUE"""),"")</f>
        <v/>
      </c>
      <c r="I337" s="18" t="str">
        <f ca="1">IFERROR(__xludf.DUMMYFUNCTION("""COMPUTED_VALUE"""),"")</f>
        <v/>
      </c>
      <c r="J337" s="18" t="str">
        <f ca="1">IFERROR(__xludf.DUMMYFUNCTION("""COMPUTED_VALUE"""),"")</f>
        <v/>
      </c>
      <c r="K337" s="18" t="str">
        <f ca="1">IFERROR(__xludf.DUMMYFUNCTION("""COMPUTED_VALUE"""),"")</f>
        <v/>
      </c>
      <c r="L337" s="18" t="str">
        <f ca="1">IFERROR(__xludf.DUMMYFUNCTION("""COMPUTED_VALUE"""),"")</f>
        <v/>
      </c>
      <c r="M337" s="18" t="str">
        <f ca="1">IFERROR(__xludf.DUMMYFUNCTION("""COMPUTED_VALUE"""),"")</f>
        <v/>
      </c>
      <c r="N337" s="18" t="str">
        <f ca="1">IFERROR(__xludf.DUMMYFUNCTION("""COMPUTED_VALUE"""),"")</f>
        <v/>
      </c>
      <c r="O337" s="18" t="str">
        <f ca="1">IFERROR(__xludf.DUMMYFUNCTION("""COMPUTED_VALUE"""),"")</f>
        <v/>
      </c>
      <c r="P337" s="18" t="str">
        <f ca="1">IFERROR(__xludf.DUMMYFUNCTION("""COMPUTED_VALUE"""),"")</f>
        <v/>
      </c>
      <c r="Q337" s="18" t="str">
        <f ca="1">IFERROR(__xludf.DUMMYFUNCTION("""COMPUTED_VALUE"""),"")</f>
        <v/>
      </c>
      <c r="R337" s="18" t="str">
        <f ca="1">IFERROR(__xludf.DUMMYFUNCTION("""COMPUTED_VALUE"""),"")</f>
        <v/>
      </c>
      <c r="S337" s="18" t="str">
        <f ca="1">IFERROR(__xludf.DUMMYFUNCTION("""COMPUTED_VALUE"""),"")</f>
        <v/>
      </c>
      <c r="T337" s="18" t="str">
        <f ca="1">IFERROR(__xludf.DUMMYFUNCTION("""COMPUTED_VALUE"""),"")</f>
        <v/>
      </c>
      <c r="U337" s="18" t="str">
        <f ca="1">IFERROR(__xludf.DUMMYFUNCTION("""COMPUTED_VALUE"""),"")</f>
        <v/>
      </c>
      <c r="V337" s="18" t="str">
        <f ca="1">IFERROR(__xludf.DUMMYFUNCTION("""COMPUTED_VALUE"""),"")</f>
        <v/>
      </c>
      <c r="W337" s="18" t="str">
        <f ca="1">IFERROR(__xludf.DUMMYFUNCTION("""COMPUTED_VALUE"""),"")</f>
        <v/>
      </c>
      <c r="X337" s="18" t="str">
        <f ca="1">IFERROR(__xludf.DUMMYFUNCTION("""COMPUTED_VALUE"""),"")</f>
        <v/>
      </c>
      <c r="Y337" s="18" t="e">
        <f ca="1"/>
        <v>#NAME?</v>
      </c>
      <c r="Z337" s="18" t="str">
        <f ca="1">IFERROR(__xludf.DUMMYFUNCTION("""COMPUTED_VALUE"""),"")</f>
        <v/>
      </c>
      <c r="AA337" s="18" t="str">
        <f ca="1">IFERROR(__xludf.DUMMYFUNCTION("""COMPUTED_VALUE"""),"")</f>
        <v/>
      </c>
      <c r="AC337" s="59"/>
    </row>
    <row r="338" spans="1:29" x14ac:dyDescent="0.25">
      <c r="A338" s="18">
        <v>0</v>
      </c>
      <c r="B338" s="52" t="str">
        <f ca="1"/>
        <v/>
      </c>
      <c r="C338" s="52" t="str">
        <f ca="1">IFERROR(__xludf.DUMMYFUNCTION("""COMPUTED_VALUE"""),"")</f>
        <v/>
      </c>
      <c r="D338" s="18" t="str">
        <f ca="1">IFERROR(__xludf.DUMMYFUNCTION("""COMPUTED_VALUE"""),"")</f>
        <v/>
      </c>
      <c r="E338" s="18" t="str">
        <f ca="1">IFERROR(__xludf.DUMMYFUNCTION("""COMPUTED_VALUE"""),"")</f>
        <v/>
      </c>
      <c r="F338" s="18" t="str">
        <f ca="1">IFERROR(__xludf.DUMMYFUNCTION("""COMPUTED_VALUE"""),"")</f>
        <v/>
      </c>
      <c r="G338" s="18" t="str">
        <f ca="1">IFERROR(__xludf.DUMMYFUNCTION("""COMPUTED_VALUE"""),"")</f>
        <v/>
      </c>
      <c r="H338" s="18" t="str">
        <f ca="1">IFERROR(__xludf.DUMMYFUNCTION("""COMPUTED_VALUE"""),"")</f>
        <v/>
      </c>
      <c r="I338" s="18" t="str">
        <f ca="1">IFERROR(__xludf.DUMMYFUNCTION("""COMPUTED_VALUE"""),"")</f>
        <v/>
      </c>
      <c r="J338" s="18" t="str">
        <f ca="1">IFERROR(__xludf.DUMMYFUNCTION("""COMPUTED_VALUE"""),"")</f>
        <v/>
      </c>
      <c r="K338" s="18" t="str">
        <f ca="1">IFERROR(__xludf.DUMMYFUNCTION("""COMPUTED_VALUE"""),"")</f>
        <v/>
      </c>
      <c r="L338" s="18" t="str">
        <f ca="1">IFERROR(__xludf.DUMMYFUNCTION("""COMPUTED_VALUE"""),"")</f>
        <v/>
      </c>
      <c r="M338" s="18" t="str">
        <f ca="1">IFERROR(__xludf.DUMMYFUNCTION("""COMPUTED_VALUE"""),"")</f>
        <v/>
      </c>
      <c r="N338" s="18" t="str">
        <f ca="1">IFERROR(__xludf.DUMMYFUNCTION("""COMPUTED_VALUE"""),"")</f>
        <v/>
      </c>
      <c r="O338" s="18" t="str">
        <f ca="1">IFERROR(__xludf.DUMMYFUNCTION("""COMPUTED_VALUE"""),"")</f>
        <v/>
      </c>
      <c r="P338" s="18" t="str">
        <f ca="1">IFERROR(__xludf.DUMMYFUNCTION("""COMPUTED_VALUE"""),"")</f>
        <v/>
      </c>
      <c r="Q338" s="18" t="str">
        <f ca="1">IFERROR(__xludf.DUMMYFUNCTION("""COMPUTED_VALUE"""),"")</f>
        <v/>
      </c>
      <c r="R338" s="18" t="str">
        <f ca="1">IFERROR(__xludf.DUMMYFUNCTION("""COMPUTED_VALUE"""),"")</f>
        <v/>
      </c>
      <c r="S338" s="18" t="str">
        <f ca="1">IFERROR(__xludf.DUMMYFUNCTION("""COMPUTED_VALUE"""),"")</f>
        <v/>
      </c>
      <c r="T338" s="18" t="str">
        <f ca="1">IFERROR(__xludf.DUMMYFUNCTION("""COMPUTED_VALUE"""),"")</f>
        <v/>
      </c>
      <c r="U338" s="18" t="str">
        <f ca="1">IFERROR(__xludf.DUMMYFUNCTION("""COMPUTED_VALUE"""),"")</f>
        <v/>
      </c>
      <c r="V338" s="18" t="str">
        <f ca="1">IFERROR(__xludf.DUMMYFUNCTION("""COMPUTED_VALUE"""),"")</f>
        <v/>
      </c>
      <c r="W338" s="18" t="str">
        <f ca="1">IFERROR(__xludf.DUMMYFUNCTION("""COMPUTED_VALUE"""),"")</f>
        <v/>
      </c>
      <c r="X338" s="18" t="str">
        <f ca="1">IFERROR(__xludf.DUMMYFUNCTION("""COMPUTED_VALUE"""),"")</f>
        <v/>
      </c>
      <c r="Y338" s="18" t="e">
        <f ca="1"/>
        <v>#NAME?</v>
      </c>
      <c r="Z338" s="18" t="str">
        <f ca="1">IFERROR(__xludf.DUMMYFUNCTION("""COMPUTED_VALUE"""),"")</f>
        <v/>
      </c>
      <c r="AA338" s="18" t="str">
        <f ca="1">IFERROR(__xludf.DUMMYFUNCTION("""COMPUTED_VALUE"""),"")</f>
        <v/>
      </c>
      <c r="AC338" s="59"/>
    </row>
    <row r="339" spans="1:29" x14ac:dyDescent="0.25">
      <c r="A339" s="18">
        <v>0</v>
      </c>
      <c r="B339" s="52" t="str">
        <f ca="1"/>
        <v/>
      </c>
      <c r="C339" s="52" t="str">
        <f ca="1">IFERROR(__xludf.DUMMYFUNCTION("""COMPUTED_VALUE"""),"")</f>
        <v/>
      </c>
      <c r="D339" s="18" t="str">
        <f ca="1">IFERROR(__xludf.DUMMYFUNCTION("""COMPUTED_VALUE"""),"")</f>
        <v/>
      </c>
      <c r="E339" s="18" t="str">
        <f ca="1">IFERROR(__xludf.DUMMYFUNCTION("""COMPUTED_VALUE"""),"")</f>
        <v/>
      </c>
      <c r="F339" s="18" t="str">
        <f ca="1">IFERROR(__xludf.DUMMYFUNCTION("""COMPUTED_VALUE"""),"")</f>
        <v/>
      </c>
      <c r="G339" s="18" t="str">
        <f ca="1">IFERROR(__xludf.DUMMYFUNCTION("""COMPUTED_VALUE"""),"")</f>
        <v/>
      </c>
      <c r="H339" s="18" t="str">
        <f ca="1">IFERROR(__xludf.DUMMYFUNCTION("""COMPUTED_VALUE"""),"")</f>
        <v/>
      </c>
      <c r="I339" s="18" t="str">
        <f ca="1">IFERROR(__xludf.DUMMYFUNCTION("""COMPUTED_VALUE"""),"")</f>
        <v/>
      </c>
      <c r="J339" s="18" t="str">
        <f ca="1">IFERROR(__xludf.DUMMYFUNCTION("""COMPUTED_VALUE"""),"")</f>
        <v/>
      </c>
      <c r="K339" s="18" t="str">
        <f ca="1">IFERROR(__xludf.DUMMYFUNCTION("""COMPUTED_VALUE"""),"")</f>
        <v/>
      </c>
      <c r="L339" s="18" t="str">
        <f ca="1">IFERROR(__xludf.DUMMYFUNCTION("""COMPUTED_VALUE"""),"")</f>
        <v/>
      </c>
      <c r="M339" s="18" t="str">
        <f ca="1">IFERROR(__xludf.DUMMYFUNCTION("""COMPUTED_VALUE"""),"")</f>
        <v/>
      </c>
      <c r="N339" s="18" t="str">
        <f ca="1">IFERROR(__xludf.DUMMYFUNCTION("""COMPUTED_VALUE"""),"")</f>
        <v/>
      </c>
      <c r="O339" s="18" t="str">
        <f ca="1">IFERROR(__xludf.DUMMYFUNCTION("""COMPUTED_VALUE"""),"")</f>
        <v/>
      </c>
      <c r="P339" s="18" t="str">
        <f ca="1">IFERROR(__xludf.DUMMYFUNCTION("""COMPUTED_VALUE"""),"")</f>
        <v/>
      </c>
      <c r="Q339" s="18" t="str">
        <f ca="1">IFERROR(__xludf.DUMMYFUNCTION("""COMPUTED_VALUE"""),"")</f>
        <v/>
      </c>
      <c r="R339" s="18" t="str">
        <f ca="1">IFERROR(__xludf.DUMMYFUNCTION("""COMPUTED_VALUE"""),"")</f>
        <v/>
      </c>
      <c r="S339" s="18" t="str">
        <f ca="1">IFERROR(__xludf.DUMMYFUNCTION("""COMPUTED_VALUE"""),"")</f>
        <v/>
      </c>
      <c r="T339" s="18" t="str">
        <f ca="1">IFERROR(__xludf.DUMMYFUNCTION("""COMPUTED_VALUE"""),"")</f>
        <v/>
      </c>
      <c r="U339" s="18" t="str">
        <f ca="1">IFERROR(__xludf.DUMMYFUNCTION("""COMPUTED_VALUE"""),"")</f>
        <v/>
      </c>
      <c r="V339" s="18" t="str">
        <f ca="1">IFERROR(__xludf.DUMMYFUNCTION("""COMPUTED_VALUE"""),"")</f>
        <v/>
      </c>
      <c r="W339" s="18" t="str">
        <f ca="1">IFERROR(__xludf.DUMMYFUNCTION("""COMPUTED_VALUE"""),"")</f>
        <v/>
      </c>
      <c r="X339" s="18" t="str">
        <f ca="1">IFERROR(__xludf.DUMMYFUNCTION("""COMPUTED_VALUE"""),"")</f>
        <v/>
      </c>
      <c r="Y339" s="18" t="e">
        <f ca="1"/>
        <v>#NAME?</v>
      </c>
      <c r="Z339" s="18" t="str">
        <f ca="1">IFERROR(__xludf.DUMMYFUNCTION("""COMPUTED_VALUE"""),"")</f>
        <v/>
      </c>
      <c r="AA339" s="18" t="str">
        <f ca="1">IFERROR(__xludf.DUMMYFUNCTION("""COMPUTED_VALUE"""),"")</f>
        <v/>
      </c>
      <c r="AC339" s="59"/>
    </row>
    <row r="340" spans="1:29" x14ac:dyDescent="0.25">
      <c r="A340" s="18">
        <v>0</v>
      </c>
      <c r="B340" s="52" t="str">
        <f ca="1"/>
        <v/>
      </c>
      <c r="C340" s="52" t="str">
        <f ca="1">IFERROR(__xludf.DUMMYFUNCTION("""COMPUTED_VALUE"""),"")</f>
        <v/>
      </c>
      <c r="D340" s="18" t="str">
        <f ca="1">IFERROR(__xludf.DUMMYFUNCTION("""COMPUTED_VALUE"""),"")</f>
        <v/>
      </c>
      <c r="E340" s="18" t="str">
        <f ca="1">IFERROR(__xludf.DUMMYFUNCTION("""COMPUTED_VALUE"""),"")</f>
        <v/>
      </c>
      <c r="F340" s="18" t="str">
        <f ca="1">IFERROR(__xludf.DUMMYFUNCTION("""COMPUTED_VALUE"""),"")</f>
        <v/>
      </c>
      <c r="G340" s="18" t="str">
        <f ca="1">IFERROR(__xludf.DUMMYFUNCTION("""COMPUTED_VALUE"""),"")</f>
        <v/>
      </c>
      <c r="H340" s="18" t="str">
        <f ca="1">IFERROR(__xludf.DUMMYFUNCTION("""COMPUTED_VALUE"""),"")</f>
        <v/>
      </c>
      <c r="I340" s="18" t="str">
        <f ca="1">IFERROR(__xludf.DUMMYFUNCTION("""COMPUTED_VALUE"""),"")</f>
        <v/>
      </c>
      <c r="J340" s="18" t="str">
        <f ca="1">IFERROR(__xludf.DUMMYFUNCTION("""COMPUTED_VALUE"""),"")</f>
        <v/>
      </c>
      <c r="K340" s="18" t="str">
        <f ca="1">IFERROR(__xludf.DUMMYFUNCTION("""COMPUTED_VALUE"""),"")</f>
        <v/>
      </c>
      <c r="L340" s="18" t="str">
        <f ca="1">IFERROR(__xludf.DUMMYFUNCTION("""COMPUTED_VALUE"""),"")</f>
        <v/>
      </c>
      <c r="M340" s="18" t="str">
        <f ca="1">IFERROR(__xludf.DUMMYFUNCTION("""COMPUTED_VALUE"""),"")</f>
        <v/>
      </c>
      <c r="N340" s="18" t="str">
        <f ca="1">IFERROR(__xludf.DUMMYFUNCTION("""COMPUTED_VALUE"""),"")</f>
        <v/>
      </c>
      <c r="O340" s="18" t="str">
        <f ca="1">IFERROR(__xludf.DUMMYFUNCTION("""COMPUTED_VALUE"""),"")</f>
        <v/>
      </c>
      <c r="P340" s="18" t="str">
        <f ca="1">IFERROR(__xludf.DUMMYFUNCTION("""COMPUTED_VALUE"""),"")</f>
        <v/>
      </c>
      <c r="Q340" s="18" t="str">
        <f ca="1">IFERROR(__xludf.DUMMYFUNCTION("""COMPUTED_VALUE"""),"")</f>
        <v/>
      </c>
      <c r="R340" s="18" t="str">
        <f ca="1">IFERROR(__xludf.DUMMYFUNCTION("""COMPUTED_VALUE"""),"")</f>
        <v/>
      </c>
      <c r="S340" s="18" t="str">
        <f ca="1">IFERROR(__xludf.DUMMYFUNCTION("""COMPUTED_VALUE"""),"")</f>
        <v/>
      </c>
      <c r="T340" s="18" t="str">
        <f ca="1">IFERROR(__xludf.DUMMYFUNCTION("""COMPUTED_VALUE"""),"")</f>
        <v/>
      </c>
      <c r="U340" s="18" t="str">
        <f ca="1">IFERROR(__xludf.DUMMYFUNCTION("""COMPUTED_VALUE"""),"")</f>
        <v/>
      </c>
      <c r="V340" s="18" t="str">
        <f ca="1">IFERROR(__xludf.DUMMYFUNCTION("""COMPUTED_VALUE"""),"")</f>
        <v/>
      </c>
      <c r="W340" s="18" t="str">
        <f ca="1">IFERROR(__xludf.DUMMYFUNCTION("""COMPUTED_VALUE"""),"")</f>
        <v/>
      </c>
      <c r="X340" s="18" t="str">
        <f ca="1">IFERROR(__xludf.DUMMYFUNCTION("""COMPUTED_VALUE"""),"")</f>
        <v/>
      </c>
      <c r="Y340" s="18" t="e">
        <f ca="1"/>
        <v>#NAME?</v>
      </c>
      <c r="Z340" s="18" t="str">
        <f ca="1">IFERROR(__xludf.DUMMYFUNCTION("""COMPUTED_VALUE"""),"")</f>
        <v/>
      </c>
      <c r="AA340" s="18" t="str">
        <f ca="1">IFERROR(__xludf.DUMMYFUNCTION("""COMPUTED_VALUE"""),"")</f>
        <v/>
      </c>
      <c r="AC340" s="59"/>
    </row>
    <row r="341" spans="1:29" x14ac:dyDescent="0.25">
      <c r="A341" s="18">
        <v>0</v>
      </c>
      <c r="B341" s="52" t="str">
        <f ca="1"/>
        <v/>
      </c>
      <c r="C341" s="52" t="str">
        <f ca="1">IFERROR(__xludf.DUMMYFUNCTION("""COMPUTED_VALUE"""),"")</f>
        <v/>
      </c>
      <c r="D341" s="18" t="str">
        <f ca="1">IFERROR(__xludf.DUMMYFUNCTION("""COMPUTED_VALUE"""),"")</f>
        <v/>
      </c>
      <c r="E341" s="18" t="str">
        <f ca="1">IFERROR(__xludf.DUMMYFUNCTION("""COMPUTED_VALUE"""),"")</f>
        <v/>
      </c>
      <c r="F341" s="18" t="str">
        <f ca="1">IFERROR(__xludf.DUMMYFUNCTION("""COMPUTED_VALUE"""),"")</f>
        <v/>
      </c>
      <c r="G341" s="18" t="str">
        <f ca="1">IFERROR(__xludf.DUMMYFUNCTION("""COMPUTED_VALUE"""),"")</f>
        <v/>
      </c>
      <c r="H341" s="18" t="str">
        <f ca="1">IFERROR(__xludf.DUMMYFUNCTION("""COMPUTED_VALUE"""),"")</f>
        <v/>
      </c>
      <c r="I341" s="18" t="str">
        <f ca="1">IFERROR(__xludf.DUMMYFUNCTION("""COMPUTED_VALUE"""),"")</f>
        <v/>
      </c>
      <c r="J341" s="18" t="str">
        <f ca="1">IFERROR(__xludf.DUMMYFUNCTION("""COMPUTED_VALUE"""),"")</f>
        <v/>
      </c>
      <c r="K341" s="18" t="str">
        <f ca="1">IFERROR(__xludf.DUMMYFUNCTION("""COMPUTED_VALUE"""),"")</f>
        <v/>
      </c>
      <c r="L341" s="18" t="str">
        <f ca="1">IFERROR(__xludf.DUMMYFUNCTION("""COMPUTED_VALUE"""),"")</f>
        <v/>
      </c>
      <c r="M341" s="18" t="str">
        <f ca="1">IFERROR(__xludf.DUMMYFUNCTION("""COMPUTED_VALUE"""),"")</f>
        <v/>
      </c>
      <c r="N341" s="18" t="str">
        <f ca="1">IFERROR(__xludf.DUMMYFUNCTION("""COMPUTED_VALUE"""),"")</f>
        <v/>
      </c>
      <c r="O341" s="18" t="str">
        <f ca="1">IFERROR(__xludf.DUMMYFUNCTION("""COMPUTED_VALUE"""),"")</f>
        <v/>
      </c>
      <c r="P341" s="18" t="str">
        <f ca="1">IFERROR(__xludf.DUMMYFUNCTION("""COMPUTED_VALUE"""),"")</f>
        <v/>
      </c>
      <c r="Q341" s="18" t="str">
        <f ca="1">IFERROR(__xludf.DUMMYFUNCTION("""COMPUTED_VALUE"""),"")</f>
        <v/>
      </c>
      <c r="R341" s="18" t="str">
        <f ca="1">IFERROR(__xludf.DUMMYFUNCTION("""COMPUTED_VALUE"""),"")</f>
        <v/>
      </c>
      <c r="S341" s="18" t="str">
        <f ca="1">IFERROR(__xludf.DUMMYFUNCTION("""COMPUTED_VALUE"""),"")</f>
        <v/>
      </c>
      <c r="T341" s="18" t="str">
        <f ca="1">IFERROR(__xludf.DUMMYFUNCTION("""COMPUTED_VALUE"""),"")</f>
        <v/>
      </c>
      <c r="U341" s="18" t="str">
        <f ca="1">IFERROR(__xludf.DUMMYFUNCTION("""COMPUTED_VALUE"""),"")</f>
        <v/>
      </c>
      <c r="V341" s="18" t="str">
        <f ca="1">IFERROR(__xludf.DUMMYFUNCTION("""COMPUTED_VALUE"""),"")</f>
        <v/>
      </c>
      <c r="W341" s="18" t="str">
        <f ca="1">IFERROR(__xludf.DUMMYFUNCTION("""COMPUTED_VALUE"""),"")</f>
        <v/>
      </c>
      <c r="X341" s="18" t="str">
        <f ca="1">IFERROR(__xludf.DUMMYFUNCTION("""COMPUTED_VALUE"""),"")</f>
        <v/>
      </c>
      <c r="Y341" s="18" t="e">
        <f ca="1"/>
        <v>#NAME?</v>
      </c>
      <c r="Z341" s="18" t="str">
        <f ca="1">IFERROR(__xludf.DUMMYFUNCTION("""COMPUTED_VALUE"""),"")</f>
        <v/>
      </c>
      <c r="AA341" s="18" t="str">
        <f ca="1">IFERROR(__xludf.DUMMYFUNCTION("""COMPUTED_VALUE"""),"")</f>
        <v/>
      </c>
      <c r="AC341" s="59"/>
    </row>
    <row r="342" spans="1:29" x14ac:dyDescent="0.25">
      <c r="A342" s="18">
        <v>0</v>
      </c>
      <c r="B342" s="52" t="str">
        <f ca="1"/>
        <v/>
      </c>
      <c r="C342" s="52" t="str">
        <f ca="1">IFERROR(__xludf.DUMMYFUNCTION("""COMPUTED_VALUE"""),"")</f>
        <v/>
      </c>
      <c r="D342" s="18" t="str">
        <f ca="1">IFERROR(__xludf.DUMMYFUNCTION("""COMPUTED_VALUE"""),"")</f>
        <v/>
      </c>
      <c r="E342" s="18" t="str">
        <f ca="1">IFERROR(__xludf.DUMMYFUNCTION("""COMPUTED_VALUE"""),"")</f>
        <v/>
      </c>
      <c r="F342" s="18" t="str">
        <f ca="1">IFERROR(__xludf.DUMMYFUNCTION("""COMPUTED_VALUE"""),"")</f>
        <v/>
      </c>
      <c r="G342" s="18" t="str">
        <f ca="1">IFERROR(__xludf.DUMMYFUNCTION("""COMPUTED_VALUE"""),"")</f>
        <v/>
      </c>
      <c r="H342" s="18" t="str">
        <f ca="1">IFERROR(__xludf.DUMMYFUNCTION("""COMPUTED_VALUE"""),"")</f>
        <v/>
      </c>
      <c r="I342" s="18" t="str">
        <f ca="1">IFERROR(__xludf.DUMMYFUNCTION("""COMPUTED_VALUE"""),"")</f>
        <v/>
      </c>
      <c r="J342" s="18" t="str">
        <f ca="1">IFERROR(__xludf.DUMMYFUNCTION("""COMPUTED_VALUE"""),"")</f>
        <v/>
      </c>
      <c r="K342" s="18" t="str">
        <f ca="1">IFERROR(__xludf.DUMMYFUNCTION("""COMPUTED_VALUE"""),"")</f>
        <v/>
      </c>
      <c r="L342" s="18" t="str">
        <f ca="1">IFERROR(__xludf.DUMMYFUNCTION("""COMPUTED_VALUE"""),"")</f>
        <v/>
      </c>
      <c r="M342" s="18" t="str">
        <f ca="1">IFERROR(__xludf.DUMMYFUNCTION("""COMPUTED_VALUE"""),"")</f>
        <v/>
      </c>
      <c r="N342" s="18" t="str">
        <f ca="1">IFERROR(__xludf.DUMMYFUNCTION("""COMPUTED_VALUE"""),"")</f>
        <v/>
      </c>
      <c r="O342" s="18" t="str">
        <f ca="1">IFERROR(__xludf.DUMMYFUNCTION("""COMPUTED_VALUE"""),"")</f>
        <v/>
      </c>
      <c r="P342" s="18" t="str">
        <f ca="1">IFERROR(__xludf.DUMMYFUNCTION("""COMPUTED_VALUE"""),"")</f>
        <v/>
      </c>
      <c r="Q342" s="18" t="str">
        <f ca="1">IFERROR(__xludf.DUMMYFUNCTION("""COMPUTED_VALUE"""),"")</f>
        <v/>
      </c>
      <c r="R342" s="18" t="str">
        <f ca="1">IFERROR(__xludf.DUMMYFUNCTION("""COMPUTED_VALUE"""),"")</f>
        <v/>
      </c>
      <c r="S342" s="18" t="str">
        <f ca="1">IFERROR(__xludf.DUMMYFUNCTION("""COMPUTED_VALUE"""),"")</f>
        <v/>
      </c>
      <c r="T342" s="18" t="str">
        <f ca="1">IFERROR(__xludf.DUMMYFUNCTION("""COMPUTED_VALUE"""),"")</f>
        <v/>
      </c>
      <c r="U342" s="18" t="str">
        <f ca="1">IFERROR(__xludf.DUMMYFUNCTION("""COMPUTED_VALUE"""),"")</f>
        <v/>
      </c>
      <c r="V342" s="18" t="str">
        <f ca="1">IFERROR(__xludf.DUMMYFUNCTION("""COMPUTED_VALUE"""),"")</f>
        <v/>
      </c>
      <c r="W342" s="18" t="str">
        <f ca="1">IFERROR(__xludf.DUMMYFUNCTION("""COMPUTED_VALUE"""),"")</f>
        <v/>
      </c>
      <c r="X342" s="18" t="str">
        <f ca="1">IFERROR(__xludf.DUMMYFUNCTION("""COMPUTED_VALUE"""),"")</f>
        <v/>
      </c>
      <c r="Y342" s="18" t="e">
        <f ca="1"/>
        <v>#NAME?</v>
      </c>
      <c r="Z342" s="18" t="str">
        <f ca="1">IFERROR(__xludf.DUMMYFUNCTION("""COMPUTED_VALUE"""),"")</f>
        <v/>
      </c>
      <c r="AA342" s="18" t="str">
        <f ca="1">IFERROR(__xludf.DUMMYFUNCTION("""COMPUTED_VALUE"""),"")</f>
        <v/>
      </c>
      <c r="AC342" s="59"/>
    </row>
    <row r="343" spans="1:29" x14ac:dyDescent="0.25">
      <c r="A343" s="18">
        <v>0</v>
      </c>
      <c r="B343" s="52" t="str">
        <f ca="1"/>
        <v/>
      </c>
      <c r="C343" s="52" t="str">
        <f ca="1">IFERROR(__xludf.DUMMYFUNCTION("""COMPUTED_VALUE"""),"")</f>
        <v/>
      </c>
      <c r="D343" s="18" t="str">
        <f ca="1">IFERROR(__xludf.DUMMYFUNCTION("""COMPUTED_VALUE"""),"")</f>
        <v/>
      </c>
      <c r="E343" s="18" t="str">
        <f ca="1">IFERROR(__xludf.DUMMYFUNCTION("""COMPUTED_VALUE"""),"")</f>
        <v/>
      </c>
      <c r="F343" s="18" t="str">
        <f ca="1">IFERROR(__xludf.DUMMYFUNCTION("""COMPUTED_VALUE"""),"")</f>
        <v/>
      </c>
      <c r="G343" s="18" t="str">
        <f ca="1">IFERROR(__xludf.DUMMYFUNCTION("""COMPUTED_VALUE"""),"")</f>
        <v/>
      </c>
      <c r="H343" s="18" t="str">
        <f ca="1">IFERROR(__xludf.DUMMYFUNCTION("""COMPUTED_VALUE"""),"")</f>
        <v/>
      </c>
      <c r="I343" s="18" t="str">
        <f ca="1">IFERROR(__xludf.DUMMYFUNCTION("""COMPUTED_VALUE"""),"")</f>
        <v/>
      </c>
      <c r="J343" s="18" t="str">
        <f ca="1">IFERROR(__xludf.DUMMYFUNCTION("""COMPUTED_VALUE"""),"")</f>
        <v/>
      </c>
      <c r="K343" s="18" t="str">
        <f ca="1">IFERROR(__xludf.DUMMYFUNCTION("""COMPUTED_VALUE"""),"")</f>
        <v/>
      </c>
      <c r="L343" s="18" t="str">
        <f ca="1">IFERROR(__xludf.DUMMYFUNCTION("""COMPUTED_VALUE"""),"")</f>
        <v/>
      </c>
      <c r="M343" s="18" t="str">
        <f ca="1">IFERROR(__xludf.DUMMYFUNCTION("""COMPUTED_VALUE"""),"")</f>
        <v/>
      </c>
      <c r="N343" s="18" t="str">
        <f ca="1">IFERROR(__xludf.DUMMYFUNCTION("""COMPUTED_VALUE"""),"")</f>
        <v/>
      </c>
      <c r="O343" s="18" t="str">
        <f ca="1">IFERROR(__xludf.DUMMYFUNCTION("""COMPUTED_VALUE"""),"")</f>
        <v/>
      </c>
      <c r="P343" s="18" t="str">
        <f ca="1">IFERROR(__xludf.DUMMYFUNCTION("""COMPUTED_VALUE"""),"")</f>
        <v/>
      </c>
      <c r="Q343" s="18" t="str">
        <f ca="1">IFERROR(__xludf.DUMMYFUNCTION("""COMPUTED_VALUE"""),"")</f>
        <v/>
      </c>
      <c r="R343" s="18" t="str">
        <f ca="1">IFERROR(__xludf.DUMMYFUNCTION("""COMPUTED_VALUE"""),"")</f>
        <v/>
      </c>
      <c r="S343" s="18" t="str">
        <f ca="1">IFERROR(__xludf.DUMMYFUNCTION("""COMPUTED_VALUE"""),"")</f>
        <v/>
      </c>
      <c r="T343" s="18" t="str">
        <f ca="1">IFERROR(__xludf.DUMMYFUNCTION("""COMPUTED_VALUE"""),"")</f>
        <v/>
      </c>
      <c r="U343" s="18" t="str">
        <f ca="1">IFERROR(__xludf.DUMMYFUNCTION("""COMPUTED_VALUE"""),"")</f>
        <v/>
      </c>
      <c r="V343" s="18" t="str">
        <f ca="1">IFERROR(__xludf.DUMMYFUNCTION("""COMPUTED_VALUE"""),"")</f>
        <v/>
      </c>
      <c r="W343" s="18" t="str">
        <f ca="1">IFERROR(__xludf.DUMMYFUNCTION("""COMPUTED_VALUE"""),"")</f>
        <v/>
      </c>
      <c r="X343" s="18" t="str">
        <f ca="1">IFERROR(__xludf.DUMMYFUNCTION("""COMPUTED_VALUE"""),"")</f>
        <v/>
      </c>
      <c r="Y343" s="18" t="e">
        <f ca="1"/>
        <v>#NAME?</v>
      </c>
      <c r="Z343" s="18" t="str">
        <f ca="1">IFERROR(__xludf.DUMMYFUNCTION("""COMPUTED_VALUE"""),"")</f>
        <v/>
      </c>
      <c r="AA343" s="18" t="str">
        <f ca="1">IFERROR(__xludf.DUMMYFUNCTION("""COMPUTED_VALUE"""),"")</f>
        <v/>
      </c>
      <c r="AC343" s="59"/>
    </row>
    <row r="344" spans="1:29" x14ac:dyDescent="0.25">
      <c r="A344" s="18">
        <v>0</v>
      </c>
      <c r="B344" s="52" t="str">
        <f ca="1"/>
        <v/>
      </c>
      <c r="C344" s="52" t="str">
        <f ca="1">IFERROR(__xludf.DUMMYFUNCTION("""COMPUTED_VALUE"""),"")</f>
        <v/>
      </c>
      <c r="D344" s="18" t="str">
        <f ca="1">IFERROR(__xludf.DUMMYFUNCTION("""COMPUTED_VALUE"""),"")</f>
        <v/>
      </c>
      <c r="E344" s="18" t="str">
        <f ca="1">IFERROR(__xludf.DUMMYFUNCTION("""COMPUTED_VALUE"""),"")</f>
        <v/>
      </c>
      <c r="F344" s="18" t="str">
        <f ca="1">IFERROR(__xludf.DUMMYFUNCTION("""COMPUTED_VALUE"""),"")</f>
        <v/>
      </c>
      <c r="G344" s="18" t="str">
        <f ca="1">IFERROR(__xludf.DUMMYFUNCTION("""COMPUTED_VALUE"""),"")</f>
        <v/>
      </c>
      <c r="H344" s="18" t="str">
        <f ca="1">IFERROR(__xludf.DUMMYFUNCTION("""COMPUTED_VALUE"""),"")</f>
        <v/>
      </c>
      <c r="I344" s="18" t="str">
        <f ca="1">IFERROR(__xludf.DUMMYFUNCTION("""COMPUTED_VALUE"""),"")</f>
        <v/>
      </c>
      <c r="J344" s="18" t="str">
        <f ca="1">IFERROR(__xludf.DUMMYFUNCTION("""COMPUTED_VALUE"""),"")</f>
        <v/>
      </c>
      <c r="K344" s="18" t="str">
        <f ca="1">IFERROR(__xludf.DUMMYFUNCTION("""COMPUTED_VALUE"""),"")</f>
        <v/>
      </c>
      <c r="L344" s="18" t="str">
        <f ca="1">IFERROR(__xludf.DUMMYFUNCTION("""COMPUTED_VALUE"""),"")</f>
        <v/>
      </c>
      <c r="M344" s="18" t="str">
        <f ca="1">IFERROR(__xludf.DUMMYFUNCTION("""COMPUTED_VALUE"""),"")</f>
        <v/>
      </c>
      <c r="N344" s="18" t="str">
        <f ca="1">IFERROR(__xludf.DUMMYFUNCTION("""COMPUTED_VALUE"""),"")</f>
        <v/>
      </c>
      <c r="O344" s="18" t="str">
        <f ca="1">IFERROR(__xludf.DUMMYFUNCTION("""COMPUTED_VALUE"""),"")</f>
        <v/>
      </c>
      <c r="P344" s="18" t="str">
        <f ca="1">IFERROR(__xludf.DUMMYFUNCTION("""COMPUTED_VALUE"""),"")</f>
        <v/>
      </c>
      <c r="Q344" s="18" t="str">
        <f ca="1">IFERROR(__xludf.DUMMYFUNCTION("""COMPUTED_VALUE"""),"")</f>
        <v/>
      </c>
      <c r="R344" s="18" t="str">
        <f ca="1">IFERROR(__xludf.DUMMYFUNCTION("""COMPUTED_VALUE"""),"")</f>
        <v/>
      </c>
      <c r="S344" s="18" t="str">
        <f ca="1">IFERROR(__xludf.DUMMYFUNCTION("""COMPUTED_VALUE"""),"")</f>
        <v/>
      </c>
      <c r="T344" s="18" t="str">
        <f ca="1">IFERROR(__xludf.DUMMYFUNCTION("""COMPUTED_VALUE"""),"")</f>
        <v/>
      </c>
      <c r="U344" s="18" t="str">
        <f ca="1">IFERROR(__xludf.DUMMYFUNCTION("""COMPUTED_VALUE"""),"")</f>
        <v/>
      </c>
      <c r="V344" s="18" t="str">
        <f ca="1">IFERROR(__xludf.DUMMYFUNCTION("""COMPUTED_VALUE"""),"")</f>
        <v/>
      </c>
      <c r="W344" s="18" t="str">
        <f ca="1">IFERROR(__xludf.DUMMYFUNCTION("""COMPUTED_VALUE"""),"")</f>
        <v/>
      </c>
      <c r="X344" s="18" t="str">
        <f ca="1">IFERROR(__xludf.DUMMYFUNCTION("""COMPUTED_VALUE"""),"")</f>
        <v/>
      </c>
      <c r="Y344" s="18" t="e">
        <f ca="1"/>
        <v>#NAME?</v>
      </c>
      <c r="Z344" s="18" t="str">
        <f ca="1">IFERROR(__xludf.DUMMYFUNCTION("""COMPUTED_VALUE"""),"")</f>
        <v/>
      </c>
      <c r="AA344" s="18" t="str">
        <f ca="1">IFERROR(__xludf.DUMMYFUNCTION("""COMPUTED_VALUE"""),"")</f>
        <v/>
      </c>
      <c r="AC344" s="59"/>
    </row>
    <row r="345" spans="1:29" x14ac:dyDescent="0.25">
      <c r="A345" s="18">
        <v>0</v>
      </c>
      <c r="B345" s="52" t="str">
        <f ca="1"/>
        <v/>
      </c>
      <c r="C345" s="52" t="str">
        <f ca="1">IFERROR(__xludf.DUMMYFUNCTION("""COMPUTED_VALUE"""),"")</f>
        <v/>
      </c>
      <c r="D345" s="18" t="str">
        <f ca="1">IFERROR(__xludf.DUMMYFUNCTION("""COMPUTED_VALUE"""),"")</f>
        <v/>
      </c>
      <c r="E345" s="18" t="str">
        <f ca="1">IFERROR(__xludf.DUMMYFUNCTION("""COMPUTED_VALUE"""),"")</f>
        <v/>
      </c>
      <c r="F345" s="18" t="str">
        <f ca="1">IFERROR(__xludf.DUMMYFUNCTION("""COMPUTED_VALUE"""),"")</f>
        <v/>
      </c>
      <c r="G345" s="18" t="str">
        <f ca="1">IFERROR(__xludf.DUMMYFUNCTION("""COMPUTED_VALUE"""),"")</f>
        <v/>
      </c>
      <c r="H345" s="18" t="str">
        <f ca="1">IFERROR(__xludf.DUMMYFUNCTION("""COMPUTED_VALUE"""),"")</f>
        <v/>
      </c>
      <c r="I345" s="18" t="str">
        <f ca="1">IFERROR(__xludf.DUMMYFUNCTION("""COMPUTED_VALUE"""),"")</f>
        <v/>
      </c>
      <c r="J345" s="18" t="str">
        <f ca="1">IFERROR(__xludf.DUMMYFUNCTION("""COMPUTED_VALUE"""),"")</f>
        <v/>
      </c>
      <c r="K345" s="18" t="str">
        <f ca="1">IFERROR(__xludf.DUMMYFUNCTION("""COMPUTED_VALUE"""),"")</f>
        <v/>
      </c>
      <c r="L345" s="18" t="str">
        <f ca="1">IFERROR(__xludf.DUMMYFUNCTION("""COMPUTED_VALUE"""),"")</f>
        <v/>
      </c>
      <c r="M345" s="18" t="str">
        <f ca="1">IFERROR(__xludf.DUMMYFUNCTION("""COMPUTED_VALUE"""),"")</f>
        <v/>
      </c>
      <c r="N345" s="18" t="str">
        <f ca="1">IFERROR(__xludf.DUMMYFUNCTION("""COMPUTED_VALUE"""),"")</f>
        <v/>
      </c>
      <c r="O345" s="18" t="str">
        <f ca="1">IFERROR(__xludf.DUMMYFUNCTION("""COMPUTED_VALUE"""),"")</f>
        <v/>
      </c>
      <c r="P345" s="18" t="str">
        <f ca="1">IFERROR(__xludf.DUMMYFUNCTION("""COMPUTED_VALUE"""),"")</f>
        <v/>
      </c>
      <c r="Q345" s="18" t="str">
        <f ca="1">IFERROR(__xludf.DUMMYFUNCTION("""COMPUTED_VALUE"""),"")</f>
        <v/>
      </c>
      <c r="R345" s="18" t="str">
        <f ca="1">IFERROR(__xludf.DUMMYFUNCTION("""COMPUTED_VALUE"""),"")</f>
        <v/>
      </c>
      <c r="S345" s="18" t="str">
        <f ca="1">IFERROR(__xludf.DUMMYFUNCTION("""COMPUTED_VALUE"""),"")</f>
        <v/>
      </c>
      <c r="T345" s="18" t="str">
        <f ca="1">IFERROR(__xludf.DUMMYFUNCTION("""COMPUTED_VALUE"""),"")</f>
        <v/>
      </c>
      <c r="U345" s="18" t="str">
        <f ca="1">IFERROR(__xludf.DUMMYFUNCTION("""COMPUTED_VALUE"""),"")</f>
        <v/>
      </c>
      <c r="V345" s="18" t="str">
        <f ca="1">IFERROR(__xludf.DUMMYFUNCTION("""COMPUTED_VALUE"""),"")</f>
        <v/>
      </c>
      <c r="W345" s="18" t="str">
        <f ca="1">IFERROR(__xludf.DUMMYFUNCTION("""COMPUTED_VALUE"""),"")</f>
        <v/>
      </c>
      <c r="X345" s="18" t="str">
        <f ca="1">IFERROR(__xludf.DUMMYFUNCTION("""COMPUTED_VALUE"""),"")</f>
        <v/>
      </c>
      <c r="Y345" s="18" t="e">
        <f ca="1"/>
        <v>#NAME?</v>
      </c>
      <c r="Z345" s="18" t="str">
        <f ca="1">IFERROR(__xludf.DUMMYFUNCTION("""COMPUTED_VALUE"""),"")</f>
        <v/>
      </c>
      <c r="AA345" s="18" t="str">
        <f ca="1">IFERROR(__xludf.DUMMYFUNCTION("""COMPUTED_VALUE"""),"")</f>
        <v/>
      </c>
      <c r="AC345" s="59"/>
    </row>
    <row r="346" spans="1:29" x14ac:dyDescent="0.25">
      <c r="A346" s="18">
        <v>0</v>
      </c>
      <c r="B346" s="52" t="str">
        <f ca="1"/>
        <v/>
      </c>
      <c r="C346" s="52" t="str">
        <f ca="1">IFERROR(__xludf.DUMMYFUNCTION("""COMPUTED_VALUE"""),"")</f>
        <v/>
      </c>
      <c r="D346" s="18" t="str">
        <f ca="1">IFERROR(__xludf.DUMMYFUNCTION("""COMPUTED_VALUE"""),"")</f>
        <v/>
      </c>
      <c r="E346" s="18" t="str">
        <f ca="1">IFERROR(__xludf.DUMMYFUNCTION("""COMPUTED_VALUE"""),"")</f>
        <v/>
      </c>
      <c r="F346" s="18" t="str">
        <f ca="1">IFERROR(__xludf.DUMMYFUNCTION("""COMPUTED_VALUE"""),"")</f>
        <v/>
      </c>
      <c r="G346" s="18" t="str">
        <f ca="1">IFERROR(__xludf.DUMMYFUNCTION("""COMPUTED_VALUE"""),"")</f>
        <v/>
      </c>
      <c r="H346" s="18" t="str">
        <f ca="1">IFERROR(__xludf.DUMMYFUNCTION("""COMPUTED_VALUE"""),"")</f>
        <v/>
      </c>
      <c r="I346" s="18" t="str">
        <f ca="1">IFERROR(__xludf.DUMMYFUNCTION("""COMPUTED_VALUE"""),"")</f>
        <v/>
      </c>
      <c r="J346" s="18" t="str">
        <f ca="1">IFERROR(__xludf.DUMMYFUNCTION("""COMPUTED_VALUE"""),"")</f>
        <v/>
      </c>
      <c r="K346" s="18" t="str">
        <f ca="1">IFERROR(__xludf.DUMMYFUNCTION("""COMPUTED_VALUE"""),"")</f>
        <v/>
      </c>
      <c r="L346" s="18" t="str">
        <f ca="1">IFERROR(__xludf.DUMMYFUNCTION("""COMPUTED_VALUE"""),"")</f>
        <v/>
      </c>
      <c r="M346" s="18" t="str">
        <f ca="1">IFERROR(__xludf.DUMMYFUNCTION("""COMPUTED_VALUE"""),"")</f>
        <v/>
      </c>
      <c r="N346" s="18" t="str">
        <f ca="1">IFERROR(__xludf.DUMMYFUNCTION("""COMPUTED_VALUE"""),"")</f>
        <v/>
      </c>
      <c r="O346" s="18" t="str">
        <f ca="1">IFERROR(__xludf.DUMMYFUNCTION("""COMPUTED_VALUE"""),"")</f>
        <v/>
      </c>
      <c r="P346" s="18" t="str">
        <f ca="1">IFERROR(__xludf.DUMMYFUNCTION("""COMPUTED_VALUE"""),"")</f>
        <v/>
      </c>
      <c r="Q346" s="18" t="str">
        <f ca="1">IFERROR(__xludf.DUMMYFUNCTION("""COMPUTED_VALUE"""),"")</f>
        <v/>
      </c>
      <c r="R346" s="18" t="str">
        <f ca="1">IFERROR(__xludf.DUMMYFUNCTION("""COMPUTED_VALUE"""),"")</f>
        <v/>
      </c>
      <c r="S346" s="18" t="str">
        <f ca="1">IFERROR(__xludf.DUMMYFUNCTION("""COMPUTED_VALUE"""),"")</f>
        <v/>
      </c>
      <c r="T346" s="18" t="str">
        <f ca="1">IFERROR(__xludf.DUMMYFUNCTION("""COMPUTED_VALUE"""),"")</f>
        <v/>
      </c>
      <c r="U346" s="18" t="str">
        <f ca="1">IFERROR(__xludf.DUMMYFUNCTION("""COMPUTED_VALUE"""),"")</f>
        <v/>
      </c>
      <c r="V346" s="18" t="str">
        <f ca="1">IFERROR(__xludf.DUMMYFUNCTION("""COMPUTED_VALUE"""),"")</f>
        <v/>
      </c>
      <c r="W346" s="18" t="str">
        <f ca="1">IFERROR(__xludf.DUMMYFUNCTION("""COMPUTED_VALUE"""),"")</f>
        <v/>
      </c>
      <c r="X346" s="18" t="str">
        <f ca="1">IFERROR(__xludf.DUMMYFUNCTION("""COMPUTED_VALUE"""),"")</f>
        <v/>
      </c>
      <c r="Y346" s="18" t="e">
        <f ca="1"/>
        <v>#NAME?</v>
      </c>
      <c r="Z346" s="18" t="str">
        <f ca="1">IFERROR(__xludf.DUMMYFUNCTION("""COMPUTED_VALUE"""),"")</f>
        <v/>
      </c>
      <c r="AA346" s="18" t="str">
        <f ca="1">IFERROR(__xludf.DUMMYFUNCTION("""COMPUTED_VALUE"""),"")</f>
        <v/>
      </c>
      <c r="AC346" s="59"/>
    </row>
    <row r="347" spans="1:29" x14ac:dyDescent="0.25">
      <c r="A347" s="18">
        <v>0</v>
      </c>
      <c r="B347" s="52" t="str">
        <f ca="1"/>
        <v/>
      </c>
      <c r="C347" s="52" t="str">
        <f ca="1">IFERROR(__xludf.DUMMYFUNCTION("""COMPUTED_VALUE"""),"")</f>
        <v/>
      </c>
      <c r="D347" s="18" t="str">
        <f ca="1">IFERROR(__xludf.DUMMYFUNCTION("""COMPUTED_VALUE"""),"")</f>
        <v/>
      </c>
      <c r="E347" s="18" t="str">
        <f ca="1">IFERROR(__xludf.DUMMYFUNCTION("""COMPUTED_VALUE"""),"")</f>
        <v/>
      </c>
      <c r="F347" s="18" t="str">
        <f ca="1">IFERROR(__xludf.DUMMYFUNCTION("""COMPUTED_VALUE"""),"")</f>
        <v/>
      </c>
      <c r="G347" s="18" t="str">
        <f ca="1">IFERROR(__xludf.DUMMYFUNCTION("""COMPUTED_VALUE"""),"")</f>
        <v/>
      </c>
      <c r="H347" s="18" t="str">
        <f ca="1">IFERROR(__xludf.DUMMYFUNCTION("""COMPUTED_VALUE"""),"")</f>
        <v/>
      </c>
      <c r="I347" s="18" t="str">
        <f ca="1">IFERROR(__xludf.DUMMYFUNCTION("""COMPUTED_VALUE"""),"")</f>
        <v/>
      </c>
      <c r="J347" s="18" t="str">
        <f ca="1">IFERROR(__xludf.DUMMYFUNCTION("""COMPUTED_VALUE"""),"")</f>
        <v/>
      </c>
      <c r="K347" s="18" t="str">
        <f ca="1">IFERROR(__xludf.DUMMYFUNCTION("""COMPUTED_VALUE"""),"")</f>
        <v/>
      </c>
      <c r="L347" s="18" t="str">
        <f ca="1">IFERROR(__xludf.DUMMYFUNCTION("""COMPUTED_VALUE"""),"")</f>
        <v/>
      </c>
      <c r="M347" s="18" t="str">
        <f ca="1">IFERROR(__xludf.DUMMYFUNCTION("""COMPUTED_VALUE"""),"")</f>
        <v/>
      </c>
      <c r="N347" s="18" t="str">
        <f ca="1">IFERROR(__xludf.DUMMYFUNCTION("""COMPUTED_VALUE"""),"")</f>
        <v/>
      </c>
      <c r="O347" s="18" t="str">
        <f ca="1">IFERROR(__xludf.DUMMYFUNCTION("""COMPUTED_VALUE"""),"")</f>
        <v/>
      </c>
      <c r="P347" s="18" t="str">
        <f ca="1">IFERROR(__xludf.DUMMYFUNCTION("""COMPUTED_VALUE"""),"")</f>
        <v/>
      </c>
      <c r="Q347" s="18" t="str">
        <f ca="1">IFERROR(__xludf.DUMMYFUNCTION("""COMPUTED_VALUE"""),"")</f>
        <v/>
      </c>
      <c r="R347" s="18" t="str">
        <f ca="1">IFERROR(__xludf.DUMMYFUNCTION("""COMPUTED_VALUE"""),"")</f>
        <v/>
      </c>
      <c r="S347" s="18" t="str">
        <f ca="1">IFERROR(__xludf.DUMMYFUNCTION("""COMPUTED_VALUE"""),"")</f>
        <v/>
      </c>
      <c r="T347" s="18" t="str">
        <f ca="1">IFERROR(__xludf.DUMMYFUNCTION("""COMPUTED_VALUE"""),"")</f>
        <v/>
      </c>
      <c r="U347" s="18" t="str">
        <f ca="1">IFERROR(__xludf.DUMMYFUNCTION("""COMPUTED_VALUE"""),"")</f>
        <v/>
      </c>
      <c r="V347" s="18" t="str">
        <f ca="1">IFERROR(__xludf.DUMMYFUNCTION("""COMPUTED_VALUE"""),"")</f>
        <v/>
      </c>
      <c r="W347" s="18" t="str">
        <f ca="1">IFERROR(__xludf.DUMMYFUNCTION("""COMPUTED_VALUE"""),"")</f>
        <v/>
      </c>
      <c r="X347" s="18" t="str">
        <f ca="1">IFERROR(__xludf.DUMMYFUNCTION("""COMPUTED_VALUE"""),"")</f>
        <v/>
      </c>
      <c r="Y347" s="18" t="e">
        <f ca="1"/>
        <v>#NAME?</v>
      </c>
      <c r="Z347" s="18" t="str">
        <f ca="1">IFERROR(__xludf.DUMMYFUNCTION("""COMPUTED_VALUE"""),"")</f>
        <v/>
      </c>
      <c r="AA347" s="18" t="str">
        <f ca="1">IFERROR(__xludf.DUMMYFUNCTION("""COMPUTED_VALUE"""),"")</f>
        <v/>
      </c>
      <c r="AC347" s="59"/>
    </row>
    <row r="348" spans="1:29" x14ac:dyDescent="0.25">
      <c r="A348" s="18">
        <v>0</v>
      </c>
      <c r="B348" s="52" t="str">
        <f ca="1"/>
        <v/>
      </c>
      <c r="C348" s="52" t="str">
        <f ca="1">IFERROR(__xludf.DUMMYFUNCTION("""COMPUTED_VALUE"""),"")</f>
        <v/>
      </c>
      <c r="D348" s="18" t="str">
        <f ca="1">IFERROR(__xludf.DUMMYFUNCTION("""COMPUTED_VALUE"""),"")</f>
        <v/>
      </c>
      <c r="E348" s="18" t="str">
        <f ca="1">IFERROR(__xludf.DUMMYFUNCTION("""COMPUTED_VALUE"""),"")</f>
        <v/>
      </c>
      <c r="F348" s="18" t="str">
        <f ca="1">IFERROR(__xludf.DUMMYFUNCTION("""COMPUTED_VALUE"""),"")</f>
        <v/>
      </c>
      <c r="G348" s="18" t="str">
        <f ca="1">IFERROR(__xludf.DUMMYFUNCTION("""COMPUTED_VALUE"""),"")</f>
        <v/>
      </c>
      <c r="H348" s="18" t="str">
        <f ca="1">IFERROR(__xludf.DUMMYFUNCTION("""COMPUTED_VALUE"""),"")</f>
        <v/>
      </c>
      <c r="I348" s="18" t="str">
        <f ca="1">IFERROR(__xludf.DUMMYFUNCTION("""COMPUTED_VALUE"""),"")</f>
        <v/>
      </c>
      <c r="J348" s="18" t="str">
        <f ca="1">IFERROR(__xludf.DUMMYFUNCTION("""COMPUTED_VALUE"""),"")</f>
        <v/>
      </c>
      <c r="K348" s="18" t="str">
        <f ca="1">IFERROR(__xludf.DUMMYFUNCTION("""COMPUTED_VALUE"""),"")</f>
        <v/>
      </c>
      <c r="L348" s="18" t="str">
        <f ca="1">IFERROR(__xludf.DUMMYFUNCTION("""COMPUTED_VALUE"""),"")</f>
        <v/>
      </c>
      <c r="M348" s="18" t="str">
        <f ca="1">IFERROR(__xludf.DUMMYFUNCTION("""COMPUTED_VALUE"""),"")</f>
        <v/>
      </c>
      <c r="N348" s="18" t="str">
        <f ca="1">IFERROR(__xludf.DUMMYFUNCTION("""COMPUTED_VALUE"""),"")</f>
        <v/>
      </c>
      <c r="O348" s="18" t="str">
        <f ca="1">IFERROR(__xludf.DUMMYFUNCTION("""COMPUTED_VALUE"""),"")</f>
        <v/>
      </c>
      <c r="P348" s="18" t="str">
        <f ca="1">IFERROR(__xludf.DUMMYFUNCTION("""COMPUTED_VALUE"""),"")</f>
        <v/>
      </c>
      <c r="Q348" s="18" t="str">
        <f ca="1">IFERROR(__xludf.DUMMYFUNCTION("""COMPUTED_VALUE"""),"")</f>
        <v/>
      </c>
      <c r="R348" s="18" t="str">
        <f ca="1">IFERROR(__xludf.DUMMYFUNCTION("""COMPUTED_VALUE"""),"")</f>
        <v/>
      </c>
      <c r="S348" s="18" t="str">
        <f ca="1">IFERROR(__xludf.DUMMYFUNCTION("""COMPUTED_VALUE"""),"")</f>
        <v/>
      </c>
      <c r="T348" s="18" t="str">
        <f ca="1">IFERROR(__xludf.DUMMYFUNCTION("""COMPUTED_VALUE"""),"")</f>
        <v/>
      </c>
      <c r="U348" s="18" t="str">
        <f ca="1">IFERROR(__xludf.DUMMYFUNCTION("""COMPUTED_VALUE"""),"")</f>
        <v/>
      </c>
      <c r="V348" s="18" t="str">
        <f ca="1">IFERROR(__xludf.DUMMYFUNCTION("""COMPUTED_VALUE"""),"")</f>
        <v/>
      </c>
      <c r="W348" s="18" t="str">
        <f ca="1">IFERROR(__xludf.DUMMYFUNCTION("""COMPUTED_VALUE"""),"")</f>
        <v/>
      </c>
      <c r="X348" s="18" t="str">
        <f ca="1">IFERROR(__xludf.DUMMYFUNCTION("""COMPUTED_VALUE"""),"")</f>
        <v/>
      </c>
      <c r="Y348" s="18" t="e">
        <f ca="1"/>
        <v>#NAME?</v>
      </c>
      <c r="Z348" s="18" t="str">
        <f ca="1">IFERROR(__xludf.DUMMYFUNCTION("""COMPUTED_VALUE"""),"")</f>
        <v/>
      </c>
      <c r="AA348" s="18" t="str">
        <f ca="1">IFERROR(__xludf.DUMMYFUNCTION("""COMPUTED_VALUE"""),"")</f>
        <v/>
      </c>
      <c r="AC348" s="59"/>
    </row>
    <row r="349" spans="1:29" x14ac:dyDescent="0.25">
      <c r="A349" s="18">
        <v>0</v>
      </c>
      <c r="B349" s="52" t="str">
        <f ca="1"/>
        <v/>
      </c>
      <c r="C349" s="52" t="str">
        <f ca="1">IFERROR(__xludf.DUMMYFUNCTION("""COMPUTED_VALUE"""),"")</f>
        <v/>
      </c>
      <c r="D349" s="18" t="str">
        <f ca="1">IFERROR(__xludf.DUMMYFUNCTION("""COMPUTED_VALUE"""),"")</f>
        <v/>
      </c>
      <c r="E349" s="18" t="str">
        <f ca="1">IFERROR(__xludf.DUMMYFUNCTION("""COMPUTED_VALUE"""),"")</f>
        <v/>
      </c>
      <c r="F349" s="18" t="str">
        <f ca="1">IFERROR(__xludf.DUMMYFUNCTION("""COMPUTED_VALUE"""),"")</f>
        <v/>
      </c>
      <c r="G349" s="18" t="str">
        <f ca="1">IFERROR(__xludf.DUMMYFUNCTION("""COMPUTED_VALUE"""),"")</f>
        <v/>
      </c>
      <c r="H349" s="18" t="str">
        <f ca="1">IFERROR(__xludf.DUMMYFUNCTION("""COMPUTED_VALUE"""),"")</f>
        <v/>
      </c>
      <c r="I349" s="18" t="str">
        <f ca="1">IFERROR(__xludf.DUMMYFUNCTION("""COMPUTED_VALUE"""),"")</f>
        <v/>
      </c>
      <c r="J349" s="18" t="str">
        <f ca="1">IFERROR(__xludf.DUMMYFUNCTION("""COMPUTED_VALUE"""),"")</f>
        <v/>
      </c>
      <c r="K349" s="18" t="str">
        <f ca="1">IFERROR(__xludf.DUMMYFUNCTION("""COMPUTED_VALUE"""),"")</f>
        <v/>
      </c>
      <c r="L349" s="18" t="str">
        <f ca="1">IFERROR(__xludf.DUMMYFUNCTION("""COMPUTED_VALUE"""),"")</f>
        <v/>
      </c>
      <c r="M349" s="18" t="str">
        <f ca="1">IFERROR(__xludf.DUMMYFUNCTION("""COMPUTED_VALUE"""),"")</f>
        <v/>
      </c>
      <c r="N349" s="18" t="str">
        <f ca="1">IFERROR(__xludf.DUMMYFUNCTION("""COMPUTED_VALUE"""),"")</f>
        <v/>
      </c>
      <c r="O349" s="18" t="str">
        <f ca="1">IFERROR(__xludf.DUMMYFUNCTION("""COMPUTED_VALUE"""),"")</f>
        <v/>
      </c>
      <c r="P349" s="18" t="str">
        <f ca="1">IFERROR(__xludf.DUMMYFUNCTION("""COMPUTED_VALUE"""),"")</f>
        <v/>
      </c>
      <c r="Q349" s="18" t="str">
        <f ca="1">IFERROR(__xludf.DUMMYFUNCTION("""COMPUTED_VALUE"""),"")</f>
        <v/>
      </c>
      <c r="R349" s="18" t="str">
        <f ca="1">IFERROR(__xludf.DUMMYFUNCTION("""COMPUTED_VALUE"""),"")</f>
        <v/>
      </c>
      <c r="S349" s="18" t="str">
        <f ca="1">IFERROR(__xludf.DUMMYFUNCTION("""COMPUTED_VALUE"""),"")</f>
        <v/>
      </c>
      <c r="T349" s="18" t="str">
        <f ca="1">IFERROR(__xludf.DUMMYFUNCTION("""COMPUTED_VALUE"""),"")</f>
        <v/>
      </c>
      <c r="U349" s="18" t="str">
        <f ca="1">IFERROR(__xludf.DUMMYFUNCTION("""COMPUTED_VALUE"""),"")</f>
        <v/>
      </c>
      <c r="V349" s="18" t="str">
        <f ca="1">IFERROR(__xludf.DUMMYFUNCTION("""COMPUTED_VALUE"""),"")</f>
        <v/>
      </c>
      <c r="W349" s="18" t="str">
        <f ca="1">IFERROR(__xludf.DUMMYFUNCTION("""COMPUTED_VALUE"""),"")</f>
        <v/>
      </c>
      <c r="X349" s="18" t="str">
        <f ca="1">IFERROR(__xludf.DUMMYFUNCTION("""COMPUTED_VALUE"""),"")</f>
        <v/>
      </c>
      <c r="Y349" s="18" t="e">
        <f ca="1"/>
        <v>#NAME?</v>
      </c>
      <c r="Z349" s="18" t="str">
        <f ca="1">IFERROR(__xludf.DUMMYFUNCTION("""COMPUTED_VALUE"""),"")</f>
        <v/>
      </c>
      <c r="AA349" s="18" t="str">
        <f ca="1">IFERROR(__xludf.DUMMYFUNCTION("""COMPUTED_VALUE"""),"")</f>
        <v/>
      </c>
      <c r="AC349" s="59"/>
    </row>
    <row r="350" spans="1:29" x14ac:dyDescent="0.25">
      <c r="A350" s="18">
        <v>0</v>
      </c>
      <c r="B350" s="52" t="str">
        <f ca="1"/>
        <v/>
      </c>
      <c r="C350" s="52" t="str">
        <f ca="1">IFERROR(__xludf.DUMMYFUNCTION("""COMPUTED_VALUE"""),"")</f>
        <v/>
      </c>
      <c r="D350" s="18" t="str">
        <f ca="1">IFERROR(__xludf.DUMMYFUNCTION("""COMPUTED_VALUE"""),"")</f>
        <v/>
      </c>
      <c r="E350" s="18" t="str">
        <f ca="1">IFERROR(__xludf.DUMMYFUNCTION("""COMPUTED_VALUE"""),"")</f>
        <v/>
      </c>
      <c r="F350" s="18" t="str">
        <f ca="1">IFERROR(__xludf.DUMMYFUNCTION("""COMPUTED_VALUE"""),"")</f>
        <v/>
      </c>
      <c r="G350" s="18" t="str">
        <f ca="1">IFERROR(__xludf.DUMMYFUNCTION("""COMPUTED_VALUE"""),"")</f>
        <v/>
      </c>
      <c r="H350" s="18" t="str">
        <f ca="1">IFERROR(__xludf.DUMMYFUNCTION("""COMPUTED_VALUE"""),"")</f>
        <v/>
      </c>
      <c r="I350" s="18" t="str">
        <f ca="1">IFERROR(__xludf.DUMMYFUNCTION("""COMPUTED_VALUE"""),"")</f>
        <v/>
      </c>
      <c r="J350" s="18" t="str">
        <f ca="1">IFERROR(__xludf.DUMMYFUNCTION("""COMPUTED_VALUE"""),"")</f>
        <v/>
      </c>
      <c r="K350" s="18" t="str">
        <f ca="1">IFERROR(__xludf.DUMMYFUNCTION("""COMPUTED_VALUE"""),"")</f>
        <v/>
      </c>
      <c r="L350" s="18" t="str">
        <f ca="1">IFERROR(__xludf.DUMMYFUNCTION("""COMPUTED_VALUE"""),"")</f>
        <v/>
      </c>
      <c r="M350" s="18" t="str">
        <f ca="1">IFERROR(__xludf.DUMMYFUNCTION("""COMPUTED_VALUE"""),"")</f>
        <v/>
      </c>
      <c r="N350" s="18" t="str">
        <f ca="1">IFERROR(__xludf.DUMMYFUNCTION("""COMPUTED_VALUE"""),"")</f>
        <v/>
      </c>
      <c r="O350" s="18" t="str">
        <f ca="1">IFERROR(__xludf.DUMMYFUNCTION("""COMPUTED_VALUE"""),"")</f>
        <v/>
      </c>
      <c r="P350" s="18" t="str">
        <f ca="1">IFERROR(__xludf.DUMMYFUNCTION("""COMPUTED_VALUE"""),"")</f>
        <v/>
      </c>
      <c r="Q350" s="18" t="str">
        <f ca="1">IFERROR(__xludf.DUMMYFUNCTION("""COMPUTED_VALUE"""),"")</f>
        <v/>
      </c>
      <c r="R350" s="18" t="str">
        <f ca="1">IFERROR(__xludf.DUMMYFUNCTION("""COMPUTED_VALUE"""),"")</f>
        <v/>
      </c>
      <c r="S350" s="18" t="str">
        <f ca="1">IFERROR(__xludf.DUMMYFUNCTION("""COMPUTED_VALUE"""),"")</f>
        <v/>
      </c>
      <c r="T350" s="18" t="str">
        <f ca="1">IFERROR(__xludf.DUMMYFUNCTION("""COMPUTED_VALUE"""),"")</f>
        <v/>
      </c>
      <c r="U350" s="18" t="str">
        <f ca="1">IFERROR(__xludf.DUMMYFUNCTION("""COMPUTED_VALUE"""),"")</f>
        <v/>
      </c>
      <c r="V350" s="18" t="str">
        <f ca="1">IFERROR(__xludf.DUMMYFUNCTION("""COMPUTED_VALUE"""),"")</f>
        <v/>
      </c>
      <c r="W350" s="18" t="str">
        <f ca="1">IFERROR(__xludf.DUMMYFUNCTION("""COMPUTED_VALUE"""),"")</f>
        <v/>
      </c>
      <c r="X350" s="18" t="str">
        <f ca="1">IFERROR(__xludf.DUMMYFUNCTION("""COMPUTED_VALUE"""),"")</f>
        <v/>
      </c>
      <c r="Y350" s="18" t="e">
        <f ca="1"/>
        <v>#NAME?</v>
      </c>
      <c r="Z350" s="18" t="str">
        <f ca="1">IFERROR(__xludf.DUMMYFUNCTION("""COMPUTED_VALUE"""),"")</f>
        <v/>
      </c>
      <c r="AA350" s="18" t="str">
        <f ca="1">IFERROR(__xludf.DUMMYFUNCTION("""COMPUTED_VALUE"""),"")</f>
        <v/>
      </c>
      <c r="AC350" s="59"/>
    </row>
    <row r="351" spans="1:29" x14ac:dyDescent="0.25">
      <c r="A351" s="18">
        <v>0</v>
      </c>
      <c r="B351" s="52" t="str">
        <f ca="1"/>
        <v/>
      </c>
      <c r="C351" s="52" t="str">
        <f ca="1">IFERROR(__xludf.DUMMYFUNCTION("""COMPUTED_VALUE"""),"")</f>
        <v/>
      </c>
      <c r="D351" s="18" t="str">
        <f ca="1">IFERROR(__xludf.DUMMYFUNCTION("""COMPUTED_VALUE"""),"")</f>
        <v/>
      </c>
      <c r="E351" s="18" t="str">
        <f ca="1">IFERROR(__xludf.DUMMYFUNCTION("""COMPUTED_VALUE"""),"")</f>
        <v/>
      </c>
      <c r="F351" s="18" t="str">
        <f ca="1">IFERROR(__xludf.DUMMYFUNCTION("""COMPUTED_VALUE"""),"")</f>
        <v/>
      </c>
      <c r="G351" s="18" t="str">
        <f ca="1">IFERROR(__xludf.DUMMYFUNCTION("""COMPUTED_VALUE"""),"")</f>
        <v/>
      </c>
      <c r="H351" s="18" t="str">
        <f ca="1">IFERROR(__xludf.DUMMYFUNCTION("""COMPUTED_VALUE"""),"")</f>
        <v/>
      </c>
      <c r="I351" s="18" t="str">
        <f ca="1">IFERROR(__xludf.DUMMYFUNCTION("""COMPUTED_VALUE"""),"")</f>
        <v/>
      </c>
      <c r="J351" s="18" t="str">
        <f ca="1">IFERROR(__xludf.DUMMYFUNCTION("""COMPUTED_VALUE"""),"")</f>
        <v/>
      </c>
      <c r="K351" s="18" t="str">
        <f ca="1">IFERROR(__xludf.DUMMYFUNCTION("""COMPUTED_VALUE"""),"")</f>
        <v/>
      </c>
      <c r="L351" s="18" t="str">
        <f ca="1">IFERROR(__xludf.DUMMYFUNCTION("""COMPUTED_VALUE"""),"")</f>
        <v/>
      </c>
      <c r="M351" s="18" t="str">
        <f ca="1">IFERROR(__xludf.DUMMYFUNCTION("""COMPUTED_VALUE"""),"")</f>
        <v/>
      </c>
      <c r="N351" s="18" t="str">
        <f ca="1">IFERROR(__xludf.DUMMYFUNCTION("""COMPUTED_VALUE"""),"")</f>
        <v/>
      </c>
      <c r="O351" s="18" t="str">
        <f ca="1">IFERROR(__xludf.DUMMYFUNCTION("""COMPUTED_VALUE"""),"")</f>
        <v/>
      </c>
      <c r="P351" s="18" t="str">
        <f ca="1">IFERROR(__xludf.DUMMYFUNCTION("""COMPUTED_VALUE"""),"")</f>
        <v/>
      </c>
      <c r="Q351" s="18" t="str">
        <f ca="1">IFERROR(__xludf.DUMMYFUNCTION("""COMPUTED_VALUE"""),"")</f>
        <v/>
      </c>
      <c r="R351" s="18" t="str">
        <f ca="1">IFERROR(__xludf.DUMMYFUNCTION("""COMPUTED_VALUE"""),"")</f>
        <v/>
      </c>
      <c r="S351" s="18" t="str">
        <f ca="1">IFERROR(__xludf.DUMMYFUNCTION("""COMPUTED_VALUE"""),"")</f>
        <v/>
      </c>
      <c r="T351" s="18" t="str">
        <f ca="1">IFERROR(__xludf.DUMMYFUNCTION("""COMPUTED_VALUE"""),"")</f>
        <v/>
      </c>
      <c r="U351" s="18" t="str">
        <f ca="1">IFERROR(__xludf.DUMMYFUNCTION("""COMPUTED_VALUE"""),"")</f>
        <v/>
      </c>
      <c r="V351" s="18" t="str">
        <f ca="1">IFERROR(__xludf.DUMMYFUNCTION("""COMPUTED_VALUE"""),"")</f>
        <v/>
      </c>
      <c r="W351" s="18" t="str">
        <f ca="1">IFERROR(__xludf.DUMMYFUNCTION("""COMPUTED_VALUE"""),"")</f>
        <v/>
      </c>
      <c r="X351" s="18" t="str">
        <f ca="1">IFERROR(__xludf.DUMMYFUNCTION("""COMPUTED_VALUE"""),"")</f>
        <v/>
      </c>
      <c r="Y351" s="18" t="e">
        <f ca="1"/>
        <v>#NAME?</v>
      </c>
      <c r="Z351" s="18" t="str">
        <f ca="1">IFERROR(__xludf.DUMMYFUNCTION("""COMPUTED_VALUE"""),"")</f>
        <v/>
      </c>
      <c r="AA351" s="18" t="str">
        <f ca="1">IFERROR(__xludf.DUMMYFUNCTION("""COMPUTED_VALUE"""),"")</f>
        <v/>
      </c>
      <c r="AC351" s="59"/>
    </row>
    <row r="352" spans="1:29" x14ac:dyDescent="0.25">
      <c r="A352" s="18">
        <v>0</v>
      </c>
      <c r="B352" s="52" t="str">
        <f ca="1"/>
        <v/>
      </c>
      <c r="C352" s="52" t="str">
        <f ca="1">IFERROR(__xludf.DUMMYFUNCTION("""COMPUTED_VALUE"""),"")</f>
        <v/>
      </c>
      <c r="D352" s="18" t="str">
        <f ca="1">IFERROR(__xludf.DUMMYFUNCTION("""COMPUTED_VALUE"""),"")</f>
        <v/>
      </c>
      <c r="E352" s="18" t="str">
        <f ca="1">IFERROR(__xludf.DUMMYFUNCTION("""COMPUTED_VALUE"""),"")</f>
        <v/>
      </c>
      <c r="F352" s="18" t="str">
        <f ca="1">IFERROR(__xludf.DUMMYFUNCTION("""COMPUTED_VALUE"""),"")</f>
        <v/>
      </c>
      <c r="G352" s="18" t="str">
        <f ca="1">IFERROR(__xludf.DUMMYFUNCTION("""COMPUTED_VALUE"""),"")</f>
        <v/>
      </c>
      <c r="H352" s="18" t="str">
        <f ca="1">IFERROR(__xludf.DUMMYFUNCTION("""COMPUTED_VALUE"""),"")</f>
        <v/>
      </c>
      <c r="I352" s="18" t="str">
        <f ca="1">IFERROR(__xludf.DUMMYFUNCTION("""COMPUTED_VALUE"""),"")</f>
        <v/>
      </c>
      <c r="J352" s="18" t="str">
        <f ca="1">IFERROR(__xludf.DUMMYFUNCTION("""COMPUTED_VALUE"""),"")</f>
        <v/>
      </c>
      <c r="K352" s="18" t="str">
        <f ca="1">IFERROR(__xludf.DUMMYFUNCTION("""COMPUTED_VALUE"""),"")</f>
        <v/>
      </c>
      <c r="L352" s="18" t="str">
        <f ca="1">IFERROR(__xludf.DUMMYFUNCTION("""COMPUTED_VALUE"""),"")</f>
        <v/>
      </c>
      <c r="M352" s="18" t="str">
        <f ca="1">IFERROR(__xludf.DUMMYFUNCTION("""COMPUTED_VALUE"""),"")</f>
        <v/>
      </c>
      <c r="N352" s="18" t="str">
        <f ca="1">IFERROR(__xludf.DUMMYFUNCTION("""COMPUTED_VALUE"""),"")</f>
        <v/>
      </c>
      <c r="O352" s="18" t="str">
        <f ca="1">IFERROR(__xludf.DUMMYFUNCTION("""COMPUTED_VALUE"""),"")</f>
        <v/>
      </c>
      <c r="P352" s="18" t="str">
        <f ca="1">IFERROR(__xludf.DUMMYFUNCTION("""COMPUTED_VALUE"""),"")</f>
        <v/>
      </c>
      <c r="Q352" s="18" t="str">
        <f ca="1">IFERROR(__xludf.DUMMYFUNCTION("""COMPUTED_VALUE"""),"")</f>
        <v/>
      </c>
      <c r="R352" s="18" t="str">
        <f ca="1">IFERROR(__xludf.DUMMYFUNCTION("""COMPUTED_VALUE"""),"")</f>
        <v/>
      </c>
      <c r="S352" s="18" t="str">
        <f ca="1">IFERROR(__xludf.DUMMYFUNCTION("""COMPUTED_VALUE"""),"")</f>
        <v/>
      </c>
      <c r="T352" s="18" t="str">
        <f ca="1">IFERROR(__xludf.DUMMYFUNCTION("""COMPUTED_VALUE"""),"")</f>
        <v/>
      </c>
      <c r="U352" s="18" t="str">
        <f ca="1">IFERROR(__xludf.DUMMYFUNCTION("""COMPUTED_VALUE"""),"")</f>
        <v/>
      </c>
      <c r="V352" s="18" t="str">
        <f ca="1">IFERROR(__xludf.DUMMYFUNCTION("""COMPUTED_VALUE"""),"")</f>
        <v/>
      </c>
      <c r="W352" s="18" t="str">
        <f ca="1">IFERROR(__xludf.DUMMYFUNCTION("""COMPUTED_VALUE"""),"")</f>
        <v/>
      </c>
      <c r="X352" s="18" t="str">
        <f ca="1">IFERROR(__xludf.DUMMYFUNCTION("""COMPUTED_VALUE"""),"")</f>
        <v/>
      </c>
      <c r="Y352" s="18" t="e">
        <f ca="1"/>
        <v>#NAME?</v>
      </c>
      <c r="Z352" s="18" t="str">
        <f ca="1">IFERROR(__xludf.DUMMYFUNCTION("""COMPUTED_VALUE"""),"")</f>
        <v/>
      </c>
      <c r="AA352" s="18" t="str">
        <f ca="1">IFERROR(__xludf.DUMMYFUNCTION("""COMPUTED_VALUE"""),"")</f>
        <v/>
      </c>
      <c r="AC352" s="59"/>
    </row>
    <row r="353" spans="1:29" x14ac:dyDescent="0.25">
      <c r="A353" s="18">
        <v>0</v>
      </c>
      <c r="B353" s="52" t="str">
        <f ca="1"/>
        <v/>
      </c>
      <c r="C353" s="52" t="str">
        <f ca="1">IFERROR(__xludf.DUMMYFUNCTION("""COMPUTED_VALUE"""),"")</f>
        <v/>
      </c>
      <c r="D353" s="18" t="str">
        <f ca="1">IFERROR(__xludf.DUMMYFUNCTION("""COMPUTED_VALUE"""),"")</f>
        <v/>
      </c>
      <c r="E353" s="18" t="str">
        <f ca="1">IFERROR(__xludf.DUMMYFUNCTION("""COMPUTED_VALUE"""),"")</f>
        <v/>
      </c>
      <c r="F353" s="18" t="str">
        <f ca="1">IFERROR(__xludf.DUMMYFUNCTION("""COMPUTED_VALUE"""),"")</f>
        <v/>
      </c>
      <c r="G353" s="18" t="str">
        <f ca="1">IFERROR(__xludf.DUMMYFUNCTION("""COMPUTED_VALUE"""),"")</f>
        <v/>
      </c>
      <c r="H353" s="18" t="str">
        <f ca="1">IFERROR(__xludf.DUMMYFUNCTION("""COMPUTED_VALUE"""),"")</f>
        <v/>
      </c>
      <c r="I353" s="18" t="str">
        <f ca="1">IFERROR(__xludf.DUMMYFUNCTION("""COMPUTED_VALUE"""),"")</f>
        <v/>
      </c>
      <c r="J353" s="18" t="str">
        <f ca="1">IFERROR(__xludf.DUMMYFUNCTION("""COMPUTED_VALUE"""),"")</f>
        <v/>
      </c>
      <c r="K353" s="18" t="str">
        <f ca="1">IFERROR(__xludf.DUMMYFUNCTION("""COMPUTED_VALUE"""),"")</f>
        <v/>
      </c>
      <c r="L353" s="18" t="str">
        <f ca="1">IFERROR(__xludf.DUMMYFUNCTION("""COMPUTED_VALUE"""),"")</f>
        <v/>
      </c>
      <c r="M353" s="18" t="str">
        <f ca="1">IFERROR(__xludf.DUMMYFUNCTION("""COMPUTED_VALUE"""),"")</f>
        <v/>
      </c>
      <c r="N353" s="18" t="str">
        <f ca="1">IFERROR(__xludf.DUMMYFUNCTION("""COMPUTED_VALUE"""),"")</f>
        <v/>
      </c>
      <c r="O353" s="18" t="str">
        <f ca="1">IFERROR(__xludf.DUMMYFUNCTION("""COMPUTED_VALUE"""),"")</f>
        <v/>
      </c>
      <c r="P353" s="18" t="str">
        <f ca="1">IFERROR(__xludf.DUMMYFUNCTION("""COMPUTED_VALUE"""),"")</f>
        <v/>
      </c>
      <c r="Q353" s="18" t="str">
        <f ca="1">IFERROR(__xludf.DUMMYFUNCTION("""COMPUTED_VALUE"""),"")</f>
        <v/>
      </c>
      <c r="R353" s="18" t="str">
        <f ca="1">IFERROR(__xludf.DUMMYFUNCTION("""COMPUTED_VALUE"""),"")</f>
        <v/>
      </c>
      <c r="S353" s="18" t="str">
        <f ca="1">IFERROR(__xludf.DUMMYFUNCTION("""COMPUTED_VALUE"""),"")</f>
        <v/>
      </c>
      <c r="T353" s="18" t="str">
        <f ca="1">IFERROR(__xludf.DUMMYFUNCTION("""COMPUTED_VALUE"""),"")</f>
        <v/>
      </c>
      <c r="U353" s="18" t="str">
        <f ca="1">IFERROR(__xludf.DUMMYFUNCTION("""COMPUTED_VALUE"""),"")</f>
        <v/>
      </c>
      <c r="V353" s="18" t="str">
        <f ca="1">IFERROR(__xludf.DUMMYFUNCTION("""COMPUTED_VALUE"""),"")</f>
        <v/>
      </c>
      <c r="W353" s="18" t="str">
        <f ca="1">IFERROR(__xludf.DUMMYFUNCTION("""COMPUTED_VALUE"""),"")</f>
        <v/>
      </c>
      <c r="X353" s="18" t="str">
        <f ca="1">IFERROR(__xludf.DUMMYFUNCTION("""COMPUTED_VALUE"""),"")</f>
        <v/>
      </c>
      <c r="Y353" s="18" t="e">
        <f ca="1"/>
        <v>#NAME?</v>
      </c>
      <c r="Z353" s="18" t="str">
        <f ca="1">IFERROR(__xludf.DUMMYFUNCTION("""COMPUTED_VALUE"""),"")</f>
        <v/>
      </c>
      <c r="AA353" s="18" t="str">
        <f ca="1">IFERROR(__xludf.DUMMYFUNCTION("""COMPUTED_VALUE"""),"")</f>
        <v/>
      </c>
      <c r="AC353" s="59"/>
    </row>
    <row r="354" spans="1:29" x14ac:dyDescent="0.25">
      <c r="A354" s="18">
        <v>0</v>
      </c>
      <c r="B354" s="52" t="str">
        <f ca="1"/>
        <v/>
      </c>
      <c r="C354" s="52" t="str">
        <f ca="1">IFERROR(__xludf.DUMMYFUNCTION("""COMPUTED_VALUE"""),"")</f>
        <v/>
      </c>
      <c r="D354" s="18" t="str">
        <f ca="1">IFERROR(__xludf.DUMMYFUNCTION("""COMPUTED_VALUE"""),"")</f>
        <v/>
      </c>
      <c r="E354" s="18" t="str">
        <f ca="1">IFERROR(__xludf.DUMMYFUNCTION("""COMPUTED_VALUE"""),"")</f>
        <v/>
      </c>
      <c r="F354" s="18" t="str">
        <f ca="1">IFERROR(__xludf.DUMMYFUNCTION("""COMPUTED_VALUE"""),"")</f>
        <v/>
      </c>
      <c r="G354" s="18" t="str">
        <f ca="1">IFERROR(__xludf.DUMMYFUNCTION("""COMPUTED_VALUE"""),"")</f>
        <v/>
      </c>
      <c r="H354" s="18" t="str">
        <f ca="1">IFERROR(__xludf.DUMMYFUNCTION("""COMPUTED_VALUE"""),"")</f>
        <v/>
      </c>
      <c r="I354" s="18" t="str">
        <f ca="1">IFERROR(__xludf.DUMMYFUNCTION("""COMPUTED_VALUE"""),"")</f>
        <v/>
      </c>
      <c r="J354" s="18" t="str">
        <f ca="1">IFERROR(__xludf.DUMMYFUNCTION("""COMPUTED_VALUE"""),"")</f>
        <v/>
      </c>
      <c r="K354" s="18" t="str">
        <f ca="1">IFERROR(__xludf.DUMMYFUNCTION("""COMPUTED_VALUE"""),"")</f>
        <v/>
      </c>
      <c r="L354" s="18" t="str">
        <f ca="1">IFERROR(__xludf.DUMMYFUNCTION("""COMPUTED_VALUE"""),"")</f>
        <v/>
      </c>
      <c r="M354" s="18" t="str">
        <f ca="1">IFERROR(__xludf.DUMMYFUNCTION("""COMPUTED_VALUE"""),"")</f>
        <v/>
      </c>
      <c r="N354" s="18" t="str">
        <f ca="1">IFERROR(__xludf.DUMMYFUNCTION("""COMPUTED_VALUE"""),"")</f>
        <v/>
      </c>
      <c r="O354" s="18" t="str">
        <f ca="1">IFERROR(__xludf.DUMMYFUNCTION("""COMPUTED_VALUE"""),"")</f>
        <v/>
      </c>
      <c r="P354" s="18" t="str">
        <f ca="1">IFERROR(__xludf.DUMMYFUNCTION("""COMPUTED_VALUE"""),"")</f>
        <v/>
      </c>
      <c r="Q354" s="18" t="str">
        <f ca="1">IFERROR(__xludf.DUMMYFUNCTION("""COMPUTED_VALUE"""),"")</f>
        <v/>
      </c>
      <c r="R354" s="18" t="str">
        <f ca="1">IFERROR(__xludf.DUMMYFUNCTION("""COMPUTED_VALUE"""),"")</f>
        <v/>
      </c>
      <c r="S354" s="18" t="str">
        <f ca="1">IFERROR(__xludf.DUMMYFUNCTION("""COMPUTED_VALUE"""),"")</f>
        <v/>
      </c>
      <c r="T354" s="18" t="str">
        <f ca="1">IFERROR(__xludf.DUMMYFUNCTION("""COMPUTED_VALUE"""),"")</f>
        <v/>
      </c>
      <c r="U354" s="18" t="str">
        <f ca="1">IFERROR(__xludf.DUMMYFUNCTION("""COMPUTED_VALUE"""),"")</f>
        <v/>
      </c>
      <c r="V354" s="18" t="str">
        <f ca="1">IFERROR(__xludf.DUMMYFUNCTION("""COMPUTED_VALUE"""),"")</f>
        <v/>
      </c>
      <c r="W354" s="18" t="str">
        <f ca="1">IFERROR(__xludf.DUMMYFUNCTION("""COMPUTED_VALUE"""),"")</f>
        <v/>
      </c>
      <c r="X354" s="18" t="str">
        <f ca="1">IFERROR(__xludf.DUMMYFUNCTION("""COMPUTED_VALUE"""),"")</f>
        <v/>
      </c>
      <c r="Y354" s="18" t="e">
        <f ca="1"/>
        <v>#NAME?</v>
      </c>
      <c r="Z354" s="18" t="str">
        <f ca="1">IFERROR(__xludf.DUMMYFUNCTION("""COMPUTED_VALUE"""),"")</f>
        <v/>
      </c>
      <c r="AA354" s="18" t="str">
        <f ca="1">IFERROR(__xludf.DUMMYFUNCTION("""COMPUTED_VALUE"""),"")</f>
        <v/>
      </c>
      <c r="AC354" s="59"/>
    </row>
    <row r="355" spans="1:29" x14ac:dyDescent="0.25">
      <c r="A355" s="18">
        <v>0</v>
      </c>
      <c r="B355" s="52" t="str">
        <f ca="1"/>
        <v/>
      </c>
      <c r="C355" s="52" t="str">
        <f ca="1">IFERROR(__xludf.DUMMYFUNCTION("""COMPUTED_VALUE"""),"")</f>
        <v/>
      </c>
      <c r="D355" s="18" t="str">
        <f ca="1">IFERROR(__xludf.DUMMYFUNCTION("""COMPUTED_VALUE"""),"")</f>
        <v/>
      </c>
      <c r="E355" s="18" t="str">
        <f ca="1">IFERROR(__xludf.DUMMYFUNCTION("""COMPUTED_VALUE"""),"")</f>
        <v/>
      </c>
      <c r="F355" s="18" t="str">
        <f ca="1">IFERROR(__xludf.DUMMYFUNCTION("""COMPUTED_VALUE"""),"")</f>
        <v/>
      </c>
      <c r="G355" s="18" t="str">
        <f ca="1">IFERROR(__xludf.DUMMYFUNCTION("""COMPUTED_VALUE"""),"")</f>
        <v/>
      </c>
      <c r="H355" s="18" t="str">
        <f ca="1">IFERROR(__xludf.DUMMYFUNCTION("""COMPUTED_VALUE"""),"")</f>
        <v/>
      </c>
      <c r="I355" s="18" t="str">
        <f ca="1">IFERROR(__xludf.DUMMYFUNCTION("""COMPUTED_VALUE"""),"")</f>
        <v/>
      </c>
      <c r="J355" s="18" t="str">
        <f ca="1">IFERROR(__xludf.DUMMYFUNCTION("""COMPUTED_VALUE"""),"")</f>
        <v/>
      </c>
      <c r="K355" s="18" t="str">
        <f ca="1">IFERROR(__xludf.DUMMYFUNCTION("""COMPUTED_VALUE"""),"")</f>
        <v/>
      </c>
      <c r="L355" s="18" t="str">
        <f ca="1">IFERROR(__xludf.DUMMYFUNCTION("""COMPUTED_VALUE"""),"")</f>
        <v/>
      </c>
      <c r="M355" s="18" t="str">
        <f ca="1">IFERROR(__xludf.DUMMYFUNCTION("""COMPUTED_VALUE"""),"")</f>
        <v/>
      </c>
      <c r="N355" s="18" t="str">
        <f ca="1">IFERROR(__xludf.DUMMYFUNCTION("""COMPUTED_VALUE"""),"")</f>
        <v/>
      </c>
      <c r="O355" s="18" t="str">
        <f ca="1">IFERROR(__xludf.DUMMYFUNCTION("""COMPUTED_VALUE"""),"")</f>
        <v/>
      </c>
      <c r="P355" s="18" t="str">
        <f ca="1">IFERROR(__xludf.DUMMYFUNCTION("""COMPUTED_VALUE"""),"")</f>
        <v/>
      </c>
      <c r="Q355" s="18" t="str">
        <f ca="1">IFERROR(__xludf.DUMMYFUNCTION("""COMPUTED_VALUE"""),"")</f>
        <v/>
      </c>
      <c r="R355" s="18" t="str">
        <f ca="1">IFERROR(__xludf.DUMMYFUNCTION("""COMPUTED_VALUE"""),"")</f>
        <v/>
      </c>
      <c r="S355" s="18" t="str">
        <f ca="1">IFERROR(__xludf.DUMMYFUNCTION("""COMPUTED_VALUE"""),"")</f>
        <v/>
      </c>
      <c r="T355" s="18" t="str">
        <f ca="1">IFERROR(__xludf.DUMMYFUNCTION("""COMPUTED_VALUE"""),"")</f>
        <v/>
      </c>
      <c r="U355" s="18" t="str">
        <f ca="1">IFERROR(__xludf.DUMMYFUNCTION("""COMPUTED_VALUE"""),"")</f>
        <v/>
      </c>
      <c r="V355" s="18" t="str">
        <f ca="1">IFERROR(__xludf.DUMMYFUNCTION("""COMPUTED_VALUE"""),"")</f>
        <v/>
      </c>
      <c r="W355" s="18" t="str">
        <f ca="1">IFERROR(__xludf.DUMMYFUNCTION("""COMPUTED_VALUE"""),"")</f>
        <v/>
      </c>
      <c r="X355" s="18" t="str">
        <f ca="1">IFERROR(__xludf.DUMMYFUNCTION("""COMPUTED_VALUE"""),"")</f>
        <v/>
      </c>
      <c r="Y355" s="18" t="e">
        <f ca="1"/>
        <v>#NAME?</v>
      </c>
      <c r="Z355" s="18" t="str">
        <f ca="1">IFERROR(__xludf.DUMMYFUNCTION("""COMPUTED_VALUE"""),"")</f>
        <v/>
      </c>
      <c r="AA355" s="18" t="str">
        <f ca="1">IFERROR(__xludf.DUMMYFUNCTION("""COMPUTED_VALUE"""),"")</f>
        <v/>
      </c>
      <c r="AC355" s="59"/>
    </row>
    <row r="356" spans="1:29" x14ac:dyDescent="0.25">
      <c r="A356" s="18">
        <v>0</v>
      </c>
      <c r="B356" s="52" t="str">
        <f ca="1"/>
        <v/>
      </c>
      <c r="C356" s="52" t="str">
        <f ca="1">IFERROR(__xludf.DUMMYFUNCTION("""COMPUTED_VALUE"""),"")</f>
        <v/>
      </c>
      <c r="D356" s="18" t="str">
        <f ca="1">IFERROR(__xludf.DUMMYFUNCTION("""COMPUTED_VALUE"""),"")</f>
        <v/>
      </c>
      <c r="E356" s="18" t="str">
        <f ca="1">IFERROR(__xludf.DUMMYFUNCTION("""COMPUTED_VALUE"""),"")</f>
        <v/>
      </c>
      <c r="F356" s="18" t="str">
        <f ca="1">IFERROR(__xludf.DUMMYFUNCTION("""COMPUTED_VALUE"""),"")</f>
        <v/>
      </c>
      <c r="G356" s="18" t="str">
        <f ca="1">IFERROR(__xludf.DUMMYFUNCTION("""COMPUTED_VALUE"""),"")</f>
        <v/>
      </c>
      <c r="H356" s="18" t="str">
        <f ca="1">IFERROR(__xludf.DUMMYFUNCTION("""COMPUTED_VALUE"""),"")</f>
        <v/>
      </c>
      <c r="I356" s="18" t="str">
        <f ca="1">IFERROR(__xludf.DUMMYFUNCTION("""COMPUTED_VALUE"""),"")</f>
        <v/>
      </c>
      <c r="J356" s="18" t="str">
        <f ca="1">IFERROR(__xludf.DUMMYFUNCTION("""COMPUTED_VALUE"""),"")</f>
        <v/>
      </c>
      <c r="K356" s="18" t="str">
        <f ca="1">IFERROR(__xludf.DUMMYFUNCTION("""COMPUTED_VALUE"""),"")</f>
        <v/>
      </c>
      <c r="L356" s="18" t="str">
        <f ca="1">IFERROR(__xludf.DUMMYFUNCTION("""COMPUTED_VALUE"""),"")</f>
        <v/>
      </c>
      <c r="M356" s="18" t="str">
        <f ca="1">IFERROR(__xludf.DUMMYFUNCTION("""COMPUTED_VALUE"""),"")</f>
        <v/>
      </c>
      <c r="N356" s="18" t="str">
        <f ca="1">IFERROR(__xludf.DUMMYFUNCTION("""COMPUTED_VALUE"""),"")</f>
        <v/>
      </c>
      <c r="O356" s="18" t="str">
        <f ca="1">IFERROR(__xludf.DUMMYFUNCTION("""COMPUTED_VALUE"""),"")</f>
        <v/>
      </c>
      <c r="P356" s="18" t="str">
        <f ca="1">IFERROR(__xludf.DUMMYFUNCTION("""COMPUTED_VALUE"""),"")</f>
        <v/>
      </c>
      <c r="Q356" s="18" t="str">
        <f ca="1">IFERROR(__xludf.DUMMYFUNCTION("""COMPUTED_VALUE"""),"")</f>
        <v/>
      </c>
      <c r="R356" s="18" t="str">
        <f ca="1">IFERROR(__xludf.DUMMYFUNCTION("""COMPUTED_VALUE"""),"")</f>
        <v/>
      </c>
      <c r="S356" s="18" t="str">
        <f ca="1">IFERROR(__xludf.DUMMYFUNCTION("""COMPUTED_VALUE"""),"")</f>
        <v/>
      </c>
      <c r="T356" s="18" t="str">
        <f ca="1">IFERROR(__xludf.DUMMYFUNCTION("""COMPUTED_VALUE"""),"")</f>
        <v/>
      </c>
      <c r="U356" s="18" t="str">
        <f ca="1">IFERROR(__xludf.DUMMYFUNCTION("""COMPUTED_VALUE"""),"")</f>
        <v/>
      </c>
      <c r="V356" s="18" t="str">
        <f ca="1">IFERROR(__xludf.DUMMYFUNCTION("""COMPUTED_VALUE"""),"")</f>
        <v/>
      </c>
      <c r="W356" s="18" t="str">
        <f ca="1">IFERROR(__xludf.DUMMYFUNCTION("""COMPUTED_VALUE"""),"")</f>
        <v/>
      </c>
      <c r="X356" s="18" t="str">
        <f ca="1">IFERROR(__xludf.DUMMYFUNCTION("""COMPUTED_VALUE"""),"")</f>
        <v/>
      </c>
      <c r="Y356" s="18" t="e">
        <f ca="1"/>
        <v>#NAME?</v>
      </c>
      <c r="Z356" s="18" t="str">
        <f ca="1">IFERROR(__xludf.DUMMYFUNCTION("""COMPUTED_VALUE"""),"")</f>
        <v/>
      </c>
      <c r="AA356" s="18" t="str">
        <f ca="1">IFERROR(__xludf.DUMMYFUNCTION("""COMPUTED_VALUE"""),"")</f>
        <v/>
      </c>
      <c r="AC356" s="59"/>
    </row>
    <row r="357" spans="1:29" x14ac:dyDescent="0.25">
      <c r="A357" s="18">
        <v>0</v>
      </c>
      <c r="B357" s="52" t="str">
        <f ca="1"/>
        <v/>
      </c>
      <c r="C357" s="52" t="str">
        <f ca="1">IFERROR(__xludf.DUMMYFUNCTION("""COMPUTED_VALUE"""),"")</f>
        <v/>
      </c>
      <c r="D357" s="18" t="str">
        <f ca="1">IFERROR(__xludf.DUMMYFUNCTION("""COMPUTED_VALUE"""),"")</f>
        <v/>
      </c>
      <c r="E357" s="18" t="str">
        <f ca="1">IFERROR(__xludf.DUMMYFUNCTION("""COMPUTED_VALUE"""),"")</f>
        <v/>
      </c>
      <c r="F357" s="18" t="str">
        <f ca="1">IFERROR(__xludf.DUMMYFUNCTION("""COMPUTED_VALUE"""),"")</f>
        <v/>
      </c>
      <c r="G357" s="18" t="str">
        <f ca="1">IFERROR(__xludf.DUMMYFUNCTION("""COMPUTED_VALUE"""),"")</f>
        <v/>
      </c>
      <c r="H357" s="18" t="str">
        <f ca="1">IFERROR(__xludf.DUMMYFUNCTION("""COMPUTED_VALUE"""),"")</f>
        <v/>
      </c>
      <c r="I357" s="18" t="str">
        <f ca="1">IFERROR(__xludf.DUMMYFUNCTION("""COMPUTED_VALUE"""),"")</f>
        <v/>
      </c>
      <c r="J357" s="18" t="str">
        <f ca="1">IFERROR(__xludf.DUMMYFUNCTION("""COMPUTED_VALUE"""),"")</f>
        <v/>
      </c>
      <c r="K357" s="18" t="str">
        <f ca="1">IFERROR(__xludf.DUMMYFUNCTION("""COMPUTED_VALUE"""),"")</f>
        <v/>
      </c>
      <c r="L357" s="18" t="str">
        <f ca="1">IFERROR(__xludf.DUMMYFUNCTION("""COMPUTED_VALUE"""),"")</f>
        <v/>
      </c>
      <c r="M357" s="18" t="str">
        <f ca="1">IFERROR(__xludf.DUMMYFUNCTION("""COMPUTED_VALUE"""),"")</f>
        <v/>
      </c>
      <c r="N357" s="18" t="str">
        <f ca="1">IFERROR(__xludf.DUMMYFUNCTION("""COMPUTED_VALUE"""),"")</f>
        <v/>
      </c>
      <c r="O357" s="18" t="str">
        <f ca="1">IFERROR(__xludf.DUMMYFUNCTION("""COMPUTED_VALUE"""),"")</f>
        <v/>
      </c>
      <c r="P357" s="18" t="str">
        <f ca="1">IFERROR(__xludf.DUMMYFUNCTION("""COMPUTED_VALUE"""),"")</f>
        <v/>
      </c>
      <c r="Q357" s="18" t="str">
        <f ca="1">IFERROR(__xludf.DUMMYFUNCTION("""COMPUTED_VALUE"""),"")</f>
        <v/>
      </c>
      <c r="R357" s="18" t="str">
        <f ca="1">IFERROR(__xludf.DUMMYFUNCTION("""COMPUTED_VALUE"""),"")</f>
        <v/>
      </c>
      <c r="S357" s="18" t="str">
        <f ca="1">IFERROR(__xludf.DUMMYFUNCTION("""COMPUTED_VALUE"""),"")</f>
        <v/>
      </c>
      <c r="T357" s="18" t="str">
        <f ca="1">IFERROR(__xludf.DUMMYFUNCTION("""COMPUTED_VALUE"""),"")</f>
        <v/>
      </c>
      <c r="U357" s="18" t="str">
        <f ca="1">IFERROR(__xludf.DUMMYFUNCTION("""COMPUTED_VALUE"""),"")</f>
        <v/>
      </c>
      <c r="V357" s="18" t="str">
        <f ca="1">IFERROR(__xludf.DUMMYFUNCTION("""COMPUTED_VALUE"""),"")</f>
        <v/>
      </c>
      <c r="W357" s="18" t="str">
        <f ca="1">IFERROR(__xludf.DUMMYFUNCTION("""COMPUTED_VALUE"""),"")</f>
        <v/>
      </c>
      <c r="X357" s="18" t="str">
        <f ca="1">IFERROR(__xludf.DUMMYFUNCTION("""COMPUTED_VALUE"""),"")</f>
        <v/>
      </c>
      <c r="Y357" s="18" t="e">
        <f ca="1"/>
        <v>#NAME?</v>
      </c>
      <c r="Z357" s="18" t="str">
        <f ca="1">IFERROR(__xludf.DUMMYFUNCTION("""COMPUTED_VALUE"""),"")</f>
        <v/>
      </c>
      <c r="AA357" s="18" t="str">
        <f ca="1">IFERROR(__xludf.DUMMYFUNCTION("""COMPUTED_VALUE"""),"")</f>
        <v/>
      </c>
      <c r="AC357" s="59"/>
    </row>
    <row r="358" spans="1:29" x14ac:dyDescent="0.25">
      <c r="A358" s="18">
        <v>0</v>
      </c>
      <c r="B358" s="52" t="str">
        <f ca="1"/>
        <v/>
      </c>
      <c r="C358" s="52" t="str">
        <f ca="1">IFERROR(__xludf.DUMMYFUNCTION("""COMPUTED_VALUE"""),"")</f>
        <v/>
      </c>
      <c r="D358" s="18" t="str">
        <f ca="1">IFERROR(__xludf.DUMMYFUNCTION("""COMPUTED_VALUE"""),"")</f>
        <v/>
      </c>
      <c r="E358" s="18" t="str">
        <f ca="1">IFERROR(__xludf.DUMMYFUNCTION("""COMPUTED_VALUE"""),"")</f>
        <v/>
      </c>
      <c r="F358" s="18" t="str">
        <f ca="1">IFERROR(__xludf.DUMMYFUNCTION("""COMPUTED_VALUE"""),"")</f>
        <v/>
      </c>
      <c r="G358" s="18" t="str">
        <f ca="1">IFERROR(__xludf.DUMMYFUNCTION("""COMPUTED_VALUE"""),"")</f>
        <v/>
      </c>
      <c r="H358" s="18" t="str">
        <f ca="1">IFERROR(__xludf.DUMMYFUNCTION("""COMPUTED_VALUE"""),"")</f>
        <v/>
      </c>
      <c r="I358" s="18" t="str">
        <f ca="1">IFERROR(__xludf.DUMMYFUNCTION("""COMPUTED_VALUE"""),"")</f>
        <v/>
      </c>
      <c r="J358" s="18" t="str">
        <f ca="1">IFERROR(__xludf.DUMMYFUNCTION("""COMPUTED_VALUE"""),"")</f>
        <v/>
      </c>
      <c r="K358" s="18" t="str">
        <f ca="1">IFERROR(__xludf.DUMMYFUNCTION("""COMPUTED_VALUE"""),"")</f>
        <v/>
      </c>
      <c r="L358" s="18" t="str">
        <f ca="1">IFERROR(__xludf.DUMMYFUNCTION("""COMPUTED_VALUE"""),"")</f>
        <v/>
      </c>
      <c r="M358" s="18" t="str">
        <f ca="1">IFERROR(__xludf.DUMMYFUNCTION("""COMPUTED_VALUE"""),"")</f>
        <v/>
      </c>
      <c r="N358" s="18" t="str">
        <f ca="1">IFERROR(__xludf.DUMMYFUNCTION("""COMPUTED_VALUE"""),"")</f>
        <v/>
      </c>
      <c r="O358" s="18" t="str">
        <f ca="1">IFERROR(__xludf.DUMMYFUNCTION("""COMPUTED_VALUE"""),"")</f>
        <v/>
      </c>
      <c r="P358" s="18" t="str">
        <f ca="1">IFERROR(__xludf.DUMMYFUNCTION("""COMPUTED_VALUE"""),"")</f>
        <v/>
      </c>
      <c r="Q358" s="18" t="str">
        <f ca="1">IFERROR(__xludf.DUMMYFUNCTION("""COMPUTED_VALUE"""),"")</f>
        <v/>
      </c>
      <c r="R358" s="18" t="str">
        <f ca="1">IFERROR(__xludf.DUMMYFUNCTION("""COMPUTED_VALUE"""),"")</f>
        <v/>
      </c>
      <c r="S358" s="18" t="str">
        <f ca="1">IFERROR(__xludf.DUMMYFUNCTION("""COMPUTED_VALUE"""),"")</f>
        <v/>
      </c>
      <c r="T358" s="18" t="str">
        <f ca="1">IFERROR(__xludf.DUMMYFUNCTION("""COMPUTED_VALUE"""),"")</f>
        <v/>
      </c>
      <c r="U358" s="18" t="str">
        <f ca="1">IFERROR(__xludf.DUMMYFUNCTION("""COMPUTED_VALUE"""),"")</f>
        <v/>
      </c>
      <c r="V358" s="18" t="str">
        <f ca="1">IFERROR(__xludf.DUMMYFUNCTION("""COMPUTED_VALUE"""),"")</f>
        <v/>
      </c>
      <c r="W358" s="18" t="str">
        <f ca="1">IFERROR(__xludf.DUMMYFUNCTION("""COMPUTED_VALUE"""),"")</f>
        <v/>
      </c>
      <c r="X358" s="18" t="str">
        <f ca="1">IFERROR(__xludf.DUMMYFUNCTION("""COMPUTED_VALUE"""),"")</f>
        <v/>
      </c>
      <c r="Y358" s="18" t="e">
        <f ca="1"/>
        <v>#NAME?</v>
      </c>
      <c r="Z358" s="18" t="str">
        <f ca="1">IFERROR(__xludf.DUMMYFUNCTION("""COMPUTED_VALUE"""),"")</f>
        <v/>
      </c>
      <c r="AA358" s="18" t="str">
        <f ca="1">IFERROR(__xludf.DUMMYFUNCTION("""COMPUTED_VALUE"""),"")</f>
        <v/>
      </c>
      <c r="AC358" s="59"/>
    </row>
    <row r="359" spans="1:29" x14ac:dyDescent="0.25">
      <c r="A359" s="18">
        <v>0</v>
      </c>
      <c r="B359" s="52" t="str">
        <f ca="1"/>
        <v/>
      </c>
      <c r="C359" s="52" t="str">
        <f ca="1">IFERROR(__xludf.DUMMYFUNCTION("""COMPUTED_VALUE"""),"")</f>
        <v/>
      </c>
      <c r="D359" s="18" t="str">
        <f ca="1">IFERROR(__xludf.DUMMYFUNCTION("""COMPUTED_VALUE"""),"")</f>
        <v/>
      </c>
      <c r="E359" s="18" t="str">
        <f ca="1">IFERROR(__xludf.DUMMYFUNCTION("""COMPUTED_VALUE"""),"")</f>
        <v/>
      </c>
      <c r="F359" s="18" t="str">
        <f ca="1">IFERROR(__xludf.DUMMYFUNCTION("""COMPUTED_VALUE"""),"")</f>
        <v/>
      </c>
      <c r="G359" s="18" t="str">
        <f ca="1">IFERROR(__xludf.DUMMYFUNCTION("""COMPUTED_VALUE"""),"")</f>
        <v/>
      </c>
      <c r="H359" s="18" t="str">
        <f ca="1">IFERROR(__xludf.DUMMYFUNCTION("""COMPUTED_VALUE"""),"")</f>
        <v/>
      </c>
      <c r="I359" s="18" t="str">
        <f ca="1">IFERROR(__xludf.DUMMYFUNCTION("""COMPUTED_VALUE"""),"")</f>
        <v/>
      </c>
      <c r="J359" s="18" t="str">
        <f ca="1">IFERROR(__xludf.DUMMYFUNCTION("""COMPUTED_VALUE"""),"")</f>
        <v/>
      </c>
      <c r="K359" s="18" t="str">
        <f ca="1">IFERROR(__xludf.DUMMYFUNCTION("""COMPUTED_VALUE"""),"")</f>
        <v/>
      </c>
      <c r="L359" s="18" t="str">
        <f ca="1">IFERROR(__xludf.DUMMYFUNCTION("""COMPUTED_VALUE"""),"")</f>
        <v/>
      </c>
      <c r="M359" s="18" t="str">
        <f ca="1">IFERROR(__xludf.DUMMYFUNCTION("""COMPUTED_VALUE"""),"")</f>
        <v/>
      </c>
      <c r="N359" s="18" t="str">
        <f ca="1">IFERROR(__xludf.DUMMYFUNCTION("""COMPUTED_VALUE"""),"")</f>
        <v/>
      </c>
      <c r="O359" s="18" t="str">
        <f ca="1">IFERROR(__xludf.DUMMYFUNCTION("""COMPUTED_VALUE"""),"")</f>
        <v/>
      </c>
      <c r="P359" s="18" t="str">
        <f ca="1">IFERROR(__xludf.DUMMYFUNCTION("""COMPUTED_VALUE"""),"")</f>
        <v/>
      </c>
      <c r="Q359" s="18" t="str">
        <f ca="1">IFERROR(__xludf.DUMMYFUNCTION("""COMPUTED_VALUE"""),"")</f>
        <v/>
      </c>
      <c r="R359" s="18" t="str">
        <f ca="1">IFERROR(__xludf.DUMMYFUNCTION("""COMPUTED_VALUE"""),"")</f>
        <v/>
      </c>
      <c r="S359" s="18" t="str">
        <f ca="1">IFERROR(__xludf.DUMMYFUNCTION("""COMPUTED_VALUE"""),"")</f>
        <v/>
      </c>
      <c r="T359" s="18" t="str">
        <f ca="1">IFERROR(__xludf.DUMMYFUNCTION("""COMPUTED_VALUE"""),"")</f>
        <v/>
      </c>
      <c r="U359" s="18" t="str">
        <f ca="1">IFERROR(__xludf.DUMMYFUNCTION("""COMPUTED_VALUE"""),"")</f>
        <v/>
      </c>
      <c r="V359" s="18" t="str">
        <f ca="1">IFERROR(__xludf.DUMMYFUNCTION("""COMPUTED_VALUE"""),"")</f>
        <v/>
      </c>
      <c r="W359" s="18" t="str">
        <f ca="1">IFERROR(__xludf.DUMMYFUNCTION("""COMPUTED_VALUE"""),"")</f>
        <v/>
      </c>
      <c r="X359" s="18" t="str">
        <f ca="1">IFERROR(__xludf.DUMMYFUNCTION("""COMPUTED_VALUE"""),"")</f>
        <v/>
      </c>
      <c r="Y359" s="18" t="e">
        <f ca="1"/>
        <v>#NAME?</v>
      </c>
      <c r="Z359" s="18" t="str">
        <f ca="1">IFERROR(__xludf.DUMMYFUNCTION("""COMPUTED_VALUE"""),"")</f>
        <v/>
      </c>
      <c r="AA359" s="18" t="str">
        <f ca="1">IFERROR(__xludf.DUMMYFUNCTION("""COMPUTED_VALUE"""),"")</f>
        <v/>
      </c>
      <c r="AC359" s="59"/>
    </row>
    <row r="360" spans="1:29" x14ac:dyDescent="0.25">
      <c r="A360" s="18">
        <v>0</v>
      </c>
      <c r="B360" s="52" t="str">
        <f ca="1"/>
        <v/>
      </c>
      <c r="C360" s="52" t="str">
        <f ca="1">IFERROR(__xludf.DUMMYFUNCTION("""COMPUTED_VALUE"""),"")</f>
        <v/>
      </c>
      <c r="D360" s="18" t="str">
        <f ca="1">IFERROR(__xludf.DUMMYFUNCTION("""COMPUTED_VALUE"""),"")</f>
        <v/>
      </c>
      <c r="E360" s="18" t="str">
        <f ca="1">IFERROR(__xludf.DUMMYFUNCTION("""COMPUTED_VALUE"""),"")</f>
        <v/>
      </c>
      <c r="F360" s="18" t="str">
        <f ca="1">IFERROR(__xludf.DUMMYFUNCTION("""COMPUTED_VALUE"""),"")</f>
        <v/>
      </c>
      <c r="G360" s="18" t="str">
        <f ca="1">IFERROR(__xludf.DUMMYFUNCTION("""COMPUTED_VALUE"""),"")</f>
        <v/>
      </c>
      <c r="H360" s="18" t="str">
        <f ca="1">IFERROR(__xludf.DUMMYFUNCTION("""COMPUTED_VALUE"""),"")</f>
        <v/>
      </c>
      <c r="I360" s="18" t="str">
        <f ca="1">IFERROR(__xludf.DUMMYFUNCTION("""COMPUTED_VALUE"""),"")</f>
        <v/>
      </c>
      <c r="J360" s="18" t="str">
        <f ca="1">IFERROR(__xludf.DUMMYFUNCTION("""COMPUTED_VALUE"""),"")</f>
        <v/>
      </c>
      <c r="K360" s="18" t="str">
        <f ca="1">IFERROR(__xludf.DUMMYFUNCTION("""COMPUTED_VALUE"""),"")</f>
        <v/>
      </c>
      <c r="L360" s="18" t="str">
        <f ca="1">IFERROR(__xludf.DUMMYFUNCTION("""COMPUTED_VALUE"""),"")</f>
        <v/>
      </c>
      <c r="M360" s="18" t="str">
        <f ca="1">IFERROR(__xludf.DUMMYFUNCTION("""COMPUTED_VALUE"""),"")</f>
        <v/>
      </c>
      <c r="N360" s="18" t="str">
        <f ca="1">IFERROR(__xludf.DUMMYFUNCTION("""COMPUTED_VALUE"""),"")</f>
        <v/>
      </c>
      <c r="O360" s="18" t="str">
        <f ca="1">IFERROR(__xludf.DUMMYFUNCTION("""COMPUTED_VALUE"""),"")</f>
        <v/>
      </c>
      <c r="P360" s="18" t="str">
        <f ca="1">IFERROR(__xludf.DUMMYFUNCTION("""COMPUTED_VALUE"""),"")</f>
        <v/>
      </c>
      <c r="Q360" s="18" t="str">
        <f ca="1">IFERROR(__xludf.DUMMYFUNCTION("""COMPUTED_VALUE"""),"")</f>
        <v/>
      </c>
      <c r="R360" s="18" t="str">
        <f ca="1">IFERROR(__xludf.DUMMYFUNCTION("""COMPUTED_VALUE"""),"")</f>
        <v/>
      </c>
      <c r="S360" s="18" t="str">
        <f ca="1">IFERROR(__xludf.DUMMYFUNCTION("""COMPUTED_VALUE"""),"")</f>
        <v/>
      </c>
      <c r="T360" s="18" t="str">
        <f ca="1">IFERROR(__xludf.DUMMYFUNCTION("""COMPUTED_VALUE"""),"")</f>
        <v/>
      </c>
      <c r="U360" s="18" t="str">
        <f ca="1">IFERROR(__xludf.DUMMYFUNCTION("""COMPUTED_VALUE"""),"")</f>
        <v/>
      </c>
      <c r="V360" s="18" t="str">
        <f ca="1">IFERROR(__xludf.DUMMYFUNCTION("""COMPUTED_VALUE"""),"")</f>
        <v/>
      </c>
      <c r="W360" s="18" t="str">
        <f ca="1">IFERROR(__xludf.DUMMYFUNCTION("""COMPUTED_VALUE"""),"")</f>
        <v/>
      </c>
      <c r="X360" s="18" t="str">
        <f ca="1">IFERROR(__xludf.DUMMYFUNCTION("""COMPUTED_VALUE"""),"")</f>
        <v/>
      </c>
      <c r="Y360" s="18" t="e">
        <f ca="1"/>
        <v>#NAME?</v>
      </c>
      <c r="Z360" s="18" t="str">
        <f ca="1">IFERROR(__xludf.DUMMYFUNCTION("""COMPUTED_VALUE"""),"")</f>
        <v/>
      </c>
      <c r="AA360" s="18" t="str">
        <f ca="1">IFERROR(__xludf.DUMMYFUNCTION("""COMPUTED_VALUE"""),"")</f>
        <v/>
      </c>
      <c r="AC360" s="59"/>
    </row>
    <row r="361" spans="1:29" x14ac:dyDescent="0.25">
      <c r="A361" s="18">
        <v>0</v>
      </c>
      <c r="B361" s="52" t="str">
        <f ca="1"/>
        <v/>
      </c>
      <c r="C361" s="52" t="str">
        <f ca="1">IFERROR(__xludf.DUMMYFUNCTION("""COMPUTED_VALUE"""),"")</f>
        <v/>
      </c>
      <c r="D361" s="18" t="str">
        <f ca="1">IFERROR(__xludf.DUMMYFUNCTION("""COMPUTED_VALUE"""),"")</f>
        <v/>
      </c>
      <c r="E361" s="18" t="str">
        <f ca="1">IFERROR(__xludf.DUMMYFUNCTION("""COMPUTED_VALUE"""),"")</f>
        <v/>
      </c>
      <c r="F361" s="18" t="str">
        <f ca="1">IFERROR(__xludf.DUMMYFUNCTION("""COMPUTED_VALUE"""),"")</f>
        <v/>
      </c>
      <c r="G361" s="18" t="str">
        <f ca="1">IFERROR(__xludf.DUMMYFUNCTION("""COMPUTED_VALUE"""),"")</f>
        <v/>
      </c>
      <c r="H361" s="18" t="str">
        <f ca="1">IFERROR(__xludf.DUMMYFUNCTION("""COMPUTED_VALUE"""),"")</f>
        <v/>
      </c>
      <c r="I361" s="18" t="str">
        <f ca="1">IFERROR(__xludf.DUMMYFUNCTION("""COMPUTED_VALUE"""),"")</f>
        <v/>
      </c>
      <c r="J361" s="18" t="str">
        <f ca="1">IFERROR(__xludf.DUMMYFUNCTION("""COMPUTED_VALUE"""),"")</f>
        <v/>
      </c>
      <c r="K361" s="18" t="str">
        <f ca="1">IFERROR(__xludf.DUMMYFUNCTION("""COMPUTED_VALUE"""),"")</f>
        <v/>
      </c>
      <c r="L361" s="18" t="str">
        <f ca="1">IFERROR(__xludf.DUMMYFUNCTION("""COMPUTED_VALUE"""),"")</f>
        <v/>
      </c>
      <c r="M361" s="18" t="str">
        <f ca="1">IFERROR(__xludf.DUMMYFUNCTION("""COMPUTED_VALUE"""),"")</f>
        <v/>
      </c>
      <c r="N361" s="18" t="str">
        <f ca="1">IFERROR(__xludf.DUMMYFUNCTION("""COMPUTED_VALUE"""),"")</f>
        <v/>
      </c>
      <c r="O361" s="18" t="str">
        <f ca="1">IFERROR(__xludf.DUMMYFUNCTION("""COMPUTED_VALUE"""),"")</f>
        <v/>
      </c>
      <c r="P361" s="18" t="str">
        <f ca="1">IFERROR(__xludf.DUMMYFUNCTION("""COMPUTED_VALUE"""),"")</f>
        <v/>
      </c>
      <c r="Q361" s="18" t="str">
        <f ca="1">IFERROR(__xludf.DUMMYFUNCTION("""COMPUTED_VALUE"""),"")</f>
        <v/>
      </c>
      <c r="R361" s="18" t="str">
        <f ca="1">IFERROR(__xludf.DUMMYFUNCTION("""COMPUTED_VALUE"""),"")</f>
        <v/>
      </c>
      <c r="S361" s="18" t="str">
        <f ca="1">IFERROR(__xludf.DUMMYFUNCTION("""COMPUTED_VALUE"""),"")</f>
        <v/>
      </c>
      <c r="T361" s="18" t="str">
        <f ca="1">IFERROR(__xludf.DUMMYFUNCTION("""COMPUTED_VALUE"""),"")</f>
        <v/>
      </c>
      <c r="U361" s="18" t="str">
        <f ca="1">IFERROR(__xludf.DUMMYFUNCTION("""COMPUTED_VALUE"""),"")</f>
        <v/>
      </c>
      <c r="V361" s="18" t="str">
        <f ca="1">IFERROR(__xludf.DUMMYFUNCTION("""COMPUTED_VALUE"""),"")</f>
        <v/>
      </c>
      <c r="W361" s="18" t="str">
        <f ca="1">IFERROR(__xludf.DUMMYFUNCTION("""COMPUTED_VALUE"""),"")</f>
        <v/>
      </c>
      <c r="X361" s="18" t="str">
        <f ca="1">IFERROR(__xludf.DUMMYFUNCTION("""COMPUTED_VALUE"""),"")</f>
        <v/>
      </c>
      <c r="Y361" s="18" t="e">
        <f ca="1"/>
        <v>#NAME?</v>
      </c>
      <c r="Z361" s="18" t="str">
        <f ca="1">IFERROR(__xludf.DUMMYFUNCTION("""COMPUTED_VALUE"""),"")</f>
        <v/>
      </c>
      <c r="AA361" s="18" t="str">
        <f ca="1">IFERROR(__xludf.DUMMYFUNCTION("""COMPUTED_VALUE"""),"")</f>
        <v/>
      </c>
      <c r="AC361" s="59"/>
    </row>
    <row r="362" spans="1:29" x14ac:dyDescent="0.25">
      <c r="A362" s="18">
        <v>0</v>
      </c>
      <c r="B362" s="52" t="str">
        <f ca="1"/>
        <v/>
      </c>
      <c r="C362" s="52" t="str">
        <f ca="1">IFERROR(__xludf.DUMMYFUNCTION("""COMPUTED_VALUE"""),"")</f>
        <v/>
      </c>
      <c r="D362" s="18" t="str">
        <f ca="1">IFERROR(__xludf.DUMMYFUNCTION("""COMPUTED_VALUE"""),"")</f>
        <v/>
      </c>
      <c r="E362" s="18" t="str">
        <f ca="1">IFERROR(__xludf.DUMMYFUNCTION("""COMPUTED_VALUE"""),"")</f>
        <v/>
      </c>
      <c r="F362" s="18" t="str">
        <f ca="1">IFERROR(__xludf.DUMMYFUNCTION("""COMPUTED_VALUE"""),"")</f>
        <v/>
      </c>
      <c r="G362" s="18" t="str">
        <f ca="1">IFERROR(__xludf.DUMMYFUNCTION("""COMPUTED_VALUE"""),"")</f>
        <v/>
      </c>
      <c r="H362" s="18" t="str">
        <f ca="1">IFERROR(__xludf.DUMMYFUNCTION("""COMPUTED_VALUE"""),"")</f>
        <v/>
      </c>
      <c r="I362" s="18" t="str">
        <f ca="1">IFERROR(__xludf.DUMMYFUNCTION("""COMPUTED_VALUE"""),"")</f>
        <v/>
      </c>
      <c r="J362" s="18" t="str">
        <f ca="1">IFERROR(__xludf.DUMMYFUNCTION("""COMPUTED_VALUE"""),"")</f>
        <v/>
      </c>
      <c r="K362" s="18" t="str">
        <f ca="1">IFERROR(__xludf.DUMMYFUNCTION("""COMPUTED_VALUE"""),"")</f>
        <v/>
      </c>
      <c r="L362" s="18" t="str">
        <f ca="1">IFERROR(__xludf.DUMMYFUNCTION("""COMPUTED_VALUE"""),"")</f>
        <v/>
      </c>
      <c r="M362" s="18" t="str">
        <f ca="1">IFERROR(__xludf.DUMMYFUNCTION("""COMPUTED_VALUE"""),"")</f>
        <v/>
      </c>
      <c r="N362" s="18" t="str">
        <f ca="1">IFERROR(__xludf.DUMMYFUNCTION("""COMPUTED_VALUE"""),"")</f>
        <v/>
      </c>
      <c r="O362" s="18" t="str">
        <f ca="1">IFERROR(__xludf.DUMMYFUNCTION("""COMPUTED_VALUE"""),"")</f>
        <v/>
      </c>
      <c r="P362" s="18" t="str">
        <f ca="1">IFERROR(__xludf.DUMMYFUNCTION("""COMPUTED_VALUE"""),"")</f>
        <v/>
      </c>
      <c r="Q362" s="18" t="str">
        <f ca="1">IFERROR(__xludf.DUMMYFUNCTION("""COMPUTED_VALUE"""),"")</f>
        <v/>
      </c>
      <c r="R362" s="18" t="str">
        <f ca="1">IFERROR(__xludf.DUMMYFUNCTION("""COMPUTED_VALUE"""),"")</f>
        <v/>
      </c>
      <c r="S362" s="18" t="str">
        <f ca="1">IFERROR(__xludf.DUMMYFUNCTION("""COMPUTED_VALUE"""),"")</f>
        <v/>
      </c>
      <c r="T362" s="18" t="str">
        <f ca="1">IFERROR(__xludf.DUMMYFUNCTION("""COMPUTED_VALUE"""),"")</f>
        <v/>
      </c>
      <c r="U362" s="18" t="str">
        <f ca="1">IFERROR(__xludf.DUMMYFUNCTION("""COMPUTED_VALUE"""),"")</f>
        <v/>
      </c>
      <c r="V362" s="18" t="str">
        <f ca="1">IFERROR(__xludf.DUMMYFUNCTION("""COMPUTED_VALUE"""),"")</f>
        <v/>
      </c>
      <c r="W362" s="18" t="str">
        <f ca="1">IFERROR(__xludf.DUMMYFUNCTION("""COMPUTED_VALUE"""),"")</f>
        <v/>
      </c>
      <c r="X362" s="18" t="str">
        <f ca="1">IFERROR(__xludf.DUMMYFUNCTION("""COMPUTED_VALUE"""),"")</f>
        <v/>
      </c>
      <c r="Y362" s="18" t="e">
        <f ca="1"/>
        <v>#NAME?</v>
      </c>
      <c r="Z362" s="18" t="str">
        <f ca="1">IFERROR(__xludf.DUMMYFUNCTION("""COMPUTED_VALUE"""),"")</f>
        <v/>
      </c>
      <c r="AA362" s="18" t="str">
        <f ca="1">IFERROR(__xludf.DUMMYFUNCTION("""COMPUTED_VALUE"""),"")</f>
        <v/>
      </c>
      <c r="AC362" s="59"/>
    </row>
    <row r="363" spans="1:29" x14ac:dyDescent="0.25">
      <c r="A363" s="18">
        <v>0</v>
      </c>
      <c r="B363" s="52" t="str">
        <f ca="1"/>
        <v/>
      </c>
      <c r="C363" s="52" t="str">
        <f ca="1">IFERROR(__xludf.DUMMYFUNCTION("""COMPUTED_VALUE"""),"")</f>
        <v/>
      </c>
      <c r="D363" s="18" t="str">
        <f ca="1">IFERROR(__xludf.DUMMYFUNCTION("""COMPUTED_VALUE"""),"")</f>
        <v/>
      </c>
      <c r="E363" s="18" t="str">
        <f ca="1">IFERROR(__xludf.DUMMYFUNCTION("""COMPUTED_VALUE"""),"")</f>
        <v/>
      </c>
      <c r="F363" s="18" t="str">
        <f ca="1">IFERROR(__xludf.DUMMYFUNCTION("""COMPUTED_VALUE"""),"")</f>
        <v/>
      </c>
      <c r="G363" s="18" t="str">
        <f ca="1">IFERROR(__xludf.DUMMYFUNCTION("""COMPUTED_VALUE"""),"")</f>
        <v/>
      </c>
      <c r="H363" s="18" t="str">
        <f ca="1">IFERROR(__xludf.DUMMYFUNCTION("""COMPUTED_VALUE"""),"")</f>
        <v/>
      </c>
      <c r="I363" s="18" t="str">
        <f ca="1">IFERROR(__xludf.DUMMYFUNCTION("""COMPUTED_VALUE"""),"")</f>
        <v/>
      </c>
      <c r="J363" s="18" t="str">
        <f ca="1">IFERROR(__xludf.DUMMYFUNCTION("""COMPUTED_VALUE"""),"")</f>
        <v/>
      </c>
      <c r="K363" s="18" t="str">
        <f ca="1">IFERROR(__xludf.DUMMYFUNCTION("""COMPUTED_VALUE"""),"")</f>
        <v/>
      </c>
      <c r="L363" s="18" t="str">
        <f ca="1">IFERROR(__xludf.DUMMYFUNCTION("""COMPUTED_VALUE"""),"")</f>
        <v/>
      </c>
      <c r="M363" s="18" t="str">
        <f ca="1">IFERROR(__xludf.DUMMYFUNCTION("""COMPUTED_VALUE"""),"")</f>
        <v/>
      </c>
      <c r="N363" s="18" t="str">
        <f ca="1">IFERROR(__xludf.DUMMYFUNCTION("""COMPUTED_VALUE"""),"")</f>
        <v/>
      </c>
      <c r="O363" s="18" t="str">
        <f ca="1">IFERROR(__xludf.DUMMYFUNCTION("""COMPUTED_VALUE"""),"")</f>
        <v/>
      </c>
      <c r="P363" s="18" t="str">
        <f ca="1">IFERROR(__xludf.DUMMYFUNCTION("""COMPUTED_VALUE"""),"")</f>
        <v/>
      </c>
      <c r="Q363" s="18" t="str">
        <f ca="1">IFERROR(__xludf.DUMMYFUNCTION("""COMPUTED_VALUE"""),"")</f>
        <v/>
      </c>
      <c r="R363" s="18" t="str">
        <f ca="1">IFERROR(__xludf.DUMMYFUNCTION("""COMPUTED_VALUE"""),"")</f>
        <v/>
      </c>
      <c r="S363" s="18" t="str">
        <f ca="1">IFERROR(__xludf.DUMMYFUNCTION("""COMPUTED_VALUE"""),"")</f>
        <v/>
      </c>
      <c r="T363" s="18" t="str">
        <f ca="1">IFERROR(__xludf.DUMMYFUNCTION("""COMPUTED_VALUE"""),"")</f>
        <v/>
      </c>
      <c r="U363" s="18" t="str">
        <f ca="1">IFERROR(__xludf.DUMMYFUNCTION("""COMPUTED_VALUE"""),"")</f>
        <v/>
      </c>
      <c r="V363" s="18" t="str">
        <f ca="1">IFERROR(__xludf.DUMMYFUNCTION("""COMPUTED_VALUE"""),"")</f>
        <v/>
      </c>
      <c r="W363" s="18" t="str">
        <f ca="1">IFERROR(__xludf.DUMMYFUNCTION("""COMPUTED_VALUE"""),"")</f>
        <v/>
      </c>
      <c r="X363" s="18" t="str">
        <f ca="1">IFERROR(__xludf.DUMMYFUNCTION("""COMPUTED_VALUE"""),"")</f>
        <v/>
      </c>
      <c r="Y363" s="18" t="e">
        <f ca="1"/>
        <v>#NAME?</v>
      </c>
      <c r="Z363" s="18" t="str">
        <f ca="1">IFERROR(__xludf.DUMMYFUNCTION("""COMPUTED_VALUE"""),"")</f>
        <v/>
      </c>
      <c r="AA363" s="18" t="str">
        <f ca="1">IFERROR(__xludf.DUMMYFUNCTION("""COMPUTED_VALUE"""),"")</f>
        <v/>
      </c>
      <c r="AC363" s="59"/>
    </row>
    <row r="364" spans="1:29" x14ac:dyDescent="0.25">
      <c r="A364" s="18">
        <v>0</v>
      </c>
      <c r="B364" s="52" t="str">
        <f ca="1"/>
        <v/>
      </c>
      <c r="C364" s="52" t="str">
        <f ca="1">IFERROR(__xludf.DUMMYFUNCTION("""COMPUTED_VALUE"""),"")</f>
        <v/>
      </c>
      <c r="D364" s="18" t="str">
        <f ca="1">IFERROR(__xludf.DUMMYFUNCTION("""COMPUTED_VALUE"""),"")</f>
        <v/>
      </c>
      <c r="E364" s="18" t="str">
        <f ca="1">IFERROR(__xludf.DUMMYFUNCTION("""COMPUTED_VALUE"""),"")</f>
        <v/>
      </c>
      <c r="F364" s="18" t="str">
        <f ca="1">IFERROR(__xludf.DUMMYFUNCTION("""COMPUTED_VALUE"""),"")</f>
        <v/>
      </c>
      <c r="G364" s="18" t="str">
        <f ca="1">IFERROR(__xludf.DUMMYFUNCTION("""COMPUTED_VALUE"""),"")</f>
        <v/>
      </c>
      <c r="H364" s="18" t="str">
        <f ca="1">IFERROR(__xludf.DUMMYFUNCTION("""COMPUTED_VALUE"""),"")</f>
        <v/>
      </c>
      <c r="I364" s="18" t="str">
        <f ca="1">IFERROR(__xludf.DUMMYFUNCTION("""COMPUTED_VALUE"""),"")</f>
        <v/>
      </c>
      <c r="J364" s="18" t="str">
        <f ca="1">IFERROR(__xludf.DUMMYFUNCTION("""COMPUTED_VALUE"""),"")</f>
        <v/>
      </c>
      <c r="K364" s="18" t="str">
        <f ca="1">IFERROR(__xludf.DUMMYFUNCTION("""COMPUTED_VALUE"""),"")</f>
        <v/>
      </c>
      <c r="L364" s="18" t="str">
        <f ca="1">IFERROR(__xludf.DUMMYFUNCTION("""COMPUTED_VALUE"""),"")</f>
        <v/>
      </c>
      <c r="M364" s="18" t="str">
        <f ca="1">IFERROR(__xludf.DUMMYFUNCTION("""COMPUTED_VALUE"""),"")</f>
        <v/>
      </c>
      <c r="N364" s="18" t="str">
        <f ca="1">IFERROR(__xludf.DUMMYFUNCTION("""COMPUTED_VALUE"""),"")</f>
        <v/>
      </c>
      <c r="O364" s="18" t="str">
        <f ca="1">IFERROR(__xludf.DUMMYFUNCTION("""COMPUTED_VALUE"""),"")</f>
        <v/>
      </c>
      <c r="P364" s="18" t="str">
        <f ca="1">IFERROR(__xludf.DUMMYFUNCTION("""COMPUTED_VALUE"""),"")</f>
        <v/>
      </c>
      <c r="Q364" s="18" t="str">
        <f ca="1">IFERROR(__xludf.DUMMYFUNCTION("""COMPUTED_VALUE"""),"")</f>
        <v/>
      </c>
      <c r="R364" s="18" t="str">
        <f ca="1">IFERROR(__xludf.DUMMYFUNCTION("""COMPUTED_VALUE"""),"")</f>
        <v/>
      </c>
      <c r="S364" s="18" t="str">
        <f ca="1">IFERROR(__xludf.DUMMYFUNCTION("""COMPUTED_VALUE"""),"")</f>
        <v/>
      </c>
      <c r="T364" s="18" t="str">
        <f ca="1">IFERROR(__xludf.DUMMYFUNCTION("""COMPUTED_VALUE"""),"")</f>
        <v/>
      </c>
      <c r="U364" s="18" t="str">
        <f ca="1">IFERROR(__xludf.DUMMYFUNCTION("""COMPUTED_VALUE"""),"")</f>
        <v/>
      </c>
      <c r="V364" s="18" t="str">
        <f ca="1">IFERROR(__xludf.DUMMYFUNCTION("""COMPUTED_VALUE"""),"")</f>
        <v/>
      </c>
      <c r="W364" s="18" t="str">
        <f ca="1">IFERROR(__xludf.DUMMYFUNCTION("""COMPUTED_VALUE"""),"")</f>
        <v/>
      </c>
      <c r="X364" s="18" t="str">
        <f ca="1">IFERROR(__xludf.DUMMYFUNCTION("""COMPUTED_VALUE"""),"")</f>
        <v/>
      </c>
      <c r="Y364" s="18" t="e">
        <f ca="1"/>
        <v>#NAME?</v>
      </c>
      <c r="Z364" s="18" t="str">
        <f ca="1">IFERROR(__xludf.DUMMYFUNCTION("""COMPUTED_VALUE"""),"")</f>
        <v/>
      </c>
      <c r="AA364" s="18" t="str">
        <f ca="1">IFERROR(__xludf.DUMMYFUNCTION("""COMPUTED_VALUE"""),"")</f>
        <v/>
      </c>
      <c r="AC364" s="59"/>
    </row>
    <row r="365" spans="1:29" x14ac:dyDescent="0.25">
      <c r="A365" s="18">
        <v>0</v>
      </c>
      <c r="B365" s="52" t="str">
        <f ca="1"/>
        <v/>
      </c>
      <c r="C365" s="52" t="str">
        <f ca="1">IFERROR(__xludf.DUMMYFUNCTION("""COMPUTED_VALUE"""),"")</f>
        <v/>
      </c>
      <c r="D365" s="18" t="str">
        <f ca="1">IFERROR(__xludf.DUMMYFUNCTION("""COMPUTED_VALUE"""),"")</f>
        <v/>
      </c>
      <c r="E365" s="18" t="str">
        <f ca="1">IFERROR(__xludf.DUMMYFUNCTION("""COMPUTED_VALUE"""),"")</f>
        <v/>
      </c>
      <c r="F365" s="18" t="str">
        <f ca="1">IFERROR(__xludf.DUMMYFUNCTION("""COMPUTED_VALUE"""),"")</f>
        <v/>
      </c>
      <c r="G365" s="18" t="str">
        <f ca="1">IFERROR(__xludf.DUMMYFUNCTION("""COMPUTED_VALUE"""),"")</f>
        <v/>
      </c>
      <c r="H365" s="18" t="str">
        <f ca="1">IFERROR(__xludf.DUMMYFUNCTION("""COMPUTED_VALUE"""),"")</f>
        <v/>
      </c>
      <c r="I365" s="18" t="str">
        <f ca="1">IFERROR(__xludf.DUMMYFUNCTION("""COMPUTED_VALUE"""),"")</f>
        <v/>
      </c>
      <c r="J365" s="18" t="str">
        <f ca="1">IFERROR(__xludf.DUMMYFUNCTION("""COMPUTED_VALUE"""),"")</f>
        <v/>
      </c>
      <c r="K365" s="18" t="str">
        <f ca="1">IFERROR(__xludf.DUMMYFUNCTION("""COMPUTED_VALUE"""),"")</f>
        <v/>
      </c>
      <c r="L365" s="18" t="str">
        <f ca="1">IFERROR(__xludf.DUMMYFUNCTION("""COMPUTED_VALUE"""),"")</f>
        <v/>
      </c>
      <c r="M365" s="18" t="str">
        <f ca="1">IFERROR(__xludf.DUMMYFUNCTION("""COMPUTED_VALUE"""),"")</f>
        <v/>
      </c>
      <c r="N365" s="18" t="str">
        <f ca="1">IFERROR(__xludf.DUMMYFUNCTION("""COMPUTED_VALUE"""),"")</f>
        <v/>
      </c>
      <c r="O365" s="18" t="str">
        <f ca="1">IFERROR(__xludf.DUMMYFUNCTION("""COMPUTED_VALUE"""),"")</f>
        <v/>
      </c>
      <c r="P365" s="18" t="str">
        <f ca="1">IFERROR(__xludf.DUMMYFUNCTION("""COMPUTED_VALUE"""),"")</f>
        <v/>
      </c>
      <c r="Q365" s="18" t="str">
        <f ca="1">IFERROR(__xludf.DUMMYFUNCTION("""COMPUTED_VALUE"""),"")</f>
        <v/>
      </c>
      <c r="R365" s="18" t="str">
        <f ca="1">IFERROR(__xludf.DUMMYFUNCTION("""COMPUTED_VALUE"""),"")</f>
        <v/>
      </c>
      <c r="S365" s="18" t="str">
        <f ca="1">IFERROR(__xludf.DUMMYFUNCTION("""COMPUTED_VALUE"""),"")</f>
        <v/>
      </c>
      <c r="T365" s="18" t="str">
        <f ca="1">IFERROR(__xludf.DUMMYFUNCTION("""COMPUTED_VALUE"""),"")</f>
        <v/>
      </c>
      <c r="U365" s="18" t="str">
        <f ca="1">IFERROR(__xludf.DUMMYFUNCTION("""COMPUTED_VALUE"""),"")</f>
        <v/>
      </c>
      <c r="V365" s="18" t="str">
        <f ca="1">IFERROR(__xludf.DUMMYFUNCTION("""COMPUTED_VALUE"""),"")</f>
        <v/>
      </c>
      <c r="W365" s="18" t="str">
        <f ca="1">IFERROR(__xludf.DUMMYFUNCTION("""COMPUTED_VALUE"""),"")</f>
        <v/>
      </c>
      <c r="X365" s="18" t="str">
        <f ca="1">IFERROR(__xludf.DUMMYFUNCTION("""COMPUTED_VALUE"""),"")</f>
        <v/>
      </c>
      <c r="Y365" s="18" t="e">
        <f ca="1"/>
        <v>#NAME?</v>
      </c>
      <c r="Z365" s="18" t="str">
        <f ca="1">IFERROR(__xludf.DUMMYFUNCTION("""COMPUTED_VALUE"""),"")</f>
        <v/>
      </c>
      <c r="AA365" s="18" t="str">
        <f ca="1">IFERROR(__xludf.DUMMYFUNCTION("""COMPUTED_VALUE"""),"")</f>
        <v/>
      </c>
      <c r="AC365" s="59"/>
    </row>
    <row r="366" spans="1:29" x14ac:dyDescent="0.25">
      <c r="A366" s="18">
        <v>0</v>
      </c>
      <c r="B366" s="52" t="str">
        <f ca="1"/>
        <v/>
      </c>
      <c r="C366" s="52" t="str">
        <f ca="1">IFERROR(__xludf.DUMMYFUNCTION("""COMPUTED_VALUE"""),"")</f>
        <v/>
      </c>
      <c r="D366" s="18" t="str">
        <f ca="1">IFERROR(__xludf.DUMMYFUNCTION("""COMPUTED_VALUE"""),"")</f>
        <v/>
      </c>
      <c r="E366" s="18" t="str">
        <f ca="1">IFERROR(__xludf.DUMMYFUNCTION("""COMPUTED_VALUE"""),"")</f>
        <v/>
      </c>
      <c r="F366" s="18" t="str">
        <f ca="1">IFERROR(__xludf.DUMMYFUNCTION("""COMPUTED_VALUE"""),"")</f>
        <v/>
      </c>
      <c r="G366" s="18" t="str">
        <f ca="1">IFERROR(__xludf.DUMMYFUNCTION("""COMPUTED_VALUE"""),"")</f>
        <v/>
      </c>
      <c r="H366" s="18" t="str">
        <f ca="1">IFERROR(__xludf.DUMMYFUNCTION("""COMPUTED_VALUE"""),"")</f>
        <v/>
      </c>
      <c r="I366" s="18" t="str">
        <f ca="1">IFERROR(__xludf.DUMMYFUNCTION("""COMPUTED_VALUE"""),"")</f>
        <v/>
      </c>
      <c r="J366" s="18" t="str">
        <f ca="1">IFERROR(__xludf.DUMMYFUNCTION("""COMPUTED_VALUE"""),"")</f>
        <v/>
      </c>
      <c r="K366" s="18" t="str">
        <f ca="1">IFERROR(__xludf.DUMMYFUNCTION("""COMPUTED_VALUE"""),"")</f>
        <v/>
      </c>
      <c r="L366" s="18" t="str">
        <f ca="1">IFERROR(__xludf.DUMMYFUNCTION("""COMPUTED_VALUE"""),"")</f>
        <v/>
      </c>
      <c r="M366" s="18" t="str">
        <f ca="1">IFERROR(__xludf.DUMMYFUNCTION("""COMPUTED_VALUE"""),"")</f>
        <v/>
      </c>
      <c r="N366" s="18" t="str">
        <f ca="1">IFERROR(__xludf.DUMMYFUNCTION("""COMPUTED_VALUE"""),"")</f>
        <v/>
      </c>
      <c r="O366" s="18" t="str">
        <f ca="1">IFERROR(__xludf.DUMMYFUNCTION("""COMPUTED_VALUE"""),"")</f>
        <v/>
      </c>
      <c r="P366" s="18" t="str">
        <f ca="1">IFERROR(__xludf.DUMMYFUNCTION("""COMPUTED_VALUE"""),"")</f>
        <v/>
      </c>
      <c r="Q366" s="18" t="str">
        <f ca="1">IFERROR(__xludf.DUMMYFUNCTION("""COMPUTED_VALUE"""),"")</f>
        <v/>
      </c>
      <c r="R366" s="18" t="str">
        <f ca="1">IFERROR(__xludf.DUMMYFUNCTION("""COMPUTED_VALUE"""),"")</f>
        <v/>
      </c>
      <c r="S366" s="18" t="str">
        <f ca="1">IFERROR(__xludf.DUMMYFUNCTION("""COMPUTED_VALUE"""),"")</f>
        <v/>
      </c>
      <c r="T366" s="18" t="str">
        <f ca="1">IFERROR(__xludf.DUMMYFUNCTION("""COMPUTED_VALUE"""),"")</f>
        <v/>
      </c>
      <c r="U366" s="18" t="str">
        <f ca="1">IFERROR(__xludf.DUMMYFUNCTION("""COMPUTED_VALUE"""),"")</f>
        <v/>
      </c>
      <c r="V366" s="18" t="str">
        <f ca="1">IFERROR(__xludf.DUMMYFUNCTION("""COMPUTED_VALUE"""),"")</f>
        <v/>
      </c>
      <c r="W366" s="18" t="str">
        <f ca="1">IFERROR(__xludf.DUMMYFUNCTION("""COMPUTED_VALUE"""),"")</f>
        <v/>
      </c>
      <c r="X366" s="18" t="str">
        <f ca="1">IFERROR(__xludf.DUMMYFUNCTION("""COMPUTED_VALUE"""),"")</f>
        <v/>
      </c>
      <c r="Y366" s="18" t="e">
        <f ca="1"/>
        <v>#NAME?</v>
      </c>
      <c r="Z366" s="18" t="str">
        <f ca="1">IFERROR(__xludf.DUMMYFUNCTION("""COMPUTED_VALUE"""),"")</f>
        <v/>
      </c>
      <c r="AA366" s="18" t="str">
        <f ca="1">IFERROR(__xludf.DUMMYFUNCTION("""COMPUTED_VALUE"""),"")</f>
        <v/>
      </c>
      <c r="AC366" s="59"/>
    </row>
    <row r="367" spans="1:29" x14ac:dyDescent="0.25">
      <c r="A367" s="18">
        <v>0</v>
      </c>
      <c r="B367" s="52" t="str">
        <f ca="1"/>
        <v/>
      </c>
      <c r="C367" s="52" t="str">
        <f ca="1">IFERROR(__xludf.DUMMYFUNCTION("""COMPUTED_VALUE"""),"")</f>
        <v/>
      </c>
      <c r="D367" s="18" t="str">
        <f ca="1">IFERROR(__xludf.DUMMYFUNCTION("""COMPUTED_VALUE"""),"")</f>
        <v/>
      </c>
      <c r="E367" s="18" t="str">
        <f ca="1">IFERROR(__xludf.DUMMYFUNCTION("""COMPUTED_VALUE"""),"")</f>
        <v/>
      </c>
      <c r="F367" s="18" t="str">
        <f ca="1">IFERROR(__xludf.DUMMYFUNCTION("""COMPUTED_VALUE"""),"")</f>
        <v/>
      </c>
      <c r="G367" s="18" t="str">
        <f ca="1">IFERROR(__xludf.DUMMYFUNCTION("""COMPUTED_VALUE"""),"")</f>
        <v/>
      </c>
      <c r="H367" s="18" t="str">
        <f ca="1">IFERROR(__xludf.DUMMYFUNCTION("""COMPUTED_VALUE"""),"")</f>
        <v/>
      </c>
      <c r="I367" s="18" t="str">
        <f ca="1">IFERROR(__xludf.DUMMYFUNCTION("""COMPUTED_VALUE"""),"")</f>
        <v/>
      </c>
      <c r="J367" s="18" t="str">
        <f ca="1">IFERROR(__xludf.DUMMYFUNCTION("""COMPUTED_VALUE"""),"")</f>
        <v/>
      </c>
      <c r="K367" s="18" t="str">
        <f ca="1">IFERROR(__xludf.DUMMYFUNCTION("""COMPUTED_VALUE"""),"")</f>
        <v/>
      </c>
      <c r="L367" s="18" t="str">
        <f ca="1">IFERROR(__xludf.DUMMYFUNCTION("""COMPUTED_VALUE"""),"")</f>
        <v/>
      </c>
      <c r="M367" s="18" t="str">
        <f ca="1">IFERROR(__xludf.DUMMYFUNCTION("""COMPUTED_VALUE"""),"")</f>
        <v/>
      </c>
      <c r="N367" s="18" t="str">
        <f ca="1">IFERROR(__xludf.DUMMYFUNCTION("""COMPUTED_VALUE"""),"")</f>
        <v/>
      </c>
      <c r="O367" s="18" t="str">
        <f ca="1">IFERROR(__xludf.DUMMYFUNCTION("""COMPUTED_VALUE"""),"")</f>
        <v/>
      </c>
      <c r="P367" s="18" t="str">
        <f ca="1">IFERROR(__xludf.DUMMYFUNCTION("""COMPUTED_VALUE"""),"")</f>
        <v/>
      </c>
      <c r="Q367" s="18" t="str">
        <f ca="1">IFERROR(__xludf.DUMMYFUNCTION("""COMPUTED_VALUE"""),"")</f>
        <v/>
      </c>
      <c r="R367" s="18" t="str">
        <f ca="1">IFERROR(__xludf.DUMMYFUNCTION("""COMPUTED_VALUE"""),"")</f>
        <v/>
      </c>
      <c r="S367" s="18" t="str">
        <f ca="1">IFERROR(__xludf.DUMMYFUNCTION("""COMPUTED_VALUE"""),"")</f>
        <v/>
      </c>
      <c r="T367" s="18" t="str">
        <f ca="1">IFERROR(__xludf.DUMMYFUNCTION("""COMPUTED_VALUE"""),"")</f>
        <v/>
      </c>
      <c r="U367" s="18" t="str">
        <f ca="1">IFERROR(__xludf.DUMMYFUNCTION("""COMPUTED_VALUE"""),"")</f>
        <v/>
      </c>
      <c r="V367" s="18" t="str">
        <f ca="1">IFERROR(__xludf.DUMMYFUNCTION("""COMPUTED_VALUE"""),"")</f>
        <v/>
      </c>
      <c r="W367" s="18" t="str">
        <f ca="1">IFERROR(__xludf.DUMMYFUNCTION("""COMPUTED_VALUE"""),"")</f>
        <v/>
      </c>
      <c r="X367" s="18" t="str">
        <f ca="1">IFERROR(__xludf.DUMMYFUNCTION("""COMPUTED_VALUE"""),"")</f>
        <v/>
      </c>
      <c r="Y367" s="18" t="e">
        <f ca="1"/>
        <v>#NAME?</v>
      </c>
      <c r="Z367" s="18" t="str">
        <f ca="1">IFERROR(__xludf.DUMMYFUNCTION("""COMPUTED_VALUE"""),"")</f>
        <v/>
      </c>
      <c r="AA367" s="18" t="str">
        <f ca="1">IFERROR(__xludf.DUMMYFUNCTION("""COMPUTED_VALUE"""),"")</f>
        <v/>
      </c>
      <c r="AC367" s="59"/>
    </row>
    <row r="368" spans="1:29" x14ac:dyDescent="0.25">
      <c r="A368" s="18">
        <v>0</v>
      </c>
      <c r="B368" s="52" t="str">
        <f ca="1"/>
        <v/>
      </c>
      <c r="C368" s="52" t="str">
        <f ca="1">IFERROR(__xludf.DUMMYFUNCTION("""COMPUTED_VALUE"""),"")</f>
        <v/>
      </c>
      <c r="D368" s="18" t="str">
        <f ca="1">IFERROR(__xludf.DUMMYFUNCTION("""COMPUTED_VALUE"""),"")</f>
        <v/>
      </c>
      <c r="E368" s="18" t="str">
        <f ca="1">IFERROR(__xludf.DUMMYFUNCTION("""COMPUTED_VALUE"""),"")</f>
        <v/>
      </c>
      <c r="F368" s="18" t="str">
        <f ca="1">IFERROR(__xludf.DUMMYFUNCTION("""COMPUTED_VALUE"""),"")</f>
        <v/>
      </c>
      <c r="G368" s="18" t="str">
        <f ca="1">IFERROR(__xludf.DUMMYFUNCTION("""COMPUTED_VALUE"""),"")</f>
        <v/>
      </c>
      <c r="H368" s="18" t="str">
        <f ca="1">IFERROR(__xludf.DUMMYFUNCTION("""COMPUTED_VALUE"""),"")</f>
        <v/>
      </c>
      <c r="I368" s="18" t="str">
        <f ca="1">IFERROR(__xludf.DUMMYFUNCTION("""COMPUTED_VALUE"""),"")</f>
        <v/>
      </c>
      <c r="J368" s="18" t="str">
        <f ca="1">IFERROR(__xludf.DUMMYFUNCTION("""COMPUTED_VALUE"""),"")</f>
        <v/>
      </c>
      <c r="K368" s="18" t="str">
        <f ca="1">IFERROR(__xludf.DUMMYFUNCTION("""COMPUTED_VALUE"""),"")</f>
        <v/>
      </c>
      <c r="L368" s="18" t="str">
        <f ca="1">IFERROR(__xludf.DUMMYFUNCTION("""COMPUTED_VALUE"""),"")</f>
        <v/>
      </c>
      <c r="M368" s="18" t="str">
        <f ca="1">IFERROR(__xludf.DUMMYFUNCTION("""COMPUTED_VALUE"""),"")</f>
        <v/>
      </c>
      <c r="N368" s="18" t="str">
        <f ca="1">IFERROR(__xludf.DUMMYFUNCTION("""COMPUTED_VALUE"""),"")</f>
        <v/>
      </c>
      <c r="O368" s="18" t="str">
        <f ca="1">IFERROR(__xludf.DUMMYFUNCTION("""COMPUTED_VALUE"""),"")</f>
        <v/>
      </c>
      <c r="P368" s="18" t="str">
        <f ca="1">IFERROR(__xludf.DUMMYFUNCTION("""COMPUTED_VALUE"""),"")</f>
        <v/>
      </c>
      <c r="Q368" s="18" t="str">
        <f ca="1">IFERROR(__xludf.DUMMYFUNCTION("""COMPUTED_VALUE"""),"")</f>
        <v/>
      </c>
      <c r="R368" s="18" t="str">
        <f ca="1">IFERROR(__xludf.DUMMYFUNCTION("""COMPUTED_VALUE"""),"")</f>
        <v/>
      </c>
      <c r="S368" s="18" t="str">
        <f ca="1">IFERROR(__xludf.DUMMYFUNCTION("""COMPUTED_VALUE"""),"")</f>
        <v/>
      </c>
      <c r="T368" s="18" t="str">
        <f ca="1">IFERROR(__xludf.DUMMYFUNCTION("""COMPUTED_VALUE"""),"")</f>
        <v/>
      </c>
      <c r="U368" s="18" t="str">
        <f ca="1">IFERROR(__xludf.DUMMYFUNCTION("""COMPUTED_VALUE"""),"")</f>
        <v/>
      </c>
      <c r="V368" s="18" t="str">
        <f ca="1">IFERROR(__xludf.DUMMYFUNCTION("""COMPUTED_VALUE"""),"")</f>
        <v/>
      </c>
      <c r="W368" s="18" t="str">
        <f ca="1">IFERROR(__xludf.DUMMYFUNCTION("""COMPUTED_VALUE"""),"")</f>
        <v/>
      </c>
      <c r="X368" s="18" t="str">
        <f ca="1">IFERROR(__xludf.DUMMYFUNCTION("""COMPUTED_VALUE"""),"")</f>
        <v/>
      </c>
      <c r="Y368" s="18" t="e">
        <f ca="1"/>
        <v>#NAME?</v>
      </c>
      <c r="Z368" s="18" t="str">
        <f ca="1">IFERROR(__xludf.DUMMYFUNCTION("""COMPUTED_VALUE"""),"")</f>
        <v/>
      </c>
      <c r="AA368" s="18" t="str">
        <f ca="1">IFERROR(__xludf.DUMMYFUNCTION("""COMPUTED_VALUE"""),"")</f>
        <v/>
      </c>
      <c r="AC368" s="59"/>
    </row>
    <row r="369" spans="1:29" x14ac:dyDescent="0.25">
      <c r="A369" s="18">
        <v>0</v>
      </c>
      <c r="B369" s="52" t="str">
        <f ca="1"/>
        <v/>
      </c>
      <c r="C369" s="52" t="str">
        <f ca="1">IFERROR(__xludf.DUMMYFUNCTION("""COMPUTED_VALUE"""),"")</f>
        <v/>
      </c>
      <c r="D369" s="18" t="str">
        <f ca="1">IFERROR(__xludf.DUMMYFUNCTION("""COMPUTED_VALUE"""),"")</f>
        <v/>
      </c>
      <c r="E369" s="18" t="str">
        <f ca="1">IFERROR(__xludf.DUMMYFUNCTION("""COMPUTED_VALUE"""),"")</f>
        <v/>
      </c>
      <c r="F369" s="18" t="str">
        <f ca="1">IFERROR(__xludf.DUMMYFUNCTION("""COMPUTED_VALUE"""),"")</f>
        <v/>
      </c>
      <c r="G369" s="18" t="str">
        <f ca="1">IFERROR(__xludf.DUMMYFUNCTION("""COMPUTED_VALUE"""),"")</f>
        <v/>
      </c>
      <c r="H369" s="18" t="str">
        <f ca="1">IFERROR(__xludf.DUMMYFUNCTION("""COMPUTED_VALUE"""),"")</f>
        <v/>
      </c>
      <c r="I369" s="18" t="str">
        <f ca="1">IFERROR(__xludf.DUMMYFUNCTION("""COMPUTED_VALUE"""),"")</f>
        <v/>
      </c>
      <c r="J369" s="18" t="str">
        <f ca="1">IFERROR(__xludf.DUMMYFUNCTION("""COMPUTED_VALUE"""),"")</f>
        <v/>
      </c>
      <c r="K369" s="18" t="str">
        <f ca="1">IFERROR(__xludf.DUMMYFUNCTION("""COMPUTED_VALUE"""),"")</f>
        <v/>
      </c>
      <c r="L369" s="18" t="str">
        <f ca="1">IFERROR(__xludf.DUMMYFUNCTION("""COMPUTED_VALUE"""),"")</f>
        <v/>
      </c>
      <c r="M369" s="18" t="str">
        <f ca="1">IFERROR(__xludf.DUMMYFUNCTION("""COMPUTED_VALUE"""),"")</f>
        <v/>
      </c>
      <c r="N369" s="18" t="str">
        <f ca="1">IFERROR(__xludf.DUMMYFUNCTION("""COMPUTED_VALUE"""),"")</f>
        <v/>
      </c>
      <c r="O369" s="18" t="str">
        <f ca="1">IFERROR(__xludf.DUMMYFUNCTION("""COMPUTED_VALUE"""),"")</f>
        <v/>
      </c>
      <c r="P369" s="18" t="str">
        <f ca="1">IFERROR(__xludf.DUMMYFUNCTION("""COMPUTED_VALUE"""),"")</f>
        <v/>
      </c>
      <c r="Q369" s="18" t="str">
        <f ca="1">IFERROR(__xludf.DUMMYFUNCTION("""COMPUTED_VALUE"""),"")</f>
        <v/>
      </c>
      <c r="R369" s="18" t="str">
        <f ca="1">IFERROR(__xludf.DUMMYFUNCTION("""COMPUTED_VALUE"""),"")</f>
        <v/>
      </c>
      <c r="S369" s="18" t="str">
        <f ca="1">IFERROR(__xludf.DUMMYFUNCTION("""COMPUTED_VALUE"""),"")</f>
        <v/>
      </c>
      <c r="T369" s="18" t="str">
        <f ca="1">IFERROR(__xludf.DUMMYFUNCTION("""COMPUTED_VALUE"""),"")</f>
        <v/>
      </c>
      <c r="U369" s="18" t="str">
        <f ca="1">IFERROR(__xludf.DUMMYFUNCTION("""COMPUTED_VALUE"""),"")</f>
        <v/>
      </c>
      <c r="V369" s="18" t="str">
        <f ca="1">IFERROR(__xludf.DUMMYFUNCTION("""COMPUTED_VALUE"""),"")</f>
        <v/>
      </c>
      <c r="W369" s="18" t="str">
        <f ca="1">IFERROR(__xludf.DUMMYFUNCTION("""COMPUTED_VALUE"""),"")</f>
        <v/>
      </c>
      <c r="X369" s="18" t="str">
        <f ca="1">IFERROR(__xludf.DUMMYFUNCTION("""COMPUTED_VALUE"""),"")</f>
        <v/>
      </c>
      <c r="Y369" s="18" t="e">
        <f ca="1"/>
        <v>#NAME?</v>
      </c>
      <c r="Z369" s="18" t="str">
        <f ca="1">IFERROR(__xludf.DUMMYFUNCTION("""COMPUTED_VALUE"""),"")</f>
        <v/>
      </c>
      <c r="AA369" s="18" t="str">
        <f ca="1">IFERROR(__xludf.DUMMYFUNCTION("""COMPUTED_VALUE"""),"")</f>
        <v/>
      </c>
      <c r="AC369" s="59"/>
    </row>
    <row r="370" spans="1:29" x14ac:dyDescent="0.25">
      <c r="A370" s="18">
        <v>0</v>
      </c>
      <c r="B370" s="52" t="str">
        <f ca="1"/>
        <v/>
      </c>
      <c r="C370" s="52" t="str">
        <f ca="1">IFERROR(__xludf.DUMMYFUNCTION("""COMPUTED_VALUE"""),"")</f>
        <v/>
      </c>
      <c r="D370" s="18" t="str">
        <f ca="1">IFERROR(__xludf.DUMMYFUNCTION("""COMPUTED_VALUE"""),"")</f>
        <v/>
      </c>
      <c r="E370" s="18" t="str">
        <f ca="1">IFERROR(__xludf.DUMMYFUNCTION("""COMPUTED_VALUE"""),"")</f>
        <v/>
      </c>
      <c r="F370" s="18" t="str">
        <f ca="1">IFERROR(__xludf.DUMMYFUNCTION("""COMPUTED_VALUE"""),"")</f>
        <v/>
      </c>
      <c r="G370" s="18" t="str">
        <f ca="1">IFERROR(__xludf.DUMMYFUNCTION("""COMPUTED_VALUE"""),"")</f>
        <v/>
      </c>
      <c r="H370" s="18" t="str">
        <f ca="1">IFERROR(__xludf.DUMMYFUNCTION("""COMPUTED_VALUE"""),"")</f>
        <v/>
      </c>
      <c r="I370" s="18" t="str">
        <f ca="1">IFERROR(__xludf.DUMMYFUNCTION("""COMPUTED_VALUE"""),"")</f>
        <v/>
      </c>
      <c r="J370" s="18" t="str">
        <f ca="1">IFERROR(__xludf.DUMMYFUNCTION("""COMPUTED_VALUE"""),"")</f>
        <v/>
      </c>
      <c r="K370" s="18" t="str">
        <f ca="1">IFERROR(__xludf.DUMMYFUNCTION("""COMPUTED_VALUE"""),"")</f>
        <v/>
      </c>
      <c r="L370" s="18" t="str">
        <f ca="1">IFERROR(__xludf.DUMMYFUNCTION("""COMPUTED_VALUE"""),"")</f>
        <v/>
      </c>
      <c r="M370" s="18" t="str">
        <f ca="1">IFERROR(__xludf.DUMMYFUNCTION("""COMPUTED_VALUE"""),"")</f>
        <v/>
      </c>
      <c r="N370" s="18" t="str">
        <f ca="1">IFERROR(__xludf.DUMMYFUNCTION("""COMPUTED_VALUE"""),"")</f>
        <v/>
      </c>
      <c r="O370" s="18" t="str">
        <f ca="1">IFERROR(__xludf.DUMMYFUNCTION("""COMPUTED_VALUE"""),"")</f>
        <v/>
      </c>
      <c r="P370" s="18" t="str">
        <f ca="1">IFERROR(__xludf.DUMMYFUNCTION("""COMPUTED_VALUE"""),"")</f>
        <v/>
      </c>
      <c r="Q370" s="18" t="str">
        <f ca="1">IFERROR(__xludf.DUMMYFUNCTION("""COMPUTED_VALUE"""),"")</f>
        <v/>
      </c>
      <c r="R370" s="18" t="str">
        <f ca="1">IFERROR(__xludf.DUMMYFUNCTION("""COMPUTED_VALUE"""),"")</f>
        <v/>
      </c>
      <c r="S370" s="18" t="str">
        <f ca="1">IFERROR(__xludf.DUMMYFUNCTION("""COMPUTED_VALUE"""),"")</f>
        <v/>
      </c>
      <c r="T370" s="18" t="str">
        <f ca="1">IFERROR(__xludf.DUMMYFUNCTION("""COMPUTED_VALUE"""),"")</f>
        <v/>
      </c>
      <c r="U370" s="18" t="str">
        <f ca="1">IFERROR(__xludf.DUMMYFUNCTION("""COMPUTED_VALUE"""),"")</f>
        <v/>
      </c>
      <c r="V370" s="18" t="str">
        <f ca="1">IFERROR(__xludf.DUMMYFUNCTION("""COMPUTED_VALUE"""),"")</f>
        <v/>
      </c>
      <c r="W370" s="18" t="str">
        <f ca="1">IFERROR(__xludf.DUMMYFUNCTION("""COMPUTED_VALUE"""),"")</f>
        <v/>
      </c>
      <c r="X370" s="18" t="str">
        <f ca="1">IFERROR(__xludf.DUMMYFUNCTION("""COMPUTED_VALUE"""),"")</f>
        <v/>
      </c>
      <c r="Y370" s="18" t="e">
        <f ca="1"/>
        <v>#NAME?</v>
      </c>
      <c r="Z370" s="18" t="str">
        <f ca="1">IFERROR(__xludf.DUMMYFUNCTION("""COMPUTED_VALUE"""),"")</f>
        <v/>
      </c>
      <c r="AA370" s="18" t="str">
        <f ca="1">IFERROR(__xludf.DUMMYFUNCTION("""COMPUTED_VALUE"""),"")</f>
        <v/>
      </c>
      <c r="AC370" s="59"/>
    </row>
    <row r="371" spans="1:29" x14ac:dyDescent="0.25">
      <c r="A371" s="18">
        <v>0</v>
      </c>
      <c r="B371" s="52" t="str">
        <f ca="1"/>
        <v/>
      </c>
      <c r="C371" s="52" t="str">
        <f ca="1">IFERROR(__xludf.DUMMYFUNCTION("""COMPUTED_VALUE"""),"")</f>
        <v/>
      </c>
      <c r="D371" s="18" t="str">
        <f ca="1">IFERROR(__xludf.DUMMYFUNCTION("""COMPUTED_VALUE"""),"")</f>
        <v/>
      </c>
      <c r="E371" s="18" t="str">
        <f ca="1">IFERROR(__xludf.DUMMYFUNCTION("""COMPUTED_VALUE"""),"")</f>
        <v/>
      </c>
      <c r="F371" s="18" t="str">
        <f ca="1">IFERROR(__xludf.DUMMYFUNCTION("""COMPUTED_VALUE"""),"")</f>
        <v/>
      </c>
      <c r="G371" s="18" t="str">
        <f ca="1">IFERROR(__xludf.DUMMYFUNCTION("""COMPUTED_VALUE"""),"")</f>
        <v/>
      </c>
      <c r="H371" s="18" t="str">
        <f ca="1">IFERROR(__xludf.DUMMYFUNCTION("""COMPUTED_VALUE"""),"")</f>
        <v/>
      </c>
      <c r="I371" s="18" t="str">
        <f ca="1">IFERROR(__xludf.DUMMYFUNCTION("""COMPUTED_VALUE"""),"")</f>
        <v/>
      </c>
      <c r="J371" s="18" t="str">
        <f ca="1">IFERROR(__xludf.DUMMYFUNCTION("""COMPUTED_VALUE"""),"")</f>
        <v/>
      </c>
      <c r="K371" s="18" t="str">
        <f ca="1">IFERROR(__xludf.DUMMYFUNCTION("""COMPUTED_VALUE"""),"")</f>
        <v/>
      </c>
      <c r="L371" s="18" t="str">
        <f ca="1">IFERROR(__xludf.DUMMYFUNCTION("""COMPUTED_VALUE"""),"")</f>
        <v/>
      </c>
      <c r="M371" s="18" t="str">
        <f ca="1">IFERROR(__xludf.DUMMYFUNCTION("""COMPUTED_VALUE"""),"")</f>
        <v/>
      </c>
      <c r="N371" s="18" t="str">
        <f ca="1">IFERROR(__xludf.DUMMYFUNCTION("""COMPUTED_VALUE"""),"")</f>
        <v/>
      </c>
      <c r="O371" s="18" t="str">
        <f ca="1">IFERROR(__xludf.DUMMYFUNCTION("""COMPUTED_VALUE"""),"")</f>
        <v/>
      </c>
      <c r="P371" s="18" t="str">
        <f ca="1">IFERROR(__xludf.DUMMYFUNCTION("""COMPUTED_VALUE"""),"")</f>
        <v/>
      </c>
      <c r="Q371" s="18" t="str">
        <f ca="1">IFERROR(__xludf.DUMMYFUNCTION("""COMPUTED_VALUE"""),"")</f>
        <v/>
      </c>
      <c r="R371" s="18" t="str">
        <f ca="1">IFERROR(__xludf.DUMMYFUNCTION("""COMPUTED_VALUE"""),"")</f>
        <v/>
      </c>
      <c r="S371" s="18" t="str">
        <f ca="1">IFERROR(__xludf.DUMMYFUNCTION("""COMPUTED_VALUE"""),"")</f>
        <v/>
      </c>
      <c r="T371" s="18" t="str">
        <f ca="1">IFERROR(__xludf.DUMMYFUNCTION("""COMPUTED_VALUE"""),"")</f>
        <v/>
      </c>
      <c r="U371" s="18" t="str">
        <f ca="1">IFERROR(__xludf.DUMMYFUNCTION("""COMPUTED_VALUE"""),"")</f>
        <v/>
      </c>
      <c r="V371" s="18" t="str">
        <f ca="1">IFERROR(__xludf.DUMMYFUNCTION("""COMPUTED_VALUE"""),"")</f>
        <v/>
      </c>
      <c r="W371" s="18" t="str">
        <f ca="1">IFERROR(__xludf.DUMMYFUNCTION("""COMPUTED_VALUE"""),"")</f>
        <v/>
      </c>
      <c r="X371" s="18" t="str">
        <f ca="1">IFERROR(__xludf.DUMMYFUNCTION("""COMPUTED_VALUE"""),"")</f>
        <v/>
      </c>
      <c r="Y371" s="18" t="e">
        <f ca="1"/>
        <v>#NAME?</v>
      </c>
      <c r="Z371" s="18" t="str">
        <f ca="1">IFERROR(__xludf.DUMMYFUNCTION("""COMPUTED_VALUE"""),"")</f>
        <v/>
      </c>
      <c r="AA371" s="18" t="str">
        <f ca="1">IFERROR(__xludf.DUMMYFUNCTION("""COMPUTED_VALUE"""),"")</f>
        <v/>
      </c>
      <c r="AC371" s="59"/>
    </row>
    <row r="372" spans="1:29" x14ac:dyDescent="0.25">
      <c r="A372" s="18">
        <v>0</v>
      </c>
      <c r="B372" s="52" t="str">
        <f ca="1"/>
        <v/>
      </c>
      <c r="C372" s="52" t="str">
        <f ca="1">IFERROR(__xludf.DUMMYFUNCTION("""COMPUTED_VALUE"""),"")</f>
        <v/>
      </c>
      <c r="D372" s="18" t="str">
        <f ca="1">IFERROR(__xludf.DUMMYFUNCTION("""COMPUTED_VALUE"""),"")</f>
        <v/>
      </c>
      <c r="E372" s="18" t="str">
        <f ca="1">IFERROR(__xludf.DUMMYFUNCTION("""COMPUTED_VALUE"""),"")</f>
        <v/>
      </c>
      <c r="F372" s="18" t="str">
        <f ca="1">IFERROR(__xludf.DUMMYFUNCTION("""COMPUTED_VALUE"""),"")</f>
        <v/>
      </c>
      <c r="G372" s="18" t="str">
        <f ca="1">IFERROR(__xludf.DUMMYFUNCTION("""COMPUTED_VALUE"""),"")</f>
        <v/>
      </c>
      <c r="H372" s="18" t="str">
        <f ca="1">IFERROR(__xludf.DUMMYFUNCTION("""COMPUTED_VALUE"""),"")</f>
        <v/>
      </c>
      <c r="I372" s="18" t="str">
        <f ca="1">IFERROR(__xludf.DUMMYFUNCTION("""COMPUTED_VALUE"""),"")</f>
        <v/>
      </c>
      <c r="J372" s="18" t="str">
        <f ca="1">IFERROR(__xludf.DUMMYFUNCTION("""COMPUTED_VALUE"""),"")</f>
        <v/>
      </c>
      <c r="K372" s="18" t="str">
        <f ca="1">IFERROR(__xludf.DUMMYFUNCTION("""COMPUTED_VALUE"""),"")</f>
        <v/>
      </c>
      <c r="L372" s="18" t="str">
        <f ca="1">IFERROR(__xludf.DUMMYFUNCTION("""COMPUTED_VALUE"""),"")</f>
        <v/>
      </c>
      <c r="M372" s="18" t="str">
        <f ca="1">IFERROR(__xludf.DUMMYFUNCTION("""COMPUTED_VALUE"""),"")</f>
        <v/>
      </c>
      <c r="N372" s="18" t="str">
        <f ca="1">IFERROR(__xludf.DUMMYFUNCTION("""COMPUTED_VALUE"""),"")</f>
        <v/>
      </c>
      <c r="O372" s="18" t="str">
        <f ca="1">IFERROR(__xludf.DUMMYFUNCTION("""COMPUTED_VALUE"""),"")</f>
        <v/>
      </c>
      <c r="P372" s="18" t="str">
        <f ca="1">IFERROR(__xludf.DUMMYFUNCTION("""COMPUTED_VALUE"""),"")</f>
        <v/>
      </c>
      <c r="Q372" s="18" t="str">
        <f ca="1">IFERROR(__xludf.DUMMYFUNCTION("""COMPUTED_VALUE"""),"")</f>
        <v/>
      </c>
      <c r="R372" s="18" t="str">
        <f ca="1">IFERROR(__xludf.DUMMYFUNCTION("""COMPUTED_VALUE"""),"")</f>
        <v/>
      </c>
      <c r="S372" s="18" t="str">
        <f ca="1">IFERROR(__xludf.DUMMYFUNCTION("""COMPUTED_VALUE"""),"")</f>
        <v/>
      </c>
      <c r="T372" s="18" t="str">
        <f ca="1">IFERROR(__xludf.DUMMYFUNCTION("""COMPUTED_VALUE"""),"")</f>
        <v/>
      </c>
      <c r="U372" s="18" t="str">
        <f ca="1">IFERROR(__xludf.DUMMYFUNCTION("""COMPUTED_VALUE"""),"")</f>
        <v/>
      </c>
      <c r="V372" s="18" t="str">
        <f ca="1">IFERROR(__xludf.DUMMYFUNCTION("""COMPUTED_VALUE"""),"")</f>
        <v/>
      </c>
      <c r="W372" s="18" t="str">
        <f ca="1">IFERROR(__xludf.DUMMYFUNCTION("""COMPUTED_VALUE"""),"")</f>
        <v/>
      </c>
      <c r="X372" s="18" t="str">
        <f ca="1">IFERROR(__xludf.DUMMYFUNCTION("""COMPUTED_VALUE"""),"")</f>
        <v/>
      </c>
      <c r="Y372" s="18" t="e">
        <f ca="1"/>
        <v>#NAME?</v>
      </c>
      <c r="Z372" s="18" t="str">
        <f ca="1">IFERROR(__xludf.DUMMYFUNCTION("""COMPUTED_VALUE"""),"")</f>
        <v/>
      </c>
      <c r="AA372" s="18" t="str">
        <f ca="1">IFERROR(__xludf.DUMMYFUNCTION("""COMPUTED_VALUE"""),"")</f>
        <v/>
      </c>
      <c r="AC372" s="59"/>
    </row>
    <row r="373" spans="1:29" x14ac:dyDescent="0.25">
      <c r="A373" s="18">
        <v>0</v>
      </c>
      <c r="B373" s="52" t="str">
        <f ca="1"/>
        <v/>
      </c>
      <c r="C373" s="52" t="str">
        <f ca="1">IFERROR(__xludf.DUMMYFUNCTION("""COMPUTED_VALUE"""),"")</f>
        <v/>
      </c>
      <c r="D373" s="18" t="str">
        <f ca="1">IFERROR(__xludf.DUMMYFUNCTION("""COMPUTED_VALUE"""),"")</f>
        <v/>
      </c>
      <c r="E373" s="18" t="str">
        <f ca="1">IFERROR(__xludf.DUMMYFUNCTION("""COMPUTED_VALUE"""),"")</f>
        <v/>
      </c>
      <c r="F373" s="18" t="str">
        <f ca="1">IFERROR(__xludf.DUMMYFUNCTION("""COMPUTED_VALUE"""),"")</f>
        <v/>
      </c>
      <c r="G373" s="18" t="str">
        <f ca="1">IFERROR(__xludf.DUMMYFUNCTION("""COMPUTED_VALUE"""),"")</f>
        <v/>
      </c>
      <c r="H373" s="18" t="str">
        <f ca="1">IFERROR(__xludf.DUMMYFUNCTION("""COMPUTED_VALUE"""),"")</f>
        <v/>
      </c>
      <c r="I373" s="18" t="str">
        <f ca="1">IFERROR(__xludf.DUMMYFUNCTION("""COMPUTED_VALUE"""),"")</f>
        <v/>
      </c>
      <c r="J373" s="18" t="str">
        <f ca="1">IFERROR(__xludf.DUMMYFUNCTION("""COMPUTED_VALUE"""),"")</f>
        <v/>
      </c>
      <c r="K373" s="18" t="str">
        <f ca="1">IFERROR(__xludf.DUMMYFUNCTION("""COMPUTED_VALUE"""),"")</f>
        <v/>
      </c>
      <c r="L373" s="18" t="str">
        <f ca="1">IFERROR(__xludf.DUMMYFUNCTION("""COMPUTED_VALUE"""),"")</f>
        <v/>
      </c>
      <c r="M373" s="18" t="str">
        <f ca="1">IFERROR(__xludf.DUMMYFUNCTION("""COMPUTED_VALUE"""),"")</f>
        <v/>
      </c>
      <c r="N373" s="18" t="str">
        <f ca="1">IFERROR(__xludf.DUMMYFUNCTION("""COMPUTED_VALUE"""),"")</f>
        <v/>
      </c>
      <c r="O373" s="18" t="str">
        <f ca="1">IFERROR(__xludf.DUMMYFUNCTION("""COMPUTED_VALUE"""),"")</f>
        <v/>
      </c>
      <c r="P373" s="18" t="str">
        <f ca="1">IFERROR(__xludf.DUMMYFUNCTION("""COMPUTED_VALUE"""),"")</f>
        <v/>
      </c>
      <c r="Q373" s="18" t="str">
        <f ca="1">IFERROR(__xludf.DUMMYFUNCTION("""COMPUTED_VALUE"""),"")</f>
        <v/>
      </c>
      <c r="R373" s="18" t="str">
        <f ca="1">IFERROR(__xludf.DUMMYFUNCTION("""COMPUTED_VALUE"""),"")</f>
        <v/>
      </c>
      <c r="S373" s="18" t="str">
        <f ca="1">IFERROR(__xludf.DUMMYFUNCTION("""COMPUTED_VALUE"""),"")</f>
        <v/>
      </c>
      <c r="T373" s="18" t="str">
        <f ca="1">IFERROR(__xludf.DUMMYFUNCTION("""COMPUTED_VALUE"""),"")</f>
        <v/>
      </c>
      <c r="U373" s="18" t="str">
        <f ca="1">IFERROR(__xludf.DUMMYFUNCTION("""COMPUTED_VALUE"""),"")</f>
        <v/>
      </c>
      <c r="V373" s="18" t="str">
        <f ca="1">IFERROR(__xludf.DUMMYFUNCTION("""COMPUTED_VALUE"""),"")</f>
        <v/>
      </c>
      <c r="W373" s="18" t="str">
        <f ca="1">IFERROR(__xludf.DUMMYFUNCTION("""COMPUTED_VALUE"""),"")</f>
        <v/>
      </c>
      <c r="X373" s="18" t="str">
        <f ca="1">IFERROR(__xludf.DUMMYFUNCTION("""COMPUTED_VALUE"""),"")</f>
        <v/>
      </c>
      <c r="Y373" s="18" t="e">
        <f ca="1"/>
        <v>#NAME?</v>
      </c>
      <c r="Z373" s="18" t="str">
        <f ca="1">IFERROR(__xludf.DUMMYFUNCTION("""COMPUTED_VALUE"""),"")</f>
        <v/>
      </c>
      <c r="AA373" s="18" t="str">
        <f ca="1">IFERROR(__xludf.DUMMYFUNCTION("""COMPUTED_VALUE"""),"")</f>
        <v/>
      </c>
      <c r="AC373" s="59"/>
    </row>
    <row r="374" spans="1:29" x14ac:dyDescent="0.25">
      <c r="A374" s="18">
        <v>0</v>
      </c>
      <c r="B374" s="52" t="str">
        <f ca="1"/>
        <v/>
      </c>
      <c r="C374" s="52" t="str">
        <f ca="1">IFERROR(__xludf.DUMMYFUNCTION("""COMPUTED_VALUE"""),"")</f>
        <v/>
      </c>
      <c r="D374" s="18" t="str">
        <f ca="1">IFERROR(__xludf.DUMMYFUNCTION("""COMPUTED_VALUE"""),"")</f>
        <v/>
      </c>
      <c r="E374" s="18" t="str">
        <f ca="1">IFERROR(__xludf.DUMMYFUNCTION("""COMPUTED_VALUE"""),"")</f>
        <v/>
      </c>
      <c r="F374" s="18" t="str">
        <f ca="1">IFERROR(__xludf.DUMMYFUNCTION("""COMPUTED_VALUE"""),"")</f>
        <v/>
      </c>
      <c r="G374" s="18" t="str">
        <f ca="1">IFERROR(__xludf.DUMMYFUNCTION("""COMPUTED_VALUE"""),"")</f>
        <v/>
      </c>
      <c r="H374" s="18" t="str">
        <f ca="1">IFERROR(__xludf.DUMMYFUNCTION("""COMPUTED_VALUE"""),"")</f>
        <v/>
      </c>
      <c r="I374" s="18" t="str">
        <f ca="1">IFERROR(__xludf.DUMMYFUNCTION("""COMPUTED_VALUE"""),"")</f>
        <v/>
      </c>
      <c r="J374" s="18" t="str">
        <f ca="1">IFERROR(__xludf.DUMMYFUNCTION("""COMPUTED_VALUE"""),"")</f>
        <v/>
      </c>
      <c r="K374" s="18" t="str">
        <f ca="1">IFERROR(__xludf.DUMMYFUNCTION("""COMPUTED_VALUE"""),"")</f>
        <v/>
      </c>
      <c r="L374" s="18" t="str">
        <f ca="1">IFERROR(__xludf.DUMMYFUNCTION("""COMPUTED_VALUE"""),"")</f>
        <v/>
      </c>
      <c r="M374" s="18" t="str">
        <f ca="1">IFERROR(__xludf.DUMMYFUNCTION("""COMPUTED_VALUE"""),"")</f>
        <v/>
      </c>
      <c r="N374" s="18" t="str">
        <f ca="1">IFERROR(__xludf.DUMMYFUNCTION("""COMPUTED_VALUE"""),"")</f>
        <v/>
      </c>
      <c r="O374" s="18" t="str">
        <f ca="1">IFERROR(__xludf.DUMMYFUNCTION("""COMPUTED_VALUE"""),"")</f>
        <v/>
      </c>
      <c r="P374" s="18" t="str">
        <f ca="1">IFERROR(__xludf.DUMMYFUNCTION("""COMPUTED_VALUE"""),"")</f>
        <v/>
      </c>
      <c r="Q374" s="18" t="str">
        <f ca="1">IFERROR(__xludf.DUMMYFUNCTION("""COMPUTED_VALUE"""),"")</f>
        <v/>
      </c>
      <c r="R374" s="18" t="str">
        <f ca="1">IFERROR(__xludf.DUMMYFUNCTION("""COMPUTED_VALUE"""),"")</f>
        <v/>
      </c>
      <c r="S374" s="18" t="str">
        <f ca="1">IFERROR(__xludf.DUMMYFUNCTION("""COMPUTED_VALUE"""),"")</f>
        <v/>
      </c>
      <c r="T374" s="18" t="str">
        <f ca="1">IFERROR(__xludf.DUMMYFUNCTION("""COMPUTED_VALUE"""),"")</f>
        <v/>
      </c>
      <c r="U374" s="18" t="str">
        <f ca="1">IFERROR(__xludf.DUMMYFUNCTION("""COMPUTED_VALUE"""),"")</f>
        <v/>
      </c>
      <c r="V374" s="18" t="str">
        <f ca="1">IFERROR(__xludf.DUMMYFUNCTION("""COMPUTED_VALUE"""),"")</f>
        <v/>
      </c>
      <c r="W374" s="18" t="str">
        <f ca="1">IFERROR(__xludf.DUMMYFUNCTION("""COMPUTED_VALUE"""),"")</f>
        <v/>
      </c>
      <c r="X374" s="18" t="str">
        <f ca="1">IFERROR(__xludf.DUMMYFUNCTION("""COMPUTED_VALUE"""),"")</f>
        <v/>
      </c>
      <c r="Y374" s="18" t="e">
        <f ca="1"/>
        <v>#NAME?</v>
      </c>
      <c r="Z374" s="18" t="str">
        <f ca="1">IFERROR(__xludf.DUMMYFUNCTION("""COMPUTED_VALUE"""),"")</f>
        <v/>
      </c>
      <c r="AA374" s="18" t="str">
        <f ca="1">IFERROR(__xludf.DUMMYFUNCTION("""COMPUTED_VALUE"""),"")</f>
        <v/>
      </c>
      <c r="AC374" s="59"/>
    </row>
    <row r="375" spans="1:29" x14ac:dyDescent="0.25">
      <c r="A375" s="18">
        <v>0</v>
      </c>
      <c r="B375" s="52" t="str">
        <f ca="1"/>
        <v/>
      </c>
      <c r="C375" s="52" t="str">
        <f ca="1">IFERROR(__xludf.DUMMYFUNCTION("""COMPUTED_VALUE"""),"")</f>
        <v/>
      </c>
      <c r="D375" s="18" t="str">
        <f ca="1">IFERROR(__xludf.DUMMYFUNCTION("""COMPUTED_VALUE"""),"")</f>
        <v/>
      </c>
      <c r="E375" s="18" t="str">
        <f ca="1">IFERROR(__xludf.DUMMYFUNCTION("""COMPUTED_VALUE"""),"")</f>
        <v/>
      </c>
      <c r="F375" s="18" t="str">
        <f ca="1">IFERROR(__xludf.DUMMYFUNCTION("""COMPUTED_VALUE"""),"")</f>
        <v/>
      </c>
      <c r="G375" s="18" t="str">
        <f ca="1">IFERROR(__xludf.DUMMYFUNCTION("""COMPUTED_VALUE"""),"")</f>
        <v/>
      </c>
      <c r="H375" s="18" t="str">
        <f ca="1">IFERROR(__xludf.DUMMYFUNCTION("""COMPUTED_VALUE"""),"")</f>
        <v/>
      </c>
      <c r="I375" s="18" t="str">
        <f ca="1">IFERROR(__xludf.DUMMYFUNCTION("""COMPUTED_VALUE"""),"")</f>
        <v/>
      </c>
      <c r="J375" s="18" t="str">
        <f ca="1">IFERROR(__xludf.DUMMYFUNCTION("""COMPUTED_VALUE"""),"")</f>
        <v/>
      </c>
      <c r="K375" s="18" t="str">
        <f ca="1">IFERROR(__xludf.DUMMYFUNCTION("""COMPUTED_VALUE"""),"")</f>
        <v/>
      </c>
      <c r="L375" s="18" t="str">
        <f ca="1">IFERROR(__xludf.DUMMYFUNCTION("""COMPUTED_VALUE"""),"")</f>
        <v/>
      </c>
      <c r="M375" s="18" t="str">
        <f ca="1">IFERROR(__xludf.DUMMYFUNCTION("""COMPUTED_VALUE"""),"")</f>
        <v/>
      </c>
      <c r="N375" s="18" t="str">
        <f ca="1">IFERROR(__xludf.DUMMYFUNCTION("""COMPUTED_VALUE"""),"")</f>
        <v/>
      </c>
      <c r="O375" s="18" t="str">
        <f ca="1">IFERROR(__xludf.DUMMYFUNCTION("""COMPUTED_VALUE"""),"")</f>
        <v/>
      </c>
      <c r="P375" s="18" t="str">
        <f ca="1">IFERROR(__xludf.DUMMYFUNCTION("""COMPUTED_VALUE"""),"")</f>
        <v/>
      </c>
      <c r="Q375" s="18" t="str">
        <f ca="1">IFERROR(__xludf.DUMMYFUNCTION("""COMPUTED_VALUE"""),"")</f>
        <v/>
      </c>
      <c r="R375" s="18" t="str">
        <f ca="1">IFERROR(__xludf.DUMMYFUNCTION("""COMPUTED_VALUE"""),"")</f>
        <v/>
      </c>
      <c r="S375" s="18" t="str">
        <f ca="1">IFERROR(__xludf.DUMMYFUNCTION("""COMPUTED_VALUE"""),"")</f>
        <v/>
      </c>
      <c r="T375" s="18" t="str">
        <f ca="1">IFERROR(__xludf.DUMMYFUNCTION("""COMPUTED_VALUE"""),"")</f>
        <v/>
      </c>
      <c r="U375" s="18" t="str">
        <f ca="1">IFERROR(__xludf.DUMMYFUNCTION("""COMPUTED_VALUE"""),"")</f>
        <v/>
      </c>
      <c r="V375" s="18" t="str">
        <f ca="1">IFERROR(__xludf.DUMMYFUNCTION("""COMPUTED_VALUE"""),"")</f>
        <v/>
      </c>
      <c r="W375" s="18" t="str">
        <f ca="1">IFERROR(__xludf.DUMMYFUNCTION("""COMPUTED_VALUE"""),"")</f>
        <v/>
      </c>
      <c r="X375" s="18" t="str">
        <f ca="1">IFERROR(__xludf.DUMMYFUNCTION("""COMPUTED_VALUE"""),"")</f>
        <v/>
      </c>
      <c r="Y375" s="18" t="e">
        <f ca="1"/>
        <v>#NAME?</v>
      </c>
      <c r="Z375" s="18" t="str">
        <f ca="1">IFERROR(__xludf.DUMMYFUNCTION("""COMPUTED_VALUE"""),"")</f>
        <v/>
      </c>
      <c r="AA375" s="18" t="str">
        <f ca="1">IFERROR(__xludf.DUMMYFUNCTION("""COMPUTED_VALUE"""),"")</f>
        <v/>
      </c>
      <c r="AC375" s="59"/>
    </row>
    <row r="376" spans="1:29" x14ac:dyDescent="0.25">
      <c r="A376" s="18">
        <v>0</v>
      </c>
      <c r="B376" s="52" t="str">
        <f ca="1"/>
        <v/>
      </c>
      <c r="C376" s="52" t="str">
        <f ca="1">IFERROR(__xludf.DUMMYFUNCTION("""COMPUTED_VALUE"""),"")</f>
        <v/>
      </c>
      <c r="D376" s="18" t="str">
        <f ca="1">IFERROR(__xludf.DUMMYFUNCTION("""COMPUTED_VALUE"""),"")</f>
        <v/>
      </c>
      <c r="E376" s="18" t="str">
        <f ca="1">IFERROR(__xludf.DUMMYFUNCTION("""COMPUTED_VALUE"""),"")</f>
        <v/>
      </c>
      <c r="F376" s="18" t="str">
        <f ca="1">IFERROR(__xludf.DUMMYFUNCTION("""COMPUTED_VALUE"""),"")</f>
        <v/>
      </c>
      <c r="G376" s="18" t="str">
        <f ca="1">IFERROR(__xludf.DUMMYFUNCTION("""COMPUTED_VALUE"""),"")</f>
        <v/>
      </c>
      <c r="H376" s="18" t="str">
        <f ca="1">IFERROR(__xludf.DUMMYFUNCTION("""COMPUTED_VALUE"""),"")</f>
        <v/>
      </c>
      <c r="I376" s="18" t="str">
        <f ca="1">IFERROR(__xludf.DUMMYFUNCTION("""COMPUTED_VALUE"""),"")</f>
        <v/>
      </c>
      <c r="J376" s="18" t="str">
        <f ca="1">IFERROR(__xludf.DUMMYFUNCTION("""COMPUTED_VALUE"""),"")</f>
        <v/>
      </c>
      <c r="K376" s="18" t="str">
        <f ca="1">IFERROR(__xludf.DUMMYFUNCTION("""COMPUTED_VALUE"""),"")</f>
        <v/>
      </c>
      <c r="L376" s="18" t="str">
        <f ca="1">IFERROR(__xludf.DUMMYFUNCTION("""COMPUTED_VALUE"""),"")</f>
        <v/>
      </c>
      <c r="M376" s="18" t="str">
        <f ca="1">IFERROR(__xludf.DUMMYFUNCTION("""COMPUTED_VALUE"""),"")</f>
        <v/>
      </c>
      <c r="N376" s="18" t="str">
        <f ca="1">IFERROR(__xludf.DUMMYFUNCTION("""COMPUTED_VALUE"""),"")</f>
        <v/>
      </c>
      <c r="O376" s="18" t="str">
        <f ca="1">IFERROR(__xludf.DUMMYFUNCTION("""COMPUTED_VALUE"""),"")</f>
        <v/>
      </c>
      <c r="P376" s="18" t="str">
        <f ca="1">IFERROR(__xludf.DUMMYFUNCTION("""COMPUTED_VALUE"""),"")</f>
        <v/>
      </c>
      <c r="Q376" s="18" t="str">
        <f ca="1">IFERROR(__xludf.DUMMYFUNCTION("""COMPUTED_VALUE"""),"")</f>
        <v/>
      </c>
      <c r="R376" s="18" t="str">
        <f ca="1">IFERROR(__xludf.DUMMYFUNCTION("""COMPUTED_VALUE"""),"")</f>
        <v/>
      </c>
      <c r="S376" s="18" t="str">
        <f ca="1">IFERROR(__xludf.DUMMYFUNCTION("""COMPUTED_VALUE"""),"")</f>
        <v/>
      </c>
      <c r="T376" s="18" t="str">
        <f ca="1">IFERROR(__xludf.DUMMYFUNCTION("""COMPUTED_VALUE"""),"")</f>
        <v/>
      </c>
      <c r="U376" s="18" t="str">
        <f ca="1">IFERROR(__xludf.DUMMYFUNCTION("""COMPUTED_VALUE"""),"")</f>
        <v/>
      </c>
      <c r="V376" s="18" t="str">
        <f ca="1">IFERROR(__xludf.DUMMYFUNCTION("""COMPUTED_VALUE"""),"")</f>
        <v/>
      </c>
      <c r="W376" s="18" t="str">
        <f ca="1">IFERROR(__xludf.DUMMYFUNCTION("""COMPUTED_VALUE"""),"")</f>
        <v/>
      </c>
      <c r="X376" s="18" t="str">
        <f ca="1">IFERROR(__xludf.DUMMYFUNCTION("""COMPUTED_VALUE"""),"")</f>
        <v/>
      </c>
      <c r="Y376" s="18" t="e">
        <f ca="1"/>
        <v>#NAME?</v>
      </c>
      <c r="Z376" s="18" t="str">
        <f ca="1">IFERROR(__xludf.DUMMYFUNCTION("""COMPUTED_VALUE"""),"")</f>
        <v/>
      </c>
      <c r="AA376" s="18" t="str">
        <f ca="1">IFERROR(__xludf.DUMMYFUNCTION("""COMPUTED_VALUE"""),"")</f>
        <v/>
      </c>
      <c r="AC376" s="59"/>
    </row>
    <row r="377" spans="1:29" x14ac:dyDescent="0.25">
      <c r="A377" s="18">
        <v>0</v>
      </c>
      <c r="B377" s="52" t="str">
        <f ca="1"/>
        <v/>
      </c>
      <c r="C377" s="52" t="str">
        <f ca="1">IFERROR(__xludf.DUMMYFUNCTION("""COMPUTED_VALUE"""),"")</f>
        <v/>
      </c>
      <c r="D377" s="18" t="str">
        <f ca="1">IFERROR(__xludf.DUMMYFUNCTION("""COMPUTED_VALUE"""),"")</f>
        <v/>
      </c>
      <c r="E377" s="18" t="str">
        <f ca="1">IFERROR(__xludf.DUMMYFUNCTION("""COMPUTED_VALUE"""),"")</f>
        <v/>
      </c>
      <c r="F377" s="18" t="str">
        <f ca="1">IFERROR(__xludf.DUMMYFUNCTION("""COMPUTED_VALUE"""),"")</f>
        <v/>
      </c>
      <c r="G377" s="18" t="str">
        <f ca="1">IFERROR(__xludf.DUMMYFUNCTION("""COMPUTED_VALUE"""),"")</f>
        <v/>
      </c>
      <c r="H377" s="18" t="str">
        <f ca="1">IFERROR(__xludf.DUMMYFUNCTION("""COMPUTED_VALUE"""),"")</f>
        <v/>
      </c>
      <c r="I377" s="18" t="str">
        <f ca="1">IFERROR(__xludf.DUMMYFUNCTION("""COMPUTED_VALUE"""),"")</f>
        <v/>
      </c>
      <c r="J377" s="18" t="str">
        <f ca="1">IFERROR(__xludf.DUMMYFUNCTION("""COMPUTED_VALUE"""),"")</f>
        <v/>
      </c>
      <c r="K377" s="18" t="str">
        <f ca="1">IFERROR(__xludf.DUMMYFUNCTION("""COMPUTED_VALUE"""),"")</f>
        <v/>
      </c>
      <c r="L377" s="18" t="str">
        <f ca="1">IFERROR(__xludf.DUMMYFUNCTION("""COMPUTED_VALUE"""),"")</f>
        <v/>
      </c>
      <c r="M377" s="18" t="str">
        <f ca="1">IFERROR(__xludf.DUMMYFUNCTION("""COMPUTED_VALUE"""),"")</f>
        <v/>
      </c>
      <c r="N377" s="18" t="str">
        <f ca="1">IFERROR(__xludf.DUMMYFUNCTION("""COMPUTED_VALUE"""),"")</f>
        <v/>
      </c>
      <c r="O377" s="18" t="str">
        <f ca="1">IFERROR(__xludf.DUMMYFUNCTION("""COMPUTED_VALUE"""),"")</f>
        <v/>
      </c>
      <c r="P377" s="18" t="str">
        <f ca="1">IFERROR(__xludf.DUMMYFUNCTION("""COMPUTED_VALUE"""),"")</f>
        <v/>
      </c>
      <c r="Q377" s="18" t="str">
        <f ca="1">IFERROR(__xludf.DUMMYFUNCTION("""COMPUTED_VALUE"""),"")</f>
        <v/>
      </c>
      <c r="R377" s="18" t="str">
        <f ca="1">IFERROR(__xludf.DUMMYFUNCTION("""COMPUTED_VALUE"""),"")</f>
        <v/>
      </c>
      <c r="S377" s="18" t="str">
        <f ca="1">IFERROR(__xludf.DUMMYFUNCTION("""COMPUTED_VALUE"""),"")</f>
        <v/>
      </c>
      <c r="T377" s="18" t="str">
        <f ca="1">IFERROR(__xludf.DUMMYFUNCTION("""COMPUTED_VALUE"""),"")</f>
        <v/>
      </c>
      <c r="U377" s="18" t="str">
        <f ca="1">IFERROR(__xludf.DUMMYFUNCTION("""COMPUTED_VALUE"""),"")</f>
        <v/>
      </c>
      <c r="V377" s="18" t="str">
        <f ca="1">IFERROR(__xludf.DUMMYFUNCTION("""COMPUTED_VALUE"""),"")</f>
        <v/>
      </c>
      <c r="W377" s="18" t="str">
        <f ca="1">IFERROR(__xludf.DUMMYFUNCTION("""COMPUTED_VALUE"""),"")</f>
        <v/>
      </c>
      <c r="X377" s="18" t="str">
        <f ca="1">IFERROR(__xludf.DUMMYFUNCTION("""COMPUTED_VALUE"""),"")</f>
        <v/>
      </c>
      <c r="Y377" s="18" t="e">
        <f ca="1"/>
        <v>#NAME?</v>
      </c>
      <c r="Z377" s="18" t="str">
        <f ca="1">IFERROR(__xludf.DUMMYFUNCTION("""COMPUTED_VALUE"""),"")</f>
        <v/>
      </c>
      <c r="AA377" s="18" t="str">
        <f ca="1">IFERROR(__xludf.DUMMYFUNCTION("""COMPUTED_VALUE"""),"")</f>
        <v/>
      </c>
      <c r="AC377" s="59"/>
    </row>
    <row r="378" spans="1:29" x14ac:dyDescent="0.25">
      <c r="A378" s="18">
        <v>0</v>
      </c>
      <c r="B378" s="52" t="str">
        <f ca="1"/>
        <v/>
      </c>
      <c r="C378" s="52" t="str">
        <f ca="1">IFERROR(__xludf.DUMMYFUNCTION("""COMPUTED_VALUE"""),"")</f>
        <v/>
      </c>
      <c r="D378" s="18" t="str">
        <f ca="1">IFERROR(__xludf.DUMMYFUNCTION("""COMPUTED_VALUE"""),"")</f>
        <v/>
      </c>
      <c r="E378" s="18" t="str">
        <f ca="1">IFERROR(__xludf.DUMMYFUNCTION("""COMPUTED_VALUE"""),"")</f>
        <v/>
      </c>
      <c r="F378" s="18" t="str">
        <f ca="1">IFERROR(__xludf.DUMMYFUNCTION("""COMPUTED_VALUE"""),"")</f>
        <v/>
      </c>
      <c r="G378" s="18" t="str">
        <f ca="1">IFERROR(__xludf.DUMMYFUNCTION("""COMPUTED_VALUE"""),"")</f>
        <v/>
      </c>
      <c r="H378" s="18" t="str">
        <f ca="1">IFERROR(__xludf.DUMMYFUNCTION("""COMPUTED_VALUE"""),"")</f>
        <v/>
      </c>
      <c r="I378" s="18" t="str">
        <f ca="1">IFERROR(__xludf.DUMMYFUNCTION("""COMPUTED_VALUE"""),"")</f>
        <v/>
      </c>
      <c r="J378" s="18" t="str">
        <f ca="1">IFERROR(__xludf.DUMMYFUNCTION("""COMPUTED_VALUE"""),"")</f>
        <v/>
      </c>
      <c r="K378" s="18" t="str">
        <f ca="1">IFERROR(__xludf.DUMMYFUNCTION("""COMPUTED_VALUE"""),"")</f>
        <v/>
      </c>
      <c r="L378" s="18" t="str">
        <f ca="1">IFERROR(__xludf.DUMMYFUNCTION("""COMPUTED_VALUE"""),"")</f>
        <v/>
      </c>
      <c r="M378" s="18" t="str">
        <f ca="1">IFERROR(__xludf.DUMMYFUNCTION("""COMPUTED_VALUE"""),"")</f>
        <v/>
      </c>
      <c r="N378" s="18" t="str">
        <f ca="1">IFERROR(__xludf.DUMMYFUNCTION("""COMPUTED_VALUE"""),"")</f>
        <v/>
      </c>
      <c r="O378" s="18" t="str">
        <f ca="1">IFERROR(__xludf.DUMMYFUNCTION("""COMPUTED_VALUE"""),"")</f>
        <v/>
      </c>
      <c r="P378" s="18" t="str">
        <f ca="1">IFERROR(__xludf.DUMMYFUNCTION("""COMPUTED_VALUE"""),"")</f>
        <v/>
      </c>
      <c r="Q378" s="18" t="str">
        <f ca="1">IFERROR(__xludf.DUMMYFUNCTION("""COMPUTED_VALUE"""),"")</f>
        <v/>
      </c>
      <c r="R378" s="18" t="str">
        <f ca="1">IFERROR(__xludf.DUMMYFUNCTION("""COMPUTED_VALUE"""),"")</f>
        <v/>
      </c>
      <c r="S378" s="18" t="str">
        <f ca="1">IFERROR(__xludf.DUMMYFUNCTION("""COMPUTED_VALUE"""),"")</f>
        <v/>
      </c>
      <c r="T378" s="18" t="str">
        <f ca="1">IFERROR(__xludf.DUMMYFUNCTION("""COMPUTED_VALUE"""),"")</f>
        <v/>
      </c>
      <c r="U378" s="18" t="str">
        <f ca="1">IFERROR(__xludf.DUMMYFUNCTION("""COMPUTED_VALUE"""),"")</f>
        <v/>
      </c>
      <c r="V378" s="18" t="str">
        <f ca="1">IFERROR(__xludf.DUMMYFUNCTION("""COMPUTED_VALUE"""),"")</f>
        <v/>
      </c>
      <c r="W378" s="18" t="str">
        <f ca="1">IFERROR(__xludf.DUMMYFUNCTION("""COMPUTED_VALUE"""),"")</f>
        <v/>
      </c>
      <c r="X378" s="18" t="str">
        <f ca="1">IFERROR(__xludf.DUMMYFUNCTION("""COMPUTED_VALUE"""),"")</f>
        <v/>
      </c>
      <c r="Y378" s="18" t="e">
        <f ca="1"/>
        <v>#NAME?</v>
      </c>
      <c r="Z378" s="18" t="str">
        <f ca="1">IFERROR(__xludf.DUMMYFUNCTION("""COMPUTED_VALUE"""),"")</f>
        <v/>
      </c>
      <c r="AA378" s="18" t="str">
        <f ca="1">IFERROR(__xludf.DUMMYFUNCTION("""COMPUTED_VALUE"""),"")</f>
        <v/>
      </c>
      <c r="AC378" s="59"/>
    </row>
    <row r="379" spans="1:29" x14ac:dyDescent="0.25">
      <c r="A379" s="18">
        <v>0</v>
      </c>
      <c r="B379" s="52" t="str">
        <f ca="1"/>
        <v/>
      </c>
      <c r="C379" s="52" t="str">
        <f ca="1">IFERROR(__xludf.DUMMYFUNCTION("""COMPUTED_VALUE"""),"")</f>
        <v/>
      </c>
      <c r="D379" s="18" t="str">
        <f ca="1">IFERROR(__xludf.DUMMYFUNCTION("""COMPUTED_VALUE"""),"")</f>
        <v/>
      </c>
      <c r="E379" s="18" t="str">
        <f ca="1">IFERROR(__xludf.DUMMYFUNCTION("""COMPUTED_VALUE"""),"")</f>
        <v/>
      </c>
      <c r="F379" s="18" t="str">
        <f ca="1">IFERROR(__xludf.DUMMYFUNCTION("""COMPUTED_VALUE"""),"")</f>
        <v/>
      </c>
      <c r="G379" s="18" t="str">
        <f ca="1">IFERROR(__xludf.DUMMYFUNCTION("""COMPUTED_VALUE"""),"")</f>
        <v/>
      </c>
      <c r="H379" s="18" t="str">
        <f ca="1">IFERROR(__xludf.DUMMYFUNCTION("""COMPUTED_VALUE"""),"")</f>
        <v/>
      </c>
      <c r="I379" s="18" t="str">
        <f ca="1">IFERROR(__xludf.DUMMYFUNCTION("""COMPUTED_VALUE"""),"")</f>
        <v/>
      </c>
      <c r="J379" s="18" t="str">
        <f ca="1">IFERROR(__xludf.DUMMYFUNCTION("""COMPUTED_VALUE"""),"")</f>
        <v/>
      </c>
      <c r="K379" s="18" t="str">
        <f ca="1">IFERROR(__xludf.DUMMYFUNCTION("""COMPUTED_VALUE"""),"")</f>
        <v/>
      </c>
      <c r="L379" s="18" t="str">
        <f ca="1">IFERROR(__xludf.DUMMYFUNCTION("""COMPUTED_VALUE"""),"")</f>
        <v/>
      </c>
      <c r="M379" s="18" t="str">
        <f ca="1">IFERROR(__xludf.DUMMYFUNCTION("""COMPUTED_VALUE"""),"")</f>
        <v/>
      </c>
      <c r="N379" s="18" t="str">
        <f ca="1">IFERROR(__xludf.DUMMYFUNCTION("""COMPUTED_VALUE"""),"")</f>
        <v/>
      </c>
      <c r="O379" s="18" t="str">
        <f ca="1">IFERROR(__xludf.DUMMYFUNCTION("""COMPUTED_VALUE"""),"")</f>
        <v/>
      </c>
      <c r="P379" s="18" t="str">
        <f ca="1">IFERROR(__xludf.DUMMYFUNCTION("""COMPUTED_VALUE"""),"")</f>
        <v/>
      </c>
      <c r="Q379" s="18" t="str">
        <f ca="1">IFERROR(__xludf.DUMMYFUNCTION("""COMPUTED_VALUE"""),"")</f>
        <v/>
      </c>
      <c r="R379" s="18" t="str">
        <f ca="1">IFERROR(__xludf.DUMMYFUNCTION("""COMPUTED_VALUE"""),"")</f>
        <v/>
      </c>
      <c r="S379" s="18" t="str">
        <f ca="1">IFERROR(__xludf.DUMMYFUNCTION("""COMPUTED_VALUE"""),"")</f>
        <v/>
      </c>
      <c r="T379" s="18" t="str">
        <f ca="1">IFERROR(__xludf.DUMMYFUNCTION("""COMPUTED_VALUE"""),"")</f>
        <v/>
      </c>
      <c r="U379" s="18" t="str">
        <f ca="1">IFERROR(__xludf.DUMMYFUNCTION("""COMPUTED_VALUE"""),"")</f>
        <v/>
      </c>
      <c r="V379" s="18" t="str">
        <f ca="1">IFERROR(__xludf.DUMMYFUNCTION("""COMPUTED_VALUE"""),"")</f>
        <v/>
      </c>
      <c r="W379" s="18" t="str">
        <f ca="1">IFERROR(__xludf.DUMMYFUNCTION("""COMPUTED_VALUE"""),"")</f>
        <v/>
      </c>
      <c r="X379" s="18" t="str">
        <f ca="1">IFERROR(__xludf.DUMMYFUNCTION("""COMPUTED_VALUE"""),"")</f>
        <v/>
      </c>
      <c r="Y379" s="18" t="e">
        <f ca="1"/>
        <v>#NAME?</v>
      </c>
      <c r="Z379" s="18" t="str">
        <f ca="1">IFERROR(__xludf.DUMMYFUNCTION("""COMPUTED_VALUE"""),"")</f>
        <v/>
      </c>
      <c r="AA379" s="18" t="str">
        <f ca="1">IFERROR(__xludf.DUMMYFUNCTION("""COMPUTED_VALUE"""),"")</f>
        <v/>
      </c>
      <c r="AC379" s="59"/>
    </row>
    <row r="380" spans="1:29" x14ac:dyDescent="0.25">
      <c r="A380" s="18">
        <v>0</v>
      </c>
      <c r="B380" s="52" t="str">
        <f ca="1"/>
        <v/>
      </c>
      <c r="C380" s="52" t="str">
        <f ca="1">IFERROR(__xludf.DUMMYFUNCTION("""COMPUTED_VALUE"""),"")</f>
        <v/>
      </c>
      <c r="D380" s="18" t="str">
        <f ca="1">IFERROR(__xludf.DUMMYFUNCTION("""COMPUTED_VALUE"""),"")</f>
        <v/>
      </c>
      <c r="E380" s="18" t="str">
        <f ca="1">IFERROR(__xludf.DUMMYFUNCTION("""COMPUTED_VALUE"""),"")</f>
        <v/>
      </c>
      <c r="F380" s="18" t="str">
        <f ca="1">IFERROR(__xludf.DUMMYFUNCTION("""COMPUTED_VALUE"""),"")</f>
        <v/>
      </c>
      <c r="G380" s="18" t="str">
        <f ca="1">IFERROR(__xludf.DUMMYFUNCTION("""COMPUTED_VALUE"""),"")</f>
        <v/>
      </c>
      <c r="H380" s="18" t="str">
        <f ca="1">IFERROR(__xludf.DUMMYFUNCTION("""COMPUTED_VALUE"""),"")</f>
        <v/>
      </c>
      <c r="I380" s="18" t="str">
        <f ca="1">IFERROR(__xludf.DUMMYFUNCTION("""COMPUTED_VALUE"""),"")</f>
        <v/>
      </c>
      <c r="J380" s="18" t="str">
        <f ca="1">IFERROR(__xludf.DUMMYFUNCTION("""COMPUTED_VALUE"""),"")</f>
        <v/>
      </c>
      <c r="K380" s="18" t="str">
        <f ca="1">IFERROR(__xludf.DUMMYFUNCTION("""COMPUTED_VALUE"""),"")</f>
        <v/>
      </c>
      <c r="L380" s="18" t="str">
        <f ca="1">IFERROR(__xludf.DUMMYFUNCTION("""COMPUTED_VALUE"""),"")</f>
        <v/>
      </c>
      <c r="M380" s="18" t="str">
        <f ca="1">IFERROR(__xludf.DUMMYFUNCTION("""COMPUTED_VALUE"""),"")</f>
        <v/>
      </c>
      <c r="N380" s="18" t="str">
        <f ca="1">IFERROR(__xludf.DUMMYFUNCTION("""COMPUTED_VALUE"""),"")</f>
        <v/>
      </c>
      <c r="O380" s="18" t="str">
        <f ca="1">IFERROR(__xludf.DUMMYFUNCTION("""COMPUTED_VALUE"""),"")</f>
        <v/>
      </c>
      <c r="P380" s="18" t="str">
        <f ca="1">IFERROR(__xludf.DUMMYFUNCTION("""COMPUTED_VALUE"""),"")</f>
        <v/>
      </c>
      <c r="Q380" s="18" t="str">
        <f ca="1">IFERROR(__xludf.DUMMYFUNCTION("""COMPUTED_VALUE"""),"")</f>
        <v/>
      </c>
      <c r="R380" s="18" t="str">
        <f ca="1">IFERROR(__xludf.DUMMYFUNCTION("""COMPUTED_VALUE"""),"")</f>
        <v/>
      </c>
      <c r="S380" s="18" t="str">
        <f ca="1">IFERROR(__xludf.DUMMYFUNCTION("""COMPUTED_VALUE"""),"")</f>
        <v/>
      </c>
      <c r="T380" s="18" t="str">
        <f ca="1">IFERROR(__xludf.DUMMYFUNCTION("""COMPUTED_VALUE"""),"")</f>
        <v/>
      </c>
      <c r="U380" s="18" t="str">
        <f ca="1">IFERROR(__xludf.DUMMYFUNCTION("""COMPUTED_VALUE"""),"")</f>
        <v/>
      </c>
      <c r="V380" s="18" t="str">
        <f ca="1">IFERROR(__xludf.DUMMYFUNCTION("""COMPUTED_VALUE"""),"")</f>
        <v/>
      </c>
      <c r="W380" s="18" t="str">
        <f ca="1">IFERROR(__xludf.DUMMYFUNCTION("""COMPUTED_VALUE"""),"")</f>
        <v/>
      </c>
      <c r="X380" s="18" t="str">
        <f ca="1">IFERROR(__xludf.DUMMYFUNCTION("""COMPUTED_VALUE"""),"")</f>
        <v/>
      </c>
      <c r="Y380" s="18" t="e">
        <f ca="1"/>
        <v>#NAME?</v>
      </c>
      <c r="Z380" s="18" t="str">
        <f ca="1">IFERROR(__xludf.DUMMYFUNCTION("""COMPUTED_VALUE"""),"")</f>
        <v/>
      </c>
      <c r="AA380" s="18" t="str">
        <f ca="1">IFERROR(__xludf.DUMMYFUNCTION("""COMPUTED_VALUE"""),"")</f>
        <v/>
      </c>
      <c r="AC380" s="59"/>
    </row>
    <row r="381" spans="1:29" x14ac:dyDescent="0.25">
      <c r="A381" s="18">
        <v>0</v>
      </c>
      <c r="B381" s="52" t="str">
        <f ca="1"/>
        <v/>
      </c>
      <c r="C381" s="52" t="str">
        <f ca="1">IFERROR(__xludf.DUMMYFUNCTION("""COMPUTED_VALUE"""),"")</f>
        <v/>
      </c>
      <c r="D381" s="18" t="str">
        <f ca="1">IFERROR(__xludf.DUMMYFUNCTION("""COMPUTED_VALUE"""),"")</f>
        <v/>
      </c>
      <c r="E381" s="18" t="str">
        <f ca="1">IFERROR(__xludf.DUMMYFUNCTION("""COMPUTED_VALUE"""),"")</f>
        <v/>
      </c>
      <c r="F381" s="18" t="str">
        <f ca="1">IFERROR(__xludf.DUMMYFUNCTION("""COMPUTED_VALUE"""),"")</f>
        <v/>
      </c>
      <c r="G381" s="18" t="str">
        <f ca="1">IFERROR(__xludf.DUMMYFUNCTION("""COMPUTED_VALUE"""),"")</f>
        <v/>
      </c>
      <c r="H381" s="18" t="str">
        <f ca="1">IFERROR(__xludf.DUMMYFUNCTION("""COMPUTED_VALUE"""),"")</f>
        <v/>
      </c>
      <c r="I381" s="18" t="str">
        <f ca="1">IFERROR(__xludf.DUMMYFUNCTION("""COMPUTED_VALUE"""),"")</f>
        <v/>
      </c>
      <c r="J381" s="18" t="str">
        <f ca="1">IFERROR(__xludf.DUMMYFUNCTION("""COMPUTED_VALUE"""),"")</f>
        <v/>
      </c>
      <c r="K381" s="18" t="str">
        <f ca="1">IFERROR(__xludf.DUMMYFUNCTION("""COMPUTED_VALUE"""),"")</f>
        <v/>
      </c>
      <c r="L381" s="18" t="str">
        <f ca="1">IFERROR(__xludf.DUMMYFUNCTION("""COMPUTED_VALUE"""),"")</f>
        <v/>
      </c>
      <c r="M381" s="18" t="str">
        <f ca="1">IFERROR(__xludf.DUMMYFUNCTION("""COMPUTED_VALUE"""),"")</f>
        <v/>
      </c>
      <c r="N381" s="18" t="str">
        <f ca="1">IFERROR(__xludf.DUMMYFUNCTION("""COMPUTED_VALUE"""),"")</f>
        <v/>
      </c>
      <c r="O381" s="18" t="str">
        <f ca="1">IFERROR(__xludf.DUMMYFUNCTION("""COMPUTED_VALUE"""),"")</f>
        <v/>
      </c>
      <c r="P381" s="18" t="str">
        <f ca="1">IFERROR(__xludf.DUMMYFUNCTION("""COMPUTED_VALUE"""),"")</f>
        <v/>
      </c>
      <c r="Q381" s="18" t="str">
        <f ca="1">IFERROR(__xludf.DUMMYFUNCTION("""COMPUTED_VALUE"""),"")</f>
        <v/>
      </c>
      <c r="R381" s="18" t="str">
        <f ca="1">IFERROR(__xludf.DUMMYFUNCTION("""COMPUTED_VALUE"""),"")</f>
        <v/>
      </c>
      <c r="S381" s="18" t="str">
        <f ca="1">IFERROR(__xludf.DUMMYFUNCTION("""COMPUTED_VALUE"""),"")</f>
        <v/>
      </c>
      <c r="T381" s="18" t="str">
        <f ca="1">IFERROR(__xludf.DUMMYFUNCTION("""COMPUTED_VALUE"""),"")</f>
        <v/>
      </c>
      <c r="U381" s="18" t="str">
        <f ca="1">IFERROR(__xludf.DUMMYFUNCTION("""COMPUTED_VALUE"""),"")</f>
        <v/>
      </c>
      <c r="V381" s="18" t="str">
        <f ca="1">IFERROR(__xludf.DUMMYFUNCTION("""COMPUTED_VALUE"""),"")</f>
        <v/>
      </c>
      <c r="W381" s="18" t="str">
        <f ca="1">IFERROR(__xludf.DUMMYFUNCTION("""COMPUTED_VALUE"""),"")</f>
        <v/>
      </c>
      <c r="X381" s="18" t="str">
        <f ca="1">IFERROR(__xludf.DUMMYFUNCTION("""COMPUTED_VALUE"""),"")</f>
        <v/>
      </c>
      <c r="Y381" s="18" t="e">
        <f ca="1"/>
        <v>#NAME?</v>
      </c>
      <c r="Z381" s="18" t="str">
        <f ca="1">IFERROR(__xludf.DUMMYFUNCTION("""COMPUTED_VALUE"""),"")</f>
        <v/>
      </c>
      <c r="AA381" s="18" t="str">
        <f ca="1">IFERROR(__xludf.DUMMYFUNCTION("""COMPUTED_VALUE"""),"")</f>
        <v/>
      </c>
      <c r="AC381" s="59"/>
    </row>
    <row r="382" spans="1:29" x14ac:dyDescent="0.25">
      <c r="A382" s="18">
        <v>0</v>
      </c>
      <c r="B382" s="52" t="str">
        <f ca="1"/>
        <v/>
      </c>
      <c r="C382" s="52" t="str">
        <f ca="1">IFERROR(__xludf.DUMMYFUNCTION("""COMPUTED_VALUE"""),"")</f>
        <v/>
      </c>
      <c r="D382" s="18" t="str">
        <f ca="1">IFERROR(__xludf.DUMMYFUNCTION("""COMPUTED_VALUE"""),"")</f>
        <v/>
      </c>
      <c r="E382" s="18" t="str">
        <f ca="1">IFERROR(__xludf.DUMMYFUNCTION("""COMPUTED_VALUE"""),"")</f>
        <v/>
      </c>
      <c r="F382" s="18" t="str">
        <f ca="1">IFERROR(__xludf.DUMMYFUNCTION("""COMPUTED_VALUE"""),"")</f>
        <v/>
      </c>
      <c r="G382" s="18" t="str">
        <f ca="1">IFERROR(__xludf.DUMMYFUNCTION("""COMPUTED_VALUE"""),"")</f>
        <v/>
      </c>
      <c r="H382" s="18" t="str">
        <f ca="1">IFERROR(__xludf.DUMMYFUNCTION("""COMPUTED_VALUE"""),"")</f>
        <v/>
      </c>
      <c r="I382" s="18" t="str">
        <f ca="1">IFERROR(__xludf.DUMMYFUNCTION("""COMPUTED_VALUE"""),"")</f>
        <v/>
      </c>
      <c r="J382" s="18" t="str">
        <f ca="1">IFERROR(__xludf.DUMMYFUNCTION("""COMPUTED_VALUE"""),"")</f>
        <v/>
      </c>
      <c r="K382" s="18" t="str">
        <f ca="1">IFERROR(__xludf.DUMMYFUNCTION("""COMPUTED_VALUE"""),"")</f>
        <v/>
      </c>
      <c r="L382" s="18" t="str">
        <f ca="1">IFERROR(__xludf.DUMMYFUNCTION("""COMPUTED_VALUE"""),"")</f>
        <v/>
      </c>
      <c r="M382" s="18" t="str">
        <f ca="1">IFERROR(__xludf.DUMMYFUNCTION("""COMPUTED_VALUE"""),"")</f>
        <v/>
      </c>
      <c r="N382" s="18" t="str">
        <f ca="1">IFERROR(__xludf.DUMMYFUNCTION("""COMPUTED_VALUE"""),"")</f>
        <v/>
      </c>
      <c r="O382" s="18" t="str">
        <f ca="1">IFERROR(__xludf.DUMMYFUNCTION("""COMPUTED_VALUE"""),"")</f>
        <v/>
      </c>
      <c r="P382" s="18" t="str">
        <f ca="1">IFERROR(__xludf.DUMMYFUNCTION("""COMPUTED_VALUE"""),"")</f>
        <v/>
      </c>
      <c r="Q382" s="18" t="str">
        <f ca="1">IFERROR(__xludf.DUMMYFUNCTION("""COMPUTED_VALUE"""),"")</f>
        <v/>
      </c>
      <c r="R382" s="18" t="str">
        <f ca="1">IFERROR(__xludf.DUMMYFUNCTION("""COMPUTED_VALUE"""),"")</f>
        <v/>
      </c>
      <c r="S382" s="18" t="str">
        <f ca="1">IFERROR(__xludf.DUMMYFUNCTION("""COMPUTED_VALUE"""),"")</f>
        <v/>
      </c>
      <c r="T382" s="18" t="str">
        <f ca="1">IFERROR(__xludf.DUMMYFUNCTION("""COMPUTED_VALUE"""),"")</f>
        <v/>
      </c>
      <c r="U382" s="18" t="str">
        <f ca="1">IFERROR(__xludf.DUMMYFUNCTION("""COMPUTED_VALUE"""),"")</f>
        <v/>
      </c>
      <c r="V382" s="18" t="str">
        <f ca="1">IFERROR(__xludf.DUMMYFUNCTION("""COMPUTED_VALUE"""),"")</f>
        <v/>
      </c>
      <c r="W382" s="18" t="str">
        <f ca="1">IFERROR(__xludf.DUMMYFUNCTION("""COMPUTED_VALUE"""),"")</f>
        <v/>
      </c>
      <c r="X382" s="18" t="str">
        <f ca="1">IFERROR(__xludf.DUMMYFUNCTION("""COMPUTED_VALUE"""),"")</f>
        <v/>
      </c>
      <c r="Y382" s="18" t="e">
        <f ca="1"/>
        <v>#NAME?</v>
      </c>
      <c r="Z382" s="18" t="str">
        <f ca="1">IFERROR(__xludf.DUMMYFUNCTION("""COMPUTED_VALUE"""),"")</f>
        <v/>
      </c>
      <c r="AA382" s="18" t="str">
        <f ca="1">IFERROR(__xludf.DUMMYFUNCTION("""COMPUTED_VALUE"""),"")</f>
        <v/>
      </c>
      <c r="AC382" s="59"/>
    </row>
    <row r="383" spans="1:29" x14ac:dyDescent="0.25">
      <c r="A383" s="18">
        <v>0</v>
      </c>
      <c r="B383" s="52" t="str">
        <f ca="1"/>
        <v/>
      </c>
      <c r="C383" s="52" t="str">
        <f ca="1">IFERROR(__xludf.DUMMYFUNCTION("""COMPUTED_VALUE"""),"")</f>
        <v/>
      </c>
      <c r="D383" s="18" t="str">
        <f ca="1">IFERROR(__xludf.DUMMYFUNCTION("""COMPUTED_VALUE"""),"")</f>
        <v/>
      </c>
      <c r="E383" s="18" t="str">
        <f ca="1">IFERROR(__xludf.DUMMYFUNCTION("""COMPUTED_VALUE"""),"")</f>
        <v/>
      </c>
      <c r="F383" s="18" t="str">
        <f ca="1">IFERROR(__xludf.DUMMYFUNCTION("""COMPUTED_VALUE"""),"")</f>
        <v/>
      </c>
      <c r="G383" s="18" t="str">
        <f ca="1">IFERROR(__xludf.DUMMYFUNCTION("""COMPUTED_VALUE"""),"")</f>
        <v/>
      </c>
      <c r="H383" s="18" t="str">
        <f ca="1">IFERROR(__xludf.DUMMYFUNCTION("""COMPUTED_VALUE"""),"")</f>
        <v/>
      </c>
      <c r="I383" s="18" t="str">
        <f ca="1">IFERROR(__xludf.DUMMYFUNCTION("""COMPUTED_VALUE"""),"")</f>
        <v/>
      </c>
      <c r="J383" s="18" t="str">
        <f ca="1">IFERROR(__xludf.DUMMYFUNCTION("""COMPUTED_VALUE"""),"")</f>
        <v/>
      </c>
      <c r="K383" s="18" t="str">
        <f ca="1">IFERROR(__xludf.DUMMYFUNCTION("""COMPUTED_VALUE"""),"")</f>
        <v/>
      </c>
      <c r="L383" s="18" t="str">
        <f ca="1">IFERROR(__xludf.DUMMYFUNCTION("""COMPUTED_VALUE"""),"")</f>
        <v/>
      </c>
      <c r="M383" s="18" t="str">
        <f ca="1">IFERROR(__xludf.DUMMYFUNCTION("""COMPUTED_VALUE"""),"")</f>
        <v/>
      </c>
      <c r="N383" s="18" t="str">
        <f ca="1">IFERROR(__xludf.DUMMYFUNCTION("""COMPUTED_VALUE"""),"")</f>
        <v/>
      </c>
      <c r="O383" s="18" t="str">
        <f ca="1">IFERROR(__xludf.DUMMYFUNCTION("""COMPUTED_VALUE"""),"")</f>
        <v/>
      </c>
      <c r="P383" s="18" t="str">
        <f ca="1">IFERROR(__xludf.DUMMYFUNCTION("""COMPUTED_VALUE"""),"")</f>
        <v/>
      </c>
      <c r="Q383" s="18" t="str">
        <f ca="1">IFERROR(__xludf.DUMMYFUNCTION("""COMPUTED_VALUE"""),"")</f>
        <v/>
      </c>
      <c r="R383" s="18" t="str">
        <f ca="1">IFERROR(__xludf.DUMMYFUNCTION("""COMPUTED_VALUE"""),"")</f>
        <v/>
      </c>
      <c r="S383" s="18" t="str">
        <f ca="1">IFERROR(__xludf.DUMMYFUNCTION("""COMPUTED_VALUE"""),"")</f>
        <v/>
      </c>
      <c r="T383" s="18" t="str">
        <f ca="1">IFERROR(__xludf.DUMMYFUNCTION("""COMPUTED_VALUE"""),"")</f>
        <v/>
      </c>
      <c r="U383" s="18" t="str">
        <f ca="1">IFERROR(__xludf.DUMMYFUNCTION("""COMPUTED_VALUE"""),"")</f>
        <v/>
      </c>
      <c r="V383" s="18" t="str">
        <f ca="1">IFERROR(__xludf.DUMMYFUNCTION("""COMPUTED_VALUE"""),"")</f>
        <v/>
      </c>
      <c r="W383" s="18" t="str">
        <f ca="1">IFERROR(__xludf.DUMMYFUNCTION("""COMPUTED_VALUE"""),"")</f>
        <v/>
      </c>
      <c r="X383" s="18" t="str">
        <f ca="1">IFERROR(__xludf.DUMMYFUNCTION("""COMPUTED_VALUE"""),"")</f>
        <v/>
      </c>
      <c r="Y383" s="18" t="e">
        <f ca="1"/>
        <v>#NAME?</v>
      </c>
      <c r="Z383" s="18" t="str">
        <f ca="1">IFERROR(__xludf.DUMMYFUNCTION("""COMPUTED_VALUE"""),"")</f>
        <v/>
      </c>
      <c r="AA383" s="18" t="str">
        <f ca="1">IFERROR(__xludf.DUMMYFUNCTION("""COMPUTED_VALUE"""),"")</f>
        <v/>
      </c>
      <c r="AC383" s="59"/>
    </row>
    <row r="384" spans="1:29" x14ac:dyDescent="0.25">
      <c r="A384" s="18">
        <v>0</v>
      </c>
      <c r="B384" s="52" t="str">
        <f ca="1"/>
        <v/>
      </c>
      <c r="C384" s="52" t="str">
        <f ca="1">IFERROR(__xludf.DUMMYFUNCTION("""COMPUTED_VALUE"""),"")</f>
        <v/>
      </c>
      <c r="D384" s="18" t="str">
        <f ca="1">IFERROR(__xludf.DUMMYFUNCTION("""COMPUTED_VALUE"""),"")</f>
        <v/>
      </c>
      <c r="E384" s="18" t="str">
        <f ca="1">IFERROR(__xludf.DUMMYFUNCTION("""COMPUTED_VALUE"""),"")</f>
        <v/>
      </c>
      <c r="F384" s="18" t="str">
        <f ca="1">IFERROR(__xludf.DUMMYFUNCTION("""COMPUTED_VALUE"""),"")</f>
        <v/>
      </c>
      <c r="G384" s="18" t="str">
        <f ca="1">IFERROR(__xludf.DUMMYFUNCTION("""COMPUTED_VALUE"""),"")</f>
        <v/>
      </c>
      <c r="H384" s="18" t="str">
        <f ca="1">IFERROR(__xludf.DUMMYFUNCTION("""COMPUTED_VALUE"""),"")</f>
        <v/>
      </c>
      <c r="I384" s="18" t="str">
        <f ca="1">IFERROR(__xludf.DUMMYFUNCTION("""COMPUTED_VALUE"""),"")</f>
        <v/>
      </c>
      <c r="J384" s="18" t="str">
        <f ca="1">IFERROR(__xludf.DUMMYFUNCTION("""COMPUTED_VALUE"""),"")</f>
        <v/>
      </c>
      <c r="K384" s="18" t="str">
        <f ca="1">IFERROR(__xludf.DUMMYFUNCTION("""COMPUTED_VALUE"""),"")</f>
        <v/>
      </c>
      <c r="L384" s="18" t="str">
        <f ca="1">IFERROR(__xludf.DUMMYFUNCTION("""COMPUTED_VALUE"""),"")</f>
        <v/>
      </c>
      <c r="M384" s="18" t="str">
        <f ca="1">IFERROR(__xludf.DUMMYFUNCTION("""COMPUTED_VALUE"""),"")</f>
        <v/>
      </c>
      <c r="N384" s="18" t="str">
        <f ca="1">IFERROR(__xludf.DUMMYFUNCTION("""COMPUTED_VALUE"""),"")</f>
        <v/>
      </c>
      <c r="O384" s="18" t="str">
        <f ca="1">IFERROR(__xludf.DUMMYFUNCTION("""COMPUTED_VALUE"""),"")</f>
        <v/>
      </c>
      <c r="P384" s="18" t="str">
        <f ca="1">IFERROR(__xludf.DUMMYFUNCTION("""COMPUTED_VALUE"""),"")</f>
        <v/>
      </c>
      <c r="Q384" s="18" t="str">
        <f ca="1">IFERROR(__xludf.DUMMYFUNCTION("""COMPUTED_VALUE"""),"")</f>
        <v/>
      </c>
      <c r="R384" s="18" t="str">
        <f ca="1">IFERROR(__xludf.DUMMYFUNCTION("""COMPUTED_VALUE"""),"")</f>
        <v/>
      </c>
      <c r="S384" s="18" t="str">
        <f ca="1">IFERROR(__xludf.DUMMYFUNCTION("""COMPUTED_VALUE"""),"")</f>
        <v/>
      </c>
      <c r="T384" s="18" t="str">
        <f ca="1">IFERROR(__xludf.DUMMYFUNCTION("""COMPUTED_VALUE"""),"")</f>
        <v/>
      </c>
      <c r="U384" s="18" t="str">
        <f ca="1">IFERROR(__xludf.DUMMYFUNCTION("""COMPUTED_VALUE"""),"")</f>
        <v/>
      </c>
      <c r="V384" s="18" t="str">
        <f ca="1">IFERROR(__xludf.DUMMYFUNCTION("""COMPUTED_VALUE"""),"")</f>
        <v/>
      </c>
      <c r="W384" s="18" t="str">
        <f ca="1">IFERROR(__xludf.DUMMYFUNCTION("""COMPUTED_VALUE"""),"")</f>
        <v/>
      </c>
      <c r="X384" s="18" t="str">
        <f ca="1">IFERROR(__xludf.DUMMYFUNCTION("""COMPUTED_VALUE"""),"")</f>
        <v/>
      </c>
      <c r="Y384" s="18" t="e">
        <f ca="1"/>
        <v>#NAME?</v>
      </c>
      <c r="Z384" s="18" t="str">
        <f ca="1">IFERROR(__xludf.DUMMYFUNCTION("""COMPUTED_VALUE"""),"")</f>
        <v/>
      </c>
      <c r="AA384" s="18" t="str">
        <f ca="1">IFERROR(__xludf.DUMMYFUNCTION("""COMPUTED_VALUE"""),"")</f>
        <v/>
      </c>
      <c r="AC384" s="59"/>
    </row>
    <row r="385" spans="1:29" x14ac:dyDescent="0.25">
      <c r="A385" s="18">
        <v>0</v>
      </c>
      <c r="B385" s="52" t="str">
        <f ca="1"/>
        <v/>
      </c>
      <c r="C385" s="52" t="str">
        <f ca="1">IFERROR(__xludf.DUMMYFUNCTION("""COMPUTED_VALUE"""),"")</f>
        <v/>
      </c>
      <c r="D385" s="18" t="str">
        <f ca="1">IFERROR(__xludf.DUMMYFUNCTION("""COMPUTED_VALUE"""),"")</f>
        <v/>
      </c>
      <c r="E385" s="18" t="str">
        <f ca="1">IFERROR(__xludf.DUMMYFUNCTION("""COMPUTED_VALUE"""),"")</f>
        <v/>
      </c>
      <c r="F385" s="18" t="str">
        <f ca="1">IFERROR(__xludf.DUMMYFUNCTION("""COMPUTED_VALUE"""),"")</f>
        <v/>
      </c>
      <c r="G385" s="18" t="str">
        <f ca="1">IFERROR(__xludf.DUMMYFUNCTION("""COMPUTED_VALUE"""),"")</f>
        <v/>
      </c>
      <c r="H385" s="18" t="str">
        <f ca="1">IFERROR(__xludf.DUMMYFUNCTION("""COMPUTED_VALUE"""),"")</f>
        <v/>
      </c>
      <c r="I385" s="18" t="str">
        <f ca="1">IFERROR(__xludf.DUMMYFUNCTION("""COMPUTED_VALUE"""),"")</f>
        <v/>
      </c>
      <c r="J385" s="18" t="str">
        <f ca="1">IFERROR(__xludf.DUMMYFUNCTION("""COMPUTED_VALUE"""),"")</f>
        <v/>
      </c>
      <c r="K385" s="18" t="str">
        <f ca="1">IFERROR(__xludf.DUMMYFUNCTION("""COMPUTED_VALUE"""),"")</f>
        <v/>
      </c>
      <c r="L385" s="18" t="str">
        <f ca="1">IFERROR(__xludf.DUMMYFUNCTION("""COMPUTED_VALUE"""),"")</f>
        <v/>
      </c>
      <c r="M385" s="18" t="str">
        <f ca="1">IFERROR(__xludf.DUMMYFUNCTION("""COMPUTED_VALUE"""),"")</f>
        <v/>
      </c>
      <c r="N385" s="18" t="str">
        <f ca="1">IFERROR(__xludf.DUMMYFUNCTION("""COMPUTED_VALUE"""),"")</f>
        <v/>
      </c>
      <c r="O385" s="18" t="str">
        <f ca="1">IFERROR(__xludf.DUMMYFUNCTION("""COMPUTED_VALUE"""),"")</f>
        <v/>
      </c>
      <c r="P385" s="18" t="str">
        <f ca="1">IFERROR(__xludf.DUMMYFUNCTION("""COMPUTED_VALUE"""),"")</f>
        <v/>
      </c>
      <c r="Q385" s="18" t="str">
        <f ca="1">IFERROR(__xludf.DUMMYFUNCTION("""COMPUTED_VALUE"""),"")</f>
        <v/>
      </c>
      <c r="R385" s="18" t="str">
        <f ca="1">IFERROR(__xludf.DUMMYFUNCTION("""COMPUTED_VALUE"""),"")</f>
        <v/>
      </c>
      <c r="S385" s="18" t="str">
        <f ca="1">IFERROR(__xludf.DUMMYFUNCTION("""COMPUTED_VALUE"""),"")</f>
        <v/>
      </c>
      <c r="T385" s="18" t="str">
        <f ca="1">IFERROR(__xludf.DUMMYFUNCTION("""COMPUTED_VALUE"""),"")</f>
        <v/>
      </c>
      <c r="U385" s="18" t="str">
        <f ca="1">IFERROR(__xludf.DUMMYFUNCTION("""COMPUTED_VALUE"""),"")</f>
        <v/>
      </c>
      <c r="V385" s="18" t="str">
        <f ca="1">IFERROR(__xludf.DUMMYFUNCTION("""COMPUTED_VALUE"""),"")</f>
        <v/>
      </c>
      <c r="W385" s="18" t="str">
        <f ca="1">IFERROR(__xludf.DUMMYFUNCTION("""COMPUTED_VALUE"""),"")</f>
        <v/>
      </c>
      <c r="X385" s="18" t="str">
        <f ca="1">IFERROR(__xludf.DUMMYFUNCTION("""COMPUTED_VALUE"""),"")</f>
        <v/>
      </c>
      <c r="Y385" s="18" t="e">
        <f ca="1"/>
        <v>#NAME?</v>
      </c>
      <c r="Z385" s="18" t="str">
        <f ca="1">IFERROR(__xludf.DUMMYFUNCTION("""COMPUTED_VALUE"""),"")</f>
        <v/>
      </c>
      <c r="AA385" s="18" t="str">
        <f ca="1">IFERROR(__xludf.DUMMYFUNCTION("""COMPUTED_VALUE"""),"")</f>
        <v/>
      </c>
      <c r="AC385" s="59"/>
    </row>
    <row r="386" spans="1:29" x14ac:dyDescent="0.25">
      <c r="A386" s="18">
        <v>0</v>
      </c>
      <c r="B386" s="52" t="str">
        <f ca="1"/>
        <v/>
      </c>
      <c r="C386" s="52" t="str">
        <f ca="1">IFERROR(__xludf.DUMMYFUNCTION("""COMPUTED_VALUE"""),"")</f>
        <v/>
      </c>
      <c r="D386" s="18" t="str">
        <f ca="1">IFERROR(__xludf.DUMMYFUNCTION("""COMPUTED_VALUE"""),"")</f>
        <v/>
      </c>
      <c r="E386" s="18" t="str">
        <f ca="1">IFERROR(__xludf.DUMMYFUNCTION("""COMPUTED_VALUE"""),"")</f>
        <v/>
      </c>
      <c r="F386" s="18" t="str">
        <f ca="1">IFERROR(__xludf.DUMMYFUNCTION("""COMPUTED_VALUE"""),"")</f>
        <v/>
      </c>
      <c r="G386" s="18" t="str">
        <f ca="1">IFERROR(__xludf.DUMMYFUNCTION("""COMPUTED_VALUE"""),"")</f>
        <v/>
      </c>
      <c r="H386" s="18" t="str">
        <f ca="1">IFERROR(__xludf.DUMMYFUNCTION("""COMPUTED_VALUE"""),"")</f>
        <v/>
      </c>
      <c r="I386" s="18" t="str">
        <f ca="1">IFERROR(__xludf.DUMMYFUNCTION("""COMPUTED_VALUE"""),"")</f>
        <v/>
      </c>
      <c r="J386" s="18" t="str">
        <f ca="1">IFERROR(__xludf.DUMMYFUNCTION("""COMPUTED_VALUE"""),"")</f>
        <v/>
      </c>
      <c r="K386" s="18" t="str">
        <f ca="1">IFERROR(__xludf.DUMMYFUNCTION("""COMPUTED_VALUE"""),"")</f>
        <v/>
      </c>
      <c r="L386" s="18" t="str">
        <f ca="1">IFERROR(__xludf.DUMMYFUNCTION("""COMPUTED_VALUE"""),"")</f>
        <v/>
      </c>
      <c r="M386" s="18" t="str">
        <f ca="1">IFERROR(__xludf.DUMMYFUNCTION("""COMPUTED_VALUE"""),"")</f>
        <v/>
      </c>
      <c r="N386" s="18" t="str">
        <f ca="1">IFERROR(__xludf.DUMMYFUNCTION("""COMPUTED_VALUE"""),"")</f>
        <v/>
      </c>
      <c r="O386" s="18" t="str">
        <f ca="1">IFERROR(__xludf.DUMMYFUNCTION("""COMPUTED_VALUE"""),"")</f>
        <v/>
      </c>
      <c r="P386" s="18" t="str">
        <f ca="1">IFERROR(__xludf.DUMMYFUNCTION("""COMPUTED_VALUE"""),"")</f>
        <v/>
      </c>
      <c r="Q386" s="18" t="str">
        <f ca="1">IFERROR(__xludf.DUMMYFUNCTION("""COMPUTED_VALUE"""),"")</f>
        <v/>
      </c>
      <c r="R386" s="18" t="str">
        <f ca="1">IFERROR(__xludf.DUMMYFUNCTION("""COMPUTED_VALUE"""),"")</f>
        <v/>
      </c>
      <c r="S386" s="18" t="str">
        <f ca="1">IFERROR(__xludf.DUMMYFUNCTION("""COMPUTED_VALUE"""),"")</f>
        <v/>
      </c>
      <c r="T386" s="18" t="str">
        <f ca="1">IFERROR(__xludf.DUMMYFUNCTION("""COMPUTED_VALUE"""),"")</f>
        <v/>
      </c>
      <c r="U386" s="18" t="str">
        <f ca="1">IFERROR(__xludf.DUMMYFUNCTION("""COMPUTED_VALUE"""),"")</f>
        <v/>
      </c>
      <c r="V386" s="18" t="str">
        <f ca="1">IFERROR(__xludf.DUMMYFUNCTION("""COMPUTED_VALUE"""),"")</f>
        <v/>
      </c>
      <c r="W386" s="18" t="str">
        <f ca="1">IFERROR(__xludf.DUMMYFUNCTION("""COMPUTED_VALUE"""),"")</f>
        <v/>
      </c>
      <c r="X386" s="18" t="str">
        <f ca="1">IFERROR(__xludf.DUMMYFUNCTION("""COMPUTED_VALUE"""),"")</f>
        <v/>
      </c>
      <c r="Y386" s="18" t="e">
        <f ca="1"/>
        <v>#NAME?</v>
      </c>
      <c r="Z386" s="18" t="str">
        <f ca="1">IFERROR(__xludf.DUMMYFUNCTION("""COMPUTED_VALUE"""),"")</f>
        <v/>
      </c>
      <c r="AA386" s="18" t="str">
        <f ca="1">IFERROR(__xludf.DUMMYFUNCTION("""COMPUTED_VALUE"""),"")</f>
        <v/>
      </c>
      <c r="AC386" s="59"/>
    </row>
    <row r="387" spans="1:29" x14ac:dyDescent="0.25">
      <c r="A387" s="18">
        <v>0</v>
      </c>
      <c r="B387" s="52" t="str">
        <f ca="1"/>
        <v/>
      </c>
      <c r="C387" s="52" t="str">
        <f ca="1">IFERROR(__xludf.DUMMYFUNCTION("""COMPUTED_VALUE"""),"")</f>
        <v/>
      </c>
      <c r="D387" s="18" t="str">
        <f ca="1">IFERROR(__xludf.DUMMYFUNCTION("""COMPUTED_VALUE"""),"")</f>
        <v/>
      </c>
      <c r="E387" s="18" t="str">
        <f ca="1">IFERROR(__xludf.DUMMYFUNCTION("""COMPUTED_VALUE"""),"")</f>
        <v/>
      </c>
      <c r="F387" s="18" t="str">
        <f ca="1">IFERROR(__xludf.DUMMYFUNCTION("""COMPUTED_VALUE"""),"")</f>
        <v/>
      </c>
      <c r="G387" s="18" t="str">
        <f ca="1">IFERROR(__xludf.DUMMYFUNCTION("""COMPUTED_VALUE"""),"")</f>
        <v/>
      </c>
      <c r="H387" s="18" t="str">
        <f ca="1">IFERROR(__xludf.DUMMYFUNCTION("""COMPUTED_VALUE"""),"")</f>
        <v/>
      </c>
      <c r="I387" s="18" t="str">
        <f ca="1">IFERROR(__xludf.DUMMYFUNCTION("""COMPUTED_VALUE"""),"")</f>
        <v/>
      </c>
      <c r="J387" s="18" t="str">
        <f ca="1">IFERROR(__xludf.DUMMYFUNCTION("""COMPUTED_VALUE"""),"")</f>
        <v/>
      </c>
      <c r="K387" s="18" t="str">
        <f ca="1">IFERROR(__xludf.DUMMYFUNCTION("""COMPUTED_VALUE"""),"")</f>
        <v/>
      </c>
      <c r="L387" s="18" t="str">
        <f ca="1">IFERROR(__xludf.DUMMYFUNCTION("""COMPUTED_VALUE"""),"")</f>
        <v/>
      </c>
      <c r="M387" s="18" t="str">
        <f ca="1">IFERROR(__xludf.DUMMYFUNCTION("""COMPUTED_VALUE"""),"")</f>
        <v/>
      </c>
      <c r="N387" s="18" t="str">
        <f ca="1">IFERROR(__xludf.DUMMYFUNCTION("""COMPUTED_VALUE"""),"")</f>
        <v/>
      </c>
      <c r="O387" s="18" t="str">
        <f ca="1">IFERROR(__xludf.DUMMYFUNCTION("""COMPUTED_VALUE"""),"")</f>
        <v/>
      </c>
      <c r="P387" s="18" t="str">
        <f ca="1">IFERROR(__xludf.DUMMYFUNCTION("""COMPUTED_VALUE"""),"")</f>
        <v/>
      </c>
      <c r="Q387" s="18" t="str">
        <f ca="1">IFERROR(__xludf.DUMMYFUNCTION("""COMPUTED_VALUE"""),"")</f>
        <v/>
      </c>
      <c r="R387" s="18" t="str">
        <f ca="1">IFERROR(__xludf.DUMMYFUNCTION("""COMPUTED_VALUE"""),"")</f>
        <v/>
      </c>
      <c r="S387" s="18" t="str">
        <f ca="1">IFERROR(__xludf.DUMMYFUNCTION("""COMPUTED_VALUE"""),"")</f>
        <v/>
      </c>
      <c r="T387" s="18" t="str">
        <f ca="1">IFERROR(__xludf.DUMMYFUNCTION("""COMPUTED_VALUE"""),"")</f>
        <v/>
      </c>
      <c r="U387" s="18" t="str">
        <f ca="1">IFERROR(__xludf.DUMMYFUNCTION("""COMPUTED_VALUE"""),"")</f>
        <v/>
      </c>
      <c r="V387" s="18" t="str">
        <f ca="1">IFERROR(__xludf.DUMMYFUNCTION("""COMPUTED_VALUE"""),"")</f>
        <v/>
      </c>
      <c r="W387" s="18" t="str">
        <f ca="1">IFERROR(__xludf.DUMMYFUNCTION("""COMPUTED_VALUE"""),"")</f>
        <v/>
      </c>
      <c r="X387" s="18" t="str">
        <f ca="1">IFERROR(__xludf.DUMMYFUNCTION("""COMPUTED_VALUE"""),"")</f>
        <v/>
      </c>
      <c r="Y387" s="18" t="e">
        <f ca="1"/>
        <v>#NAME?</v>
      </c>
      <c r="Z387" s="18" t="str">
        <f ca="1">IFERROR(__xludf.DUMMYFUNCTION("""COMPUTED_VALUE"""),"")</f>
        <v/>
      </c>
      <c r="AA387" s="18" t="str">
        <f ca="1">IFERROR(__xludf.DUMMYFUNCTION("""COMPUTED_VALUE"""),"")</f>
        <v/>
      </c>
      <c r="AC387" s="59"/>
    </row>
    <row r="388" spans="1:29" x14ac:dyDescent="0.25">
      <c r="A388" s="18">
        <v>0</v>
      </c>
      <c r="B388" s="52" t="str">
        <f ca="1"/>
        <v/>
      </c>
      <c r="C388" s="52" t="str">
        <f ca="1">IFERROR(__xludf.DUMMYFUNCTION("""COMPUTED_VALUE"""),"")</f>
        <v/>
      </c>
      <c r="D388" s="18" t="str">
        <f ca="1">IFERROR(__xludf.DUMMYFUNCTION("""COMPUTED_VALUE"""),"")</f>
        <v/>
      </c>
      <c r="E388" s="18" t="str">
        <f ca="1">IFERROR(__xludf.DUMMYFUNCTION("""COMPUTED_VALUE"""),"")</f>
        <v/>
      </c>
      <c r="F388" s="18" t="str">
        <f ca="1">IFERROR(__xludf.DUMMYFUNCTION("""COMPUTED_VALUE"""),"")</f>
        <v/>
      </c>
      <c r="G388" s="18" t="str">
        <f ca="1">IFERROR(__xludf.DUMMYFUNCTION("""COMPUTED_VALUE"""),"")</f>
        <v/>
      </c>
      <c r="H388" s="18" t="str">
        <f ca="1">IFERROR(__xludf.DUMMYFUNCTION("""COMPUTED_VALUE"""),"")</f>
        <v/>
      </c>
      <c r="I388" s="18" t="str">
        <f ca="1">IFERROR(__xludf.DUMMYFUNCTION("""COMPUTED_VALUE"""),"")</f>
        <v/>
      </c>
      <c r="J388" s="18" t="str">
        <f ca="1">IFERROR(__xludf.DUMMYFUNCTION("""COMPUTED_VALUE"""),"")</f>
        <v/>
      </c>
      <c r="K388" s="18" t="str">
        <f ca="1">IFERROR(__xludf.DUMMYFUNCTION("""COMPUTED_VALUE"""),"")</f>
        <v/>
      </c>
      <c r="L388" s="18" t="str">
        <f ca="1">IFERROR(__xludf.DUMMYFUNCTION("""COMPUTED_VALUE"""),"")</f>
        <v/>
      </c>
      <c r="M388" s="18" t="str">
        <f ca="1">IFERROR(__xludf.DUMMYFUNCTION("""COMPUTED_VALUE"""),"")</f>
        <v/>
      </c>
      <c r="N388" s="18" t="str">
        <f ca="1">IFERROR(__xludf.DUMMYFUNCTION("""COMPUTED_VALUE"""),"")</f>
        <v/>
      </c>
      <c r="O388" s="18" t="str">
        <f ca="1">IFERROR(__xludf.DUMMYFUNCTION("""COMPUTED_VALUE"""),"")</f>
        <v/>
      </c>
      <c r="P388" s="18" t="str">
        <f ca="1">IFERROR(__xludf.DUMMYFUNCTION("""COMPUTED_VALUE"""),"")</f>
        <v/>
      </c>
      <c r="Q388" s="18" t="str">
        <f ca="1">IFERROR(__xludf.DUMMYFUNCTION("""COMPUTED_VALUE"""),"")</f>
        <v/>
      </c>
      <c r="R388" s="18" t="str">
        <f ca="1">IFERROR(__xludf.DUMMYFUNCTION("""COMPUTED_VALUE"""),"")</f>
        <v/>
      </c>
      <c r="S388" s="18" t="str">
        <f ca="1">IFERROR(__xludf.DUMMYFUNCTION("""COMPUTED_VALUE"""),"")</f>
        <v/>
      </c>
      <c r="T388" s="18" t="str">
        <f ca="1">IFERROR(__xludf.DUMMYFUNCTION("""COMPUTED_VALUE"""),"")</f>
        <v/>
      </c>
      <c r="U388" s="18" t="str">
        <f ca="1">IFERROR(__xludf.DUMMYFUNCTION("""COMPUTED_VALUE"""),"")</f>
        <v/>
      </c>
      <c r="V388" s="18" t="str">
        <f ca="1">IFERROR(__xludf.DUMMYFUNCTION("""COMPUTED_VALUE"""),"")</f>
        <v/>
      </c>
      <c r="W388" s="18" t="str">
        <f ca="1">IFERROR(__xludf.DUMMYFUNCTION("""COMPUTED_VALUE"""),"")</f>
        <v/>
      </c>
      <c r="X388" s="18" t="str">
        <f ca="1">IFERROR(__xludf.DUMMYFUNCTION("""COMPUTED_VALUE"""),"")</f>
        <v/>
      </c>
      <c r="Y388" s="18" t="e">
        <f ca="1"/>
        <v>#NAME?</v>
      </c>
      <c r="Z388" s="18" t="str">
        <f ca="1">IFERROR(__xludf.DUMMYFUNCTION("""COMPUTED_VALUE"""),"")</f>
        <v/>
      </c>
      <c r="AA388" s="18" t="str">
        <f ca="1">IFERROR(__xludf.DUMMYFUNCTION("""COMPUTED_VALUE"""),"")</f>
        <v/>
      </c>
      <c r="AC388" s="59"/>
    </row>
    <row r="389" spans="1:29" x14ac:dyDescent="0.25">
      <c r="A389" s="18">
        <v>0</v>
      </c>
      <c r="B389" s="52" t="str">
        <f ca="1"/>
        <v/>
      </c>
      <c r="C389" s="52" t="str">
        <f ca="1">IFERROR(__xludf.DUMMYFUNCTION("""COMPUTED_VALUE"""),"")</f>
        <v/>
      </c>
      <c r="D389" s="18" t="str">
        <f ca="1">IFERROR(__xludf.DUMMYFUNCTION("""COMPUTED_VALUE"""),"")</f>
        <v/>
      </c>
      <c r="E389" s="18" t="str">
        <f ca="1">IFERROR(__xludf.DUMMYFUNCTION("""COMPUTED_VALUE"""),"")</f>
        <v/>
      </c>
      <c r="F389" s="18" t="str">
        <f ca="1">IFERROR(__xludf.DUMMYFUNCTION("""COMPUTED_VALUE"""),"")</f>
        <v/>
      </c>
      <c r="G389" s="18" t="str">
        <f ca="1">IFERROR(__xludf.DUMMYFUNCTION("""COMPUTED_VALUE"""),"")</f>
        <v/>
      </c>
      <c r="H389" s="18" t="str">
        <f ca="1">IFERROR(__xludf.DUMMYFUNCTION("""COMPUTED_VALUE"""),"")</f>
        <v/>
      </c>
      <c r="I389" s="18" t="str">
        <f ca="1">IFERROR(__xludf.DUMMYFUNCTION("""COMPUTED_VALUE"""),"")</f>
        <v/>
      </c>
      <c r="J389" s="18" t="str">
        <f ca="1">IFERROR(__xludf.DUMMYFUNCTION("""COMPUTED_VALUE"""),"")</f>
        <v/>
      </c>
      <c r="K389" s="18" t="str">
        <f ca="1">IFERROR(__xludf.DUMMYFUNCTION("""COMPUTED_VALUE"""),"")</f>
        <v/>
      </c>
      <c r="L389" s="18" t="str">
        <f ca="1">IFERROR(__xludf.DUMMYFUNCTION("""COMPUTED_VALUE"""),"")</f>
        <v/>
      </c>
      <c r="M389" s="18" t="str">
        <f ca="1">IFERROR(__xludf.DUMMYFUNCTION("""COMPUTED_VALUE"""),"")</f>
        <v/>
      </c>
      <c r="N389" s="18" t="str">
        <f ca="1">IFERROR(__xludf.DUMMYFUNCTION("""COMPUTED_VALUE"""),"")</f>
        <v/>
      </c>
      <c r="O389" s="18" t="str">
        <f ca="1">IFERROR(__xludf.DUMMYFUNCTION("""COMPUTED_VALUE"""),"")</f>
        <v/>
      </c>
      <c r="P389" s="18" t="str">
        <f ca="1">IFERROR(__xludf.DUMMYFUNCTION("""COMPUTED_VALUE"""),"")</f>
        <v/>
      </c>
      <c r="Q389" s="18" t="str">
        <f ca="1">IFERROR(__xludf.DUMMYFUNCTION("""COMPUTED_VALUE"""),"")</f>
        <v/>
      </c>
      <c r="R389" s="18" t="str">
        <f ca="1">IFERROR(__xludf.DUMMYFUNCTION("""COMPUTED_VALUE"""),"")</f>
        <v/>
      </c>
      <c r="S389" s="18" t="str">
        <f ca="1">IFERROR(__xludf.DUMMYFUNCTION("""COMPUTED_VALUE"""),"")</f>
        <v/>
      </c>
      <c r="T389" s="18" t="str">
        <f ca="1">IFERROR(__xludf.DUMMYFUNCTION("""COMPUTED_VALUE"""),"")</f>
        <v/>
      </c>
      <c r="U389" s="18" t="str">
        <f ca="1">IFERROR(__xludf.DUMMYFUNCTION("""COMPUTED_VALUE"""),"")</f>
        <v/>
      </c>
      <c r="V389" s="18" t="str">
        <f ca="1">IFERROR(__xludf.DUMMYFUNCTION("""COMPUTED_VALUE"""),"")</f>
        <v/>
      </c>
      <c r="W389" s="18" t="str">
        <f ca="1">IFERROR(__xludf.DUMMYFUNCTION("""COMPUTED_VALUE"""),"")</f>
        <v/>
      </c>
      <c r="X389" s="18" t="str">
        <f ca="1">IFERROR(__xludf.DUMMYFUNCTION("""COMPUTED_VALUE"""),"")</f>
        <v/>
      </c>
      <c r="Y389" s="18" t="e">
        <f ca="1"/>
        <v>#NAME?</v>
      </c>
      <c r="Z389" s="18" t="str">
        <f ca="1">IFERROR(__xludf.DUMMYFUNCTION("""COMPUTED_VALUE"""),"")</f>
        <v/>
      </c>
      <c r="AA389" s="18" t="str">
        <f ca="1">IFERROR(__xludf.DUMMYFUNCTION("""COMPUTED_VALUE"""),"")</f>
        <v/>
      </c>
      <c r="AC389" s="59"/>
    </row>
    <row r="390" spans="1:29" x14ac:dyDescent="0.25">
      <c r="A390" s="18">
        <v>0</v>
      </c>
      <c r="B390" s="52" t="str">
        <f ca="1"/>
        <v/>
      </c>
      <c r="C390" s="52" t="str">
        <f ca="1">IFERROR(__xludf.DUMMYFUNCTION("""COMPUTED_VALUE"""),"")</f>
        <v/>
      </c>
      <c r="D390" s="18" t="str">
        <f ca="1">IFERROR(__xludf.DUMMYFUNCTION("""COMPUTED_VALUE"""),"")</f>
        <v/>
      </c>
      <c r="E390" s="18" t="str">
        <f ca="1">IFERROR(__xludf.DUMMYFUNCTION("""COMPUTED_VALUE"""),"")</f>
        <v/>
      </c>
      <c r="F390" s="18" t="str">
        <f ca="1">IFERROR(__xludf.DUMMYFUNCTION("""COMPUTED_VALUE"""),"")</f>
        <v/>
      </c>
      <c r="G390" s="18" t="str">
        <f ca="1">IFERROR(__xludf.DUMMYFUNCTION("""COMPUTED_VALUE"""),"")</f>
        <v/>
      </c>
      <c r="H390" s="18" t="str">
        <f ca="1">IFERROR(__xludf.DUMMYFUNCTION("""COMPUTED_VALUE"""),"")</f>
        <v/>
      </c>
      <c r="I390" s="18" t="str">
        <f ca="1">IFERROR(__xludf.DUMMYFUNCTION("""COMPUTED_VALUE"""),"")</f>
        <v/>
      </c>
      <c r="J390" s="18" t="str">
        <f ca="1">IFERROR(__xludf.DUMMYFUNCTION("""COMPUTED_VALUE"""),"")</f>
        <v/>
      </c>
      <c r="K390" s="18" t="str">
        <f ca="1">IFERROR(__xludf.DUMMYFUNCTION("""COMPUTED_VALUE"""),"")</f>
        <v/>
      </c>
      <c r="L390" s="18" t="str">
        <f ca="1">IFERROR(__xludf.DUMMYFUNCTION("""COMPUTED_VALUE"""),"")</f>
        <v/>
      </c>
      <c r="M390" s="18" t="str">
        <f ca="1">IFERROR(__xludf.DUMMYFUNCTION("""COMPUTED_VALUE"""),"")</f>
        <v/>
      </c>
      <c r="N390" s="18" t="str">
        <f ca="1">IFERROR(__xludf.DUMMYFUNCTION("""COMPUTED_VALUE"""),"")</f>
        <v/>
      </c>
      <c r="O390" s="18" t="str">
        <f ca="1">IFERROR(__xludf.DUMMYFUNCTION("""COMPUTED_VALUE"""),"")</f>
        <v/>
      </c>
      <c r="P390" s="18" t="str">
        <f ca="1">IFERROR(__xludf.DUMMYFUNCTION("""COMPUTED_VALUE"""),"")</f>
        <v/>
      </c>
      <c r="Q390" s="18" t="str">
        <f ca="1">IFERROR(__xludf.DUMMYFUNCTION("""COMPUTED_VALUE"""),"")</f>
        <v/>
      </c>
      <c r="R390" s="18" t="str">
        <f ca="1">IFERROR(__xludf.DUMMYFUNCTION("""COMPUTED_VALUE"""),"")</f>
        <v/>
      </c>
      <c r="S390" s="18" t="str">
        <f ca="1">IFERROR(__xludf.DUMMYFUNCTION("""COMPUTED_VALUE"""),"")</f>
        <v/>
      </c>
      <c r="T390" s="18" t="str">
        <f ca="1">IFERROR(__xludf.DUMMYFUNCTION("""COMPUTED_VALUE"""),"")</f>
        <v/>
      </c>
      <c r="U390" s="18" t="str">
        <f ca="1">IFERROR(__xludf.DUMMYFUNCTION("""COMPUTED_VALUE"""),"")</f>
        <v/>
      </c>
      <c r="V390" s="18" t="str">
        <f ca="1">IFERROR(__xludf.DUMMYFUNCTION("""COMPUTED_VALUE"""),"")</f>
        <v/>
      </c>
      <c r="W390" s="18" t="str">
        <f ca="1">IFERROR(__xludf.DUMMYFUNCTION("""COMPUTED_VALUE"""),"")</f>
        <v/>
      </c>
      <c r="X390" s="18" t="str">
        <f ca="1">IFERROR(__xludf.DUMMYFUNCTION("""COMPUTED_VALUE"""),"")</f>
        <v/>
      </c>
      <c r="Y390" s="18" t="e">
        <f ca="1"/>
        <v>#NAME?</v>
      </c>
      <c r="Z390" s="18" t="str">
        <f ca="1">IFERROR(__xludf.DUMMYFUNCTION("""COMPUTED_VALUE"""),"")</f>
        <v/>
      </c>
      <c r="AA390" s="18" t="str">
        <f ca="1">IFERROR(__xludf.DUMMYFUNCTION("""COMPUTED_VALUE"""),"")</f>
        <v/>
      </c>
      <c r="AC390" s="59"/>
    </row>
    <row r="391" spans="1:29" x14ac:dyDescent="0.25">
      <c r="A391" s="18">
        <v>0</v>
      </c>
      <c r="B391" s="52" t="str">
        <f ca="1"/>
        <v/>
      </c>
      <c r="C391" s="52" t="str">
        <f ca="1">IFERROR(__xludf.DUMMYFUNCTION("""COMPUTED_VALUE"""),"")</f>
        <v/>
      </c>
      <c r="D391" s="18" t="str">
        <f ca="1">IFERROR(__xludf.DUMMYFUNCTION("""COMPUTED_VALUE"""),"")</f>
        <v/>
      </c>
      <c r="E391" s="18" t="str">
        <f ca="1">IFERROR(__xludf.DUMMYFUNCTION("""COMPUTED_VALUE"""),"")</f>
        <v/>
      </c>
      <c r="F391" s="18" t="str">
        <f ca="1">IFERROR(__xludf.DUMMYFUNCTION("""COMPUTED_VALUE"""),"")</f>
        <v/>
      </c>
      <c r="G391" s="18" t="str">
        <f ca="1">IFERROR(__xludf.DUMMYFUNCTION("""COMPUTED_VALUE"""),"")</f>
        <v/>
      </c>
      <c r="H391" s="18" t="str">
        <f ca="1">IFERROR(__xludf.DUMMYFUNCTION("""COMPUTED_VALUE"""),"")</f>
        <v/>
      </c>
      <c r="I391" s="18" t="str">
        <f ca="1">IFERROR(__xludf.DUMMYFUNCTION("""COMPUTED_VALUE"""),"")</f>
        <v/>
      </c>
      <c r="J391" s="18" t="str">
        <f ca="1">IFERROR(__xludf.DUMMYFUNCTION("""COMPUTED_VALUE"""),"")</f>
        <v/>
      </c>
      <c r="K391" s="18" t="str">
        <f ca="1">IFERROR(__xludf.DUMMYFUNCTION("""COMPUTED_VALUE"""),"")</f>
        <v/>
      </c>
      <c r="L391" s="18" t="str">
        <f ca="1">IFERROR(__xludf.DUMMYFUNCTION("""COMPUTED_VALUE"""),"")</f>
        <v/>
      </c>
      <c r="M391" s="18" t="str">
        <f ca="1">IFERROR(__xludf.DUMMYFUNCTION("""COMPUTED_VALUE"""),"")</f>
        <v/>
      </c>
      <c r="N391" s="18" t="str">
        <f ca="1">IFERROR(__xludf.DUMMYFUNCTION("""COMPUTED_VALUE"""),"")</f>
        <v/>
      </c>
      <c r="O391" s="18" t="str">
        <f ca="1">IFERROR(__xludf.DUMMYFUNCTION("""COMPUTED_VALUE"""),"")</f>
        <v/>
      </c>
      <c r="P391" s="18" t="str">
        <f ca="1">IFERROR(__xludf.DUMMYFUNCTION("""COMPUTED_VALUE"""),"")</f>
        <v/>
      </c>
      <c r="Q391" s="18" t="str">
        <f ca="1">IFERROR(__xludf.DUMMYFUNCTION("""COMPUTED_VALUE"""),"")</f>
        <v/>
      </c>
      <c r="R391" s="18" t="str">
        <f ca="1">IFERROR(__xludf.DUMMYFUNCTION("""COMPUTED_VALUE"""),"")</f>
        <v/>
      </c>
      <c r="S391" s="18" t="str">
        <f ca="1">IFERROR(__xludf.DUMMYFUNCTION("""COMPUTED_VALUE"""),"")</f>
        <v/>
      </c>
      <c r="T391" s="18" t="str">
        <f ca="1">IFERROR(__xludf.DUMMYFUNCTION("""COMPUTED_VALUE"""),"")</f>
        <v/>
      </c>
      <c r="U391" s="18" t="str">
        <f ca="1">IFERROR(__xludf.DUMMYFUNCTION("""COMPUTED_VALUE"""),"")</f>
        <v/>
      </c>
      <c r="V391" s="18" t="str">
        <f ca="1">IFERROR(__xludf.DUMMYFUNCTION("""COMPUTED_VALUE"""),"")</f>
        <v/>
      </c>
      <c r="W391" s="18" t="str">
        <f ca="1">IFERROR(__xludf.DUMMYFUNCTION("""COMPUTED_VALUE"""),"")</f>
        <v/>
      </c>
      <c r="X391" s="18" t="str">
        <f ca="1">IFERROR(__xludf.DUMMYFUNCTION("""COMPUTED_VALUE"""),"")</f>
        <v/>
      </c>
      <c r="Y391" s="18" t="e">
        <f ca="1"/>
        <v>#NAME?</v>
      </c>
      <c r="Z391" s="18" t="str">
        <f ca="1">IFERROR(__xludf.DUMMYFUNCTION("""COMPUTED_VALUE"""),"")</f>
        <v/>
      </c>
      <c r="AA391" s="18" t="str">
        <f ca="1">IFERROR(__xludf.DUMMYFUNCTION("""COMPUTED_VALUE"""),"")</f>
        <v/>
      </c>
      <c r="AC391" s="59"/>
    </row>
    <row r="392" spans="1:29" x14ac:dyDescent="0.25">
      <c r="A392" s="18">
        <v>0</v>
      </c>
      <c r="B392" s="52" t="str">
        <f ca="1"/>
        <v/>
      </c>
      <c r="C392" s="52" t="str">
        <f ca="1">IFERROR(__xludf.DUMMYFUNCTION("""COMPUTED_VALUE"""),"")</f>
        <v/>
      </c>
      <c r="D392" s="18" t="str">
        <f ca="1">IFERROR(__xludf.DUMMYFUNCTION("""COMPUTED_VALUE"""),"")</f>
        <v/>
      </c>
      <c r="E392" s="18" t="str">
        <f ca="1">IFERROR(__xludf.DUMMYFUNCTION("""COMPUTED_VALUE"""),"")</f>
        <v/>
      </c>
      <c r="F392" s="18" t="str">
        <f ca="1">IFERROR(__xludf.DUMMYFUNCTION("""COMPUTED_VALUE"""),"")</f>
        <v/>
      </c>
      <c r="G392" s="18" t="str">
        <f ca="1">IFERROR(__xludf.DUMMYFUNCTION("""COMPUTED_VALUE"""),"")</f>
        <v/>
      </c>
      <c r="H392" s="18" t="str">
        <f ca="1">IFERROR(__xludf.DUMMYFUNCTION("""COMPUTED_VALUE"""),"")</f>
        <v/>
      </c>
      <c r="I392" s="18" t="str">
        <f ca="1">IFERROR(__xludf.DUMMYFUNCTION("""COMPUTED_VALUE"""),"")</f>
        <v/>
      </c>
      <c r="J392" s="18" t="str">
        <f ca="1">IFERROR(__xludf.DUMMYFUNCTION("""COMPUTED_VALUE"""),"")</f>
        <v/>
      </c>
      <c r="K392" s="18" t="str">
        <f ca="1">IFERROR(__xludf.DUMMYFUNCTION("""COMPUTED_VALUE"""),"")</f>
        <v/>
      </c>
      <c r="L392" s="18" t="str">
        <f ca="1">IFERROR(__xludf.DUMMYFUNCTION("""COMPUTED_VALUE"""),"")</f>
        <v/>
      </c>
      <c r="M392" s="18" t="str">
        <f ca="1">IFERROR(__xludf.DUMMYFUNCTION("""COMPUTED_VALUE"""),"")</f>
        <v/>
      </c>
      <c r="N392" s="18" t="str">
        <f ca="1">IFERROR(__xludf.DUMMYFUNCTION("""COMPUTED_VALUE"""),"")</f>
        <v/>
      </c>
      <c r="O392" s="18" t="str">
        <f ca="1">IFERROR(__xludf.DUMMYFUNCTION("""COMPUTED_VALUE"""),"")</f>
        <v/>
      </c>
      <c r="P392" s="18" t="str">
        <f ca="1">IFERROR(__xludf.DUMMYFUNCTION("""COMPUTED_VALUE"""),"")</f>
        <v/>
      </c>
      <c r="Q392" s="18" t="str">
        <f ca="1">IFERROR(__xludf.DUMMYFUNCTION("""COMPUTED_VALUE"""),"")</f>
        <v/>
      </c>
      <c r="R392" s="18" t="str">
        <f ca="1">IFERROR(__xludf.DUMMYFUNCTION("""COMPUTED_VALUE"""),"")</f>
        <v/>
      </c>
      <c r="S392" s="18" t="str">
        <f ca="1">IFERROR(__xludf.DUMMYFUNCTION("""COMPUTED_VALUE"""),"")</f>
        <v/>
      </c>
      <c r="T392" s="18" t="str">
        <f ca="1">IFERROR(__xludf.DUMMYFUNCTION("""COMPUTED_VALUE"""),"")</f>
        <v/>
      </c>
      <c r="U392" s="18" t="str">
        <f ca="1">IFERROR(__xludf.DUMMYFUNCTION("""COMPUTED_VALUE"""),"")</f>
        <v/>
      </c>
      <c r="V392" s="18" t="str">
        <f ca="1">IFERROR(__xludf.DUMMYFUNCTION("""COMPUTED_VALUE"""),"")</f>
        <v/>
      </c>
      <c r="W392" s="18" t="str">
        <f ca="1">IFERROR(__xludf.DUMMYFUNCTION("""COMPUTED_VALUE"""),"")</f>
        <v/>
      </c>
      <c r="X392" s="18" t="str">
        <f ca="1">IFERROR(__xludf.DUMMYFUNCTION("""COMPUTED_VALUE"""),"")</f>
        <v/>
      </c>
      <c r="Y392" s="18" t="e">
        <f ca="1"/>
        <v>#NAME?</v>
      </c>
      <c r="Z392" s="18" t="str">
        <f ca="1">IFERROR(__xludf.DUMMYFUNCTION("""COMPUTED_VALUE"""),"")</f>
        <v/>
      </c>
      <c r="AA392" s="18" t="str">
        <f ca="1">IFERROR(__xludf.DUMMYFUNCTION("""COMPUTED_VALUE"""),"")</f>
        <v/>
      </c>
      <c r="AC392" s="59"/>
    </row>
    <row r="393" spans="1:29" x14ac:dyDescent="0.25">
      <c r="A393" s="18">
        <v>0</v>
      </c>
      <c r="B393" s="52" t="str">
        <f ca="1"/>
        <v/>
      </c>
      <c r="C393" s="52" t="str">
        <f ca="1">IFERROR(__xludf.DUMMYFUNCTION("""COMPUTED_VALUE"""),"")</f>
        <v/>
      </c>
      <c r="D393" s="18" t="str">
        <f ca="1">IFERROR(__xludf.DUMMYFUNCTION("""COMPUTED_VALUE"""),"")</f>
        <v/>
      </c>
      <c r="E393" s="18" t="str">
        <f ca="1">IFERROR(__xludf.DUMMYFUNCTION("""COMPUTED_VALUE"""),"")</f>
        <v/>
      </c>
      <c r="F393" s="18" t="str">
        <f ca="1">IFERROR(__xludf.DUMMYFUNCTION("""COMPUTED_VALUE"""),"")</f>
        <v/>
      </c>
      <c r="G393" s="18" t="str">
        <f ca="1">IFERROR(__xludf.DUMMYFUNCTION("""COMPUTED_VALUE"""),"")</f>
        <v/>
      </c>
      <c r="H393" s="18" t="str">
        <f ca="1">IFERROR(__xludf.DUMMYFUNCTION("""COMPUTED_VALUE"""),"")</f>
        <v/>
      </c>
      <c r="I393" s="18" t="str">
        <f ca="1">IFERROR(__xludf.DUMMYFUNCTION("""COMPUTED_VALUE"""),"")</f>
        <v/>
      </c>
      <c r="J393" s="18" t="str">
        <f ca="1">IFERROR(__xludf.DUMMYFUNCTION("""COMPUTED_VALUE"""),"")</f>
        <v/>
      </c>
      <c r="K393" s="18" t="str">
        <f ca="1">IFERROR(__xludf.DUMMYFUNCTION("""COMPUTED_VALUE"""),"")</f>
        <v/>
      </c>
      <c r="L393" s="18" t="str">
        <f ca="1">IFERROR(__xludf.DUMMYFUNCTION("""COMPUTED_VALUE"""),"")</f>
        <v/>
      </c>
      <c r="M393" s="18" t="str">
        <f ca="1">IFERROR(__xludf.DUMMYFUNCTION("""COMPUTED_VALUE"""),"")</f>
        <v/>
      </c>
      <c r="N393" s="18" t="str">
        <f ca="1">IFERROR(__xludf.DUMMYFUNCTION("""COMPUTED_VALUE"""),"")</f>
        <v/>
      </c>
      <c r="O393" s="18" t="str">
        <f ca="1">IFERROR(__xludf.DUMMYFUNCTION("""COMPUTED_VALUE"""),"")</f>
        <v/>
      </c>
      <c r="P393" s="18" t="str">
        <f ca="1">IFERROR(__xludf.DUMMYFUNCTION("""COMPUTED_VALUE"""),"")</f>
        <v/>
      </c>
      <c r="Q393" s="18" t="str">
        <f ca="1">IFERROR(__xludf.DUMMYFUNCTION("""COMPUTED_VALUE"""),"")</f>
        <v/>
      </c>
      <c r="R393" s="18" t="str">
        <f ca="1">IFERROR(__xludf.DUMMYFUNCTION("""COMPUTED_VALUE"""),"")</f>
        <v/>
      </c>
      <c r="S393" s="18" t="str">
        <f ca="1">IFERROR(__xludf.DUMMYFUNCTION("""COMPUTED_VALUE"""),"")</f>
        <v/>
      </c>
      <c r="T393" s="18" t="str">
        <f ca="1">IFERROR(__xludf.DUMMYFUNCTION("""COMPUTED_VALUE"""),"")</f>
        <v/>
      </c>
      <c r="U393" s="18" t="str">
        <f ca="1">IFERROR(__xludf.DUMMYFUNCTION("""COMPUTED_VALUE"""),"")</f>
        <v/>
      </c>
      <c r="V393" s="18" t="str">
        <f ca="1">IFERROR(__xludf.DUMMYFUNCTION("""COMPUTED_VALUE"""),"")</f>
        <v/>
      </c>
      <c r="W393" s="18" t="str">
        <f ca="1">IFERROR(__xludf.DUMMYFUNCTION("""COMPUTED_VALUE"""),"")</f>
        <v/>
      </c>
      <c r="X393" s="18" t="str">
        <f ca="1">IFERROR(__xludf.DUMMYFUNCTION("""COMPUTED_VALUE"""),"")</f>
        <v/>
      </c>
      <c r="Y393" s="18" t="e">
        <f ca="1"/>
        <v>#NAME?</v>
      </c>
      <c r="Z393" s="18" t="str">
        <f ca="1">IFERROR(__xludf.DUMMYFUNCTION("""COMPUTED_VALUE"""),"")</f>
        <v/>
      </c>
      <c r="AA393" s="18" t="str">
        <f ca="1">IFERROR(__xludf.DUMMYFUNCTION("""COMPUTED_VALUE"""),"")</f>
        <v/>
      </c>
      <c r="AC393" s="59"/>
    </row>
    <row r="394" spans="1:29" x14ac:dyDescent="0.25">
      <c r="A394" s="18">
        <v>0</v>
      </c>
      <c r="B394" s="52" t="str">
        <f ca="1"/>
        <v/>
      </c>
      <c r="C394" s="52" t="str">
        <f ca="1">IFERROR(__xludf.DUMMYFUNCTION("""COMPUTED_VALUE"""),"")</f>
        <v/>
      </c>
      <c r="D394" s="18" t="str">
        <f ca="1">IFERROR(__xludf.DUMMYFUNCTION("""COMPUTED_VALUE"""),"")</f>
        <v/>
      </c>
      <c r="E394" s="18" t="str">
        <f ca="1">IFERROR(__xludf.DUMMYFUNCTION("""COMPUTED_VALUE"""),"")</f>
        <v/>
      </c>
      <c r="F394" s="18" t="str">
        <f ca="1">IFERROR(__xludf.DUMMYFUNCTION("""COMPUTED_VALUE"""),"")</f>
        <v/>
      </c>
      <c r="G394" s="18" t="str">
        <f ca="1">IFERROR(__xludf.DUMMYFUNCTION("""COMPUTED_VALUE"""),"")</f>
        <v/>
      </c>
      <c r="H394" s="18" t="str">
        <f ca="1">IFERROR(__xludf.DUMMYFUNCTION("""COMPUTED_VALUE"""),"")</f>
        <v/>
      </c>
      <c r="I394" s="18" t="str">
        <f ca="1">IFERROR(__xludf.DUMMYFUNCTION("""COMPUTED_VALUE"""),"")</f>
        <v/>
      </c>
      <c r="J394" s="18" t="str">
        <f ca="1">IFERROR(__xludf.DUMMYFUNCTION("""COMPUTED_VALUE"""),"")</f>
        <v/>
      </c>
      <c r="K394" s="18" t="str">
        <f ca="1">IFERROR(__xludf.DUMMYFUNCTION("""COMPUTED_VALUE"""),"")</f>
        <v/>
      </c>
      <c r="L394" s="18" t="str">
        <f ca="1">IFERROR(__xludf.DUMMYFUNCTION("""COMPUTED_VALUE"""),"")</f>
        <v/>
      </c>
      <c r="M394" s="18" t="str">
        <f ca="1">IFERROR(__xludf.DUMMYFUNCTION("""COMPUTED_VALUE"""),"")</f>
        <v/>
      </c>
      <c r="N394" s="18" t="str">
        <f ca="1">IFERROR(__xludf.DUMMYFUNCTION("""COMPUTED_VALUE"""),"")</f>
        <v/>
      </c>
      <c r="O394" s="18" t="str">
        <f ca="1">IFERROR(__xludf.DUMMYFUNCTION("""COMPUTED_VALUE"""),"")</f>
        <v/>
      </c>
      <c r="P394" s="18" t="str">
        <f ca="1">IFERROR(__xludf.DUMMYFUNCTION("""COMPUTED_VALUE"""),"")</f>
        <v/>
      </c>
      <c r="Q394" s="18" t="str">
        <f ca="1">IFERROR(__xludf.DUMMYFUNCTION("""COMPUTED_VALUE"""),"")</f>
        <v/>
      </c>
      <c r="R394" s="18" t="str">
        <f ca="1">IFERROR(__xludf.DUMMYFUNCTION("""COMPUTED_VALUE"""),"")</f>
        <v/>
      </c>
      <c r="S394" s="18" t="str">
        <f ca="1">IFERROR(__xludf.DUMMYFUNCTION("""COMPUTED_VALUE"""),"")</f>
        <v/>
      </c>
      <c r="T394" s="18" t="str">
        <f ca="1">IFERROR(__xludf.DUMMYFUNCTION("""COMPUTED_VALUE"""),"")</f>
        <v/>
      </c>
      <c r="U394" s="18" t="str">
        <f ca="1">IFERROR(__xludf.DUMMYFUNCTION("""COMPUTED_VALUE"""),"")</f>
        <v/>
      </c>
      <c r="V394" s="18" t="str">
        <f ca="1">IFERROR(__xludf.DUMMYFUNCTION("""COMPUTED_VALUE"""),"")</f>
        <v/>
      </c>
      <c r="W394" s="18" t="str">
        <f ca="1">IFERROR(__xludf.DUMMYFUNCTION("""COMPUTED_VALUE"""),"")</f>
        <v/>
      </c>
      <c r="X394" s="18" t="str">
        <f ca="1">IFERROR(__xludf.DUMMYFUNCTION("""COMPUTED_VALUE"""),"")</f>
        <v/>
      </c>
      <c r="Y394" s="18" t="e">
        <f ca="1"/>
        <v>#NAME?</v>
      </c>
      <c r="Z394" s="18" t="str">
        <f ca="1">IFERROR(__xludf.DUMMYFUNCTION("""COMPUTED_VALUE"""),"")</f>
        <v/>
      </c>
      <c r="AA394" s="18" t="str">
        <f ca="1">IFERROR(__xludf.DUMMYFUNCTION("""COMPUTED_VALUE"""),"")</f>
        <v/>
      </c>
      <c r="AC394" s="59"/>
    </row>
    <row r="395" spans="1:29" x14ac:dyDescent="0.25">
      <c r="A395" s="18">
        <v>0</v>
      </c>
      <c r="B395" s="52" t="str">
        <f ca="1"/>
        <v/>
      </c>
      <c r="C395" s="52" t="str">
        <f ca="1">IFERROR(__xludf.DUMMYFUNCTION("""COMPUTED_VALUE"""),"")</f>
        <v/>
      </c>
      <c r="D395" s="18" t="str">
        <f ca="1">IFERROR(__xludf.DUMMYFUNCTION("""COMPUTED_VALUE"""),"")</f>
        <v/>
      </c>
      <c r="E395" s="18" t="str">
        <f ca="1">IFERROR(__xludf.DUMMYFUNCTION("""COMPUTED_VALUE"""),"")</f>
        <v/>
      </c>
      <c r="F395" s="18" t="str">
        <f ca="1">IFERROR(__xludf.DUMMYFUNCTION("""COMPUTED_VALUE"""),"")</f>
        <v/>
      </c>
      <c r="G395" s="18" t="str">
        <f ca="1">IFERROR(__xludf.DUMMYFUNCTION("""COMPUTED_VALUE"""),"")</f>
        <v/>
      </c>
      <c r="H395" s="18" t="str">
        <f ca="1">IFERROR(__xludf.DUMMYFUNCTION("""COMPUTED_VALUE"""),"")</f>
        <v/>
      </c>
      <c r="I395" s="18" t="str">
        <f ca="1">IFERROR(__xludf.DUMMYFUNCTION("""COMPUTED_VALUE"""),"")</f>
        <v/>
      </c>
      <c r="J395" s="18" t="str">
        <f ca="1">IFERROR(__xludf.DUMMYFUNCTION("""COMPUTED_VALUE"""),"")</f>
        <v/>
      </c>
      <c r="K395" s="18" t="str">
        <f ca="1">IFERROR(__xludf.DUMMYFUNCTION("""COMPUTED_VALUE"""),"")</f>
        <v/>
      </c>
      <c r="L395" s="18" t="str">
        <f ca="1">IFERROR(__xludf.DUMMYFUNCTION("""COMPUTED_VALUE"""),"")</f>
        <v/>
      </c>
      <c r="M395" s="18" t="str">
        <f ca="1">IFERROR(__xludf.DUMMYFUNCTION("""COMPUTED_VALUE"""),"")</f>
        <v/>
      </c>
      <c r="N395" s="18" t="str">
        <f ca="1">IFERROR(__xludf.DUMMYFUNCTION("""COMPUTED_VALUE"""),"")</f>
        <v/>
      </c>
      <c r="O395" s="18" t="str">
        <f ca="1">IFERROR(__xludf.DUMMYFUNCTION("""COMPUTED_VALUE"""),"")</f>
        <v/>
      </c>
      <c r="P395" s="18" t="str">
        <f ca="1">IFERROR(__xludf.DUMMYFUNCTION("""COMPUTED_VALUE"""),"")</f>
        <v/>
      </c>
      <c r="Q395" s="18" t="str">
        <f ca="1">IFERROR(__xludf.DUMMYFUNCTION("""COMPUTED_VALUE"""),"")</f>
        <v/>
      </c>
      <c r="R395" s="18" t="str">
        <f ca="1">IFERROR(__xludf.DUMMYFUNCTION("""COMPUTED_VALUE"""),"")</f>
        <v/>
      </c>
      <c r="S395" s="18" t="str">
        <f ca="1">IFERROR(__xludf.DUMMYFUNCTION("""COMPUTED_VALUE"""),"")</f>
        <v/>
      </c>
      <c r="T395" s="18" t="str">
        <f ca="1">IFERROR(__xludf.DUMMYFUNCTION("""COMPUTED_VALUE"""),"")</f>
        <v/>
      </c>
      <c r="U395" s="18" t="str">
        <f ca="1">IFERROR(__xludf.DUMMYFUNCTION("""COMPUTED_VALUE"""),"")</f>
        <v/>
      </c>
      <c r="V395" s="18" t="str">
        <f ca="1">IFERROR(__xludf.DUMMYFUNCTION("""COMPUTED_VALUE"""),"")</f>
        <v/>
      </c>
      <c r="W395" s="18" t="str">
        <f ca="1">IFERROR(__xludf.DUMMYFUNCTION("""COMPUTED_VALUE"""),"")</f>
        <v/>
      </c>
      <c r="X395" s="18" t="str">
        <f ca="1">IFERROR(__xludf.DUMMYFUNCTION("""COMPUTED_VALUE"""),"")</f>
        <v/>
      </c>
      <c r="Y395" s="18" t="e">
        <f ca="1"/>
        <v>#NAME?</v>
      </c>
      <c r="Z395" s="18" t="str">
        <f ca="1">IFERROR(__xludf.DUMMYFUNCTION("""COMPUTED_VALUE"""),"")</f>
        <v/>
      </c>
      <c r="AA395" s="18" t="str">
        <f ca="1">IFERROR(__xludf.DUMMYFUNCTION("""COMPUTED_VALUE"""),"")</f>
        <v/>
      </c>
      <c r="AC395" s="59"/>
    </row>
    <row r="396" spans="1:29" x14ac:dyDescent="0.25">
      <c r="A396" s="18">
        <v>0</v>
      </c>
      <c r="B396" s="52" t="str">
        <f ca="1"/>
        <v/>
      </c>
      <c r="C396" s="52" t="str">
        <f ca="1">IFERROR(__xludf.DUMMYFUNCTION("""COMPUTED_VALUE"""),"")</f>
        <v/>
      </c>
      <c r="D396" s="18" t="str">
        <f ca="1">IFERROR(__xludf.DUMMYFUNCTION("""COMPUTED_VALUE"""),"")</f>
        <v/>
      </c>
      <c r="E396" s="18" t="str">
        <f ca="1">IFERROR(__xludf.DUMMYFUNCTION("""COMPUTED_VALUE"""),"")</f>
        <v/>
      </c>
      <c r="F396" s="18" t="str">
        <f ca="1">IFERROR(__xludf.DUMMYFUNCTION("""COMPUTED_VALUE"""),"")</f>
        <v/>
      </c>
      <c r="G396" s="18" t="str">
        <f ca="1">IFERROR(__xludf.DUMMYFUNCTION("""COMPUTED_VALUE"""),"")</f>
        <v/>
      </c>
      <c r="H396" s="18" t="str">
        <f ca="1">IFERROR(__xludf.DUMMYFUNCTION("""COMPUTED_VALUE"""),"")</f>
        <v/>
      </c>
      <c r="I396" s="18" t="str">
        <f ca="1">IFERROR(__xludf.DUMMYFUNCTION("""COMPUTED_VALUE"""),"")</f>
        <v/>
      </c>
      <c r="J396" s="18" t="str">
        <f ca="1">IFERROR(__xludf.DUMMYFUNCTION("""COMPUTED_VALUE"""),"")</f>
        <v/>
      </c>
      <c r="K396" s="18" t="str">
        <f ca="1">IFERROR(__xludf.DUMMYFUNCTION("""COMPUTED_VALUE"""),"")</f>
        <v/>
      </c>
      <c r="L396" s="18" t="str">
        <f ca="1">IFERROR(__xludf.DUMMYFUNCTION("""COMPUTED_VALUE"""),"")</f>
        <v/>
      </c>
      <c r="M396" s="18" t="str">
        <f ca="1">IFERROR(__xludf.DUMMYFUNCTION("""COMPUTED_VALUE"""),"")</f>
        <v/>
      </c>
      <c r="N396" s="18" t="str">
        <f ca="1">IFERROR(__xludf.DUMMYFUNCTION("""COMPUTED_VALUE"""),"")</f>
        <v/>
      </c>
      <c r="O396" s="18" t="str">
        <f ca="1">IFERROR(__xludf.DUMMYFUNCTION("""COMPUTED_VALUE"""),"")</f>
        <v/>
      </c>
      <c r="P396" s="18" t="str">
        <f ca="1">IFERROR(__xludf.DUMMYFUNCTION("""COMPUTED_VALUE"""),"")</f>
        <v/>
      </c>
      <c r="Q396" s="18" t="str">
        <f ca="1">IFERROR(__xludf.DUMMYFUNCTION("""COMPUTED_VALUE"""),"")</f>
        <v/>
      </c>
      <c r="R396" s="18" t="str">
        <f ca="1">IFERROR(__xludf.DUMMYFUNCTION("""COMPUTED_VALUE"""),"")</f>
        <v/>
      </c>
      <c r="S396" s="18" t="str">
        <f ca="1">IFERROR(__xludf.DUMMYFUNCTION("""COMPUTED_VALUE"""),"")</f>
        <v/>
      </c>
      <c r="T396" s="18" t="str">
        <f ca="1">IFERROR(__xludf.DUMMYFUNCTION("""COMPUTED_VALUE"""),"")</f>
        <v/>
      </c>
      <c r="U396" s="18" t="str">
        <f ca="1">IFERROR(__xludf.DUMMYFUNCTION("""COMPUTED_VALUE"""),"")</f>
        <v/>
      </c>
      <c r="V396" s="18" t="str">
        <f ca="1">IFERROR(__xludf.DUMMYFUNCTION("""COMPUTED_VALUE"""),"")</f>
        <v/>
      </c>
      <c r="W396" s="18" t="str">
        <f ca="1">IFERROR(__xludf.DUMMYFUNCTION("""COMPUTED_VALUE"""),"")</f>
        <v/>
      </c>
      <c r="X396" s="18" t="str">
        <f ca="1">IFERROR(__xludf.DUMMYFUNCTION("""COMPUTED_VALUE"""),"")</f>
        <v/>
      </c>
      <c r="Y396" s="18" t="e">
        <f ca="1"/>
        <v>#NAME?</v>
      </c>
      <c r="Z396" s="18" t="str">
        <f ca="1">IFERROR(__xludf.DUMMYFUNCTION("""COMPUTED_VALUE"""),"")</f>
        <v/>
      </c>
      <c r="AA396" s="18" t="str">
        <f ca="1">IFERROR(__xludf.DUMMYFUNCTION("""COMPUTED_VALUE"""),"")</f>
        <v/>
      </c>
      <c r="AC396" s="59"/>
    </row>
    <row r="397" spans="1:29" x14ac:dyDescent="0.25">
      <c r="A397" s="18">
        <v>0</v>
      </c>
      <c r="B397" s="52" t="str">
        <f ca="1"/>
        <v/>
      </c>
      <c r="C397" s="52" t="str">
        <f ca="1">IFERROR(__xludf.DUMMYFUNCTION("""COMPUTED_VALUE"""),"")</f>
        <v/>
      </c>
      <c r="D397" s="18" t="str">
        <f ca="1">IFERROR(__xludf.DUMMYFUNCTION("""COMPUTED_VALUE"""),"")</f>
        <v/>
      </c>
      <c r="E397" s="18" t="str">
        <f ca="1">IFERROR(__xludf.DUMMYFUNCTION("""COMPUTED_VALUE"""),"")</f>
        <v/>
      </c>
      <c r="F397" s="18" t="str">
        <f ca="1">IFERROR(__xludf.DUMMYFUNCTION("""COMPUTED_VALUE"""),"")</f>
        <v/>
      </c>
      <c r="G397" s="18" t="str">
        <f ca="1">IFERROR(__xludf.DUMMYFUNCTION("""COMPUTED_VALUE"""),"")</f>
        <v/>
      </c>
      <c r="H397" s="18" t="str">
        <f ca="1">IFERROR(__xludf.DUMMYFUNCTION("""COMPUTED_VALUE"""),"")</f>
        <v/>
      </c>
      <c r="I397" s="18" t="str">
        <f ca="1">IFERROR(__xludf.DUMMYFUNCTION("""COMPUTED_VALUE"""),"")</f>
        <v/>
      </c>
      <c r="J397" s="18" t="str">
        <f ca="1">IFERROR(__xludf.DUMMYFUNCTION("""COMPUTED_VALUE"""),"")</f>
        <v/>
      </c>
      <c r="K397" s="18" t="str">
        <f ca="1">IFERROR(__xludf.DUMMYFUNCTION("""COMPUTED_VALUE"""),"")</f>
        <v/>
      </c>
      <c r="L397" s="18" t="str">
        <f ca="1">IFERROR(__xludf.DUMMYFUNCTION("""COMPUTED_VALUE"""),"")</f>
        <v/>
      </c>
      <c r="M397" s="18" t="str">
        <f ca="1">IFERROR(__xludf.DUMMYFUNCTION("""COMPUTED_VALUE"""),"")</f>
        <v/>
      </c>
      <c r="N397" s="18" t="str">
        <f ca="1">IFERROR(__xludf.DUMMYFUNCTION("""COMPUTED_VALUE"""),"")</f>
        <v/>
      </c>
      <c r="O397" s="18" t="str">
        <f ca="1">IFERROR(__xludf.DUMMYFUNCTION("""COMPUTED_VALUE"""),"")</f>
        <v/>
      </c>
      <c r="P397" s="18" t="str">
        <f ca="1">IFERROR(__xludf.DUMMYFUNCTION("""COMPUTED_VALUE"""),"")</f>
        <v/>
      </c>
      <c r="Q397" s="18" t="str">
        <f ca="1">IFERROR(__xludf.DUMMYFUNCTION("""COMPUTED_VALUE"""),"")</f>
        <v/>
      </c>
      <c r="R397" s="18" t="str">
        <f ca="1">IFERROR(__xludf.DUMMYFUNCTION("""COMPUTED_VALUE"""),"")</f>
        <v/>
      </c>
      <c r="S397" s="18" t="str">
        <f ca="1">IFERROR(__xludf.DUMMYFUNCTION("""COMPUTED_VALUE"""),"")</f>
        <v/>
      </c>
      <c r="T397" s="18" t="str">
        <f ca="1">IFERROR(__xludf.DUMMYFUNCTION("""COMPUTED_VALUE"""),"")</f>
        <v/>
      </c>
      <c r="U397" s="18" t="str">
        <f ca="1">IFERROR(__xludf.DUMMYFUNCTION("""COMPUTED_VALUE"""),"")</f>
        <v/>
      </c>
      <c r="V397" s="18" t="str">
        <f ca="1">IFERROR(__xludf.DUMMYFUNCTION("""COMPUTED_VALUE"""),"")</f>
        <v/>
      </c>
      <c r="W397" s="18" t="str">
        <f ca="1">IFERROR(__xludf.DUMMYFUNCTION("""COMPUTED_VALUE"""),"")</f>
        <v/>
      </c>
      <c r="X397" s="18" t="str">
        <f ca="1">IFERROR(__xludf.DUMMYFUNCTION("""COMPUTED_VALUE"""),"")</f>
        <v/>
      </c>
      <c r="Y397" s="18" t="e">
        <f ca="1"/>
        <v>#NAME?</v>
      </c>
      <c r="Z397" s="18" t="str">
        <f ca="1">IFERROR(__xludf.DUMMYFUNCTION("""COMPUTED_VALUE"""),"")</f>
        <v/>
      </c>
      <c r="AA397" s="18" t="str">
        <f ca="1">IFERROR(__xludf.DUMMYFUNCTION("""COMPUTED_VALUE"""),"")</f>
        <v/>
      </c>
      <c r="AC397" s="59"/>
    </row>
    <row r="398" spans="1:29" x14ac:dyDescent="0.25">
      <c r="A398" s="18">
        <v>0</v>
      </c>
      <c r="B398" s="52" t="str">
        <f ca="1"/>
        <v/>
      </c>
      <c r="C398" s="52" t="str">
        <f ca="1">IFERROR(__xludf.DUMMYFUNCTION("""COMPUTED_VALUE"""),"")</f>
        <v/>
      </c>
      <c r="D398" s="18" t="str">
        <f ca="1">IFERROR(__xludf.DUMMYFUNCTION("""COMPUTED_VALUE"""),"")</f>
        <v/>
      </c>
      <c r="E398" s="18" t="str">
        <f ca="1">IFERROR(__xludf.DUMMYFUNCTION("""COMPUTED_VALUE"""),"")</f>
        <v/>
      </c>
      <c r="F398" s="18" t="str">
        <f ca="1">IFERROR(__xludf.DUMMYFUNCTION("""COMPUTED_VALUE"""),"")</f>
        <v/>
      </c>
      <c r="G398" s="18" t="str">
        <f ca="1">IFERROR(__xludf.DUMMYFUNCTION("""COMPUTED_VALUE"""),"")</f>
        <v/>
      </c>
      <c r="H398" s="18" t="str">
        <f ca="1">IFERROR(__xludf.DUMMYFUNCTION("""COMPUTED_VALUE"""),"")</f>
        <v/>
      </c>
      <c r="I398" s="18" t="str">
        <f ca="1">IFERROR(__xludf.DUMMYFUNCTION("""COMPUTED_VALUE"""),"")</f>
        <v/>
      </c>
      <c r="J398" s="18" t="str">
        <f ca="1">IFERROR(__xludf.DUMMYFUNCTION("""COMPUTED_VALUE"""),"")</f>
        <v/>
      </c>
      <c r="K398" s="18" t="str">
        <f ca="1">IFERROR(__xludf.DUMMYFUNCTION("""COMPUTED_VALUE"""),"")</f>
        <v/>
      </c>
      <c r="L398" s="18" t="str">
        <f ca="1">IFERROR(__xludf.DUMMYFUNCTION("""COMPUTED_VALUE"""),"")</f>
        <v/>
      </c>
      <c r="M398" s="18" t="str">
        <f ca="1">IFERROR(__xludf.DUMMYFUNCTION("""COMPUTED_VALUE"""),"")</f>
        <v/>
      </c>
      <c r="N398" s="18" t="str">
        <f ca="1">IFERROR(__xludf.DUMMYFUNCTION("""COMPUTED_VALUE"""),"")</f>
        <v/>
      </c>
      <c r="O398" s="18" t="str">
        <f ca="1">IFERROR(__xludf.DUMMYFUNCTION("""COMPUTED_VALUE"""),"")</f>
        <v/>
      </c>
      <c r="P398" s="18" t="str">
        <f ca="1">IFERROR(__xludf.DUMMYFUNCTION("""COMPUTED_VALUE"""),"")</f>
        <v/>
      </c>
      <c r="Q398" s="18" t="str">
        <f ca="1">IFERROR(__xludf.DUMMYFUNCTION("""COMPUTED_VALUE"""),"")</f>
        <v/>
      </c>
      <c r="R398" s="18" t="str">
        <f ca="1">IFERROR(__xludf.DUMMYFUNCTION("""COMPUTED_VALUE"""),"")</f>
        <v/>
      </c>
      <c r="S398" s="18" t="str">
        <f ca="1">IFERROR(__xludf.DUMMYFUNCTION("""COMPUTED_VALUE"""),"")</f>
        <v/>
      </c>
      <c r="T398" s="18" t="str">
        <f ca="1">IFERROR(__xludf.DUMMYFUNCTION("""COMPUTED_VALUE"""),"")</f>
        <v/>
      </c>
      <c r="U398" s="18" t="str">
        <f ca="1">IFERROR(__xludf.DUMMYFUNCTION("""COMPUTED_VALUE"""),"")</f>
        <v/>
      </c>
      <c r="V398" s="18" t="str">
        <f ca="1">IFERROR(__xludf.DUMMYFUNCTION("""COMPUTED_VALUE"""),"")</f>
        <v/>
      </c>
      <c r="W398" s="18" t="str">
        <f ca="1">IFERROR(__xludf.DUMMYFUNCTION("""COMPUTED_VALUE"""),"")</f>
        <v/>
      </c>
      <c r="X398" s="18" t="str">
        <f ca="1">IFERROR(__xludf.DUMMYFUNCTION("""COMPUTED_VALUE"""),"")</f>
        <v/>
      </c>
      <c r="Y398" s="18" t="e">
        <f ca="1"/>
        <v>#NAME?</v>
      </c>
      <c r="Z398" s="18" t="str">
        <f ca="1">IFERROR(__xludf.DUMMYFUNCTION("""COMPUTED_VALUE"""),"")</f>
        <v/>
      </c>
      <c r="AA398" s="18" t="str">
        <f ca="1">IFERROR(__xludf.DUMMYFUNCTION("""COMPUTED_VALUE"""),"")</f>
        <v/>
      </c>
      <c r="AC398" s="59"/>
    </row>
    <row r="399" spans="1:29" x14ac:dyDescent="0.25">
      <c r="A399" s="18">
        <v>0</v>
      </c>
      <c r="B399" s="52" t="str">
        <f ca="1"/>
        <v/>
      </c>
      <c r="C399" s="52" t="str">
        <f ca="1">IFERROR(__xludf.DUMMYFUNCTION("""COMPUTED_VALUE"""),"")</f>
        <v/>
      </c>
      <c r="D399" s="18" t="str">
        <f ca="1">IFERROR(__xludf.DUMMYFUNCTION("""COMPUTED_VALUE"""),"")</f>
        <v/>
      </c>
      <c r="E399" s="18" t="str">
        <f ca="1">IFERROR(__xludf.DUMMYFUNCTION("""COMPUTED_VALUE"""),"")</f>
        <v/>
      </c>
      <c r="F399" s="18" t="str">
        <f ca="1">IFERROR(__xludf.DUMMYFUNCTION("""COMPUTED_VALUE"""),"")</f>
        <v/>
      </c>
      <c r="G399" s="18" t="str">
        <f ca="1">IFERROR(__xludf.DUMMYFUNCTION("""COMPUTED_VALUE"""),"")</f>
        <v/>
      </c>
      <c r="H399" s="18" t="str">
        <f ca="1">IFERROR(__xludf.DUMMYFUNCTION("""COMPUTED_VALUE"""),"")</f>
        <v/>
      </c>
      <c r="I399" s="18" t="str">
        <f ca="1">IFERROR(__xludf.DUMMYFUNCTION("""COMPUTED_VALUE"""),"")</f>
        <v/>
      </c>
      <c r="J399" s="18" t="str">
        <f ca="1">IFERROR(__xludf.DUMMYFUNCTION("""COMPUTED_VALUE"""),"")</f>
        <v/>
      </c>
      <c r="K399" s="18" t="str">
        <f ca="1">IFERROR(__xludf.DUMMYFUNCTION("""COMPUTED_VALUE"""),"")</f>
        <v/>
      </c>
      <c r="L399" s="18" t="str">
        <f ca="1">IFERROR(__xludf.DUMMYFUNCTION("""COMPUTED_VALUE"""),"")</f>
        <v/>
      </c>
      <c r="M399" s="18" t="str">
        <f ca="1">IFERROR(__xludf.DUMMYFUNCTION("""COMPUTED_VALUE"""),"")</f>
        <v/>
      </c>
      <c r="N399" s="18" t="str">
        <f ca="1">IFERROR(__xludf.DUMMYFUNCTION("""COMPUTED_VALUE"""),"")</f>
        <v/>
      </c>
      <c r="O399" s="18" t="str">
        <f ca="1">IFERROR(__xludf.DUMMYFUNCTION("""COMPUTED_VALUE"""),"")</f>
        <v/>
      </c>
      <c r="P399" s="18" t="str">
        <f ca="1">IFERROR(__xludf.DUMMYFUNCTION("""COMPUTED_VALUE"""),"")</f>
        <v/>
      </c>
      <c r="Q399" s="18" t="str">
        <f ca="1">IFERROR(__xludf.DUMMYFUNCTION("""COMPUTED_VALUE"""),"")</f>
        <v/>
      </c>
      <c r="R399" s="18" t="str">
        <f ca="1">IFERROR(__xludf.DUMMYFUNCTION("""COMPUTED_VALUE"""),"")</f>
        <v/>
      </c>
      <c r="S399" s="18" t="str">
        <f ca="1">IFERROR(__xludf.DUMMYFUNCTION("""COMPUTED_VALUE"""),"")</f>
        <v/>
      </c>
      <c r="T399" s="18" t="str">
        <f ca="1">IFERROR(__xludf.DUMMYFUNCTION("""COMPUTED_VALUE"""),"")</f>
        <v/>
      </c>
      <c r="U399" s="18" t="str">
        <f ca="1">IFERROR(__xludf.DUMMYFUNCTION("""COMPUTED_VALUE"""),"")</f>
        <v/>
      </c>
      <c r="V399" s="18" t="str">
        <f ca="1">IFERROR(__xludf.DUMMYFUNCTION("""COMPUTED_VALUE"""),"")</f>
        <v/>
      </c>
      <c r="W399" s="18" t="str">
        <f ca="1">IFERROR(__xludf.DUMMYFUNCTION("""COMPUTED_VALUE"""),"")</f>
        <v/>
      </c>
      <c r="X399" s="18" t="str">
        <f ca="1">IFERROR(__xludf.DUMMYFUNCTION("""COMPUTED_VALUE"""),"")</f>
        <v/>
      </c>
      <c r="Y399" s="18" t="e">
        <f ca="1"/>
        <v>#NAME?</v>
      </c>
      <c r="Z399" s="18" t="str">
        <f ca="1">IFERROR(__xludf.DUMMYFUNCTION("""COMPUTED_VALUE"""),"")</f>
        <v/>
      </c>
      <c r="AA399" s="18" t="str">
        <f ca="1">IFERROR(__xludf.DUMMYFUNCTION("""COMPUTED_VALUE"""),"")</f>
        <v/>
      </c>
      <c r="AC399" s="59"/>
    </row>
    <row r="400" spans="1:29" x14ac:dyDescent="0.25">
      <c r="A400" s="18">
        <v>0</v>
      </c>
      <c r="B400" s="52" t="str">
        <f ca="1"/>
        <v/>
      </c>
      <c r="C400" s="52" t="str">
        <f ca="1">IFERROR(__xludf.DUMMYFUNCTION("""COMPUTED_VALUE"""),"")</f>
        <v/>
      </c>
      <c r="D400" s="18" t="str">
        <f ca="1">IFERROR(__xludf.DUMMYFUNCTION("""COMPUTED_VALUE"""),"")</f>
        <v/>
      </c>
      <c r="E400" s="18" t="str">
        <f ca="1">IFERROR(__xludf.DUMMYFUNCTION("""COMPUTED_VALUE"""),"")</f>
        <v/>
      </c>
      <c r="F400" s="18" t="str">
        <f ca="1">IFERROR(__xludf.DUMMYFUNCTION("""COMPUTED_VALUE"""),"")</f>
        <v/>
      </c>
      <c r="G400" s="18" t="str">
        <f ca="1">IFERROR(__xludf.DUMMYFUNCTION("""COMPUTED_VALUE"""),"")</f>
        <v/>
      </c>
      <c r="H400" s="18" t="str">
        <f ca="1">IFERROR(__xludf.DUMMYFUNCTION("""COMPUTED_VALUE"""),"")</f>
        <v/>
      </c>
      <c r="I400" s="18" t="str">
        <f ca="1">IFERROR(__xludf.DUMMYFUNCTION("""COMPUTED_VALUE"""),"")</f>
        <v/>
      </c>
      <c r="J400" s="18" t="str">
        <f ca="1">IFERROR(__xludf.DUMMYFUNCTION("""COMPUTED_VALUE"""),"")</f>
        <v/>
      </c>
      <c r="K400" s="18" t="str">
        <f ca="1">IFERROR(__xludf.DUMMYFUNCTION("""COMPUTED_VALUE"""),"")</f>
        <v/>
      </c>
      <c r="L400" s="18" t="str">
        <f ca="1">IFERROR(__xludf.DUMMYFUNCTION("""COMPUTED_VALUE"""),"")</f>
        <v/>
      </c>
      <c r="M400" s="18" t="str">
        <f ca="1">IFERROR(__xludf.DUMMYFUNCTION("""COMPUTED_VALUE"""),"")</f>
        <v/>
      </c>
      <c r="N400" s="18" t="str">
        <f ca="1">IFERROR(__xludf.DUMMYFUNCTION("""COMPUTED_VALUE"""),"")</f>
        <v/>
      </c>
      <c r="O400" s="18" t="str">
        <f ca="1">IFERROR(__xludf.DUMMYFUNCTION("""COMPUTED_VALUE"""),"")</f>
        <v/>
      </c>
      <c r="P400" s="18" t="str">
        <f ca="1">IFERROR(__xludf.DUMMYFUNCTION("""COMPUTED_VALUE"""),"")</f>
        <v/>
      </c>
      <c r="Q400" s="18" t="str">
        <f ca="1">IFERROR(__xludf.DUMMYFUNCTION("""COMPUTED_VALUE"""),"")</f>
        <v/>
      </c>
      <c r="R400" s="18" t="str">
        <f ca="1">IFERROR(__xludf.DUMMYFUNCTION("""COMPUTED_VALUE"""),"")</f>
        <v/>
      </c>
      <c r="S400" s="18" t="str">
        <f ca="1">IFERROR(__xludf.DUMMYFUNCTION("""COMPUTED_VALUE"""),"")</f>
        <v/>
      </c>
      <c r="T400" s="18" t="str">
        <f ca="1">IFERROR(__xludf.DUMMYFUNCTION("""COMPUTED_VALUE"""),"")</f>
        <v/>
      </c>
      <c r="U400" s="18" t="str">
        <f ca="1">IFERROR(__xludf.DUMMYFUNCTION("""COMPUTED_VALUE"""),"")</f>
        <v/>
      </c>
      <c r="V400" s="18" t="str">
        <f ca="1">IFERROR(__xludf.DUMMYFUNCTION("""COMPUTED_VALUE"""),"")</f>
        <v/>
      </c>
      <c r="W400" s="18" t="str">
        <f ca="1">IFERROR(__xludf.DUMMYFUNCTION("""COMPUTED_VALUE"""),"")</f>
        <v/>
      </c>
      <c r="X400" s="18" t="str">
        <f ca="1">IFERROR(__xludf.DUMMYFUNCTION("""COMPUTED_VALUE"""),"")</f>
        <v/>
      </c>
      <c r="Y400" s="18" t="e">
        <f ca="1"/>
        <v>#NAME?</v>
      </c>
      <c r="Z400" s="18" t="str">
        <f ca="1">IFERROR(__xludf.DUMMYFUNCTION("""COMPUTED_VALUE"""),"")</f>
        <v/>
      </c>
      <c r="AA400" s="18" t="str">
        <f ca="1">IFERROR(__xludf.DUMMYFUNCTION("""COMPUTED_VALUE"""),"")</f>
        <v/>
      </c>
      <c r="AC400" s="59"/>
    </row>
    <row r="401" spans="1:29" x14ac:dyDescent="0.25">
      <c r="A401" s="18">
        <v>0</v>
      </c>
      <c r="B401" s="52" t="str">
        <f ca="1"/>
        <v/>
      </c>
      <c r="C401" s="52" t="str">
        <f ca="1">IFERROR(__xludf.DUMMYFUNCTION("""COMPUTED_VALUE"""),"")</f>
        <v/>
      </c>
      <c r="D401" s="18" t="str">
        <f ca="1">IFERROR(__xludf.DUMMYFUNCTION("""COMPUTED_VALUE"""),"")</f>
        <v/>
      </c>
      <c r="E401" s="18" t="str">
        <f ca="1">IFERROR(__xludf.DUMMYFUNCTION("""COMPUTED_VALUE"""),"")</f>
        <v/>
      </c>
      <c r="F401" s="18" t="str">
        <f ca="1">IFERROR(__xludf.DUMMYFUNCTION("""COMPUTED_VALUE"""),"")</f>
        <v/>
      </c>
      <c r="G401" s="18" t="str">
        <f ca="1">IFERROR(__xludf.DUMMYFUNCTION("""COMPUTED_VALUE"""),"")</f>
        <v/>
      </c>
      <c r="H401" s="18" t="str">
        <f ca="1">IFERROR(__xludf.DUMMYFUNCTION("""COMPUTED_VALUE"""),"")</f>
        <v/>
      </c>
      <c r="I401" s="18" t="str">
        <f ca="1">IFERROR(__xludf.DUMMYFUNCTION("""COMPUTED_VALUE"""),"")</f>
        <v/>
      </c>
      <c r="J401" s="18" t="str">
        <f ca="1">IFERROR(__xludf.DUMMYFUNCTION("""COMPUTED_VALUE"""),"")</f>
        <v/>
      </c>
      <c r="K401" s="18" t="str">
        <f ca="1">IFERROR(__xludf.DUMMYFUNCTION("""COMPUTED_VALUE"""),"")</f>
        <v/>
      </c>
      <c r="L401" s="18" t="str">
        <f ca="1">IFERROR(__xludf.DUMMYFUNCTION("""COMPUTED_VALUE"""),"")</f>
        <v/>
      </c>
      <c r="M401" s="18" t="str">
        <f ca="1">IFERROR(__xludf.DUMMYFUNCTION("""COMPUTED_VALUE"""),"")</f>
        <v/>
      </c>
      <c r="N401" s="18" t="str">
        <f ca="1">IFERROR(__xludf.DUMMYFUNCTION("""COMPUTED_VALUE"""),"")</f>
        <v/>
      </c>
      <c r="O401" s="18" t="str">
        <f ca="1">IFERROR(__xludf.DUMMYFUNCTION("""COMPUTED_VALUE"""),"")</f>
        <v/>
      </c>
      <c r="P401" s="18" t="str">
        <f ca="1">IFERROR(__xludf.DUMMYFUNCTION("""COMPUTED_VALUE"""),"")</f>
        <v/>
      </c>
      <c r="Q401" s="18" t="str">
        <f ca="1">IFERROR(__xludf.DUMMYFUNCTION("""COMPUTED_VALUE"""),"")</f>
        <v/>
      </c>
      <c r="R401" s="18" t="str">
        <f ca="1">IFERROR(__xludf.DUMMYFUNCTION("""COMPUTED_VALUE"""),"")</f>
        <v/>
      </c>
      <c r="S401" s="18" t="str">
        <f ca="1">IFERROR(__xludf.DUMMYFUNCTION("""COMPUTED_VALUE"""),"")</f>
        <v/>
      </c>
      <c r="T401" s="18" t="str">
        <f ca="1">IFERROR(__xludf.DUMMYFUNCTION("""COMPUTED_VALUE"""),"")</f>
        <v/>
      </c>
      <c r="U401" s="18" t="str">
        <f ca="1">IFERROR(__xludf.DUMMYFUNCTION("""COMPUTED_VALUE"""),"")</f>
        <v/>
      </c>
      <c r="V401" s="18" t="str">
        <f ca="1">IFERROR(__xludf.DUMMYFUNCTION("""COMPUTED_VALUE"""),"")</f>
        <v/>
      </c>
      <c r="W401" s="18" t="str">
        <f ca="1">IFERROR(__xludf.DUMMYFUNCTION("""COMPUTED_VALUE"""),"")</f>
        <v/>
      </c>
      <c r="X401" s="18" t="str">
        <f ca="1">IFERROR(__xludf.DUMMYFUNCTION("""COMPUTED_VALUE"""),"")</f>
        <v/>
      </c>
      <c r="Y401" s="18" t="e">
        <f ca="1"/>
        <v>#NAME?</v>
      </c>
      <c r="Z401" s="18" t="str">
        <f ca="1">IFERROR(__xludf.DUMMYFUNCTION("""COMPUTED_VALUE"""),"")</f>
        <v/>
      </c>
      <c r="AA401" s="18" t="str">
        <f ca="1">IFERROR(__xludf.DUMMYFUNCTION("""COMPUTED_VALUE"""),"")</f>
        <v/>
      </c>
      <c r="AC401" s="59"/>
    </row>
    <row r="402" spans="1:29" x14ac:dyDescent="0.25">
      <c r="A402" s="18">
        <v>0</v>
      </c>
      <c r="B402" s="52" t="str">
        <f ca="1"/>
        <v/>
      </c>
      <c r="C402" s="52" t="str">
        <f ca="1">IFERROR(__xludf.DUMMYFUNCTION("""COMPUTED_VALUE"""),"")</f>
        <v/>
      </c>
      <c r="D402" s="18" t="str">
        <f ca="1">IFERROR(__xludf.DUMMYFUNCTION("""COMPUTED_VALUE"""),"")</f>
        <v/>
      </c>
      <c r="E402" s="18" t="str">
        <f ca="1">IFERROR(__xludf.DUMMYFUNCTION("""COMPUTED_VALUE"""),"")</f>
        <v/>
      </c>
      <c r="F402" s="18" t="str">
        <f ca="1">IFERROR(__xludf.DUMMYFUNCTION("""COMPUTED_VALUE"""),"")</f>
        <v/>
      </c>
      <c r="G402" s="18" t="str">
        <f ca="1">IFERROR(__xludf.DUMMYFUNCTION("""COMPUTED_VALUE"""),"")</f>
        <v/>
      </c>
      <c r="H402" s="18" t="str">
        <f ca="1">IFERROR(__xludf.DUMMYFUNCTION("""COMPUTED_VALUE"""),"")</f>
        <v/>
      </c>
      <c r="I402" s="18" t="str">
        <f ca="1">IFERROR(__xludf.DUMMYFUNCTION("""COMPUTED_VALUE"""),"")</f>
        <v/>
      </c>
      <c r="J402" s="18" t="str">
        <f ca="1">IFERROR(__xludf.DUMMYFUNCTION("""COMPUTED_VALUE"""),"")</f>
        <v/>
      </c>
      <c r="K402" s="18" t="str">
        <f ca="1">IFERROR(__xludf.DUMMYFUNCTION("""COMPUTED_VALUE"""),"")</f>
        <v/>
      </c>
      <c r="L402" s="18" t="str">
        <f ca="1">IFERROR(__xludf.DUMMYFUNCTION("""COMPUTED_VALUE"""),"")</f>
        <v/>
      </c>
      <c r="M402" s="18" t="str">
        <f ca="1">IFERROR(__xludf.DUMMYFUNCTION("""COMPUTED_VALUE"""),"")</f>
        <v/>
      </c>
      <c r="N402" s="18" t="str">
        <f ca="1">IFERROR(__xludf.DUMMYFUNCTION("""COMPUTED_VALUE"""),"")</f>
        <v/>
      </c>
      <c r="O402" s="18" t="str">
        <f ca="1">IFERROR(__xludf.DUMMYFUNCTION("""COMPUTED_VALUE"""),"")</f>
        <v/>
      </c>
      <c r="P402" s="18" t="str">
        <f ca="1">IFERROR(__xludf.DUMMYFUNCTION("""COMPUTED_VALUE"""),"")</f>
        <v/>
      </c>
      <c r="Q402" s="18" t="str">
        <f ca="1">IFERROR(__xludf.DUMMYFUNCTION("""COMPUTED_VALUE"""),"")</f>
        <v/>
      </c>
      <c r="R402" s="18" t="str">
        <f ca="1">IFERROR(__xludf.DUMMYFUNCTION("""COMPUTED_VALUE"""),"")</f>
        <v/>
      </c>
      <c r="S402" s="18" t="str">
        <f ca="1">IFERROR(__xludf.DUMMYFUNCTION("""COMPUTED_VALUE"""),"")</f>
        <v/>
      </c>
      <c r="T402" s="18" t="str">
        <f ca="1">IFERROR(__xludf.DUMMYFUNCTION("""COMPUTED_VALUE"""),"")</f>
        <v/>
      </c>
      <c r="U402" s="18" t="str">
        <f ca="1">IFERROR(__xludf.DUMMYFUNCTION("""COMPUTED_VALUE"""),"")</f>
        <v/>
      </c>
      <c r="V402" s="18" t="str">
        <f ca="1">IFERROR(__xludf.DUMMYFUNCTION("""COMPUTED_VALUE"""),"")</f>
        <v/>
      </c>
      <c r="W402" s="18" t="str">
        <f ca="1">IFERROR(__xludf.DUMMYFUNCTION("""COMPUTED_VALUE"""),"")</f>
        <v/>
      </c>
      <c r="X402" s="18" t="str">
        <f ca="1">IFERROR(__xludf.DUMMYFUNCTION("""COMPUTED_VALUE"""),"")</f>
        <v/>
      </c>
      <c r="Y402" s="18" t="e">
        <f ca="1"/>
        <v>#NAME?</v>
      </c>
      <c r="Z402" s="18" t="str">
        <f ca="1">IFERROR(__xludf.DUMMYFUNCTION("""COMPUTED_VALUE"""),"")</f>
        <v/>
      </c>
      <c r="AA402" s="18" t="str">
        <f ca="1">IFERROR(__xludf.DUMMYFUNCTION("""COMPUTED_VALUE"""),"")</f>
        <v/>
      </c>
      <c r="AC402" s="59"/>
    </row>
    <row r="403" spans="1:29" x14ac:dyDescent="0.25">
      <c r="A403" s="18">
        <v>0</v>
      </c>
      <c r="B403" s="52" t="str">
        <f ca="1"/>
        <v/>
      </c>
      <c r="C403" s="52" t="str">
        <f ca="1">IFERROR(__xludf.DUMMYFUNCTION("""COMPUTED_VALUE"""),"")</f>
        <v/>
      </c>
      <c r="D403" s="18" t="str">
        <f ca="1">IFERROR(__xludf.DUMMYFUNCTION("""COMPUTED_VALUE"""),"")</f>
        <v/>
      </c>
      <c r="E403" s="18" t="str">
        <f ca="1">IFERROR(__xludf.DUMMYFUNCTION("""COMPUTED_VALUE"""),"")</f>
        <v/>
      </c>
      <c r="F403" s="18" t="str">
        <f ca="1">IFERROR(__xludf.DUMMYFUNCTION("""COMPUTED_VALUE"""),"")</f>
        <v/>
      </c>
      <c r="G403" s="18" t="str">
        <f ca="1">IFERROR(__xludf.DUMMYFUNCTION("""COMPUTED_VALUE"""),"")</f>
        <v/>
      </c>
      <c r="H403" s="18" t="str">
        <f ca="1">IFERROR(__xludf.DUMMYFUNCTION("""COMPUTED_VALUE"""),"")</f>
        <v/>
      </c>
      <c r="I403" s="18" t="str">
        <f ca="1">IFERROR(__xludf.DUMMYFUNCTION("""COMPUTED_VALUE"""),"")</f>
        <v/>
      </c>
      <c r="J403" s="18" t="str">
        <f ca="1">IFERROR(__xludf.DUMMYFUNCTION("""COMPUTED_VALUE"""),"")</f>
        <v/>
      </c>
      <c r="K403" s="18" t="str">
        <f ca="1">IFERROR(__xludf.DUMMYFUNCTION("""COMPUTED_VALUE"""),"")</f>
        <v/>
      </c>
      <c r="L403" s="18" t="str">
        <f ca="1">IFERROR(__xludf.DUMMYFUNCTION("""COMPUTED_VALUE"""),"")</f>
        <v/>
      </c>
      <c r="M403" s="18" t="str">
        <f ca="1">IFERROR(__xludf.DUMMYFUNCTION("""COMPUTED_VALUE"""),"")</f>
        <v/>
      </c>
      <c r="N403" s="18" t="str">
        <f ca="1">IFERROR(__xludf.DUMMYFUNCTION("""COMPUTED_VALUE"""),"")</f>
        <v/>
      </c>
      <c r="O403" s="18" t="str">
        <f ca="1">IFERROR(__xludf.DUMMYFUNCTION("""COMPUTED_VALUE"""),"")</f>
        <v/>
      </c>
      <c r="P403" s="18" t="str">
        <f ca="1">IFERROR(__xludf.DUMMYFUNCTION("""COMPUTED_VALUE"""),"")</f>
        <v/>
      </c>
      <c r="Q403" s="18" t="str">
        <f ca="1">IFERROR(__xludf.DUMMYFUNCTION("""COMPUTED_VALUE"""),"")</f>
        <v/>
      </c>
      <c r="R403" s="18" t="str">
        <f ca="1">IFERROR(__xludf.DUMMYFUNCTION("""COMPUTED_VALUE"""),"")</f>
        <v/>
      </c>
      <c r="S403" s="18" t="str">
        <f ca="1">IFERROR(__xludf.DUMMYFUNCTION("""COMPUTED_VALUE"""),"")</f>
        <v/>
      </c>
      <c r="T403" s="18" t="str">
        <f ca="1">IFERROR(__xludf.DUMMYFUNCTION("""COMPUTED_VALUE"""),"")</f>
        <v/>
      </c>
      <c r="U403" s="18" t="str">
        <f ca="1">IFERROR(__xludf.DUMMYFUNCTION("""COMPUTED_VALUE"""),"")</f>
        <v/>
      </c>
      <c r="V403" s="18" t="str">
        <f ca="1">IFERROR(__xludf.DUMMYFUNCTION("""COMPUTED_VALUE"""),"")</f>
        <v/>
      </c>
      <c r="W403" s="18" t="str">
        <f ca="1">IFERROR(__xludf.DUMMYFUNCTION("""COMPUTED_VALUE"""),"")</f>
        <v/>
      </c>
      <c r="X403" s="18" t="str">
        <f ca="1">IFERROR(__xludf.DUMMYFUNCTION("""COMPUTED_VALUE"""),"")</f>
        <v/>
      </c>
      <c r="Y403" s="18" t="e">
        <f ca="1"/>
        <v>#NAME?</v>
      </c>
      <c r="Z403" s="18" t="str">
        <f ca="1">IFERROR(__xludf.DUMMYFUNCTION("""COMPUTED_VALUE"""),"")</f>
        <v/>
      </c>
      <c r="AA403" s="18" t="str">
        <f ca="1">IFERROR(__xludf.DUMMYFUNCTION("""COMPUTED_VALUE"""),"")</f>
        <v/>
      </c>
      <c r="AC403" s="59"/>
    </row>
    <row r="404" spans="1:29" x14ac:dyDescent="0.25">
      <c r="A404" s="18">
        <v>0</v>
      </c>
      <c r="B404" s="52" t="str">
        <f ca="1"/>
        <v/>
      </c>
      <c r="C404" s="52" t="str">
        <f ca="1">IFERROR(__xludf.DUMMYFUNCTION("""COMPUTED_VALUE"""),"")</f>
        <v/>
      </c>
      <c r="D404" s="18" t="str">
        <f ca="1">IFERROR(__xludf.DUMMYFUNCTION("""COMPUTED_VALUE"""),"")</f>
        <v/>
      </c>
      <c r="E404" s="18" t="str">
        <f ca="1">IFERROR(__xludf.DUMMYFUNCTION("""COMPUTED_VALUE"""),"")</f>
        <v/>
      </c>
      <c r="F404" s="18" t="str">
        <f ca="1">IFERROR(__xludf.DUMMYFUNCTION("""COMPUTED_VALUE"""),"")</f>
        <v/>
      </c>
      <c r="G404" s="18" t="str">
        <f ca="1">IFERROR(__xludf.DUMMYFUNCTION("""COMPUTED_VALUE"""),"")</f>
        <v/>
      </c>
      <c r="H404" s="18" t="str">
        <f ca="1">IFERROR(__xludf.DUMMYFUNCTION("""COMPUTED_VALUE"""),"")</f>
        <v/>
      </c>
      <c r="I404" s="18" t="str">
        <f ca="1">IFERROR(__xludf.DUMMYFUNCTION("""COMPUTED_VALUE"""),"")</f>
        <v/>
      </c>
      <c r="J404" s="18" t="str">
        <f ca="1">IFERROR(__xludf.DUMMYFUNCTION("""COMPUTED_VALUE"""),"")</f>
        <v/>
      </c>
      <c r="K404" s="18" t="str">
        <f ca="1">IFERROR(__xludf.DUMMYFUNCTION("""COMPUTED_VALUE"""),"")</f>
        <v/>
      </c>
      <c r="L404" s="18" t="str">
        <f ca="1">IFERROR(__xludf.DUMMYFUNCTION("""COMPUTED_VALUE"""),"")</f>
        <v/>
      </c>
      <c r="M404" s="18" t="str">
        <f ca="1">IFERROR(__xludf.DUMMYFUNCTION("""COMPUTED_VALUE"""),"")</f>
        <v/>
      </c>
      <c r="N404" s="18" t="str">
        <f ca="1">IFERROR(__xludf.DUMMYFUNCTION("""COMPUTED_VALUE"""),"")</f>
        <v/>
      </c>
      <c r="O404" s="18" t="str">
        <f ca="1">IFERROR(__xludf.DUMMYFUNCTION("""COMPUTED_VALUE"""),"")</f>
        <v/>
      </c>
      <c r="P404" s="18" t="str">
        <f ca="1">IFERROR(__xludf.DUMMYFUNCTION("""COMPUTED_VALUE"""),"")</f>
        <v/>
      </c>
      <c r="Q404" s="18" t="str">
        <f ca="1">IFERROR(__xludf.DUMMYFUNCTION("""COMPUTED_VALUE"""),"")</f>
        <v/>
      </c>
      <c r="R404" s="18" t="str">
        <f ca="1">IFERROR(__xludf.DUMMYFUNCTION("""COMPUTED_VALUE"""),"")</f>
        <v/>
      </c>
      <c r="S404" s="18" t="str">
        <f ca="1">IFERROR(__xludf.DUMMYFUNCTION("""COMPUTED_VALUE"""),"")</f>
        <v/>
      </c>
      <c r="T404" s="18" t="str">
        <f ca="1">IFERROR(__xludf.DUMMYFUNCTION("""COMPUTED_VALUE"""),"")</f>
        <v/>
      </c>
      <c r="U404" s="18" t="str">
        <f ca="1">IFERROR(__xludf.DUMMYFUNCTION("""COMPUTED_VALUE"""),"")</f>
        <v/>
      </c>
      <c r="V404" s="18" t="str">
        <f ca="1">IFERROR(__xludf.DUMMYFUNCTION("""COMPUTED_VALUE"""),"")</f>
        <v/>
      </c>
      <c r="W404" s="18" t="str">
        <f ca="1">IFERROR(__xludf.DUMMYFUNCTION("""COMPUTED_VALUE"""),"")</f>
        <v/>
      </c>
      <c r="X404" s="18" t="str">
        <f ca="1">IFERROR(__xludf.DUMMYFUNCTION("""COMPUTED_VALUE"""),"")</f>
        <v/>
      </c>
      <c r="Y404" s="18" t="e">
        <f ca="1"/>
        <v>#NAME?</v>
      </c>
      <c r="Z404" s="18" t="str">
        <f ca="1">IFERROR(__xludf.DUMMYFUNCTION("""COMPUTED_VALUE"""),"")</f>
        <v/>
      </c>
      <c r="AA404" s="18" t="str">
        <f ca="1">IFERROR(__xludf.DUMMYFUNCTION("""COMPUTED_VALUE"""),"")</f>
        <v/>
      </c>
      <c r="AC404" s="59"/>
    </row>
    <row r="405" spans="1:29" x14ac:dyDescent="0.25">
      <c r="A405" s="18">
        <v>0</v>
      </c>
      <c r="B405" s="52" t="str">
        <f ca="1"/>
        <v/>
      </c>
      <c r="C405" s="52" t="str">
        <f ca="1">IFERROR(__xludf.DUMMYFUNCTION("""COMPUTED_VALUE"""),"")</f>
        <v/>
      </c>
      <c r="D405" s="18" t="str">
        <f ca="1">IFERROR(__xludf.DUMMYFUNCTION("""COMPUTED_VALUE"""),"")</f>
        <v/>
      </c>
      <c r="E405" s="18" t="str">
        <f ca="1">IFERROR(__xludf.DUMMYFUNCTION("""COMPUTED_VALUE"""),"")</f>
        <v/>
      </c>
      <c r="F405" s="18" t="str">
        <f ca="1">IFERROR(__xludf.DUMMYFUNCTION("""COMPUTED_VALUE"""),"")</f>
        <v/>
      </c>
      <c r="G405" s="18" t="str">
        <f ca="1">IFERROR(__xludf.DUMMYFUNCTION("""COMPUTED_VALUE"""),"")</f>
        <v/>
      </c>
      <c r="H405" s="18" t="str">
        <f ca="1">IFERROR(__xludf.DUMMYFUNCTION("""COMPUTED_VALUE"""),"")</f>
        <v/>
      </c>
      <c r="I405" s="18" t="str">
        <f ca="1">IFERROR(__xludf.DUMMYFUNCTION("""COMPUTED_VALUE"""),"")</f>
        <v/>
      </c>
      <c r="J405" s="18" t="str">
        <f ca="1">IFERROR(__xludf.DUMMYFUNCTION("""COMPUTED_VALUE"""),"")</f>
        <v/>
      </c>
      <c r="K405" s="18" t="str">
        <f ca="1">IFERROR(__xludf.DUMMYFUNCTION("""COMPUTED_VALUE"""),"")</f>
        <v/>
      </c>
      <c r="L405" s="18" t="str">
        <f ca="1">IFERROR(__xludf.DUMMYFUNCTION("""COMPUTED_VALUE"""),"")</f>
        <v/>
      </c>
      <c r="M405" s="18" t="str">
        <f ca="1">IFERROR(__xludf.DUMMYFUNCTION("""COMPUTED_VALUE"""),"")</f>
        <v/>
      </c>
      <c r="N405" s="18" t="str">
        <f ca="1">IFERROR(__xludf.DUMMYFUNCTION("""COMPUTED_VALUE"""),"")</f>
        <v/>
      </c>
      <c r="O405" s="18" t="str">
        <f ca="1">IFERROR(__xludf.DUMMYFUNCTION("""COMPUTED_VALUE"""),"")</f>
        <v/>
      </c>
      <c r="P405" s="18" t="str">
        <f ca="1">IFERROR(__xludf.DUMMYFUNCTION("""COMPUTED_VALUE"""),"")</f>
        <v/>
      </c>
      <c r="Q405" s="18" t="str">
        <f ca="1">IFERROR(__xludf.DUMMYFUNCTION("""COMPUTED_VALUE"""),"")</f>
        <v/>
      </c>
      <c r="R405" s="18" t="str">
        <f ca="1">IFERROR(__xludf.DUMMYFUNCTION("""COMPUTED_VALUE"""),"")</f>
        <v/>
      </c>
      <c r="S405" s="18" t="str">
        <f ca="1">IFERROR(__xludf.DUMMYFUNCTION("""COMPUTED_VALUE"""),"")</f>
        <v/>
      </c>
      <c r="T405" s="18" t="str">
        <f ca="1">IFERROR(__xludf.DUMMYFUNCTION("""COMPUTED_VALUE"""),"")</f>
        <v/>
      </c>
      <c r="U405" s="18" t="str">
        <f ca="1">IFERROR(__xludf.DUMMYFUNCTION("""COMPUTED_VALUE"""),"")</f>
        <v/>
      </c>
      <c r="V405" s="18" t="str">
        <f ca="1">IFERROR(__xludf.DUMMYFUNCTION("""COMPUTED_VALUE"""),"")</f>
        <v/>
      </c>
      <c r="W405" s="18" t="str">
        <f ca="1">IFERROR(__xludf.DUMMYFUNCTION("""COMPUTED_VALUE"""),"")</f>
        <v/>
      </c>
      <c r="X405" s="18" t="str">
        <f ca="1">IFERROR(__xludf.DUMMYFUNCTION("""COMPUTED_VALUE"""),"")</f>
        <v/>
      </c>
      <c r="Y405" s="18" t="e">
        <f ca="1"/>
        <v>#NAME?</v>
      </c>
      <c r="Z405" s="18" t="str">
        <f ca="1">IFERROR(__xludf.DUMMYFUNCTION("""COMPUTED_VALUE"""),"")</f>
        <v/>
      </c>
      <c r="AA405" s="18" t="str">
        <f ca="1">IFERROR(__xludf.DUMMYFUNCTION("""COMPUTED_VALUE"""),"")</f>
        <v/>
      </c>
      <c r="AC405" s="59"/>
    </row>
    <row r="406" spans="1:29" x14ac:dyDescent="0.25">
      <c r="A406" s="18">
        <v>0</v>
      </c>
      <c r="B406" s="52" t="str">
        <f ca="1"/>
        <v/>
      </c>
      <c r="C406" s="52" t="str">
        <f ca="1">IFERROR(__xludf.DUMMYFUNCTION("""COMPUTED_VALUE"""),"")</f>
        <v/>
      </c>
      <c r="D406" s="18" t="str">
        <f ca="1">IFERROR(__xludf.DUMMYFUNCTION("""COMPUTED_VALUE"""),"")</f>
        <v/>
      </c>
      <c r="E406" s="18" t="str">
        <f ca="1">IFERROR(__xludf.DUMMYFUNCTION("""COMPUTED_VALUE"""),"")</f>
        <v/>
      </c>
      <c r="F406" s="18" t="str">
        <f ca="1">IFERROR(__xludf.DUMMYFUNCTION("""COMPUTED_VALUE"""),"")</f>
        <v/>
      </c>
      <c r="G406" s="18" t="str">
        <f ca="1">IFERROR(__xludf.DUMMYFUNCTION("""COMPUTED_VALUE"""),"")</f>
        <v/>
      </c>
      <c r="H406" s="18" t="str">
        <f ca="1">IFERROR(__xludf.DUMMYFUNCTION("""COMPUTED_VALUE"""),"")</f>
        <v/>
      </c>
      <c r="I406" s="18" t="str">
        <f ca="1">IFERROR(__xludf.DUMMYFUNCTION("""COMPUTED_VALUE"""),"")</f>
        <v/>
      </c>
      <c r="J406" s="18" t="str">
        <f ca="1">IFERROR(__xludf.DUMMYFUNCTION("""COMPUTED_VALUE"""),"")</f>
        <v/>
      </c>
      <c r="K406" s="18" t="str">
        <f ca="1">IFERROR(__xludf.DUMMYFUNCTION("""COMPUTED_VALUE"""),"")</f>
        <v/>
      </c>
      <c r="L406" s="18" t="str">
        <f ca="1">IFERROR(__xludf.DUMMYFUNCTION("""COMPUTED_VALUE"""),"")</f>
        <v/>
      </c>
      <c r="M406" s="18" t="str">
        <f ca="1">IFERROR(__xludf.DUMMYFUNCTION("""COMPUTED_VALUE"""),"")</f>
        <v/>
      </c>
      <c r="N406" s="18" t="str">
        <f ca="1">IFERROR(__xludf.DUMMYFUNCTION("""COMPUTED_VALUE"""),"")</f>
        <v/>
      </c>
      <c r="O406" s="18" t="str">
        <f ca="1">IFERROR(__xludf.DUMMYFUNCTION("""COMPUTED_VALUE"""),"")</f>
        <v/>
      </c>
      <c r="P406" s="18" t="str">
        <f ca="1">IFERROR(__xludf.DUMMYFUNCTION("""COMPUTED_VALUE"""),"")</f>
        <v/>
      </c>
      <c r="Q406" s="18" t="str">
        <f ca="1">IFERROR(__xludf.DUMMYFUNCTION("""COMPUTED_VALUE"""),"")</f>
        <v/>
      </c>
      <c r="R406" s="18" t="str">
        <f ca="1">IFERROR(__xludf.DUMMYFUNCTION("""COMPUTED_VALUE"""),"")</f>
        <v/>
      </c>
      <c r="S406" s="18" t="str">
        <f ca="1">IFERROR(__xludf.DUMMYFUNCTION("""COMPUTED_VALUE"""),"")</f>
        <v/>
      </c>
      <c r="T406" s="18" t="str">
        <f ca="1">IFERROR(__xludf.DUMMYFUNCTION("""COMPUTED_VALUE"""),"")</f>
        <v/>
      </c>
      <c r="U406" s="18" t="str">
        <f ca="1">IFERROR(__xludf.DUMMYFUNCTION("""COMPUTED_VALUE"""),"")</f>
        <v/>
      </c>
      <c r="V406" s="18" t="str">
        <f ca="1">IFERROR(__xludf.DUMMYFUNCTION("""COMPUTED_VALUE"""),"")</f>
        <v/>
      </c>
      <c r="W406" s="18" t="str">
        <f ca="1">IFERROR(__xludf.DUMMYFUNCTION("""COMPUTED_VALUE"""),"")</f>
        <v/>
      </c>
      <c r="X406" s="18" t="str">
        <f ca="1">IFERROR(__xludf.DUMMYFUNCTION("""COMPUTED_VALUE"""),"")</f>
        <v/>
      </c>
      <c r="Y406" s="18" t="e">
        <f ca="1"/>
        <v>#NAME?</v>
      </c>
      <c r="Z406" s="18" t="str">
        <f ca="1">IFERROR(__xludf.DUMMYFUNCTION("""COMPUTED_VALUE"""),"")</f>
        <v/>
      </c>
      <c r="AA406" s="18" t="str">
        <f ca="1">IFERROR(__xludf.DUMMYFUNCTION("""COMPUTED_VALUE"""),"")</f>
        <v/>
      </c>
      <c r="AC406" s="59"/>
    </row>
    <row r="407" spans="1:29" x14ac:dyDescent="0.25">
      <c r="A407" s="18">
        <v>0</v>
      </c>
      <c r="B407" s="52" t="str">
        <f ca="1"/>
        <v/>
      </c>
      <c r="C407" s="52" t="str">
        <f ca="1">IFERROR(__xludf.DUMMYFUNCTION("""COMPUTED_VALUE"""),"")</f>
        <v/>
      </c>
      <c r="D407" s="18" t="str">
        <f ca="1">IFERROR(__xludf.DUMMYFUNCTION("""COMPUTED_VALUE"""),"")</f>
        <v/>
      </c>
      <c r="E407" s="18" t="str">
        <f ca="1">IFERROR(__xludf.DUMMYFUNCTION("""COMPUTED_VALUE"""),"")</f>
        <v/>
      </c>
      <c r="F407" s="18" t="str">
        <f ca="1">IFERROR(__xludf.DUMMYFUNCTION("""COMPUTED_VALUE"""),"")</f>
        <v/>
      </c>
      <c r="G407" s="18" t="str">
        <f ca="1">IFERROR(__xludf.DUMMYFUNCTION("""COMPUTED_VALUE"""),"")</f>
        <v/>
      </c>
      <c r="H407" s="18" t="str">
        <f ca="1">IFERROR(__xludf.DUMMYFUNCTION("""COMPUTED_VALUE"""),"")</f>
        <v/>
      </c>
      <c r="I407" s="18" t="str">
        <f ca="1">IFERROR(__xludf.DUMMYFUNCTION("""COMPUTED_VALUE"""),"")</f>
        <v/>
      </c>
      <c r="J407" s="18" t="str">
        <f ca="1">IFERROR(__xludf.DUMMYFUNCTION("""COMPUTED_VALUE"""),"")</f>
        <v/>
      </c>
      <c r="K407" s="18" t="str">
        <f ca="1">IFERROR(__xludf.DUMMYFUNCTION("""COMPUTED_VALUE"""),"")</f>
        <v/>
      </c>
      <c r="L407" s="18" t="str">
        <f ca="1">IFERROR(__xludf.DUMMYFUNCTION("""COMPUTED_VALUE"""),"")</f>
        <v/>
      </c>
      <c r="M407" s="18" t="str">
        <f ca="1">IFERROR(__xludf.DUMMYFUNCTION("""COMPUTED_VALUE"""),"")</f>
        <v/>
      </c>
      <c r="N407" s="18" t="str">
        <f ca="1">IFERROR(__xludf.DUMMYFUNCTION("""COMPUTED_VALUE"""),"")</f>
        <v/>
      </c>
      <c r="O407" s="18" t="str">
        <f ca="1">IFERROR(__xludf.DUMMYFUNCTION("""COMPUTED_VALUE"""),"")</f>
        <v/>
      </c>
      <c r="P407" s="18" t="str">
        <f ca="1">IFERROR(__xludf.DUMMYFUNCTION("""COMPUTED_VALUE"""),"")</f>
        <v/>
      </c>
      <c r="Q407" s="18" t="str">
        <f ca="1">IFERROR(__xludf.DUMMYFUNCTION("""COMPUTED_VALUE"""),"")</f>
        <v/>
      </c>
      <c r="R407" s="18" t="str">
        <f ca="1">IFERROR(__xludf.DUMMYFUNCTION("""COMPUTED_VALUE"""),"")</f>
        <v/>
      </c>
      <c r="S407" s="18" t="str">
        <f ca="1">IFERROR(__xludf.DUMMYFUNCTION("""COMPUTED_VALUE"""),"")</f>
        <v/>
      </c>
      <c r="T407" s="18" t="str">
        <f ca="1">IFERROR(__xludf.DUMMYFUNCTION("""COMPUTED_VALUE"""),"")</f>
        <v/>
      </c>
      <c r="U407" s="18" t="str">
        <f ca="1">IFERROR(__xludf.DUMMYFUNCTION("""COMPUTED_VALUE"""),"")</f>
        <v/>
      </c>
      <c r="V407" s="18" t="str">
        <f ca="1">IFERROR(__xludf.DUMMYFUNCTION("""COMPUTED_VALUE"""),"")</f>
        <v/>
      </c>
      <c r="W407" s="18" t="str">
        <f ca="1">IFERROR(__xludf.DUMMYFUNCTION("""COMPUTED_VALUE"""),"")</f>
        <v/>
      </c>
      <c r="X407" s="18" t="str">
        <f ca="1">IFERROR(__xludf.DUMMYFUNCTION("""COMPUTED_VALUE"""),"")</f>
        <v/>
      </c>
      <c r="Y407" s="18" t="e">
        <f ca="1"/>
        <v>#NAME?</v>
      </c>
      <c r="Z407" s="18" t="str">
        <f ca="1">IFERROR(__xludf.DUMMYFUNCTION("""COMPUTED_VALUE"""),"")</f>
        <v/>
      </c>
      <c r="AA407" s="18" t="str">
        <f ca="1">IFERROR(__xludf.DUMMYFUNCTION("""COMPUTED_VALUE"""),"")</f>
        <v/>
      </c>
      <c r="AC407" s="59"/>
    </row>
    <row r="408" spans="1:29" x14ac:dyDescent="0.25">
      <c r="A408" s="18">
        <v>0</v>
      </c>
      <c r="B408" s="52" t="str">
        <f ca="1"/>
        <v/>
      </c>
      <c r="C408" s="52" t="str">
        <f ca="1">IFERROR(__xludf.DUMMYFUNCTION("""COMPUTED_VALUE"""),"")</f>
        <v/>
      </c>
      <c r="D408" s="18" t="str">
        <f ca="1">IFERROR(__xludf.DUMMYFUNCTION("""COMPUTED_VALUE"""),"")</f>
        <v/>
      </c>
      <c r="E408" s="18" t="str">
        <f ca="1">IFERROR(__xludf.DUMMYFUNCTION("""COMPUTED_VALUE"""),"")</f>
        <v/>
      </c>
      <c r="F408" s="18" t="str">
        <f ca="1">IFERROR(__xludf.DUMMYFUNCTION("""COMPUTED_VALUE"""),"")</f>
        <v/>
      </c>
      <c r="G408" s="18" t="str">
        <f ca="1">IFERROR(__xludf.DUMMYFUNCTION("""COMPUTED_VALUE"""),"")</f>
        <v/>
      </c>
      <c r="H408" s="18" t="str">
        <f ca="1">IFERROR(__xludf.DUMMYFUNCTION("""COMPUTED_VALUE"""),"")</f>
        <v/>
      </c>
      <c r="I408" s="18" t="str">
        <f ca="1">IFERROR(__xludf.DUMMYFUNCTION("""COMPUTED_VALUE"""),"")</f>
        <v/>
      </c>
      <c r="J408" s="18" t="str">
        <f ca="1">IFERROR(__xludf.DUMMYFUNCTION("""COMPUTED_VALUE"""),"")</f>
        <v/>
      </c>
      <c r="K408" s="18" t="str">
        <f ca="1">IFERROR(__xludf.DUMMYFUNCTION("""COMPUTED_VALUE"""),"")</f>
        <v/>
      </c>
      <c r="L408" s="18" t="str">
        <f ca="1">IFERROR(__xludf.DUMMYFUNCTION("""COMPUTED_VALUE"""),"")</f>
        <v/>
      </c>
      <c r="M408" s="18" t="str">
        <f ca="1">IFERROR(__xludf.DUMMYFUNCTION("""COMPUTED_VALUE"""),"")</f>
        <v/>
      </c>
      <c r="N408" s="18" t="str">
        <f ca="1">IFERROR(__xludf.DUMMYFUNCTION("""COMPUTED_VALUE"""),"")</f>
        <v/>
      </c>
      <c r="O408" s="18" t="str">
        <f ca="1">IFERROR(__xludf.DUMMYFUNCTION("""COMPUTED_VALUE"""),"")</f>
        <v/>
      </c>
      <c r="P408" s="18" t="str">
        <f ca="1">IFERROR(__xludf.DUMMYFUNCTION("""COMPUTED_VALUE"""),"")</f>
        <v/>
      </c>
      <c r="Q408" s="18" t="str">
        <f ca="1">IFERROR(__xludf.DUMMYFUNCTION("""COMPUTED_VALUE"""),"")</f>
        <v/>
      </c>
      <c r="R408" s="18" t="str">
        <f ca="1">IFERROR(__xludf.DUMMYFUNCTION("""COMPUTED_VALUE"""),"")</f>
        <v/>
      </c>
      <c r="S408" s="18" t="str">
        <f ca="1">IFERROR(__xludf.DUMMYFUNCTION("""COMPUTED_VALUE"""),"")</f>
        <v/>
      </c>
      <c r="T408" s="18" t="str">
        <f ca="1">IFERROR(__xludf.DUMMYFUNCTION("""COMPUTED_VALUE"""),"")</f>
        <v/>
      </c>
      <c r="U408" s="18" t="str">
        <f ca="1">IFERROR(__xludf.DUMMYFUNCTION("""COMPUTED_VALUE"""),"")</f>
        <v/>
      </c>
      <c r="V408" s="18" t="str">
        <f ca="1">IFERROR(__xludf.DUMMYFUNCTION("""COMPUTED_VALUE"""),"")</f>
        <v/>
      </c>
      <c r="W408" s="18" t="str">
        <f ca="1">IFERROR(__xludf.DUMMYFUNCTION("""COMPUTED_VALUE"""),"")</f>
        <v/>
      </c>
      <c r="X408" s="18" t="str">
        <f ca="1">IFERROR(__xludf.DUMMYFUNCTION("""COMPUTED_VALUE"""),"")</f>
        <v/>
      </c>
      <c r="Y408" s="18" t="e">
        <f ca="1"/>
        <v>#NAME?</v>
      </c>
      <c r="Z408" s="18" t="str">
        <f ca="1">IFERROR(__xludf.DUMMYFUNCTION("""COMPUTED_VALUE"""),"")</f>
        <v/>
      </c>
      <c r="AA408" s="18" t="str">
        <f ca="1">IFERROR(__xludf.DUMMYFUNCTION("""COMPUTED_VALUE"""),"")</f>
        <v/>
      </c>
      <c r="AC408" s="59"/>
    </row>
    <row r="409" spans="1:29" x14ac:dyDescent="0.25">
      <c r="A409" s="18">
        <v>0</v>
      </c>
      <c r="B409" s="52" t="str">
        <f ca="1"/>
        <v/>
      </c>
      <c r="C409" s="52" t="str">
        <f ca="1">IFERROR(__xludf.DUMMYFUNCTION("""COMPUTED_VALUE"""),"")</f>
        <v/>
      </c>
      <c r="D409" s="18" t="str">
        <f ca="1">IFERROR(__xludf.DUMMYFUNCTION("""COMPUTED_VALUE"""),"")</f>
        <v/>
      </c>
      <c r="E409" s="18" t="str">
        <f ca="1">IFERROR(__xludf.DUMMYFUNCTION("""COMPUTED_VALUE"""),"")</f>
        <v/>
      </c>
      <c r="F409" s="18" t="str">
        <f ca="1">IFERROR(__xludf.DUMMYFUNCTION("""COMPUTED_VALUE"""),"")</f>
        <v/>
      </c>
      <c r="G409" s="18" t="str">
        <f ca="1">IFERROR(__xludf.DUMMYFUNCTION("""COMPUTED_VALUE"""),"")</f>
        <v/>
      </c>
      <c r="H409" s="18" t="str">
        <f ca="1">IFERROR(__xludf.DUMMYFUNCTION("""COMPUTED_VALUE"""),"")</f>
        <v/>
      </c>
      <c r="I409" s="18" t="str">
        <f ca="1">IFERROR(__xludf.DUMMYFUNCTION("""COMPUTED_VALUE"""),"")</f>
        <v/>
      </c>
      <c r="J409" s="18" t="str">
        <f ca="1">IFERROR(__xludf.DUMMYFUNCTION("""COMPUTED_VALUE"""),"")</f>
        <v/>
      </c>
      <c r="K409" s="18" t="str">
        <f ca="1">IFERROR(__xludf.DUMMYFUNCTION("""COMPUTED_VALUE"""),"")</f>
        <v/>
      </c>
      <c r="L409" s="18" t="str">
        <f ca="1">IFERROR(__xludf.DUMMYFUNCTION("""COMPUTED_VALUE"""),"")</f>
        <v/>
      </c>
      <c r="M409" s="18" t="str">
        <f ca="1">IFERROR(__xludf.DUMMYFUNCTION("""COMPUTED_VALUE"""),"")</f>
        <v/>
      </c>
      <c r="N409" s="18" t="str">
        <f ca="1">IFERROR(__xludf.DUMMYFUNCTION("""COMPUTED_VALUE"""),"")</f>
        <v/>
      </c>
      <c r="O409" s="18" t="str">
        <f ca="1">IFERROR(__xludf.DUMMYFUNCTION("""COMPUTED_VALUE"""),"")</f>
        <v/>
      </c>
      <c r="P409" s="18" t="str">
        <f ca="1">IFERROR(__xludf.DUMMYFUNCTION("""COMPUTED_VALUE"""),"")</f>
        <v/>
      </c>
      <c r="Q409" s="18" t="str">
        <f ca="1">IFERROR(__xludf.DUMMYFUNCTION("""COMPUTED_VALUE"""),"")</f>
        <v/>
      </c>
      <c r="R409" s="18" t="str">
        <f ca="1">IFERROR(__xludf.DUMMYFUNCTION("""COMPUTED_VALUE"""),"")</f>
        <v/>
      </c>
      <c r="S409" s="18" t="str">
        <f ca="1">IFERROR(__xludf.DUMMYFUNCTION("""COMPUTED_VALUE"""),"")</f>
        <v/>
      </c>
      <c r="T409" s="18" t="str">
        <f ca="1">IFERROR(__xludf.DUMMYFUNCTION("""COMPUTED_VALUE"""),"")</f>
        <v/>
      </c>
      <c r="U409" s="18" t="str">
        <f ca="1">IFERROR(__xludf.DUMMYFUNCTION("""COMPUTED_VALUE"""),"")</f>
        <v/>
      </c>
      <c r="V409" s="18" t="str">
        <f ca="1">IFERROR(__xludf.DUMMYFUNCTION("""COMPUTED_VALUE"""),"")</f>
        <v/>
      </c>
      <c r="W409" s="18" t="str">
        <f ca="1">IFERROR(__xludf.DUMMYFUNCTION("""COMPUTED_VALUE"""),"")</f>
        <v/>
      </c>
      <c r="X409" s="18" t="str">
        <f ca="1">IFERROR(__xludf.DUMMYFUNCTION("""COMPUTED_VALUE"""),"")</f>
        <v/>
      </c>
      <c r="Y409" s="18" t="e">
        <f ca="1"/>
        <v>#NAME?</v>
      </c>
      <c r="Z409" s="18" t="str">
        <f ca="1">IFERROR(__xludf.DUMMYFUNCTION("""COMPUTED_VALUE"""),"")</f>
        <v/>
      </c>
      <c r="AA409" s="18" t="str">
        <f ca="1">IFERROR(__xludf.DUMMYFUNCTION("""COMPUTED_VALUE"""),"")</f>
        <v/>
      </c>
      <c r="AC409" s="59"/>
    </row>
    <row r="410" spans="1:29" x14ac:dyDescent="0.25">
      <c r="A410" s="18">
        <v>0</v>
      </c>
      <c r="B410" s="52" t="str">
        <f ca="1"/>
        <v/>
      </c>
      <c r="C410" s="52" t="str">
        <f ca="1">IFERROR(__xludf.DUMMYFUNCTION("""COMPUTED_VALUE"""),"")</f>
        <v/>
      </c>
      <c r="D410" s="18" t="str">
        <f ca="1">IFERROR(__xludf.DUMMYFUNCTION("""COMPUTED_VALUE"""),"")</f>
        <v/>
      </c>
      <c r="E410" s="18" t="str">
        <f ca="1">IFERROR(__xludf.DUMMYFUNCTION("""COMPUTED_VALUE"""),"")</f>
        <v/>
      </c>
      <c r="F410" s="18" t="str">
        <f ca="1">IFERROR(__xludf.DUMMYFUNCTION("""COMPUTED_VALUE"""),"")</f>
        <v/>
      </c>
      <c r="G410" s="18" t="str">
        <f ca="1">IFERROR(__xludf.DUMMYFUNCTION("""COMPUTED_VALUE"""),"")</f>
        <v/>
      </c>
      <c r="H410" s="18" t="str">
        <f ca="1">IFERROR(__xludf.DUMMYFUNCTION("""COMPUTED_VALUE"""),"")</f>
        <v/>
      </c>
      <c r="I410" s="18" t="str">
        <f ca="1">IFERROR(__xludf.DUMMYFUNCTION("""COMPUTED_VALUE"""),"")</f>
        <v/>
      </c>
      <c r="J410" s="18" t="str">
        <f ca="1">IFERROR(__xludf.DUMMYFUNCTION("""COMPUTED_VALUE"""),"")</f>
        <v/>
      </c>
      <c r="K410" s="18" t="str">
        <f ca="1">IFERROR(__xludf.DUMMYFUNCTION("""COMPUTED_VALUE"""),"")</f>
        <v/>
      </c>
      <c r="L410" s="18" t="str">
        <f ca="1">IFERROR(__xludf.DUMMYFUNCTION("""COMPUTED_VALUE"""),"")</f>
        <v/>
      </c>
      <c r="M410" s="18" t="str">
        <f ca="1">IFERROR(__xludf.DUMMYFUNCTION("""COMPUTED_VALUE"""),"")</f>
        <v/>
      </c>
      <c r="N410" s="18" t="str">
        <f ca="1">IFERROR(__xludf.DUMMYFUNCTION("""COMPUTED_VALUE"""),"")</f>
        <v/>
      </c>
      <c r="O410" s="18" t="str">
        <f ca="1">IFERROR(__xludf.DUMMYFUNCTION("""COMPUTED_VALUE"""),"")</f>
        <v/>
      </c>
      <c r="P410" s="18" t="str">
        <f ca="1">IFERROR(__xludf.DUMMYFUNCTION("""COMPUTED_VALUE"""),"")</f>
        <v/>
      </c>
      <c r="Q410" s="18" t="str">
        <f ca="1">IFERROR(__xludf.DUMMYFUNCTION("""COMPUTED_VALUE"""),"")</f>
        <v/>
      </c>
      <c r="R410" s="18" t="str">
        <f ca="1">IFERROR(__xludf.DUMMYFUNCTION("""COMPUTED_VALUE"""),"")</f>
        <v/>
      </c>
      <c r="S410" s="18" t="str">
        <f ca="1">IFERROR(__xludf.DUMMYFUNCTION("""COMPUTED_VALUE"""),"")</f>
        <v/>
      </c>
      <c r="T410" s="18" t="str">
        <f ca="1">IFERROR(__xludf.DUMMYFUNCTION("""COMPUTED_VALUE"""),"")</f>
        <v/>
      </c>
      <c r="U410" s="18" t="str">
        <f ca="1">IFERROR(__xludf.DUMMYFUNCTION("""COMPUTED_VALUE"""),"")</f>
        <v/>
      </c>
      <c r="V410" s="18" t="str">
        <f ca="1">IFERROR(__xludf.DUMMYFUNCTION("""COMPUTED_VALUE"""),"")</f>
        <v/>
      </c>
      <c r="W410" s="18" t="str">
        <f ca="1">IFERROR(__xludf.DUMMYFUNCTION("""COMPUTED_VALUE"""),"")</f>
        <v/>
      </c>
      <c r="X410" s="18" t="str">
        <f ca="1">IFERROR(__xludf.DUMMYFUNCTION("""COMPUTED_VALUE"""),"")</f>
        <v/>
      </c>
      <c r="Y410" s="18" t="e">
        <f ca="1"/>
        <v>#NAME?</v>
      </c>
      <c r="Z410" s="18" t="str">
        <f ca="1">IFERROR(__xludf.DUMMYFUNCTION("""COMPUTED_VALUE"""),"")</f>
        <v/>
      </c>
      <c r="AA410" s="18" t="str">
        <f ca="1">IFERROR(__xludf.DUMMYFUNCTION("""COMPUTED_VALUE"""),"")</f>
        <v/>
      </c>
      <c r="AC410" s="59"/>
    </row>
    <row r="411" spans="1:29" x14ac:dyDescent="0.25">
      <c r="A411" s="18">
        <v>0</v>
      </c>
      <c r="B411" s="52" t="str">
        <f ca="1"/>
        <v/>
      </c>
      <c r="C411" s="52" t="str">
        <f ca="1">IFERROR(__xludf.DUMMYFUNCTION("""COMPUTED_VALUE"""),"")</f>
        <v/>
      </c>
      <c r="D411" s="18" t="str">
        <f ca="1">IFERROR(__xludf.DUMMYFUNCTION("""COMPUTED_VALUE"""),"")</f>
        <v/>
      </c>
      <c r="E411" s="18" t="str">
        <f ca="1">IFERROR(__xludf.DUMMYFUNCTION("""COMPUTED_VALUE"""),"")</f>
        <v/>
      </c>
      <c r="F411" s="18" t="str">
        <f ca="1">IFERROR(__xludf.DUMMYFUNCTION("""COMPUTED_VALUE"""),"")</f>
        <v/>
      </c>
      <c r="G411" s="18" t="str">
        <f ca="1">IFERROR(__xludf.DUMMYFUNCTION("""COMPUTED_VALUE"""),"")</f>
        <v/>
      </c>
      <c r="H411" s="18" t="str">
        <f ca="1">IFERROR(__xludf.DUMMYFUNCTION("""COMPUTED_VALUE"""),"")</f>
        <v/>
      </c>
      <c r="I411" s="18" t="str">
        <f ca="1">IFERROR(__xludf.DUMMYFUNCTION("""COMPUTED_VALUE"""),"")</f>
        <v/>
      </c>
      <c r="J411" s="18" t="str">
        <f ca="1">IFERROR(__xludf.DUMMYFUNCTION("""COMPUTED_VALUE"""),"")</f>
        <v/>
      </c>
      <c r="K411" s="18" t="str">
        <f ca="1">IFERROR(__xludf.DUMMYFUNCTION("""COMPUTED_VALUE"""),"")</f>
        <v/>
      </c>
      <c r="L411" s="18" t="str">
        <f ca="1">IFERROR(__xludf.DUMMYFUNCTION("""COMPUTED_VALUE"""),"")</f>
        <v/>
      </c>
      <c r="M411" s="18" t="str">
        <f ca="1">IFERROR(__xludf.DUMMYFUNCTION("""COMPUTED_VALUE"""),"")</f>
        <v/>
      </c>
      <c r="N411" s="18" t="str">
        <f ca="1">IFERROR(__xludf.DUMMYFUNCTION("""COMPUTED_VALUE"""),"")</f>
        <v/>
      </c>
      <c r="O411" s="18" t="str">
        <f ca="1">IFERROR(__xludf.DUMMYFUNCTION("""COMPUTED_VALUE"""),"")</f>
        <v/>
      </c>
      <c r="P411" s="18" t="str">
        <f ca="1">IFERROR(__xludf.DUMMYFUNCTION("""COMPUTED_VALUE"""),"")</f>
        <v/>
      </c>
      <c r="Q411" s="18" t="str">
        <f ca="1">IFERROR(__xludf.DUMMYFUNCTION("""COMPUTED_VALUE"""),"")</f>
        <v/>
      </c>
      <c r="R411" s="18" t="str">
        <f ca="1">IFERROR(__xludf.DUMMYFUNCTION("""COMPUTED_VALUE"""),"")</f>
        <v/>
      </c>
      <c r="S411" s="18" t="str">
        <f ca="1">IFERROR(__xludf.DUMMYFUNCTION("""COMPUTED_VALUE"""),"")</f>
        <v/>
      </c>
      <c r="T411" s="18" t="str">
        <f ca="1">IFERROR(__xludf.DUMMYFUNCTION("""COMPUTED_VALUE"""),"")</f>
        <v/>
      </c>
      <c r="U411" s="18" t="str">
        <f ca="1">IFERROR(__xludf.DUMMYFUNCTION("""COMPUTED_VALUE"""),"")</f>
        <v/>
      </c>
      <c r="V411" s="18" t="str">
        <f ca="1">IFERROR(__xludf.DUMMYFUNCTION("""COMPUTED_VALUE"""),"")</f>
        <v/>
      </c>
      <c r="W411" s="18" t="str">
        <f ca="1">IFERROR(__xludf.DUMMYFUNCTION("""COMPUTED_VALUE"""),"")</f>
        <v/>
      </c>
      <c r="X411" s="18" t="str">
        <f ca="1">IFERROR(__xludf.DUMMYFUNCTION("""COMPUTED_VALUE"""),"")</f>
        <v/>
      </c>
      <c r="Y411" s="18" t="e">
        <f ca="1"/>
        <v>#NAME?</v>
      </c>
      <c r="Z411" s="18" t="str">
        <f ca="1">IFERROR(__xludf.DUMMYFUNCTION("""COMPUTED_VALUE"""),"")</f>
        <v/>
      </c>
      <c r="AA411" s="18" t="str">
        <f ca="1">IFERROR(__xludf.DUMMYFUNCTION("""COMPUTED_VALUE"""),"")</f>
        <v/>
      </c>
      <c r="AC411" s="59"/>
    </row>
    <row r="412" spans="1:29" x14ac:dyDescent="0.25">
      <c r="A412" s="18">
        <v>0</v>
      </c>
      <c r="B412" s="52" t="str">
        <f ca="1"/>
        <v/>
      </c>
      <c r="C412" s="52" t="str">
        <f ca="1">IFERROR(__xludf.DUMMYFUNCTION("""COMPUTED_VALUE"""),"")</f>
        <v/>
      </c>
      <c r="D412" s="18" t="str">
        <f ca="1">IFERROR(__xludf.DUMMYFUNCTION("""COMPUTED_VALUE"""),"")</f>
        <v/>
      </c>
      <c r="E412" s="18" t="str">
        <f ca="1">IFERROR(__xludf.DUMMYFUNCTION("""COMPUTED_VALUE"""),"")</f>
        <v/>
      </c>
      <c r="F412" s="18" t="str">
        <f ca="1">IFERROR(__xludf.DUMMYFUNCTION("""COMPUTED_VALUE"""),"")</f>
        <v/>
      </c>
      <c r="G412" s="18" t="str">
        <f ca="1">IFERROR(__xludf.DUMMYFUNCTION("""COMPUTED_VALUE"""),"")</f>
        <v/>
      </c>
      <c r="H412" s="18" t="str">
        <f ca="1">IFERROR(__xludf.DUMMYFUNCTION("""COMPUTED_VALUE"""),"")</f>
        <v/>
      </c>
      <c r="I412" s="18" t="str">
        <f ca="1">IFERROR(__xludf.DUMMYFUNCTION("""COMPUTED_VALUE"""),"")</f>
        <v/>
      </c>
      <c r="J412" s="18" t="str">
        <f ca="1">IFERROR(__xludf.DUMMYFUNCTION("""COMPUTED_VALUE"""),"")</f>
        <v/>
      </c>
      <c r="K412" s="18" t="str">
        <f ca="1">IFERROR(__xludf.DUMMYFUNCTION("""COMPUTED_VALUE"""),"")</f>
        <v/>
      </c>
      <c r="L412" s="18" t="str">
        <f ca="1">IFERROR(__xludf.DUMMYFUNCTION("""COMPUTED_VALUE"""),"")</f>
        <v/>
      </c>
      <c r="M412" s="18" t="str">
        <f ca="1">IFERROR(__xludf.DUMMYFUNCTION("""COMPUTED_VALUE"""),"")</f>
        <v/>
      </c>
      <c r="N412" s="18" t="str">
        <f ca="1">IFERROR(__xludf.DUMMYFUNCTION("""COMPUTED_VALUE"""),"")</f>
        <v/>
      </c>
      <c r="O412" s="18" t="str">
        <f ca="1">IFERROR(__xludf.DUMMYFUNCTION("""COMPUTED_VALUE"""),"")</f>
        <v/>
      </c>
      <c r="P412" s="18" t="str">
        <f ca="1">IFERROR(__xludf.DUMMYFUNCTION("""COMPUTED_VALUE"""),"")</f>
        <v/>
      </c>
      <c r="Q412" s="18" t="str">
        <f ca="1">IFERROR(__xludf.DUMMYFUNCTION("""COMPUTED_VALUE"""),"")</f>
        <v/>
      </c>
      <c r="R412" s="18" t="str">
        <f ca="1">IFERROR(__xludf.DUMMYFUNCTION("""COMPUTED_VALUE"""),"")</f>
        <v/>
      </c>
      <c r="S412" s="18" t="str">
        <f ca="1">IFERROR(__xludf.DUMMYFUNCTION("""COMPUTED_VALUE"""),"")</f>
        <v/>
      </c>
      <c r="T412" s="18" t="str">
        <f ca="1">IFERROR(__xludf.DUMMYFUNCTION("""COMPUTED_VALUE"""),"")</f>
        <v/>
      </c>
      <c r="U412" s="18" t="str">
        <f ca="1">IFERROR(__xludf.DUMMYFUNCTION("""COMPUTED_VALUE"""),"")</f>
        <v/>
      </c>
      <c r="V412" s="18" t="str">
        <f ca="1">IFERROR(__xludf.DUMMYFUNCTION("""COMPUTED_VALUE"""),"")</f>
        <v/>
      </c>
      <c r="W412" s="18" t="str">
        <f ca="1">IFERROR(__xludf.DUMMYFUNCTION("""COMPUTED_VALUE"""),"")</f>
        <v/>
      </c>
      <c r="X412" s="18" t="str">
        <f ca="1">IFERROR(__xludf.DUMMYFUNCTION("""COMPUTED_VALUE"""),"")</f>
        <v/>
      </c>
      <c r="Y412" s="18" t="e">
        <f ca="1"/>
        <v>#NAME?</v>
      </c>
      <c r="Z412" s="18" t="str">
        <f ca="1">IFERROR(__xludf.DUMMYFUNCTION("""COMPUTED_VALUE"""),"")</f>
        <v/>
      </c>
      <c r="AA412" s="18" t="str">
        <f ca="1">IFERROR(__xludf.DUMMYFUNCTION("""COMPUTED_VALUE"""),"")</f>
        <v/>
      </c>
      <c r="AC412" s="59"/>
    </row>
    <row r="413" spans="1:29" x14ac:dyDescent="0.25">
      <c r="A413" s="18">
        <v>0</v>
      </c>
      <c r="B413" s="52" t="str">
        <f ca="1"/>
        <v/>
      </c>
      <c r="C413" s="52" t="str">
        <f ca="1">IFERROR(__xludf.DUMMYFUNCTION("""COMPUTED_VALUE"""),"")</f>
        <v/>
      </c>
      <c r="D413" s="18" t="str">
        <f ca="1">IFERROR(__xludf.DUMMYFUNCTION("""COMPUTED_VALUE"""),"")</f>
        <v/>
      </c>
      <c r="E413" s="18" t="str">
        <f ca="1">IFERROR(__xludf.DUMMYFUNCTION("""COMPUTED_VALUE"""),"")</f>
        <v/>
      </c>
      <c r="F413" s="18" t="str">
        <f ca="1">IFERROR(__xludf.DUMMYFUNCTION("""COMPUTED_VALUE"""),"")</f>
        <v/>
      </c>
      <c r="G413" s="18" t="str">
        <f ca="1">IFERROR(__xludf.DUMMYFUNCTION("""COMPUTED_VALUE"""),"")</f>
        <v/>
      </c>
      <c r="H413" s="18" t="str">
        <f ca="1">IFERROR(__xludf.DUMMYFUNCTION("""COMPUTED_VALUE"""),"")</f>
        <v/>
      </c>
      <c r="I413" s="18" t="str">
        <f ca="1">IFERROR(__xludf.DUMMYFUNCTION("""COMPUTED_VALUE"""),"")</f>
        <v/>
      </c>
      <c r="J413" s="18" t="str">
        <f ca="1">IFERROR(__xludf.DUMMYFUNCTION("""COMPUTED_VALUE"""),"")</f>
        <v/>
      </c>
      <c r="K413" s="18" t="str">
        <f ca="1">IFERROR(__xludf.DUMMYFUNCTION("""COMPUTED_VALUE"""),"")</f>
        <v/>
      </c>
      <c r="L413" s="18" t="str">
        <f ca="1">IFERROR(__xludf.DUMMYFUNCTION("""COMPUTED_VALUE"""),"")</f>
        <v/>
      </c>
      <c r="M413" s="18" t="str">
        <f ca="1">IFERROR(__xludf.DUMMYFUNCTION("""COMPUTED_VALUE"""),"")</f>
        <v/>
      </c>
      <c r="N413" s="18" t="str">
        <f ca="1">IFERROR(__xludf.DUMMYFUNCTION("""COMPUTED_VALUE"""),"")</f>
        <v/>
      </c>
      <c r="O413" s="18" t="str">
        <f ca="1">IFERROR(__xludf.DUMMYFUNCTION("""COMPUTED_VALUE"""),"")</f>
        <v/>
      </c>
      <c r="P413" s="18" t="str">
        <f ca="1">IFERROR(__xludf.DUMMYFUNCTION("""COMPUTED_VALUE"""),"")</f>
        <v/>
      </c>
      <c r="Q413" s="18" t="str">
        <f ca="1">IFERROR(__xludf.DUMMYFUNCTION("""COMPUTED_VALUE"""),"")</f>
        <v/>
      </c>
      <c r="R413" s="18" t="str">
        <f ca="1">IFERROR(__xludf.DUMMYFUNCTION("""COMPUTED_VALUE"""),"")</f>
        <v/>
      </c>
      <c r="S413" s="18" t="str">
        <f ca="1">IFERROR(__xludf.DUMMYFUNCTION("""COMPUTED_VALUE"""),"")</f>
        <v/>
      </c>
      <c r="T413" s="18" t="str">
        <f ca="1">IFERROR(__xludf.DUMMYFUNCTION("""COMPUTED_VALUE"""),"")</f>
        <v/>
      </c>
      <c r="U413" s="18" t="str">
        <f ca="1">IFERROR(__xludf.DUMMYFUNCTION("""COMPUTED_VALUE"""),"")</f>
        <v/>
      </c>
      <c r="V413" s="18" t="str">
        <f ca="1">IFERROR(__xludf.DUMMYFUNCTION("""COMPUTED_VALUE"""),"")</f>
        <v/>
      </c>
      <c r="W413" s="18" t="str">
        <f ca="1">IFERROR(__xludf.DUMMYFUNCTION("""COMPUTED_VALUE"""),"")</f>
        <v/>
      </c>
      <c r="X413" s="18" t="str">
        <f ca="1">IFERROR(__xludf.DUMMYFUNCTION("""COMPUTED_VALUE"""),"")</f>
        <v/>
      </c>
      <c r="Y413" s="18" t="e">
        <f ca="1"/>
        <v>#NAME?</v>
      </c>
      <c r="Z413" s="18" t="str">
        <f ca="1">IFERROR(__xludf.DUMMYFUNCTION("""COMPUTED_VALUE"""),"")</f>
        <v/>
      </c>
      <c r="AA413" s="18" t="str">
        <f ca="1">IFERROR(__xludf.DUMMYFUNCTION("""COMPUTED_VALUE"""),"")</f>
        <v/>
      </c>
      <c r="AC413" s="59"/>
    </row>
    <row r="414" spans="1:29" x14ac:dyDescent="0.25">
      <c r="A414" s="18">
        <v>0</v>
      </c>
      <c r="B414" s="52" t="str">
        <f ca="1"/>
        <v/>
      </c>
      <c r="C414" s="52" t="str">
        <f ca="1">IFERROR(__xludf.DUMMYFUNCTION("""COMPUTED_VALUE"""),"")</f>
        <v/>
      </c>
      <c r="D414" s="18" t="str">
        <f ca="1">IFERROR(__xludf.DUMMYFUNCTION("""COMPUTED_VALUE"""),"")</f>
        <v/>
      </c>
      <c r="E414" s="18" t="str">
        <f ca="1">IFERROR(__xludf.DUMMYFUNCTION("""COMPUTED_VALUE"""),"")</f>
        <v/>
      </c>
      <c r="F414" s="18" t="str">
        <f ca="1">IFERROR(__xludf.DUMMYFUNCTION("""COMPUTED_VALUE"""),"")</f>
        <v/>
      </c>
      <c r="G414" s="18" t="str">
        <f ca="1">IFERROR(__xludf.DUMMYFUNCTION("""COMPUTED_VALUE"""),"")</f>
        <v/>
      </c>
      <c r="H414" s="18" t="str">
        <f ca="1">IFERROR(__xludf.DUMMYFUNCTION("""COMPUTED_VALUE"""),"")</f>
        <v/>
      </c>
      <c r="I414" s="18" t="str">
        <f ca="1">IFERROR(__xludf.DUMMYFUNCTION("""COMPUTED_VALUE"""),"")</f>
        <v/>
      </c>
      <c r="J414" s="18" t="str">
        <f ca="1">IFERROR(__xludf.DUMMYFUNCTION("""COMPUTED_VALUE"""),"")</f>
        <v/>
      </c>
      <c r="K414" s="18" t="str">
        <f ca="1">IFERROR(__xludf.DUMMYFUNCTION("""COMPUTED_VALUE"""),"")</f>
        <v/>
      </c>
      <c r="L414" s="18" t="str">
        <f ca="1">IFERROR(__xludf.DUMMYFUNCTION("""COMPUTED_VALUE"""),"")</f>
        <v/>
      </c>
      <c r="M414" s="18" t="str">
        <f ca="1">IFERROR(__xludf.DUMMYFUNCTION("""COMPUTED_VALUE"""),"")</f>
        <v/>
      </c>
      <c r="N414" s="18" t="str">
        <f ca="1">IFERROR(__xludf.DUMMYFUNCTION("""COMPUTED_VALUE"""),"")</f>
        <v/>
      </c>
      <c r="O414" s="18" t="str">
        <f ca="1">IFERROR(__xludf.DUMMYFUNCTION("""COMPUTED_VALUE"""),"")</f>
        <v/>
      </c>
      <c r="P414" s="18" t="str">
        <f ca="1">IFERROR(__xludf.DUMMYFUNCTION("""COMPUTED_VALUE"""),"")</f>
        <v/>
      </c>
      <c r="Q414" s="18" t="str">
        <f ca="1">IFERROR(__xludf.DUMMYFUNCTION("""COMPUTED_VALUE"""),"")</f>
        <v/>
      </c>
      <c r="R414" s="18" t="str">
        <f ca="1">IFERROR(__xludf.DUMMYFUNCTION("""COMPUTED_VALUE"""),"")</f>
        <v/>
      </c>
      <c r="S414" s="18" t="str">
        <f ca="1">IFERROR(__xludf.DUMMYFUNCTION("""COMPUTED_VALUE"""),"")</f>
        <v/>
      </c>
      <c r="T414" s="18" t="str">
        <f ca="1">IFERROR(__xludf.DUMMYFUNCTION("""COMPUTED_VALUE"""),"")</f>
        <v/>
      </c>
      <c r="U414" s="18" t="str">
        <f ca="1">IFERROR(__xludf.DUMMYFUNCTION("""COMPUTED_VALUE"""),"")</f>
        <v/>
      </c>
      <c r="V414" s="18" t="str">
        <f ca="1">IFERROR(__xludf.DUMMYFUNCTION("""COMPUTED_VALUE"""),"")</f>
        <v/>
      </c>
      <c r="W414" s="18" t="str">
        <f ca="1">IFERROR(__xludf.DUMMYFUNCTION("""COMPUTED_VALUE"""),"")</f>
        <v/>
      </c>
      <c r="X414" s="18" t="str">
        <f ca="1">IFERROR(__xludf.DUMMYFUNCTION("""COMPUTED_VALUE"""),"")</f>
        <v/>
      </c>
      <c r="Y414" s="18" t="e">
        <f ca="1"/>
        <v>#NAME?</v>
      </c>
      <c r="Z414" s="18" t="str">
        <f ca="1">IFERROR(__xludf.DUMMYFUNCTION("""COMPUTED_VALUE"""),"")</f>
        <v/>
      </c>
      <c r="AA414" s="18" t="str">
        <f ca="1">IFERROR(__xludf.DUMMYFUNCTION("""COMPUTED_VALUE"""),"")</f>
        <v/>
      </c>
      <c r="AC414" s="59"/>
    </row>
    <row r="415" spans="1:29" x14ac:dyDescent="0.25">
      <c r="A415" s="18">
        <v>0</v>
      </c>
      <c r="B415" s="52" t="str">
        <f ca="1"/>
        <v/>
      </c>
      <c r="C415" s="52" t="str">
        <f ca="1">IFERROR(__xludf.DUMMYFUNCTION("""COMPUTED_VALUE"""),"")</f>
        <v/>
      </c>
      <c r="D415" s="18" t="str">
        <f ca="1">IFERROR(__xludf.DUMMYFUNCTION("""COMPUTED_VALUE"""),"")</f>
        <v/>
      </c>
      <c r="E415" s="18" t="str">
        <f ca="1">IFERROR(__xludf.DUMMYFUNCTION("""COMPUTED_VALUE"""),"")</f>
        <v/>
      </c>
      <c r="F415" s="18" t="str">
        <f ca="1">IFERROR(__xludf.DUMMYFUNCTION("""COMPUTED_VALUE"""),"")</f>
        <v/>
      </c>
      <c r="G415" s="18" t="str">
        <f ca="1">IFERROR(__xludf.DUMMYFUNCTION("""COMPUTED_VALUE"""),"")</f>
        <v/>
      </c>
      <c r="H415" s="18" t="str">
        <f ca="1">IFERROR(__xludf.DUMMYFUNCTION("""COMPUTED_VALUE"""),"")</f>
        <v/>
      </c>
      <c r="I415" s="18" t="str">
        <f ca="1">IFERROR(__xludf.DUMMYFUNCTION("""COMPUTED_VALUE"""),"")</f>
        <v/>
      </c>
      <c r="J415" s="18" t="str">
        <f ca="1">IFERROR(__xludf.DUMMYFUNCTION("""COMPUTED_VALUE"""),"")</f>
        <v/>
      </c>
      <c r="K415" s="18" t="str">
        <f ca="1">IFERROR(__xludf.DUMMYFUNCTION("""COMPUTED_VALUE"""),"")</f>
        <v/>
      </c>
      <c r="L415" s="18" t="str">
        <f ca="1">IFERROR(__xludf.DUMMYFUNCTION("""COMPUTED_VALUE"""),"")</f>
        <v/>
      </c>
      <c r="M415" s="18" t="str">
        <f ca="1">IFERROR(__xludf.DUMMYFUNCTION("""COMPUTED_VALUE"""),"")</f>
        <v/>
      </c>
      <c r="N415" s="18" t="str">
        <f ca="1">IFERROR(__xludf.DUMMYFUNCTION("""COMPUTED_VALUE"""),"")</f>
        <v/>
      </c>
      <c r="O415" s="18" t="str">
        <f ca="1">IFERROR(__xludf.DUMMYFUNCTION("""COMPUTED_VALUE"""),"")</f>
        <v/>
      </c>
      <c r="P415" s="18" t="str">
        <f ca="1">IFERROR(__xludf.DUMMYFUNCTION("""COMPUTED_VALUE"""),"")</f>
        <v/>
      </c>
      <c r="Q415" s="18" t="str">
        <f ca="1">IFERROR(__xludf.DUMMYFUNCTION("""COMPUTED_VALUE"""),"")</f>
        <v/>
      </c>
      <c r="R415" s="18" t="str">
        <f ca="1">IFERROR(__xludf.DUMMYFUNCTION("""COMPUTED_VALUE"""),"")</f>
        <v/>
      </c>
      <c r="S415" s="18" t="str">
        <f ca="1">IFERROR(__xludf.DUMMYFUNCTION("""COMPUTED_VALUE"""),"")</f>
        <v/>
      </c>
      <c r="T415" s="18" t="str">
        <f ca="1">IFERROR(__xludf.DUMMYFUNCTION("""COMPUTED_VALUE"""),"")</f>
        <v/>
      </c>
      <c r="U415" s="18" t="str">
        <f ca="1">IFERROR(__xludf.DUMMYFUNCTION("""COMPUTED_VALUE"""),"")</f>
        <v/>
      </c>
      <c r="V415" s="18" t="str">
        <f ca="1">IFERROR(__xludf.DUMMYFUNCTION("""COMPUTED_VALUE"""),"")</f>
        <v/>
      </c>
      <c r="W415" s="18" t="str">
        <f ca="1">IFERROR(__xludf.DUMMYFUNCTION("""COMPUTED_VALUE"""),"")</f>
        <v/>
      </c>
      <c r="X415" s="18" t="str">
        <f ca="1">IFERROR(__xludf.DUMMYFUNCTION("""COMPUTED_VALUE"""),"")</f>
        <v/>
      </c>
      <c r="Y415" s="18" t="e">
        <f ca="1"/>
        <v>#NAME?</v>
      </c>
      <c r="Z415" s="18" t="str">
        <f ca="1">IFERROR(__xludf.DUMMYFUNCTION("""COMPUTED_VALUE"""),"")</f>
        <v/>
      </c>
      <c r="AA415" s="18" t="str">
        <f ca="1">IFERROR(__xludf.DUMMYFUNCTION("""COMPUTED_VALUE"""),"")</f>
        <v/>
      </c>
      <c r="AC415" s="59"/>
    </row>
    <row r="416" spans="1:29" x14ac:dyDescent="0.25">
      <c r="A416" s="18">
        <v>0</v>
      </c>
      <c r="B416" s="52" t="str">
        <f ca="1"/>
        <v/>
      </c>
      <c r="C416" s="52" t="str">
        <f ca="1">IFERROR(__xludf.DUMMYFUNCTION("""COMPUTED_VALUE"""),"")</f>
        <v/>
      </c>
      <c r="D416" s="18" t="str">
        <f ca="1">IFERROR(__xludf.DUMMYFUNCTION("""COMPUTED_VALUE"""),"")</f>
        <v/>
      </c>
      <c r="E416" s="18" t="str">
        <f ca="1">IFERROR(__xludf.DUMMYFUNCTION("""COMPUTED_VALUE"""),"")</f>
        <v/>
      </c>
      <c r="F416" s="18" t="str">
        <f ca="1">IFERROR(__xludf.DUMMYFUNCTION("""COMPUTED_VALUE"""),"")</f>
        <v/>
      </c>
      <c r="G416" s="18" t="str">
        <f ca="1">IFERROR(__xludf.DUMMYFUNCTION("""COMPUTED_VALUE"""),"")</f>
        <v/>
      </c>
      <c r="H416" s="18" t="str">
        <f ca="1">IFERROR(__xludf.DUMMYFUNCTION("""COMPUTED_VALUE"""),"")</f>
        <v/>
      </c>
      <c r="I416" s="18" t="str">
        <f ca="1">IFERROR(__xludf.DUMMYFUNCTION("""COMPUTED_VALUE"""),"")</f>
        <v/>
      </c>
      <c r="J416" s="18" t="str">
        <f ca="1">IFERROR(__xludf.DUMMYFUNCTION("""COMPUTED_VALUE"""),"")</f>
        <v/>
      </c>
      <c r="K416" s="18" t="str">
        <f ca="1">IFERROR(__xludf.DUMMYFUNCTION("""COMPUTED_VALUE"""),"")</f>
        <v/>
      </c>
      <c r="L416" s="18" t="str">
        <f ca="1">IFERROR(__xludf.DUMMYFUNCTION("""COMPUTED_VALUE"""),"")</f>
        <v/>
      </c>
      <c r="M416" s="18" t="str">
        <f ca="1">IFERROR(__xludf.DUMMYFUNCTION("""COMPUTED_VALUE"""),"")</f>
        <v/>
      </c>
      <c r="N416" s="18" t="str">
        <f ca="1">IFERROR(__xludf.DUMMYFUNCTION("""COMPUTED_VALUE"""),"")</f>
        <v/>
      </c>
      <c r="O416" s="18" t="str">
        <f ca="1">IFERROR(__xludf.DUMMYFUNCTION("""COMPUTED_VALUE"""),"")</f>
        <v/>
      </c>
      <c r="P416" s="18" t="str">
        <f ca="1">IFERROR(__xludf.DUMMYFUNCTION("""COMPUTED_VALUE"""),"")</f>
        <v/>
      </c>
      <c r="Q416" s="18" t="str">
        <f ca="1">IFERROR(__xludf.DUMMYFUNCTION("""COMPUTED_VALUE"""),"")</f>
        <v/>
      </c>
      <c r="R416" s="18" t="str">
        <f ca="1">IFERROR(__xludf.DUMMYFUNCTION("""COMPUTED_VALUE"""),"")</f>
        <v/>
      </c>
      <c r="S416" s="18" t="str">
        <f ca="1">IFERROR(__xludf.DUMMYFUNCTION("""COMPUTED_VALUE"""),"")</f>
        <v/>
      </c>
      <c r="T416" s="18" t="str">
        <f ca="1">IFERROR(__xludf.DUMMYFUNCTION("""COMPUTED_VALUE"""),"")</f>
        <v/>
      </c>
      <c r="U416" s="18" t="str">
        <f ca="1">IFERROR(__xludf.DUMMYFUNCTION("""COMPUTED_VALUE"""),"")</f>
        <v/>
      </c>
      <c r="V416" s="18" t="str">
        <f ca="1">IFERROR(__xludf.DUMMYFUNCTION("""COMPUTED_VALUE"""),"")</f>
        <v/>
      </c>
      <c r="W416" s="18" t="str">
        <f ca="1">IFERROR(__xludf.DUMMYFUNCTION("""COMPUTED_VALUE"""),"")</f>
        <v/>
      </c>
      <c r="X416" s="18" t="str">
        <f ca="1">IFERROR(__xludf.DUMMYFUNCTION("""COMPUTED_VALUE"""),"")</f>
        <v/>
      </c>
      <c r="Y416" s="18" t="e">
        <f ca="1"/>
        <v>#NAME?</v>
      </c>
      <c r="Z416" s="18" t="str">
        <f ca="1">IFERROR(__xludf.DUMMYFUNCTION("""COMPUTED_VALUE"""),"")</f>
        <v/>
      </c>
      <c r="AA416" s="18" t="str">
        <f ca="1">IFERROR(__xludf.DUMMYFUNCTION("""COMPUTED_VALUE"""),"")</f>
        <v/>
      </c>
      <c r="AC416" s="59"/>
    </row>
    <row r="417" spans="1:29" x14ac:dyDescent="0.25">
      <c r="A417" s="18">
        <v>0</v>
      </c>
      <c r="B417" s="52" t="str">
        <f ca="1"/>
        <v/>
      </c>
      <c r="C417" s="52" t="str">
        <f ca="1">IFERROR(__xludf.DUMMYFUNCTION("""COMPUTED_VALUE"""),"")</f>
        <v/>
      </c>
      <c r="D417" s="18" t="str">
        <f ca="1">IFERROR(__xludf.DUMMYFUNCTION("""COMPUTED_VALUE"""),"")</f>
        <v/>
      </c>
      <c r="E417" s="18" t="str">
        <f ca="1">IFERROR(__xludf.DUMMYFUNCTION("""COMPUTED_VALUE"""),"")</f>
        <v/>
      </c>
      <c r="F417" s="18" t="str">
        <f ca="1">IFERROR(__xludf.DUMMYFUNCTION("""COMPUTED_VALUE"""),"")</f>
        <v/>
      </c>
      <c r="G417" s="18" t="str">
        <f ca="1">IFERROR(__xludf.DUMMYFUNCTION("""COMPUTED_VALUE"""),"")</f>
        <v/>
      </c>
      <c r="H417" s="18" t="str">
        <f ca="1">IFERROR(__xludf.DUMMYFUNCTION("""COMPUTED_VALUE"""),"")</f>
        <v/>
      </c>
      <c r="I417" s="18" t="str">
        <f ca="1">IFERROR(__xludf.DUMMYFUNCTION("""COMPUTED_VALUE"""),"")</f>
        <v/>
      </c>
      <c r="J417" s="18" t="str">
        <f ca="1">IFERROR(__xludf.DUMMYFUNCTION("""COMPUTED_VALUE"""),"")</f>
        <v/>
      </c>
      <c r="K417" s="18" t="str">
        <f ca="1">IFERROR(__xludf.DUMMYFUNCTION("""COMPUTED_VALUE"""),"")</f>
        <v/>
      </c>
      <c r="L417" s="18" t="str">
        <f ca="1">IFERROR(__xludf.DUMMYFUNCTION("""COMPUTED_VALUE"""),"")</f>
        <v/>
      </c>
      <c r="M417" s="18" t="str">
        <f ca="1">IFERROR(__xludf.DUMMYFUNCTION("""COMPUTED_VALUE"""),"")</f>
        <v/>
      </c>
      <c r="N417" s="18" t="str">
        <f ca="1">IFERROR(__xludf.DUMMYFUNCTION("""COMPUTED_VALUE"""),"")</f>
        <v/>
      </c>
      <c r="O417" s="18" t="str">
        <f ca="1">IFERROR(__xludf.DUMMYFUNCTION("""COMPUTED_VALUE"""),"")</f>
        <v/>
      </c>
      <c r="P417" s="18" t="str">
        <f ca="1">IFERROR(__xludf.DUMMYFUNCTION("""COMPUTED_VALUE"""),"")</f>
        <v/>
      </c>
      <c r="Q417" s="18" t="str">
        <f ca="1">IFERROR(__xludf.DUMMYFUNCTION("""COMPUTED_VALUE"""),"")</f>
        <v/>
      </c>
      <c r="R417" s="18" t="str">
        <f ca="1">IFERROR(__xludf.DUMMYFUNCTION("""COMPUTED_VALUE"""),"")</f>
        <v/>
      </c>
      <c r="S417" s="18" t="str">
        <f ca="1">IFERROR(__xludf.DUMMYFUNCTION("""COMPUTED_VALUE"""),"")</f>
        <v/>
      </c>
      <c r="T417" s="18" t="str">
        <f ca="1">IFERROR(__xludf.DUMMYFUNCTION("""COMPUTED_VALUE"""),"")</f>
        <v/>
      </c>
      <c r="U417" s="18" t="str">
        <f ca="1">IFERROR(__xludf.DUMMYFUNCTION("""COMPUTED_VALUE"""),"")</f>
        <v/>
      </c>
      <c r="V417" s="18" t="str">
        <f ca="1">IFERROR(__xludf.DUMMYFUNCTION("""COMPUTED_VALUE"""),"")</f>
        <v/>
      </c>
      <c r="W417" s="18" t="str">
        <f ca="1">IFERROR(__xludf.DUMMYFUNCTION("""COMPUTED_VALUE"""),"")</f>
        <v/>
      </c>
      <c r="X417" s="18" t="str">
        <f ca="1">IFERROR(__xludf.DUMMYFUNCTION("""COMPUTED_VALUE"""),"")</f>
        <v/>
      </c>
      <c r="Y417" s="18" t="e">
        <f ca="1"/>
        <v>#NAME?</v>
      </c>
      <c r="Z417" s="18" t="str">
        <f ca="1">IFERROR(__xludf.DUMMYFUNCTION("""COMPUTED_VALUE"""),"")</f>
        <v/>
      </c>
      <c r="AA417" s="18" t="str">
        <f ca="1">IFERROR(__xludf.DUMMYFUNCTION("""COMPUTED_VALUE"""),"")</f>
        <v/>
      </c>
      <c r="AC417" s="59"/>
    </row>
    <row r="418" spans="1:29" x14ac:dyDescent="0.25">
      <c r="A418" s="18">
        <v>0</v>
      </c>
      <c r="B418" s="52" t="str">
        <f ca="1"/>
        <v/>
      </c>
      <c r="C418" s="52" t="str">
        <f ca="1">IFERROR(__xludf.DUMMYFUNCTION("""COMPUTED_VALUE"""),"")</f>
        <v/>
      </c>
      <c r="D418" s="18" t="str">
        <f ca="1">IFERROR(__xludf.DUMMYFUNCTION("""COMPUTED_VALUE"""),"")</f>
        <v/>
      </c>
      <c r="E418" s="18" t="str">
        <f ca="1">IFERROR(__xludf.DUMMYFUNCTION("""COMPUTED_VALUE"""),"")</f>
        <v/>
      </c>
      <c r="F418" s="18" t="str">
        <f ca="1">IFERROR(__xludf.DUMMYFUNCTION("""COMPUTED_VALUE"""),"")</f>
        <v/>
      </c>
      <c r="G418" s="18" t="str">
        <f ca="1">IFERROR(__xludf.DUMMYFUNCTION("""COMPUTED_VALUE"""),"")</f>
        <v/>
      </c>
      <c r="H418" s="18" t="str">
        <f ca="1">IFERROR(__xludf.DUMMYFUNCTION("""COMPUTED_VALUE"""),"")</f>
        <v/>
      </c>
      <c r="I418" s="18" t="str">
        <f ca="1">IFERROR(__xludf.DUMMYFUNCTION("""COMPUTED_VALUE"""),"")</f>
        <v/>
      </c>
      <c r="J418" s="18" t="str">
        <f ca="1">IFERROR(__xludf.DUMMYFUNCTION("""COMPUTED_VALUE"""),"")</f>
        <v/>
      </c>
      <c r="K418" s="18" t="str">
        <f ca="1">IFERROR(__xludf.DUMMYFUNCTION("""COMPUTED_VALUE"""),"")</f>
        <v/>
      </c>
      <c r="L418" s="18" t="str">
        <f ca="1">IFERROR(__xludf.DUMMYFUNCTION("""COMPUTED_VALUE"""),"")</f>
        <v/>
      </c>
      <c r="M418" s="18" t="str">
        <f ca="1">IFERROR(__xludf.DUMMYFUNCTION("""COMPUTED_VALUE"""),"")</f>
        <v/>
      </c>
      <c r="N418" s="18" t="str">
        <f ca="1">IFERROR(__xludf.DUMMYFUNCTION("""COMPUTED_VALUE"""),"")</f>
        <v/>
      </c>
      <c r="O418" s="18" t="str">
        <f ca="1">IFERROR(__xludf.DUMMYFUNCTION("""COMPUTED_VALUE"""),"")</f>
        <v/>
      </c>
      <c r="P418" s="18" t="str">
        <f ca="1">IFERROR(__xludf.DUMMYFUNCTION("""COMPUTED_VALUE"""),"")</f>
        <v/>
      </c>
      <c r="Q418" s="18" t="str">
        <f ca="1">IFERROR(__xludf.DUMMYFUNCTION("""COMPUTED_VALUE"""),"")</f>
        <v/>
      </c>
      <c r="R418" s="18" t="str">
        <f ca="1">IFERROR(__xludf.DUMMYFUNCTION("""COMPUTED_VALUE"""),"")</f>
        <v/>
      </c>
      <c r="S418" s="18" t="str">
        <f ca="1">IFERROR(__xludf.DUMMYFUNCTION("""COMPUTED_VALUE"""),"")</f>
        <v/>
      </c>
      <c r="T418" s="18" t="str">
        <f ca="1">IFERROR(__xludf.DUMMYFUNCTION("""COMPUTED_VALUE"""),"")</f>
        <v/>
      </c>
      <c r="U418" s="18" t="str">
        <f ca="1">IFERROR(__xludf.DUMMYFUNCTION("""COMPUTED_VALUE"""),"")</f>
        <v/>
      </c>
      <c r="V418" s="18" t="str">
        <f ca="1">IFERROR(__xludf.DUMMYFUNCTION("""COMPUTED_VALUE"""),"")</f>
        <v/>
      </c>
      <c r="W418" s="18" t="str">
        <f ca="1">IFERROR(__xludf.DUMMYFUNCTION("""COMPUTED_VALUE"""),"")</f>
        <v/>
      </c>
      <c r="X418" s="18" t="str">
        <f ca="1">IFERROR(__xludf.DUMMYFUNCTION("""COMPUTED_VALUE"""),"")</f>
        <v/>
      </c>
      <c r="Y418" s="18" t="e">
        <f ca="1"/>
        <v>#NAME?</v>
      </c>
      <c r="Z418" s="18" t="str">
        <f ca="1">IFERROR(__xludf.DUMMYFUNCTION("""COMPUTED_VALUE"""),"")</f>
        <v/>
      </c>
      <c r="AA418" s="18" t="str">
        <f ca="1">IFERROR(__xludf.DUMMYFUNCTION("""COMPUTED_VALUE"""),"")</f>
        <v/>
      </c>
      <c r="AC418" s="59"/>
    </row>
    <row r="419" spans="1:29" x14ac:dyDescent="0.25">
      <c r="A419" s="18">
        <v>0</v>
      </c>
      <c r="B419" s="52" t="str">
        <f ca="1"/>
        <v/>
      </c>
      <c r="C419" s="52" t="str">
        <f ca="1">IFERROR(__xludf.DUMMYFUNCTION("""COMPUTED_VALUE"""),"")</f>
        <v/>
      </c>
      <c r="D419" s="18" t="str">
        <f ca="1">IFERROR(__xludf.DUMMYFUNCTION("""COMPUTED_VALUE"""),"")</f>
        <v/>
      </c>
      <c r="E419" s="18" t="str">
        <f ca="1">IFERROR(__xludf.DUMMYFUNCTION("""COMPUTED_VALUE"""),"")</f>
        <v/>
      </c>
      <c r="F419" s="18" t="str">
        <f ca="1">IFERROR(__xludf.DUMMYFUNCTION("""COMPUTED_VALUE"""),"")</f>
        <v/>
      </c>
      <c r="G419" s="18" t="str">
        <f ca="1">IFERROR(__xludf.DUMMYFUNCTION("""COMPUTED_VALUE"""),"")</f>
        <v/>
      </c>
      <c r="H419" s="18" t="str">
        <f ca="1">IFERROR(__xludf.DUMMYFUNCTION("""COMPUTED_VALUE"""),"")</f>
        <v/>
      </c>
      <c r="I419" s="18" t="str">
        <f ca="1">IFERROR(__xludf.DUMMYFUNCTION("""COMPUTED_VALUE"""),"")</f>
        <v/>
      </c>
      <c r="J419" s="18" t="str">
        <f ca="1">IFERROR(__xludf.DUMMYFUNCTION("""COMPUTED_VALUE"""),"")</f>
        <v/>
      </c>
      <c r="K419" s="18" t="str">
        <f ca="1">IFERROR(__xludf.DUMMYFUNCTION("""COMPUTED_VALUE"""),"")</f>
        <v/>
      </c>
      <c r="L419" s="18" t="str">
        <f ca="1">IFERROR(__xludf.DUMMYFUNCTION("""COMPUTED_VALUE"""),"")</f>
        <v/>
      </c>
      <c r="M419" s="18" t="str">
        <f ca="1">IFERROR(__xludf.DUMMYFUNCTION("""COMPUTED_VALUE"""),"")</f>
        <v/>
      </c>
      <c r="N419" s="18" t="str">
        <f ca="1">IFERROR(__xludf.DUMMYFUNCTION("""COMPUTED_VALUE"""),"")</f>
        <v/>
      </c>
      <c r="O419" s="18" t="str">
        <f ca="1">IFERROR(__xludf.DUMMYFUNCTION("""COMPUTED_VALUE"""),"")</f>
        <v/>
      </c>
      <c r="P419" s="18" t="str">
        <f ca="1">IFERROR(__xludf.DUMMYFUNCTION("""COMPUTED_VALUE"""),"")</f>
        <v/>
      </c>
      <c r="Q419" s="18" t="str">
        <f ca="1">IFERROR(__xludf.DUMMYFUNCTION("""COMPUTED_VALUE"""),"")</f>
        <v/>
      </c>
      <c r="R419" s="18" t="str">
        <f ca="1">IFERROR(__xludf.DUMMYFUNCTION("""COMPUTED_VALUE"""),"")</f>
        <v/>
      </c>
      <c r="S419" s="18" t="str">
        <f ca="1">IFERROR(__xludf.DUMMYFUNCTION("""COMPUTED_VALUE"""),"")</f>
        <v/>
      </c>
      <c r="T419" s="18" t="str">
        <f ca="1">IFERROR(__xludf.DUMMYFUNCTION("""COMPUTED_VALUE"""),"")</f>
        <v/>
      </c>
      <c r="U419" s="18" t="str">
        <f ca="1">IFERROR(__xludf.DUMMYFUNCTION("""COMPUTED_VALUE"""),"")</f>
        <v/>
      </c>
      <c r="V419" s="18" t="str">
        <f ca="1">IFERROR(__xludf.DUMMYFUNCTION("""COMPUTED_VALUE"""),"")</f>
        <v/>
      </c>
      <c r="W419" s="18" t="str">
        <f ca="1">IFERROR(__xludf.DUMMYFUNCTION("""COMPUTED_VALUE"""),"")</f>
        <v/>
      </c>
      <c r="X419" s="18" t="str">
        <f ca="1">IFERROR(__xludf.DUMMYFUNCTION("""COMPUTED_VALUE"""),"")</f>
        <v/>
      </c>
      <c r="Y419" s="18" t="e">
        <f ca="1"/>
        <v>#NAME?</v>
      </c>
      <c r="Z419" s="18" t="str">
        <f ca="1">IFERROR(__xludf.DUMMYFUNCTION("""COMPUTED_VALUE"""),"")</f>
        <v/>
      </c>
      <c r="AA419" s="18" t="str">
        <f ca="1">IFERROR(__xludf.DUMMYFUNCTION("""COMPUTED_VALUE"""),"")</f>
        <v/>
      </c>
      <c r="AC419" s="59"/>
    </row>
    <row r="420" spans="1:29" x14ac:dyDescent="0.25">
      <c r="A420" s="18">
        <v>0</v>
      </c>
      <c r="B420" s="52" t="str">
        <f ca="1"/>
        <v/>
      </c>
      <c r="C420" s="52" t="str">
        <f ca="1">IFERROR(__xludf.DUMMYFUNCTION("""COMPUTED_VALUE"""),"")</f>
        <v/>
      </c>
      <c r="D420" s="18" t="str">
        <f ca="1">IFERROR(__xludf.DUMMYFUNCTION("""COMPUTED_VALUE"""),"")</f>
        <v/>
      </c>
      <c r="E420" s="18" t="str">
        <f ca="1">IFERROR(__xludf.DUMMYFUNCTION("""COMPUTED_VALUE"""),"")</f>
        <v/>
      </c>
      <c r="F420" s="18" t="str">
        <f ca="1">IFERROR(__xludf.DUMMYFUNCTION("""COMPUTED_VALUE"""),"")</f>
        <v/>
      </c>
      <c r="G420" s="18" t="str">
        <f ca="1">IFERROR(__xludf.DUMMYFUNCTION("""COMPUTED_VALUE"""),"")</f>
        <v/>
      </c>
      <c r="H420" s="18" t="str">
        <f ca="1">IFERROR(__xludf.DUMMYFUNCTION("""COMPUTED_VALUE"""),"")</f>
        <v/>
      </c>
      <c r="I420" s="18" t="str">
        <f ca="1">IFERROR(__xludf.DUMMYFUNCTION("""COMPUTED_VALUE"""),"")</f>
        <v/>
      </c>
      <c r="J420" s="18" t="str">
        <f ca="1">IFERROR(__xludf.DUMMYFUNCTION("""COMPUTED_VALUE"""),"")</f>
        <v/>
      </c>
      <c r="K420" s="18" t="str">
        <f ca="1">IFERROR(__xludf.DUMMYFUNCTION("""COMPUTED_VALUE"""),"")</f>
        <v/>
      </c>
      <c r="L420" s="18" t="str">
        <f ca="1">IFERROR(__xludf.DUMMYFUNCTION("""COMPUTED_VALUE"""),"")</f>
        <v/>
      </c>
      <c r="M420" s="18" t="str">
        <f ca="1">IFERROR(__xludf.DUMMYFUNCTION("""COMPUTED_VALUE"""),"")</f>
        <v/>
      </c>
      <c r="N420" s="18" t="str">
        <f ca="1">IFERROR(__xludf.DUMMYFUNCTION("""COMPUTED_VALUE"""),"")</f>
        <v/>
      </c>
      <c r="O420" s="18" t="str">
        <f ca="1">IFERROR(__xludf.DUMMYFUNCTION("""COMPUTED_VALUE"""),"")</f>
        <v/>
      </c>
      <c r="P420" s="18" t="str">
        <f ca="1">IFERROR(__xludf.DUMMYFUNCTION("""COMPUTED_VALUE"""),"")</f>
        <v/>
      </c>
      <c r="Q420" s="18" t="str">
        <f ca="1">IFERROR(__xludf.DUMMYFUNCTION("""COMPUTED_VALUE"""),"")</f>
        <v/>
      </c>
      <c r="R420" s="18" t="str">
        <f ca="1">IFERROR(__xludf.DUMMYFUNCTION("""COMPUTED_VALUE"""),"")</f>
        <v/>
      </c>
      <c r="S420" s="18" t="str">
        <f ca="1">IFERROR(__xludf.DUMMYFUNCTION("""COMPUTED_VALUE"""),"")</f>
        <v/>
      </c>
      <c r="T420" s="18" t="str">
        <f ca="1">IFERROR(__xludf.DUMMYFUNCTION("""COMPUTED_VALUE"""),"")</f>
        <v/>
      </c>
      <c r="U420" s="18" t="str">
        <f ca="1">IFERROR(__xludf.DUMMYFUNCTION("""COMPUTED_VALUE"""),"")</f>
        <v/>
      </c>
      <c r="V420" s="18" t="str">
        <f ca="1">IFERROR(__xludf.DUMMYFUNCTION("""COMPUTED_VALUE"""),"")</f>
        <v/>
      </c>
      <c r="W420" s="18" t="str">
        <f ca="1">IFERROR(__xludf.DUMMYFUNCTION("""COMPUTED_VALUE"""),"")</f>
        <v/>
      </c>
      <c r="X420" s="18" t="str">
        <f ca="1">IFERROR(__xludf.DUMMYFUNCTION("""COMPUTED_VALUE"""),"")</f>
        <v/>
      </c>
      <c r="Y420" s="18" t="e">
        <f ca="1"/>
        <v>#NAME?</v>
      </c>
      <c r="Z420" s="18" t="str">
        <f ca="1">IFERROR(__xludf.DUMMYFUNCTION("""COMPUTED_VALUE"""),"")</f>
        <v/>
      </c>
      <c r="AA420" s="18" t="str">
        <f ca="1">IFERROR(__xludf.DUMMYFUNCTION("""COMPUTED_VALUE"""),"")</f>
        <v/>
      </c>
      <c r="AC420" s="59"/>
    </row>
    <row r="421" spans="1:29" x14ac:dyDescent="0.25">
      <c r="A421" s="18">
        <v>0</v>
      </c>
      <c r="B421" s="52" t="str">
        <f ca="1"/>
        <v/>
      </c>
      <c r="C421" s="52" t="str">
        <f ca="1">IFERROR(__xludf.DUMMYFUNCTION("""COMPUTED_VALUE"""),"")</f>
        <v/>
      </c>
      <c r="D421" s="18" t="str">
        <f ca="1">IFERROR(__xludf.DUMMYFUNCTION("""COMPUTED_VALUE"""),"")</f>
        <v/>
      </c>
      <c r="E421" s="18" t="str">
        <f ca="1">IFERROR(__xludf.DUMMYFUNCTION("""COMPUTED_VALUE"""),"")</f>
        <v/>
      </c>
      <c r="F421" s="18" t="str">
        <f ca="1">IFERROR(__xludf.DUMMYFUNCTION("""COMPUTED_VALUE"""),"")</f>
        <v/>
      </c>
      <c r="G421" s="18" t="str">
        <f ca="1">IFERROR(__xludf.DUMMYFUNCTION("""COMPUTED_VALUE"""),"")</f>
        <v/>
      </c>
      <c r="H421" s="18" t="str">
        <f ca="1">IFERROR(__xludf.DUMMYFUNCTION("""COMPUTED_VALUE"""),"")</f>
        <v/>
      </c>
      <c r="I421" s="18" t="str">
        <f ca="1">IFERROR(__xludf.DUMMYFUNCTION("""COMPUTED_VALUE"""),"")</f>
        <v/>
      </c>
      <c r="J421" s="18" t="str">
        <f ca="1">IFERROR(__xludf.DUMMYFUNCTION("""COMPUTED_VALUE"""),"")</f>
        <v/>
      </c>
      <c r="K421" s="18" t="str">
        <f ca="1">IFERROR(__xludf.DUMMYFUNCTION("""COMPUTED_VALUE"""),"")</f>
        <v/>
      </c>
      <c r="L421" s="18" t="str">
        <f ca="1">IFERROR(__xludf.DUMMYFUNCTION("""COMPUTED_VALUE"""),"")</f>
        <v/>
      </c>
      <c r="M421" s="18" t="str">
        <f ca="1">IFERROR(__xludf.DUMMYFUNCTION("""COMPUTED_VALUE"""),"")</f>
        <v/>
      </c>
      <c r="N421" s="18" t="str">
        <f ca="1">IFERROR(__xludf.DUMMYFUNCTION("""COMPUTED_VALUE"""),"")</f>
        <v/>
      </c>
      <c r="O421" s="18" t="str">
        <f ca="1">IFERROR(__xludf.DUMMYFUNCTION("""COMPUTED_VALUE"""),"")</f>
        <v/>
      </c>
      <c r="P421" s="18" t="str">
        <f ca="1">IFERROR(__xludf.DUMMYFUNCTION("""COMPUTED_VALUE"""),"")</f>
        <v/>
      </c>
      <c r="Q421" s="18" t="str">
        <f ca="1">IFERROR(__xludf.DUMMYFUNCTION("""COMPUTED_VALUE"""),"")</f>
        <v/>
      </c>
      <c r="R421" s="18" t="str">
        <f ca="1">IFERROR(__xludf.DUMMYFUNCTION("""COMPUTED_VALUE"""),"")</f>
        <v/>
      </c>
      <c r="S421" s="18" t="str">
        <f ca="1">IFERROR(__xludf.DUMMYFUNCTION("""COMPUTED_VALUE"""),"")</f>
        <v/>
      </c>
      <c r="T421" s="18" t="str">
        <f ca="1">IFERROR(__xludf.DUMMYFUNCTION("""COMPUTED_VALUE"""),"")</f>
        <v/>
      </c>
      <c r="U421" s="18" t="str">
        <f ca="1">IFERROR(__xludf.DUMMYFUNCTION("""COMPUTED_VALUE"""),"")</f>
        <v/>
      </c>
      <c r="V421" s="18" t="str">
        <f ca="1">IFERROR(__xludf.DUMMYFUNCTION("""COMPUTED_VALUE"""),"")</f>
        <v/>
      </c>
      <c r="W421" s="18" t="str">
        <f ca="1">IFERROR(__xludf.DUMMYFUNCTION("""COMPUTED_VALUE"""),"")</f>
        <v/>
      </c>
      <c r="X421" s="18" t="str">
        <f ca="1">IFERROR(__xludf.DUMMYFUNCTION("""COMPUTED_VALUE"""),"")</f>
        <v/>
      </c>
      <c r="Y421" s="18" t="e">
        <f ca="1"/>
        <v>#NAME?</v>
      </c>
      <c r="Z421" s="18" t="str">
        <f ca="1">IFERROR(__xludf.DUMMYFUNCTION("""COMPUTED_VALUE"""),"")</f>
        <v/>
      </c>
      <c r="AA421" s="18" t="str">
        <f ca="1">IFERROR(__xludf.DUMMYFUNCTION("""COMPUTED_VALUE"""),"")</f>
        <v/>
      </c>
      <c r="AC421" s="59"/>
    </row>
    <row r="422" spans="1:29" x14ac:dyDescent="0.25">
      <c r="A422" s="18">
        <v>0</v>
      </c>
      <c r="B422" s="52" t="str">
        <f ca="1"/>
        <v/>
      </c>
      <c r="C422" s="52" t="str">
        <f ca="1">IFERROR(__xludf.DUMMYFUNCTION("""COMPUTED_VALUE"""),"")</f>
        <v/>
      </c>
      <c r="D422" s="18" t="str">
        <f ca="1">IFERROR(__xludf.DUMMYFUNCTION("""COMPUTED_VALUE"""),"")</f>
        <v/>
      </c>
      <c r="E422" s="18" t="str">
        <f ca="1">IFERROR(__xludf.DUMMYFUNCTION("""COMPUTED_VALUE"""),"")</f>
        <v/>
      </c>
      <c r="F422" s="18" t="str">
        <f ca="1">IFERROR(__xludf.DUMMYFUNCTION("""COMPUTED_VALUE"""),"")</f>
        <v/>
      </c>
      <c r="G422" s="18" t="str">
        <f ca="1">IFERROR(__xludf.DUMMYFUNCTION("""COMPUTED_VALUE"""),"")</f>
        <v/>
      </c>
      <c r="H422" s="18" t="str">
        <f ca="1">IFERROR(__xludf.DUMMYFUNCTION("""COMPUTED_VALUE"""),"")</f>
        <v/>
      </c>
      <c r="I422" s="18" t="str">
        <f ca="1">IFERROR(__xludf.DUMMYFUNCTION("""COMPUTED_VALUE"""),"")</f>
        <v/>
      </c>
      <c r="J422" s="18" t="str">
        <f ca="1">IFERROR(__xludf.DUMMYFUNCTION("""COMPUTED_VALUE"""),"")</f>
        <v/>
      </c>
      <c r="K422" s="18" t="str">
        <f ca="1">IFERROR(__xludf.DUMMYFUNCTION("""COMPUTED_VALUE"""),"")</f>
        <v/>
      </c>
      <c r="L422" s="18" t="str">
        <f ca="1">IFERROR(__xludf.DUMMYFUNCTION("""COMPUTED_VALUE"""),"")</f>
        <v/>
      </c>
      <c r="M422" s="18" t="str">
        <f ca="1">IFERROR(__xludf.DUMMYFUNCTION("""COMPUTED_VALUE"""),"")</f>
        <v/>
      </c>
      <c r="N422" s="18" t="str">
        <f ca="1">IFERROR(__xludf.DUMMYFUNCTION("""COMPUTED_VALUE"""),"")</f>
        <v/>
      </c>
      <c r="O422" s="18" t="str">
        <f ca="1">IFERROR(__xludf.DUMMYFUNCTION("""COMPUTED_VALUE"""),"")</f>
        <v/>
      </c>
      <c r="P422" s="18" t="str">
        <f ca="1">IFERROR(__xludf.DUMMYFUNCTION("""COMPUTED_VALUE"""),"")</f>
        <v/>
      </c>
      <c r="Q422" s="18" t="str">
        <f ca="1">IFERROR(__xludf.DUMMYFUNCTION("""COMPUTED_VALUE"""),"")</f>
        <v/>
      </c>
      <c r="R422" s="18" t="str">
        <f ca="1">IFERROR(__xludf.DUMMYFUNCTION("""COMPUTED_VALUE"""),"")</f>
        <v/>
      </c>
      <c r="S422" s="18" t="str">
        <f ca="1">IFERROR(__xludf.DUMMYFUNCTION("""COMPUTED_VALUE"""),"")</f>
        <v/>
      </c>
      <c r="T422" s="18" t="str">
        <f ca="1">IFERROR(__xludf.DUMMYFUNCTION("""COMPUTED_VALUE"""),"")</f>
        <v/>
      </c>
      <c r="U422" s="18" t="str">
        <f ca="1">IFERROR(__xludf.DUMMYFUNCTION("""COMPUTED_VALUE"""),"")</f>
        <v/>
      </c>
      <c r="V422" s="18" t="str">
        <f ca="1">IFERROR(__xludf.DUMMYFUNCTION("""COMPUTED_VALUE"""),"")</f>
        <v/>
      </c>
      <c r="W422" s="18" t="str">
        <f ca="1">IFERROR(__xludf.DUMMYFUNCTION("""COMPUTED_VALUE"""),"")</f>
        <v/>
      </c>
      <c r="X422" s="18" t="str">
        <f ca="1">IFERROR(__xludf.DUMMYFUNCTION("""COMPUTED_VALUE"""),"")</f>
        <v/>
      </c>
      <c r="Y422" s="18" t="e">
        <f ca="1"/>
        <v>#NAME?</v>
      </c>
      <c r="Z422" s="18" t="str">
        <f ca="1">IFERROR(__xludf.DUMMYFUNCTION("""COMPUTED_VALUE"""),"")</f>
        <v/>
      </c>
      <c r="AA422" s="18" t="str">
        <f ca="1">IFERROR(__xludf.DUMMYFUNCTION("""COMPUTED_VALUE"""),"")</f>
        <v/>
      </c>
      <c r="AC422" s="59"/>
    </row>
    <row r="423" spans="1:29" x14ac:dyDescent="0.25">
      <c r="A423" s="18">
        <v>0</v>
      </c>
      <c r="B423" s="52" t="str">
        <f ca="1"/>
        <v/>
      </c>
      <c r="C423" s="52" t="str">
        <f ca="1">IFERROR(__xludf.DUMMYFUNCTION("""COMPUTED_VALUE"""),"")</f>
        <v/>
      </c>
      <c r="D423" s="18" t="str">
        <f ca="1">IFERROR(__xludf.DUMMYFUNCTION("""COMPUTED_VALUE"""),"")</f>
        <v/>
      </c>
      <c r="E423" s="18" t="str">
        <f ca="1">IFERROR(__xludf.DUMMYFUNCTION("""COMPUTED_VALUE"""),"")</f>
        <v/>
      </c>
      <c r="F423" s="18" t="str">
        <f ca="1">IFERROR(__xludf.DUMMYFUNCTION("""COMPUTED_VALUE"""),"")</f>
        <v/>
      </c>
      <c r="G423" s="18" t="str">
        <f ca="1">IFERROR(__xludf.DUMMYFUNCTION("""COMPUTED_VALUE"""),"")</f>
        <v/>
      </c>
      <c r="H423" s="18" t="str">
        <f ca="1">IFERROR(__xludf.DUMMYFUNCTION("""COMPUTED_VALUE"""),"")</f>
        <v/>
      </c>
      <c r="I423" s="18" t="str">
        <f ca="1">IFERROR(__xludf.DUMMYFUNCTION("""COMPUTED_VALUE"""),"")</f>
        <v/>
      </c>
      <c r="J423" s="18" t="str">
        <f ca="1">IFERROR(__xludf.DUMMYFUNCTION("""COMPUTED_VALUE"""),"")</f>
        <v/>
      </c>
      <c r="K423" s="18" t="str">
        <f ca="1">IFERROR(__xludf.DUMMYFUNCTION("""COMPUTED_VALUE"""),"")</f>
        <v/>
      </c>
      <c r="L423" s="18" t="str">
        <f ca="1">IFERROR(__xludf.DUMMYFUNCTION("""COMPUTED_VALUE"""),"")</f>
        <v/>
      </c>
      <c r="M423" s="18" t="str">
        <f ca="1">IFERROR(__xludf.DUMMYFUNCTION("""COMPUTED_VALUE"""),"")</f>
        <v/>
      </c>
      <c r="N423" s="18" t="str">
        <f ca="1">IFERROR(__xludf.DUMMYFUNCTION("""COMPUTED_VALUE"""),"")</f>
        <v/>
      </c>
      <c r="O423" s="18" t="str">
        <f ca="1">IFERROR(__xludf.DUMMYFUNCTION("""COMPUTED_VALUE"""),"")</f>
        <v/>
      </c>
      <c r="P423" s="18" t="str">
        <f ca="1">IFERROR(__xludf.DUMMYFUNCTION("""COMPUTED_VALUE"""),"")</f>
        <v/>
      </c>
      <c r="Q423" s="18" t="str">
        <f ca="1">IFERROR(__xludf.DUMMYFUNCTION("""COMPUTED_VALUE"""),"")</f>
        <v/>
      </c>
      <c r="R423" s="18" t="str">
        <f ca="1">IFERROR(__xludf.DUMMYFUNCTION("""COMPUTED_VALUE"""),"")</f>
        <v/>
      </c>
      <c r="S423" s="18" t="str">
        <f ca="1">IFERROR(__xludf.DUMMYFUNCTION("""COMPUTED_VALUE"""),"")</f>
        <v/>
      </c>
      <c r="T423" s="18" t="str">
        <f ca="1">IFERROR(__xludf.DUMMYFUNCTION("""COMPUTED_VALUE"""),"")</f>
        <v/>
      </c>
      <c r="U423" s="18" t="str">
        <f ca="1">IFERROR(__xludf.DUMMYFUNCTION("""COMPUTED_VALUE"""),"")</f>
        <v/>
      </c>
      <c r="V423" s="18" t="str">
        <f ca="1">IFERROR(__xludf.DUMMYFUNCTION("""COMPUTED_VALUE"""),"")</f>
        <v/>
      </c>
      <c r="W423" s="18" t="str">
        <f ca="1">IFERROR(__xludf.DUMMYFUNCTION("""COMPUTED_VALUE"""),"")</f>
        <v/>
      </c>
      <c r="X423" s="18" t="str">
        <f ca="1">IFERROR(__xludf.DUMMYFUNCTION("""COMPUTED_VALUE"""),"")</f>
        <v/>
      </c>
      <c r="Y423" s="18" t="e">
        <f ca="1"/>
        <v>#NAME?</v>
      </c>
      <c r="Z423" s="18" t="str">
        <f ca="1">IFERROR(__xludf.DUMMYFUNCTION("""COMPUTED_VALUE"""),"")</f>
        <v/>
      </c>
      <c r="AA423" s="18" t="str">
        <f ca="1">IFERROR(__xludf.DUMMYFUNCTION("""COMPUTED_VALUE"""),"")</f>
        <v/>
      </c>
      <c r="AC423" s="59"/>
    </row>
    <row r="424" spans="1:29" x14ac:dyDescent="0.25">
      <c r="A424" s="18">
        <v>0</v>
      </c>
      <c r="B424" s="52" t="str">
        <f ca="1"/>
        <v/>
      </c>
      <c r="C424" s="52" t="str">
        <f ca="1">IFERROR(__xludf.DUMMYFUNCTION("""COMPUTED_VALUE"""),"")</f>
        <v/>
      </c>
      <c r="D424" s="18" t="str">
        <f ca="1">IFERROR(__xludf.DUMMYFUNCTION("""COMPUTED_VALUE"""),"")</f>
        <v/>
      </c>
      <c r="E424" s="18" t="str">
        <f ca="1">IFERROR(__xludf.DUMMYFUNCTION("""COMPUTED_VALUE"""),"")</f>
        <v/>
      </c>
      <c r="F424" s="18" t="str">
        <f ca="1">IFERROR(__xludf.DUMMYFUNCTION("""COMPUTED_VALUE"""),"")</f>
        <v/>
      </c>
      <c r="G424" s="18" t="str">
        <f ca="1">IFERROR(__xludf.DUMMYFUNCTION("""COMPUTED_VALUE"""),"")</f>
        <v/>
      </c>
      <c r="H424" s="18" t="str">
        <f ca="1">IFERROR(__xludf.DUMMYFUNCTION("""COMPUTED_VALUE"""),"")</f>
        <v/>
      </c>
      <c r="I424" s="18" t="str">
        <f ca="1">IFERROR(__xludf.DUMMYFUNCTION("""COMPUTED_VALUE"""),"")</f>
        <v/>
      </c>
      <c r="J424" s="18" t="str">
        <f ca="1">IFERROR(__xludf.DUMMYFUNCTION("""COMPUTED_VALUE"""),"")</f>
        <v/>
      </c>
      <c r="K424" s="18" t="str">
        <f ca="1">IFERROR(__xludf.DUMMYFUNCTION("""COMPUTED_VALUE"""),"")</f>
        <v/>
      </c>
      <c r="L424" s="18" t="str">
        <f ca="1">IFERROR(__xludf.DUMMYFUNCTION("""COMPUTED_VALUE"""),"")</f>
        <v/>
      </c>
      <c r="M424" s="18" t="str">
        <f ca="1">IFERROR(__xludf.DUMMYFUNCTION("""COMPUTED_VALUE"""),"")</f>
        <v/>
      </c>
      <c r="N424" s="18" t="str">
        <f ca="1">IFERROR(__xludf.DUMMYFUNCTION("""COMPUTED_VALUE"""),"")</f>
        <v/>
      </c>
      <c r="O424" s="18" t="str">
        <f ca="1">IFERROR(__xludf.DUMMYFUNCTION("""COMPUTED_VALUE"""),"")</f>
        <v/>
      </c>
      <c r="P424" s="18" t="str">
        <f ca="1">IFERROR(__xludf.DUMMYFUNCTION("""COMPUTED_VALUE"""),"")</f>
        <v/>
      </c>
      <c r="Q424" s="18" t="str">
        <f ca="1">IFERROR(__xludf.DUMMYFUNCTION("""COMPUTED_VALUE"""),"")</f>
        <v/>
      </c>
      <c r="R424" s="18" t="str">
        <f ca="1">IFERROR(__xludf.DUMMYFUNCTION("""COMPUTED_VALUE"""),"")</f>
        <v/>
      </c>
      <c r="S424" s="18" t="str">
        <f ca="1">IFERROR(__xludf.DUMMYFUNCTION("""COMPUTED_VALUE"""),"")</f>
        <v/>
      </c>
      <c r="T424" s="18" t="str">
        <f ca="1">IFERROR(__xludf.DUMMYFUNCTION("""COMPUTED_VALUE"""),"")</f>
        <v/>
      </c>
      <c r="U424" s="18" t="str">
        <f ca="1">IFERROR(__xludf.DUMMYFUNCTION("""COMPUTED_VALUE"""),"")</f>
        <v/>
      </c>
      <c r="V424" s="18" t="str">
        <f ca="1">IFERROR(__xludf.DUMMYFUNCTION("""COMPUTED_VALUE"""),"")</f>
        <v/>
      </c>
      <c r="W424" s="18" t="str">
        <f ca="1">IFERROR(__xludf.DUMMYFUNCTION("""COMPUTED_VALUE"""),"")</f>
        <v/>
      </c>
      <c r="X424" s="18" t="str">
        <f ca="1">IFERROR(__xludf.DUMMYFUNCTION("""COMPUTED_VALUE"""),"")</f>
        <v/>
      </c>
      <c r="Y424" s="18" t="e">
        <f ca="1"/>
        <v>#NAME?</v>
      </c>
      <c r="Z424" s="18" t="str">
        <f ca="1">IFERROR(__xludf.DUMMYFUNCTION("""COMPUTED_VALUE"""),"")</f>
        <v/>
      </c>
      <c r="AA424" s="18" t="str">
        <f ca="1">IFERROR(__xludf.DUMMYFUNCTION("""COMPUTED_VALUE"""),"")</f>
        <v/>
      </c>
      <c r="AC424" s="59"/>
    </row>
    <row r="425" spans="1:29" x14ac:dyDescent="0.25">
      <c r="A425" s="18">
        <v>0</v>
      </c>
      <c r="B425" s="52" t="str">
        <f ca="1"/>
        <v/>
      </c>
      <c r="C425" s="52" t="str">
        <f ca="1">IFERROR(__xludf.DUMMYFUNCTION("""COMPUTED_VALUE"""),"")</f>
        <v/>
      </c>
      <c r="D425" s="18" t="str">
        <f ca="1">IFERROR(__xludf.DUMMYFUNCTION("""COMPUTED_VALUE"""),"")</f>
        <v/>
      </c>
      <c r="E425" s="18" t="str">
        <f ca="1">IFERROR(__xludf.DUMMYFUNCTION("""COMPUTED_VALUE"""),"")</f>
        <v/>
      </c>
      <c r="F425" s="18" t="str">
        <f ca="1">IFERROR(__xludf.DUMMYFUNCTION("""COMPUTED_VALUE"""),"")</f>
        <v/>
      </c>
      <c r="G425" s="18" t="str">
        <f ca="1">IFERROR(__xludf.DUMMYFUNCTION("""COMPUTED_VALUE"""),"")</f>
        <v/>
      </c>
      <c r="H425" s="18" t="str">
        <f ca="1">IFERROR(__xludf.DUMMYFUNCTION("""COMPUTED_VALUE"""),"")</f>
        <v/>
      </c>
      <c r="I425" s="18" t="str">
        <f ca="1">IFERROR(__xludf.DUMMYFUNCTION("""COMPUTED_VALUE"""),"")</f>
        <v/>
      </c>
      <c r="J425" s="18" t="str">
        <f ca="1">IFERROR(__xludf.DUMMYFUNCTION("""COMPUTED_VALUE"""),"")</f>
        <v/>
      </c>
      <c r="K425" s="18" t="str">
        <f ca="1">IFERROR(__xludf.DUMMYFUNCTION("""COMPUTED_VALUE"""),"")</f>
        <v/>
      </c>
      <c r="L425" s="18" t="str">
        <f ca="1">IFERROR(__xludf.DUMMYFUNCTION("""COMPUTED_VALUE"""),"")</f>
        <v/>
      </c>
      <c r="M425" s="18" t="str">
        <f ca="1">IFERROR(__xludf.DUMMYFUNCTION("""COMPUTED_VALUE"""),"")</f>
        <v/>
      </c>
      <c r="N425" s="18" t="str">
        <f ca="1">IFERROR(__xludf.DUMMYFUNCTION("""COMPUTED_VALUE"""),"")</f>
        <v/>
      </c>
      <c r="O425" s="18" t="str">
        <f ca="1">IFERROR(__xludf.DUMMYFUNCTION("""COMPUTED_VALUE"""),"")</f>
        <v/>
      </c>
      <c r="P425" s="18" t="str">
        <f ca="1">IFERROR(__xludf.DUMMYFUNCTION("""COMPUTED_VALUE"""),"")</f>
        <v/>
      </c>
      <c r="Q425" s="18" t="str">
        <f ca="1">IFERROR(__xludf.DUMMYFUNCTION("""COMPUTED_VALUE"""),"")</f>
        <v/>
      </c>
      <c r="R425" s="18" t="str">
        <f ca="1">IFERROR(__xludf.DUMMYFUNCTION("""COMPUTED_VALUE"""),"")</f>
        <v/>
      </c>
      <c r="S425" s="18" t="str">
        <f ca="1">IFERROR(__xludf.DUMMYFUNCTION("""COMPUTED_VALUE"""),"")</f>
        <v/>
      </c>
      <c r="T425" s="18" t="str">
        <f ca="1">IFERROR(__xludf.DUMMYFUNCTION("""COMPUTED_VALUE"""),"")</f>
        <v/>
      </c>
      <c r="U425" s="18" t="str">
        <f ca="1">IFERROR(__xludf.DUMMYFUNCTION("""COMPUTED_VALUE"""),"")</f>
        <v/>
      </c>
      <c r="V425" s="18" t="str">
        <f ca="1">IFERROR(__xludf.DUMMYFUNCTION("""COMPUTED_VALUE"""),"")</f>
        <v/>
      </c>
      <c r="W425" s="18" t="str">
        <f ca="1">IFERROR(__xludf.DUMMYFUNCTION("""COMPUTED_VALUE"""),"")</f>
        <v/>
      </c>
      <c r="X425" s="18" t="str">
        <f ca="1">IFERROR(__xludf.DUMMYFUNCTION("""COMPUTED_VALUE"""),"")</f>
        <v/>
      </c>
      <c r="Y425" s="18" t="e">
        <f ca="1"/>
        <v>#NAME?</v>
      </c>
      <c r="Z425" s="18" t="str">
        <f ca="1">IFERROR(__xludf.DUMMYFUNCTION("""COMPUTED_VALUE"""),"")</f>
        <v/>
      </c>
      <c r="AA425" s="18" t="str">
        <f ca="1">IFERROR(__xludf.DUMMYFUNCTION("""COMPUTED_VALUE"""),"")</f>
        <v/>
      </c>
      <c r="AC425" s="59"/>
    </row>
    <row r="426" spans="1:29" x14ac:dyDescent="0.25">
      <c r="A426" s="18">
        <v>0</v>
      </c>
      <c r="B426" s="52" t="str">
        <f ca="1"/>
        <v/>
      </c>
      <c r="C426" s="52" t="str">
        <f ca="1">IFERROR(__xludf.DUMMYFUNCTION("""COMPUTED_VALUE"""),"")</f>
        <v/>
      </c>
      <c r="D426" s="18" t="str">
        <f ca="1">IFERROR(__xludf.DUMMYFUNCTION("""COMPUTED_VALUE"""),"")</f>
        <v/>
      </c>
      <c r="E426" s="18" t="str">
        <f ca="1">IFERROR(__xludf.DUMMYFUNCTION("""COMPUTED_VALUE"""),"")</f>
        <v/>
      </c>
      <c r="F426" s="18" t="str">
        <f ca="1">IFERROR(__xludf.DUMMYFUNCTION("""COMPUTED_VALUE"""),"")</f>
        <v/>
      </c>
      <c r="G426" s="18" t="str">
        <f ca="1">IFERROR(__xludf.DUMMYFUNCTION("""COMPUTED_VALUE"""),"")</f>
        <v/>
      </c>
      <c r="H426" s="18" t="str">
        <f ca="1">IFERROR(__xludf.DUMMYFUNCTION("""COMPUTED_VALUE"""),"")</f>
        <v/>
      </c>
      <c r="I426" s="18" t="str">
        <f ca="1">IFERROR(__xludf.DUMMYFUNCTION("""COMPUTED_VALUE"""),"")</f>
        <v/>
      </c>
      <c r="J426" s="18" t="str">
        <f ca="1">IFERROR(__xludf.DUMMYFUNCTION("""COMPUTED_VALUE"""),"")</f>
        <v/>
      </c>
      <c r="K426" s="18" t="str">
        <f ca="1">IFERROR(__xludf.DUMMYFUNCTION("""COMPUTED_VALUE"""),"")</f>
        <v/>
      </c>
      <c r="L426" s="18" t="str">
        <f ca="1">IFERROR(__xludf.DUMMYFUNCTION("""COMPUTED_VALUE"""),"")</f>
        <v/>
      </c>
      <c r="M426" s="18" t="str">
        <f ca="1">IFERROR(__xludf.DUMMYFUNCTION("""COMPUTED_VALUE"""),"")</f>
        <v/>
      </c>
      <c r="N426" s="18" t="str">
        <f ca="1">IFERROR(__xludf.DUMMYFUNCTION("""COMPUTED_VALUE"""),"")</f>
        <v/>
      </c>
      <c r="O426" s="18" t="str">
        <f ca="1">IFERROR(__xludf.DUMMYFUNCTION("""COMPUTED_VALUE"""),"")</f>
        <v/>
      </c>
      <c r="P426" s="18" t="str">
        <f ca="1">IFERROR(__xludf.DUMMYFUNCTION("""COMPUTED_VALUE"""),"")</f>
        <v/>
      </c>
      <c r="Q426" s="18" t="str">
        <f ca="1">IFERROR(__xludf.DUMMYFUNCTION("""COMPUTED_VALUE"""),"")</f>
        <v/>
      </c>
      <c r="R426" s="18" t="str">
        <f ca="1">IFERROR(__xludf.DUMMYFUNCTION("""COMPUTED_VALUE"""),"")</f>
        <v/>
      </c>
      <c r="S426" s="18" t="str">
        <f ca="1">IFERROR(__xludf.DUMMYFUNCTION("""COMPUTED_VALUE"""),"")</f>
        <v/>
      </c>
      <c r="T426" s="18" t="str">
        <f ca="1">IFERROR(__xludf.DUMMYFUNCTION("""COMPUTED_VALUE"""),"")</f>
        <v/>
      </c>
      <c r="U426" s="18" t="str">
        <f ca="1">IFERROR(__xludf.DUMMYFUNCTION("""COMPUTED_VALUE"""),"")</f>
        <v/>
      </c>
      <c r="V426" s="18" t="str">
        <f ca="1">IFERROR(__xludf.DUMMYFUNCTION("""COMPUTED_VALUE"""),"")</f>
        <v/>
      </c>
      <c r="W426" s="18" t="str">
        <f ca="1">IFERROR(__xludf.DUMMYFUNCTION("""COMPUTED_VALUE"""),"")</f>
        <v/>
      </c>
      <c r="X426" s="18" t="str">
        <f ca="1">IFERROR(__xludf.DUMMYFUNCTION("""COMPUTED_VALUE"""),"")</f>
        <v/>
      </c>
      <c r="Y426" s="18" t="e">
        <f ca="1"/>
        <v>#NAME?</v>
      </c>
      <c r="Z426" s="18" t="str">
        <f ca="1">IFERROR(__xludf.DUMMYFUNCTION("""COMPUTED_VALUE"""),"")</f>
        <v/>
      </c>
      <c r="AA426" s="18" t="str">
        <f ca="1">IFERROR(__xludf.DUMMYFUNCTION("""COMPUTED_VALUE"""),"")</f>
        <v/>
      </c>
      <c r="AC426" s="59"/>
    </row>
    <row r="427" spans="1:29" x14ac:dyDescent="0.25">
      <c r="A427" s="18">
        <v>0</v>
      </c>
      <c r="B427" s="52" t="str">
        <f ca="1"/>
        <v/>
      </c>
      <c r="C427" s="52" t="str">
        <f ca="1">IFERROR(__xludf.DUMMYFUNCTION("""COMPUTED_VALUE"""),"")</f>
        <v/>
      </c>
      <c r="D427" s="18" t="str">
        <f ca="1">IFERROR(__xludf.DUMMYFUNCTION("""COMPUTED_VALUE"""),"")</f>
        <v/>
      </c>
      <c r="E427" s="18" t="str">
        <f ca="1">IFERROR(__xludf.DUMMYFUNCTION("""COMPUTED_VALUE"""),"")</f>
        <v/>
      </c>
      <c r="F427" s="18" t="str">
        <f ca="1">IFERROR(__xludf.DUMMYFUNCTION("""COMPUTED_VALUE"""),"")</f>
        <v/>
      </c>
      <c r="G427" s="18" t="str">
        <f ca="1">IFERROR(__xludf.DUMMYFUNCTION("""COMPUTED_VALUE"""),"")</f>
        <v/>
      </c>
      <c r="H427" s="18" t="str">
        <f ca="1">IFERROR(__xludf.DUMMYFUNCTION("""COMPUTED_VALUE"""),"")</f>
        <v/>
      </c>
      <c r="I427" s="18" t="str">
        <f ca="1">IFERROR(__xludf.DUMMYFUNCTION("""COMPUTED_VALUE"""),"")</f>
        <v/>
      </c>
      <c r="J427" s="18" t="str">
        <f ca="1">IFERROR(__xludf.DUMMYFUNCTION("""COMPUTED_VALUE"""),"")</f>
        <v/>
      </c>
      <c r="K427" s="18" t="str">
        <f ca="1">IFERROR(__xludf.DUMMYFUNCTION("""COMPUTED_VALUE"""),"")</f>
        <v/>
      </c>
      <c r="L427" s="18" t="str">
        <f ca="1">IFERROR(__xludf.DUMMYFUNCTION("""COMPUTED_VALUE"""),"")</f>
        <v/>
      </c>
      <c r="M427" s="18" t="str">
        <f ca="1">IFERROR(__xludf.DUMMYFUNCTION("""COMPUTED_VALUE"""),"")</f>
        <v/>
      </c>
      <c r="N427" s="18" t="str">
        <f ca="1">IFERROR(__xludf.DUMMYFUNCTION("""COMPUTED_VALUE"""),"")</f>
        <v/>
      </c>
      <c r="O427" s="18" t="str">
        <f ca="1">IFERROR(__xludf.DUMMYFUNCTION("""COMPUTED_VALUE"""),"")</f>
        <v/>
      </c>
      <c r="P427" s="18" t="str">
        <f ca="1">IFERROR(__xludf.DUMMYFUNCTION("""COMPUTED_VALUE"""),"")</f>
        <v/>
      </c>
      <c r="Q427" s="18" t="str">
        <f ca="1">IFERROR(__xludf.DUMMYFUNCTION("""COMPUTED_VALUE"""),"")</f>
        <v/>
      </c>
      <c r="R427" s="18" t="str">
        <f ca="1">IFERROR(__xludf.DUMMYFUNCTION("""COMPUTED_VALUE"""),"")</f>
        <v/>
      </c>
      <c r="S427" s="18" t="str">
        <f ca="1">IFERROR(__xludf.DUMMYFUNCTION("""COMPUTED_VALUE"""),"")</f>
        <v/>
      </c>
      <c r="T427" s="18" t="str">
        <f ca="1">IFERROR(__xludf.DUMMYFUNCTION("""COMPUTED_VALUE"""),"")</f>
        <v/>
      </c>
      <c r="U427" s="18" t="str">
        <f ca="1">IFERROR(__xludf.DUMMYFUNCTION("""COMPUTED_VALUE"""),"")</f>
        <v/>
      </c>
      <c r="V427" s="18" t="str">
        <f ca="1">IFERROR(__xludf.DUMMYFUNCTION("""COMPUTED_VALUE"""),"")</f>
        <v/>
      </c>
      <c r="W427" s="18" t="str">
        <f ca="1">IFERROR(__xludf.DUMMYFUNCTION("""COMPUTED_VALUE"""),"")</f>
        <v/>
      </c>
      <c r="X427" s="18" t="str">
        <f ca="1">IFERROR(__xludf.DUMMYFUNCTION("""COMPUTED_VALUE"""),"")</f>
        <v/>
      </c>
      <c r="Y427" s="18" t="e">
        <f ca="1"/>
        <v>#NAME?</v>
      </c>
      <c r="Z427" s="18" t="str">
        <f ca="1">IFERROR(__xludf.DUMMYFUNCTION("""COMPUTED_VALUE"""),"")</f>
        <v/>
      </c>
      <c r="AA427" s="18" t="str">
        <f ca="1">IFERROR(__xludf.DUMMYFUNCTION("""COMPUTED_VALUE"""),"")</f>
        <v/>
      </c>
      <c r="AC427" s="59"/>
    </row>
    <row r="428" spans="1:29" x14ac:dyDescent="0.25">
      <c r="A428" s="18">
        <v>0</v>
      </c>
      <c r="B428" s="52" t="str">
        <f ca="1"/>
        <v/>
      </c>
      <c r="C428" s="52" t="str">
        <f ca="1">IFERROR(__xludf.DUMMYFUNCTION("""COMPUTED_VALUE"""),"")</f>
        <v/>
      </c>
      <c r="D428" s="18" t="str">
        <f ca="1">IFERROR(__xludf.DUMMYFUNCTION("""COMPUTED_VALUE"""),"")</f>
        <v/>
      </c>
      <c r="E428" s="18" t="str">
        <f ca="1">IFERROR(__xludf.DUMMYFUNCTION("""COMPUTED_VALUE"""),"")</f>
        <v/>
      </c>
      <c r="F428" s="18" t="str">
        <f ca="1">IFERROR(__xludf.DUMMYFUNCTION("""COMPUTED_VALUE"""),"")</f>
        <v/>
      </c>
      <c r="G428" s="18" t="str">
        <f ca="1">IFERROR(__xludf.DUMMYFUNCTION("""COMPUTED_VALUE"""),"")</f>
        <v/>
      </c>
      <c r="H428" s="18" t="str">
        <f ca="1">IFERROR(__xludf.DUMMYFUNCTION("""COMPUTED_VALUE"""),"")</f>
        <v/>
      </c>
      <c r="I428" s="18" t="str">
        <f ca="1">IFERROR(__xludf.DUMMYFUNCTION("""COMPUTED_VALUE"""),"")</f>
        <v/>
      </c>
      <c r="J428" s="18" t="str">
        <f ca="1">IFERROR(__xludf.DUMMYFUNCTION("""COMPUTED_VALUE"""),"")</f>
        <v/>
      </c>
      <c r="K428" s="18" t="str">
        <f ca="1">IFERROR(__xludf.DUMMYFUNCTION("""COMPUTED_VALUE"""),"")</f>
        <v/>
      </c>
      <c r="L428" s="18" t="str">
        <f ca="1">IFERROR(__xludf.DUMMYFUNCTION("""COMPUTED_VALUE"""),"")</f>
        <v/>
      </c>
      <c r="M428" s="18" t="str">
        <f ca="1">IFERROR(__xludf.DUMMYFUNCTION("""COMPUTED_VALUE"""),"")</f>
        <v/>
      </c>
      <c r="N428" s="18" t="str">
        <f ca="1">IFERROR(__xludf.DUMMYFUNCTION("""COMPUTED_VALUE"""),"")</f>
        <v/>
      </c>
      <c r="O428" s="18" t="str">
        <f ca="1">IFERROR(__xludf.DUMMYFUNCTION("""COMPUTED_VALUE"""),"")</f>
        <v/>
      </c>
      <c r="P428" s="18" t="str">
        <f ca="1">IFERROR(__xludf.DUMMYFUNCTION("""COMPUTED_VALUE"""),"")</f>
        <v/>
      </c>
      <c r="Q428" s="18" t="str">
        <f ca="1">IFERROR(__xludf.DUMMYFUNCTION("""COMPUTED_VALUE"""),"")</f>
        <v/>
      </c>
      <c r="R428" s="18" t="str">
        <f ca="1">IFERROR(__xludf.DUMMYFUNCTION("""COMPUTED_VALUE"""),"")</f>
        <v/>
      </c>
      <c r="S428" s="18" t="str">
        <f ca="1">IFERROR(__xludf.DUMMYFUNCTION("""COMPUTED_VALUE"""),"")</f>
        <v/>
      </c>
      <c r="T428" s="18" t="str">
        <f ca="1">IFERROR(__xludf.DUMMYFUNCTION("""COMPUTED_VALUE"""),"")</f>
        <v/>
      </c>
      <c r="U428" s="18" t="str">
        <f ca="1">IFERROR(__xludf.DUMMYFUNCTION("""COMPUTED_VALUE"""),"")</f>
        <v/>
      </c>
      <c r="V428" s="18" t="str">
        <f ca="1">IFERROR(__xludf.DUMMYFUNCTION("""COMPUTED_VALUE"""),"")</f>
        <v/>
      </c>
      <c r="W428" s="18" t="str">
        <f ca="1">IFERROR(__xludf.DUMMYFUNCTION("""COMPUTED_VALUE"""),"")</f>
        <v/>
      </c>
      <c r="X428" s="18" t="str">
        <f ca="1">IFERROR(__xludf.DUMMYFUNCTION("""COMPUTED_VALUE"""),"")</f>
        <v/>
      </c>
      <c r="Y428" s="18" t="e">
        <f ca="1"/>
        <v>#NAME?</v>
      </c>
      <c r="Z428" s="18" t="str">
        <f ca="1">IFERROR(__xludf.DUMMYFUNCTION("""COMPUTED_VALUE"""),"")</f>
        <v/>
      </c>
      <c r="AA428" s="18" t="str">
        <f ca="1">IFERROR(__xludf.DUMMYFUNCTION("""COMPUTED_VALUE"""),"")</f>
        <v/>
      </c>
      <c r="AC428" s="59"/>
    </row>
    <row r="429" spans="1:29" x14ac:dyDescent="0.25">
      <c r="A429" s="18">
        <v>0</v>
      </c>
      <c r="B429" s="52" t="str">
        <f ca="1"/>
        <v/>
      </c>
      <c r="C429" s="52" t="str">
        <f ca="1">IFERROR(__xludf.DUMMYFUNCTION("""COMPUTED_VALUE"""),"")</f>
        <v/>
      </c>
      <c r="D429" s="18" t="str">
        <f ca="1">IFERROR(__xludf.DUMMYFUNCTION("""COMPUTED_VALUE"""),"")</f>
        <v/>
      </c>
      <c r="E429" s="18" t="str">
        <f ca="1">IFERROR(__xludf.DUMMYFUNCTION("""COMPUTED_VALUE"""),"")</f>
        <v/>
      </c>
      <c r="F429" s="18" t="str">
        <f ca="1">IFERROR(__xludf.DUMMYFUNCTION("""COMPUTED_VALUE"""),"")</f>
        <v/>
      </c>
      <c r="G429" s="18" t="str">
        <f ca="1">IFERROR(__xludf.DUMMYFUNCTION("""COMPUTED_VALUE"""),"")</f>
        <v/>
      </c>
      <c r="H429" s="18" t="str">
        <f ca="1">IFERROR(__xludf.DUMMYFUNCTION("""COMPUTED_VALUE"""),"")</f>
        <v/>
      </c>
      <c r="I429" s="18" t="str">
        <f ca="1">IFERROR(__xludf.DUMMYFUNCTION("""COMPUTED_VALUE"""),"")</f>
        <v/>
      </c>
      <c r="J429" s="18" t="str">
        <f ca="1">IFERROR(__xludf.DUMMYFUNCTION("""COMPUTED_VALUE"""),"")</f>
        <v/>
      </c>
      <c r="K429" s="18" t="str">
        <f ca="1">IFERROR(__xludf.DUMMYFUNCTION("""COMPUTED_VALUE"""),"")</f>
        <v/>
      </c>
      <c r="L429" s="18" t="str">
        <f ca="1">IFERROR(__xludf.DUMMYFUNCTION("""COMPUTED_VALUE"""),"")</f>
        <v/>
      </c>
      <c r="M429" s="18" t="str">
        <f ca="1">IFERROR(__xludf.DUMMYFUNCTION("""COMPUTED_VALUE"""),"")</f>
        <v/>
      </c>
      <c r="N429" s="18" t="str">
        <f ca="1">IFERROR(__xludf.DUMMYFUNCTION("""COMPUTED_VALUE"""),"")</f>
        <v/>
      </c>
      <c r="O429" s="18" t="str">
        <f ca="1">IFERROR(__xludf.DUMMYFUNCTION("""COMPUTED_VALUE"""),"")</f>
        <v/>
      </c>
      <c r="P429" s="18" t="str">
        <f ca="1">IFERROR(__xludf.DUMMYFUNCTION("""COMPUTED_VALUE"""),"")</f>
        <v/>
      </c>
      <c r="Q429" s="18" t="str">
        <f ca="1">IFERROR(__xludf.DUMMYFUNCTION("""COMPUTED_VALUE"""),"")</f>
        <v/>
      </c>
      <c r="R429" s="18" t="str">
        <f ca="1">IFERROR(__xludf.DUMMYFUNCTION("""COMPUTED_VALUE"""),"")</f>
        <v/>
      </c>
      <c r="S429" s="18" t="str">
        <f ca="1">IFERROR(__xludf.DUMMYFUNCTION("""COMPUTED_VALUE"""),"")</f>
        <v/>
      </c>
      <c r="T429" s="18" t="str">
        <f ca="1">IFERROR(__xludf.DUMMYFUNCTION("""COMPUTED_VALUE"""),"")</f>
        <v/>
      </c>
      <c r="U429" s="18" t="str">
        <f ca="1">IFERROR(__xludf.DUMMYFUNCTION("""COMPUTED_VALUE"""),"")</f>
        <v/>
      </c>
      <c r="V429" s="18" t="str">
        <f ca="1">IFERROR(__xludf.DUMMYFUNCTION("""COMPUTED_VALUE"""),"")</f>
        <v/>
      </c>
      <c r="W429" s="18" t="str">
        <f ca="1">IFERROR(__xludf.DUMMYFUNCTION("""COMPUTED_VALUE"""),"")</f>
        <v/>
      </c>
      <c r="X429" s="18" t="str">
        <f ca="1">IFERROR(__xludf.DUMMYFUNCTION("""COMPUTED_VALUE"""),"")</f>
        <v/>
      </c>
      <c r="Y429" s="18" t="e">
        <f ca="1"/>
        <v>#NAME?</v>
      </c>
      <c r="Z429" s="18" t="str">
        <f ca="1">IFERROR(__xludf.DUMMYFUNCTION("""COMPUTED_VALUE"""),"")</f>
        <v/>
      </c>
      <c r="AA429" s="18" t="str">
        <f ca="1">IFERROR(__xludf.DUMMYFUNCTION("""COMPUTED_VALUE"""),"")</f>
        <v/>
      </c>
      <c r="AC429" s="59"/>
    </row>
    <row r="430" spans="1:29" x14ac:dyDescent="0.25">
      <c r="A430" s="18">
        <v>0</v>
      </c>
      <c r="B430" s="52" t="str">
        <f ca="1"/>
        <v/>
      </c>
      <c r="C430" s="52" t="str">
        <f ca="1">IFERROR(__xludf.DUMMYFUNCTION("""COMPUTED_VALUE"""),"")</f>
        <v/>
      </c>
      <c r="D430" s="18" t="str">
        <f ca="1">IFERROR(__xludf.DUMMYFUNCTION("""COMPUTED_VALUE"""),"")</f>
        <v/>
      </c>
      <c r="E430" s="18" t="str">
        <f ca="1">IFERROR(__xludf.DUMMYFUNCTION("""COMPUTED_VALUE"""),"")</f>
        <v/>
      </c>
      <c r="F430" s="18" t="str">
        <f ca="1">IFERROR(__xludf.DUMMYFUNCTION("""COMPUTED_VALUE"""),"")</f>
        <v/>
      </c>
      <c r="G430" s="18" t="str">
        <f ca="1">IFERROR(__xludf.DUMMYFUNCTION("""COMPUTED_VALUE"""),"")</f>
        <v/>
      </c>
      <c r="H430" s="18" t="str">
        <f ca="1">IFERROR(__xludf.DUMMYFUNCTION("""COMPUTED_VALUE"""),"")</f>
        <v/>
      </c>
      <c r="I430" s="18" t="str">
        <f ca="1">IFERROR(__xludf.DUMMYFUNCTION("""COMPUTED_VALUE"""),"")</f>
        <v/>
      </c>
      <c r="J430" s="18" t="str">
        <f ca="1">IFERROR(__xludf.DUMMYFUNCTION("""COMPUTED_VALUE"""),"")</f>
        <v/>
      </c>
      <c r="K430" s="18" t="str">
        <f ca="1">IFERROR(__xludf.DUMMYFUNCTION("""COMPUTED_VALUE"""),"")</f>
        <v/>
      </c>
      <c r="L430" s="18" t="str">
        <f ca="1">IFERROR(__xludf.DUMMYFUNCTION("""COMPUTED_VALUE"""),"")</f>
        <v/>
      </c>
      <c r="M430" s="18" t="str">
        <f ca="1">IFERROR(__xludf.DUMMYFUNCTION("""COMPUTED_VALUE"""),"")</f>
        <v/>
      </c>
      <c r="N430" s="18" t="str">
        <f ca="1">IFERROR(__xludf.DUMMYFUNCTION("""COMPUTED_VALUE"""),"")</f>
        <v/>
      </c>
      <c r="O430" s="18" t="str">
        <f ca="1">IFERROR(__xludf.DUMMYFUNCTION("""COMPUTED_VALUE"""),"")</f>
        <v/>
      </c>
      <c r="P430" s="18" t="str">
        <f ca="1">IFERROR(__xludf.DUMMYFUNCTION("""COMPUTED_VALUE"""),"")</f>
        <v/>
      </c>
      <c r="Q430" s="18" t="str">
        <f ca="1">IFERROR(__xludf.DUMMYFUNCTION("""COMPUTED_VALUE"""),"")</f>
        <v/>
      </c>
      <c r="R430" s="18" t="str">
        <f ca="1">IFERROR(__xludf.DUMMYFUNCTION("""COMPUTED_VALUE"""),"")</f>
        <v/>
      </c>
      <c r="S430" s="18" t="str">
        <f ca="1">IFERROR(__xludf.DUMMYFUNCTION("""COMPUTED_VALUE"""),"")</f>
        <v/>
      </c>
      <c r="T430" s="18" t="str">
        <f ca="1">IFERROR(__xludf.DUMMYFUNCTION("""COMPUTED_VALUE"""),"")</f>
        <v/>
      </c>
      <c r="U430" s="18" t="str">
        <f ca="1">IFERROR(__xludf.DUMMYFUNCTION("""COMPUTED_VALUE"""),"")</f>
        <v/>
      </c>
      <c r="V430" s="18" t="str">
        <f ca="1">IFERROR(__xludf.DUMMYFUNCTION("""COMPUTED_VALUE"""),"")</f>
        <v/>
      </c>
      <c r="W430" s="18" t="str">
        <f ca="1">IFERROR(__xludf.DUMMYFUNCTION("""COMPUTED_VALUE"""),"")</f>
        <v/>
      </c>
      <c r="X430" s="18" t="str">
        <f ca="1">IFERROR(__xludf.DUMMYFUNCTION("""COMPUTED_VALUE"""),"")</f>
        <v/>
      </c>
      <c r="Y430" s="18" t="e">
        <f ca="1"/>
        <v>#NAME?</v>
      </c>
      <c r="Z430" s="18" t="str">
        <f ca="1">IFERROR(__xludf.DUMMYFUNCTION("""COMPUTED_VALUE"""),"")</f>
        <v/>
      </c>
      <c r="AA430" s="18" t="str">
        <f ca="1">IFERROR(__xludf.DUMMYFUNCTION("""COMPUTED_VALUE"""),"")</f>
        <v/>
      </c>
      <c r="AC430" s="59"/>
    </row>
    <row r="431" spans="1:29" x14ac:dyDescent="0.25">
      <c r="A431" s="18">
        <v>0</v>
      </c>
      <c r="B431" s="52" t="str">
        <f ca="1"/>
        <v/>
      </c>
      <c r="C431" s="52" t="str">
        <f ca="1">IFERROR(__xludf.DUMMYFUNCTION("""COMPUTED_VALUE"""),"")</f>
        <v/>
      </c>
      <c r="D431" s="18" t="str">
        <f ca="1">IFERROR(__xludf.DUMMYFUNCTION("""COMPUTED_VALUE"""),"")</f>
        <v/>
      </c>
      <c r="E431" s="18" t="str">
        <f ca="1">IFERROR(__xludf.DUMMYFUNCTION("""COMPUTED_VALUE"""),"")</f>
        <v/>
      </c>
      <c r="F431" s="18" t="str">
        <f ca="1">IFERROR(__xludf.DUMMYFUNCTION("""COMPUTED_VALUE"""),"")</f>
        <v/>
      </c>
      <c r="G431" s="18" t="str">
        <f ca="1">IFERROR(__xludf.DUMMYFUNCTION("""COMPUTED_VALUE"""),"")</f>
        <v/>
      </c>
      <c r="H431" s="18" t="str">
        <f ca="1">IFERROR(__xludf.DUMMYFUNCTION("""COMPUTED_VALUE"""),"")</f>
        <v/>
      </c>
      <c r="I431" s="18" t="str">
        <f ca="1">IFERROR(__xludf.DUMMYFUNCTION("""COMPUTED_VALUE"""),"")</f>
        <v/>
      </c>
      <c r="J431" s="18" t="str">
        <f ca="1">IFERROR(__xludf.DUMMYFUNCTION("""COMPUTED_VALUE"""),"")</f>
        <v/>
      </c>
      <c r="K431" s="18" t="str">
        <f ca="1">IFERROR(__xludf.DUMMYFUNCTION("""COMPUTED_VALUE"""),"")</f>
        <v/>
      </c>
      <c r="L431" s="18" t="str">
        <f ca="1">IFERROR(__xludf.DUMMYFUNCTION("""COMPUTED_VALUE"""),"")</f>
        <v/>
      </c>
      <c r="M431" s="18" t="str">
        <f ca="1">IFERROR(__xludf.DUMMYFUNCTION("""COMPUTED_VALUE"""),"")</f>
        <v/>
      </c>
      <c r="N431" s="18" t="str">
        <f ca="1">IFERROR(__xludf.DUMMYFUNCTION("""COMPUTED_VALUE"""),"")</f>
        <v/>
      </c>
      <c r="O431" s="18" t="str">
        <f ca="1">IFERROR(__xludf.DUMMYFUNCTION("""COMPUTED_VALUE"""),"")</f>
        <v/>
      </c>
      <c r="P431" s="18" t="str">
        <f ca="1">IFERROR(__xludf.DUMMYFUNCTION("""COMPUTED_VALUE"""),"")</f>
        <v/>
      </c>
      <c r="Q431" s="18" t="str">
        <f ca="1">IFERROR(__xludf.DUMMYFUNCTION("""COMPUTED_VALUE"""),"")</f>
        <v/>
      </c>
      <c r="R431" s="18" t="str">
        <f ca="1">IFERROR(__xludf.DUMMYFUNCTION("""COMPUTED_VALUE"""),"")</f>
        <v/>
      </c>
      <c r="S431" s="18" t="str">
        <f ca="1">IFERROR(__xludf.DUMMYFUNCTION("""COMPUTED_VALUE"""),"")</f>
        <v/>
      </c>
      <c r="T431" s="18" t="str">
        <f ca="1">IFERROR(__xludf.DUMMYFUNCTION("""COMPUTED_VALUE"""),"")</f>
        <v/>
      </c>
      <c r="U431" s="18" t="str">
        <f ca="1">IFERROR(__xludf.DUMMYFUNCTION("""COMPUTED_VALUE"""),"")</f>
        <v/>
      </c>
      <c r="V431" s="18" t="str">
        <f ca="1">IFERROR(__xludf.DUMMYFUNCTION("""COMPUTED_VALUE"""),"")</f>
        <v/>
      </c>
      <c r="W431" s="18" t="str">
        <f ca="1">IFERROR(__xludf.DUMMYFUNCTION("""COMPUTED_VALUE"""),"")</f>
        <v/>
      </c>
      <c r="X431" s="18" t="str">
        <f ca="1">IFERROR(__xludf.DUMMYFUNCTION("""COMPUTED_VALUE"""),"")</f>
        <v/>
      </c>
      <c r="Y431" s="18" t="e">
        <f ca="1"/>
        <v>#NAME?</v>
      </c>
      <c r="Z431" s="18" t="str">
        <f ca="1">IFERROR(__xludf.DUMMYFUNCTION("""COMPUTED_VALUE"""),"")</f>
        <v/>
      </c>
      <c r="AA431" s="18" t="str">
        <f ca="1">IFERROR(__xludf.DUMMYFUNCTION("""COMPUTED_VALUE"""),"")</f>
        <v/>
      </c>
      <c r="AC431" s="59"/>
    </row>
    <row r="432" spans="1:29" x14ac:dyDescent="0.25">
      <c r="A432" s="18">
        <v>0</v>
      </c>
      <c r="B432" s="52" t="str">
        <f ca="1"/>
        <v/>
      </c>
      <c r="C432" s="52" t="str">
        <f ca="1">IFERROR(__xludf.DUMMYFUNCTION("""COMPUTED_VALUE"""),"")</f>
        <v/>
      </c>
      <c r="D432" s="18" t="str">
        <f ca="1">IFERROR(__xludf.DUMMYFUNCTION("""COMPUTED_VALUE"""),"")</f>
        <v/>
      </c>
      <c r="E432" s="18" t="str">
        <f ca="1">IFERROR(__xludf.DUMMYFUNCTION("""COMPUTED_VALUE"""),"")</f>
        <v/>
      </c>
      <c r="F432" s="18" t="str">
        <f ca="1">IFERROR(__xludf.DUMMYFUNCTION("""COMPUTED_VALUE"""),"")</f>
        <v/>
      </c>
      <c r="G432" s="18" t="str">
        <f ca="1">IFERROR(__xludf.DUMMYFUNCTION("""COMPUTED_VALUE"""),"")</f>
        <v/>
      </c>
      <c r="H432" s="18" t="str">
        <f ca="1">IFERROR(__xludf.DUMMYFUNCTION("""COMPUTED_VALUE"""),"")</f>
        <v/>
      </c>
      <c r="I432" s="18" t="str">
        <f ca="1">IFERROR(__xludf.DUMMYFUNCTION("""COMPUTED_VALUE"""),"")</f>
        <v/>
      </c>
      <c r="J432" s="18" t="str">
        <f ca="1">IFERROR(__xludf.DUMMYFUNCTION("""COMPUTED_VALUE"""),"")</f>
        <v/>
      </c>
      <c r="K432" s="18" t="str">
        <f ca="1">IFERROR(__xludf.DUMMYFUNCTION("""COMPUTED_VALUE"""),"")</f>
        <v/>
      </c>
      <c r="L432" s="18" t="str">
        <f ca="1">IFERROR(__xludf.DUMMYFUNCTION("""COMPUTED_VALUE"""),"")</f>
        <v/>
      </c>
      <c r="M432" s="18" t="str">
        <f ca="1">IFERROR(__xludf.DUMMYFUNCTION("""COMPUTED_VALUE"""),"")</f>
        <v/>
      </c>
      <c r="N432" s="18" t="str">
        <f ca="1">IFERROR(__xludf.DUMMYFUNCTION("""COMPUTED_VALUE"""),"")</f>
        <v/>
      </c>
      <c r="O432" s="18" t="str">
        <f ca="1">IFERROR(__xludf.DUMMYFUNCTION("""COMPUTED_VALUE"""),"")</f>
        <v/>
      </c>
      <c r="P432" s="18" t="str">
        <f ca="1">IFERROR(__xludf.DUMMYFUNCTION("""COMPUTED_VALUE"""),"")</f>
        <v/>
      </c>
      <c r="Q432" s="18" t="str">
        <f ca="1">IFERROR(__xludf.DUMMYFUNCTION("""COMPUTED_VALUE"""),"")</f>
        <v/>
      </c>
      <c r="R432" s="18" t="str">
        <f ca="1">IFERROR(__xludf.DUMMYFUNCTION("""COMPUTED_VALUE"""),"")</f>
        <v/>
      </c>
      <c r="S432" s="18" t="str">
        <f ca="1">IFERROR(__xludf.DUMMYFUNCTION("""COMPUTED_VALUE"""),"")</f>
        <v/>
      </c>
      <c r="T432" s="18" t="str">
        <f ca="1">IFERROR(__xludf.DUMMYFUNCTION("""COMPUTED_VALUE"""),"")</f>
        <v/>
      </c>
      <c r="U432" s="18" t="str">
        <f ca="1">IFERROR(__xludf.DUMMYFUNCTION("""COMPUTED_VALUE"""),"")</f>
        <v/>
      </c>
      <c r="V432" s="18" t="str">
        <f ca="1">IFERROR(__xludf.DUMMYFUNCTION("""COMPUTED_VALUE"""),"")</f>
        <v/>
      </c>
      <c r="W432" s="18" t="str">
        <f ca="1">IFERROR(__xludf.DUMMYFUNCTION("""COMPUTED_VALUE"""),"")</f>
        <v/>
      </c>
      <c r="X432" s="18" t="str">
        <f ca="1">IFERROR(__xludf.DUMMYFUNCTION("""COMPUTED_VALUE"""),"")</f>
        <v/>
      </c>
      <c r="Y432" s="18" t="e">
        <f ca="1"/>
        <v>#NAME?</v>
      </c>
      <c r="Z432" s="18" t="str">
        <f ca="1">IFERROR(__xludf.DUMMYFUNCTION("""COMPUTED_VALUE"""),"")</f>
        <v/>
      </c>
      <c r="AA432" s="18" t="str">
        <f ca="1">IFERROR(__xludf.DUMMYFUNCTION("""COMPUTED_VALUE"""),"")</f>
        <v/>
      </c>
      <c r="AC432" s="59"/>
    </row>
    <row r="433" spans="1:29" x14ac:dyDescent="0.25">
      <c r="A433" s="18">
        <v>0</v>
      </c>
      <c r="B433" s="52" t="str">
        <f ca="1"/>
        <v/>
      </c>
      <c r="C433" s="52" t="str">
        <f ca="1">IFERROR(__xludf.DUMMYFUNCTION("""COMPUTED_VALUE"""),"")</f>
        <v/>
      </c>
      <c r="D433" s="18" t="str">
        <f ca="1">IFERROR(__xludf.DUMMYFUNCTION("""COMPUTED_VALUE"""),"")</f>
        <v/>
      </c>
      <c r="E433" s="18" t="str">
        <f ca="1">IFERROR(__xludf.DUMMYFUNCTION("""COMPUTED_VALUE"""),"")</f>
        <v/>
      </c>
      <c r="F433" s="18" t="str">
        <f ca="1">IFERROR(__xludf.DUMMYFUNCTION("""COMPUTED_VALUE"""),"")</f>
        <v/>
      </c>
      <c r="G433" s="18" t="str">
        <f ca="1">IFERROR(__xludf.DUMMYFUNCTION("""COMPUTED_VALUE"""),"")</f>
        <v/>
      </c>
      <c r="H433" s="18" t="str">
        <f ca="1">IFERROR(__xludf.DUMMYFUNCTION("""COMPUTED_VALUE"""),"")</f>
        <v/>
      </c>
      <c r="I433" s="18" t="str">
        <f ca="1">IFERROR(__xludf.DUMMYFUNCTION("""COMPUTED_VALUE"""),"")</f>
        <v/>
      </c>
      <c r="J433" s="18" t="str">
        <f ca="1">IFERROR(__xludf.DUMMYFUNCTION("""COMPUTED_VALUE"""),"")</f>
        <v/>
      </c>
      <c r="K433" s="18" t="str">
        <f ca="1">IFERROR(__xludf.DUMMYFUNCTION("""COMPUTED_VALUE"""),"")</f>
        <v/>
      </c>
      <c r="L433" s="18" t="str">
        <f ca="1">IFERROR(__xludf.DUMMYFUNCTION("""COMPUTED_VALUE"""),"")</f>
        <v/>
      </c>
      <c r="M433" s="18" t="str">
        <f ca="1">IFERROR(__xludf.DUMMYFUNCTION("""COMPUTED_VALUE"""),"")</f>
        <v/>
      </c>
      <c r="N433" s="18" t="str">
        <f ca="1">IFERROR(__xludf.DUMMYFUNCTION("""COMPUTED_VALUE"""),"")</f>
        <v/>
      </c>
      <c r="O433" s="18" t="str">
        <f ca="1">IFERROR(__xludf.DUMMYFUNCTION("""COMPUTED_VALUE"""),"")</f>
        <v/>
      </c>
      <c r="P433" s="18" t="str">
        <f ca="1">IFERROR(__xludf.DUMMYFUNCTION("""COMPUTED_VALUE"""),"")</f>
        <v/>
      </c>
      <c r="Q433" s="18" t="str">
        <f ca="1">IFERROR(__xludf.DUMMYFUNCTION("""COMPUTED_VALUE"""),"")</f>
        <v/>
      </c>
      <c r="R433" s="18" t="str">
        <f ca="1">IFERROR(__xludf.DUMMYFUNCTION("""COMPUTED_VALUE"""),"")</f>
        <v/>
      </c>
      <c r="S433" s="18" t="str">
        <f ca="1">IFERROR(__xludf.DUMMYFUNCTION("""COMPUTED_VALUE"""),"")</f>
        <v/>
      </c>
      <c r="T433" s="18" t="str">
        <f ca="1">IFERROR(__xludf.DUMMYFUNCTION("""COMPUTED_VALUE"""),"")</f>
        <v/>
      </c>
      <c r="U433" s="18" t="str">
        <f ca="1">IFERROR(__xludf.DUMMYFUNCTION("""COMPUTED_VALUE"""),"")</f>
        <v/>
      </c>
      <c r="V433" s="18" t="str">
        <f ca="1">IFERROR(__xludf.DUMMYFUNCTION("""COMPUTED_VALUE"""),"")</f>
        <v/>
      </c>
      <c r="W433" s="18" t="str">
        <f ca="1">IFERROR(__xludf.DUMMYFUNCTION("""COMPUTED_VALUE"""),"")</f>
        <v/>
      </c>
      <c r="X433" s="18" t="str">
        <f ca="1">IFERROR(__xludf.DUMMYFUNCTION("""COMPUTED_VALUE"""),"")</f>
        <v/>
      </c>
      <c r="Y433" s="18" t="e">
        <f ca="1"/>
        <v>#NAME?</v>
      </c>
      <c r="Z433" s="18" t="str">
        <f ca="1">IFERROR(__xludf.DUMMYFUNCTION("""COMPUTED_VALUE"""),"")</f>
        <v/>
      </c>
      <c r="AA433" s="18" t="str">
        <f ca="1">IFERROR(__xludf.DUMMYFUNCTION("""COMPUTED_VALUE"""),"")</f>
        <v/>
      </c>
      <c r="AC433" s="59"/>
    </row>
    <row r="434" spans="1:29" x14ac:dyDescent="0.25">
      <c r="A434" s="18">
        <v>0</v>
      </c>
      <c r="B434" s="52" t="str">
        <f ca="1"/>
        <v/>
      </c>
      <c r="C434" s="52" t="str">
        <f ca="1">IFERROR(__xludf.DUMMYFUNCTION("""COMPUTED_VALUE"""),"")</f>
        <v/>
      </c>
      <c r="D434" s="18" t="str">
        <f ca="1">IFERROR(__xludf.DUMMYFUNCTION("""COMPUTED_VALUE"""),"")</f>
        <v/>
      </c>
      <c r="E434" s="18" t="str">
        <f ca="1">IFERROR(__xludf.DUMMYFUNCTION("""COMPUTED_VALUE"""),"")</f>
        <v/>
      </c>
      <c r="F434" s="18" t="str">
        <f ca="1">IFERROR(__xludf.DUMMYFUNCTION("""COMPUTED_VALUE"""),"")</f>
        <v/>
      </c>
      <c r="G434" s="18" t="str">
        <f ca="1">IFERROR(__xludf.DUMMYFUNCTION("""COMPUTED_VALUE"""),"")</f>
        <v/>
      </c>
      <c r="H434" s="18" t="str">
        <f ca="1">IFERROR(__xludf.DUMMYFUNCTION("""COMPUTED_VALUE"""),"")</f>
        <v/>
      </c>
      <c r="I434" s="18" t="str">
        <f ca="1">IFERROR(__xludf.DUMMYFUNCTION("""COMPUTED_VALUE"""),"")</f>
        <v/>
      </c>
      <c r="J434" s="18" t="str">
        <f ca="1">IFERROR(__xludf.DUMMYFUNCTION("""COMPUTED_VALUE"""),"")</f>
        <v/>
      </c>
      <c r="K434" s="18" t="str">
        <f ca="1">IFERROR(__xludf.DUMMYFUNCTION("""COMPUTED_VALUE"""),"")</f>
        <v/>
      </c>
      <c r="L434" s="18" t="str">
        <f ca="1">IFERROR(__xludf.DUMMYFUNCTION("""COMPUTED_VALUE"""),"")</f>
        <v/>
      </c>
      <c r="M434" s="18" t="str">
        <f ca="1">IFERROR(__xludf.DUMMYFUNCTION("""COMPUTED_VALUE"""),"")</f>
        <v/>
      </c>
      <c r="N434" s="18" t="str">
        <f ca="1">IFERROR(__xludf.DUMMYFUNCTION("""COMPUTED_VALUE"""),"")</f>
        <v/>
      </c>
      <c r="O434" s="18" t="str">
        <f ca="1">IFERROR(__xludf.DUMMYFUNCTION("""COMPUTED_VALUE"""),"")</f>
        <v/>
      </c>
      <c r="P434" s="18" t="str">
        <f ca="1">IFERROR(__xludf.DUMMYFUNCTION("""COMPUTED_VALUE"""),"")</f>
        <v/>
      </c>
      <c r="Q434" s="18" t="str">
        <f ca="1">IFERROR(__xludf.DUMMYFUNCTION("""COMPUTED_VALUE"""),"")</f>
        <v/>
      </c>
      <c r="R434" s="18" t="str">
        <f ca="1">IFERROR(__xludf.DUMMYFUNCTION("""COMPUTED_VALUE"""),"")</f>
        <v/>
      </c>
      <c r="S434" s="18" t="str">
        <f ca="1">IFERROR(__xludf.DUMMYFUNCTION("""COMPUTED_VALUE"""),"")</f>
        <v/>
      </c>
      <c r="T434" s="18" t="str">
        <f ca="1">IFERROR(__xludf.DUMMYFUNCTION("""COMPUTED_VALUE"""),"")</f>
        <v/>
      </c>
      <c r="U434" s="18" t="str">
        <f ca="1">IFERROR(__xludf.DUMMYFUNCTION("""COMPUTED_VALUE"""),"")</f>
        <v/>
      </c>
      <c r="V434" s="18" t="str">
        <f ca="1">IFERROR(__xludf.DUMMYFUNCTION("""COMPUTED_VALUE"""),"")</f>
        <v/>
      </c>
      <c r="W434" s="18" t="str">
        <f ca="1">IFERROR(__xludf.DUMMYFUNCTION("""COMPUTED_VALUE"""),"")</f>
        <v/>
      </c>
      <c r="X434" s="18" t="str">
        <f ca="1">IFERROR(__xludf.DUMMYFUNCTION("""COMPUTED_VALUE"""),"")</f>
        <v/>
      </c>
      <c r="Y434" s="18" t="e">
        <f ca="1"/>
        <v>#NAME?</v>
      </c>
      <c r="Z434" s="18" t="str">
        <f ca="1">IFERROR(__xludf.DUMMYFUNCTION("""COMPUTED_VALUE"""),"")</f>
        <v/>
      </c>
      <c r="AA434" s="18" t="str">
        <f ca="1">IFERROR(__xludf.DUMMYFUNCTION("""COMPUTED_VALUE"""),"")</f>
        <v/>
      </c>
      <c r="AC434" s="59"/>
    </row>
    <row r="435" spans="1:29" x14ac:dyDescent="0.25">
      <c r="A435" s="18">
        <v>0</v>
      </c>
      <c r="B435" s="52" t="str">
        <f ca="1"/>
        <v/>
      </c>
      <c r="C435" s="52" t="str">
        <f ca="1">IFERROR(__xludf.DUMMYFUNCTION("""COMPUTED_VALUE"""),"")</f>
        <v/>
      </c>
      <c r="D435" s="18" t="str">
        <f ca="1">IFERROR(__xludf.DUMMYFUNCTION("""COMPUTED_VALUE"""),"")</f>
        <v/>
      </c>
      <c r="E435" s="18" t="str">
        <f ca="1">IFERROR(__xludf.DUMMYFUNCTION("""COMPUTED_VALUE"""),"")</f>
        <v/>
      </c>
      <c r="F435" s="18" t="str">
        <f ca="1">IFERROR(__xludf.DUMMYFUNCTION("""COMPUTED_VALUE"""),"")</f>
        <v/>
      </c>
      <c r="G435" s="18" t="str">
        <f ca="1">IFERROR(__xludf.DUMMYFUNCTION("""COMPUTED_VALUE"""),"")</f>
        <v/>
      </c>
      <c r="H435" s="18" t="str">
        <f ca="1">IFERROR(__xludf.DUMMYFUNCTION("""COMPUTED_VALUE"""),"")</f>
        <v/>
      </c>
      <c r="I435" s="18" t="str">
        <f ca="1">IFERROR(__xludf.DUMMYFUNCTION("""COMPUTED_VALUE"""),"")</f>
        <v/>
      </c>
      <c r="J435" s="18" t="str">
        <f ca="1">IFERROR(__xludf.DUMMYFUNCTION("""COMPUTED_VALUE"""),"")</f>
        <v/>
      </c>
      <c r="K435" s="18" t="str">
        <f ca="1">IFERROR(__xludf.DUMMYFUNCTION("""COMPUTED_VALUE"""),"")</f>
        <v/>
      </c>
      <c r="L435" s="18" t="str">
        <f ca="1">IFERROR(__xludf.DUMMYFUNCTION("""COMPUTED_VALUE"""),"")</f>
        <v/>
      </c>
      <c r="M435" s="18" t="str">
        <f ca="1">IFERROR(__xludf.DUMMYFUNCTION("""COMPUTED_VALUE"""),"")</f>
        <v/>
      </c>
      <c r="N435" s="18" t="str">
        <f ca="1">IFERROR(__xludf.DUMMYFUNCTION("""COMPUTED_VALUE"""),"")</f>
        <v/>
      </c>
      <c r="O435" s="18" t="str">
        <f ca="1">IFERROR(__xludf.DUMMYFUNCTION("""COMPUTED_VALUE"""),"")</f>
        <v/>
      </c>
      <c r="P435" s="18" t="str">
        <f ca="1">IFERROR(__xludf.DUMMYFUNCTION("""COMPUTED_VALUE"""),"")</f>
        <v/>
      </c>
      <c r="Q435" s="18" t="str">
        <f ca="1">IFERROR(__xludf.DUMMYFUNCTION("""COMPUTED_VALUE"""),"")</f>
        <v/>
      </c>
      <c r="R435" s="18" t="str">
        <f ca="1">IFERROR(__xludf.DUMMYFUNCTION("""COMPUTED_VALUE"""),"")</f>
        <v/>
      </c>
      <c r="S435" s="18" t="str">
        <f ca="1">IFERROR(__xludf.DUMMYFUNCTION("""COMPUTED_VALUE"""),"")</f>
        <v/>
      </c>
      <c r="T435" s="18" t="str">
        <f ca="1">IFERROR(__xludf.DUMMYFUNCTION("""COMPUTED_VALUE"""),"")</f>
        <v/>
      </c>
      <c r="U435" s="18" t="str">
        <f ca="1">IFERROR(__xludf.DUMMYFUNCTION("""COMPUTED_VALUE"""),"")</f>
        <v/>
      </c>
      <c r="V435" s="18" t="str">
        <f ca="1">IFERROR(__xludf.DUMMYFUNCTION("""COMPUTED_VALUE"""),"")</f>
        <v/>
      </c>
      <c r="W435" s="18" t="str">
        <f ca="1">IFERROR(__xludf.DUMMYFUNCTION("""COMPUTED_VALUE"""),"")</f>
        <v/>
      </c>
      <c r="X435" s="18" t="str">
        <f ca="1">IFERROR(__xludf.DUMMYFUNCTION("""COMPUTED_VALUE"""),"")</f>
        <v/>
      </c>
      <c r="Y435" s="18" t="e">
        <f ca="1"/>
        <v>#NAME?</v>
      </c>
      <c r="Z435" s="18" t="str">
        <f ca="1">IFERROR(__xludf.DUMMYFUNCTION("""COMPUTED_VALUE"""),"")</f>
        <v/>
      </c>
      <c r="AA435" s="18" t="str">
        <f ca="1">IFERROR(__xludf.DUMMYFUNCTION("""COMPUTED_VALUE"""),"")</f>
        <v/>
      </c>
      <c r="AC435" s="59"/>
    </row>
    <row r="436" spans="1:29" x14ac:dyDescent="0.25">
      <c r="A436" s="18">
        <v>0</v>
      </c>
      <c r="B436" s="52" t="str">
        <f ca="1"/>
        <v/>
      </c>
      <c r="C436" s="52" t="str">
        <f ca="1">IFERROR(__xludf.DUMMYFUNCTION("""COMPUTED_VALUE"""),"")</f>
        <v/>
      </c>
      <c r="D436" s="18" t="str">
        <f ca="1">IFERROR(__xludf.DUMMYFUNCTION("""COMPUTED_VALUE"""),"")</f>
        <v/>
      </c>
      <c r="E436" s="18" t="str">
        <f ca="1">IFERROR(__xludf.DUMMYFUNCTION("""COMPUTED_VALUE"""),"")</f>
        <v/>
      </c>
      <c r="F436" s="18" t="str">
        <f ca="1">IFERROR(__xludf.DUMMYFUNCTION("""COMPUTED_VALUE"""),"")</f>
        <v/>
      </c>
      <c r="G436" s="18" t="str">
        <f ca="1">IFERROR(__xludf.DUMMYFUNCTION("""COMPUTED_VALUE"""),"")</f>
        <v/>
      </c>
      <c r="H436" s="18" t="str">
        <f ca="1">IFERROR(__xludf.DUMMYFUNCTION("""COMPUTED_VALUE"""),"")</f>
        <v/>
      </c>
      <c r="I436" s="18" t="str">
        <f ca="1">IFERROR(__xludf.DUMMYFUNCTION("""COMPUTED_VALUE"""),"")</f>
        <v/>
      </c>
      <c r="J436" s="18" t="str">
        <f ca="1">IFERROR(__xludf.DUMMYFUNCTION("""COMPUTED_VALUE"""),"")</f>
        <v/>
      </c>
      <c r="K436" s="18" t="str">
        <f ca="1">IFERROR(__xludf.DUMMYFUNCTION("""COMPUTED_VALUE"""),"")</f>
        <v/>
      </c>
      <c r="L436" s="18" t="str">
        <f ca="1">IFERROR(__xludf.DUMMYFUNCTION("""COMPUTED_VALUE"""),"")</f>
        <v/>
      </c>
      <c r="M436" s="18" t="str">
        <f ca="1">IFERROR(__xludf.DUMMYFUNCTION("""COMPUTED_VALUE"""),"")</f>
        <v/>
      </c>
      <c r="N436" s="18" t="str">
        <f ca="1">IFERROR(__xludf.DUMMYFUNCTION("""COMPUTED_VALUE"""),"")</f>
        <v/>
      </c>
      <c r="O436" s="18" t="str">
        <f ca="1">IFERROR(__xludf.DUMMYFUNCTION("""COMPUTED_VALUE"""),"")</f>
        <v/>
      </c>
      <c r="P436" s="18" t="str">
        <f ca="1">IFERROR(__xludf.DUMMYFUNCTION("""COMPUTED_VALUE"""),"")</f>
        <v/>
      </c>
      <c r="Q436" s="18" t="str">
        <f ca="1">IFERROR(__xludf.DUMMYFUNCTION("""COMPUTED_VALUE"""),"")</f>
        <v/>
      </c>
      <c r="R436" s="18" t="str">
        <f ca="1">IFERROR(__xludf.DUMMYFUNCTION("""COMPUTED_VALUE"""),"")</f>
        <v/>
      </c>
      <c r="S436" s="18" t="str">
        <f ca="1">IFERROR(__xludf.DUMMYFUNCTION("""COMPUTED_VALUE"""),"")</f>
        <v/>
      </c>
      <c r="T436" s="18" t="str">
        <f ca="1">IFERROR(__xludf.DUMMYFUNCTION("""COMPUTED_VALUE"""),"")</f>
        <v/>
      </c>
      <c r="U436" s="18" t="str">
        <f ca="1">IFERROR(__xludf.DUMMYFUNCTION("""COMPUTED_VALUE"""),"")</f>
        <v/>
      </c>
      <c r="V436" s="18" t="str">
        <f ca="1">IFERROR(__xludf.DUMMYFUNCTION("""COMPUTED_VALUE"""),"")</f>
        <v/>
      </c>
      <c r="W436" s="18" t="str">
        <f ca="1">IFERROR(__xludf.DUMMYFUNCTION("""COMPUTED_VALUE"""),"")</f>
        <v/>
      </c>
      <c r="X436" s="18" t="str">
        <f ca="1">IFERROR(__xludf.DUMMYFUNCTION("""COMPUTED_VALUE"""),"")</f>
        <v/>
      </c>
      <c r="Y436" s="18" t="e">
        <f ca="1"/>
        <v>#NAME?</v>
      </c>
      <c r="Z436" s="18" t="str">
        <f ca="1">IFERROR(__xludf.DUMMYFUNCTION("""COMPUTED_VALUE"""),"")</f>
        <v/>
      </c>
      <c r="AA436" s="18" t="str">
        <f ca="1">IFERROR(__xludf.DUMMYFUNCTION("""COMPUTED_VALUE"""),"")</f>
        <v/>
      </c>
      <c r="AC436" s="59"/>
    </row>
    <row r="437" spans="1:29" x14ac:dyDescent="0.25">
      <c r="A437" s="18">
        <v>0</v>
      </c>
      <c r="B437" s="52" t="str">
        <f ca="1"/>
        <v/>
      </c>
      <c r="C437" s="52" t="str">
        <f ca="1">IFERROR(__xludf.DUMMYFUNCTION("""COMPUTED_VALUE"""),"")</f>
        <v/>
      </c>
      <c r="D437" s="18" t="str">
        <f ca="1">IFERROR(__xludf.DUMMYFUNCTION("""COMPUTED_VALUE"""),"")</f>
        <v/>
      </c>
      <c r="E437" s="18" t="str">
        <f ca="1">IFERROR(__xludf.DUMMYFUNCTION("""COMPUTED_VALUE"""),"")</f>
        <v/>
      </c>
      <c r="F437" s="18" t="str">
        <f ca="1">IFERROR(__xludf.DUMMYFUNCTION("""COMPUTED_VALUE"""),"")</f>
        <v/>
      </c>
      <c r="G437" s="18" t="str">
        <f ca="1">IFERROR(__xludf.DUMMYFUNCTION("""COMPUTED_VALUE"""),"")</f>
        <v/>
      </c>
      <c r="H437" s="18" t="str">
        <f ca="1">IFERROR(__xludf.DUMMYFUNCTION("""COMPUTED_VALUE"""),"")</f>
        <v/>
      </c>
      <c r="I437" s="18" t="str">
        <f ca="1">IFERROR(__xludf.DUMMYFUNCTION("""COMPUTED_VALUE"""),"")</f>
        <v/>
      </c>
      <c r="J437" s="18" t="str">
        <f ca="1">IFERROR(__xludf.DUMMYFUNCTION("""COMPUTED_VALUE"""),"")</f>
        <v/>
      </c>
      <c r="K437" s="18" t="str">
        <f ca="1">IFERROR(__xludf.DUMMYFUNCTION("""COMPUTED_VALUE"""),"")</f>
        <v/>
      </c>
      <c r="L437" s="18" t="str">
        <f ca="1">IFERROR(__xludf.DUMMYFUNCTION("""COMPUTED_VALUE"""),"")</f>
        <v/>
      </c>
      <c r="M437" s="18" t="str">
        <f ca="1">IFERROR(__xludf.DUMMYFUNCTION("""COMPUTED_VALUE"""),"")</f>
        <v/>
      </c>
      <c r="N437" s="18" t="str">
        <f ca="1">IFERROR(__xludf.DUMMYFUNCTION("""COMPUTED_VALUE"""),"")</f>
        <v/>
      </c>
      <c r="O437" s="18" t="str">
        <f ca="1">IFERROR(__xludf.DUMMYFUNCTION("""COMPUTED_VALUE"""),"")</f>
        <v/>
      </c>
      <c r="P437" s="18" t="str">
        <f ca="1">IFERROR(__xludf.DUMMYFUNCTION("""COMPUTED_VALUE"""),"")</f>
        <v/>
      </c>
      <c r="Q437" s="18" t="str">
        <f ca="1">IFERROR(__xludf.DUMMYFUNCTION("""COMPUTED_VALUE"""),"")</f>
        <v/>
      </c>
      <c r="R437" s="18" t="str">
        <f ca="1">IFERROR(__xludf.DUMMYFUNCTION("""COMPUTED_VALUE"""),"")</f>
        <v/>
      </c>
      <c r="S437" s="18" t="str">
        <f ca="1">IFERROR(__xludf.DUMMYFUNCTION("""COMPUTED_VALUE"""),"")</f>
        <v/>
      </c>
      <c r="T437" s="18" t="str">
        <f ca="1">IFERROR(__xludf.DUMMYFUNCTION("""COMPUTED_VALUE"""),"")</f>
        <v/>
      </c>
      <c r="U437" s="18" t="str">
        <f ca="1">IFERROR(__xludf.DUMMYFUNCTION("""COMPUTED_VALUE"""),"")</f>
        <v/>
      </c>
      <c r="V437" s="18" t="str">
        <f ca="1">IFERROR(__xludf.DUMMYFUNCTION("""COMPUTED_VALUE"""),"")</f>
        <v/>
      </c>
      <c r="W437" s="18" t="str">
        <f ca="1">IFERROR(__xludf.DUMMYFUNCTION("""COMPUTED_VALUE"""),"")</f>
        <v/>
      </c>
      <c r="X437" s="18" t="str">
        <f ca="1">IFERROR(__xludf.DUMMYFUNCTION("""COMPUTED_VALUE"""),"")</f>
        <v/>
      </c>
      <c r="Y437" s="18" t="e">
        <f ca="1"/>
        <v>#NAME?</v>
      </c>
      <c r="Z437" s="18" t="str">
        <f ca="1">IFERROR(__xludf.DUMMYFUNCTION("""COMPUTED_VALUE"""),"")</f>
        <v/>
      </c>
      <c r="AA437" s="18" t="str">
        <f ca="1">IFERROR(__xludf.DUMMYFUNCTION("""COMPUTED_VALUE"""),"")</f>
        <v/>
      </c>
      <c r="AC437" s="59"/>
    </row>
    <row r="438" spans="1:29" x14ac:dyDescent="0.25">
      <c r="A438" s="18">
        <v>0</v>
      </c>
      <c r="B438" s="52" t="str">
        <f ca="1"/>
        <v/>
      </c>
      <c r="C438" s="52" t="str">
        <f ca="1">IFERROR(__xludf.DUMMYFUNCTION("""COMPUTED_VALUE"""),"")</f>
        <v/>
      </c>
      <c r="D438" s="18" t="str">
        <f ca="1">IFERROR(__xludf.DUMMYFUNCTION("""COMPUTED_VALUE"""),"")</f>
        <v/>
      </c>
      <c r="E438" s="18" t="str">
        <f ca="1">IFERROR(__xludf.DUMMYFUNCTION("""COMPUTED_VALUE"""),"")</f>
        <v/>
      </c>
      <c r="F438" s="18" t="str">
        <f ca="1">IFERROR(__xludf.DUMMYFUNCTION("""COMPUTED_VALUE"""),"")</f>
        <v/>
      </c>
      <c r="G438" s="18" t="str">
        <f ca="1">IFERROR(__xludf.DUMMYFUNCTION("""COMPUTED_VALUE"""),"")</f>
        <v/>
      </c>
      <c r="H438" s="18" t="str">
        <f ca="1">IFERROR(__xludf.DUMMYFUNCTION("""COMPUTED_VALUE"""),"")</f>
        <v/>
      </c>
      <c r="I438" s="18" t="str">
        <f ca="1">IFERROR(__xludf.DUMMYFUNCTION("""COMPUTED_VALUE"""),"")</f>
        <v/>
      </c>
      <c r="J438" s="18" t="str">
        <f ca="1">IFERROR(__xludf.DUMMYFUNCTION("""COMPUTED_VALUE"""),"")</f>
        <v/>
      </c>
      <c r="K438" s="18" t="str">
        <f ca="1">IFERROR(__xludf.DUMMYFUNCTION("""COMPUTED_VALUE"""),"")</f>
        <v/>
      </c>
      <c r="L438" s="18" t="str">
        <f ca="1">IFERROR(__xludf.DUMMYFUNCTION("""COMPUTED_VALUE"""),"")</f>
        <v/>
      </c>
      <c r="M438" s="18" t="str">
        <f ca="1">IFERROR(__xludf.DUMMYFUNCTION("""COMPUTED_VALUE"""),"")</f>
        <v/>
      </c>
      <c r="N438" s="18" t="str">
        <f ca="1">IFERROR(__xludf.DUMMYFUNCTION("""COMPUTED_VALUE"""),"")</f>
        <v/>
      </c>
      <c r="O438" s="18" t="str">
        <f ca="1">IFERROR(__xludf.DUMMYFUNCTION("""COMPUTED_VALUE"""),"")</f>
        <v/>
      </c>
      <c r="P438" s="18" t="str">
        <f ca="1">IFERROR(__xludf.DUMMYFUNCTION("""COMPUTED_VALUE"""),"")</f>
        <v/>
      </c>
      <c r="Q438" s="18" t="str">
        <f ca="1">IFERROR(__xludf.DUMMYFUNCTION("""COMPUTED_VALUE"""),"")</f>
        <v/>
      </c>
      <c r="R438" s="18" t="str">
        <f ca="1">IFERROR(__xludf.DUMMYFUNCTION("""COMPUTED_VALUE"""),"")</f>
        <v/>
      </c>
      <c r="S438" s="18" t="str">
        <f ca="1">IFERROR(__xludf.DUMMYFUNCTION("""COMPUTED_VALUE"""),"")</f>
        <v/>
      </c>
      <c r="T438" s="18" t="str">
        <f ca="1">IFERROR(__xludf.DUMMYFUNCTION("""COMPUTED_VALUE"""),"")</f>
        <v/>
      </c>
      <c r="U438" s="18" t="str">
        <f ca="1">IFERROR(__xludf.DUMMYFUNCTION("""COMPUTED_VALUE"""),"")</f>
        <v/>
      </c>
      <c r="V438" s="18" t="str">
        <f ca="1">IFERROR(__xludf.DUMMYFUNCTION("""COMPUTED_VALUE"""),"")</f>
        <v/>
      </c>
      <c r="W438" s="18" t="str">
        <f ca="1">IFERROR(__xludf.DUMMYFUNCTION("""COMPUTED_VALUE"""),"")</f>
        <v/>
      </c>
      <c r="X438" s="18" t="str">
        <f ca="1">IFERROR(__xludf.DUMMYFUNCTION("""COMPUTED_VALUE"""),"")</f>
        <v/>
      </c>
      <c r="Y438" s="18" t="e">
        <f ca="1"/>
        <v>#NAME?</v>
      </c>
      <c r="Z438" s="18" t="str">
        <f ca="1">IFERROR(__xludf.DUMMYFUNCTION("""COMPUTED_VALUE"""),"")</f>
        <v/>
      </c>
      <c r="AA438" s="18" t="str">
        <f ca="1">IFERROR(__xludf.DUMMYFUNCTION("""COMPUTED_VALUE"""),"")</f>
        <v/>
      </c>
      <c r="AC438" s="59"/>
    </row>
    <row r="439" spans="1:29" x14ac:dyDescent="0.25">
      <c r="A439" s="18">
        <v>0</v>
      </c>
      <c r="B439" s="52" t="str">
        <f ca="1"/>
        <v/>
      </c>
      <c r="C439" s="52" t="str">
        <f ca="1">IFERROR(__xludf.DUMMYFUNCTION("""COMPUTED_VALUE"""),"")</f>
        <v/>
      </c>
      <c r="D439" s="18" t="str">
        <f ca="1">IFERROR(__xludf.DUMMYFUNCTION("""COMPUTED_VALUE"""),"")</f>
        <v/>
      </c>
      <c r="E439" s="18" t="str">
        <f ca="1">IFERROR(__xludf.DUMMYFUNCTION("""COMPUTED_VALUE"""),"")</f>
        <v/>
      </c>
      <c r="F439" s="18" t="str">
        <f ca="1">IFERROR(__xludf.DUMMYFUNCTION("""COMPUTED_VALUE"""),"")</f>
        <v/>
      </c>
      <c r="G439" s="18" t="str">
        <f ca="1">IFERROR(__xludf.DUMMYFUNCTION("""COMPUTED_VALUE"""),"")</f>
        <v/>
      </c>
      <c r="H439" s="18" t="str">
        <f ca="1">IFERROR(__xludf.DUMMYFUNCTION("""COMPUTED_VALUE"""),"")</f>
        <v/>
      </c>
      <c r="I439" s="18" t="str">
        <f ca="1">IFERROR(__xludf.DUMMYFUNCTION("""COMPUTED_VALUE"""),"")</f>
        <v/>
      </c>
      <c r="J439" s="18" t="str">
        <f ca="1">IFERROR(__xludf.DUMMYFUNCTION("""COMPUTED_VALUE"""),"")</f>
        <v/>
      </c>
      <c r="K439" s="18" t="str">
        <f ca="1">IFERROR(__xludf.DUMMYFUNCTION("""COMPUTED_VALUE"""),"")</f>
        <v/>
      </c>
      <c r="L439" s="18" t="str">
        <f ca="1">IFERROR(__xludf.DUMMYFUNCTION("""COMPUTED_VALUE"""),"")</f>
        <v/>
      </c>
      <c r="M439" s="18" t="str">
        <f ca="1">IFERROR(__xludf.DUMMYFUNCTION("""COMPUTED_VALUE"""),"")</f>
        <v/>
      </c>
      <c r="N439" s="18" t="str">
        <f ca="1">IFERROR(__xludf.DUMMYFUNCTION("""COMPUTED_VALUE"""),"")</f>
        <v/>
      </c>
      <c r="O439" s="18" t="str">
        <f ca="1">IFERROR(__xludf.DUMMYFUNCTION("""COMPUTED_VALUE"""),"")</f>
        <v/>
      </c>
      <c r="P439" s="18" t="str">
        <f ca="1">IFERROR(__xludf.DUMMYFUNCTION("""COMPUTED_VALUE"""),"")</f>
        <v/>
      </c>
      <c r="Q439" s="18" t="str">
        <f ca="1">IFERROR(__xludf.DUMMYFUNCTION("""COMPUTED_VALUE"""),"")</f>
        <v/>
      </c>
      <c r="R439" s="18" t="str">
        <f ca="1">IFERROR(__xludf.DUMMYFUNCTION("""COMPUTED_VALUE"""),"")</f>
        <v/>
      </c>
      <c r="S439" s="18" t="str">
        <f ca="1">IFERROR(__xludf.DUMMYFUNCTION("""COMPUTED_VALUE"""),"")</f>
        <v/>
      </c>
      <c r="T439" s="18" t="str">
        <f ca="1">IFERROR(__xludf.DUMMYFUNCTION("""COMPUTED_VALUE"""),"")</f>
        <v/>
      </c>
      <c r="U439" s="18" t="str">
        <f ca="1">IFERROR(__xludf.DUMMYFUNCTION("""COMPUTED_VALUE"""),"")</f>
        <v/>
      </c>
      <c r="V439" s="18" t="str">
        <f ca="1">IFERROR(__xludf.DUMMYFUNCTION("""COMPUTED_VALUE"""),"")</f>
        <v/>
      </c>
      <c r="W439" s="18" t="str">
        <f ca="1">IFERROR(__xludf.DUMMYFUNCTION("""COMPUTED_VALUE"""),"")</f>
        <v/>
      </c>
      <c r="X439" s="18" t="str">
        <f ca="1">IFERROR(__xludf.DUMMYFUNCTION("""COMPUTED_VALUE"""),"")</f>
        <v/>
      </c>
      <c r="Y439" s="18" t="e">
        <f ca="1"/>
        <v>#NAME?</v>
      </c>
      <c r="Z439" s="18" t="str">
        <f ca="1">IFERROR(__xludf.DUMMYFUNCTION("""COMPUTED_VALUE"""),"")</f>
        <v/>
      </c>
      <c r="AA439" s="18" t="str">
        <f ca="1">IFERROR(__xludf.DUMMYFUNCTION("""COMPUTED_VALUE"""),"")</f>
        <v/>
      </c>
      <c r="AC439" s="59"/>
    </row>
    <row r="440" spans="1:29" x14ac:dyDescent="0.25">
      <c r="A440" s="18">
        <v>0</v>
      </c>
      <c r="B440" s="52" t="str">
        <f ca="1"/>
        <v/>
      </c>
      <c r="C440" s="52" t="str">
        <f ca="1">IFERROR(__xludf.DUMMYFUNCTION("""COMPUTED_VALUE"""),"")</f>
        <v/>
      </c>
      <c r="D440" s="18" t="str">
        <f ca="1">IFERROR(__xludf.DUMMYFUNCTION("""COMPUTED_VALUE"""),"")</f>
        <v/>
      </c>
      <c r="E440" s="18" t="str">
        <f ca="1">IFERROR(__xludf.DUMMYFUNCTION("""COMPUTED_VALUE"""),"")</f>
        <v/>
      </c>
      <c r="F440" s="18" t="str">
        <f ca="1">IFERROR(__xludf.DUMMYFUNCTION("""COMPUTED_VALUE"""),"")</f>
        <v/>
      </c>
      <c r="G440" s="18" t="str">
        <f ca="1">IFERROR(__xludf.DUMMYFUNCTION("""COMPUTED_VALUE"""),"")</f>
        <v/>
      </c>
      <c r="H440" s="18" t="str">
        <f ca="1">IFERROR(__xludf.DUMMYFUNCTION("""COMPUTED_VALUE"""),"")</f>
        <v/>
      </c>
      <c r="I440" s="18" t="str">
        <f ca="1">IFERROR(__xludf.DUMMYFUNCTION("""COMPUTED_VALUE"""),"")</f>
        <v/>
      </c>
      <c r="J440" s="18" t="str">
        <f ca="1">IFERROR(__xludf.DUMMYFUNCTION("""COMPUTED_VALUE"""),"")</f>
        <v/>
      </c>
      <c r="K440" s="18" t="str">
        <f ca="1">IFERROR(__xludf.DUMMYFUNCTION("""COMPUTED_VALUE"""),"")</f>
        <v/>
      </c>
      <c r="L440" s="18" t="str">
        <f ca="1">IFERROR(__xludf.DUMMYFUNCTION("""COMPUTED_VALUE"""),"")</f>
        <v/>
      </c>
      <c r="M440" s="18" t="str">
        <f ca="1">IFERROR(__xludf.DUMMYFUNCTION("""COMPUTED_VALUE"""),"")</f>
        <v/>
      </c>
      <c r="N440" s="18" t="str">
        <f ca="1">IFERROR(__xludf.DUMMYFUNCTION("""COMPUTED_VALUE"""),"")</f>
        <v/>
      </c>
      <c r="O440" s="18" t="str">
        <f ca="1">IFERROR(__xludf.DUMMYFUNCTION("""COMPUTED_VALUE"""),"")</f>
        <v/>
      </c>
      <c r="P440" s="18" t="str">
        <f ca="1">IFERROR(__xludf.DUMMYFUNCTION("""COMPUTED_VALUE"""),"")</f>
        <v/>
      </c>
      <c r="Q440" s="18" t="str">
        <f ca="1">IFERROR(__xludf.DUMMYFUNCTION("""COMPUTED_VALUE"""),"")</f>
        <v/>
      </c>
      <c r="R440" s="18" t="str">
        <f ca="1">IFERROR(__xludf.DUMMYFUNCTION("""COMPUTED_VALUE"""),"")</f>
        <v/>
      </c>
      <c r="S440" s="18" t="str">
        <f ca="1">IFERROR(__xludf.DUMMYFUNCTION("""COMPUTED_VALUE"""),"")</f>
        <v/>
      </c>
      <c r="T440" s="18" t="str">
        <f ca="1">IFERROR(__xludf.DUMMYFUNCTION("""COMPUTED_VALUE"""),"")</f>
        <v/>
      </c>
      <c r="U440" s="18" t="str">
        <f ca="1">IFERROR(__xludf.DUMMYFUNCTION("""COMPUTED_VALUE"""),"")</f>
        <v/>
      </c>
      <c r="V440" s="18" t="str">
        <f ca="1">IFERROR(__xludf.DUMMYFUNCTION("""COMPUTED_VALUE"""),"")</f>
        <v/>
      </c>
      <c r="W440" s="18" t="str">
        <f ca="1">IFERROR(__xludf.DUMMYFUNCTION("""COMPUTED_VALUE"""),"")</f>
        <v/>
      </c>
      <c r="X440" s="18" t="str">
        <f ca="1">IFERROR(__xludf.DUMMYFUNCTION("""COMPUTED_VALUE"""),"")</f>
        <v/>
      </c>
      <c r="Y440" s="18" t="e">
        <f ca="1"/>
        <v>#NAME?</v>
      </c>
      <c r="Z440" s="18" t="str">
        <f ca="1">IFERROR(__xludf.DUMMYFUNCTION("""COMPUTED_VALUE"""),"")</f>
        <v/>
      </c>
      <c r="AA440" s="18" t="str">
        <f ca="1">IFERROR(__xludf.DUMMYFUNCTION("""COMPUTED_VALUE"""),"")</f>
        <v/>
      </c>
      <c r="AC440" s="59"/>
    </row>
    <row r="441" spans="1:29" x14ac:dyDescent="0.25">
      <c r="A441" s="18">
        <v>0</v>
      </c>
      <c r="B441" s="52" t="str">
        <f ca="1"/>
        <v/>
      </c>
      <c r="C441" s="52" t="str">
        <f ca="1">IFERROR(__xludf.DUMMYFUNCTION("""COMPUTED_VALUE"""),"")</f>
        <v/>
      </c>
      <c r="D441" s="18" t="str">
        <f ca="1">IFERROR(__xludf.DUMMYFUNCTION("""COMPUTED_VALUE"""),"")</f>
        <v/>
      </c>
      <c r="E441" s="18" t="str">
        <f ca="1">IFERROR(__xludf.DUMMYFUNCTION("""COMPUTED_VALUE"""),"")</f>
        <v/>
      </c>
      <c r="F441" s="18" t="str">
        <f ca="1">IFERROR(__xludf.DUMMYFUNCTION("""COMPUTED_VALUE"""),"")</f>
        <v/>
      </c>
      <c r="G441" s="18" t="str">
        <f ca="1">IFERROR(__xludf.DUMMYFUNCTION("""COMPUTED_VALUE"""),"")</f>
        <v/>
      </c>
      <c r="H441" s="18" t="str">
        <f ca="1">IFERROR(__xludf.DUMMYFUNCTION("""COMPUTED_VALUE"""),"")</f>
        <v/>
      </c>
      <c r="I441" s="18" t="str">
        <f ca="1">IFERROR(__xludf.DUMMYFUNCTION("""COMPUTED_VALUE"""),"")</f>
        <v/>
      </c>
      <c r="J441" s="18" t="str">
        <f ca="1">IFERROR(__xludf.DUMMYFUNCTION("""COMPUTED_VALUE"""),"")</f>
        <v/>
      </c>
      <c r="K441" s="18" t="str">
        <f ca="1">IFERROR(__xludf.DUMMYFUNCTION("""COMPUTED_VALUE"""),"")</f>
        <v/>
      </c>
      <c r="L441" s="18" t="str">
        <f ca="1">IFERROR(__xludf.DUMMYFUNCTION("""COMPUTED_VALUE"""),"")</f>
        <v/>
      </c>
      <c r="M441" s="18" t="str">
        <f ca="1">IFERROR(__xludf.DUMMYFUNCTION("""COMPUTED_VALUE"""),"")</f>
        <v/>
      </c>
      <c r="N441" s="18" t="str">
        <f ca="1">IFERROR(__xludf.DUMMYFUNCTION("""COMPUTED_VALUE"""),"")</f>
        <v/>
      </c>
      <c r="O441" s="18" t="str">
        <f ca="1">IFERROR(__xludf.DUMMYFUNCTION("""COMPUTED_VALUE"""),"")</f>
        <v/>
      </c>
      <c r="P441" s="18" t="str">
        <f ca="1">IFERROR(__xludf.DUMMYFUNCTION("""COMPUTED_VALUE"""),"")</f>
        <v/>
      </c>
      <c r="Q441" s="18" t="str">
        <f ca="1">IFERROR(__xludf.DUMMYFUNCTION("""COMPUTED_VALUE"""),"")</f>
        <v/>
      </c>
      <c r="R441" s="18" t="str">
        <f ca="1">IFERROR(__xludf.DUMMYFUNCTION("""COMPUTED_VALUE"""),"")</f>
        <v/>
      </c>
      <c r="S441" s="18" t="str">
        <f ca="1">IFERROR(__xludf.DUMMYFUNCTION("""COMPUTED_VALUE"""),"")</f>
        <v/>
      </c>
      <c r="T441" s="18" t="str">
        <f ca="1">IFERROR(__xludf.DUMMYFUNCTION("""COMPUTED_VALUE"""),"")</f>
        <v/>
      </c>
      <c r="U441" s="18" t="str">
        <f ca="1">IFERROR(__xludf.DUMMYFUNCTION("""COMPUTED_VALUE"""),"")</f>
        <v/>
      </c>
      <c r="V441" s="18" t="str">
        <f ca="1">IFERROR(__xludf.DUMMYFUNCTION("""COMPUTED_VALUE"""),"")</f>
        <v/>
      </c>
      <c r="W441" s="18" t="str">
        <f ca="1">IFERROR(__xludf.DUMMYFUNCTION("""COMPUTED_VALUE"""),"")</f>
        <v/>
      </c>
      <c r="X441" s="18" t="str">
        <f ca="1">IFERROR(__xludf.DUMMYFUNCTION("""COMPUTED_VALUE"""),"")</f>
        <v/>
      </c>
      <c r="Y441" s="18" t="e">
        <f ca="1"/>
        <v>#NAME?</v>
      </c>
      <c r="Z441" s="18" t="str">
        <f ca="1">IFERROR(__xludf.DUMMYFUNCTION("""COMPUTED_VALUE"""),"")</f>
        <v/>
      </c>
      <c r="AA441" s="18" t="str">
        <f ca="1">IFERROR(__xludf.DUMMYFUNCTION("""COMPUTED_VALUE"""),"")</f>
        <v/>
      </c>
      <c r="AC441" s="59"/>
    </row>
    <row r="442" spans="1:29" x14ac:dyDescent="0.25">
      <c r="A442" s="18">
        <v>0</v>
      </c>
      <c r="B442" s="52" t="str">
        <f ca="1"/>
        <v/>
      </c>
      <c r="C442" s="52" t="str">
        <f ca="1">IFERROR(__xludf.DUMMYFUNCTION("""COMPUTED_VALUE"""),"")</f>
        <v/>
      </c>
      <c r="D442" s="18" t="str">
        <f ca="1">IFERROR(__xludf.DUMMYFUNCTION("""COMPUTED_VALUE"""),"")</f>
        <v/>
      </c>
      <c r="E442" s="18" t="str">
        <f ca="1">IFERROR(__xludf.DUMMYFUNCTION("""COMPUTED_VALUE"""),"")</f>
        <v/>
      </c>
      <c r="F442" s="18" t="str">
        <f ca="1">IFERROR(__xludf.DUMMYFUNCTION("""COMPUTED_VALUE"""),"")</f>
        <v/>
      </c>
      <c r="G442" s="18" t="str">
        <f ca="1">IFERROR(__xludf.DUMMYFUNCTION("""COMPUTED_VALUE"""),"")</f>
        <v/>
      </c>
      <c r="H442" s="18" t="str">
        <f ca="1">IFERROR(__xludf.DUMMYFUNCTION("""COMPUTED_VALUE"""),"")</f>
        <v/>
      </c>
      <c r="I442" s="18" t="str">
        <f ca="1">IFERROR(__xludf.DUMMYFUNCTION("""COMPUTED_VALUE"""),"")</f>
        <v/>
      </c>
      <c r="J442" s="18" t="str">
        <f ca="1">IFERROR(__xludf.DUMMYFUNCTION("""COMPUTED_VALUE"""),"")</f>
        <v/>
      </c>
      <c r="K442" s="18" t="str">
        <f ca="1">IFERROR(__xludf.DUMMYFUNCTION("""COMPUTED_VALUE"""),"")</f>
        <v/>
      </c>
      <c r="L442" s="18" t="str">
        <f ca="1">IFERROR(__xludf.DUMMYFUNCTION("""COMPUTED_VALUE"""),"")</f>
        <v/>
      </c>
      <c r="M442" s="18" t="str">
        <f ca="1">IFERROR(__xludf.DUMMYFUNCTION("""COMPUTED_VALUE"""),"")</f>
        <v/>
      </c>
      <c r="N442" s="18" t="str">
        <f ca="1">IFERROR(__xludf.DUMMYFUNCTION("""COMPUTED_VALUE"""),"")</f>
        <v/>
      </c>
      <c r="O442" s="18" t="str">
        <f ca="1">IFERROR(__xludf.DUMMYFUNCTION("""COMPUTED_VALUE"""),"")</f>
        <v/>
      </c>
      <c r="P442" s="18" t="str">
        <f ca="1">IFERROR(__xludf.DUMMYFUNCTION("""COMPUTED_VALUE"""),"")</f>
        <v/>
      </c>
      <c r="Q442" s="18" t="str">
        <f ca="1">IFERROR(__xludf.DUMMYFUNCTION("""COMPUTED_VALUE"""),"")</f>
        <v/>
      </c>
      <c r="R442" s="18" t="str">
        <f ca="1">IFERROR(__xludf.DUMMYFUNCTION("""COMPUTED_VALUE"""),"")</f>
        <v/>
      </c>
      <c r="S442" s="18" t="str">
        <f ca="1">IFERROR(__xludf.DUMMYFUNCTION("""COMPUTED_VALUE"""),"")</f>
        <v/>
      </c>
      <c r="T442" s="18" t="str">
        <f ca="1">IFERROR(__xludf.DUMMYFUNCTION("""COMPUTED_VALUE"""),"")</f>
        <v/>
      </c>
      <c r="U442" s="18" t="str">
        <f ca="1">IFERROR(__xludf.DUMMYFUNCTION("""COMPUTED_VALUE"""),"")</f>
        <v/>
      </c>
      <c r="V442" s="18" t="str">
        <f ca="1">IFERROR(__xludf.DUMMYFUNCTION("""COMPUTED_VALUE"""),"")</f>
        <v/>
      </c>
      <c r="W442" s="18" t="str">
        <f ca="1">IFERROR(__xludf.DUMMYFUNCTION("""COMPUTED_VALUE"""),"")</f>
        <v/>
      </c>
      <c r="X442" s="18" t="str">
        <f ca="1">IFERROR(__xludf.DUMMYFUNCTION("""COMPUTED_VALUE"""),"")</f>
        <v/>
      </c>
      <c r="Y442" s="18" t="e">
        <f ca="1"/>
        <v>#NAME?</v>
      </c>
      <c r="Z442" s="18" t="str">
        <f ca="1">IFERROR(__xludf.DUMMYFUNCTION("""COMPUTED_VALUE"""),"")</f>
        <v/>
      </c>
      <c r="AA442" s="18" t="str">
        <f ca="1">IFERROR(__xludf.DUMMYFUNCTION("""COMPUTED_VALUE"""),"")</f>
        <v/>
      </c>
      <c r="AC442" s="59"/>
    </row>
    <row r="443" spans="1:29" x14ac:dyDescent="0.25">
      <c r="A443" s="18">
        <v>0</v>
      </c>
      <c r="B443" s="52" t="str">
        <f ca="1"/>
        <v/>
      </c>
      <c r="C443" s="52" t="str">
        <f ca="1">IFERROR(__xludf.DUMMYFUNCTION("""COMPUTED_VALUE"""),"")</f>
        <v/>
      </c>
      <c r="D443" s="18" t="str">
        <f ca="1">IFERROR(__xludf.DUMMYFUNCTION("""COMPUTED_VALUE"""),"")</f>
        <v/>
      </c>
      <c r="E443" s="18" t="str">
        <f ca="1">IFERROR(__xludf.DUMMYFUNCTION("""COMPUTED_VALUE"""),"")</f>
        <v/>
      </c>
      <c r="F443" s="18" t="str">
        <f ca="1">IFERROR(__xludf.DUMMYFUNCTION("""COMPUTED_VALUE"""),"")</f>
        <v/>
      </c>
      <c r="G443" s="18" t="str">
        <f ca="1">IFERROR(__xludf.DUMMYFUNCTION("""COMPUTED_VALUE"""),"")</f>
        <v/>
      </c>
      <c r="H443" s="18" t="str">
        <f ca="1">IFERROR(__xludf.DUMMYFUNCTION("""COMPUTED_VALUE"""),"")</f>
        <v/>
      </c>
      <c r="I443" s="18" t="str">
        <f ca="1">IFERROR(__xludf.DUMMYFUNCTION("""COMPUTED_VALUE"""),"")</f>
        <v/>
      </c>
      <c r="J443" s="18" t="str">
        <f ca="1">IFERROR(__xludf.DUMMYFUNCTION("""COMPUTED_VALUE"""),"")</f>
        <v/>
      </c>
      <c r="K443" s="18" t="str">
        <f ca="1">IFERROR(__xludf.DUMMYFUNCTION("""COMPUTED_VALUE"""),"")</f>
        <v/>
      </c>
      <c r="L443" s="18" t="str">
        <f ca="1">IFERROR(__xludf.DUMMYFUNCTION("""COMPUTED_VALUE"""),"")</f>
        <v/>
      </c>
      <c r="M443" s="18" t="str">
        <f ca="1">IFERROR(__xludf.DUMMYFUNCTION("""COMPUTED_VALUE"""),"")</f>
        <v/>
      </c>
      <c r="N443" s="18" t="str">
        <f ca="1">IFERROR(__xludf.DUMMYFUNCTION("""COMPUTED_VALUE"""),"")</f>
        <v/>
      </c>
      <c r="O443" s="18" t="str">
        <f ca="1">IFERROR(__xludf.DUMMYFUNCTION("""COMPUTED_VALUE"""),"")</f>
        <v/>
      </c>
      <c r="P443" s="18" t="str">
        <f ca="1">IFERROR(__xludf.DUMMYFUNCTION("""COMPUTED_VALUE"""),"")</f>
        <v/>
      </c>
      <c r="Q443" s="18" t="str">
        <f ca="1">IFERROR(__xludf.DUMMYFUNCTION("""COMPUTED_VALUE"""),"")</f>
        <v/>
      </c>
      <c r="R443" s="18" t="str">
        <f ca="1">IFERROR(__xludf.DUMMYFUNCTION("""COMPUTED_VALUE"""),"")</f>
        <v/>
      </c>
      <c r="S443" s="18" t="str">
        <f ca="1">IFERROR(__xludf.DUMMYFUNCTION("""COMPUTED_VALUE"""),"")</f>
        <v/>
      </c>
      <c r="T443" s="18" t="str">
        <f ca="1">IFERROR(__xludf.DUMMYFUNCTION("""COMPUTED_VALUE"""),"")</f>
        <v/>
      </c>
      <c r="U443" s="18" t="str">
        <f ca="1">IFERROR(__xludf.DUMMYFUNCTION("""COMPUTED_VALUE"""),"")</f>
        <v/>
      </c>
      <c r="V443" s="18" t="str">
        <f ca="1">IFERROR(__xludf.DUMMYFUNCTION("""COMPUTED_VALUE"""),"")</f>
        <v/>
      </c>
      <c r="W443" s="18" t="str">
        <f ca="1">IFERROR(__xludf.DUMMYFUNCTION("""COMPUTED_VALUE"""),"")</f>
        <v/>
      </c>
      <c r="X443" s="18" t="str">
        <f ca="1">IFERROR(__xludf.DUMMYFUNCTION("""COMPUTED_VALUE"""),"")</f>
        <v/>
      </c>
      <c r="Y443" s="18" t="e">
        <f ca="1"/>
        <v>#NAME?</v>
      </c>
      <c r="Z443" s="18" t="str">
        <f ca="1">IFERROR(__xludf.DUMMYFUNCTION("""COMPUTED_VALUE"""),"")</f>
        <v/>
      </c>
      <c r="AA443" s="18" t="str">
        <f ca="1">IFERROR(__xludf.DUMMYFUNCTION("""COMPUTED_VALUE"""),"")</f>
        <v/>
      </c>
      <c r="AC443" s="59"/>
    </row>
    <row r="444" spans="1:29" x14ac:dyDescent="0.25">
      <c r="A444" s="18">
        <v>0</v>
      </c>
      <c r="B444" s="52" t="str">
        <f ca="1"/>
        <v/>
      </c>
      <c r="C444" s="52" t="str">
        <f ca="1">IFERROR(__xludf.DUMMYFUNCTION("""COMPUTED_VALUE"""),"")</f>
        <v/>
      </c>
      <c r="D444" s="18" t="str">
        <f ca="1">IFERROR(__xludf.DUMMYFUNCTION("""COMPUTED_VALUE"""),"")</f>
        <v/>
      </c>
      <c r="E444" s="18" t="str">
        <f ca="1">IFERROR(__xludf.DUMMYFUNCTION("""COMPUTED_VALUE"""),"")</f>
        <v/>
      </c>
      <c r="F444" s="18" t="str">
        <f ca="1">IFERROR(__xludf.DUMMYFUNCTION("""COMPUTED_VALUE"""),"")</f>
        <v/>
      </c>
      <c r="G444" s="18" t="str">
        <f ca="1">IFERROR(__xludf.DUMMYFUNCTION("""COMPUTED_VALUE"""),"")</f>
        <v/>
      </c>
      <c r="H444" s="18" t="str">
        <f ca="1">IFERROR(__xludf.DUMMYFUNCTION("""COMPUTED_VALUE"""),"")</f>
        <v/>
      </c>
      <c r="I444" s="18" t="str">
        <f ca="1">IFERROR(__xludf.DUMMYFUNCTION("""COMPUTED_VALUE"""),"")</f>
        <v/>
      </c>
      <c r="J444" s="18" t="str">
        <f ca="1">IFERROR(__xludf.DUMMYFUNCTION("""COMPUTED_VALUE"""),"")</f>
        <v/>
      </c>
      <c r="K444" s="18" t="str">
        <f ca="1">IFERROR(__xludf.DUMMYFUNCTION("""COMPUTED_VALUE"""),"")</f>
        <v/>
      </c>
      <c r="L444" s="18" t="str">
        <f ca="1">IFERROR(__xludf.DUMMYFUNCTION("""COMPUTED_VALUE"""),"")</f>
        <v/>
      </c>
      <c r="M444" s="18" t="str">
        <f ca="1">IFERROR(__xludf.DUMMYFUNCTION("""COMPUTED_VALUE"""),"")</f>
        <v/>
      </c>
      <c r="N444" s="18" t="str">
        <f ca="1">IFERROR(__xludf.DUMMYFUNCTION("""COMPUTED_VALUE"""),"")</f>
        <v/>
      </c>
      <c r="O444" s="18" t="str">
        <f ca="1">IFERROR(__xludf.DUMMYFUNCTION("""COMPUTED_VALUE"""),"")</f>
        <v/>
      </c>
      <c r="P444" s="18" t="str">
        <f ca="1">IFERROR(__xludf.DUMMYFUNCTION("""COMPUTED_VALUE"""),"")</f>
        <v/>
      </c>
      <c r="Q444" s="18" t="str">
        <f ca="1">IFERROR(__xludf.DUMMYFUNCTION("""COMPUTED_VALUE"""),"")</f>
        <v/>
      </c>
      <c r="R444" s="18" t="str">
        <f ca="1">IFERROR(__xludf.DUMMYFUNCTION("""COMPUTED_VALUE"""),"")</f>
        <v/>
      </c>
      <c r="S444" s="18" t="str">
        <f ca="1">IFERROR(__xludf.DUMMYFUNCTION("""COMPUTED_VALUE"""),"")</f>
        <v/>
      </c>
      <c r="T444" s="18" t="str">
        <f ca="1">IFERROR(__xludf.DUMMYFUNCTION("""COMPUTED_VALUE"""),"")</f>
        <v/>
      </c>
      <c r="U444" s="18" t="str">
        <f ca="1">IFERROR(__xludf.DUMMYFUNCTION("""COMPUTED_VALUE"""),"")</f>
        <v/>
      </c>
      <c r="V444" s="18" t="str">
        <f ca="1">IFERROR(__xludf.DUMMYFUNCTION("""COMPUTED_VALUE"""),"")</f>
        <v/>
      </c>
      <c r="W444" s="18" t="str">
        <f ca="1">IFERROR(__xludf.DUMMYFUNCTION("""COMPUTED_VALUE"""),"")</f>
        <v/>
      </c>
      <c r="X444" s="18" t="str">
        <f ca="1">IFERROR(__xludf.DUMMYFUNCTION("""COMPUTED_VALUE"""),"")</f>
        <v/>
      </c>
      <c r="Y444" s="18" t="e">
        <f ca="1"/>
        <v>#NAME?</v>
      </c>
      <c r="Z444" s="18" t="str">
        <f ca="1">IFERROR(__xludf.DUMMYFUNCTION("""COMPUTED_VALUE"""),"")</f>
        <v/>
      </c>
      <c r="AA444" s="18" t="str">
        <f ca="1">IFERROR(__xludf.DUMMYFUNCTION("""COMPUTED_VALUE"""),"")</f>
        <v/>
      </c>
      <c r="AC444" s="59"/>
    </row>
    <row r="445" spans="1:29" x14ac:dyDescent="0.25">
      <c r="A445" s="18">
        <v>0</v>
      </c>
      <c r="B445" s="52" t="str">
        <f ca="1"/>
        <v/>
      </c>
      <c r="C445" s="52" t="str">
        <f ca="1">IFERROR(__xludf.DUMMYFUNCTION("""COMPUTED_VALUE"""),"")</f>
        <v/>
      </c>
      <c r="D445" s="18" t="str">
        <f ca="1">IFERROR(__xludf.DUMMYFUNCTION("""COMPUTED_VALUE"""),"")</f>
        <v/>
      </c>
      <c r="E445" s="18" t="str">
        <f ca="1">IFERROR(__xludf.DUMMYFUNCTION("""COMPUTED_VALUE"""),"")</f>
        <v/>
      </c>
      <c r="F445" s="18" t="str">
        <f ca="1">IFERROR(__xludf.DUMMYFUNCTION("""COMPUTED_VALUE"""),"")</f>
        <v/>
      </c>
      <c r="G445" s="18" t="str">
        <f ca="1">IFERROR(__xludf.DUMMYFUNCTION("""COMPUTED_VALUE"""),"")</f>
        <v/>
      </c>
      <c r="H445" s="18" t="str">
        <f ca="1">IFERROR(__xludf.DUMMYFUNCTION("""COMPUTED_VALUE"""),"")</f>
        <v/>
      </c>
      <c r="I445" s="18" t="str">
        <f ca="1">IFERROR(__xludf.DUMMYFUNCTION("""COMPUTED_VALUE"""),"")</f>
        <v/>
      </c>
      <c r="J445" s="18" t="str">
        <f ca="1">IFERROR(__xludf.DUMMYFUNCTION("""COMPUTED_VALUE"""),"")</f>
        <v/>
      </c>
      <c r="K445" s="18" t="str">
        <f ca="1">IFERROR(__xludf.DUMMYFUNCTION("""COMPUTED_VALUE"""),"")</f>
        <v/>
      </c>
      <c r="L445" s="18" t="str">
        <f ca="1">IFERROR(__xludf.DUMMYFUNCTION("""COMPUTED_VALUE"""),"")</f>
        <v/>
      </c>
      <c r="M445" s="18" t="str">
        <f ca="1">IFERROR(__xludf.DUMMYFUNCTION("""COMPUTED_VALUE"""),"")</f>
        <v/>
      </c>
      <c r="N445" s="18" t="str">
        <f ca="1">IFERROR(__xludf.DUMMYFUNCTION("""COMPUTED_VALUE"""),"")</f>
        <v/>
      </c>
      <c r="O445" s="18" t="str">
        <f ca="1">IFERROR(__xludf.DUMMYFUNCTION("""COMPUTED_VALUE"""),"")</f>
        <v/>
      </c>
      <c r="P445" s="18" t="str">
        <f ca="1">IFERROR(__xludf.DUMMYFUNCTION("""COMPUTED_VALUE"""),"")</f>
        <v/>
      </c>
      <c r="Q445" s="18" t="str">
        <f ca="1">IFERROR(__xludf.DUMMYFUNCTION("""COMPUTED_VALUE"""),"")</f>
        <v/>
      </c>
      <c r="R445" s="18" t="str">
        <f ca="1">IFERROR(__xludf.DUMMYFUNCTION("""COMPUTED_VALUE"""),"")</f>
        <v/>
      </c>
      <c r="S445" s="18" t="str">
        <f ca="1">IFERROR(__xludf.DUMMYFUNCTION("""COMPUTED_VALUE"""),"")</f>
        <v/>
      </c>
      <c r="T445" s="18" t="str">
        <f ca="1">IFERROR(__xludf.DUMMYFUNCTION("""COMPUTED_VALUE"""),"")</f>
        <v/>
      </c>
      <c r="U445" s="18" t="str">
        <f ca="1">IFERROR(__xludf.DUMMYFUNCTION("""COMPUTED_VALUE"""),"")</f>
        <v/>
      </c>
      <c r="V445" s="18" t="str">
        <f ca="1">IFERROR(__xludf.DUMMYFUNCTION("""COMPUTED_VALUE"""),"")</f>
        <v/>
      </c>
      <c r="W445" s="18" t="str">
        <f ca="1">IFERROR(__xludf.DUMMYFUNCTION("""COMPUTED_VALUE"""),"")</f>
        <v/>
      </c>
      <c r="X445" s="18" t="str">
        <f ca="1">IFERROR(__xludf.DUMMYFUNCTION("""COMPUTED_VALUE"""),"")</f>
        <v/>
      </c>
      <c r="Y445" s="18" t="e">
        <f ca="1"/>
        <v>#NAME?</v>
      </c>
      <c r="Z445" s="18" t="str">
        <f ca="1">IFERROR(__xludf.DUMMYFUNCTION("""COMPUTED_VALUE"""),"")</f>
        <v/>
      </c>
      <c r="AA445" s="18" t="str">
        <f ca="1">IFERROR(__xludf.DUMMYFUNCTION("""COMPUTED_VALUE"""),"")</f>
        <v/>
      </c>
      <c r="AC445" s="59"/>
    </row>
    <row r="446" spans="1:29" x14ac:dyDescent="0.25">
      <c r="A446" s="18">
        <v>0</v>
      </c>
      <c r="B446" s="52" t="str">
        <f ca="1"/>
        <v/>
      </c>
      <c r="C446" s="52" t="str">
        <f ca="1">IFERROR(__xludf.DUMMYFUNCTION("""COMPUTED_VALUE"""),"")</f>
        <v/>
      </c>
      <c r="D446" s="18" t="str">
        <f ca="1">IFERROR(__xludf.DUMMYFUNCTION("""COMPUTED_VALUE"""),"")</f>
        <v/>
      </c>
      <c r="E446" s="18" t="str">
        <f ca="1">IFERROR(__xludf.DUMMYFUNCTION("""COMPUTED_VALUE"""),"")</f>
        <v/>
      </c>
      <c r="F446" s="18" t="str">
        <f ca="1">IFERROR(__xludf.DUMMYFUNCTION("""COMPUTED_VALUE"""),"")</f>
        <v/>
      </c>
      <c r="G446" s="18" t="str">
        <f ca="1">IFERROR(__xludf.DUMMYFUNCTION("""COMPUTED_VALUE"""),"")</f>
        <v/>
      </c>
      <c r="H446" s="18" t="str">
        <f ca="1">IFERROR(__xludf.DUMMYFUNCTION("""COMPUTED_VALUE"""),"")</f>
        <v/>
      </c>
      <c r="I446" s="18" t="str">
        <f ca="1">IFERROR(__xludf.DUMMYFUNCTION("""COMPUTED_VALUE"""),"")</f>
        <v/>
      </c>
      <c r="J446" s="18" t="str">
        <f ca="1">IFERROR(__xludf.DUMMYFUNCTION("""COMPUTED_VALUE"""),"")</f>
        <v/>
      </c>
      <c r="K446" s="18" t="str">
        <f ca="1">IFERROR(__xludf.DUMMYFUNCTION("""COMPUTED_VALUE"""),"")</f>
        <v/>
      </c>
      <c r="L446" s="18" t="str">
        <f ca="1">IFERROR(__xludf.DUMMYFUNCTION("""COMPUTED_VALUE"""),"")</f>
        <v/>
      </c>
      <c r="M446" s="18" t="str">
        <f ca="1">IFERROR(__xludf.DUMMYFUNCTION("""COMPUTED_VALUE"""),"")</f>
        <v/>
      </c>
      <c r="N446" s="18" t="str">
        <f ca="1">IFERROR(__xludf.DUMMYFUNCTION("""COMPUTED_VALUE"""),"")</f>
        <v/>
      </c>
      <c r="O446" s="18" t="str">
        <f ca="1">IFERROR(__xludf.DUMMYFUNCTION("""COMPUTED_VALUE"""),"")</f>
        <v/>
      </c>
      <c r="P446" s="18" t="str">
        <f ca="1">IFERROR(__xludf.DUMMYFUNCTION("""COMPUTED_VALUE"""),"")</f>
        <v/>
      </c>
      <c r="Q446" s="18" t="str">
        <f ca="1">IFERROR(__xludf.DUMMYFUNCTION("""COMPUTED_VALUE"""),"")</f>
        <v/>
      </c>
      <c r="R446" s="18" t="str">
        <f ca="1">IFERROR(__xludf.DUMMYFUNCTION("""COMPUTED_VALUE"""),"")</f>
        <v/>
      </c>
      <c r="S446" s="18" t="str">
        <f ca="1">IFERROR(__xludf.DUMMYFUNCTION("""COMPUTED_VALUE"""),"")</f>
        <v/>
      </c>
      <c r="T446" s="18" t="str">
        <f ca="1">IFERROR(__xludf.DUMMYFUNCTION("""COMPUTED_VALUE"""),"")</f>
        <v/>
      </c>
      <c r="U446" s="18" t="str">
        <f ca="1">IFERROR(__xludf.DUMMYFUNCTION("""COMPUTED_VALUE"""),"")</f>
        <v/>
      </c>
      <c r="V446" s="18" t="str">
        <f ca="1">IFERROR(__xludf.DUMMYFUNCTION("""COMPUTED_VALUE"""),"")</f>
        <v/>
      </c>
      <c r="W446" s="18" t="str">
        <f ca="1">IFERROR(__xludf.DUMMYFUNCTION("""COMPUTED_VALUE"""),"")</f>
        <v/>
      </c>
      <c r="X446" s="18" t="str">
        <f ca="1">IFERROR(__xludf.DUMMYFUNCTION("""COMPUTED_VALUE"""),"")</f>
        <v/>
      </c>
      <c r="Y446" s="18" t="e">
        <f ca="1"/>
        <v>#NAME?</v>
      </c>
      <c r="Z446" s="18" t="str">
        <f ca="1">IFERROR(__xludf.DUMMYFUNCTION("""COMPUTED_VALUE"""),"")</f>
        <v/>
      </c>
      <c r="AA446" s="18" t="str">
        <f ca="1">IFERROR(__xludf.DUMMYFUNCTION("""COMPUTED_VALUE"""),"")</f>
        <v/>
      </c>
      <c r="AC446" s="59"/>
    </row>
    <row r="447" spans="1:29" x14ac:dyDescent="0.25">
      <c r="A447" s="18">
        <v>0</v>
      </c>
      <c r="B447" s="52" t="str">
        <f ca="1"/>
        <v/>
      </c>
      <c r="C447" s="52" t="str">
        <f ca="1">IFERROR(__xludf.DUMMYFUNCTION("""COMPUTED_VALUE"""),"")</f>
        <v/>
      </c>
      <c r="D447" s="18" t="str">
        <f ca="1">IFERROR(__xludf.DUMMYFUNCTION("""COMPUTED_VALUE"""),"")</f>
        <v/>
      </c>
      <c r="E447" s="18" t="str">
        <f ca="1">IFERROR(__xludf.DUMMYFUNCTION("""COMPUTED_VALUE"""),"")</f>
        <v/>
      </c>
      <c r="F447" s="18" t="str">
        <f ca="1">IFERROR(__xludf.DUMMYFUNCTION("""COMPUTED_VALUE"""),"")</f>
        <v/>
      </c>
      <c r="G447" s="18" t="str">
        <f ca="1">IFERROR(__xludf.DUMMYFUNCTION("""COMPUTED_VALUE"""),"")</f>
        <v/>
      </c>
      <c r="H447" s="18" t="str">
        <f ca="1">IFERROR(__xludf.DUMMYFUNCTION("""COMPUTED_VALUE"""),"")</f>
        <v/>
      </c>
      <c r="I447" s="18" t="str">
        <f ca="1">IFERROR(__xludf.DUMMYFUNCTION("""COMPUTED_VALUE"""),"")</f>
        <v/>
      </c>
      <c r="J447" s="18" t="str">
        <f ca="1">IFERROR(__xludf.DUMMYFUNCTION("""COMPUTED_VALUE"""),"")</f>
        <v/>
      </c>
      <c r="K447" s="18" t="str">
        <f ca="1">IFERROR(__xludf.DUMMYFUNCTION("""COMPUTED_VALUE"""),"")</f>
        <v/>
      </c>
      <c r="L447" s="18" t="str">
        <f ca="1">IFERROR(__xludf.DUMMYFUNCTION("""COMPUTED_VALUE"""),"")</f>
        <v/>
      </c>
      <c r="M447" s="18" t="str">
        <f ca="1">IFERROR(__xludf.DUMMYFUNCTION("""COMPUTED_VALUE"""),"")</f>
        <v/>
      </c>
      <c r="N447" s="18" t="str">
        <f ca="1">IFERROR(__xludf.DUMMYFUNCTION("""COMPUTED_VALUE"""),"")</f>
        <v/>
      </c>
      <c r="O447" s="18" t="str">
        <f ca="1">IFERROR(__xludf.DUMMYFUNCTION("""COMPUTED_VALUE"""),"")</f>
        <v/>
      </c>
      <c r="P447" s="18" t="str">
        <f ca="1">IFERROR(__xludf.DUMMYFUNCTION("""COMPUTED_VALUE"""),"")</f>
        <v/>
      </c>
      <c r="Q447" s="18" t="str">
        <f ca="1">IFERROR(__xludf.DUMMYFUNCTION("""COMPUTED_VALUE"""),"")</f>
        <v/>
      </c>
      <c r="R447" s="18" t="str">
        <f ca="1">IFERROR(__xludf.DUMMYFUNCTION("""COMPUTED_VALUE"""),"")</f>
        <v/>
      </c>
      <c r="S447" s="18" t="str">
        <f ca="1">IFERROR(__xludf.DUMMYFUNCTION("""COMPUTED_VALUE"""),"")</f>
        <v/>
      </c>
      <c r="T447" s="18" t="str">
        <f ca="1">IFERROR(__xludf.DUMMYFUNCTION("""COMPUTED_VALUE"""),"")</f>
        <v/>
      </c>
      <c r="U447" s="18" t="str">
        <f ca="1">IFERROR(__xludf.DUMMYFUNCTION("""COMPUTED_VALUE"""),"")</f>
        <v/>
      </c>
      <c r="V447" s="18" t="str">
        <f ca="1">IFERROR(__xludf.DUMMYFUNCTION("""COMPUTED_VALUE"""),"")</f>
        <v/>
      </c>
      <c r="W447" s="18" t="str">
        <f ca="1">IFERROR(__xludf.DUMMYFUNCTION("""COMPUTED_VALUE"""),"")</f>
        <v/>
      </c>
      <c r="X447" s="18" t="str">
        <f ca="1">IFERROR(__xludf.DUMMYFUNCTION("""COMPUTED_VALUE"""),"")</f>
        <v/>
      </c>
      <c r="Y447" s="18" t="e">
        <f ca="1"/>
        <v>#NAME?</v>
      </c>
      <c r="Z447" s="18" t="str">
        <f ca="1">IFERROR(__xludf.DUMMYFUNCTION("""COMPUTED_VALUE"""),"")</f>
        <v/>
      </c>
      <c r="AA447" s="18" t="str">
        <f ca="1">IFERROR(__xludf.DUMMYFUNCTION("""COMPUTED_VALUE"""),"")</f>
        <v/>
      </c>
      <c r="AC447" s="59"/>
    </row>
    <row r="448" spans="1:29" x14ac:dyDescent="0.25">
      <c r="A448" s="18">
        <v>0</v>
      </c>
      <c r="B448" s="52" t="str">
        <f ca="1"/>
        <v/>
      </c>
      <c r="C448" s="52" t="str">
        <f ca="1">IFERROR(__xludf.DUMMYFUNCTION("""COMPUTED_VALUE"""),"")</f>
        <v/>
      </c>
      <c r="D448" s="18" t="str">
        <f ca="1">IFERROR(__xludf.DUMMYFUNCTION("""COMPUTED_VALUE"""),"")</f>
        <v/>
      </c>
      <c r="E448" s="18" t="str">
        <f ca="1">IFERROR(__xludf.DUMMYFUNCTION("""COMPUTED_VALUE"""),"")</f>
        <v/>
      </c>
      <c r="F448" s="18" t="str">
        <f ca="1">IFERROR(__xludf.DUMMYFUNCTION("""COMPUTED_VALUE"""),"")</f>
        <v/>
      </c>
      <c r="G448" s="18" t="str">
        <f ca="1">IFERROR(__xludf.DUMMYFUNCTION("""COMPUTED_VALUE"""),"")</f>
        <v/>
      </c>
      <c r="H448" s="18" t="str">
        <f ca="1">IFERROR(__xludf.DUMMYFUNCTION("""COMPUTED_VALUE"""),"")</f>
        <v/>
      </c>
      <c r="I448" s="18" t="str">
        <f ca="1">IFERROR(__xludf.DUMMYFUNCTION("""COMPUTED_VALUE"""),"")</f>
        <v/>
      </c>
      <c r="J448" s="18" t="str">
        <f ca="1">IFERROR(__xludf.DUMMYFUNCTION("""COMPUTED_VALUE"""),"")</f>
        <v/>
      </c>
      <c r="K448" s="18" t="str">
        <f ca="1">IFERROR(__xludf.DUMMYFUNCTION("""COMPUTED_VALUE"""),"")</f>
        <v/>
      </c>
      <c r="L448" s="18" t="str">
        <f ca="1">IFERROR(__xludf.DUMMYFUNCTION("""COMPUTED_VALUE"""),"")</f>
        <v/>
      </c>
      <c r="M448" s="18" t="str">
        <f ca="1">IFERROR(__xludf.DUMMYFUNCTION("""COMPUTED_VALUE"""),"")</f>
        <v/>
      </c>
      <c r="N448" s="18" t="str">
        <f ca="1">IFERROR(__xludf.DUMMYFUNCTION("""COMPUTED_VALUE"""),"")</f>
        <v/>
      </c>
      <c r="O448" s="18" t="str">
        <f ca="1">IFERROR(__xludf.DUMMYFUNCTION("""COMPUTED_VALUE"""),"")</f>
        <v/>
      </c>
      <c r="P448" s="18" t="str">
        <f ca="1">IFERROR(__xludf.DUMMYFUNCTION("""COMPUTED_VALUE"""),"")</f>
        <v/>
      </c>
      <c r="Q448" s="18" t="str">
        <f ca="1">IFERROR(__xludf.DUMMYFUNCTION("""COMPUTED_VALUE"""),"")</f>
        <v/>
      </c>
      <c r="R448" s="18" t="str">
        <f ca="1">IFERROR(__xludf.DUMMYFUNCTION("""COMPUTED_VALUE"""),"")</f>
        <v/>
      </c>
      <c r="S448" s="18" t="str">
        <f ca="1">IFERROR(__xludf.DUMMYFUNCTION("""COMPUTED_VALUE"""),"")</f>
        <v/>
      </c>
      <c r="T448" s="18" t="str">
        <f ca="1">IFERROR(__xludf.DUMMYFUNCTION("""COMPUTED_VALUE"""),"")</f>
        <v/>
      </c>
      <c r="U448" s="18" t="str">
        <f ca="1">IFERROR(__xludf.DUMMYFUNCTION("""COMPUTED_VALUE"""),"")</f>
        <v/>
      </c>
      <c r="V448" s="18" t="str">
        <f ca="1">IFERROR(__xludf.DUMMYFUNCTION("""COMPUTED_VALUE"""),"")</f>
        <v/>
      </c>
      <c r="W448" s="18" t="str">
        <f ca="1">IFERROR(__xludf.DUMMYFUNCTION("""COMPUTED_VALUE"""),"")</f>
        <v/>
      </c>
      <c r="X448" s="18" t="str">
        <f ca="1">IFERROR(__xludf.DUMMYFUNCTION("""COMPUTED_VALUE"""),"")</f>
        <v/>
      </c>
      <c r="Y448" s="18" t="e">
        <f ca="1"/>
        <v>#NAME?</v>
      </c>
      <c r="Z448" s="18" t="str">
        <f ca="1">IFERROR(__xludf.DUMMYFUNCTION("""COMPUTED_VALUE"""),"")</f>
        <v/>
      </c>
      <c r="AA448" s="18" t="str">
        <f ca="1">IFERROR(__xludf.DUMMYFUNCTION("""COMPUTED_VALUE"""),"")</f>
        <v/>
      </c>
      <c r="AC448" s="59"/>
    </row>
    <row r="449" spans="1:29" x14ac:dyDescent="0.25">
      <c r="A449" s="18">
        <v>0</v>
      </c>
      <c r="B449" s="52" t="str">
        <f ca="1"/>
        <v/>
      </c>
      <c r="C449" s="52" t="str">
        <f ca="1">IFERROR(__xludf.DUMMYFUNCTION("""COMPUTED_VALUE"""),"")</f>
        <v/>
      </c>
      <c r="D449" s="18" t="str">
        <f ca="1">IFERROR(__xludf.DUMMYFUNCTION("""COMPUTED_VALUE"""),"")</f>
        <v/>
      </c>
      <c r="E449" s="18" t="str">
        <f ca="1">IFERROR(__xludf.DUMMYFUNCTION("""COMPUTED_VALUE"""),"")</f>
        <v/>
      </c>
      <c r="F449" s="18" t="str">
        <f ca="1">IFERROR(__xludf.DUMMYFUNCTION("""COMPUTED_VALUE"""),"")</f>
        <v/>
      </c>
      <c r="G449" s="18" t="str">
        <f ca="1">IFERROR(__xludf.DUMMYFUNCTION("""COMPUTED_VALUE"""),"")</f>
        <v/>
      </c>
      <c r="H449" s="18" t="str">
        <f ca="1">IFERROR(__xludf.DUMMYFUNCTION("""COMPUTED_VALUE"""),"")</f>
        <v/>
      </c>
      <c r="I449" s="18" t="str">
        <f ca="1">IFERROR(__xludf.DUMMYFUNCTION("""COMPUTED_VALUE"""),"")</f>
        <v/>
      </c>
      <c r="J449" s="18" t="str">
        <f ca="1">IFERROR(__xludf.DUMMYFUNCTION("""COMPUTED_VALUE"""),"")</f>
        <v/>
      </c>
      <c r="K449" s="18" t="str">
        <f ca="1">IFERROR(__xludf.DUMMYFUNCTION("""COMPUTED_VALUE"""),"")</f>
        <v/>
      </c>
      <c r="L449" s="18" t="str">
        <f ca="1">IFERROR(__xludf.DUMMYFUNCTION("""COMPUTED_VALUE"""),"")</f>
        <v/>
      </c>
      <c r="M449" s="18" t="str">
        <f ca="1">IFERROR(__xludf.DUMMYFUNCTION("""COMPUTED_VALUE"""),"")</f>
        <v/>
      </c>
      <c r="N449" s="18" t="str">
        <f ca="1">IFERROR(__xludf.DUMMYFUNCTION("""COMPUTED_VALUE"""),"")</f>
        <v/>
      </c>
      <c r="O449" s="18" t="str">
        <f ca="1">IFERROR(__xludf.DUMMYFUNCTION("""COMPUTED_VALUE"""),"")</f>
        <v/>
      </c>
      <c r="P449" s="18" t="str">
        <f ca="1">IFERROR(__xludf.DUMMYFUNCTION("""COMPUTED_VALUE"""),"")</f>
        <v/>
      </c>
      <c r="Q449" s="18" t="str">
        <f ca="1">IFERROR(__xludf.DUMMYFUNCTION("""COMPUTED_VALUE"""),"")</f>
        <v/>
      </c>
      <c r="R449" s="18" t="str">
        <f ca="1">IFERROR(__xludf.DUMMYFUNCTION("""COMPUTED_VALUE"""),"")</f>
        <v/>
      </c>
      <c r="S449" s="18" t="str">
        <f ca="1">IFERROR(__xludf.DUMMYFUNCTION("""COMPUTED_VALUE"""),"")</f>
        <v/>
      </c>
      <c r="T449" s="18" t="str">
        <f ca="1">IFERROR(__xludf.DUMMYFUNCTION("""COMPUTED_VALUE"""),"")</f>
        <v/>
      </c>
      <c r="U449" s="18" t="str">
        <f ca="1">IFERROR(__xludf.DUMMYFUNCTION("""COMPUTED_VALUE"""),"")</f>
        <v/>
      </c>
      <c r="V449" s="18" t="str">
        <f ca="1">IFERROR(__xludf.DUMMYFUNCTION("""COMPUTED_VALUE"""),"")</f>
        <v/>
      </c>
      <c r="W449" s="18" t="str">
        <f ca="1">IFERROR(__xludf.DUMMYFUNCTION("""COMPUTED_VALUE"""),"")</f>
        <v/>
      </c>
      <c r="X449" s="18" t="str">
        <f ca="1">IFERROR(__xludf.DUMMYFUNCTION("""COMPUTED_VALUE"""),"")</f>
        <v/>
      </c>
      <c r="Y449" s="18" t="e">
        <f ca="1"/>
        <v>#NAME?</v>
      </c>
      <c r="Z449" s="18" t="str">
        <f ca="1">IFERROR(__xludf.DUMMYFUNCTION("""COMPUTED_VALUE"""),"")</f>
        <v/>
      </c>
      <c r="AA449" s="18" t="str">
        <f ca="1">IFERROR(__xludf.DUMMYFUNCTION("""COMPUTED_VALUE"""),"")</f>
        <v/>
      </c>
      <c r="AC449" s="59"/>
    </row>
    <row r="450" spans="1:29" x14ac:dyDescent="0.25">
      <c r="A450" s="18">
        <v>0</v>
      </c>
      <c r="B450" s="52" t="str">
        <f ca="1"/>
        <v/>
      </c>
      <c r="C450" s="52" t="str">
        <f ca="1">IFERROR(__xludf.DUMMYFUNCTION("""COMPUTED_VALUE"""),"")</f>
        <v/>
      </c>
      <c r="D450" s="18" t="str">
        <f ca="1">IFERROR(__xludf.DUMMYFUNCTION("""COMPUTED_VALUE"""),"")</f>
        <v/>
      </c>
      <c r="E450" s="18" t="str">
        <f ca="1">IFERROR(__xludf.DUMMYFUNCTION("""COMPUTED_VALUE"""),"")</f>
        <v/>
      </c>
      <c r="F450" s="18" t="str">
        <f ca="1">IFERROR(__xludf.DUMMYFUNCTION("""COMPUTED_VALUE"""),"")</f>
        <v/>
      </c>
      <c r="G450" s="18" t="str">
        <f ca="1">IFERROR(__xludf.DUMMYFUNCTION("""COMPUTED_VALUE"""),"")</f>
        <v/>
      </c>
      <c r="H450" s="18" t="str">
        <f ca="1">IFERROR(__xludf.DUMMYFUNCTION("""COMPUTED_VALUE"""),"")</f>
        <v/>
      </c>
      <c r="I450" s="18" t="str">
        <f ca="1">IFERROR(__xludf.DUMMYFUNCTION("""COMPUTED_VALUE"""),"")</f>
        <v/>
      </c>
      <c r="J450" s="18" t="str">
        <f ca="1">IFERROR(__xludf.DUMMYFUNCTION("""COMPUTED_VALUE"""),"")</f>
        <v/>
      </c>
      <c r="K450" s="18" t="str">
        <f ca="1">IFERROR(__xludf.DUMMYFUNCTION("""COMPUTED_VALUE"""),"")</f>
        <v/>
      </c>
      <c r="L450" s="18" t="str">
        <f ca="1">IFERROR(__xludf.DUMMYFUNCTION("""COMPUTED_VALUE"""),"")</f>
        <v/>
      </c>
      <c r="M450" s="18" t="str">
        <f ca="1">IFERROR(__xludf.DUMMYFUNCTION("""COMPUTED_VALUE"""),"")</f>
        <v/>
      </c>
      <c r="N450" s="18" t="str">
        <f ca="1">IFERROR(__xludf.DUMMYFUNCTION("""COMPUTED_VALUE"""),"")</f>
        <v/>
      </c>
      <c r="O450" s="18" t="str">
        <f ca="1">IFERROR(__xludf.DUMMYFUNCTION("""COMPUTED_VALUE"""),"")</f>
        <v/>
      </c>
      <c r="P450" s="18" t="str">
        <f ca="1">IFERROR(__xludf.DUMMYFUNCTION("""COMPUTED_VALUE"""),"")</f>
        <v/>
      </c>
      <c r="Q450" s="18" t="str">
        <f ca="1">IFERROR(__xludf.DUMMYFUNCTION("""COMPUTED_VALUE"""),"")</f>
        <v/>
      </c>
      <c r="R450" s="18" t="str">
        <f ca="1">IFERROR(__xludf.DUMMYFUNCTION("""COMPUTED_VALUE"""),"")</f>
        <v/>
      </c>
      <c r="S450" s="18" t="str">
        <f ca="1">IFERROR(__xludf.DUMMYFUNCTION("""COMPUTED_VALUE"""),"")</f>
        <v/>
      </c>
      <c r="T450" s="18" t="str">
        <f ca="1">IFERROR(__xludf.DUMMYFUNCTION("""COMPUTED_VALUE"""),"")</f>
        <v/>
      </c>
      <c r="U450" s="18" t="str">
        <f ca="1">IFERROR(__xludf.DUMMYFUNCTION("""COMPUTED_VALUE"""),"")</f>
        <v/>
      </c>
      <c r="V450" s="18" t="str">
        <f ca="1">IFERROR(__xludf.DUMMYFUNCTION("""COMPUTED_VALUE"""),"")</f>
        <v/>
      </c>
      <c r="W450" s="18" t="str">
        <f ca="1">IFERROR(__xludf.DUMMYFUNCTION("""COMPUTED_VALUE"""),"")</f>
        <v/>
      </c>
      <c r="X450" s="18" t="str">
        <f ca="1">IFERROR(__xludf.DUMMYFUNCTION("""COMPUTED_VALUE"""),"")</f>
        <v/>
      </c>
      <c r="Y450" s="18" t="e">
        <f ca="1"/>
        <v>#NAME?</v>
      </c>
      <c r="Z450" s="18" t="str">
        <f ca="1">IFERROR(__xludf.DUMMYFUNCTION("""COMPUTED_VALUE"""),"")</f>
        <v/>
      </c>
      <c r="AA450" s="18" t="str">
        <f ca="1">IFERROR(__xludf.DUMMYFUNCTION("""COMPUTED_VALUE"""),"")</f>
        <v/>
      </c>
      <c r="AC450" s="59"/>
    </row>
    <row r="451" spans="1:29" x14ac:dyDescent="0.25">
      <c r="A451" s="18">
        <v>0</v>
      </c>
      <c r="B451" s="52" t="str">
        <f ca="1"/>
        <v/>
      </c>
      <c r="C451" s="52" t="str">
        <f ca="1">IFERROR(__xludf.DUMMYFUNCTION("""COMPUTED_VALUE"""),"")</f>
        <v/>
      </c>
      <c r="D451" s="18" t="str">
        <f ca="1">IFERROR(__xludf.DUMMYFUNCTION("""COMPUTED_VALUE"""),"")</f>
        <v/>
      </c>
      <c r="E451" s="18" t="str">
        <f ca="1">IFERROR(__xludf.DUMMYFUNCTION("""COMPUTED_VALUE"""),"")</f>
        <v/>
      </c>
      <c r="F451" s="18" t="str">
        <f ca="1">IFERROR(__xludf.DUMMYFUNCTION("""COMPUTED_VALUE"""),"")</f>
        <v/>
      </c>
      <c r="G451" s="18" t="str">
        <f ca="1">IFERROR(__xludf.DUMMYFUNCTION("""COMPUTED_VALUE"""),"")</f>
        <v/>
      </c>
      <c r="H451" s="18" t="str">
        <f ca="1">IFERROR(__xludf.DUMMYFUNCTION("""COMPUTED_VALUE"""),"")</f>
        <v/>
      </c>
      <c r="I451" s="18" t="str">
        <f ca="1">IFERROR(__xludf.DUMMYFUNCTION("""COMPUTED_VALUE"""),"")</f>
        <v/>
      </c>
      <c r="J451" s="18" t="str">
        <f ca="1">IFERROR(__xludf.DUMMYFUNCTION("""COMPUTED_VALUE"""),"")</f>
        <v/>
      </c>
      <c r="K451" s="18" t="str">
        <f ca="1">IFERROR(__xludf.DUMMYFUNCTION("""COMPUTED_VALUE"""),"")</f>
        <v/>
      </c>
      <c r="L451" s="18" t="str">
        <f ca="1">IFERROR(__xludf.DUMMYFUNCTION("""COMPUTED_VALUE"""),"")</f>
        <v/>
      </c>
      <c r="M451" s="18" t="str">
        <f ca="1">IFERROR(__xludf.DUMMYFUNCTION("""COMPUTED_VALUE"""),"")</f>
        <v/>
      </c>
      <c r="N451" s="18" t="str">
        <f ca="1">IFERROR(__xludf.DUMMYFUNCTION("""COMPUTED_VALUE"""),"")</f>
        <v/>
      </c>
      <c r="O451" s="18" t="str">
        <f ca="1">IFERROR(__xludf.DUMMYFUNCTION("""COMPUTED_VALUE"""),"")</f>
        <v/>
      </c>
      <c r="P451" s="18" t="str">
        <f ca="1">IFERROR(__xludf.DUMMYFUNCTION("""COMPUTED_VALUE"""),"")</f>
        <v/>
      </c>
      <c r="Q451" s="18" t="str">
        <f ca="1">IFERROR(__xludf.DUMMYFUNCTION("""COMPUTED_VALUE"""),"")</f>
        <v/>
      </c>
      <c r="R451" s="18" t="str">
        <f ca="1">IFERROR(__xludf.DUMMYFUNCTION("""COMPUTED_VALUE"""),"")</f>
        <v/>
      </c>
      <c r="S451" s="18" t="str">
        <f ca="1">IFERROR(__xludf.DUMMYFUNCTION("""COMPUTED_VALUE"""),"")</f>
        <v/>
      </c>
      <c r="T451" s="18" t="str">
        <f ca="1">IFERROR(__xludf.DUMMYFUNCTION("""COMPUTED_VALUE"""),"")</f>
        <v/>
      </c>
      <c r="U451" s="18" t="str">
        <f ca="1">IFERROR(__xludf.DUMMYFUNCTION("""COMPUTED_VALUE"""),"")</f>
        <v/>
      </c>
      <c r="V451" s="18" t="str">
        <f ca="1">IFERROR(__xludf.DUMMYFUNCTION("""COMPUTED_VALUE"""),"")</f>
        <v/>
      </c>
      <c r="W451" s="18" t="str">
        <f ca="1">IFERROR(__xludf.DUMMYFUNCTION("""COMPUTED_VALUE"""),"")</f>
        <v/>
      </c>
      <c r="X451" s="18" t="str">
        <f ca="1">IFERROR(__xludf.DUMMYFUNCTION("""COMPUTED_VALUE"""),"")</f>
        <v/>
      </c>
      <c r="Y451" s="18" t="e">
        <f ca="1"/>
        <v>#NAME?</v>
      </c>
      <c r="Z451" s="18" t="str">
        <f ca="1">IFERROR(__xludf.DUMMYFUNCTION("""COMPUTED_VALUE"""),"")</f>
        <v/>
      </c>
      <c r="AA451" s="18" t="str">
        <f ca="1">IFERROR(__xludf.DUMMYFUNCTION("""COMPUTED_VALUE"""),"")</f>
        <v/>
      </c>
      <c r="AC451" s="59"/>
    </row>
    <row r="452" spans="1:29" x14ac:dyDescent="0.25">
      <c r="A452" s="18">
        <v>0</v>
      </c>
      <c r="B452" s="52" t="str">
        <f ca="1"/>
        <v/>
      </c>
      <c r="C452" s="52" t="str">
        <f ca="1">IFERROR(__xludf.DUMMYFUNCTION("""COMPUTED_VALUE"""),"")</f>
        <v/>
      </c>
      <c r="D452" s="18" t="str">
        <f ca="1">IFERROR(__xludf.DUMMYFUNCTION("""COMPUTED_VALUE"""),"")</f>
        <v/>
      </c>
      <c r="E452" s="18" t="str">
        <f ca="1">IFERROR(__xludf.DUMMYFUNCTION("""COMPUTED_VALUE"""),"")</f>
        <v/>
      </c>
      <c r="F452" s="18" t="str">
        <f ca="1">IFERROR(__xludf.DUMMYFUNCTION("""COMPUTED_VALUE"""),"")</f>
        <v/>
      </c>
      <c r="G452" s="18" t="str">
        <f ca="1">IFERROR(__xludf.DUMMYFUNCTION("""COMPUTED_VALUE"""),"")</f>
        <v/>
      </c>
      <c r="H452" s="18" t="str">
        <f ca="1">IFERROR(__xludf.DUMMYFUNCTION("""COMPUTED_VALUE"""),"")</f>
        <v/>
      </c>
      <c r="I452" s="18" t="str">
        <f ca="1">IFERROR(__xludf.DUMMYFUNCTION("""COMPUTED_VALUE"""),"")</f>
        <v/>
      </c>
      <c r="J452" s="18" t="str">
        <f ca="1">IFERROR(__xludf.DUMMYFUNCTION("""COMPUTED_VALUE"""),"")</f>
        <v/>
      </c>
      <c r="K452" s="18" t="str">
        <f ca="1">IFERROR(__xludf.DUMMYFUNCTION("""COMPUTED_VALUE"""),"")</f>
        <v/>
      </c>
      <c r="L452" s="18" t="str">
        <f ca="1">IFERROR(__xludf.DUMMYFUNCTION("""COMPUTED_VALUE"""),"")</f>
        <v/>
      </c>
      <c r="M452" s="18" t="str">
        <f ca="1">IFERROR(__xludf.DUMMYFUNCTION("""COMPUTED_VALUE"""),"")</f>
        <v/>
      </c>
      <c r="N452" s="18" t="str">
        <f ca="1">IFERROR(__xludf.DUMMYFUNCTION("""COMPUTED_VALUE"""),"")</f>
        <v/>
      </c>
      <c r="O452" s="18" t="str">
        <f ca="1">IFERROR(__xludf.DUMMYFUNCTION("""COMPUTED_VALUE"""),"")</f>
        <v/>
      </c>
      <c r="P452" s="18" t="str">
        <f ca="1">IFERROR(__xludf.DUMMYFUNCTION("""COMPUTED_VALUE"""),"")</f>
        <v/>
      </c>
      <c r="Q452" s="18" t="str">
        <f ca="1">IFERROR(__xludf.DUMMYFUNCTION("""COMPUTED_VALUE"""),"")</f>
        <v/>
      </c>
      <c r="R452" s="18" t="str">
        <f ca="1">IFERROR(__xludf.DUMMYFUNCTION("""COMPUTED_VALUE"""),"")</f>
        <v/>
      </c>
      <c r="S452" s="18" t="str">
        <f ca="1">IFERROR(__xludf.DUMMYFUNCTION("""COMPUTED_VALUE"""),"")</f>
        <v/>
      </c>
      <c r="T452" s="18" t="str">
        <f ca="1">IFERROR(__xludf.DUMMYFUNCTION("""COMPUTED_VALUE"""),"")</f>
        <v/>
      </c>
      <c r="U452" s="18" t="str">
        <f ca="1">IFERROR(__xludf.DUMMYFUNCTION("""COMPUTED_VALUE"""),"")</f>
        <v/>
      </c>
      <c r="V452" s="18" t="str">
        <f ca="1">IFERROR(__xludf.DUMMYFUNCTION("""COMPUTED_VALUE"""),"")</f>
        <v/>
      </c>
      <c r="W452" s="18" t="str">
        <f ca="1">IFERROR(__xludf.DUMMYFUNCTION("""COMPUTED_VALUE"""),"")</f>
        <v/>
      </c>
      <c r="X452" s="18" t="str">
        <f ca="1">IFERROR(__xludf.DUMMYFUNCTION("""COMPUTED_VALUE"""),"")</f>
        <v/>
      </c>
      <c r="Y452" s="18" t="e">
        <f ca="1"/>
        <v>#NAME?</v>
      </c>
      <c r="Z452" s="18" t="str">
        <f ca="1">IFERROR(__xludf.DUMMYFUNCTION("""COMPUTED_VALUE"""),"")</f>
        <v/>
      </c>
      <c r="AA452" s="18" t="str">
        <f ca="1">IFERROR(__xludf.DUMMYFUNCTION("""COMPUTED_VALUE"""),"")</f>
        <v/>
      </c>
      <c r="AC452" s="59"/>
    </row>
    <row r="453" spans="1:29" x14ac:dyDescent="0.25">
      <c r="A453" s="18">
        <v>0</v>
      </c>
      <c r="B453" s="52" t="str">
        <f ca="1"/>
        <v/>
      </c>
      <c r="C453" s="52" t="str">
        <f ca="1">IFERROR(__xludf.DUMMYFUNCTION("""COMPUTED_VALUE"""),"")</f>
        <v/>
      </c>
      <c r="D453" s="18" t="str">
        <f ca="1">IFERROR(__xludf.DUMMYFUNCTION("""COMPUTED_VALUE"""),"")</f>
        <v/>
      </c>
      <c r="E453" s="18" t="str">
        <f ca="1">IFERROR(__xludf.DUMMYFUNCTION("""COMPUTED_VALUE"""),"")</f>
        <v/>
      </c>
      <c r="F453" s="18" t="str">
        <f ca="1">IFERROR(__xludf.DUMMYFUNCTION("""COMPUTED_VALUE"""),"")</f>
        <v/>
      </c>
      <c r="G453" s="18" t="str">
        <f ca="1">IFERROR(__xludf.DUMMYFUNCTION("""COMPUTED_VALUE"""),"")</f>
        <v/>
      </c>
      <c r="H453" s="18" t="str">
        <f ca="1">IFERROR(__xludf.DUMMYFUNCTION("""COMPUTED_VALUE"""),"")</f>
        <v/>
      </c>
      <c r="I453" s="18" t="str">
        <f ca="1">IFERROR(__xludf.DUMMYFUNCTION("""COMPUTED_VALUE"""),"")</f>
        <v/>
      </c>
      <c r="J453" s="18" t="str">
        <f ca="1">IFERROR(__xludf.DUMMYFUNCTION("""COMPUTED_VALUE"""),"")</f>
        <v/>
      </c>
      <c r="K453" s="18" t="str">
        <f ca="1">IFERROR(__xludf.DUMMYFUNCTION("""COMPUTED_VALUE"""),"")</f>
        <v/>
      </c>
      <c r="L453" s="18" t="str">
        <f ca="1">IFERROR(__xludf.DUMMYFUNCTION("""COMPUTED_VALUE"""),"")</f>
        <v/>
      </c>
      <c r="M453" s="18" t="str">
        <f ca="1">IFERROR(__xludf.DUMMYFUNCTION("""COMPUTED_VALUE"""),"")</f>
        <v/>
      </c>
      <c r="N453" s="18" t="str">
        <f ca="1">IFERROR(__xludf.DUMMYFUNCTION("""COMPUTED_VALUE"""),"")</f>
        <v/>
      </c>
      <c r="O453" s="18" t="str">
        <f ca="1">IFERROR(__xludf.DUMMYFUNCTION("""COMPUTED_VALUE"""),"")</f>
        <v/>
      </c>
      <c r="P453" s="18" t="str">
        <f ca="1">IFERROR(__xludf.DUMMYFUNCTION("""COMPUTED_VALUE"""),"")</f>
        <v/>
      </c>
      <c r="Q453" s="18" t="str">
        <f ca="1">IFERROR(__xludf.DUMMYFUNCTION("""COMPUTED_VALUE"""),"")</f>
        <v/>
      </c>
      <c r="R453" s="18" t="str">
        <f ca="1">IFERROR(__xludf.DUMMYFUNCTION("""COMPUTED_VALUE"""),"")</f>
        <v/>
      </c>
      <c r="S453" s="18" t="str">
        <f ca="1">IFERROR(__xludf.DUMMYFUNCTION("""COMPUTED_VALUE"""),"")</f>
        <v/>
      </c>
      <c r="T453" s="18" t="str">
        <f ca="1">IFERROR(__xludf.DUMMYFUNCTION("""COMPUTED_VALUE"""),"")</f>
        <v/>
      </c>
      <c r="U453" s="18" t="str">
        <f ca="1">IFERROR(__xludf.DUMMYFUNCTION("""COMPUTED_VALUE"""),"")</f>
        <v/>
      </c>
      <c r="V453" s="18" t="str">
        <f ca="1">IFERROR(__xludf.DUMMYFUNCTION("""COMPUTED_VALUE"""),"")</f>
        <v/>
      </c>
      <c r="W453" s="18" t="str">
        <f ca="1">IFERROR(__xludf.DUMMYFUNCTION("""COMPUTED_VALUE"""),"")</f>
        <v/>
      </c>
      <c r="X453" s="18" t="str">
        <f ca="1">IFERROR(__xludf.DUMMYFUNCTION("""COMPUTED_VALUE"""),"")</f>
        <v/>
      </c>
      <c r="Y453" s="18" t="e">
        <f ca="1"/>
        <v>#NAME?</v>
      </c>
      <c r="Z453" s="18" t="str">
        <f ca="1">IFERROR(__xludf.DUMMYFUNCTION("""COMPUTED_VALUE"""),"")</f>
        <v/>
      </c>
      <c r="AA453" s="18" t="str">
        <f ca="1">IFERROR(__xludf.DUMMYFUNCTION("""COMPUTED_VALUE"""),"")</f>
        <v/>
      </c>
      <c r="AC453" s="59"/>
    </row>
    <row r="454" spans="1:29" x14ac:dyDescent="0.25">
      <c r="A454" s="18">
        <v>0</v>
      </c>
      <c r="B454" s="52" t="str">
        <f ca="1"/>
        <v/>
      </c>
      <c r="C454" s="52" t="str">
        <f ca="1">IFERROR(__xludf.DUMMYFUNCTION("""COMPUTED_VALUE"""),"")</f>
        <v/>
      </c>
      <c r="D454" s="18" t="str">
        <f ca="1">IFERROR(__xludf.DUMMYFUNCTION("""COMPUTED_VALUE"""),"")</f>
        <v/>
      </c>
      <c r="E454" s="18" t="str">
        <f ca="1">IFERROR(__xludf.DUMMYFUNCTION("""COMPUTED_VALUE"""),"")</f>
        <v/>
      </c>
      <c r="F454" s="18" t="str">
        <f ca="1">IFERROR(__xludf.DUMMYFUNCTION("""COMPUTED_VALUE"""),"")</f>
        <v/>
      </c>
      <c r="G454" s="18" t="str">
        <f ca="1">IFERROR(__xludf.DUMMYFUNCTION("""COMPUTED_VALUE"""),"")</f>
        <v/>
      </c>
      <c r="H454" s="18" t="str">
        <f ca="1">IFERROR(__xludf.DUMMYFUNCTION("""COMPUTED_VALUE"""),"")</f>
        <v/>
      </c>
      <c r="I454" s="18" t="str">
        <f ca="1">IFERROR(__xludf.DUMMYFUNCTION("""COMPUTED_VALUE"""),"")</f>
        <v/>
      </c>
      <c r="J454" s="18" t="str">
        <f ca="1">IFERROR(__xludf.DUMMYFUNCTION("""COMPUTED_VALUE"""),"")</f>
        <v/>
      </c>
      <c r="K454" s="18" t="str">
        <f ca="1">IFERROR(__xludf.DUMMYFUNCTION("""COMPUTED_VALUE"""),"")</f>
        <v/>
      </c>
      <c r="L454" s="18" t="str">
        <f ca="1">IFERROR(__xludf.DUMMYFUNCTION("""COMPUTED_VALUE"""),"")</f>
        <v/>
      </c>
      <c r="M454" s="18" t="str">
        <f ca="1">IFERROR(__xludf.DUMMYFUNCTION("""COMPUTED_VALUE"""),"")</f>
        <v/>
      </c>
      <c r="N454" s="18" t="str">
        <f ca="1">IFERROR(__xludf.DUMMYFUNCTION("""COMPUTED_VALUE"""),"")</f>
        <v/>
      </c>
      <c r="O454" s="18" t="str">
        <f ca="1">IFERROR(__xludf.DUMMYFUNCTION("""COMPUTED_VALUE"""),"")</f>
        <v/>
      </c>
      <c r="P454" s="18" t="str">
        <f ca="1">IFERROR(__xludf.DUMMYFUNCTION("""COMPUTED_VALUE"""),"")</f>
        <v/>
      </c>
      <c r="Q454" s="18" t="str">
        <f ca="1">IFERROR(__xludf.DUMMYFUNCTION("""COMPUTED_VALUE"""),"")</f>
        <v/>
      </c>
      <c r="R454" s="18" t="str">
        <f ca="1">IFERROR(__xludf.DUMMYFUNCTION("""COMPUTED_VALUE"""),"")</f>
        <v/>
      </c>
      <c r="S454" s="18" t="str">
        <f ca="1">IFERROR(__xludf.DUMMYFUNCTION("""COMPUTED_VALUE"""),"")</f>
        <v/>
      </c>
      <c r="T454" s="18" t="str">
        <f ca="1">IFERROR(__xludf.DUMMYFUNCTION("""COMPUTED_VALUE"""),"")</f>
        <v/>
      </c>
      <c r="U454" s="18" t="str">
        <f ca="1">IFERROR(__xludf.DUMMYFUNCTION("""COMPUTED_VALUE"""),"")</f>
        <v/>
      </c>
      <c r="V454" s="18" t="str">
        <f ca="1">IFERROR(__xludf.DUMMYFUNCTION("""COMPUTED_VALUE"""),"")</f>
        <v/>
      </c>
      <c r="W454" s="18" t="str">
        <f ca="1">IFERROR(__xludf.DUMMYFUNCTION("""COMPUTED_VALUE"""),"")</f>
        <v/>
      </c>
      <c r="X454" s="18" t="str">
        <f ca="1">IFERROR(__xludf.DUMMYFUNCTION("""COMPUTED_VALUE"""),"")</f>
        <v/>
      </c>
      <c r="Y454" s="18" t="e">
        <f ca="1"/>
        <v>#NAME?</v>
      </c>
      <c r="Z454" s="18" t="str">
        <f ca="1">IFERROR(__xludf.DUMMYFUNCTION("""COMPUTED_VALUE"""),"")</f>
        <v/>
      </c>
      <c r="AA454" s="18" t="str">
        <f ca="1">IFERROR(__xludf.DUMMYFUNCTION("""COMPUTED_VALUE"""),"")</f>
        <v/>
      </c>
      <c r="AC454" s="59"/>
    </row>
    <row r="455" spans="1:29" x14ac:dyDescent="0.25">
      <c r="A455" s="18">
        <v>0</v>
      </c>
      <c r="B455" s="52" t="str">
        <f ca="1"/>
        <v/>
      </c>
      <c r="C455" s="52" t="str">
        <f ca="1">IFERROR(__xludf.DUMMYFUNCTION("""COMPUTED_VALUE"""),"")</f>
        <v/>
      </c>
      <c r="D455" s="18" t="str">
        <f ca="1">IFERROR(__xludf.DUMMYFUNCTION("""COMPUTED_VALUE"""),"")</f>
        <v/>
      </c>
      <c r="E455" s="18" t="str">
        <f ca="1">IFERROR(__xludf.DUMMYFUNCTION("""COMPUTED_VALUE"""),"")</f>
        <v/>
      </c>
      <c r="F455" s="18" t="str">
        <f ca="1">IFERROR(__xludf.DUMMYFUNCTION("""COMPUTED_VALUE"""),"")</f>
        <v/>
      </c>
      <c r="G455" s="18" t="str">
        <f ca="1">IFERROR(__xludf.DUMMYFUNCTION("""COMPUTED_VALUE"""),"")</f>
        <v/>
      </c>
      <c r="H455" s="18" t="str">
        <f ca="1">IFERROR(__xludf.DUMMYFUNCTION("""COMPUTED_VALUE"""),"")</f>
        <v/>
      </c>
      <c r="I455" s="18" t="str">
        <f ca="1">IFERROR(__xludf.DUMMYFUNCTION("""COMPUTED_VALUE"""),"")</f>
        <v/>
      </c>
      <c r="J455" s="18" t="str">
        <f ca="1">IFERROR(__xludf.DUMMYFUNCTION("""COMPUTED_VALUE"""),"")</f>
        <v/>
      </c>
      <c r="K455" s="18" t="str">
        <f ca="1">IFERROR(__xludf.DUMMYFUNCTION("""COMPUTED_VALUE"""),"")</f>
        <v/>
      </c>
      <c r="L455" s="18" t="str">
        <f ca="1">IFERROR(__xludf.DUMMYFUNCTION("""COMPUTED_VALUE"""),"")</f>
        <v/>
      </c>
      <c r="M455" s="18" t="str">
        <f ca="1">IFERROR(__xludf.DUMMYFUNCTION("""COMPUTED_VALUE"""),"")</f>
        <v/>
      </c>
      <c r="N455" s="18" t="str">
        <f ca="1">IFERROR(__xludf.DUMMYFUNCTION("""COMPUTED_VALUE"""),"")</f>
        <v/>
      </c>
      <c r="O455" s="18" t="str">
        <f ca="1">IFERROR(__xludf.DUMMYFUNCTION("""COMPUTED_VALUE"""),"")</f>
        <v/>
      </c>
      <c r="P455" s="18" t="str">
        <f ca="1">IFERROR(__xludf.DUMMYFUNCTION("""COMPUTED_VALUE"""),"")</f>
        <v/>
      </c>
      <c r="Q455" s="18" t="str">
        <f ca="1">IFERROR(__xludf.DUMMYFUNCTION("""COMPUTED_VALUE"""),"")</f>
        <v/>
      </c>
      <c r="R455" s="18" t="str">
        <f ca="1">IFERROR(__xludf.DUMMYFUNCTION("""COMPUTED_VALUE"""),"")</f>
        <v/>
      </c>
      <c r="S455" s="18" t="str">
        <f ca="1">IFERROR(__xludf.DUMMYFUNCTION("""COMPUTED_VALUE"""),"")</f>
        <v/>
      </c>
      <c r="T455" s="18" t="str">
        <f ca="1">IFERROR(__xludf.DUMMYFUNCTION("""COMPUTED_VALUE"""),"")</f>
        <v/>
      </c>
      <c r="U455" s="18" t="str">
        <f ca="1">IFERROR(__xludf.DUMMYFUNCTION("""COMPUTED_VALUE"""),"")</f>
        <v/>
      </c>
      <c r="V455" s="18" t="str">
        <f ca="1">IFERROR(__xludf.DUMMYFUNCTION("""COMPUTED_VALUE"""),"")</f>
        <v/>
      </c>
      <c r="W455" s="18" t="str">
        <f ca="1">IFERROR(__xludf.DUMMYFUNCTION("""COMPUTED_VALUE"""),"")</f>
        <v/>
      </c>
      <c r="X455" s="18" t="str">
        <f ca="1">IFERROR(__xludf.DUMMYFUNCTION("""COMPUTED_VALUE"""),"")</f>
        <v/>
      </c>
      <c r="Y455" s="18" t="e">
        <f ca="1"/>
        <v>#NAME?</v>
      </c>
      <c r="Z455" s="18" t="str">
        <f ca="1">IFERROR(__xludf.DUMMYFUNCTION("""COMPUTED_VALUE"""),"")</f>
        <v/>
      </c>
      <c r="AA455" s="18" t="str">
        <f ca="1">IFERROR(__xludf.DUMMYFUNCTION("""COMPUTED_VALUE"""),"")</f>
        <v/>
      </c>
      <c r="AC455" s="59"/>
    </row>
    <row r="456" spans="1:29" x14ac:dyDescent="0.25">
      <c r="A456" s="18">
        <v>0</v>
      </c>
      <c r="B456" s="52" t="str">
        <f ca="1"/>
        <v/>
      </c>
      <c r="C456" s="52" t="str">
        <f ca="1">IFERROR(__xludf.DUMMYFUNCTION("""COMPUTED_VALUE"""),"")</f>
        <v/>
      </c>
      <c r="D456" s="18" t="str">
        <f ca="1">IFERROR(__xludf.DUMMYFUNCTION("""COMPUTED_VALUE"""),"")</f>
        <v/>
      </c>
      <c r="E456" s="18" t="str">
        <f ca="1">IFERROR(__xludf.DUMMYFUNCTION("""COMPUTED_VALUE"""),"")</f>
        <v/>
      </c>
      <c r="F456" s="18" t="str">
        <f ca="1">IFERROR(__xludf.DUMMYFUNCTION("""COMPUTED_VALUE"""),"")</f>
        <v/>
      </c>
      <c r="G456" s="18" t="str">
        <f ca="1">IFERROR(__xludf.DUMMYFUNCTION("""COMPUTED_VALUE"""),"")</f>
        <v/>
      </c>
      <c r="H456" s="18" t="str">
        <f ca="1">IFERROR(__xludf.DUMMYFUNCTION("""COMPUTED_VALUE"""),"")</f>
        <v/>
      </c>
      <c r="I456" s="18" t="str">
        <f ca="1">IFERROR(__xludf.DUMMYFUNCTION("""COMPUTED_VALUE"""),"")</f>
        <v/>
      </c>
      <c r="J456" s="18" t="str">
        <f ca="1">IFERROR(__xludf.DUMMYFUNCTION("""COMPUTED_VALUE"""),"")</f>
        <v/>
      </c>
      <c r="K456" s="18" t="str">
        <f ca="1">IFERROR(__xludf.DUMMYFUNCTION("""COMPUTED_VALUE"""),"")</f>
        <v/>
      </c>
      <c r="L456" s="18" t="str">
        <f ca="1">IFERROR(__xludf.DUMMYFUNCTION("""COMPUTED_VALUE"""),"")</f>
        <v/>
      </c>
      <c r="M456" s="18" t="str">
        <f ca="1">IFERROR(__xludf.DUMMYFUNCTION("""COMPUTED_VALUE"""),"")</f>
        <v/>
      </c>
      <c r="N456" s="18" t="str">
        <f ca="1">IFERROR(__xludf.DUMMYFUNCTION("""COMPUTED_VALUE"""),"")</f>
        <v/>
      </c>
      <c r="O456" s="18" t="str">
        <f ca="1">IFERROR(__xludf.DUMMYFUNCTION("""COMPUTED_VALUE"""),"")</f>
        <v/>
      </c>
      <c r="P456" s="18" t="str">
        <f ca="1">IFERROR(__xludf.DUMMYFUNCTION("""COMPUTED_VALUE"""),"")</f>
        <v/>
      </c>
      <c r="Q456" s="18" t="str">
        <f ca="1">IFERROR(__xludf.DUMMYFUNCTION("""COMPUTED_VALUE"""),"")</f>
        <v/>
      </c>
      <c r="R456" s="18" t="str">
        <f ca="1">IFERROR(__xludf.DUMMYFUNCTION("""COMPUTED_VALUE"""),"")</f>
        <v/>
      </c>
      <c r="S456" s="18" t="str">
        <f ca="1">IFERROR(__xludf.DUMMYFUNCTION("""COMPUTED_VALUE"""),"")</f>
        <v/>
      </c>
      <c r="T456" s="18" t="str">
        <f ca="1">IFERROR(__xludf.DUMMYFUNCTION("""COMPUTED_VALUE"""),"")</f>
        <v/>
      </c>
      <c r="U456" s="18" t="str">
        <f ca="1">IFERROR(__xludf.DUMMYFUNCTION("""COMPUTED_VALUE"""),"")</f>
        <v/>
      </c>
      <c r="V456" s="18" t="str">
        <f ca="1">IFERROR(__xludf.DUMMYFUNCTION("""COMPUTED_VALUE"""),"")</f>
        <v/>
      </c>
      <c r="W456" s="18" t="str">
        <f ca="1">IFERROR(__xludf.DUMMYFUNCTION("""COMPUTED_VALUE"""),"")</f>
        <v/>
      </c>
      <c r="X456" s="18" t="str">
        <f ca="1">IFERROR(__xludf.DUMMYFUNCTION("""COMPUTED_VALUE"""),"")</f>
        <v/>
      </c>
      <c r="Y456" s="18" t="e">
        <f ca="1"/>
        <v>#NAME?</v>
      </c>
      <c r="Z456" s="18" t="str">
        <f ca="1">IFERROR(__xludf.DUMMYFUNCTION("""COMPUTED_VALUE"""),"")</f>
        <v/>
      </c>
      <c r="AA456" s="18" t="str">
        <f ca="1">IFERROR(__xludf.DUMMYFUNCTION("""COMPUTED_VALUE"""),"")</f>
        <v/>
      </c>
      <c r="AC456" s="59"/>
    </row>
    <row r="457" spans="1:29" x14ac:dyDescent="0.25">
      <c r="A457" s="18">
        <v>0</v>
      </c>
      <c r="B457" s="52" t="str">
        <f ca="1"/>
        <v/>
      </c>
      <c r="C457" s="52" t="str">
        <f ca="1">IFERROR(__xludf.DUMMYFUNCTION("""COMPUTED_VALUE"""),"")</f>
        <v/>
      </c>
      <c r="D457" s="18" t="str">
        <f ca="1">IFERROR(__xludf.DUMMYFUNCTION("""COMPUTED_VALUE"""),"")</f>
        <v/>
      </c>
      <c r="E457" s="18" t="str">
        <f ca="1">IFERROR(__xludf.DUMMYFUNCTION("""COMPUTED_VALUE"""),"")</f>
        <v/>
      </c>
      <c r="F457" s="18" t="str">
        <f ca="1">IFERROR(__xludf.DUMMYFUNCTION("""COMPUTED_VALUE"""),"")</f>
        <v/>
      </c>
      <c r="G457" s="18" t="str">
        <f ca="1">IFERROR(__xludf.DUMMYFUNCTION("""COMPUTED_VALUE"""),"")</f>
        <v/>
      </c>
      <c r="H457" s="18" t="str">
        <f ca="1">IFERROR(__xludf.DUMMYFUNCTION("""COMPUTED_VALUE"""),"")</f>
        <v/>
      </c>
      <c r="I457" s="18" t="str">
        <f ca="1">IFERROR(__xludf.DUMMYFUNCTION("""COMPUTED_VALUE"""),"")</f>
        <v/>
      </c>
      <c r="J457" s="18" t="str">
        <f ca="1">IFERROR(__xludf.DUMMYFUNCTION("""COMPUTED_VALUE"""),"")</f>
        <v/>
      </c>
      <c r="K457" s="18" t="str">
        <f ca="1">IFERROR(__xludf.DUMMYFUNCTION("""COMPUTED_VALUE"""),"")</f>
        <v/>
      </c>
      <c r="L457" s="18" t="str">
        <f ca="1">IFERROR(__xludf.DUMMYFUNCTION("""COMPUTED_VALUE"""),"")</f>
        <v/>
      </c>
      <c r="M457" s="18" t="str">
        <f ca="1">IFERROR(__xludf.DUMMYFUNCTION("""COMPUTED_VALUE"""),"")</f>
        <v/>
      </c>
      <c r="N457" s="18" t="str">
        <f ca="1">IFERROR(__xludf.DUMMYFUNCTION("""COMPUTED_VALUE"""),"")</f>
        <v/>
      </c>
      <c r="O457" s="18" t="str">
        <f ca="1">IFERROR(__xludf.DUMMYFUNCTION("""COMPUTED_VALUE"""),"")</f>
        <v/>
      </c>
      <c r="P457" s="18" t="str">
        <f ca="1">IFERROR(__xludf.DUMMYFUNCTION("""COMPUTED_VALUE"""),"")</f>
        <v/>
      </c>
      <c r="Q457" s="18" t="str">
        <f ca="1">IFERROR(__xludf.DUMMYFUNCTION("""COMPUTED_VALUE"""),"")</f>
        <v/>
      </c>
      <c r="R457" s="18" t="str">
        <f ca="1">IFERROR(__xludf.DUMMYFUNCTION("""COMPUTED_VALUE"""),"")</f>
        <v/>
      </c>
      <c r="S457" s="18" t="str">
        <f ca="1">IFERROR(__xludf.DUMMYFUNCTION("""COMPUTED_VALUE"""),"")</f>
        <v/>
      </c>
      <c r="T457" s="18" t="str">
        <f ca="1">IFERROR(__xludf.DUMMYFUNCTION("""COMPUTED_VALUE"""),"")</f>
        <v/>
      </c>
      <c r="U457" s="18" t="str">
        <f ca="1">IFERROR(__xludf.DUMMYFUNCTION("""COMPUTED_VALUE"""),"")</f>
        <v/>
      </c>
      <c r="V457" s="18" t="str">
        <f ca="1">IFERROR(__xludf.DUMMYFUNCTION("""COMPUTED_VALUE"""),"")</f>
        <v/>
      </c>
      <c r="W457" s="18" t="str">
        <f ca="1">IFERROR(__xludf.DUMMYFUNCTION("""COMPUTED_VALUE"""),"")</f>
        <v/>
      </c>
      <c r="X457" s="18" t="str">
        <f ca="1">IFERROR(__xludf.DUMMYFUNCTION("""COMPUTED_VALUE"""),"")</f>
        <v/>
      </c>
      <c r="Y457" s="18" t="e">
        <f ca="1"/>
        <v>#NAME?</v>
      </c>
      <c r="Z457" s="18" t="str">
        <f ca="1">IFERROR(__xludf.DUMMYFUNCTION("""COMPUTED_VALUE"""),"")</f>
        <v/>
      </c>
      <c r="AA457" s="18" t="str">
        <f ca="1">IFERROR(__xludf.DUMMYFUNCTION("""COMPUTED_VALUE"""),"")</f>
        <v/>
      </c>
      <c r="AC457" s="59"/>
    </row>
    <row r="458" spans="1:29" x14ac:dyDescent="0.25">
      <c r="A458" s="18">
        <v>0</v>
      </c>
      <c r="B458" s="52" t="str">
        <f ca="1"/>
        <v/>
      </c>
      <c r="C458" s="52" t="str">
        <f ca="1">IFERROR(__xludf.DUMMYFUNCTION("""COMPUTED_VALUE"""),"")</f>
        <v/>
      </c>
      <c r="D458" s="18" t="str">
        <f ca="1">IFERROR(__xludf.DUMMYFUNCTION("""COMPUTED_VALUE"""),"")</f>
        <v/>
      </c>
      <c r="E458" s="18" t="str">
        <f ca="1">IFERROR(__xludf.DUMMYFUNCTION("""COMPUTED_VALUE"""),"")</f>
        <v/>
      </c>
      <c r="F458" s="18" t="str">
        <f ca="1">IFERROR(__xludf.DUMMYFUNCTION("""COMPUTED_VALUE"""),"")</f>
        <v/>
      </c>
      <c r="G458" s="18" t="str">
        <f ca="1">IFERROR(__xludf.DUMMYFUNCTION("""COMPUTED_VALUE"""),"")</f>
        <v/>
      </c>
      <c r="H458" s="18" t="str">
        <f ca="1">IFERROR(__xludf.DUMMYFUNCTION("""COMPUTED_VALUE"""),"")</f>
        <v/>
      </c>
      <c r="I458" s="18" t="str">
        <f ca="1">IFERROR(__xludf.DUMMYFUNCTION("""COMPUTED_VALUE"""),"")</f>
        <v/>
      </c>
      <c r="J458" s="18" t="str">
        <f ca="1">IFERROR(__xludf.DUMMYFUNCTION("""COMPUTED_VALUE"""),"")</f>
        <v/>
      </c>
      <c r="K458" s="18" t="str">
        <f ca="1">IFERROR(__xludf.DUMMYFUNCTION("""COMPUTED_VALUE"""),"")</f>
        <v/>
      </c>
      <c r="L458" s="18" t="str">
        <f ca="1">IFERROR(__xludf.DUMMYFUNCTION("""COMPUTED_VALUE"""),"")</f>
        <v/>
      </c>
      <c r="M458" s="18" t="str">
        <f ca="1">IFERROR(__xludf.DUMMYFUNCTION("""COMPUTED_VALUE"""),"")</f>
        <v/>
      </c>
      <c r="N458" s="18" t="str">
        <f ca="1">IFERROR(__xludf.DUMMYFUNCTION("""COMPUTED_VALUE"""),"")</f>
        <v/>
      </c>
      <c r="O458" s="18" t="str">
        <f ca="1">IFERROR(__xludf.DUMMYFUNCTION("""COMPUTED_VALUE"""),"")</f>
        <v/>
      </c>
      <c r="P458" s="18" t="str">
        <f ca="1">IFERROR(__xludf.DUMMYFUNCTION("""COMPUTED_VALUE"""),"")</f>
        <v/>
      </c>
      <c r="Q458" s="18" t="str">
        <f ca="1">IFERROR(__xludf.DUMMYFUNCTION("""COMPUTED_VALUE"""),"")</f>
        <v/>
      </c>
      <c r="R458" s="18" t="str">
        <f ca="1">IFERROR(__xludf.DUMMYFUNCTION("""COMPUTED_VALUE"""),"")</f>
        <v/>
      </c>
      <c r="S458" s="18" t="str">
        <f ca="1">IFERROR(__xludf.DUMMYFUNCTION("""COMPUTED_VALUE"""),"")</f>
        <v/>
      </c>
      <c r="T458" s="18" t="str">
        <f ca="1">IFERROR(__xludf.DUMMYFUNCTION("""COMPUTED_VALUE"""),"")</f>
        <v/>
      </c>
      <c r="U458" s="18" t="str">
        <f ca="1">IFERROR(__xludf.DUMMYFUNCTION("""COMPUTED_VALUE"""),"")</f>
        <v/>
      </c>
      <c r="V458" s="18" t="str">
        <f ca="1">IFERROR(__xludf.DUMMYFUNCTION("""COMPUTED_VALUE"""),"")</f>
        <v/>
      </c>
      <c r="W458" s="18" t="str">
        <f ca="1">IFERROR(__xludf.DUMMYFUNCTION("""COMPUTED_VALUE"""),"")</f>
        <v/>
      </c>
      <c r="X458" s="18" t="str">
        <f ca="1">IFERROR(__xludf.DUMMYFUNCTION("""COMPUTED_VALUE"""),"")</f>
        <v/>
      </c>
      <c r="Y458" s="18" t="e">
        <f ca="1"/>
        <v>#NAME?</v>
      </c>
      <c r="Z458" s="18" t="str">
        <f ca="1">IFERROR(__xludf.DUMMYFUNCTION("""COMPUTED_VALUE"""),"")</f>
        <v/>
      </c>
      <c r="AA458" s="18" t="str">
        <f ca="1">IFERROR(__xludf.DUMMYFUNCTION("""COMPUTED_VALUE"""),"")</f>
        <v/>
      </c>
      <c r="AC458" s="59"/>
    </row>
    <row r="459" spans="1:29" x14ac:dyDescent="0.25">
      <c r="A459" s="18">
        <v>0</v>
      </c>
      <c r="B459" s="52" t="str">
        <f ca="1"/>
        <v/>
      </c>
      <c r="C459" s="52" t="str">
        <f ca="1">IFERROR(__xludf.DUMMYFUNCTION("""COMPUTED_VALUE"""),"")</f>
        <v/>
      </c>
      <c r="D459" s="18" t="str">
        <f ca="1">IFERROR(__xludf.DUMMYFUNCTION("""COMPUTED_VALUE"""),"")</f>
        <v/>
      </c>
      <c r="E459" s="18" t="str">
        <f ca="1">IFERROR(__xludf.DUMMYFUNCTION("""COMPUTED_VALUE"""),"")</f>
        <v/>
      </c>
      <c r="F459" s="18" t="str">
        <f ca="1">IFERROR(__xludf.DUMMYFUNCTION("""COMPUTED_VALUE"""),"")</f>
        <v/>
      </c>
      <c r="G459" s="18" t="str">
        <f ca="1">IFERROR(__xludf.DUMMYFUNCTION("""COMPUTED_VALUE"""),"")</f>
        <v/>
      </c>
      <c r="H459" s="18" t="str">
        <f ca="1">IFERROR(__xludf.DUMMYFUNCTION("""COMPUTED_VALUE"""),"")</f>
        <v/>
      </c>
      <c r="I459" s="18" t="str">
        <f ca="1">IFERROR(__xludf.DUMMYFUNCTION("""COMPUTED_VALUE"""),"")</f>
        <v/>
      </c>
      <c r="J459" s="18" t="str">
        <f ca="1">IFERROR(__xludf.DUMMYFUNCTION("""COMPUTED_VALUE"""),"")</f>
        <v/>
      </c>
      <c r="K459" s="18" t="str">
        <f ca="1">IFERROR(__xludf.DUMMYFUNCTION("""COMPUTED_VALUE"""),"")</f>
        <v/>
      </c>
      <c r="L459" s="18" t="str">
        <f ca="1">IFERROR(__xludf.DUMMYFUNCTION("""COMPUTED_VALUE"""),"")</f>
        <v/>
      </c>
      <c r="M459" s="18" t="str">
        <f ca="1">IFERROR(__xludf.DUMMYFUNCTION("""COMPUTED_VALUE"""),"")</f>
        <v/>
      </c>
      <c r="N459" s="18" t="str">
        <f ca="1">IFERROR(__xludf.DUMMYFUNCTION("""COMPUTED_VALUE"""),"")</f>
        <v/>
      </c>
      <c r="O459" s="18" t="str">
        <f ca="1">IFERROR(__xludf.DUMMYFUNCTION("""COMPUTED_VALUE"""),"")</f>
        <v/>
      </c>
      <c r="P459" s="18" t="str">
        <f ca="1">IFERROR(__xludf.DUMMYFUNCTION("""COMPUTED_VALUE"""),"")</f>
        <v/>
      </c>
      <c r="Q459" s="18" t="str">
        <f ca="1">IFERROR(__xludf.DUMMYFUNCTION("""COMPUTED_VALUE"""),"")</f>
        <v/>
      </c>
      <c r="R459" s="18" t="str">
        <f ca="1">IFERROR(__xludf.DUMMYFUNCTION("""COMPUTED_VALUE"""),"")</f>
        <v/>
      </c>
      <c r="S459" s="18" t="str">
        <f ca="1">IFERROR(__xludf.DUMMYFUNCTION("""COMPUTED_VALUE"""),"")</f>
        <v/>
      </c>
      <c r="T459" s="18" t="str">
        <f ca="1">IFERROR(__xludf.DUMMYFUNCTION("""COMPUTED_VALUE"""),"")</f>
        <v/>
      </c>
      <c r="U459" s="18" t="str">
        <f ca="1">IFERROR(__xludf.DUMMYFUNCTION("""COMPUTED_VALUE"""),"")</f>
        <v/>
      </c>
      <c r="V459" s="18" t="str">
        <f ca="1">IFERROR(__xludf.DUMMYFUNCTION("""COMPUTED_VALUE"""),"")</f>
        <v/>
      </c>
      <c r="W459" s="18" t="str">
        <f ca="1">IFERROR(__xludf.DUMMYFUNCTION("""COMPUTED_VALUE"""),"")</f>
        <v/>
      </c>
      <c r="X459" s="18" t="str">
        <f ca="1">IFERROR(__xludf.DUMMYFUNCTION("""COMPUTED_VALUE"""),"")</f>
        <v/>
      </c>
      <c r="Y459" s="18" t="e">
        <f ca="1"/>
        <v>#NAME?</v>
      </c>
      <c r="Z459" s="18" t="str">
        <f ca="1">IFERROR(__xludf.DUMMYFUNCTION("""COMPUTED_VALUE"""),"")</f>
        <v/>
      </c>
      <c r="AA459" s="18" t="str">
        <f ca="1">IFERROR(__xludf.DUMMYFUNCTION("""COMPUTED_VALUE"""),"")</f>
        <v/>
      </c>
      <c r="AC459" s="59"/>
    </row>
    <row r="460" spans="1:29" x14ac:dyDescent="0.25">
      <c r="A460" s="18">
        <v>0</v>
      </c>
      <c r="B460" s="52" t="str">
        <f ca="1"/>
        <v/>
      </c>
      <c r="C460" s="52" t="str">
        <f ca="1">IFERROR(__xludf.DUMMYFUNCTION("""COMPUTED_VALUE"""),"")</f>
        <v/>
      </c>
      <c r="D460" s="18" t="str">
        <f ca="1">IFERROR(__xludf.DUMMYFUNCTION("""COMPUTED_VALUE"""),"")</f>
        <v/>
      </c>
      <c r="E460" s="18" t="str">
        <f ca="1">IFERROR(__xludf.DUMMYFUNCTION("""COMPUTED_VALUE"""),"")</f>
        <v/>
      </c>
      <c r="F460" s="18" t="str">
        <f ca="1">IFERROR(__xludf.DUMMYFUNCTION("""COMPUTED_VALUE"""),"")</f>
        <v/>
      </c>
      <c r="G460" s="18" t="str">
        <f ca="1">IFERROR(__xludf.DUMMYFUNCTION("""COMPUTED_VALUE"""),"")</f>
        <v/>
      </c>
      <c r="H460" s="18" t="str">
        <f ca="1">IFERROR(__xludf.DUMMYFUNCTION("""COMPUTED_VALUE"""),"")</f>
        <v/>
      </c>
      <c r="I460" s="18" t="str">
        <f ca="1">IFERROR(__xludf.DUMMYFUNCTION("""COMPUTED_VALUE"""),"")</f>
        <v/>
      </c>
      <c r="J460" s="18" t="str">
        <f ca="1">IFERROR(__xludf.DUMMYFUNCTION("""COMPUTED_VALUE"""),"")</f>
        <v/>
      </c>
      <c r="K460" s="18" t="str">
        <f ca="1">IFERROR(__xludf.DUMMYFUNCTION("""COMPUTED_VALUE"""),"")</f>
        <v/>
      </c>
      <c r="L460" s="18" t="str">
        <f ca="1">IFERROR(__xludf.DUMMYFUNCTION("""COMPUTED_VALUE"""),"")</f>
        <v/>
      </c>
      <c r="M460" s="18" t="str">
        <f ca="1">IFERROR(__xludf.DUMMYFUNCTION("""COMPUTED_VALUE"""),"")</f>
        <v/>
      </c>
      <c r="N460" s="18" t="str">
        <f ca="1">IFERROR(__xludf.DUMMYFUNCTION("""COMPUTED_VALUE"""),"")</f>
        <v/>
      </c>
      <c r="O460" s="18" t="str">
        <f ca="1">IFERROR(__xludf.DUMMYFUNCTION("""COMPUTED_VALUE"""),"")</f>
        <v/>
      </c>
      <c r="P460" s="18" t="str">
        <f ca="1">IFERROR(__xludf.DUMMYFUNCTION("""COMPUTED_VALUE"""),"")</f>
        <v/>
      </c>
      <c r="Q460" s="18" t="str">
        <f ca="1">IFERROR(__xludf.DUMMYFUNCTION("""COMPUTED_VALUE"""),"")</f>
        <v/>
      </c>
      <c r="R460" s="18" t="str">
        <f ca="1">IFERROR(__xludf.DUMMYFUNCTION("""COMPUTED_VALUE"""),"")</f>
        <v/>
      </c>
      <c r="S460" s="18" t="str">
        <f ca="1">IFERROR(__xludf.DUMMYFUNCTION("""COMPUTED_VALUE"""),"")</f>
        <v/>
      </c>
      <c r="T460" s="18" t="str">
        <f ca="1">IFERROR(__xludf.DUMMYFUNCTION("""COMPUTED_VALUE"""),"")</f>
        <v/>
      </c>
      <c r="U460" s="18" t="str">
        <f ca="1">IFERROR(__xludf.DUMMYFUNCTION("""COMPUTED_VALUE"""),"")</f>
        <v/>
      </c>
      <c r="V460" s="18" t="str">
        <f ca="1">IFERROR(__xludf.DUMMYFUNCTION("""COMPUTED_VALUE"""),"")</f>
        <v/>
      </c>
      <c r="W460" s="18" t="str">
        <f ca="1">IFERROR(__xludf.DUMMYFUNCTION("""COMPUTED_VALUE"""),"")</f>
        <v/>
      </c>
      <c r="X460" s="18" t="str">
        <f ca="1">IFERROR(__xludf.DUMMYFUNCTION("""COMPUTED_VALUE"""),"")</f>
        <v/>
      </c>
      <c r="Y460" s="18" t="e">
        <f ca="1"/>
        <v>#NAME?</v>
      </c>
      <c r="Z460" s="18" t="str">
        <f ca="1">IFERROR(__xludf.DUMMYFUNCTION("""COMPUTED_VALUE"""),"")</f>
        <v/>
      </c>
      <c r="AA460" s="18" t="str">
        <f ca="1">IFERROR(__xludf.DUMMYFUNCTION("""COMPUTED_VALUE"""),"")</f>
        <v/>
      </c>
      <c r="AC460" s="59"/>
    </row>
    <row r="461" spans="1:29" x14ac:dyDescent="0.25">
      <c r="A461" s="18">
        <v>0</v>
      </c>
      <c r="B461" s="52" t="str">
        <f ca="1"/>
        <v/>
      </c>
      <c r="C461" s="52" t="str">
        <f ca="1">IFERROR(__xludf.DUMMYFUNCTION("""COMPUTED_VALUE"""),"")</f>
        <v/>
      </c>
      <c r="D461" s="18" t="str">
        <f ca="1">IFERROR(__xludf.DUMMYFUNCTION("""COMPUTED_VALUE"""),"")</f>
        <v/>
      </c>
      <c r="E461" s="18" t="str">
        <f ca="1">IFERROR(__xludf.DUMMYFUNCTION("""COMPUTED_VALUE"""),"")</f>
        <v/>
      </c>
      <c r="F461" s="18" t="str">
        <f ca="1">IFERROR(__xludf.DUMMYFUNCTION("""COMPUTED_VALUE"""),"")</f>
        <v/>
      </c>
      <c r="G461" s="18" t="str">
        <f ca="1">IFERROR(__xludf.DUMMYFUNCTION("""COMPUTED_VALUE"""),"")</f>
        <v/>
      </c>
      <c r="H461" s="18" t="str">
        <f ca="1">IFERROR(__xludf.DUMMYFUNCTION("""COMPUTED_VALUE"""),"")</f>
        <v/>
      </c>
      <c r="I461" s="18" t="str">
        <f ca="1">IFERROR(__xludf.DUMMYFUNCTION("""COMPUTED_VALUE"""),"")</f>
        <v/>
      </c>
      <c r="J461" s="18" t="str">
        <f ca="1">IFERROR(__xludf.DUMMYFUNCTION("""COMPUTED_VALUE"""),"")</f>
        <v/>
      </c>
      <c r="K461" s="18" t="str">
        <f ca="1">IFERROR(__xludf.DUMMYFUNCTION("""COMPUTED_VALUE"""),"")</f>
        <v/>
      </c>
      <c r="L461" s="18" t="str">
        <f ca="1">IFERROR(__xludf.DUMMYFUNCTION("""COMPUTED_VALUE"""),"")</f>
        <v/>
      </c>
      <c r="M461" s="18" t="str">
        <f ca="1">IFERROR(__xludf.DUMMYFUNCTION("""COMPUTED_VALUE"""),"")</f>
        <v/>
      </c>
      <c r="N461" s="18" t="str">
        <f ca="1">IFERROR(__xludf.DUMMYFUNCTION("""COMPUTED_VALUE"""),"")</f>
        <v/>
      </c>
      <c r="O461" s="18" t="str">
        <f ca="1">IFERROR(__xludf.DUMMYFUNCTION("""COMPUTED_VALUE"""),"")</f>
        <v/>
      </c>
      <c r="P461" s="18" t="str">
        <f ca="1">IFERROR(__xludf.DUMMYFUNCTION("""COMPUTED_VALUE"""),"")</f>
        <v/>
      </c>
      <c r="Q461" s="18" t="str">
        <f ca="1">IFERROR(__xludf.DUMMYFUNCTION("""COMPUTED_VALUE"""),"")</f>
        <v/>
      </c>
      <c r="R461" s="18" t="str">
        <f ca="1">IFERROR(__xludf.DUMMYFUNCTION("""COMPUTED_VALUE"""),"")</f>
        <v/>
      </c>
      <c r="S461" s="18" t="str">
        <f ca="1">IFERROR(__xludf.DUMMYFUNCTION("""COMPUTED_VALUE"""),"")</f>
        <v/>
      </c>
      <c r="T461" s="18" t="str">
        <f ca="1">IFERROR(__xludf.DUMMYFUNCTION("""COMPUTED_VALUE"""),"")</f>
        <v/>
      </c>
      <c r="U461" s="18" t="str">
        <f ca="1">IFERROR(__xludf.DUMMYFUNCTION("""COMPUTED_VALUE"""),"")</f>
        <v/>
      </c>
      <c r="V461" s="18" t="str">
        <f ca="1">IFERROR(__xludf.DUMMYFUNCTION("""COMPUTED_VALUE"""),"")</f>
        <v/>
      </c>
      <c r="W461" s="18" t="str">
        <f ca="1">IFERROR(__xludf.DUMMYFUNCTION("""COMPUTED_VALUE"""),"")</f>
        <v/>
      </c>
      <c r="X461" s="18" t="str">
        <f ca="1">IFERROR(__xludf.DUMMYFUNCTION("""COMPUTED_VALUE"""),"")</f>
        <v/>
      </c>
      <c r="Y461" s="18" t="e">
        <f ca="1"/>
        <v>#NAME?</v>
      </c>
      <c r="Z461" s="18" t="str">
        <f ca="1">IFERROR(__xludf.DUMMYFUNCTION("""COMPUTED_VALUE"""),"")</f>
        <v/>
      </c>
      <c r="AA461" s="18" t="str">
        <f ca="1">IFERROR(__xludf.DUMMYFUNCTION("""COMPUTED_VALUE"""),"")</f>
        <v/>
      </c>
      <c r="AC461" s="59"/>
    </row>
    <row r="462" spans="1:29" x14ac:dyDescent="0.25">
      <c r="A462" s="18">
        <v>0</v>
      </c>
      <c r="B462" s="52" t="str">
        <f ca="1"/>
        <v/>
      </c>
      <c r="C462" s="52" t="str">
        <f ca="1">IFERROR(__xludf.DUMMYFUNCTION("""COMPUTED_VALUE"""),"")</f>
        <v/>
      </c>
      <c r="D462" s="18" t="str">
        <f ca="1">IFERROR(__xludf.DUMMYFUNCTION("""COMPUTED_VALUE"""),"")</f>
        <v/>
      </c>
      <c r="E462" s="18" t="str">
        <f ca="1">IFERROR(__xludf.DUMMYFUNCTION("""COMPUTED_VALUE"""),"")</f>
        <v/>
      </c>
      <c r="F462" s="18" t="str">
        <f ca="1">IFERROR(__xludf.DUMMYFUNCTION("""COMPUTED_VALUE"""),"")</f>
        <v/>
      </c>
      <c r="G462" s="18" t="str">
        <f ca="1">IFERROR(__xludf.DUMMYFUNCTION("""COMPUTED_VALUE"""),"")</f>
        <v/>
      </c>
      <c r="H462" s="18" t="str">
        <f ca="1">IFERROR(__xludf.DUMMYFUNCTION("""COMPUTED_VALUE"""),"")</f>
        <v/>
      </c>
      <c r="I462" s="18" t="str">
        <f ca="1">IFERROR(__xludf.DUMMYFUNCTION("""COMPUTED_VALUE"""),"")</f>
        <v/>
      </c>
      <c r="J462" s="18" t="str">
        <f ca="1">IFERROR(__xludf.DUMMYFUNCTION("""COMPUTED_VALUE"""),"")</f>
        <v/>
      </c>
      <c r="K462" s="18" t="str">
        <f ca="1">IFERROR(__xludf.DUMMYFUNCTION("""COMPUTED_VALUE"""),"")</f>
        <v/>
      </c>
      <c r="L462" s="18" t="str">
        <f ca="1">IFERROR(__xludf.DUMMYFUNCTION("""COMPUTED_VALUE"""),"")</f>
        <v/>
      </c>
      <c r="M462" s="18" t="str">
        <f ca="1">IFERROR(__xludf.DUMMYFUNCTION("""COMPUTED_VALUE"""),"")</f>
        <v/>
      </c>
      <c r="N462" s="18" t="str">
        <f ca="1">IFERROR(__xludf.DUMMYFUNCTION("""COMPUTED_VALUE"""),"")</f>
        <v/>
      </c>
      <c r="O462" s="18" t="str">
        <f ca="1">IFERROR(__xludf.DUMMYFUNCTION("""COMPUTED_VALUE"""),"")</f>
        <v/>
      </c>
      <c r="P462" s="18" t="str">
        <f ca="1">IFERROR(__xludf.DUMMYFUNCTION("""COMPUTED_VALUE"""),"")</f>
        <v/>
      </c>
      <c r="Q462" s="18" t="str">
        <f ca="1">IFERROR(__xludf.DUMMYFUNCTION("""COMPUTED_VALUE"""),"")</f>
        <v/>
      </c>
      <c r="R462" s="18" t="str">
        <f ca="1">IFERROR(__xludf.DUMMYFUNCTION("""COMPUTED_VALUE"""),"")</f>
        <v/>
      </c>
      <c r="S462" s="18" t="str">
        <f ca="1">IFERROR(__xludf.DUMMYFUNCTION("""COMPUTED_VALUE"""),"")</f>
        <v/>
      </c>
      <c r="T462" s="18" t="str">
        <f ca="1">IFERROR(__xludf.DUMMYFUNCTION("""COMPUTED_VALUE"""),"")</f>
        <v/>
      </c>
      <c r="U462" s="18" t="str">
        <f ca="1">IFERROR(__xludf.DUMMYFUNCTION("""COMPUTED_VALUE"""),"")</f>
        <v/>
      </c>
      <c r="V462" s="18" t="str">
        <f ca="1">IFERROR(__xludf.DUMMYFUNCTION("""COMPUTED_VALUE"""),"")</f>
        <v/>
      </c>
      <c r="W462" s="18" t="str">
        <f ca="1">IFERROR(__xludf.DUMMYFUNCTION("""COMPUTED_VALUE"""),"")</f>
        <v/>
      </c>
      <c r="X462" s="18" t="str">
        <f ca="1">IFERROR(__xludf.DUMMYFUNCTION("""COMPUTED_VALUE"""),"")</f>
        <v/>
      </c>
      <c r="Y462" s="18" t="e">
        <f ca="1"/>
        <v>#NAME?</v>
      </c>
      <c r="Z462" s="18" t="str">
        <f ca="1">IFERROR(__xludf.DUMMYFUNCTION("""COMPUTED_VALUE"""),"")</f>
        <v/>
      </c>
      <c r="AA462" s="18" t="str">
        <f ca="1">IFERROR(__xludf.DUMMYFUNCTION("""COMPUTED_VALUE"""),"")</f>
        <v/>
      </c>
      <c r="AC462" s="59"/>
    </row>
    <row r="463" spans="1:29" x14ac:dyDescent="0.25">
      <c r="A463" s="18">
        <v>0</v>
      </c>
      <c r="B463" s="52" t="str">
        <f ca="1"/>
        <v/>
      </c>
      <c r="C463" s="52" t="str">
        <f ca="1">IFERROR(__xludf.DUMMYFUNCTION("""COMPUTED_VALUE"""),"")</f>
        <v/>
      </c>
      <c r="D463" s="18" t="str">
        <f ca="1">IFERROR(__xludf.DUMMYFUNCTION("""COMPUTED_VALUE"""),"")</f>
        <v/>
      </c>
      <c r="E463" s="18" t="str">
        <f ca="1">IFERROR(__xludf.DUMMYFUNCTION("""COMPUTED_VALUE"""),"")</f>
        <v/>
      </c>
      <c r="F463" s="18" t="str">
        <f ca="1">IFERROR(__xludf.DUMMYFUNCTION("""COMPUTED_VALUE"""),"")</f>
        <v/>
      </c>
      <c r="G463" s="18" t="str">
        <f ca="1">IFERROR(__xludf.DUMMYFUNCTION("""COMPUTED_VALUE"""),"")</f>
        <v/>
      </c>
      <c r="H463" s="18" t="str">
        <f ca="1">IFERROR(__xludf.DUMMYFUNCTION("""COMPUTED_VALUE"""),"")</f>
        <v/>
      </c>
      <c r="I463" s="18" t="str">
        <f ca="1">IFERROR(__xludf.DUMMYFUNCTION("""COMPUTED_VALUE"""),"")</f>
        <v/>
      </c>
      <c r="J463" s="18" t="str">
        <f ca="1">IFERROR(__xludf.DUMMYFUNCTION("""COMPUTED_VALUE"""),"")</f>
        <v/>
      </c>
      <c r="K463" s="18" t="str">
        <f ca="1">IFERROR(__xludf.DUMMYFUNCTION("""COMPUTED_VALUE"""),"")</f>
        <v/>
      </c>
      <c r="L463" s="18" t="str">
        <f ca="1">IFERROR(__xludf.DUMMYFUNCTION("""COMPUTED_VALUE"""),"")</f>
        <v/>
      </c>
      <c r="M463" s="18" t="str">
        <f ca="1">IFERROR(__xludf.DUMMYFUNCTION("""COMPUTED_VALUE"""),"")</f>
        <v/>
      </c>
      <c r="N463" s="18" t="str">
        <f ca="1">IFERROR(__xludf.DUMMYFUNCTION("""COMPUTED_VALUE"""),"")</f>
        <v/>
      </c>
      <c r="O463" s="18" t="str">
        <f ca="1">IFERROR(__xludf.DUMMYFUNCTION("""COMPUTED_VALUE"""),"")</f>
        <v/>
      </c>
      <c r="P463" s="18" t="str">
        <f ca="1">IFERROR(__xludf.DUMMYFUNCTION("""COMPUTED_VALUE"""),"")</f>
        <v/>
      </c>
      <c r="Q463" s="18" t="str">
        <f ca="1">IFERROR(__xludf.DUMMYFUNCTION("""COMPUTED_VALUE"""),"")</f>
        <v/>
      </c>
      <c r="R463" s="18" t="str">
        <f ca="1">IFERROR(__xludf.DUMMYFUNCTION("""COMPUTED_VALUE"""),"")</f>
        <v/>
      </c>
      <c r="S463" s="18" t="str">
        <f ca="1">IFERROR(__xludf.DUMMYFUNCTION("""COMPUTED_VALUE"""),"")</f>
        <v/>
      </c>
      <c r="T463" s="18" t="str">
        <f ca="1">IFERROR(__xludf.DUMMYFUNCTION("""COMPUTED_VALUE"""),"")</f>
        <v/>
      </c>
      <c r="U463" s="18" t="str">
        <f ca="1">IFERROR(__xludf.DUMMYFUNCTION("""COMPUTED_VALUE"""),"")</f>
        <v/>
      </c>
      <c r="V463" s="18" t="str">
        <f ca="1">IFERROR(__xludf.DUMMYFUNCTION("""COMPUTED_VALUE"""),"")</f>
        <v/>
      </c>
      <c r="W463" s="18" t="str">
        <f ca="1">IFERROR(__xludf.DUMMYFUNCTION("""COMPUTED_VALUE"""),"")</f>
        <v/>
      </c>
      <c r="X463" s="18" t="str">
        <f ca="1">IFERROR(__xludf.DUMMYFUNCTION("""COMPUTED_VALUE"""),"")</f>
        <v/>
      </c>
      <c r="Y463" s="18" t="e">
        <f ca="1"/>
        <v>#NAME?</v>
      </c>
      <c r="Z463" s="18" t="str">
        <f ca="1">IFERROR(__xludf.DUMMYFUNCTION("""COMPUTED_VALUE"""),"")</f>
        <v/>
      </c>
      <c r="AA463" s="18" t="str">
        <f ca="1">IFERROR(__xludf.DUMMYFUNCTION("""COMPUTED_VALUE"""),"")</f>
        <v/>
      </c>
      <c r="AC463" s="59"/>
    </row>
    <row r="464" spans="1:29" x14ac:dyDescent="0.25">
      <c r="A464" s="18">
        <v>0</v>
      </c>
      <c r="B464" s="52" t="str">
        <f ca="1"/>
        <v/>
      </c>
      <c r="C464" s="52" t="str">
        <f ca="1">IFERROR(__xludf.DUMMYFUNCTION("""COMPUTED_VALUE"""),"")</f>
        <v/>
      </c>
      <c r="D464" s="18" t="str">
        <f ca="1">IFERROR(__xludf.DUMMYFUNCTION("""COMPUTED_VALUE"""),"")</f>
        <v/>
      </c>
      <c r="E464" s="18" t="str">
        <f ca="1">IFERROR(__xludf.DUMMYFUNCTION("""COMPUTED_VALUE"""),"")</f>
        <v/>
      </c>
      <c r="F464" s="18" t="str">
        <f ca="1">IFERROR(__xludf.DUMMYFUNCTION("""COMPUTED_VALUE"""),"")</f>
        <v/>
      </c>
      <c r="G464" s="18" t="str">
        <f ca="1">IFERROR(__xludf.DUMMYFUNCTION("""COMPUTED_VALUE"""),"")</f>
        <v/>
      </c>
      <c r="H464" s="18" t="str">
        <f ca="1">IFERROR(__xludf.DUMMYFUNCTION("""COMPUTED_VALUE"""),"")</f>
        <v/>
      </c>
      <c r="I464" s="18" t="str">
        <f ca="1">IFERROR(__xludf.DUMMYFUNCTION("""COMPUTED_VALUE"""),"")</f>
        <v/>
      </c>
      <c r="J464" s="18" t="str">
        <f ca="1">IFERROR(__xludf.DUMMYFUNCTION("""COMPUTED_VALUE"""),"")</f>
        <v/>
      </c>
      <c r="K464" s="18" t="str">
        <f ca="1">IFERROR(__xludf.DUMMYFUNCTION("""COMPUTED_VALUE"""),"")</f>
        <v/>
      </c>
      <c r="L464" s="18" t="str">
        <f ca="1">IFERROR(__xludf.DUMMYFUNCTION("""COMPUTED_VALUE"""),"")</f>
        <v/>
      </c>
      <c r="M464" s="18" t="str">
        <f ca="1">IFERROR(__xludf.DUMMYFUNCTION("""COMPUTED_VALUE"""),"")</f>
        <v/>
      </c>
      <c r="N464" s="18" t="str">
        <f ca="1">IFERROR(__xludf.DUMMYFUNCTION("""COMPUTED_VALUE"""),"")</f>
        <v/>
      </c>
      <c r="O464" s="18" t="str">
        <f ca="1">IFERROR(__xludf.DUMMYFUNCTION("""COMPUTED_VALUE"""),"")</f>
        <v/>
      </c>
      <c r="P464" s="18" t="str">
        <f ca="1">IFERROR(__xludf.DUMMYFUNCTION("""COMPUTED_VALUE"""),"")</f>
        <v/>
      </c>
      <c r="Q464" s="18" t="str">
        <f ca="1">IFERROR(__xludf.DUMMYFUNCTION("""COMPUTED_VALUE"""),"")</f>
        <v/>
      </c>
      <c r="R464" s="18" t="str">
        <f ca="1">IFERROR(__xludf.DUMMYFUNCTION("""COMPUTED_VALUE"""),"")</f>
        <v/>
      </c>
      <c r="S464" s="18" t="str">
        <f ca="1">IFERROR(__xludf.DUMMYFUNCTION("""COMPUTED_VALUE"""),"")</f>
        <v/>
      </c>
      <c r="T464" s="18" t="str">
        <f ca="1">IFERROR(__xludf.DUMMYFUNCTION("""COMPUTED_VALUE"""),"")</f>
        <v/>
      </c>
      <c r="U464" s="18" t="str">
        <f ca="1">IFERROR(__xludf.DUMMYFUNCTION("""COMPUTED_VALUE"""),"")</f>
        <v/>
      </c>
      <c r="V464" s="18" t="str">
        <f ca="1">IFERROR(__xludf.DUMMYFUNCTION("""COMPUTED_VALUE"""),"")</f>
        <v/>
      </c>
      <c r="W464" s="18" t="str">
        <f ca="1">IFERROR(__xludf.DUMMYFUNCTION("""COMPUTED_VALUE"""),"")</f>
        <v/>
      </c>
      <c r="X464" s="18" t="str">
        <f ca="1">IFERROR(__xludf.DUMMYFUNCTION("""COMPUTED_VALUE"""),"")</f>
        <v/>
      </c>
      <c r="Y464" s="18" t="e">
        <f ca="1"/>
        <v>#NAME?</v>
      </c>
      <c r="Z464" s="18" t="str">
        <f ca="1">IFERROR(__xludf.DUMMYFUNCTION("""COMPUTED_VALUE"""),"")</f>
        <v/>
      </c>
      <c r="AA464" s="18" t="str">
        <f ca="1">IFERROR(__xludf.DUMMYFUNCTION("""COMPUTED_VALUE"""),"")</f>
        <v/>
      </c>
      <c r="AC464" s="59"/>
    </row>
    <row r="465" spans="1:29" x14ac:dyDescent="0.25">
      <c r="A465" s="18">
        <v>0</v>
      </c>
      <c r="B465" s="52" t="str">
        <f ca="1"/>
        <v/>
      </c>
      <c r="C465" s="52" t="str">
        <f ca="1">IFERROR(__xludf.DUMMYFUNCTION("""COMPUTED_VALUE"""),"")</f>
        <v/>
      </c>
      <c r="D465" s="18" t="str">
        <f ca="1">IFERROR(__xludf.DUMMYFUNCTION("""COMPUTED_VALUE"""),"")</f>
        <v/>
      </c>
      <c r="E465" s="18" t="str">
        <f ca="1">IFERROR(__xludf.DUMMYFUNCTION("""COMPUTED_VALUE"""),"")</f>
        <v/>
      </c>
      <c r="F465" s="18" t="str">
        <f ca="1">IFERROR(__xludf.DUMMYFUNCTION("""COMPUTED_VALUE"""),"")</f>
        <v/>
      </c>
      <c r="G465" s="18" t="str">
        <f ca="1">IFERROR(__xludf.DUMMYFUNCTION("""COMPUTED_VALUE"""),"")</f>
        <v/>
      </c>
      <c r="H465" s="18" t="str">
        <f ca="1">IFERROR(__xludf.DUMMYFUNCTION("""COMPUTED_VALUE"""),"")</f>
        <v/>
      </c>
      <c r="I465" s="18" t="str">
        <f ca="1">IFERROR(__xludf.DUMMYFUNCTION("""COMPUTED_VALUE"""),"")</f>
        <v/>
      </c>
      <c r="J465" s="18" t="str">
        <f ca="1">IFERROR(__xludf.DUMMYFUNCTION("""COMPUTED_VALUE"""),"")</f>
        <v/>
      </c>
      <c r="K465" s="18" t="str">
        <f ca="1">IFERROR(__xludf.DUMMYFUNCTION("""COMPUTED_VALUE"""),"")</f>
        <v/>
      </c>
      <c r="L465" s="18" t="str">
        <f ca="1">IFERROR(__xludf.DUMMYFUNCTION("""COMPUTED_VALUE"""),"")</f>
        <v/>
      </c>
      <c r="M465" s="18" t="str">
        <f ca="1">IFERROR(__xludf.DUMMYFUNCTION("""COMPUTED_VALUE"""),"")</f>
        <v/>
      </c>
      <c r="N465" s="18" t="str">
        <f ca="1">IFERROR(__xludf.DUMMYFUNCTION("""COMPUTED_VALUE"""),"")</f>
        <v/>
      </c>
      <c r="O465" s="18" t="str">
        <f ca="1">IFERROR(__xludf.DUMMYFUNCTION("""COMPUTED_VALUE"""),"")</f>
        <v/>
      </c>
      <c r="P465" s="18" t="str">
        <f ca="1">IFERROR(__xludf.DUMMYFUNCTION("""COMPUTED_VALUE"""),"")</f>
        <v/>
      </c>
      <c r="Q465" s="18" t="str">
        <f ca="1">IFERROR(__xludf.DUMMYFUNCTION("""COMPUTED_VALUE"""),"")</f>
        <v/>
      </c>
      <c r="R465" s="18" t="str">
        <f ca="1">IFERROR(__xludf.DUMMYFUNCTION("""COMPUTED_VALUE"""),"")</f>
        <v/>
      </c>
      <c r="S465" s="18" t="str">
        <f ca="1">IFERROR(__xludf.DUMMYFUNCTION("""COMPUTED_VALUE"""),"")</f>
        <v/>
      </c>
      <c r="T465" s="18" t="str">
        <f ca="1">IFERROR(__xludf.DUMMYFUNCTION("""COMPUTED_VALUE"""),"")</f>
        <v/>
      </c>
      <c r="U465" s="18" t="str">
        <f ca="1">IFERROR(__xludf.DUMMYFUNCTION("""COMPUTED_VALUE"""),"")</f>
        <v/>
      </c>
      <c r="V465" s="18" t="str">
        <f ca="1">IFERROR(__xludf.DUMMYFUNCTION("""COMPUTED_VALUE"""),"")</f>
        <v/>
      </c>
      <c r="W465" s="18" t="str">
        <f ca="1">IFERROR(__xludf.DUMMYFUNCTION("""COMPUTED_VALUE"""),"")</f>
        <v/>
      </c>
      <c r="X465" s="18" t="str">
        <f ca="1">IFERROR(__xludf.DUMMYFUNCTION("""COMPUTED_VALUE"""),"")</f>
        <v/>
      </c>
      <c r="Y465" s="18" t="e">
        <f ca="1"/>
        <v>#NAME?</v>
      </c>
      <c r="Z465" s="18" t="str">
        <f ca="1">IFERROR(__xludf.DUMMYFUNCTION("""COMPUTED_VALUE"""),"")</f>
        <v/>
      </c>
      <c r="AA465" s="18" t="str">
        <f ca="1">IFERROR(__xludf.DUMMYFUNCTION("""COMPUTED_VALUE"""),"")</f>
        <v/>
      </c>
      <c r="AC465" s="59"/>
    </row>
    <row r="466" spans="1:29" x14ac:dyDescent="0.25">
      <c r="A466" s="18">
        <v>0</v>
      </c>
      <c r="B466" s="52" t="str">
        <f ca="1"/>
        <v/>
      </c>
      <c r="C466" s="52" t="str">
        <f ca="1">IFERROR(__xludf.DUMMYFUNCTION("""COMPUTED_VALUE"""),"")</f>
        <v/>
      </c>
      <c r="D466" s="18" t="str">
        <f ca="1">IFERROR(__xludf.DUMMYFUNCTION("""COMPUTED_VALUE"""),"")</f>
        <v/>
      </c>
      <c r="E466" s="18" t="str">
        <f ca="1">IFERROR(__xludf.DUMMYFUNCTION("""COMPUTED_VALUE"""),"")</f>
        <v/>
      </c>
      <c r="F466" s="18" t="str">
        <f ca="1">IFERROR(__xludf.DUMMYFUNCTION("""COMPUTED_VALUE"""),"")</f>
        <v/>
      </c>
      <c r="G466" s="18" t="str">
        <f ca="1">IFERROR(__xludf.DUMMYFUNCTION("""COMPUTED_VALUE"""),"")</f>
        <v/>
      </c>
      <c r="H466" s="18" t="str">
        <f ca="1">IFERROR(__xludf.DUMMYFUNCTION("""COMPUTED_VALUE"""),"")</f>
        <v/>
      </c>
      <c r="I466" s="18" t="str">
        <f ca="1">IFERROR(__xludf.DUMMYFUNCTION("""COMPUTED_VALUE"""),"")</f>
        <v/>
      </c>
      <c r="J466" s="18" t="str">
        <f ca="1">IFERROR(__xludf.DUMMYFUNCTION("""COMPUTED_VALUE"""),"")</f>
        <v/>
      </c>
      <c r="K466" s="18" t="str">
        <f ca="1">IFERROR(__xludf.DUMMYFUNCTION("""COMPUTED_VALUE"""),"")</f>
        <v/>
      </c>
      <c r="L466" s="18" t="str">
        <f ca="1">IFERROR(__xludf.DUMMYFUNCTION("""COMPUTED_VALUE"""),"")</f>
        <v/>
      </c>
      <c r="M466" s="18" t="str">
        <f ca="1">IFERROR(__xludf.DUMMYFUNCTION("""COMPUTED_VALUE"""),"")</f>
        <v/>
      </c>
      <c r="N466" s="18" t="str">
        <f ca="1">IFERROR(__xludf.DUMMYFUNCTION("""COMPUTED_VALUE"""),"")</f>
        <v/>
      </c>
      <c r="O466" s="18" t="str">
        <f ca="1">IFERROR(__xludf.DUMMYFUNCTION("""COMPUTED_VALUE"""),"")</f>
        <v/>
      </c>
      <c r="P466" s="18" t="str">
        <f ca="1">IFERROR(__xludf.DUMMYFUNCTION("""COMPUTED_VALUE"""),"")</f>
        <v/>
      </c>
      <c r="Q466" s="18" t="str">
        <f ca="1">IFERROR(__xludf.DUMMYFUNCTION("""COMPUTED_VALUE"""),"")</f>
        <v/>
      </c>
      <c r="R466" s="18" t="str">
        <f ca="1">IFERROR(__xludf.DUMMYFUNCTION("""COMPUTED_VALUE"""),"")</f>
        <v/>
      </c>
      <c r="S466" s="18" t="str">
        <f ca="1">IFERROR(__xludf.DUMMYFUNCTION("""COMPUTED_VALUE"""),"")</f>
        <v/>
      </c>
      <c r="T466" s="18" t="str">
        <f ca="1">IFERROR(__xludf.DUMMYFUNCTION("""COMPUTED_VALUE"""),"")</f>
        <v/>
      </c>
      <c r="U466" s="18" t="str">
        <f ca="1">IFERROR(__xludf.DUMMYFUNCTION("""COMPUTED_VALUE"""),"")</f>
        <v/>
      </c>
      <c r="V466" s="18" t="str">
        <f ca="1">IFERROR(__xludf.DUMMYFUNCTION("""COMPUTED_VALUE"""),"")</f>
        <v/>
      </c>
      <c r="W466" s="18" t="str">
        <f ca="1">IFERROR(__xludf.DUMMYFUNCTION("""COMPUTED_VALUE"""),"")</f>
        <v/>
      </c>
      <c r="X466" s="18" t="str">
        <f ca="1">IFERROR(__xludf.DUMMYFUNCTION("""COMPUTED_VALUE"""),"")</f>
        <v/>
      </c>
      <c r="Y466" s="18" t="e">
        <f ca="1"/>
        <v>#NAME?</v>
      </c>
      <c r="Z466" s="18" t="str">
        <f ca="1">IFERROR(__xludf.DUMMYFUNCTION("""COMPUTED_VALUE"""),"")</f>
        <v/>
      </c>
      <c r="AA466" s="18" t="str">
        <f ca="1">IFERROR(__xludf.DUMMYFUNCTION("""COMPUTED_VALUE"""),"")</f>
        <v/>
      </c>
      <c r="AC466" s="59"/>
    </row>
    <row r="467" spans="1:29" x14ac:dyDescent="0.25">
      <c r="A467" s="18">
        <v>0</v>
      </c>
      <c r="B467" s="52" t="str">
        <f ca="1"/>
        <v/>
      </c>
      <c r="C467" s="52" t="str">
        <f ca="1">IFERROR(__xludf.DUMMYFUNCTION("""COMPUTED_VALUE"""),"")</f>
        <v/>
      </c>
      <c r="D467" s="18" t="str">
        <f ca="1">IFERROR(__xludf.DUMMYFUNCTION("""COMPUTED_VALUE"""),"")</f>
        <v/>
      </c>
      <c r="E467" s="18" t="str">
        <f ca="1">IFERROR(__xludf.DUMMYFUNCTION("""COMPUTED_VALUE"""),"")</f>
        <v/>
      </c>
      <c r="F467" s="18" t="str">
        <f ca="1">IFERROR(__xludf.DUMMYFUNCTION("""COMPUTED_VALUE"""),"")</f>
        <v/>
      </c>
      <c r="G467" s="18" t="str">
        <f ca="1">IFERROR(__xludf.DUMMYFUNCTION("""COMPUTED_VALUE"""),"")</f>
        <v/>
      </c>
      <c r="H467" s="18" t="str">
        <f ca="1">IFERROR(__xludf.DUMMYFUNCTION("""COMPUTED_VALUE"""),"")</f>
        <v/>
      </c>
      <c r="I467" s="18" t="str">
        <f ca="1">IFERROR(__xludf.DUMMYFUNCTION("""COMPUTED_VALUE"""),"")</f>
        <v/>
      </c>
      <c r="J467" s="18" t="str">
        <f ca="1">IFERROR(__xludf.DUMMYFUNCTION("""COMPUTED_VALUE"""),"")</f>
        <v/>
      </c>
      <c r="K467" s="18" t="str">
        <f ca="1">IFERROR(__xludf.DUMMYFUNCTION("""COMPUTED_VALUE"""),"")</f>
        <v/>
      </c>
      <c r="L467" s="18" t="str">
        <f ca="1">IFERROR(__xludf.DUMMYFUNCTION("""COMPUTED_VALUE"""),"")</f>
        <v/>
      </c>
      <c r="M467" s="18" t="str">
        <f ca="1">IFERROR(__xludf.DUMMYFUNCTION("""COMPUTED_VALUE"""),"")</f>
        <v/>
      </c>
      <c r="N467" s="18" t="str">
        <f ca="1">IFERROR(__xludf.DUMMYFUNCTION("""COMPUTED_VALUE"""),"")</f>
        <v/>
      </c>
      <c r="O467" s="18" t="str">
        <f ca="1">IFERROR(__xludf.DUMMYFUNCTION("""COMPUTED_VALUE"""),"")</f>
        <v/>
      </c>
      <c r="P467" s="18" t="str">
        <f ca="1">IFERROR(__xludf.DUMMYFUNCTION("""COMPUTED_VALUE"""),"")</f>
        <v/>
      </c>
      <c r="Q467" s="18" t="str">
        <f ca="1">IFERROR(__xludf.DUMMYFUNCTION("""COMPUTED_VALUE"""),"")</f>
        <v/>
      </c>
      <c r="R467" s="18" t="str">
        <f ca="1">IFERROR(__xludf.DUMMYFUNCTION("""COMPUTED_VALUE"""),"")</f>
        <v/>
      </c>
      <c r="S467" s="18" t="str">
        <f ca="1">IFERROR(__xludf.DUMMYFUNCTION("""COMPUTED_VALUE"""),"")</f>
        <v/>
      </c>
      <c r="T467" s="18" t="str">
        <f ca="1">IFERROR(__xludf.DUMMYFUNCTION("""COMPUTED_VALUE"""),"")</f>
        <v/>
      </c>
      <c r="U467" s="18" t="str">
        <f ca="1">IFERROR(__xludf.DUMMYFUNCTION("""COMPUTED_VALUE"""),"")</f>
        <v/>
      </c>
      <c r="V467" s="18" t="str">
        <f ca="1">IFERROR(__xludf.DUMMYFUNCTION("""COMPUTED_VALUE"""),"")</f>
        <v/>
      </c>
      <c r="W467" s="18" t="str">
        <f ca="1">IFERROR(__xludf.DUMMYFUNCTION("""COMPUTED_VALUE"""),"")</f>
        <v/>
      </c>
      <c r="X467" s="18" t="str">
        <f ca="1">IFERROR(__xludf.DUMMYFUNCTION("""COMPUTED_VALUE"""),"")</f>
        <v/>
      </c>
      <c r="Y467" s="18" t="e">
        <f ca="1"/>
        <v>#NAME?</v>
      </c>
      <c r="Z467" s="18" t="str">
        <f ca="1">IFERROR(__xludf.DUMMYFUNCTION("""COMPUTED_VALUE"""),"")</f>
        <v/>
      </c>
      <c r="AA467" s="18" t="str">
        <f ca="1">IFERROR(__xludf.DUMMYFUNCTION("""COMPUTED_VALUE"""),"")</f>
        <v/>
      </c>
      <c r="AC467" s="59"/>
    </row>
    <row r="468" spans="1:29" x14ac:dyDescent="0.25">
      <c r="A468" s="18">
        <v>0</v>
      </c>
      <c r="B468" s="52" t="str">
        <f ca="1"/>
        <v/>
      </c>
      <c r="C468" s="52" t="str">
        <f ca="1">IFERROR(__xludf.DUMMYFUNCTION("""COMPUTED_VALUE"""),"")</f>
        <v/>
      </c>
      <c r="D468" s="18" t="str">
        <f ca="1">IFERROR(__xludf.DUMMYFUNCTION("""COMPUTED_VALUE"""),"")</f>
        <v/>
      </c>
      <c r="E468" s="18" t="str">
        <f ca="1">IFERROR(__xludf.DUMMYFUNCTION("""COMPUTED_VALUE"""),"")</f>
        <v/>
      </c>
      <c r="F468" s="18" t="str">
        <f ca="1">IFERROR(__xludf.DUMMYFUNCTION("""COMPUTED_VALUE"""),"")</f>
        <v/>
      </c>
      <c r="G468" s="18" t="str">
        <f ca="1">IFERROR(__xludf.DUMMYFUNCTION("""COMPUTED_VALUE"""),"")</f>
        <v/>
      </c>
      <c r="H468" s="18" t="str">
        <f ca="1">IFERROR(__xludf.DUMMYFUNCTION("""COMPUTED_VALUE"""),"")</f>
        <v/>
      </c>
      <c r="I468" s="18" t="str">
        <f ca="1">IFERROR(__xludf.DUMMYFUNCTION("""COMPUTED_VALUE"""),"")</f>
        <v/>
      </c>
      <c r="J468" s="18" t="str">
        <f ca="1">IFERROR(__xludf.DUMMYFUNCTION("""COMPUTED_VALUE"""),"")</f>
        <v/>
      </c>
      <c r="K468" s="18" t="str">
        <f ca="1">IFERROR(__xludf.DUMMYFUNCTION("""COMPUTED_VALUE"""),"")</f>
        <v/>
      </c>
      <c r="L468" s="18" t="str">
        <f ca="1">IFERROR(__xludf.DUMMYFUNCTION("""COMPUTED_VALUE"""),"")</f>
        <v/>
      </c>
      <c r="M468" s="18" t="str">
        <f ca="1">IFERROR(__xludf.DUMMYFUNCTION("""COMPUTED_VALUE"""),"")</f>
        <v/>
      </c>
      <c r="N468" s="18" t="str">
        <f ca="1">IFERROR(__xludf.DUMMYFUNCTION("""COMPUTED_VALUE"""),"")</f>
        <v/>
      </c>
      <c r="O468" s="18" t="str">
        <f ca="1">IFERROR(__xludf.DUMMYFUNCTION("""COMPUTED_VALUE"""),"")</f>
        <v/>
      </c>
      <c r="P468" s="18" t="str">
        <f ca="1">IFERROR(__xludf.DUMMYFUNCTION("""COMPUTED_VALUE"""),"")</f>
        <v/>
      </c>
      <c r="Q468" s="18" t="str">
        <f ca="1">IFERROR(__xludf.DUMMYFUNCTION("""COMPUTED_VALUE"""),"")</f>
        <v/>
      </c>
      <c r="R468" s="18" t="str">
        <f ca="1">IFERROR(__xludf.DUMMYFUNCTION("""COMPUTED_VALUE"""),"")</f>
        <v/>
      </c>
      <c r="S468" s="18" t="str">
        <f ca="1">IFERROR(__xludf.DUMMYFUNCTION("""COMPUTED_VALUE"""),"")</f>
        <v/>
      </c>
      <c r="T468" s="18" t="str">
        <f ca="1">IFERROR(__xludf.DUMMYFUNCTION("""COMPUTED_VALUE"""),"")</f>
        <v/>
      </c>
      <c r="U468" s="18" t="str">
        <f ca="1">IFERROR(__xludf.DUMMYFUNCTION("""COMPUTED_VALUE"""),"")</f>
        <v/>
      </c>
      <c r="V468" s="18" t="str">
        <f ca="1">IFERROR(__xludf.DUMMYFUNCTION("""COMPUTED_VALUE"""),"")</f>
        <v/>
      </c>
      <c r="W468" s="18" t="str">
        <f ca="1">IFERROR(__xludf.DUMMYFUNCTION("""COMPUTED_VALUE"""),"")</f>
        <v/>
      </c>
      <c r="X468" s="18" t="str">
        <f ca="1">IFERROR(__xludf.DUMMYFUNCTION("""COMPUTED_VALUE"""),"")</f>
        <v/>
      </c>
      <c r="Y468" s="18" t="e">
        <f ca="1"/>
        <v>#NAME?</v>
      </c>
      <c r="Z468" s="18" t="str">
        <f ca="1">IFERROR(__xludf.DUMMYFUNCTION("""COMPUTED_VALUE"""),"")</f>
        <v/>
      </c>
      <c r="AA468" s="18" t="str">
        <f ca="1">IFERROR(__xludf.DUMMYFUNCTION("""COMPUTED_VALUE"""),"")</f>
        <v/>
      </c>
      <c r="AC468" s="59"/>
    </row>
    <row r="469" spans="1:29" x14ac:dyDescent="0.25">
      <c r="A469" s="18">
        <v>0</v>
      </c>
      <c r="B469" s="52" t="str">
        <f ca="1"/>
        <v/>
      </c>
      <c r="C469" s="52" t="str">
        <f ca="1">IFERROR(__xludf.DUMMYFUNCTION("""COMPUTED_VALUE"""),"")</f>
        <v/>
      </c>
      <c r="D469" s="18" t="str">
        <f ca="1">IFERROR(__xludf.DUMMYFUNCTION("""COMPUTED_VALUE"""),"")</f>
        <v/>
      </c>
      <c r="E469" s="18" t="str">
        <f ca="1">IFERROR(__xludf.DUMMYFUNCTION("""COMPUTED_VALUE"""),"")</f>
        <v/>
      </c>
      <c r="F469" s="18" t="str">
        <f ca="1">IFERROR(__xludf.DUMMYFUNCTION("""COMPUTED_VALUE"""),"")</f>
        <v/>
      </c>
      <c r="G469" s="18" t="str">
        <f ca="1">IFERROR(__xludf.DUMMYFUNCTION("""COMPUTED_VALUE"""),"")</f>
        <v/>
      </c>
      <c r="H469" s="18" t="str">
        <f ca="1">IFERROR(__xludf.DUMMYFUNCTION("""COMPUTED_VALUE"""),"")</f>
        <v/>
      </c>
      <c r="I469" s="18" t="str">
        <f ca="1">IFERROR(__xludf.DUMMYFUNCTION("""COMPUTED_VALUE"""),"")</f>
        <v/>
      </c>
      <c r="J469" s="18" t="str">
        <f ca="1">IFERROR(__xludf.DUMMYFUNCTION("""COMPUTED_VALUE"""),"")</f>
        <v/>
      </c>
      <c r="K469" s="18" t="str">
        <f ca="1">IFERROR(__xludf.DUMMYFUNCTION("""COMPUTED_VALUE"""),"")</f>
        <v/>
      </c>
      <c r="L469" s="18" t="str">
        <f ca="1">IFERROR(__xludf.DUMMYFUNCTION("""COMPUTED_VALUE"""),"")</f>
        <v/>
      </c>
      <c r="M469" s="18" t="str">
        <f ca="1">IFERROR(__xludf.DUMMYFUNCTION("""COMPUTED_VALUE"""),"")</f>
        <v/>
      </c>
      <c r="N469" s="18" t="str">
        <f ca="1">IFERROR(__xludf.DUMMYFUNCTION("""COMPUTED_VALUE"""),"")</f>
        <v/>
      </c>
      <c r="O469" s="18" t="str">
        <f ca="1">IFERROR(__xludf.DUMMYFUNCTION("""COMPUTED_VALUE"""),"")</f>
        <v/>
      </c>
      <c r="P469" s="18" t="str">
        <f ca="1">IFERROR(__xludf.DUMMYFUNCTION("""COMPUTED_VALUE"""),"")</f>
        <v/>
      </c>
      <c r="Q469" s="18" t="str">
        <f ca="1">IFERROR(__xludf.DUMMYFUNCTION("""COMPUTED_VALUE"""),"")</f>
        <v/>
      </c>
      <c r="R469" s="18" t="str">
        <f ca="1">IFERROR(__xludf.DUMMYFUNCTION("""COMPUTED_VALUE"""),"")</f>
        <v/>
      </c>
      <c r="S469" s="18" t="str">
        <f ca="1">IFERROR(__xludf.DUMMYFUNCTION("""COMPUTED_VALUE"""),"")</f>
        <v/>
      </c>
      <c r="T469" s="18" t="str">
        <f ca="1">IFERROR(__xludf.DUMMYFUNCTION("""COMPUTED_VALUE"""),"")</f>
        <v/>
      </c>
      <c r="U469" s="18" t="str">
        <f ca="1">IFERROR(__xludf.DUMMYFUNCTION("""COMPUTED_VALUE"""),"")</f>
        <v/>
      </c>
      <c r="V469" s="18" t="str">
        <f ca="1">IFERROR(__xludf.DUMMYFUNCTION("""COMPUTED_VALUE"""),"")</f>
        <v/>
      </c>
      <c r="W469" s="18" t="str">
        <f ca="1">IFERROR(__xludf.DUMMYFUNCTION("""COMPUTED_VALUE"""),"")</f>
        <v/>
      </c>
      <c r="X469" s="18" t="str">
        <f ca="1">IFERROR(__xludf.DUMMYFUNCTION("""COMPUTED_VALUE"""),"")</f>
        <v/>
      </c>
      <c r="Y469" s="18" t="e">
        <f ca="1"/>
        <v>#NAME?</v>
      </c>
      <c r="Z469" s="18" t="str">
        <f ca="1">IFERROR(__xludf.DUMMYFUNCTION("""COMPUTED_VALUE"""),"")</f>
        <v/>
      </c>
      <c r="AA469" s="18" t="str">
        <f ca="1">IFERROR(__xludf.DUMMYFUNCTION("""COMPUTED_VALUE"""),"")</f>
        <v/>
      </c>
      <c r="AC469" s="59"/>
    </row>
    <row r="470" spans="1:29" x14ac:dyDescent="0.25">
      <c r="A470" s="18">
        <v>0</v>
      </c>
      <c r="B470" s="52" t="str">
        <f ca="1"/>
        <v/>
      </c>
      <c r="C470" s="52" t="str">
        <f ca="1">IFERROR(__xludf.DUMMYFUNCTION("""COMPUTED_VALUE"""),"")</f>
        <v/>
      </c>
      <c r="D470" s="18" t="str">
        <f ca="1">IFERROR(__xludf.DUMMYFUNCTION("""COMPUTED_VALUE"""),"")</f>
        <v/>
      </c>
      <c r="E470" s="18" t="str">
        <f ca="1">IFERROR(__xludf.DUMMYFUNCTION("""COMPUTED_VALUE"""),"")</f>
        <v/>
      </c>
      <c r="F470" s="18" t="str">
        <f ca="1">IFERROR(__xludf.DUMMYFUNCTION("""COMPUTED_VALUE"""),"")</f>
        <v/>
      </c>
      <c r="G470" s="18" t="str">
        <f ca="1">IFERROR(__xludf.DUMMYFUNCTION("""COMPUTED_VALUE"""),"")</f>
        <v/>
      </c>
      <c r="H470" s="18" t="str">
        <f ca="1">IFERROR(__xludf.DUMMYFUNCTION("""COMPUTED_VALUE"""),"")</f>
        <v/>
      </c>
      <c r="I470" s="18" t="str">
        <f ca="1">IFERROR(__xludf.DUMMYFUNCTION("""COMPUTED_VALUE"""),"")</f>
        <v/>
      </c>
      <c r="J470" s="18" t="str">
        <f ca="1">IFERROR(__xludf.DUMMYFUNCTION("""COMPUTED_VALUE"""),"")</f>
        <v/>
      </c>
      <c r="K470" s="18" t="str">
        <f ca="1">IFERROR(__xludf.DUMMYFUNCTION("""COMPUTED_VALUE"""),"")</f>
        <v/>
      </c>
      <c r="L470" s="18" t="str">
        <f ca="1">IFERROR(__xludf.DUMMYFUNCTION("""COMPUTED_VALUE"""),"")</f>
        <v/>
      </c>
      <c r="M470" s="18" t="str">
        <f ca="1">IFERROR(__xludf.DUMMYFUNCTION("""COMPUTED_VALUE"""),"")</f>
        <v/>
      </c>
      <c r="N470" s="18" t="str">
        <f ca="1">IFERROR(__xludf.DUMMYFUNCTION("""COMPUTED_VALUE"""),"")</f>
        <v/>
      </c>
      <c r="O470" s="18" t="str">
        <f ca="1">IFERROR(__xludf.DUMMYFUNCTION("""COMPUTED_VALUE"""),"")</f>
        <v/>
      </c>
      <c r="P470" s="18" t="str">
        <f ca="1">IFERROR(__xludf.DUMMYFUNCTION("""COMPUTED_VALUE"""),"")</f>
        <v/>
      </c>
      <c r="Q470" s="18" t="str">
        <f ca="1">IFERROR(__xludf.DUMMYFUNCTION("""COMPUTED_VALUE"""),"")</f>
        <v/>
      </c>
      <c r="R470" s="18" t="str">
        <f ca="1">IFERROR(__xludf.DUMMYFUNCTION("""COMPUTED_VALUE"""),"")</f>
        <v/>
      </c>
      <c r="S470" s="18" t="str">
        <f ca="1">IFERROR(__xludf.DUMMYFUNCTION("""COMPUTED_VALUE"""),"")</f>
        <v/>
      </c>
      <c r="T470" s="18" t="str">
        <f ca="1">IFERROR(__xludf.DUMMYFUNCTION("""COMPUTED_VALUE"""),"")</f>
        <v/>
      </c>
      <c r="U470" s="18" t="str">
        <f ca="1">IFERROR(__xludf.DUMMYFUNCTION("""COMPUTED_VALUE"""),"")</f>
        <v/>
      </c>
      <c r="V470" s="18" t="str">
        <f ca="1">IFERROR(__xludf.DUMMYFUNCTION("""COMPUTED_VALUE"""),"")</f>
        <v/>
      </c>
      <c r="W470" s="18" t="str">
        <f ca="1">IFERROR(__xludf.DUMMYFUNCTION("""COMPUTED_VALUE"""),"")</f>
        <v/>
      </c>
      <c r="X470" s="18" t="str">
        <f ca="1">IFERROR(__xludf.DUMMYFUNCTION("""COMPUTED_VALUE"""),"")</f>
        <v/>
      </c>
      <c r="Y470" s="18" t="e">
        <f ca="1"/>
        <v>#NAME?</v>
      </c>
      <c r="Z470" s="18" t="str">
        <f ca="1">IFERROR(__xludf.DUMMYFUNCTION("""COMPUTED_VALUE"""),"")</f>
        <v/>
      </c>
      <c r="AA470" s="18" t="str">
        <f ca="1">IFERROR(__xludf.DUMMYFUNCTION("""COMPUTED_VALUE"""),"")</f>
        <v/>
      </c>
      <c r="AC470" s="59"/>
    </row>
    <row r="471" spans="1:29" x14ac:dyDescent="0.25">
      <c r="A471" s="18">
        <v>0</v>
      </c>
      <c r="B471" s="52" t="str">
        <f ca="1"/>
        <v/>
      </c>
      <c r="C471" s="52" t="str">
        <f ca="1">IFERROR(__xludf.DUMMYFUNCTION("""COMPUTED_VALUE"""),"")</f>
        <v/>
      </c>
      <c r="D471" s="18" t="str">
        <f ca="1">IFERROR(__xludf.DUMMYFUNCTION("""COMPUTED_VALUE"""),"")</f>
        <v/>
      </c>
      <c r="E471" s="18" t="str">
        <f ca="1">IFERROR(__xludf.DUMMYFUNCTION("""COMPUTED_VALUE"""),"")</f>
        <v/>
      </c>
      <c r="F471" s="18" t="str">
        <f ca="1">IFERROR(__xludf.DUMMYFUNCTION("""COMPUTED_VALUE"""),"")</f>
        <v/>
      </c>
      <c r="G471" s="18" t="str">
        <f ca="1">IFERROR(__xludf.DUMMYFUNCTION("""COMPUTED_VALUE"""),"")</f>
        <v/>
      </c>
      <c r="H471" s="18" t="str">
        <f ca="1">IFERROR(__xludf.DUMMYFUNCTION("""COMPUTED_VALUE"""),"")</f>
        <v/>
      </c>
      <c r="I471" s="18" t="str">
        <f ca="1">IFERROR(__xludf.DUMMYFUNCTION("""COMPUTED_VALUE"""),"")</f>
        <v/>
      </c>
      <c r="J471" s="18" t="str">
        <f ca="1">IFERROR(__xludf.DUMMYFUNCTION("""COMPUTED_VALUE"""),"")</f>
        <v/>
      </c>
      <c r="K471" s="18" t="str">
        <f ca="1">IFERROR(__xludf.DUMMYFUNCTION("""COMPUTED_VALUE"""),"")</f>
        <v/>
      </c>
      <c r="L471" s="18" t="str">
        <f ca="1">IFERROR(__xludf.DUMMYFUNCTION("""COMPUTED_VALUE"""),"")</f>
        <v/>
      </c>
      <c r="M471" s="18" t="str">
        <f ca="1">IFERROR(__xludf.DUMMYFUNCTION("""COMPUTED_VALUE"""),"")</f>
        <v/>
      </c>
      <c r="N471" s="18" t="str">
        <f ca="1">IFERROR(__xludf.DUMMYFUNCTION("""COMPUTED_VALUE"""),"")</f>
        <v/>
      </c>
      <c r="O471" s="18" t="str">
        <f ca="1">IFERROR(__xludf.DUMMYFUNCTION("""COMPUTED_VALUE"""),"")</f>
        <v/>
      </c>
      <c r="P471" s="18" t="str">
        <f ca="1">IFERROR(__xludf.DUMMYFUNCTION("""COMPUTED_VALUE"""),"")</f>
        <v/>
      </c>
      <c r="Q471" s="18" t="str">
        <f ca="1">IFERROR(__xludf.DUMMYFUNCTION("""COMPUTED_VALUE"""),"")</f>
        <v/>
      </c>
      <c r="R471" s="18" t="str">
        <f ca="1">IFERROR(__xludf.DUMMYFUNCTION("""COMPUTED_VALUE"""),"")</f>
        <v/>
      </c>
      <c r="S471" s="18" t="str">
        <f ca="1">IFERROR(__xludf.DUMMYFUNCTION("""COMPUTED_VALUE"""),"")</f>
        <v/>
      </c>
      <c r="T471" s="18" t="str">
        <f ca="1">IFERROR(__xludf.DUMMYFUNCTION("""COMPUTED_VALUE"""),"")</f>
        <v/>
      </c>
      <c r="U471" s="18" t="str">
        <f ca="1">IFERROR(__xludf.DUMMYFUNCTION("""COMPUTED_VALUE"""),"")</f>
        <v/>
      </c>
      <c r="V471" s="18" t="str">
        <f ca="1">IFERROR(__xludf.DUMMYFUNCTION("""COMPUTED_VALUE"""),"")</f>
        <v/>
      </c>
      <c r="W471" s="18" t="str">
        <f ca="1">IFERROR(__xludf.DUMMYFUNCTION("""COMPUTED_VALUE"""),"")</f>
        <v/>
      </c>
      <c r="X471" s="18" t="str">
        <f ca="1">IFERROR(__xludf.DUMMYFUNCTION("""COMPUTED_VALUE"""),"")</f>
        <v/>
      </c>
      <c r="Y471" s="18" t="e">
        <f ca="1"/>
        <v>#NAME?</v>
      </c>
      <c r="Z471" s="18" t="str">
        <f ca="1">IFERROR(__xludf.DUMMYFUNCTION("""COMPUTED_VALUE"""),"")</f>
        <v/>
      </c>
      <c r="AA471" s="18" t="str">
        <f ca="1">IFERROR(__xludf.DUMMYFUNCTION("""COMPUTED_VALUE"""),"")</f>
        <v/>
      </c>
      <c r="AC471" s="59"/>
    </row>
    <row r="472" spans="1:29" x14ac:dyDescent="0.25">
      <c r="A472" s="18">
        <v>0</v>
      </c>
      <c r="B472" s="52" t="str">
        <f ca="1"/>
        <v/>
      </c>
      <c r="C472" s="52" t="str">
        <f ca="1">IFERROR(__xludf.DUMMYFUNCTION("""COMPUTED_VALUE"""),"")</f>
        <v/>
      </c>
      <c r="D472" s="18" t="str">
        <f ca="1">IFERROR(__xludf.DUMMYFUNCTION("""COMPUTED_VALUE"""),"")</f>
        <v/>
      </c>
      <c r="E472" s="18" t="str">
        <f ca="1">IFERROR(__xludf.DUMMYFUNCTION("""COMPUTED_VALUE"""),"")</f>
        <v/>
      </c>
      <c r="F472" s="18" t="str">
        <f ca="1">IFERROR(__xludf.DUMMYFUNCTION("""COMPUTED_VALUE"""),"")</f>
        <v/>
      </c>
      <c r="G472" s="18" t="str">
        <f ca="1">IFERROR(__xludf.DUMMYFUNCTION("""COMPUTED_VALUE"""),"")</f>
        <v/>
      </c>
      <c r="H472" s="18" t="str">
        <f ca="1">IFERROR(__xludf.DUMMYFUNCTION("""COMPUTED_VALUE"""),"")</f>
        <v/>
      </c>
      <c r="I472" s="18" t="str">
        <f ca="1">IFERROR(__xludf.DUMMYFUNCTION("""COMPUTED_VALUE"""),"")</f>
        <v/>
      </c>
      <c r="J472" s="18" t="str">
        <f ca="1">IFERROR(__xludf.DUMMYFUNCTION("""COMPUTED_VALUE"""),"")</f>
        <v/>
      </c>
      <c r="K472" s="18" t="str">
        <f ca="1">IFERROR(__xludf.DUMMYFUNCTION("""COMPUTED_VALUE"""),"")</f>
        <v/>
      </c>
      <c r="L472" s="18" t="str">
        <f ca="1">IFERROR(__xludf.DUMMYFUNCTION("""COMPUTED_VALUE"""),"")</f>
        <v/>
      </c>
      <c r="M472" s="18" t="str">
        <f ca="1">IFERROR(__xludf.DUMMYFUNCTION("""COMPUTED_VALUE"""),"")</f>
        <v/>
      </c>
      <c r="N472" s="18" t="str">
        <f ca="1">IFERROR(__xludf.DUMMYFUNCTION("""COMPUTED_VALUE"""),"")</f>
        <v/>
      </c>
      <c r="O472" s="18" t="str">
        <f ca="1">IFERROR(__xludf.DUMMYFUNCTION("""COMPUTED_VALUE"""),"")</f>
        <v/>
      </c>
      <c r="P472" s="18" t="str">
        <f ca="1">IFERROR(__xludf.DUMMYFUNCTION("""COMPUTED_VALUE"""),"")</f>
        <v/>
      </c>
      <c r="Q472" s="18" t="str">
        <f ca="1">IFERROR(__xludf.DUMMYFUNCTION("""COMPUTED_VALUE"""),"")</f>
        <v/>
      </c>
      <c r="R472" s="18" t="str">
        <f ca="1">IFERROR(__xludf.DUMMYFUNCTION("""COMPUTED_VALUE"""),"")</f>
        <v/>
      </c>
      <c r="S472" s="18" t="str">
        <f ca="1">IFERROR(__xludf.DUMMYFUNCTION("""COMPUTED_VALUE"""),"")</f>
        <v/>
      </c>
      <c r="T472" s="18" t="str">
        <f ca="1">IFERROR(__xludf.DUMMYFUNCTION("""COMPUTED_VALUE"""),"")</f>
        <v/>
      </c>
      <c r="U472" s="18" t="str">
        <f ca="1">IFERROR(__xludf.DUMMYFUNCTION("""COMPUTED_VALUE"""),"")</f>
        <v/>
      </c>
      <c r="V472" s="18" t="str">
        <f ca="1">IFERROR(__xludf.DUMMYFUNCTION("""COMPUTED_VALUE"""),"")</f>
        <v/>
      </c>
      <c r="W472" s="18" t="str">
        <f ca="1">IFERROR(__xludf.DUMMYFUNCTION("""COMPUTED_VALUE"""),"")</f>
        <v/>
      </c>
      <c r="X472" s="18" t="str">
        <f ca="1">IFERROR(__xludf.DUMMYFUNCTION("""COMPUTED_VALUE"""),"")</f>
        <v/>
      </c>
      <c r="Y472" s="18" t="e">
        <f ca="1"/>
        <v>#NAME?</v>
      </c>
      <c r="Z472" s="18" t="str">
        <f ca="1">IFERROR(__xludf.DUMMYFUNCTION("""COMPUTED_VALUE"""),"")</f>
        <v/>
      </c>
      <c r="AA472" s="18" t="str">
        <f ca="1">IFERROR(__xludf.DUMMYFUNCTION("""COMPUTED_VALUE"""),"")</f>
        <v/>
      </c>
      <c r="AC472" s="59"/>
    </row>
    <row r="473" spans="1:29" x14ac:dyDescent="0.25">
      <c r="A473" s="18">
        <v>0</v>
      </c>
      <c r="B473" s="52" t="str">
        <f ca="1"/>
        <v/>
      </c>
      <c r="C473" s="52" t="str">
        <f ca="1">IFERROR(__xludf.DUMMYFUNCTION("""COMPUTED_VALUE"""),"")</f>
        <v/>
      </c>
      <c r="D473" s="18" t="str">
        <f ca="1">IFERROR(__xludf.DUMMYFUNCTION("""COMPUTED_VALUE"""),"")</f>
        <v/>
      </c>
      <c r="E473" s="18" t="str">
        <f ca="1">IFERROR(__xludf.DUMMYFUNCTION("""COMPUTED_VALUE"""),"")</f>
        <v/>
      </c>
      <c r="F473" s="18" t="str">
        <f ca="1">IFERROR(__xludf.DUMMYFUNCTION("""COMPUTED_VALUE"""),"")</f>
        <v/>
      </c>
      <c r="G473" s="18" t="str">
        <f ca="1">IFERROR(__xludf.DUMMYFUNCTION("""COMPUTED_VALUE"""),"")</f>
        <v/>
      </c>
      <c r="H473" s="18" t="str">
        <f ca="1">IFERROR(__xludf.DUMMYFUNCTION("""COMPUTED_VALUE"""),"")</f>
        <v/>
      </c>
      <c r="I473" s="18" t="str">
        <f ca="1">IFERROR(__xludf.DUMMYFUNCTION("""COMPUTED_VALUE"""),"")</f>
        <v/>
      </c>
      <c r="J473" s="18" t="str">
        <f ca="1">IFERROR(__xludf.DUMMYFUNCTION("""COMPUTED_VALUE"""),"")</f>
        <v/>
      </c>
      <c r="K473" s="18" t="str">
        <f ca="1">IFERROR(__xludf.DUMMYFUNCTION("""COMPUTED_VALUE"""),"")</f>
        <v/>
      </c>
      <c r="L473" s="18" t="str">
        <f ca="1">IFERROR(__xludf.DUMMYFUNCTION("""COMPUTED_VALUE"""),"")</f>
        <v/>
      </c>
      <c r="M473" s="18" t="str">
        <f ca="1">IFERROR(__xludf.DUMMYFUNCTION("""COMPUTED_VALUE"""),"")</f>
        <v/>
      </c>
      <c r="N473" s="18" t="str">
        <f ca="1">IFERROR(__xludf.DUMMYFUNCTION("""COMPUTED_VALUE"""),"")</f>
        <v/>
      </c>
      <c r="O473" s="18" t="str">
        <f ca="1">IFERROR(__xludf.DUMMYFUNCTION("""COMPUTED_VALUE"""),"")</f>
        <v/>
      </c>
      <c r="P473" s="18" t="str">
        <f ca="1">IFERROR(__xludf.DUMMYFUNCTION("""COMPUTED_VALUE"""),"")</f>
        <v/>
      </c>
      <c r="Q473" s="18" t="str">
        <f ca="1">IFERROR(__xludf.DUMMYFUNCTION("""COMPUTED_VALUE"""),"")</f>
        <v/>
      </c>
      <c r="R473" s="18" t="str">
        <f ca="1">IFERROR(__xludf.DUMMYFUNCTION("""COMPUTED_VALUE"""),"")</f>
        <v/>
      </c>
      <c r="S473" s="18" t="str">
        <f ca="1">IFERROR(__xludf.DUMMYFUNCTION("""COMPUTED_VALUE"""),"")</f>
        <v/>
      </c>
      <c r="T473" s="18" t="str">
        <f ca="1">IFERROR(__xludf.DUMMYFUNCTION("""COMPUTED_VALUE"""),"")</f>
        <v/>
      </c>
      <c r="U473" s="18" t="str">
        <f ca="1">IFERROR(__xludf.DUMMYFUNCTION("""COMPUTED_VALUE"""),"")</f>
        <v/>
      </c>
      <c r="V473" s="18" t="str">
        <f ca="1">IFERROR(__xludf.DUMMYFUNCTION("""COMPUTED_VALUE"""),"")</f>
        <v/>
      </c>
      <c r="W473" s="18" t="str">
        <f ca="1">IFERROR(__xludf.DUMMYFUNCTION("""COMPUTED_VALUE"""),"")</f>
        <v/>
      </c>
      <c r="X473" s="18" t="str">
        <f ca="1">IFERROR(__xludf.DUMMYFUNCTION("""COMPUTED_VALUE"""),"")</f>
        <v/>
      </c>
      <c r="Y473" s="18" t="e">
        <f ca="1"/>
        <v>#NAME?</v>
      </c>
      <c r="Z473" s="18" t="str">
        <f ca="1">IFERROR(__xludf.DUMMYFUNCTION("""COMPUTED_VALUE"""),"")</f>
        <v/>
      </c>
      <c r="AA473" s="18" t="str">
        <f ca="1">IFERROR(__xludf.DUMMYFUNCTION("""COMPUTED_VALUE"""),"")</f>
        <v/>
      </c>
      <c r="AC473" s="59"/>
    </row>
    <row r="474" spans="1:29" x14ac:dyDescent="0.25">
      <c r="A474" s="18">
        <v>0</v>
      </c>
      <c r="B474" s="52" t="str">
        <f ca="1"/>
        <v/>
      </c>
      <c r="C474" s="52" t="str">
        <f ca="1">IFERROR(__xludf.DUMMYFUNCTION("""COMPUTED_VALUE"""),"")</f>
        <v/>
      </c>
      <c r="D474" s="18" t="str">
        <f ca="1">IFERROR(__xludf.DUMMYFUNCTION("""COMPUTED_VALUE"""),"")</f>
        <v/>
      </c>
      <c r="E474" s="18" t="str">
        <f ca="1">IFERROR(__xludf.DUMMYFUNCTION("""COMPUTED_VALUE"""),"")</f>
        <v/>
      </c>
      <c r="F474" s="18" t="str">
        <f ca="1">IFERROR(__xludf.DUMMYFUNCTION("""COMPUTED_VALUE"""),"")</f>
        <v/>
      </c>
      <c r="G474" s="18" t="str">
        <f ca="1">IFERROR(__xludf.DUMMYFUNCTION("""COMPUTED_VALUE"""),"")</f>
        <v/>
      </c>
      <c r="H474" s="18" t="str">
        <f ca="1">IFERROR(__xludf.DUMMYFUNCTION("""COMPUTED_VALUE"""),"")</f>
        <v/>
      </c>
      <c r="I474" s="18" t="str">
        <f ca="1">IFERROR(__xludf.DUMMYFUNCTION("""COMPUTED_VALUE"""),"")</f>
        <v/>
      </c>
      <c r="J474" s="18" t="str">
        <f ca="1">IFERROR(__xludf.DUMMYFUNCTION("""COMPUTED_VALUE"""),"")</f>
        <v/>
      </c>
      <c r="K474" s="18" t="str">
        <f ca="1">IFERROR(__xludf.DUMMYFUNCTION("""COMPUTED_VALUE"""),"")</f>
        <v/>
      </c>
      <c r="L474" s="18" t="str">
        <f ca="1">IFERROR(__xludf.DUMMYFUNCTION("""COMPUTED_VALUE"""),"")</f>
        <v/>
      </c>
      <c r="M474" s="18" t="str">
        <f ca="1">IFERROR(__xludf.DUMMYFUNCTION("""COMPUTED_VALUE"""),"")</f>
        <v/>
      </c>
      <c r="N474" s="18" t="str">
        <f ca="1">IFERROR(__xludf.DUMMYFUNCTION("""COMPUTED_VALUE"""),"")</f>
        <v/>
      </c>
      <c r="O474" s="18" t="str">
        <f ca="1">IFERROR(__xludf.DUMMYFUNCTION("""COMPUTED_VALUE"""),"")</f>
        <v/>
      </c>
      <c r="P474" s="18" t="str">
        <f ca="1">IFERROR(__xludf.DUMMYFUNCTION("""COMPUTED_VALUE"""),"")</f>
        <v/>
      </c>
      <c r="Q474" s="18" t="str">
        <f ca="1">IFERROR(__xludf.DUMMYFUNCTION("""COMPUTED_VALUE"""),"")</f>
        <v/>
      </c>
      <c r="R474" s="18" t="str">
        <f ca="1">IFERROR(__xludf.DUMMYFUNCTION("""COMPUTED_VALUE"""),"")</f>
        <v/>
      </c>
      <c r="S474" s="18" t="str">
        <f ca="1">IFERROR(__xludf.DUMMYFUNCTION("""COMPUTED_VALUE"""),"")</f>
        <v/>
      </c>
      <c r="T474" s="18" t="str">
        <f ca="1">IFERROR(__xludf.DUMMYFUNCTION("""COMPUTED_VALUE"""),"")</f>
        <v/>
      </c>
      <c r="U474" s="18" t="str">
        <f ca="1">IFERROR(__xludf.DUMMYFUNCTION("""COMPUTED_VALUE"""),"")</f>
        <v/>
      </c>
      <c r="V474" s="18" t="str">
        <f ca="1">IFERROR(__xludf.DUMMYFUNCTION("""COMPUTED_VALUE"""),"")</f>
        <v/>
      </c>
      <c r="W474" s="18" t="str">
        <f ca="1">IFERROR(__xludf.DUMMYFUNCTION("""COMPUTED_VALUE"""),"")</f>
        <v/>
      </c>
      <c r="X474" s="18" t="str">
        <f ca="1">IFERROR(__xludf.DUMMYFUNCTION("""COMPUTED_VALUE"""),"")</f>
        <v/>
      </c>
      <c r="Y474" s="18" t="e">
        <f ca="1"/>
        <v>#NAME?</v>
      </c>
      <c r="Z474" s="18" t="str">
        <f ca="1">IFERROR(__xludf.DUMMYFUNCTION("""COMPUTED_VALUE"""),"")</f>
        <v/>
      </c>
      <c r="AA474" s="18" t="str">
        <f ca="1">IFERROR(__xludf.DUMMYFUNCTION("""COMPUTED_VALUE"""),"")</f>
        <v/>
      </c>
      <c r="AC474" s="59"/>
    </row>
    <row r="475" spans="1:29" x14ac:dyDescent="0.25">
      <c r="A475" s="18">
        <v>0</v>
      </c>
      <c r="B475" s="52" t="str">
        <f ca="1"/>
        <v/>
      </c>
      <c r="C475" s="52" t="str">
        <f ca="1">IFERROR(__xludf.DUMMYFUNCTION("""COMPUTED_VALUE"""),"")</f>
        <v/>
      </c>
      <c r="D475" s="18" t="str">
        <f ca="1">IFERROR(__xludf.DUMMYFUNCTION("""COMPUTED_VALUE"""),"")</f>
        <v/>
      </c>
      <c r="E475" s="18" t="str">
        <f ca="1">IFERROR(__xludf.DUMMYFUNCTION("""COMPUTED_VALUE"""),"")</f>
        <v/>
      </c>
      <c r="F475" s="18" t="str">
        <f ca="1">IFERROR(__xludf.DUMMYFUNCTION("""COMPUTED_VALUE"""),"")</f>
        <v/>
      </c>
      <c r="G475" s="18" t="str">
        <f ca="1">IFERROR(__xludf.DUMMYFUNCTION("""COMPUTED_VALUE"""),"")</f>
        <v/>
      </c>
      <c r="H475" s="18" t="str">
        <f ca="1">IFERROR(__xludf.DUMMYFUNCTION("""COMPUTED_VALUE"""),"")</f>
        <v/>
      </c>
      <c r="I475" s="18" t="str">
        <f ca="1">IFERROR(__xludf.DUMMYFUNCTION("""COMPUTED_VALUE"""),"")</f>
        <v/>
      </c>
      <c r="J475" s="18" t="str">
        <f ca="1">IFERROR(__xludf.DUMMYFUNCTION("""COMPUTED_VALUE"""),"")</f>
        <v/>
      </c>
      <c r="K475" s="18" t="str">
        <f ca="1">IFERROR(__xludf.DUMMYFUNCTION("""COMPUTED_VALUE"""),"")</f>
        <v/>
      </c>
      <c r="L475" s="18" t="str">
        <f ca="1">IFERROR(__xludf.DUMMYFUNCTION("""COMPUTED_VALUE"""),"")</f>
        <v/>
      </c>
      <c r="M475" s="18" t="str">
        <f ca="1">IFERROR(__xludf.DUMMYFUNCTION("""COMPUTED_VALUE"""),"")</f>
        <v/>
      </c>
      <c r="N475" s="18" t="str">
        <f ca="1">IFERROR(__xludf.DUMMYFUNCTION("""COMPUTED_VALUE"""),"")</f>
        <v/>
      </c>
      <c r="O475" s="18" t="str">
        <f ca="1">IFERROR(__xludf.DUMMYFUNCTION("""COMPUTED_VALUE"""),"")</f>
        <v/>
      </c>
      <c r="P475" s="18" t="str">
        <f ca="1">IFERROR(__xludf.DUMMYFUNCTION("""COMPUTED_VALUE"""),"")</f>
        <v/>
      </c>
      <c r="Q475" s="18" t="str">
        <f ca="1">IFERROR(__xludf.DUMMYFUNCTION("""COMPUTED_VALUE"""),"")</f>
        <v/>
      </c>
      <c r="R475" s="18" t="str">
        <f ca="1">IFERROR(__xludf.DUMMYFUNCTION("""COMPUTED_VALUE"""),"")</f>
        <v/>
      </c>
      <c r="S475" s="18" t="str">
        <f ca="1">IFERROR(__xludf.DUMMYFUNCTION("""COMPUTED_VALUE"""),"")</f>
        <v/>
      </c>
      <c r="T475" s="18" t="str">
        <f ca="1">IFERROR(__xludf.DUMMYFUNCTION("""COMPUTED_VALUE"""),"")</f>
        <v/>
      </c>
      <c r="U475" s="18" t="str">
        <f ca="1">IFERROR(__xludf.DUMMYFUNCTION("""COMPUTED_VALUE"""),"")</f>
        <v/>
      </c>
      <c r="V475" s="18" t="str">
        <f ca="1">IFERROR(__xludf.DUMMYFUNCTION("""COMPUTED_VALUE"""),"")</f>
        <v/>
      </c>
      <c r="W475" s="18" t="str">
        <f ca="1">IFERROR(__xludf.DUMMYFUNCTION("""COMPUTED_VALUE"""),"")</f>
        <v/>
      </c>
      <c r="X475" s="18" t="str">
        <f ca="1">IFERROR(__xludf.DUMMYFUNCTION("""COMPUTED_VALUE"""),"")</f>
        <v/>
      </c>
      <c r="Y475" s="18" t="e">
        <f ca="1"/>
        <v>#NAME?</v>
      </c>
      <c r="Z475" s="18" t="str">
        <f ca="1">IFERROR(__xludf.DUMMYFUNCTION("""COMPUTED_VALUE"""),"")</f>
        <v/>
      </c>
      <c r="AA475" s="18" t="str">
        <f ca="1">IFERROR(__xludf.DUMMYFUNCTION("""COMPUTED_VALUE"""),"")</f>
        <v/>
      </c>
      <c r="AC475" s="59"/>
    </row>
    <row r="476" spans="1:29" x14ac:dyDescent="0.25">
      <c r="A476" s="18">
        <v>0</v>
      </c>
      <c r="B476" s="52" t="str">
        <f ca="1"/>
        <v/>
      </c>
      <c r="C476" s="52" t="str">
        <f ca="1">IFERROR(__xludf.DUMMYFUNCTION("""COMPUTED_VALUE"""),"")</f>
        <v/>
      </c>
      <c r="D476" s="18" t="str">
        <f ca="1">IFERROR(__xludf.DUMMYFUNCTION("""COMPUTED_VALUE"""),"")</f>
        <v/>
      </c>
      <c r="E476" s="18" t="str">
        <f ca="1">IFERROR(__xludf.DUMMYFUNCTION("""COMPUTED_VALUE"""),"")</f>
        <v/>
      </c>
      <c r="F476" s="18" t="str">
        <f ca="1">IFERROR(__xludf.DUMMYFUNCTION("""COMPUTED_VALUE"""),"")</f>
        <v/>
      </c>
      <c r="G476" s="18" t="str">
        <f ca="1">IFERROR(__xludf.DUMMYFUNCTION("""COMPUTED_VALUE"""),"")</f>
        <v/>
      </c>
      <c r="H476" s="18" t="str">
        <f ca="1">IFERROR(__xludf.DUMMYFUNCTION("""COMPUTED_VALUE"""),"")</f>
        <v/>
      </c>
      <c r="I476" s="18" t="str">
        <f ca="1">IFERROR(__xludf.DUMMYFUNCTION("""COMPUTED_VALUE"""),"")</f>
        <v/>
      </c>
      <c r="J476" s="18" t="str">
        <f ca="1">IFERROR(__xludf.DUMMYFUNCTION("""COMPUTED_VALUE"""),"")</f>
        <v/>
      </c>
      <c r="K476" s="18" t="str">
        <f ca="1">IFERROR(__xludf.DUMMYFUNCTION("""COMPUTED_VALUE"""),"")</f>
        <v/>
      </c>
      <c r="L476" s="18" t="str">
        <f ca="1">IFERROR(__xludf.DUMMYFUNCTION("""COMPUTED_VALUE"""),"")</f>
        <v/>
      </c>
      <c r="M476" s="18" t="str">
        <f ca="1">IFERROR(__xludf.DUMMYFUNCTION("""COMPUTED_VALUE"""),"")</f>
        <v/>
      </c>
      <c r="N476" s="18" t="str">
        <f ca="1">IFERROR(__xludf.DUMMYFUNCTION("""COMPUTED_VALUE"""),"")</f>
        <v/>
      </c>
      <c r="O476" s="18" t="str">
        <f ca="1">IFERROR(__xludf.DUMMYFUNCTION("""COMPUTED_VALUE"""),"")</f>
        <v/>
      </c>
      <c r="P476" s="18" t="str">
        <f ca="1">IFERROR(__xludf.DUMMYFUNCTION("""COMPUTED_VALUE"""),"")</f>
        <v/>
      </c>
      <c r="Q476" s="18" t="str">
        <f ca="1">IFERROR(__xludf.DUMMYFUNCTION("""COMPUTED_VALUE"""),"")</f>
        <v/>
      </c>
      <c r="R476" s="18" t="str">
        <f ca="1">IFERROR(__xludf.DUMMYFUNCTION("""COMPUTED_VALUE"""),"")</f>
        <v/>
      </c>
      <c r="S476" s="18" t="str">
        <f ca="1">IFERROR(__xludf.DUMMYFUNCTION("""COMPUTED_VALUE"""),"")</f>
        <v/>
      </c>
      <c r="T476" s="18" t="str">
        <f ca="1">IFERROR(__xludf.DUMMYFUNCTION("""COMPUTED_VALUE"""),"")</f>
        <v/>
      </c>
      <c r="U476" s="18" t="str">
        <f ca="1">IFERROR(__xludf.DUMMYFUNCTION("""COMPUTED_VALUE"""),"")</f>
        <v/>
      </c>
      <c r="V476" s="18" t="str">
        <f ca="1">IFERROR(__xludf.DUMMYFUNCTION("""COMPUTED_VALUE"""),"")</f>
        <v/>
      </c>
      <c r="W476" s="18" t="str">
        <f ca="1">IFERROR(__xludf.DUMMYFUNCTION("""COMPUTED_VALUE"""),"")</f>
        <v/>
      </c>
      <c r="X476" s="18" t="str">
        <f ca="1">IFERROR(__xludf.DUMMYFUNCTION("""COMPUTED_VALUE"""),"")</f>
        <v/>
      </c>
      <c r="Y476" s="18" t="e">
        <f ca="1"/>
        <v>#NAME?</v>
      </c>
      <c r="Z476" s="18" t="str">
        <f ca="1">IFERROR(__xludf.DUMMYFUNCTION("""COMPUTED_VALUE"""),"")</f>
        <v/>
      </c>
      <c r="AA476" s="18" t="str">
        <f ca="1">IFERROR(__xludf.DUMMYFUNCTION("""COMPUTED_VALUE"""),"")</f>
        <v/>
      </c>
      <c r="AC476" s="59"/>
    </row>
    <row r="477" spans="1:29" x14ac:dyDescent="0.25">
      <c r="A477" s="18">
        <v>0</v>
      </c>
      <c r="B477" s="52" t="str">
        <f ca="1"/>
        <v/>
      </c>
      <c r="C477" s="52" t="str">
        <f ca="1">IFERROR(__xludf.DUMMYFUNCTION("""COMPUTED_VALUE"""),"")</f>
        <v/>
      </c>
      <c r="D477" s="18" t="str">
        <f ca="1">IFERROR(__xludf.DUMMYFUNCTION("""COMPUTED_VALUE"""),"")</f>
        <v/>
      </c>
      <c r="E477" s="18" t="str">
        <f ca="1">IFERROR(__xludf.DUMMYFUNCTION("""COMPUTED_VALUE"""),"")</f>
        <v/>
      </c>
      <c r="F477" s="18" t="str">
        <f ca="1">IFERROR(__xludf.DUMMYFUNCTION("""COMPUTED_VALUE"""),"")</f>
        <v/>
      </c>
      <c r="G477" s="18" t="str">
        <f ca="1">IFERROR(__xludf.DUMMYFUNCTION("""COMPUTED_VALUE"""),"")</f>
        <v/>
      </c>
      <c r="H477" s="18" t="str">
        <f ca="1">IFERROR(__xludf.DUMMYFUNCTION("""COMPUTED_VALUE"""),"")</f>
        <v/>
      </c>
      <c r="I477" s="18" t="str">
        <f ca="1">IFERROR(__xludf.DUMMYFUNCTION("""COMPUTED_VALUE"""),"")</f>
        <v/>
      </c>
      <c r="J477" s="18" t="str">
        <f ca="1">IFERROR(__xludf.DUMMYFUNCTION("""COMPUTED_VALUE"""),"")</f>
        <v/>
      </c>
      <c r="K477" s="18" t="str">
        <f ca="1">IFERROR(__xludf.DUMMYFUNCTION("""COMPUTED_VALUE"""),"")</f>
        <v/>
      </c>
      <c r="L477" s="18" t="str">
        <f ca="1">IFERROR(__xludf.DUMMYFUNCTION("""COMPUTED_VALUE"""),"")</f>
        <v/>
      </c>
      <c r="M477" s="18" t="str">
        <f ca="1">IFERROR(__xludf.DUMMYFUNCTION("""COMPUTED_VALUE"""),"")</f>
        <v/>
      </c>
      <c r="N477" s="18" t="str">
        <f ca="1">IFERROR(__xludf.DUMMYFUNCTION("""COMPUTED_VALUE"""),"")</f>
        <v/>
      </c>
      <c r="O477" s="18" t="str">
        <f ca="1">IFERROR(__xludf.DUMMYFUNCTION("""COMPUTED_VALUE"""),"")</f>
        <v/>
      </c>
      <c r="P477" s="18" t="str">
        <f ca="1">IFERROR(__xludf.DUMMYFUNCTION("""COMPUTED_VALUE"""),"")</f>
        <v/>
      </c>
      <c r="Q477" s="18" t="str">
        <f ca="1">IFERROR(__xludf.DUMMYFUNCTION("""COMPUTED_VALUE"""),"")</f>
        <v/>
      </c>
      <c r="R477" s="18" t="str">
        <f ca="1">IFERROR(__xludf.DUMMYFUNCTION("""COMPUTED_VALUE"""),"")</f>
        <v/>
      </c>
      <c r="S477" s="18" t="str">
        <f ca="1">IFERROR(__xludf.DUMMYFUNCTION("""COMPUTED_VALUE"""),"")</f>
        <v/>
      </c>
      <c r="T477" s="18" t="str">
        <f ca="1">IFERROR(__xludf.DUMMYFUNCTION("""COMPUTED_VALUE"""),"")</f>
        <v/>
      </c>
      <c r="U477" s="18" t="str">
        <f ca="1">IFERROR(__xludf.DUMMYFUNCTION("""COMPUTED_VALUE"""),"")</f>
        <v/>
      </c>
      <c r="V477" s="18" t="str">
        <f ca="1">IFERROR(__xludf.DUMMYFUNCTION("""COMPUTED_VALUE"""),"")</f>
        <v/>
      </c>
      <c r="W477" s="18" t="str">
        <f ca="1">IFERROR(__xludf.DUMMYFUNCTION("""COMPUTED_VALUE"""),"")</f>
        <v/>
      </c>
      <c r="X477" s="18" t="str">
        <f ca="1">IFERROR(__xludf.DUMMYFUNCTION("""COMPUTED_VALUE"""),"")</f>
        <v/>
      </c>
      <c r="Y477" s="18" t="e">
        <f ca="1"/>
        <v>#NAME?</v>
      </c>
      <c r="Z477" s="18" t="str">
        <f ca="1">IFERROR(__xludf.DUMMYFUNCTION("""COMPUTED_VALUE"""),"")</f>
        <v/>
      </c>
      <c r="AA477" s="18" t="str">
        <f ca="1">IFERROR(__xludf.DUMMYFUNCTION("""COMPUTED_VALUE"""),"")</f>
        <v/>
      </c>
      <c r="AC477" s="59"/>
    </row>
    <row r="478" spans="1:29" x14ac:dyDescent="0.25">
      <c r="A478" s="18">
        <v>0</v>
      </c>
      <c r="B478" s="52" t="str">
        <f ca="1"/>
        <v/>
      </c>
      <c r="C478" s="52" t="str">
        <f ca="1">IFERROR(__xludf.DUMMYFUNCTION("""COMPUTED_VALUE"""),"")</f>
        <v/>
      </c>
      <c r="D478" s="18" t="str">
        <f ca="1">IFERROR(__xludf.DUMMYFUNCTION("""COMPUTED_VALUE"""),"")</f>
        <v/>
      </c>
      <c r="E478" s="18" t="str">
        <f ca="1">IFERROR(__xludf.DUMMYFUNCTION("""COMPUTED_VALUE"""),"")</f>
        <v/>
      </c>
      <c r="F478" s="18" t="str">
        <f ca="1">IFERROR(__xludf.DUMMYFUNCTION("""COMPUTED_VALUE"""),"")</f>
        <v/>
      </c>
      <c r="G478" s="18" t="str">
        <f ca="1">IFERROR(__xludf.DUMMYFUNCTION("""COMPUTED_VALUE"""),"")</f>
        <v/>
      </c>
      <c r="H478" s="18" t="str">
        <f ca="1">IFERROR(__xludf.DUMMYFUNCTION("""COMPUTED_VALUE"""),"")</f>
        <v/>
      </c>
      <c r="I478" s="18" t="str">
        <f ca="1">IFERROR(__xludf.DUMMYFUNCTION("""COMPUTED_VALUE"""),"")</f>
        <v/>
      </c>
      <c r="J478" s="18" t="str">
        <f ca="1">IFERROR(__xludf.DUMMYFUNCTION("""COMPUTED_VALUE"""),"")</f>
        <v/>
      </c>
      <c r="K478" s="18" t="str">
        <f ca="1">IFERROR(__xludf.DUMMYFUNCTION("""COMPUTED_VALUE"""),"")</f>
        <v/>
      </c>
      <c r="L478" s="18" t="str">
        <f ca="1">IFERROR(__xludf.DUMMYFUNCTION("""COMPUTED_VALUE"""),"")</f>
        <v/>
      </c>
      <c r="M478" s="18" t="str">
        <f ca="1">IFERROR(__xludf.DUMMYFUNCTION("""COMPUTED_VALUE"""),"")</f>
        <v/>
      </c>
      <c r="N478" s="18" t="str">
        <f ca="1">IFERROR(__xludf.DUMMYFUNCTION("""COMPUTED_VALUE"""),"")</f>
        <v/>
      </c>
      <c r="O478" s="18" t="str">
        <f ca="1">IFERROR(__xludf.DUMMYFUNCTION("""COMPUTED_VALUE"""),"")</f>
        <v/>
      </c>
      <c r="P478" s="18" t="str">
        <f ca="1">IFERROR(__xludf.DUMMYFUNCTION("""COMPUTED_VALUE"""),"")</f>
        <v/>
      </c>
      <c r="Q478" s="18" t="str">
        <f ca="1">IFERROR(__xludf.DUMMYFUNCTION("""COMPUTED_VALUE"""),"")</f>
        <v/>
      </c>
      <c r="R478" s="18" t="str">
        <f ca="1">IFERROR(__xludf.DUMMYFUNCTION("""COMPUTED_VALUE"""),"")</f>
        <v/>
      </c>
      <c r="S478" s="18" t="str">
        <f ca="1">IFERROR(__xludf.DUMMYFUNCTION("""COMPUTED_VALUE"""),"")</f>
        <v/>
      </c>
      <c r="T478" s="18" t="str">
        <f ca="1">IFERROR(__xludf.DUMMYFUNCTION("""COMPUTED_VALUE"""),"")</f>
        <v/>
      </c>
      <c r="U478" s="18" t="str">
        <f ca="1">IFERROR(__xludf.DUMMYFUNCTION("""COMPUTED_VALUE"""),"")</f>
        <v/>
      </c>
      <c r="V478" s="18" t="str">
        <f ca="1">IFERROR(__xludf.DUMMYFUNCTION("""COMPUTED_VALUE"""),"")</f>
        <v/>
      </c>
      <c r="W478" s="18" t="str">
        <f ca="1">IFERROR(__xludf.DUMMYFUNCTION("""COMPUTED_VALUE"""),"")</f>
        <v/>
      </c>
      <c r="X478" s="18" t="str">
        <f ca="1">IFERROR(__xludf.DUMMYFUNCTION("""COMPUTED_VALUE"""),"")</f>
        <v/>
      </c>
      <c r="Y478" s="18" t="e">
        <f ca="1"/>
        <v>#NAME?</v>
      </c>
      <c r="Z478" s="18" t="str">
        <f ca="1">IFERROR(__xludf.DUMMYFUNCTION("""COMPUTED_VALUE"""),"")</f>
        <v/>
      </c>
      <c r="AA478" s="18" t="str">
        <f ca="1">IFERROR(__xludf.DUMMYFUNCTION("""COMPUTED_VALUE"""),"")</f>
        <v/>
      </c>
      <c r="AC478" s="59"/>
    </row>
    <row r="479" spans="1:29" x14ac:dyDescent="0.25">
      <c r="A479" s="18">
        <v>0</v>
      </c>
      <c r="B479" s="52" t="str">
        <f ca="1"/>
        <v/>
      </c>
      <c r="C479" s="52" t="str">
        <f ca="1">IFERROR(__xludf.DUMMYFUNCTION("""COMPUTED_VALUE"""),"")</f>
        <v/>
      </c>
      <c r="D479" s="18" t="str">
        <f ca="1">IFERROR(__xludf.DUMMYFUNCTION("""COMPUTED_VALUE"""),"")</f>
        <v/>
      </c>
      <c r="E479" s="18" t="str">
        <f ca="1">IFERROR(__xludf.DUMMYFUNCTION("""COMPUTED_VALUE"""),"")</f>
        <v/>
      </c>
      <c r="F479" s="18" t="str">
        <f ca="1">IFERROR(__xludf.DUMMYFUNCTION("""COMPUTED_VALUE"""),"")</f>
        <v/>
      </c>
      <c r="G479" s="18" t="str">
        <f ca="1">IFERROR(__xludf.DUMMYFUNCTION("""COMPUTED_VALUE"""),"")</f>
        <v/>
      </c>
      <c r="H479" s="18" t="str">
        <f ca="1">IFERROR(__xludf.DUMMYFUNCTION("""COMPUTED_VALUE"""),"")</f>
        <v/>
      </c>
      <c r="I479" s="18" t="str">
        <f ca="1">IFERROR(__xludf.DUMMYFUNCTION("""COMPUTED_VALUE"""),"")</f>
        <v/>
      </c>
      <c r="J479" s="18" t="str">
        <f ca="1">IFERROR(__xludf.DUMMYFUNCTION("""COMPUTED_VALUE"""),"")</f>
        <v/>
      </c>
      <c r="K479" s="18" t="str">
        <f ca="1">IFERROR(__xludf.DUMMYFUNCTION("""COMPUTED_VALUE"""),"")</f>
        <v/>
      </c>
      <c r="L479" s="18" t="str">
        <f ca="1">IFERROR(__xludf.DUMMYFUNCTION("""COMPUTED_VALUE"""),"")</f>
        <v/>
      </c>
      <c r="M479" s="18" t="str">
        <f ca="1">IFERROR(__xludf.DUMMYFUNCTION("""COMPUTED_VALUE"""),"")</f>
        <v/>
      </c>
      <c r="N479" s="18" t="str">
        <f ca="1">IFERROR(__xludf.DUMMYFUNCTION("""COMPUTED_VALUE"""),"")</f>
        <v/>
      </c>
      <c r="O479" s="18" t="str">
        <f ca="1">IFERROR(__xludf.DUMMYFUNCTION("""COMPUTED_VALUE"""),"")</f>
        <v/>
      </c>
      <c r="P479" s="18" t="str">
        <f ca="1">IFERROR(__xludf.DUMMYFUNCTION("""COMPUTED_VALUE"""),"")</f>
        <v/>
      </c>
      <c r="Q479" s="18" t="str">
        <f ca="1">IFERROR(__xludf.DUMMYFUNCTION("""COMPUTED_VALUE"""),"")</f>
        <v/>
      </c>
      <c r="R479" s="18" t="str">
        <f ca="1">IFERROR(__xludf.DUMMYFUNCTION("""COMPUTED_VALUE"""),"")</f>
        <v/>
      </c>
      <c r="S479" s="18" t="str">
        <f ca="1">IFERROR(__xludf.DUMMYFUNCTION("""COMPUTED_VALUE"""),"")</f>
        <v/>
      </c>
      <c r="T479" s="18" t="str">
        <f ca="1">IFERROR(__xludf.DUMMYFUNCTION("""COMPUTED_VALUE"""),"")</f>
        <v/>
      </c>
      <c r="U479" s="18" t="str">
        <f ca="1">IFERROR(__xludf.DUMMYFUNCTION("""COMPUTED_VALUE"""),"")</f>
        <v/>
      </c>
      <c r="V479" s="18" t="str">
        <f ca="1">IFERROR(__xludf.DUMMYFUNCTION("""COMPUTED_VALUE"""),"")</f>
        <v/>
      </c>
      <c r="W479" s="18" t="str">
        <f ca="1">IFERROR(__xludf.DUMMYFUNCTION("""COMPUTED_VALUE"""),"")</f>
        <v/>
      </c>
      <c r="X479" s="18" t="str">
        <f ca="1">IFERROR(__xludf.DUMMYFUNCTION("""COMPUTED_VALUE"""),"")</f>
        <v/>
      </c>
      <c r="Y479" s="18" t="e">
        <f ca="1"/>
        <v>#NAME?</v>
      </c>
      <c r="Z479" s="18" t="str">
        <f ca="1">IFERROR(__xludf.DUMMYFUNCTION("""COMPUTED_VALUE"""),"")</f>
        <v/>
      </c>
      <c r="AA479" s="18" t="str">
        <f ca="1">IFERROR(__xludf.DUMMYFUNCTION("""COMPUTED_VALUE"""),"")</f>
        <v/>
      </c>
      <c r="AC479" s="59"/>
    </row>
    <row r="480" spans="1:29" x14ac:dyDescent="0.25">
      <c r="A480" s="18">
        <v>0</v>
      </c>
      <c r="B480" s="52" t="str">
        <f ca="1"/>
        <v/>
      </c>
      <c r="C480" s="52" t="str">
        <f ca="1">IFERROR(__xludf.DUMMYFUNCTION("""COMPUTED_VALUE"""),"")</f>
        <v/>
      </c>
      <c r="D480" s="18" t="str">
        <f ca="1">IFERROR(__xludf.DUMMYFUNCTION("""COMPUTED_VALUE"""),"")</f>
        <v/>
      </c>
      <c r="E480" s="18" t="str">
        <f ca="1">IFERROR(__xludf.DUMMYFUNCTION("""COMPUTED_VALUE"""),"")</f>
        <v/>
      </c>
      <c r="F480" s="18" t="str">
        <f ca="1">IFERROR(__xludf.DUMMYFUNCTION("""COMPUTED_VALUE"""),"")</f>
        <v/>
      </c>
      <c r="G480" s="18" t="str">
        <f ca="1">IFERROR(__xludf.DUMMYFUNCTION("""COMPUTED_VALUE"""),"")</f>
        <v/>
      </c>
      <c r="H480" s="18" t="str">
        <f ca="1">IFERROR(__xludf.DUMMYFUNCTION("""COMPUTED_VALUE"""),"")</f>
        <v/>
      </c>
      <c r="I480" s="18" t="str">
        <f ca="1">IFERROR(__xludf.DUMMYFUNCTION("""COMPUTED_VALUE"""),"")</f>
        <v/>
      </c>
      <c r="J480" s="18" t="str">
        <f ca="1">IFERROR(__xludf.DUMMYFUNCTION("""COMPUTED_VALUE"""),"")</f>
        <v/>
      </c>
      <c r="K480" s="18" t="str">
        <f ca="1">IFERROR(__xludf.DUMMYFUNCTION("""COMPUTED_VALUE"""),"")</f>
        <v/>
      </c>
      <c r="L480" s="18" t="str">
        <f ca="1">IFERROR(__xludf.DUMMYFUNCTION("""COMPUTED_VALUE"""),"")</f>
        <v/>
      </c>
      <c r="M480" s="18" t="str">
        <f ca="1">IFERROR(__xludf.DUMMYFUNCTION("""COMPUTED_VALUE"""),"")</f>
        <v/>
      </c>
      <c r="N480" s="18" t="str">
        <f ca="1">IFERROR(__xludf.DUMMYFUNCTION("""COMPUTED_VALUE"""),"")</f>
        <v/>
      </c>
      <c r="O480" s="18" t="str">
        <f ca="1">IFERROR(__xludf.DUMMYFUNCTION("""COMPUTED_VALUE"""),"")</f>
        <v/>
      </c>
      <c r="P480" s="18" t="str">
        <f ca="1">IFERROR(__xludf.DUMMYFUNCTION("""COMPUTED_VALUE"""),"")</f>
        <v/>
      </c>
      <c r="Q480" s="18" t="str">
        <f ca="1">IFERROR(__xludf.DUMMYFUNCTION("""COMPUTED_VALUE"""),"")</f>
        <v/>
      </c>
      <c r="R480" s="18" t="str">
        <f ca="1">IFERROR(__xludf.DUMMYFUNCTION("""COMPUTED_VALUE"""),"")</f>
        <v/>
      </c>
      <c r="S480" s="18" t="str">
        <f ca="1">IFERROR(__xludf.DUMMYFUNCTION("""COMPUTED_VALUE"""),"")</f>
        <v/>
      </c>
      <c r="T480" s="18" t="str">
        <f ca="1">IFERROR(__xludf.DUMMYFUNCTION("""COMPUTED_VALUE"""),"")</f>
        <v/>
      </c>
      <c r="U480" s="18" t="str">
        <f ca="1">IFERROR(__xludf.DUMMYFUNCTION("""COMPUTED_VALUE"""),"")</f>
        <v/>
      </c>
      <c r="V480" s="18" t="str">
        <f ca="1">IFERROR(__xludf.DUMMYFUNCTION("""COMPUTED_VALUE"""),"")</f>
        <v/>
      </c>
      <c r="W480" s="18" t="str">
        <f ca="1">IFERROR(__xludf.DUMMYFUNCTION("""COMPUTED_VALUE"""),"")</f>
        <v/>
      </c>
      <c r="X480" s="18" t="str">
        <f ca="1">IFERROR(__xludf.DUMMYFUNCTION("""COMPUTED_VALUE"""),"")</f>
        <v/>
      </c>
      <c r="Y480" s="18" t="e">
        <f ca="1"/>
        <v>#NAME?</v>
      </c>
      <c r="Z480" s="18" t="str">
        <f ca="1">IFERROR(__xludf.DUMMYFUNCTION("""COMPUTED_VALUE"""),"")</f>
        <v/>
      </c>
      <c r="AA480" s="18" t="str">
        <f ca="1">IFERROR(__xludf.DUMMYFUNCTION("""COMPUTED_VALUE"""),"")</f>
        <v/>
      </c>
      <c r="AC480" s="59"/>
    </row>
    <row r="481" spans="1:29" x14ac:dyDescent="0.25">
      <c r="A481" s="18">
        <v>0</v>
      </c>
      <c r="B481" s="52" t="str">
        <f ca="1"/>
        <v/>
      </c>
      <c r="C481" s="52" t="str">
        <f ca="1">IFERROR(__xludf.DUMMYFUNCTION("""COMPUTED_VALUE"""),"")</f>
        <v/>
      </c>
      <c r="D481" s="18" t="str">
        <f ca="1">IFERROR(__xludf.DUMMYFUNCTION("""COMPUTED_VALUE"""),"")</f>
        <v/>
      </c>
      <c r="E481" s="18" t="str">
        <f ca="1">IFERROR(__xludf.DUMMYFUNCTION("""COMPUTED_VALUE"""),"")</f>
        <v/>
      </c>
      <c r="F481" s="18" t="str">
        <f ca="1">IFERROR(__xludf.DUMMYFUNCTION("""COMPUTED_VALUE"""),"")</f>
        <v/>
      </c>
      <c r="G481" s="18" t="str">
        <f ca="1">IFERROR(__xludf.DUMMYFUNCTION("""COMPUTED_VALUE"""),"")</f>
        <v/>
      </c>
      <c r="H481" s="18" t="str">
        <f ca="1">IFERROR(__xludf.DUMMYFUNCTION("""COMPUTED_VALUE"""),"")</f>
        <v/>
      </c>
      <c r="I481" s="18" t="str">
        <f ca="1">IFERROR(__xludf.DUMMYFUNCTION("""COMPUTED_VALUE"""),"")</f>
        <v/>
      </c>
      <c r="J481" s="18" t="str">
        <f ca="1">IFERROR(__xludf.DUMMYFUNCTION("""COMPUTED_VALUE"""),"")</f>
        <v/>
      </c>
      <c r="K481" s="18" t="str">
        <f ca="1">IFERROR(__xludf.DUMMYFUNCTION("""COMPUTED_VALUE"""),"")</f>
        <v/>
      </c>
      <c r="L481" s="18" t="str">
        <f ca="1">IFERROR(__xludf.DUMMYFUNCTION("""COMPUTED_VALUE"""),"")</f>
        <v/>
      </c>
      <c r="M481" s="18" t="str">
        <f ca="1">IFERROR(__xludf.DUMMYFUNCTION("""COMPUTED_VALUE"""),"")</f>
        <v/>
      </c>
      <c r="N481" s="18" t="str">
        <f ca="1">IFERROR(__xludf.DUMMYFUNCTION("""COMPUTED_VALUE"""),"")</f>
        <v/>
      </c>
      <c r="O481" s="18" t="str">
        <f ca="1">IFERROR(__xludf.DUMMYFUNCTION("""COMPUTED_VALUE"""),"")</f>
        <v/>
      </c>
      <c r="P481" s="18" t="str">
        <f ca="1">IFERROR(__xludf.DUMMYFUNCTION("""COMPUTED_VALUE"""),"")</f>
        <v/>
      </c>
      <c r="Q481" s="18" t="str">
        <f ca="1">IFERROR(__xludf.DUMMYFUNCTION("""COMPUTED_VALUE"""),"")</f>
        <v/>
      </c>
      <c r="R481" s="18" t="str">
        <f ca="1">IFERROR(__xludf.DUMMYFUNCTION("""COMPUTED_VALUE"""),"")</f>
        <v/>
      </c>
      <c r="S481" s="18" t="str">
        <f ca="1">IFERROR(__xludf.DUMMYFUNCTION("""COMPUTED_VALUE"""),"")</f>
        <v/>
      </c>
      <c r="T481" s="18" t="str">
        <f ca="1">IFERROR(__xludf.DUMMYFUNCTION("""COMPUTED_VALUE"""),"")</f>
        <v/>
      </c>
      <c r="U481" s="18" t="str">
        <f ca="1">IFERROR(__xludf.DUMMYFUNCTION("""COMPUTED_VALUE"""),"")</f>
        <v/>
      </c>
      <c r="V481" s="18" t="str">
        <f ca="1">IFERROR(__xludf.DUMMYFUNCTION("""COMPUTED_VALUE"""),"")</f>
        <v/>
      </c>
      <c r="W481" s="18" t="str">
        <f ca="1">IFERROR(__xludf.DUMMYFUNCTION("""COMPUTED_VALUE"""),"")</f>
        <v/>
      </c>
      <c r="X481" s="18" t="str">
        <f ca="1">IFERROR(__xludf.DUMMYFUNCTION("""COMPUTED_VALUE"""),"")</f>
        <v/>
      </c>
      <c r="Y481" s="18" t="e">
        <f ca="1"/>
        <v>#NAME?</v>
      </c>
      <c r="Z481" s="18" t="str">
        <f ca="1">IFERROR(__xludf.DUMMYFUNCTION("""COMPUTED_VALUE"""),"")</f>
        <v/>
      </c>
      <c r="AA481" s="18" t="str">
        <f ca="1">IFERROR(__xludf.DUMMYFUNCTION("""COMPUTED_VALUE"""),"")</f>
        <v/>
      </c>
      <c r="AC481" s="59"/>
    </row>
    <row r="482" spans="1:29" x14ac:dyDescent="0.25">
      <c r="A482" s="18">
        <v>0</v>
      </c>
      <c r="B482" s="52" t="str">
        <f ca="1"/>
        <v/>
      </c>
      <c r="C482" s="52" t="str">
        <f ca="1">IFERROR(__xludf.DUMMYFUNCTION("""COMPUTED_VALUE"""),"")</f>
        <v/>
      </c>
      <c r="D482" s="18" t="str">
        <f ca="1">IFERROR(__xludf.DUMMYFUNCTION("""COMPUTED_VALUE"""),"")</f>
        <v/>
      </c>
      <c r="E482" s="18" t="str">
        <f ca="1">IFERROR(__xludf.DUMMYFUNCTION("""COMPUTED_VALUE"""),"")</f>
        <v/>
      </c>
      <c r="F482" s="18" t="str">
        <f ca="1">IFERROR(__xludf.DUMMYFUNCTION("""COMPUTED_VALUE"""),"")</f>
        <v/>
      </c>
      <c r="G482" s="18" t="str">
        <f ca="1">IFERROR(__xludf.DUMMYFUNCTION("""COMPUTED_VALUE"""),"")</f>
        <v/>
      </c>
      <c r="H482" s="18" t="str">
        <f ca="1">IFERROR(__xludf.DUMMYFUNCTION("""COMPUTED_VALUE"""),"")</f>
        <v/>
      </c>
      <c r="I482" s="18" t="str">
        <f ca="1">IFERROR(__xludf.DUMMYFUNCTION("""COMPUTED_VALUE"""),"")</f>
        <v/>
      </c>
      <c r="J482" s="18" t="str">
        <f ca="1">IFERROR(__xludf.DUMMYFUNCTION("""COMPUTED_VALUE"""),"")</f>
        <v/>
      </c>
      <c r="K482" s="18" t="str">
        <f ca="1">IFERROR(__xludf.DUMMYFUNCTION("""COMPUTED_VALUE"""),"")</f>
        <v/>
      </c>
      <c r="L482" s="18" t="str">
        <f ca="1">IFERROR(__xludf.DUMMYFUNCTION("""COMPUTED_VALUE"""),"")</f>
        <v/>
      </c>
      <c r="M482" s="18" t="str">
        <f ca="1">IFERROR(__xludf.DUMMYFUNCTION("""COMPUTED_VALUE"""),"")</f>
        <v/>
      </c>
      <c r="N482" s="18" t="str">
        <f ca="1">IFERROR(__xludf.DUMMYFUNCTION("""COMPUTED_VALUE"""),"")</f>
        <v/>
      </c>
      <c r="O482" s="18" t="str">
        <f ca="1">IFERROR(__xludf.DUMMYFUNCTION("""COMPUTED_VALUE"""),"")</f>
        <v/>
      </c>
      <c r="P482" s="18" t="str">
        <f ca="1">IFERROR(__xludf.DUMMYFUNCTION("""COMPUTED_VALUE"""),"")</f>
        <v/>
      </c>
      <c r="Q482" s="18" t="str">
        <f ca="1">IFERROR(__xludf.DUMMYFUNCTION("""COMPUTED_VALUE"""),"")</f>
        <v/>
      </c>
      <c r="R482" s="18" t="str">
        <f ca="1">IFERROR(__xludf.DUMMYFUNCTION("""COMPUTED_VALUE"""),"")</f>
        <v/>
      </c>
      <c r="S482" s="18" t="str">
        <f ca="1">IFERROR(__xludf.DUMMYFUNCTION("""COMPUTED_VALUE"""),"")</f>
        <v/>
      </c>
      <c r="T482" s="18" t="str">
        <f ca="1">IFERROR(__xludf.DUMMYFUNCTION("""COMPUTED_VALUE"""),"")</f>
        <v/>
      </c>
      <c r="U482" s="18" t="str">
        <f ca="1">IFERROR(__xludf.DUMMYFUNCTION("""COMPUTED_VALUE"""),"")</f>
        <v/>
      </c>
      <c r="V482" s="18" t="str">
        <f ca="1">IFERROR(__xludf.DUMMYFUNCTION("""COMPUTED_VALUE"""),"")</f>
        <v/>
      </c>
      <c r="W482" s="18" t="str">
        <f ca="1">IFERROR(__xludf.DUMMYFUNCTION("""COMPUTED_VALUE"""),"")</f>
        <v/>
      </c>
      <c r="X482" s="18" t="str">
        <f ca="1">IFERROR(__xludf.DUMMYFUNCTION("""COMPUTED_VALUE"""),"")</f>
        <v/>
      </c>
      <c r="Y482" s="18" t="e">
        <f ca="1"/>
        <v>#NAME?</v>
      </c>
      <c r="Z482" s="18" t="str">
        <f ca="1">IFERROR(__xludf.DUMMYFUNCTION("""COMPUTED_VALUE"""),"")</f>
        <v/>
      </c>
      <c r="AA482" s="18" t="str">
        <f ca="1">IFERROR(__xludf.DUMMYFUNCTION("""COMPUTED_VALUE"""),"")</f>
        <v/>
      </c>
      <c r="AC482" s="59"/>
    </row>
    <row r="483" spans="1:29" x14ac:dyDescent="0.25">
      <c r="A483" s="18">
        <v>0</v>
      </c>
      <c r="B483" s="52" t="str">
        <f ca="1"/>
        <v/>
      </c>
      <c r="C483" s="52" t="str">
        <f ca="1">IFERROR(__xludf.DUMMYFUNCTION("""COMPUTED_VALUE"""),"")</f>
        <v/>
      </c>
      <c r="D483" s="18" t="str">
        <f ca="1">IFERROR(__xludf.DUMMYFUNCTION("""COMPUTED_VALUE"""),"")</f>
        <v/>
      </c>
      <c r="E483" s="18" t="str">
        <f ca="1">IFERROR(__xludf.DUMMYFUNCTION("""COMPUTED_VALUE"""),"")</f>
        <v/>
      </c>
      <c r="F483" s="18" t="str">
        <f ca="1">IFERROR(__xludf.DUMMYFUNCTION("""COMPUTED_VALUE"""),"")</f>
        <v/>
      </c>
      <c r="G483" s="18" t="str">
        <f ca="1">IFERROR(__xludf.DUMMYFUNCTION("""COMPUTED_VALUE"""),"")</f>
        <v/>
      </c>
      <c r="H483" s="18" t="str">
        <f ca="1">IFERROR(__xludf.DUMMYFUNCTION("""COMPUTED_VALUE"""),"")</f>
        <v/>
      </c>
      <c r="I483" s="18" t="str">
        <f ca="1">IFERROR(__xludf.DUMMYFUNCTION("""COMPUTED_VALUE"""),"")</f>
        <v/>
      </c>
      <c r="J483" s="18" t="str">
        <f ca="1">IFERROR(__xludf.DUMMYFUNCTION("""COMPUTED_VALUE"""),"")</f>
        <v/>
      </c>
      <c r="K483" s="18" t="str">
        <f ca="1">IFERROR(__xludf.DUMMYFUNCTION("""COMPUTED_VALUE"""),"")</f>
        <v/>
      </c>
      <c r="L483" s="18" t="str">
        <f ca="1">IFERROR(__xludf.DUMMYFUNCTION("""COMPUTED_VALUE"""),"")</f>
        <v/>
      </c>
      <c r="M483" s="18" t="str">
        <f ca="1">IFERROR(__xludf.DUMMYFUNCTION("""COMPUTED_VALUE"""),"")</f>
        <v/>
      </c>
      <c r="N483" s="18" t="str">
        <f ca="1">IFERROR(__xludf.DUMMYFUNCTION("""COMPUTED_VALUE"""),"")</f>
        <v/>
      </c>
      <c r="O483" s="18" t="str">
        <f ca="1">IFERROR(__xludf.DUMMYFUNCTION("""COMPUTED_VALUE"""),"")</f>
        <v/>
      </c>
      <c r="P483" s="18" t="str">
        <f ca="1">IFERROR(__xludf.DUMMYFUNCTION("""COMPUTED_VALUE"""),"")</f>
        <v/>
      </c>
      <c r="Q483" s="18" t="str">
        <f ca="1">IFERROR(__xludf.DUMMYFUNCTION("""COMPUTED_VALUE"""),"")</f>
        <v/>
      </c>
      <c r="R483" s="18" t="str">
        <f ca="1">IFERROR(__xludf.DUMMYFUNCTION("""COMPUTED_VALUE"""),"")</f>
        <v/>
      </c>
      <c r="S483" s="18" t="str">
        <f ca="1">IFERROR(__xludf.DUMMYFUNCTION("""COMPUTED_VALUE"""),"")</f>
        <v/>
      </c>
      <c r="T483" s="18" t="str">
        <f ca="1">IFERROR(__xludf.DUMMYFUNCTION("""COMPUTED_VALUE"""),"")</f>
        <v/>
      </c>
      <c r="U483" s="18" t="str">
        <f ca="1">IFERROR(__xludf.DUMMYFUNCTION("""COMPUTED_VALUE"""),"")</f>
        <v/>
      </c>
      <c r="V483" s="18" t="str">
        <f ca="1">IFERROR(__xludf.DUMMYFUNCTION("""COMPUTED_VALUE"""),"")</f>
        <v/>
      </c>
      <c r="W483" s="18" t="str">
        <f ca="1">IFERROR(__xludf.DUMMYFUNCTION("""COMPUTED_VALUE"""),"")</f>
        <v/>
      </c>
      <c r="X483" s="18" t="str">
        <f ca="1">IFERROR(__xludf.DUMMYFUNCTION("""COMPUTED_VALUE"""),"")</f>
        <v/>
      </c>
      <c r="Y483" s="18" t="e">
        <f ca="1"/>
        <v>#NAME?</v>
      </c>
      <c r="Z483" s="18" t="str">
        <f ca="1">IFERROR(__xludf.DUMMYFUNCTION("""COMPUTED_VALUE"""),"")</f>
        <v/>
      </c>
      <c r="AA483" s="18" t="str">
        <f ca="1">IFERROR(__xludf.DUMMYFUNCTION("""COMPUTED_VALUE"""),"")</f>
        <v/>
      </c>
      <c r="AC483" s="59"/>
    </row>
    <row r="484" spans="1:29" x14ac:dyDescent="0.25">
      <c r="A484" s="18">
        <v>0</v>
      </c>
      <c r="B484" s="52" t="str">
        <f ca="1"/>
        <v/>
      </c>
      <c r="C484" s="52" t="str">
        <f ca="1">IFERROR(__xludf.DUMMYFUNCTION("""COMPUTED_VALUE"""),"")</f>
        <v/>
      </c>
      <c r="D484" s="18" t="str">
        <f ca="1">IFERROR(__xludf.DUMMYFUNCTION("""COMPUTED_VALUE"""),"")</f>
        <v/>
      </c>
      <c r="E484" s="18" t="str">
        <f ca="1">IFERROR(__xludf.DUMMYFUNCTION("""COMPUTED_VALUE"""),"")</f>
        <v/>
      </c>
      <c r="F484" s="18" t="str">
        <f ca="1">IFERROR(__xludf.DUMMYFUNCTION("""COMPUTED_VALUE"""),"")</f>
        <v/>
      </c>
      <c r="G484" s="18" t="str">
        <f ca="1">IFERROR(__xludf.DUMMYFUNCTION("""COMPUTED_VALUE"""),"")</f>
        <v/>
      </c>
      <c r="H484" s="18" t="str">
        <f ca="1">IFERROR(__xludf.DUMMYFUNCTION("""COMPUTED_VALUE"""),"")</f>
        <v/>
      </c>
      <c r="I484" s="18" t="str">
        <f ca="1">IFERROR(__xludf.DUMMYFUNCTION("""COMPUTED_VALUE"""),"")</f>
        <v/>
      </c>
      <c r="J484" s="18" t="str">
        <f ca="1">IFERROR(__xludf.DUMMYFUNCTION("""COMPUTED_VALUE"""),"")</f>
        <v/>
      </c>
      <c r="K484" s="18" t="str">
        <f ca="1">IFERROR(__xludf.DUMMYFUNCTION("""COMPUTED_VALUE"""),"")</f>
        <v/>
      </c>
      <c r="L484" s="18" t="str">
        <f ca="1">IFERROR(__xludf.DUMMYFUNCTION("""COMPUTED_VALUE"""),"")</f>
        <v/>
      </c>
      <c r="M484" s="18" t="str">
        <f ca="1">IFERROR(__xludf.DUMMYFUNCTION("""COMPUTED_VALUE"""),"")</f>
        <v/>
      </c>
      <c r="N484" s="18" t="str">
        <f ca="1">IFERROR(__xludf.DUMMYFUNCTION("""COMPUTED_VALUE"""),"")</f>
        <v/>
      </c>
      <c r="O484" s="18" t="str">
        <f ca="1">IFERROR(__xludf.DUMMYFUNCTION("""COMPUTED_VALUE"""),"")</f>
        <v/>
      </c>
      <c r="P484" s="18" t="str">
        <f ca="1">IFERROR(__xludf.DUMMYFUNCTION("""COMPUTED_VALUE"""),"")</f>
        <v/>
      </c>
      <c r="Q484" s="18" t="str">
        <f ca="1">IFERROR(__xludf.DUMMYFUNCTION("""COMPUTED_VALUE"""),"")</f>
        <v/>
      </c>
      <c r="R484" s="18" t="str">
        <f ca="1">IFERROR(__xludf.DUMMYFUNCTION("""COMPUTED_VALUE"""),"")</f>
        <v/>
      </c>
      <c r="S484" s="18" t="str">
        <f ca="1">IFERROR(__xludf.DUMMYFUNCTION("""COMPUTED_VALUE"""),"")</f>
        <v/>
      </c>
      <c r="T484" s="18" t="str">
        <f ca="1">IFERROR(__xludf.DUMMYFUNCTION("""COMPUTED_VALUE"""),"")</f>
        <v/>
      </c>
      <c r="U484" s="18" t="str">
        <f ca="1">IFERROR(__xludf.DUMMYFUNCTION("""COMPUTED_VALUE"""),"")</f>
        <v/>
      </c>
      <c r="V484" s="18" t="str">
        <f ca="1">IFERROR(__xludf.DUMMYFUNCTION("""COMPUTED_VALUE"""),"")</f>
        <v/>
      </c>
      <c r="W484" s="18" t="str">
        <f ca="1">IFERROR(__xludf.DUMMYFUNCTION("""COMPUTED_VALUE"""),"")</f>
        <v/>
      </c>
      <c r="X484" s="18" t="str">
        <f ca="1">IFERROR(__xludf.DUMMYFUNCTION("""COMPUTED_VALUE"""),"")</f>
        <v/>
      </c>
      <c r="Y484" s="18" t="e">
        <f ca="1"/>
        <v>#NAME?</v>
      </c>
      <c r="Z484" s="18" t="str">
        <f ca="1">IFERROR(__xludf.DUMMYFUNCTION("""COMPUTED_VALUE"""),"")</f>
        <v/>
      </c>
      <c r="AA484" s="18" t="str">
        <f ca="1">IFERROR(__xludf.DUMMYFUNCTION("""COMPUTED_VALUE"""),"")</f>
        <v/>
      </c>
      <c r="AC484" s="59"/>
    </row>
    <row r="485" spans="1:29" x14ac:dyDescent="0.25">
      <c r="A485" s="18">
        <v>0</v>
      </c>
      <c r="B485" s="52" t="str">
        <f ca="1"/>
        <v/>
      </c>
      <c r="C485" s="52" t="str">
        <f ca="1">IFERROR(__xludf.DUMMYFUNCTION("""COMPUTED_VALUE"""),"")</f>
        <v/>
      </c>
      <c r="D485" s="18" t="str">
        <f ca="1">IFERROR(__xludf.DUMMYFUNCTION("""COMPUTED_VALUE"""),"")</f>
        <v/>
      </c>
      <c r="E485" s="18" t="str">
        <f ca="1">IFERROR(__xludf.DUMMYFUNCTION("""COMPUTED_VALUE"""),"")</f>
        <v/>
      </c>
      <c r="F485" s="18" t="str">
        <f ca="1">IFERROR(__xludf.DUMMYFUNCTION("""COMPUTED_VALUE"""),"")</f>
        <v/>
      </c>
      <c r="G485" s="18" t="str">
        <f ca="1">IFERROR(__xludf.DUMMYFUNCTION("""COMPUTED_VALUE"""),"")</f>
        <v/>
      </c>
      <c r="H485" s="18" t="str">
        <f ca="1">IFERROR(__xludf.DUMMYFUNCTION("""COMPUTED_VALUE"""),"")</f>
        <v/>
      </c>
      <c r="I485" s="18" t="str">
        <f ca="1">IFERROR(__xludf.DUMMYFUNCTION("""COMPUTED_VALUE"""),"")</f>
        <v/>
      </c>
      <c r="J485" s="18" t="str">
        <f ca="1">IFERROR(__xludf.DUMMYFUNCTION("""COMPUTED_VALUE"""),"")</f>
        <v/>
      </c>
      <c r="K485" s="18" t="str">
        <f ca="1">IFERROR(__xludf.DUMMYFUNCTION("""COMPUTED_VALUE"""),"")</f>
        <v/>
      </c>
      <c r="L485" s="18" t="str">
        <f ca="1">IFERROR(__xludf.DUMMYFUNCTION("""COMPUTED_VALUE"""),"")</f>
        <v/>
      </c>
      <c r="M485" s="18" t="str">
        <f ca="1">IFERROR(__xludf.DUMMYFUNCTION("""COMPUTED_VALUE"""),"")</f>
        <v/>
      </c>
      <c r="N485" s="18" t="str">
        <f ca="1">IFERROR(__xludf.DUMMYFUNCTION("""COMPUTED_VALUE"""),"")</f>
        <v/>
      </c>
      <c r="O485" s="18" t="str">
        <f ca="1">IFERROR(__xludf.DUMMYFUNCTION("""COMPUTED_VALUE"""),"")</f>
        <v/>
      </c>
      <c r="P485" s="18" t="str">
        <f ca="1">IFERROR(__xludf.DUMMYFUNCTION("""COMPUTED_VALUE"""),"")</f>
        <v/>
      </c>
      <c r="Q485" s="18" t="str">
        <f ca="1">IFERROR(__xludf.DUMMYFUNCTION("""COMPUTED_VALUE"""),"")</f>
        <v/>
      </c>
      <c r="R485" s="18" t="str">
        <f ca="1">IFERROR(__xludf.DUMMYFUNCTION("""COMPUTED_VALUE"""),"")</f>
        <v/>
      </c>
      <c r="S485" s="18" t="str">
        <f ca="1">IFERROR(__xludf.DUMMYFUNCTION("""COMPUTED_VALUE"""),"")</f>
        <v/>
      </c>
      <c r="T485" s="18" t="str">
        <f ca="1">IFERROR(__xludf.DUMMYFUNCTION("""COMPUTED_VALUE"""),"")</f>
        <v/>
      </c>
      <c r="U485" s="18" t="str">
        <f ca="1">IFERROR(__xludf.DUMMYFUNCTION("""COMPUTED_VALUE"""),"")</f>
        <v/>
      </c>
      <c r="V485" s="18" t="str">
        <f ca="1">IFERROR(__xludf.DUMMYFUNCTION("""COMPUTED_VALUE"""),"")</f>
        <v/>
      </c>
      <c r="W485" s="18" t="str">
        <f ca="1">IFERROR(__xludf.DUMMYFUNCTION("""COMPUTED_VALUE"""),"")</f>
        <v/>
      </c>
      <c r="X485" s="18" t="str">
        <f ca="1">IFERROR(__xludf.DUMMYFUNCTION("""COMPUTED_VALUE"""),"")</f>
        <v/>
      </c>
      <c r="Y485" s="18" t="e">
        <f ca="1"/>
        <v>#NAME?</v>
      </c>
      <c r="Z485" s="18" t="str">
        <f ca="1">IFERROR(__xludf.DUMMYFUNCTION("""COMPUTED_VALUE"""),"")</f>
        <v/>
      </c>
      <c r="AA485" s="18" t="str">
        <f ca="1">IFERROR(__xludf.DUMMYFUNCTION("""COMPUTED_VALUE"""),"")</f>
        <v/>
      </c>
      <c r="AC485" s="59"/>
    </row>
    <row r="486" spans="1:29" x14ac:dyDescent="0.25">
      <c r="A486" s="18">
        <v>0</v>
      </c>
      <c r="B486" s="52" t="str">
        <f ca="1"/>
        <v/>
      </c>
      <c r="C486" s="52" t="str">
        <f ca="1">IFERROR(__xludf.DUMMYFUNCTION("""COMPUTED_VALUE"""),"")</f>
        <v/>
      </c>
      <c r="D486" s="18" t="str">
        <f ca="1">IFERROR(__xludf.DUMMYFUNCTION("""COMPUTED_VALUE"""),"")</f>
        <v/>
      </c>
      <c r="E486" s="18" t="str">
        <f ca="1">IFERROR(__xludf.DUMMYFUNCTION("""COMPUTED_VALUE"""),"")</f>
        <v/>
      </c>
      <c r="F486" s="18" t="str">
        <f ca="1">IFERROR(__xludf.DUMMYFUNCTION("""COMPUTED_VALUE"""),"")</f>
        <v/>
      </c>
      <c r="G486" s="18" t="str">
        <f ca="1">IFERROR(__xludf.DUMMYFUNCTION("""COMPUTED_VALUE"""),"")</f>
        <v/>
      </c>
      <c r="H486" s="18" t="str">
        <f ca="1">IFERROR(__xludf.DUMMYFUNCTION("""COMPUTED_VALUE"""),"")</f>
        <v/>
      </c>
      <c r="I486" s="18" t="str">
        <f ca="1">IFERROR(__xludf.DUMMYFUNCTION("""COMPUTED_VALUE"""),"")</f>
        <v/>
      </c>
      <c r="J486" s="18" t="str">
        <f ca="1">IFERROR(__xludf.DUMMYFUNCTION("""COMPUTED_VALUE"""),"")</f>
        <v/>
      </c>
      <c r="K486" s="18" t="str">
        <f ca="1">IFERROR(__xludf.DUMMYFUNCTION("""COMPUTED_VALUE"""),"")</f>
        <v/>
      </c>
      <c r="L486" s="18" t="str">
        <f ca="1">IFERROR(__xludf.DUMMYFUNCTION("""COMPUTED_VALUE"""),"")</f>
        <v/>
      </c>
      <c r="M486" s="18" t="str">
        <f ca="1">IFERROR(__xludf.DUMMYFUNCTION("""COMPUTED_VALUE"""),"")</f>
        <v/>
      </c>
      <c r="N486" s="18" t="str">
        <f ca="1">IFERROR(__xludf.DUMMYFUNCTION("""COMPUTED_VALUE"""),"")</f>
        <v/>
      </c>
      <c r="O486" s="18" t="str">
        <f ca="1">IFERROR(__xludf.DUMMYFUNCTION("""COMPUTED_VALUE"""),"")</f>
        <v/>
      </c>
      <c r="P486" s="18" t="str">
        <f ca="1">IFERROR(__xludf.DUMMYFUNCTION("""COMPUTED_VALUE"""),"")</f>
        <v/>
      </c>
      <c r="Q486" s="18" t="str">
        <f ca="1">IFERROR(__xludf.DUMMYFUNCTION("""COMPUTED_VALUE"""),"")</f>
        <v/>
      </c>
      <c r="R486" s="18" t="str">
        <f ca="1">IFERROR(__xludf.DUMMYFUNCTION("""COMPUTED_VALUE"""),"")</f>
        <v/>
      </c>
      <c r="S486" s="18" t="str">
        <f ca="1">IFERROR(__xludf.DUMMYFUNCTION("""COMPUTED_VALUE"""),"")</f>
        <v/>
      </c>
      <c r="T486" s="18" t="str">
        <f ca="1">IFERROR(__xludf.DUMMYFUNCTION("""COMPUTED_VALUE"""),"")</f>
        <v/>
      </c>
      <c r="U486" s="18" t="str">
        <f ca="1">IFERROR(__xludf.DUMMYFUNCTION("""COMPUTED_VALUE"""),"")</f>
        <v/>
      </c>
      <c r="V486" s="18" t="str">
        <f ca="1">IFERROR(__xludf.DUMMYFUNCTION("""COMPUTED_VALUE"""),"")</f>
        <v/>
      </c>
      <c r="W486" s="18" t="str">
        <f ca="1">IFERROR(__xludf.DUMMYFUNCTION("""COMPUTED_VALUE"""),"")</f>
        <v/>
      </c>
      <c r="X486" s="18" t="str">
        <f ca="1">IFERROR(__xludf.DUMMYFUNCTION("""COMPUTED_VALUE"""),"")</f>
        <v/>
      </c>
      <c r="Y486" s="18" t="e">
        <f ca="1"/>
        <v>#NAME?</v>
      </c>
      <c r="Z486" s="18" t="str">
        <f ca="1">IFERROR(__xludf.DUMMYFUNCTION("""COMPUTED_VALUE"""),"")</f>
        <v/>
      </c>
      <c r="AA486" s="18" t="str">
        <f ca="1">IFERROR(__xludf.DUMMYFUNCTION("""COMPUTED_VALUE"""),"")</f>
        <v/>
      </c>
      <c r="AC486" s="59"/>
    </row>
    <row r="487" spans="1:29" x14ac:dyDescent="0.25">
      <c r="A487" s="18">
        <v>0</v>
      </c>
      <c r="B487" s="52" t="str">
        <f ca="1"/>
        <v/>
      </c>
      <c r="C487" s="52" t="str">
        <f ca="1">IFERROR(__xludf.DUMMYFUNCTION("""COMPUTED_VALUE"""),"")</f>
        <v/>
      </c>
      <c r="D487" s="18" t="str">
        <f ca="1">IFERROR(__xludf.DUMMYFUNCTION("""COMPUTED_VALUE"""),"")</f>
        <v/>
      </c>
      <c r="E487" s="18" t="str">
        <f ca="1">IFERROR(__xludf.DUMMYFUNCTION("""COMPUTED_VALUE"""),"")</f>
        <v/>
      </c>
      <c r="F487" s="18" t="str">
        <f ca="1">IFERROR(__xludf.DUMMYFUNCTION("""COMPUTED_VALUE"""),"")</f>
        <v/>
      </c>
      <c r="G487" s="18" t="str">
        <f ca="1">IFERROR(__xludf.DUMMYFUNCTION("""COMPUTED_VALUE"""),"")</f>
        <v/>
      </c>
      <c r="H487" s="18" t="str">
        <f ca="1">IFERROR(__xludf.DUMMYFUNCTION("""COMPUTED_VALUE"""),"")</f>
        <v/>
      </c>
      <c r="I487" s="18" t="str">
        <f ca="1">IFERROR(__xludf.DUMMYFUNCTION("""COMPUTED_VALUE"""),"")</f>
        <v/>
      </c>
      <c r="J487" s="18" t="str">
        <f ca="1">IFERROR(__xludf.DUMMYFUNCTION("""COMPUTED_VALUE"""),"")</f>
        <v/>
      </c>
      <c r="K487" s="18" t="str">
        <f ca="1">IFERROR(__xludf.DUMMYFUNCTION("""COMPUTED_VALUE"""),"")</f>
        <v/>
      </c>
      <c r="L487" s="18" t="str">
        <f ca="1">IFERROR(__xludf.DUMMYFUNCTION("""COMPUTED_VALUE"""),"")</f>
        <v/>
      </c>
      <c r="M487" s="18" t="str">
        <f ca="1">IFERROR(__xludf.DUMMYFUNCTION("""COMPUTED_VALUE"""),"")</f>
        <v/>
      </c>
      <c r="N487" s="18" t="str">
        <f ca="1">IFERROR(__xludf.DUMMYFUNCTION("""COMPUTED_VALUE"""),"")</f>
        <v/>
      </c>
      <c r="O487" s="18" t="str">
        <f ca="1">IFERROR(__xludf.DUMMYFUNCTION("""COMPUTED_VALUE"""),"")</f>
        <v/>
      </c>
      <c r="P487" s="18" t="str">
        <f ca="1">IFERROR(__xludf.DUMMYFUNCTION("""COMPUTED_VALUE"""),"")</f>
        <v/>
      </c>
      <c r="Q487" s="18" t="str">
        <f ca="1">IFERROR(__xludf.DUMMYFUNCTION("""COMPUTED_VALUE"""),"")</f>
        <v/>
      </c>
      <c r="R487" s="18" t="str">
        <f ca="1">IFERROR(__xludf.DUMMYFUNCTION("""COMPUTED_VALUE"""),"")</f>
        <v/>
      </c>
      <c r="S487" s="18" t="str">
        <f ca="1">IFERROR(__xludf.DUMMYFUNCTION("""COMPUTED_VALUE"""),"")</f>
        <v/>
      </c>
      <c r="T487" s="18" t="str">
        <f ca="1">IFERROR(__xludf.DUMMYFUNCTION("""COMPUTED_VALUE"""),"")</f>
        <v/>
      </c>
      <c r="U487" s="18" t="str">
        <f ca="1">IFERROR(__xludf.DUMMYFUNCTION("""COMPUTED_VALUE"""),"")</f>
        <v/>
      </c>
      <c r="V487" s="18" t="str">
        <f ca="1">IFERROR(__xludf.DUMMYFUNCTION("""COMPUTED_VALUE"""),"")</f>
        <v/>
      </c>
      <c r="W487" s="18" t="str">
        <f ca="1">IFERROR(__xludf.DUMMYFUNCTION("""COMPUTED_VALUE"""),"")</f>
        <v/>
      </c>
      <c r="X487" s="18" t="str">
        <f ca="1">IFERROR(__xludf.DUMMYFUNCTION("""COMPUTED_VALUE"""),"")</f>
        <v/>
      </c>
      <c r="Y487" s="18" t="e">
        <f ca="1"/>
        <v>#NAME?</v>
      </c>
      <c r="Z487" s="18" t="str">
        <f ca="1">IFERROR(__xludf.DUMMYFUNCTION("""COMPUTED_VALUE"""),"")</f>
        <v/>
      </c>
      <c r="AA487" s="18" t="str">
        <f ca="1">IFERROR(__xludf.DUMMYFUNCTION("""COMPUTED_VALUE"""),"")</f>
        <v/>
      </c>
      <c r="AC487" s="59"/>
    </row>
    <row r="488" spans="1:29" x14ac:dyDescent="0.25">
      <c r="A488" s="18">
        <v>0</v>
      </c>
      <c r="B488" s="52" t="str">
        <f ca="1"/>
        <v/>
      </c>
      <c r="C488" s="52" t="str">
        <f ca="1">IFERROR(__xludf.DUMMYFUNCTION("""COMPUTED_VALUE"""),"")</f>
        <v/>
      </c>
      <c r="D488" s="18" t="str">
        <f ca="1">IFERROR(__xludf.DUMMYFUNCTION("""COMPUTED_VALUE"""),"")</f>
        <v/>
      </c>
      <c r="E488" s="18" t="str">
        <f ca="1">IFERROR(__xludf.DUMMYFUNCTION("""COMPUTED_VALUE"""),"")</f>
        <v/>
      </c>
      <c r="F488" s="18" t="str">
        <f ca="1">IFERROR(__xludf.DUMMYFUNCTION("""COMPUTED_VALUE"""),"")</f>
        <v/>
      </c>
      <c r="G488" s="18" t="str">
        <f ca="1">IFERROR(__xludf.DUMMYFUNCTION("""COMPUTED_VALUE"""),"")</f>
        <v/>
      </c>
      <c r="H488" s="18" t="str">
        <f ca="1">IFERROR(__xludf.DUMMYFUNCTION("""COMPUTED_VALUE"""),"")</f>
        <v/>
      </c>
      <c r="I488" s="18" t="str">
        <f ca="1">IFERROR(__xludf.DUMMYFUNCTION("""COMPUTED_VALUE"""),"")</f>
        <v/>
      </c>
      <c r="J488" s="18" t="str">
        <f ca="1">IFERROR(__xludf.DUMMYFUNCTION("""COMPUTED_VALUE"""),"")</f>
        <v/>
      </c>
      <c r="K488" s="18" t="str">
        <f ca="1">IFERROR(__xludf.DUMMYFUNCTION("""COMPUTED_VALUE"""),"")</f>
        <v/>
      </c>
      <c r="L488" s="18" t="str">
        <f ca="1">IFERROR(__xludf.DUMMYFUNCTION("""COMPUTED_VALUE"""),"")</f>
        <v/>
      </c>
      <c r="M488" s="18" t="str">
        <f ca="1">IFERROR(__xludf.DUMMYFUNCTION("""COMPUTED_VALUE"""),"")</f>
        <v/>
      </c>
      <c r="N488" s="18" t="str">
        <f ca="1">IFERROR(__xludf.DUMMYFUNCTION("""COMPUTED_VALUE"""),"")</f>
        <v/>
      </c>
      <c r="O488" s="18" t="str">
        <f ca="1">IFERROR(__xludf.DUMMYFUNCTION("""COMPUTED_VALUE"""),"")</f>
        <v/>
      </c>
      <c r="P488" s="18" t="str">
        <f ca="1">IFERROR(__xludf.DUMMYFUNCTION("""COMPUTED_VALUE"""),"")</f>
        <v/>
      </c>
      <c r="Q488" s="18" t="str">
        <f ca="1">IFERROR(__xludf.DUMMYFUNCTION("""COMPUTED_VALUE"""),"")</f>
        <v/>
      </c>
      <c r="R488" s="18" t="str">
        <f ca="1">IFERROR(__xludf.DUMMYFUNCTION("""COMPUTED_VALUE"""),"")</f>
        <v/>
      </c>
      <c r="S488" s="18" t="str">
        <f ca="1">IFERROR(__xludf.DUMMYFUNCTION("""COMPUTED_VALUE"""),"")</f>
        <v/>
      </c>
      <c r="T488" s="18" t="str">
        <f ca="1">IFERROR(__xludf.DUMMYFUNCTION("""COMPUTED_VALUE"""),"")</f>
        <v/>
      </c>
      <c r="U488" s="18" t="str">
        <f ca="1">IFERROR(__xludf.DUMMYFUNCTION("""COMPUTED_VALUE"""),"")</f>
        <v/>
      </c>
      <c r="V488" s="18" t="str">
        <f ca="1">IFERROR(__xludf.DUMMYFUNCTION("""COMPUTED_VALUE"""),"")</f>
        <v/>
      </c>
      <c r="W488" s="18" t="str">
        <f ca="1">IFERROR(__xludf.DUMMYFUNCTION("""COMPUTED_VALUE"""),"")</f>
        <v/>
      </c>
      <c r="X488" s="18" t="str">
        <f ca="1">IFERROR(__xludf.DUMMYFUNCTION("""COMPUTED_VALUE"""),"")</f>
        <v/>
      </c>
      <c r="Y488" s="18" t="e">
        <f ca="1"/>
        <v>#NAME?</v>
      </c>
      <c r="Z488" s="18" t="str">
        <f ca="1">IFERROR(__xludf.DUMMYFUNCTION("""COMPUTED_VALUE"""),"")</f>
        <v/>
      </c>
      <c r="AA488" s="18" t="str">
        <f ca="1">IFERROR(__xludf.DUMMYFUNCTION("""COMPUTED_VALUE"""),"")</f>
        <v/>
      </c>
      <c r="AC488" s="59"/>
    </row>
    <row r="489" spans="1:29" x14ac:dyDescent="0.25">
      <c r="A489" s="18">
        <v>0</v>
      </c>
      <c r="B489" s="52" t="str">
        <f ca="1"/>
        <v/>
      </c>
      <c r="C489" s="52" t="str">
        <f ca="1">IFERROR(__xludf.DUMMYFUNCTION("""COMPUTED_VALUE"""),"")</f>
        <v/>
      </c>
      <c r="D489" s="18" t="str">
        <f ca="1">IFERROR(__xludf.DUMMYFUNCTION("""COMPUTED_VALUE"""),"")</f>
        <v/>
      </c>
      <c r="E489" s="18" t="str">
        <f ca="1">IFERROR(__xludf.DUMMYFUNCTION("""COMPUTED_VALUE"""),"")</f>
        <v/>
      </c>
      <c r="F489" s="18" t="str">
        <f ca="1">IFERROR(__xludf.DUMMYFUNCTION("""COMPUTED_VALUE"""),"")</f>
        <v/>
      </c>
      <c r="G489" s="18" t="str">
        <f ca="1">IFERROR(__xludf.DUMMYFUNCTION("""COMPUTED_VALUE"""),"")</f>
        <v/>
      </c>
      <c r="H489" s="18" t="str">
        <f ca="1">IFERROR(__xludf.DUMMYFUNCTION("""COMPUTED_VALUE"""),"")</f>
        <v/>
      </c>
      <c r="I489" s="18" t="str">
        <f ca="1">IFERROR(__xludf.DUMMYFUNCTION("""COMPUTED_VALUE"""),"")</f>
        <v/>
      </c>
      <c r="J489" s="18" t="str">
        <f ca="1">IFERROR(__xludf.DUMMYFUNCTION("""COMPUTED_VALUE"""),"")</f>
        <v/>
      </c>
      <c r="K489" s="18" t="str">
        <f ca="1">IFERROR(__xludf.DUMMYFUNCTION("""COMPUTED_VALUE"""),"")</f>
        <v/>
      </c>
      <c r="L489" s="18" t="str">
        <f ca="1">IFERROR(__xludf.DUMMYFUNCTION("""COMPUTED_VALUE"""),"")</f>
        <v/>
      </c>
      <c r="M489" s="18" t="str">
        <f ca="1">IFERROR(__xludf.DUMMYFUNCTION("""COMPUTED_VALUE"""),"")</f>
        <v/>
      </c>
      <c r="N489" s="18" t="str">
        <f ca="1">IFERROR(__xludf.DUMMYFUNCTION("""COMPUTED_VALUE"""),"")</f>
        <v/>
      </c>
      <c r="O489" s="18" t="str">
        <f ca="1">IFERROR(__xludf.DUMMYFUNCTION("""COMPUTED_VALUE"""),"")</f>
        <v/>
      </c>
      <c r="P489" s="18" t="str">
        <f ca="1">IFERROR(__xludf.DUMMYFUNCTION("""COMPUTED_VALUE"""),"")</f>
        <v/>
      </c>
      <c r="Q489" s="18" t="str">
        <f ca="1">IFERROR(__xludf.DUMMYFUNCTION("""COMPUTED_VALUE"""),"")</f>
        <v/>
      </c>
      <c r="R489" s="18" t="str">
        <f ca="1">IFERROR(__xludf.DUMMYFUNCTION("""COMPUTED_VALUE"""),"")</f>
        <v/>
      </c>
      <c r="S489" s="18" t="str">
        <f ca="1">IFERROR(__xludf.DUMMYFUNCTION("""COMPUTED_VALUE"""),"")</f>
        <v/>
      </c>
      <c r="T489" s="18" t="str">
        <f ca="1">IFERROR(__xludf.DUMMYFUNCTION("""COMPUTED_VALUE"""),"")</f>
        <v/>
      </c>
      <c r="U489" s="18" t="str">
        <f ca="1">IFERROR(__xludf.DUMMYFUNCTION("""COMPUTED_VALUE"""),"")</f>
        <v/>
      </c>
      <c r="V489" s="18" t="str">
        <f ca="1">IFERROR(__xludf.DUMMYFUNCTION("""COMPUTED_VALUE"""),"")</f>
        <v/>
      </c>
      <c r="W489" s="18" t="str">
        <f ca="1">IFERROR(__xludf.DUMMYFUNCTION("""COMPUTED_VALUE"""),"")</f>
        <v/>
      </c>
      <c r="X489" s="18" t="str">
        <f ca="1">IFERROR(__xludf.DUMMYFUNCTION("""COMPUTED_VALUE"""),"")</f>
        <v/>
      </c>
      <c r="Y489" s="18" t="e">
        <f ca="1"/>
        <v>#NAME?</v>
      </c>
      <c r="Z489" s="18" t="str">
        <f ca="1">IFERROR(__xludf.DUMMYFUNCTION("""COMPUTED_VALUE"""),"")</f>
        <v/>
      </c>
      <c r="AA489" s="18" t="str">
        <f ca="1">IFERROR(__xludf.DUMMYFUNCTION("""COMPUTED_VALUE"""),"")</f>
        <v/>
      </c>
      <c r="AC489" s="59"/>
    </row>
    <row r="490" spans="1:29" x14ac:dyDescent="0.25">
      <c r="A490" s="18">
        <v>0</v>
      </c>
      <c r="B490" s="52" t="str">
        <f ca="1"/>
        <v/>
      </c>
      <c r="C490" s="52" t="str">
        <f ca="1">IFERROR(__xludf.DUMMYFUNCTION("""COMPUTED_VALUE"""),"")</f>
        <v/>
      </c>
      <c r="D490" s="18" t="str">
        <f ca="1">IFERROR(__xludf.DUMMYFUNCTION("""COMPUTED_VALUE"""),"")</f>
        <v/>
      </c>
      <c r="E490" s="18" t="str">
        <f ca="1">IFERROR(__xludf.DUMMYFUNCTION("""COMPUTED_VALUE"""),"")</f>
        <v/>
      </c>
      <c r="F490" s="18" t="str">
        <f ca="1">IFERROR(__xludf.DUMMYFUNCTION("""COMPUTED_VALUE"""),"")</f>
        <v/>
      </c>
      <c r="G490" s="18" t="str">
        <f ca="1">IFERROR(__xludf.DUMMYFUNCTION("""COMPUTED_VALUE"""),"")</f>
        <v/>
      </c>
      <c r="H490" s="18" t="str">
        <f ca="1">IFERROR(__xludf.DUMMYFUNCTION("""COMPUTED_VALUE"""),"")</f>
        <v/>
      </c>
      <c r="I490" s="18" t="str">
        <f ca="1">IFERROR(__xludf.DUMMYFUNCTION("""COMPUTED_VALUE"""),"")</f>
        <v/>
      </c>
      <c r="J490" s="18" t="str">
        <f ca="1">IFERROR(__xludf.DUMMYFUNCTION("""COMPUTED_VALUE"""),"")</f>
        <v/>
      </c>
      <c r="K490" s="18" t="str">
        <f ca="1">IFERROR(__xludf.DUMMYFUNCTION("""COMPUTED_VALUE"""),"")</f>
        <v/>
      </c>
      <c r="L490" s="18" t="str">
        <f ca="1">IFERROR(__xludf.DUMMYFUNCTION("""COMPUTED_VALUE"""),"")</f>
        <v/>
      </c>
      <c r="M490" s="18" t="str">
        <f ca="1">IFERROR(__xludf.DUMMYFUNCTION("""COMPUTED_VALUE"""),"")</f>
        <v/>
      </c>
      <c r="N490" s="18" t="str">
        <f ca="1">IFERROR(__xludf.DUMMYFUNCTION("""COMPUTED_VALUE"""),"")</f>
        <v/>
      </c>
      <c r="O490" s="18" t="str">
        <f ca="1">IFERROR(__xludf.DUMMYFUNCTION("""COMPUTED_VALUE"""),"")</f>
        <v/>
      </c>
      <c r="P490" s="18" t="str">
        <f ca="1">IFERROR(__xludf.DUMMYFUNCTION("""COMPUTED_VALUE"""),"")</f>
        <v/>
      </c>
      <c r="Q490" s="18" t="str">
        <f ca="1">IFERROR(__xludf.DUMMYFUNCTION("""COMPUTED_VALUE"""),"")</f>
        <v/>
      </c>
      <c r="R490" s="18" t="str">
        <f ca="1">IFERROR(__xludf.DUMMYFUNCTION("""COMPUTED_VALUE"""),"")</f>
        <v/>
      </c>
      <c r="S490" s="18" t="str">
        <f ca="1">IFERROR(__xludf.DUMMYFUNCTION("""COMPUTED_VALUE"""),"")</f>
        <v/>
      </c>
      <c r="T490" s="18" t="str">
        <f ca="1">IFERROR(__xludf.DUMMYFUNCTION("""COMPUTED_VALUE"""),"")</f>
        <v/>
      </c>
      <c r="U490" s="18" t="str">
        <f ca="1">IFERROR(__xludf.DUMMYFUNCTION("""COMPUTED_VALUE"""),"")</f>
        <v/>
      </c>
      <c r="V490" s="18" t="str">
        <f ca="1">IFERROR(__xludf.DUMMYFUNCTION("""COMPUTED_VALUE"""),"")</f>
        <v/>
      </c>
      <c r="W490" s="18" t="str">
        <f ca="1">IFERROR(__xludf.DUMMYFUNCTION("""COMPUTED_VALUE"""),"")</f>
        <v/>
      </c>
      <c r="X490" s="18" t="str">
        <f ca="1">IFERROR(__xludf.DUMMYFUNCTION("""COMPUTED_VALUE"""),"")</f>
        <v/>
      </c>
      <c r="Y490" s="18" t="e">
        <f ca="1"/>
        <v>#NAME?</v>
      </c>
      <c r="Z490" s="18" t="str">
        <f ca="1">IFERROR(__xludf.DUMMYFUNCTION("""COMPUTED_VALUE"""),"")</f>
        <v/>
      </c>
      <c r="AA490" s="18" t="str">
        <f ca="1">IFERROR(__xludf.DUMMYFUNCTION("""COMPUTED_VALUE"""),"")</f>
        <v/>
      </c>
      <c r="AC490" s="59"/>
    </row>
    <row r="491" spans="1:29" x14ac:dyDescent="0.25">
      <c r="A491" s="18">
        <v>0</v>
      </c>
      <c r="B491" s="52" t="str">
        <f ca="1"/>
        <v/>
      </c>
      <c r="C491" s="52" t="str">
        <f ca="1">IFERROR(__xludf.DUMMYFUNCTION("""COMPUTED_VALUE"""),"")</f>
        <v/>
      </c>
      <c r="D491" s="18" t="str">
        <f ca="1">IFERROR(__xludf.DUMMYFUNCTION("""COMPUTED_VALUE"""),"")</f>
        <v/>
      </c>
      <c r="E491" s="18" t="str">
        <f ca="1">IFERROR(__xludf.DUMMYFUNCTION("""COMPUTED_VALUE"""),"")</f>
        <v/>
      </c>
      <c r="F491" s="18" t="str">
        <f ca="1">IFERROR(__xludf.DUMMYFUNCTION("""COMPUTED_VALUE"""),"")</f>
        <v/>
      </c>
      <c r="G491" s="18" t="str">
        <f ca="1">IFERROR(__xludf.DUMMYFUNCTION("""COMPUTED_VALUE"""),"")</f>
        <v/>
      </c>
      <c r="H491" s="18" t="str">
        <f ca="1">IFERROR(__xludf.DUMMYFUNCTION("""COMPUTED_VALUE"""),"")</f>
        <v/>
      </c>
      <c r="I491" s="18" t="str">
        <f ca="1">IFERROR(__xludf.DUMMYFUNCTION("""COMPUTED_VALUE"""),"")</f>
        <v/>
      </c>
      <c r="J491" s="18" t="str">
        <f ca="1">IFERROR(__xludf.DUMMYFUNCTION("""COMPUTED_VALUE"""),"")</f>
        <v/>
      </c>
      <c r="K491" s="18" t="str">
        <f ca="1">IFERROR(__xludf.DUMMYFUNCTION("""COMPUTED_VALUE"""),"")</f>
        <v/>
      </c>
      <c r="L491" s="18" t="str">
        <f ca="1">IFERROR(__xludf.DUMMYFUNCTION("""COMPUTED_VALUE"""),"")</f>
        <v/>
      </c>
      <c r="M491" s="18" t="str">
        <f ca="1">IFERROR(__xludf.DUMMYFUNCTION("""COMPUTED_VALUE"""),"")</f>
        <v/>
      </c>
      <c r="N491" s="18" t="str">
        <f ca="1">IFERROR(__xludf.DUMMYFUNCTION("""COMPUTED_VALUE"""),"")</f>
        <v/>
      </c>
      <c r="O491" s="18" t="str">
        <f ca="1">IFERROR(__xludf.DUMMYFUNCTION("""COMPUTED_VALUE"""),"")</f>
        <v/>
      </c>
      <c r="P491" s="18" t="str">
        <f ca="1">IFERROR(__xludf.DUMMYFUNCTION("""COMPUTED_VALUE"""),"")</f>
        <v/>
      </c>
      <c r="Q491" s="18" t="str">
        <f ca="1">IFERROR(__xludf.DUMMYFUNCTION("""COMPUTED_VALUE"""),"")</f>
        <v/>
      </c>
      <c r="R491" s="18" t="str">
        <f ca="1">IFERROR(__xludf.DUMMYFUNCTION("""COMPUTED_VALUE"""),"")</f>
        <v/>
      </c>
      <c r="S491" s="18" t="str">
        <f ca="1">IFERROR(__xludf.DUMMYFUNCTION("""COMPUTED_VALUE"""),"")</f>
        <v/>
      </c>
      <c r="T491" s="18" t="str">
        <f ca="1">IFERROR(__xludf.DUMMYFUNCTION("""COMPUTED_VALUE"""),"")</f>
        <v/>
      </c>
      <c r="U491" s="18" t="str">
        <f ca="1">IFERROR(__xludf.DUMMYFUNCTION("""COMPUTED_VALUE"""),"")</f>
        <v/>
      </c>
      <c r="V491" s="18" t="str">
        <f ca="1">IFERROR(__xludf.DUMMYFUNCTION("""COMPUTED_VALUE"""),"")</f>
        <v/>
      </c>
      <c r="W491" s="18" t="str">
        <f ca="1">IFERROR(__xludf.DUMMYFUNCTION("""COMPUTED_VALUE"""),"")</f>
        <v/>
      </c>
      <c r="X491" s="18" t="str">
        <f ca="1">IFERROR(__xludf.DUMMYFUNCTION("""COMPUTED_VALUE"""),"")</f>
        <v/>
      </c>
      <c r="Y491" s="18" t="e">
        <f ca="1"/>
        <v>#NAME?</v>
      </c>
      <c r="Z491" s="18" t="str">
        <f ca="1">IFERROR(__xludf.DUMMYFUNCTION("""COMPUTED_VALUE"""),"")</f>
        <v/>
      </c>
      <c r="AA491" s="18" t="str">
        <f ca="1">IFERROR(__xludf.DUMMYFUNCTION("""COMPUTED_VALUE"""),"")</f>
        <v/>
      </c>
      <c r="AC491" s="59"/>
    </row>
    <row r="492" spans="1:29" x14ac:dyDescent="0.25">
      <c r="A492" s="18">
        <v>0</v>
      </c>
      <c r="B492" s="52" t="str">
        <f ca="1"/>
        <v/>
      </c>
      <c r="C492" s="52" t="str">
        <f ca="1">IFERROR(__xludf.DUMMYFUNCTION("""COMPUTED_VALUE"""),"")</f>
        <v/>
      </c>
      <c r="D492" s="18" t="str">
        <f ca="1">IFERROR(__xludf.DUMMYFUNCTION("""COMPUTED_VALUE"""),"")</f>
        <v/>
      </c>
      <c r="E492" s="18" t="str">
        <f ca="1">IFERROR(__xludf.DUMMYFUNCTION("""COMPUTED_VALUE"""),"")</f>
        <v/>
      </c>
      <c r="F492" s="18" t="str">
        <f ca="1">IFERROR(__xludf.DUMMYFUNCTION("""COMPUTED_VALUE"""),"")</f>
        <v/>
      </c>
      <c r="G492" s="18" t="str">
        <f ca="1">IFERROR(__xludf.DUMMYFUNCTION("""COMPUTED_VALUE"""),"")</f>
        <v/>
      </c>
      <c r="H492" s="18" t="str">
        <f ca="1">IFERROR(__xludf.DUMMYFUNCTION("""COMPUTED_VALUE"""),"")</f>
        <v/>
      </c>
      <c r="I492" s="18" t="str">
        <f ca="1">IFERROR(__xludf.DUMMYFUNCTION("""COMPUTED_VALUE"""),"")</f>
        <v/>
      </c>
      <c r="J492" s="18" t="str">
        <f ca="1">IFERROR(__xludf.DUMMYFUNCTION("""COMPUTED_VALUE"""),"")</f>
        <v/>
      </c>
      <c r="K492" s="18" t="str">
        <f ca="1">IFERROR(__xludf.DUMMYFUNCTION("""COMPUTED_VALUE"""),"")</f>
        <v/>
      </c>
      <c r="L492" s="18" t="str">
        <f ca="1">IFERROR(__xludf.DUMMYFUNCTION("""COMPUTED_VALUE"""),"")</f>
        <v/>
      </c>
      <c r="M492" s="18" t="str">
        <f ca="1">IFERROR(__xludf.DUMMYFUNCTION("""COMPUTED_VALUE"""),"")</f>
        <v/>
      </c>
      <c r="N492" s="18" t="str">
        <f ca="1">IFERROR(__xludf.DUMMYFUNCTION("""COMPUTED_VALUE"""),"")</f>
        <v/>
      </c>
      <c r="O492" s="18" t="str">
        <f ca="1">IFERROR(__xludf.DUMMYFUNCTION("""COMPUTED_VALUE"""),"")</f>
        <v/>
      </c>
      <c r="P492" s="18" t="str">
        <f ca="1">IFERROR(__xludf.DUMMYFUNCTION("""COMPUTED_VALUE"""),"")</f>
        <v/>
      </c>
      <c r="Q492" s="18" t="str">
        <f ca="1">IFERROR(__xludf.DUMMYFUNCTION("""COMPUTED_VALUE"""),"")</f>
        <v/>
      </c>
      <c r="R492" s="18" t="str">
        <f ca="1">IFERROR(__xludf.DUMMYFUNCTION("""COMPUTED_VALUE"""),"")</f>
        <v/>
      </c>
      <c r="S492" s="18" t="str">
        <f ca="1">IFERROR(__xludf.DUMMYFUNCTION("""COMPUTED_VALUE"""),"")</f>
        <v/>
      </c>
      <c r="T492" s="18" t="str">
        <f ca="1">IFERROR(__xludf.DUMMYFUNCTION("""COMPUTED_VALUE"""),"")</f>
        <v/>
      </c>
      <c r="U492" s="18" t="str">
        <f ca="1">IFERROR(__xludf.DUMMYFUNCTION("""COMPUTED_VALUE"""),"")</f>
        <v/>
      </c>
      <c r="V492" s="18" t="str">
        <f ca="1">IFERROR(__xludf.DUMMYFUNCTION("""COMPUTED_VALUE"""),"")</f>
        <v/>
      </c>
      <c r="W492" s="18" t="str">
        <f ca="1">IFERROR(__xludf.DUMMYFUNCTION("""COMPUTED_VALUE"""),"")</f>
        <v/>
      </c>
      <c r="X492" s="18" t="str">
        <f ca="1">IFERROR(__xludf.DUMMYFUNCTION("""COMPUTED_VALUE"""),"")</f>
        <v/>
      </c>
      <c r="Y492" s="18" t="e">
        <f ca="1"/>
        <v>#NAME?</v>
      </c>
      <c r="Z492" s="18" t="str">
        <f ca="1">IFERROR(__xludf.DUMMYFUNCTION("""COMPUTED_VALUE"""),"")</f>
        <v/>
      </c>
      <c r="AA492" s="18" t="str">
        <f ca="1">IFERROR(__xludf.DUMMYFUNCTION("""COMPUTED_VALUE"""),"")</f>
        <v/>
      </c>
      <c r="AC492" s="59"/>
    </row>
    <row r="493" spans="1:29" x14ac:dyDescent="0.25">
      <c r="A493" s="18">
        <v>0</v>
      </c>
      <c r="B493" s="52" t="str">
        <f ca="1"/>
        <v/>
      </c>
      <c r="C493" s="52" t="str">
        <f ca="1">IFERROR(__xludf.DUMMYFUNCTION("""COMPUTED_VALUE"""),"")</f>
        <v/>
      </c>
      <c r="D493" s="18" t="str">
        <f ca="1">IFERROR(__xludf.DUMMYFUNCTION("""COMPUTED_VALUE"""),"")</f>
        <v/>
      </c>
      <c r="E493" s="18" t="str">
        <f ca="1">IFERROR(__xludf.DUMMYFUNCTION("""COMPUTED_VALUE"""),"")</f>
        <v/>
      </c>
      <c r="F493" s="18" t="str">
        <f ca="1">IFERROR(__xludf.DUMMYFUNCTION("""COMPUTED_VALUE"""),"")</f>
        <v/>
      </c>
      <c r="G493" s="18" t="str">
        <f ca="1">IFERROR(__xludf.DUMMYFUNCTION("""COMPUTED_VALUE"""),"")</f>
        <v/>
      </c>
      <c r="H493" s="18" t="str">
        <f ca="1">IFERROR(__xludf.DUMMYFUNCTION("""COMPUTED_VALUE"""),"")</f>
        <v/>
      </c>
      <c r="I493" s="18" t="str">
        <f ca="1">IFERROR(__xludf.DUMMYFUNCTION("""COMPUTED_VALUE"""),"")</f>
        <v/>
      </c>
      <c r="J493" s="18" t="str">
        <f ca="1">IFERROR(__xludf.DUMMYFUNCTION("""COMPUTED_VALUE"""),"")</f>
        <v/>
      </c>
      <c r="K493" s="18" t="str">
        <f ca="1">IFERROR(__xludf.DUMMYFUNCTION("""COMPUTED_VALUE"""),"")</f>
        <v/>
      </c>
      <c r="L493" s="18" t="str">
        <f ca="1">IFERROR(__xludf.DUMMYFUNCTION("""COMPUTED_VALUE"""),"")</f>
        <v/>
      </c>
      <c r="M493" s="18" t="str">
        <f ca="1">IFERROR(__xludf.DUMMYFUNCTION("""COMPUTED_VALUE"""),"")</f>
        <v/>
      </c>
      <c r="N493" s="18" t="str">
        <f ca="1">IFERROR(__xludf.DUMMYFUNCTION("""COMPUTED_VALUE"""),"")</f>
        <v/>
      </c>
      <c r="O493" s="18" t="str">
        <f ca="1">IFERROR(__xludf.DUMMYFUNCTION("""COMPUTED_VALUE"""),"")</f>
        <v/>
      </c>
      <c r="P493" s="18" t="str">
        <f ca="1">IFERROR(__xludf.DUMMYFUNCTION("""COMPUTED_VALUE"""),"")</f>
        <v/>
      </c>
      <c r="Q493" s="18" t="str">
        <f ca="1">IFERROR(__xludf.DUMMYFUNCTION("""COMPUTED_VALUE"""),"")</f>
        <v/>
      </c>
      <c r="R493" s="18" t="str">
        <f ca="1">IFERROR(__xludf.DUMMYFUNCTION("""COMPUTED_VALUE"""),"")</f>
        <v/>
      </c>
      <c r="S493" s="18" t="str">
        <f ca="1">IFERROR(__xludf.DUMMYFUNCTION("""COMPUTED_VALUE"""),"")</f>
        <v/>
      </c>
      <c r="T493" s="18" t="str">
        <f ca="1">IFERROR(__xludf.DUMMYFUNCTION("""COMPUTED_VALUE"""),"")</f>
        <v/>
      </c>
      <c r="U493" s="18" t="str">
        <f ca="1">IFERROR(__xludf.DUMMYFUNCTION("""COMPUTED_VALUE"""),"")</f>
        <v/>
      </c>
      <c r="V493" s="18" t="str">
        <f ca="1">IFERROR(__xludf.DUMMYFUNCTION("""COMPUTED_VALUE"""),"")</f>
        <v/>
      </c>
      <c r="W493" s="18" t="str">
        <f ca="1">IFERROR(__xludf.DUMMYFUNCTION("""COMPUTED_VALUE"""),"")</f>
        <v/>
      </c>
      <c r="X493" s="18" t="str">
        <f ca="1">IFERROR(__xludf.DUMMYFUNCTION("""COMPUTED_VALUE"""),"")</f>
        <v/>
      </c>
      <c r="Y493" s="18" t="e">
        <f ca="1"/>
        <v>#NAME?</v>
      </c>
      <c r="Z493" s="18" t="str">
        <f ca="1">IFERROR(__xludf.DUMMYFUNCTION("""COMPUTED_VALUE"""),"")</f>
        <v/>
      </c>
      <c r="AA493" s="18" t="str">
        <f ca="1">IFERROR(__xludf.DUMMYFUNCTION("""COMPUTED_VALUE"""),"")</f>
        <v/>
      </c>
      <c r="AC493" s="59"/>
    </row>
    <row r="494" spans="1:29" x14ac:dyDescent="0.25">
      <c r="A494" s="18">
        <v>0</v>
      </c>
      <c r="B494" s="52" t="str">
        <f ca="1"/>
        <v/>
      </c>
      <c r="C494" s="52" t="str">
        <f ca="1">IFERROR(__xludf.DUMMYFUNCTION("""COMPUTED_VALUE"""),"")</f>
        <v/>
      </c>
      <c r="D494" s="18" t="str">
        <f ca="1">IFERROR(__xludf.DUMMYFUNCTION("""COMPUTED_VALUE"""),"")</f>
        <v/>
      </c>
      <c r="E494" s="18" t="str">
        <f ca="1">IFERROR(__xludf.DUMMYFUNCTION("""COMPUTED_VALUE"""),"")</f>
        <v/>
      </c>
      <c r="F494" s="18" t="str">
        <f ca="1">IFERROR(__xludf.DUMMYFUNCTION("""COMPUTED_VALUE"""),"")</f>
        <v/>
      </c>
      <c r="G494" s="18" t="str">
        <f ca="1">IFERROR(__xludf.DUMMYFUNCTION("""COMPUTED_VALUE"""),"")</f>
        <v/>
      </c>
      <c r="H494" s="18" t="str">
        <f ca="1">IFERROR(__xludf.DUMMYFUNCTION("""COMPUTED_VALUE"""),"")</f>
        <v/>
      </c>
      <c r="I494" s="18" t="str">
        <f ca="1">IFERROR(__xludf.DUMMYFUNCTION("""COMPUTED_VALUE"""),"")</f>
        <v/>
      </c>
      <c r="J494" s="18" t="str">
        <f ca="1">IFERROR(__xludf.DUMMYFUNCTION("""COMPUTED_VALUE"""),"")</f>
        <v/>
      </c>
      <c r="K494" s="18" t="str">
        <f ca="1">IFERROR(__xludf.DUMMYFUNCTION("""COMPUTED_VALUE"""),"")</f>
        <v/>
      </c>
      <c r="L494" s="18" t="str">
        <f ca="1">IFERROR(__xludf.DUMMYFUNCTION("""COMPUTED_VALUE"""),"")</f>
        <v/>
      </c>
      <c r="M494" s="18" t="str">
        <f ca="1">IFERROR(__xludf.DUMMYFUNCTION("""COMPUTED_VALUE"""),"")</f>
        <v/>
      </c>
      <c r="N494" s="18" t="str">
        <f ca="1">IFERROR(__xludf.DUMMYFUNCTION("""COMPUTED_VALUE"""),"")</f>
        <v/>
      </c>
      <c r="O494" s="18" t="str">
        <f ca="1">IFERROR(__xludf.DUMMYFUNCTION("""COMPUTED_VALUE"""),"")</f>
        <v/>
      </c>
      <c r="P494" s="18" t="str">
        <f ca="1">IFERROR(__xludf.DUMMYFUNCTION("""COMPUTED_VALUE"""),"")</f>
        <v/>
      </c>
      <c r="Q494" s="18" t="str">
        <f ca="1">IFERROR(__xludf.DUMMYFUNCTION("""COMPUTED_VALUE"""),"")</f>
        <v/>
      </c>
      <c r="R494" s="18" t="str">
        <f ca="1">IFERROR(__xludf.DUMMYFUNCTION("""COMPUTED_VALUE"""),"")</f>
        <v/>
      </c>
      <c r="S494" s="18" t="str">
        <f ca="1">IFERROR(__xludf.DUMMYFUNCTION("""COMPUTED_VALUE"""),"")</f>
        <v/>
      </c>
      <c r="T494" s="18" t="str">
        <f ca="1">IFERROR(__xludf.DUMMYFUNCTION("""COMPUTED_VALUE"""),"")</f>
        <v/>
      </c>
      <c r="U494" s="18" t="str">
        <f ca="1">IFERROR(__xludf.DUMMYFUNCTION("""COMPUTED_VALUE"""),"")</f>
        <v/>
      </c>
      <c r="V494" s="18" t="str">
        <f ca="1">IFERROR(__xludf.DUMMYFUNCTION("""COMPUTED_VALUE"""),"")</f>
        <v/>
      </c>
      <c r="W494" s="18" t="str">
        <f ca="1">IFERROR(__xludf.DUMMYFUNCTION("""COMPUTED_VALUE"""),"")</f>
        <v/>
      </c>
      <c r="X494" s="18" t="str">
        <f ca="1">IFERROR(__xludf.DUMMYFUNCTION("""COMPUTED_VALUE"""),"")</f>
        <v/>
      </c>
      <c r="Y494" s="18" t="e">
        <f ca="1"/>
        <v>#NAME?</v>
      </c>
      <c r="Z494" s="18" t="str">
        <f ca="1">IFERROR(__xludf.DUMMYFUNCTION("""COMPUTED_VALUE"""),"")</f>
        <v/>
      </c>
      <c r="AA494" s="18" t="str">
        <f ca="1">IFERROR(__xludf.DUMMYFUNCTION("""COMPUTED_VALUE"""),"")</f>
        <v/>
      </c>
      <c r="AC494" s="59"/>
    </row>
    <row r="495" spans="1:29" x14ac:dyDescent="0.25">
      <c r="A495" s="18">
        <v>0</v>
      </c>
      <c r="B495" s="52" t="str">
        <f ca="1"/>
        <v/>
      </c>
      <c r="C495" s="52" t="str">
        <f ca="1">IFERROR(__xludf.DUMMYFUNCTION("""COMPUTED_VALUE"""),"")</f>
        <v/>
      </c>
      <c r="D495" s="18" t="str">
        <f ca="1">IFERROR(__xludf.DUMMYFUNCTION("""COMPUTED_VALUE"""),"")</f>
        <v/>
      </c>
      <c r="E495" s="18" t="str">
        <f ca="1">IFERROR(__xludf.DUMMYFUNCTION("""COMPUTED_VALUE"""),"")</f>
        <v/>
      </c>
      <c r="F495" s="18" t="str">
        <f ca="1">IFERROR(__xludf.DUMMYFUNCTION("""COMPUTED_VALUE"""),"")</f>
        <v/>
      </c>
      <c r="G495" s="18" t="str">
        <f ca="1">IFERROR(__xludf.DUMMYFUNCTION("""COMPUTED_VALUE"""),"")</f>
        <v/>
      </c>
      <c r="H495" s="18" t="str">
        <f ca="1">IFERROR(__xludf.DUMMYFUNCTION("""COMPUTED_VALUE"""),"")</f>
        <v/>
      </c>
      <c r="I495" s="18" t="str">
        <f ca="1">IFERROR(__xludf.DUMMYFUNCTION("""COMPUTED_VALUE"""),"")</f>
        <v/>
      </c>
      <c r="J495" s="18" t="str">
        <f ca="1">IFERROR(__xludf.DUMMYFUNCTION("""COMPUTED_VALUE"""),"")</f>
        <v/>
      </c>
      <c r="K495" s="18" t="str">
        <f ca="1">IFERROR(__xludf.DUMMYFUNCTION("""COMPUTED_VALUE"""),"")</f>
        <v/>
      </c>
      <c r="L495" s="18" t="str">
        <f ca="1">IFERROR(__xludf.DUMMYFUNCTION("""COMPUTED_VALUE"""),"")</f>
        <v/>
      </c>
      <c r="M495" s="18" t="str">
        <f ca="1">IFERROR(__xludf.DUMMYFUNCTION("""COMPUTED_VALUE"""),"")</f>
        <v/>
      </c>
      <c r="N495" s="18" t="str">
        <f ca="1">IFERROR(__xludf.DUMMYFUNCTION("""COMPUTED_VALUE"""),"")</f>
        <v/>
      </c>
      <c r="O495" s="18" t="str">
        <f ca="1">IFERROR(__xludf.DUMMYFUNCTION("""COMPUTED_VALUE"""),"")</f>
        <v/>
      </c>
      <c r="P495" s="18" t="str">
        <f ca="1">IFERROR(__xludf.DUMMYFUNCTION("""COMPUTED_VALUE"""),"")</f>
        <v/>
      </c>
      <c r="Q495" s="18" t="str">
        <f ca="1">IFERROR(__xludf.DUMMYFUNCTION("""COMPUTED_VALUE"""),"")</f>
        <v/>
      </c>
      <c r="R495" s="18" t="str">
        <f ca="1">IFERROR(__xludf.DUMMYFUNCTION("""COMPUTED_VALUE"""),"")</f>
        <v/>
      </c>
      <c r="S495" s="18" t="str">
        <f ca="1">IFERROR(__xludf.DUMMYFUNCTION("""COMPUTED_VALUE"""),"")</f>
        <v/>
      </c>
      <c r="T495" s="18" t="str">
        <f ca="1">IFERROR(__xludf.DUMMYFUNCTION("""COMPUTED_VALUE"""),"")</f>
        <v/>
      </c>
      <c r="U495" s="18" t="str">
        <f ca="1">IFERROR(__xludf.DUMMYFUNCTION("""COMPUTED_VALUE"""),"")</f>
        <v/>
      </c>
      <c r="V495" s="18" t="str">
        <f ca="1">IFERROR(__xludf.DUMMYFUNCTION("""COMPUTED_VALUE"""),"")</f>
        <v/>
      </c>
      <c r="W495" s="18" t="str">
        <f ca="1">IFERROR(__xludf.DUMMYFUNCTION("""COMPUTED_VALUE"""),"")</f>
        <v/>
      </c>
      <c r="X495" s="18" t="str">
        <f ca="1">IFERROR(__xludf.DUMMYFUNCTION("""COMPUTED_VALUE"""),"")</f>
        <v/>
      </c>
      <c r="Y495" s="18" t="e">
        <f ca="1"/>
        <v>#NAME?</v>
      </c>
      <c r="Z495" s="18" t="str">
        <f ca="1">IFERROR(__xludf.DUMMYFUNCTION("""COMPUTED_VALUE"""),"")</f>
        <v/>
      </c>
      <c r="AA495" s="18" t="str">
        <f ca="1">IFERROR(__xludf.DUMMYFUNCTION("""COMPUTED_VALUE"""),"")</f>
        <v/>
      </c>
      <c r="AC495" s="59"/>
    </row>
    <row r="496" spans="1:29" x14ac:dyDescent="0.25">
      <c r="A496" s="18">
        <v>0</v>
      </c>
      <c r="B496" s="52" t="str">
        <f ca="1"/>
        <v/>
      </c>
      <c r="C496" s="52" t="str">
        <f ca="1">IFERROR(__xludf.DUMMYFUNCTION("""COMPUTED_VALUE"""),"")</f>
        <v/>
      </c>
      <c r="D496" s="18" t="str">
        <f ca="1">IFERROR(__xludf.DUMMYFUNCTION("""COMPUTED_VALUE"""),"")</f>
        <v/>
      </c>
      <c r="E496" s="18" t="str">
        <f ca="1">IFERROR(__xludf.DUMMYFUNCTION("""COMPUTED_VALUE"""),"")</f>
        <v/>
      </c>
      <c r="F496" s="18" t="str">
        <f ca="1">IFERROR(__xludf.DUMMYFUNCTION("""COMPUTED_VALUE"""),"")</f>
        <v/>
      </c>
      <c r="G496" s="18" t="str">
        <f ca="1">IFERROR(__xludf.DUMMYFUNCTION("""COMPUTED_VALUE"""),"")</f>
        <v/>
      </c>
      <c r="H496" s="18" t="str">
        <f ca="1">IFERROR(__xludf.DUMMYFUNCTION("""COMPUTED_VALUE"""),"")</f>
        <v/>
      </c>
      <c r="I496" s="18" t="str">
        <f ca="1">IFERROR(__xludf.DUMMYFUNCTION("""COMPUTED_VALUE"""),"")</f>
        <v/>
      </c>
      <c r="J496" s="18" t="str">
        <f ca="1">IFERROR(__xludf.DUMMYFUNCTION("""COMPUTED_VALUE"""),"")</f>
        <v/>
      </c>
      <c r="K496" s="18" t="str">
        <f ca="1">IFERROR(__xludf.DUMMYFUNCTION("""COMPUTED_VALUE"""),"")</f>
        <v/>
      </c>
      <c r="L496" s="18" t="str">
        <f ca="1">IFERROR(__xludf.DUMMYFUNCTION("""COMPUTED_VALUE"""),"")</f>
        <v/>
      </c>
      <c r="M496" s="18" t="str">
        <f ca="1">IFERROR(__xludf.DUMMYFUNCTION("""COMPUTED_VALUE"""),"")</f>
        <v/>
      </c>
      <c r="N496" s="18" t="str">
        <f ca="1">IFERROR(__xludf.DUMMYFUNCTION("""COMPUTED_VALUE"""),"")</f>
        <v/>
      </c>
      <c r="O496" s="18" t="str">
        <f ca="1">IFERROR(__xludf.DUMMYFUNCTION("""COMPUTED_VALUE"""),"")</f>
        <v/>
      </c>
      <c r="P496" s="18" t="str">
        <f ca="1">IFERROR(__xludf.DUMMYFUNCTION("""COMPUTED_VALUE"""),"")</f>
        <v/>
      </c>
      <c r="Q496" s="18" t="str">
        <f ca="1">IFERROR(__xludf.DUMMYFUNCTION("""COMPUTED_VALUE"""),"")</f>
        <v/>
      </c>
      <c r="R496" s="18" t="str">
        <f ca="1">IFERROR(__xludf.DUMMYFUNCTION("""COMPUTED_VALUE"""),"")</f>
        <v/>
      </c>
      <c r="S496" s="18" t="str">
        <f ca="1">IFERROR(__xludf.DUMMYFUNCTION("""COMPUTED_VALUE"""),"")</f>
        <v/>
      </c>
      <c r="T496" s="18" t="str">
        <f ca="1">IFERROR(__xludf.DUMMYFUNCTION("""COMPUTED_VALUE"""),"")</f>
        <v/>
      </c>
      <c r="U496" s="18" t="str">
        <f ca="1">IFERROR(__xludf.DUMMYFUNCTION("""COMPUTED_VALUE"""),"")</f>
        <v/>
      </c>
      <c r="V496" s="18" t="str">
        <f ca="1">IFERROR(__xludf.DUMMYFUNCTION("""COMPUTED_VALUE"""),"")</f>
        <v/>
      </c>
      <c r="W496" s="18" t="str">
        <f ca="1">IFERROR(__xludf.DUMMYFUNCTION("""COMPUTED_VALUE"""),"")</f>
        <v/>
      </c>
      <c r="X496" s="18" t="str">
        <f ca="1">IFERROR(__xludf.DUMMYFUNCTION("""COMPUTED_VALUE"""),"")</f>
        <v/>
      </c>
      <c r="Y496" s="18" t="e">
        <f ca="1"/>
        <v>#NAME?</v>
      </c>
      <c r="Z496" s="18" t="str">
        <f ca="1">IFERROR(__xludf.DUMMYFUNCTION("""COMPUTED_VALUE"""),"")</f>
        <v/>
      </c>
      <c r="AA496" s="18" t="str">
        <f ca="1">IFERROR(__xludf.DUMMYFUNCTION("""COMPUTED_VALUE"""),"")</f>
        <v/>
      </c>
      <c r="AC496" s="59"/>
    </row>
    <row r="497" spans="1:29" x14ac:dyDescent="0.25">
      <c r="A497" s="18">
        <v>0</v>
      </c>
      <c r="B497" s="52" t="str">
        <f ca="1"/>
        <v/>
      </c>
      <c r="C497" s="52" t="str">
        <f ca="1">IFERROR(__xludf.DUMMYFUNCTION("""COMPUTED_VALUE"""),"")</f>
        <v/>
      </c>
      <c r="D497" s="18" t="str">
        <f ca="1">IFERROR(__xludf.DUMMYFUNCTION("""COMPUTED_VALUE"""),"")</f>
        <v/>
      </c>
      <c r="E497" s="18" t="str">
        <f ca="1">IFERROR(__xludf.DUMMYFUNCTION("""COMPUTED_VALUE"""),"")</f>
        <v/>
      </c>
      <c r="F497" s="18" t="str">
        <f ca="1">IFERROR(__xludf.DUMMYFUNCTION("""COMPUTED_VALUE"""),"")</f>
        <v/>
      </c>
      <c r="G497" s="18" t="str">
        <f ca="1">IFERROR(__xludf.DUMMYFUNCTION("""COMPUTED_VALUE"""),"")</f>
        <v/>
      </c>
      <c r="H497" s="18" t="str">
        <f ca="1">IFERROR(__xludf.DUMMYFUNCTION("""COMPUTED_VALUE"""),"")</f>
        <v/>
      </c>
      <c r="I497" s="18" t="str">
        <f ca="1">IFERROR(__xludf.DUMMYFUNCTION("""COMPUTED_VALUE"""),"")</f>
        <v/>
      </c>
      <c r="J497" s="18" t="str">
        <f ca="1">IFERROR(__xludf.DUMMYFUNCTION("""COMPUTED_VALUE"""),"")</f>
        <v/>
      </c>
      <c r="K497" s="18" t="str">
        <f ca="1">IFERROR(__xludf.DUMMYFUNCTION("""COMPUTED_VALUE"""),"")</f>
        <v/>
      </c>
      <c r="L497" s="18" t="str">
        <f ca="1">IFERROR(__xludf.DUMMYFUNCTION("""COMPUTED_VALUE"""),"")</f>
        <v/>
      </c>
      <c r="M497" s="18" t="str">
        <f ca="1">IFERROR(__xludf.DUMMYFUNCTION("""COMPUTED_VALUE"""),"")</f>
        <v/>
      </c>
      <c r="N497" s="18" t="str">
        <f ca="1">IFERROR(__xludf.DUMMYFUNCTION("""COMPUTED_VALUE"""),"")</f>
        <v/>
      </c>
      <c r="O497" s="18" t="str">
        <f ca="1">IFERROR(__xludf.DUMMYFUNCTION("""COMPUTED_VALUE"""),"")</f>
        <v/>
      </c>
      <c r="P497" s="18" t="str">
        <f ca="1">IFERROR(__xludf.DUMMYFUNCTION("""COMPUTED_VALUE"""),"")</f>
        <v/>
      </c>
      <c r="Q497" s="18" t="str">
        <f ca="1">IFERROR(__xludf.DUMMYFUNCTION("""COMPUTED_VALUE"""),"")</f>
        <v/>
      </c>
      <c r="R497" s="18" t="str">
        <f ca="1">IFERROR(__xludf.DUMMYFUNCTION("""COMPUTED_VALUE"""),"")</f>
        <v/>
      </c>
      <c r="S497" s="18" t="str">
        <f ca="1">IFERROR(__xludf.DUMMYFUNCTION("""COMPUTED_VALUE"""),"")</f>
        <v/>
      </c>
      <c r="T497" s="18" t="str">
        <f ca="1">IFERROR(__xludf.DUMMYFUNCTION("""COMPUTED_VALUE"""),"")</f>
        <v/>
      </c>
      <c r="U497" s="18" t="str">
        <f ca="1">IFERROR(__xludf.DUMMYFUNCTION("""COMPUTED_VALUE"""),"")</f>
        <v/>
      </c>
      <c r="V497" s="18" t="str">
        <f ca="1">IFERROR(__xludf.DUMMYFUNCTION("""COMPUTED_VALUE"""),"")</f>
        <v/>
      </c>
      <c r="W497" s="18" t="str">
        <f ca="1">IFERROR(__xludf.DUMMYFUNCTION("""COMPUTED_VALUE"""),"")</f>
        <v/>
      </c>
      <c r="X497" s="18" t="str">
        <f ca="1">IFERROR(__xludf.DUMMYFUNCTION("""COMPUTED_VALUE"""),"")</f>
        <v/>
      </c>
      <c r="Y497" s="18" t="e">
        <f ca="1"/>
        <v>#NAME?</v>
      </c>
      <c r="Z497" s="18" t="str">
        <f ca="1">IFERROR(__xludf.DUMMYFUNCTION("""COMPUTED_VALUE"""),"")</f>
        <v/>
      </c>
      <c r="AA497" s="18" t="str">
        <f ca="1">IFERROR(__xludf.DUMMYFUNCTION("""COMPUTED_VALUE"""),"")</f>
        <v/>
      </c>
      <c r="AC497" s="59"/>
    </row>
    <row r="498" spans="1:29" x14ac:dyDescent="0.25">
      <c r="A498" s="18">
        <v>0</v>
      </c>
      <c r="B498" s="52" t="str">
        <f ca="1"/>
        <v/>
      </c>
      <c r="C498" s="52" t="str">
        <f ca="1">IFERROR(__xludf.DUMMYFUNCTION("""COMPUTED_VALUE"""),"")</f>
        <v/>
      </c>
      <c r="D498" s="18" t="str">
        <f ca="1">IFERROR(__xludf.DUMMYFUNCTION("""COMPUTED_VALUE"""),"")</f>
        <v/>
      </c>
      <c r="E498" s="18" t="str">
        <f ca="1">IFERROR(__xludf.DUMMYFUNCTION("""COMPUTED_VALUE"""),"")</f>
        <v/>
      </c>
      <c r="F498" s="18" t="str">
        <f ca="1">IFERROR(__xludf.DUMMYFUNCTION("""COMPUTED_VALUE"""),"")</f>
        <v/>
      </c>
      <c r="G498" s="18" t="str">
        <f ca="1">IFERROR(__xludf.DUMMYFUNCTION("""COMPUTED_VALUE"""),"")</f>
        <v/>
      </c>
      <c r="H498" s="18" t="str">
        <f ca="1">IFERROR(__xludf.DUMMYFUNCTION("""COMPUTED_VALUE"""),"")</f>
        <v/>
      </c>
      <c r="I498" s="18" t="str">
        <f ca="1">IFERROR(__xludf.DUMMYFUNCTION("""COMPUTED_VALUE"""),"")</f>
        <v/>
      </c>
      <c r="J498" s="18" t="str">
        <f ca="1">IFERROR(__xludf.DUMMYFUNCTION("""COMPUTED_VALUE"""),"")</f>
        <v/>
      </c>
      <c r="K498" s="18" t="str">
        <f ca="1">IFERROR(__xludf.DUMMYFUNCTION("""COMPUTED_VALUE"""),"")</f>
        <v/>
      </c>
      <c r="L498" s="18" t="str">
        <f ca="1">IFERROR(__xludf.DUMMYFUNCTION("""COMPUTED_VALUE"""),"")</f>
        <v/>
      </c>
      <c r="M498" s="18" t="str">
        <f ca="1">IFERROR(__xludf.DUMMYFUNCTION("""COMPUTED_VALUE"""),"")</f>
        <v/>
      </c>
      <c r="N498" s="18" t="str">
        <f ca="1">IFERROR(__xludf.DUMMYFUNCTION("""COMPUTED_VALUE"""),"")</f>
        <v/>
      </c>
      <c r="O498" s="18" t="str">
        <f ca="1">IFERROR(__xludf.DUMMYFUNCTION("""COMPUTED_VALUE"""),"")</f>
        <v/>
      </c>
      <c r="P498" s="18" t="str">
        <f ca="1">IFERROR(__xludf.DUMMYFUNCTION("""COMPUTED_VALUE"""),"")</f>
        <v/>
      </c>
      <c r="Q498" s="18" t="str">
        <f ca="1">IFERROR(__xludf.DUMMYFUNCTION("""COMPUTED_VALUE"""),"")</f>
        <v/>
      </c>
      <c r="R498" s="18" t="str">
        <f ca="1">IFERROR(__xludf.DUMMYFUNCTION("""COMPUTED_VALUE"""),"")</f>
        <v/>
      </c>
      <c r="S498" s="18" t="str">
        <f ca="1">IFERROR(__xludf.DUMMYFUNCTION("""COMPUTED_VALUE"""),"")</f>
        <v/>
      </c>
      <c r="T498" s="18" t="str">
        <f ca="1">IFERROR(__xludf.DUMMYFUNCTION("""COMPUTED_VALUE"""),"")</f>
        <v/>
      </c>
      <c r="U498" s="18" t="str">
        <f ca="1">IFERROR(__xludf.DUMMYFUNCTION("""COMPUTED_VALUE"""),"")</f>
        <v/>
      </c>
      <c r="V498" s="18" t="str">
        <f ca="1">IFERROR(__xludf.DUMMYFUNCTION("""COMPUTED_VALUE"""),"")</f>
        <v/>
      </c>
      <c r="W498" s="18" t="str">
        <f ca="1">IFERROR(__xludf.DUMMYFUNCTION("""COMPUTED_VALUE"""),"")</f>
        <v/>
      </c>
      <c r="X498" s="18" t="str">
        <f ca="1">IFERROR(__xludf.DUMMYFUNCTION("""COMPUTED_VALUE"""),"")</f>
        <v/>
      </c>
      <c r="Y498" s="18" t="e">
        <f ca="1"/>
        <v>#NAME?</v>
      </c>
      <c r="Z498" s="18" t="str">
        <f ca="1">IFERROR(__xludf.DUMMYFUNCTION("""COMPUTED_VALUE"""),"")</f>
        <v/>
      </c>
      <c r="AA498" s="18" t="str">
        <f ca="1">IFERROR(__xludf.DUMMYFUNCTION("""COMPUTED_VALUE"""),"")</f>
        <v/>
      </c>
      <c r="AC498" s="59"/>
    </row>
    <row r="499" spans="1:29" x14ac:dyDescent="0.25">
      <c r="A499" s="18">
        <v>0</v>
      </c>
      <c r="B499" s="52" t="str">
        <f ca="1"/>
        <v/>
      </c>
      <c r="C499" s="52" t="str">
        <f ca="1">IFERROR(__xludf.DUMMYFUNCTION("""COMPUTED_VALUE"""),"")</f>
        <v/>
      </c>
      <c r="D499" s="18" t="str">
        <f ca="1">IFERROR(__xludf.DUMMYFUNCTION("""COMPUTED_VALUE"""),"")</f>
        <v/>
      </c>
      <c r="E499" s="18" t="str">
        <f ca="1">IFERROR(__xludf.DUMMYFUNCTION("""COMPUTED_VALUE"""),"")</f>
        <v/>
      </c>
      <c r="F499" s="18" t="str">
        <f ca="1">IFERROR(__xludf.DUMMYFUNCTION("""COMPUTED_VALUE"""),"")</f>
        <v/>
      </c>
      <c r="G499" s="18" t="str">
        <f ca="1">IFERROR(__xludf.DUMMYFUNCTION("""COMPUTED_VALUE"""),"")</f>
        <v/>
      </c>
      <c r="H499" s="18" t="str">
        <f ca="1">IFERROR(__xludf.DUMMYFUNCTION("""COMPUTED_VALUE"""),"")</f>
        <v/>
      </c>
      <c r="I499" s="18" t="str">
        <f ca="1">IFERROR(__xludf.DUMMYFUNCTION("""COMPUTED_VALUE"""),"")</f>
        <v/>
      </c>
      <c r="J499" s="18" t="str">
        <f ca="1">IFERROR(__xludf.DUMMYFUNCTION("""COMPUTED_VALUE"""),"")</f>
        <v/>
      </c>
      <c r="K499" s="18" t="str">
        <f ca="1">IFERROR(__xludf.DUMMYFUNCTION("""COMPUTED_VALUE"""),"")</f>
        <v/>
      </c>
      <c r="L499" s="18" t="str">
        <f ca="1">IFERROR(__xludf.DUMMYFUNCTION("""COMPUTED_VALUE"""),"")</f>
        <v/>
      </c>
      <c r="M499" s="18" t="str">
        <f ca="1">IFERROR(__xludf.DUMMYFUNCTION("""COMPUTED_VALUE"""),"")</f>
        <v/>
      </c>
      <c r="N499" s="18" t="str">
        <f ca="1">IFERROR(__xludf.DUMMYFUNCTION("""COMPUTED_VALUE"""),"")</f>
        <v/>
      </c>
      <c r="O499" s="18" t="str">
        <f ca="1">IFERROR(__xludf.DUMMYFUNCTION("""COMPUTED_VALUE"""),"")</f>
        <v/>
      </c>
      <c r="P499" s="18" t="str">
        <f ca="1">IFERROR(__xludf.DUMMYFUNCTION("""COMPUTED_VALUE"""),"")</f>
        <v/>
      </c>
      <c r="Q499" s="18" t="str">
        <f ca="1">IFERROR(__xludf.DUMMYFUNCTION("""COMPUTED_VALUE"""),"")</f>
        <v/>
      </c>
      <c r="R499" s="18" t="str">
        <f ca="1">IFERROR(__xludf.DUMMYFUNCTION("""COMPUTED_VALUE"""),"")</f>
        <v/>
      </c>
      <c r="S499" s="18" t="str">
        <f ca="1">IFERROR(__xludf.DUMMYFUNCTION("""COMPUTED_VALUE"""),"")</f>
        <v/>
      </c>
      <c r="T499" s="18" t="str">
        <f ca="1">IFERROR(__xludf.DUMMYFUNCTION("""COMPUTED_VALUE"""),"")</f>
        <v/>
      </c>
      <c r="U499" s="18" t="str">
        <f ca="1">IFERROR(__xludf.DUMMYFUNCTION("""COMPUTED_VALUE"""),"")</f>
        <v/>
      </c>
      <c r="V499" s="18" t="str">
        <f ca="1">IFERROR(__xludf.DUMMYFUNCTION("""COMPUTED_VALUE"""),"")</f>
        <v/>
      </c>
      <c r="W499" s="18" t="str">
        <f ca="1">IFERROR(__xludf.DUMMYFUNCTION("""COMPUTED_VALUE"""),"")</f>
        <v/>
      </c>
      <c r="X499" s="18" t="str">
        <f ca="1">IFERROR(__xludf.DUMMYFUNCTION("""COMPUTED_VALUE"""),"")</f>
        <v/>
      </c>
      <c r="Y499" s="18" t="e">
        <f ca="1"/>
        <v>#NAME?</v>
      </c>
      <c r="Z499" s="18" t="str">
        <f ca="1">IFERROR(__xludf.DUMMYFUNCTION("""COMPUTED_VALUE"""),"")</f>
        <v/>
      </c>
      <c r="AA499" s="18" t="str">
        <f ca="1">IFERROR(__xludf.DUMMYFUNCTION("""COMPUTED_VALUE"""),"")</f>
        <v/>
      </c>
      <c r="AC499" s="59"/>
    </row>
    <row r="500" spans="1:29" x14ac:dyDescent="0.25">
      <c r="A500" s="18">
        <v>0</v>
      </c>
      <c r="B500" s="52" t="str">
        <f ca="1"/>
        <v/>
      </c>
      <c r="C500" s="52" t="str">
        <f ca="1">IFERROR(__xludf.DUMMYFUNCTION("""COMPUTED_VALUE"""),"")</f>
        <v/>
      </c>
      <c r="D500" s="18" t="str">
        <f ca="1">IFERROR(__xludf.DUMMYFUNCTION("""COMPUTED_VALUE"""),"")</f>
        <v/>
      </c>
      <c r="E500" s="18" t="str">
        <f ca="1">IFERROR(__xludf.DUMMYFUNCTION("""COMPUTED_VALUE"""),"")</f>
        <v/>
      </c>
      <c r="F500" s="18" t="str">
        <f ca="1">IFERROR(__xludf.DUMMYFUNCTION("""COMPUTED_VALUE"""),"")</f>
        <v/>
      </c>
      <c r="G500" s="18" t="str">
        <f ca="1">IFERROR(__xludf.DUMMYFUNCTION("""COMPUTED_VALUE"""),"")</f>
        <v/>
      </c>
      <c r="H500" s="18" t="str">
        <f ca="1">IFERROR(__xludf.DUMMYFUNCTION("""COMPUTED_VALUE"""),"")</f>
        <v/>
      </c>
      <c r="I500" s="18" t="str">
        <f ca="1">IFERROR(__xludf.DUMMYFUNCTION("""COMPUTED_VALUE"""),"")</f>
        <v/>
      </c>
      <c r="J500" s="18" t="str">
        <f ca="1">IFERROR(__xludf.DUMMYFUNCTION("""COMPUTED_VALUE"""),"")</f>
        <v/>
      </c>
      <c r="K500" s="18" t="str">
        <f ca="1">IFERROR(__xludf.DUMMYFUNCTION("""COMPUTED_VALUE"""),"")</f>
        <v/>
      </c>
      <c r="L500" s="18" t="str">
        <f ca="1">IFERROR(__xludf.DUMMYFUNCTION("""COMPUTED_VALUE"""),"")</f>
        <v/>
      </c>
      <c r="M500" s="18" t="str">
        <f ca="1">IFERROR(__xludf.DUMMYFUNCTION("""COMPUTED_VALUE"""),"")</f>
        <v/>
      </c>
      <c r="N500" s="18" t="str">
        <f ca="1">IFERROR(__xludf.DUMMYFUNCTION("""COMPUTED_VALUE"""),"")</f>
        <v/>
      </c>
      <c r="O500" s="18" t="str">
        <f ca="1">IFERROR(__xludf.DUMMYFUNCTION("""COMPUTED_VALUE"""),"")</f>
        <v/>
      </c>
      <c r="P500" s="18" t="str">
        <f ca="1">IFERROR(__xludf.DUMMYFUNCTION("""COMPUTED_VALUE"""),"")</f>
        <v/>
      </c>
      <c r="Q500" s="18" t="str">
        <f ca="1">IFERROR(__xludf.DUMMYFUNCTION("""COMPUTED_VALUE"""),"")</f>
        <v/>
      </c>
      <c r="R500" s="18" t="str">
        <f ca="1">IFERROR(__xludf.DUMMYFUNCTION("""COMPUTED_VALUE"""),"")</f>
        <v/>
      </c>
      <c r="S500" s="18" t="str">
        <f ca="1">IFERROR(__xludf.DUMMYFUNCTION("""COMPUTED_VALUE"""),"")</f>
        <v/>
      </c>
      <c r="T500" s="18" t="str">
        <f ca="1">IFERROR(__xludf.DUMMYFUNCTION("""COMPUTED_VALUE"""),"")</f>
        <v/>
      </c>
      <c r="U500" s="18" t="str">
        <f ca="1">IFERROR(__xludf.DUMMYFUNCTION("""COMPUTED_VALUE"""),"")</f>
        <v/>
      </c>
      <c r="V500" s="18" t="str">
        <f ca="1">IFERROR(__xludf.DUMMYFUNCTION("""COMPUTED_VALUE"""),"")</f>
        <v/>
      </c>
      <c r="W500" s="18" t="str">
        <f ca="1">IFERROR(__xludf.DUMMYFUNCTION("""COMPUTED_VALUE"""),"")</f>
        <v/>
      </c>
      <c r="X500" s="18" t="str">
        <f ca="1">IFERROR(__xludf.DUMMYFUNCTION("""COMPUTED_VALUE"""),"")</f>
        <v/>
      </c>
      <c r="Y500" s="18" t="e">
        <f ca="1"/>
        <v>#NAME?</v>
      </c>
      <c r="Z500" s="18" t="str">
        <f ca="1">IFERROR(__xludf.DUMMYFUNCTION("""COMPUTED_VALUE"""),"")</f>
        <v/>
      </c>
      <c r="AA500" s="18" t="str">
        <f ca="1">IFERROR(__xludf.DUMMYFUNCTION("""COMPUTED_VALUE"""),"")</f>
        <v/>
      </c>
      <c r="AC500" s="59"/>
    </row>
    <row r="501" spans="1:29" x14ac:dyDescent="0.25">
      <c r="A501" s="18">
        <v>0</v>
      </c>
      <c r="B501" s="52" t="str">
        <f ca="1"/>
        <v/>
      </c>
      <c r="C501" s="52" t="str">
        <f ca="1">IFERROR(__xludf.DUMMYFUNCTION("""COMPUTED_VALUE"""),"")</f>
        <v/>
      </c>
      <c r="D501" s="18" t="str">
        <f ca="1">IFERROR(__xludf.DUMMYFUNCTION("""COMPUTED_VALUE"""),"")</f>
        <v/>
      </c>
      <c r="E501" s="18" t="str">
        <f ca="1">IFERROR(__xludf.DUMMYFUNCTION("""COMPUTED_VALUE"""),"")</f>
        <v/>
      </c>
      <c r="F501" s="18" t="str">
        <f ca="1">IFERROR(__xludf.DUMMYFUNCTION("""COMPUTED_VALUE"""),"")</f>
        <v/>
      </c>
      <c r="G501" s="18" t="str">
        <f ca="1">IFERROR(__xludf.DUMMYFUNCTION("""COMPUTED_VALUE"""),"")</f>
        <v/>
      </c>
      <c r="H501" s="18" t="str">
        <f ca="1">IFERROR(__xludf.DUMMYFUNCTION("""COMPUTED_VALUE"""),"")</f>
        <v/>
      </c>
      <c r="I501" s="18" t="str">
        <f ca="1">IFERROR(__xludf.DUMMYFUNCTION("""COMPUTED_VALUE"""),"")</f>
        <v/>
      </c>
      <c r="J501" s="18" t="str">
        <f ca="1">IFERROR(__xludf.DUMMYFUNCTION("""COMPUTED_VALUE"""),"")</f>
        <v/>
      </c>
      <c r="K501" s="18" t="str">
        <f ca="1">IFERROR(__xludf.DUMMYFUNCTION("""COMPUTED_VALUE"""),"")</f>
        <v/>
      </c>
      <c r="L501" s="18" t="str">
        <f ca="1">IFERROR(__xludf.DUMMYFUNCTION("""COMPUTED_VALUE"""),"")</f>
        <v/>
      </c>
      <c r="M501" s="18" t="str">
        <f ca="1">IFERROR(__xludf.DUMMYFUNCTION("""COMPUTED_VALUE"""),"")</f>
        <v/>
      </c>
      <c r="N501" s="18" t="str">
        <f ca="1">IFERROR(__xludf.DUMMYFUNCTION("""COMPUTED_VALUE"""),"")</f>
        <v/>
      </c>
      <c r="O501" s="18" t="str">
        <f ca="1">IFERROR(__xludf.DUMMYFUNCTION("""COMPUTED_VALUE"""),"")</f>
        <v/>
      </c>
      <c r="P501" s="18" t="str">
        <f ca="1">IFERROR(__xludf.DUMMYFUNCTION("""COMPUTED_VALUE"""),"")</f>
        <v/>
      </c>
      <c r="Q501" s="18" t="str">
        <f ca="1">IFERROR(__xludf.DUMMYFUNCTION("""COMPUTED_VALUE"""),"")</f>
        <v/>
      </c>
      <c r="R501" s="18" t="str">
        <f ca="1">IFERROR(__xludf.DUMMYFUNCTION("""COMPUTED_VALUE"""),"")</f>
        <v/>
      </c>
      <c r="S501" s="18" t="str">
        <f ca="1">IFERROR(__xludf.DUMMYFUNCTION("""COMPUTED_VALUE"""),"")</f>
        <v/>
      </c>
      <c r="T501" s="18" t="str">
        <f ca="1">IFERROR(__xludf.DUMMYFUNCTION("""COMPUTED_VALUE"""),"")</f>
        <v/>
      </c>
      <c r="U501" s="18" t="str">
        <f ca="1">IFERROR(__xludf.DUMMYFUNCTION("""COMPUTED_VALUE"""),"")</f>
        <v/>
      </c>
      <c r="V501" s="18" t="str">
        <f ca="1">IFERROR(__xludf.DUMMYFUNCTION("""COMPUTED_VALUE"""),"")</f>
        <v/>
      </c>
      <c r="W501" s="18" t="str">
        <f ca="1">IFERROR(__xludf.DUMMYFUNCTION("""COMPUTED_VALUE"""),"")</f>
        <v/>
      </c>
      <c r="X501" s="18" t="str">
        <f ca="1">IFERROR(__xludf.DUMMYFUNCTION("""COMPUTED_VALUE"""),"")</f>
        <v/>
      </c>
      <c r="Y501" s="18" t="e">
        <f ca="1"/>
        <v>#NAME?</v>
      </c>
      <c r="Z501" s="18" t="str">
        <f ca="1">IFERROR(__xludf.DUMMYFUNCTION("""COMPUTED_VALUE"""),"")</f>
        <v/>
      </c>
      <c r="AA501" s="18" t="str">
        <f ca="1">IFERROR(__xludf.DUMMYFUNCTION("""COMPUTED_VALUE"""),"")</f>
        <v/>
      </c>
      <c r="AC501" s="59"/>
    </row>
    <row r="502" spans="1:29" x14ac:dyDescent="0.25">
      <c r="A502" s="18">
        <v>0</v>
      </c>
      <c r="B502" s="52" t="str">
        <f ca="1"/>
        <v/>
      </c>
      <c r="C502" s="52" t="str">
        <f ca="1">IFERROR(__xludf.DUMMYFUNCTION("""COMPUTED_VALUE"""),"")</f>
        <v/>
      </c>
      <c r="D502" s="18" t="str">
        <f ca="1">IFERROR(__xludf.DUMMYFUNCTION("""COMPUTED_VALUE"""),"")</f>
        <v/>
      </c>
      <c r="E502" s="18" t="str">
        <f ca="1">IFERROR(__xludf.DUMMYFUNCTION("""COMPUTED_VALUE"""),"")</f>
        <v/>
      </c>
      <c r="F502" s="18" t="str">
        <f ca="1">IFERROR(__xludf.DUMMYFUNCTION("""COMPUTED_VALUE"""),"")</f>
        <v/>
      </c>
      <c r="G502" s="18" t="str">
        <f ca="1">IFERROR(__xludf.DUMMYFUNCTION("""COMPUTED_VALUE"""),"")</f>
        <v/>
      </c>
      <c r="H502" s="18" t="str">
        <f ca="1">IFERROR(__xludf.DUMMYFUNCTION("""COMPUTED_VALUE"""),"")</f>
        <v/>
      </c>
      <c r="I502" s="18" t="str">
        <f ca="1">IFERROR(__xludf.DUMMYFUNCTION("""COMPUTED_VALUE"""),"")</f>
        <v/>
      </c>
      <c r="J502" s="18" t="str">
        <f ca="1">IFERROR(__xludf.DUMMYFUNCTION("""COMPUTED_VALUE"""),"")</f>
        <v/>
      </c>
      <c r="K502" s="18" t="str">
        <f ca="1">IFERROR(__xludf.DUMMYFUNCTION("""COMPUTED_VALUE"""),"")</f>
        <v/>
      </c>
      <c r="L502" s="18" t="str">
        <f ca="1">IFERROR(__xludf.DUMMYFUNCTION("""COMPUTED_VALUE"""),"")</f>
        <v/>
      </c>
      <c r="M502" s="18" t="str">
        <f ca="1">IFERROR(__xludf.DUMMYFUNCTION("""COMPUTED_VALUE"""),"")</f>
        <v/>
      </c>
      <c r="N502" s="18" t="str">
        <f ca="1">IFERROR(__xludf.DUMMYFUNCTION("""COMPUTED_VALUE"""),"")</f>
        <v/>
      </c>
      <c r="O502" s="18" t="str">
        <f ca="1">IFERROR(__xludf.DUMMYFUNCTION("""COMPUTED_VALUE"""),"")</f>
        <v/>
      </c>
      <c r="P502" s="18" t="str">
        <f ca="1">IFERROR(__xludf.DUMMYFUNCTION("""COMPUTED_VALUE"""),"")</f>
        <v/>
      </c>
      <c r="Q502" s="18" t="str">
        <f ca="1">IFERROR(__xludf.DUMMYFUNCTION("""COMPUTED_VALUE"""),"")</f>
        <v/>
      </c>
      <c r="R502" s="18" t="str">
        <f ca="1">IFERROR(__xludf.DUMMYFUNCTION("""COMPUTED_VALUE"""),"")</f>
        <v/>
      </c>
      <c r="S502" s="18" t="str">
        <f ca="1">IFERROR(__xludf.DUMMYFUNCTION("""COMPUTED_VALUE"""),"")</f>
        <v/>
      </c>
      <c r="T502" s="18" t="str">
        <f ca="1">IFERROR(__xludf.DUMMYFUNCTION("""COMPUTED_VALUE"""),"")</f>
        <v/>
      </c>
      <c r="U502" s="18" t="str">
        <f ca="1">IFERROR(__xludf.DUMMYFUNCTION("""COMPUTED_VALUE"""),"")</f>
        <v/>
      </c>
      <c r="V502" s="18" t="str">
        <f ca="1">IFERROR(__xludf.DUMMYFUNCTION("""COMPUTED_VALUE"""),"")</f>
        <v/>
      </c>
      <c r="W502" s="18" t="str">
        <f ca="1">IFERROR(__xludf.DUMMYFUNCTION("""COMPUTED_VALUE"""),"")</f>
        <v/>
      </c>
      <c r="X502" s="18" t="str">
        <f ca="1">IFERROR(__xludf.DUMMYFUNCTION("""COMPUTED_VALUE"""),"")</f>
        <v/>
      </c>
      <c r="Y502" s="18" t="e">
        <f ca="1"/>
        <v>#NAME?</v>
      </c>
      <c r="Z502" s="18" t="str">
        <f ca="1">IFERROR(__xludf.DUMMYFUNCTION("""COMPUTED_VALUE"""),"")</f>
        <v/>
      </c>
      <c r="AA502" s="18" t="str">
        <f ca="1">IFERROR(__xludf.DUMMYFUNCTION("""COMPUTED_VALUE"""),"")</f>
        <v/>
      </c>
      <c r="AC502" s="59"/>
    </row>
    <row r="503" spans="1:29" x14ac:dyDescent="0.25">
      <c r="A503" s="18">
        <v>0</v>
      </c>
      <c r="B503" s="52" t="str">
        <f ca="1"/>
        <v/>
      </c>
      <c r="C503" s="52" t="str">
        <f ca="1">IFERROR(__xludf.DUMMYFUNCTION("""COMPUTED_VALUE"""),"")</f>
        <v/>
      </c>
      <c r="D503" s="18" t="str">
        <f ca="1">IFERROR(__xludf.DUMMYFUNCTION("""COMPUTED_VALUE"""),"")</f>
        <v/>
      </c>
      <c r="E503" s="18" t="str">
        <f ca="1">IFERROR(__xludf.DUMMYFUNCTION("""COMPUTED_VALUE"""),"")</f>
        <v/>
      </c>
      <c r="F503" s="18" t="str">
        <f ca="1">IFERROR(__xludf.DUMMYFUNCTION("""COMPUTED_VALUE"""),"")</f>
        <v/>
      </c>
      <c r="G503" s="18" t="str">
        <f ca="1">IFERROR(__xludf.DUMMYFUNCTION("""COMPUTED_VALUE"""),"")</f>
        <v/>
      </c>
      <c r="H503" s="18" t="str">
        <f ca="1">IFERROR(__xludf.DUMMYFUNCTION("""COMPUTED_VALUE"""),"")</f>
        <v/>
      </c>
      <c r="I503" s="18" t="str">
        <f ca="1">IFERROR(__xludf.DUMMYFUNCTION("""COMPUTED_VALUE"""),"")</f>
        <v/>
      </c>
      <c r="J503" s="18" t="str">
        <f ca="1">IFERROR(__xludf.DUMMYFUNCTION("""COMPUTED_VALUE"""),"")</f>
        <v/>
      </c>
      <c r="K503" s="18" t="str">
        <f ca="1">IFERROR(__xludf.DUMMYFUNCTION("""COMPUTED_VALUE"""),"")</f>
        <v/>
      </c>
      <c r="L503" s="18" t="str">
        <f ca="1">IFERROR(__xludf.DUMMYFUNCTION("""COMPUTED_VALUE"""),"")</f>
        <v/>
      </c>
      <c r="M503" s="18" t="str">
        <f ca="1">IFERROR(__xludf.DUMMYFUNCTION("""COMPUTED_VALUE"""),"")</f>
        <v/>
      </c>
      <c r="N503" s="18" t="str">
        <f ca="1">IFERROR(__xludf.DUMMYFUNCTION("""COMPUTED_VALUE"""),"")</f>
        <v/>
      </c>
      <c r="O503" s="18" t="str">
        <f ca="1">IFERROR(__xludf.DUMMYFUNCTION("""COMPUTED_VALUE"""),"")</f>
        <v/>
      </c>
      <c r="P503" s="18" t="str">
        <f ca="1">IFERROR(__xludf.DUMMYFUNCTION("""COMPUTED_VALUE"""),"")</f>
        <v/>
      </c>
      <c r="Q503" s="18" t="str">
        <f ca="1">IFERROR(__xludf.DUMMYFUNCTION("""COMPUTED_VALUE"""),"")</f>
        <v/>
      </c>
      <c r="R503" s="18" t="str">
        <f ca="1">IFERROR(__xludf.DUMMYFUNCTION("""COMPUTED_VALUE"""),"")</f>
        <v/>
      </c>
      <c r="S503" s="18" t="str">
        <f ca="1">IFERROR(__xludf.DUMMYFUNCTION("""COMPUTED_VALUE"""),"")</f>
        <v/>
      </c>
      <c r="T503" s="18" t="str">
        <f ca="1">IFERROR(__xludf.DUMMYFUNCTION("""COMPUTED_VALUE"""),"")</f>
        <v/>
      </c>
      <c r="U503" s="18" t="str">
        <f ca="1">IFERROR(__xludf.DUMMYFUNCTION("""COMPUTED_VALUE"""),"")</f>
        <v/>
      </c>
      <c r="V503" s="18" t="str">
        <f ca="1">IFERROR(__xludf.DUMMYFUNCTION("""COMPUTED_VALUE"""),"")</f>
        <v/>
      </c>
      <c r="W503" s="18" t="str">
        <f ca="1">IFERROR(__xludf.DUMMYFUNCTION("""COMPUTED_VALUE"""),"")</f>
        <v/>
      </c>
      <c r="X503" s="18" t="str">
        <f ca="1">IFERROR(__xludf.DUMMYFUNCTION("""COMPUTED_VALUE"""),"")</f>
        <v/>
      </c>
      <c r="Y503" s="18" t="e">
        <f ca="1"/>
        <v>#NAME?</v>
      </c>
      <c r="Z503" s="18" t="str">
        <f ca="1">IFERROR(__xludf.DUMMYFUNCTION("""COMPUTED_VALUE"""),"")</f>
        <v/>
      </c>
      <c r="AA503" s="18" t="str">
        <f ca="1">IFERROR(__xludf.DUMMYFUNCTION("""COMPUTED_VALUE"""),"")</f>
        <v/>
      </c>
      <c r="AC503" s="59"/>
    </row>
    <row r="504" spans="1:29" x14ac:dyDescent="0.25">
      <c r="A504" s="18">
        <v>0</v>
      </c>
      <c r="B504" s="52" t="str">
        <f ca="1"/>
        <v/>
      </c>
      <c r="C504" s="52" t="str">
        <f ca="1">IFERROR(__xludf.DUMMYFUNCTION("""COMPUTED_VALUE"""),"")</f>
        <v/>
      </c>
      <c r="D504" s="18" t="str">
        <f ca="1">IFERROR(__xludf.DUMMYFUNCTION("""COMPUTED_VALUE"""),"")</f>
        <v/>
      </c>
      <c r="E504" s="18" t="str">
        <f ca="1">IFERROR(__xludf.DUMMYFUNCTION("""COMPUTED_VALUE"""),"")</f>
        <v/>
      </c>
      <c r="F504" s="18" t="str">
        <f ca="1">IFERROR(__xludf.DUMMYFUNCTION("""COMPUTED_VALUE"""),"")</f>
        <v/>
      </c>
      <c r="G504" s="18" t="str">
        <f ca="1">IFERROR(__xludf.DUMMYFUNCTION("""COMPUTED_VALUE"""),"")</f>
        <v/>
      </c>
      <c r="H504" s="18" t="str">
        <f ca="1">IFERROR(__xludf.DUMMYFUNCTION("""COMPUTED_VALUE"""),"")</f>
        <v/>
      </c>
      <c r="I504" s="18" t="str">
        <f ca="1">IFERROR(__xludf.DUMMYFUNCTION("""COMPUTED_VALUE"""),"")</f>
        <v/>
      </c>
      <c r="J504" s="18" t="str">
        <f ca="1">IFERROR(__xludf.DUMMYFUNCTION("""COMPUTED_VALUE"""),"")</f>
        <v/>
      </c>
      <c r="K504" s="18" t="str">
        <f ca="1">IFERROR(__xludf.DUMMYFUNCTION("""COMPUTED_VALUE"""),"")</f>
        <v/>
      </c>
      <c r="L504" s="18" t="str">
        <f ca="1">IFERROR(__xludf.DUMMYFUNCTION("""COMPUTED_VALUE"""),"")</f>
        <v/>
      </c>
      <c r="M504" s="18" t="str">
        <f ca="1">IFERROR(__xludf.DUMMYFUNCTION("""COMPUTED_VALUE"""),"")</f>
        <v/>
      </c>
      <c r="N504" s="18" t="str">
        <f ca="1">IFERROR(__xludf.DUMMYFUNCTION("""COMPUTED_VALUE"""),"")</f>
        <v/>
      </c>
      <c r="O504" s="18" t="str">
        <f ca="1">IFERROR(__xludf.DUMMYFUNCTION("""COMPUTED_VALUE"""),"")</f>
        <v/>
      </c>
      <c r="P504" s="18" t="str">
        <f ca="1">IFERROR(__xludf.DUMMYFUNCTION("""COMPUTED_VALUE"""),"")</f>
        <v/>
      </c>
      <c r="Q504" s="18" t="str">
        <f ca="1">IFERROR(__xludf.DUMMYFUNCTION("""COMPUTED_VALUE"""),"")</f>
        <v/>
      </c>
      <c r="R504" s="18" t="str">
        <f ca="1">IFERROR(__xludf.DUMMYFUNCTION("""COMPUTED_VALUE"""),"")</f>
        <v/>
      </c>
      <c r="S504" s="18" t="str">
        <f ca="1">IFERROR(__xludf.DUMMYFUNCTION("""COMPUTED_VALUE"""),"")</f>
        <v/>
      </c>
      <c r="T504" s="18" t="str">
        <f ca="1">IFERROR(__xludf.DUMMYFUNCTION("""COMPUTED_VALUE"""),"")</f>
        <v/>
      </c>
      <c r="U504" s="18" t="str">
        <f ca="1">IFERROR(__xludf.DUMMYFUNCTION("""COMPUTED_VALUE"""),"")</f>
        <v/>
      </c>
      <c r="V504" s="18" t="str">
        <f ca="1">IFERROR(__xludf.DUMMYFUNCTION("""COMPUTED_VALUE"""),"")</f>
        <v/>
      </c>
      <c r="W504" s="18" t="str">
        <f ca="1">IFERROR(__xludf.DUMMYFUNCTION("""COMPUTED_VALUE"""),"")</f>
        <v/>
      </c>
      <c r="X504" s="18" t="str">
        <f ca="1">IFERROR(__xludf.DUMMYFUNCTION("""COMPUTED_VALUE"""),"")</f>
        <v/>
      </c>
      <c r="Y504" s="18" t="e">
        <f ca="1"/>
        <v>#NAME?</v>
      </c>
      <c r="Z504" s="18" t="str">
        <f ca="1">IFERROR(__xludf.DUMMYFUNCTION("""COMPUTED_VALUE"""),"")</f>
        <v/>
      </c>
      <c r="AA504" s="18" t="str">
        <f ca="1">IFERROR(__xludf.DUMMYFUNCTION("""COMPUTED_VALUE"""),"")</f>
        <v/>
      </c>
      <c r="AC504" s="59"/>
    </row>
    <row r="505" spans="1:29" x14ac:dyDescent="0.25">
      <c r="A505" s="18">
        <v>0</v>
      </c>
      <c r="B505" s="52" t="str">
        <f ca="1"/>
        <v/>
      </c>
      <c r="C505" s="52" t="str">
        <f ca="1">IFERROR(__xludf.DUMMYFUNCTION("""COMPUTED_VALUE"""),"")</f>
        <v/>
      </c>
      <c r="D505" s="18" t="str">
        <f ca="1">IFERROR(__xludf.DUMMYFUNCTION("""COMPUTED_VALUE"""),"")</f>
        <v/>
      </c>
      <c r="E505" s="18" t="str">
        <f ca="1">IFERROR(__xludf.DUMMYFUNCTION("""COMPUTED_VALUE"""),"")</f>
        <v/>
      </c>
      <c r="F505" s="18" t="str">
        <f ca="1">IFERROR(__xludf.DUMMYFUNCTION("""COMPUTED_VALUE"""),"")</f>
        <v/>
      </c>
      <c r="G505" s="18" t="str">
        <f ca="1">IFERROR(__xludf.DUMMYFUNCTION("""COMPUTED_VALUE"""),"")</f>
        <v/>
      </c>
      <c r="H505" s="18" t="str">
        <f ca="1">IFERROR(__xludf.DUMMYFUNCTION("""COMPUTED_VALUE"""),"")</f>
        <v/>
      </c>
      <c r="I505" s="18" t="str">
        <f ca="1">IFERROR(__xludf.DUMMYFUNCTION("""COMPUTED_VALUE"""),"")</f>
        <v/>
      </c>
      <c r="J505" s="18" t="str">
        <f ca="1">IFERROR(__xludf.DUMMYFUNCTION("""COMPUTED_VALUE"""),"")</f>
        <v/>
      </c>
      <c r="K505" s="18" t="str">
        <f ca="1">IFERROR(__xludf.DUMMYFUNCTION("""COMPUTED_VALUE"""),"")</f>
        <v/>
      </c>
      <c r="L505" s="18" t="str">
        <f ca="1">IFERROR(__xludf.DUMMYFUNCTION("""COMPUTED_VALUE"""),"")</f>
        <v/>
      </c>
      <c r="M505" s="18" t="str">
        <f ca="1">IFERROR(__xludf.DUMMYFUNCTION("""COMPUTED_VALUE"""),"")</f>
        <v/>
      </c>
      <c r="N505" s="18" t="str">
        <f ca="1">IFERROR(__xludf.DUMMYFUNCTION("""COMPUTED_VALUE"""),"")</f>
        <v/>
      </c>
      <c r="O505" s="18" t="str">
        <f ca="1">IFERROR(__xludf.DUMMYFUNCTION("""COMPUTED_VALUE"""),"")</f>
        <v/>
      </c>
      <c r="P505" s="18" t="str">
        <f ca="1">IFERROR(__xludf.DUMMYFUNCTION("""COMPUTED_VALUE"""),"")</f>
        <v/>
      </c>
      <c r="Q505" s="18" t="str">
        <f ca="1">IFERROR(__xludf.DUMMYFUNCTION("""COMPUTED_VALUE"""),"")</f>
        <v/>
      </c>
      <c r="R505" s="18" t="str">
        <f ca="1">IFERROR(__xludf.DUMMYFUNCTION("""COMPUTED_VALUE"""),"")</f>
        <v/>
      </c>
      <c r="S505" s="18" t="str">
        <f ca="1">IFERROR(__xludf.DUMMYFUNCTION("""COMPUTED_VALUE"""),"")</f>
        <v/>
      </c>
      <c r="T505" s="18" t="str">
        <f ca="1">IFERROR(__xludf.DUMMYFUNCTION("""COMPUTED_VALUE"""),"")</f>
        <v/>
      </c>
      <c r="U505" s="18" t="str">
        <f ca="1">IFERROR(__xludf.DUMMYFUNCTION("""COMPUTED_VALUE"""),"")</f>
        <v/>
      </c>
      <c r="V505" s="18" t="str">
        <f ca="1">IFERROR(__xludf.DUMMYFUNCTION("""COMPUTED_VALUE"""),"")</f>
        <v/>
      </c>
      <c r="W505" s="18" t="str">
        <f ca="1">IFERROR(__xludf.DUMMYFUNCTION("""COMPUTED_VALUE"""),"")</f>
        <v/>
      </c>
      <c r="X505" s="18" t="str">
        <f ca="1">IFERROR(__xludf.DUMMYFUNCTION("""COMPUTED_VALUE"""),"")</f>
        <v/>
      </c>
      <c r="Y505" s="18" t="e">
        <f ca="1"/>
        <v>#NAME?</v>
      </c>
      <c r="Z505" s="18" t="str">
        <f ca="1">IFERROR(__xludf.DUMMYFUNCTION("""COMPUTED_VALUE"""),"")</f>
        <v/>
      </c>
      <c r="AA505" s="18" t="str">
        <f ca="1">IFERROR(__xludf.DUMMYFUNCTION("""COMPUTED_VALUE"""),"")</f>
        <v/>
      </c>
      <c r="AC505" s="59"/>
    </row>
    <row r="506" spans="1:29" x14ac:dyDescent="0.25">
      <c r="A506" s="18">
        <v>0</v>
      </c>
      <c r="B506" s="52" t="str">
        <f ca="1"/>
        <v/>
      </c>
      <c r="C506" s="52" t="str">
        <f ca="1">IFERROR(__xludf.DUMMYFUNCTION("""COMPUTED_VALUE"""),"")</f>
        <v/>
      </c>
      <c r="D506" s="18" t="str">
        <f ca="1">IFERROR(__xludf.DUMMYFUNCTION("""COMPUTED_VALUE"""),"")</f>
        <v/>
      </c>
      <c r="E506" s="18" t="str">
        <f ca="1">IFERROR(__xludf.DUMMYFUNCTION("""COMPUTED_VALUE"""),"")</f>
        <v/>
      </c>
      <c r="F506" s="18" t="str">
        <f ca="1">IFERROR(__xludf.DUMMYFUNCTION("""COMPUTED_VALUE"""),"")</f>
        <v/>
      </c>
      <c r="G506" s="18" t="str">
        <f ca="1">IFERROR(__xludf.DUMMYFUNCTION("""COMPUTED_VALUE"""),"")</f>
        <v/>
      </c>
      <c r="H506" s="18" t="str">
        <f ca="1">IFERROR(__xludf.DUMMYFUNCTION("""COMPUTED_VALUE"""),"")</f>
        <v/>
      </c>
      <c r="I506" s="18" t="str">
        <f ca="1">IFERROR(__xludf.DUMMYFUNCTION("""COMPUTED_VALUE"""),"")</f>
        <v/>
      </c>
      <c r="J506" s="18" t="str">
        <f ca="1">IFERROR(__xludf.DUMMYFUNCTION("""COMPUTED_VALUE"""),"")</f>
        <v/>
      </c>
      <c r="K506" s="18" t="str">
        <f ca="1">IFERROR(__xludf.DUMMYFUNCTION("""COMPUTED_VALUE"""),"")</f>
        <v/>
      </c>
      <c r="L506" s="18" t="str">
        <f ca="1">IFERROR(__xludf.DUMMYFUNCTION("""COMPUTED_VALUE"""),"")</f>
        <v/>
      </c>
      <c r="M506" s="18" t="str">
        <f ca="1">IFERROR(__xludf.DUMMYFUNCTION("""COMPUTED_VALUE"""),"")</f>
        <v/>
      </c>
      <c r="N506" s="18" t="str">
        <f ca="1">IFERROR(__xludf.DUMMYFUNCTION("""COMPUTED_VALUE"""),"")</f>
        <v/>
      </c>
      <c r="O506" s="18" t="str">
        <f ca="1">IFERROR(__xludf.DUMMYFUNCTION("""COMPUTED_VALUE"""),"")</f>
        <v/>
      </c>
      <c r="P506" s="18" t="str">
        <f ca="1">IFERROR(__xludf.DUMMYFUNCTION("""COMPUTED_VALUE"""),"")</f>
        <v/>
      </c>
      <c r="Q506" s="18" t="str">
        <f ca="1">IFERROR(__xludf.DUMMYFUNCTION("""COMPUTED_VALUE"""),"")</f>
        <v/>
      </c>
      <c r="R506" s="18" t="str">
        <f ca="1">IFERROR(__xludf.DUMMYFUNCTION("""COMPUTED_VALUE"""),"")</f>
        <v/>
      </c>
      <c r="S506" s="18" t="str">
        <f ca="1">IFERROR(__xludf.DUMMYFUNCTION("""COMPUTED_VALUE"""),"")</f>
        <v/>
      </c>
      <c r="T506" s="18" t="str">
        <f ca="1">IFERROR(__xludf.DUMMYFUNCTION("""COMPUTED_VALUE"""),"")</f>
        <v/>
      </c>
      <c r="U506" s="18" t="str">
        <f ca="1">IFERROR(__xludf.DUMMYFUNCTION("""COMPUTED_VALUE"""),"")</f>
        <v/>
      </c>
      <c r="V506" s="18" t="str">
        <f ca="1">IFERROR(__xludf.DUMMYFUNCTION("""COMPUTED_VALUE"""),"")</f>
        <v/>
      </c>
      <c r="W506" s="18" t="str">
        <f ca="1">IFERROR(__xludf.DUMMYFUNCTION("""COMPUTED_VALUE"""),"")</f>
        <v/>
      </c>
      <c r="X506" s="18" t="str">
        <f ca="1">IFERROR(__xludf.DUMMYFUNCTION("""COMPUTED_VALUE"""),"")</f>
        <v/>
      </c>
      <c r="Y506" s="18" t="e">
        <f ca="1"/>
        <v>#NAME?</v>
      </c>
      <c r="Z506" s="18" t="str">
        <f ca="1">IFERROR(__xludf.DUMMYFUNCTION("""COMPUTED_VALUE"""),"")</f>
        <v/>
      </c>
      <c r="AA506" s="18" t="str">
        <f ca="1">IFERROR(__xludf.DUMMYFUNCTION("""COMPUTED_VALUE"""),"")</f>
        <v/>
      </c>
      <c r="AC506" s="59"/>
    </row>
    <row r="507" spans="1:29" x14ac:dyDescent="0.25">
      <c r="A507" s="18">
        <v>0</v>
      </c>
      <c r="B507" s="52" t="str">
        <f ca="1"/>
        <v/>
      </c>
      <c r="C507" s="52" t="str">
        <f ca="1">IFERROR(__xludf.DUMMYFUNCTION("""COMPUTED_VALUE"""),"")</f>
        <v/>
      </c>
      <c r="D507" s="18" t="str">
        <f ca="1">IFERROR(__xludf.DUMMYFUNCTION("""COMPUTED_VALUE"""),"")</f>
        <v/>
      </c>
      <c r="E507" s="18" t="str">
        <f ca="1">IFERROR(__xludf.DUMMYFUNCTION("""COMPUTED_VALUE"""),"")</f>
        <v/>
      </c>
      <c r="F507" s="18" t="str">
        <f ca="1">IFERROR(__xludf.DUMMYFUNCTION("""COMPUTED_VALUE"""),"")</f>
        <v/>
      </c>
      <c r="G507" s="18" t="str">
        <f ca="1">IFERROR(__xludf.DUMMYFUNCTION("""COMPUTED_VALUE"""),"")</f>
        <v/>
      </c>
      <c r="H507" s="18" t="str">
        <f ca="1">IFERROR(__xludf.DUMMYFUNCTION("""COMPUTED_VALUE"""),"")</f>
        <v/>
      </c>
      <c r="I507" s="18" t="str">
        <f ca="1">IFERROR(__xludf.DUMMYFUNCTION("""COMPUTED_VALUE"""),"")</f>
        <v/>
      </c>
      <c r="J507" s="18" t="str">
        <f ca="1">IFERROR(__xludf.DUMMYFUNCTION("""COMPUTED_VALUE"""),"")</f>
        <v/>
      </c>
      <c r="K507" s="18" t="str">
        <f ca="1">IFERROR(__xludf.DUMMYFUNCTION("""COMPUTED_VALUE"""),"")</f>
        <v/>
      </c>
      <c r="L507" s="18" t="str">
        <f ca="1">IFERROR(__xludf.DUMMYFUNCTION("""COMPUTED_VALUE"""),"")</f>
        <v/>
      </c>
      <c r="M507" s="18" t="str">
        <f ca="1">IFERROR(__xludf.DUMMYFUNCTION("""COMPUTED_VALUE"""),"")</f>
        <v/>
      </c>
      <c r="N507" s="18" t="str">
        <f ca="1">IFERROR(__xludf.DUMMYFUNCTION("""COMPUTED_VALUE"""),"")</f>
        <v/>
      </c>
      <c r="O507" s="18" t="str">
        <f ca="1">IFERROR(__xludf.DUMMYFUNCTION("""COMPUTED_VALUE"""),"")</f>
        <v/>
      </c>
      <c r="P507" s="18" t="str">
        <f ca="1">IFERROR(__xludf.DUMMYFUNCTION("""COMPUTED_VALUE"""),"")</f>
        <v/>
      </c>
      <c r="Q507" s="18" t="str">
        <f ca="1">IFERROR(__xludf.DUMMYFUNCTION("""COMPUTED_VALUE"""),"")</f>
        <v/>
      </c>
      <c r="R507" s="18" t="str">
        <f ca="1">IFERROR(__xludf.DUMMYFUNCTION("""COMPUTED_VALUE"""),"")</f>
        <v/>
      </c>
      <c r="S507" s="18" t="str">
        <f ca="1">IFERROR(__xludf.DUMMYFUNCTION("""COMPUTED_VALUE"""),"")</f>
        <v/>
      </c>
      <c r="T507" s="18" t="str">
        <f ca="1">IFERROR(__xludf.DUMMYFUNCTION("""COMPUTED_VALUE"""),"")</f>
        <v/>
      </c>
      <c r="U507" s="18" t="str">
        <f ca="1">IFERROR(__xludf.DUMMYFUNCTION("""COMPUTED_VALUE"""),"")</f>
        <v/>
      </c>
      <c r="V507" s="18" t="str">
        <f ca="1">IFERROR(__xludf.DUMMYFUNCTION("""COMPUTED_VALUE"""),"")</f>
        <v/>
      </c>
      <c r="W507" s="18" t="str">
        <f ca="1">IFERROR(__xludf.DUMMYFUNCTION("""COMPUTED_VALUE"""),"")</f>
        <v/>
      </c>
      <c r="X507" s="18" t="str">
        <f ca="1">IFERROR(__xludf.DUMMYFUNCTION("""COMPUTED_VALUE"""),"")</f>
        <v/>
      </c>
      <c r="Y507" s="18" t="e">
        <f ca="1"/>
        <v>#NAME?</v>
      </c>
      <c r="Z507" s="18" t="str">
        <f ca="1">IFERROR(__xludf.DUMMYFUNCTION("""COMPUTED_VALUE"""),"")</f>
        <v/>
      </c>
      <c r="AA507" s="18" t="str">
        <f ca="1">IFERROR(__xludf.DUMMYFUNCTION("""COMPUTED_VALUE"""),"")</f>
        <v/>
      </c>
      <c r="AC507" s="59"/>
    </row>
    <row r="508" spans="1:29" x14ac:dyDescent="0.25">
      <c r="A508" s="18">
        <v>0</v>
      </c>
      <c r="B508" s="52" t="str">
        <f ca="1"/>
        <v/>
      </c>
      <c r="C508" s="52" t="str">
        <f ca="1">IFERROR(__xludf.DUMMYFUNCTION("""COMPUTED_VALUE"""),"")</f>
        <v/>
      </c>
      <c r="D508" s="18" t="str">
        <f ca="1">IFERROR(__xludf.DUMMYFUNCTION("""COMPUTED_VALUE"""),"")</f>
        <v/>
      </c>
      <c r="E508" s="18" t="str">
        <f ca="1">IFERROR(__xludf.DUMMYFUNCTION("""COMPUTED_VALUE"""),"")</f>
        <v/>
      </c>
      <c r="F508" s="18" t="str">
        <f ca="1">IFERROR(__xludf.DUMMYFUNCTION("""COMPUTED_VALUE"""),"")</f>
        <v/>
      </c>
      <c r="G508" s="18" t="str">
        <f ca="1">IFERROR(__xludf.DUMMYFUNCTION("""COMPUTED_VALUE"""),"")</f>
        <v/>
      </c>
      <c r="H508" s="18" t="str">
        <f ca="1">IFERROR(__xludf.DUMMYFUNCTION("""COMPUTED_VALUE"""),"")</f>
        <v/>
      </c>
      <c r="I508" s="18" t="str">
        <f ca="1">IFERROR(__xludf.DUMMYFUNCTION("""COMPUTED_VALUE"""),"")</f>
        <v/>
      </c>
      <c r="J508" s="18" t="str">
        <f ca="1">IFERROR(__xludf.DUMMYFUNCTION("""COMPUTED_VALUE"""),"")</f>
        <v/>
      </c>
      <c r="K508" s="18" t="str">
        <f ca="1">IFERROR(__xludf.DUMMYFUNCTION("""COMPUTED_VALUE"""),"")</f>
        <v/>
      </c>
      <c r="L508" s="18" t="str">
        <f ca="1">IFERROR(__xludf.DUMMYFUNCTION("""COMPUTED_VALUE"""),"")</f>
        <v/>
      </c>
      <c r="M508" s="18" t="str">
        <f ca="1">IFERROR(__xludf.DUMMYFUNCTION("""COMPUTED_VALUE"""),"")</f>
        <v/>
      </c>
      <c r="N508" s="18" t="str">
        <f ca="1">IFERROR(__xludf.DUMMYFUNCTION("""COMPUTED_VALUE"""),"")</f>
        <v/>
      </c>
      <c r="O508" s="18" t="str">
        <f ca="1">IFERROR(__xludf.DUMMYFUNCTION("""COMPUTED_VALUE"""),"")</f>
        <v/>
      </c>
      <c r="P508" s="18" t="str">
        <f ca="1">IFERROR(__xludf.DUMMYFUNCTION("""COMPUTED_VALUE"""),"")</f>
        <v/>
      </c>
      <c r="Q508" s="18" t="str">
        <f ca="1">IFERROR(__xludf.DUMMYFUNCTION("""COMPUTED_VALUE"""),"")</f>
        <v/>
      </c>
      <c r="R508" s="18" t="str">
        <f ca="1">IFERROR(__xludf.DUMMYFUNCTION("""COMPUTED_VALUE"""),"")</f>
        <v/>
      </c>
      <c r="S508" s="18" t="str">
        <f ca="1">IFERROR(__xludf.DUMMYFUNCTION("""COMPUTED_VALUE"""),"")</f>
        <v/>
      </c>
      <c r="T508" s="18" t="str">
        <f ca="1">IFERROR(__xludf.DUMMYFUNCTION("""COMPUTED_VALUE"""),"")</f>
        <v/>
      </c>
      <c r="U508" s="18" t="str">
        <f ca="1">IFERROR(__xludf.DUMMYFUNCTION("""COMPUTED_VALUE"""),"")</f>
        <v/>
      </c>
      <c r="V508" s="18" t="str">
        <f ca="1">IFERROR(__xludf.DUMMYFUNCTION("""COMPUTED_VALUE"""),"")</f>
        <v/>
      </c>
      <c r="W508" s="18" t="str">
        <f ca="1">IFERROR(__xludf.DUMMYFUNCTION("""COMPUTED_VALUE"""),"")</f>
        <v/>
      </c>
      <c r="X508" s="18" t="str">
        <f ca="1">IFERROR(__xludf.DUMMYFUNCTION("""COMPUTED_VALUE"""),"")</f>
        <v/>
      </c>
      <c r="Y508" s="18" t="e">
        <f ca="1"/>
        <v>#NAME?</v>
      </c>
      <c r="Z508" s="18" t="str">
        <f ca="1">IFERROR(__xludf.DUMMYFUNCTION("""COMPUTED_VALUE"""),"")</f>
        <v/>
      </c>
      <c r="AA508" s="18" t="str">
        <f ca="1">IFERROR(__xludf.DUMMYFUNCTION("""COMPUTED_VALUE"""),"")</f>
        <v/>
      </c>
      <c r="AC508" s="59"/>
    </row>
    <row r="509" spans="1:29" x14ac:dyDescent="0.25">
      <c r="A509" s="18">
        <v>0</v>
      </c>
      <c r="B509" s="52" t="str">
        <f ca="1"/>
        <v/>
      </c>
      <c r="C509" s="52" t="str">
        <f ca="1">IFERROR(__xludf.DUMMYFUNCTION("""COMPUTED_VALUE"""),"")</f>
        <v/>
      </c>
      <c r="D509" s="18" t="str">
        <f ca="1">IFERROR(__xludf.DUMMYFUNCTION("""COMPUTED_VALUE"""),"")</f>
        <v/>
      </c>
      <c r="E509" s="18" t="str">
        <f ca="1">IFERROR(__xludf.DUMMYFUNCTION("""COMPUTED_VALUE"""),"")</f>
        <v/>
      </c>
      <c r="F509" s="18" t="str">
        <f ca="1">IFERROR(__xludf.DUMMYFUNCTION("""COMPUTED_VALUE"""),"")</f>
        <v/>
      </c>
      <c r="G509" s="18" t="str">
        <f ca="1">IFERROR(__xludf.DUMMYFUNCTION("""COMPUTED_VALUE"""),"")</f>
        <v/>
      </c>
      <c r="H509" s="18" t="str">
        <f ca="1">IFERROR(__xludf.DUMMYFUNCTION("""COMPUTED_VALUE"""),"")</f>
        <v/>
      </c>
      <c r="I509" s="18" t="str">
        <f ca="1">IFERROR(__xludf.DUMMYFUNCTION("""COMPUTED_VALUE"""),"")</f>
        <v/>
      </c>
      <c r="J509" s="18" t="str">
        <f ca="1">IFERROR(__xludf.DUMMYFUNCTION("""COMPUTED_VALUE"""),"")</f>
        <v/>
      </c>
      <c r="K509" s="18" t="str">
        <f ca="1">IFERROR(__xludf.DUMMYFUNCTION("""COMPUTED_VALUE"""),"")</f>
        <v/>
      </c>
      <c r="L509" s="18" t="str">
        <f ca="1">IFERROR(__xludf.DUMMYFUNCTION("""COMPUTED_VALUE"""),"")</f>
        <v/>
      </c>
      <c r="M509" s="18" t="str">
        <f ca="1">IFERROR(__xludf.DUMMYFUNCTION("""COMPUTED_VALUE"""),"")</f>
        <v/>
      </c>
      <c r="N509" s="18" t="str">
        <f ca="1">IFERROR(__xludf.DUMMYFUNCTION("""COMPUTED_VALUE"""),"")</f>
        <v/>
      </c>
      <c r="O509" s="18" t="str">
        <f ca="1">IFERROR(__xludf.DUMMYFUNCTION("""COMPUTED_VALUE"""),"")</f>
        <v/>
      </c>
      <c r="P509" s="18" t="str">
        <f ca="1">IFERROR(__xludf.DUMMYFUNCTION("""COMPUTED_VALUE"""),"")</f>
        <v/>
      </c>
      <c r="Q509" s="18" t="str">
        <f ca="1">IFERROR(__xludf.DUMMYFUNCTION("""COMPUTED_VALUE"""),"")</f>
        <v/>
      </c>
      <c r="R509" s="18" t="str">
        <f ca="1">IFERROR(__xludf.DUMMYFUNCTION("""COMPUTED_VALUE"""),"")</f>
        <v/>
      </c>
      <c r="S509" s="18" t="str">
        <f ca="1">IFERROR(__xludf.DUMMYFUNCTION("""COMPUTED_VALUE"""),"")</f>
        <v/>
      </c>
      <c r="T509" s="18" t="str">
        <f ca="1">IFERROR(__xludf.DUMMYFUNCTION("""COMPUTED_VALUE"""),"")</f>
        <v/>
      </c>
      <c r="U509" s="18" t="str">
        <f ca="1">IFERROR(__xludf.DUMMYFUNCTION("""COMPUTED_VALUE"""),"")</f>
        <v/>
      </c>
      <c r="V509" s="18" t="str">
        <f ca="1">IFERROR(__xludf.DUMMYFUNCTION("""COMPUTED_VALUE"""),"")</f>
        <v/>
      </c>
      <c r="W509" s="18" t="str">
        <f ca="1">IFERROR(__xludf.DUMMYFUNCTION("""COMPUTED_VALUE"""),"")</f>
        <v/>
      </c>
      <c r="X509" s="18" t="str">
        <f ca="1">IFERROR(__xludf.DUMMYFUNCTION("""COMPUTED_VALUE"""),"")</f>
        <v/>
      </c>
      <c r="Y509" s="18" t="e">
        <f ca="1"/>
        <v>#NAME?</v>
      </c>
      <c r="Z509" s="18" t="str">
        <f ca="1">IFERROR(__xludf.DUMMYFUNCTION("""COMPUTED_VALUE"""),"")</f>
        <v/>
      </c>
      <c r="AA509" s="18" t="str">
        <f ca="1">IFERROR(__xludf.DUMMYFUNCTION("""COMPUTED_VALUE"""),"")</f>
        <v/>
      </c>
      <c r="AC509" s="59"/>
    </row>
    <row r="510" spans="1:29" x14ac:dyDescent="0.25">
      <c r="A510" s="18">
        <v>0</v>
      </c>
      <c r="B510" s="52" t="str">
        <f ca="1"/>
        <v/>
      </c>
      <c r="C510" s="52" t="str">
        <f ca="1">IFERROR(__xludf.DUMMYFUNCTION("""COMPUTED_VALUE"""),"")</f>
        <v/>
      </c>
      <c r="D510" s="18" t="str">
        <f ca="1">IFERROR(__xludf.DUMMYFUNCTION("""COMPUTED_VALUE"""),"")</f>
        <v/>
      </c>
      <c r="E510" s="18" t="str">
        <f ca="1">IFERROR(__xludf.DUMMYFUNCTION("""COMPUTED_VALUE"""),"")</f>
        <v/>
      </c>
      <c r="F510" s="18" t="str">
        <f ca="1">IFERROR(__xludf.DUMMYFUNCTION("""COMPUTED_VALUE"""),"")</f>
        <v/>
      </c>
      <c r="G510" s="18" t="str">
        <f ca="1">IFERROR(__xludf.DUMMYFUNCTION("""COMPUTED_VALUE"""),"")</f>
        <v/>
      </c>
      <c r="H510" s="18" t="str">
        <f ca="1">IFERROR(__xludf.DUMMYFUNCTION("""COMPUTED_VALUE"""),"")</f>
        <v/>
      </c>
      <c r="I510" s="18" t="str">
        <f ca="1">IFERROR(__xludf.DUMMYFUNCTION("""COMPUTED_VALUE"""),"")</f>
        <v/>
      </c>
      <c r="J510" s="18" t="str">
        <f ca="1">IFERROR(__xludf.DUMMYFUNCTION("""COMPUTED_VALUE"""),"")</f>
        <v/>
      </c>
      <c r="K510" s="18" t="str">
        <f ca="1">IFERROR(__xludf.DUMMYFUNCTION("""COMPUTED_VALUE"""),"")</f>
        <v/>
      </c>
      <c r="L510" s="18" t="str">
        <f ca="1">IFERROR(__xludf.DUMMYFUNCTION("""COMPUTED_VALUE"""),"")</f>
        <v/>
      </c>
      <c r="M510" s="18" t="str">
        <f ca="1">IFERROR(__xludf.DUMMYFUNCTION("""COMPUTED_VALUE"""),"")</f>
        <v/>
      </c>
      <c r="N510" s="18" t="str">
        <f ca="1">IFERROR(__xludf.DUMMYFUNCTION("""COMPUTED_VALUE"""),"")</f>
        <v/>
      </c>
      <c r="O510" s="18" t="str">
        <f ca="1">IFERROR(__xludf.DUMMYFUNCTION("""COMPUTED_VALUE"""),"")</f>
        <v/>
      </c>
      <c r="P510" s="18" t="str">
        <f ca="1">IFERROR(__xludf.DUMMYFUNCTION("""COMPUTED_VALUE"""),"")</f>
        <v/>
      </c>
      <c r="Q510" s="18" t="str">
        <f ca="1">IFERROR(__xludf.DUMMYFUNCTION("""COMPUTED_VALUE"""),"")</f>
        <v/>
      </c>
      <c r="R510" s="18" t="str">
        <f ca="1">IFERROR(__xludf.DUMMYFUNCTION("""COMPUTED_VALUE"""),"")</f>
        <v/>
      </c>
      <c r="S510" s="18" t="str">
        <f ca="1">IFERROR(__xludf.DUMMYFUNCTION("""COMPUTED_VALUE"""),"")</f>
        <v/>
      </c>
      <c r="T510" s="18" t="str">
        <f ca="1">IFERROR(__xludf.DUMMYFUNCTION("""COMPUTED_VALUE"""),"")</f>
        <v/>
      </c>
      <c r="U510" s="18" t="str">
        <f ca="1">IFERROR(__xludf.DUMMYFUNCTION("""COMPUTED_VALUE"""),"")</f>
        <v/>
      </c>
      <c r="V510" s="18" t="str">
        <f ca="1">IFERROR(__xludf.DUMMYFUNCTION("""COMPUTED_VALUE"""),"")</f>
        <v/>
      </c>
      <c r="W510" s="18" t="str">
        <f ca="1">IFERROR(__xludf.DUMMYFUNCTION("""COMPUTED_VALUE"""),"")</f>
        <v/>
      </c>
      <c r="X510" s="18" t="str">
        <f ca="1">IFERROR(__xludf.DUMMYFUNCTION("""COMPUTED_VALUE"""),"")</f>
        <v/>
      </c>
      <c r="Y510" s="18" t="e">
        <f ca="1"/>
        <v>#NAME?</v>
      </c>
      <c r="Z510" s="18" t="str">
        <f ca="1">IFERROR(__xludf.DUMMYFUNCTION("""COMPUTED_VALUE"""),"")</f>
        <v/>
      </c>
      <c r="AA510" s="18" t="str">
        <f ca="1">IFERROR(__xludf.DUMMYFUNCTION("""COMPUTED_VALUE"""),"")</f>
        <v/>
      </c>
      <c r="AC510" s="59"/>
    </row>
    <row r="511" spans="1:29" x14ac:dyDescent="0.25">
      <c r="A511" s="18">
        <v>0</v>
      </c>
      <c r="B511" s="52" t="str">
        <f ca="1"/>
        <v/>
      </c>
      <c r="C511" s="52" t="str">
        <f ca="1">IFERROR(__xludf.DUMMYFUNCTION("""COMPUTED_VALUE"""),"")</f>
        <v/>
      </c>
      <c r="D511" s="18" t="str">
        <f ca="1">IFERROR(__xludf.DUMMYFUNCTION("""COMPUTED_VALUE"""),"")</f>
        <v/>
      </c>
      <c r="E511" s="18" t="str">
        <f ca="1">IFERROR(__xludf.DUMMYFUNCTION("""COMPUTED_VALUE"""),"")</f>
        <v/>
      </c>
      <c r="F511" s="18" t="str">
        <f ca="1">IFERROR(__xludf.DUMMYFUNCTION("""COMPUTED_VALUE"""),"")</f>
        <v/>
      </c>
      <c r="G511" s="18" t="str">
        <f ca="1">IFERROR(__xludf.DUMMYFUNCTION("""COMPUTED_VALUE"""),"")</f>
        <v/>
      </c>
      <c r="H511" s="18" t="str">
        <f ca="1">IFERROR(__xludf.DUMMYFUNCTION("""COMPUTED_VALUE"""),"")</f>
        <v/>
      </c>
      <c r="I511" s="18" t="str">
        <f ca="1">IFERROR(__xludf.DUMMYFUNCTION("""COMPUTED_VALUE"""),"")</f>
        <v/>
      </c>
      <c r="J511" s="18" t="str">
        <f ca="1">IFERROR(__xludf.DUMMYFUNCTION("""COMPUTED_VALUE"""),"")</f>
        <v/>
      </c>
      <c r="K511" s="18" t="str">
        <f ca="1">IFERROR(__xludf.DUMMYFUNCTION("""COMPUTED_VALUE"""),"")</f>
        <v/>
      </c>
      <c r="L511" s="18" t="str">
        <f ca="1">IFERROR(__xludf.DUMMYFUNCTION("""COMPUTED_VALUE"""),"")</f>
        <v/>
      </c>
      <c r="M511" s="18" t="str">
        <f ca="1">IFERROR(__xludf.DUMMYFUNCTION("""COMPUTED_VALUE"""),"")</f>
        <v/>
      </c>
      <c r="N511" s="18" t="str">
        <f ca="1">IFERROR(__xludf.DUMMYFUNCTION("""COMPUTED_VALUE"""),"")</f>
        <v/>
      </c>
      <c r="O511" s="18" t="str">
        <f ca="1">IFERROR(__xludf.DUMMYFUNCTION("""COMPUTED_VALUE"""),"")</f>
        <v/>
      </c>
      <c r="P511" s="18" t="str">
        <f ca="1">IFERROR(__xludf.DUMMYFUNCTION("""COMPUTED_VALUE"""),"")</f>
        <v/>
      </c>
      <c r="Q511" s="18" t="str">
        <f ca="1">IFERROR(__xludf.DUMMYFUNCTION("""COMPUTED_VALUE"""),"")</f>
        <v/>
      </c>
      <c r="R511" s="18" t="str">
        <f ca="1">IFERROR(__xludf.DUMMYFUNCTION("""COMPUTED_VALUE"""),"")</f>
        <v/>
      </c>
      <c r="S511" s="18" t="str">
        <f ca="1">IFERROR(__xludf.DUMMYFUNCTION("""COMPUTED_VALUE"""),"")</f>
        <v/>
      </c>
      <c r="T511" s="18" t="str">
        <f ca="1">IFERROR(__xludf.DUMMYFUNCTION("""COMPUTED_VALUE"""),"")</f>
        <v/>
      </c>
      <c r="U511" s="18" t="str">
        <f ca="1">IFERROR(__xludf.DUMMYFUNCTION("""COMPUTED_VALUE"""),"")</f>
        <v/>
      </c>
      <c r="V511" s="18" t="str">
        <f ca="1">IFERROR(__xludf.DUMMYFUNCTION("""COMPUTED_VALUE"""),"")</f>
        <v/>
      </c>
      <c r="W511" s="18" t="str">
        <f ca="1">IFERROR(__xludf.DUMMYFUNCTION("""COMPUTED_VALUE"""),"")</f>
        <v/>
      </c>
      <c r="X511" s="18" t="str">
        <f ca="1">IFERROR(__xludf.DUMMYFUNCTION("""COMPUTED_VALUE"""),"")</f>
        <v/>
      </c>
      <c r="Y511" s="18" t="e">
        <f ca="1"/>
        <v>#NAME?</v>
      </c>
      <c r="Z511" s="18" t="str">
        <f ca="1">IFERROR(__xludf.DUMMYFUNCTION("""COMPUTED_VALUE"""),"")</f>
        <v/>
      </c>
      <c r="AA511" s="18" t="str">
        <f ca="1">IFERROR(__xludf.DUMMYFUNCTION("""COMPUTED_VALUE"""),"")</f>
        <v/>
      </c>
      <c r="AC511" s="59"/>
    </row>
    <row r="512" spans="1:29" x14ac:dyDescent="0.25">
      <c r="A512" s="18">
        <v>0</v>
      </c>
      <c r="B512" s="52" t="str">
        <f ca="1"/>
        <v/>
      </c>
      <c r="C512" s="52" t="str">
        <f ca="1">IFERROR(__xludf.DUMMYFUNCTION("""COMPUTED_VALUE"""),"")</f>
        <v/>
      </c>
      <c r="D512" s="18" t="str">
        <f ca="1">IFERROR(__xludf.DUMMYFUNCTION("""COMPUTED_VALUE"""),"")</f>
        <v/>
      </c>
      <c r="E512" s="18" t="str">
        <f ca="1">IFERROR(__xludf.DUMMYFUNCTION("""COMPUTED_VALUE"""),"")</f>
        <v/>
      </c>
      <c r="F512" s="18" t="str">
        <f ca="1">IFERROR(__xludf.DUMMYFUNCTION("""COMPUTED_VALUE"""),"")</f>
        <v/>
      </c>
      <c r="G512" s="18" t="str">
        <f ca="1">IFERROR(__xludf.DUMMYFUNCTION("""COMPUTED_VALUE"""),"")</f>
        <v/>
      </c>
      <c r="H512" s="18" t="str">
        <f ca="1">IFERROR(__xludf.DUMMYFUNCTION("""COMPUTED_VALUE"""),"")</f>
        <v/>
      </c>
      <c r="I512" s="18" t="str">
        <f ca="1">IFERROR(__xludf.DUMMYFUNCTION("""COMPUTED_VALUE"""),"")</f>
        <v/>
      </c>
      <c r="J512" s="18" t="str">
        <f ca="1">IFERROR(__xludf.DUMMYFUNCTION("""COMPUTED_VALUE"""),"")</f>
        <v/>
      </c>
      <c r="K512" s="18" t="str">
        <f ca="1">IFERROR(__xludf.DUMMYFUNCTION("""COMPUTED_VALUE"""),"")</f>
        <v/>
      </c>
      <c r="L512" s="18" t="str">
        <f ca="1">IFERROR(__xludf.DUMMYFUNCTION("""COMPUTED_VALUE"""),"")</f>
        <v/>
      </c>
      <c r="M512" s="18" t="str">
        <f ca="1">IFERROR(__xludf.DUMMYFUNCTION("""COMPUTED_VALUE"""),"")</f>
        <v/>
      </c>
      <c r="N512" s="18" t="str">
        <f ca="1">IFERROR(__xludf.DUMMYFUNCTION("""COMPUTED_VALUE"""),"")</f>
        <v/>
      </c>
      <c r="O512" s="18" t="str">
        <f ca="1">IFERROR(__xludf.DUMMYFUNCTION("""COMPUTED_VALUE"""),"")</f>
        <v/>
      </c>
      <c r="P512" s="18" t="str">
        <f ca="1">IFERROR(__xludf.DUMMYFUNCTION("""COMPUTED_VALUE"""),"")</f>
        <v/>
      </c>
      <c r="Q512" s="18" t="str">
        <f ca="1">IFERROR(__xludf.DUMMYFUNCTION("""COMPUTED_VALUE"""),"")</f>
        <v/>
      </c>
      <c r="R512" s="18" t="str">
        <f ca="1">IFERROR(__xludf.DUMMYFUNCTION("""COMPUTED_VALUE"""),"")</f>
        <v/>
      </c>
      <c r="S512" s="18" t="str">
        <f ca="1">IFERROR(__xludf.DUMMYFUNCTION("""COMPUTED_VALUE"""),"")</f>
        <v/>
      </c>
      <c r="T512" s="18" t="str">
        <f ca="1">IFERROR(__xludf.DUMMYFUNCTION("""COMPUTED_VALUE"""),"")</f>
        <v/>
      </c>
      <c r="U512" s="18" t="str">
        <f ca="1">IFERROR(__xludf.DUMMYFUNCTION("""COMPUTED_VALUE"""),"")</f>
        <v/>
      </c>
      <c r="V512" s="18" t="str">
        <f ca="1">IFERROR(__xludf.DUMMYFUNCTION("""COMPUTED_VALUE"""),"")</f>
        <v/>
      </c>
      <c r="W512" s="18" t="str">
        <f ca="1">IFERROR(__xludf.DUMMYFUNCTION("""COMPUTED_VALUE"""),"")</f>
        <v/>
      </c>
      <c r="X512" s="18" t="str">
        <f ca="1">IFERROR(__xludf.DUMMYFUNCTION("""COMPUTED_VALUE"""),"")</f>
        <v/>
      </c>
      <c r="Y512" s="18" t="e">
        <f ca="1"/>
        <v>#NAME?</v>
      </c>
      <c r="Z512" s="18" t="str">
        <f ca="1">IFERROR(__xludf.DUMMYFUNCTION("""COMPUTED_VALUE"""),"")</f>
        <v/>
      </c>
      <c r="AA512" s="18" t="str">
        <f ca="1">IFERROR(__xludf.DUMMYFUNCTION("""COMPUTED_VALUE"""),"")</f>
        <v/>
      </c>
      <c r="AC512" s="59"/>
    </row>
    <row r="513" spans="1:29" x14ac:dyDescent="0.25">
      <c r="A513" s="18">
        <v>0</v>
      </c>
      <c r="B513" s="52" t="str">
        <f ca="1"/>
        <v/>
      </c>
      <c r="C513" s="52" t="str">
        <f ca="1">IFERROR(__xludf.DUMMYFUNCTION("""COMPUTED_VALUE"""),"")</f>
        <v/>
      </c>
      <c r="D513" s="18" t="str">
        <f ca="1">IFERROR(__xludf.DUMMYFUNCTION("""COMPUTED_VALUE"""),"")</f>
        <v/>
      </c>
      <c r="E513" s="18" t="str">
        <f ca="1">IFERROR(__xludf.DUMMYFUNCTION("""COMPUTED_VALUE"""),"")</f>
        <v/>
      </c>
      <c r="F513" s="18" t="str">
        <f ca="1">IFERROR(__xludf.DUMMYFUNCTION("""COMPUTED_VALUE"""),"")</f>
        <v/>
      </c>
      <c r="G513" s="18" t="str">
        <f ca="1">IFERROR(__xludf.DUMMYFUNCTION("""COMPUTED_VALUE"""),"")</f>
        <v/>
      </c>
      <c r="H513" s="18" t="str">
        <f ca="1">IFERROR(__xludf.DUMMYFUNCTION("""COMPUTED_VALUE"""),"")</f>
        <v/>
      </c>
      <c r="I513" s="18" t="str">
        <f ca="1">IFERROR(__xludf.DUMMYFUNCTION("""COMPUTED_VALUE"""),"")</f>
        <v/>
      </c>
      <c r="J513" s="18" t="str">
        <f ca="1">IFERROR(__xludf.DUMMYFUNCTION("""COMPUTED_VALUE"""),"")</f>
        <v/>
      </c>
      <c r="K513" s="18" t="str">
        <f ca="1">IFERROR(__xludf.DUMMYFUNCTION("""COMPUTED_VALUE"""),"")</f>
        <v/>
      </c>
      <c r="L513" s="18" t="str">
        <f ca="1">IFERROR(__xludf.DUMMYFUNCTION("""COMPUTED_VALUE"""),"")</f>
        <v/>
      </c>
      <c r="M513" s="18" t="str">
        <f ca="1">IFERROR(__xludf.DUMMYFUNCTION("""COMPUTED_VALUE"""),"")</f>
        <v/>
      </c>
      <c r="N513" s="18" t="str">
        <f ca="1">IFERROR(__xludf.DUMMYFUNCTION("""COMPUTED_VALUE"""),"")</f>
        <v/>
      </c>
      <c r="O513" s="18" t="str">
        <f ca="1">IFERROR(__xludf.DUMMYFUNCTION("""COMPUTED_VALUE"""),"")</f>
        <v/>
      </c>
      <c r="P513" s="18" t="str">
        <f ca="1">IFERROR(__xludf.DUMMYFUNCTION("""COMPUTED_VALUE"""),"")</f>
        <v/>
      </c>
      <c r="Q513" s="18" t="str">
        <f ca="1">IFERROR(__xludf.DUMMYFUNCTION("""COMPUTED_VALUE"""),"")</f>
        <v/>
      </c>
      <c r="R513" s="18" t="str">
        <f ca="1">IFERROR(__xludf.DUMMYFUNCTION("""COMPUTED_VALUE"""),"")</f>
        <v/>
      </c>
      <c r="S513" s="18" t="str">
        <f ca="1">IFERROR(__xludf.DUMMYFUNCTION("""COMPUTED_VALUE"""),"")</f>
        <v/>
      </c>
      <c r="T513" s="18" t="str">
        <f ca="1">IFERROR(__xludf.DUMMYFUNCTION("""COMPUTED_VALUE"""),"")</f>
        <v/>
      </c>
      <c r="U513" s="18" t="str">
        <f ca="1">IFERROR(__xludf.DUMMYFUNCTION("""COMPUTED_VALUE"""),"")</f>
        <v/>
      </c>
      <c r="V513" s="18" t="str">
        <f ca="1">IFERROR(__xludf.DUMMYFUNCTION("""COMPUTED_VALUE"""),"")</f>
        <v/>
      </c>
      <c r="W513" s="18" t="str">
        <f ca="1">IFERROR(__xludf.DUMMYFUNCTION("""COMPUTED_VALUE"""),"")</f>
        <v/>
      </c>
      <c r="X513" s="18" t="str">
        <f ca="1">IFERROR(__xludf.DUMMYFUNCTION("""COMPUTED_VALUE"""),"")</f>
        <v/>
      </c>
      <c r="Y513" s="18" t="e">
        <f ca="1"/>
        <v>#NAME?</v>
      </c>
      <c r="Z513" s="18" t="str">
        <f ca="1">IFERROR(__xludf.DUMMYFUNCTION("""COMPUTED_VALUE"""),"")</f>
        <v/>
      </c>
      <c r="AA513" s="18" t="str">
        <f ca="1">IFERROR(__xludf.DUMMYFUNCTION("""COMPUTED_VALUE"""),"")</f>
        <v/>
      </c>
      <c r="AC513" s="59"/>
    </row>
    <row r="514" spans="1:29" x14ac:dyDescent="0.25">
      <c r="A514" s="18">
        <v>0</v>
      </c>
      <c r="B514" s="52" t="str">
        <f ca="1"/>
        <v/>
      </c>
      <c r="C514" s="52" t="str">
        <f ca="1">IFERROR(__xludf.DUMMYFUNCTION("""COMPUTED_VALUE"""),"")</f>
        <v/>
      </c>
      <c r="D514" s="18" t="str">
        <f ca="1">IFERROR(__xludf.DUMMYFUNCTION("""COMPUTED_VALUE"""),"")</f>
        <v/>
      </c>
      <c r="E514" s="18" t="str">
        <f ca="1">IFERROR(__xludf.DUMMYFUNCTION("""COMPUTED_VALUE"""),"")</f>
        <v/>
      </c>
      <c r="F514" s="18" t="str">
        <f ca="1">IFERROR(__xludf.DUMMYFUNCTION("""COMPUTED_VALUE"""),"")</f>
        <v/>
      </c>
      <c r="G514" s="18" t="str">
        <f ca="1">IFERROR(__xludf.DUMMYFUNCTION("""COMPUTED_VALUE"""),"")</f>
        <v/>
      </c>
      <c r="H514" s="18" t="str">
        <f ca="1">IFERROR(__xludf.DUMMYFUNCTION("""COMPUTED_VALUE"""),"")</f>
        <v/>
      </c>
      <c r="I514" s="18" t="str">
        <f ca="1">IFERROR(__xludf.DUMMYFUNCTION("""COMPUTED_VALUE"""),"")</f>
        <v/>
      </c>
      <c r="J514" s="18" t="str">
        <f ca="1">IFERROR(__xludf.DUMMYFUNCTION("""COMPUTED_VALUE"""),"")</f>
        <v/>
      </c>
      <c r="K514" s="18" t="str">
        <f ca="1">IFERROR(__xludf.DUMMYFUNCTION("""COMPUTED_VALUE"""),"")</f>
        <v/>
      </c>
      <c r="L514" s="18" t="str">
        <f ca="1">IFERROR(__xludf.DUMMYFUNCTION("""COMPUTED_VALUE"""),"")</f>
        <v/>
      </c>
      <c r="M514" s="18" t="str">
        <f ca="1">IFERROR(__xludf.DUMMYFUNCTION("""COMPUTED_VALUE"""),"")</f>
        <v/>
      </c>
      <c r="N514" s="18" t="str">
        <f ca="1">IFERROR(__xludf.DUMMYFUNCTION("""COMPUTED_VALUE"""),"")</f>
        <v/>
      </c>
      <c r="O514" s="18" t="str">
        <f ca="1">IFERROR(__xludf.DUMMYFUNCTION("""COMPUTED_VALUE"""),"")</f>
        <v/>
      </c>
      <c r="P514" s="18" t="str">
        <f ca="1">IFERROR(__xludf.DUMMYFUNCTION("""COMPUTED_VALUE"""),"")</f>
        <v/>
      </c>
      <c r="Q514" s="18" t="str">
        <f ca="1">IFERROR(__xludf.DUMMYFUNCTION("""COMPUTED_VALUE"""),"")</f>
        <v/>
      </c>
      <c r="R514" s="18" t="str">
        <f ca="1">IFERROR(__xludf.DUMMYFUNCTION("""COMPUTED_VALUE"""),"")</f>
        <v/>
      </c>
      <c r="S514" s="18" t="str">
        <f ca="1">IFERROR(__xludf.DUMMYFUNCTION("""COMPUTED_VALUE"""),"")</f>
        <v/>
      </c>
      <c r="T514" s="18" t="str">
        <f ca="1">IFERROR(__xludf.DUMMYFUNCTION("""COMPUTED_VALUE"""),"")</f>
        <v/>
      </c>
      <c r="U514" s="18" t="str">
        <f ca="1">IFERROR(__xludf.DUMMYFUNCTION("""COMPUTED_VALUE"""),"")</f>
        <v/>
      </c>
      <c r="V514" s="18" t="str">
        <f ca="1">IFERROR(__xludf.DUMMYFUNCTION("""COMPUTED_VALUE"""),"")</f>
        <v/>
      </c>
      <c r="W514" s="18" t="str">
        <f ca="1">IFERROR(__xludf.DUMMYFUNCTION("""COMPUTED_VALUE"""),"")</f>
        <v/>
      </c>
      <c r="X514" s="18" t="str">
        <f ca="1">IFERROR(__xludf.DUMMYFUNCTION("""COMPUTED_VALUE"""),"")</f>
        <v/>
      </c>
      <c r="Y514" s="18" t="e">
        <f ca="1"/>
        <v>#NAME?</v>
      </c>
      <c r="Z514" s="18" t="str">
        <f ca="1">IFERROR(__xludf.DUMMYFUNCTION("""COMPUTED_VALUE"""),"")</f>
        <v/>
      </c>
      <c r="AA514" s="18" t="str">
        <f ca="1">IFERROR(__xludf.DUMMYFUNCTION("""COMPUTED_VALUE"""),"")</f>
        <v/>
      </c>
      <c r="AC514" s="59"/>
    </row>
    <row r="515" spans="1:29" x14ac:dyDescent="0.25">
      <c r="A515" s="18">
        <v>0</v>
      </c>
      <c r="B515" s="52" t="str">
        <f ca="1"/>
        <v/>
      </c>
      <c r="C515" s="52" t="str">
        <f ca="1">IFERROR(__xludf.DUMMYFUNCTION("""COMPUTED_VALUE"""),"")</f>
        <v/>
      </c>
      <c r="D515" s="18" t="str">
        <f ca="1">IFERROR(__xludf.DUMMYFUNCTION("""COMPUTED_VALUE"""),"")</f>
        <v/>
      </c>
      <c r="E515" s="18" t="str">
        <f ca="1">IFERROR(__xludf.DUMMYFUNCTION("""COMPUTED_VALUE"""),"")</f>
        <v/>
      </c>
      <c r="F515" s="18" t="str">
        <f ca="1">IFERROR(__xludf.DUMMYFUNCTION("""COMPUTED_VALUE"""),"")</f>
        <v/>
      </c>
      <c r="G515" s="18" t="str">
        <f ca="1">IFERROR(__xludf.DUMMYFUNCTION("""COMPUTED_VALUE"""),"")</f>
        <v/>
      </c>
      <c r="H515" s="18" t="str">
        <f ca="1">IFERROR(__xludf.DUMMYFUNCTION("""COMPUTED_VALUE"""),"")</f>
        <v/>
      </c>
      <c r="I515" s="18" t="str">
        <f ca="1">IFERROR(__xludf.DUMMYFUNCTION("""COMPUTED_VALUE"""),"")</f>
        <v/>
      </c>
      <c r="J515" s="18" t="str">
        <f ca="1">IFERROR(__xludf.DUMMYFUNCTION("""COMPUTED_VALUE"""),"")</f>
        <v/>
      </c>
      <c r="K515" s="18" t="str">
        <f ca="1">IFERROR(__xludf.DUMMYFUNCTION("""COMPUTED_VALUE"""),"")</f>
        <v/>
      </c>
      <c r="L515" s="18" t="str">
        <f ca="1">IFERROR(__xludf.DUMMYFUNCTION("""COMPUTED_VALUE"""),"")</f>
        <v/>
      </c>
      <c r="M515" s="18" t="str">
        <f ca="1">IFERROR(__xludf.DUMMYFUNCTION("""COMPUTED_VALUE"""),"")</f>
        <v/>
      </c>
      <c r="N515" s="18" t="str">
        <f ca="1">IFERROR(__xludf.DUMMYFUNCTION("""COMPUTED_VALUE"""),"")</f>
        <v/>
      </c>
      <c r="O515" s="18" t="str">
        <f ca="1">IFERROR(__xludf.DUMMYFUNCTION("""COMPUTED_VALUE"""),"")</f>
        <v/>
      </c>
      <c r="P515" s="18" t="str">
        <f ca="1">IFERROR(__xludf.DUMMYFUNCTION("""COMPUTED_VALUE"""),"")</f>
        <v/>
      </c>
      <c r="Q515" s="18" t="str">
        <f ca="1">IFERROR(__xludf.DUMMYFUNCTION("""COMPUTED_VALUE"""),"")</f>
        <v/>
      </c>
      <c r="R515" s="18" t="str">
        <f ca="1">IFERROR(__xludf.DUMMYFUNCTION("""COMPUTED_VALUE"""),"")</f>
        <v/>
      </c>
      <c r="S515" s="18" t="str">
        <f ca="1">IFERROR(__xludf.DUMMYFUNCTION("""COMPUTED_VALUE"""),"")</f>
        <v/>
      </c>
      <c r="T515" s="18" t="str">
        <f ca="1">IFERROR(__xludf.DUMMYFUNCTION("""COMPUTED_VALUE"""),"")</f>
        <v/>
      </c>
      <c r="U515" s="18" t="str">
        <f ca="1">IFERROR(__xludf.DUMMYFUNCTION("""COMPUTED_VALUE"""),"")</f>
        <v/>
      </c>
      <c r="V515" s="18" t="str">
        <f ca="1">IFERROR(__xludf.DUMMYFUNCTION("""COMPUTED_VALUE"""),"")</f>
        <v/>
      </c>
      <c r="W515" s="18" t="str">
        <f ca="1">IFERROR(__xludf.DUMMYFUNCTION("""COMPUTED_VALUE"""),"")</f>
        <v/>
      </c>
      <c r="X515" s="18" t="str">
        <f ca="1">IFERROR(__xludf.DUMMYFUNCTION("""COMPUTED_VALUE"""),"")</f>
        <v/>
      </c>
      <c r="Y515" s="18" t="e">
        <f ca="1"/>
        <v>#NAME?</v>
      </c>
      <c r="Z515" s="18" t="str">
        <f ca="1">IFERROR(__xludf.DUMMYFUNCTION("""COMPUTED_VALUE"""),"")</f>
        <v/>
      </c>
      <c r="AA515" s="18" t="str">
        <f ca="1">IFERROR(__xludf.DUMMYFUNCTION("""COMPUTED_VALUE"""),"")</f>
        <v/>
      </c>
      <c r="AC515" s="59"/>
    </row>
    <row r="516" spans="1:29" x14ac:dyDescent="0.25">
      <c r="A516" s="18">
        <v>0</v>
      </c>
      <c r="B516" s="52" t="str">
        <f ca="1"/>
        <v/>
      </c>
      <c r="C516" s="52" t="str">
        <f ca="1">IFERROR(__xludf.DUMMYFUNCTION("""COMPUTED_VALUE"""),"")</f>
        <v/>
      </c>
      <c r="D516" s="18" t="str">
        <f ca="1">IFERROR(__xludf.DUMMYFUNCTION("""COMPUTED_VALUE"""),"")</f>
        <v/>
      </c>
      <c r="E516" s="18" t="str">
        <f ca="1">IFERROR(__xludf.DUMMYFUNCTION("""COMPUTED_VALUE"""),"")</f>
        <v/>
      </c>
      <c r="F516" s="18" t="str">
        <f ca="1">IFERROR(__xludf.DUMMYFUNCTION("""COMPUTED_VALUE"""),"")</f>
        <v/>
      </c>
      <c r="G516" s="18" t="str">
        <f ca="1">IFERROR(__xludf.DUMMYFUNCTION("""COMPUTED_VALUE"""),"")</f>
        <v/>
      </c>
      <c r="H516" s="18" t="str">
        <f ca="1">IFERROR(__xludf.DUMMYFUNCTION("""COMPUTED_VALUE"""),"")</f>
        <v/>
      </c>
      <c r="I516" s="18" t="str">
        <f ca="1">IFERROR(__xludf.DUMMYFUNCTION("""COMPUTED_VALUE"""),"")</f>
        <v/>
      </c>
      <c r="J516" s="18" t="str">
        <f ca="1">IFERROR(__xludf.DUMMYFUNCTION("""COMPUTED_VALUE"""),"")</f>
        <v/>
      </c>
      <c r="K516" s="18" t="str">
        <f ca="1">IFERROR(__xludf.DUMMYFUNCTION("""COMPUTED_VALUE"""),"")</f>
        <v/>
      </c>
      <c r="L516" s="18" t="str">
        <f ca="1">IFERROR(__xludf.DUMMYFUNCTION("""COMPUTED_VALUE"""),"")</f>
        <v/>
      </c>
      <c r="M516" s="18" t="str">
        <f ca="1">IFERROR(__xludf.DUMMYFUNCTION("""COMPUTED_VALUE"""),"")</f>
        <v/>
      </c>
      <c r="N516" s="18" t="str">
        <f ca="1">IFERROR(__xludf.DUMMYFUNCTION("""COMPUTED_VALUE"""),"")</f>
        <v/>
      </c>
      <c r="O516" s="18" t="str">
        <f ca="1">IFERROR(__xludf.DUMMYFUNCTION("""COMPUTED_VALUE"""),"")</f>
        <v/>
      </c>
      <c r="P516" s="18" t="str">
        <f ca="1">IFERROR(__xludf.DUMMYFUNCTION("""COMPUTED_VALUE"""),"")</f>
        <v/>
      </c>
      <c r="Q516" s="18" t="str">
        <f ca="1">IFERROR(__xludf.DUMMYFUNCTION("""COMPUTED_VALUE"""),"")</f>
        <v/>
      </c>
      <c r="R516" s="18" t="str">
        <f ca="1">IFERROR(__xludf.DUMMYFUNCTION("""COMPUTED_VALUE"""),"")</f>
        <v/>
      </c>
      <c r="S516" s="18" t="str">
        <f ca="1">IFERROR(__xludf.DUMMYFUNCTION("""COMPUTED_VALUE"""),"")</f>
        <v/>
      </c>
      <c r="T516" s="18" t="str">
        <f ca="1">IFERROR(__xludf.DUMMYFUNCTION("""COMPUTED_VALUE"""),"")</f>
        <v/>
      </c>
      <c r="U516" s="18" t="str">
        <f ca="1">IFERROR(__xludf.DUMMYFUNCTION("""COMPUTED_VALUE"""),"")</f>
        <v/>
      </c>
      <c r="V516" s="18" t="str">
        <f ca="1">IFERROR(__xludf.DUMMYFUNCTION("""COMPUTED_VALUE"""),"")</f>
        <v/>
      </c>
      <c r="W516" s="18" t="str">
        <f ca="1">IFERROR(__xludf.DUMMYFUNCTION("""COMPUTED_VALUE"""),"")</f>
        <v/>
      </c>
      <c r="X516" s="18" t="str">
        <f ca="1">IFERROR(__xludf.DUMMYFUNCTION("""COMPUTED_VALUE"""),"")</f>
        <v/>
      </c>
      <c r="Y516" s="18" t="e">
        <f ca="1"/>
        <v>#NAME?</v>
      </c>
      <c r="Z516" s="18" t="str">
        <f ca="1">IFERROR(__xludf.DUMMYFUNCTION("""COMPUTED_VALUE"""),"")</f>
        <v/>
      </c>
      <c r="AA516" s="18" t="str">
        <f ca="1">IFERROR(__xludf.DUMMYFUNCTION("""COMPUTED_VALUE"""),"")</f>
        <v/>
      </c>
      <c r="AC516" s="59"/>
    </row>
    <row r="517" spans="1:29" x14ac:dyDescent="0.25">
      <c r="A517" s="18">
        <v>0</v>
      </c>
      <c r="B517" s="52" t="str">
        <f ca="1"/>
        <v/>
      </c>
      <c r="C517" s="52" t="str">
        <f ca="1">IFERROR(__xludf.DUMMYFUNCTION("""COMPUTED_VALUE"""),"")</f>
        <v/>
      </c>
      <c r="D517" s="18" t="str">
        <f ca="1">IFERROR(__xludf.DUMMYFUNCTION("""COMPUTED_VALUE"""),"")</f>
        <v/>
      </c>
      <c r="E517" s="18" t="str">
        <f ca="1">IFERROR(__xludf.DUMMYFUNCTION("""COMPUTED_VALUE"""),"")</f>
        <v/>
      </c>
      <c r="F517" s="18" t="str">
        <f ca="1">IFERROR(__xludf.DUMMYFUNCTION("""COMPUTED_VALUE"""),"")</f>
        <v/>
      </c>
      <c r="G517" s="18" t="str">
        <f ca="1">IFERROR(__xludf.DUMMYFUNCTION("""COMPUTED_VALUE"""),"")</f>
        <v/>
      </c>
      <c r="H517" s="18" t="str">
        <f ca="1">IFERROR(__xludf.DUMMYFUNCTION("""COMPUTED_VALUE"""),"")</f>
        <v/>
      </c>
      <c r="I517" s="18" t="str">
        <f ca="1">IFERROR(__xludf.DUMMYFUNCTION("""COMPUTED_VALUE"""),"")</f>
        <v/>
      </c>
      <c r="J517" s="18" t="str">
        <f ca="1">IFERROR(__xludf.DUMMYFUNCTION("""COMPUTED_VALUE"""),"")</f>
        <v/>
      </c>
      <c r="K517" s="18" t="str">
        <f ca="1">IFERROR(__xludf.DUMMYFUNCTION("""COMPUTED_VALUE"""),"")</f>
        <v/>
      </c>
      <c r="L517" s="18" t="str">
        <f ca="1">IFERROR(__xludf.DUMMYFUNCTION("""COMPUTED_VALUE"""),"")</f>
        <v/>
      </c>
      <c r="M517" s="18" t="str">
        <f ca="1">IFERROR(__xludf.DUMMYFUNCTION("""COMPUTED_VALUE"""),"")</f>
        <v/>
      </c>
      <c r="N517" s="18" t="str">
        <f ca="1">IFERROR(__xludf.DUMMYFUNCTION("""COMPUTED_VALUE"""),"")</f>
        <v/>
      </c>
      <c r="O517" s="18" t="str">
        <f ca="1">IFERROR(__xludf.DUMMYFUNCTION("""COMPUTED_VALUE"""),"")</f>
        <v/>
      </c>
      <c r="P517" s="18" t="str">
        <f ca="1">IFERROR(__xludf.DUMMYFUNCTION("""COMPUTED_VALUE"""),"")</f>
        <v/>
      </c>
      <c r="Q517" s="18" t="str">
        <f ca="1">IFERROR(__xludf.DUMMYFUNCTION("""COMPUTED_VALUE"""),"")</f>
        <v/>
      </c>
      <c r="R517" s="18" t="str">
        <f ca="1">IFERROR(__xludf.DUMMYFUNCTION("""COMPUTED_VALUE"""),"")</f>
        <v/>
      </c>
      <c r="S517" s="18" t="str">
        <f ca="1">IFERROR(__xludf.DUMMYFUNCTION("""COMPUTED_VALUE"""),"")</f>
        <v/>
      </c>
      <c r="T517" s="18" t="str">
        <f ca="1">IFERROR(__xludf.DUMMYFUNCTION("""COMPUTED_VALUE"""),"")</f>
        <v/>
      </c>
      <c r="U517" s="18" t="str">
        <f ca="1">IFERROR(__xludf.DUMMYFUNCTION("""COMPUTED_VALUE"""),"")</f>
        <v/>
      </c>
      <c r="V517" s="18" t="str">
        <f ca="1">IFERROR(__xludf.DUMMYFUNCTION("""COMPUTED_VALUE"""),"")</f>
        <v/>
      </c>
      <c r="W517" s="18" t="str">
        <f ca="1">IFERROR(__xludf.DUMMYFUNCTION("""COMPUTED_VALUE"""),"")</f>
        <v/>
      </c>
      <c r="X517" s="18" t="str">
        <f ca="1">IFERROR(__xludf.DUMMYFUNCTION("""COMPUTED_VALUE"""),"")</f>
        <v/>
      </c>
      <c r="Y517" s="18" t="e">
        <f ca="1"/>
        <v>#NAME?</v>
      </c>
      <c r="Z517" s="18" t="str">
        <f ca="1">IFERROR(__xludf.DUMMYFUNCTION("""COMPUTED_VALUE"""),"")</f>
        <v/>
      </c>
      <c r="AA517" s="18" t="str">
        <f ca="1">IFERROR(__xludf.DUMMYFUNCTION("""COMPUTED_VALUE"""),"")</f>
        <v/>
      </c>
      <c r="AC517" s="59"/>
    </row>
    <row r="518" spans="1:29" x14ac:dyDescent="0.25">
      <c r="A518" s="18">
        <v>0</v>
      </c>
      <c r="B518" s="52" t="str">
        <f ca="1"/>
        <v/>
      </c>
      <c r="C518" s="52" t="str">
        <f ca="1">IFERROR(__xludf.DUMMYFUNCTION("""COMPUTED_VALUE"""),"")</f>
        <v/>
      </c>
      <c r="D518" s="18" t="str">
        <f ca="1">IFERROR(__xludf.DUMMYFUNCTION("""COMPUTED_VALUE"""),"")</f>
        <v/>
      </c>
      <c r="E518" s="18" t="str">
        <f ca="1">IFERROR(__xludf.DUMMYFUNCTION("""COMPUTED_VALUE"""),"")</f>
        <v/>
      </c>
      <c r="F518" s="18" t="str">
        <f ca="1">IFERROR(__xludf.DUMMYFUNCTION("""COMPUTED_VALUE"""),"")</f>
        <v/>
      </c>
      <c r="G518" s="18" t="str">
        <f ca="1">IFERROR(__xludf.DUMMYFUNCTION("""COMPUTED_VALUE"""),"")</f>
        <v/>
      </c>
      <c r="H518" s="18" t="str">
        <f ca="1">IFERROR(__xludf.DUMMYFUNCTION("""COMPUTED_VALUE"""),"")</f>
        <v/>
      </c>
      <c r="I518" s="18" t="str">
        <f ca="1">IFERROR(__xludf.DUMMYFUNCTION("""COMPUTED_VALUE"""),"")</f>
        <v/>
      </c>
      <c r="J518" s="18" t="str">
        <f ca="1">IFERROR(__xludf.DUMMYFUNCTION("""COMPUTED_VALUE"""),"")</f>
        <v/>
      </c>
      <c r="K518" s="18" t="str">
        <f ca="1">IFERROR(__xludf.DUMMYFUNCTION("""COMPUTED_VALUE"""),"")</f>
        <v/>
      </c>
      <c r="L518" s="18" t="str">
        <f ca="1">IFERROR(__xludf.DUMMYFUNCTION("""COMPUTED_VALUE"""),"")</f>
        <v/>
      </c>
      <c r="M518" s="18" t="str">
        <f ca="1">IFERROR(__xludf.DUMMYFUNCTION("""COMPUTED_VALUE"""),"")</f>
        <v/>
      </c>
      <c r="N518" s="18" t="str">
        <f ca="1">IFERROR(__xludf.DUMMYFUNCTION("""COMPUTED_VALUE"""),"")</f>
        <v/>
      </c>
      <c r="O518" s="18" t="str">
        <f ca="1">IFERROR(__xludf.DUMMYFUNCTION("""COMPUTED_VALUE"""),"")</f>
        <v/>
      </c>
      <c r="P518" s="18" t="str">
        <f ca="1">IFERROR(__xludf.DUMMYFUNCTION("""COMPUTED_VALUE"""),"")</f>
        <v/>
      </c>
      <c r="Q518" s="18" t="str">
        <f ca="1">IFERROR(__xludf.DUMMYFUNCTION("""COMPUTED_VALUE"""),"")</f>
        <v/>
      </c>
      <c r="R518" s="18" t="str">
        <f ca="1">IFERROR(__xludf.DUMMYFUNCTION("""COMPUTED_VALUE"""),"")</f>
        <v/>
      </c>
      <c r="S518" s="18" t="str">
        <f ca="1">IFERROR(__xludf.DUMMYFUNCTION("""COMPUTED_VALUE"""),"")</f>
        <v/>
      </c>
      <c r="T518" s="18" t="str">
        <f ca="1">IFERROR(__xludf.DUMMYFUNCTION("""COMPUTED_VALUE"""),"")</f>
        <v/>
      </c>
      <c r="U518" s="18" t="str">
        <f ca="1">IFERROR(__xludf.DUMMYFUNCTION("""COMPUTED_VALUE"""),"")</f>
        <v/>
      </c>
      <c r="V518" s="18" t="str">
        <f ca="1">IFERROR(__xludf.DUMMYFUNCTION("""COMPUTED_VALUE"""),"")</f>
        <v/>
      </c>
      <c r="W518" s="18" t="str">
        <f ca="1">IFERROR(__xludf.DUMMYFUNCTION("""COMPUTED_VALUE"""),"")</f>
        <v/>
      </c>
      <c r="X518" s="18" t="str">
        <f ca="1">IFERROR(__xludf.DUMMYFUNCTION("""COMPUTED_VALUE"""),"")</f>
        <v/>
      </c>
      <c r="Y518" s="18" t="e">
        <f ca="1"/>
        <v>#NAME?</v>
      </c>
      <c r="Z518" s="18" t="str">
        <f ca="1">IFERROR(__xludf.DUMMYFUNCTION("""COMPUTED_VALUE"""),"")</f>
        <v/>
      </c>
      <c r="AA518" s="18" t="str">
        <f ca="1">IFERROR(__xludf.DUMMYFUNCTION("""COMPUTED_VALUE"""),"")</f>
        <v/>
      </c>
      <c r="AC518" s="59"/>
    </row>
    <row r="519" spans="1:29" x14ac:dyDescent="0.25">
      <c r="A519" s="18">
        <v>0</v>
      </c>
      <c r="B519" s="52" t="str">
        <f ca="1"/>
        <v/>
      </c>
      <c r="C519" s="52" t="str">
        <f ca="1">IFERROR(__xludf.DUMMYFUNCTION("""COMPUTED_VALUE"""),"")</f>
        <v/>
      </c>
      <c r="D519" s="18" t="str">
        <f ca="1">IFERROR(__xludf.DUMMYFUNCTION("""COMPUTED_VALUE"""),"")</f>
        <v/>
      </c>
      <c r="E519" s="18" t="str">
        <f ca="1">IFERROR(__xludf.DUMMYFUNCTION("""COMPUTED_VALUE"""),"")</f>
        <v/>
      </c>
      <c r="F519" s="18" t="str">
        <f ca="1">IFERROR(__xludf.DUMMYFUNCTION("""COMPUTED_VALUE"""),"")</f>
        <v/>
      </c>
      <c r="G519" s="18" t="str">
        <f ca="1">IFERROR(__xludf.DUMMYFUNCTION("""COMPUTED_VALUE"""),"")</f>
        <v/>
      </c>
      <c r="H519" s="18" t="str">
        <f ca="1">IFERROR(__xludf.DUMMYFUNCTION("""COMPUTED_VALUE"""),"")</f>
        <v/>
      </c>
      <c r="I519" s="18" t="str">
        <f ca="1">IFERROR(__xludf.DUMMYFUNCTION("""COMPUTED_VALUE"""),"")</f>
        <v/>
      </c>
      <c r="J519" s="18" t="str">
        <f ca="1">IFERROR(__xludf.DUMMYFUNCTION("""COMPUTED_VALUE"""),"")</f>
        <v/>
      </c>
      <c r="K519" s="18" t="str">
        <f ca="1">IFERROR(__xludf.DUMMYFUNCTION("""COMPUTED_VALUE"""),"")</f>
        <v/>
      </c>
      <c r="L519" s="18" t="str">
        <f ca="1">IFERROR(__xludf.DUMMYFUNCTION("""COMPUTED_VALUE"""),"")</f>
        <v/>
      </c>
      <c r="M519" s="18" t="str">
        <f ca="1">IFERROR(__xludf.DUMMYFUNCTION("""COMPUTED_VALUE"""),"")</f>
        <v/>
      </c>
      <c r="N519" s="18" t="str">
        <f ca="1">IFERROR(__xludf.DUMMYFUNCTION("""COMPUTED_VALUE"""),"")</f>
        <v/>
      </c>
      <c r="O519" s="18" t="str">
        <f ca="1">IFERROR(__xludf.DUMMYFUNCTION("""COMPUTED_VALUE"""),"")</f>
        <v/>
      </c>
      <c r="P519" s="18" t="str">
        <f ca="1">IFERROR(__xludf.DUMMYFUNCTION("""COMPUTED_VALUE"""),"")</f>
        <v/>
      </c>
      <c r="Q519" s="18" t="str">
        <f ca="1">IFERROR(__xludf.DUMMYFUNCTION("""COMPUTED_VALUE"""),"")</f>
        <v/>
      </c>
      <c r="R519" s="18" t="str">
        <f ca="1">IFERROR(__xludf.DUMMYFUNCTION("""COMPUTED_VALUE"""),"")</f>
        <v/>
      </c>
      <c r="S519" s="18" t="str">
        <f ca="1">IFERROR(__xludf.DUMMYFUNCTION("""COMPUTED_VALUE"""),"")</f>
        <v/>
      </c>
      <c r="T519" s="18" t="str">
        <f ca="1">IFERROR(__xludf.DUMMYFUNCTION("""COMPUTED_VALUE"""),"")</f>
        <v/>
      </c>
      <c r="U519" s="18" t="str">
        <f ca="1">IFERROR(__xludf.DUMMYFUNCTION("""COMPUTED_VALUE"""),"")</f>
        <v/>
      </c>
      <c r="V519" s="18" t="str">
        <f ca="1">IFERROR(__xludf.DUMMYFUNCTION("""COMPUTED_VALUE"""),"")</f>
        <v/>
      </c>
      <c r="W519" s="18" t="str">
        <f ca="1">IFERROR(__xludf.DUMMYFUNCTION("""COMPUTED_VALUE"""),"")</f>
        <v/>
      </c>
      <c r="X519" s="18" t="str">
        <f ca="1">IFERROR(__xludf.DUMMYFUNCTION("""COMPUTED_VALUE"""),"")</f>
        <v/>
      </c>
      <c r="Y519" s="18" t="e">
        <f ca="1"/>
        <v>#NAME?</v>
      </c>
      <c r="Z519" s="18" t="str">
        <f ca="1">IFERROR(__xludf.DUMMYFUNCTION("""COMPUTED_VALUE"""),"")</f>
        <v/>
      </c>
      <c r="AA519" s="18" t="str">
        <f ca="1">IFERROR(__xludf.DUMMYFUNCTION("""COMPUTED_VALUE"""),"")</f>
        <v/>
      </c>
      <c r="AC519" s="59"/>
    </row>
    <row r="520" spans="1:29" x14ac:dyDescent="0.25">
      <c r="A520" s="18">
        <v>0</v>
      </c>
      <c r="B520" s="52" t="str">
        <f ca="1"/>
        <v/>
      </c>
      <c r="C520" s="52" t="str">
        <f ca="1">IFERROR(__xludf.DUMMYFUNCTION("""COMPUTED_VALUE"""),"")</f>
        <v/>
      </c>
      <c r="D520" s="18" t="str">
        <f ca="1">IFERROR(__xludf.DUMMYFUNCTION("""COMPUTED_VALUE"""),"")</f>
        <v/>
      </c>
      <c r="E520" s="18" t="str">
        <f ca="1">IFERROR(__xludf.DUMMYFUNCTION("""COMPUTED_VALUE"""),"")</f>
        <v/>
      </c>
      <c r="F520" s="18" t="str">
        <f ca="1">IFERROR(__xludf.DUMMYFUNCTION("""COMPUTED_VALUE"""),"")</f>
        <v/>
      </c>
      <c r="G520" s="18" t="str">
        <f ca="1">IFERROR(__xludf.DUMMYFUNCTION("""COMPUTED_VALUE"""),"")</f>
        <v/>
      </c>
      <c r="H520" s="18" t="str">
        <f ca="1">IFERROR(__xludf.DUMMYFUNCTION("""COMPUTED_VALUE"""),"")</f>
        <v/>
      </c>
      <c r="I520" s="18" t="str">
        <f ca="1">IFERROR(__xludf.DUMMYFUNCTION("""COMPUTED_VALUE"""),"")</f>
        <v/>
      </c>
      <c r="J520" s="18" t="str">
        <f ca="1">IFERROR(__xludf.DUMMYFUNCTION("""COMPUTED_VALUE"""),"")</f>
        <v/>
      </c>
      <c r="K520" s="18" t="str">
        <f ca="1">IFERROR(__xludf.DUMMYFUNCTION("""COMPUTED_VALUE"""),"")</f>
        <v/>
      </c>
      <c r="L520" s="18" t="str">
        <f ca="1">IFERROR(__xludf.DUMMYFUNCTION("""COMPUTED_VALUE"""),"")</f>
        <v/>
      </c>
      <c r="M520" s="18" t="str">
        <f ca="1">IFERROR(__xludf.DUMMYFUNCTION("""COMPUTED_VALUE"""),"")</f>
        <v/>
      </c>
      <c r="N520" s="18" t="str">
        <f ca="1">IFERROR(__xludf.DUMMYFUNCTION("""COMPUTED_VALUE"""),"")</f>
        <v/>
      </c>
      <c r="O520" s="18" t="str">
        <f ca="1">IFERROR(__xludf.DUMMYFUNCTION("""COMPUTED_VALUE"""),"")</f>
        <v/>
      </c>
      <c r="P520" s="18" t="str">
        <f ca="1">IFERROR(__xludf.DUMMYFUNCTION("""COMPUTED_VALUE"""),"")</f>
        <v/>
      </c>
      <c r="Q520" s="18" t="str">
        <f ca="1">IFERROR(__xludf.DUMMYFUNCTION("""COMPUTED_VALUE"""),"")</f>
        <v/>
      </c>
      <c r="R520" s="18" t="str">
        <f ca="1">IFERROR(__xludf.DUMMYFUNCTION("""COMPUTED_VALUE"""),"")</f>
        <v/>
      </c>
      <c r="S520" s="18" t="str">
        <f ca="1">IFERROR(__xludf.DUMMYFUNCTION("""COMPUTED_VALUE"""),"")</f>
        <v/>
      </c>
      <c r="T520" s="18" t="str">
        <f ca="1">IFERROR(__xludf.DUMMYFUNCTION("""COMPUTED_VALUE"""),"")</f>
        <v/>
      </c>
      <c r="U520" s="18" t="str">
        <f ca="1">IFERROR(__xludf.DUMMYFUNCTION("""COMPUTED_VALUE"""),"")</f>
        <v/>
      </c>
      <c r="V520" s="18" t="str">
        <f ca="1">IFERROR(__xludf.DUMMYFUNCTION("""COMPUTED_VALUE"""),"")</f>
        <v/>
      </c>
      <c r="W520" s="18" t="str">
        <f ca="1">IFERROR(__xludf.DUMMYFUNCTION("""COMPUTED_VALUE"""),"")</f>
        <v/>
      </c>
      <c r="X520" s="18" t="str">
        <f ca="1">IFERROR(__xludf.DUMMYFUNCTION("""COMPUTED_VALUE"""),"")</f>
        <v/>
      </c>
      <c r="Y520" s="18" t="e">
        <f ca="1"/>
        <v>#NAME?</v>
      </c>
      <c r="Z520" s="18" t="str">
        <f ca="1">IFERROR(__xludf.DUMMYFUNCTION("""COMPUTED_VALUE"""),"")</f>
        <v/>
      </c>
      <c r="AA520" s="18" t="str">
        <f ca="1">IFERROR(__xludf.DUMMYFUNCTION("""COMPUTED_VALUE"""),"")</f>
        <v/>
      </c>
      <c r="AC520" s="59"/>
    </row>
    <row r="521" spans="1:29" x14ac:dyDescent="0.25">
      <c r="A521" s="18">
        <v>0</v>
      </c>
      <c r="B521" s="52" t="str">
        <f ca="1"/>
        <v/>
      </c>
      <c r="C521" s="52" t="str">
        <f ca="1">IFERROR(__xludf.DUMMYFUNCTION("""COMPUTED_VALUE"""),"")</f>
        <v/>
      </c>
      <c r="D521" s="18" t="str">
        <f ca="1">IFERROR(__xludf.DUMMYFUNCTION("""COMPUTED_VALUE"""),"")</f>
        <v/>
      </c>
      <c r="E521" s="18" t="str">
        <f ca="1">IFERROR(__xludf.DUMMYFUNCTION("""COMPUTED_VALUE"""),"")</f>
        <v/>
      </c>
      <c r="F521" s="18" t="str">
        <f ca="1">IFERROR(__xludf.DUMMYFUNCTION("""COMPUTED_VALUE"""),"")</f>
        <v/>
      </c>
      <c r="G521" s="18" t="str">
        <f ca="1">IFERROR(__xludf.DUMMYFUNCTION("""COMPUTED_VALUE"""),"")</f>
        <v/>
      </c>
      <c r="H521" s="18" t="str">
        <f ca="1">IFERROR(__xludf.DUMMYFUNCTION("""COMPUTED_VALUE"""),"")</f>
        <v/>
      </c>
      <c r="I521" s="18" t="str">
        <f ca="1">IFERROR(__xludf.DUMMYFUNCTION("""COMPUTED_VALUE"""),"")</f>
        <v/>
      </c>
      <c r="J521" s="18" t="str">
        <f ca="1">IFERROR(__xludf.DUMMYFUNCTION("""COMPUTED_VALUE"""),"")</f>
        <v/>
      </c>
      <c r="K521" s="18" t="str">
        <f ca="1">IFERROR(__xludf.DUMMYFUNCTION("""COMPUTED_VALUE"""),"")</f>
        <v/>
      </c>
      <c r="L521" s="18" t="str">
        <f ca="1">IFERROR(__xludf.DUMMYFUNCTION("""COMPUTED_VALUE"""),"")</f>
        <v/>
      </c>
      <c r="M521" s="18" t="str">
        <f ca="1">IFERROR(__xludf.DUMMYFUNCTION("""COMPUTED_VALUE"""),"")</f>
        <v/>
      </c>
      <c r="N521" s="18" t="str">
        <f ca="1">IFERROR(__xludf.DUMMYFUNCTION("""COMPUTED_VALUE"""),"")</f>
        <v/>
      </c>
      <c r="O521" s="18" t="str">
        <f ca="1">IFERROR(__xludf.DUMMYFUNCTION("""COMPUTED_VALUE"""),"")</f>
        <v/>
      </c>
      <c r="P521" s="18" t="str">
        <f ca="1">IFERROR(__xludf.DUMMYFUNCTION("""COMPUTED_VALUE"""),"")</f>
        <v/>
      </c>
      <c r="Q521" s="18" t="str">
        <f ca="1">IFERROR(__xludf.DUMMYFUNCTION("""COMPUTED_VALUE"""),"")</f>
        <v/>
      </c>
      <c r="R521" s="18" t="str">
        <f ca="1">IFERROR(__xludf.DUMMYFUNCTION("""COMPUTED_VALUE"""),"")</f>
        <v/>
      </c>
      <c r="S521" s="18" t="str">
        <f ca="1">IFERROR(__xludf.DUMMYFUNCTION("""COMPUTED_VALUE"""),"")</f>
        <v/>
      </c>
      <c r="T521" s="18" t="str">
        <f ca="1">IFERROR(__xludf.DUMMYFUNCTION("""COMPUTED_VALUE"""),"")</f>
        <v/>
      </c>
      <c r="U521" s="18" t="str">
        <f ca="1">IFERROR(__xludf.DUMMYFUNCTION("""COMPUTED_VALUE"""),"")</f>
        <v/>
      </c>
      <c r="V521" s="18" t="str">
        <f ca="1">IFERROR(__xludf.DUMMYFUNCTION("""COMPUTED_VALUE"""),"")</f>
        <v/>
      </c>
      <c r="W521" s="18" t="str">
        <f ca="1">IFERROR(__xludf.DUMMYFUNCTION("""COMPUTED_VALUE"""),"")</f>
        <v/>
      </c>
      <c r="X521" s="18" t="str">
        <f ca="1">IFERROR(__xludf.DUMMYFUNCTION("""COMPUTED_VALUE"""),"")</f>
        <v/>
      </c>
      <c r="Y521" s="18" t="e">
        <f ca="1"/>
        <v>#NAME?</v>
      </c>
      <c r="Z521" s="18" t="str">
        <f ca="1">IFERROR(__xludf.DUMMYFUNCTION("""COMPUTED_VALUE"""),"")</f>
        <v/>
      </c>
      <c r="AA521" s="18" t="str">
        <f ca="1">IFERROR(__xludf.DUMMYFUNCTION("""COMPUTED_VALUE"""),"")</f>
        <v/>
      </c>
      <c r="AC521" s="59"/>
    </row>
    <row r="522" spans="1:29" x14ac:dyDescent="0.25">
      <c r="A522" s="18">
        <v>0</v>
      </c>
      <c r="B522" s="52" t="str">
        <f ca="1"/>
        <v/>
      </c>
      <c r="C522" s="52" t="str">
        <f ca="1">IFERROR(__xludf.DUMMYFUNCTION("""COMPUTED_VALUE"""),"")</f>
        <v/>
      </c>
      <c r="D522" s="18" t="str">
        <f ca="1">IFERROR(__xludf.DUMMYFUNCTION("""COMPUTED_VALUE"""),"")</f>
        <v/>
      </c>
      <c r="E522" s="18" t="str">
        <f ca="1">IFERROR(__xludf.DUMMYFUNCTION("""COMPUTED_VALUE"""),"")</f>
        <v/>
      </c>
      <c r="F522" s="18" t="str">
        <f ca="1">IFERROR(__xludf.DUMMYFUNCTION("""COMPUTED_VALUE"""),"")</f>
        <v/>
      </c>
      <c r="G522" s="18" t="str">
        <f ca="1">IFERROR(__xludf.DUMMYFUNCTION("""COMPUTED_VALUE"""),"")</f>
        <v/>
      </c>
      <c r="H522" s="18" t="str">
        <f ca="1">IFERROR(__xludf.DUMMYFUNCTION("""COMPUTED_VALUE"""),"")</f>
        <v/>
      </c>
      <c r="I522" s="18" t="str">
        <f ca="1">IFERROR(__xludf.DUMMYFUNCTION("""COMPUTED_VALUE"""),"")</f>
        <v/>
      </c>
      <c r="J522" s="18" t="str">
        <f ca="1">IFERROR(__xludf.DUMMYFUNCTION("""COMPUTED_VALUE"""),"")</f>
        <v/>
      </c>
      <c r="K522" s="18" t="str">
        <f ca="1">IFERROR(__xludf.DUMMYFUNCTION("""COMPUTED_VALUE"""),"")</f>
        <v/>
      </c>
      <c r="L522" s="18" t="str">
        <f ca="1">IFERROR(__xludf.DUMMYFUNCTION("""COMPUTED_VALUE"""),"")</f>
        <v/>
      </c>
      <c r="M522" s="18" t="str">
        <f ca="1">IFERROR(__xludf.DUMMYFUNCTION("""COMPUTED_VALUE"""),"")</f>
        <v/>
      </c>
      <c r="N522" s="18" t="str">
        <f ca="1">IFERROR(__xludf.DUMMYFUNCTION("""COMPUTED_VALUE"""),"")</f>
        <v/>
      </c>
      <c r="O522" s="18" t="str">
        <f ca="1">IFERROR(__xludf.DUMMYFUNCTION("""COMPUTED_VALUE"""),"")</f>
        <v/>
      </c>
      <c r="P522" s="18" t="str">
        <f ca="1">IFERROR(__xludf.DUMMYFUNCTION("""COMPUTED_VALUE"""),"")</f>
        <v/>
      </c>
      <c r="Q522" s="18" t="str">
        <f ca="1">IFERROR(__xludf.DUMMYFUNCTION("""COMPUTED_VALUE"""),"")</f>
        <v/>
      </c>
      <c r="R522" s="18" t="str">
        <f ca="1">IFERROR(__xludf.DUMMYFUNCTION("""COMPUTED_VALUE"""),"")</f>
        <v/>
      </c>
      <c r="S522" s="18" t="str">
        <f ca="1">IFERROR(__xludf.DUMMYFUNCTION("""COMPUTED_VALUE"""),"")</f>
        <v/>
      </c>
      <c r="T522" s="18" t="str">
        <f ca="1">IFERROR(__xludf.DUMMYFUNCTION("""COMPUTED_VALUE"""),"")</f>
        <v/>
      </c>
      <c r="U522" s="18" t="str">
        <f ca="1">IFERROR(__xludf.DUMMYFUNCTION("""COMPUTED_VALUE"""),"")</f>
        <v/>
      </c>
      <c r="V522" s="18" t="str">
        <f ca="1">IFERROR(__xludf.DUMMYFUNCTION("""COMPUTED_VALUE"""),"")</f>
        <v/>
      </c>
      <c r="W522" s="18" t="str">
        <f ca="1">IFERROR(__xludf.DUMMYFUNCTION("""COMPUTED_VALUE"""),"")</f>
        <v/>
      </c>
      <c r="X522" s="18" t="str">
        <f ca="1">IFERROR(__xludf.DUMMYFUNCTION("""COMPUTED_VALUE"""),"")</f>
        <v/>
      </c>
      <c r="Y522" s="18" t="e">
        <f ca="1"/>
        <v>#NAME?</v>
      </c>
      <c r="Z522" s="18" t="str">
        <f ca="1">IFERROR(__xludf.DUMMYFUNCTION("""COMPUTED_VALUE"""),"")</f>
        <v/>
      </c>
      <c r="AA522" s="18" t="str">
        <f ca="1">IFERROR(__xludf.DUMMYFUNCTION("""COMPUTED_VALUE"""),"")</f>
        <v/>
      </c>
      <c r="AC522" s="59"/>
    </row>
    <row r="523" spans="1:29" x14ac:dyDescent="0.25">
      <c r="A523" s="18">
        <v>0</v>
      </c>
      <c r="B523" s="52" t="str">
        <f ca="1"/>
        <v/>
      </c>
      <c r="C523" s="52" t="str">
        <f ca="1">IFERROR(__xludf.DUMMYFUNCTION("""COMPUTED_VALUE"""),"")</f>
        <v/>
      </c>
      <c r="D523" s="18" t="str">
        <f ca="1">IFERROR(__xludf.DUMMYFUNCTION("""COMPUTED_VALUE"""),"")</f>
        <v/>
      </c>
      <c r="E523" s="18" t="str">
        <f ca="1">IFERROR(__xludf.DUMMYFUNCTION("""COMPUTED_VALUE"""),"")</f>
        <v/>
      </c>
      <c r="F523" s="18" t="str">
        <f ca="1">IFERROR(__xludf.DUMMYFUNCTION("""COMPUTED_VALUE"""),"")</f>
        <v/>
      </c>
      <c r="G523" s="18" t="str">
        <f ca="1">IFERROR(__xludf.DUMMYFUNCTION("""COMPUTED_VALUE"""),"")</f>
        <v/>
      </c>
      <c r="H523" s="18" t="str">
        <f ca="1">IFERROR(__xludf.DUMMYFUNCTION("""COMPUTED_VALUE"""),"")</f>
        <v/>
      </c>
      <c r="I523" s="18" t="str">
        <f ca="1">IFERROR(__xludf.DUMMYFUNCTION("""COMPUTED_VALUE"""),"")</f>
        <v/>
      </c>
      <c r="J523" s="18" t="str">
        <f ca="1">IFERROR(__xludf.DUMMYFUNCTION("""COMPUTED_VALUE"""),"")</f>
        <v/>
      </c>
      <c r="K523" s="18" t="str">
        <f ca="1">IFERROR(__xludf.DUMMYFUNCTION("""COMPUTED_VALUE"""),"")</f>
        <v/>
      </c>
      <c r="L523" s="18" t="str">
        <f ca="1">IFERROR(__xludf.DUMMYFUNCTION("""COMPUTED_VALUE"""),"")</f>
        <v/>
      </c>
      <c r="M523" s="18" t="str">
        <f ca="1">IFERROR(__xludf.DUMMYFUNCTION("""COMPUTED_VALUE"""),"")</f>
        <v/>
      </c>
      <c r="N523" s="18" t="str">
        <f ca="1">IFERROR(__xludf.DUMMYFUNCTION("""COMPUTED_VALUE"""),"")</f>
        <v/>
      </c>
      <c r="O523" s="18" t="str">
        <f ca="1">IFERROR(__xludf.DUMMYFUNCTION("""COMPUTED_VALUE"""),"")</f>
        <v/>
      </c>
      <c r="P523" s="18" t="str">
        <f ca="1">IFERROR(__xludf.DUMMYFUNCTION("""COMPUTED_VALUE"""),"")</f>
        <v/>
      </c>
      <c r="Q523" s="18" t="str">
        <f ca="1">IFERROR(__xludf.DUMMYFUNCTION("""COMPUTED_VALUE"""),"")</f>
        <v/>
      </c>
      <c r="R523" s="18" t="str">
        <f ca="1">IFERROR(__xludf.DUMMYFUNCTION("""COMPUTED_VALUE"""),"")</f>
        <v/>
      </c>
      <c r="S523" s="18" t="str">
        <f ca="1">IFERROR(__xludf.DUMMYFUNCTION("""COMPUTED_VALUE"""),"")</f>
        <v/>
      </c>
      <c r="T523" s="18" t="str">
        <f ca="1">IFERROR(__xludf.DUMMYFUNCTION("""COMPUTED_VALUE"""),"")</f>
        <v/>
      </c>
      <c r="U523" s="18" t="str">
        <f ca="1">IFERROR(__xludf.DUMMYFUNCTION("""COMPUTED_VALUE"""),"")</f>
        <v/>
      </c>
      <c r="V523" s="18" t="str">
        <f ca="1">IFERROR(__xludf.DUMMYFUNCTION("""COMPUTED_VALUE"""),"")</f>
        <v/>
      </c>
      <c r="W523" s="18" t="str">
        <f ca="1">IFERROR(__xludf.DUMMYFUNCTION("""COMPUTED_VALUE"""),"")</f>
        <v/>
      </c>
      <c r="X523" s="18" t="str">
        <f ca="1">IFERROR(__xludf.DUMMYFUNCTION("""COMPUTED_VALUE"""),"")</f>
        <v/>
      </c>
      <c r="Y523" s="18" t="e">
        <f ca="1"/>
        <v>#NAME?</v>
      </c>
      <c r="Z523" s="18" t="str">
        <f ca="1">IFERROR(__xludf.DUMMYFUNCTION("""COMPUTED_VALUE"""),"")</f>
        <v/>
      </c>
      <c r="AA523" s="18" t="str">
        <f ca="1">IFERROR(__xludf.DUMMYFUNCTION("""COMPUTED_VALUE"""),"")</f>
        <v/>
      </c>
      <c r="AC523" s="59"/>
    </row>
    <row r="524" spans="1:29" x14ac:dyDescent="0.25">
      <c r="A524" s="18">
        <v>0</v>
      </c>
      <c r="B524" s="52" t="str">
        <f ca="1"/>
        <v/>
      </c>
      <c r="C524" s="52" t="str">
        <f ca="1">IFERROR(__xludf.DUMMYFUNCTION("""COMPUTED_VALUE"""),"")</f>
        <v/>
      </c>
      <c r="D524" s="18" t="str">
        <f ca="1">IFERROR(__xludf.DUMMYFUNCTION("""COMPUTED_VALUE"""),"")</f>
        <v/>
      </c>
      <c r="E524" s="18" t="str">
        <f ca="1">IFERROR(__xludf.DUMMYFUNCTION("""COMPUTED_VALUE"""),"")</f>
        <v/>
      </c>
      <c r="F524" s="18" t="str">
        <f ca="1">IFERROR(__xludf.DUMMYFUNCTION("""COMPUTED_VALUE"""),"")</f>
        <v/>
      </c>
      <c r="G524" s="18" t="str">
        <f ca="1">IFERROR(__xludf.DUMMYFUNCTION("""COMPUTED_VALUE"""),"")</f>
        <v/>
      </c>
      <c r="H524" s="18" t="str">
        <f ca="1">IFERROR(__xludf.DUMMYFUNCTION("""COMPUTED_VALUE"""),"")</f>
        <v/>
      </c>
      <c r="I524" s="18" t="str">
        <f ca="1">IFERROR(__xludf.DUMMYFUNCTION("""COMPUTED_VALUE"""),"")</f>
        <v/>
      </c>
      <c r="J524" s="18" t="str">
        <f ca="1">IFERROR(__xludf.DUMMYFUNCTION("""COMPUTED_VALUE"""),"")</f>
        <v/>
      </c>
      <c r="K524" s="18" t="str">
        <f ca="1">IFERROR(__xludf.DUMMYFUNCTION("""COMPUTED_VALUE"""),"")</f>
        <v/>
      </c>
      <c r="L524" s="18" t="str">
        <f ca="1">IFERROR(__xludf.DUMMYFUNCTION("""COMPUTED_VALUE"""),"")</f>
        <v/>
      </c>
      <c r="M524" s="18" t="str">
        <f ca="1">IFERROR(__xludf.DUMMYFUNCTION("""COMPUTED_VALUE"""),"")</f>
        <v/>
      </c>
      <c r="N524" s="18" t="str">
        <f ca="1">IFERROR(__xludf.DUMMYFUNCTION("""COMPUTED_VALUE"""),"")</f>
        <v/>
      </c>
      <c r="O524" s="18" t="str">
        <f ca="1">IFERROR(__xludf.DUMMYFUNCTION("""COMPUTED_VALUE"""),"")</f>
        <v/>
      </c>
      <c r="P524" s="18" t="str">
        <f ca="1">IFERROR(__xludf.DUMMYFUNCTION("""COMPUTED_VALUE"""),"")</f>
        <v/>
      </c>
      <c r="Q524" s="18" t="str">
        <f ca="1">IFERROR(__xludf.DUMMYFUNCTION("""COMPUTED_VALUE"""),"")</f>
        <v/>
      </c>
      <c r="R524" s="18" t="str">
        <f ca="1">IFERROR(__xludf.DUMMYFUNCTION("""COMPUTED_VALUE"""),"")</f>
        <v/>
      </c>
      <c r="S524" s="18" t="str">
        <f ca="1">IFERROR(__xludf.DUMMYFUNCTION("""COMPUTED_VALUE"""),"")</f>
        <v/>
      </c>
      <c r="T524" s="18" t="str">
        <f ca="1">IFERROR(__xludf.DUMMYFUNCTION("""COMPUTED_VALUE"""),"")</f>
        <v/>
      </c>
      <c r="U524" s="18" t="str">
        <f ca="1">IFERROR(__xludf.DUMMYFUNCTION("""COMPUTED_VALUE"""),"")</f>
        <v/>
      </c>
      <c r="V524" s="18" t="str">
        <f ca="1">IFERROR(__xludf.DUMMYFUNCTION("""COMPUTED_VALUE"""),"")</f>
        <v/>
      </c>
      <c r="W524" s="18" t="str">
        <f ca="1">IFERROR(__xludf.DUMMYFUNCTION("""COMPUTED_VALUE"""),"")</f>
        <v/>
      </c>
      <c r="X524" s="18" t="str">
        <f ca="1">IFERROR(__xludf.DUMMYFUNCTION("""COMPUTED_VALUE"""),"")</f>
        <v/>
      </c>
      <c r="Y524" s="18" t="e">
        <f ca="1"/>
        <v>#NAME?</v>
      </c>
      <c r="Z524" s="18" t="str">
        <f ca="1">IFERROR(__xludf.DUMMYFUNCTION("""COMPUTED_VALUE"""),"")</f>
        <v/>
      </c>
      <c r="AA524" s="18" t="str">
        <f ca="1">IFERROR(__xludf.DUMMYFUNCTION("""COMPUTED_VALUE"""),"")</f>
        <v/>
      </c>
      <c r="AC524" s="59"/>
    </row>
    <row r="525" spans="1:29" x14ac:dyDescent="0.25">
      <c r="A525" s="18">
        <v>0</v>
      </c>
      <c r="B525" s="52" t="str">
        <f ca="1"/>
        <v/>
      </c>
      <c r="C525" s="52" t="str">
        <f ca="1">IFERROR(__xludf.DUMMYFUNCTION("""COMPUTED_VALUE"""),"")</f>
        <v/>
      </c>
      <c r="D525" s="18" t="str">
        <f ca="1">IFERROR(__xludf.DUMMYFUNCTION("""COMPUTED_VALUE"""),"")</f>
        <v/>
      </c>
      <c r="E525" s="18" t="str">
        <f ca="1">IFERROR(__xludf.DUMMYFUNCTION("""COMPUTED_VALUE"""),"")</f>
        <v/>
      </c>
      <c r="F525" s="18" t="str">
        <f ca="1">IFERROR(__xludf.DUMMYFUNCTION("""COMPUTED_VALUE"""),"")</f>
        <v/>
      </c>
      <c r="G525" s="18" t="str">
        <f ca="1">IFERROR(__xludf.DUMMYFUNCTION("""COMPUTED_VALUE"""),"")</f>
        <v/>
      </c>
      <c r="H525" s="18" t="str">
        <f ca="1">IFERROR(__xludf.DUMMYFUNCTION("""COMPUTED_VALUE"""),"")</f>
        <v/>
      </c>
      <c r="I525" s="18" t="str">
        <f ca="1">IFERROR(__xludf.DUMMYFUNCTION("""COMPUTED_VALUE"""),"")</f>
        <v/>
      </c>
      <c r="J525" s="18" t="str">
        <f ca="1">IFERROR(__xludf.DUMMYFUNCTION("""COMPUTED_VALUE"""),"")</f>
        <v/>
      </c>
      <c r="K525" s="18" t="str">
        <f ca="1">IFERROR(__xludf.DUMMYFUNCTION("""COMPUTED_VALUE"""),"")</f>
        <v/>
      </c>
      <c r="L525" s="18" t="str">
        <f ca="1">IFERROR(__xludf.DUMMYFUNCTION("""COMPUTED_VALUE"""),"")</f>
        <v/>
      </c>
      <c r="M525" s="18" t="str">
        <f ca="1">IFERROR(__xludf.DUMMYFUNCTION("""COMPUTED_VALUE"""),"")</f>
        <v/>
      </c>
      <c r="N525" s="18" t="str">
        <f ca="1">IFERROR(__xludf.DUMMYFUNCTION("""COMPUTED_VALUE"""),"")</f>
        <v/>
      </c>
      <c r="O525" s="18" t="str">
        <f ca="1">IFERROR(__xludf.DUMMYFUNCTION("""COMPUTED_VALUE"""),"")</f>
        <v/>
      </c>
      <c r="P525" s="18" t="str">
        <f ca="1">IFERROR(__xludf.DUMMYFUNCTION("""COMPUTED_VALUE"""),"")</f>
        <v/>
      </c>
      <c r="Q525" s="18" t="str">
        <f ca="1">IFERROR(__xludf.DUMMYFUNCTION("""COMPUTED_VALUE"""),"")</f>
        <v/>
      </c>
      <c r="R525" s="18" t="str">
        <f ca="1">IFERROR(__xludf.DUMMYFUNCTION("""COMPUTED_VALUE"""),"")</f>
        <v/>
      </c>
      <c r="S525" s="18" t="str">
        <f ca="1">IFERROR(__xludf.DUMMYFUNCTION("""COMPUTED_VALUE"""),"")</f>
        <v/>
      </c>
      <c r="T525" s="18" t="str">
        <f ca="1">IFERROR(__xludf.DUMMYFUNCTION("""COMPUTED_VALUE"""),"")</f>
        <v/>
      </c>
      <c r="U525" s="18" t="str">
        <f ca="1">IFERROR(__xludf.DUMMYFUNCTION("""COMPUTED_VALUE"""),"")</f>
        <v/>
      </c>
      <c r="V525" s="18" t="str">
        <f ca="1">IFERROR(__xludf.DUMMYFUNCTION("""COMPUTED_VALUE"""),"")</f>
        <v/>
      </c>
      <c r="W525" s="18" t="str">
        <f ca="1">IFERROR(__xludf.DUMMYFUNCTION("""COMPUTED_VALUE"""),"")</f>
        <v/>
      </c>
      <c r="X525" s="18" t="str">
        <f ca="1">IFERROR(__xludf.DUMMYFUNCTION("""COMPUTED_VALUE"""),"")</f>
        <v/>
      </c>
      <c r="Y525" s="18" t="e">
        <f ca="1"/>
        <v>#NAME?</v>
      </c>
      <c r="Z525" s="18" t="str">
        <f ca="1">IFERROR(__xludf.DUMMYFUNCTION("""COMPUTED_VALUE"""),"")</f>
        <v/>
      </c>
      <c r="AA525" s="18" t="str">
        <f ca="1">IFERROR(__xludf.DUMMYFUNCTION("""COMPUTED_VALUE"""),"")</f>
        <v/>
      </c>
      <c r="AC525" s="59"/>
    </row>
    <row r="526" spans="1:29" x14ac:dyDescent="0.25">
      <c r="A526" s="18">
        <v>0</v>
      </c>
      <c r="B526" s="52" t="str">
        <f ca="1"/>
        <v/>
      </c>
      <c r="C526" s="52" t="str">
        <f ca="1">IFERROR(__xludf.DUMMYFUNCTION("""COMPUTED_VALUE"""),"")</f>
        <v/>
      </c>
      <c r="D526" s="18" t="str">
        <f ca="1">IFERROR(__xludf.DUMMYFUNCTION("""COMPUTED_VALUE"""),"")</f>
        <v/>
      </c>
      <c r="E526" s="18" t="str">
        <f ca="1">IFERROR(__xludf.DUMMYFUNCTION("""COMPUTED_VALUE"""),"")</f>
        <v/>
      </c>
      <c r="F526" s="18" t="str">
        <f ca="1">IFERROR(__xludf.DUMMYFUNCTION("""COMPUTED_VALUE"""),"")</f>
        <v/>
      </c>
      <c r="G526" s="18" t="str">
        <f ca="1">IFERROR(__xludf.DUMMYFUNCTION("""COMPUTED_VALUE"""),"")</f>
        <v/>
      </c>
      <c r="H526" s="18" t="str">
        <f ca="1">IFERROR(__xludf.DUMMYFUNCTION("""COMPUTED_VALUE"""),"")</f>
        <v/>
      </c>
      <c r="I526" s="18" t="str">
        <f ca="1">IFERROR(__xludf.DUMMYFUNCTION("""COMPUTED_VALUE"""),"")</f>
        <v/>
      </c>
      <c r="J526" s="18" t="str">
        <f ca="1">IFERROR(__xludf.DUMMYFUNCTION("""COMPUTED_VALUE"""),"")</f>
        <v/>
      </c>
      <c r="K526" s="18" t="str">
        <f ca="1">IFERROR(__xludf.DUMMYFUNCTION("""COMPUTED_VALUE"""),"")</f>
        <v/>
      </c>
      <c r="L526" s="18" t="str">
        <f ca="1">IFERROR(__xludf.DUMMYFUNCTION("""COMPUTED_VALUE"""),"")</f>
        <v/>
      </c>
      <c r="M526" s="18" t="str">
        <f ca="1">IFERROR(__xludf.DUMMYFUNCTION("""COMPUTED_VALUE"""),"")</f>
        <v/>
      </c>
      <c r="N526" s="18" t="str">
        <f ca="1">IFERROR(__xludf.DUMMYFUNCTION("""COMPUTED_VALUE"""),"")</f>
        <v/>
      </c>
      <c r="O526" s="18" t="str">
        <f ca="1">IFERROR(__xludf.DUMMYFUNCTION("""COMPUTED_VALUE"""),"")</f>
        <v/>
      </c>
      <c r="P526" s="18" t="str">
        <f ca="1">IFERROR(__xludf.DUMMYFUNCTION("""COMPUTED_VALUE"""),"")</f>
        <v/>
      </c>
      <c r="Q526" s="18" t="str">
        <f ca="1">IFERROR(__xludf.DUMMYFUNCTION("""COMPUTED_VALUE"""),"")</f>
        <v/>
      </c>
      <c r="R526" s="18" t="str">
        <f ca="1">IFERROR(__xludf.DUMMYFUNCTION("""COMPUTED_VALUE"""),"")</f>
        <v/>
      </c>
      <c r="S526" s="18" t="str">
        <f ca="1">IFERROR(__xludf.DUMMYFUNCTION("""COMPUTED_VALUE"""),"")</f>
        <v/>
      </c>
      <c r="T526" s="18" t="str">
        <f ca="1">IFERROR(__xludf.DUMMYFUNCTION("""COMPUTED_VALUE"""),"")</f>
        <v/>
      </c>
      <c r="U526" s="18" t="str">
        <f ca="1">IFERROR(__xludf.DUMMYFUNCTION("""COMPUTED_VALUE"""),"")</f>
        <v/>
      </c>
      <c r="V526" s="18" t="str">
        <f ca="1">IFERROR(__xludf.DUMMYFUNCTION("""COMPUTED_VALUE"""),"")</f>
        <v/>
      </c>
      <c r="W526" s="18" t="str">
        <f ca="1">IFERROR(__xludf.DUMMYFUNCTION("""COMPUTED_VALUE"""),"")</f>
        <v/>
      </c>
      <c r="X526" s="18" t="str">
        <f ca="1">IFERROR(__xludf.DUMMYFUNCTION("""COMPUTED_VALUE"""),"")</f>
        <v/>
      </c>
      <c r="Y526" s="18" t="e">
        <f ca="1"/>
        <v>#NAME?</v>
      </c>
      <c r="Z526" s="18" t="str">
        <f ca="1">IFERROR(__xludf.DUMMYFUNCTION("""COMPUTED_VALUE"""),"")</f>
        <v/>
      </c>
      <c r="AA526" s="18" t="str">
        <f ca="1">IFERROR(__xludf.DUMMYFUNCTION("""COMPUTED_VALUE"""),"")</f>
        <v/>
      </c>
      <c r="AC526" s="59"/>
    </row>
    <row r="527" spans="1:29" x14ac:dyDescent="0.25">
      <c r="A527" s="18">
        <v>0</v>
      </c>
      <c r="B527" s="52" t="str">
        <f ca="1"/>
        <v/>
      </c>
      <c r="C527" s="52" t="str">
        <f ca="1">IFERROR(__xludf.DUMMYFUNCTION("""COMPUTED_VALUE"""),"")</f>
        <v/>
      </c>
      <c r="D527" s="18" t="str">
        <f ca="1">IFERROR(__xludf.DUMMYFUNCTION("""COMPUTED_VALUE"""),"")</f>
        <v/>
      </c>
      <c r="E527" s="18" t="str">
        <f ca="1">IFERROR(__xludf.DUMMYFUNCTION("""COMPUTED_VALUE"""),"")</f>
        <v/>
      </c>
      <c r="F527" s="18" t="str">
        <f ca="1">IFERROR(__xludf.DUMMYFUNCTION("""COMPUTED_VALUE"""),"")</f>
        <v/>
      </c>
      <c r="G527" s="18" t="str">
        <f ca="1">IFERROR(__xludf.DUMMYFUNCTION("""COMPUTED_VALUE"""),"")</f>
        <v/>
      </c>
      <c r="H527" s="18" t="str">
        <f ca="1">IFERROR(__xludf.DUMMYFUNCTION("""COMPUTED_VALUE"""),"")</f>
        <v/>
      </c>
      <c r="I527" s="18" t="str">
        <f ca="1">IFERROR(__xludf.DUMMYFUNCTION("""COMPUTED_VALUE"""),"")</f>
        <v/>
      </c>
      <c r="J527" s="18" t="str">
        <f ca="1">IFERROR(__xludf.DUMMYFUNCTION("""COMPUTED_VALUE"""),"")</f>
        <v/>
      </c>
      <c r="K527" s="18" t="str">
        <f ca="1">IFERROR(__xludf.DUMMYFUNCTION("""COMPUTED_VALUE"""),"")</f>
        <v/>
      </c>
      <c r="L527" s="18" t="str">
        <f ca="1">IFERROR(__xludf.DUMMYFUNCTION("""COMPUTED_VALUE"""),"")</f>
        <v/>
      </c>
      <c r="M527" s="18" t="str">
        <f ca="1">IFERROR(__xludf.DUMMYFUNCTION("""COMPUTED_VALUE"""),"")</f>
        <v/>
      </c>
      <c r="N527" s="18" t="str">
        <f ca="1">IFERROR(__xludf.DUMMYFUNCTION("""COMPUTED_VALUE"""),"")</f>
        <v/>
      </c>
      <c r="O527" s="18" t="str">
        <f ca="1">IFERROR(__xludf.DUMMYFUNCTION("""COMPUTED_VALUE"""),"")</f>
        <v/>
      </c>
      <c r="P527" s="18" t="str">
        <f ca="1">IFERROR(__xludf.DUMMYFUNCTION("""COMPUTED_VALUE"""),"")</f>
        <v/>
      </c>
      <c r="Q527" s="18" t="str">
        <f ca="1">IFERROR(__xludf.DUMMYFUNCTION("""COMPUTED_VALUE"""),"")</f>
        <v/>
      </c>
      <c r="R527" s="18" t="str">
        <f ca="1">IFERROR(__xludf.DUMMYFUNCTION("""COMPUTED_VALUE"""),"")</f>
        <v/>
      </c>
      <c r="S527" s="18" t="str">
        <f ca="1">IFERROR(__xludf.DUMMYFUNCTION("""COMPUTED_VALUE"""),"")</f>
        <v/>
      </c>
      <c r="T527" s="18" t="str">
        <f ca="1">IFERROR(__xludf.DUMMYFUNCTION("""COMPUTED_VALUE"""),"")</f>
        <v/>
      </c>
      <c r="U527" s="18" t="str">
        <f ca="1">IFERROR(__xludf.DUMMYFUNCTION("""COMPUTED_VALUE"""),"")</f>
        <v/>
      </c>
      <c r="V527" s="18" t="str">
        <f ca="1">IFERROR(__xludf.DUMMYFUNCTION("""COMPUTED_VALUE"""),"")</f>
        <v/>
      </c>
      <c r="W527" s="18" t="str">
        <f ca="1">IFERROR(__xludf.DUMMYFUNCTION("""COMPUTED_VALUE"""),"")</f>
        <v/>
      </c>
      <c r="X527" s="18" t="str">
        <f ca="1">IFERROR(__xludf.DUMMYFUNCTION("""COMPUTED_VALUE"""),"")</f>
        <v/>
      </c>
      <c r="Y527" s="18" t="e">
        <f ca="1"/>
        <v>#NAME?</v>
      </c>
      <c r="Z527" s="18" t="str">
        <f ca="1">IFERROR(__xludf.DUMMYFUNCTION("""COMPUTED_VALUE"""),"")</f>
        <v/>
      </c>
      <c r="AA527" s="18" t="str">
        <f ca="1">IFERROR(__xludf.DUMMYFUNCTION("""COMPUTED_VALUE"""),"")</f>
        <v/>
      </c>
      <c r="AC527" s="59"/>
    </row>
    <row r="528" spans="1:29" x14ac:dyDescent="0.25">
      <c r="A528" s="18">
        <v>0</v>
      </c>
      <c r="B528" s="52" t="str">
        <f ca="1"/>
        <v/>
      </c>
      <c r="C528" s="52" t="str">
        <f ca="1">IFERROR(__xludf.DUMMYFUNCTION("""COMPUTED_VALUE"""),"")</f>
        <v/>
      </c>
      <c r="D528" s="18" t="str">
        <f ca="1">IFERROR(__xludf.DUMMYFUNCTION("""COMPUTED_VALUE"""),"")</f>
        <v/>
      </c>
      <c r="E528" s="18" t="str">
        <f ca="1">IFERROR(__xludf.DUMMYFUNCTION("""COMPUTED_VALUE"""),"")</f>
        <v/>
      </c>
      <c r="F528" s="18" t="str">
        <f ca="1">IFERROR(__xludf.DUMMYFUNCTION("""COMPUTED_VALUE"""),"")</f>
        <v/>
      </c>
      <c r="G528" s="18" t="str">
        <f ca="1">IFERROR(__xludf.DUMMYFUNCTION("""COMPUTED_VALUE"""),"")</f>
        <v/>
      </c>
      <c r="H528" s="18" t="str">
        <f ca="1">IFERROR(__xludf.DUMMYFUNCTION("""COMPUTED_VALUE"""),"")</f>
        <v/>
      </c>
      <c r="I528" s="18" t="str">
        <f ca="1">IFERROR(__xludf.DUMMYFUNCTION("""COMPUTED_VALUE"""),"")</f>
        <v/>
      </c>
      <c r="J528" s="18" t="str">
        <f ca="1">IFERROR(__xludf.DUMMYFUNCTION("""COMPUTED_VALUE"""),"")</f>
        <v/>
      </c>
      <c r="K528" s="18" t="str">
        <f ca="1">IFERROR(__xludf.DUMMYFUNCTION("""COMPUTED_VALUE"""),"")</f>
        <v/>
      </c>
      <c r="L528" s="18" t="str">
        <f ca="1">IFERROR(__xludf.DUMMYFUNCTION("""COMPUTED_VALUE"""),"")</f>
        <v/>
      </c>
      <c r="M528" s="18" t="str">
        <f ca="1">IFERROR(__xludf.DUMMYFUNCTION("""COMPUTED_VALUE"""),"")</f>
        <v/>
      </c>
      <c r="N528" s="18" t="str">
        <f ca="1">IFERROR(__xludf.DUMMYFUNCTION("""COMPUTED_VALUE"""),"")</f>
        <v/>
      </c>
      <c r="O528" s="18" t="str">
        <f ca="1">IFERROR(__xludf.DUMMYFUNCTION("""COMPUTED_VALUE"""),"")</f>
        <v/>
      </c>
      <c r="P528" s="18" t="str">
        <f ca="1">IFERROR(__xludf.DUMMYFUNCTION("""COMPUTED_VALUE"""),"")</f>
        <v/>
      </c>
      <c r="Q528" s="18" t="str">
        <f ca="1">IFERROR(__xludf.DUMMYFUNCTION("""COMPUTED_VALUE"""),"")</f>
        <v/>
      </c>
      <c r="R528" s="18" t="str">
        <f ca="1">IFERROR(__xludf.DUMMYFUNCTION("""COMPUTED_VALUE"""),"")</f>
        <v/>
      </c>
      <c r="S528" s="18" t="str">
        <f ca="1">IFERROR(__xludf.DUMMYFUNCTION("""COMPUTED_VALUE"""),"")</f>
        <v/>
      </c>
      <c r="T528" s="18" t="str">
        <f ca="1">IFERROR(__xludf.DUMMYFUNCTION("""COMPUTED_VALUE"""),"")</f>
        <v/>
      </c>
      <c r="U528" s="18" t="str">
        <f ca="1">IFERROR(__xludf.DUMMYFUNCTION("""COMPUTED_VALUE"""),"")</f>
        <v/>
      </c>
      <c r="V528" s="18" t="str">
        <f ca="1">IFERROR(__xludf.DUMMYFUNCTION("""COMPUTED_VALUE"""),"")</f>
        <v/>
      </c>
      <c r="W528" s="18" t="str">
        <f ca="1">IFERROR(__xludf.DUMMYFUNCTION("""COMPUTED_VALUE"""),"")</f>
        <v/>
      </c>
      <c r="X528" s="18" t="str">
        <f ca="1">IFERROR(__xludf.DUMMYFUNCTION("""COMPUTED_VALUE"""),"")</f>
        <v/>
      </c>
      <c r="Y528" s="18" t="e">
        <f ca="1"/>
        <v>#NAME?</v>
      </c>
      <c r="Z528" s="18" t="str">
        <f ca="1">IFERROR(__xludf.DUMMYFUNCTION("""COMPUTED_VALUE"""),"")</f>
        <v/>
      </c>
      <c r="AA528" s="18" t="str">
        <f ca="1">IFERROR(__xludf.DUMMYFUNCTION("""COMPUTED_VALUE"""),"")</f>
        <v/>
      </c>
      <c r="AC528" s="59"/>
    </row>
    <row r="529" spans="1:29" x14ac:dyDescent="0.25">
      <c r="A529" s="18">
        <v>0</v>
      </c>
      <c r="B529" s="52" t="str">
        <f ca="1"/>
        <v/>
      </c>
      <c r="C529" s="52" t="str">
        <f ca="1">IFERROR(__xludf.DUMMYFUNCTION("""COMPUTED_VALUE"""),"")</f>
        <v/>
      </c>
      <c r="D529" s="18" t="str">
        <f ca="1">IFERROR(__xludf.DUMMYFUNCTION("""COMPUTED_VALUE"""),"")</f>
        <v/>
      </c>
      <c r="E529" s="18" t="str">
        <f ca="1">IFERROR(__xludf.DUMMYFUNCTION("""COMPUTED_VALUE"""),"")</f>
        <v/>
      </c>
      <c r="F529" s="18" t="str">
        <f ca="1">IFERROR(__xludf.DUMMYFUNCTION("""COMPUTED_VALUE"""),"")</f>
        <v/>
      </c>
      <c r="G529" s="18" t="str">
        <f ca="1">IFERROR(__xludf.DUMMYFUNCTION("""COMPUTED_VALUE"""),"")</f>
        <v/>
      </c>
      <c r="H529" s="18" t="str">
        <f ca="1">IFERROR(__xludf.DUMMYFUNCTION("""COMPUTED_VALUE"""),"")</f>
        <v/>
      </c>
      <c r="I529" s="18" t="str">
        <f ca="1">IFERROR(__xludf.DUMMYFUNCTION("""COMPUTED_VALUE"""),"")</f>
        <v/>
      </c>
      <c r="J529" s="18" t="str">
        <f ca="1">IFERROR(__xludf.DUMMYFUNCTION("""COMPUTED_VALUE"""),"")</f>
        <v/>
      </c>
      <c r="K529" s="18" t="str">
        <f ca="1">IFERROR(__xludf.DUMMYFUNCTION("""COMPUTED_VALUE"""),"")</f>
        <v/>
      </c>
      <c r="L529" s="18" t="str">
        <f ca="1">IFERROR(__xludf.DUMMYFUNCTION("""COMPUTED_VALUE"""),"")</f>
        <v/>
      </c>
      <c r="M529" s="18" t="str">
        <f ca="1">IFERROR(__xludf.DUMMYFUNCTION("""COMPUTED_VALUE"""),"")</f>
        <v/>
      </c>
      <c r="N529" s="18" t="str">
        <f ca="1">IFERROR(__xludf.DUMMYFUNCTION("""COMPUTED_VALUE"""),"")</f>
        <v/>
      </c>
      <c r="O529" s="18" t="str">
        <f ca="1">IFERROR(__xludf.DUMMYFUNCTION("""COMPUTED_VALUE"""),"")</f>
        <v/>
      </c>
      <c r="P529" s="18" t="str">
        <f ca="1">IFERROR(__xludf.DUMMYFUNCTION("""COMPUTED_VALUE"""),"")</f>
        <v/>
      </c>
      <c r="Q529" s="18" t="str">
        <f ca="1">IFERROR(__xludf.DUMMYFUNCTION("""COMPUTED_VALUE"""),"")</f>
        <v/>
      </c>
      <c r="R529" s="18" t="str">
        <f ca="1">IFERROR(__xludf.DUMMYFUNCTION("""COMPUTED_VALUE"""),"")</f>
        <v/>
      </c>
      <c r="S529" s="18" t="str">
        <f ca="1">IFERROR(__xludf.DUMMYFUNCTION("""COMPUTED_VALUE"""),"")</f>
        <v/>
      </c>
      <c r="T529" s="18" t="str">
        <f ca="1">IFERROR(__xludf.DUMMYFUNCTION("""COMPUTED_VALUE"""),"")</f>
        <v/>
      </c>
      <c r="U529" s="18" t="str">
        <f ca="1">IFERROR(__xludf.DUMMYFUNCTION("""COMPUTED_VALUE"""),"")</f>
        <v/>
      </c>
      <c r="V529" s="18" t="str">
        <f ca="1">IFERROR(__xludf.DUMMYFUNCTION("""COMPUTED_VALUE"""),"")</f>
        <v/>
      </c>
      <c r="W529" s="18" t="str">
        <f ca="1">IFERROR(__xludf.DUMMYFUNCTION("""COMPUTED_VALUE"""),"")</f>
        <v/>
      </c>
      <c r="X529" s="18" t="str">
        <f ca="1">IFERROR(__xludf.DUMMYFUNCTION("""COMPUTED_VALUE"""),"")</f>
        <v/>
      </c>
      <c r="Y529" s="18" t="e">
        <f ca="1"/>
        <v>#NAME?</v>
      </c>
      <c r="Z529" s="18" t="str">
        <f ca="1">IFERROR(__xludf.DUMMYFUNCTION("""COMPUTED_VALUE"""),"")</f>
        <v/>
      </c>
      <c r="AA529" s="18" t="str">
        <f ca="1">IFERROR(__xludf.DUMMYFUNCTION("""COMPUTED_VALUE"""),"")</f>
        <v/>
      </c>
      <c r="AC529" s="59"/>
    </row>
    <row r="530" spans="1:29" x14ac:dyDescent="0.25">
      <c r="A530" s="18">
        <v>0</v>
      </c>
      <c r="B530" s="52" t="str">
        <f ca="1"/>
        <v/>
      </c>
      <c r="C530" s="52" t="str">
        <f ca="1">IFERROR(__xludf.DUMMYFUNCTION("""COMPUTED_VALUE"""),"")</f>
        <v/>
      </c>
      <c r="D530" s="18" t="str">
        <f ca="1">IFERROR(__xludf.DUMMYFUNCTION("""COMPUTED_VALUE"""),"")</f>
        <v/>
      </c>
      <c r="E530" s="18" t="str">
        <f ca="1">IFERROR(__xludf.DUMMYFUNCTION("""COMPUTED_VALUE"""),"")</f>
        <v/>
      </c>
      <c r="F530" s="18" t="str">
        <f ca="1">IFERROR(__xludf.DUMMYFUNCTION("""COMPUTED_VALUE"""),"")</f>
        <v/>
      </c>
      <c r="G530" s="18" t="str">
        <f ca="1">IFERROR(__xludf.DUMMYFUNCTION("""COMPUTED_VALUE"""),"")</f>
        <v/>
      </c>
      <c r="H530" s="18" t="str">
        <f ca="1">IFERROR(__xludf.DUMMYFUNCTION("""COMPUTED_VALUE"""),"")</f>
        <v/>
      </c>
      <c r="I530" s="18" t="str">
        <f ca="1">IFERROR(__xludf.DUMMYFUNCTION("""COMPUTED_VALUE"""),"")</f>
        <v/>
      </c>
      <c r="J530" s="18" t="str">
        <f ca="1">IFERROR(__xludf.DUMMYFUNCTION("""COMPUTED_VALUE"""),"")</f>
        <v/>
      </c>
      <c r="K530" s="18" t="str">
        <f ca="1">IFERROR(__xludf.DUMMYFUNCTION("""COMPUTED_VALUE"""),"")</f>
        <v/>
      </c>
      <c r="L530" s="18" t="str">
        <f ca="1">IFERROR(__xludf.DUMMYFUNCTION("""COMPUTED_VALUE"""),"")</f>
        <v/>
      </c>
      <c r="M530" s="18" t="str">
        <f ca="1">IFERROR(__xludf.DUMMYFUNCTION("""COMPUTED_VALUE"""),"")</f>
        <v/>
      </c>
      <c r="N530" s="18" t="str">
        <f ca="1">IFERROR(__xludf.DUMMYFUNCTION("""COMPUTED_VALUE"""),"")</f>
        <v/>
      </c>
      <c r="O530" s="18" t="str">
        <f ca="1">IFERROR(__xludf.DUMMYFUNCTION("""COMPUTED_VALUE"""),"")</f>
        <v/>
      </c>
      <c r="P530" s="18" t="str">
        <f ca="1">IFERROR(__xludf.DUMMYFUNCTION("""COMPUTED_VALUE"""),"")</f>
        <v/>
      </c>
      <c r="Q530" s="18" t="str">
        <f ca="1">IFERROR(__xludf.DUMMYFUNCTION("""COMPUTED_VALUE"""),"")</f>
        <v/>
      </c>
      <c r="R530" s="18" t="str">
        <f ca="1">IFERROR(__xludf.DUMMYFUNCTION("""COMPUTED_VALUE"""),"")</f>
        <v/>
      </c>
      <c r="S530" s="18" t="str">
        <f ca="1">IFERROR(__xludf.DUMMYFUNCTION("""COMPUTED_VALUE"""),"")</f>
        <v/>
      </c>
      <c r="T530" s="18" t="str">
        <f ca="1">IFERROR(__xludf.DUMMYFUNCTION("""COMPUTED_VALUE"""),"")</f>
        <v/>
      </c>
      <c r="U530" s="18" t="str">
        <f ca="1">IFERROR(__xludf.DUMMYFUNCTION("""COMPUTED_VALUE"""),"")</f>
        <v/>
      </c>
      <c r="V530" s="18" t="str">
        <f ca="1">IFERROR(__xludf.DUMMYFUNCTION("""COMPUTED_VALUE"""),"")</f>
        <v/>
      </c>
      <c r="W530" s="18" t="str">
        <f ca="1">IFERROR(__xludf.DUMMYFUNCTION("""COMPUTED_VALUE"""),"")</f>
        <v/>
      </c>
      <c r="X530" s="18" t="str">
        <f ca="1">IFERROR(__xludf.DUMMYFUNCTION("""COMPUTED_VALUE"""),"")</f>
        <v/>
      </c>
      <c r="Y530" s="18" t="e">
        <f ca="1"/>
        <v>#NAME?</v>
      </c>
      <c r="Z530" s="18" t="str">
        <f ca="1">IFERROR(__xludf.DUMMYFUNCTION("""COMPUTED_VALUE"""),"")</f>
        <v/>
      </c>
      <c r="AA530" s="18" t="str">
        <f ca="1">IFERROR(__xludf.DUMMYFUNCTION("""COMPUTED_VALUE"""),"")</f>
        <v/>
      </c>
      <c r="AC530" s="59"/>
    </row>
    <row r="531" spans="1:29" x14ac:dyDescent="0.25">
      <c r="A531" s="18">
        <v>0</v>
      </c>
      <c r="B531" s="52" t="str">
        <f ca="1"/>
        <v/>
      </c>
      <c r="C531" s="52" t="str">
        <f ca="1">IFERROR(__xludf.DUMMYFUNCTION("""COMPUTED_VALUE"""),"")</f>
        <v/>
      </c>
      <c r="D531" s="18" t="str">
        <f ca="1">IFERROR(__xludf.DUMMYFUNCTION("""COMPUTED_VALUE"""),"")</f>
        <v/>
      </c>
      <c r="E531" s="18" t="str">
        <f ca="1">IFERROR(__xludf.DUMMYFUNCTION("""COMPUTED_VALUE"""),"")</f>
        <v/>
      </c>
      <c r="F531" s="18" t="str">
        <f ca="1">IFERROR(__xludf.DUMMYFUNCTION("""COMPUTED_VALUE"""),"")</f>
        <v/>
      </c>
      <c r="G531" s="18" t="str">
        <f ca="1">IFERROR(__xludf.DUMMYFUNCTION("""COMPUTED_VALUE"""),"")</f>
        <v/>
      </c>
      <c r="H531" s="18" t="str">
        <f ca="1">IFERROR(__xludf.DUMMYFUNCTION("""COMPUTED_VALUE"""),"")</f>
        <v/>
      </c>
      <c r="I531" s="18" t="str">
        <f ca="1">IFERROR(__xludf.DUMMYFUNCTION("""COMPUTED_VALUE"""),"")</f>
        <v/>
      </c>
      <c r="J531" s="18" t="str">
        <f ca="1">IFERROR(__xludf.DUMMYFUNCTION("""COMPUTED_VALUE"""),"")</f>
        <v/>
      </c>
      <c r="K531" s="18" t="str">
        <f ca="1">IFERROR(__xludf.DUMMYFUNCTION("""COMPUTED_VALUE"""),"")</f>
        <v/>
      </c>
      <c r="L531" s="18" t="str">
        <f ca="1">IFERROR(__xludf.DUMMYFUNCTION("""COMPUTED_VALUE"""),"")</f>
        <v/>
      </c>
      <c r="M531" s="18" t="str">
        <f ca="1">IFERROR(__xludf.DUMMYFUNCTION("""COMPUTED_VALUE"""),"")</f>
        <v/>
      </c>
      <c r="N531" s="18" t="str">
        <f ca="1">IFERROR(__xludf.DUMMYFUNCTION("""COMPUTED_VALUE"""),"")</f>
        <v/>
      </c>
      <c r="O531" s="18" t="str">
        <f ca="1">IFERROR(__xludf.DUMMYFUNCTION("""COMPUTED_VALUE"""),"")</f>
        <v/>
      </c>
      <c r="P531" s="18" t="str">
        <f ca="1">IFERROR(__xludf.DUMMYFUNCTION("""COMPUTED_VALUE"""),"")</f>
        <v/>
      </c>
      <c r="Q531" s="18" t="str">
        <f ca="1">IFERROR(__xludf.DUMMYFUNCTION("""COMPUTED_VALUE"""),"")</f>
        <v/>
      </c>
      <c r="R531" s="18" t="str">
        <f ca="1">IFERROR(__xludf.DUMMYFUNCTION("""COMPUTED_VALUE"""),"")</f>
        <v/>
      </c>
      <c r="S531" s="18" t="str">
        <f ca="1">IFERROR(__xludf.DUMMYFUNCTION("""COMPUTED_VALUE"""),"")</f>
        <v/>
      </c>
      <c r="T531" s="18" t="str">
        <f ca="1">IFERROR(__xludf.DUMMYFUNCTION("""COMPUTED_VALUE"""),"")</f>
        <v/>
      </c>
      <c r="U531" s="18" t="str">
        <f ca="1">IFERROR(__xludf.DUMMYFUNCTION("""COMPUTED_VALUE"""),"")</f>
        <v/>
      </c>
      <c r="V531" s="18" t="str">
        <f ca="1">IFERROR(__xludf.DUMMYFUNCTION("""COMPUTED_VALUE"""),"")</f>
        <v/>
      </c>
      <c r="W531" s="18" t="str">
        <f ca="1">IFERROR(__xludf.DUMMYFUNCTION("""COMPUTED_VALUE"""),"")</f>
        <v/>
      </c>
      <c r="X531" s="18" t="str">
        <f ca="1">IFERROR(__xludf.DUMMYFUNCTION("""COMPUTED_VALUE"""),"")</f>
        <v/>
      </c>
      <c r="Y531" s="18" t="e">
        <f ca="1"/>
        <v>#NAME?</v>
      </c>
      <c r="Z531" s="18" t="str">
        <f ca="1">IFERROR(__xludf.DUMMYFUNCTION("""COMPUTED_VALUE"""),"")</f>
        <v/>
      </c>
      <c r="AA531" s="18" t="str">
        <f ca="1">IFERROR(__xludf.DUMMYFUNCTION("""COMPUTED_VALUE"""),"")</f>
        <v/>
      </c>
      <c r="AC531" s="59"/>
    </row>
    <row r="532" spans="1:29" x14ac:dyDescent="0.25">
      <c r="A532" s="18">
        <v>0</v>
      </c>
      <c r="B532" s="52" t="str">
        <f ca="1"/>
        <v/>
      </c>
      <c r="C532" s="52" t="str">
        <f ca="1">IFERROR(__xludf.DUMMYFUNCTION("""COMPUTED_VALUE"""),"")</f>
        <v/>
      </c>
      <c r="D532" s="18" t="str">
        <f ca="1">IFERROR(__xludf.DUMMYFUNCTION("""COMPUTED_VALUE"""),"")</f>
        <v/>
      </c>
      <c r="E532" s="18" t="str">
        <f ca="1">IFERROR(__xludf.DUMMYFUNCTION("""COMPUTED_VALUE"""),"")</f>
        <v/>
      </c>
      <c r="F532" s="18" t="str">
        <f ca="1">IFERROR(__xludf.DUMMYFUNCTION("""COMPUTED_VALUE"""),"")</f>
        <v/>
      </c>
      <c r="G532" s="18" t="str">
        <f ca="1">IFERROR(__xludf.DUMMYFUNCTION("""COMPUTED_VALUE"""),"")</f>
        <v/>
      </c>
      <c r="H532" s="18" t="str">
        <f ca="1">IFERROR(__xludf.DUMMYFUNCTION("""COMPUTED_VALUE"""),"")</f>
        <v/>
      </c>
      <c r="I532" s="18" t="str">
        <f ca="1">IFERROR(__xludf.DUMMYFUNCTION("""COMPUTED_VALUE"""),"")</f>
        <v/>
      </c>
      <c r="J532" s="18" t="str">
        <f ca="1">IFERROR(__xludf.DUMMYFUNCTION("""COMPUTED_VALUE"""),"")</f>
        <v/>
      </c>
      <c r="K532" s="18" t="str">
        <f ca="1">IFERROR(__xludf.DUMMYFUNCTION("""COMPUTED_VALUE"""),"")</f>
        <v/>
      </c>
      <c r="L532" s="18" t="str">
        <f ca="1">IFERROR(__xludf.DUMMYFUNCTION("""COMPUTED_VALUE"""),"")</f>
        <v/>
      </c>
      <c r="M532" s="18" t="str">
        <f ca="1">IFERROR(__xludf.DUMMYFUNCTION("""COMPUTED_VALUE"""),"")</f>
        <v/>
      </c>
      <c r="N532" s="18" t="str">
        <f ca="1">IFERROR(__xludf.DUMMYFUNCTION("""COMPUTED_VALUE"""),"")</f>
        <v/>
      </c>
      <c r="O532" s="18" t="str">
        <f ca="1">IFERROR(__xludf.DUMMYFUNCTION("""COMPUTED_VALUE"""),"")</f>
        <v/>
      </c>
      <c r="P532" s="18" t="str">
        <f ca="1">IFERROR(__xludf.DUMMYFUNCTION("""COMPUTED_VALUE"""),"")</f>
        <v/>
      </c>
      <c r="Q532" s="18" t="str">
        <f ca="1">IFERROR(__xludf.DUMMYFUNCTION("""COMPUTED_VALUE"""),"")</f>
        <v/>
      </c>
      <c r="R532" s="18" t="str">
        <f ca="1">IFERROR(__xludf.DUMMYFUNCTION("""COMPUTED_VALUE"""),"")</f>
        <v/>
      </c>
      <c r="S532" s="18" t="str">
        <f ca="1">IFERROR(__xludf.DUMMYFUNCTION("""COMPUTED_VALUE"""),"")</f>
        <v/>
      </c>
      <c r="T532" s="18" t="str">
        <f ca="1">IFERROR(__xludf.DUMMYFUNCTION("""COMPUTED_VALUE"""),"")</f>
        <v/>
      </c>
      <c r="U532" s="18" t="str">
        <f ca="1">IFERROR(__xludf.DUMMYFUNCTION("""COMPUTED_VALUE"""),"")</f>
        <v/>
      </c>
      <c r="V532" s="18" t="str">
        <f ca="1">IFERROR(__xludf.DUMMYFUNCTION("""COMPUTED_VALUE"""),"")</f>
        <v/>
      </c>
      <c r="W532" s="18" t="str">
        <f ca="1">IFERROR(__xludf.DUMMYFUNCTION("""COMPUTED_VALUE"""),"")</f>
        <v/>
      </c>
      <c r="X532" s="18" t="str">
        <f ca="1">IFERROR(__xludf.DUMMYFUNCTION("""COMPUTED_VALUE"""),"")</f>
        <v/>
      </c>
      <c r="Y532" s="18" t="e">
        <f ca="1"/>
        <v>#NAME?</v>
      </c>
      <c r="Z532" s="18" t="str">
        <f ca="1">IFERROR(__xludf.DUMMYFUNCTION("""COMPUTED_VALUE"""),"")</f>
        <v/>
      </c>
      <c r="AA532" s="18" t="str">
        <f ca="1">IFERROR(__xludf.DUMMYFUNCTION("""COMPUTED_VALUE"""),"")</f>
        <v/>
      </c>
      <c r="AC532" s="59"/>
    </row>
    <row r="533" spans="1:29" x14ac:dyDescent="0.25">
      <c r="A533" s="18">
        <v>0</v>
      </c>
      <c r="B533" s="52" t="str">
        <f ca="1"/>
        <v/>
      </c>
      <c r="C533" s="52" t="str">
        <f ca="1">IFERROR(__xludf.DUMMYFUNCTION("""COMPUTED_VALUE"""),"")</f>
        <v/>
      </c>
      <c r="D533" s="18" t="str">
        <f ca="1">IFERROR(__xludf.DUMMYFUNCTION("""COMPUTED_VALUE"""),"")</f>
        <v/>
      </c>
      <c r="E533" s="18" t="str">
        <f ca="1">IFERROR(__xludf.DUMMYFUNCTION("""COMPUTED_VALUE"""),"")</f>
        <v/>
      </c>
      <c r="F533" s="18" t="str">
        <f ca="1">IFERROR(__xludf.DUMMYFUNCTION("""COMPUTED_VALUE"""),"")</f>
        <v/>
      </c>
      <c r="G533" s="18" t="str">
        <f ca="1">IFERROR(__xludf.DUMMYFUNCTION("""COMPUTED_VALUE"""),"")</f>
        <v/>
      </c>
      <c r="H533" s="18" t="str">
        <f ca="1">IFERROR(__xludf.DUMMYFUNCTION("""COMPUTED_VALUE"""),"")</f>
        <v/>
      </c>
      <c r="I533" s="18" t="str">
        <f ca="1">IFERROR(__xludf.DUMMYFUNCTION("""COMPUTED_VALUE"""),"")</f>
        <v/>
      </c>
      <c r="J533" s="18" t="str">
        <f ca="1">IFERROR(__xludf.DUMMYFUNCTION("""COMPUTED_VALUE"""),"")</f>
        <v/>
      </c>
      <c r="K533" s="18" t="str">
        <f ca="1">IFERROR(__xludf.DUMMYFUNCTION("""COMPUTED_VALUE"""),"")</f>
        <v/>
      </c>
      <c r="L533" s="18" t="str">
        <f ca="1">IFERROR(__xludf.DUMMYFUNCTION("""COMPUTED_VALUE"""),"")</f>
        <v/>
      </c>
      <c r="M533" s="18" t="str">
        <f ca="1">IFERROR(__xludf.DUMMYFUNCTION("""COMPUTED_VALUE"""),"")</f>
        <v/>
      </c>
      <c r="N533" s="18" t="str">
        <f ca="1">IFERROR(__xludf.DUMMYFUNCTION("""COMPUTED_VALUE"""),"")</f>
        <v/>
      </c>
      <c r="O533" s="18" t="str">
        <f ca="1">IFERROR(__xludf.DUMMYFUNCTION("""COMPUTED_VALUE"""),"")</f>
        <v/>
      </c>
      <c r="P533" s="18" t="str">
        <f ca="1">IFERROR(__xludf.DUMMYFUNCTION("""COMPUTED_VALUE"""),"")</f>
        <v/>
      </c>
      <c r="Q533" s="18" t="str">
        <f ca="1">IFERROR(__xludf.DUMMYFUNCTION("""COMPUTED_VALUE"""),"")</f>
        <v/>
      </c>
      <c r="R533" s="18" t="str">
        <f ca="1">IFERROR(__xludf.DUMMYFUNCTION("""COMPUTED_VALUE"""),"")</f>
        <v/>
      </c>
      <c r="S533" s="18" t="str">
        <f ca="1">IFERROR(__xludf.DUMMYFUNCTION("""COMPUTED_VALUE"""),"")</f>
        <v/>
      </c>
      <c r="T533" s="18" t="str">
        <f ca="1">IFERROR(__xludf.DUMMYFUNCTION("""COMPUTED_VALUE"""),"")</f>
        <v/>
      </c>
      <c r="U533" s="18" t="str">
        <f ca="1">IFERROR(__xludf.DUMMYFUNCTION("""COMPUTED_VALUE"""),"")</f>
        <v/>
      </c>
      <c r="V533" s="18" t="str">
        <f ca="1">IFERROR(__xludf.DUMMYFUNCTION("""COMPUTED_VALUE"""),"")</f>
        <v/>
      </c>
      <c r="W533" s="18" t="str">
        <f ca="1">IFERROR(__xludf.DUMMYFUNCTION("""COMPUTED_VALUE"""),"")</f>
        <v/>
      </c>
      <c r="X533" s="18" t="str">
        <f ca="1">IFERROR(__xludf.DUMMYFUNCTION("""COMPUTED_VALUE"""),"")</f>
        <v/>
      </c>
      <c r="Y533" s="18" t="e">
        <f ca="1"/>
        <v>#NAME?</v>
      </c>
      <c r="Z533" s="18" t="str">
        <f ca="1">IFERROR(__xludf.DUMMYFUNCTION("""COMPUTED_VALUE"""),"")</f>
        <v/>
      </c>
      <c r="AA533" s="18" t="str">
        <f ca="1">IFERROR(__xludf.DUMMYFUNCTION("""COMPUTED_VALUE"""),"")</f>
        <v/>
      </c>
      <c r="AC533" s="59"/>
    </row>
    <row r="534" spans="1:29" x14ac:dyDescent="0.25">
      <c r="A534" s="18">
        <v>0</v>
      </c>
      <c r="B534" s="52" t="str">
        <f ca="1"/>
        <v/>
      </c>
      <c r="C534" s="52" t="str">
        <f ca="1">IFERROR(__xludf.DUMMYFUNCTION("""COMPUTED_VALUE"""),"")</f>
        <v/>
      </c>
      <c r="D534" s="18" t="str">
        <f ca="1">IFERROR(__xludf.DUMMYFUNCTION("""COMPUTED_VALUE"""),"")</f>
        <v/>
      </c>
      <c r="E534" s="18" t="str">
        <f ca="1">IFERROR(__xludf.DUMMYFUNCTION("""COMPUTED_VALUE"""),"")</f>
        <v/>
      </c>
      <c r="F534" s="18" t="str">
        <f ca="1">IFERROR(__xludf.DUMMYFUNCTION("""COMPUTED_VALUE"""),"")</f>
        <v/>
      </c>
      <c r="G534" s="18" t="str">
        <f ca="1">IFERROR(__xludf.DUMMYFUNCTION("""COMPUTED_VALUE"""),"")</f>
        <v/>
      </c>
      <c r="H534" s="18" t="str">
        <f ca="1">IFERROR(__xludf.DUMMYFUNCTION("""COMPUTED_VALUE"""),"")</f>
        <v/>
      </c>
      <c r="I534" s="18" t="str">
        <f ca="1">IFERROR(__xludf.DUMMYFUNCTION("""COMPUTED_VALUE"""),"")</f>
        <v/>
      </c>
      <c r="J534" s="18" t="str">
        <f ca="1">IFERROR(__xludf.DUMMYFUNCTION("""COMPUTED_VALUE"""),"")</f>
        <v/>
      </c>
      <c r="K534" s="18" t="str">
        <f ca="1">IFERROR(__xludf.DUMMYFUNCTION("""COMPUTED_VALUE"""),"")</f>
        <v/>
      </c>
      <c r="L534" s="18" t="str">
        <f ca="1">IFERROR(__xludf.DUMMYFUNCTION("""COMPUTED_VALUE"""),"")</f>
        <v/>
      </c>
      <c r="M534" s="18" t="str">
        <f ca="1">IFERROR(__xludf.DUMMYFUNCTION("""COMPUTED_VALUE"""),"")</f>
        <v/>
      </c>
      <c r="N534" s="18" t="str">
        <f ca="1">IFERROR(__xludf.DUMMYFUNCTION("""COMPUTED_VALUE"""),"")</f>
        <v/>
      </c>
      <c r="O534" s="18" t="str">
        <f ca="1">IFERROR(__xludf.DUMMYFUNCTION("""COMPUTED_VALUE"""),"")</f>
        <v/>
      </c>
      <c r="P534" s="18" t="str">
        <f ca="1">IFERROR(__xludf.DUMMYFUNCTION("""COMPUTED_VALUE"""),"")</f>
        <v/>
      </c>
      <c r="Q534" s="18" t="str">
        <f ca="1">IFERROR(__xludf.DUMMYFUNCTION("""COMPUTED_VALUE"""),"")</f>
        <v/>
      </c>
      <c r="R534" s="18" t="str">
        <f ca="1">IFERROR(__xludf.DUMMYFUNCTION("""COMPUTED_VALUE"""),"")</f>
        <v/>
      </c>
      <c r="S534" s="18" t="str">
        <f ca="1">IFERROR(__xludf.DUMMYFUNCTION("""COMPUTED_VALUE"""),"")</f>
        <v/>
      </c>
      <c r="T534" s="18" t="str">
        <f ca="1">IFERROR(__xludf.DUMMYFUNCTION("""COMPUTED_VALUE"""),"")</f>
        <v/>
      </c>
      <c r="U534" s="18" t="str">
        <f ca="1">IFERROR(__xludf.DUMMYFUNCTION("""COMPUTED_VALUE"""),"")</f>
        <v/>
      </c>
      <c r="V534" s="18" t="str">
        <f ca="1">IFERROR(__xludf.DUMMYFUNCTION("""COMPUTED_VALUE"""),"")</f>
        <v/>
      </c>
      <c r="W534" s="18" t="str">
        <f ca="1">IFERROR(__xludf.DUMMYFUNCTION("""COMPUTED_VALUE"""),"")</f>
        <v/>
      </c>
      <c r="X534" s="18" t="str">
        <f ca="1">IFERROR(__xludf.DUMMYFUNCTION("""COMPUTED_VALUE"""),"")</f>
        <v/>
      </c>
      <c r="Y534" s="18" t="e">
        <f ca="1"/>
        <v>#NAME?</v>
      </c>
      <c r="Z534" s="18" t="str">
        <f ca="1">IFERROR(__xludf.DUMMYFUNCTION("""COMPUTED_VALUE"""),"")</f>
        <v/>
      </c>
      <c r="AA534" s="18" t="str">
        <f ca="1">IFERROR(__xludf.DUMMYFUNCTION("""COMPUTED_VALUE"""),"")</f>
        <v/>
      </c>
      <c r="AC534" s="59"/>
    </row>
    <row r="535" spans="1:29" x14ac:dyDescent="0.25">
      <c r="A535" s="18">
        <v>0</v>
      </c>
      <c r="B535" s="52" t="str">
        <f ca="1"/>
        <v/>
      </c>
      <c r="C535" s="52" t="str">
        <f ca="1">IFERROR(__xludf.DUMMYFUNCTION("""COMPUTED_VALUE"""),"")</f>
        <v/>
      </c>
      <c r="D535" s="18" t="str">
        <f ca="1">IFERROR(__xludf.DUMMYFUNCTION("""COMPUTED_VALUE"""),"")</f>
        <v/>
      </c>
      <c r="E535" s="18" t="str">
        <f ca="1">IFERROR(__xludf.DUMMYFUNCTION("""COMPUTED_VALUE"""),"")</f>
        <v/>
      </c>
      <c r="F535" s="18" t="str">
        <f ca="1">IFERROR(__xludf.DUMMYFUNCTION("""COMPUTED_VALUE"""),"")</f>
        <v/>
      </c>
      <c r="G535" s="18" t="str">
        <f ca="1">IFERROR(__xludf.DUMMYFUNCTION("""COMPUTED_VALUE"""),"")</f>
        <v/>
      </c>
      <c r="H535" s="18" t="str">
        <f ca="1">IFERROR(__xludf.DUMMYFUNCTION("""COMPUTED_VALUE"""),"")</f>
        <v/>
      </c>
      <c r="I535" s="18" t="str">
        <f ca="1">IFERROR(__xludf.DUMMYFUNCTION("""COMPUTED_VALUE"""),"")</f>
        <v/>
      </c>
      <c r="J535" s="18" t="str">
        <f ca="1">IFERROR(__xludf.DUMMYFUNCTION("""COMPUTED_VALUE"""),"")</f>
        <v/>
      </c>
      <c r="K535" s="18" t="str">
        <f ca="1">IFERROR(__xludf.DUMMYFUNCTION("""COMPUTED_VALUE"""),"")</f>
        <v/>
      </c>
      <c r="L535" s="18" t="str">
        <f ca="1">IFERROR(__xludf.DUMMYFUNCTION("""COMPUTED_VALUE"""),"")</f>
        <v/>
      </c>
      <c r="M535" s="18" t="str">
        <f ca="1">IFERROR(__xludf.DUMMYFUNCTION("""COMPUTED_VALUE"""),"")</f>
        <v/>
      </c>
      <c r="N535" s="18" t="str">
        <f ca="1">IFERROR(__xludf.DUMMYFUNCTION("""COMPUTED_VALUE"""),"")</f>
        <v/>
      </c>
      <c r="O535" s="18" t="str">
        <f ca="1">IFERROR(__xludf.DUMMYFUNCTION("""COMPUTED_VALUE"""),"")</f>
        <v/>
      </c>
      <c r="P535" s="18" t="str">
        <f ca="1">IFERROR(__xludf.DUMMYFUNCTION("""COMPUTED_VALUE"""),"")</f>
        <v/>
      </c>
      <c r="Q535" s="18" t="str">
        <f ca="1">IFERROR(__xludf.DUMMYFUNCTION("""COMPUTED_VALUE"""),"")</f>
        <v/>
      </c>
      <c r="R535" s="18" t="str">
        <f ca="1">IFERROR(__xludf.DUMMYFUNCTION("""COMPUTED_VALUE"""),"")</f>
        <v/>
      </c>
      <c r="S535" s="18" t="str">
        <f ca="1">IFERROR(__xludf.DUMMYFUNCTION("""COMPUTED_VALUE"""),"")</f>
        <v/>
      </c>
      <c r="T535" s="18" t="str">
        <f ca="1">IFERROR(__xludf.DUMMYFUNCTION("""COMPUTED_VALUE"""),"")</f>
        <v/>
      </c>
      <c r="U535" s="18" t="str">
        <f ca="1">IFERROR(__xludf.DUMMYFUNCTION("""COMPUTED_VALUE"""),"")</f>
        <v/>
      </c>
      <c r="V535" s="18" t="str">
        <f ca="1">IFERROR(__xludf.DUMMYFUNCTION("""COMPUTED_VALUE"""),"")</f>
        <v/>
      </c>
      <c r="W535" s="18" t="str">
        <f ca="1">IFERROR(__xludf.DUMMYFUNCTION("""COMPUTED_VALUE"""),"")</f>
        <v/>
      </c>
      <c r="X535" s="18" t="str">
        <f ca="1">IFERROR(__xludf.DUMMYFUNCTION("""COMPUTED_VALUE"""),"")</f>
        <v/>
      </c>
      <c r="Y535" s="18" t="e">
        <f ca="1"/>
        <v>#NAME?</v>
      </c>
      <c r="Z535" s="18" t="str">
        <f ca="1">IFERROR(__xludf.DUMMYFUNCTION("""COMPUTED_VALUE"""),"")</f>
        <v/>
      </c>
      <c r="AA535" s="18" t="str">
        <f ca="1">IFERROR(__xludf.DUMMYFUNCTION("""COMPUTED_VALUE"""),"")</f>
        <v/>
      </c>
      <c r="AC535" s="59"/>
    </row>
    <row r="536" spans="1:29" x14ac:dyDescent="0.25">
      <c r="A536" s="18">
        <v>0</v>
      </c>
      <c r="B536" s="52" t="str">
        <f ca="1"/>
        <v/>
      </c>
      <c r="C536" s="52" t="str">
        <f ca="1">IFERROR(__xludf.DUMMYFUNCTION("""COMPUTED_VALUE"""),"")</f>
        <v/>
      </c>
      <c r="D536" s="18" t="str">
        <f ca="1">IFERROR(__xludf.DUMMYFUNCTION("""COMPUTED_VALUE"""),"")</f>
        <v/>
      </c>
      <c r="E536" s="18" t="str">
        <f ca="1">IFERROR(__xludf.DUMMYFUNCTION("""COMPUTED_VALUE"""),"")</f>
        <v/>
      </c>
      <c r="F536" s="18" t="str">
        <f ca="1">IFERROR(__xludf.DUMMYFUNCTION("""COMPUTED_VALUE"""),"")</f>
        <v/>
      </c>
      <c r="G536" s="18" t="str">
        <f ca="1">IFERROR(__xludf.DUMMYFUNCTION("""COMPUTED_VALUE"""),"")</f>
        <v/>
      </c>
      <c r="H536" s="18" t="str">
        <f ca="1">IFERROR(__xludf.DUMMYFUNCTION("""COMPUTED_VALUE"""),"")</f>
        <v/>
      </c>
      <c r="I536" s="18" t="str">
        <f ca="1">IFERROR(__xludf.DUMMYFUNCTION("""COMPUTED_VALUE"""),"")</f>
        <v/>
      </c>
      <c r="J536" s="18" t="str">
        <f ca="1">IFERROR(__xludf.DUMMYFUNCTION("""COMPUTED_VALUE"""),"")</f>
        <v/>
      </c>
      <c r="K536" s="18" t="str">
        <f ca="1">IFERROR(__xludf.DUMMYFUNCTION("""COMPUTED_VALUE"""),"")</f>
        <v/>
      </c>
      <c r="L536" s="18" t="str">
        <f ca="1">IFERROR(__xludf.DUMMYFUNCTION("""COMPUTED_VALUE"""),"")</f>
        <v/>
      </c>
      <c r="M536" s="18" t="str">
        <f ca="1">IFERROR(__xludf.DUMMYFUNCTION("""COMPUTED_VALUE"""),"")</f>
        <v/>
      </c>
      <c r="N536" s="18" t="str">
        <f ca="1">IFERROR(__xludf.DUMMYFUNCTION("""COMPUTED_VALUE"""),"")</f>
        <v/>
      </c>
      <c r="O536" s="18" t="str">
        <f ca="1">IFERROR(__xludf.DUMMYFUNCTION("""COMPUTED_VALUE"""),"")</f>
        <v/>
      </c>
      <c r="P536" s="18" t="str">
        <f ca="1">IFERROR(__xludf.DUMMYFUNCTION("""COMPUTED_VALUE"""),"")</f>
        <v/>
      </c>
      <c r="Q536" s="18" t="str">
        <f ca="1">IFERROR(__xludf.DUMMYFUNCTION("""COMPUTED_VALUE"""),"")</f>
        <v/>
      </c>
      <c r="R536" s="18" t="str">
        <f ca="1">IFERROR(__xludf.DUMMYFUNCTION("""COMPUTED_VALUE"""),"")</f>
        <v/>
      </c>
      <c r="S536" s="18" t="str">
        <f ca="1">IFERROR(__xludf.DUMMYFUNCTION("""COMPUTED_VALUE"""),"")</f>
        <v/>
      </c>
      <c r="T536" s="18" t="str">
        <f ca="1">IFERROR(__xludf.DUMMYFUNCTION("""COMPUTED_VALUE"""),"")</f>
        <v/>
      </c>
      <c r="U536" s="18" t="str">
        <f ca="1">IFERROR(__xludf.DUMMYFUNCTION("""COMPUTED_VALUE"""),"")</f>
        <v/>
      </c>
      <c r="V536" s="18" t="str">
        <f ca="1">IFERROR(__xludf.DUMMYFUNCTION("""COMPUTED_VALUE"""),"")</f>
        <v/>
      </c>
      <c r="W536" s="18" t="str">
        <f ca="1">IFERROR(__xludf.DUMMYFUNCTION("""COMPUTED_VALUE"""),"")</f>
        <v/>
      </c>
      <c r="X536" s="18" t="str">
        <f ca="1">IFERROR(__xludf.DUMMYFUNCTION("""COMPUTED_VALUE"""),"")</f>
        <v/>
      </c>
      <c r="Y536" s="18" t="e">
        <f ca="1"/>
        <v>#NAME?</v>
      </c>
      <c r="Z536" s="18" t="str">
        <f ca="1">IFERROR(__xludf.DUMMYFUNCTION("""COMPUTED_VALUE"""),"")</f>
        <v/>
      </c>
      <c r="AA536" s="18" t="str">
        <f ca="1">IFERROR(__xludf.DUMMYFUNCTION("""COMPUTED_VALUE"""),"")</f>
        <v/>
      </c>
      <c r="AC536" s="59"/>
    </row>
    <row r="537" spans="1:29" x14ac:dyDescent="0.25">
      <c r="A537" s="18">
        <v>0</v>
      </c>
      <c r="B537" s="52" t="str">
        <f ca="1"/>
        <v/>
      </c>
      <c r="C537" s="52" t="str">
        <f ca="1">IFERROR(__xludf.DUMMYFUNCTION("""COMPUTED_VALUE"""),"")</f>
        <v/>
      </c>
      <c r="D537" s="18" t="str">
        <f ca="1">IFERROR(__xludf.DUMMYFUNCTION("""COMPUTED_VALUE"""),"")</f>
        <v/>
      </c>
      <c r="E537" s="18" t="str">
        <f ca="1">IFERROR(__xludf.DUMMYFUNCTION("""COMPUTED_VALUE"""),"")</f>
        <v/>
      </c>
      <c r="F537" s="18" t="str">
        <f ca="1">IFERROR(__xludf.DUMMYFUNCTION("""COMPUTED_VALUE"""),"")</f>
        <v/>
      </c>
      <c r="G537" s="18" t="str">
        <f ca="1">IFERROR(__xludf.DUMMYFUNCTION("""COMPUTED_VALUE"""),"")</f>
        <v/>
      </c>
      <c r="H537" s="18" t="str">
        <f ca="1">IFERROR(__xludf.DUMMYFUNCTION("""COMPUTED_VALUE"""),"")</f>
        <v/>
      </c>
      <c r="I537" s="18" t="str">
        <f ca="1">IFERROR(__xludf.DUMMYFUNCTION("""COMPUTED_VALUE"""),"")</f>
        <v/>
      </c>
      <c r="J537" s="18" t="str">
        <f ca="1">IFERROR(__xludf.DUMMYFUNCTION("""COMPUTED_VALUE"""),"")</f>
        <v/>
      </c>
      <c r="K537" s="18" t="str">
        <f ca="1">IFERROR(__xludf.DUMMYFUNCTION("""COMPUTED_VALUE"""),"")</f>
        <v/>
      </c>
      <c r="L537" s="18" t="str">
        <f ca="1">IFERROR(__xludf.DUMMYFUNCTION("""COMPUTED_VALUE"""),"")</f>
        <v/>
      </c>
      <c r="M537" s="18" t="str">
        <f ca="1">IFERROR(__xludf.DUMMYFUNCTION("""COMPUTED_VALUE"""),"")</f>
        <v/>
      </c>
      <c r="N537" s="18" t="str">
        <f ca="1">IFERROR(__xludf.DUMMYFUNCTION("""COMPUTED_VALUE"""),"")</f>
        <v/>
      </c>
      <c r="O537" s="18" t="str">
        <f ca="1">IFERROR(__xludf.DUMMYFUNCTION("""COMPUTED_VALUE"""),"")</f>
        <v/>
      </c>
      <c r="P537" s="18" t="str">
        <f ca="1">IFERROR(__xludf.DUMMYFUNCTION("""COMPUTED_VALUE"""),"")</f>
        <v/>
      </c>
      <c r="Q537" s="18" t="str">
        <f ca="1">IFERROR(__xludf.DUMMYFUNCTION("""COMPUTED_VALUE"""),"")</f>
        <v/>
      </c>
      <c r="R537" s="18" t="str">
        <f ca="1">IFERROR(__xludf.DUMMYFUNCTION("""COMPUTED_VALUE"""),"")</f>
        <v/>
      </c>
      <c r="S537" s="18" t="str">
        <f ca="1">IFERROR(__xludf.DUMMYFUNCTION("""COMPUTED_VALUE"""),"")</f>
        <v/>
      </c>
      <c r="T537" s="18" t="str">
        <f ca="1">IFERROR(__xludf.DUMMYFUNCTION("""COMPUTED_VALUE"""),"")</f>
        <v/>
      </c>
      <c r="U537" s="18" t="str">
        <f ca="1">IFERROR(__xludf.DUMMYFUNCTION("""COMPUTED_VALUE"""),"")</f>
        <v/>
      </c>
      <c r="V537" s="18" t="str">
        <f ca="1">IFERROR(__xludf.DUMMYFUNCTION("""COMPUTED_VALUE"""),"")</f>
        <v/>
      </c>
      <c r="W537" s="18" t="str">
        <f ca="1">IFERROR(__xludf.DUMMYFUNCTION("""COMPUTED_VALUE"""),"")</f>
        <v/>
      </c>
      <c r="X537" s="18" t="str">
        <f ca="1">IFERROR(__xludf.DUMMYFUNCTION("""COMPUTED_VALUE"""),"")</f>
        <v/>
      </c>
      <c r="Y537" s="18" t="e">
        <f ca="1"/>
        <v>#NAME?</v>
      </c>
      <c r="Z537" s="18" t="str">
        <f ca="1">IFERROR(__xludf.DUMMYFUNCTION("""COMPUTED_VALUE"""),"")</f>
        <v/>
      </c>
      <c r="AA537" s="18" t="str">
        <f ca="1">IFERROR(__xludf.DUMMYFUNCTION("""COMPUTED_VALUE"""),"")</f>
        <v/>
      </c>
      <c r="AC537" s="59"/>
    </row>
    <row r="538" spans="1:29" x14ac:dyDescent="0.25">
      <c r="A538" s="18">
        <v>0</v>
      </c>
      <c r="B538" s="52" t="str">
        <f ca="1"/>
        <v/>
      </c>
      <c r="C538" s="52" t="str">
        <f ca="1">IFERROR(__xludf.DUMMYFUNCTION("""COMPUTED_VALUE"""),"")</f>
        <v/>
      </c>
      <c r="D538" s="18" t="str">
        <f ca="1">IFERROR(__xludf.DUMMYFUNCTION("""COMPUTED_VALUE"""),"")</f>
        <v/>
      </c>
      <c r="E538" s="18" t="str">
        <f ca="1">IFERROR(__xludf.DUMMYFUNCTION("""COMPUTED_VALUE"""),"")</f>
        <v/>
      </c>
      <c r="F538" s="18" t="str">
        <f ca="1">IFERROR(__xludf.DUMMYFUNCTION("""COMPUTED_VALUE"""),"")</f>
        <v/>
      </c>
      <c r="G538" s="18" t="str">
        <f ca="1">IFERROR(__xludf.DUMMYFUNCTION("""COMPUTED_VALUE"""),"")</f>
        <v/>
      </c>
      <c r="H538" s="18" t="str">
        <f ca="1">IFERROR(__xludf.DUMMYFUNCTION("""COMPUTED_VALUE"""),"")</f>
        <v/>
      </c>
      <c r="I538" s="18" t="str">
        <f ca="1">IFERROR(__xludf.DUMMYFUNCTION("""COMPUTED_VALUE"""),"")</f>
        <v/>
      </c>
      <c r="J538" s="18" t="str">
        <f ca="1">IFERROR(__xludf.DUMMYFUNCTION("""COMPUTED_VALUE"""),"")</f>
        <v/>
      </c>
      <c r="K538" s="18" t="str">
        <f ca="1">IFERROR(__xludf.DUMMYFUNCTION("""COMPUTED_VALUE"""),"")</f>
        <v/>
      </c>
      <c r="L538" s="18" t="str">
        <f ca="1">IFERROR(__xludf.DUMMYFUNCTION("""COMPUTED_VALUE"""),"")</f>
        <v/>
      </c>
      <c r="M538" s="18" t="str">
        <f ca="1">IFERROR(__xludf.DUMMYFUNCTION("""COMPUTED_VALUE"""),"")</f>
        <v/>
      </c>
      <c r="N538" s="18" t="str">
        <f ca="1">IFERROR(__xludf.DUMMYFUNCTION("""COMPUTED_VALUE"""),"")</f>
        <v/>
      </c>
      <c r="O538" s="18" t="str">
        <f ca="1">IFERROR(__xludf.DUMMYFUNCTION("""COMPUTED_VALUE"""),"")</f>
        <v/>
      </c>
      <c r="P538" s="18" t="str">
        <f ca="1">IFERROR(__xludf.DUMMYFUNCTION("""COMPUTED_VALUE"""),"")</f>
        <v/>
      </c>
      <c r="Q538" s="18" t="str">
        <f ca="1">IFERROR(__xludf.DUMMYFUNCTION("""COMPUTED_VALUE"""),"")</f>
        <v/>
      </c>
      <c r="R538" s="18" t="str">
        <f ca="1">IFERROR(__xludf.DUMMYFUNCTION("""COMPUTED_VALUE"""),"")</f>
        <v/>
      </c>
      <c r="S538" s="18" t="str">
        <f ca="1">IFERROR(__xludf.DUMMYFUNCTION("""COMPUTED_VALUE"""),"")</f>
        <v/>
      </c>
      <c r="T538" s="18" t="str">
        <f ca="1">IFERROR(__xludf.DUMMYFUNCTION("""COMPUTED_VALUE"""),"")</f>
        <v/>
      </c>
      <c r="U538" s="18" t="str">
        <f ca="1">IFERROR(__xludf.DUMMYFUNCTION("""COMPUTED_VALUE"""),"")</f>
        <v/>
      </c>
      <c r="V538" s="18" t="str">
        <f ca="1">IFERROR(__xludf.DUMMYFUNCTION("""COMPUTED_VALUE"""),"")</f>
        <v/>
      </c>
      <c r="W538" s="18" t="str">
        <f ca="1">IFERROR(__xludf.DUMMYFUNCTION("""COMPUTED_VALUE"""),"")</f>
        <v/>
      </c>
      <c r="X538" s="18" t="str">
        <f ca="1">IFERROR(__xludf.DUMMYFUNCTION("""COMPUTED_VALUE"""),"")</f>
        <v/>
      </c>
      <c r="Y538" s="18" t="e">
        <f ca="1"/>
        <v>#NAME?</v>
      </c>
      <c r="Z538" s="18" t="str">
        <f ca="1">IFERROR(__xludf.DUMMYFUNCTION("""COMPUTED_VALUE"""),"")</f>
        <v/>
      </c>
      <c r="AA538" s="18" t="str">
        <f ca="1">IFERROR(__xludf.DUMMYFUNCTION("""COMPUTED_VALUE"""),"")</f>
        <v/>
      </c>
      <c r="AC538" s="59"/>
    </row>
    <row r="539" spans="1:29" x14ac:dyDescent="0.25">
      <c r="A539" s="18">
        <v>0</v>
      </c>
      <c r="B539" s="52" t="str">
        <f ca="1"/>
        <v/>
      </c>
      <c r="C539" s="52" t="str">
        <f ca="1">IFERROR(__xludf.DUMMYFUNCTION("""COMPUTED_VALUE"""),"")</f>
        <v/>
      </c>
      <c r="D539" s="18" t="str">
        <f ca="1">IFERROR(__xludf.DUMMYFUNCTION("""COMPUTED_VALUE"""),"")</f>
        <v/>
      </c>
      <c r="E539" s="18" t="str">
        <f ca="1">IFERROR(__xludf.DUMMYFUNCTION("""COMPUTED_VALUE"""),"")</f>
        <v/>
      </c>
      <c r="F539" s="18" t="str">
        <f ca="1">IFERROR(__xludf.DUMMYFUNCTION("""COMPUTED_VALUE"""),"")</f>
        <v/>
      </c>
      <c r="G539" s="18" t="str">
        <f ca="1">IFERROR(__xludf.DUMMYFUNCTION("""COMPUTED_VALUE"""),"")</f>
        <v/>
      </c>
      <c r="H539" s="18" t="str">
        <f ca="1">IFERROR(__xludf.DUMMYFUNCTION("""COMPUTED_VALUE"""),"")</f>
        <v/>
      </c>
      <c r="I539" s="18" t="str">
        <f ca="1">IFERROR(__xludf.DUMMYFUNCTION("""COMPUTED_VALUE"""),"")</f>
        <v/>
      </c>
      <c r="J539" s="18" t="str">
        <f ca="1">IFERROR(__xludf.DUMMYFUNCTION("""COMPUTED_VALUE"""),"")</f>
        <v/>
      </c>
      <c r="K539" s="18" t="str">
        <f ca="1">IFERROR(__xludf.DUMMYFUNCTION("""COMPUTED_VALUE"""),"")</f>
        <v/>
      </c>
      <c r="L539" s="18" t="str">
        <f ca="1">IFERROR(__xludf.DUMMYFUNCTION("""COMPUTED_VALUE"""),"")</f>
        <v/>
      </c>
      <c r="M539" s="18" t="str">
        <f ca="1">IFERROR(__xludf.DUMMYFUNCTION("""COMPUTED_VALUE"""),"")</f>
        <v/>
      </c>
      <c r="N539" s="18" t="str">
        <f ca="1">IFERROR(__xludf.DUMMYFUNCTION("""COMPUTED_VALUE"""),"")</f>
        <v/>
      </c>
      <c r="O539" s="18" t="str">
        <f ca="1">IFERROR(__xludf.DUMMYFUNCTION("""COMPUTED_VALUE"""),"")</f>
        <v/>
      </c>
      <c r="P539" s="18" t="str">
        <f ca="1">IFERROR(__xludf.DUMMYFUNCTION("""COMPUTED_VALUE"""),"")</f>
        <v/>
      </c>
      <c r="Q539" s="18" t="str">
        <f ca="1">IFERROR(__xludf.DUMMYFUNCTION("""COMPUTED_VALUE"""),"")</f>
        <v/>
      </c>
      <c r="R539" s="18" t="str">
        <f ca="1">IFERROR(__xludf.DUMMYFUNCTION("""COMPUTED_VALUE"""),"")</f>
        <v/>
      </c>
      <c r="S539" s="18" t="str">
        <f ca="1">IFERROR(__xludf.DUMMYFUNCTION("""COMPUTED_VALUE"""),"")</f>
        <v/>
      </c>
      <c r="T539" s="18" t="str">
        <f ca="1">IFERROR(__xludf.DUMMYFUNCTION("""COMPUTED_VALUE"""),"")</f>
        <v/>
      </c>
      <c r="U539" s="18" t="str">
        <f ca="1">IFERROR(__xludf.DUMMYFUNCTION("""COMPUTED_VALUE"""),"")</f>
        <v/>
      </c>
      <c r="V539" s="18" t="str">
        <f ca="1">IFERROR(__xludf.DUMMYFUNCTION("""COMPUTED_VALUE"""),"")</f>
        <v/>
      </c>
      <c r="W539" s="18" t="str">
        <f ca="1">IFERROR(__xludf.DUMMYFUNCTION("""COMPUTED_VALUE"""),"")</f>
        <v/>
      </c>
      <c r="X539" s="18" t="str">
        <f ca="1">IFERROR(__xludf.DUMMYFUNCTION("""COMPUTED_VALUE"""),"")</f>
        <v/>
      </c>
      <c r="Y539" s="18" t="e">
        <f ca="1"/>
        <v>#NAME?</v>
      </c>
      <c r="Z539" s="18" t="str">
        <f ca="1">IFERROR(__xludf.DUMMYFUNCTION("""COMPUTED_VALUE"""),"")</f>
        <v/>
      </c>
      <c r="AA539" s="18" t="str">
        <f ca="1">IFERROR(__xludf.DUMMYFUNCTION("""COMPUTED_VALUE"""),"")</f>
        <v/>
      </c>
      <c r="AC539" s="59"/>
    </row>
    <row r="540" spans="1:29" x14ac:dyDescent="0.25">
      <c r="A540" s="18">
        <v>0</v>
      </c>
      <c r="B540" s="52" t="str">
        <f ca="1"/>
        <v/>
      </c>
      <c r="C540" s="52" t="str">
        <f ca="1">IFERROR(__xludf.DUMMYFUNCTION("""COMPUTED_VALUE"""),"")</f>
        <v/>
      </c>
      <c r="D540" s="18" t="str">
        <f ca="1">IFERROR(__xludf.DUMMYFUNCTION("""COMPUTED_VALUE"""),"")</f>
        <v/>
      </c>
      <c r="E540" s="18" t="str">
        <f ca="1">IFERROR(__xludf.DUMMYFUNCTION("""COMPUTED_VALUE"""),"")</f>
        <v/>
      </c>
      <c r="F540" s="18" t="str">
        <f ca="1">IFERROR(__xludf.DUMMYFUNCTION("""COMPUTED_VALUE"""),"")</f>
        <v/>
      </c>
      <c r="G540" s="18" t="str">
        <f ca="1">IFERROR(__xludf.DUMMYFUNCTION("""COMPUTED_VALUE"""),"")</f>
        <v/>
      </c>
      <c r="H540" s="18" t="str">
        <f ca="1">IFERROR(__xludf.DUMMYFUNCTION("""COMPUTED_VALUE"""),"")</f>
        <v/>
      </c>
      <c r="I540" s="18" t="str">
        <f ca="1">IFERROR(__xludf.DUMMYFUNCTION("""COMPUTED_VALUE"""),"")</f>
        <v/>
      </c>
      <c r="J540" s="18" t="str">
        <f ca="1">IFERROR(__xludf.DUMMYFUNCTION("""COMPUTED_VALUE"""),"")</f>
        <v/>
      </c>
      <c r="K540" s="18" t="str">
        <f ca="1">IFERROR(__xludf.DUMMYFUNCTION("""COMPUTED_VALUE"""),"")</f>
        <v/>
      </c>
      <c r="L540" s="18" t="str">
        <f ca="1">IFERROR(__xludf.DUMMYFUNCTION("""COMPUTED_VALUE"""),"")</f>
        <v/>
      </c>
      <c r="M540" s="18" t="str">
        <f ca="1">IFERROR(__xludf.DUMMYFUNCTION("""COMPUTED_VALUE"""),"")</f>
        <v/>
      </c>
      <c r="N540" s="18" t="str">
        <f ca="1">IFERROR(__xludf.DUMMYFUNCTION("""COMPUTED_VALUE"""),"")</f>
        <v/>
      </c>
      <c r="O540" s="18" t="str">
        <f ca="1">IFERROR(__xludf.DUMMYFUNCTION("""COMPUTED_VALUE"""),"")</f>
        <v/>
      </c>
      <c r="P540" s="18" t="str">
        <f ca="1">IFERROR(__xludf.DUMMYFUNCTION("""COMPUTED_VALUE"""),"")</f>
        <v/>
      </c>
      <c r="Q540" s="18" t="str">
        <f ca="1">IFERROR(__xludf.DUMMYFUNCTION("""COMPUTED_VALUE"""),"")</f>
        <v/>
      </c>
      <c r="R540" s="18" t="str">
        <f ca="1">IFERROR(__xludf.DUMMYFUNCTION("""COMPUTED_VALUE"""),"")</f>
        <v/>
      </c>
      <c r="S540" s="18" t="str">
        <f ca="1">IFERROR(__xludf.DUMMYFUNCTION("""COMPUTED_VALUE"""),"")</f>
        <v/>
      </c>
      <c r="T540" s="18" t="str">
        <f ca="1">IFERROR(__xludf.DUMMYFUNCTION("""COMPUTED_VALUE"""),"")</f>
        <v/>
      </c>
      <c r="U540" s="18" t="str">
        <f ca="1">IFERROR(__xludf.DUMMYFUNCTION("""COMPUTED_VALUE"""),"")</f>
        <v/>
      </c>
      <c r="V540" s="18" t="str">
        <f ca="1">IFERROR(__xludf.DUMMYFUNCTION("""COMPUTED_VALUE"""),"")</f>
        <v/>
      </c>
      <c r="W540" s="18" t="str">
        <f ca="1">IFERROR(__xludf.DUMMYFUNCTION("""COMPUTED_VALUE"""),"")</f>
        <v/>
      </c>
      <c r="X540" s="18" t="str">
        <f ca="1">IFERROR(__xludf.DUMMYFUNCTION("""COMPUTED_VALUE"""),"")</f>
        <v/>
      </c>
      <c r="Y540" s="18" t="e">
        <f ca="1"/>
        <v>#NAME?</v>
      </c>
      <c r="Z540" s="18" t="str">
        <f ca="1">IFERROR(__xludf.DUMMYFUNCTION("""COMPUTED_VALUE"""),"")</f>
        <v/>
      </c>
      <c r="AA540" s="18" t="str">
        <f ca="1">IFERROR(__xludf.DUMMYFUNCTION("""COMPUTED_VALUE"""),"")</f>
        <v/>
      </c>
      <c r="AC540" s="59"/>
    </row>
    <row r="541" spans="1:29" x14ac:dyDescent="0.25">
      <c r="A541" s="18">
        <v>0</v>
      </c>
      <c r="B541" s="52" t="str">
        <f ca="1"/>
        <v/>
      </c>
      <c r="C541" s="52" t="str">
        <f ca="1">IFERROR(__xludf.DUMMYFUNCTION("""COMPUTED_VALUE"""),"")</f>
        <v/>
      </c>
      <c r="D541" s="18" t="str">
        <f ca="1">IFERROR(__xludf.DUMMYFUNCTION("""COMPUTED_VALUE"""),"")</f>
        <v/>
      </c>
      <c r="E541" s="18" t="str">
        <f ca="1">IFERROR(__xludf.DUMMYFUNCTION("""COMPUTED_VALUE"""),"")</f>
        <v/>
      </c>
      <c r="F541" s="18" t="str">
        <f ca="1">IFERROR(__xludf.DUMMYFUNCTION("""COMPUTED_VALUE"""),"")</f>
        <v/>
      </c>
      <c r="G541" s="18" t="str">
        <f ca="1">IFERROR(__xludf.DUMMYFUNCTION("""COMPUTED_VALUE"""),"")</f>
        <v/>
      </c>
      <c r="H541" s="18" t="str">
        <f ca="1">IFERROR(__xludf.DUMMYFUNCTION("""COMPUTED_VALUE"""),"")</f>
        <v/>
      </c>
      <c r="I541" s="18" t="str">
        <f ca="1">IFERROR(__xludf.DUMMYFUNCTION("""COMPUTED_VALUE"""),"")</f>
        <v/>
      </c>
      <c r="J541" s="18" t="str">
        <f ca="1">IFERROR(__xludf.DUMMYFUNCTION("""COMPUTED_VALUE"""),"")</f>
        <v/>
      </c>
      <c r="K541" s="18" t="str">
        <f ca="1">IFERROR(__xludf.DUMMYFUNCTION("""COMPUTED_VALUE"""),"")</f>
        <v/>
      </c>
      <c r="L541" s="18" t="str">
        <f ca="1">IFERROR(__xludf.DUMMYFUNCTION("""COMPUTED_VALUE"""),"")</f>
        <v/>
      </c>
      <c r="M541" s="18" t="str">
        <f ca="1">IFERROR(__xludf.DUMMYFUNCTION("""COMPUTED_VALUE"""),"")</f>
        <v/>
      </c>
      <c r="N541" s="18" t="str">
        <f ca="1">IFERROR(__xludf.DUMMYFUNCTION("""COMPUTED_VALUE"""),"")</f>
        <v/>
      </c>
      <c r="O541" s="18" t="str">
        <f ca="1">IFERROR(__xludf.DUMMYFUNCTION("""COMPUTED_VALUE"""),"")</f>
        <v/>
      </c>
      <c r="P541" s="18" t="str">
        <f ca="1">IFERROR(__xludf.DUMMYFUNCTION("""COMPUTED_VALUE"""),"")</f>
        <v/>
      </c>
      <c r="Q541" s="18" t="str">
        <f ca="1">IFERROR(__xludf.DUMMYFUNCTION("""COMPUTED_VALUE"""),"")</f>
        <v/>
      </c>
      <c r="R541" s="18" t="str">
        <f ca="1">IFERROR(__xludf.DUMMYFUNCTION("""COMPUTED_VALUE"""),"")</f>
        <v/>
      </c>
      <c r="S541" s="18" t="str">
        <f ca="1">IFERROR(__xludf.DUMMYFUNCTION("""COMPUTED_VALUE"""),"")</f>
        <v/>
      </c>
      <c r="T541" s="18" t="str">
        <f ca="1">IFERROR(__xludf.DUMMYFUNCTION("""COMPUTED_VALUE"""),"")</f>
        <v/>
      </c>
      <c r="U541" s="18" t="str">
        <f ca="1">IFERROR(__xludf.DUMMYFUNCTION("""COMPUTED_VALUE"""),"")</f>
        <v/>
      </c>
      <c r="V541" s="18" t="str">
        <f ca="1">IFERROR(__xludf.DUMMYFUNCTION("""COMPUTED_VALUE"""),"")</f>
        <v/>
      </c>
      <c r="W541" s="18" t="str">
        <f ca="1">IFERROR(__xludf.DUMMYFUNCTION("""COMPUTED_VALUE"""),"")</f>
        <v/>
      </c>
      <c r="X541" s="18" t="str">
        <f ca="1">IFERROR(__xludf.DUMMYFUNCTION("""COMPUTED_VALUE"""),"")</f>
        <v/>
      </c>
      <c r="Y541" s="18" t="e">
        <f ca="1"/>
        <v>#NAME?</v>
      </c>
      <c r="Z541" s="18" t="str">
        <f ca="1">IFERROR(__xludf.DUMMYFUNCTION("""COMPUTED_VALUE"""),"")</f>
        <v/>
      </c>
      <c r="AA541" s="18" t="str">
        <f ca="1">IFERROR(__xludf.DUMMYFUNCTION("""COMPUTED_VALUE"""),"")</f>
        <v/>
      </c>
      <c r="AC541" s="59"/>
    </row>
    <row r="542" spans="1:29" x14ac:dyDescent="0.25">
      <c r="A542" s="18">
        <v>0</v>
      </c>
      <c r="B542" s="52" t="str">
        <f ca="1"/>
        <v/>
      </c>
      <c r="C542" s="52" t="str">
        <f ca="1">IFERROR(__xludf.DUMMYFUNCTION("""COMPUTED_VALUE"""),"")</f>
        <v/>
      </c>
      <c r="D542" s="18" t="str">
        <f ca="1">IFERROR(__xludf.DUMMYFUNCTION("""COMPUTED_VALUE"""),"")</f>
        <v/>
      </c>
      <c r="E542" s="18" t="str">
        <f ca="1">IFERROR(__xludf.DUMMYFUNCTION("""COMPUTED_VALUE"""),"")</f>
        <v/>
      </c>
      <c r="F542" s="18" t="str">
        <f ca="1">IFERROR(__xludf.DUMMYFUNCTION("""COMPUTED_VALUE"""),"")</f>
        <v/>
      </c>
      <c r="G542" s="18" t="str">
        <f ca="1">IFERROR(__xludf.DUMMYFUNCTION("""COMPUTED_VALUE"""),"")</f>
        <v/>
      </c>
      <c r="H542" s="18" t="str">
        <f ca="1">IFERROR(__xludf.DUMMYFUNCTION("""COMPUTED_VALUE"""),"")</f>
        <v/>
      </c>
      <c r="I542" s="18" t="str">
        <f ca="1">IFERROR(__xludf.DUMMYFUNCTION("""COMPUTED_VALUE"""),"")</f>
        <v/>
      </c>
      <c r="J542" s="18" t="str">
        <f ca="1">IFERROR(__xludf.DUMMYFUNCTION("""COMPUTED_VALUE"""),"")</f>
        <v/>
      </c>
      <c r="K542" s="18" t="str">
        <f ca="1">IFERROR(__xludf.DUMMYFUNCTION("""COMPUTED_VALUE"""),"")</f>
        <v/>
      </c>
      <c r="L542" s="18" t="str">
        <f ca="1">IFERROR(__xludf.DUMMYFUNCTION("""COMPUTED_VALUE"""),"")</f>
        <v/>
      </c>
      <c r="M542" s="18" t="str">
        <f ca="1">IFERROR(__xludf.DUMMYFUNCTION("""COMPUTED_VALUE"""),"")</f>
        <v/>
      </c>
      <c r="N542" s="18" t="str">
        <f ca="1">IFERROR(__xludf.DUMMYFUNCTION("""COMPUTED_VALUE"""),"")</f>
        <v/>
      </c>
      <c r="O542" s="18" t="str">
        <f ca="1">IFERROR(__xludf.DUMMYFUNCTION("""COMPUTED_VALUE"""),"")</f>
        <v/>
      </c>
      <c r="P542" s="18" t="str">
        <f ca="1">IFERROR(__xludf.DUMMYFUNCTION("""COMPUTED_VALUE"""),"")</f>
        <v/>
      </c>
      <c r="Q542" s="18" t="str">
        <f ca="1">IFERROR(__xludf.DUMMYFUNCTION("""COMPUTED_VALUE"""),"")</f>
        <v/>
      </c>
      <c r="R542" s="18" t="str">
        <f ca="1">IFERROR(__xludf.DUMMYFUNCTION("""COMPUTED_VALUE"""),"")</f>
        <v/>
      </c>
      <c r="S542" s="18" t="str">
        <f ca="1">IFERROR(__xludf.DUMMYFUNCTION("""COMPUTED_VALUE"""),"")</f>
        <v/>
      </c>
      <c r="T542" s="18" t="str">
        <f ca="1">IFERROR(__xludf.DUMMYFUNCTION("""COMPUTED_VALUE"""),"")</f>
        <v/>
      </c>
      <c r="U542" s="18" t="str">
        <f ca="1">IFERROR(__xludf.DUMMYFUNCTION("""COMPUTED_VALUE"""),"")</f>
        <v/>
      </c>
      <c r="V542" s="18" t="str">
        <f ca="1">IFERROR(__xludf.DUMMYFUNCTION("""COMPUTED_VALUE"""),"")</f>
        <v/>
      </c>
      <c r="W542" s="18" t="str">
        <f ca="1">IFERROR(__xludf.DUMMYFUNCTION("""COMPUTED_VALUE"""),"")</f>
        <v/>
      </c>
      <c r="X542" s="18" t="str">
        <f ca="1">IFERROR(__xludf.DUMMYFUNCTION("""COMPUTED_VALUE"""),"")</f>
        <v/>
      </c>
      <c r="Y542" s="18" t="e">
        <f ca="1"/>
        <v>#NAME?</v>
      </c>
      <c r="Z542" s="18" t="str">
        <f ca="1">IFERROR(__xludf.DUMMYFUNCTION("""COMPUTED_VALUE"""),"")</f>
        <v/>
      </c>
      <c r="AA542" s="18" t="str">
        <f ca="1">IFERROR(__xludf.DUMMYFUNCTION("""COMPUTED_VALUE"""),"")</f>
        <v/>
      </c>
      <c r="AC542" s="59"/>
    </row>
    <row r="543" spans="1:29" x14ac:dyDescent="0.25">
      <c r="A543" s="18">
        <v>0</v>
      </c>
      <c r="B543" s="52" t="str">
        <f ca="1"/>
        <v/>
      </c>
      <c r="C543" s="52" t="str">
        <f ca="1">IFERROR(__xludf.DUMMYFUNCTION("""COMPUTED_VALUE"""),"")</f>
        <v/>
      </c>
      <c r="D543" s="18" t="str">
        <f ca="1">IFERROR(__xludf.DUMMYFUNCTION("""COMPUTED_VALUE"""),"")</f>
        <v/>
      </c>
      <c r="E543" s="18" t="str">
        <f ca="1">IFERROR(__xludf.DUMMYFUNCTION("""COMPUTED_VALUE"""),"")</f>
        <v/>
      </c>
      <c r="F543" s="18" t="str">
        <f ca="1">IFERROR(__xludf.DUMMYFUNCTION("""COMPUTED_VALUE"""),"")</f>
        <v/>
      </c>
      <c r="G543" s="18" t="str">
        <f ca="1">IFERROR(__xludf.DUMMYFUNCTION("""COMPUTED_VALUE"""),"")</f>
        <v/>
      </c>
      <c r="H543" s="18" t="str">
        <f ca="1">IFERROR(__xludf.DUMMYFUNCTION("""COMPUTED_VALUE"""),"")</f>
        <v/>
      </c>
      <c r="I543" s="18" t="str">
        <f ca="1">IFERROR(__xludf.DUMMYFUNCTION("""COMPUTED_VALUE"""),"")</f>
        <v/>
      </c>
      <c r="J543" s="18" t="str">
        <f ca="1">IFERROR(__xludf.DUMMYFUNCTION("""COMPUTED_VALUE"""),"")</f>
        <v/>
      </c>
      <c r="K543" s="18" t="str">
        <f ca="1">IFERROR(__xludf.DUMMYFUNCTION("""COMPUTED_VALUE"""),"")</f>
        <v/>
      </c>
      <c r="L543" s="18" t="str">
        <f ca="1">IFERROR(__xludf.DUMMYFUNCTION("""COMPUTED_VALUE"""),"")</f>
        <v/>
      </c>
      <c r="M543" s="18" t="str">
        <f ca="1">IFERROR(__xludf.DUMMYFUNCTION("""COMPUTED_VALUE"""),"")</f>
        <v/>
      </c>
      <c r="N543" s="18" t="str">
        <f ca="1">IFERROR(__xludf.DUMMYFUNCTION("""COMPUTED_VALUE"""),"")</f>
        <v/>
      </c>
      <c r="O543" s="18" t="str">
        <f ca="1">IFERROR(__xludf.DUMMYFUNCTION("""COMPUTED_VALUE"""),"")</f>
        <v/>
      </c>
      <c r="P543" s="18" t="str">
        <f ca="1">IFERROR(__xludf.DUMMYFUNCTION("""COMPUTED_VALUE"""),"")</f>
        <v/>
      </c>
      <c r="Q543" s="18" t="str">
        <f ca="1">IFERROR(__xludf.DUMMYFUNCTION("""COMPUTED_VALUE"""),"")</f>
        <v/>
      </c>
      <c r="R543" s="18" t="str">
        <f ca="1">IFERROR(__xludf.DUMMYFUNCTION("""COMPUTED_VALUE"""),"")</f>
        <v/>
      </c>
      <c r="S543" s="18" t="str">
        <f ca="1">IFERROR(__xludf.DUMMYFUNCTION("""COMPUTED_VALUE"""),"")</f>
        <v/>
      </c>
      <c r="T543" s="18" t="str">
        <f ca="1">IFERROR(__xludf.DUMMYFUNCTION("""COMPUTED_VALUE"""),"")</f>
        <v/>
      </c>
      <c r="U543" s="18" t="str">
        <f ca="1">IFERROR(__xludf.DUMMYFUNCTION("""COMPUTED_VALUE"""),"")</f>
        <v/>
      </c>
      <c r="V543" s="18" t="str">
        <f ca="1">IFERROR(__xludf.DUMMYFUNCTION("""COMPUTED_VALUE"""),"")</f>
        <v/>
      </c>
      <c r="W543" s="18" t="str">
        <f ca="1">IFERROR(__xludf.DUMMYFUNCTION("""COMPUTED_VALUE"""),"")</f>
        <v/>
      </c>
      <c r="X543" s="18" t="str">
        <f ca="1">IFERROR(__xludf.DUMMYFUNCTION("""COMPUTED_VALUE"""),"")</f>
        <v/>
      </c>
      <c r="Y543" s="18" t="e">
        <f ca="1"/>
        <v>#NAME?</v>
      </c>
      <c r="Z543" s="18" t="str">
        <f ca="1">IFERROR(__xludf.DUMMYFUNCTION("""COMPUTED_VALUE"""),"")</f>
        <v/>
      </c>
      <c r="AA543" s="18" t="str">
        <f ca="1">IFERROR(__xludf.DUMMYFUNCTION("""COMPUTED_VALUE"""),"")</f>
        <v/>
      </c>
      <c r="AC543" s="59"/>
    </row>
    <row r="544" spans="1:29" x14ac:dyDescent="0.25">
      <c r="A544" s="18">
        <v>0</v>
      </c>
      <c r="B544" s="52" t="str">
        <f ca="1"/>
        <v/>
      </c>
      <c r="C544" s="52" t="str">
        <f ca="1">IFERROR(__xludf.DUMMYFUNCTION("""COMPUTED_VALUE"""),"")</f>
        <v/>
      </c>
      <c r="D544" s="18" t="str">
        <f ca="1">IFERROR(__xludf.DUMMYFUNCTION("""COMPUTED_VALUE"""),"")</f>
        <v/>
      </c>
      <c r="E544" s="18" t="str">
        <f ca="1">IFERROR(__xludf.DUMMYFUNCTION("""COMPUTED_VALUE"""),"")</f>
        <v/>
      </c>
      <c r="F544" s="18" t="str">
        <f ca="1">IFERROR(__xludf.DUMMYFUNCTION("""COMPUTED_VALUE"""),"")</f>
        <v/>
      </c>
      <c r="G544" s="18" t="str">
        <f ca="1">IFERROR(__xludf.DUMMYFUNCTION("""COMPUTED_VALUE"""),"")</f>
        <v/>
      </c>
      <c r="H544" s="18" t="str">
        <f ca="1">IFERROR(__xludf.DUMMYFUNCTION("""COMPUTED_VALUE"""),"")</f>
        <v/>
      </c>
      <c r="I544" s="18" t="str">
        <f ca="1">IFERROR(__xludf.DUMMYFUNCTION("""COMPUTED_VALUE"""),"")</f>
        <v/>
      </c>
      <c r="J544" s="18" t="str">
        <f ca="1">IFERROR(__xludf.DUMMYFUNCTION("""COMPUTED_VALUE"""),"")</f>
        <v/>
      </c>
      <c r="K544" s="18" t="str">
        <f ca="1">IFERROR(__xludf.DUMMYFUNCTION("""COMPUTED_VALUE"""),"")</f>
        <v/>
      </c>
      <c r="L544" s="18" t="str">
        <f ca="1">IFERROR(__xludf.DUMMYFUNCTION("""COMPUTED_VALUE"""),"")</f>
        <v/>
      </c>
      <c r="M544" s="18" t="str">
        <f ca="1">IFERROR(__xludf.DUMMYFUNCTION("""COMPUTED_VALUE"""),"")</f>
        <v/>
      </c>
      <c r="N544" s="18" t="str">
        <f ca="1">IFERROR(__xludf.DUMMYFUNCTION("""COMPUTED_VALUE"""),"")</f>
        <v/>
      </c>
      <c r="O544" s="18" t="str">
        <f ca="1">IFERROR(__xludf.DUMMYFUNCTION("""COMPUTED_VALUE"""),"")</f>
        <v/>
      </c>
      <c r="P544" s="18" t="str">
        <f ca="1">IFERROR(__xludf.DUMMYFUNCTION("""COMPUTED_VALUE"""),"")</f>
        <v/>
      </c>
      <c r="Q544" s="18" t="str">
        <f ca="1">IFERROR(__xludf.DUMMYFUNCTION("""COMPUTED_VALUE"""),"")</f>
        <v/>
      </c>
      <c r="R544" s="18" t="str">
        <f ca="1">IFERROR(__xludf.DUMMYFUNCTION("""COMPUTED_VALUE"""),"")</f>
        <v/>
      </c>
      <c r="S544" s="18" t="str">
        <f ca="1">IFERROR(__xludf.DUMMYFUNCTION("""COMPUTED_VALUE"""),"")</f>
        <v/>
      </c>
      <c r="T544" s="18" t="str">
        <f ca="1">IFERROR(__xludf.DUMMYFUNCTION("""COMPUTED_VALUE"""),"")</f>
        <v/>
      </c>
      <c r="U544" s="18" t="str">
        <f ca="1">IFERROR(__xludf.DUMMYFUNCTION("""COMPUTED_VALUE"""),"")</f>
        <v/>
      </c>
      <c r="V544" s="18" t="str">
        <f ca="1">IFERROR(__xludf.DUMMYFUNCTION("""COMPUTED_VALUE"""),"")</f>
        <v/>
      </c>
      <c r="W544" s="18" t="str">
        <f ca="1">IFERROR(__xludf.DUMMYFUNCTION("""COMPUTED_VALUE"""),"")</f>
        <v/>
      </c>
      <c r="X544" s="18" t="str">
        <f ca="1">IFERROR(__xludf.DUMMYFUNCTION("""COMPUTED_VALUE"""),"")</f>
        <v/>
      </c>
      <c r="Y544" s="18" t="e">
        <f ca="1"/>
        <v>#NAME?</v>
      </c>
      <c r="Z544" s="18" t="str">
        <f ca="1">IFERROR(__xludf.DUMMYFUNCTION("""COMPUTED_VALUE"""),"")</f>
        <v/>
      </c>
      <c r="AA544" s="18" t="str">
        <f ca="1">IFERROR(__xludf.DUMMYFUNCTION("""COMPUTED_VALUE"""),"")</f>
        <v/>
      </c>
      <c r="AC544" s="59"/>
    </row>
    <row r="545" spans="1:29" x14ac:dyDescent="0.25">
      <c r="A545" s="18">
        <v>0</v>
      </c>
      <c r="B545" s="52" t="str">
        <f ca="1"/>
        <v/>
      </c>
      <c r="C545" s="52" t="str">
        <f ca="1">IFERROR(__xludf.DUMMYFUNCTION("""COMPUTED_VALUE"""),"")</f>
        <v/>
      </c>
      <c r="D545" s="18" t="str">
        <f ca="1">IFERROR(__xludf.DUMMYFUNCTION("""COMPUTED_VALUE"""),"")</f>
        <v/>
      </c>
      <c r="E545" s="18" t="str">
        <f ca="1">IFERROR(__xludf.DUMMYFUNCTION("""COMPUTED_VALUE"""),"")</f>
        <v/>
      </c>
      <c r="F545" s="18" t="str">
        <f ca="1">IFERROR(__xludf.DUMMYFUNCTION("""COMPUTED_VALUE"""),"")</f>
        <v/>
      </c>
      <c r="G545" s="18" t="str">
        <f ca="1">IFERROR(__xludf.DUMMYFUNCTION("""COMPUTED_VALUE"""),"")</f>
        <v/>
      </c>
      <c r="H545" s="18" t="str">
        <f ca="1">IFERROR(__xludf.DUMMYFUNCTION("""COMPUTED_VALUE"""),"")</f>
        <v/>
      </c>
      <c r="I545" s="18" t="str">
        <f ca="1">IFERROR(__xludf.DUMMYFUNCTION("""COMPUTED_VALUE"""),"")</f>
        <v/>
      </c>
      <c r="J545" s="18" t="str">
        <f ca="1">IFERROR(__xludf.DUMMYFUNCTION("""COMPUTED_VALUE"""),"")</f>
        <v/>
      </c>
      <c r="K545" s="18" t="str">
        <f ca="1">IFERROR(__xludf.DUMMYFUNCTION("""COMPUTED_VALUE"""),"")</f>
        <v/>
      </c>
      <c r="L545" s="18" t="str">
        <f ca="1">IFERROR(__xludf.DUMMYFUNCTION("""COMPUTED_VALUE"""),"")</f>
        <v/>
      </c>
      <c r="M545" s="18" t="str">
        <f ca="1">IFERROR(__xludf.DUMMYFUNCTION("""COMPUTED_VALUE"""),"")</f>
        <v/>
      </c>
      <c r="N545" s="18" t="str">
        <f ca="1">IFERROR(__xludf.DUMMYFUNCTION("""COMPUTED_VALUE"""),"")</f>
        <v/>
      </c>
      <c r="O545" s="18" t="str">
        <f ca="1">IFERROR(__xludf.DUMMYFUNCTION("""COMPUTED_VALUE"""),"")</f>
        <v/>
      </c>
      <c r="P545" s="18" t="str">
        <f ca="1">IFERROR(__xludf.DUMMYFUNCTION("""COMPUTED_VALUE"""),"")</f>
        <v/>
      </c>
      <c r="Q545" s="18" t="str">
        <f ca="1">IFERROR(__xludf.DUMMYFUNCTION("""COMPUTED_VALUE"""),"")</f>
        <v/>
      </c>
      <c r="R545" s="18" t="str">
        <f ca="1">IFERROR(__xludf.DUMMYFUNCTION("""COMPUTED_VALUE"""),"")</f>
        <v/>
      </c>
      <c r="S545" s="18" t="str">
        <f ca="1">IFERROR(__xludf.DUMMYFUNCTION("""COMPUTED_VALUE"""),"")</f>
        <v/>
      </c>
      <c r="T545" s="18" t="str">
        <f ca="1">IFERROR(__xludf.DUMMYFUNCTION("""COMPUTED_VALUE"""),"")</f>
        <v/>
      </c>
      <c r="U545" s="18" t="str">
        <f ca="1">IFERROR(__xludf.DUMMYFUNCTION("""COMPUTED_VALUE"""),"")</f>
        <v/>
      </c>
      <c r="V545" s="18" t="str">
        <f ca="1">IFERROR(__xludf.DUMMYFUNCTION("""COMPUTED_VALUE"""),"")</f>
        <v/>
      </c>
      <c r="W545" s="18" t="str">
        <f ca="1">IFERROR(__xludf.DUMMYFUNCTION("""COMPUTED_VALUE"""),"")</f>
        <v/>
      </c>
      <c r="X545" s="18" t="str">
        <f ca="1">IFERROR(__xludf.DUMMYFUNCTION("""COMPUTED_VALUE"""),"")</f>
        <v/>
      </c>
      <c r="Y545" s="18" t="e">
        <f ca="1"/>
        <v>#NAME?</v>
      </c>
      <c r="Z545" s="18" t="str">
        <f ca="1">IFERROR(__xludf.DUMMYFUNCTION("""COMPUTED_VALUE"""),"")</f>
        <v/>
      </c>
      <c r="AA545" s="18" t="str">
        <f ca="1">IFERROR(__xludf.DUMMYFUNCTION("""COMPUTED_VALUE"""),"")</f>
        <v/>
      </c>
      <c r="AC545" s="59"/>
    </row>
    <row r="546" spans="1:29" x14ac:dyDescent="0.25">
      <c r="A546" s="18">
        <v>0</v>
      </c>
      <c r="B546" s="52" t="str">
        <f ca="1"/>
        <v/>
      </c>
      <c r="C546" s="52" t="str">
        <f ca="1">IFERROR(__xludf.DUMMYFUNCTION("""COMPUTED_VALUE"""),"")</f>
        <v/>
      </c>
      <c r="D546" s="18" t="str">
        <f ca="1">IFERROR(__xludf.DUMMYFUNCTION("""COMPUTED_VALUE"""),"")</f>
        <v/>
      </c>
      <c r="E546" s="18" t="str">
        <f ca="1">IFERROR(__xludf.DUMMYFUNCTION("""COMPUTED_VALUE"""),"")</f>
        <v/>
      </c>
      <c r="F546" s="18" t="str">
        <f ca="1">IFERROR(__xludf.DUMMYFUNCTION("""COMPUTED_VALUE"""),"")</f>
        <v/>
      </c>
      <c r="G546" s="18" t="str">
        <f ca="1">IFERROR(__xludf.DUMMYFUNCTION("""COMPUTED_VALUE"""),"")</f>
        <v/>
      </c>
      <c r="H546" s="18" t="str">
        <f ca="1">IFERROR(__xludf.DUMMYFUNCTION("""COMPUTED_VALUE"""),"")</f>
        <v/>
      </c>
      <c r="I546" s="18" t="str">
        <f ca="1">IFERROR(__xludf.DUMMYFUNCTION("""COMPUTED_VALUE"""),"")</f>
        <v/>
      </c>
      <c r="J546" s="18" t="str">
        <f ca="1">IFERROR(__xludf.DUMMYFUNCTION("""COMPUTED_VALUE"""),"")</f>
        <v/>
      </c>
      <c r="K546" s="18" t="str">
        <f ca="1">IFERROR(__xludf.DUMMYFUNCTION("""COMPUTED_VALUE"""),"")</f>
        <v/>
      </c>
      <c r="L546" s="18" t="str">
        <f ca="1">IFERROR(__xludf.DUMMYFUNCTION("""COMPUTED_VALUE"""),"")</f>
        <v/>
      </c>
      <c r="M546" s="18" t="str">
        <f ca="1">IFERROR(__xludf.DUMMYFUNCTION("""COMPUTED_VALUE"""),"")</f>
        <v/>
      </c>
      <c r="N546" s="18" t="str">
        <f ca="1">IFERROR(__xludf.DUMMYFUNCTION("""COMPUTED_VALUE"""),"")</f>
        <v/>
      </c>
      <c r="O546" s="18" t="str">
        <f ca="1">IFERROR(__xludf.DUMMYFUNCTION("""COMPUTED_VALUE"""),"")</f>
        <v/>
      </c>
      <c r="P546" s="18" t="str">
        <f ca="1">IFERROR(__xludf.DUMMYFUNCTION("""COMPUTED_VALUE"""),"")</f>
        <v/>
      </c>
      <c r="Q546" s="18" t="str">
        <f ca="1">IFERROR(__xludf.DUMMYFUNCTION("""COMPUTED_VALUE"""),"")</f>
        <v/>
      </c>
      <c r="R546" s="18" t="str">
        <f ca="1">IFERROR(__xludf.DUMMYFUNCTION("""COMPUTED_VALUE"""),"")</f>
        <v/>
      </c>
      <c r="S546" s="18" t="str">
        <f ca="1">IFERROR(__xludf.DUMMYFUNCTION("""COMPUTED_VALUE"""),"")</f>
        <v/>
      </c>
      <c r="T546" s="18" t="str">
        <f ca="1">IFERROR(__xludf.DUMMYFUNCTION("""COMPUTED_VALUE"""),"")</f>
        <v/>
      </c>
      <c r="U546" s="18" t="str">
        <f ca="1">IFERROR(__xludf.DUMMYFUNCTION("""COMPUTED_VALUE"""),"")</f>
        <v/>
      </c>
      <c r="V546" s="18" t="str">
        <f ca="1">IFERROR(__xludf.DUMMYFUNCTION("""COMPUTED_VALUE"""),"")</f>
        <v/>
      </c>
      <c r="W546" s="18" t="str">
        <f ca="1">IFERROR(__xludf.DUMMYFUNCTION("""COMPUTED_VALUE"""),"")</f>
        <v/>
      </c>
      <c r="X546" s="18" t="str">
        <f ca="1">IFERROR(__xludf.DUMMYFUNCTION("""COMPUTED_VALUE"""),"")</f>
        <v/>
      </c>
      <c r="Y546" s="18" t="e">
        <f ca="1"/>
        <v>#NAME?</v>
      </c>
      <c r="Z546" s="18" t="str">
        <f ca="1">IFERROR(__xludf.DUMMYFUNCTION("""COMPUTED_VALUE"""),"")</f>
        <v/>
      </c>
      <c r="AA546" s="18" t="str">
        <f ca="1">IFERROR(__xludf.DUMMYFUNCTION("""COMPUTED_VALUE"""),"")</f>
        <v/>
      </c>
      <c r="AC546" s="59"/>
    </row>
    <row r="547" spans="1:29" x14ac:dyDescent="0.25">
      <c r="A547" s="18">
        <v>0</v>
      </c>
      <c r="B547" s="52" t="str">
        <f ca="1"/>
        <v/>
      </c>
      <c r="C547" s="52" t="str">
        <f ca="1">IFERROR(__xludf.DUMMYFUNCTION("""COMPUTED_VALUE"""),"")</f>
        <v/>
      </c>
      <c r="D547" s="18" t="str">
        <f ca="1">IFERROR(__xludf.DUMMYFUNCTION("""COMPUTED_VALUE"""),"")</f>
        <v/>
      </c>
      <c r="E547" s="18" t="str">
        <f ca="1">IFERROR(__xludf.DUMMYFUNCTION("""COMPUTED_VALUE"""),"")</f>
        <v/>
      </c>
      <c r="F547" s="18" t="str">
        <f ca="1">IFERROR(__xludf.DUMMYFUNCTION("""COMPUTED_VALUE"""),"")</f>
        <v/>
      </c>
      <c r="G547" s="18" t="str">
        <f ca="1">IFERROR(__xludf.DUMMYFUNCTION("""COMPUTED_VALUE"""),"")</f>
        <v/>
      </c>
      <c r="H547" s="18" t="str">
        <f ca="1">IFERROR(__xludf.DUMMYFUNCTION("""COMPUTED_VALUE"""),"")</f>
        <v/>
      </c>
      <c r="I547" s="18" t="str">
        <f ca="1">IFERROR(__xludf.DUMMYFUNCTION("""COMPUTED_VALUE"""),"")</f>
        <v/>
      </c>
      <c r="J547" s="18" t="str">
        <f ca="1">IFERROR(__xludf.DUMMYFUNCTION("""COMPUTED_VALUE"""),"")</f>
        <v/>
      </c>
      <c r="K547" s="18" t="str">
        <f ca="1">IFERROR(__xludf.DUMMYFUNCTION("""COMPUTED_VALUE"""),"")</f>
        <v/>
      </c>
      <c r="L547" s="18" t="str">
        <f ca="1">IFERROR(__xludf.DUMMYFUNCTION("""COMPUTED_VALUE"""),"")</f>
        <v/>
      </c>
      <c r="M547" s="18" t="str">
        <f ca="1">IFERROR(__xludf.DUMMYFUNCTION("""COMPUTED_VALUE"""),"")</f>
        <v/>
      </c>
      <c r="N547" s="18" t="str">
        <f ca="1">IFERROR(__xludf.DUMMYFUNCTION("""COMPUTED_VALUE"""),"")</f>
        <v/>
      </c>
      <c r="O547" s="18" t="str">
        <f ca="1">IFERROR(__xludf.DUMMYFUNCTION("""COMPUTED_VALUE"""),"")</f>
        <v/>
      </c>
      <c r="P547" s="18" t="str">
        <f ca="1">IFERROR(__xludf.DUMMYFUNCTION("""COMPUTED_VALUE"""),"")</f>
        <v/>
      </c>
      <c r="Q547" s="18" t="str">
        <f ca="1">IFERROR(__xludf.DUMMYFUNCTION("""COMPUTED_VALUE"""),"")</f>
        <v/>
      </c>
      <c r="R547" s="18" t="str">
        <f ca="1">IFERROR(__xludf.DUMMYFUNCTION("""COMPUTED_VALUE"""),"")</f>
        <v/>
      </c>
      <c r="S547" s="18" t="str">
        <f ca="1">IFERROR(__xludf.DUMMYFUNCTION("""COMPUTED_VALUE"""),"")</f>
        <v/>
      </c>
      <c r="T547" s="18" t="str">
        <f ca="1">IFERROR(__xludf.DUMMYFUNCTION("""COMPUTED_VALUE"""),"")</f>
        <v/>
      </c>
      <c r="U547" s="18" t="str">
        <f ca="1">IFERROR(__xludf.DUMMYFUNCTION("""COMPUTED_VALUE"""),"")</f>
        <v/>
      </c>
      <c r="V547" s="18" t="str">
        <f ca="1">IFERROR(__xludf.DUMMYFUNCTION("""COMPUTED_VALUE"""),"")</f>
        <v/>
      </c>
      <c r="W547" s="18" t="str">
        <f ca="1">IFERROR(__xludf.DUMMYFUNCTION("""COMPUTED_VALUE"""),"")</f>
        <v/>
      </c>
      <c r="X547" s="18" t="str">
        <f ca="1">IFERROR(__xludf.DUMMYFUNCTION("""COMPUTED_VALUE"""),"")</f>
        <v/>
      </c>
      <c r="Y547" s="18" t="e">
        <f ca="1"/>
        <v>#NAME?</v>
      </c>
      <c r="Z547" s="18" t="str">
        <f ca="1">IFERROR(__xludf.DUMMYFUNCTION("""COMPUTED_VALUE"""),"")</f>
        <v/>
      </c>
      <c r="AA547" s="18" t="str">
        <f ca="1">IFERROR(__xludf.DUMMYFUNCTION("""COMPUTED_VALUE"""),"")</f>
        <v/>
      </c>
      <c r="AC547" s="59"/>
    </row>
    <row r="548" spans="1:29" x14ac:dyDescent="0.25">
      <c r="A548" s="18">
        <v>0</v>
      </c>
      <c r="B548" s="52" t="str">
        <f ca="1"/>
        <v/>
      </c>
      <c r="C548" s="52" t="str">
        <f ca="1">IFERROR(__xludf.DUMMYFUNCTION("""COMPUTED_VALUE"""),"")</f>
        <v/>
      </c>
      <c r="D548" s="18" t="str">
        <f ca="1">IFERROR(__xludf.DUMMYFUNCTION("""COMPUTED_VALUE"""),"")</f>
        <v/>
      </c>
      <c r="E548" s="18" t="str">
        <f ca="1">IFERROR(__xludf.DUMMYFUNCTION("""COMPUTED_VALUE"""),"")</f>
        <v/>
      </c>
      <c r="F548" s="18" t="str">
        <f ca="1">IFERROR(__xludf.DUMMYFUNCTION("""COMPUTED_VALUE"""),"")</f>
        <v/>
      </c>
      <c r="G548" s="18" t="str">
        <f ca="1">IFERROR(__xludf.DUMMYFUNCTION("""COMPUTED_VALUE"""),"")</f>
        <v/>
      </c>
      <c r="H548" s="18" t="str">
        <f ca="1">IFERROR(__xludf.DUMMYFUNCTION("""COMPUTED_VALUE"""),"")</f>
        <v/>
      </c>
      <c r="I548" s="18" t="str">
        <f ca="1">IFERROR(__xludf.DUMMYFUNCTION("""COMPUTED_VALUE"""),"")</f>
        <v/>
      </c>
      <c r="J548" s="18" t="str">
        <f ca="1">IFERROR(__xludf.DUMMYFUNCTION("""COMPUTED_VALUE"""),"")</f>
        <v/>
      </c>
      <c r="K548" s="18" t="str">
        <f ca="1">IFERROR(__xludf.DUMMYFUNCTION("""COMPUTED_VALUE"""),"")</f>
        <v/>
      </c>
      <c r="L548" s="18" t="str">
        <f ca="1">IFERROR(__xludf.DUMMYFUNCTION("""COMPUTED_VALUE"""),"")</f>
        <v/>
      </c>
      <c r="M548" s="18" t="str">
        <f ca="1">IFERROR(__xludf.DUMMYFUNCTION("""COMPUTED_VALUE"""),"")</f>
        <v/>
      </c>
      <c r="N548" s="18" t="str">
        <f ca="1">IFERROR(__xludf.DUMMYFUNCTION("""COMPUTED_VALUE"""),"")</f>
        <v/>
      </c>
      <c r="O548" s="18" t="str">
        <f ca="1">IFERROR(__xludf.DUMMYFUNCTION("""COMPUTED_VALUE"""),"")</f>
        <v/>
      </c>
      <c r="P548" s="18" t="str">
        <f ca="1">IFERROR(__xludf.DUMMYFUNCTION("""COMPUTED_VALUE"""),"")</f>
        <v/>
      </c>
      <c r="Q548" s="18" t="str">
        <f ca="1">IFERROR(__xludf.DUMMYFUNCTION("""COMPUTED_VALUE"""),"")</f>
        <v/>
      </c>
      <c r="R548" s="18" t="str">
        <f ca="1">IFERROR(__xludf.DUMMYFUNCTION("""COMPUTED_VALUE"""),"")</f>
        <v/>
      </c>
      <c r="S548" s="18" t="str">
        <f ca="1">IFERROR(__xludf.DUMMYFUNCTION("""COMPUTED_VALUE"""),"")</f>
        <v/>
      </c>
      <c r="T548" s="18" t="str">
        <f ca="1">IFERROR(__xludf.DUMMYFUNCTION("""COMPUTED_VALUE"""),"")</f>
        <v/>
      </c>
      <c r="U548" s="18" t="str">
        <f ca="1">IFERROR(__xludf.DUMMYFUNCTION("""COMPUTED_VALUE"""),"")</f>
        <v/>
      </c>
      <c r="V548" s="18" t="str">
        <f ca="1">IFERROR(__xludf.DUMMYFUNCTION("""COMPUTED_VALUE"""),"")</f>
        <v/>
      </c>
      <c r="W548" s="18" t="str">
        <f ca="1">IFERROR(__xludf.DUMMYFUNCTION("""COMPUTED_VALUE"""),"")</f>
        <v/>
      </c>
      <c r="X548" s="18" t="str">
        <f ca="1">IFERROR(__xludf.DUMMYFUNCTION("""COMPUTED_VALUE"""),"")</f>
        <v/>
      </c>
      <c r="Y548" s="18" t="e">
        <f ca="1"/>
        <v>#NAME?</v>
      </c>
      <c r="Z548" s="18" t="str">
        <f ca="1">IFERROR(__xludf.DUMMYFUNCTION("""COMPUTED_VALUE"""),"")</f>
        <v/>
      </c>
      <c r="AA548" s="18" t="str">
        <f ca="1">IFERROR(__xludf.DUMMYFUNCTION("""COMPUTED_VALUE"""),"")</f>
        <v/>
      </c>
      <c r="AC548" s="59"/>
    </row>
    <row r="549" spans="1:29" x14ac:dyDescent="0.25">
      <c r="A549" s="18">
        <v>0</v>
      </c>
      <c r="B549" s="52" t="str">
        <f ca="1"/>
        <v/>
      </c>
      <c r="C549" s="52" t="str">
        <f ca="1">IFERROR(__xludf.DUMMYFUNCTION("""COMPUTED_VALUE"""),"")</f>
        <v/>
      </c>
      <c r="D549" s="18" t="str">
        <f ca="1">IFERROR(__xludf.DUMMYFUNCTION("""COMPUTED_VALUE"""),"")</f>
        <v/>
      </c>
      <c r="E549" s="18" t="str">
        <f ca="1">IFERROR(__xludf.DUMMYFUNCTION("""COMPUTED_VALUE"""),"")</f>
        <v/>
      </c>
      <c r="F549" s="18" t="str">
        <f ca="1">IFERROR(__xludf.DUMMYFUNCTION("""COMPUTED_VALUE"""),"")</f>
        <v/>
      </c>
      <c r="G549" s="18" t="str">
        <f ca="1">IFERROR(__xludf.DUMMYFUNCTION("""COMPUTED_VALUE"""),"")</f>
        <v/>
      </c>
      <c r="H549" s="18" t="str">
        <f ca="1">IFERROR(__xludf.DUMMYFUNCTION("""COMPUTED_VALUE"""),"")</f>
        <v/>
      </c>
      <c r="I549" s="18" t="str">
        <f ca="1">IFERROR(__xludf.DUMMYFUNCTION("""COMPUTED_VALUE"""),"")</f>
        <v/>
      </c>
      <c r="J549" s="18" t="str">
        <f ca="1">IFERROR(__xludf.DUMMYFUNCTION("""COMPUTED_VALUE"""),"")</f>
        <v/>
      </c>
      <c r="K549" s="18" t="str">
        <f ca="1">IFERROR(__xludf.DUMMYFUNCTION("""COMPUTED_VALUE"""),"")</f>
        <v/>
      </c>
      <c r="L549" s="18" t="str">
        <f ca="1">IFERROR(__xludf.DUMMYFUNCTION("""COMPUTED_VALUE"""),"")</f>
        <v/>
      </c>
      <c r="M549" s="18" t="str">
        <f ca="1">IFERROR(__xludf.DUMMYFUNCTION("""COMPUTED_VALUE"""),"")</f>
        <v/>
      </c>
      <c r="N549" s="18" t="str">
        <f ca="1">IFERROR(__xludf.DUMMYFUNCTION("""COMPUTED_VALUE"""),"")</f>
        <v/>
      </c>
      <c r="O549" s="18" t="str">
        <f ca="1">IFERROR(__xludf.DUMMYFUNCTION("""COMPUTED_VALUE"""),"")</f>
        <v/>
      </c>
      <c r="P549" s="18" t="str">
        <f ca="1">IFERROR(__xludf.DUMMYFUNCTION("""COMPUTED_VALUE"""),"")</f>
        <v/>
      </c>
      <c r="Q549" s="18" t="str">
        <f ca="1">IFERROR(__xludf.DUMMYFUNCTION("""COMPUTED_VALUE"""),"")</f>
        <v/>
      </c>
      <c r="R549" s="18" t="str">
        <f ca="1">IFERROR(__xludf.DUMMYFUNCTION("""COMPUTED_VALUE"""),"")</f>
        <v/>
      </c>
      <c r="S549" s="18" t="str">
        <f ca="1">IFERROR(__xludf.DUMMYFUNCTION("""COMPUTED_VALUE"""),"")</f>
        <v/>
      </c>
      <c r="T549" s="18" t="str">
        <f ca="1">IFERROR(__xludf.DUMMYFUNCTION("""COMPUTED_VALUE"""),"")</f>
        <v/>
      </c>
      <c r="U549" s="18" t="str">
        <f ca="1">IFERROR(__xludf.DUMMYFUNCTION("""COMPUTED_VALUE"""),"")</f>
        <v/>
      </c>
      <c r="V549" s="18" t="str">
        <f ca="1">IFERROR(__xludf.DUMMYFUNCTION("""COMPUTED_VALUE"""),"")</f>
        <v/>
      </c>
      <c r="W549" s="18" t="str">
        <f ca="1">IFERROR(__xludf.DUMMYFUNCTION("""COMPUTED_VALUE"""),"")</f>
        <v/>
      </c>
      <c r="X549" s="18" t="str">
        <f ca="1">IFERROR(__xludf.DUMMYFUNCTION("""COMPUTED_VALUE"""),"")</f>
        <v/>
      </c>
      <c r="Y549" s="18" t="e">
        <f ca="1"/>
        <v>#NAME?</v>
      </c>
      <c r="Z549" s="18" t="str">
        <f ca="1">IFERROR(__xludf.DUMMYFUNCTION("""COMPUTED_VALUE"""),"")</f>
        <v/>
      </c>
      <c r="AA549" s="18" t="str">
        <f ca="1">IFERROR(__xludf.DUMMYFUNCTION("""COMPUTED_VALUE"""),"")</f>
        <v/>
      </c>
      <c r="AC549" s="59"/>
    </row>
    <row r="550" spans="1:29" x14ac:dyDescent="0.25">
      <c r="A550" s="18">
        <v>0</v>
      </c>
      <c r="B550" s="52" t="str">
        <f ca="1"/>
        <v/>
      </c>
      <c r="C550" s="52" t="str">
        <f ca="1">IFERROR(__xludf.DUMMYFUNCTION("""COMPUTED_VALUE"""),"")</f>
        <v/>
      </c>
      <c r="D550" s="18" t="str">
        <f ca="1">IFERROR(__xludf.DUMMYFUNCTION("""COMPUTED_VALUE"""),"")</f>
        <v/>
      </c>
      <c r="E550" s="18" t="str">
        <f ca="1">IFERROR(__xludf.DUMMYFUNCTION("""COMPUTED_VALUE"""),"")</f>
        <v/>
      </c>
      <c r="F550" s="18" t="str">
        <f ca="1">IFERROR(__xludf.DUMMYFUNCTION("""COMPUTED_VALUE"""),"")</f>
        <v/>
      </c>
      <c r="G550" s="18" t="str">
        <f ca="1">IFERROR(__xludf.DUMMYFUNCTION("""COMPUTED_VALUE"""),"")</f>
        <v/>
      </c>
      <c r="H550" s="18" t="str">
        <f ca="1">IFERROR(__xludf.DUMMYFUNCTION("""COMPUTED_VALUE"""),"")</f>
        <v/>
      </c>
      <c r="I550" s="18" t="str">
        <f ca="1">IFERROR(__xludf.DUMMYFUNCTION("""COMPUTED_VALUE"""),"")</f>
        <v/>
      </c>
      <c r="J550" s="18" t="str">
        <f ca="1">IFERROR(__xludf.DUMMYFUNCTION("""COMPUTED_VALUE"""),"")</f>
        <v/>
      </c>
      <c r="K550" s="18" t="str">
        <f ca="1">IFERROR(__xludf.DUMMYFUNCTION("""COMPUTED_VALUE"""),"")</f>
        <v/>
      </c>
      <c r="L550" s="18" t="str">
        <f ca="1">IFERROR(__xludf.DUMMYFUNCTION("""COMPUTED_VALUE"""),"")</f>
        <v/>
      </c>
      <c r="M550" s="18" t="str">
        <f ca="1">IFERROR(__xludf.DUMMYFUNCTION("""COMPUTED_VALUE"""),"")</f>
        <v/>
      </c>
      <c r="N550" s="18" t="str">
        <f ca="1">IFERROR(__xludf.DUMMYFUNCTION("""COMPUTED_VALUE"""),"")</f>
        <v/>
      </c>
      <c r="O550" s="18" t="str">
        <f ca="1">IFERROR(__xludf.DUMMYFUNCTION("""COMPUTED_VALUE"""),"")</f>
        <v/>
      </c>
      <c r="P550" s="18" t="str">
        <f ca="1">IFERROR(__xludf.DUMMYFUNCTION("""COMPUTED_VALUE"""),"")</f>
        <v/>
      </c>
      <c r="Q550" s="18" t="str">
        <f ca="1">IFERROR(__xludf.DUMMYFUNCTION("""COMPUTED_VALUE"""),"")</f>
        <v/>
      </c>
      <c r="R550" s="18" t="str">
        <f ca="1">IFERROR(__xludf.DUMMYFUNCTION("""COMPUTED_VALUE"""),"")</f>
        <v/>
      </c>
      <c r="S550" s="18" t="str">
        <f ca="1">IFERROR(__xludf.DUMMYFUNCTION("""COMPUTED_VALUE"""),"")</f>
        <v/>
      </c>
      <c r="T550" s="18" t="str">
        <f ca="1">IFERROR(__xludf.DUMMYFUNCTION("""COMPUTED_VALUE"""),"")</f>
        <v/>
      </c>
      <c r="U550" s="18" t="str">
        <f ca="1">IFERROR(__xludf.DUMMYFUNCTION("""COMPUTED_VALUE"""),"")</f>
        <v/>
      </c>
      <c r="V550" s="18" t="str">
        <f ca="1">IFERROR(__xludf.DUMMYFUNCTION("""COMPUTED_VALUE"""),"")</f>
        <v/>
      </c>
      <c r="W550" s="18" t="str">
        <f ca="1">IFERROR(__xludf.DUMMYFUNCTION("""COMPUTED_VALUE"""),"")</f>
        <v/>
      </c>
      <c r="X550" s="18" t="str">
        <f ca="1">IFERROR(__xludf.DUMMYFUNCTION("""COMPUTED_VALUE"""),"")</f>
        <v/>
      </c>
      <c r="Y550" s="18" t="e">
        <f ca="1"/>
        <v>#NAME?</v>
      </c>
      <c r="Z550" s="18" t="str">
        <f ca="1">IFERROR(__xludf.DUMMYFUNCTION("""COMPUTED_VALUE"""),"")</f>
        <v/>
      </c>
      <c r="AA550" s="18" t="str">
        <f ca="1">IFERROR(__xludf.DUMMYFUNCTION("""COMPUTED_VALUE"""),"")</f>
        <v/>
      </c>
      <c r="AC550" s="59"/>
    </row>
    <row r="551" spans="1:29" x14ac:dyDescent="0.25">
      <c r="A551" s="18">
        <v>0</v>
      </c>
      <c r="B551" s="52" t="str">
        <f ca="1"/>
        <v/>
      </c>
      <c r="C551" s="52" t="str">
        <f ca="1">IFERROR(__xludf.DUMMYFUNCTION("""COMPUTED_VALUE"""),"")</f>
        <v/>
      </c>
      <c r="D551" s="18" t="str">
        <f ca="1">IFERROR(__xludf.DUMMYFUNCTION("""COMPUTED_VALUE"""),"")</f>
        <v/>
      </c>
      <c r="E551" s="18" t="str">
        <f ca="1">IFERROR(__xludf.DUMMYFUNCTION("""COMPUTED_VALUE"""),"")</f>
        <v/>
      </c>
      <c r="F551" s="18" t="str">
        <f ca="1">IFERROR(__xludf.DUMMYFUNCTION("""COMPUTED_VALUE"""),"")</f>
        <v/>
      </c>
      <c r="G551" s="18" t="str">
        <f ca="1">IFERROR(__xludf.DUMMYFUNCTION("""COMPUTED_VALUE"""),"")</f>
        <v/>
      </c>
      <c r="H551" s="18" t="str">
        <f ca="1">IFERROR(__xludf.DUMMYFUNCTION("""COMPUTED_VALUE"""),"")</f>
        <v/>
      </c>
      <c r="I551" s="18" t="str">
        <f ca="1">IFERROR(__xludf.DUMMYFUNCTION("""COMPUTED_VALUE"""),"")</f>
        <v/>
      </c>
      <c r="J551" s="18" t="str">
        <f ca="1">IFERROR(__xludf.DUMMYFUNCTION("""COMPUTED_VALUE"""),"")</f>
        <v/>
      </c>
      <c r="K551" s="18" t="str">
        <f ca="1">IFERROR(__xludf.DUMMYFUNCTION("""COMPUTED_VALUE"""),"")</f>
        <v/>
      </c>
      <c r="L551" s="18" t="str">
        <f ca="1">IFERROR(__xludf.DUMMYFUNCTION("""COMPUTED_VALUE"""),"")</f>
        <v/>
      </c>
      <c r="M551" s="18" t="str">
        <f ca="1">IFERROR(__xludf.DUMMYFUNCTION("""COMPUTED_VALUE"""),"")</f>
        <v/>
      </c>
      <c r="N551" s="18" t="str">
        <f ca="1">IFERROR(__xludf.DUMMYFUNCTION("""COMPUTED_VALUE"""),"")</f>
        <v/>
      </c>
      <c r="O551" s="18" t="str">
        <f ca="1">IFERROR(__xludf.DUMMYFUNCTION("""COMPUTED_VALUE"""),"")</f>
        <v/>
      </c>
      <c r="P551" s="18" t="str">
        <f ca="1">IFERROR(__xludf.DUMMYFUNCTION("""COMPUTED_VALUE"""),"")</f>
        <v/>
      </c>
      <c r="Q551" s="18" t="str">
        <f ca="1">IFERROR(__xludf.DUMMYFUNCTION("""COMPUTED_VALUE"""),"")</f>
        <v/>
      </c>
      <c r="R551" s="18" t="str">
        <f ca="1">IFERROR(__xludf.DUMMYFUNCTION("""COMPUTED_VALUE"""),"")</f>
        <v/>
      </c>
      <c r="S551" s="18" t="str">
        <f ca="1">IFERROR(__xludf.DUMMYFUNCTION("""COMPUTED_VALUE"""),"")</f>
        <v/>
      </c>
      <c r="T551" s="18" t="str">
        <f ca="1">IFERROR(__xludf.DUMMYFUNCTION("""COMPUTED_VALUE"""),"")</f>
        <v/>
      </c>
      <c r="U551" s="18" t="str">
        <f ca="1">IFERROR(__xludf.DUMMYFUNCTION("""COMPUTED_VALUE"""),"")</f>
        <v/>
      </c>
      <c r="V551" s="18" t="str">
        <f ca="1">IFERROR(__xludf.DUMMYFUNCTION("""COMPUTED_VALUE"""),"")</f>
        <v/>
      </c>
      <c r="W551" s="18" t="str">
        <f ca="1">IFERROR(__xludf.DUMMYFUNCTION("""COMPUTED_VALUE"""),"")</f>
        <v/>
      </c>
      <c r="X551" s="18" t="str">
        <f ca="1">IFERROR(__xludf.DUMMYFUNCTION("""COMPUTED_VALUE"""),"")</f>
        <v/>
      </c>
      <c r="Y551" s="18" t="e">
        <f ca="1"/>
        <v>#NAME?</v>
      </c>
      <c r="Z551" s="18" t="str">
        <f ca="1">IFERROR(__xludf.DUMMYFUNCTION("""COMPUTED_VALUE"""),"")</f>
        <v/>
      </c>
      <c r="AA551" s="18" t="str">
        <f ca="1">IFERROR(__xludf.DUMMYFUNCTION("""COMPUTED_VALUE"""),"")</f>
        <v/>
      </c>
      <c r="AC551" s="59"/>
    </row>
    <row r="552" spans="1:29" x14ac:dyDescent="0.25">
      <c r="A552" s="18">
        <v>0</v>
      </c>
      <c r="B552" s="52" t="str">
        <f ca="1"/>
        <v/>
      </c>
      <c r="C552" s="52" t="str">
        <f ca="1">IFERROR(__xludf.DUMMYFUNCTION("""COMPUTED_VALUE"""),"")</f>
        <v/>
      </c>
      <c r="D552" s="18" t="str">
        <f ca="1">IFERROR(__xludf.DUMMYFUNCTION("""COMPUTED_VALUE"""),"")</f>
        <v/>
      </c>
      <c r="E552" s="18" t="str">
        <f ca="1">IFERROR(__xludf.DUMMYFUNCTION("""COMPUTED_VALUE"""),"")</f>
        <v/>
      </c>
      <c r="F552" s="18" t="str">
        <f ca="1">IFERROR(__xludf.DUMMYFUNCTION("""COMPUTED_VALUE"""),"")</f>
        <v/>
      </c>
      <c r="G552" s="18" t="str">
        <f ca="1">IFERROR(__xludf.DUMMYFUNCTION("""COMPUTED_VALUE"""),"")</f>
        <v/>
      </c>
      <c r="H552" s="18" t="str">
        <f ca="1">IFERROR(__xludf.DUMMYFUNCTION("""COMPUTED_VALUE"""),"")</f>
        <v/>
      </c>
      <c r="I552" s="18" t="str">
        <f ca="1">IFERROR(__xludf.DUMMYFUNCTION("""COMPUTED_VALUE"""),"")</f>
        <v/>
      </c>
      <c r="J552" s="18" t="str">
        <f ca="1">IFERROR(__xludf.DUMMYFUNCTION("""COMPUTED_VALUE"""),"")</f>
        <v/>
      </c>
      <c r="K552" s="18" t="str">
        <f ca="1">IFERROR(__xludf.DUMMYFUNCTION("""COMPUTED_VALUE"""),"")</f>
        <v/>
      </c>
      <c r="L552" s="18" t="str">
        <f ca="1">IFERROR(__xludf.DUMMYFUNCTION("""COMPUTED_VALUE"""),"")</f>
        <v/>
      </c>
      <c r="M552" s="18" t="str">
        <f ca="1">IFERROR(__xludf.DUMMYFUNCTION("""COMPUTED_VALUE"""),"")</f>
        <v/>
      </c>
      <c r="N552" s="18" t="str">
        <f ca="1">IFERROR(__xludf.DUMMYFUNCTION("""COMPUTED_VALUE"""),"")</f>
        <v/>
      </c>
      <c r="O552" s="18" t="str">
        <f ca="1">IFERROR(__xludf.DUMMYFUNCTION("""COMPUTED_VALUE"""),"")</f>
        <v/>
      </c>
      <c r="P552" s="18" t="str">
        <f ca="1">IFERROR(__xludf.DUMMYFUNCTION("""COMPUTED_VALUE"""),"")</f>
        <v/>
      </c>
      <c r="Q552" s="18" t="str">
        <f ca="1">IFERROR(__xludf.DUMMYFUNCTION("""COMPUTED_VALUE"""),"")</f>
        <v/>
      </c>
      <c r="R552" s="18" t="str">
        <f ca="1">IFERROR(__xludf.DUMMYFUNCTION("""COMPUTED_VALUE"""),"")</f>
        <v/>
      </c>
      <c r="S552" s="18" t="str">
        <f ca="1">IFERROR(__xludf.DUMMYFUNCTION("""COMPUTED_VALUE"""),"")</f>
        <v/>
      </c>
      <c r="T552" s="18" t="str">
        <f ca="1">IFERROR(__xludf.DUMMYFUNCTION("""COMPUTED_VALUE"""),"")</f>
        <v/>
      </c>
      <c r="U552" s="18" t="str">
        <f ca="1">IFERROR(__xludf.DUMMYFUNCTION("""COMPUTED_VALUE"""),"")</f>
        <v/>
      </c>
      <c r="V552" s="18" t="str">
        <f ca="1">IFERROR(__xludf.DUMMYFUNCTION("""COMPUTED_VALUE"""),"")</f>
        <v/>
      </c>
      <c r="W552" s="18" t="str">
        <f ca="1">IFERROR(__xludf.DUMMYFUNCTION("""COMPUTED_VALUE"""),"")</f>
        <v/>
      </c>
      <c r="X552" s="18" t="str">
        <f ca="1">IFERROR(__xludf.DUMMYFUNCTION("""COMPUTED_VALUE"""),"")</f>
        <v/>
      </c>
      <c r="Y552" s="18" t="e">
        <f ca="1"/>
        <v>#NAME?</v>
      </c>
      <c r="Z552" s="18" t="str">
        <f ca="1">IFERROR(__xludf.DUMMYFUNCTION("""COMPUTED_VALUE"""),"")</f>
        <v/>
      </c>
      <c r="AA552" s="18" t="str">
        <f ca="1">IFERROR(__xludf.DUMMYFUNCTION("""COMPUTED_VALUE"""),"")</f>
        <v/>
      </c>
      <c r="AC552" s="59"/>
    </row>
    <row r="553" spans="1:29" x14ac:dyDescent="0.25">
      <c r="A553" s="18">
        <v>0</v>
      </c>
      <c r="B553" s="52" t="str">
        <f ca="1"/>
        <v/>
      </c>
      <c r="C553" s="52" t="str">
        <f ca="1">IFERROR(__xludf.DUMMYFUNCTION("""COMPUTED_VALUE"""),"")</f>
        <v/>
      </c>
      <c r="D553" s="18" t="str">
        <f ca="1">IFERROR(__xludf.DUMMYFUNCTION("""COMPUTED_VALUE"""),"")</f>
        <v/>
      </c>
      <c r="E553" s="18" t="str">
        <f ca="1">IFERROR(__xludf.DUMMYFUNCTION("""COMPUTED_VALUE"""),"")</f>
        <v/>
      </c>
      <c r="F553" s="18" t="str">
        <f ca="1">IFERROR(__xludf.DUMMYFUNCTION("""COMPUTED_VALUE"""),"")</f>
        <v/>
      </c>
      <c r="G553" s="18" t="str">
        <f ca="1">IFERROR(__xludf.DUMMYFUNCTION("""COMPUTED_VALUE"""),"")</f>
        <v/>
      </c>
      <c r="H553" s="18" t="str">
        <f ca="1">IFERROR(__xludf.DUMMYFUNCTION("""COMPUTED_VALUE"""),"")</f>
        <v/>
      </c>
      <c r="I553" s="18" t="str">
        <f ca="1">IFERROR(__xludf.DUMMYFUNCTION("""COMPUTED_VALUE"""),"")</f>
        <v/>
      </c>
      <c r="J553" s="18" t="str">
        <f ca="1">IFERROR(__xludf.DUMMYFUNCTION("""COMPUTED_VALUE"""),"")</f>
        <v/>
      </c>
      <c r="K553" s="18" t="str">
        <f ca="1">IFERROR(__xludf.DUMMYFUNCTION("""COMPUTED_VALUE"""),"")</f>
        <v/>
      </c>
      <c r="L553" s="18" t="str">
        <f ca="1">IFERROR(__xludf.DUMMYFUNCTION("""COMPUTED_VALUE"""),"")</f>
        <v/>
      </c>
      <c r="M553" s="18" t="str">
        <f ca="1">IFERROR(__xludf.DUMMYFUNCTION("""COMPUTED_VALUE"""),"")</f>
        <v/>
      </c>
      <c r="N553" s="18" t="str">
        <f ca="1">IFERROR(__xludf.DUMMYFUNCTION("""COMPUTED_VALUE"""),"")</f>
        <v/>
      </c>
      <c r="O553" s="18" t="str">
        <f ca="1">IFERROR(__xludf.DUMMYFUNCTION("""COMPUTED_VALUE"""),"")</f>
        <v/>
      </c>
      <c r="P553" s="18" t="str">
        <f ca="1">IFERROR(__xludf.DUMMYFUNCTION("""COMPUTED_VALUE"""),"")</f>
        <v/>
      </c>
      <c r="Q553" s="18" t="str">
        <f ca="1">IFERROR(__xludf.DUMMYFUNCTION("""COMPUTED_VALUE"""),"")</f>
        <v/>
      </c>
      <c r="R553" s="18" t="str">
        <f ca="1">IFERROR(__xludf.DUMMYFUNCTION("""COMPUTED_VALUE"""),"")</f>
        <v/>
      </c>
      <c r="S553" s="18" t="str">
        <f ca="1">IFERROR(__xludf.DUMMYFUNCTION("""COMPUTED_VALUE"""),"")</f>
        <v/>
      </c>
      <c r="T553" s="18" t="str">
        <f ca="1">IFERROR(__xludf.DUMMYFUNCTION("""COMPUTED_VALUE"""),"")</f>
        <v/>
      </c>
      <c r="U553" s="18" t="str">
        <f ca="1">IFERROR(__xludf.DUMMYFUNCTION("""COMPUTED_VALUE"""),"")</f>
        <v/>
      </c>
      <c r="V553" s="18" t="str">
        <f ca="1">IFERROR(__xludf.DUMMYFUNCTION("""COMPUTED_VALUE"""),"")</f>
        <v/>
      </c>
      <c r="W553" s="18" t="str">
        <f ca="1">IFERROR(__xludf.DUMMYFUNCTION("""COMPUTED_VALUE"""),"")</f>
        <v/>
      </c>
      <c r="X553" s="18" t="str">
        <f ca="1">IFERROR(__xludf.DUMMYFUNCTION("""COMPUTED_VALUE"""),"")</f>
        <v/>
      </c>
      <c r="Y553" s="18" t="e">
        <f ca="1"/>
        <v>#NAME?</v>
      </c>
      <c r="Z553" s="18" t="str">
        <f ca="1">IFERROR(__xludf.DUMMYFUNCTION("""COMPUTED_VALUE"""),"")</f>
        <v/>
      </c>
      <c r="AA553" s="18" t="str">
        <f ca="1">IFERROR(__xludf.DUMMYFUNCTION("""COMPUTED_VALUE"""),"")</f>
        <v/>
      </c>
      <c r="AC553" s="59"/>
    </row>
    <row r="554" spans="1:29" x14ac:dyDescent="0.25">
      <c r="A554" s="18">
        <v>0</v>
      </c>
      <c r="B554" s="52" t="str">
        <f ca="1"/>
        <v/>
      </c>
      <c r="C554" s="52" t="str">
        <f ca="1">IFERROR(__xludf.DUMMYFUNCTION("""COMPUTED_VALUE"""),"")</f>
        <v/>
      </c>
      <c r="D554" s="18" t="str">
        <f ca="1">IFERROR(__xludf.DUMMYFUNCTION("""COMPUTED_VALUE"""),"")</f>
        <v/>
      </c>
      <c r="E554" s="18" t="str">
        <f ca="1">IFERROR(__xludf.DUMMYFUNCTION("""COMPUTED_VALUE"""),"")</f>
        <v/>
      </c>
      <c r="F554" s="18" t="str">
        <f ca="1">IFERROR(__xludf.DUMMYFUNCTION("""COMPUTED_VALUE"""),"")</f>
        <v/>
      </c>
      <c r="G554" s="18" t="str">
        <f ca="1">IFERROR(__xludf.DUMMYFUNCTION("""COMPUTED_VALUE"""),"")</f>
        <v/>
      </c>
      <c r="H554" s="18" t="str">
        <f ca="1">IFERROR(__xludf.DUMMYFUNCTION("""COMPUTED_VALUE"""),"")</f>
        <v/>
      </c>
      <c r="I554" s="18" t="str">
        <f ca="1">IFERROR(__xludf.DUMMYFUNCTION("""COMPUTED_VALUE"""),"")</f>
        <v/>
      </c>
      <c r="J554" s="18" t="str">
        <f ca="1">IFERROR(__xludf.DUMMYFUNCTION("""COMPUTED_VALUE"""),"")</f>
        <v/>
      </c>
      <c r="K554" s="18" t="str">
        <f ca="1">IFERROR(__xludf.DUMMYFUNCTION("""COMPUTED_VALUE"""),"")</f>
        <v/>
      </c>
      <c r="L554" s="18" t="str">
        <f ca="1">IFERROR(__xludf.DUMMYFUNCTION("""COMPUTED_VALUE"""),"")</f>
        <v/>
      </c>
      <c r="M554" s="18" t="str">
        <f ca="1">IFERROR(__xludf.DUMMYFUNCTION("""COMPUTED_VALUE"""),"")</f>
        <v/>
      </c>
      <c r="N554" s="18" t="str">
        <f ca="1">IFERROR(__xludf.DUMMYFUNCTION("""COMPUTED_VALUE"""),"")</f>
        <v/>
      </c>
      <c r="O554" s="18" t="str">
        <f ca="1">IFERROR(__xludf.DUMMYFUNCTION("""COMPUTED_VALUE"""),"")</f>
        <v/>
      </c>
      <c r="P554" s="18" t="str">
        <f ca="1">IFERROR(__xludf.DUMMYFUNCTION("""COMPUTED_VALUE"""),"")</f>
        <v/>
      </c>
      <c r="Q554" s="18" t="str">
        <f ca="1">IFERROR(__xludf.DUMMYFUNCTION("""COMPUTED_VALUE"""),"")</f>
        <v/>
      </c>
      <c r="R554" s="18" t="str">
        <f ca="1">IFERROR(__xludf.DUMMYFUNCTION("""COMPUTED_VALUE"""),"")</f>
        <v/>
      </c>
      <c r="S554" s="18" t="str">
        <f ca="1">IFERROR(__xludf.DUMMYFUNCTION("""COMPUTED_VALUE"""),"")</f>
        <v/>
      </c>
      <c r="T554" s="18" t="str">
        <f ca="1">IFERROR(__xludf.DUMMYFUNCTION("""COMPUTED_VALUE"""),"")</f>
        <v/>
      </c>
      <c r="U554" s="18" t="str">
        <f ca="1">IFERROR(__xludf.DUMMYFUNCTION("""COMPUTED_VALUE"""),"")</f>
        <v/>
      </c>
      <c r="V554" s="18" t="str">
        <f ca="1">IFERROR(__xludf.DUMMYFUNCTION("""COMPUTED_VALUE"""),"")</f>
        <v/>
      </c>
      <c r="W554" s="18" t="str">
        <f ca="1">IFERROR(__xludf.DUMMYFUNCTION("""COMPUTED_VALUE"""),"")</f>
        <v/>
      </c>
      <c r="X554" s="18" t="str">
        <f ca="1">IFERROR(__xludf.DUMMYFUNCTION("""COMPUTED_VALUE"""),"")</f>
        <v/>
      </c>
      <c r="Y554" s="18" t="e">
        <f ca="1"/>
        <v>#NAME?</v>
      </c>
      <c r="Z554" s="18" t="str">
        <f ca="1">IFERROR(__xludf.DUMMYFUNCTION("""COMPUTED_VALUE"""),"")</f>
        <v/>
      </c>
      <c r="AA554" s="18" t="str">
        <f ca="1">IFERROR(__xludf.DUMMYFUNCTION("""COMPUTED_VALUE"""),"")</f>
        <v/>
      </c>
      <c r="AC554" s="59"/>
    </row>
    <row r="555" spans="1:29" x14ac:dyDescent="0.25">
      <c r="A555" s="18">
        <v>0</v>
      </c>
      <c r="B555" s="52" t="str">
        <f ca="1"/>
        <v/>
      </c>
      <c r="C555" s="52" t="str">
        <f ca="1">IFERROR(__xludf.DUMMYFUNCTION("""COMPUTED_VALUE"""),"")</f>
        <v/>
      </c>
      <c r="D555" s="18" t="str">
        <f ca="1">IFERROR(__xludf.DUMMYFUNCTION("""COMPUTED_VALUE"""),"")</f>
        <v/>
      </c>
      <c r="E555" s="18" t="str">
        <f ca="1">IFERROR(__xludf.DUMMYFUNCTION("""COMPUTED_VALUE"""),"")</f>
        <v/>
      </c>
      <c r="F555" s="18" t="str">
        <f ca="1">IFERROR(__xludf.DUMMYFUNCTION("""COMPUTED_VALUE"""),"")</f>
        <v/>
      </c>
      <c r="G555" s="18" t="str">
        <f ca="1">IFERROR(__xludf.DUMMYFUNCTION("""COMPUTED_VALUE"""),"")</f>
        <v/>
      </c>
      <c r="H555" s="18" t="str">
        <f ca="1">IFERROR(__xludf.DUMMYFUNCTION("""COMPUTED_VALUE"""),"")</f>
        <v/>
      </c>
      <c r="I555" s="18" t="str">
        <f ca="1">IFERROR(__xludf.DUMMYFUNCTION("""COMPUTED_VALUE"""),"")</f>
        <v/>
      </c>
      <c r="J555" s="18" t="str">
        <f ca="1">IFERROR(__xludf.DUMMYFUNCTION("""COMPUTED_VALUE"""),"")</f>
        <v/>
      </c>
      <c r="K555" s="18" t="str">
        <f ca="1">IFERROR(__xludf.DUMMYFUNCTION("""COMPUTED_VALUE"""),"")</f>
        <v/>
      </c>
      <c r="L555" s="18" t="str">
        <f ca="1">IFERROR(__xludf.DUMMYFUNCTION("""COMPUTED_VALUE"""),"")</f>
        <v/>
      </c>
      <c r="M555" s="18" t="str">
        <f ca="1">IFERROR(__xludf.DUMMYFUNCTION("""COMPUTED_VALUE"""),"")</f>
        <v/>
      </c>
      <c r="N555" s="18" t="str">
        <f ca="1">IFERROR(__xludf.DUMMYFUNCTION("""COMPUTED_VALUE"""),"")</f>
        <v/>
      </c>
      <c r="O555" s="18" t="str">
        <f ca="1">IFERROR(__xludf.DUMMYFUNCTION("""COMPUTED_VALUE"""),"")</f>
        <v/>
      </c>
      <c r="P555" s="18" t="str">
        <f ca="1">IFERROR(__xludf.DUMMYFUNCTION("""COMPUTED_VALUE"""),"")</f>
        <v/>
      </c>
      <c r="Q555" s="18" t="str">
        <f ca="1">IFERROR(__xludf.DUMMYFUNCTION("""COMPUTED_VALUE"""),"")</f>
        <v/>
      </c>
      <c r="R555" s="18" t="str">
        <f ca="1">IFERROR(__xludf.DUMMYFUNCTION("""COMPUTED_VALUE"""),"")</f>
        <v/>
      </c>
      <c r="S555" s="18" t="str">
        <f ca="1">IFERROR(__xludf.DUMMYFUNCTION("""COMPUTED_VALUE"""),"")</f>
        <v/>
      </c>
      <c r="T555" s="18" t="str">
        <f ca="1">IFERROR(__xludf.DUMMYFUNCTION("""COMPUTED_VALUE"""),"")</f>
        <v/>
      </c>
      <c r="U555" s="18" t="str">
        <f ca="1">IFERROR(__xludf.DUMMYFUNCTION("""COMPUTED_VALUE"""),"")</f>
        <v/>
      </c>
      <c r="V555" s="18" t="str">
        <f ca="1">IFERROR(__xludf.DUMMYFUNCTION("""COMPUTED_VALUE"""),"")</f>
        <v/>
      </c>
      <c r="W555" s="18" t="str">
        <f ca="1">IFERROR(__xludf.DUMMYFUNCTION("""COMPUTED_VALUE"""),"")</f>
        <v/>
      </c>
      <c r="X555" s="18" t="str">
        <f ca="1">IFERROR(__xludf.DUMMYFUNCTION("""COMPUTED_VALUE"""),"")</f>
        <v/>
      </c>
      <c r="Y555" s="18" t="e">
        <f ca="1"/>
        <v>#NAME?</v>
      </c>
      <c r="Z555" s="18" t="str">
        <f ca="1">IFERROR(__xludf.DUMMYFUNCTION("""COMPUTED_VALUE"""),"")</f>
        <v/>
      </c>
      <c r="AA555" s="18" t="str">
        <f ca="1">IFERROR(__xludf.DUMMYFUNCTION("""COMPUTED_VALUE"""),"")</f>
        <v/>
      </c>
      <c r="AC555" s="59"/>
    </row>
    <row r="556" spans="1:29" x14ac:dyDescent="0.25">
      <c r="A556" s="18">
        <v>0</v>
      </c>
      <c r="B556" s="52" t="str">
        <f ca="1"/>
        <v/>
      </c>
      <c r="C556" s="52" t="str">
        <f ca="1">IFERROR(__xludf.DUMMYFUNCTION("""COMPUTED_VALUE"""),"")</f>
        <v/>
      </c>
      <c r="D556" s="18" t="str">
        <f ca="1">IFERROR(__xludf.DUMMYFUNCTION("""COMPUTED_VALUE"""),"")</f>
        <v/>
      </c>
      <c r="E556" s="18" t="str">
        <f ca="1">IFERROR(__xludf.DUMMYFUNCTION("""COMPUTED_VALUE"""),"")</f>
        <v/>
      </c>
      <c r="F556" s="18" t="str">
        <f ca="1">IFERROR(__xludf.DUMMYFUNCTION("""COMPUTED_VALUE"""),"")</f>
        <v/>
      </c>
      <c r="G556" s="18" t="str">
        <f ca="1">IFERROR(__xludf.DUMMYFUNCTION("""COMPUTED_VALUE"""),"")</f>
        <v/>
      </c>
      <c r="H556" s="18" t="str">
        <f ca="1">IFERROR(__xludf.DUMMYFUNCTION("""COMPUTED_VALUE"""),"")</f>
        <v/>
      </c>
      <c r="I556" s="18" t="str">
        <f ca="1">IFERROR(__xludf.DUMMYFUNCTION("""COMPUTED_VALUE"""),"")</f>
        <v/>
      </c>
      <c r="J556" s="18" t="str">
        <f ca="1">IFERROR(__xludf.DUMMYFUNCTION("""COMPUTED_VALUE"""),"")</f>
        <v/>
      </c>
      <c r="K556" s="18" t="str">
        <f ca="1">IFERROR(__xludf.DUMMYFUNCTION("""COMPUTED_VALUE"""),"")</f>
        <v/>
      </c>
      <c r="L556" s="18" t="str">
        <f ca="1">IFERROR(__xludf.DUMMYFUNCTION("""COMPUTED_VALUE"""),"")</f>
        <v/>
      </c>
      <c r="M556" s="18" t="str">
        <f ca="1">IFERROR(__xludf.DUMMYFUNCTION("""COMPUTED_VALUE"""),"")</f>
        <v/>
      </c>
      <c r="N556" s="18" t="str">
        <f ca="1">IFERROR(__xludf.DUMMYFUNCTION("""COMPUTED_VALUE"""),"")</f>
        <v/>
      </c>
      <c r="O556" s="18" t="str">
        <f ca="1">IFERROR(__xludf.DUMMYFUNCTION("""COMPUTED_VALUE"""),"")</f>
        <v/>
      </c>
      <c r="P556" s="18" t="str">
        <f ca="1">IFERROR(__xludf.DUMMYFUNCTION("""COMPUTED_VALUE"""),"")</f>
        <v/>
      </c>
      <c r="Q556" s="18" t="str">
        <f ca="1">IFERROR(__xludf.DUMMYFUNCTION("""COMPUTED_VALUE"""),"")</f>
        <v/>
      </c>
      <c r="R556" s="18" t="str">
        <f ca="1">IFERROR(__xludf.DUMMYFUNCTION("""COMPUTED_VALUE"""),"")</f>
        <v/>
      </c>
      <c r="S556" s="18" t="str">
        <f ca="1">IFERROR(__xludf.DUMMYFUNCTION("""COMPUTED_VALUE"""),"")</f>
        <v/>
      </c>
      <c r="T556" s="18" t="str">
        <f ca="1">IFERROR(__xludf.DUMMYFUNCTION("""COMPUTED_VALUE"""),"")</f>
        <v/>
      </c>
      <c r="U556" s="18" t="str">
        <f ca="1">IFERROR(__xludf.DUMMYFUNCTION("""COMPUTED_VALUE"""),"")</f>
        <v/>
      </c>
      <c r="V556" s="18" t="str">
        <f ca="1">IFERROR(__xludf.DUMMYFUNCTION("""COMPUTED_VALUE"""),"")</f>
        <v/>
      </c>
      <c r="W556" s="18" t="str">
        <f ca="1">IFERROR(__xludf.DUMMYFUNCTION("""COMPUTED_VALUE"""),"")</f>
        <v/>
      </c>
      <c r="X556" s="18" t="str">
        <f ca="1">IFERROR(__xludf.DUMMYFUNCTION("""COMPUTED_VALUE"""),"")</f>
        <v/>
      </c>
      <c r="Y556" s="18" t="e">
        <f ca="1"/>
        <v>#NAME?</v>
      </c>
      <c r="Z556" s="18" t="str">
        <f ca="1">IFERROR(__xludf.DUMMYFUNCTION("""COMPUTED_VALUE"""),"")</f>
        <v/>
      </c>
      <c r="AA556" s="18" t="str">
        <f ca="1">IFERROR(__xludf.DUMMYFUNCTION("""COMPUTED_VALUE"""),"")</f>
        <v/>
      </c>
      <c r="AC556" s="59"/>
    </row>
    <row r="557" spans="1:29" x14ac:dyDescent="0.25">
      <c r="A557" s="18">
        <v>0</v>
      </c>
      <c r="B557" s="52" t="str">
        <f ca="1"/>
        <v/>
      </c>
      <c r="C557" s="52" t="str">
        <f ca="1">IFERROR(__xludf.DUMMYFUNCTION("""COMPUTED_VALUE"""),"")</f>
        <v/>
      </c>
      <c r="D557" s="18" t="str">
        <f ca="1">IFERROR(__xludf.DUMMYFUNCTION("""COMPUTED_VALUE"""),"")</f>
        <v/>
      </c>
      <c r="E557" s="18" t="str">
        <f ca="1">IFERROR(__xludf.DUMMYFUNCTION("""COMPUTED_VALUE"""),"")</f>
        <v/>
      </c>
      <c r="F557" s="18" t="str">
        <f ca="1">IFERROR(__xludf.DUMMYFUNCTION("""COMPUTED_VALUE"""),"")</f>
        <v/>
      </c>
      <c r="G557" s="18" t="str">
        <f ca="1">IFERROR(__xludf.DUMMYFUNCTION("""COMPUTED_VALUE"""),"")</f>
        <v/>
      </c>
      <c r="H557" s="18" t="str">
        <f ca="1">IFERROR(__xludf.DUMMYFUNCTION("""COMPUTED_VALUE"""),"")</f>
        <v/>
      </c>
      <c r="I557" s="18" t="str">
        <f ca="1">IFERROR(__xludf.DUMMYFUNCTION("""COMPUTED_VALUE"""),"")</f>
        <v/>
      </c>
      <c r="J557" s="18" t="str">
        <f ca="1">IFERROR(__xludf.DUMMYFUNCTION("""COMPUTED_VALUE"""),"")</f>
        <v/>
      </c>
      <c r="K557" s="18" t="str">
        <f ca="1">IFERROR(__xludf.DUMMYFUNCTION("""COMPUTED_VALUE"""),"")</f>
        <v/>
      </c>
      <c r="L557" s="18" t="str">
        <f ca="1">IFERROR(__xludf.DUMMYFUNCTION("""COMPUTED_VALUE"""),"")</f>
        <v/>
      </c>
      <c r="M557" s="18" t="str">
        <f ca="1">IFERROR(__xludf.DUMMYFUNCTION("""COMPUTED_VALUE"""),"")</f>
        <v/>
      </c>
      <c r="N557" s="18" t="str">
        <f ca="1">IFERROR(__xludf.DUMMYFUNCTION("""COMPUTED_VALUE"""),"")</f>
        <v/>
      </c>
      <c r="O557" s="18" t="str">
        <f ca="1">IFERROR(__xludf.DUMMYFUNCTION("""COMPUTED_VALUE"""),"")</f>
        <v/>
      </c>
      <c r="P557" s="18" t="str">
        <f ca="1">IFERROR(__xludf.DUMMYFUNCTION("""COMPUTED_VALUE"""),"")</f>
        <v/>
      </c>
      <c r="Q557" s="18" t="str">
        <f ca="1">IFERROR(__xludf.DUMMYFUNCTION("""COMPUTED_VALUE"""),"")</f>
        <v/>
      </c>
      <c r="R557" s="18" t="str">
        <f ca="1">IFERROR(__xludf.DUMMYFUNCTION("""COMPUTED_VALUE"""),"")</f>
        <v/>
      </c>
      <c r="S557" s="18" t="str">
        <f ca="1">IFERROR(__xludf.DUMMYFUNCTION("""COMPUTED_VALUE"""),"")</f>
        <v/>
      </c>
      <c r="T557" s="18" t="str">
        <f ca="1">IFERROR(__xludf.DUMMYFUNCTION("""COMPUTED_VALUE"""),"")</f>
        <v/>
      </c>
      <c r="U557" s="18" t="str">
        <f ca="1">IFERROR(__xludf.DUMMYFUNCTION("""COMPUTED_VALUE"""),"")</f>
        <v/>
      </c>
      <c r="V557" s="18" t="str">
        <f ca="1">IFERROR(__xludf.DUMMYFUNCTION("""COMPUTED_VALUE"""),"")</f>
        <v/>
      </c>
      <c r="W557" s="18" t="str">
        <f ca="1">IFERROR(__xludf.DUMMYFUNCTION("""COMPUTED_VALUE"""),"")</f>
        <v/>
      </c>
      <c r="X557" s="18" t="str">
        <f ca="1">IFERROR(__xludf.DUMMYFUNCTION("""COMPUTED_VALUE"""),"")</f>
        <v/>
      </c>
      <c r="Y557" s="18" t="e">
        <f ca="1"/>
        <v>#NAME?</v>
      </c>
      <c r="Z557" s="18" t="str">
        <f ca="1">IFERROR(__xludf.DUMMYFUNCTION("""COMPUTED_VALUE"""),"")</f>
        <v/>
      </c>
      <c r="AA557" s="18" t="str">
        <f ca="1">IFERROR(__xludf.DUMMYFUNCTION("""COMPUTED_VALUE"""),"")</f>
        <v/>
      </c>
      <c r="AC557" s="59"/>
    </row>
    <row r="558" spans="1:29" x14ac:dyDescent="0.25">
      <c r="A558" s="18">
        <v>0</v>
      </c>
      <c r="B558" s="52" t="str">
        <f ca="1"/>
        <v/>
      </c>
      <c r="C558" s="52" t="str">
        <f ca="1">IFERROR(__xludf.DUMMYFUNCTION("""COMPUTED_VALUE"""),"")</f>
        <v/>
      </c>
      <c r="D558" s="18" t="str">
        <f ca="1">IFERROR(__xludf.DUMMYFUNCTION("""COMPUTED_VALUE"""),"")</f>
        <v/>
      </c>
      <c r="E558" s="18" t="str">
        <f ca="1">IFERROR(__xludf.DUMMYFUNCTION("""COMPUTED_VALUE"""),"")</f>
        <v/>
      </c>
      <c r="F558" s="18" t="str">
        <f ca="1">IFERROR(__xludf.DUMMYFUNCTION("""COMPUTED_VALUE"""),"")</f>
        <v/>
      </c>
      <c r="G558" s="18" t="str">
        <f ca="1">IFERROR(__xludf.DUMMYFUNCTION("""COMPUTED_VALUE"""),"")</f>
        <v/>
      </c>
      <c r="H558" s="18" t="str">
        <f ca="1">IFERROR(__xludf.DUMMYFUNCTION("""COMPUTED_VALUE"""),"")</f>
        <v/>
      </c>
      <c r="I558" s="18" t="str">
        <f ca="1">IFERROR(__xludf.DUMMYFUNCTION("""COMPUTED_VALUE"""),"")</f>
        <v/>
      </c>
      <c r="J558" s="18" t="str">
        <f ca="1">IFERROR(__xludf.DUMMYFUNCTION("""COMPUTED_VALUE"""),"")</f>
        <v/>
      </c>
      <c r="K558" s="18" t="str">
        <f ca="1">IFERROR(__xludf.DUMMYFUNCTION("""COMPUTED_VALUE"""),"")</f>
        <v/>
      </c>
      <c r="L558" s="18" t="str">
        <f ca="1">IFERROR(__xludf.DUMMYFUNCTION("""COMPUTED_VALUE"""),"")</f>
        <v/>
      </c>
      <c r="M558" s="18" t="str">
        <f ca="1">IFERROR(__xludf.DUMMYFUNCTION("""COMPUTED_VALUE"""),"")</f>
        <v/>
      </c>
      <c r="N558" s="18" t="str">
        <f ca="1">IFERROR(__xludf.DUMMYFUNCTION("""COMPUTED_VALUE"""),"")</f>
        <v/>
      </c>
      <c r="O558" s="18" t="str">
        <f ca="1">IFERROR(__xludf.DUMMYFUNCTION("""COMPUTED_VALUE"""),"")</f>
        <v/>
      </c>
      <c r="P558" s="18" t="str">
        <f ca="1">IFERROR(__xludf.DUMMYFUNCTION("""COMPUTED_VALUE"""),"")</f>
        <v/>
      </c>
      <c r="Q558" s="18" t="str">
        <f ca="1">IFERROR(__xludf.DUMMYFUNCTION("""COMPUTED_VALUE"""),"")</f>
        <v/>
      </c>
      <c r="R558" s="18" t="str">
        <f ca="1">IFERROR(__xludf.DUMMYFUNCTION("""COMPUTED_VALUE"""),"")</f>
        <v/>
      </c>
      <c r="S558" s="18" t="str">
        <f ca="1">IFERROR(__xludf.DUMMYFUNCTION("""COMPUTED_VALUE"""),"")</f>
        <v/>
      </c>
      <c r="T558" s="18" t="str">
        <f ca="1">IFERROR(__xludf.DUMMYFUNCTION("""COMPUTED_VALUE"""),"")</f>
        <v/>
      </c>
      <c r="U558" s="18" t="str">
        <f ca="1">IFERROR(__xludf.DUMMYFUNCTION("""COMPUTED_VALUE"""),"")</f>
        <v/>
      </c>
      <c r="V558" s="18" t="str">
        <f ca="1">IFERROR(__xludf.DUMMYFUNCTION("""COMPUTED_VALUE"""),"")</f>
        <v/>
      </c>
      <c r="W558" s="18" t="str">
        <f ca="1">IFERROR(__xludf.DUMMYFUNCTION("""COMPUTED_VALUE"""),"")</f>
        <v/>
      </c>
      <c r="X558" s="18" t="str">
        <f ca="1">IFERROR(__xludf.DUMMYFUNCTION("""COMPUTED_VALUE"""),"")</f>
        <v/>
      </c>
      <c r="Y558" s="18" t="e">
        <f ca="1"/>
        <v>#NAME?</v>
      </c>
      <c r="Z558" s="18" t="str">
        <f ca="1">IFERROR(__xludf.DUMMYFUNCTION("""COMPUTED_VALUE"""),"")</f>
        <v/>
      </c>
      <c r="AA558" s="18" t="str">
        <f ca="1">IFERROR(__xludf.DUMMYFUNCTION("""COMPUTED_VALUE"""),"")</f>
        <v/>
      </c>
      <c r="AC558" s="59"/>
    </row>
    <row r="559" spans="1:29" x14ac:dyDescent="0.25">
      <c r="A559" s="18">
        <v>0</v>
      </c>
      <c r="B559" s="52" t="str">
        <f ca="1"/>
        <v/>
      </c>
      <c r="C559" s="52" t="str">
        <f ca="1">IFERROR(__xludf.DUMMYFUNCTION("""COMPUTED_VALUE"""),"")</f>
        <v/>
      </c>
      <c r="D559" s="18" t="str">
        <f ca="1">IFERROR(__xludf.DUMMYFUNCTION("""COMPUTED_VALUE"""),"")</f>
        <v/>
      </c>
      <c r="E559" s="18" t="str">
        <f ca="1">IFERROR(__xludf.DUMMYFUNCTION("""COMPUTED_VALUE"""),"")</f>
        <v/>
      </c>
      <c r="F559" s="18" t="str">
        <f ca="1">IFERROR(__xludf.DUMMYFUNCTION("""COMPUTED_VALUE"""),"")</f>
        <v/>
      </c>
      <c r="G559" s="18" t="str">
        <f ca="1">IFERROR(__xludf.DUMMYFUNCTION("""COMPUTED_VALUE"""),"")</f>
        <v/>
      </c>
      <c r="H559" s="18" t="str">
        <f ca="1">IFERROR(__xludf.DUMMYFUNCTION("""COMPUTED_VALUE"""),"")</f>
        <v/>
      </c>
      <c r="I559" s="18" t="str">
        <f ca="1">IFERROR(__xludf.DUMMYFUNCTION("""COMPUTED_VALUE"""),"")</f>
        <v/>
      </c>
      <c r="J559" s="18" t="str">
        <f ca="1">IFERROR(__xludf.DUMMYFUNCTION("""COMPUTED_VALUE"""),"")</f>
        <v/>
      </c>
      <c r="K559" s="18" t="str">
        <f ca="1">IFERROR(__xludf.DUMMYFUNCTION("""COMPUTED_VALUE"""),"")</f>
        <v/>
      </c>
      <c r="L559" s="18" t="str">
        <f ca="1">IFERROR(__xludf.DUMMYFUNCTION("""COMPUTED_VALUE"""),"")</f>
        <v/>
      </c>
      <c r="M559" s="18" t="str">
        <f ca="1">IFERROR(__xludf.DUMMYFUNCTION("""COMPUTED_VALUE"""),"")</f>
        <v/>
      </c>
      <c r="N559" s="18" t="str">
        <f ca="1">IFERROR(__xludf.DUMMYFUNCTION("""COMPUTED_VALUE"""),"")</f>
        <v/>
      </c>
      <c r="O559" s="18" t="str">
        <f ca="1">IFERROR(__xludf.DUMMYFUNCTION("""COMPUTED_VALUE"""),"")</f>
        <v/>
      </c>
      <c r="P559" s="18" t="str">
        <f ca="1">IFERROR(__xludf.DUMMYFUNCTION("""COMPUTED_VALUE"""),"")</f>
        <v/>
      </c>
      <c r="Q559" s="18" t="str">
        <f ca="1">IFERROR(__xludf.DUMMYFUNCTION("""COMPUTED_VALUE"""),"")</f>
        <v/>
      </c>
      <c r="R559" s="18" t="str">
        <f ca="1">IFERROR(__xludf.DUMMYFUNCTION("""COMPUTED_VALUE"""),"")</f>
        <v/>
      </c>
      <c r="S559" s="18" t="str">
        <f ca="1">IFERROR(__xludf.DUMMYFUNCTION("""COMPUTED_VALUE"""),"")</f>
        <v/>
      </c>
      <c r="T559" s="18" t="str">
        <f ca="1">IFERROR(__xludf.DUMMYFUNCTION("""COMPUTED_VALUE"""),"")</f>
        <v/>
      </c>
      <c r="U559" s="18" t="str">
        <f ca="1">IFERROR(__xludf.DUMMYFUNCTION("""COMPUTED_VALUE"""),"")</f>
        <v/>
      </c>
      <c r="V559" s="18" t="str">
        <f ca="1">IFERROR(__xludf.DUMMYFUNCTION("""COMPUTED_VALUE"""),"")</f>
        <v/>
      </c>
      <c r="W559" s="18" t="str">
        <f ca="1">IFERROR(__xludf.DUMMYFUNCTION("""COMPUTED_VALUE"""),"")</f>
        <v/>
      </c>
      <c r="X559" s="18" t="str">
        <f ca="1">IFERROR(__xludf.DUMMYFUNCTION("""COMPUTED_VALUE"""),"")</f>
        <v/>
      </c>
      <c r="Y559" s="18" t="e">
        <f ca="1"/>
        <v>#NAME?</v>
      </c>
      <c r="Z559" s="18" t="str">
        <f ca="1">IFERROR(__xludf.DUMMYFUNCTION("""COMPUTED_VALUE"""),"")</f>
        <v/>
      </c>
      <c r="AA559" s="18" t="str">
        <f ca="1">IFERROR(__xludf.DUMMYFUNCTION("""COMPUTED_VALUE"""),"")</f>
        <v/>
      </c>
      <c r="AC559" s="59"/>
    </row>
    <row r="560" spans="1:29" x14ac:dyDescent="0.25">
      <c r="A560" s="18">
        <v>0</v>
      </c>
      <c r="B560" s="52" t="str">
        <f ca="1"/>
        <v/>
      </c>
      <c r="C560" s="52" t="str">
        <f ca="1">IFERROR(__xludf.DUMMYFUNCTION("""COMPUTED_VALUE"""),"")</f>
        <v/>
      </c>
      <c r="D560" s="18" t="str">
        <f ca="1">IFERROR(__xludf.DUMMYFUNCTION("""COMPUTED_VALUE"""),"")</f>
        <v/>
      </c>
      <c r="E560" s="18" t="str">
        <f ca="1">IFERROR(__xludf.DUMMYFUNCTION("""COMPUTED_VALUE"""),"")</f>
        <v/>
      </c>
      <c r="F560" s="18" t="str">
        <f ca="1">IFERROR(__xludf.DUMMYFUNCTION("""COMPUTED_VALUE"""),"")</f>
        <v/>
      </c>
      <c r="G560" s="18" t="str">
        <f ca="1">IFERROR(__xludf.DUMMYFUNCTION("""COMPUTED_VALUE"""),"")</f>
        <v/>
      </c>
      <c r="H560" s="18" t="str">
        <f ca="1">IFERROR(__xludf.DUMMYFUNCTION("""COMPUTED_VALUE"""),"")</f>
        <v/>
      </c>
      <c r="I560" s="18" t="str">
        <f ca="1">IFERROR(__xludf.DUMMYFUNCTION("""COMPUTED_VALUE"""),"")</f>
        <v/>
      </c>
      <c r="J560" s="18" t="str">
        <f ca="1">IFERROR(__xludf.DUMMYFUNCTION("""COMPUTED_VALUE"""),"")</f>
        <v/>
      </c>
      <c r="K560" s="18" t="str">
        <f ca="1">IFERROR(__xludf.DUMMYFUNCTION("""COMPUTED_VALUE"""),"")</f>
        <v/>
      </c>
      <c r="L560" s="18" t="str">
        <f ca="1">IFERROR(__xludf.DUMMYFUNCTION("""COMPUTED_VALUE"""),"")</f>
        <v/>
      </c>
      <c r="M560" s="18" t="str">
        <f ca="1">IFERROR(__xludf.DUMMYFUNCTION("""COMPUTED_VALUE"""),"")</f>
        <v/>
      </c>
      <c r="N560" s="18" t="str">
        <f ca="1">IFERROR(__xludf.DUMMYFUNCTION("""COMPUTED_VALUE"""),"")</f>
        <v/>
      </c>
      <c r="O560" s="18" t="str">
        <f ca="1">IFERROR(__xludf.DUMMYFUNCTION("""COMPUTED_VALUE"""),"")</f>
        <v/>
      </c>
      <c r="P560" s="18" t="str">
        <f ca="1">IFERROR(__xludf.DUMMYFUNCTION("""COMPUTED_VALUE"""),"")</f>
        <v/>
      </c>
      <c r="Q560" s="18" t="str">
        <f ca="1">IFERROR(__xludf.DUMMYFUNCTION("""COMPUTED_VALUE"""),"")</f>
        <v/>
      </c>
      <c r="R560" s="18" t="str">
        <f ca="1">IFERROR(__xludf.DUMMYFUNCTION("""COMPUTED_VALUE"""),"")</f>
        <v/>
      </c>
      <c r="S560" s="18" t="str">
        <f ca="1">IFERROR(__xludf.DUMMYFUNCTION("""COMPUTED_VALUE"""),"")</f>
        <v/>
      </c>
      <c r="T560" s="18" t="str">
        <f ca="1">IFERROR(__xludf.DUMMYFUNCTION("""COMPUTED_VALUE"""),"")</f>
        <v/>
      </c>
      <c r="U560" s="18" t="str">
        <f ca="1">IFERROR(__xludf.DUMMYFUNCTION("""COMPUTED_VALUE"""),"")</f>
        <v/>
      </c>
      <c r="V560" s="18" t="str">
        <f ca="1">IFERROR(__xludf.DUMMYFUNCTION("""COMPUTED_VALUE"""),"")</f>
        <v/>
      </c>
      <c r="W560" s="18" t="str">
        <f ca="1">IFERROR(__xludf.DUMMYFUNCTION("""COMPUTED_VALUE"""),"")</f>
        <v/>
      </c>
      <c r="X560" s="18" t="str">
        <f ca="1">IFERROR(__xludf.DUMMYFUNCTION("""COMPUTED_VALUE"""),"")</f>
        <v/>
      </c>
      <c r="Y560" s="18" t="e">
        <f ca="1"/>
        <v>#NAME?</v>
      </c>
      <c r="Z560" s="18" t="str">
        <f ca="1">IFERROR(__xludf.DUMMYFUNCTION("""COMPUTED_VALUE"""),"")</f>
        <v/>
      </c>
      <c r="AA560" s="18" t="str">
        <f ca="1">IFERROR(__xludf.DUMMYFUNCTION("""COMPUTED_VALUE"""),"")</f>
        <v/>
      </c>
      <c r="AC560" s="59"/>
    </row>
    <row r="561" spans="1:29" x14ac:dyDescent="0.25">
      <c r="A561" s="18">
        <v>0</v>
      </c>
      <c r="B561" s="52" t="str">
        <f ca="1"/>
        <v/>
      </c>
      <c r="C561" s="52" t="str">
        <f ca="1">IFERROR(__xludf.DUMMYFUNCTION("""COMPUTED_VALUE"""),"")</f>
        <v/>
      </c>
      <c r="D561" s="18" t="str">
        <f ca="1">IFERROR(__xludf.DUMMYFUNCTION("""COMPUTED_VALUE"""),"")</f>
        <v/>
      </c>
      <c r="E561" s="18" t="str">
        <f ca="1">IFERROR(__xludf.DUMMYFUNCTION("""COMPUTED_VALUE"""),"")</f>
        <v/>
      </c>
      <c r="F561" s="18" t="str">
        <f ca="1">IFERROR(__xludf.DUMMYFUNCTION("""COMPUTED_VALUE"""),"")</f>
        <v/>
      </c>
      <c r="G561" s="18" t="str">
        <f ca="1">IFERROR(__xludf.DUMMYFUNCTION("""COMPUTED_VALUE"""),"")</f>
        <v/>
      </c>
      <c r="H561" s="18" t="str">
        <f ca="1">IFERROR(__xludf.DUMMYFUNCTION("""COMPUTED_VALUE"""),"")</f>
        <v/>
      </c>
      <c r="I561" s="18" t="str">
        <f ca="1">IFERROR(__xludf.DUMMYFUNCTION("""COMPUTED_VALUE"""),"")</f>
        <v/>
      </c>
      <c r="J561" s="18" t="str">
        <f ca="1">IFERROR(__xludf.DUMMYFUNCTION("""COMPUTED_VALUE"""),"")</f>
        <v/>
      </c>
      <c r="K561" s="18" t="str">
        <f ca="1">IFERROR(__xludf.DUMMYFUNCTION("""COMPUTED_VALUE"""),"")</f>
        <v/>
      </c>
      <c r="L561" s="18" t="str">
        <f ca="1">IFERROR(__xludf.DUMMYFUNCTION("""COMPUTED_VALUE"""),"")</f>
        <v/>
      </c>
      <c r="M561" s="18" t="str">
        <f ca="1">IFERROR(__xludf.DUMMYFUNCTION("""COMPUTED_VALUE"""),"")</f>
        <v/>
      </c>
      <c r="N561" s="18" t="str">
        <f ca="1">IFERROR(__xludf.DUMMYFUNCTION("""COMPUTED_VALUE"""),"")</f>
        <v/>
      </c>
      <c r="O561" s="18" t="str">
        <f ca="1">IFERROR(__xludf.DUMMYFUNCTION("""COMPUTED_VALUE"""),"")</f>
        <v/>
      </c>
      <c r="P561" s="18" t="str">
        <f ca="1">IFERROR(__xludf.DUMMYFUNCTION("""COMPUTED_VALUE"""),"")</f>
        <v/>
      </c>
      <c r="Q561" s="18" t="str">
        <f ca="1">IFERROR(__xludf.DUMMYFUNCTION("""COMPUTED_VALUE"""),"")</f>
        <v/>
      </c>
      <c r="R561" s="18" t="str">
        <f ca="1">IFERROR(__xludf.DUMMYFUNCTION("""COMPUTED_VALUE"""),"")</f>
        <v/>
      </c>
      <c r="S561" s="18" t="str">
        <f ca="1">IFERROR(__xludf.DUMMYFUNCTION("""COMPUTED_VALUE"""),"")</f>
        <v/>
      </c>
      <c r="T561" s="18" t="str">
        <f ca="1">IFERROR(__xludf.DUMMYFUNCTION("""COMPUTED_VALUE"""),"")</f>
        <v/>
      </c>
      <c r="U561" s="18" t="str">
        <f ca="1">IFERROR(__xludf.DUMMYFUNCTION("""COMPUTED_VALUE"""),"")</f>
        <v/>
      </c>
      <c r="V561" s="18" t="str">
        <f ca="1">IFERROR(__xludf.DUMMYFUNCTION("""COMPUTED_VALUE"""),"")</f>
        <v/>
      </c>
      <c r="W561" s="18" t="str">
        <f ca="1">IFERROR(__xludf.DUMMYFUNCTION("""COMPUTED_VALUE"""),"")</f>
        <v/>
      </c>
      <c r="X561" s="18" t="str">
        <f ca="1">IFERROR(__xludf.DUMMYFUNCTION("""COMPUTED_VALUE"""),"")</f>
        <v/>
      </c>
      <c r="Y561" s="18" t="e">
        <f ca="1"/>
        <v>#NAME?</v>
      </c>
      <c r="Z561" s="18" t="str">
        <f ca="1">IFERROR(__xludf.DUMMYFUNCTION("""COMPUTED_VALUE"""),"")</f>
        <v/>
      </c>
      <c r="AA561" s="18" t="str">
        <f ca="1">IFERROR(__xludf.DUMMYFUNCTION("""COMPUTED_VALUE"""),"")</f>
        <v/>
      </c>
      <c r="AC561" s="59"/>
    </row>
    <row r="562" spans="1:29" x14ac:dyDescent="0.25">
      <c r="A562" s="18">
        <v>0</v>
      </c>
      <c r="B562" s="52" t="str">
        <f ca="1"/>
        <v/>
      </c>
      <c r="C562" s="52" t="str">
        <f ca="1">IFERROR(__xludf.DUMMYFUNCTION("""COMPUTED_VALUE"""),"")</f>
        <v/>
      </c>
      <c r="D562" s="18" t="str">
        <f ca="1">IFERROR(__xludf.DUMMYFUNCTION("""COMPUTED_VALUE"""),"")</f>
        <v/>
      </c>
      <c r="E562" s="18" t="str">
        <f ca="1">IFERROR(__xludf.DUMMYFUNCTION("""COMPUTED_VALUE"""),"")</f>
        <v/>
      </c>
      <c r="F562" s="18" t="str">
        <f ca="1">IFERROR(__xludf.DUMMYFUNCTION("""COMPUTED_VALUE"""),"")</f>
        <v/>
      </c>
      <c r="G562" s="18" t="str">
        <f ca="1">IFERROR(__xludf.DUMMYFUNCTION("""COMPUTED_VALUE"""),"")</f>
        <v/>
      </c>
      <c r="H562" s="18" t="str">
        <f ca="1">IFERROR(__xludf.DUMMYFUNCTION("""COMPUTED_VALUE"""),"")</f>
        <v/>
      </c>
      <c r="I562" s="18" t="str">
        <f ca="1">IFERROR(__xludf.DUMMYFUNCTION("""COMPUTED_VALUE"""),"")</f>
        <v/>
      </c>
      <c r="J562" s="18" t="str">
        <f ca="1">IFERROR(__xludf.DUMMYFUNCTION("""COMPUTED_VALUE"""),"")</f>
        <v/>
      </c>
      <c r="K562" s="18" t="str">
        <f ca="1">IFERROR(__xludf.DUMMYFUNCTION("""COMPUTED_VALUE"""),"")</f>
        <v/>
      </c>
      <c r="L562" s="18" t="str">
        <f ca="1">IFERROR(__xludf.DUMMYFUNCTION("""COMPUTED_VALUE"""),"")</f>
        <v/>
      </c>
      <c r="M562" s="18" t="str">
        <f ca="1">IFERROR(__xludf.DUMMYFUNCTION("""COMPUTED_VALUE"""),"")</f>
        <v/>
      </c>
      <c r="N562" s="18" t="str">
        <f ca="1">IFERROR(__xludf.DUMMYFUNCTION("""COMPUTED_VALUE"""),"")</f>
        <v/>
      </c>
      <c r="O562" s="18" t="str">
        <f ca="1">IFERROR(__xludf.DUMMYFUNCTION("""COMPUTED_VALUE"""),"")</f>
        <v/>
      </c>
      <c r="P562" s="18" t="str">
        <f ca="1">IFERROR(__xludf.DUMMYFUNCTION("""COMPUTED_VALUE"""),"")</f>
        <v/>
      </c>
      <c r="Q562" s="18" t="str">
        <f ca="1">IFERROR(__xludf.DUMMYFUNCTION("""COMPUTED_VALUE"""),"")</f>
        <v/>
      </c>
      <c r="R562" s="18" t="str">
        <f ca="1">IFERROR(__xludf.DUMMYFUNCTION("""COMPUTED_VALUE"""),"")</f>
        <v/>
      </c>
      <c r="S562" s="18" t="str">
        <f ca="1">IFERROR(__xludf.DUMMYFUNCTION("""COMPUTED_VALUE"""),"")</f>
        <v/>
      </c>
      <c r="T562" s="18" t="str">
        <f ca="1">IFERROR(__xludf.DUMMYFUNCTION("""COMPUTED_VALUE"""),"")</f>
        <v/>
      </c>
      <c r="U562" s="18" t="str">
        <f ca="1">IFERROR(__xludf.DUMMYFUNCTION("""COMPUTED_VALUE"""),"")</f>
        <v/>
      </c>
      <c r="V562" s="18" t="str">
        <f ca="1">IFERROR(__xludf.DUMMYFUNCTION("""COMPUTED_VALUE"""),"")</f>
        <v/>
      </c>
      <c r="W562" s="18" t="str">
        <f ca="1">IFERROR(__xludf.DUMMYFUNCTION("""COMPUTED_VALUE"""),"")</f>
        <v/>
      </c>
      <c r="X562" s="18" t="str">
        <f ca="1">IFERROR(__xludf.DUMMYFUNCTION("""COMPUTED_VALUE"""),"")</f>
        <v/>
      </c>
      <c r="Y562" s="18" t="e">
        <f ca="1"/>
        <v>#NAME?</v>
      </c>
      <c r="Z562" s="18" t="str">
        <f ca="1">IFERROR(__xludf.DUMMYFUNCTION("""COMPUTED_VALUE"""),"")</f>
        <v/>
      </c>
      <c r="AA562" s="18" t="str">
        <f ca="1">IFERROR(__xludf.DUMMYFUNCTION("""COMPUTED_VALUE"""),"")</f>
        <v/>
      </c>
      <c r="AC562" s="59"/>
    </row>
    <row r="563" spans="1:29" x14ac:dyDescent="0.25">
      <c r="A563" s="18">
        <v>0</v>
      </c>
      <c r="B563" s="52" t="str">
        <f ca="1"/>
        <v/>
      </c>
      <c r="C563" s="52" t="str">
        <f ca="1">IFERROR(__xludf.DUMMYFUNCTION("""COMPUTED_VALUE"""),"")</f>
        <v/>
      </c>
      <c r="D563" s="18" t="str">
        <f ca="1">IFERROR(__xludf.DUMMYFUNCTION("""COMPUTED_VALUE"""),"")</f>
        <v/>
      </c>
      <c r="E563" s="18" t="str">
        <f ca="1">IFERROR(__xludf.DUMMYFUNCTION("""COMPUTED_VALUE"""),"")</f>
        <v/>
      </c>
      <c r="F563" s="18" t="str">
        <f ca="1">IFERROR(__xludf.DUMMYFUNCTION("""COMPUTED_VALUE"""),"")</f>
        <v/>
      </c>
      <c r="G563" s="18" t="str">
        <f ca="1">IFERROR(__xludf.DUMMYFUNCTION("""COMPUTED_VALUE"""),"")</f>
        <v/>
      </c>
      <c r="H563" s="18" t="str">
        <f ca="1">IFERROR(__xludf.DUMMYFUNCTION("""COMPUTED_VALUE"""),"")</f>
        <v/>
      </c>
      <c r="I563" s="18" t="str">
        <f ca="1">IFERROR(__xludf.DUMMYFUNCTION("""COMPUTED_VALUE"""),"")</f>
        <v/>
      </c>
      <c r="J563" s="18" t="str">
        <f ca="1">IFERROR(__xludf.DUMMYFUNCTION("""COMPUTED_VALUE"""),"")</f>
        <v/>
      </c>
      <c r="K563" s="18" t="str">
        <f ca="1">IFERROR(__xludf.DUMMYFUNCTION("""COMPUTED_VALUE"""),"")</f>
        <v/>
      </c>
      <c r="L563" s="18" t="str">
        <f ca="1">IFERROR(__xludf.DUMMYFUNCTION("""COMPUTED_VALUE"""),"")</f>
        <v/>
      </c>
      <c r="M563" s="18" t="str">
        <f ca="1">IFERROR(__xludf.DUMMYFUNCTION("""COMPUTED_VALUE"""),"")</f>
        <v/>
      </c>
      <c r="N563" s="18" t="str">
        <f ca="1">IFERROR(__xludf.DUMMYFUNCTION("""COMPUTED_VALUE"""),"")</f>
        <v/>
      </c>
      <c r="O563" s="18" t="str">
        <f ca="1">IFERROR(__xludf.DUMMYFUNCTION("""COMPUTED_VALUE"""),"")</f>
        <v/>
      </c>
      <c r="P563" s="18" t="str">
        <f ca="1">IFERROR(__xludf.DUMMYFUNCTION("""COMPUTED_VALUE"""),"")</f>
        <v/>
      </c>
      <c r="Q563" s="18" t="str">
        <f ca="1">IFERROR(__xludf.DUMMYFUNCTION("""COMPUTED_VALUE"""),"")</f>
        <v/>
      </c>
      <c r="R563" s="18" t="str">
        <f ca="1">IFERROR(__xludf.DUMMYFUNCTION("""COMPUTED_VALUE"""),"")</f>
        <v/>
      </c>
      <c r="S563" s="18" t="str">
        <f ca="1">IFERROR(__xludf.DUMMYFUNCTION("""COMPUTED_VALUE"""),"")</f>
        <v/>
      </c>
      <c r="T563" s="18" t="str">
        <f ca="1">IFERROR(__xludf.DUMMYFUNCTION("""COMPUTED_VALUE"""),"")</f>
        <v/>
      </c>
      <c r="U563" s="18" t="str">
        <f ca="1">IFERROR(__xludf.DUMMYFUNCTION("""COMPUTED_VALUE"""),"")</f>
        <v/>
      </c>
      <c r="V563" s="18" t="str">
        <f ca="1">IFERROR(__xludf.DUMMYFUNCTION("""COMPUTED_VALUE"""),"")</f>
        <v/>
      </c>
      <c r="W563" s="18" t="str">
        <f ca="1">IFERROR(__xludf.DUMMYFUNCTION("""COMPUTED_VALUE"""),"")</f>
        <v/>
      </c>
      <c r="X563" s="18" t="str">
        <f ca="1">IFERROR(__xludf.DUMMYFUNCTION("""COMPUTED_VALUE"""),"")</f>
        <v/>
      </c>
      <c r="Y563" s="18" t="e">
        <f ca="1"/>
        <v>#NAME?</v>
      </c>
      <c r="Z563" s="18" t="str">
        <f ca="1">IFERROR(__xludf.DUMMYFUNCTION("""COMPUTED_VALUE"""),"")</f>
        <v/>
      </c>
      <c r="AA563" s="18" t="str">
        <f ca="1">IFERROR(__xludf.DUMMYFUNCTION("""COMPUTED_VALUE"""),"")</f>
        <v/>
      </c>
      <c r="AC563" s="59"/>
    </row>
    <row r="564" spans="1:29" x14ac:dyDescent="0.25">
      <c r="A564" s="18">
        <v>0</v>
      </c>
      <c r="B564" s="52" t="str">
        <f ca="1"/>
        <v/>
      </c>
      <c r="C564" s="52" t="str">
        <f ca="1">IFERROR(__xludf.DUMMYFUNCTION("""COMPUTED_VALUE"""),"")</f>
        <v/>
      </c>
      <c r="D564" s="18" t="str">
        <f ca="1">IFERROR(__xludf.DUMMYFUNCTION("""COMPUTED_VALUE"""),"")</f>
        <v/>
      </c>
      <c r="E564" s="18" t="str">
        <f ca="1">IFERROR(__xludf.DUMMYFUNCTION("""COMPUTED_VALUE"""),"")</f>
        <v/>
      </c>
      <c r="F564" s="18" t="str">
        <f ca="1">IFERROR(__xludf.DUMMYFUNCTION("""COMPUTED_VALUE"""),"")</f>
        <v/>
      </c>
      <c r="G564" s="18" t="str">
        <f ca="1">IFERROR(__xludf.DUMMYFUNCTION("""COMPUTED_VALUE"""),"")</f>
        <v/>
      </c>
      <c r="H564" s="18" t="str">
        <f ca="1">IFERROR(__xludf.DUMMYFUNCTION("""COMPUTED_VALUE"""),"")</f>
        <v/>
      </c>
      <c r="I564" s="18" t="str">
        <f ca="1">IFERROR(__xludf.DUMMYFUNCTION("""COMPUTED_VALUE"""),"")</f>
        <v/>
      </c>
      <c r="J564" s="18" t="str">
        <f ca="1">IFERROR(__xludf.DUMMYFUNCTION("""COMPUTED_VALUE"""),"")</f>
        <v/>
      </c>
      <c r="K564" s="18" t="str">
        <f ca="1">IFERROR(__xludf.DUMMYFUNCTION("""COMPUTED_VALUE"""),"")</f>
        <v/>
      </c>
      <c r="L564" s="18" t="str">
        <f ca="1">IFERROR(__xludf.DUMMYFUNCTION("""COMPUTED_VALUE"""),"")</f>
        <v/>
      </c>
      <c r="M564" s="18" t="str">
        <f ca="1">IFERROR(__xludf.DUMMYFUNCTION("""COMPUTED_VALUE"""),"")</f>
        <v/>
      </c>
      <c r="N564" s="18" t="str">
        <f ca="1">IFERROR(__xludf.DUMMYFUNCTION("""COMPUTED_VALUE"""),"")</f>
        <v/>
      </c>
      <c r="O564" s="18" t="str">
        <f ca="1">IFERROR(__xludf.DUMMYFUNCTION("""COMPUTED_VALUE"""),"")</f>
        <v/>
      </c>
      <c r="P564" s="18" t="str">
        <f ca="1">IFERROR(__xludf.DUMMYFUNCTION("""COMPUTED_VALUE"""),"")</f>
        <v/>
      </c>
      <c r="Q564" s="18" t="str">
        <f ca="1">IFERROR(__xludf.DUMMYFUNCTION("""COMPUTED_VALUE"""),"")</f>
        <v/>
      </c>
      <c r="R564" s="18" t="str">
        <f ca="1">IFERROR(__xludf.DUMMYFUNCTION("""COMPUTED_VALUE"""),"")</f>
        <v/>
      </c>
      <c r="S564" s="18" t="str">
        <f ca="1">IFERROR(__xludf.DUMMYFUNCTION("""COMPUTED_VALUE"""),"")</f>
        <v/>
      </c>
      <c r="T564" s="18" t="str">
        <f ca="1">IFERROR(__xludf.DUMMYFUNCTION("""COMPUTED_VALUE"""),"")</f>
        <v/>
      </c>
      <c r="U564" s="18" t="str">
        <f ca="1">IFERROR(__xludf.DUMMYFUNCTION("""COMPUTED_VALUE"""),"")</f>
        <v/>
      </c>
      <c r="V564" s="18" t="str">
        <f ca="1">IFERROR(__xludf.DUMMYFUNCTION("""COMPUTED_VALUE"""),"")</f>
        <v/>
      </c>
      <c r="W564" s="18" t="str">
        <f ca="1">IFERROR(__xludf.DUMMYFUNCTION("""COMPUTED_VALUE"""),"")</f>
        <v/>
      </c>
      <c r="X564" s="18" t="str">
        <f ca="1">IFERROR(__xludf.DUMMYFUNCTION("""COMPUTED_VALUE"""),"")</f>
        <v/>
      </c>
      <c r="Y564" s="18" t="e">
        <f ca="1"/>
        <v>#NAME?</v>
      </c>
      <c r="Z564" s="18" t="str">
        <f ca="1">IFERROR(__xludf.DUMMYFUNCTION("""COMPUTED_VALUE"""),"")</f>
        <v/>
      </c>
      <c r="AA564" s="18" t="str">
        <f ca="1">IFERROR(__xludf.DUMMYFUNCTION("""COMPUTED_VALUE"""),"")</f>
        <v/>
      </c>
      <c r="AC564" s="59"/>
    </row>
    <row r="565" spans="1:29" x14ac:dyDescent="0.25">
      <c r="A565" s="18">
        <v>0</v>
      </c>
      <c r="B565" s="52" t="str">
        <f ca="1"/>
        <v/>
      </c>
      <c r="C565" s="52" t="str">
        <f ca="1">IFERROR(__xludf.DUMMYFUNCTION("""COMPUTED_VALUE"""),"")</f>
        <v/>
      </c>
      <c r="D565" s="18" t="str">
        <f ca="1">IFERROR(__xludf.DUMMYFUNCTION("""COMPUTED_VALUE"""),"")</f>
        <v/>
      </c>
      <c r="E565" s="18" t="str">
        <f ca="1">IFERROR(__xludf.DUMMYFUNCTION("""COMPUTED_VALUE"""),"")</f>
        <v/>
      </c>
      <c r="F565" s="18" t="str">
        <f ca="1">IFERROR(__xludf.DUMMYFUNCTION("""COMPUTED_VALUE"""),"")</f>
        <v/>
      </c>
      <c r="G565" s="18" t="str">
        <f ca="1">IFERROR(__xludf.DUMMYFUNCTION("""COMPUTED_VALUE"""),"")</f>
        <v/>
      </c>
      <c r="H565" s="18" t="str">
        <f ca="1">IFERROR(__xludf.DUMMYFUNCTION("""COMPUTED_VALUE"""),"")</f>
        <v/>
      </c>
      <c r="I565" s="18" t="str">
        <f ca="1">IFERROR(__xludf.DUMMYFUNCTION("""COMPUTED_VALUE"""),"")</f>
        <v/>
      </c>
      <c r="J565" s="18" t="str">
        <f ca="1">IFERROR(__xludf.DUMMYFUNCTION("""COMPUTED_VALUE"""),"")</f>
        <v/>
      </c>
      <c r="K565" s="18" t="str">
        <f ca="1">IFERROR(__xludf.DUMMYFUNCTION("""COMPUTED_VALUE"""),"")</f>
        <v/>
      </c>
      <c r="L565" s="18" t="str">
        <f ca="1">IFERROR(__xludf.DUMMYFUNCTION("""COMPUTED_VALUE"""),"")</f>
        <v/>
      </c>
      <c r="M565" s="18" t="str">
        <f ca="1">IFERROR(__xludf.DUMMYFUNCTION("""COMPUTED_VALUE"""),"")</f>
        <v/>
      </c>
      <c r="N565" s="18" t="str">
        <f ca="1">IFERROR(__xludf.DUMMYFUNCTION("""COMPUTED_VALUE"""),"")</f>
        <v/>
      </c>
      <c r="O565" s="18" t="str">
        <f ca="1">IFERROR(__xludf.DUMMYFUNCTION("""COMPUTED_VALUE"""),"")</f>
        <v/>
      </c>
      <c r="P565" s="18" t="str">
        <f ca="1">IFERROR(__xludf.DUMMYFUNCTION("""COMPUTED_VALUE"""),"")</f>
        <v/>
      </c>
      <c r="Q565" s="18" t="str">
        <f ca="1">IFERROR(__xludf.DUMMYFUNCTION("""COMPUTED_VALUE"""),"")</f>
        <v/>
      </c>
      <c r="R565" s="18" t="str">
        <f ca="1">IFERROR(__xludf.DUMMYFUNCTION("""COMPUTED_VALUE"""),"")</f>
        <v/>
      </c>
      <c r="S565" s="18" t="str">
        <f ca="1">IFERROR(__xludf.DUMMYFUNCTION("""COMPUTED_VALUE"""),"")</f>
        <v/>
      </c>
      <c r="T565" s="18" t="str">
        <f ca="1">IFERROR(__xludf.DUMMYFUNCTION("""COMPUTED_VALUE"""),"")</f>
        <v/>
      </c>
      <c r="U565" s="18" t="str">
        <f ca="1">IFERROR(__xludf.DUMMYFUNCTION("""COMPUTED_VALUE"""),"")</f>
        <v/>
      </c>
      <c r="V565" s="18" t="str">
        <f ca="1">IFERROR(__xludf.DUMMYFUNCTION("""COMPUTED_VALUE"""),"")</f>
        <v/>
      </c>
      <c r="W565" s="18" t="str">
        <f ca="1">IFERROR(__xludf.DUMMYFUNCTION("""COMPUTED_VALUE"""),"")</f>
        <v/>
      </c>
      <c r="X565" s="18" t="str">
        <f ca="1">IFERROR(__xludf.DUMMYFUNCTION("""COMPUTED_VALUE"""),"")</f>
        <v/>
      </c>
      <c r="Y565" s="18" t="e">
        <f ca="1"/>
        <v>#NAME?</v>
      </c>
      <c r="Z565" s="18" t="str">
        <f ca="1">IFERROR(__xludf.DUMMYFUNCTION("""COMPUTED_VALUE"""),"")</f>
        <v/>
      </c>
      <c r="AA565" s="18" t="str">
        <f ca="1">IFERROR(__xludf.DUMMYFUNCTION("""COMPUTED_VALUE"""),"")</f>
        <v/>
      </c>
      <c r="AC565" s="59"/>
    </row>
    <row r="566" spans="1:29" x14ac:dyDescent="0.25">
      <c r="A566" s="18">
        <v>0</v>
      </c>
      <c r="B566" s="52" t="str">
        <f ca="1"/>
        <v/>
      </c>
      <c r="C566" s="52" t="str">
        <f ca="1">IFERROR(__xludf.DUMMYFUNCTION("""COMPUTED_VALUE"""),"")</f>
        <v/>
      </c>
      <c r="D566" s="18" t="str">
        <f ca="1">IFERROR(__xludf.DUMMYFUNCTION("""COMPUTED_VALUE"""),"")</f>
        <v/>
      </c>
      <c r="E566" s="18" t="str">
        <f ca="1">IFERROR(__xludf.DUMMYFUNCTION("""COMPUTED_VALUE"""),"")</f>
        <v/>
      </c>
      <c r="F566" s="18" t="str">
        <f ca="1">IFERROR(__xludf.DUMMYFUNCTION("""COMPUTED_VALUE"""),"")</f>
        <v/>
      </c>
      <c r="G566" s="18" t="str">
        <f ca="1">IFERROR(__xludf.DUMMYFUNCTION("""COMPUTED_VALUE"""),"")</f>
        <v/>
      </c>
      <c r="H566" s="18" t="str">
        <f ca="1">IFERROR(__xludf.DUMMYFUNCTION("""COMPUTED_VALUE"""),"")</f>
        <v/>
      </c>
      <c r="I566" s="18" t="str">
        <f ca="1">IFERROR(__xludf.DUMMYFUNCTION("""COMPUTED_VALUE"""),"")</f>
        <v/>
      </c>
      <c r="J566" s="18" t="str">
        <f ca="1">IFERROR(__xludf.DUMMYFUNCTION("""COMPUTED_VALUE"""),"")</f>
        <v/>
      </c>
      <c r="K566" s="18" t="str">
        <f ca="1">IFERROR(__xludf.DUMMYFUNCTION("""COMPUTED_VALUE"""),"")</f>
        <v/>
      </c>
      <c r="L566" s="18" t="str">
        <f ca="1">IFERROR(__xludf.DUMMYFUNCTION("""COMPUTED_VALUE"""),"")</f>
        <v/>
      </c>
      <c r="M566" s="18" t="str">
        <f ca="1">IFERROR(__xludf.DUMMYFUNCTION("""COMPUTED_VALUE"""),"")</f>
        <v/>
      </c>
      <c r="N566" s="18" t="str">
        <f ca="1">IFERROR(__xludf.DUMMYFUNCTION("""COMPUTED_VALUE"""),"")</f>
        <v/>
      </c>
      <c r="O566" s="18" t="str">
        <f ca="1">IFERROR(__xludf.DUMMYFUNCTION("""COMPUTED_VALUE"""),"")</f>
        <v/>
      </c>
      <c r="P566" s="18" t="str">
        <f ca="1">IFERROR(__xludf.DUMMYFUNCTION("""COMPUTED_VALUE"""),"")</f>
        <v/>
      </c>
      <c r="Q566" s="18" t="str">
        <f ca="1">IFERROR(__xludf.DUMMYFUNCTION("""COMPUTED_VALUE"""),"")</f>
        <v/>
      </c>
      <c r="R566" s="18" t="str">
        <f ca="1">IFERROR(__xludf.DUMMYFUNCTION("""COMPUTED_VALUE"""),"")</f>
        <v/>
      </c>
      <c r="S566" s="18" t="str">
        <f ca="1">IFERROR(__xludf.DUMMYFUNCTION("""COMPUTED_VALUE"""),"")</f>
        <v/>
      </c>
      <c r="T566" s="18" t="str">
        <f ca="1">IFERROR(__xludf.DUMMYFUNCTION("""COMPUTED_VALUE"""),"")</f>
        <v/>
      </c>
      <c r="U566" s="18" t="str">
        <f ca="1">IFERROR(__xludf.DUMMYFUNCTION("""COMPUTED_VALUE"""),"")</f>
        <v/>
      </c>
      <c r="V566" s="18" t="str">
        <f ca="1">IFERROR(__xludf.DUMMYFUNCTION("""COMPUTED_VALUE"""),"")</f>
        <v/>
      </c>
      <c r="W566" s="18" t="str">
        <f ca="1">IFERROR(__xludf.DUMMYFUNCTION("""COMPUTED_VALUE"""),"")</f>
        <v/>
      </c>
      <c r="X566" s="18" t="str">
        <f ca="1">IFERROR(__xludf.DUMMYFUNCTION("""COMPUTED_VALUE"""),"")</f>
        <v/>
      </c>
      <c r="Y566" s="18" t="e">
        <f ca="1"/>
        <v>#NAME?</v>
      </c>
      <c r="Z566" s="18" t="str">
        <f ca="1">IFERROR(__xludf.DUMMYFUNCTION("""COMPUTED_VALUE"""),"")</f>
        <v/>
      </c>
      <c r="AA566" s="18" t="str">
        <f ca="1">IFERROR(__xludf.DUMMYFUNCTION("""COMPUTED_VALUE"""),"")</f>
        <v/>
      </c>
      <c r="AC566" s="59"/>
    </row>
    <row r="567" spans="1:29" x14ac:dyDescent="0.25">
      <c r="A567" s="18">
        <v>0</v>
      </c>
      <c r="B567" s="52" t="str">
        <f ca="1"/>
        <v/>
      </c>
      <c r="C567" s="52" t="str">
        <f ca="1">IFERROR(__xludf.DUMMYFUNCTION("""COMPUTED_VALUE"""),"")</f>
        <v/>
      </c>
      <c r="D567" s="18" t="str">
        <f ca="1">IFERROR(__xludf.DUMMYFUNCTION("""COMPUTED_VALUE"""),"")</f>
        <v/>
      </c>
      <c r="E567" s="18" t="str">
        <f ca="1">IFERROR(__xludf.DUMMYFUNCTION("""COMPUTED_VALUE"""),"")</f>
        <v/>
      </c>
      <c r="F567" s="18" t="str">
        <f ca="1">IFERROR(__xludf.DUMMYFUNCTION("""COMPUTED_VALUE"""),"")</f>
        <v/>
      </c>
      <c r="G567" s="18" t="str">
        <f ca="1">IFERROR(__xludf.DUMMYFUNCTION("""COMPUTED_VALUE"""),"")</f>
        <v/>
      </c>
      <c r="H567" s="18" t="str">
        <f ca="1">IFERROR(__xludf.DUMMYFUNCTION("""COMPUTED_VALUE"""),"")</f>
        <v/>
      </c>
      <c r="I567" s="18" t="str">
        <f ca="1">IFERROR(__xludf.DUMMYFUNCTION("""COMPUTED_VALUE"""),"")</f>
        <v/>
      </c>
      <c r="J567" s="18" t="str">
        <f ca="1">IFERROR(__xludf.DUMMYFUNCTION("""COMPUTED_VALUE"""),"")</f>
        <v/>
      </c>
      <c r="K567" s="18" t="str">
        <f ca="1">IFERROR(__xludf.DUMMYFUNCTION("""COMPUTED_VALUE"""),"")</f>
        <v/>
      </c>
      <c r="L567" s="18" t="str">
        <f ca="1">IFERROR(__xludf.DUMMYFUNCTION("""COMPUTED_VALUE"""),"")</f>
        <v/>
      </c>
      <c r="M567" s="18" t="str">
        <f ca="1">IFERROR(__xludf.DUMMYFUNCTION("""COMPUTED_VALUE"""),"")</f>
        <v/>
      </c>
      <c r="N567" s="18" t="str">
        <f ca="1">IFERROR(__xludf.DUMMYFUNCTION("""COMPUTED_VALUE"""),"")</f>
        <v/>
      </c>
      <c r="O567" s="18" t="str">
        <f ca="1">IFERROR(__xludf.DUMMYFUNCTION("""COMPUTED_VALUE"""),"")</f>
        <v/>
      </c>
      <c r="P567" s="18" t="str">
        <f ca="1">IFERROR(__xludf.DUMMYFUNCTION("""COMPUTED_VALUE"""),"")</f>
        <v/>
      </c>
      <c r="Q567" s="18" t="str">
        <f ca="1">IFERROR(__xludf.DUMMYFUNCTION("""COMPUTED_VALUE"""),"")</f>
        <v/>
      </c>
      <c r="R567" s="18" t="str">
        <f ca="1">IFERROR(__xludf.DUMMYFUNCTION("""COMPUTED_VALUE"""),"")</f>
        <v/>
      </c>
      <c r="S567" s="18" t="str">
        <f ca="1">IFERROR(__xludf.DUMMYFUNCTION("""COMPUTED_VALUE"""),"")</f>
        <v/>
      </c>
      <c r="T567" s="18" t="str">
        <f ca="1">IFERROR(__xludf.DUMMYFUNCTION("""COMPUTED_VALUE"""),"")</f>
        <v/>
      </c>
      <c r="U567" s="18" t="str">
        <f ca="1">IFERROR(__xludf.DUMMYFUNCTION("""COMPUTED_VALUE"""),"")</f>
        <v/>
      </c>
      <c r="V567" s="18" t="str">
        <f ca="1">IFERROR(__xludf.DUMMYFUNCTION("""COMPUTED_VALUE"""),"")</f>
        <v/>
      </c>
      <c r="W567" s="18" t="str">
        <f ca="1">IFERROR(__xludf.DUMMYFUNCTION("""COMPUTED_VALUE"""),"")</f>
        <v/>
      </c>
      <c r="X567" s="18" t="str">
        <f ca="1">IFERROR(__xludf.DUMMYFUNCTION("""COMPUTED_VALUE"""),"")</f>
        <v/>
      </c>
      <c r="Y567" s="18" t="e">
        <f ca="1"/>
        <v>#NAME?</v>
      </c>
      <c r="Z567" s="18" t="str">
        <f ca="1">IFERROR(__xludf.DUMMYFUNCTION("""COMPUTED_VALUE"""),"")</f>
        <v/>
      </c>
      <c r="AA567" s="18" t="str">
        <f ca="1">IFERROR(__xludf.DUMMYFUNCTION("""COMPUTED_VALUE"""),"")</f>
        <v/>
      </c>
      <c r="AC567" s="59"/>
    </row>
    <row r="568" spans="1:29" x14ac:dyDescent="0.25">
      <c r="A568" s="18">
        <v>0</v>
      </c>
      <c r="B568" s="52" t="str">
        <f ca="1"/>
        <v/>
      </c>
      <c r="C568" s="52" t="str">
        <f ca="1">IFERROR(__xludf.DUMMYFUNCTION("""COMPUTED_VALUE"""),"")</f>
        <v/>
      </c>
      <c r="D568" s="18" t="str">
        <f ca="1">IFERROR(__xludf.DUMMYFUNCTION("""COMPUTED_VALUE"""),"")</f>
        <v/>
      </c>
      <c r="E568" s="18" t="str">
        <f ca="1">IFERROR(__xludf.DUMMYFUNCTION("""COMPUTED_VALUE"""),"")</f>
        <v/>
      </c>
      <c r="F568" s="18" t="str">
        <f ca="1">IFERROR(__xludf.DUMMYFUNCTION("""COMPUTED_VALUE"""),"")</f>
        <v/>
      </c>
      <c r="G568" s="18" t="str">
        <f ca="1">IFERROR(__xludf.DUMMYFUNCTION("""COMPUTED_VALUE"""),"")</f>
        <v/>
      </c>
      <c r="H568" s="18" t="str">
        <f ca="1">IFERROR(__xludf.DUMMYFUNCTION("""COMPUTED_VALUE"""),"")</f>
        <v/>
      </c>
      <c r="I568" s="18" t="str">
        <f ca="1">IFERROR(__xludf.DUMMYFUNCTION("""COMPUTED_VALUE"""),"")</f>
        <v/>
      </c>
      <c r="J568" s="18" t="str">
        <f ca="1">IFERROR(__xludf.DUMMYFUNCTION("""COMPUTED_VALUE"""),"")</f>
        <v/>
      </c>
      <c r="K568" s="18" t="str">
        <f ca="1">IFERROR(__xludf.DUMMYFUNCTION("""COMPUTED_VALUE"""),"")</f>
        <v/>
      </c>
      <c r="L568" s="18" t="str">
        <f ca="1">IFERROR(__xludf.DUMMYFUNCTION("""COMPUTED_VALUE"""),"")</f>
        <v/>
      </c>
      <c r="M568" s="18" t="str">
        <f ca="1">IFERROR(__xludf.DUMMYFUNCTION("""COMPUTED_VALUE"""),"")</f>
        <v/>
      </c>
      <c r="N568" s="18" t="str">
        <f ca="1">IFERROR(__xludf.DUMMYFUNCTION("""COMPUTED_VALUE"""),"")</f>
        <v/>
      </c>
      <c r="O568" s="18" t="str">
        <f ca="1">IFERROR(__xludf.DUMMYFUNCTION("""COMPUTED_VALUE"""),"")</f>
        <v/>
      </c>
      <c r="P568" s="18" t="str">
        <f ca="1">IFERROR(__xludf.DUMMYFUNCTION("""COMPUTED_VALUE"""),"")</f>
        <v/>
      </c>
      <c r="Q568" s="18" t="str">
        <f ca="1">IFERROR(__xludf.DUMMYFUNCTION("""COMPUTED_VALUE"""),"")</f>
        <v/>
      </c>
      <c r="R568" s="18" t="str">
        <f ca="1">IFERROR(__xludf.DUMMYFUNCTION("""COMPUTED_VALUE"""),"")</f>
        <v/>
      </c>
      <c r="S568" s="18" t="str">
        <f ca="1">IFERROR(__xludf.DUMMYFUNCTION("""COMPUTED_VALUE"""),"")</f>
        <v/>
      </c>
      <c r="T568" s="18" t="str">
        <f ca="1">IFERROR(__xludf.DUMMYFUNCTION("""COMPUTED_VALUE"""),"")</f>
        <v/>
      </c>
      <c r="U568" s="18" t="str">
        <f ca="1">IFERROR(__xludf.DUMMYFUNCTION("""COMPUTED_VALUE"""),"")</f>
        <v/>
      </c>
      <c r="V568" s="18" t="str">
        <f ca="1">IFERROR(__xludf.DUMMYFUNCTION("""COMPUTED_VALUE"""),"")</f>
        <v/>
      </c>
      <c r="W568" s="18" t="str">
        <f ca="1">IFERROR(__xludf.DUMMYFUNCTION("""COMPUTED_VALUE"""),"")</f>
        <v/>
      </c>
      <c r="X568" s="18" t="str">
        <f ca="1">IFERROR(__xludf.DUMMYFUNCTION("""COMPUTED_VALUE"""),"")</f>
        <v/>
      </c>
      <c r="Y568" s="18" t="e">
        <f ca="1"/>
        <v>#NAME?</v>
      </c>
      <c r="Z568" s="18" t="str">
        <f ca="1">IFERROR(__xludf.DUMMYFUNCTION("""COMPUTED_VALUE"""),"")</f>
        <v/>
      </c>
      <c r="AA568" s="18" t="str">
        <f ca="1">IFERROR(__xludf.DUMMYFUNCTION("""COMPUTED_VALUE"""),"")</f>
        <v/>
      </c>
      <c r="AC568" s="59"/>
    </row>
    <row r="569" spans="1:29" x14ac:dyDescent="0.25">
      <c r="A569" s="18">
        <v>0</v>
      </c>
      <c r="B569" s="52" t="str">
        <f ca="1"/>
        <v/>
      </c>
      <c r="C569" s="52" t="str">
        <f ca="1">IFERROR(__xludf.DUMMYFUNCTION("""COMPUTED_VALUE"""),"")</f>
        <v/>
      </c>
      <c r="D569" s="18" t="str">
        <f ca="1">IFERROR(__xludf.DUMMYFUNCTION("""COMPUTED_VALUE"""),"")</f>
        <v/>
      </c>
      <c r="E569" s="18" t="str">
        <f ca="1">IFERROR(__xludf.DUMMYFUNCTION("""COMPUTED_VALUE"""),"")</f>
        <v/>
      </c>
      <c r="F569" s="18" t="str">
        <f ca="1">IFERROR(__xludf.DUMMYFUNCTION("""COMPUTED_VALUE"""),"")</f>
        <v/>
      </c>
      <c r="G569" s="18" t="str">
        <f ca="1">IFERROR(__xludf.DUMMYFUNCTION("""COMPUTED_VALUE"""),"")</f>
        <v/>
      </c>
      <c r="H569" s="18" t="str">
        <f ca="1">IFERROR(__xludf.DUMMYFUNCTION("""COMPUTED_VALUE"""),"")</f>
        <v/>
      </c>
      <c r="I569" s="18" t="str">
        <f ca="1">IFERROR(__xludf.DUMMYFUNCTION("""COMPUTED_VALUE"""),"")</f>
        <v/>
      </c>
      <c r="J569" s="18" t="str">
        <f ca="1">IFERROR(__xludf.DUMMYFUNCTION("""COMPUTED_VALUE"""),"")</f>
        <v/>
      </c>
      <c r="K569" s="18" t="str">
        <f ca="1">IFERROR(__xludf.DUMMYFUNCTION("""COMPUTED_VALUE"""),"")</f>
        <v/>
      </c>
      <c r="L569" s="18" t="str">
        <f ca="1">IFERROR(__xludf.DUMMYFUNCTION("""COMPUTED_VALUE"""),"")</f>
        <v/>
      </c>
      <c r="M569" s="18" t="str">
        <f ca="1">IFERROR(__xludf.DUMMYFUNCTION("""COMPUTED_VALUE"""),"")</f>
        <v/>
      </c>
      <c r="N569" s="18" t="str">
        <f ca="1">IFERROR(__xludf.DUMMYFUNCTION("""COMPUTED_VALUE"""),"")</f>
        <v/>
      </c>
      <c r="O569" s="18" t="str">
        <f ca="1">IFERROR(__xludf.DUMMYFUNCTION("""COMPUTED_VALUE"""),"")</f>
        <v/>
      </c>
      <c r="P569" s="18" t="str">
        <f ca="1">IFERROR(__xludf.DUMMYFUNCTION("""COMPUTED_VALUE"""),"")</f>
        <v/>
      </c>
      <c r="Q569" s="18" t="str">
        <f ca="1">IFERROR(__xludf.DUMMYFUNCTION("""COMPUTED_VALUE"""),"")</f>
        <v/>
      </c>
      <c r="R569" s="18" t="str">
        <f ca="1">IFERROR(__xludf.DUMMYFUNCTION("""COMPUTED_VALUE"""),"")</f>
        <v/>
      </c>
      <c r="S569" s="18" t="str">
        <f ca="1">IFERROR(__xludf.DUMMYFUNCTION("""COMPUTED_VALUE"""),"")</f>
        <v/>
      </c>
      <c r="T569" s="18" t="str">
        <f ca="1">IFERROR(__xludf.DUMMYFUNCTION("""COMPUTED_VALUE"""),"")</f>
        <v/>
      </c>
      <c r="U569" s="18" t="str">
        <f ca="1">IFERROR(__xludf.DUMMYFUNCTION("""COMPUTED_VALUE"""),"")</f>
        <v/>
      </c>
      <c r="V569" s="18" t="str">
        <f ca="1">IFERROR(__xludf.DUMMYFUNCTION("""COMPUTED_VALUE"""),"")</f>
        <v/>
      </c>
      <c r="W569" s="18" t="str">
        <f ca="1">IFERROR(__xludf.DUMMYFUNCTION("""COMPUTED_VALUE"""),"")</f>
        <v/>
      </c>
      <c r="X569" s="18" t="str">
        <f ca="1">IFERROR(__xludf.DUMMYFUNCTION("""COMPUTED_VALUE"""),"")</f>
        <v/>
      </c>
      <c r="Y569" s="18" t="e">
        <f ca="1"/>
        <v>#NAME?</v>
      </c>
      <c r="Z569" s="18" t="str">
        <f ca="1">IFERROR(__xludf.DUMMYFUNCTION("""COMPUTED_VALUE"""),"")</f>
        <v/>
      </c>
      <c r="AA569" s="18" t="str">
        <f ca="1">IFERROR(__xludf.DUMMYFUNCTION("""COMPUTED_VALUE"""),"")</f>
        <v/>
      </c>
      <c r="AC569" s="59"/>
    </row>
    <row r="570" spans="1:29" x14ac:dyDescent="0.25">
      <c r="A570" s="18">
        <v>0</v>
      </c>
      <c r="B570" s="52" t="str">
        <f ca="1"/>
        <v/>
      </c>
      <c r="C570" s="52" t="str">
        <f ca="1">IFERROR(__xludf.DUMMYFUNCTION("""COMPUTED_VALUE"""),"")</f>
        <v/>
      </c>
      <c r="D570" s="18" t="str">
        <f ca="1">IFERROR(__xludf.DUMMYFUNCTION("""COMPUTED_VALUE"""),"")</f>
        <v/>
      </c>
      <c r="E570" s="18" t="str">
        <f ca="1">IFERROR(__xludf.DUMMYFUNCTION("""COMPUTED_VALUE"""),"")</f>
        <v/>
      </c>
      <c r="F570" s="18" t="str">
        <f ca="1">IFERROR(__xludf.DUMMYFUNCTION("""COMPUTED_VALUE"""),"")</f>
        <v/>
      </c>
      <c r="G570" s="18" t="str">
        <f ca="1">IFERROR(__xludf.DUMMYFUNCTION("""COMPUTED_VALUE"""),"")</f>
        <v/>
      </c>
      <c r="H570" s="18" t="str">
        <f ca="1">IFERROR(__xludf.DUMMYFUNCTION("""COMPUTED_VALUE"""),"")</f>
        <v/>
      </c>
      <c r="I570" s="18" t="str">
        <f ca="1">IFERROR(__xludf.DUMMYFUNCTION("""COMPUTED_VALUE"""),"")</f>
        <v/>
      </c>
      <c r="J570" s="18" t="str">
        <f ca="1">IFERROR(__xludf.DUMMYFUNCTION("""COMPUTED_VALUE"""),"")</f>
        <v/>
      </c>
      <c r="K570" s="18" t="str">
        <f ca="1">IFERROR(__xludf.DUMMYFUNCTION("""COMPUTED_VALUE"""),"")</f>
        <v/>
      </c>
      <c r="L570" s="18" t="str">
        <f ca="1">IFERROR(__xludf.DUMMYFUNCTION("""COMPUTED_VALUE"""),"")</f>
        <v/>
      </c>
      <c r="M570" s="18" t="str">
        <f ca="1">IFERROR(__xludf.DUMMYFUNCTION("""COMPUTED_VALUE"""),"")</f>
        <v/>
      </c>
      <c r="N570" s="18" t="str">
        <f ca="1">IFERROR(__xludf.DUMMYFUNCTION("""COMPUTED_VALUE"""),"")</f>
        <v/>
      </c>
      <c r="O570" s="18" t="str">
        <f ca="1">IFERROR(__xludf.DUMMYFUNCTION("""COMPUTED_VALUE"""),"")</f>
        <v/>
      </c>
      <c r="P570" s="18" t="str">
        <f ca="1">IFERROR(__xludf.DUMMYFUNCTION("""COMPUTED_VALUE"""),"")</f>
        <v/>
      </c>
      <c r="Q570" s="18" t="str">
        <f ca="1">IFERROR(__xludf.DUMMYFUNCTION("""COMPUTED_VALUE"""),"")</f>
        <v/>
      </c>
      <c r="R570" s="18" t="str">
        <f ca="1">IFERROR(__xludf.DUMMYFUNCTION("""COMPUTED_VALUE"""),"")</f>
        <v/>
      </c>
      <c r="S570" s="18" t="str">
        <f ca="1">IFERROR(__xludf.DUMMYFUNCTION("""COMPUTED_VALUE"""),"")</f>
        <v/>
      </c>
      <c r="T570" s="18" t="str">
        <f ca="1">IFERROR(__xludf.DUMMYFUNCTION("""COMPUTED_VALUE"""),"")</f>
        <v/>
      </c>
      <c r="U570" s="18" t="str">
        <f ca="1">IFERROR(__xludf.DUMMYFUNCTION("""COMPUTED_VALUE"""),"")</f>
        <v/>
      </c>
      <c r="V570" s="18" t="str">
        <f ca="1">IFERROR(__xludf.DUMMYFUNCTION("""COMPUTED_VALUE"""),"")</f>
        <v/>
      </c>
      <c r="W570" s="18" t="str">
        <f ca="1">IFERROR(__xludf.DUMMYFUNCTION("""COMPUTED_VALUE"""),"")</f>
        <v/>
      </c>
      <c r="X570" s="18" t="str">
        <f ca="1">IFERROR(__xludf.DUMMYFUNCTION("""COMPUTED_VALUE"""),"")</f>
        <v/>
      </c>
      <c r="Y570" s="18" t="e">
        <f ca="1"/>
        <v>#NAME?</v>
      </c>
      <c r="Z570" s="18" t="str">
        <f ca="1">IFERROR(__xludf.DUMMYFUNCTION("""COMPUTED_VALUE"""),"")</f>
        <v/>
      </c>
      <c r="AA570" s="18" t="str">
        <f ca="1">IFERROR(__xludf.DUMMYFUNCTION("""COMPUTED_VALUE"""),"")</f>
        <v/>
      </c>
      <c r="AC570" s="59"/>
    </row>
    <row r="571" spans="1:29" x14ac:dyDescent="0.25">
      <c r="A571" s="18">
        <v>0</v>
      </c>
      <c r="B571" s="52" t="str">
        <f ca="1"/>
        <v/>
      </c>
      <c r="C571" s="52" t="str">
        <f ca="1">IFERROR(__xludf.DUMMYFUNCTION("""COMPUTED_VALUE"""),"")</f>
        <v/>
      </c>
      <c r="D571" s="18" t="str">
        <f ca="1">IFERROR(__xludf.DUMMYFUNCTION("""COMPUTED_VALUE"""),"")</f>
        <v/>
      </c>
      <c r="E571" s="18" t="str">
        <f ca="1">IFERROR(__xludf.DUMMYFUNCTION("""COMPUTED_VALUE"""),"")</f>
        <v/>
      </c>
      <c r="F571" s="18" t="str">
        <f ca="1">IFERROR(__xludf.DUMMYFUNCTION("""COMPUTED_VALUE"""),"")</f>
        <v/>
      </c>
      <c r="G571" s="18" t="str">
        <f ca="1">IFERROR(__xludf.DUMMYFUNCTION("""COMPUTED_VALUE"""),"")</f>
        <v/>
      </c>
      <c r="H571" s="18" t="str">
        <f ca="1">IFERROR(__xludf.DUMMYFUNCTION("""COMPUTED_VALUE"""),"")</f>
        <v/>
      </c>
      <c r="I571" s="18" t="str">
        <f ca="1">IFERROR(__xludf.DUMMYFUNCTION("""COMPUTED_VALUE"""),"")</f>
        <v/>
      </c>
      <c r="J571" s="18" t="str">
        <f ca="1">IFERROR(__xludf.DUMMYFUNCTION("""COMPUTED_VALUE"""),"")</f>
        <v/>
      </c>
      <c r="K571" s="18" t="str">
        <f ca="1">IFERROR(__xludf.DUMMYFUNCTION("""COMPUTED_VALUE"""),"")</f>
        <v/>
      </c>
      <c r="L571" s="18" t="str">
        <f ca="1">IFERROR(__xludf.DUMMYFUNCTION("""COMPUTED_VALUE"""),"")</f>
        <v/>
      </c>
      <c r="M571" s="18" t="str">
        <f ca="1">IFERROR(__xludf.DUMMYFUNCTION("""COMPUTED_VALUE"""),"")</f>
        <v/>
      </c>
      <c r="N571" s="18" t="str">
        <f ca="1">IFERROR(__xludf.DUMMYFUNCTION("""COMPUTED_VALUE"""),"")</f>
        <v/>
      </c>
      <c r="O571" s="18" t="str">
        <f ca="1">IFERROR(__xludf.DUMMYFUNCTION("""COMPUTED_VALUE"""),"")</f>
        <v/>
      </c>
      <c r="P571" s="18" t="str">
        <f ca="1">IFERROR(__xludf.DUMMYFUNCTION("""COMPUTED_VALUE"""),"")</f>
        <v/>
      </c>
      <c r="Q571" s="18" t="str">
        <f ca="1">IFERROR(__xludf.DUMMYFUNCTION("""COMPUTED_VALUE"""),"")</f>
        <v/>
      </c>
      <c r="R571" s="18" t="str">
        <f ca="1">IFERROR(__xludf.DUMMYFUNCTION("""COMPUTED_VALUE"""),"")</f>
        <v/>
      </c>
      <c r="S571" s="18" t="str">
        <f ca="1">IFERROR(__xludf.DUMMYFUNCTION("""COMPUTED_VALUE"""),"")</f>
        <v/>
      </c>
      <c r="T571" s="18" t="str">
        <f ca="1">IFERROR(__xludf.DUMMYFUNCTION("""COMPUTED_VALUE"""),"")</f>
        <v/>
      </c>
      <c r="U571" s="18" t="str">
        <f ca="1">IFERROR(__xludf.DUMMYFUNCTION("""COMPUTED_VALUE"""),"")</f>
        <v/>
      </c>
      <c r="V571" s="18" t="str">
        <f ca="1">IFERROR(__xludf.DUMMYFUNCTION("""COMPUTED_VALUE"""),"")</f>
        <v/>
      </c>
      <c r="W571" s="18" t="str">
        <f ca="1">IFERROR(__xludf.DUMMYFUNCTION("""COMPUTED_VALUE"""),"")</f>
        <v/>
      </c>
      <c r="X571" s="18" t="str">
        <f ca="1">IFERROR(__xludf.DUMMYFUNCTION("""COMPUTED_VALUE"""),"")</f>
        <v/>
      </c>
      <c r="Y571" s="18" t="e">
        <f ca="1"/>
        <v>#NAME?</v>
      </c>
      <c r="Z571" s="18" t="str">
        <f ca="1">IFERROR(__xludf.DUMMYFUNCTION("""COMPUTED_VALUE"""),"")</f>
        <v/>
      </c>
      <c r="AA571" s="18" t="str">
        <f ca="1">IFERROR(__xludf.DUMMYFUNCTION("""COMPUTED_VALUE"""),"")</f>
        <v/>
      </c>
      <c r="AC571" s="59"/>
    </row>
    <row r="572" spans="1:29" x14ac:dyDescent="0.25">
      <c r="A572" s="18">
        <v>0</v>
      </c>
      <c r="B572" s="52" t="str">
        <f ca="1"/>
        <v/>
      </c>
      <c r="C572" s="52" t="str">
        <f ca="1">IFERROR(__xludf.DUMMYFUNCTION("""COMPUTED_VALUE"""),"")</f>
        <v/>
      </c>
      <c r="D572" s="18" t="str">
        <f ca="1">IFERROR(__xludf.DUMMYFUNCTION("""COMPUTED_VALUE"""),"")</f>
        <v/>
      </c>
      <c r="E572" s="18" t="str">
        <f ca="1">IFERROR(__xludf.DUMMYFUNCTION("""COMPUTED_VALUE"""),"")</f>
        <v/>
      </c>
      <c r="F572" s="18" t="str">
        <f ca="1">IFERROR(__xludf.DUMMYFUNCTION("""COMPUTED_VALUE"""),"")</f>
        <v/>
      </c>
      <c r="G572" s="18" t="str">
        <f ca="1">IFERROR(__xludf.DUMMYFUNCTION("""COMPUTED_VALUE"""),"")</f>
        <v/>
      </c>
      <c r="H572" s="18" t="str">
        <f ca="1">IFERROR(__xludf.DUMMYFUNCTION("""COMPUTED_VALUE"""),"")</f>
        <v/>
      </c>
      <c r="I572" s="18" t="str">
        <f ca="1">IFERROR(__xludf.DUMMYFUNCTION("""COMPUTED_VALUE"""),"")</f>
        <v/>
      </c>
      <c r="J572" s="18" t="str">
        <f ca="1">IFERROR(__xludf.DUMMYFUNCTION("""COMPUTED_VALUE"""),"")</f>
        <v/>
      </c>
      <c r="K572" s="18" t="str">
        <f ca="1">IFERROR(__xludf.DUMMYFUNCTION("""COMPUTED_VALUE"""),"")</f>
        <v/>
      </c>
      <c r="L572" s="18" t="str">
        <f ca="1">IFERROR(__xludf.DUMMYFUNCTION("""COMPUTED_VALUE"""),"")</f>
        <v/>
      </c>
      <c r="M572" s="18" t="str">
        <f ca="1">IFERROR(__xludf.DUMMYFUNCTION("""COMPUTED_VALUE"""),"")</f>
        <v/>
      </c>
      <c r="N572" s="18" t="str">
        <f ca="1">IFERROR(__xludf.DUMMYFUNCTION("""COMPUTED_VALUE"""),"")</f>
        <v/>
      </c>
      <c r="O572" s="18" t="str">
        <f ca="1">IFERROR(__xludf.DUMMYFUNCTION("""COMPUTED_VALUE"""),"")</f>
        <v/>
      </c>
      <c r="P572" s="18" t="str">
        <f ca="1">IFERROR(__xludf.DUMMYFUNCTION("""COMPUTED_VALUE"""),"")</f>
        <v/>
      </c>
      <c r="Q572" s="18" t="str">
        <f ca="1">IFERROR(__xludf.DUMMYFUNCTION("""COMPUTED_VALUE"""),"")</f>
        <v/>
      </c>
      <c r="R572" s="18" t="str">
        <f ca="1">IFERROR(__xludf.DUMMYFUNCTION("""COMPUTED_VALUE"""),"")</f>
        <v/>
      </c>
      <c r="S572" s="18" t="str">
        <f ca="1">IFERROR(__xludf.DUMMYFUNCTION("""COMPUTED_VALUE"""),"")</f>
        <v/>
      </c>
      <c r="T572" s="18" t="str">
        <f ca="1">IFERROR(__xludf.DUMMYFUNCTION("""COMPUTED_VALUE"""),"")</f>
        <v/>
      </c>
      <c r="U572" s="18" t="str">
        <f ca="1">IFERROR(__xludf.DUMMYFUNCTION("""COMPUTED_VALUE"""),"")</f>
        <v/>
      </c>
      <c r="V572" s="18" t="str">
        <f ca="1">IFERROR(__xludf.DUMMYFUNCTION("""COMPUTED_VALUE"""),"")</f>
        <v/>
      </c>
      <c r="W572" s="18" t="str">
        <f ca="1">IFERROR(__xludf.DUMMYFUNCTION("""COMPUTED_VALUE"""),"")</f>
        <v/>
      </c>
      <c r="X572" s="18" t="str">
        <f ca="1">IFERROR(__xludf.DUMMYFUNCTION("""COMPUTED_VALUE"""),"")</f>
        <v/>
      </c>
      <c r="Y572" s="18" t="e">
        <f ca="1"/>
        <v>#NAME?</v>
      </c>
      <c r="Z572" s="18" t="str">
        <f ca="1">IFERROR(__xludf.DUMMYFUNCTION("""COMPUTED_VALUE"""),"")</f>
        <v/>
      </c>
      <c r="AA572" s="18" t="str">
        <f ca="1">IFERROR(__xludf.DUMMYFUNCTION("""COMPUTED_VALUE"""),"")</f>
        <v/>
      </c>
      <c r="AC572" s="59"/>
    </row>
    <row r="573" spans="1:29" x14ac:dyDescent="0.25">
      <c r="A573" s="18">
        <v>0</v>
      </c>
      <c r="B573" s="52" t="str">
        <f ca="1"/>
        <v/>
      </c>
      <c r="C573" s="52" t="str">
        <f ca="1">IFERROR(__xludf.DUMMYFUNCTION("""COMPUTED_VALUE"""),"")</f>
        <v/>
      </c>
      <c r="D573" s="18" t="str">
        <f ca="1">IFERROR(__xludf.DUMMYFUNCTION("""COMPUTED_VALUE"""),"")</f>
        <v/>
      </c>
      <c r="E573" s="18" t="str">
        <f ca="1">IFERROR(__xludf.DUMMYFUNCTION("""COMPUTED_VALUE"""),"")</f>
        <v/>
      </c>
      <c r="F573" s="18" t="str">
        <f ca="1">IFERROR(__xludf.DUMMYFUNCTION("""COMPUTED_VALUE"""),"")</f>
        <v/>
      </c>
      <c r="G573" s="18" t="str">
        <f ca="1">IFERROR(__xludf.DUMMYFUNCTION("""COMPUTED_VALUE"""),"")</f>
        <v/>
      </c>
      <c r="H573" s="18" t="str">
        <f ca="1">IFERROR(__xludf.DUMMYFUNCTION("""COMPUTED_VALUE"""),"")</f>
        <v/>
      </c>
      <c r="I573" s="18" t="str">
        <f ca="1">IFERROR(__xludf.DUMMYFUNCTION("""COMPUTED_VALUE"""),"")</f>
        <v/>
      </c>
      <c r="J573" s="18" t="str">
        <f ca="1">IFERROR(__xludf.DUMMYFUNCTION("""COMPUTED_VALUE"""),"")</f>
        <v/>
      </c>
      <c r="K573" s="18" t="str">
        <f ca="1">IFERROR(__xludf.DUMMYFUNCTION("""COMPUTED_VALUE"""),"")</f>
        <v/>
      </c>
      <c r="L573" s="18" t="str">
        <f ca="1">IFERROR(__xludf.DUMMYFUNCTION("""COMPUTED_VALUE"""),"")</f>
        <v/>
      </c>
      <c r="M573" s="18" t="str">
        <f ca="1">IFERROR(__xludf.DUMMYFUNCTION("""COMPUTED_VALUE"""),"")</f>
        <v/>
      </c>
      <c r="N573" s="18" t="str">
        <f ca="1">IFERROR(__xludf.DUMMYFUNCTION("""COMPUTED_VALUE"""),"")</f>
        <v/>
      </c>
      <c r="O573" s="18" t="str">
        <f ca="1">IFERROR(__xludf.DUMMYFUNCTION("""COMPUTED_VALUE"""),"")</f>
        <v/>
      </c>
      <c r="P573" s="18" t="str">
        <f ca="1">IFERROR(__xludf.DUMMYFUNCTION("""COMPUTED_VALUE"""),"")</f>
        <v/>
      </c>
      <c r="Q573" s="18" t="str">
        <f ca="1">IFERROR(__xludf.DUMMYFUNCTION("""COMPUTED_VALUE"""),"")</f>
        <v/>
      </c>
      <c r="R573" s="18" t="str">
        <f ca="1">IFERROR(__xludf.DUMMYFUNCTION("""COMPUTED_VALUE"""),"")</f>
        <v/>
      </c>
      <c r="S573" s="18" t="str">
        <f ca="1">IFERROR(__xludf.DUMMYFUNCTION("""COMPUTED_VALUE"""),"")</f>
        <v/>
      </c>
      <c r="T573" s="18" t="str">
        <f ca="1">IFERROR(__xludf.DUMMYFUNCTION("""COMPUTED_VALUE"""),"")</f>
        <v/>
      </c>
      <c r="U573" s="18" t="str">
        <f ca="1">IFERROR(__xludf.DUMMYFUNCTION("""COMPUTED_VALUE"""),"")</f>
        <v/>
      </c>
      <c r="V573" s="18" t="str">
        <f ca="1">IFERROR(__xludf.DUMMYFUNCTION("""COMPUTED_VALUE"""),"")</f>
        <v/>
      </c>
      <c r="W573" s="18" t="str">
        <f ca="1">IFERROR(__xludf.DUMMYFUNCTION("""COMPUTED_VALUE"""),"")</f>
        <v/>
      </c>
      <c r="X573" s="18" t="str">
        <f ca="1">IFERROR(__xludf.DUMMYFUNCTION("""COMPUTED_VALUE"""),"")</f>
        <v/>
      </c>
      <c r="Y573" s="18" t="e">
        <f ca="1"/>
        <v>#NAME?</v>
      </c>
      <c r="Z573" s="18" t="str">
        <f ca="1">IFERROR(__xludf.DUMMYFUNCTION("""COMPUTED_VALUE"""),"")</f>
        <v/>
      </c>
      <c r="AA573" s="18" t="str">
        <f ca="1">IFERROR(__xludf.DUMMYFUNCTION("""COMPUTED_VALUE"""),"")</f>
        <v/>
      </c>
      <c r="AC573" s="59"/>
    </row>
    <row r="574" spans="1:29" x14ac:dyDescent="0.25">
      <c r="A574" s="18">
        <v>0</v>
      </c>
      <c r="B574" s="52" t="str">
        <f ca="1"/>
        <v/>
      </c>
      <c r="C574" s="52" t="str">
        <f ca="1">IFERROR(__xludf.DUMMYFUNCTION("""COMPUTED_VALUE"""),"")</f>
        <v/>
      </c>
      <c r="D574" s="18" t="str">
        <f ca="1">IFERROR(__xludf.DUMMYFUNCTION("""COMPUTED_VALUE"""),"")</f>
        <v/>
      </c>
      <c r="E574" s="18" t="str">
        <f ca="1">IFERROR(__xludf.DUMMYFUNCTION("""COMPUTED_VALUE"""),"")</f>
        <v/>
      </c>
      <c r="F574" s="18" t="str">
        <f ca="1">IFERROR(__xludf.DUMMYFUNCTION("""COMPUTED_VALUE"""),"")</f>
        <v/>
      </c>
      <c r="G574" s="18" t="str">
        <f ca="1">IFERROR(__xludf.DUMMYFUNCTION("""COMPUTED_VALUE"""),"")</f>
        <v/>
      </c>
      <c r="H574" s="18" t="str">
        <f ca="1">IFERROR(__xludf.DUMMYFUNCTION("""COMPUTED_VALUE"""),"")</f>
        <v/>
      </c>
      <c r="I574" s="18" t="str">
        <f ca="1">IFERROR(__xludf.DUMMYFUNCTION("""COMPUTED_VALUE"""),"")</f>
        <v/>
      </c>
      <c r="J574" s="18" t="str">
        <f ca="1">IFERROR(__xludf.DUMMYFUNCTION("""COMPUTED_VALUE"""),"")</f>
        <v/>
      </c>
      <c r="K574" s="18" t="str">
        <f ca="1">IFERROR(__xludf.DUMMYFUNCTION("""COMPUTED_VALUE"""),"")</f>
        <v/>
      </c>
      <c r="L574" s="18" t="str">
        <f ca="1">IFERROR(__xludf.DUMMYFUNCTION("""COMPUTED_VALUE"""),"")</f>
        <v/>
      </c>
      <c r="M574" s="18" t="str">
        <f ca="1">IFERROR(__xludf.DUMMYFUNCTION("""COMPUTED_VALUE"""),"")</f>
        <v/>
      </c>
      <c r="N574" s="18" t="str">
        <f ca="1">IFERROR(__xludf.DUMMYFUNCTION("""COMPUTED_VALUE"""),"")</f>
        <v/>
      </c>
      <c r="O574" s="18" t="str">
        <f ca="1">IFERROR(__xludf.DUMMYFUNCTION("""COMPUTED_VALUE"""),"")</f>
        <v/>
      </c>
      <c r="P574" s="18" t="str">
        <f ca="1">IFERROR(__xludf.DUMMYFUNCTION("""COMPUTED_VALUE"""),"")</f>
        <v/>
      </c>
      <c r="Q574" s="18" t="str">
        <f ca="1">IFERROR(__xludf.DUMMYFUNCTION("""COMPUTED_VALUE"""),"")</f>
        <v/>
      </c>
      <c r="R574" s="18" t="str">
        <f ca="1">IFERROR(__xludf.DUMMYFUNCTION("""COMPUTED_VALUE"""),"")</f>
        <v/>
      </c>
      <c r="S574" s="18" t="str">
        <f ca="1">IFERROR(__xludf.DUMMYFUNCTION("""COMPUTED_VALUE"""),"")</f>
        <v/>
      </c>
      <c r="T574" s="18" t="str">
        <f ca="1">IFERROR(__xludf.DUMMYFUNCTION("""COMPUTED_VALUE"""),"")</f>
        <v/>
      </c>
      <c r="U574" s="18" t="str">
        <f ca="1">IFERROR(__xludf.DUMMYFUNCTION("""COMPUTED_VALUE"""),"")</f>
        <v/>
      </c>
      <c r="V574" s="18" t="str">
        <f ca="1">IFERROR(__xludf.DUMMYFUNCTION("""COMPUTED_VALUE"""),"")</f>
        <v/>
      </c>
      <c r="W574" s="18" t="str">
        <f ca="1">IFERROR(__xludf.DUMMYFUNCTION("""COMPUTED_VALUE"""),"")</f>
        <v/>
      </c>
      <c r="X574" s="18" t="str">
        <f ca="1">IFERROR(__xludf.DUMMYFUNCTION("""COMPUTED_VALUE"""),"")</f>
        <v/>
      </c>
      <c r="Y574" s="18" t="e">
        <f ca="1"/>
        <v>#NAME?</v>
      </c>
      <c r="Z574" s="18" t="str">
        <f ca="1">IFERROR(__xludf.DUMMYFUNCTION("""COMPUTED_VALUE"""),"")</f>
        <v/>
      </c>
      <c r="AA574" s="18" t="str">
        <f ca="1">IFERROR(__xludf.DUMMYFUNCTION("""COMPUTED_VALUE"""),"")</f>
        <v/>
      </c>
      <c r="AC574" s="59"/>
    </row>
    <row r="575" spans="1:29" x14ac:dyDescent="0.25">
      <c r="A575" s="18">
        <v>0</v>
      </c>
      <c r="B575" s="52" t="str">
        <f ca="1"/>
        <v/>
      </c>
      <c r="C575" s="52" t="str">
        <f ca="1">IFERROR(__xludf.DUMMYFUNCTION("""COMPUTED_VALUE"""),"")</f>
        <v/>
      </c>
      <c r="D575" s="18" t="str">
        <f ca="1">IFERROR(__xludf.DUMMYFUNCTION("""COMPUTED_VALUE"""),"")</f>
        <v/>
      </c>
      <c r="E575" s="18" t="str">
        <f ca="1">IFERROR(__xludf.DUMMYFUNCTION("""COMPUTED_VALUE"""),"")</f>
        <v/>
      </c>
      <c r="F575" s="18" t="str">
        <f ca="1">IFERROR(__xludf.DUMMYFUNCTION("""COMPUTED_VALUE"""),"")</f>
        <v/>
      </c>
      <c r="G575" s="18" t="str">
        <f ca="1">IFERROR(__xludf.DUMMYFUNCTION("""COMPUTED_VALUE"""),"")</f>
        <v/>
      </c>
      <c r="H575" s="18" t="str">
        <f ca="1">IFERROR(__xludf.DUMMYFUNCTION("""COMPUTED_VALUE"""),"")</f>
        <v/>
      </c>
      <c r="I575" s="18" t="str">
        <f ca="1">IFERROR(__xludf.DUMMYFUNCTION("""COMPUTED_VALUE"""),"")</f>
        <v/>
      </c>
      <c r="J575" s="18" t="str">
        <f ca="1">IFERROR(__xludf.DUMMYFUNCTION("""COMPUTED_VALUE"""),"")</f>
        <v/>
      </c>
      <c r="K575" s="18" t="str">
        <f ca="1">IFERROR(__xludf.DUMMYFUNCTION("""COMPUTED_VALUE"""),"")</f>
        <v/>
      </c>
      <c r="L575" s="18" t="str">
        <f ca="1">IFERROR(__xludf.DUMMYFUNCTION("""COMPUTED_VALUE"""),"")</f>
        <v/>
      </c>
      <c r="M575" s="18" t="str">
        <f ca="1">IFERROR(__xludf.DUMMYFUNCTION("""COMPUTED_VALUE"""),"")</f>
        <v/>
      </c>
      <c r="N575" s="18" t="str">
        <f ca="1">IFERROR(__xludf.DUMMYFUNCTION("""COMPUTED_VALUE"""),"")</f>
        <v/>
      </c>
      <c r="O575" s="18" t="str">
        <f ca="1">IFERROR(__xludf.DUMMYFUNCTION("""COMPUTED_VALUE"""),"")</f>
        <v/>
      </c>
      <c r="P575" s="18" t="str">
        <f ca="1">IFERROR(__xludf.DUMMYFUNCTION("""COMPUTED_VALUE"""),"")</f>
        <v/>
      </c>
      <c r="Q575" s="18" t="str">
        <f ca="1">IFERROR(__xludf.DUMMYFUNCTION("""COMPUTED_VALUE"""),"")</f>
        <v/>
      </c>
      <c r="R575" s="18" t="str">
        <f ca="1">IFERROR(__xludf.DUMMYFUNCTION("""COMPUTED_VALUE"""),"")</f>
        <v/>
      </c>
      <c r="S575" s="18" t="str">
        <f ca="1">IFERROR(__xludf.DUMMYFUNCTION("""COMPUTED_VALUE"""),"")</f>
        <v/>
      </c>
      <c r="T575" s="18" t="str">
        <f ca="1">IFERROR(__xludf.DUMMYFUNCTION("""COMPUTED_VALUE"""),"")</f>
        <v/>
      </c>
      <c r="U575" s="18" t="str">
        <f ca="1">IFERROR(__xludf.DUMMYFUNCTION("""COMPUTED_VALUE"""),"")</f>
        <v/>
      </c>
      <c r="V575" s="18" t="str">
        <f ca="1">IFERROR(__xludf.DUMMYFUNCTION("""COMPUTED_VALUE"""),"")</f>
        <v/>
      </c>
      <c r="W575" s="18" t="str">
        <f ca="1">IFERROR(__xludf.DUMMYFUNCTION("""COMPUTED_VALUE"""),"")</f>
        <v/>
      </c>
      <c r="X575" s="18" t="str">
        <f ca="1">IFERROR(__xludf.DUMMYFUNCTION("""COMPUTED_VALUE"""),"")</f>
        <v/>
      </c>
      <c r="Y575" s="18" t="e">
        <f ca="1"/>
        <v>#NAME?</v>
      </c>
      <c r="Z575" s="18" t="str">
        <f ca="1">IFERROR(__xludf.DUMMYFUNCTION("""COMPUTED_VALUE"""),"")</f>
        <v/>
      </c>
      <c r="AA575" s="18" t="str">
        <f ca="1">IFERROR(__xludf.DUMMYFUNCTION("""COMPUTED_VALUE"""),"")</f>
        <v/>
      </c>
      <c r="AC575" s="59"/>
    </row>
    <row r="576" spans="1:29" x14ac:dyDescent="0.25">
      <c r="A576" s="18">
        <v>0</v>
      </c>
      <c r="B576" s="52" t="str">
        <f ca="1"/>
        <v/>
      </c>
      <c r="C576" s="52" t="str">
        <f ca="1">IFERROR(__xludf.DUMMYFUNCTION("""COMPUTED_VALUE"""),"")</f>
        <v/>
      </c>
      <c r="D576" s="18" t="str">
        <f ca="1">IFERROR(__xludf.DUMMYFUNCTION("""COMPUTED_VALUE"""),"")</f>
        <v/>
      </c>
      <c r="E576" s="18" t="str">
        <f ca="1">IFERROR(__xludf.DUMMYFUNCTION("""COMPUTED_VALUE"""),"")</f>
        <v/>
      </c>
      <c r="F576" s="18" t="str">
        <f ca="1">IFERROR(__xludf.DUMMYFUNCTION("""COMPUTED_VALUE"""),"")</f>
        <v/>
      </c>
      <c r="G576" s="18" t="str">
        <f ca="1">IFERROR(__xludf.DUMMYFUNCTION("""COMPUTED_VALUE"""),"")</f>
        <v/>
      </c>
      <c r="H576" s="18" t="str">
        <f ca="1">IFERROR(__xludf.DUMMYFUNCTION("""COMPUTED_VALUE"""),"")</f>
        <v/>
      </c>
      <c r="I576" s="18" t="str">
        <f ca="1">IFERROR(__xludf.DUMMYFUNCTION("""COMPUTED_VALUE"""),"")</f>
        <v/>
      </c>
      <c r="J576" s="18" t="str">
        <f ca="1">IFERROR(__xludf.DUMMYFUNCTION("""COMPUTED_VALUE"""),"")</f>
        <v/>
      </c>
      <c r="K576" s="18" t="str">
        <f ca="1">IFERROR(__xludf.DUMMYFUNCTION("""COMPUTED_VALUE"""),"")</f>
        <v/>
      </c>
      <c r="L576" s="18" t="str">
        <f ca="1">IFERROR(__xludf.DUMMYFUNCTION("""COMPUTED_VALUE"""),"")</f>
        <v/>
      </c>
      <c r="M576" s="18" t="str">
        <f ca="1">IFERROR(__xludf.DUMMYFUNCTION("""COMPUTED_VALUE"""),"")</f>
        <v/>
      </c>
      <c r="N576" s="18" t="str">
        <f ca="1">IFERROR(__xludf.DUMMYFUNCTION("""COMPUTED_VALUE"""),"")</f>
        <v/>
      </c>
      <c r="O576" s="18" t="str">
        <f ca="1">IFERROR(__xludf.DUMMYFUNCTION("""COMPUTED_VALUE"""),"")</f>
        <v/>
      </c>
      <c r="P576" s="18" t="str">
        <f ca="1">IFERROR(__xludf.DUMMYFUNCTION("""COMPUTED_VALUE"""),"")</f>
        <v/>
      </c>
      <c r="Q576" s="18" t="str">
        <f ca="1">IFERROR(__xludf.DUMMYFUNCTION("""COMPUTED_VALUE"""),"")</f>
        <v/>
      </c>
      <c r="R576" s="18" t="str">
        <f ca="1">IFERROR(__xludf.DUMMYFUNCTION("""COMPUTED_VALUE"""),"")</f>
        <v/>
      </c>
      <c r="S576" s="18" t="str">
        <f ca="1">IFERROR(__xludf.DUMMYFUNCTION("""COMPUTED_VALUE"""),"")</f>
        <v/>
      </c>
      <c r="T576" s="18" t="str">
        <f ca="1">IFERROR(__xludf.DUMMYFUNCTION("""COMPUTED_VALUE"""),"")</f>
        <v/>
      </c>
      <c r="U576" s="18" t="str">
        <f ca="1">IFERROR(__xludf.DUMMYFUNCTION("""COMPUTED_VALUE"""),"")</f>
        <v/>
      </c>
      <c r="V576" s="18" t="str">
        <f ca="1">IFERROR(__xludf.DUMMYFUNCTION("""COMPUTED_VALUE"""),"")</f>
        <v/>
      </c>
      <c r="W576" s="18" t="str">
        <f ca="1">IFERROR(__xludf.DUMMYFUNCTION("""COMPUTED_VALUE"""),"")</f>
        <v/>
      </c>
      <c r="X576" s="18" t="str">
        <f ca="1">IFERROR(__xludf.DUMMYFUNCTION("""COMPUTED_VALUE"""),"")</f>
        <v/>
      </c>
      <c r="Y576" s="18" t="e">
        <f ca="1"/>
        <v>#NAME?</v>
      </c>
      <c r="Z576" s="18" t="str">
        <f ca="1">IFERROR(__xludf.DUMMYFUNCTION("""COMPUTED_VALUE"""),"")</f>
        <v/>
      </c>
      <c r="AA576" s="18" t="str">
        <f ca="1">IFERROR(__xludf.DUMMYFUNCTION("""COMPUTED_VALUE"""),"")</f>
        <v/>
      </c>
      <c r="AC576" s="59"/>
    </row>
    <row r="577" spans="1:29" x14ac:dyDescent="0.25">
      <c r="A577" s="18">
        <v>0</v>
      </c>
      <c r="B577" s="52" t="str">
        <f ca="1"/>
        <v/>
      </c>
      <c r="C577" s="52" t="str">
        <f ca="1">IFERROR(__xludf.DUMMYFUNCTION("""COMPUTED_VALUE"""),"")</f>
        <v/>
      </c>
      <c r="D577" s="18" t="str">
        <f ca="1">IFERROR(__xludf.DUMMYFUNCTION("""COMPUTED_VALUE"""),"")</f>
        <v/>
      </c>
      <c r="E577" s="18" t="str">
        <f ca="1">IFERROR(__xludf.DUMMYFUNCTION("""COMPUTED_VALUE"""),"")</f>
        <v/>
      </c>
      <c r="F577" s="18" t="str">
        <f ca="1">IFERROR(__xludf.DUMMYFUNCTION("""COMPUTED_VALUE"""),"")</f>
        <v/>
      </c>
      <c r="G577" s="18" t="str">
        <f ca="1">IFERROR(__xludf.DUMMYFUNCTION("""COMPUTED_VALUE"""),"")</f>
        <v/>
      </c>
      <c r="H577" s="18" t="str">
        <f ca="1">IFERROR(__xludf.DUMMYFUNCTION("""COMPUTED_VALUE"""),"")</f>
        <v/>
      </c>
      <c r="I577" s="18" t="str">
        <f ca="1">IFERROR(__xludf.DUMMYFUNCTION("""COMPUTED_VALUE"""),"")</f>
        <v/>
      </c>
      <c r="J577" s="18" t="str">
        <f ca="1">IFERROR(__xludf.DUMMYFUNCTION("""COMPUTED_VALUE"""),"")</f>
        <v/>
      </c>
      <c r="K577" s="18" t="str">
        <f ca="1">IFERROR(__xludf.DUMMYFUNCTION("""COMPUTED_VALUE"""),"")</f>
        <v/>
      </c>
      <c r="L577" s="18" t="str">
        <f ca="1">IFERROR(__xludf.DUMMYFUNCTION("""COMPUTED_VALUE"""),"")</f>
        <v/>
      </c>
      <c r="M577" s="18" t="str">
        <f ca="1">IFERROR(__xludf.DUMMYFUNCTION("""COMPUTED_VALUE"""),"")</f>
        <v/>
      </c>
      <c r="N577" s="18" t="str">
        <f ca="1">IFERROR(__xludf.DUMMYFUNCTION("""COMPUTED_VALUE"""),"")</f>
        <v/>
      </c>
      <c r="O577" s="18" t="str">
        <f ca="1">IFERROR(__xludf.DUMMYFUNCTION("""COMPUTED_VALUE"""),"")</f>
        <v/>
      </c>
      <c r="P577" s="18" t="str">
        <f ca="1">IFERROR(__xludf.DUMMYFUNCTION("""COMPUTED_VALUE"""),"")</f>
        <v/>
      </c>
      <c r="Q577" s="18" t="str">
        <f ca="1">IFERROR(__xludf.DUMMYFUNCTION("""COMPUTED_VALUE"""),"")</f>
        <v/>
      </c>
      <c r="R577" s="18" t="str">
        <f ca="1">IFERROR(__xludf.DUMMYFUNCTION("""COMPUTED_VALUE"""),"")</f>
        <v/>
      </c>
      <c r="S577" s="18" t="str">
        <f ca="1">IFERROR(__xludf.DUMMYFUNCTION("""COMPUTED_VALUE"""),"")</f>
        <v/>
      </c>
      <c r="T577" s="18" t="str">
        <f ca="1">IFERROR(__xludf.DUMMYFUNCTION("""COMPUTED_VALUE"""),"")</f>
        <v/>
      </c>
      <c r="U577" s="18" t="str">
        <f ca="1">IFERROR(__xludf.DUMMYFUNCTION("""COMPUTED_VALUE"""),"")</f>
        <v/>
      </c>
      <c r="V577" s="18" t="str">
        <f ca="1">IFERROR(__xludf.DUMMYFUNCTION("""COMPUTED_VALUE"""),"")</f>
        <v/>
      </c>
      <c r="W577" s="18" t="str">
        <f ca="1">IFERROR(__xludf.DUMMYFUNCTION("""COMPUTED_VALUE"""),"")</f>
        <v/>
      </c>
      <c r="X577" s="18" t="str">
        <f ca="1">IFERROR(__xludf.DUMMYFUNCTION("""COMPUTED_VALUE"""),"")</f>
        <v/>
      </c>
      <c r="Y577" s="18" t="e">
        <f ca="1"/>
        <v>#NAME?</v>
      </c>
      <c r="Z577" s="18" t="str">
        <f ca="1">IFERROR(__xludf.DUMMYFUNCTION("""COMPUTED_VALUE"""),"")</f>
        <v/>
      </c>
      <c r="AA577" s="18" t="str">
        <f ca="1">IFERROR(__xludf.DUMMYFUNCTION("""COMPUTED_VALUE"""),"")</f>
        <v/>
      </c>
      <c r="AC577" s="59"/>
    </row>
    <row r="578" spans="1:29" x14ac:dyDescent="0.25">
      <c r="A578" s="18">
        <v>0</v>
      </c>
      <c r="B578" s="52" t="str">
        <f ca="1"/>
        <v/>
      </c>
      <c r="C578" s="52" t="str">
        <f ca="1">IFERROR(__xludf.DUMMYFUNCTION("""COMPUTED_VALUE"""),"")</f>
        <v/>
      </c>
      <c r="D578" s="18" t="str">
        <f ca="1">IFERROR(__xludf.DUMMYFUNCTION("""COMPUTED_VALUE"""),"")</f>
        <v/>
      </c>
      <c r="E578" s="18" t="str">
        <f ca="1">IFERROR(__xludf.DUMMYFUNCTION("""COMPUTED_VALUE"""),"")</f>
        <v/>
      </c>
      <c r="F578" s="18" t="str">
        <f ca="1">IFERROR(__xludf.DUMMYFUNCTION("""COMPUTED_VALUE"""),"")</f>
        <v/>
      </c>
      <c r="G578" s="18" t="str">
        <f ca="1">IFERROR(__xludf.DUMMYFUNCTION("""COMPUTED_VALUE"""),"")</f>
        <v/>
      </c>
      <c r="H578" s="18" t="str">
        <f ca="1">IFERROR(__xludf.DUMMYFUNCTION("""COMPUTED_VALUE"""),"")</f>
        <v/>
      </c>
      <c r="I578" s="18" t="str">
        <f ca="1">IFERROR(__xludf.DUMMYFUNCTION("""COMPUTED_VALUE"""),"")</f>
        <v/>
      </c>
      <c r="J578" s="18" t="str">
        <f ca="1">IFERROR(__xludf.DUMMYFUNCTION("""COMPUTED_VALUE"""),"")</f>
        <v/>
      </c>
      <c r="K578" s="18" t="str">
        <f ca="1">IFERROR(__xludf.DUMMYFUNCTION("""COMPUTED_VALUE"""),"")</f>
        <v/>
      </c>
      <c r="L578" s="18" t="str">
        <f ca="1">IFERROR(__xludf.DUMMYFUNCTION("""COMPUTED_VALUE"""),"")</f>
        <v/>
      </c>
      <c r="M578" s="18" t="str">
        <f ca="1">IFERROR(__xludf.DUMMYFUNCTION("""COMPUTED_VALUE"""),"")</f>
        <v/>
      </c>
      <c r="N578" s="18" t="str">
        <f ca="1">IFERROR(__xludf.DUMMYFUNCTION("""COMPUTED_VALUE"""),"")</f>
        <v/>
      </c>
      <c r="O578" s="18" t="str">
        <f ca="1">IFERROR(__xludf.DUMMYFUNCTION("""COMPUTED_VALUE"""),"")</f>
        <v/>
      </c>
      <c r="P578" s="18" t="str">
        <f ca="1">IFERROR(__xludf.DUMMYFUNCTION("""COMPUTED_VALUE"""),"")</f>
        <v/>
      </c>
      <c r="Q578" s="18" t="str">
        <f ca="1">IFERROR(__xludf.DUMMYFUNCTION("""COMPUTED_VALUE"""),"")</f>
        <v/>
      </c>
      <c r="R578" s="18" t="str">
        <f ca="1">IFERROR(__xludf.DUMMYFUNCTION("""COMPUTED_VALUE"""),"")</f>
        <v/>
      </c>
      <c r="S578" s="18" t="str">
        <f ca="1">IFERROR(__xludf.DUMMYFUNCTION("""COMPUTED_VALUE"""),"")</f>
        <v/>
      </c>
      <c r="T578" s="18" t="str">
        <f ca="1">IFERROR(__xludf.DUMMYFUNCTION("""COMPUTED_VALUE"""),"")</f>
        <v/>
      </c>
      <c r="U578" s="18" t="str">
        <f ca="1">IFERROR(__xludf.DUMMYFUNCTION("""COMPUTED_VALUE"""),"")</f>
        <v/>
      </c>
      <c r="V578" s="18" t="str">
        <f ca="1">IFERROR(__xludf.DUMMYFUNCTION("""COMPUTED_VALUE"""),"")</f>
        <v/>
      </c>
      <c r="W578" s="18" t="str">
        <f ca="1">IFERROR(__xludf.DUMMYFUNCTION("""COMPUTED_VALUE"""),"")</f>
        <v/>
      </c>
      <c r="X578" s="18" t="str">
        <f ca="1">IFERROR(__xludf.DUMMYFUNCTION("""COMPUTED_VALUE"""),"")</f>
        <v/>
      </c>
      <c r="Y578" s="18" t="e">
        <f ca="1"/>
        <v>#NAME?</v>
      </c>
      <c r="Z578" s="18" t="str">
        <f ca="1">IFERROR(__xludf.DUMMYFUNCTION("""COMPUTED_VALUE"""),"")</f>
        <v/>
      </c>
      <c r="AA578" s="18" t="str">
        <f ca="1">IFERROR(__xludf.DUMMYFUNCTION("""COMPUTED_VALUE"""),"")</f>
        <v/>
      </c>
      <c r="AC578" s="59"/>
    </row>
    <row r="579" spans="1:29" x14ac:dyDescent="0.25">
      <c r="A579" s="18">
        <v>0</v>
      </c>
      <c r="B579" s="52" t="str">
        <f ca="1"/>
        <v/>
      </c>
      <c r="C579" s="52" t="str">
        <f ca="1">IFERROR(__xludf.DUMMYFUNCTION("""COMPUTED_VALUE"""),"")</f>
        <v/>
      </c>
      <c r="D579" s="18" t="str">
        <f ca="1">IFERROR(__xludf.DUMMYFUNCTION("""COMPUTED_VALUE"""),"")</f>
        <v/>
      </c>
      <c r="E579" s="18" t="str">
        <f ca="1">IFERROR(__xludf.DUMMYFUNCTION("""COMPUTED_VALUE"""),"")</f>
        <v/>
      </c>
      <c r="F579" s="18" t="str">
        <f ca="1">IFERROR(__xludf.DUMMYFUNCTION("""COMPUTED_VALUE"""),"")</f>
        <v/>
      </c>
      <c r="G579" s="18" t="str">
        <f ca="1">IFERROR(__xludf.DUMMYFUNCTION("""COMPUTED_VALUE"""),"")</f>
        <v/>
      </c>
      <c r="H579" s="18" t="str">
        <f ca="1">IFERROR(__xludf.DUMMYFUNCTION("""COMPUTED_VALUE"""),"")</f>
        <v/>
      </c>
      <c r="I579" s="18" t="str">
        <f ca="1">IFERROR(__xludf.DUMMYFUNCTION("""COMPUTED_VALUE"""),"")</f>
        <v/>
      </c>
      <c r="J579" s="18" t="str">
        <f ca="1">IFERROR(__xludf.DUMMYFUNCTION("""COMPUTED_VALUE"""),"")</f>
        <v/>
      </c>
      <c r="K579" s="18" t="str">
        <f ca="1">IFERROR(__xludf.DUMMYFUNCTION("""COMPUTED_VALUE"""),"")</f>
        <v/>
      </c>
      <c r="L579" s="18" t="str">
        <f ca="1">IFERROR(__xludf.DUMMYFUNCTION("""COMPUTED_VALUE"""),"")</f>
        <v/>
      </c>
      <c r="M579" s="18" t="str">
        <f ca="1">IFERROR(__xludf.DUMMYFUNCTION("""COMPUTED_VALUE"""),"")</f>
        <v/>
      </c>
      <c r="N579" s="18" t="str">
        <f ca="1">IFERROR(__xludf.DUMMYFUNCTION("""COMPUTED_VALUE"""),"")</f>
        <v/>
      </c>
      <c r="O579" s="18" t="str">
        <f ca="1">IFERROR(__xludf.DUMMYFUNCTION("""COMPUTED_VALUE"""),"")</f>
        <v/>
      </c>
      <c r="P579" s="18" t="str">
        <f ca="1">IFERROR(__xludf.DUMMYFUNCTION("""COMPUTED_VALUE"""),"")</f>
        <v/>
      </c>
      <c r="Q579" s="18" t="str">
        <f ca="1">IFERROR(__xludf.DUMMYFUNCTION("""COMPUTED_VALUE"""),"")</f>
        <v/>
      </c>
      <c r="R579" s="18" t="str">
        <f ca="1">IFERROR(__xludf.DUMMYFUNCTION("""COMPUTED_VALUE"""),"")</f>
        <v/>
      </c>
      <c r="S579" s="18" t="str">
        <f ca="1">IFERROR(__xludf.DUMMYFUNCTION("""COMPUTED_VALUE"""),"")</f>
        <v/>
      </c>
      <c r="T579" s="18" t="str">
        <f ca="1">IFERROR(__xludf.DUMMYFUNCTION("""COMPUTED_VALUE"""),"")</f>
        <v/>
      </c>
      <c r="U579" s="18" t="str">
        <f ca="1">IFERROR(__xludf.DUMMYFUNCTION("""COMPUTED_VALUE"""),"")</f>
        <v/>
      </c>
      <c r="V579" s="18" t="str">
        <f ca="1">IFERROR(__xludf.DUMMYFUNCTION("""COMPUTED_VALUE"""),"")</f>
        <v/>
      </c>
      <c r="W579" s="18" t="str">
        <f ca="1">IFERROR(__xludf.DUMMYFUNCTION("""COMPUTED_VALUE"""),"")</f>
        <v/>
      </c>
      <c r="X579" s="18" t="str">
        <f ca="1">IFERROR(__xludf.DUMMYFUNCTION("""COMPUTED_VALUE"""),"")</f>
        <v/>
      </c>
      <c r="Y579" s="18" t="e">
        <f ca="1"/>
        <v>#NAME?</v>
      </c>
      <c r="Z579" s="18" t="str">
        <f ca="1">IFERROR(__xludf.DUMMYFUNCTION("""COMPUTED_VALUE"""),"")</f>
        <v/>
      </c>
      <c r="AA579" s="18" t="str">
        <f ca="1">IFERROR(__xludf.DUMMYFUNCTION("""COMPUTED_VALUE"""),"")</f>
        <v/>
      </c>
      <c r="AC579" s="59"/>
    </row>
    <row r="580" spans="1:29" x14ac:dyDescent="0.25">
      <c r="A580" s="18">
        <v>0</v>
      </c>
      <c r="B580" s="52" t="str">
        <f ca="1"/>
        <v/>
      </c>
      <c r="C580" s="52" t="str">
        <f ca="1">IFERROR(__xludf.DUMMYFUNCTION("""COMPUTED_VALUE"""),"")</f>
        <v/>
      </c>
      <c r="D580" s="18" t="str">
        <f ca="1">IFERROR(__xludf.DUMMYFUNCTION("""COMPUTED_VALUE"""),"")</f>
        <v/>
      </c>
      <c r="E580" s="18" t="str">
        <f ca="1">IFERROR(__xludf.DUMMYFUNCTION("""COMPUTED_VALUE"""),"")</f>
        <v/>
      </c>
      <c r="F580" s="18" t="str">
        <f ca="1">IFERROR(__xludf.DUMMYFUNCTION("""COMPUTED_VALUE"""),"")</f>
        <v/>
      </c>
      <c r="G580" s="18" t="str">
        <f ca="1">IFERROR(__xludf.DUMMYFUNCTION("""COMPUTED_VALUE"""),"")</f>
        <v/>
      </c>
      <c r="H580" s="18" t="str">
        <f ca="1">IFERROR(__xludf.DUMMYFUNCTION("""COMPUTED_VALUE"""),"")</f>
        <v/>
      </c>
      <c r="I580" s="18" t="str">
        <f ca="1">IFERROR(__xludf.DUMMYFUNCTION("""COMPUTED_VALUE"""),"")</f>
        <v/>
      </c>
      <c r="J580" s="18" t="str">
        <f ca="1">IFERROR(__xludf.DUMMYFUNCTION("""COMPUTED_VALUE"""),"")</f>
        <v/>
      </c>
      <c r="K580" s="18" t="str">
        <f ca="1">IFERROR(__xludf.DUMMYFUNCTION("""COMPUTED_VALUE"""),"")</f>
        <v/>
      </c>
      <c r="L580" s="18" t="str">
        <f ca="1">IFERROR(__xludf.DUMMYFUNCTION("""COMPUTED_VALUE"""),"")</f>
        <v/>
      </c>
      <c r="M580" s="18" t="str">
        <f ca="1">IFERROR(__xludf.DUMMYFUNCTION("""COMPUTED_VALUE"""),"")</f>
        <v/>
      </c>
      <c r="N580" s="18" t="str">
        <f ca="1">IFERROR(__xludf.DUMMYFUNCTION("""COMPUTED_VALUE"""),"")</f>
        <v/>
      </c>
      <c r="O580" s="18" t="str">
        <f ca="1">IFERROR(__xludf.DUMMYFUNCTION("""COMPUTED_VALUE"""),"")</f>
        <v/>
      </c>
      <c r="P580" s="18" t="str">
        <f ca="1">IFERROR(__xludf.DUMMYFUNCTION("""COMPUTED_VALUE"""),"")</f>
        <v/>
      </c>
      <c r="Q580" s="18" t="str">
        <f ca="1">IFERROR(__xludf.DUMMYFUNCTION("""COMPUTED_VALUE"""),"")</f>
        <v/>
      </c>
      <c r="R580" s="18" t="str">
        <f ca="1">IFERROR(__xludf.DUMMYFUNCTION("""COMPUTED_VALUE"""),"")</f>
        <v/>
      </c>
      <c r="S580" s="18" t="str">
        <f ca="1">IFERROR(__xludf.DUMMYFUNCTION("""COMPUTED_VALUE"""),"")</f>
        <v/>
      </c>
      <c r="T580" s="18" t="str">
        <f ca="1">IFERROR(__xludf.DUMMYFUNCTION("""COMPUTED_VALUE"""),"")</f>
        <v/>
      </c>
      <c r="U580" s="18" t="str">
        <f ca="1">IFERROR(__xludf.DUMMYFUNCTION("""COMPUTED_VALUE"""),"")</f>
        <v/>
      </c>
      <c r="V580" s="18" t="str">
        <f ca="1">IFERROR(__xludf.DUMMYFUNCTION("""COMPUTED_VALUE"""),"")</f>
        <v/>
      </c>
      <c r="W580" s="18" t="str">
        <f ca="1">IFERROR(__xludf.DUMMYFUNCTION("""COMPUTED_VALUE"""),"")</f>
        <v/>
      </c>
      <c r="X580" s="18" t="str">
        <f ca="1">IFERROR(__xludf.DUMMYFUNCTION("""COMPUTED_VALUE"""),"")</f>
        <v/>
      </c>
      <c r="Y580" s="18" t="e">
        <f ca="1"/>
        <v>#NAME?</v>
      </c>
      <c r="Z580" s="18" t="str">
        <f ca="1">IFERROR(__xludf.DUMMYFUNCTION("""COMPUTED_VALUE"""),"")</f>
        <v/>
      </c>
      <c r="AA580" s="18" t="str">
        <f ca="1">IFERROR(__xludf.DUMMYFUNCTION("""COMPUTED_VALUE"""),"")</f>
        <v/>
      </c>
      <c r="AC580" s="59"/>
    </row>
    <row r="581" spans="1:29" x14ac:dyDescent="0.25">
      <c r="A581" s="18">
        <v>0</v>
      </c>
      <c r="B581" s="52" t="str">
        <f ca="1"/>
        <v/>
      </c>
      <c r="C581" s="52" t="str">
        <f ca="1">IFERROR(__xludf.DUMMYFUNCTION("""COMPUTED_VALUE"""),"")</f>
        <v/>
      </c>
      <c r="D581" s="18" t="str">
        <f ca="1">IFERROR(__xludf.DUMMYFUNCTION("""COMPUTED_VALUE"""),"")</f>
        <v/>
      </c>
      <c r="E581" s="18" t="str">
        <f ca="1">IFERROR(__xludf.DUMMYFUNCTION("""COMPUTED_VALUE"""),"")</f>
        <v/>
      </c>
      <c r="F581" s="18" t="str">
        <f ca="1">IFERROR(__xludf.DUMMYFUNCTION("""COMPUTED_VALUE"""),"")</f>
        <v/>
      </c>
      <c r="G581" s="18" t="str">
        <f ca="1">IFERROR(__xludf.DUMMYFUNCTION("""COMPUTED_VALUE"""),"")</f>
        <v/>
      </c>
      <c r="H581" s="18" t="str">
        <f ca="1">IFERROR(__xludf.DUMMYFUNCTION("""COMPUTED_VALUE"""),"")</f>
        <v/>
      </c>
      <c r="I581" s="18" t="str">
        <f ca="1">IFERROR(__xludf.DUMMYFUNCTION("""COMPUTED_VALUE"""),"")</f>
        <v/>
      </c>
      <c r="J581" s="18" t="str">
        <f ca="1">IFERROR(__xludf.DUMMYFUNCTION("""COMPUTED_VALUE"""),"")</f>
        <v/>
      </c>
      <c r="K581" s="18" t="str">
        <f ca="1">IFERROR(__xludf.DUMMYFUNCTION("""COMPUTED_VALUE"""),"")</f>
        <v/>
      </c>
      <c r="L581" s="18" t="str">
        <f ca="1">IFERROR(__xludf.DUMMYFUNCTION("""COMPUTED_VALUE"""),"")</f>
        <v/>
      </c>
      <c r="M581" s="18" t="str">
        <f ca="1">IFERROR(__xludf.DUMMYFUNCTION("""COMPUTED_VALUE"""),"")</f>
        <v/>
      </c>
      <c r="N581" s="18" t="str">
        <f ca="1">IFERROR(__xludf.DUMMYFUNCTION("""COMPUTED_VALUE"""),"")</f>
        <v/>
      </c>
      <c r="O581" s="18" t="str">
        <f ca="1">IFERROR(__xludf.DUMMYFUNCTION("""COMPUTED_VALUE"""),"")</f>
        <v/>
      </c>
      <c r="P581" s="18" t="str">
        <f ca="1">IFERROR(__xludf.DUMMYFUNCTION("""COMPUTED_VALUE"""),"")</f>
        <v/>
      </c>
      <c r="Q581" s="18" t="str">
        <f ca="1">IFERROR(__xludf.DUMMYFUNCTION("""COMPUTED_VALUE"""),"")</f>
        <v/>
      </c>
      <c r="R581" s="18" t="str">
        <f ca="1">IFERROR(__xludf.DUMMYFUNCTION("""COMPUTED_VALUE"""),"")</f>
        <v/>
      </c>
      <c r="S581" s="18" t="str">
        <f ca="1">IFERROR(__xludf.DUMMYFUNCTION("""COMPUTED_VALUE"""),"")</f>
        <v/>
      </c>
      <c r="T581" s="18" t="str">
        <f ca="1">IFERROR(__xludf.DUMMYFUNCTION("""COMPUTED_VALUE"""),"")</f>
        <v/>
      </c>
      <c r="U581" s="18" t="str">
        <f ca="1">IFERROR(__xludf.DUMMYFUNCTION("""COMPUTED_VALUE"""),"")</f>
        <v/>
      </c>
      <c r="V581" s="18" t="str">
        <f ca="1">IFERROR(__xludf.DUMMYFUNCTION("""COMPUTED_VALUE"""),"")</f>
        <v/>
      </c>
      <c r="W581" s="18" t="str">
        <f ca="1">IFERROR(__xludf.DUMMYFUNCTION("""COMPUTED_VALUE"""),"")</f>
        <v/>
      </c>
      <c r="X581" s="18" t="str">
        <f ca="1">IFERROR(__xludf.DUMMYFUNCTION("""COMPUTED_VALUE"""),"")</f>
        <v/>
      </c>
      <c r="Y581" s="18" t="e">
        <f ca="1"/>
        <v>#NAME?</v>
      </c>
      <c r="Z581" s="18" t="str">
        <f ca="1">IFERROR(__xludf.DUMMYFUNCTION("""COMPUTED_VALUE"""),"")</f>
        <v/>
      </c>
      <c r="AA581" s="18" t="str">
        <f ca="1">IFERROR(__xludf.DUMMYFUNCTION("""COMPUTED_VALUE"""),"")</f>
        <v/>
      </c>
      <c r="AC581" s="59"/>
    </row>
    <row r="582" spans="1:29" x14ac:dyDescent="0.25">
      <c r="A582" s="18">
        <v>0</v>
      </c>
      <c r="B582" s="52" t="str">
        <f ca="1"/>
        <v/>
      </c>
      <c r="C582" s="52" t="str">
        <f ca="1">IFERROR(__xludf.DUMMYFUNCTION("""COMPUTED_VALUE"""),"")</f>
        <v/>
      </c>
      <c r="D582" s="18" t="str">
        <f ca="1">IFERROR(__xludf.DUMMYFUNCTION("""COMPUTED_VALUE"""),"")</f>
        <v/>
      </c>
      <c r="E582" s="18" t="str">
        <f ca="1">IFERROR(__xludf.DUMMYFUNCTION("""COMPUTED_VALUE"""),"")</f>
        <v/>
      </c>
      <c r="F582" s="18" t="str">
        <f ca="1">IFERROR(__xludf.DUMMYFUNCTION("""COMPUTED_VALUE"""),"")</f>
        <v/>
      </c>
      <c r="G582" s="18" t="str">
        <f ca="1">IFERROR(__xludf.DUMMYFUNCTION("""COMPUTED_VALUE"""),"")</f>
        <v/>
      </c>
      <c r="H582" s="18" t="str">
        <f ca="1">IFERROR(__xludf.DUMMYFUNCTION("""COMPUTED_VALUE"""),"")</f>
        <v/>
      </c>
      <c r="I582" s="18" t="str">
        <f ca="1">IFERROR(__xludf.DUMMYFUNCTION("""COMPUTED_VALUE"""),"")</f>
        <v/>
      </c>
      <c r="J582" s="18" t="str">
        <f ca="1">IFERROR(__xludf.DUMMYFUNCTION("""COMPUTED_VALUE"""),"")</f>
        <v/>
      </c>
      <c r="K582" s="18" t="str">
        <f ca="1">IFERROR(__xludf.DUMMYFUNCTION("""COMPUTED_VALUE"""),"")</f>
        <v/>
      </c>
      <c r="L582" s="18" t="str">
        <f ca="1">IFERROR(__xludf.DUMMYFUNCTION("""COMPUTED_VALUE"""),"")</f>
        <v/>
      </c>
      <c r="M582" s="18" t="str">
        <f ca="1">IFERROR(__xludf.DUMMYFUNCTION("""COMPUTED_VALUE"""),"")</f>
        <v/>
      </c>
      <c r="N582" s="18" t="str">
        <f ca="1">IFERROR(__xludf.DUMMYFUNCTION("""COMPUTED_VALUE"""),"")</f>
        <v/>
      </c>
      <c r="O582" s="18" t="str">
        <f ca="1">IFERROR(__xludf.DUMMYFUNCTION("""COMPUTED_VALUE"""),"")</f>
        <v/>
      </c>
      <c r="P582" s="18" t="str">
        <f ca="1">IFERROR(__xludf.DUMMYFUNCTION("""COMPUTED_VALUE"""),"")</f>
        <v/>
      </c>
      <c r="Q582" s="18" t="str">
        <f ca="1">IFERROR(__xludf.DUMMYFUNCTION("""COMPUTED_VALUE"""),"")</f>
        <v/>
      </c>
      <c r="R582" s="18" t="str">
        <f ca="1">IFERROR(__xludf.DUMMYFUNCTION("""COMPUTED_VALUE"""),"")</f>
        <v/>
      </c>
      <c r="S582" s="18" t="str">
        <f ca="1">IFERROR(__xludf.DUMMYFUNCTION("""COMPUTED_VALUE"""),"")</f>
        <v/>
      </c>
      <c r="T582" s="18" t="str">
        <f ca="1">IFERROR(__xludf.DUMMYFUNCTION("""COMPUTED_VALUE"""),"")</f>
        <v/>
      </c>
      <c r="U582" s="18" t="str">
        <f ca="1">IFERROR(__xludf.DUMMYFUNCTION("""COMPUTED_VALUE"""),"")</f>
        <v/>
      </c>
      <c r="V582" s="18" t="str">
        <f ca="1">IFERROR(__xludf.DUMMYFUNCTION("""COMPUTED_VALUE"""),"")</f>
        <v/>
      </c>
      <c r="W582" s="18" t="str">
        <f ca="1">IFERROR(__xludf.DUMMYFUNCTION("""COMPUTED_VALUE"""),"")</f>
        <v/>
      </c>
      <c r="X582" s="18" t="str">
        <f ca="1">IFERROR(__xludf.DUMMYFUNCTION("""COMPUTED_VALUE"""),"")</f>
        <v/>
      </c>
      <c r="Y582" s="18" t="e">
        <f ca="1"/>
        <v>#NAME?</v>
      </c>
      <c r="Z582" s="18" t="str">
        <f ca="1">IFERROR(__xludf.DUMMYFUNCTION("""COMPUTED_VALUE"""),"")</f>
        <v/>
      </c>
      <c r="AA582" s="18" t="str">
        <f ca="1">IFERROR(__xludf.DUMMYFUNCTION("""COMPUTED_VALUE"""),"")</f>
        <v/>
      </c>
      <c r="AC582" s="59"/>
    </row>
    <row r="583" spans="1:29" x14ac:dyDescent="0.25">
      <c r="A583" s="18">
        <v>0</v>
      </c>
      <c r="B583" s="52" t="str">
        <f ca="1"/>
        <v/>
      </c>
      <c r="C583" s="52" t="str">
        <f ca="1">IFERROR(__xludf.DUMMYFUNCTION("""COMPUTED_VALUE"""),"")</f>
        <v/>
      </c>
      <c r="D583" s="18" t="str">
        <f ca="1">IFERROR(__xludf.DUMMYFUNCTION("""COMPUTED_VALUE"""),"")</f>
        <v/>
      </c>
      <c r="E583" s="18" t="str">
        <f ca="1">IFERROR(__xludf.DUMMYFUNCTION("""COMPUTED_VALUE"""),"")</f>
        <v/>
      </c>
      <c r="F583" s="18" t="str">
        <f ca="1">IFERROR(__xludf.DUMMYFUNCTION("""COMPUTED_VALUE"""),"")</f>
        <v/>
      </c>
      <c r="G583" s="18" t="str">
        <f ca="1">IFERROR(__xludf.DUMMYFUNCTION("""COMPUTED_VALUE"""),"")</f>
        <v/>
      </c>
      <c r="H583" s="18" t="str">
        <f ca="1">IFERROR(__xludf.DUMMYFUNCTION("""COMPUTED_VALUE"""),"")</f>
        <v/>
      </c>
      <c r="I583" s="18" t="str">
        <f ca="1">IFERROR(__xludf.DUMMYFUNCTION("""COMPUTED_VALUE"""),"")</f>
        <v/>
      </c>
      <c r="J583" s="18" t="str">
        <f ca="1">IFERROR(__xludf.DUMMYFUNCTION("""COMPUTED_VALUE"""),"")</f>
        <v/>
      </c>
      <c r="K583" s="18" t="str">
        <f ca="1">IFERROR(__xludf.DUMMYFUNCTION("""COMPUTED_VALUE"""),"")</f>
        <v/>
      </c>
      <c r="L583" s="18" t="str">
        <f ca="1">IFERROR(__xludf.DUMMYFUNCTION("""COMPUTED_VALUE"""),"")</f>
        <v/>
      </c>
      <c r="M583" s="18" t="str">
        <f ca="1">IFERROR(__xludf.DUMMYFUNCTION("""COMPUTED_VALUE"""),"")</f>
        <v/>
      </c>
      <c r="N583" s="18" t="str">
        <f ca="1">IFERROR(__xludf.DUMMYFUNCTION("""COMPUTED_VALUE"""),"")</f>
        <v/>
      </c>
      <c r="O583" s="18" t="str">
        <f ca="1">IFERROR(__xludf.DUMMYFUNCTION("""COMPUTED_VALUE"""),"")</f>
        <v/>
      </c>
      <c r="P583" s="18" t="str">
        <f ca="1">IFERROR(__xludf.DUMMYFUNCTION("""COMPUTED_VALUE"""),"")</f>
        <v/>
      </c>
      <c r="Q583" s="18" t="str">
        <f ca="1">IFERROR(__xludf.DUMMYFUNCTION("""COMPUTED_VALUE"""),"")</f>
        <v/>
      </c>
      <c r="R583" s="18" t="str">
        <f ca="1">IFERROR(__xludf.DUMMYFUNCTION("""COMPUTED_VALUE"""),"")</f>
        <v/>
      </c>
      <c r="S583" s="18" t="str">
        <f ca="1">IFERROR(__xludf.DUMMYFUNCTION("""COMPUTED_VALUE"""),"")</f>
        <v/>
      </c>
      <c r="T583" s="18" t="str">
        <f ca="1">IFERROR(__xludf.DUMMYFUNCTION("""COMPUTED_VALUE"""),"")</f>
        <v/>
      </c>
      <c r="U583" s="18" t="str">
        <f ca="1">IFERROR(__xludf.DUMMYFUNCTION("""COMPUTED_VALUE"""),"")</f>
        <v/>
      </c>
      <c r="V583" s="18" t="str">
        <f ca="1">IFERROR(__xludf.DUMMYFUNCTION("""COMPUTED_VALUE"""),"")</f>
        <v/>
      </c>
      <c r="W583" s="18" t="str">
        <f ca="1">IFERROR(__xludf.DUMMYFUNCTION("""COMPUTED_VALUE"""),"")</f>
        <v/>
      </c>
      <c r="X583" s="18" t="str">
        <f ca="1">IFERROR(__xludf.DUMMYFUNCTION("""COMPUTED_VALUE"""),"")</f>
        <v/>
      </c>
      <c r="Y583" s="18" t="e">
        <f ca="1"/>
        <v>#NAME?</v>
      </c>
      <c r="Z583" s="18" t="str">
        <f ca="1">IFERROR(__xludf.DUMMYFUNCTION("""COMPUTED_VALUE"""),"")</f>
        <v/>
      </c>
      <c r="AA583" s="18" t="str">
        <f ca="1">IFERROR(__xludf.DUMMYFUNCTION("""COMPUTED_VALUE"""),"")</f>
        <v/>
      </c>
      <c r="AC583" s="59"/>
    </row>
    <row r="584" spans="1:29" x14ac:dyDescent="0.25">
      <c r="A584" s="18">
        <v>0</v>
      </c>
      <c r="B584" s="52" t="str">
        <f ca="1"/>
        <v/>
      </c>
      <c r="C584" s="52" t="str">
        <f ca="1">IFERROR(__xludf.DUMMYFUNCTION("""COMPUTED_VALUE"""),"")</f>
        <v/>
      </c>
      <c r="D584" s="18" t="str">
        <f ca="1">IFERROR(__xludf.DUMMYFUNCTION("""COMPUTED_VALUE"""),"")</f>
        <v/>
      </c>
      <c r="E584" s="18" t="str">
        <f ca="1">IFERROR(__xludf.DUMMYFUNCTION("""COMPUTED_VALUE"""),"")</f>
        <v/>
      </c>
      <c r="F584" s="18" t="str">
        <f ca="1">IFERROR(__xludf.DUMMYFUNCTION("""COMPUTED_VALUE"""),"")</f>
        <v/>
      </c>
      <c r="G584" s="18" t="str">
        <f ca="1">IFERROR(__xludf.DUMMYFUNCTION("""COMPUTED_VALUE"""),"")</f>
        <v/>
      </c>
      <c r="H584" s="18" t="str">
        <f ca="1">IFERROR(__xludf.DUMMYFUNCTION("""COMPUTED_VALUE"""),"")</f>
        <v/>
      </c>
      <c r="I584" s="18" t="str">
        <f ca="1">IFERROR(__xludf.DUMMYFUNCTION("""COMPUTED_VALUE"""),"")</f>
        <v/>
      </c>
      <c r="J584" s="18" t="str">
        <f ca="1">IFERROR(__xludf.DUMMYFUNCTION("""COMPUTED_VALUE"""),"")</f>
        <v/>
      </c>
      <c r="K584" s="18" t="str">
        <f ca="1">IFERROR(__xludf.DUMMYFUNCTION("""COMPUTED_VALUE"""),"")</f>
        <v/>
      </c>
      <c r="L584" s="18" t="str">
        <f ca="1">IFERROR(__xludf.DUMMYFUNCTION("""COMPUTED_VALUE"""),"")</f>
        <v/>
      </c>
      <c r="M584" s="18" t="str">
        <f ca="1">IFERROR(__xludf.DUMMYFUNCTION("""COMPUTED_VALUE"""),"")</f>
        <v/>
      </c>
      <c r="N584" s="18" t="str">
        <f ca="1">IFERROR(__xludf.DUMMYFUNCTION("""COMPUTED_VALUE"""),"")</f>
        <v/>
      </c>
      <c r="O584" s="18" t="str">
        <f ca="1">IFERROR(__xludf.DUMMYFUNCTION("""COMPUTED_VALUE"""),"")</f>
        <v/>
      </c>
      <c r="P584" s="18" t="str">
        <f ca="1">IFERROR(__xludf.DUMMYFUNCTION("""COMPUTED_VALUE"""),"")</f>
        <v/>
      </c>
      <c r="Q584" s="18" t="str">
        <f ca="1">IFERROR(__xludf.DUMMYFUNCTION("""COMPUTED_VALUE"""),"")</f>
        <v/>
      </c>
      <c r="R584" s="18" t="str">
        <f ca="1">IFERROR(__xludf.DUMMYFUNCTION("""COMPUTED_VALUE"""),"")</f>
        <v/>
      </c>
      <c r="S584" s="18" t="str">
        <f ca="1">IFERROR(__xludf.DUMMYFUNCTION("""COMPUTED_VALUE"""),"")</f>
        <v/>
      </c>
      <c r="T584" s="18" t="str">
        <f ca="1">IFERROR(__xludf.DUMMYFUNCTION("""COMPUTED_VALUE"""),"")</f>
        <v/>
      </c>
      <c r="U584" s="18" t="str">
        <f ca="1">IFERROR(__xludf.DUMMYFUNCTION("""COMPUTED_VALUE"""),"")</f>
        <v/>
      </c>
      <c r="V584" s="18" t="str">
        <f ca="1">IFERROR(__xludf.DUMMYFUNCTION("""COMPUTED_VALUE"""),"")</f>
        <v/>
      </c>
      <c r="W584" s="18" t="str">
        <f ca="1">IFERROR(__xludf.DUMMYFUNCTION("""COMPUTED_VALUE"""),"")</f>
        <v/>
      </c>
      <c r="X584" s="18" t="str">
        <f ca="1">IFERROR(__xludf.DUMMYFUNCTION("""COMPUTED_VALUE"""),"")</f>
        <v/>
      </c>
      <c r="Y584" s="18" t="e">
        <f ca="1"/>
        <v>#NAME?</v>
      </c>
      <c r="Z584" s="18" t="str">
        <f ca="1">IFERROR(__xludf.DUMMYFUNCTION("""COMPUTED_VALUE"""),"")</f>
        <v/>
      </c>
      <c r="AA584" s="18" t="str">
        <f ca="1">IFERROR(__xludf.DUMMYFUNCTION("""COMPUTED_VALUE"""),"")</f>
        <v/>
      </c>
      <c r="AC584" s="59"/>
    </row>
    <row r="585" spans="1:29" x14ac:dyDescent="0.25">
      <c r="A585" s="18">
        <v>0</v>
      </c>
      <c r="B585" s="52" t="str">
        <f ca="1"/>
        <v/>
      </c>
      <c r="C585" s="52" t="str">
        <f ca="1">IFERROR(__xludf.DUMMYFUNCTION("""COMPUTED_VALUE"""),"")</f>
        <v/>
      </c>
      <c r="D585" s="18" t="str">
        <f ca="1">IFERROR(__xludf.DUMMYFUNCTION("""COMPUTED_VALUE"""),"")</f>
        <v/>
      </c>
      <c r="E585" s="18" t="str">
        <f ca="1">IFERROR(__xludf.DUMMYFUNCTION("""COMPUTED_VALUE"""),"")</f>
        <v/>
      </c>
      <c r="F585" s="18" t="str">
        <f ca="1">IFERROR(__xludf.DUMMYFUNCTION("""COMPUTED_VALUE"""),"")</f>
        <v/>
      </c>
      <c r="G585" s="18" t="str">
        <f ca="1">IFERROR(__xludf.DUMMYFUNCTION("""COMPUTED_VALUE"""),"")</f>
        <v/>
      </c>
      <c r="H585" s="18" t="str">
        <f ca="1">IFERROR(__xludf.DUMMYFUNCTION("""COMPUTED_VALUE"""),"")</f>
        <v/>
      </c>
      <c r="I585" s="18" t="str">
        <f ca="1">IFERROR(__xludf.DUMMYFUNCTION("""COMPUTED_VALUE"""),"")</f>
        <v/>
      </c>
      <c r="J585" s="18" t="str">
        <f ca="1">IFERROR(__xludf.DUMMYFUNCTION("""COMPUTED_VALUE"""),"")</f>
        <v/>
      </c>
      <c r="K585" s="18" t="str">
        <f ca="1">IFERROR(__xludf.DUMMYFUNCTION("""COMPUTED_VALUE"""),"")</f>
        <v/>
      </c>
      <c r="L585" s="18" t="str">
        <f ca="1">IFERROR(__xludf.DUMMYFUNCTION("""COMPUTED_VALUE"""),"")</f>
        <v/>
      </c>
      <c r="M585" s="18" t="str">
        <f ca="1">IFERROR(__xludf.DUMMYFUNCTION("""COMPUTED_VALUE"""),"")</f>
        <v/>
      </c>
      <c r="N585" s="18" t="str">
        <f ca="1">IFERROR(__xludf.DUMMYFUNCTION("""COMPUTED_VALUE"""),"")</f>
        <v/>
      </c>
      <c r="O585" s="18" t="str">
        <f ca="1">IFERROR(__xludf.DUMMYFUNCTION("""COMPUTED_VALUE"""),"")</f>
        <v/>
      </c>
      <c r="P585" s="18" t="str">
        <f ca="1">IFERROR(__xludf.DUMMYFUNCTION("""COMPUTED_VALUE"""),"")</f>
        <v/>
      </c>
      <c r="Q585" s="18" t="str">
        <f ca="1">IFERROR(__xludf.DUMMYFUNCTION("""COMPUTED_VALUE"""),"")</f>
        <v/>
      </c>
      <c r="R585" s="18" t="str">
        <f ca="1">IFERROR(__xludf.DUMMYFUNCTION("""COMPUTED_VALUE"""),"")</f>
        <v/>
      </c>
      <c r="S585" s="18" t="str">
        <f ca="1">IFERROR(__xludf.DUMMYFUNCTION("""COMPUTED_VALUE"""),"")</f>
        <v/>
      </c>
      <c r="T585" s="18" t="str">
        <f ca="1">IFERROR(__xludf.DUMMYFUNCTION("""COMPUTED_VALUE"""),"")</f>
        <v/>
      </c>
      <c r="U585" s="18" t="str">
        <f ca="1">IFERROR(__xludf.DUMMYFUNCTION("""COMPUTED_VALUE"""),"")</f>
        <v/>
      </c>
      <c r="V585" s="18" t="str">
        <f ca="1">IFERROR(__xludf.DUMMYFUNCTION("""COMPUTED_VALUE"""),"")</f>
        <v/>
      </c>
      <c r="W585" s="18" t="str">
        <f ca="1">IFERROR(__xludf.DUMMYFUNCTION("""COMPUTED_VALUE"""),"")</f>
        <v/>
      </c>
      <c r="X585" s="18" t="str">
        <f ca="1">IFERROR(__xludf.DUMMYFUNCTION("""COMPUTED_VALUE"""),"")</f>
        <v/>
      </c>
      <c r="Y585" s="18" t="e">
        <f ca="1"/>
        <v>#NAME?</v>
      </c>
      <c r="Z585" s="18" t="str">
        <f ca="1">IFERROR(__xludf.DUMMYFUNCTION("""COMPUTED_VALUE"""),"")</f>
        <v/>
      </c>
      <c r="AA585" s="18" t="str">
        <f ca="1">IFERROR(__xludf.DUMMYFUNCTION("""COMPUTED_VALUE"""),"")</f>
        <v/>
      </c>
      <c r="AC585" s="59"/>
    </row>
    <row r="586" spans="1:29" x14ac:dyDescent="0.25">
      <c r="A586" s="18">
        <v>0</v>
      </c>
      <c r="B586" s="52" t="str">
        <f ca="1"/>
        <v/>
      </c>
      <c r="C586" s="52" t="str">
        <f ca="1">IFERROR(__xludf.DUMMYFUNCTION("""COMPUTED_VALUE"""),"")</f>
        <v/>
      </c>
      <c r="D586" s="18" t="str">
        <f ca="1">IFERROR(__xludf.DUMMYFUNCTION("""COMPUTED_VALUE"""),"")</f>
        <v/>
      </c>
      <c r="E586" s="18" t="str">
        <f ca="1">IFERROR(__xludf.DUMMYFUNCTION("""COMPUTED_VALUE"""),"")</f>
        <v/>
      </c>
      <c r="F586" s="18" t="str">
        <f ca="1">IFERROR(__xludf.DUMMYFUNCTION("""COMPUTED_VALUE"""),"")</f>
        <v/>
      </c>
      <c r="G586" s="18" t="str">
        <f ca="1">IFERROR(__xludf.DUMMYFUNCTION("""COMPUTED_VALUE"""),"")</f>
        <v/>
      </c>
      <c r="H586" s="18" t="str">
        <f ca="1">IFERROR(__xludf.DUMMYFUNCTION("""COMPUTED_VALUE"""),"")</f>
        <v/>
      </c>
      <c r="I586" s="18" t="str">
        <f ca="1">IFERROR(__xludf.DUMMYFUNCTION("""COMPUTED_VALUE"""),"")</f>
        <v/>
      </c>
      <c r="J586" s="18" t="str">
        <f ca="1">IFERROR(__xludf.DUMMYFUNCTION("""COMPUTED_VALUE"""),"")</f>
        <v/>
      </c>
      <c r="K586" s="18" t="str">
        <f ca="1">IFERROR(__xludf.DUMMYFUNCTION("""COMPUTED_VALUE"""),"")</f>
        <v/>
      </c>
      <c r="L586" s="18" t="str">
        <f ca="1">IFERROR(__xludf.DUMMYFUNCTION("""COMPUTED_VALUE"""),"")</f>
        <v/>
      </c>
      <c r="M586" s="18" t="str">
        <f ca="1">IFERROR(__xludf.DUMMYFUNCTION("""COMPUTED_VALUE"""),"")</f>
        <v/>
      </c>
      <c r="N586" s="18" t="str">
        <f ca="1">IFERROR(__xludf.DUMMYFUNCTION("""COMPUTED_VALUE"""),"")</f>
        <v/>
      </c>
      <c r="O586" s="18" t="str">
        <f ca="1">IFERROR(__xludf.DUMMYFUNCTION("""COMPUTED_VALUE"""),"")</f>
        <v/>
      </c>
      <c r="P586" s="18" t="str">
        <f ca="1">IFERROR(__xludf.DUMMYFUNCTION("""COMPUTED_VALUE"""),"")</f>
        <v/>
      </c>
      <c r="Q586" s="18" t="str">
        <f ca="1">IFERROR(__xludf.DUMMYFUNCTION("""COMPUTED_VALUE"""),"")</f>
        <v/>
      </c>
      <c r="R586" s="18" t="str">
        <f ca="1">IFERROR(__xludf.DUMMYFUNCTION("""COMPUTED_VALUE"""),"")</f>
        <v/>
      </c>
      <c r="S586" s="18" t="str">
        <f ca="1">IFERROR(__xludf.DUMMYFUNCTION("""COMPUTED_VALUE"""),"")</f>
        <v/>
      </c>
      <c r="T586" s="18" t="str">
        <f ca="1">IFERROR(__xludf.DUMMYFUNCTION("""COMPUTED_VALUE"""),"")</f>
        <v/>
      </c>
      <c r="U586" s="18" t="str">
        <f ca="1">IFERROR(__xludf.DUMMYFUNCTION("""COMPUTED_VALUE"""),"")</f>
        <v/>
      </c>
      <c r="V586" s="18" t="str">
        <f ca="1">IFERROR(__xludf.DUMMYFUNCTION("""COMPUTED_VALUE"""),"")</f>
        <v/>
      </c>
      <c r="W586" s="18" t="str">
        <f ca="1">IFERROR(__xludf.DUMMYFUNCTION("""COMPUTED_VALUE"""),"")</f>
        <v/>
      </c>
      <c r="X586" s="18" t="str">
        <f ca="1">IFERROR(__xludf.DUMMYFUNCTION("""COMPUTED_VALUE"""),"")</f>
        <v/>
      </c>
      <c r="Y586" s="18" t="e">
        <f ca="1"/>
        <v>#NAME?</v>
      </c>
      <c r="Z586" s="18" t="str">
        <f ca="1">IFERROR(__xludf.DUMMYFUNCTION("""COMPUTED_VALUE"""),"")</f>
        <v/>
      </c>
      <c r="AA586" s="18" t="str">
        <f ca="1">IFERROR(__xludf.DUMMYFUNCTION("""COMPUTED_VALUE"""),"")</f>
        <v/>
      </c>
      <c r="AC586" s="59"/>
    </row>
    <row r="587" spans="1:29" x14ac:dyDescent="0.25">
      <c r="A587" s="18">
        <v>0</v>
      </c>
      <c r="B587" s="52" t="str">
        <f ca="1"/>
        <v/>
      </c>
      <c r="C587" s="52" t="str">
        <f ca="1">IFERROR(__xludf.DUMMYFUNCTION("""COMPUTED_VALUE"""),"")</f>
        <v/>
      </c>
      <c r="D587" s="18" t="str">
        <f ca="1">IFERROR(__xludf.DUMMYFUNCTION("""COMPUTED_VALUE"""),"")</f>
        <v/>
      </c>
      <c r="E587" s="18" t="str">
        <f ca="1">IFERROR(__xludf.DUMMYFUNCTION("""COMPUTED_VALUE"""),"")</f>
        <v/>
      </c>
      <c r="F587" s="18" t="str">
        <f ca="1">IFERROR(__xludf.DUMMYFUNCTION("""COMPUTED_VALUE"""),"")</f>
        <v/>
      </c>
      <c r="G587" s="18" t="str">
        <f ca="1">IFERROR(__xludf.DUMMYFUNCTION("""COMPUTED_VALUE"""),"")</f>
        <v/>
      </c>
      <c r="H587" s="18" t="str">
        <f ca="1">IFERROR(__xludf.DUMMYFUNCTION("""COMPUTED_VALUE"""),"")</f>
        <v/>
      </c>
      <c r="I587" s="18" t="str">
        <f ca="1">IFERROR(__xludf.DUMMYFUNCTION("""COMPUTED_VALUE"""),"")</f>
        <v/>
      </c>
      <c r="J587" s="18" t="str">
        <f ca="1">IFERROR(__xludf.DUMMYFUNCTION("""COMPUTED_VALUE"""),"")</f>
        <v/>
      </c>
      <c r="K587" s="18" t="str">
        <f ca="1">IFERROR(__xludf.DUMMYFUNCTION("""COMPUTED_VALUE"""),"")</f>
        <v/>
      </c>
      <c r="L587" s="18" t="str">
        <f ca="1">IFERROR(__xludf.DUMMYFUNCTION("""COMPUTED_VALUE"""),"")</f>
        <v/>
      </c>
      <c r="M587" s="18" t="str">
        <f ca="1">IFERROR(__xludf.DUMMYFUNCTION("""COMPUTED_VALUE"""),"")</f>
        <v/>
      </c>
      <c r="N587" s="18" t="str">
        <f ca="1">IFERROR(__xludf.DUMMYFUNCTION("""COMPUTED_VALUE"""),"")</f>
        <v/>
      </c>
      <c r="O587" s="18" t="str">
        <f ca="1">IFERROR(__xludf.DUMMYFUNCTION("""COMPUTED_VALUE"""),"")</f>
        <v/>
      </c>
      <c r="P587" s="18" t="str">
        <f ca="1">IFERROR(__xludf.DUMMYFUNCTION("""COMPUTED_VALUE"""),"")</f>
        <v/>
      </c>
      <c r="Q587" s="18" t="str">
        <f ca="1">IFERROR(__xludf.DUMMYFUNCTION("""COMPUTED_VALUE"""),"")</f>
        <v/>
      </c>
      <c r="R587" s="18" t="str">
        <f ca="1">IFERROR(__xludf.DUMMYFUNCTION("""COMPUTED_VALUE"""),"")</f>
        <v/>
      </c>
      <c r="S587" s="18" t="str">
        <f ca="1">IFERROR(__xludf.DUMMYFUNCTION("""COMPUTED_VALUE"""),"")</f>
        <v/>
      </c>
      <c r="T587" s="18" t="str">
        <f ca="1">IFERROR(__xludf.DUMMYFUNCTION("""COMPUTED_VALUE"""),"")</f>
        <v/>
      </c>
      <c r="U587" s="18" t="str">
        <f ca="1">IFERROR(__xludf.DUMMYFUNCTION("""COMPUTED_VALUE"""),"")</f>
        <v/>
      </c>
      <c r="V587" s="18" t="str">
        <f ca="1">IFERROR(__xludf.DUMMYFUNCTION("""COMPUTED_VALUE"""),"")</f>
        <v/>
      </c>
      <c r="W587" s="18" t="str">
        <f ca="1">IFERROR(__xludf.DUMMYFUNCTION("""COMPUTED_VALUE"""),"")</f>
        <v/>
      </c>
      <c r="X587" s="18" t="str">
        <f ca="1">IFERROR(__xludf.DUMMYFUNCTION("""COMPUTED_VALUE"""),"")</f>
        <v/>
      </c>
      <c r="Y587" s="18" t="e">
        <f ca="1"/>
        <v>#NAME?</v>
      </c>
      <c r="Z587" s="18" t="str">
        <f ca="1">IFERROR(__xludf.DUMMYFUNCTION("""COMPUTED_VALUE"""),"")</f>
        <v/>
      </c>
      <c r="AA587" s="18" t="str">
        <f ca="1">IFERROR(__xludf.DUMMYFUNCTION("""COMPUTED_VALUE"""),"")</f>
        <v/>
      </c>
      <c r="AC587" s="59"/>
    </row>
    <row r="588" spans="1:29" x14ac:dyDescent="0.25">
      <c r="A588" s="18">
        <v>0</v>
      </c>
      <c r="B588" s="52" t="str">
        <f ca="1"/>
        <v/>
      </c>
      <c r="C588" s="52" t="str">
        <f ca="1">IFERROR(__xludf.DUMMYFUNCTION("""COMPUTED_VALUE"""),"")</f>
        <v/>
      </c>
      <c r="D588" s="18" t="str">
        <f ca="1">IFERROR(__xludf.DUMMYFUNCTION("""COMPUTED_VALUE"""),"")</f>
        <v/>
      </c>
      <c r="E588" s="18" t="str">
        <f ca="1">IFERROR(__xludf.DUMMYFUNCTION("""COMPUTED_VALUE"""),"")</f>
        <v/>
      </c>
      <c r="F588" s="18" t="str">
        <f ca="1">IFERROR(__xludf.DUMMYFUNCTION("""COMPUTED_VALUE"""),"")</f>
        <v/>
      </c>
      <c r="G588" s="18" t="str">
        <f ca="1">IFERROR(__xludf.DUMMYFUNCTION("""COMPUTED_VALUE"""),"")</f>
        <v/>
      </c>
      <c r="H588" s="18" t="str">
        <f ca="1">IFERROR(__xludf.DUMMYFUNCTION("""COMPUTED_VALUE"""),"")</f>
        <v/>
      </c>
      <c r="I588" s="18" t="str">
        <f ca="1">IFERROR(__xludf.DUMMYFUNCTION("""COMPUTED_VALUE"""),"")</f>
        <v/>
      </c>
      <c r="J588" s="18" t="str">
        <f ca="1">IFERROR(__xludf.DUMMYFUNCTION("""COMPUTED_VALUE"""),"")</f>
        <v/>
      </c>
      <c r="K588" s="18" t="str">
        <f ca="1">IFERROR(__xludf.DUMMYFUNCTION("""COMPUTED_VALUE"""),"")</f>
        <v/>
      </c>
      <c r="L588" s="18" t="str">
        <f ca="1">IFERROR(__xludf.DUMMYFUNCTION("""COMPUTED_VALUE"""),"")</f>
        <v/>
      </c>
      <c r="M588" s="18" t="str">
        <f ca="1">IFERROR(__xludf.DUMMYFUNCTION("""COMPUTED_VALUE"""),"")</f>
        <v/>
      </c>
      <c r="N588" s="18" t="str">
        <f ca="1">IFERROR(__xludf.DUMMYFUNCTION("""COMPUTED_VALUE"""),"")</f>
        <v/>
      </c>
      <c r="O588" s="18" t="str">
        <f ca="1">IFERROR(__xludf.DUMMYFUNCTION("""COMPUTED_VALUE"""),"")</f>
        <v/>
      </c>
      <c r="P588" s="18" t="str">
        <f ca="1">IFERROR(__xludf.DUMMYFUNCTION("""COMPUTED_VALUE"""),"")</f>
        <v/>
      </c>
      <c r="Q588" s="18" t="str">
        <f ca="1">IFERROR(__xludf.DUMMYFUNCTION("""COMPUTED_VALUE"""),"")</f>
        <v/>
      </c>
      <c r="R588" s="18" t="str">
        <f ca="1">IFERROR(__xludf.DUMMYFUNCTION("""COMPUTED_VALUE"""),"")</f>
        <v/>
      </c>
      <c r="S588" s="18" t="str">
        <f ca="1">IFERROR(__xludf.DUMMYFUNCTION("""COMPUTED_VALUE"""),"")</f>
        <v/>
      </c>
      <c r="T588" s="18" t="str">
        <f ca="1">IFERROR(__xludf.DUMMYFUNCTION("""COMPUTED_VALUE"""),"")</f>
        <v/>
      </c>
      <c r="U588" s="18" t="str">
        <f ca="1">IFERROR(__xludf.DUMMYFUNCTION("""COMPUTED_VALUE"""),"")</f>
        <v/>
      </c>
      <c r="V588" s="18" t="str">
        <f ca="1">IFERROR(__xludf.DUMMYFUNCTION("""COMPUTED_VALUE"""),"")</f>
        <v/>
      </c>
      <c r="W588" s="18" t="str">
        <f ca="1">IFERROR(__xludf.DUMMYFUNCTION("""COMPUTED_VALUE"""),"")</f>
        <v/>
      </c>
      <c r="X588" s="18" t="str">
        <f ca="1">IFERROR(__xludf.DUMMYFUNCTION("""COMPUTED_VALUE"""),"")</f>
        <v/>
      </c>
      <c r="Y588" s="18" t="e">
        <f ca="1"/>
        <v>#NAME?</v>
      </c>
      <c r="Z588" s="18" t="str">
        <f ca="1">IFERROR(__xludf.DUMMYFUNCTION("""COMPUTED_VALUE"""),"")</f>
        <v/>
      </c>
      <c r="AA588" s="18" t="str">
        <f ca="1">IFERROR(__xludf.DUMMYFUNCTION("""COMPUTED_VALUE"""),"")</f>
        <v/>
      </c>
      <c r="AC588" s="59"/>
    </row>
    <row r="589" spans="1:29" x14ac:dyDescent="0.25">
      <c r="A589" s="18">
        <v>0</v>
      </c>
      <c r="B589" s="52" t="str">
        <f ca="1"/>
        <v/>
      </c>
      <c r="C589" s="52" t="str">
        <f ca="1">IFERROR(__xludf.DUMMYFUNCTION("""COMPUTED_VALUE"""),"")</f>
        <v/>
      </c>
      <c r="D589" s="18" t="str">
        <f ca="1">IFERROR(__xludf.DUMMYFUNCTION("""COMPUTED_VALUE"""),"")</f>
        <v/>
      </c>
      <c r="E589" s="18" t="str">
        <f ca="1">IFERROR(__xludf.DUMMYFUNCTION("""COMPUTED_VALUE"""),"")</f>
        <v/>
      </c>
      <c r="F589" s="18" t="str">
        <f ca="1">IFERROR(__xludf.DUMMYFUNCTION("""COMPUTED_VALUE"""),"")</f>
        <v/>
      </c>
      <c r="G589" s="18" t="str">
        <f ca="1">IFERROR(__xludf.DUMMYFUNCTION("""COMPUTED_VALUE"""),"")</f>
        <v/>
      </c>
      <c r="H589" s="18" t="str">
        <f ca="1">IFERROR(__xludf.DUMMYFUNCTION("""COMPUTED_VALUE"""),"")</f>
        <v/>
      </c>
      <c r="I589" s="18" t="str">
        <f ca="1">IFERROR(__xludf.DUMMYFUNCTION("""COMPUTED_VALUE"""),"")</f>
        <v/>
      </c>
      <c r="J589" s="18" t="str">
        <f ca="1">IFERROR(__xludf.DUMMYFUNCTION("""COMPUTED_VALUE"""),"")</f>
        <v/>
      </c>
      <c r="K589" s="18" t="str">
        <f ca="1">IFERROR(__xludf.DUMMYFUNCTION("""COMPUTED_VALUE"""),"")</f>
        <v/>
      </c>
      <c r="L589" s="18" t="str">
        <f ca="1">IFERROR(__xludf.DUMMYFUNCTION("""COMPUTED_VALUE"""),"")</f>
        <v/>
      </c>
      <c r="M589" s="18" t="str">
        <f ca="1">IFERROR(__xludf.DUMMYFUNCTION("""COMPUTED_VALUE"""),"")</f>
        <v/>
      </c>
      <c r="N589" s="18" t="str">
        <f ca="1">IFERROR(__xludf.DUMMYFUNCTION("""COMPUTED_VALUE"""),"")</f>
        <v/>
      </c>
      <c r="O589" s="18" t="str">
        <f ca="1">IFERROR(__xludf.DUMMYFUNCTION("""COMPUTED_VALUE"""),"")</f>
        <v/>
      </c>
      <c r="P589" s="18" t="str">
        <f ca="1">IFERROR(__xludf.DUMMYFUNCTION("""COMPUTED_VALUE"""),"")</f>
        <v/>
      </c>
      <c r="Q589" s="18" t="str">
        <f ca="1">IFERROR(__xludf.DUMMYFUNCTION("""COMPUTED_VALUE"""),"")</f>
        <v/>
      </c>
      <c r="R589" s="18" t="str">
        <f ca="1">IFERROR(__xludf.DUMMYFUNCTION("""COMPUTED_VALUE"""),"")</f>
        <v/>
      </c>
      <c r="S589" s="18" t="str">
        <f ca="1">IFERROR(__xludf.DUMMYFUNCTION("""COMPUTED_VALUE"""),"")</f>
        <v/>
      </c>
      <c r="T589" s="18" t="str">
        <f ca="1">IFERROR(__xludf.DUMMYFUNCTION("""COMPUTED_VALUE"""),"")</f>
        <v/>
      </c>
      <c r="U589" s="18" t="str">
        <f ca="1">IFERROR(__xludf.DUMMYFUNCTION("""COMPUTED_VALUE"""),"")</f>
        <v/>
      </c>
      <c r="V589" s="18" t="str">
        <f ca="1">IFERROR(__xludf.DUMMYFUNCTION("""COMPUTED_VALUE"""),"")</f>
        <v/>
      </c>
      <c r="W589" s="18" t="str">
        <f ca="1">IFERROR(__xludf.DUMMYFUNCTION("""COMPUTED_VALUE"""),"")</f>
        <v/>
      </c>
      <c r="X589" s="18" t="str">
        <f ca="1">IFERROR(__xludf.DUMMYFUNCTION("""COMPUTED_VALUE"""),"")</f>
        <v/>
      </c>
      <c r="Y589" s="18" t="e">
        <f ca="1"/>
        <v>#NAME?</v>
      </c>
      <c r="Z589" s="18" t="str">
        <f ca="1">IFERROR(__xludf.DUMMYFUNCTION("""COMPUTED_VALUE"""),"")</f>
        <v/>
      </c>
      <c r="AA589" s="18" t="str">
        <f ca="1">IFERROR(__xludf.DUMMYFUNCTION("""COMPUTED_VALUE"""),"")</f>
        <v/>
      </c>
      <c r="AC589" s="59"/>
    </row>
    <row r="590" spans="1:29" x14ac:dyDescent="0.25">
      <c r="A590" s="18">
        <v>0</v>
      </c>
      <c r="B590" s="52" t="str">
        <f ca="1"/>
        <v/>
      </c>
      <c r="C590" s="52" t="str">
        <f ca="1">IFERROR(__xludf.DUMMYFUNCTION("""COMPUTED_VALUE"""),"")</f>
        <v/>
      </c>
      <c r="D590" s="18" t="str">
        <f ca="1">IFERROR(__xludf.DUMMYFUNCTION("""COMPUTED_VALUE"""),"")</f>
        <v/>
      </c>
      <c r="E590" s="18" t="str">
        <f ca="1">IFERROR(__xludf.DUMMYFUNCTION("""COMPUTED_VALUE"""),"")</f>
        <v/>
      </c>
      <c r="F590" s="18" t="str">
        <f ca="1">IFERROR(__xludf.DUMMYFUNCTION("""COMPUTED_VALUE"""),"")</f>
        <v/>
      </c>
      <c r="G590" s="18" t="str">
        <f ca="1">IFERROR(__xludf.DUMMYFUNCTION("""COMPUTED_VALUE"""),"")</f>
        <v/>
      </c>
      <c r="H590" s="18" t="str">
        <f ca="1">IFERROR(__xludf.DUMMYFUNCTION("""COMPUTED_VALUE"""),"")</f>
        <v/>
      </c>
      <c r="I590" s="18" t="str">
        <f ca="1">IFERROR(__xludf.DUMMYFUNCTION("""COMPUTED_VALUE"""),"")</f>
        <v/>
      </c>
      <c r="J590" s="18" t="str">
        <f ca="1">IFERROR(__xludf.DUMMYFUNCTION("""COMPUTED_VALUE"""),"")</f>
        <v/>
      </c>
      <c r="K590" s="18" t="str">
        <f ca="1">IFERROR(__xludf.DUMMYFUNCTION("""COMPUTED_VALUE"""),"")</f>
        <v/>
      </c>
      <c r="L590" s="18" t="str">
        <f ca="1">IFERROR(__xludf.DUMMYFUNCTION("""COMPUTED_VALUE"""),"")</f>
        <v/>
      </c>
      <c r="M590" s="18" t="str">
        <f ca="1">IFERROR(__xludf.DUMMYFUNCTION("""COMPUTED_VALUE"""),"")</f>
        <v/>
      </c>
      <c r="N590" s="18" t="str">
        <f ca="1">IFERROR(__xludf.DUMMYFUNCTION("""COMPUTED_VALUE"""),"")</f>
        <v/>
      </c>
      <c r="O590" s="18" t="str">
        <f ca="1">IFERROR(__xludf.DUMMYFUNCTION("""COMPUTED_VALUE"""),"")</f>
        <v/>
      </c>
      <c r="P590" s="18" t="str">
        <f ca="1">IFERROR(__xludf.DUMMYFUNCTION("""COMPUTED_VALUE"""),"")</f>
        <v/>
      </c>
      <c r="Q590" s="18" t="str">
        <f ca="1">IFERROR(__xludf.DUMMYFUNCTION("""COMPUTED_VALUE"""),"")</f>
        <v/>
      </c>
      <c r="R590" s="18" t="str">
        <f ca="1">IFERROR(__xludf.DUMMYFUNCTION("""COMPUTED_VALUE"""),"")</f>
        <v/>
      </c>
      <c r="S590" s="18" t="str">
        <f ca="1">IFERROR(__xludf.DUMMYFUNCTION("""COMPUTED_VALUE"""),"")</f>
        <v/>
      </c>
      <c r="T590" s="18" t="str">
        <f ca="1">IFERROR(__xludf.DUMMYFUNCTION("""COMPUTED_VALUE"""),"")</f>
        <v/>
      </c>
      <c r="U590" s="18" t="str">
        <f ca="1">IFERROR(__xludf.DUMMYFUNCTION("""COMPUTED_VALUE"""),"")</f>
        <v/>
      </c>
      <c r="V590" s="18" t="str">
        <f ca="1">IFERROR(__xludf.DUMMYFUNCTION("""COMPUTED_VALUE"""),"")</f>
        <v/>
      </c>
      <c r="W590" s="18" t="str">
        <f ca="1">IFERROR(__xludf.DUMMYFUNCTION("""COMPUTED_VALUE"""),"")</f>
        <v/>
      </c>
      <c r="X590" s="18" t="str">
        <f ca="1">IFERROR(__xludf.DUMMYFUNCTION("""COMPUTED_VALUE"""),"")</f>
        <v/>
      </c>
      <c r="Y590" s="18" t="e">
        <f ca="1"/>
        <v>#NAME?</v>
      </c>
      <c r="Z590" s="18" t="str">
        <f ca="1">IFERROR(__xludf.DUMMYFUNCTION("""COMPUTED_VALUE"""),"")</f>
        <v/>
      </c>
      <c r="AA590" s="18" t="str">
        <f ca="1">IFERROR(__xludf.DUMMYFUNCTION("""COMPUTED_VALUE"""),"")</f>
        <v/>
      </c>
      <c r="AC590" s="59"/>
    </row>
    <row r="591" spans="1:29" x14ac:dyDescent="0.25">
      <c r="A591" s="18">
        <v>0</v>
      </c>
      <c r="B591" s="52" t="str">
        <f ca="1"/>
        <v/>
      </c>
      <c r="C591" s="52" t="str">
        <f ca="1">IFERROR(__xludf.DUMMYFUNCTION("""COMPUTED_VALUE"""),"")</f>
        <v/>
      </c>
      <c r="D591" s="18" t="str">
        <f ca="1">IFERROR(__xludf.DUMMYFUNCTION("""COMPUTED_VALUE"""),"")</f>
        <v/>
      </c>
      <c r="E591" s="18" t="str">
        <f ca="1">IFERROR(__xludf.DUMMYFUNCTION("""COMPUTED_VALUE"""),"")</f>
        <v/>
      </c>
      <c r="F591" s="18" t="str">
        <f ca="1">IFERROR(__xludf.DUMMYFUNCTION("""COMPUTED_VALUE"""),"")</f>
        <v/>
      </c>
      <c r="G591" s="18" t="str">
        <f ca="1">IFERROR(__xludf.DUMMYFUNCTION("""COMPUTED_VALUE"""),"")</f>
        <v/>
      </c>
      <c r="H591" s="18" t="str">
        <f ca="1">IFERROR(__xludf.DUMMYFUNCTION("""COMPUTED_VALUE"""),"")</f>
        <v/>
      </c>
      <c r="I591" s="18" t="str">
        <f ca="1">IFERROR(__xludf.DUMMYFUNCTION("""COMPUTED_VALUE"""),"")</f>
        <v/>
      </c>
      <c r="J591" s="18" t="str">
        <f ca="1">IFERROR(__xludf.DUMMYFUNCTION("""COMPUTED_VALUE"""),"")</f>
        <v/>
      </c>
      <c r="K591" s="18" t="str">
        <f ca="1">IFERROR(__xludf.DUMMYFUNCTION("""COMPUTED_VALUE"""),"")</f>
        <v/>
      </c>
      <c r="L591" s="18" t="str">
        <f ca="1">IFERROR(__xludf.DUMMYFUNCTION("""COMPUTED_VALUE"""),"")</f>
        <v/>
      </c>
      <c r="M591" s="18" t="str">
        <f ca="1">IFERROR(__xludf.DUMMYFUNCTION("""COMPUTED_VALUE"""),"")</f>
        <v/>
      </c>
      <c r="N591" s="18" t="str">
        <f ca="1">IFERROR(__xludf.DUMMYFUNCTION("""COMPUTED_VALUE"""),"")</f>
        <v/>
      </c>
      <c r="O591" s="18" t="str">
        <f ca="1">IFERROR(__xludf.DUMMYFUNCTION("""COMPUTED_VALUE"""),"")</f>
        <v/>
      </c>
      <c r="P591" s="18" t="str">
        <f ca="1">IFERROR(__xludf.DUMMYFUNCTION("""COMPUTED_VALUE"""),"")</f>
        <v/>
      </c>
      <c r="Q591" s="18" t="str">
        <f ca="1">IFERROR(__xludf.DUMMYFUNCTION("""COMPUTED_VALUE"""),"")</f>
        <v/>
      </c>
      <c r="R591" s="18" t="str">
        <f ca="1">IFERROR(__xludf.DUMMYFUNCTION("""COMPUTED_VALUE"""),"")</f>
        <v/>
      </c>
      <c r="S591" s="18" t="str">
        <f ca="1">IFERROR(__xludf.DUMMYFUNCTION("""COMPUTED_VALUE"""),"")</f>
        <v/>
      </c>
      <c r="T591" s="18" t="str">
        <f ca="1">IFERROR(__xludf.DUMMYFUNCTION("""COMPUTED_VALUE"""),"")</f>
        <v/>
      </c>
      <c r="U591" s="18" t="str">
        <f ca="1">IFERROR(__xludf.DUMMYFUNCTION("""COMPUTED_VALUE"""),"")</f>
        <v/>
      </c>
      <c r="V591" s="18" t="str">
        <f ca="1">IFERROR(__xludf.DUMMYFUNCTION("""COMPUTED_VALUE"""),"")</f>
        <v/>
      </c>
      <c r="W591" s="18" t="str">
        <f ca="1">IFERROR(__xludf.DUMMYFUNCTION("""COMPUTED_VALUE"""),"")</f>
        <v/>
      </c>
      <c r="X591" s="18" t="str">
        <f ca="1">IFERROR(__xludf.DUMMYFUNCTION("""COMPUTED_VALUE"""),"")</f>
        <v/>
      </c>
      <c r="Y591" s="18" t="e">
        <f ca="1"/>
        <v>#NAME?</v>
      </c>
      <c r="Z591" s="18" t="str">
        <f ca="1">IFERROR(__xludf.DUMMYFUNCTION("""COMPUTED_VALUE"""),"")</f>
        <v/>
      </c>
      <c r="AA591" s="18" t="str">
        <f ca="1">IFERROR(__xludf.DUMMYFUNCTION("""COMPUTED_VALUE"""),"")</f>
        <v/>
      </c>
      <c r="AC591" s="59"/>
    </row>
    <row r="592" spans="1:29" x14ac:dyDescent="0.25">
      <c r="A592" s="18">
        <v>0</v>
      </c>
      <c r="B592" s="52" t="str">
        <f ca="1"/>
        <v/>
      </c>
      <c r="C592" s="52" t="str">
        <f ca="1">IFERROR(__xludf.DUMMYFUNCTION("""COMPUTED_VALUE"""),"")</f>
        <v/>
      </c>
      <c r="D592" s="18" t="str">
        <f ca="1">IFERROR(__xludf.DUMMYFUNCTION("""COMPUTED_VALUE"""),"")</f>
        <v/>
      </c>
      <c r="E592" s="18" t="str">
        <f ca="1">IFERROR(__xludf.DUMMYFUNCTION("""COMPUTED_VALUE"""),"")</f>
        <v/>
      </c>
      <c r="F592" s="18" t="str">
        <f ca="1">IFERROR(__xludf.DUMMYFUNCTION("""COMPUTED_VALUE"""),"")</f>
        <v/>
      </c>
      <c r="G592" s="18" t="str">
        <f ca="1">IFERROR(__xludf.DUMMYFUNCTION("""COMPUTED_VALUE"""),"")</f>
        <v/>
      </c>
      <c r="H592" s="18" t="str">
        <f ca="1">IFERROR(__xludf.DUMMYFUNCTION("""COMPUTED_VALUE"""),"")</f>
        <v/>
      </c>
      <c r="I592" s="18" t="str">
        <f ca="1">IFERROR(__xludf.DUMMYFUNCTION("""COMPUTED_VALUE"""),"")</f>
        <v/>
      </c>
      <c r="J592" s="18" t="str">
        <f ca="1">IFERROR(__xludf.DUMMYFUNCTION("""COMPUTED_VALUE"""),"")</f>
        <v/>
      </c>
      <c r="K592" s="18" t="str">
        <f ca="1">IFERROR(__xludf.DUMMYFUNCTION("""COMPUTED_VALUE"""),"")</f>
        <v/>
      </c>
      <c r="L592" s="18" t="str">
        <f ca="1">IFERROR(__xludf.DUMMYFUNCTION("""COMPUTED_VALUE"""),"")</f>
        <v/>
      </c>
      <c r="M592" s="18" t="str">
        <f ca="1">IFERROR(__xludf.DUMMYFUNCTION("""COMPUTED_VALUE"""),"")</f>
        <v/>
      </c>
      <c r="N592" s="18" t="str">
        <f ca="1">IFERROR(__xludf.DUMMYFUNCTION("""COMPUTED_VALUE"""),"")</f>
        <v/>
      </c>
      <c r="O592" s="18" t="str">
        <f ca="1">IFERROR(__xludf.DUMMYFUNCTION("""COMPUTED_VALUE"""),"")</f>
        <v/>
      </c>
      <c r="P592" s="18" t="str">
        <f ca="1">IFERROR(__xludf.DUMMYFUNCTION("""COMPUTED_VALUE"""),"")</f>
        <v/>
      </c>
      <c r="Q592" s="18" t="str">
        <f ca="1">IFERROR(__xludf.DUMMYFUNCTION("""COMPUTED_VALUE"""),"")</f>
        <v/>
      </c>
      <c r="R592" s="18" t="str">
        <f ca="1">IFERROR(__xludf.DUMMYFUNCTION("""COMPUTED_VALUE"""),"")</f>
        <v/>
      </c>
      <c r="S592" s="18" t="str">
        <f ca="1">IFERROR(__xludf.DUMMYFUNCTION("""COMPUTED_VALUE"""),"")</f>
        <v/>
      </c>
      <c r="T592" s="18" t="str">
        <f ca="1">IFERROR(__xludf.DUMMYFUNCTION("""COMPUTED_VALUE"""),"")</f>
        <v/>
      </c>
      <c r="U592" s="18" t="str">
        <f ca="1">IFERROR(__xludf.DUMMYFUNCTION("""COMPUTED_VALUE"""),"")</f>
        <v/>
      </c>
      <c r="V592" s="18" t="str">
        <f ca="1">IFERROR(__xludf.DUMMYFUNCTION("""COMPUTED_VALUE"""),"")</f>
        <v/>
      </c>
      <c r="W592" s="18" t="str">
        <f ca="1">IFERROR(__xludf.DUMMYFUNCTION("""COMPUTED_VALUE"""),"")</f>
        <v/>
      </c>
      <c r="X592" s="18" t="str">
        <f ca="1">IFERROR(__xludf.DUMMYFUNCTION("""COMPUTED_VALUE"""),"")</f>
        <v/>
      </c>
      <c r="Y592" s="18" t="e">
        <f ca="1"/>
        <v>#NAME?</v>
      </c>
      <c r="Z592" s="18" t="str">
        <f ca="1">IFERROR(__xludf.DUMMYFUNCTION("""COMPUTED_VALUE"""),"")</f>
        <v/>
      </c>
      <c r="AA592" s="18" t="str">
        <f ca="1">IFERROR(__xludf.DUMMYFUNCTION("""COMPUTED_VALUE"""),"")</f>
        <v/>
      </c>
      <c r="AC592" s="59"/>
    </row>
    <row r="593" spans="1:29" x14ac:dyDescent="0.25">
      <c r="A593" s="18">
        <v>0</v>
      </c>
      <c r="B593" s="52" t="str">
        <f ca="1"/>
        <v/>
      </c>
      <c r="C593" s="52" t="str">
        <f ca="1">IFERROR(__xludf.DUMMYFUNCTION("""COMPUTED_VALUE"""),"")</f>
        <v/>
      </c>
      <c r="D593" s="18" t="str">
        <f ca="1">IFERROR(__xludf.DUMMYFUNCTION("""COMPUTED_VALUE"""),"")</f>
        <v/>
      </c>
      <c r="E593" s="18" t="str">
        <f ca="1">IFERROR(__xludf.DUMMYFUNCTION("""COMPUTED_VALUE"""),"")</f>
        <v/>
      </c>
      <c r="F593" s="18" t="str">
        <f ca="1">IFERROR(__xludf.DUMMYFUNCTION("""COMPUTED_VALUE"""),"")</f>
        <v/>
      </c>
      <c r="G593" s="18" t="str">
        <f ca="1">IFERROR(__xludf.DUMMYFUNCTION("""COMPUTED_VALUE"""),"")</f>
        <v/>
      </c>
      <c r="H593" s="18" t="str">
        <f ca="1">IFERROR(__xludf.DUMMYFUNCTION("""COMPUTED_VALUE"""),"")</f>
        <v/>
      </c>
      <c r="I593" s="18" t="str">
        <f ca="1">IFERROR(__xludf.DUMMYFUNCTION("""COMPUTED_VALUE"""),"")</f>
        <v/>
      </c>
      <c r="J593" s="18" t="str">
        <f ca="1">IFERROR(__xludf.DUMMYFUNCTION("""COMPUTED_VALUE"""),"")</f>
        <v/>
      </c>
      <c r="K593" s="18" t="str">
        <f ca="1">IFERROR(__xludf.DUMMYFUNCTION("""COMPUTED_VALUE"""),"")</f>
        <v/>
      </c>
      <c r="L593" s="18" t="str">
        <f ca="1">IFERROR(__xludf.DUMMYFUNCTION("""COMPUTED_VALUE"""),"")</f>
        <v/>
      </c>
      <c r="M593" s="18" t="str">
        <f ca="1">IFERROR(__xludf.DUMMYFUNCTION("""COMPUTED_VALUE"""),"")</f>
        <v/>
      </c>
      <c r="N593" s="18" t="str">
        <f ca="1">IFERROR(__xludf.DUMMYFUNCTION("""COMPUTED_VALUE"""),"")</f>
        <v/>
      </c>
      <c r="O593" s="18" t="str">
        <f ca="1">IFERROR(__xludf.DUMMYFUNCTION("""COMPUTED_VALUE"""),"")</f>
        <v/>
      </c>
      <c r="P593" s="18" t="str">
        <f ca="1">IFERROR(__xludf.DUMMYFUNCTION("""COMPUTED_VALUE"""),"")</f>
        <v/>
      </c>
      <c r="Q593" s="18" t="str">
        <f ca="1">IFERROR(__xludf.DUMMYFUNCTION("""COMPUTED_VALUE"""),"")</f>
        <v/>
      </c>
      <c r="R593" s="18" t="str">
        <f ca="1">IFERROR(__xludf.DUMMYFUNCTION("""COMPUTED_VALUE"""),"")</f>
        <v/>
      </c>
      <c r="S593" s="18" t="str">
        <f ca="1">IFERROR(__xludf.DUMMYFUNCTION("""COMPUTED_VALUE"""),"")</f>
        <v/>
      </c>
      <c r="T593" s="18" t="str">
        <f ca="1">IFERROR(__xludf.DUMMYFUNCTION("""COMPUTED_VALUE"""),"")</f>
        <v/>
      </c>
      <c r="U593" s="18" t="str">
        <f ca="1">IFERROR(__xludf.DUMMYFUNCTION("""COMPUTED_VALUE"""),"")</f>
        <v/>
      </c>
      <c r="V593" s="18" t="str">
        <f ca="1">IFERROR(__xludf.DUMMYFUNCTION("""COMPUTED_VALUE"""),"")</f>
        <v/>
      </c>
      <c r="W593" s="18" t="str">
        <f ca="1">IFERROR(__xludf.DUMMYFUNCTION("""COMPUTED_VALUE"""),"")</f>
        <v/>
      </c>
      <c r="X593" s="18" t="str">
        <f ca="1">IFERROR(__xludf.DUMMYFUNCTION("""COMPUTED_VALUE"""),"")</f>
        <v/>
      </c>
      <c r="Y593" s="18" t="e">
        <f ca="1"/>
        <v>#NAME?</v>
      </c>
      <c r="Z593" s="18" t="str">
        <f ca="1">IFERROR(__xludf.DUMMYFUNCTION("""COMPUTED_VALUE"""),"")</f>
        <v/>
      </c>
      <c r="AA593" s="18" t="str">
        <f ca="1">IFERROR(__xludf.DUMMYFUNCTION("""COMPUTED_VALUE"""),"")</f>
        <v/>
      </c>
      <c r="AC593" s="59"/>
    </row>
    <row r="594" spans="1:29" x14ac:dyDescent="0.25">
      <c r="A594" s="18">
        <v>0</v>
      </c>
      <c r="B594" s="52" t="str">
        <f ca="1"/>
        <v/>
      </c>
      <c r="C594" s="52" t="str">
        <f ca="1">IFERROR(__xludf.DUMMYFUNCTION("""COMPUTED_VALUE"""),"")</f>
        <v/>
      </c>
      <c r="D594" s="18" t="str">
        <f ca="1">IFERROR(__xludf.DUMMYFUNCTION("""COMPUTED_VALUE"""),"")</f>
        <v/>
      </c>
      <c r="E594" s="18" t="str">
        <f ca="1">IFERROR(__xludf.DUMMYFUNCTION("""COMPUTED_VALUE"""),"")</f>
        <v/>
      </c>
      <c r="F594" s="18" t="str">
        <f ca="1">IFERROR(__xludf.DUMMYFUNCTION("""COMPUTED_VALUE"""),"")</f>
        <v/>
      </c>
      <c r="G594" s="18" t="str">
        <f ca="1">IFERROR(__xludf.DUMMYFUNCTION("""COMPUTED_VALUE"""),"")</f>
        <v/>
      </c>
      <c r="H594" s="18" t="str">
        <f ca="1">IFERROR(__xludf.DUMMYFUNCTION("""COMPUTED_VALUE"""),"")</f>
        <v/>
      </c>
      <c r="I594" s="18" t="str">
        <f ca="1">IFERROR(__xludf.DUMMYFUNCTION("""COMPUTED_VALUE"""),"")</f>
        <v/>
      </c>
      <c r="J594" s="18" t="str">
        <f ca="1">IFERROR(__xludf.DUMMYFUNCTION("""COMPUTED_VALUE"""),"")</f>
        <v/>
      </c>
      <c r="K594" s="18" t="str">
        <f ca="1">IFERROR(__xludf.DUMMYFUNCTION("""COMPUTED_VALUE"""),"")</f>
        <v/>
      </c>
      <c r="L594" s="18" t="str">
        <f ca="1">IFERROR(__xludf.DUMMYFUNCTION("""COMPUTED_VALUE"""),"")</f>
        <v/>
      </c>
      <c r="M594" s="18" t="str">
        <f ca="1">IFERROR(__xludf.DUMMYFUNCTION("""COMPUTED_VALUE"""),"")</f>
        <v/>
      </c>
      <c r="N594" s="18" t="str">
        <f ca="1">IFERROR(__xludf.DUMMYFUNCTION("""COMPUTED_VALUE"""),"")</f>
        <v/>
      </c>
      <c r="O594" s="18" t="str">
        <f ca="1">IFERROR(__xludf.DUMMYFUNCTION("""COMPUTED_VALUE"""),"")</f>
        <v/>
      </c>
      <c r="P594" s="18" t="str">
        <f ca="1">IFERROR(__xludf.DUMMYFUNCTION("""COMPUTED_VALUE"""),"")</f>
        <v/>
      </c>
      <c r="Q594" s="18" t="str">
        <f ca="1">IFERROR(__xludf.DUMMYFUNCTION("""COMPUTED_VALUE"""),"")</f>
        <v/>
      </c>
      <c r="R594" s="18" t="str">
        <f ca="1">IFERROR(__xludf.DUMMYFUNCTION("""COMPUTED_VALUE"""),"")</f>
        <v/>
      </c>
      <c r="S594" s="18" t="str">
        <f ca="1">IFERROR(__xludf.DUMMYFUNCTION("""COMPUTED_VALUE"""),"")</f>
        <v/>
      </c>
      <c r="T594" s="18" t="str">
        <f ca="1">IFERROR(__xludf.DUMMYFUNCTION("""COMPUTED_VALUE"""),"")</f>
        <v/>
      </c>
      <c r="U594" s="18" t="str">
        <f ca="1">IFERROR(__xludf.DUMMYFUNCTION("""COMPUTED_VALUE"""),"")</f>
        <v/>
      </c>
      <c r="V594" s="18" t="str">
        <f ca="1">IFERROR(__xludf.DUMMYFUNCTION("""COMPUTED_VALUE"""),"")</f>
        <v/>
      </c>
      <c r="W594" s="18" t="str">
        <f ca="1">IFERROR(__xludf.DUMMYFUNCTION("""COMPUTED_VALUE"""),"")</f>
        <v/>
      </c>
      <c r="X594" s="18" t="str">
        <f ca="1">IFERROR(__xludf.DUMMYFUNCTION("""COMPUTED_VALUE"""),"")</f>
        <v/>
      </c>
      <c r="Y594" s="18" t="e">
        <f ca="1"/>
        <v>#NAME?</v>
      </c>
      <c r="Z594" s="18" t="str">
        <f ca="1">IFERROR(__xludf.DUMMYFUNCTION("""COMPUTED_VALUE"""),"")</f>
        <v/>
      </c>
      <c r="AA594" s="18" t="str">
        <f ca="1">IFERROR(__xludf.DUMMYFUNCTION("""COMPUTED_VALUE"""),"")</f>
        <v/>
      </c>
      <c r="AC594" s="59"/>
    </row>
    <row r="595" spans="1:29" x14ac:dyDescent="0.25">
      <c r="A595" s="18">
        <v>0</v>
      </c>
      <c r="B595" s="52" t="str">
        <f ca="1"/>
        <v/>
      </c>
      <c r="C595" s="52" t="str">
        <f ca="1">IFERROR(__xludf.DUMMYFUNCTION("""COMPUTED_VALUE"""),"")</f>
        <v/>
      </c>
      <c r="D595" s="18" t="str">
        <f ca="1">IFERROR(__xludf.DUMMYFUNCTION("""COMPUTED_VALUE"""),"")</f>
        <v/>
      </c>
      <c r="E595" s="18" t="str">
        <f ca="1">IFERROR(__xludf.DUMMYFUNCTION("""COMPUTED_VALUE"""),"")</f>
        <v/>
      </c>
      <c r="F595" s="18" t="str">
        <f ca="1">IFERROR(__xludf.DUMMYFUNCTION("""COMPUTED_VALUE"""),"")</f>
        <v/>
      </c>
      <c r="G595" s="18" t="str">
        <f ca="1">IFERROR(__xludf.DUMMYFUNCTION("""COMPUTED_VALUE"""),"")</f>
        <v/>
      </c>
      <c r="H595" s="18" t="str">
        <f ca="1">IFERROR(__xludf.DUMMYFUNCTION("""COMPUTED_VALUE"""),"")</f>
        <v/>
      </c>
      <c r="I595" s="18" t="str">
        <f ca="1">IFERROR(__xludf.DUMMYFUNCTION("""COMPUTED_VALUE"""),"")</f>
        <v/>
      </c>
      <c r="J595" s="18" t="str">
        <f ca="1">IFERROR(__xludf.DUMMYFUNCTION("""COMPUTED_VALUE"""),"")</f>
        <v/>
      </c>
      <c r="K595" s="18" t="str">
        <f ca="1">IFERROR(__xludf.DUMMYFUNCTION("""COMPUTED_VALUE"""),"")</f>
        <v/>
      </c>
      <c r="L595" s="18" t="str">
        <f ca="1">IFERROR(__xludf.DUMMYFUNCTION("""COMPUTED_VALUE"""),"")</f>
        <v/>
      </c>
      <c r="M595" s="18" t="str">
        <f ca="1">IFERROR(__xludf.DUMMYFUNCTION("""COMPUTED_VALUE"""),"")</f>
        <v/>
      </c>
      <c r="N595" s="18" t="str">
        <f ca="1">IFERROR(__xludf.DUMMYFUNCTION("""COMPUTED_VALUE"""),"")</f>
        <v/>
      </c>
      <c r="O595" s="18" t="str">
        <f ca="1">IFERROR(__xludf.DUMMYFUNCTION("""COMPUTED_VALUE"""),"")</f>
        <v/>
      </c>
      <c r="P595" s="18" t="str">
        <f ca="1">IFERROR(__xludf.DUMMYFUNCTION("""COMPUTED_VALUE"""),"")</f>
        <v/>
      </c>
      <c r="Q595" s="18" t="str">
        <f ca="1">IFERROR(__xludf.DUMMYFUNCTION("""COMPUTED_VALUE"""),"")</f>
        <v/>
      </c>
      <c r="R595" s="18" t="str">
        <f ca="1">IFERROR(__xludf.DUMMYFUNCTION("""COMPUTED_VALUE"""),"")</f>
        <v/>
      </c>
      <c r="S595" s="18" t="str">
        <f ca="1">IFERROR(__xludf.DUMMYFUNCTION("""COMPUTED_VALUE"""),"")</f>
        <v/>
      </c>
      <c r="T595" s="18" t="str">
        <f ca="1">IFERROR(__xludf.DUMMYFUNCTION("""COMPUTED_VALUE"""),"")</f>
        <v/>
      </c>
      <c r="U595" s="18" t="str">
        <f ca="1">IFERROR(__xludf.DUMMYFUNCTION("""COMPUTED_VALUE"""),"")</f>
        <v/>
      </c>
      <c r="V595" s="18" t="str">
        <f ca="1">IFERROR(__xludf.DUMMYFUNCTION("""COMPUTED_VALUE"""),"")</f>
        <v/>
      </c>
      <c r="W595" s="18" t="str">
        <f ca="1">IFERROR(__xludf.DUMMYFUNCTION("""COMPUTED_VALUE"""),"")</f>
        <v/>
      </c>
      <c r="X595" s="18" t="str">
        <f ca="1">IFERROR(__xludf.DUMMYFUNCTION("""COMPUTED_VALUE"""),"")</f>
        <v/>
      </c>
      <c r="Y595" s="18" t="e">
        <f ca="1"/>
        <v>#NAME?</v>
      </c>
      <c r="Z595" s="18" t="str">
        <f ca="1">IFERROR(__xludf.DUMMYFUNCTION("""COMPUTED_VALUE"""),"")</f>
        <v/>
      </c>
      <c r="AA595" s="18" t="str">
        <f ca="1">IFERROR(__xludf.DUMMYFUNCTION("""COMPUTED_VALUE"""),"")</f>
        <v/>
      </c>
      <c r="AC595" s="59"/>
    </row>
    <row r="596" spans="1:29" x14ac:dyDescent="0.25">
      <c r="A596" s="18">
        <v>0</v>
      </c>
      <c r="B596" s="52" t="str">
        <f ca="1"/>
        <v/>
      </c>
      <c r="C596" s="52" t="str">
        <f ca="1">IFERROR(__xludf.DUMMYFUNCTION("""COMPUTED_VALUE"""),"")</f>
        <v/>
      </c>
      <c r="D596" s="18" t="str">
        <f ca="1">IFERROR(__xludf.DUMMYFUNCTION("""COMPUTED_VALUE"""),"")</f>
        <v/>
      </c>
      <c r="E596" s="18" t="str">
        <f ca="1">IFERROR(__xludf.DUMMYFUNCTION("""COMPUTED_VALUE"""),"")</f>
        <v/>
      </c>
      <c r="F596" s="18" t="str">
        <f ca="1">IFERROR(__xludf.DUMMYFUNCTION("""COMPUTED_VALUE"""),"")</f>
        <v/>
      </c>
      <c r="G596" s="18" t="str">
        <f ca="1">IFERROR(__xludf.DUMMYFUNCTION("""COMPUTED_VALUE"""),"")</f>
        <v/>
      </c>
      <c r="H596" s="18" t="str">
        <f ca="1">IFERROR(__xludf.DUMMYFUNCTION("""COMPUTED_VALUE"""),"")</f>
        <v/>
      </c>
      <c r="I596" s="18" t="str">
        <f ca="1">IFERROR(__xludf.DUMMYFUNCTION("""COMPUTED_VALUE"""),"")</f>
        <v/>
      </c>
      <c r="J596" s="18" t="str">
        <f ca="1">IFERROR(__xludf.DUMMYFUNCTION("""COMPUTED_VALUE"""),"")</f>
        <v/>
      </c>
      <c r="K596" s="18" t="str">
        <f ca="1">IFERROR(__xludf.DUMMYFUNCTION("""COMPUTED_VALUE"""),"")</f>
        <v/>
      </c>
      <c r="L596" s="18" t="str">
        <f ca="1">IFERROR(__xludf.DUMMYFUNCTION("""COMPUTED_VALUE"""),"")</f>
        <v/>
      </c>
      <c r="M596" s="18" t="str">
        <f ca="1">IFERROR(__xludf.DUMMYFUNCTION("""COMPUTED_VALUE"""),"")</f>
        <v/>
      </c>
      <c r="N596" s="18" t="str">
        <f ca="1">IFERROR(__xludf.DUMMYFUNCTION("""COMPUTED_VALUE"""),"")</f>
        <v/>
      </c>
      <c r="O596" s="18" t="str">
        <f ca="1">IFERROR(__xludf.DUMMYFUNCTION("""COMPUTED_VALUE"""),"")</f>
        <v/>
      </c>
      <c r="P596" s="18" t="str">
        <f ca="1">IFERROR(__xludf.DUMMYFUNCTION("""COMPUTED_VALUE"""),"")</f>
        <v/>
      </c>
      <c r="Q596" s="18" t="str">
        <f ca="1">IFERROR(__xludf.DUMMYFUNCTION("""COMPUTED_VALUE"""),"")</f>
        <v/>
      </c>
      <c r="R596" s="18" t="str">
        <f ca="1">IFERROR(__xludf.DUMMYFUNCTION("""COMPUTED_VALUE"""),"")</f>
        <v/>
      </c>
      <c r="S596" s="18" t="str">
        <f ca="1">IFERROR(__xludf.DUMMYFUNCTION("""COMPUTED_VALUE"""),"")</f>
        <v/>
      </c>
      <c r="T596" s="18" t="str">
        <f ca="1">IFERROR(__xludf.DUMMYFUNCTION("""COMPUTED_VALUE"""),"")</f>
        <v/>
      </c>
      <c r="U596" s="18" t="str">
        <f ca="1">IFERROR(__xludf.DUMMYFUNCTION("""COMPUTED_VALUE"""),"")</f>
        <v/>
      </c>
      <c r="V596" s="18" t="str">
        <f ca="1">IFERROR(__xludf.DUMMYFUNCTION("""COMPUTED_VALUE"""),"")</f>
        <v/>
      </c>
      <c r="W596" s="18" t="str">
        <f ca="1">IFERROR(__xludf.DUMMYFUNCTION("""COMPUTED_VALUE"""),"")</f>
        <v/>
      </c>
      <c r="X596" s="18" t="str">
        <f ca="1">IFERROR(__xludf.DUMMYFUNCTION("""COMPUTED_VALUE"""),"")</f>
        <v/>
      </c>
      <c r="Y596" s="18" t="e">
        <f ca="1"/>
        <v>#NAME?</v>
      </c>
      <c r="Z596" s="18" t="str">
        <f ca="1">IFERROR(__xludf.DUMMYFUNCTION("""COMPUTED_VALUE"""),"")</f>
        <v/>
      </c>
      <c r="AA596" s="18" t="str">
        <f ca="1">IFERROR(__xludf.DUMMYFUNCTION("""COMPUTED_VALUE"""),"")</f>
        <v/>
      </c>
      <c r="AC596" s="59"/>
    </row>
    <row r="597" spans="1:29" x14ac:dyDescent="0.25">
      <c r="A597" s="18">
        <v>0</v>
      </c>
      <c r="B597" s="52" t="str">
        <f ca="1"/>
        <v/>
      </c>
      <c r="C597" s="52" t="str">
        <f ca="1">IFERROR(__xludf.DUMMYFUNCTION("""COMPUTED_VALUE"""),"")</f>
        <v/>
      </c>
      <c r="D597" s="18" t="str">
        <f ca="1">IFERROR(__xludf.DUMMYFUNCTION("""COMPUTED_VALUE"""),"")</f>
        <v/>
      </c>
      <c r="E597" s="18" t="str">
        <f ca="1">IFERROR(__xludf.DUMMYFUNCTION("""COMPUTED_VALUE"""),"")</f>
        <v/>
      </c>
      <c r="F597" s="18" t="str">
        <f ca="1">IFERROR(__xludf.DUMMYFUNCTION("""COMPUTED_VALUE"""),"")</f>
        <v/>
      </c>
      <c r="G597" s="18" t="str">
        <f ca="1">IFERROR(__xludf.DUMMYFUNCTION("""COMPUTED_VALUE"""),"")</f>
        <v/>
      </c>
      <c r="H597" s="18" t="str">
        <f ca="1">IFERROR(__xludf.DUMMYFUNCTION("""COMPUTED_VALUE"""),"")</f>
        <v/>
      </c>
      <c r="I597" s="18" t="str">
        <f ca="1">IFERROR(__xludf.DUMMYFUNCTION("""COMPUTED_VALUE"""),"")</f>
        <v/>
      </c>
      <c r="J597" s="18" t="str">
        <f ca="1">IFERROR(__xludf.DUMMYFUNCTION("""COMPUTED_VALUE"""),"")</f>
        <v/>
      </c>
      <c r="K597" s="18" t="str">
        <f ca="1">IFERROR(__xludf.DUMMYFUNCTION("""COMPUTED_VALUE"""),"")</f>
        <v/>
      </c>
      <c r="L597" s="18" t="str">
        <f ca="1">IFERROR(__xludf.DUMMYFUNCTION("""COMPUTED_VALUE"""),"")</f>
        <v/>
      </c>
      <c r="M597" s="18" t="str">
        <f ca="1">IFERROR(__xludf.DUMMYFUNCTION("""COMPUTED_VALUE"""),"")</f>
        <v/>
      </c>
      <c r="N597" s="18" t="str">
        <f ca="1">IFERROR(__xludf.DUMMYFUNCTION("""COMPUTED_VALUE"""),"")</f>
        <v/>
      </c>
      <c r="O597" s="18" t="str">
        <f ca="1">IFERROR(__xludf.DUMMYFUNCTION("""COMPUTED_VALUE"""),"")</f>
        <v/>
      </c>
      <c r="P597" s="18" t="str">
        <f ca="1">IFERROR(__xludf.DUMMYFUNCTION("""COMPUTED_VALUE"""),"")</f>
        <v/>
      </c>
      <c r="Q597" s="18" t="str">
        <f ca="1">IFERROR(__xludf.DUMMYFUNCTION("""COMPUTED_VALUE"""),"")</f>
        <v/>
      </c>
      <c r="R597" s="18" t="str">
        <f ca="1">IFERROR(__xludf.DUMMYFUNCTION("""COMPUTED_VALUE"""),"")</f>
        <v/>
      </c>
      <c r="S597" s="18" t="str">
        <f ca="1">IFERROR(__xludf.DUMMYFUNCTION("""COMPUTED_VALUE"""),"")</f>
        <v/>
      </c>
      <c r="T597" s="18" t="str">
        <f ca="1">IFERROR(__xludf.DUMMYFUNCTION("""COMPUTED_VALUE"""),"")</f>
        <v/>
      </c>
      <c r="U597" s="18" t="str">
        <f ca="1">IFERROR(__xludf.DUMMYFUNCTION("""COMPUTED_VALUE"""),"")</f>
        <v/>
      </c>
      <c r="V597" s="18" t="str">
        <f ca="1">IFERROR(__xludf.DUMMYFUNCTION("""COMPUTED_VALUE"""),"")</f>
        <v/>
      </c>
      <c r="W597" s="18" t="str">
        <f ca="1">IFERROR(__xludf.DUMMYFUNCTION("""COMPUTED_VALUE"""),"")</f>
        <v/>
      </c>
      <c r="X597" s="18" t="str">
        <f ca="1">IFERROR(__xludf.DUMMYFUNCTION("""COMPUTED_VALUE"""),"")</f>
        <v/>
      </c>
      <c r="Y597" s="18" t="e">
        <f ca="1"/>
        <v>#NAME?</v>
      </c>
      <c r="Z597" s="18" t="str">
        <f ca="1">IFERROR(__xludf.DUMMYFUNCTION("""COMPUTED_VALUE"""),"")</f>
        <v/>
      </c>
      <c r="AA597" s="18" t="str">
        <f ca="1">IFERROR(__xludf.DUMMYFUNCTION("""COMPUTED_VALUE"""),"")</f>
        <v/>
      </c>
      <c r="AC597" s="59"/>
    </row>
    <row r="598" spans="1:29" x14ac:dyDescent="0.25">
      <c r="A598" s="18">
        <v>0</v>
      </c>
      <c r="B598" s="52" t="str">
        <f ca="1"/>
        <v/>
      </c>
      <c r="C598" s="52" t="str">
        <f ca="1">IFERROR(__xludf.DUMMYFUNCTION("""COMPUTED_VALUE"""),"")</f>
        <v/>
      </c>
      <c r="D598" s="18" t="str">
        <f ca="1">IFERROR(__xludf.DUMMYFUNCTION("""COMPUTED_VALUE"""),"")</f>
        <v/>
      </c>
      <c r="E598" s="18" t="str">
        <f ca="1">IFERROR(__xludf.DUMMYFUNCTION("""COMPUTED_VALUE"""),"")</f>
        <v/>
      </c>
      <c r="F598" s="18" t="str">
        <f ca="1">IFERROR(__xludf.DUMMYFUNCTION("""COMPUTED_VALUE"""),"")</f>
        <v/>
      </c>
      <c r="G598" s="18" t="str">
        <f ca="1">IFERROR(__xludf.DUMMYFUNCTION("""COMPUTED_VALUE"""),"")</f>
        <v/>
      </c>
      <c r="H598" s="18" t="str">
        <f ca="1">IFERROR(__xludf.DUMMYFUNCTION("""COMPUTED_VALUE"""),"")</f>
        <v/>
      </c>
      <c r="I598" s="18" t="str">
        <f ca="1">IFERROR(__xludf.DUMMYFUNCTION("""COMPUTED_VALUE"""),"")</f>
        <v/>
      </c>
      <c r="J598" s="18" t="str">
        <f ca="1">IFERROR(__xludf.DUMMYFUNCTION("""COMPUTED_VALUE"""),"")</f>
        <v/>
      </c>
      <c r="K598" s="18" t="str">
        <f ca="1">IFERROR(__xludf.DUMMYFUNCTION("""COMPUTED_VALUE"""),"")</f>
        <v/>
      </c>
      <c r="L598" s="18" t="str">
        <f ca="1">IFERROR(__xludf.DUMMYFUNCTION("""COMPUTED_VALUE"""),"")</f>
        <v/>
      </c>
      <c r="M598" s="18" t="str">
        <f ca="1">IFERROR(__xludf.DUMMYFUNCTION("""COMPUTED_VALUE"""),"")</f>
        <v/>
      </c>
      <c r="N598" s="18" t="str">
        <f ca="1">IFERROR(__xludf.DUMMYFUNCTION("""COMPUTED_VALUE"""),"")</f>
        <v/>
      </c>
      <c r="O598" s="18" t="str">
        <f ca="1">IFERROR(__xludf.DUMMYFUNCTION("""COMPUTED_VALUE"""),"")</f>
        <v/>
      </c>
      <c r="P598" s="18" t="str">
        <f ca="1">IFERROR(__xludf.DUMMYFUNCTION("""COMPUTED_VALUE"""),"")</f>
        <v/>
      </c>
      <c r="Q598" s="18" t="str">
        <f ca="1">IFERROR(__xludf.DUMMYFUNCTION("""COMPUTED_VALUE"""),"")</f>
        <v/>
      </c>
      <c r="R598" s="18" t="str">
        <f ca="1">IFERROR(__xludf.DUMMYFUNCTION("""COMPUTED_VALUE"""),"")</f>
        <v/>
      </c>
      <c r="S598" s="18" t="str">
        <f ca="1">IFERROR(__xludf.DUMMYFUNCTION("""COMPUTED_VALUE"""),"")</f>
        <v/>
      </c>
      <c r="T598" s="18" t="str">
        <f ca="1">IFERROR(__xludf.DUMMYFUNCTION("""COMPUTED_VALUE"""),"")</f>
        <v/>
      </c>
      <c r="U598" s="18" t="str">
        <f ca="1">IFERROR(__xludf.DUMMYFUNCTION("""COMPUTED_VALUE"""),"")</f>
        <v/>
      </c>
      <c r="V598" s="18" t="str">
        <f ca="1">IFERROR(__xludf.DUMMYFUNCTION("""COMPUTED_VALUE"""),"")</f>
        <v/>
      </c>
      <c r="W598" s="18" t="str">
        <f ca="1">IFERROR(__xludf.DUMMYFUNCTION("""COMPUTED_VALUE"""),"")</f>
        <v/>
      </c>
      <c r="X598" s="18" t="str">
        <f ca="1">IFERROR(__xludf.DUMMYFUNCTION("""COMPUTED_VALUE"""),"")</f>
        <v/>
      </c>
      <c r="Y598" s="18" t="e">
        <f ca="1"/>
        <v>#NAME?</v>
      </c>
      <c r="Z598" s="18" t="str">
        <f ca="1">IFERROR(__xludf.DUMMYFUNCTION("""COMPUTED_VALUE"""),"")</f>
        <v/>
      </c>
      <c r="AA598" s="18" t="str">
        <f ca="1">IFERROR(__xludf.DUMMYFUNCTION("""COMPUTED_VALUE"""),"")</f>
        <v/>
      </c>
      <c r="AC598" s="59"/>
    </row>
    <row r="599" spans="1:29" x14ac:dyDescent="0.25">
      <c r="A599" s="18">
        <v>0</v>
      </c>
      <c r="B599" s="52" t="str">
        <f ca="1"/>
        <v/>
      </c>
      <c r="C599" s="52" t="str">
        <f ca="1">IFERROR(__xludf.DUMMYFUNCTION("""COMPUTED_VALUE"""),"")</f>
        <v/>
      </c>
      <c r="D599" s="18" t="str">
        <f ca="1">IFERROR(__xludf.DUMMYFUNCTION("""COMPUTED_VALUE"""),"")</f>
        <v/>
      </c>
      <c r="E599" s="18" t="str">
        <f ca="1">IFERROR(__xludf.DUMMYFUNCTION("""COMPUTED_VALUE"""),"")</f>
        <v/>
      </c>
      <c r="F599" s="18" t="str">
        <f ca="1">IFERROR(__xludf.DUMMYFUNCTION("""COMPUTED_VALUE"""),"")</f>
        <v/>
      </c>
      <c r="G599" s="18" t="str">
        <f ca="1">IFERROR(__xludf.DUMMYFUNCTION("""COMPUTED_VALUE"""),"")</f>
        <v/>
      </c>
      <c r="H599" s="18" t="str">
        <f ca="1">IFERROR(__xludf.DUMMYFUNCTION("""COMPUTED_VALUE"""),"")</f>
        <v/>
      </c>
      <c r="I599" s="18" t="str">
        <f ca="1">IFERROR(__xludf.DUMMYFUNCTION("""COMPUTED_VALUE"""),"")</f>
        <v/>
      </c>
      <c r="J599" s="18" t="str">
        <f ca="1">IFERROR(__xludf.DUMMYFUNCTION("""COMPUTED_VALUE"""),"")</f>
        <v/>
      </c>
      <c r="K599" s="18" t="str">
        <f ca="1">IFERROR(__xludf.DUMMYFUNCTION("""COMPUTED_VALUE"""),"")</f>
        <v/>
      </c>
      <c r="L599" s="18" t="str">
        <f ca="1">IFERROR(__xludf.DUMMYFUNCTION("""COMPUTED_VALUE"""),"")</f>
        <v/>
      </c>
      <c r="M599" s="18" t="str">
        <f ca="1">IFERROR(__xludf.DUMMYFUNCTION("""COMPUTED_VALUE"""),"")</f>
        <v/>
      </c>
      <c r="N599" s="18" t="str">
        <f ca="1">IFERROR(__xludf.DUMMYFUNCTION("""COMPUTED_VALUE"""),"")</f>
        <v/>
      </c>
      <c r="O599" s="18" t="str">
        <f ca="1">IFERROR(__xludf.DUMMYFUNCTION("""COMPUTED_VALUE"""),"")</f>
        <v/>
      </c>
      <c r="P599" s="18" t="str">
        <f ca="1">IFERROR(__xludf.DUMMYFUNCTION("""COMPUTED_VALUE"""),"")</f>
        <v/>
      </c>
      <c r="Q599" s="18" t="str">
        <f ca="1">IFERROR(__xludf.DUMMYFUNCTION("""COMPUTED_VALUE"""),"")</f>
        <v/>
      </c>
      <c r="R599" s="18" t="str">
        <f ca="1">IFERROR(__xludf.DUMMYFUNCTION("""COMPUTED_VALUE"""),"")</f>
        <v/>
      </c>
      <c r="S599" s="18" t="str">
        <f ca="1">IFERROR(__xludf.DUMMYFUNCTION("""COMPUTED_VALUE"""),"")</f>
        <v/>
      </c>
      <c r="T599" s="18" t="str">
        <f ca="1">IFERROR(__xludf.DUMMYFUNCTION("""COMPUTED_VALUE"""),"")</f>
        <v/>
      </c>
      <c r="U599" s="18" t="str">
        <f ca="1">IFERROR(__xludf.DUMMYFUNCTION("""COMPUTED_VALUE"""),"")</f>
        <v/>
      </c>
      <c r="V599" s="18" t="str">
        <f ca="1">IFERROR(__xludf.DUMMYFUNCTION("""COMPUTED_VALUE"""),"")</f>
        <v/>
      </c>
      <c r="W599" s="18" t="str">
        <f ca="1">IFERROR(__xludf.DUMMYFUNCTION("""COMPUTED_VALUE"""),"")</f>
        <v/>
      </c>
      <c r="X599" s="18" t="str">
        <f ca="1">IFERROR(__xludf.DUMMYFUNCTION("""COMPUTED_VALUE"""),"")</f>
        <v/>
      </c>
      <c r="Y599" s="18" t="e">
        <f ca="1"/>
        <v>#NAME?</v>
      </c>
      <c r="Z599" s="18" t="str">
        <f ca="1">IFERROR(__xludf.DUMMYFUNCTION("""COMPUTED_VALUE"""),"")</f>
        <v/>
      </c>
      <c r="AA599" s="18" t="str">
        <f ca="1">IFERROR(__xludf.DUMMYFUNCTION("""COMPUTED_VALUE"""),"")</f>
        <v/>
      </c>
      <c r="AC599" s="59"/>
    </row>
    <row r="600" spans="1:29" x14ac:dyDescent="0.25">
      <c r="A600" s="18">
        <v>0</v>
      </c>
      <c r="B600" s="52" t="str">
        <f ca="1"/>
        <v/>
      </c>
      <c r="C600" s="52" t="str">
        <f ca="1">IFERROR(__xludf.DUMMYFUNCTION("""COMPUTED_VALUE"""),"")</f>
        <v/>
      </c>
      <c r="D600" s="18" t="str">
        <f ca="1">IFERROR(__xludf.DUMMYFUNCTION("""COMPUTED_VALUE"""),"")</f>
        <v/>
      </c>
      <c r="E600" s="18" t="str">
        <f ca="1">IFERROR(__xludf.DUMMYFUNCTION("""COMPUTED_VALUE"""),"")</f>
        <v/>
      </c>
      <c r="F600" s="18" t="str">
        <f ca="1">IFERROR(__xludf.DUMMYFUNCTION("""COMPUTED_VALUE"""),"")</f>
        <v/>
      </c>
      <c r="G600" s="18" t="str">
        <f ca="1">IFERROR(__xludf.DUMMYFUNCTION("""COMPUTED_VALUE"""),"")</f>
        <v/>
      </c>
      <c r="H600" s="18" t="str">
        <f ca="1">IFERROR(__xludf.DUMMYFUNCTION("""COMPUTED_VALUE"""),"")</f>
        <v/>
      </c>
      <c r="I600" s="18" t="str">
        <f ca="1">IFERROR(__xludf.DUMMYFUNCTION("""COMPUTED_VALUE"""),"")</f>
        <v/>
      </c>
      <c r="J600" s="18" t="str">
        <f ca="1">IFERROR(__xludf.DUMMYFUNCTION("""COMPUTED_VALUE"""),"")</f>
        <v/>
      </c>
      <c r="K600" s="18" t="str">
        <f ca="1">IFERROR(__xludf.DUMMYFUNCTION("""COMPUTED_VALUE"""),"")</f>
        <v/>
      </c>
      <c r="L600" s="18" t="str">
        <f ca="1">IFERROR(__xludf.DUMMYFUNCTION("""COMPUTED_VALUE"""),"")</f>
        <v/>
      </c>
      <c r="M600" s="18" t="str">
        <f ca="1">IFERROR(__xludf.DUMMYFUNCTION("""COMPUTED_VALUE"""),"")</f>
        <v/>
      </c>
      <c r="N600" s="18" t="str">
        <f ca="1">IFERROR(__xludf.DUMMYFUNCTION("""COMPUTED_VALUE"""),"")</f>
        <v/>
      </c>
      <c r="O600" s="18" t="str">
        <f ca="1">IFERROR(__xludf.DUMMYFUNCTION("""COMPUTED_VALUE"""),"")</f>
        <v/>
      </c>
      <c r="P600" s="18" t="str">
        <f ca="1">IFERROR(__xludf.DUMMYFUNCTION("""COMPUTED_VALUE"""),"")</f>
        <v/>
      </c>
      <c r="Q600" s="18" t="str">
        <f ca="1">IFERROR(__xludf.DUMMYFUNCTION("""COMPUTED_VALUE"""),"")</f>
        <v/>
      </c>
      <c r="R600" s="18" t="str">
        <f ca="1">IFERROR(__xludf.DUMMYFUNCTION("""COMPUTED_VALUE"""),"")</f>
        <v/>
      </c>
      <c r="S600" s="18" t="str">
        <f ca="1">IFERROR(__xludf.DUMMYFUNCTION("""COMPUTED_VALUE"""),"")</f>
        <v/>
      </c>
      <c r="T600" s="18" t="str">
        <f ca="1">IFERROR(__xludf.DUMMYFUNCTION("""COMPUTED_VALUE"""),"")</f>
        <v/>
      </c>
      <c r="U600" s="18" t="str">
        <f ca="1">IFERROR(__xludf.DUMMYFUNCTION("""COMPUTED_VALUE"""),"")</f>
        <v/>
      </c>
      <c r="V600" s="18" t="str">
        <f ca="1">IFERROR(__xludf.DUMMYFUNCTION("""COMPUTED_VALUE"""),"")</f>
        <v/>
      </c>
      <c r="W600" s="18" t="str">
        <f ca="1">IFERROR(__xludf.DUMMYFUNCTION("""COMPUTED_VALUE"""),"")</f>
        <v/>
      </c>
      <c r="X600" s="18" t="str">
        <f ca="1">IFERROR(__xludf.DUMMYFUNCTION("""COMPUTED_VALUE"""),"")</f>
        <v/>
      </c>
      <c r="Y600" s="18" t="e">
        <f ca="1"/>
        <v>#NAME?</v>
      </c>
      <c r="Z600" s="18" t="str">
        <f ca="1">IFERROR(__xludf.DUMMYFUNCTION("""COMPUTED_VALUE"""),"")</f>
        <v/>
      </c>
      <c r="AA600" s="18" t="str">
        <f ca="1">IFERROR(__xludf.DUMMYFUNCTION("""COMPUTED_VALUE"""),"")</f>
        <v/>
      </c>
      <c r="AC600" s="59"/>
    </row>
    <row r="601" spans="1:29" x14ac:dyDescent="0.25">
      <c r="A601" s="18">
        <v>0</v>
      </c>
      <c r="B601" s="52" t="str">
        <f ca="1"/>
        <v/>
      </c>
      <c r="C601" s="52" t="str">
        <f ca="1">IFERROR(__xludf.DUMMYFUNCTION("""COMPUTED_VALUE"""),"")</f>
        <v/>
      </c>
      <c r="D601" s="18" t="str">
        <f ca="1">IFERROR(__xludf.DUMMYFUNCTION("""COMPUTED_VALUE"""),"")</f>
        <v/>
      </c>
      <c r="E601" s="18" t="str">
        <f ca="1">IFERROR(__xludf.DUMMYFUNCTION("""COMPUTED_VALUE"""),"")</f>
        <v/>
      </c>
      <c r="F601" s="18" t="str">
        <f ca="1">IFERROR(__xludf.DUMMYFUNCTION("""COMPUTED_VALUE"""),"")</f>
        <v/>
      </c>
      <c r="G601" s="18" t="str">
        <f ca="1">IFERROR(__xludf.DUMMYFUNCTION("""COMPUTED_VALUE"""),"")</f>
        <v/>
      </c>
      <c r="H601" s="18" t="str">
        <f ca="1">IFERROR(__xludf.DUMMYFUNCTION("""COMPUTED_VALUE"""),"")</f>
        <v/>
      </c>
      <c r="I601" s="18" t="str">
        <f ca="1">IFERROR(__xludf.DUMMYFUNCTION("""COMPUTED_VALUE"""),"")</f>
        <v/>
      </c>
      <c r="J601" s="18" t="str">
        <f ca="1">IFERROR(__xludf.DUMMYFUNCTION("""COMPUTED_VALUE"""),"")</f>
        <v/>
      </c>
      <c r="K601" s="18" t="str">
        <f ca="1">IFERROR(__xludf.DUMMYFUNCTION("""COMPUTED_VALUE"""),"")</f>
        <v/>
      </c>
      <c r="L601" s="18" t="str">
        <f ca="1">IFERROR(__xludf.DUMMYFUNCTION("""COMPUTED_VALUE"""),"")</f>
        <v/>
      </c>
      <c r="M601" s="18" t="str">
        <f ca="1">IFERROR(__xludf.DUMMYFUNCTION("""COMPUTED_VALUE"""),"")</f>
        <v/>
      </c>
      <c r="N601" s="18" t="str">
        <f ca="1">IFERROR(__xludf.DUMMYFUNCTION("""COMPUTED_VALUE"""),"")</f>
        <v/>
      </c>
      <c r="O601" s="18" t="str">
        <f ca="1">IFERROR(__xludf.DUMMYFUNCTION("""COMPUTED_VALUE"""),"")</f>
        <v/>
      </c>
      <c r="P601" s="18" t="str">
        <f ca="1">IFERROR(__xludf.DUMMYFUNCTION("""COMPUTED_VALUE"""),"")</f>
        <v/>
      </c>
      <c r="Q601" s="18" t="str">
        <f ca="1">IFERROR(__xludf.DUMMYFUNCTION("""COMPUTED_VALUE"""),"")</f>
        <v/>
      </c>
      <c r="R601" s="18" t="str">
        <f ca="1">IFERROR(__xludf.DUMMYFUNCTION("""COMPUTED_VALUE"""),"")</f>
        <v/>
      </c>
      <c r="S601" s="18" t="str">
        <f ca="1">IFERROR(__xludf.DUMMYFUNCTION("""COMPUTED_VALUE"""),"")</f>
        <v/>
      </c>
      <c r="T601" s="18" t="str">
        <f ca="1">IFERROR(__xludf.DUMMYFUNCTION("""COMPUTED_VALUE"""),"")</f>
        <v/>
      </c>
      <c r="U601" s="18" t="str">
        <f ca="1">IFERROR(__xludf.DUMMYFUNCTION("""COMPUTED_VALUE"""),"")</f>
        <v/>
      </c>
      <c r="V601" s="18" t="str">
        <f ca="1">IFERROR(__xludf.DUMMYFUNCTION("""COMPUTED_VALUE"""),"")</f>
        <v/>
      </c>
      <c r="W601" s="18" t="str">
        <f ca="1">IFERROR(__xludf.DUMMYFUNCTION("""COMPUTED_VALUE"""),"")</f>
        <v/>
      </c>
      <c r="X601" s="18" t="str">
        <f ca="1">IFERROR(__xludf.DUMMYFUNCTION("""COMPUTED_VALUE"""),"")</f>
        <v/>
      </c>
      <c r="Y601" s="18" t="e">
        <f ca="1"/>
        <v>#NAME?</v>
      </c>
      <c r="Z601" s="18" t="str">
        <f ca="1">IFERROR(__xludf.DUMMYFUNCTION("""COMPUTED_VALUE"""),"")</f>
        <v/>
      </c>
      <c r="AA601" s="18" t="str">
        <f ca="1">IFERROR(__xludf.DUMMYFUNCTION("""COMPUTED_VALUE"""),"")</f>
        <v/>
      </c>
      <c r="AC601" s="59"/>
    </row>
    <row r="602" spans="1:29" x14ac:dyDescent="0.25">
      <c r="A602" s="18">
        <v>0</v>
      </c>
      <c r="B602" s="52" t="str">
        <f ca="1"/>
        <v/>
      </c>
      <c r="C602" s="52" t="str">
        <f ca="1">IFERROR(__xludf.DUMMYFUNCTION("""COMPUTED_VALUE"""),"")</f>
        <v/>
      </c>
      <c r="D602" s="18" t="str">
        <f ca="1">IFERROR(__xludf.DUMMYFUNCTION("""COMPUTED_VALUE"""),"")</f>
        <v/>
      </c>
      <c r="E602" s="18" t="str">
        <f ca="1">IFERROR(__xludf.DUMMYFUNCTION("""COMPUTED_VALUE"""),"")</f>
        <v/>
      </c>
      <c r="F602" s="18" t="str">
        <f ca="1">IFERROR(__xludf.DUMMYFUNCTION("""COMPUTED_VALUE"""),"")</f>
        <v/>
      </c>
      <c r="G602" s="18" t="str">
        <f ca="1">IFERROR(__xludf.DUMMYFUNCTION("""COMPUTED_VALUE"""),"")</f>
        <v/>
      </c>
      <c r="H602" s="18" t="str">
        <f ca="1">IFERROR(__xludf.DUMMYFUNCTION("""COMPUTED_VALUE"""),"")</f>
        <v/>
      </c>
      <c r="I602" s="18" t="str">
        <f ca="1">IFERROR(__xludf.DUMMYFUNCTION("""COMPUTED_VALUE"""),"")</f>
        <v/>
      </c>
      <c r="J602" s="18" t="str">
        <f ca="1">IFERROR(__xludf.DUMMYFUNCTION("""COMPUTED_VALUE"""),"")</f>
        <v/>
      </c>
      <c r="K602" s="18" t="str">
        <f ca="1">IFERROR(__xludf.DUMMYFUNCTION("""COMPUTED_VALUE"""),"")</f>
        <v/>
      </c>
      <c r="L602" s="18" t="str">
        <f ca="1">IFERROR(__xludf.DUMMYFUNCTION("""COMPUTED_VALUE"""),"")</f>
        <v/>
      </c>
      <c r="M602" s="18" t="str">
        <f ca="1">IFERROR(__xludf.DUMMYFUNCTION("""COMPUTED_VALUE"""),"")</f>
        <v/>
      </c>
      <c r="N602" s="18" t="str">
        <f ca="1">IFERROR(__xludf.DUMMYFUNCTION("""COMPUTED_VALUE"""),"")</f>
        <v/>
      </c>
      <c r="O602" s="18" t="str">
        <f ca="1">IFERROR(__xludf.DUMMYFUNCTION("""COMPUTED_VALUE"""),"")</f>
        <v/>
      </c>
      <c r="P602" s="18" t="str">
        <f ca="1">IFERROR(__xludf.DUMMYFUNCTION("""COMPUTED_VALUE"""),"")</f>
        <v/>
      </c>
      <c r="Q602" s="18" t="str">
        <f ca="1">IFERROR(__xludf.DUMMYFUNCTION("""COMPUTED_VALUE"""),"")</f>
        <v/>
      </c>
      <c r="R602" s="18" t="str">
        <f ca="1">IFERROR(__xludf.DUMMYFUNCTION("""COMPUTED_VALUE"""),"")</f>
        <v/>
      </c>
      <c r="S602" s="18" t="str">
        <f ca="1">IFERROR(__xludf.DUMMYFUNCTION("""COMPUTED_VALUE"""),"")</f>
        <v/>
      </c>
      <c r="T602" s="18" t="str">
        <f ca="1">IFERROR(__xludf.DUMMYFUNCTION("""COMPUTED_VALUE"""),"")</f>
        <v/>
      </c>
      <c r="U602" s="18" t="str">
        <f ca="1">IFERROR(__xludf.DUMMYFUNCTION("""COMPUTED_VALUE"""),"")</f>
        <v/>
      </c>
      <c r="V602" s="18" t="str">
        <f ca="1">IFERROR(__xludf.DUMMYFUNCTION("""COMPUTED_VALUE"""),"")</f>
        <v/>
      </c>
      <c r="W602" s="18" t="str">
        <f ca="1">IFERROR(__xludf.DUMMYFUNCTION("""COMPUTED_VALUE"""),"")</f>
        <v/>
      </c>
      <c r="X602" s="18" t="str">
        <f ca="1">IFERROR(__xludf.DUMMYFUNCTION("""COMPUTED_VALUE"""),"")</f>
        <v/>
      </c>
      <c r="Y602" s="18" t="e">
        <f ca="1"/>
        <v>#NAME?</v>
      </c>
      <c r="Z602" s="18" t="str">
        <f ca="1">IFERROR(__xludf.DUMMYFUNCTION("""COMPUTED_VALUE"""),"")</f>
        <v/>
      </c>
      <c r="AA602" s="18" t="str">
        <f ca="1">IFERROR(__xludf.DUMMYFUNCTION("""COMPUTED_VALUE"""),"")</f>
        <v/>
      </c>
      <c r="AC602" s="59"/>
    </row>
    <row r="603" spans="1:29" x14ac:dyDescent="0.25">
      <c r="A603" s="18">
        <v>0</v>
      </c>
      <c r="B603" s="52" t="str">
        <f ca="1"/>
        <v/>
      </c>
      <c r="C603" s="52" t="str">
        <f ca="1">IFERROR(__xludf.DUMMYFUNCTION("""COMPUTED_VALUE"""),"")</f>
        <v/>
      </c>
      <c r="D603" s="18" t="str">
        <f ca="1">IFERROR(__xludf.DUMMYFUNCTION("""COMPUTED_VALUE"""),"")</f>
        <v/>
      </c>
      <c r="E603" s="18" t="str">
        <f ca="1">IFERROR(__xludf.DUMMYFUNCTION("""COMPUTED_VALUE"""),"")</f>
        <v/>
      </c>
      <c r="F603" s="18" t="str">
        <f ca="1">IFERROR(__xludf.DUMMYFUNCTION("""COMPUTED_VALUE"""),"")</f>
        <v/>
      </c>
      <c r="G603" s="18" t="str">
        <f ca="1">IFERROR(__xludf.DUMMYFUNCTION("""COMPUTED_VALUE"""),"")</f>
        <v/>
      </c>
      <c r="H603" s="18" t="str">
        <f ca="1">IFERROR(__xludf.DUMMYFUNCTION("""COMPUTED_VALUE"""),"")</f>
        <v/>
      </c>
      <c r="I603" s="18" t="str">
        <f ca="1">IFERROR(__xludf.DUMMYFUNCTION("""COMPUTED_VALUE"""),"")</f>
        <v/>
      </c>
      <c r="J603" s="18" t="str">
        <f ca="1">IFERROR(__xludf.DUMMYFUNCTION("""COMPUTED_VALUE"""),"")</f>
        <v/>
      </c>
      <c r="K603" s="18" t="str">
        <f ca="1">IFERROR(__xludf.DUMMYFUNCTION("""COMPUTED_VALUE"""),"")</f>
        <v/>
      </c>
      <c r="L603" s="18" t="str">
        <f ca="1">IFERROR(__xludf.DUMMYFUNCTION("""COMPUTED_VALUE"""),"")</f>
        <v/>
      </c>
      <c r="M603" s="18" t="str">
        <f ca="1">IFERROR(__xludf.DUMMYFUNCTION("""COMPUTED_VALUE"""),"")</f>
        <v/>
      </c>
      <c r="N603" s="18" t="str">
        <f ca="1">IFERROR(__xludf.DUMMYFUNCTION("""COMPUTED_VALUE"""),"")</f>
        <v/>
      </c>
      <c r="O603" s="18" t="str">
        <f ca="1">IFERROR(__xludf.DUMMYFUNCTION("""COMPUTED_VALUE"""),"")</f>
        <v/>
      </c>
      <c r="P603" s="18" t="str">
        <f ca="1">IFERROR(__xludf.DUMMYFUNCTION("""COMPUTED_VALUE"""),"")</f>
        <v/>
      </c>
      <c r="Q603" s="18" t="str">
        <f ca="1">IFERROR(__xludf.DUMMYFUNCTION("""COMPUTED_VALUE"""),"")</f>
        <v/>
      </c>
      <c r="R603" s="18" t="str">
        <f ca="1">IFERROR(__xludf.DUMMYFUNCTION("""COMPUTED_VALUE"""),"")</f>
        <v/>
      </c>
      <c r="S603" s="18" t="str">
        <f ca="1">IFERROR(__xludf.DUMMYFUNCTION("""COMPUTED_VALUE"""),"")</f>
        <v/>
      </c>
      <c r="T603" s="18" t="str">
        <f ca="1">IFERROR(__xludf.DUMMYFUNCTION("""COMPUTED_VALUE"""),"")</f>
        <v/>
      </c>
      <c r="U603" s="18" t="str">
        <f ca="1">IFERROR(__xludf.DUMMYFUNCTION("""COMPUTED_VALUE"""),"")</f>
        <v/>
      </c>
      <c r="V603" s="18" t="str">
        <f ca="1">IFERROR(__xludf.DUMMYFUNCTION("""COMPUTED_VALUE"""),"")</f>
        <v/>
      </c>
      <c r="W603" s="18" t="str">
        <f ca="1">IFERROR(__xludf.DUMMYFUNCTION("""COMPUTED_VALUE"""),"")</f>
        <v/>
      </c>
      <c r="X603" s="18" t="str">
        <f ca="1">IFERROR(__xludf.DUMMYFUNCTION("""COMPUTED_VALUE"""),"")</f>
        <v/>
      </c>
      <c r="Y603" s="18" t="e">
        <f ca="1"/>
        <v>#NAME?</v>
      </c>
      <c r="Z603" s="18" t="str">
        <f ca="1">IFERROR(__xludf.DUMMYFUNCTION("""COMPUTED_VALUE"""),"")</f>
        <v/>
      </c>
      <c r="AA603" s="18" t="str">
        <f ca="1">IFERROR(__xludf.DUMMYFUNCTION("""COMPUTED_VALUE"""),"")</f>
        <v/>
      </c>
      <c r="AC603" s="59"/>
    </row>
    <row r="604" spans="1:29" x14ac:dyDescent="0.25">
      <c r="A604" s="18">
        <v>0</v>
      </c>
      <c r="B604" s="52" t="str">
        <f ca="1"/>
        <v/>
      </c>
      <c r="C604" s="52" t="str">
        <f ca="1">IFERROR(__xludf.DUMMYFUNCTION("""COMPUTED_VALUE"""),"")</f>
        <v/>
      </c>
      <c r="D604" s="18" t="str">
        <f ca="1">IFERROR(__xludf.DUMMYFUNCTION("""COMPUTED_VALUE"""),"")</f>
        <v/>
      </c>
      <c r="E604" s="18" t="str">
        <f ca="1">IFERROR(__xludf.DUMMYFUNCTION("""COMPUTED_VALUE"""),"")</f>
        <v/>
      </c>
      <c r="F604" s="18" t="str">
        <f ca="1">IFERROR(__xludf.DUMMYFUNCTION("""COMPUTED_VALUE"""),"")</f>
        <v/>
      </c>
      <c r="G604" s="18" t="str">
        <f ca="1">IFERROR(__xludf.DUMMYFUNCTION("""COMPUTED_VALUE"""),"")</f>
        <v/>
      </c>
      <c r="H604" s="18" t="str">
        <f ca="1">IFERROR(__xludf.DUMMYFUNCTION("""COMPUTED_VALUE"""),"")</f>
        <v/>
      </c>
      <c r="I604" s="18" t="str">
        <f ca="1">IFERROR(__xludf.DUMMYFUNCTION("""COMPUTED_VALUE"""),"")</f>
        <v/>
      </c>
      <c r="J604" s="18" t="str">
        <f ca="1">IFERROR(__xludf.DUMMYFUNCTION("""COMPUTED_VALUE"""),"")</f>
        <v/>
      </c>
      <c r="K604" s="18" t="str">
        <f ca="1">IFERROR(__xludf.DUMMYFUNCTION("""COMPUTED_VALUE"""),"")</f>
        <v/>
      </c>
      <c r="L604" s="18" t="str">
        <f ca="1">IFERROR(__xludf.DUMMYFUNCTION("""COMPUTED_VALUE"""),"")</f>
        <v/>
      </c>
      <c r="M604" s="18" t="str">
        <f ca="1">IFERROR(__xludf.DUMMYFUNCTION("""COMPUTED_VALUE"""),"")</f>
        <v/>
      </c>
      <c r="N604" s="18" t="str">
        <f ca="1">IFERROR(__xludf.DUMMYFUNCTION("""COMPUTED_VALUE"""),"")</f>
        <v/>
      </c>
      <c r="O604" s="18" t="str">
        <f ca="1">IFERROR(__xludf.DUMMYFUNCTION("""COMPUTED_VALUE"""),"")</f>
        <v/>
      </c>
      <c r="P604" s="18" t="str">
        <f ca="1">IFERROR(__xludf.DUMMYFUNCTION("""COMPUTED_VALUE"""),"")</f>
        <v/>
      </c>
      <c r="Q604" s="18" t="str">
        <f ca="1">IFERROR(__xludf.DUMMYFUNCTION("""COMPUTED_VALUE"""),"")</f>
        <v/>
      </c>
      <c r="R604" s="18" t="str">
        <f ca="1">IFERROR(__xludf.DUMMYFUNCTION("""COMPUTED_VALUE"""),"")</f>
        <v/>
      </c>
      <c r="S604" s="18" t="str">
        <f ca="1">IFERROR(__xludf.DUMMYFUNCTION("""COMPUTED_VALUE"""),"")</f>
        <v/>
      </c>
      <c r="T604" s="18" t="str">
        <f ca="1">IFERROR(__xludf.DUMMYFUNCTION("""COMPUTED_VALUE"""),"")</f>
        <v/>
      </c>
      <c r="U604" s="18" t="str">
        <f ca="1">IFERROR(__xludf.DUMMYFUNCTION("""COMPUTED_VALUE"""),"")</f>
        <v/>
      </c>
      <c r="V604" s="18" t="str">
        <f ca="1">IFERROR(__xludf.DUMMYFUNCTION("""COMPUTED_VALUE"""),"")</f>
        <v/>
      </c>
      <c r="W604" s="18" t="str">
        <f ca="1">IFERROR(__xludf.DUMMYFUNCTION("""COMPUTED_VALUE"""),"")</f>
        <v/>
      </c>
      <c r="X604" s="18" t="str">
        <f ca="1">IFERROR(__xludf.DUMMYFUNCTION("""COMPUTED_VALUE"""),"")</f>
        <v/>
      </c>
      <c r="Y604" s="18" t="e">
        <f ca="1"/>
        <v>#NAME?</v>
      </c>
      <c r="Z604" s="18" t="str">
        <f ca="1">IFERROR(__xludf.DUMMYFUNCTION("""COMPUTED_VALUE"""),"")</f>
        <v/>
      </c>
      <c r="AA604" s="18" t="str">
        <f ca="1">IFERROR(__xludf.DUMMYFUNCTION("""COMPUTED_VALUE"""),"")</f>
        <v/>
      </c>
      <c r="AC604" s="59"/>
    </row>
    <row r="605" spans="1:29" x14ac:dyDescent="0.25">
      <c r="A605" s="18">
        <v>0</v>
      </c>
      <c r="B605" s="52" t="str">
        <f ca="1"/>
        <v/>
      </c>
      <c r="C605" s="52" t="str">
        <f ca="1">IFERROR(__xludf.DUMMYFUNCTION("""COMPUTED_VALUE"""),"")</f>
        <v/>
      </c>
      <c r="D605" s="18" t="str">
        <f ca="1">IFERROR(__xludf.DUMMYFUNCTION("""COMPUTED_VALUE"""),"")</f>
        <v/>
      </c>
      <c r="E605" s="18" t="str">
        <f ca="1">IFERROR(__xludf.DUMMYFUNCTION("""COMPUTED_VALUE"""),"")</f>
        <v/>
      </c>
      <c r="F605" s="18" t="str">
        <f ca="1">IFERROR(__xludf.DUMMYFUNCTION("""COMPUTED_VALUE"""),"")</f>
        <v/>
      </c>
      <c r="G605" s="18" t="str">
        <f ca="1">IFERROR(__xludf.DUMMYFUNCTION("""COMPUTED_VALUE"""),"")</f>
        <v/>
      </c>
      <c r="H605" s="18" t="str">
        <f ca="1">IFERROR(__xludf.DUMMYFUNCTION("""COMPUTED_VALUE"""),"")</f>
        <v/>
      </c>
      <c r="I605" s="18" t="str">
        <f ca="1">IFERROR(__xludf.DUMMYFUNCTION("""COMPUTED_VALUE"""),"")</f>
        <v/>
      </c>
      <c r="J605" s="18" t="str">
        <f ca="1">IFERROR(__xludf.DUMMYFUNCTION("""COMPUTED_VALUE"""),"")</f>
        <v/>
      </c>
      <c r="K605" s="18" t="str">
        <f ca="1">IFERROR(__xludf.DUMMYFUNCTION("""COMPUTED_VALUE"""),"")</f>
        <v/>
      </c>
      <c r="L605" s="18" t="str">
        <f ca="1">IFERROR(__xludf.DUMMYFUNCTION("""COMPUTED_VALUE"""),"")</f>
        <v/>
      </c>
      <c r="M605" s="18" t="str">
        <f ca="1">IFERROR(__xludf.DUMMYFUNCTION("""COMPUTED_VALUE"""),"")</f>
        <v/>
      </c>
      <c r="N605" s="18" t="str">
        <f ca="1">IFERROR(__xludf.DUMMYFUNCTION("""COMPUTED_VALUE"""),"")</f>
        <v/>
      </c>
      <c r="O605" s="18" t="str">
        <f ca="1">IFERROR(__xludf.DUMMYFUNCTION("""COMPUTED_VALUE"""),"")</f>
        <v/>
      </c>
      <c r="P605" s="18" t="str">
        <f ca="1">IFERROR(__xludf.DUMMYFUNCTION("""COMPUTED_VALUE"""),"")</f>
        <v/>
      </c>
      <c r="Q605" s="18" t="str">
        <f ca="1">IFERROR(__xludf.DUMMYFUNCTION("""COMPUTED_VALUE"""),"")</f>
        <v/>
      </c>
      <c r="R605" s="18" t="str">
        <f ca="1">IFERROR(__xludf.DUMMYFUNCTION("""COMPUTED_VALUE"""),"")</f>
        <v/>
      </c>
      <c r="S605" s="18" t="str">
        <f ca="1">IFERROR(__xludf.DUMMYFUNCTION("""COMPUTED_VALUE"""),"")</f>
        <v/>
      </c>
      <c r="T605" s="18" t="str">
        <f ca="1">IFERROR(__xludf.DUMMYFUNCTION("""COMPUTED_VALUE"""),"")</f>
        <v/>
      </c>
      <c r="U605" s="18" t="str">
        <f ca="1">IFERROR(__xludf.DUMMYFUNCTION("""COMPUTED_VALUE"""),"")</f>
        <v/>
      </c>
      <c r="V605" s="18" t="str">
        <f ca="1">IFERROR(__xludf.DUMMYFUNCTION("""COMPUTED_VALUE"""),"")</f>
        <v/>
      </c>
      <c r="W605" s="18" t="str">
        <f ca="1">IFERROR(__xludf.DUMMYFUNCTION("""COMPUTED_VALUE"""),"")</f>
        <v/>
      </c>
      <c r="X605" s="18" t="str">
        <f ca="1">IFERROR(__xludf.DUMMYFUNCTION("""COMPUTED_VALUE"""),"")</f>
        <v/>
      </c>
      <c r="Y605" s="18" t="e">
        <f ca="1"/>
        <v>#NAME?</v>
      </c>
      <c r="Z605" s="18" t="str">
        <f ca="1">IFERROR(__xludf.DUMMYFUNCTION("""COMPUTED_VALUE"""),"")</f>
        <v/>
      </c>
      <c r="AA605" s="18" t="str">
        <f ca="1">IFERROR(__xludf.DUMMYFUNCTION("""COMPUTED_VALUE"""),"")</f>
        <v/>
      </c>
      <c r="AC605" s="59"/>
    </row>
    <row r="606" spans="1:29" x14ac:dyDescent="0.25">
      <c r="A606" s="18">
        <v>0</v>
      </c>
      <c r="B606" s="52" t="str">
        <f ca="1"/>
        <v/>
      </c>
      <c r="C606" s="52" t="str">
        <f ca="1">IFERROR(__xludf.DUMMYFUNCTION("""COMPUTED_VALUE"""),"")</f>
        <v/>
      </c>
      <c r="D606" s="18" t="str">
        <f ca="1">IFERROR(__xludf.DUMMYFUNCTION("""COMPUTED_VALUE"""),"")</f>
        <v/>
      </c>
      <c r="E606" s="18" t="str">
        <f ca="1">IFERROR(__xludf.DUMMYFUNCTION("""COMPUTED_VALUE"""),"")</f>
        <v/>
      </c>
      <c r="F606" s="18" t="str">
        <f ca="1">IFERROR(__xludf.DUMMYFUNCTION("""COMPUTED_VALUE"""),"")</f>
        <v/>
      </c>
      <c r="G606" s="18" t="str">
        <f ca="1">IFERROR(__xludf.DUMMYFUNCTION("""COMPUTED_VALUE"""),"")</f>
        <v/>
      </c>
      <c r="H606" s="18" t="str">
        <f ca="1">IFERROR(__xludf.DUMMYFUNCTION("""COMPUTED_VALUE"""),"")</f>
        <v/>
      </c>
      <c r="I606" s="18" t="str">
        <f ca="1">IFERROR(__xludf.DUMMYFUNCTION("""COMPUTED_VALUE"""),"")</f>
        <v/>
      </c>
      <c r="J606" s="18" t="str">
        <f ca="1">IFERROR(__xludf.DUMMYFUNCTION("""COMPUTED_VALUE"""),"")</f>
        <v/>
      </c>
      <c r="K606" s="18" t="str">
        <f ca="1">IFERROR(__xludf.DUMMYFUNCTION("""COMPUTED_VALUE"""),"")</f>
        <v/>
      </c>
      <c r="L606" s="18" t="str">
        <f ca="1">IFERROR(__xludf.DUMMYFUNCTION("""COMPUTED_VALUE"""),"")</f>
        <v/>
      </c>
      <c r="M606" s="18" t="str">
        <f ca="1">IFERROR(__xludf.DUMMYFUNCTION("""COMPUTED_VALUE"""),"")</f>
        <v/>
      </c>
      <c r="N606" s="18" t="str">
        <f ca="1">IFERROR(__xludf.DUMMYFUNCTION("""COMPUTED_VALUE"""),"")</f>
        <v/>
      </c>
      <c r="O606" s="18" t="str">
        <f ca="1">IFERROR(__xludf.DUMMYFUNCTION("""COMPUTED_VALUE"""),"")</f>
        <v/>
      </c>
      <c r="P606" s="18" t="str">
        <f ca="1">IFERROR(__xludf.DUMMYFUNCTION("""COMPUTED_VALUE"""),"")</f>
        <v/>
      </c>
      <c r="Q606" s="18" t="str">
        <f ca="1">IFERROR(__xludf.DUMMYFUNCTION("""COMPUTED_VALUE"""),"")</f>
        <v/>
      </c>
      <c r="R606" s="18" t="str">
        <f ca="1">IFERROR(__xludf.DUMMYFUNCTION("""COMPUTED_VALUE"""),"")</f>
        <v/>
      </c>
      <c r="S606" s="18" t="str">
        <f ca="1">IFERROR(__xludf.DUMMYFUNCTION("""COMPUTED_VALUE"""),"")</f>
        <v/>
      </c>
      <c r="T606" s="18" t="str">
        <f ca="1">IFERROR(__xludf.DUMMYFUNCTION("""COMPUTED_VALUE"""),"")</f>
        <v/>
      </c>
      <c r="U606" s="18" t="str">
        <f ca="1">IFERROR(__xludf.DUMMYFUNCTION("""COMPUTED_VALUE"""),"")</f>
        <v/>
      </c>
      <c r="V606" s="18" t="str">
        <f ca="1">IFERROR(__xludf.DUMMYFUNCTION("""COMPUTED_VALUE"""),"")</f>
        <v/>
      </c>
      <c r="W606" s="18" t="str">
        <f ca="1">IFERROR(__xludf.DUMMYFUNCTION("""COMPUTED_VALUE"""),"")</f>
        <v/>
      </c>
      <c r="X606" s="18" t="str">
        <f ca="1">IFERROR(__xludf.DUMMYFUNCTION("""COMPUTED_VALUE"""),"")</f>
        <v/>
      </c>
      <c r="Y606" s="18" t="e">
        <f ca="1"/>
        <v>#NAME?</v>
      </c>
      <c r="Z606" s="18" t="str">
        <f ca="1">IFERROR(__xludf.DUMMYFUNCTION("""COMPUTED_VALUE"""),"")</f>
        <v/>
      </c>
      <c r="AA606" s="18" t="str">
        <f ca="1">IFERROR(__xludf.DUMMYFUNCTION("""COMPUTED_VALUE"""),"")</f>
        <v/>
      </c>
      <c r="AC606" s="59"/>
    </row>
    <row r="607" spans="1:29" x14ac:dyDescent="0.25">
      <c r="A607" s="18">
        <v>0</v>
      </c>
      <c r="B607" s="52" t="str">
        <f ca="1"/>
        <v/>
      </c>
      <c r="C607" s="52" t="str">
        <f ca="1">IFERROR(__xludf.DUMMYFUNCTION("""COMPUTED_VALUE"""),"")</f>
        <v/>
      </c>
      <c r="D607" s="18" t="str">
        <f ca="1">IFERROR(__xludf.DUMMYFUNCTION("""COMPUTED_VALUE"""),"")</f>
        <v/>
      </c>
      <c r="E607" s="18" t="str">
        <f ca="1">IFERROR(__xludf.DUMMYFUNCTION("""COMPUTED_VALUE"""),"")</f>
        <v/>
      </c>
      <c r="F607" s="18" t="str">
        <f ca="1">IFERROR(__xludf.DUMMYFUNCTION("""COMPUTED_VALUE"""),"")</f>
        <v/>
      </c>
      <c r="G607" s="18" t="str">
        <f ca="1">IFERROR(__xludf.DUMMYFUNCTION("""COMPUTED_VALUE"""),"")</f>
        <v/>
      </c>
      <c r="H607" s="18" t="str">
        <f ca="1">IFERROR(__xludf.DUMMYFUNCTION("""COMPUTED_VALUE"""),"")</f>
        <v/>
      </c>
      <c r="I607" s="18" t="str">
        <f ca="1">IFERROR(__xludf.DUMMYFUNCTION("""COMPUTED_VALUE"""),"")</f>
        <v/>
      </c>
      <c r="J607" s="18" t="str">
        <f ca="1">IFERROR(__xludf.DUMMYFUNCTION("""COMPUTED_VALUE"""),"")</f>
        <v/>
      </c>
      <c r="K607" s="18" t="str">
        <f ca="1">IFERROR(__xludf.DUMMYFUNCTION("""COMPUTED_VALUE"""),"")</f>
        <v/>
      </c>
      <c r="L607" s="18" t="str">
        <f ca="1">IFERROR(__xludf.DUMMYFUNCTION("""COMPUTED_VALUE"""),"")</f>
        <v/>
      </c>
      <c r="M607" s="18" t="str">
        <f ca="1">IFERROR(__xludf.DUMMYFUNCTION("""COMPUTED_VALUE"""),"")</f>
        <v/>
      </c>
      <c r="N607" s="18" t="str">
        <f ca="1">IFERROR(__xludf.DUMMYFUNCTION("""COMPUTED_VALUE"""),"")</f>
        <v/>
      </c>
      <c r="O607" s="18" t="str">
        <f ca="1">IFERROR(__xludf.DUMMYFUNCTION("""COMPUTED_VALUE"""),"")</f>
        <v/>
      </c>
      <c r="P607" s="18" t="str">
        <f ca="1">IFERROR(__xludf.DUMMYFUNCTION("""COMPUTED_VALUE"""),"")</f>
        <v/>
      </c>
      <c r="Q607" s="18" t="str">
        <f ca="1">IFERROR(__xludf.DUMMYFUNCTION("""COMPUTED_VALUE"""),"")</f>
        <v/>
      </c>
      <c r="R607" s="18" t="str">
        <f ca="1">IFERROR(__xludf.DUMMYFUNCTION("""COMPUTED_VALUE"""),"")</f>
        <v/>
      </c>
      <c r="S607" s="18" t="str">
        <f ca="1">IFERROR(__xludf.DUMMYFUNCTION("""COMPUTED_VALUE"""),"")</f>
        <v/>
      </c>
      <c r="T607" s="18" t="str">
        <f ca="1">IFERROR(__xludf.DUMMYFUNCTION("""COMPUTED_VALUE"""),"")</f>
        <v/>
      </c>
      <c r="U607" s="18" t="str">
        <f ca="1">IFERROR(__xludf.DUMMYFUNCTION("""COMPUTED_VALUE"""),"")</f>
        <v/>
      </c>
      <c r="V607" s="18" t="str">
        <f ca="1">IFERROR(__xludf.DUMMYFUNCTION("""COMPUTED_VALUE"""),"")</f>
        <v/>
      </c>
      <c r="W607" s="18" t="str">
        <f ca="1">IFERROR(__xludf.DUMMYFUNCTION("""COMPUTED_VALUE"""),"")</f>
        <v/>
      </c>
      <c r="X607" s="18" t="str">
        <f ca="1">IFERROR(__xludf.DUMMYFUNCTION("""COMPUTED_VALUE"""),"")</f>
        <v/>
      </c>
      <c r="Y607" s="18" t="e">
        <f ca="1"/>
        <v>#NAME?</v>
      </c>
      <c r="Z607" s="18" t="str">
        <f ca="1">IFERROR(__xludf.DUMMYFUNCTION("""COMPUTED_VALUE"""),"")</f>
        <v/>
      </c>
      <c r="AA607" s="18" t="str">
        <f ca="1">IFERROR(__xludf.DUMMYFUNCTION("""COMPUTED_VALUE"""),"")</f>
        <v/>
      </c>
      <c r="AC607" s="59"/>
    </row>
    <row r="608" spans="1:29" x14ac:dyDescent="0.25">
      <c r="A608" s="18">
        <v>0</v>
      </c>
      <c r="B608" s="52" t="str">
        <f ca="1"/>
        <v/>
      </c>
      <c r="C608" s="52" t="str">
        <f ca="1">IFERROR(__xludf.DUMMYFUNCTION("""COMPUTED_VALUE"""),"")</f>
        <v/>
      </c>
      <c r="D608" s="18" t="str">
        <f ca="1">IFERROR(__xludf.DUMMYFUNCTION("""COMPUTED_VALUE"""),"")</f>
        <v/>
      </c>
      <c r="E608" s="18" t="str">
        <f ca="1">IFERROR(__xludf.DUMMYFUNCTION("""COMPUTED_VALUE"""),"")</f>
        <v/>
      </c>
      <c r="F608" s="18" t="str">
        <f ca="1">IFERROR(__xludf.DUMMYFUNCTION("""COMPUTED_VALUE"""),"")</f>
        <v/>
      </c>
      <c r="G608" s="18" t="str">
        <f ca="1">IFERROR(__xludf.DUMMYFUNCTION("""COMPUTED_VALUE"""),"")</f>
        <v/>
      </c>
      <c r="H608" s="18" t="str">
        <f ca="1">IFERROR(__xludf.DUMMYFUNCTION("""COMPUTED_VALUE"""),"")</f>
        <v/>
      </c>
      <c r="I608" s="18" t="str">
        <f ca="1">IFERROR(__xludf.DUMMYFUNCTION("""COMPUTED_VALUE"""),"")</f>
        <v/>
      </c>
      <c r="J608" s="18" t="str">
        <f ca="1">IFERROR(__xludf.DUMMYFUNCTION("""COMPUTED_VALUE"""),"")</f>
        <v/>
      </c>
      <c r="K608" s="18" t="str">
        <f ca="1">IFERROR(__xludf.DUMMYFUNCTION("""COMPUTED_VALUE"""),"")</f>
        <v/>
      </c>
      <c r="L608" s="18" t="str">
        <f ca="1">IFERROR(__xludf.DUMMYFUNCTION("""COMPUTED_VALUE"""),"")</f>
        <v/>
      </c>
      <c r="M608" s="18" t="str">
        <f ca="1">IFERROR(__xludf.DUMMYFUNCTION("""COMPUTED_VALUE"""),"")</f>
        <v/>
      </c>
      <c r="N608" s="18" t="str">
        <f ca="1">IFERROR(__xludf.DUMMYFUNCTION("""COMPUTED_VALUE"""),"")</f>
        <v/>
      </c>
      <c r="O608" s="18" t="str">
        <f ca="1">IFERROR(__xludf.DUMMYFUNCTION("""COMPUTED_VALUE"""),"")</f>
        <v/>
      </c>
      <c r="P608" s="18" t="str">
        <f ca="1">IFERROR(__xludf.DUMMYFUNCTION("""COMPUTED_VALUE"""),"")</f>
        <v/>
      </c>
      <c r="Q608" s="18" t="str">
        <f ca="1">IFERROR(__xludf.DUMMYFUNCTION("""COMPUTED_VALUE"""),"")</f>
        <v/>
      </c>
      <c r="R608" s="18" t="str">
        <f ca="1">IFERROR(__xludf.DUMMYFUNCTION("""COMPUTED_VALUE"""),"")</f>
        <v/>
      </c>
      <c r="S608" s="18" t="str">
        <f ca="1">IFERROR(__xludf.DUMMYFUNCTION("""COMPUTED_VALUE"""),"")</f>
        <v/>
      </c>
      <c r="T608" s="18" t="str">
        <f ca="1">IFERROR(__xludf.DUMMYFUNCTION("""COMPUTED_VALUE"""),"")</f>
        <v/>
      </c>
      <c r="U608" s="18" t="str">
        <f ca="1">IFERROR(__xludf.DUMMYFUNCTION("""COMPUTED_VALUE"""),"")</f>
        <v/>
      </c>
      <c r="V608" s="18" t="str">
        <f ca="1">IFERROR(__xludf.DUMMYFUNCTION("""COMPUTED_VALUE"""),"")</f>
        <v/>
      </c>
      <c r="W608" s="18" t="str">
        <f ca="1">IFERROR(__xludf.DUMMYFUNCTION("""COMPUTED_VALUE"""),"")</f>
        <v/>
      </c>
      <c r="X608" s="18" t="str">
        <f ca="1">IFERROR(__xludf.DUMMYFUNCTION("""COMPUTED_VALUE"""),"")</f>
        <v/>
      </c>
      <c r="Y608" s="18" t="e">
        <f ca="1"/>
        <v>#NAME?</v>
      </c>
      <c r="Z608" s="18" t="str">
        <f ca="1">IFERROR(__xludf.DUMMYFUNCTION("""COMPUTED_VALUE"""),"")</f>
        <v/>
      </c>
      <c r="AA608" s="18" t="str">
        <f ca="1">IFERROR(__xludf.DUMMYFUNCTION("""COMPUTED_VALUE"""),"")</f>
        <v/>
      </c>
      <c r="AC608" s="59"/>
    </row>
    <row r="609" spans="1:29" x14ac:dyDescent="0.25">
      <c r="A609" s="18">
        <v>0</v>
      </c>
      <c r="B609" s="52" t="str">
        <f ca="1"/>
        <v/>
      </c>
      <c r="C609" s="52" t="str">
        <f ca="1">IFERROR(__xludf.DUMMYFUNCTION("""COMPUTED_VALUE"""),"")</f>
        <v/>
      </c>
      <c r="D609" s="18" t="str">
        <f ca="1">IFERROR(__xludf.DUMMYFUNCTION("""COMPUTED_VALUE"""),"")</f>
        <v/>
      </c>
      <c r="E609" s="18" t="str">
        <f ca="1">IFERROR(__xludf.DUMMYFUNCTION("""COMPUTED_VALUE"""),"")</f>
        <v/>
      </c>
      <c r="F609" s="18" t="str">
        <f ca="1">IFERROR(__xludf.DUMMYFUNCTION("""COMPUTED_VALUE"""),"")</f>
        <v/>
      </c>
      <c r="G609" s="18" t="str">
        <f ca="1">IFERROR(__xludf.DUMMYFUNCTION("""COMPUTED_VALUE"""),"")</f>
        <v/>
      </c>
      <c r="H609" s="18" t="str">
        <f ca="1">IFERROR(__xludf.DUMMYFUNCTION("""COMPUTED_VALUE"""),"")</f>
        <v/>
      </c>
      <c r="I609" s="18" t="str">
        <f ca="1">IFERROR(__xludf.DUMMYFUNCTION("""COMPUTED_VALUE"""),"")</f>
        <v/>
      </c>
      <c r="J609" s="18" t="str">
        <f ca="1">IFERROR(__xludf.DUMMYFUNCTION("""COMPUTED_VALUE"""),"")</f>
        <v/>
      </c>
      <c r="K609" s="18" t="str">
        <f ca="1">IFERROR(__xludf.DUMMYFUNCTION("""COMPUTED_VALUE"""),"")</f>
        <v/>
      </c>
      <c r="L609" s="18" t="str">
        <f ca="1">IFERROR(__xludf.DUMMYFUNCTION("""COMPUTED_VALUE"""),"")</f>
        <v/>
      </c>
      <c r="M609" s="18" t="str">
        <f ca="1">IFERROR(__xludf.DUMMYFUNCTION("""COMPUTED_VALUE"""),"")</f>
        <v/>
      </c>
      <c r="N609" s="18" t="str">
        <f ca="1">IFERROR(__xludf.DUMMYFUNCTION("""COMPUTED_VALUE"""),"")</f>
        <v/>
      </c>
      <c r="O609" s="18" t="str">
        <f ca="1">IFERROR(__xludf.DUMMYFUNCTION("""COMPUTED_VALUE"""),"")</f>
        <v/>
      </c>
      <c r="P609" s="18" t="str">
        <f ca="1">IFERROR(__xludf.DUMMYFUNCTION("""COMPUTED_VALUE"""),"")</f>
        <v/>
      </c>
      <c r="Q609" s="18" t="str">
        <f ca="1">IFERROR(__xludf.DUMMYFUNCTION("""COMPUTED_VALUE"""),"")</f>
        <v/>
      </c>
      <c r="R609" s="18" t="str">
        <f ca="1">IFERROR(__xludf.DUMMYFUNCTION("""COMPUTED_VALUE"""),"")</f>
        <v/>
      </c>
      <c r="S609" s="18" t="str">
        <f ca="1">IFERROR(__xludf.DUMMYFUNCTION("""COMPUTED_VALUE"""),"")</f>
        <v/>
      </c>
      <c r="T609" s="18" t="str">
        <f ca="1">IFERROR(__xludf.DUMMYFUNCTION("""COMPUTED_VALUE"""),"")</f>
        <v/>
      </c>
      <c r="U609" s="18" t="str">
        <f ca="1">IFERROR(__xludf.DUMMYFUNCTION("""COMPUTED_VALUE"""),"")</f>
        <v/>
      </c>
      <c r="V609" s="18" t="str">
        <f ca="1">IFERROR(__xludf.DUMMYFUNCTION("""COMPUTED_VALUE"""),"")</f>
        <v/>
      </c>
      <c r="W609" s="18" t="str">
        <f ca="1">IFERROR(__xludf.DUMMYFUNCTION("""COMPUTED_VALUE"""),"")</f>
        <v/>
      </c>
      <c r="X609" s="18" t="str">
        <f ca="1">IFERROR(__xludf.DUMMYFUNCTION("""COMPUTED_VALUE"""),"")</f>
        <v/>
      </c>
      <c r="Y609" s="18" t="e">
        <f ca="1"/>
        <v>#NAME?</v>
      </c>
      <c r="Z609" s="18" t="str">
        <f ca="1">IFERROR(__xludf.DUMMYFUNCTION("""COMPUTED_VALUE"""),"")</f>
        <v/>
      </c>
      <c r="AA609" s="18" t="str">
        <f ca="1">IFERROR(__xludf.DUMMYFUNCTION("""COMPUTED_VALUE"""),"")</f>
        <v/>
      </c>
      <c r="AC609" s="59"/>
    </row>
    <row r="610" spans="1:29" x14ac:dyDescent="0.25">
      <c r="A610" s="18">
        <v>0</v>
      </c>
      <c r="B610" s="52" t="str">
        <f ca="1"/>
        <v/>
      </c>
      <c r="C610" s="52" t="str">
        <f ca="1">IFERROR(__xludf.DUMMYFUNCTION("""COMPUTED_VALUE"""),"")</f>
        <v/>
      </c>
      <c r="D610" s="18" t="str">
        <f ca="1">IFERROR(__xludf.DUMMYFUNCTION("""COMPUTED_VALUE"""),"")</f>
        <v/>
      </c>
      <c r="E610" s="18" t="str">
        <f ca="1">IFERROR(__xludf.DUMMYFUNCTION("""COMPUTED_VALUE"""),"")</f>
        <v/>
      </c>
      <c r="F610" s="18" t="str">
        <f ca="1">IFERROR(__xludf.DUMMYFUNCTION("""COMPUTED_VALUE"""),"")</f>
        <v/>
      </c>
      <c r="G610" s="18" t="str">
        <f ca="1">IFERROR(__xludf.DUMMYFUNCTION("""COMPUTED_VALUE"""),"")</f>
        <v/>
      </c>
      <c r="H610" s="18" t="str">
        <f ca="1">IFERROR(__xludf.DUMMYFUNCTION("""COMPUTED_VALUE"""),"")</f>
        <v/>
      </c>
      <c r="I610" s="18" t="str">
        <f ca="1">IFERROR(__xludf.DUMMYFUNCTION("""COMPUTED_VALUE"""),"")</f>
        <v/>
      </c>
      <c r="J610" s="18" t="str">
        <f ca="1">IFERROR(__xludf.DUMMYFUNCTION("""COMPUTED_VALUE"""),"")</f>
        <v/>
      </c>
      <c r="K610" s="18" t="str">
        <f ca="1">IFERROR(__xludf.DUMMYFUNCTION("""COMPUTED_VALUE"""),"")</f>
        <v/>
      </c>
      <c r="L610" s="18" t="str">
        <f ca="1">IFERROR(__xludf.DUMMYFUNCTION("""COMPUTED_VALUE"""),"")</f>
        <v/>
      </c>
      <c r="M610" s="18" t="str">
        <f ca="1">IFERROR(__xludf.DUMMYFUNCTION("""COMPUTED_VALUE"""),"")</f>
        <v/>
      </c>
      <c r="N610" s="18" t="str">
        <f ca="1">IFERROR(__xludf.DUMMYFUNCTION("""COMPUTED_VALUE"""),"")</f>
        <v/>
      </c>
      <c r="O610" s="18" t="str">
        <f ca="1">IFERROR(__xludf.DUMMYFUNCTION("""COMPUTED_VALUE"""),"")</f>
        <v/>
      </c>
      <c r="P610" s="18" t="str">
        <f ca="1">IFERROR(__xludf.DUMMYFUNCTION("""COMPUTED_VALUE"""),"")</f>
        <v/>
      </c>
      <c r="Q610" s="18" t="str">
        <f ca="1">IFERROR(__xludf.DUMMYFUNCTION("""COMPUTED_VALUE"""),"")</f>
        <v/>
      </c>
      <c r="R610" s="18" t="str">
        <f ca="1">IFERROR(__xludf.DUMMYFUNCTION("""COMPUTED_VALUE"""),"")</f>
        <v/>
      </c>
      <c r="S610" s="18" t="str">
        <f ca="1">IFERROR(__xludf.DUMMYFUNCTION("""COMPUTED_VALUE"""),"")</f>
        <v/>
      </c>
      <c r="T610" s="18" t="str">
        <f ca="1">IFERROR(__xludf.DUMMYFUNCTION("""COMPUTED_VALUE"""),"")</f>
        <v/>
      </c>
      <c r="U610" s="18" t="str">
        <f ca="1">IFERROR(__xludf.DUMMYFUNCTION("""COMPUTED_VALUE"""),"")</f>
        <v/>
      </c>
      <c r="V610" s="18" t="str">
        <f ca="1">IFERROR(__xludf.DUMMYFUNCTION("""COMPUTED_VALUE"""),"")</f>
        <v/>
      </c>
      <c r="W610" s="18" t="str">
        <f ca="1">IFERROR(__xludf.DUMMYFUNCTION("""COMPUTED_VALUE"""),"")</f>
        <v/>
      </c>
      <c r="X610" s="18" t="str">
        <f ca="1">IFERROR(__xludf.DUMMYFUNCTION("""COMPUTED_VALUE"""),"")</f>
        <v/>
      </c>
      <c r="Y610" s="18" t="e">
        <f ca="1"/>
        <v>#NAME?</v>
      </c>
      <c r="Z610" s="18" t="str">
        <f ca="1">IFERROR(__xludf.DUMMYFUNCTION("""COMPUTED_VALUE"""),"")</f>
        <v/>
      </c>
      <c r="AA610" s="18" t="str">
        <f ca="1">IFERROR(__xludf.DUMMYFUNCTION("""COMPUTED_VALUE"""),"")</f>
        <v/>
      </c>
      <c r="AC610" s="59"/>
    </row>
    <row r="611" spans="1:29" x14ac:dyDescent="0.25">
      <c r="A611" s="18">
        <v>0</v>
      </c>
      <c r="B611" s="52" t="str">
        <f ca="1"/>
        <v/>
      </c>
      <c r="C611" s="52" t="str">
        <f ca="1">IFERROR(__xludf.DUMMYFUNCTION("""COMPUTED_VALUE"""),"")</f>
        <v/>
      </c>
      <c r="D611" s="18" t="str">
        <f ca="1">IFERROR(__xludf.DUMMYFUNCTION("""COMPUTED_VALUE"""),"")</f>
        <v/>
      </c>
      <c r="E611" s="18" t="str">
        <f ca="1">IFERROR(__xludf.DUMMYFUNCTION("""COMPUTED_VALUE"""),"")</f>
        <v/>
      </c>
      <c r="F611" s="18" t="str">
        <f ca="1">IFERROR(__xludf.DUMMYFUNCTION("""COMPUTED_VALUE"""),"")</f>
        <v/>
      </c>
      <c r="G611" s="18" t="str">
        <f ca="1">IFERROR(__xludf.DUMMYFUNCTION("""COMPUTED_VALUE"""),"")</f>
        <v/>
      </c>
      <c r="H611" s="18" t="str">
        <f ca="1">IFERROR(__xludf.DUMMYFUNCTION("""COMPUTED_VALUE"""),"")</f>
        <v/>
      </c>
      <c r="I611" s="18" t="str">
        <f ca="1">IFERROR(__xludf.DUMMYFUNCTION("""COMPUTED_VALUE"""),"")</f>
        <v/>
      </c>
      <c r="J611" s="18" t="str">
        <f ca="1">IFERROR(__xludf.DUMMYFUNCTION("""COMPUTED_VALUE"""),"")</f>
        <v/>
      </c>
      <c r="K611" s="18" t="str">
        <f ca="1">IFERROR(__xludf.DUMMYFUNCTION("""COMPUTED_VALUE"""),"")</f>
        <v/>
      </c>
      <c r="L611" s="18" t="str">
        <f ca="1">IFERROR(__xludf.DUMMYFUNCTION("""COMPUTED_VALUE"""),"")</f>
        <v/>
      </c>
      <c r="M611" s="18" t="str">
        <f ca="1">IFERROR(__xludf.DUMMYFUNCTION("""COMPUTED_VALUE"""),"")</f>
        <v/>
      </c>
      <c r="N611" s="18" t="str">
        <f ca="1">IFERROR(__xludf.DUMMYFUNCTION("""COMPUTED_VALUE"""),"")</f>
        <v/>
      </c>
      <c r="O611" s="18" t="str">
        <f ca="1">IFERROR(__xludf.DUMMYFUNCTION("""COMPUTED_VALUE"""),"")</f>
        <v/>
      </c>
      <c r="P611" s="18" t="str">
        <f ca="1">IFERROR(__xludf.DUMMYFUNCTION("""COMPUTED_VALUE"""),"")</f>
        <v/>
      </c>
      <c r="Q611" s="18" t="str">
        <f ca="1">IFERROR(__xludf.DUMMYFUNCTION("""COMPUTED_VALUE"""),"")</f>
        <v/>
      </c>
      <c r="R611" s="18" t="str">
        <f ca="1">IFERROR(__xludf.DUMMYFUNCTION("""COMPUTED_VALUE"""),"")</f>
        <v/>
      </c>
      <c r="S611" s="18" t="str">
        <f ca="1">IFERROR(__xludf.DUMMYFUNCTION("""COMPUTED_VALUE"""),"")</f>
        <v/>
      </c>
      <c r="T611" s="18" t="str">
        <f ca="1">IFERROR(__xludf.DUMMYFUNCTION("""COMPUTED_VALUE"""),"")</f>
        <v/>
      </c>
      <c r="U611" s="18" t="str">
        <f ca="1">IFERROR(__xludf.DUMMYFUNCTION("""COMPUTED_VALUE"""),"")</f>
        <v/>
      </c>
      <c r="V611" s="18" t="str">
        <f ca="1">IFERROR(__xludf.DUMMYFUNCTION("""COMPUTED_VALUE"""),"")</f>
        <v/>
      </c>
      <c r="W611" s="18" t="str">
        <f ca="1">IFERROR(__xludf.DUMMYFUNCTION("""COMPUTED_VALUE"""),"")</f>
        <v/>
      </c>
      <c r="X611" s="18" t="str">
        <f ca="1">IFERROR(__xludf.DUMMYFUNCTION("""COMPUTED_VALUE"""),"")</f>
        <v/>
      </c>
      <c r="Y611" s="18" t="e">
        <f ca="1"/>
        <v>#NAME?</v>
      </c>
      <c r="Z611" s="18" t="str">
        <f ca="1">IFERROR(__xludf.DUMMYFUNCTION("""COMPUTED_VALUE"""),"")</f>
        <v/>
      </c>
      <c r="AA611" s="18" t="str">
        <f ca="1">IFERROR(__xludf.DUMMYFUNCTION("""COMPUTED_VALUE"""),"")</f>
        <v/>
      </c>
      <c r="AC611" s="59"/>
    </row>
    <row r="612" spans="1:29" x14ac:dyDescent="0.25">
      <c r="A612" s="18">
        <v>0</v>
      </c>
      <c r="B612" s="52" t="str">
        <f ca="1"/>
        <v/>
      </c>
      <c r="C612" s="52" t="str">
        <f ca="1">IFERROR(__xludf.DUMMYFUNCTION("""COMPUTED_VALUE"""),"")</f>
        <v/>
      </c>
      <c r="D612" s="18" t="str">
        <f ca="1">IFERROR(__xludf.DUMMYFUNCTION("""COMPUTED_VALUE"""),"")</f>
        <v/>
      </c>
      <c r="E612" s="18" t="str">
        <f ca="1">IFERROR(__xludf.DUMMYFUNCTION("""COMPUTED_VALUE"""),"")</f>
        <v/>
      </c>
      <c r="F612" s="18" t="str">
        <f ca="1">IFERROR(__xludf.DUMMYFUNCTION("""COMPUTED_VALUE"""),"")</f>
        <v/>
      </c>
      <c r="G612" s="18" t="str">
        <f ca="1">IFERROR(__xludf.DUMMYFUNCTION("""COMPUTED_VALUE"""),"")</f>
        <v/>
      </c>
      <c r="H612" s="18" t="str">
        <f ca="1">IFERROR(__xludf.DUMMYFUNCTION("""COMPUTED_VALUE"""),"")</f>
        <v/>
      </c>
      <c r="I612" s="18" t="str">
        <f ca="1">IFERROR(__xludf.DUMMYFUNCTION("""COMPUTED_VALUE"""),"")</f>
        <v/>
      </c>
      <c r="J612" s="18" t="str">
        <f ca="1">IFERROR(__xludf.DUMMYFUNCTION("""COMPUTED_VALUE"""),"")</f>
        <v/>
      </c>
      <c r="K612" s="18" t="str">
        <f ca="1">IFERROR(__xludf.DUMMYFUNCTION("""COMPUTED_VALUE"""),"")</f>
        <v/>
      </c>
      <c r="L612" s="18" t="str">
        <f ca="1">IFERROR(__xludf.DUMMYFUNCTION("""COMPUTED_VALUE"""),"")</f>
        <v/>
      </c>
      <c r="M612" s="18" t="str">
        <f ca="1">IFERROR(__xludf.DUMMYFUNCTION("""COMPUTED_VALUE"""),"")</f>
        <v/>
      </c>
      <c r="N612" s="18" t="str">
        <f ca="1">IFERROR(__xludf.DUMMYFUNCTION("""COMPUTED_VALUE"""),"")</f>
        <v/>
      </c>
      <c r="O612" s="18" t="str">
        <f ca="1">IFERROR(__xludf.DUMMYFUNCTION("""COMPUTED_VALUE"""),"")</f>
        <v/>
      </c>
      <c r="P612" s="18" t="str">
        <f ca="1">IFERROR(__xludf.DUMMYFUNCTION("""COMPUTED_VALUE"""),"")</f>
        <v/>
      </c>
      <c r="Q612" s="18" t="str">
        <f ca="1">IFERROR(__xludf.DUMMYFUNCTION("""COMPUTED_VALUE"""),"")</f>
        <v/>
      </c>
      <c r="R612" s="18" t="str">
        <f ca="1">IFERROR(__xludf.DUMMYFUNCTION("""COMPUTED_VALUE"""),"")</f>
        <v/>
      </c>
      <c r="S612" s="18" t="str">
        <f ca="1">IFERROR(__xludf.DUMMYFUNCTION("""COMPUTED_VALUE"""),"")</f>
        <v/>
      </c>
      <c r="T612" s="18" t="str">
        <f ca="1">IFERROR(__xludf.DUMMYFUNCTION("""COMPUTED_VALUE"""),"")</f>
        <v/>
      </c>
      <c r="U612" s="18" t="str">
        <f ca="1">IFERROR(__xludf.DUMMYFUNCTION("""COMPUTED_VALUE"""),"")</f>
        <v/>
      </c>
      <c r="V612" s="18" t="str">
        <f ca="1">IFERROR(__xludf.DUMMYFUNCTION("""COMPUTED_VALUE"""),"")</f>
        <v/>
      </c>
      <c r="W612" s="18" t="str">
        <f ca="1">IFERROR(__xludf.DUMMYFUNCTION("""COMPUTED_VALUE"""),"")</f>
        <v/>
      </c>
      <c r="X612" s="18" t="str">
        <f ca="1">IFERROR(__xludf.DUMMYFUNCTION("""COMPUTED_VALUE"""),"")</f>
        <v/>
      </c>
      <c r="Y612" s="18" t="e">
        <f ca="1"/>
        <v>#NAME?</v>
      </c>
      <c r="Z612" s="18" t="str">
        <f ca="1">IFERROR(__xludf.DUMMYFUNCTION("""COMPUTED_VALUE"""),"")</f>
        <v/>
      </c>
      <c r="AA612" s="18" t="str">
        <f ca="1">IFERROR(__xludf.DUMMYFUNCTION("""COMPUTED_VALUE"""),"")</f>
        <v/>
      </c>
      <c r="AC612" s="59"/>
    </row>
    <row r="613" spans="1:29" x14ac:dyDescent="0.25">
      <c r="A613" s="18">
        <v>0</v>
      </c>
      <c r="B613" s="52" t="str">
        <f ca="1"/>
        <v/>
      </c>
      <c r="C613" s="52" t="str">
        <f ca="1">IFERROR(__xludf.DUMMYFUNCTION("""COMPUTED_VALUE"""),"")</f>
        <v/>
      </c>
      <c r="D613" s="18" t="str">
        <f ca="1">IFERROR(__xludf.DUMMYFUNCTION("""COMPUTED_VALUE"""),"")</f>
        <v/>
      </c>
      <c r="E613" s="18" t="str">
        <f ca="1">IFERROR(__xludf.DUMMYFUNCTION("""COMPUTED_VALUE"""),"")</f>
        <v/>
      </c>
      <c r="F613" s="18" t="str">
        <f ca="1">IFERROR(__xludf.DUMMYFUNCTION("""COMPUTED_VALUE"""),"")</f>
        <v/>
      </c>
      <c r="G613" s="18" t="str">
        <f ca="1">IFERROR(__xludf.DUMMYFUNCTION("""COMPUTED_VALUE"""),"")</f>
        <v/>
      </c>
      <c r="H613" s="18" t="str">
        <f ca="1">IFERROR(__xludf.DUMMYFUNCTION("""COMPUTED_VALUE"""),"")</f>
        <v/>
      </c>
      <c r="I613" s="18" t="str">
        <f ca="1">IFERROR(__xludf.DUMMYFUNCTION("""COMPUTED_VALUE"""),"")</f>
        <v/>
      </c>
      <c r="J613" s="18" t="str">
        <f ca="1">IFERROR(__xludf.DUMMYFUNCTION("""COMPUTED_VALUE"""),"")</f>
        <v/>
      </c>
      <c r="K613" s="18" t="str">
        <f ca="1">IFERROR(__xludf.DUMMYFUNCTION("""COMPUTED_VALUE"""),"")</f>
        <v/>
      </c>
      <c r="L613" s="18" t="str">
        <f ca="1">IFERROR(__xludf.DUMMYFUNCTION("""COMPUTED_VALUE"""),"")</f>
        <v/>
      </c>
      <c r="M613" s="18" t="str">
        <f ca="1">IFERROR(__xludf.DUMMYFUNCTION("""COMPUTED_VALUE"""),"")</f>
        <v/>
      </c>
      <c r="N613" s="18" t="str">
        <f ca="1">IFERROR(__xludf.DUMMYFUNCTION("""COMPUTED_VALUE"""),"")</f>
        <v/>
      </c>
      <c r="O613" s="18" t="str">
        <f ca="1">IFERROR(__xludf.DUMMYFUNCTION("""COMPUTED_VALUE"""),"")</f>
        <v/>
      </c>
      <c r="P613" s="18" t="str">
        <f ca="1">IFERROR(__xludf.DUMMYFUNCTION("""COMPUTED_VALUE"""),"")</f>
        <v/>
      </c>
      <c r="Q613" s="18" t="str">
        <f ca="1">IFERROR(__xludf.DUMMYFUNCTION("""COMPUTED_VALUE"""),"")</f>
        <v/>
      </c>
      <c r="R613" s="18" t="str">
        <f ca="1">IFERROR(__xludf.DUMMYFUNCTION("""COMPUTED_VALUE"""),"")</f>
        <v/>
      </c>
      <c r="S613" s="18" t="str">
        <f ca="1">IFERROR(__xludf.DUMMYFUNCTION("""COMPUTED_VALUE"""),"")</f>
        <v/>
      </c>
      <c r="T613" s="18" t="str">
        <f ca="1">IFERROR(__xludf.DUMMYFUNCTION("""COMPUTED_VALUE"""),"")</f>
        <v/>
      </c>
      <c r="U613" s="18" t="str">
        <f ca="1">IFERROR(__xludf.DUMMYFUNCTION("""COMPUTED_VALUE"""),"")</f>
        <v/>
      </c>
      <c r="V613" s="18" t="str">
        <f ca="1">IFERROR(__xludf.DUMMYFUNCTION("""COMPUTED_VALUE"""),"")</f>
        <v/>
      </c>
      <c r="W613" s="18" t="str">
        <f ca="1">IFERROR(__xludf.DUMMYFUNCTION("""COMPUTED_VALUE"""),"")</f>
        <v/>
      </c>
      <c r="X613" s="18" t="str">
        <f ca="1">IFERROR(__xludf.DUMMYFUNCTION("""COMPUTED_VALUE"""),"")</f>
        <v/>
      </c>
      <c r="Y613" s="18" t="e">
        <f ca="1"/>
        <v>#NAME?</v>
      </c>
      <c r="Z613" s="18" t="str">
        <f ca="1">IFERROR(__xludf.DUMMYFUNCTION("""COMPUTED_VALUE"""),"")</f>
        <v/>
      </c>
      <c r="AA613" s="18" t="str">
        <f ca="1">IFERROR(__xludf.DUMMYFUNCTION("""COMPUTED_VALUE"""),"")</f>
        <v/>
      </c>
      <c r="AC613" s="59"/>
    </row>
    <row r="614" spans="1:29" x14ac:dyDescent="0.25">
      <c r="A614" s="18">
        <v>0</v>
      </c>
      <c r="B614" s="52" t="str">
        <f ca="1"/>
        <v/>
      </c>
      <c r="C614" s="52" t="str">
        <f ca="1">IFERROR(__xludf.DUMMYFUNCTION("""COMPUTED_VALUE"""),"")</f>
        <v/>
      </c>
      <c r="D614" s="18" t="str">
        <f ca="1">IFERROR(__xludf.DUMMYFUNCTION("""COMPUTED_VALUE"""),"")</f>
        <v/>
      </c>
      <c r="E614" s="18" t="str">
        <f ca="1">IFERROR(__xludf.DUMMYFUNCTION("""COMPUTED_VALUE"""),"")</f>
        <v/>
      </c>
      <c r="F614" s="18" t="str">
        <f ca="1">IFERROR(__xludf.DUMMYFUNCTION("""COMPUTED_VALUE"""),"")</f>
        <v/>
      </c>
      <c r="G614" s="18" t="str">
        <f ca="1">IFERROR(__xludf.DUMMYFUNCTION("""COMPUTED_VALUE"""),"")</f>
        <v/>
      </c>
      <c r="H614" s="18" t="str">
        <f ca="1">IFERROR(__xludf.DUMMYFUNCTION("""COMPUTED_VALUE"""),"")</f>
        <v/>
      </c>
      <c r="I614" s="18" t="str">
        <f ca="1">IFERROR(__xludf.DUMMYFUNCTION("""COMPUTED_VALUE"""),"")</f>
        <v/>
      </c>
      <c r="J614" s="18" t="str">
        <f ca="1">IFERROR(__xludf.DUMMYFUNCTION("""COMPUTED_VALUE"""),"")</f>
        <v/>
      </c>
      <c r="K614" s="18" t="str">
        <f ca="1">IFERROR(__xludf.DUMMYFUNCTION("""COMPUTED_VALUE"""),"")</f>
        <v/>
      </c>
      <c r="L614" s="18" t="str">
        <f ca="1">IFERROR(__xludf.DUMMYFUNCTION("""COMPUTED_VALUE"""),"")</f>
        <v/>
      </c>
      <c r="M614" s="18" t="str">
        <f ca="1">IFERROR(__xludf.DUMMYFUNCTION("""COMPUTED_VALUE"""),"")</f>
        <v/>
      </c>
      <c r="N614" s="18" t="str">
        <f ca="1">IFERROR(__xludf.DUMMYFUNCTION("""COMPUTED_VALUE"""),"")</f>
        <v/>
      </c>
      <c r="O614" s="18" t="str">
        <f ca="1">IFERROR(__xludf.DUMMYFUNCTION("""COMPUTED_VALUE"""),"")</f>
        <v/>
      </c>
      <c r="P614" s="18" t="str">
        <f ca="1">IFERROR(__xludf.DUMMYFUNCTION("""COMPUTED_VALUE"""),"")</f>
        <v/>
      </c>
      <c r="Q614" s="18" t="str">
        <f ca="1">IFERROR(__xludf.DUMMYFUNCTION("""COMPUTED_VALUE"""),"")</f>
        <v/>
      </c>
      <c r="R614" s="18" t="str">
        <f ca="1">IFERROR(__xludf.DUMMYFUNCTION("""COMPUTED_VALUE"""),"")</f>
        <v/>
      </c>
      <c r="S614" s="18" t="str">
        <f ca="1">IFERROR(__xludf.DUMMYFUNCTION("""COMPUTED_VALUE"""),"")</f>
        <v/>
      </c>
      <c r="T614" s="18" t="str">
        <f ca="1">IFERROR(__xludf.DUMMYFUNCTION("""COMPUTED_VALUE"""),"")</f>
        <v/>
      </c>
      <c r="U614" s="18" t="str">
        <f ca="1">IFERROR(__xludf.DUMMYFUNCTION("""COMPUTED_VALUE"""),"")</f>
        <v/>
      </c>
      <c r="V614" s="18" t="str">
        <f ca="1">IFERROR(__xludf.DUMMYFUNCTION("""COMPUTED_VALUE"""),"")</f>
        <v/>
      </c>
      <c r="W614" s="18" t="str">
        <f ca="1">IFERROR(__xludf.DUMMYFUNCTION("""COMPUTED_VALUE"""),"")</f>
        <v/>
      </c>
      <c r="X614" s="18" t="str">
        <f ca="1">IFERROR(__xludf.DUMMYFUNCTION("""COMPUTED_VALUE"""),"")</f>
        <v/>
      </c>
      <c r="Y614" s="18" t="e">
        <f ca="1"/>
        <v>#NAME?</v>
      </c>
      <c r="Z614" s="18" t="str">
        <f ca="1">IFERROR(__xludf.DUMMYFUNCTION("""COMPUTED_VALUE"""),"")</f>
        <v/>
      </c>
      <c r="AA614" s="18" t="str">
        <f ca="1">IFERROR(__xludf.DUMMYFUNCTION("""COMPUTED_VALUE"""),"")</f>
        <v/>
      </c>
      <c r="AC614" s="59"/>
    </row>
    <row r="615" spans="1:29" x14ac:dyDescent="0.25">
      <c r="A615" s="18">
        <v>0</v>
      </c>
      <c r="B615" s="52" t="str">
        <f ca="1"/>
        <v/>
      </c>
      <c r="C615" s="52" t="str">
        <f ca="1">IFERROR(__xludf.DUMMYFUNCTION("""COMPUTED_VALUE"""),"")</f>
        <v/>
      </c>
      <c r="D615" s="18" t="str">
        <f ca="1">IFERROR(__xludf.DUMMYFUNCTION("""COMPUTED_VALUE"""),"")</f>
        <v/>
      </c>
      <c r="E615" s="18" t="str">
        <f ca="1">IFERROR(__xludf.DUMMYFUNCTION("""COMPUTED_VALUE"""),"")</f>
        <v/>
      </c>
      <c r="F615" s="18" t="str">
        <f ca="1">IFERROR(__xludf.DUMMYFUNCTION("""COMPUTED_VALUE"""),"")</f>
        <v/>
      </c>
      <c r="G615" s="18" t="str">
        <f ca="1">IFERROR(__xludf.DUMMYFUNCTION("""COMPUTED_VALUE"""),"")</f>
        <v/>
      </c>
      <c r="H615" s="18" t="str">
        <f ca="1">IFERROR(__xludf.DUMMYFUNCTION("""COMPUTED_VALUE"""),"")</f>
        <v/>
      </c>
      <c r="I615" s="18" t="str">
        <f ca="1">IFERROR(__xludf.DUMMYFUNCTION("""COMPUTED_VALUE"""),"")</f>
        <v/>
      </c>
      <c r="J615" s="18" t="str">
        <f ca="1">IFERROR(__xludf.DUMMYFUNCTION("""COMPUTED_VALUE"""),"")</f>
        <v/>
      </c>
      <c r="K615" s="18" t="str">
        <f ca="1">IFERROR(__xludf.DUMMYFUNCTION("""COMPUTED_VALUE"""),"")</f>
        <v/>
      </c>
      <c r="L615" s="18" t="str">
        <f ca="1">IFERROR(__xludf.DUMMYFUNCTION("""COMPUTED_VALUE"""),"")</f>
        <v/>
      </c>
      <c r="M615" s="18" t="str">
        <f ca="1">IFERROR(__xludf.DUMMYFUNCTION("""COMPUTED_VALUE"""),"")</f>
        <v/>
      </c>
      <c r="N615" s="18" t="str">
        <f ca="1">IFERROR(__xludf.DUMMYFUNCTION("""COMPUTED_VALUE"""),"")</f>
        <v/>
      </c>
      <c r="O615" s="18" t="str">
        <f ca="1">IFERROR(__xludf.DUMMYFUNCTION("""COMPUTED_VALUE"""),"")</f>
        <v/>
      </c>
      <c r="P615" s="18" t="str">
        <f ca="1">IFERROR(__xludf.DUMMYFUNCTION("""COMPUTED_VALUE"""),"")</f>
        <v/>
      </c>
      <c r="Q615" s="18" t="str">
        <f ca="1">IFERROR(__xludf.DUMMYFUNCTION("""COMPUTED_VALUE"""),"")</f>
        <v/>
      </c>
      <c r="R615" s="18" t="str">
        <f ca="1">IFERROR(__xludf.DUMMYFUNCTION("""COMPUTED_VALUE"""),"")</f>
        <v/>
      </c>
      <c r="S615" s="18" t="str">
        <f ca="1">IFERROR(__xludf.DUMMYFUNCTION("""COMPUTED_VALUE"""),"")</f>
        <v/>
      </c>
      <c r="T615" s="18" t="str">
        <f ca="1">IFERROR(__xludf.DUMMYFUNCTION("""COMPUTED_VALUE"""),"")</f>
        <v/>
      </c>
      <c r="U615" s="18" t="str">
        <f ca="1">IFERROR(__xludf.DUMMYFUNCTION("""COMPUTED_VALUE"""),"")</f>
        <v/>
      </c>
      <c r="V615" s="18" t="str">
        <f ca="1">IFERROR(__xludf.DUMMYFUNCTION("""COMPUTED_VALUE"""),"")</f>
        <v/>
      </c>
      <c r="W615" s="18" t="str">
        <f ca="1">IFERROR(__xludf.DUMMYFUNCTION("""COMPUTED_VALUE"""),"")</f>
        <v/>
      </c>
      <c r="X615" s="18" t="str">
        <f ca="1">IFERROR(__xludf.DUMMYFUNCTION("""COMPUTED_VALUE"""),"")</f>
        <v/>
      </c>
      <c r="Y615" s="18" t="e">
        <f ca="1"/>
        <v>#NAME?</v>
      </c>
      <c r="Z615" s="18" t="str">
        <f ca="1">IFERROR(__xludf.DUMMYFUNCTION("""COMPUTED_VALUE"""),"")</f>
        <v/>
      </c>
      <c r="AA615" s="18" t="str">
        <f ca="1">IFERROR(__xludf.DUMMYFUNCTION("""COMPUTED_VALUE"""),"")</f>
        <v/>
      </c>
      <c r="AC615" s="59"/>
    </row>
    <row r="616" spans="1:29" x14ac:dyDescent="0.25">
      <c r="A616" s="18">
        <v>0</v>
      </c>
      <c r="B616" s="52" t="str">
        <f ca="1"/>
        <v/>
      </c>
      <c r="C616" s="52" t="str">
        <f ca="1">IFERROR(__xludf.DUMMYFUNCTION("""COMPUTED_VALUE"""),"")</f>
        <v/>
      </c>
      <c r="D616" s="18" t="str">
        <f ca="1">IFERROR(__xludf.DUMMYFUNCTION("""COMPUTED_VALUE"""),"")</f>
        <v/>
      </c>
      <c r="E616" s="18" t="str">
        <f ca="1">IFERROR(__xludf.DUMMYFUNCTION("""COMPUTED_VALUE"""),"")</f>
        <v/>
      </c>
      <c r="F616" s="18" t="str">
        <f ca="1">IFERROR(__xludf.DUMMYFUNCTION("""COMPUTED_VALUE"""),"")</f>
        <v/>
      </c>
      <c r="G616" s="18" t="str">
        <f ca="1">IFERROR(__xludf.DUMMYFUNCTION("""COMPUTED_VALUE"""),"")</f>
        <v/>
      </c>
      <c r="H616" s="18" t="str">
        <f ca="1">IFERROR(__xludf.DUMMYFUNCTION("""COMPUTED_VALUE"""),"")</f>
        <v/>
      </c>
      <c r="I616" s="18" t="str">
        <f ca="1">IFERROR(__xludf.DUMMYFUNCTION("""COMPUTED_VALUE"""),"")</f>
        <v/>
      </c>
      <c r="J616" s="18" t="str">
        <f ca="1">IFERROR(__xludf.DUMMYFUNCTION("""COMPUTED_VALUE"""),"")</f>
        <v/>
      </c>
      <c r="K616" s="18" t="str">
        <f ca="1">IFERROR(__xludf.DUMMYFUNCTION("""COMPUTED_VALUE"""),"")</f>
        <v/>
      </c>
      <c r="L616" s="18" t="str">
        <f ca="1">IFERROR(__xludf.DUMMYFUNCTION("""COMPUTED_VALUE"""),"")</f>
        <v/>
      </c>
      <c r="M616" s="18" t="str">
        <f ca="1">IFERROR(__xludf.DUMMYFUNCTION("""COMPUTED_VALUE"""),"")</f>
        <v/>
      </c>
      <c r="N616" s="18" t="str">
        <f ca="1">IFERROR(__xludf.DUMMYFUNCTION("""COMPUTED_VALUE"""),"")</f>
        <v/>
      </c>
      <c r="O616" s="18" t="str">
        <f ca="1">IFERROR(__xludf.DUMMYFUNCTION("""COMPUTED_VALUE"""),"")</f>
        <v/>
      </c>
      <c r="P616" s="18" t="str">
        <f ca="1">IFERROR(__xludf.DUMMYFUNCTION("""COMPUTED_VALUE"""),"")</f>
        <v/>
      </c>
      <c r="Q616" s="18" t="str">
        <f ca="1">IFERROR(__xludf.DUMMYFUNCTION("""COMPUTED_VALUE"""),"")</f>
        <v/>
      </c>
      <c r="R616" s="18" t="str">
        <f ca="1">IFERROR(__xludf.DUMMYFUNCTION("""COMPUTED_VALUE"""),"")</f>
        <v/>
      </c>
      <c r="S616" s="18" t="str">
        <f ca="1">IFERROR(__xludf.DUMMYFUNCTION("""COMPUTED_VALUE"""),"")</f>
        <v/>
      </c>
      <c r="T616" s="18" t="str">
        <f ca="1">IFERROR(__xludf.DUMMYFUNCTION("""COMPUTED_VALUE"""),"")</f>
        <v/>
      </c>
      <c r="U616" s="18" t="str">
        <f ca="1">IFERROR(__xludf.DUMMYFUNCTION("""COMPUTED_VALUE"""),"")</f>
        <v/>
      </c>
      <c r="V616" s="18" t="str">
        <f ca="1">IFERROR(__xludf.DUMMYFUNCTION("""COMPUTED_VALUE"""),"")</f>
        <v/>
      </c>
      <c r="W616" s="18" t="str">
        <f ca="1">IFERROR(__xludf.DUMMYFUNCTION("""COMPUTED_VALUE"""),"")</f>
        <v/>
      </c>
      <c r="X616" s="18" t="str">
        <f ca="1">IFERROR(__xludf.DUMMYFUNCTION("""COMPUTED_VALUE"""),"")</f>
        <v/>
      </c>
      <c r="Y616" s="18" t="e">
        <f ca="1"/>
        <v>#NAME?</v>
      </c>
      <c r="Z616" s="18" t="str">
        <f ca="1">IFERROR(__xludf.DUMMYFUNCTION("""COMPUTED_VALUE"""),"")</f>
        <v/>
      </c>
      <c r="AA616" s="18" t="str">
        <f ca="1">IFERROR(__xludf.DUMMYFUNCTION("""COMPUTED_VALUE"""),"")</f>
        <v/>
      </c>
      <c r="AC616" s="59"/>
    </row>
    <row r="617" spans="1:29" x14ac:dyDescent="0.25">
      <c r="A617" s="18">
        <v>0</v>
      </c>
      <c r="B617" s="52" t="str">
        <f ca="1"/>
        <v/>
      </c>
      <c r="C617" s="52" t="str">
        <f ca="1">IFERROR(__xludf.DUMMYFUNCTION("""COMPUTED_VALUE"""),"")</f>
        <v/>
      </c>
      <c r="D617" s="18" t="str">
        <f ca="1">IFERROR(__xludf.DUMMYFUNCTION("""COMPUTED_VALUE"""),"")</f>
        <v/>
      </c>
      <c r="E617" s="18" t="str">
        <f ca="1">IFERROR(__xludf.DUMMYFUNCTION("""COMPUTED_VALUE"""),"")</f>
        <v/>
      </c>
      <c r="F617" s="18" t="str">
        <f ca="1">IFERROR(__xludf.DUMMYFUNCTION("""COMPUTED_VALUE"""),"")</f>
        <v/>
      </c>
      <c r="G617" s="18" t="str">
        <f ca="1">IFERROR(__xludf.DUMMYFUNCTION("""COMPUTED_VALUE"""),"")</f>
        <v/>
      </c>
      <c r="H617" s="18" t="str">
        <f ca="1">IFERROR(__xludf.DUMMYFUNCTION("""COMPUTED_VALUE"""),"")</f>
        <v/>
      </c>
      <c r="I617" s="18" t="str">
        <f ca="1">IFERROR(__xludf.DUMMYFUNCTION("""COMPUTED_VALUE"""),"")</f>
        <v/>
      </c>
      <c r="J617" s="18" t="str">
        <f ca="1">IFERROR(__xludf.DUMMYFUNCTION("""COMPUTED_VALUE"""),"")</f>
        <v/>
      </c>
      <c r="K617" s="18" t="str">
        <f ca="1">IFERROR(__xludf.DUMMYFUNCTION("""COMPUTED_VALUE"""),"")</f>
        <v/>
      </c>
      <c r="L617" s="18" t="str">
        <f ca="1">IFERROR(__xludf.DUMMYFUNCTION("""COMPUTED_VALUE"""),"")</f>
        <v/>
      </c>
      <c r="M617" s="18" t="str">
        <f ca="1">IFERROR(__xludf.DUMMYFUNCTION("""COMPUTED_VALUE"""),"")</f>
        <v/>
      </c>
      <c r="N617" s="18" t="str">
        <f ca="1">IFERROR(__xludf.DUMMYFUNCTION("""COMPUTED_VALUE"""),"")</f>
        <v/>
      </c>
      <c r="O617" s="18" t="str">
        <f ca="1">IFERROR(__xludf.DUMMYFUNCTION("""COMPUTED_VALUE"""),"")</f>
        <v/>
      </c>
      <c r="P617" s="18" t="str">
        <f ca="1">IFERROR(__xludf.DUMMYFUNCTION("""COMPUTED_VALUE"""),"")</f>
        <v/>
      </c>
      <c r="Q617" s="18" t="str">
        <f ca="1">IFERROR(__xludf.DUMMYFUNCTION("""COMPUTED_VALUE"""),"")</f>
        <v/>
      </c>
      <c r="R617" s="18" t="str">
        <f ca="1">IFERROR(__xludf.DUMMYFUNCTION("""COMPUTED_VALUE"""),"")</f>
        <v/>
      </c>
      <c r="S617" s="18" t="str">
        <f ca="1">IFERROR(__xludf.DUMMYFUNCTION("""COMPUTED_VALUE"""),"")</f>
        <v/>
      </c>
      <c r="T617" s="18" t="str">
        <f ca="1">IFERROR(__xludf.DUMMYFUNCTION("""COMPUTED_VALUE"""),"")</f>
        <v/>
      </c>
      <c r="U617" s="18" t="str">
        <f ca="1">IFERROR(__xludf.DUMMYFUNCTION("""COMPUTED_VALUE"""),"")</f>
        <v/>
      </c>
      <c r="V617" s="18" t="str">
        <f ca="1">IFERROR(__xludf.DUMMYFUNCTION("""COMPUTED_VALUE"""),"")</f>
        <v/>
      </c>
      <c r="W617" s="18" t="str">
        <f ca="1">IFERROR(__xludf.DUMMYFUNCTION("""COMPUTED_VALUE"""),"")</f>
        <v/>
      </c>
      <c r="X617" s="18" t="str">
        <f ca="1">IFERROR(__xludf.DUMMYFUNCTION("""COMPUTED_VALUE"""),"")</f>
        <v/>
      </c>
      <c r="Y617" s="18" t="e">
        <f ca="1"/>
        <v>#NAME?</v>
      </c>
      <c r="Z617" s="18" t="str">
        <f ca="1">IFERROR(__xludf.DUMMYFUNCTION("""COMPUTED_VALUE"""),"")</f>
        <v/>
      </c>
      <c r="AA617" s="18" t="str">
        <f ca="1">IFERROR(__xludf.DUMMYFUNCTION("""COMPUTED_VALUE"""),"")</f>
        <v/>
      </c>
      <c r="AC617" s="59"/>
    </row>
    <row r="618" spans="1:29" x14ac:dyDescent="0.25">
      <c r="A618" s="18">
        <v>0</v>
      </c>
      <c r="B618" s="52" t="str">
        <f ca="1"/>
        <v/>
      </c>
      <c r="C618" s="52" t="str">
        <f ca="1">IFERROR(__xludf.DUMMYFUNCTION("""COMPUTED_VALUE"""),"")</f>
        <v/>
      </c>
      <c r="D618" s="18" t="str">
        <f ca="1">IFERROR(__xludf.DUMMYFUNCTION("""COMPUTED_VALUE"""),"")</f>
        <v/>
      </c>
      <c r="E618" s="18" t="str">
        <f ca="1">IFERROR(__xludf.DUMMYFUNCTION("""COMPUTED_VALUE"""),"")</f>
        <v/>
      </c>
      <c r="F618" s="18" t="str">
        <f ca="1">IFERROR(__xludf.DUMMYFUNCTION("""COMPUTED_VALUE"""),"")</f>
        <v/>
      </c>
      <c r="G618" s="18" t="str">
        <f ca="1">IFERROR(__xludf.DUMMYFUNCTION("""COMPUTED_VALUE"""),"")</f>
        <v/>
      </c>
      <c r="H618" s="18" t="str">
        <f ca="1">IFERROR(__xludf.DUMMYFUNCTION("""COMPUTED_VALUE"""),"")</f>
        <v/>
      </c>
      <c r="I618" s="18" t="str">
        <f ca="1">IFERROR(__xludf.DUMMYFUNCTION("""COMPUTED_VALUE"""),"")</f>
        <v/>
      </c>
      <c r="J618" s="18" t="str">
        <f ca="1">IFERROR(__xludf.DUMMYFUNCTION("""COMPUTED_VALUE"""),"")</f>
        <v/>
      </c>
      <c r="K618" s="18" t="str">
        <f ca="1">IFERROR(__xludf.DUMMYFUNCTION("""COMPUTED_VALUE"""),"")</f>
        <v/>
      </c>
      <c r="L618" s="18" t="str">
        <f ca="1">IFERROR(__xludf.DUMMYFUNCTION("""COMPUTED_VALUE"""),"")</f>
        <v/>
      </c>
      <c r="M618" s="18" t="str">
        <f ca="1">IFERROR(__xludf.DUMMYFUNCTION("""COMPUTED_VALUE"""),"")</f>
        <v/>
      </c>
      <c r="N618" s="18" t="str">
        <f ca="1">IFERROR(__xludf.DUMMYFUNCTION("""COMPUTED_VALUE"""),"")</f>
        <v/>
      </c>
      <c r="O618" s="18" t="str">
        <f ca="1">IFERROR(__xludf.DUMMYFUNCTION("""COMPUTED_VALUE"""),"")</f>
        <v/>
      </c>
      <c r="P618" s="18" t="str">
        <f ca="1">IFERROR(__xludf.DUMMYFUNCTION("""COMPUTED_VALUE"""),"")</f>
        <v/>
      </c>
      <c r="Q618" s="18" t="str">
        <f ca="1">IFERROR(__xludf.DUMMYFUNCTION("""COMPUTED_VALUE"""),"")</f>
        <v/>
      </c>
      <c r="R618" s="18" t="str">
        <f ca="1">IFERROR(__xludf.DUMMYFUNCTION("""COMPUTED_VALUE"""),"")</f>
        <v/>
      </c>
      <c r="S618" s="18" t="str">
        <f ca="1">IFERROR(__xludf.DUMMYFUNCTION("""COMPUTED_VALUE"""),"")</f>
        <v/>
      </c>
      <c r="T618" s="18" t="str">
        <f ca="1">IFERROR(__xludf.DUMMYFUNCTION("""COMPUTED_VALUE"""),"")</f>
        <v/>
      </c>
      <c r="U618" s="18" t="str">
        <f ca="1">IFERROR(__xludf.DUMMYFUNCTION("""COMPUTED_VALUE"""),"")</f>
        <v/>
      </c>
      <c r="V618" s="18" t="str">
        <f ca="1">IFERROR(__xludf.DUMMYFUNCTION("""COMPUTED_VALUE"""),"")</f>
        <v/>
      </c>
      <c r="W618" s="18" t="str">
        <f ca="1">IFERROR(__xludf.DUMMYFUNCTION("""COMPUTED_VALUE"""),"")</f>
        <v/>
      </c>
      <c r="X618" s="18" t="str">
        <f ca="1">IFERROR(__xludf.DUMMYFUNCTION("""COMPUTED_VALUE"""),"")</f>
        <v/>
      </c>
      <c r="Y618" s="18" t="e">
        <f ca="1"/>
        <v>#NAME?</v>
      </c>
      <c r="Z618" s="18" t="str">
        <f ca="1">IFERROR(__xludf.DUMMYFUNCTION("""COMPUTED_VALUE"""),"")</f>
        <v/>
      </c>
      <c r="AA618" s="18" t="str">
        <f ca="1">IFERROR(__xludf.DUMMYFUNCTION("""COMPUTED_VALUE"""),"")</f>
        <v/>
      </c>
      <c r="AC618" s="59"/>
    </row>
    <row r="619" spans="1:29" x14ac:dyDescent="0.25">
      <c r="A619" s="18">
        <v>0</v>
      </c>
      <c r="B619" s="52" t="str">
        <f ca="1"/>
        <v/>
      </c>
      <c r="C619" s="52" t="str">
        <f ca="1">IFERROR(__xludf.DUMMYFUNCTION("""COMPUTED_VALUE"""),"")</f>
        <v/>
      </c>
      <c r="D619" s="18" t="str">
        <f ca="1">IFERROR(__xludf.DUMMYFUNCTION("""COMPUTED_VALUE"""),"")</f>
        <v/>
      </c>
      <c r="E619" s="18" t="str">
        <f ca="1">IFERROR(__xludf.DUMMYFUNCTION("""COMPUTED_VALUE"""),"")</f>
        <v/>
      </c>
      <c r="F619" s="18" t="str">
        <f ca="1">IFERROR(__xludf.DUMMYFUNCTION("""COMPUTED_VALUE"""),"")</f>
        <v/>
      </c>
      <c r="G619" s="18" t="str">
        <f ca="1">IFERROR(__xludf.DUMMYFUNCTION("""COMPUTED_VALUE"""),"")</f>
        <v/>
      </c>
      <c r="H619" s="18" t="str">
        <f ca="1">IFERROR(__xludf.DUMMYFUNCTION("""COMPUTED_VALUE"""),"")</f>
        <v/>
      </c>
      <c r="I619" s="18" t="str">
        <f ca="1">IFERROR(__xludf.DUMMYFUNCTION("""COMPUTED_VALUE"""),"")</f>
        <v/>
      </c>
      <c r="J619" s="18" t="str">
        <f ca="1">IFERROR(__xludf.DUMMYFUNCTION("""COMPUTED_VALUE"""),"")</f>
        <v/>
      </c>
      <c r="K619" s="18" t="str">
        <f ca="1">IFERROR(__xludf.DUMMYFUNCTION("""COMPUTED_VALUE"""),"")</f>
        <v/>
      </c>
      <c r="L619" s="18" t="str">
        <f ca="1">IFERROR(__xludf.DUMMYFUNCTION("""COMPUTED_VALUE"""),"")</f>
        <v/>
      </c>
      <c r="M619" s="18" t="str">
        <f ca="1">IFERROR(__xludf.DUMMYFUNCTION("""COMPUTED_VALUE"""),"")</f>
        <v/>
      </c>
      <c r="N619" s="18" t="str">
        <f ca="1">IFERROR(__xludf.DUMMYFUNCTION("""COMPUTED_VALUE"""),"")</f>
        <v/>
      </c>
      <c r="O619" s="18" t="str">
        <f ca="1">IFERROR(__xludf.DUMMYFUNCTION("""COMPUTED_VALUE"""),"")</f>
        <v/>
      </c>
      <c r="P619" s="18" t="str">
        <f ca="1">IFERROR(__xludf.DUMMYFUNCTION("""COMPUTED_VALUE"""),"")</f>
        <v/>
      </c>
      <c r="Q619" s="18" t="str">
        <f ca="1">IFERROR(__xludf.DUMMYFUNCTION("""COMPUTED_VALUE"""),"")</f>
        <v/>
      </c>
      <c r="R619" s="18" t="str">
        <f ca="1">IFERROR(__xludf.DUMMYFUNCTION("""COMPUTED_VALUE"""),"")</f>
        <v/>
      </c>
      <c r="S619" s="18" t="str">
        <f ca="1">IFERROR(__xludf.DUMMYFUNCTION("""COMPUTED_VALUE"""),"")</f>
        <v/>
      </c>
      <c r="T619" s="18" t="str">
        <f ca="1">IFERROR(__xludf.DUMMYFUNCTION("""COMPUTED_VALUE"""),"")</f>
        <v/>
      </c>
      <c r="U619" s="18" t="str">
        <f ca="1">IFERROR(__xludf.DUMMYFUNCTION("""COMPUTED_VALUE"""),"")</f>
        <v/>
      </c>
      <c r="V619" s="18" t="str">
        <f ca="1">IFERROR(__xludf.DUMMYFUNCTION("""COMPUTED_VALUE"""),"")</f>
        <v/>
      </c>
      <c r="W619" s="18" t="str">
        <f ca="1">IFERROR(__xludf.DUMMYFUNCTION("""COMPUTED_VALUE"""),"")</f>
        <v/>
      </c>
      <c r="X619" s="18" t="str">
        <f ca="1">IFERROR(__xludf.DUMMYFUNCTION("""COMPUTED_VALUE"""),"")</f>
        <v/>
      </c>
      <c r="Y619" s="18" t="e">
        <f ca="1"/>
        <v>#NAME?</v>
      </c>
      <c r="Z619" s="18" t="str">
        <f ca="1">IFERROR(__xludf.DUMMYFUNCTION("""COMPUTED_VALUE"""),"")</f>
        <v/>
      </c>
      <c r="AA619" s="18" t="str">
        <f ca="1">IFERROR(__xludf.DUMMYFUNCTION("""COMPUTED_VALUE"""),"")</f>
        <v/>
      </c>
      <c r="AC619" s="59"/>
    </row>
    <row r="620" spans="1:29" x14ac:dyDescent="0.25">
      <c r="A620" s="18">
        <v>0</v>
      </c>
      <c r="B620" s="52" t="str">
        <f ca="1"/>
        <v/>
      </c>
      <c r="C620" s="52" t="str">
        <f ca="1">IFERROR(__xludf.DUMMYFUNCTION("""COMPUTED_VALUE"""),"")</f>
        <v/>
      </c>
      <c r="D620" s="18" t="str">
        <f ca="1">IFERROR(__xludf.DUMMYFUNCTION("""COMPUTED_VALUE"""),"")</f>
        <v/>
      </c>
      <c r="E620" s="18" t="str">
        <f ca="1">IFERROR(__xludf.DUMMYFUNCTION("""COMPUTED_VALUE"""),"")</f>
        <v/>
      </c>
      <c r="F620" s="18" t="str">
        <f ca="1">IFERROR(__xludf.DUMMYFUNCTION("""COMPUTED_VALUE"""),"")</f>
        <v/>
      </c>
      <c r="G620" s="18" t="str">
        <f ca="1">IFERROR(__xludf.DUMMYFUNCTION("""COMPUTED_VALUE"""),"")</f>
        <v/>
      </c>
      <c r="H620" s="18" t="str">
        <f ca="1">IFERROR(__xludf.DUMMYFUNCTION("""COMPUTED_VALUE"""),"")</f>
        <v/>
      </c>
      <c r="I620" s="18" t="str">
        <f ca="1">IFERROR(__xludf.DUMMYFUNCTION("""COMPUTED_VALUE"""),"")</f>
        <v/>
      </c>
      <c r="J620" s="18" t="str">
        <f ca="1">IFERROR(__xludf.DUMMYFUNCTION("""COMPUTED_VALUE"""),"")</f>
        <v/>
      </c>
      <c r="K620" s="18" t="str">
        <f ca="1">IFERROR(__xludf.DUMMYFUNCTION("""COMPUTED_VALUE"""),"")</f>
        <v/>
      </c>
      <c r="L620" s="18" t="str">
        <f ca="1">IFERROR(__xludf.DUMMYFUNCTION("""COMPUTED_VALUE"""),"")</f>
        <v/>
      </c>
      <c r="M620" s="18" t="str">
        <f ca="1">IFERROR(__xludf.DUMMYFUNCTION("""COMPUTED_VALUE"""),"")</f>
        <v/>
      </c>
      <c r="N620" s="18" t="str">
        <f ca="1">IFERROR(__xludf.DUMMYFUNCTION("""COMPUTED_VALUE"""),"")</f>
        <v/>
      </c>
      <c r="O620" s="18" t="str">
        <f ca="1">IFERROR(__xludf.DUMMYFUNCTION("""COMPUTED_VALUE"""),"")</f>
        <v/>
      </c>
      <c r="P620" s="18" t="str">
        <f ca="1">IFERROR(__xludf.DUMMYFUNCTION("""COMPUTED_VALUE"""),"")</f>
        <v/>
      </c>
      <c r="Q620" s="18" t="str">
        <f ca="1">IFERROR(__xludf.DUMMYFUNCTION("""COMPUTED_VALUE"""),"")</f>
        <v/>
      </c>
      <c r="R620" s="18" t="str">
        <f ca="1">IFERROR(__xludf.DUMMYFUNCTION("""COMPUTED_VALUE"""),"")</f>
        <v/>
      </c>
      <c r="S620" s="18" t="str">
        <f ca="1">IFERROR(__xludf.DUMMYFUNCTION("""COMPUTED_VALUE"""),"")</f>
        <v/>
      </c>
      <c r="T620" s="18" t="str">
        <f ca="1">IFERROR(__xludf.DUMMYFUNCTION("""COMPUTED_VALUE"""),"")</f>
        <v/>
      </c>
      <c r="U620" s="18" t="str">
        <f ca="1">IFERROR(__xludf.DUMMYFUNCTION("""COMPUTED_VALUE"""),"")</f>
        <v/>
      </c>
      <c r="V620" s="18" t="str">
        <f ca="1">IFERROR(__xludf.DUMMYFUNCTION("""COMPUTED_VALUE"""),"")</f>
        <v/>
      </c>
      <c r="W620" s="18" t="str">
        <f ca="1">IFERROR(__xludf.DUMMYFUNCTION("""COMPUTED_VALUE"""),"")</f>
        <v/>
      </c>
      <c r="X620" s="18" t="str">
        <f ca="1">IFERROR(__xludf.DUMMYFUNCTION("""COMPUTED_VALUE"""),"")</f>
        <v/>
      </c>
      <c r="Y620" s="18" t="e">
        <f ca="1"/>
        <v>#NAME?</v>
      </c>
      <c r="Z620" s="18" t="str">
        <f ca="1">IFERROR(__xludf.DUMMYFUNCTION("""COMPUTED_VALUE"""),"")</f>
        <v/>
      </c>
      <c r="AA620" s="18" t="str">
        <f ca="1">IFERROR(__xludf.DUMMYFUNCTION("""COMPUTED_VALUE"""),"")</f>
        <v/>
      </c>
      <c r="AC620" s="59"/>
    </row>
    <row r="621" spans="1:29" x14ac:dyDescent="0.25">
      <c r="A621" s="18">
        <v>0</v>
      </c>
      <c r="B621" s="52" t="str">
        <f ca="1"/>
        <v/>
      </c>
      <c r="C621" s="52" t="str">
        <f ca="1">IFERROR(__xludf.DUMMYFUNCTION("""COMPUTED_VALUE"""),"")</f>
        <v/>
      </c>
      <c r="D621" s="18" t="str">
        <f ca="1">IFERROR(__xludf.DUMMYFUNCTION("""COMPUTED_VALUE"""),"")</f>
        <v/>
      </c>
      <c r="E621" s="18" t="str">
        <f ca="1">IFERROR(__xludf.DUMMYFUNCTION("""COMPUTED_VALUE"""),"")</f>
        <v/>
      </c>
      <c r="F621" s="18" t="str">
        <f ca="1">IFERROR(__xludf.DUMMYFUNCTION("""COMPUTED_VALUE"""),"")</f>
        <v/>
      </c>
      <c r="G621" s="18" t="str">
        <f ca="1">IFERROR(__xludf.DUMMYFUNCTION("""COMPUTED_VALUE"""),"")</f>
        <v/>
      </c>
      <c r="H621" s="18" t="str">
        <f ca="1">IFERROR(__xludf.DUMMYFUNCTION("""COMPUTED_VALUE"""),"")</f>
        <v/>
      </c>
      <c r="I621" s="18" t="str">
        <f ca="1">IFERROR(__xludf.DUMMYFUNCTION("""COMPUTED_VALUE"""),"")</f>
        <v/>
      </c>
      <c r="J621" s="18" t="str">
        <f ca="1">IFERROR(__xludf.DUMMYFUNCTION("""COMPUTED_VALUE"""),"")</f>
        <v/>
      </c>
      <c r="K621" s="18" t="str">
        <f ca="1">IFERROR(__xludf.DUMMYFUNCTION("""COMPUTED_VALUE"""),"")</f>
        <v/>
      </c>
      <c r="L621" s="18" t="str">
        <f ca="1">IFERROR(__xludf.DUMMYFUNCTION("""COMPUTED_VALUE"""),"")</f>
        <v/>
      </c>
      <c r="M621" s="18" t="str">
        <f ca="1">IFERROR(__xludf.DUMMYFUNCTION("""COMPUTED_VALUE"""),"")</f>
        <v/>
      </c>
      <c r="N621" s="18" t="str">
        <f ca="1">IFERROR(__xludf.DUMMYFUNCTION("""COMPUTED_VALUE"""),"")</f>
        <v/>
      </c>
      <c r="O621" s="18" t="str">
        <f ca="1">IFERROR(__xludf.DUMMYFUNCTION("""COMPUTED_VALUE"""),"")</f>
        <v/>
      </c>
      <c r="P621" s="18" t="str">
        <f ca="1">IFERROR(__xludf.DUMMYFUNCTION("""COMPUTED_VALUE"""),"")</f>
        <v/>
      </c>
      <c r="Q621" s="18" t="str">
        <f ca="1">IFERROR(__xludf.DUMMYFUNCTION("""COMPUTED_VALUE"""),"")</f>
        <v/>
      </c>
      <c r="R621" s="18" t="str">
        <f ca="1">IFERROR(__xludf.DUMMYFUNCTION("""COMPUTED_VALUE"""),"")</f>
        <v/>
      </c>
      <c r="S621" s="18" t="str">
        <f ca="1">IFERROR(__xludf.DUMMYFUNCTION("""COMPUTED_VALUE"""),"")</f>
        <v/>
      </c>
      <c r="T621" s="18" t="str">
        <f ca="1">IFERROR(__xludf.DUMMYFUNCTION("""COMPUTED_VALUE"""),"")</f>
        <v/>
      </c>
      <c r="U621" s="18" t="str">
        <f ca="1">IFERROR(__xludf.DUMMYFUNCTION("""COMPUTED_VALUE"""),"")</f>
        <v/>
      </c>
      <c r="V621" s="18" t="str">
        <f ca="1">IFERROR(__xludf.DUMMYFUNCTION("""COMPUTED_VALUE"""),"")</f>
        <v/>
      </c>
      <c r="W621" s="18" t="str">
        <f ca="1">IFERROR(__xludf.DUMMYFUNCTION("""COMPUTED_VALUE"""),"")</f>
        <v/>
      </c>
      <c r="X621" s="18" t="str">
        <f ca="1">IFERROR(__xludf.DUMMYFUNCTION("""COMPUTED_VALUE"""),"")</f>
        <v/>
      </c>
      <c r="Y621" s="18" t="e">
        <f ca="1"/>
        <v>#NAME?</v>
      </c>
      <c r="Z621" s="18" t="str">
        <f ca="1">IFERROR(__xludf.DUMMYFUNCTION("""COMPUTED_VALUE"""),"")</f>
        <v/>
      </c>
      <c r="AA621" s="18" t="str">
        <f ca="1">IFERROR(__xludf.DUMMYFUNCTION("""COMPUTED_VALUE"""),"")</f>
        <v/>
      </c>
      <c r="AC621" s="59"/>
    </row>
    <row r="622" spans="1:29" x14ac:dyDescent="0.25">
      <c r="A622" s="18">
        <v>0</v>
      </c>
      <c r="B622" s="52" t="str">
        <f ca="1"/>
        <v/>
      </c>
      <c r="C622" s="52" t="str">
        <f ca="1">IFERROR(__xludf.DUMMYFUNCTION("""COMPUTED_VALUE"""),"")</f>
        <v/>
      </c>
      <c r="D622" s="18" t="str">
        <f ca="1">IFERROR(__xludf.DUMMYFUNCTION("""COMPUTED_VALUE"""),"")</f>
        <v/>
      </c>
      <c r="E622" s="18" t="str">
        <f ca="1">IFERROR(__xludf.DUMMYFUNCTION("""COMPUTED_VALUE"""),"")</f>
        <v/>
      </c>
      <c r="F622" s="18" t="str">
        <f ca="1">IFERROR(__xludf.DUMMYFUNCTION("""COMPUTED_VALUE"""),"")</f>
        <v/>
      </c>
      <c r="G622" s="18" t="str">
        <f ca="1">IFERROR(__xludf.DUMMYFUNCTION("""COMPUTED_VALUE"""),"")</f>
        <v/>
      </c>
      <c r="H622" s="18" t="str">
        <f ca="1">IFERROR(__xludf.DUMMYFUNCTION("""COMPUTED_VALUE"""),"")</f>
        <v/>
      </c>
      <c r="I622" s="18" t="str">
        <f ca="1">IFERROR(__xludf.DUMMYFUNCTION("""COMPUTED_VALUE"""),"")</f>
        <v/>
      </c>
      <c r="J622" s="18" t="str">
        <f ca="1">IFERROR(__xludf.DUMMYFUNCTION("""COMPUTED_VALUE"""),"")</f>
        <v/>
      </c>
      <c r="K622" s="18" t="str">
        <f ca="1">IFERROR(__xludf.DUMMYFUNCTION("""COMPUTED_VALUE"""),"")</f>
        <v/>
      </c>
      <c r="L622" s="18" t="str">
        <f ca="1">IFERROR(__xludf.DUMMYFUNCTION("""COMPUTED_VALUE"""),"")</f>
        <v/>
      </c>
      <c r="M622" s="18" t="str">
        <f ca="1">IFERROR(__xludf.DUMMYFUNCTION("""COMPUTED_VALUE"""),"")</f>
        <v/>
      </c>
      <c r="N622" s="18" t="str">
        <f ca="1">IFERROR(__xludf.DUMMYFUNCTION("""COMPUTED_VALUE"""),"")</f>
        <v/>
      </c>
      <c r="O622" s="18" t="str">
        <f ca="1">IFERROR(__xludf.DUMMYFUNCTION("""COMPUTED_VALUE"""),"")</f>
        <v/>
      </c>
      <c r="P622" s="18" t="str">
        <f ca="1">IFERROR(__xludf.DUMMYFUNCTION("""COMPUTED_VALUE"""),"")</f>
        <v/>
      </c>
      <c r="Q622" s="18" t="str">
        <f ca="1">IFERROR(__xludf.DUMMYFUNCTION("""COMPUTED_VALUE"""),"")</f>
        <v/>
      </c>
      <c r="R622" s="18" t="str">
        <f ca="1">IFERROR(__xludf.DUMMYFUNCTION("""COMPUTED_VALUE"""),"")</f>
        <v/>
      </c>
      <c r="S622" s="18" t="str">
        <f ca="1">IFERROR(__xludf.DUMMYFUNCTION("""COMPUTED_VALUE"""),"")</f>
        <v/>
      </c>
      <c r="T622" s="18" t="str">
        <f ca="1">IFERROR(__xludf.DUMMYFUNCTION("""COMPUTED_VALUE"""),"")</f>
        <v/>
      </c>
      <c r="U622" s="18" t="str">
        <f ca="1">IFERROR(__xludf.DUMMYFUNCTION("""COMPUTED_VALUE"""),"")</f>
        <v/>
      </c>
      <c r="V622" s="18" t="str">
        <f ca="1">IFERROR(__xludf.DUMMYFUNCTION("""COMPUTED_VALUE"""),"")</f>
        <v/>
      </c>
      <c r="W622" s="18" t="str">
        <f ca="1">IFERROR(__xludf.DUMMYFUNCTION("""COMPUTED_VALUE"""),"")</f>
        <v/>
      </c>
      <c r="X622" s="18" t="str">
        <f ca="1">IFERROR(__xludf.DUMMYFUNCTION("""COMPUTED_VALUE"""),"")</f>
        <v/>
      </c>
      <c r="Y622" s="18" t="e">
        <f ca="1"/>
        <v>#NAME?</v>
      </c>
      <c r="Z622" s="18" t="str">
        <f ca="1">IFERROR(__xludf.DUMMYFUNCTION("""COMPUTED_VALUE"""),"")</f>
        <v/>
      </c>
      <c r="AA622" s="18" t="str">
        <f ca="1">IFERROR(__xludf.DUMMYFUNCTION("""COMPUTED_VALUE"""),"")</f>
        <v/>
      </c>
      <c r="AC622" s="59"/>
    </row>
    <row r="623" spans="1:29" x14ac:dyDescent="0.25">
      <c r="A623" s="18">
        <v>0</v>
      </c>
      <c r="B623" s="52" t="str">
        <f ca="1"/>
        <v/>
      </c>
      <c r="C623" s="52" t="str">
        <f ca="1">IFERROR(__xludf.DUMMYFUNCTION("""COMPUTED_VALUE"""),"")</f>
        <v/>
      </c>
      <c r="D623" s="18" t="str">
        <f ca="1">IFERROR(__xludf.DUMMYFUNCTION("""COMPUTED_VALUE"""),"")</f>
        <v/>
      </c>
      <c r="E623" s="18" t="str">
        <f ca="1">IFERROR(__xludf.DUMMYFUNCTION("""COMPUTED_VALUE"""),"")</f>
        <v/>
      </c>
      <c r="F623" s="18" t="str">
        <f ca="1">IFERROR(__xludf.DUMMYFUNCTION("""COMPUTED_VALUE"""),"")</f>
        <v/>
      </c>
      <c r="G623" s="18" t="str">
        <f ca="1">IFERROR(__xludf.DUMMYFUNCTION("""COMPUTED_VALUE"""),"")</f>
        <v/>
      </c>
      <c r="H623" s="18" t="str">
        <f ca="1">IFERROR(__xludf.DUMMYFUNCTION("""COMPUTED_VALUE"""),"")</f>
        <v/>
      </c>
      <c r="I623" s="18" t="str">
        <f ca="1">IFERROR(__xludf.DUMMYFUNCTION("""COMPUTED_VALUE"""),"")</f>
        <v/>
      </c>
      <c r="J623" s="18" t="str">
        <f ca="1">IFERROR(__xludf.DUMMYFUNCTION("""COMPUTED_VALUE"""),"")</f>
        <v/>
      </c>
      <c r="K623" s="18" t="str">
        <f ca="1">IFERROR(__xludf.DUMMYFUNCTION("""COMPUTED_VALUE"""),"")</f>
        <v/>
      </c>
      <c r="L623" s="18" t="str">
        <f ca="1">IFERROR(__xludf.DUMMYFUNCTION("""COMPUTED_VALUE"""),"")</f>
        <v/>
      </c>
      <c r="M623" s="18" t="str">
        <f ca="1">IFERROR(__xludf.DUMMYFUNCTION("""COMPUTED_VALUE"""),"")</f>
        <v/>
      </c>
      <c r="N623" s="18" t="str">
        <f ca="1">IFERROR(__xludf.DUMMYFUNCTION("""COMPUTED_VALUE"""),"")</f>
        <v/>
      </c>
      <c r="O623" s="18" t="str">
        <f ca="1">IFERROR(__xludf.DUMMYFUNCTION("""COMPUTED_VALUE"""),"")</f>
        <v/>
      </c>
      <c r="P623" s="18" t="str">
        <f ca="1">IFERROR(__xludf.DUMMYFUNCTION("""COMPUTED_VALUE"""),"")</f>
        <v/>
      </c>
      <c r="Q623" s="18" t="str">
        <f ca="1">IFERROR(__xludf.DUMMYFUNCTION("""COMPUTED_VALUE"""),"")</f>
        <v/>
      </c>
      <c r="R623" s="18" t="str">
        <f ca="1">IFERROR(__xludf.DUMMYFUNCTION("""COMPUTED_VALUE"""),"")</f>
        <v/>
      </c>
      <c r="S623" s="18" t="str">
        <f ca="1">IFERROR(__xludf.DUMMYFUNCTION("""COMPUTED_VALUE"""),"")</f>
        <v/>
      </c>
      <c r="T623" s="18" t="str">
        <f ca="1">IFERROR(__xludf.DUMMYFUNCTION("""COMPUTED_VALUE"""),"")</f>
        <v/>
      </c>
      <c r="U623" s="18" t="str">
        <f ca="1">IFERROR(__xludf.DUMMYFUNCTION("""COMPUTED_VALUE"""),"")</f>
        <v/>
      </c>
      <c r="V623" s="18" t="str">
        <f ca="1">IFERROR(__xludf.DUMMYFUNCTION("""COMPUTED_VALUE"""),"")</f>
        <v/>
      </c>
      <c r="W623" s="18" t="str">
        <f ca="1">IFERROR(__xludf.DUMMYFUNCTION("""COMPUTED_VALUE"""),"")</f>
        <v/>
      </c>
      <c r="X623" s="18" t="str">
        <f ca="1">IFERROR(__xludf.DUMMYFUNCTION("""COMPUTED_VALUE"""),"")</f>
        <v/>
      </c>
      <c r="Y623" s="18" t="e">
        <f ca="1"/>
        <v>#NAME?</v>
      </c>
      <c r="Z623" s="18" t="str">
        <f ca="1">IFERROR(__xludf.DUMMYFUNCTION("""COMPUTED_VALUE"""),"")</f>
        <v/>
      </c>
      <c r="AA623" s="18" t="str">
        <f ca="1">IFERROR(__xludf.DUMMYFUNCTION("""COMPUTED_VALUE"""),"")</f>
        <v/>
      </c>
      <c r="AC623" s="59"/>
    </row>
    <row r="624" spans="1:29" x14ac:dyDescent="0.25">
      <c r="A624" s="18">
        <v>0</v>
      </c>
      <c r="B624" s="52" t="str">
        <f ca="1"/>
        <v/>
      </c>
      <c r="C624" s="52" t="str">
        <f ca="1">IFERROR(__xludf.DUMMYFUNCTION("""COMPUTED_VALUE"""),"")</f>
        <v/>
      </c>
      <c r="D624" s="18" t="str">
        <f ca="1">IFERROR(__xludf.DUMMYFUNCTION("""COMPUTED_VALUE"""),"")</f>
        <v/>
      </c>
      <c r="E624" s="18" t="str">
        <f ca="1">IFERROR(__xludf.DUMMYFUNCTION("""COMPUTED_VALUE"""),"")</f>
        <v/>
      </c>
      <c r="F624" s="18" t="str">
        <f ca="1">IFERROR(__xludf.DUMMYFUNCTION("""COMPUTED_VALUE"""),"")</f>
        <v/>
      </c>
      <c r="G624" s="18" t="str">
        <f ca="1">IFERROR(__xludf.DUMMYFUNCTION("""COMPUTED_VALUE"""),"")</f>
        <v/>
      </c>
      <c r="H624" s="18" t="str">
        <f ca="1">IFERROR(__xludf.DUMMYFUNCTION("""COMPUTED_VALUE"""),"")</f>
        <v/>
      </c>
      <c r="I624" s="18" t="str">
        <f ca="1">IFERROR(__xludf.DUMMYFUNCTION("""COMPUTED_VALUE"""),"")</f>
        <v/>
      </c>
      <c r="J624" s="18" t="str">
        <f ca="1">IFERROR(__xludf.DUMMYFUNCTION("""COMPUTED_VALUE"""),"")</f>
        <v/>
      </c>
      <c r="K624" s="18" t="str">
        <f ca="1">IFERROR(__xludf.DUMMYFUNCTION("""COMPUTED_VALUE"""),"")</f>
        <v/>
      </c>
      <c r="L624" s="18" t="str">
        <f ca="1">IFERROR(__xludf.DUMMYFUNCTION("""COMPUTED_VALUE"""),"")</f>
        <v/>
      </c>
      <c r="M624" s="18" t="str">
        <f ca="1">IFERROR(__xludf.DUMMYFUNCTION("""COMPUTED_VALUE"""),"")</f>
        <v/>
      </c>
      <c r="N624" s="18" t="str">
        <f ca="1">IFERROR(__xludf.DUMMYFUNCTION("""COMPUTED_VALUE"""),"")</f>
        <v/>
      </c>
      <c r="O624" s="18" t="str">
        <f ca="1">IFERROR(__xludf.DUMMYFUNCTION("""COMPUTED_VALUE"""),"")</f>
        <v/>
      </c>
      <c r="P624" s="18" t="str">
        <f ca="1">IFERROR(__xludf.DUMMYFUNCTION("""COMPUTED_VALUE"""),"")</f>
        <v/>
      </c>
      <c r="Q624" s="18" t="str">
        <f ca="1">IFERROR(__xludf.DUMMYFUNCTION("""COMPUTED_VALUE"""),"")</f>
        <v/>
      </c>
      <c r="R624" s="18" t="str">
        <f ca="1">IFERROR(__xludf.DUMMYFUNCTION("""COMPUTED_VALUE"""),"")</f>
        <v/>
      </c>
      <c r="S624" s="18" t="str">
        <f ca="1">IFERROR(__xludf.DUMMYFUNCTION("""COMPUTED_VALUE"""),"")</f>
        <v/>
      </c>
      <c r="T624" s="18" t="str">
        <f ca="1">IFERROR(__xludf.DUMMYFUNCTION("""COMPUTED_VALUE"""),"")</f>
        <v/>
      </c>
      <c r="U624" s="18" t="str">
        <f ca="1">IFERROR(__xludf.DUMMYFUNCTION("""COMPUTED_VALUE"""),"")</f>
        <v/>
      </c>
      <c r="V624" s="18" t="str">
        <f ca="1">IFERROR(__xludf.DUMMYFUNCTION("""COMPUTED_VALUE"""),"")</f>
        <v/>
      </c>
      <c r="W624" s="18" t="str">
        <f ca="1">IFERROR(__xludf.DUMMYFUNCTION("""COMPUTED_VALUE"""),"")</f>
        <v/>
      </c>
      <c r="X624" s="18" t="str">
        <f ca="1">IFERROR(__xludf.DUMMYFUNCTION("""COMPUTED_VALUE"""),"")</f>
        <v/>
      </c>
      <c r="Y624" s="18" t="e">
        <f ca="1"/>
        <v>#NAME?</v>
      </c>
      <c r="Z624" s="18" t="str">
        <f ca="1">IFERROR(__xludf.DUMMYFUNCTION("""COMPUTED_VALUE"""),"")</f>
        <v/>
      </c>
      <c r="AA624" s="18" t="str">
        <f ca="1">IFERROR(__xludf.DUMMYFUNCTION("""COMPUTED_VALUE"""),"")</f>
        <v/>
      </c>
      <c r="AC624" s="59"/>
    </row>
    <row r="625" spans="1:29" x14ac:dyDescent="0.25">
      <c r="A625" s="18">
        <v>0</v>
      </c>
      <c r="B625" s="52" t="str">
        <f ca="1"/>
        <v/>
      </c>
      <c r="C625" s="52" t="str">
        <f ca="1">IFERROR(__xludf.DUMMYFUNCTION("""COMPUTED_VALUE"""),"")</f>
        <v/>
      </c>
      <c r="D625" s="18" t="str">
        <f ca="1">IFERROR(__xludf.DUMMYFUNCTION("""COMPUTED_VALUE"""),"")</f>
        <v/>
      </c>
      <c r="E625" s="18" t="str">
        <f ca="1">IFERROR(__xludf.DUMMYFUNCTION("""COMPUTED_VALUE"""),"")</f>
        <v/>
      </c>
      <c r="F625" s="18" t="str">
        <f ca="1">IFERROR(__xludf.DUMMYFUNCTION("""COMPUTED_VALUE"""),"")</f>
        <v/>
      </c>
      <c r="G625" s="18" t="str">
        <f ca="1">IFERROR(__xludf.DUMMYFUNCTION("""COMPUTED_VALUE"""),"")</f>
        <v/>
      </c>
      <c r="H625" s="18" t="str">
        <f ca="1">IFERROR(__xludf.DUMMYFUNCTION("""COMPUTED_VALUE"""),"")</f>
        <v/>
      </c>
      <c r="I625" s="18" t="str">
        <f ca="1">IFERROR(__xludf.DUMMYFUNCTION("""COMPUTED_VALUE"""),"")</f>
        <v/>
      </c>
      <c r="J625" s="18" t="str">
        <f ca="1">IFERROR(__xludf.DUMMYFUNCTION("""COMPUTED_VALUE"""),"")</f>
        <v/>
      </c>
      <c r="K625" s="18" t="str">
        <f ca="1">IFERROR(__xludf.DUMMYFUNCTION("""COMPUTED_VALUE"""),"")</f>
        <v/>
      </c>
      <c r="L625" s="18" t="str">
        <f ca="1">IFERROR(__xludf.DUMMYFUNCTION("""COMPUTED_VALUE"""),"")</f>
        <v/>
      </c>
      <c r="M625" s="18" t="str">
        <f ca="1">IFERROR(__xludf.DUMMYFUNCTION("""COMPUTED_VALUE"""),"")</f>
        <v/>
      </c>
      <c r="N625" s="18" t="str">
        <f ca="1">IFERROR(__xludf.DUMMYFUNCTION("""COMPUTED_VALUE"""),"")</f>
        <v/>
      </c>
      <c r="O625" s="18" t="str">
        <f ca="1">IFERROR(__xludf.DUMMYFUNCTION("""COMPUTED_VALUE"""),"")</f>
        <v/>
      </c>
      <c r="P625" s="18" t="str">
        <f ca="1">IFERROR(__xludf.DUMMYFUNCTION("""COMPUTED_VALUE"""),"")</f>
        <v/>
      </c>
      <c r="Q625" s="18" t="str">
        <f ca="1">IFERROR(__xludf.DUMMYFUNCTION("""COMPUTED_VALUE"""),"")</f>
        <v/>
      </c>
      <c r="R625" s="18" t="str">
        <f ca="1">IFERROR(__xludf.DUMMYFUNCTION("""COMPUTED_VALUE"""),"")</f>
        <v/>
      </c>
      <c r="S625" s="18" t="str">
        <f ca="1">IFERROR(__xludf.DUMMYFUNCTION("""COMPUTED_VALUE"""),"")</f>
        <v/>
      </c>
      <c r="T625" s="18" t="str">
        <f ca="1">IFERROR(__xludf.DUMMYFUNCTION("""COMPUTED_VALUE"""),"")</f>
        <v/>
      </c>
      <c r="U625" s="18" t="str">
        <f ca="1">IFERROR(__xludf.DUMMYFUNCTION("""COMPUTED_VALUE"""),"")</f>
        <v/>
      </c>
      <c r="V625" s="18" t="str">
        <f ca="1">IFERROR(__xludf.DUMMYFUNCTION("""COMPUTED_VALUE"""),"")</f>
        <v/>
      </c>
      <c r="W625" s="18" t="str">
        <f ca="1">IFERROR(__xludf.DUMMYFUNCTION("""COMPUTED_VALUE"""),"")</f>
        <v/>
      </c>
      <c r="X625" s="18" t="str">
        <f ca="1">IFERROR(__xludf.DUMMYFUNCTION("""COMPUTED_VALUE"""),"")</f>
        <v/>
      </c>
      <c r="Y625" s="18" t="e">
        <f ca="1"/>
        <v>#NAME?</v>
      </c>
      <c r="Z625" s="18" t="str">
        <f ca="1">IFERROR(__xludf.DUMMYFUNCTION("""COMPUTED_VALUE"""),"")</f>
        <v/>
      </c>
      <c r="AA625" s="18" t="str">
        <f ca="1">IFERROR(__xludf.DUMMYFUNCTION("""COMPUTED_VALUE"""),"")</f>
        <v/>
      </c>
      <c r="AC625" s="59"/>
    </row>
    <row r="626" spans="1:29" x14ac:dyDescent="0.25">
      <c r="A626" s="18">
        <v>0</v>
      </c>
      <c r="B626" s="52" t="str">
        <f ca="1"/>
        <v/>
      </c>
      <c r="C626" s="52" t="str">
        <f ca="1">IFERROR(__xludf.DUMMYFUNCTION("""COMPUTED_VALUE"""),"")</f>
        <v/>
      </c>
      <c r="D626" s="18" t="str">
        <f ca="1">IFERROR(__xludf.DUMMYFUNCTION("""COMPUTED_VALUE"""),"")</f>
        <v/>
      </c>
      <c r="E626" s="18" t="str">
        <f ca="1">IFERROR(__xludf.DUMMYFUNCTION("""COMPUTED_VALUE"""),"")</f>
        <v/>
      </c>
      <c r="F626" s="18" t="str">
        <f ca="1">IFERROR(__xludf.DUMMYFUNCTION("""COMPUTED_VALUE"""),"")</f>
        <v/>
      </c>
      <c r="G626" s="18" t="str">
        <f ca="1">IFERROR(__xludf.DUMMYFUNCTION("""COMPUTED_VALUE"""),"")</f>
        <v/>
      </c>
      <c r="H626" s="18" t="str">
        <f ca="1">IFERROR(__xludf.DUMMYFUNCTION("""COMPUTED_VALUE"""),"")</f>
        <v/>
      </c>
      <c r="I626" s="18" t="str">
        <f ca="1">IFERROR(__xludf.DUMMYFUNCTION("""COMPUTED_VALUE"""),"")</f>
        <v/>
      </c>
      <c r="J626" s="18" t="str">
        <f ca="1">IFERROR(__xludf.DUMMYFUNCTION("""COMPUTED_VALUE"""),"")</f>
        <v/>
      </c>
      <c r="K626" s="18" t="str">
        <f ca="1">IFERROR(__xludf.DUMMYFUNCTION("""COMPUTED_VALUE"""),"")</f>
        <v/>
      </c>
      <c r="L626" s="18" t="str">
        <f ca="1">IFERROR(__xludf.DUMMYFUNCTION("""COMPUTED_VALUE"""),"")</f>
        <v/>
      </c>
      <c r="M626" s="18" t="str">
        <f ca="1">IFERROR(__xludf.DUMMYFUNCTION("""COMPUTED_VALUE"""),"")</f>
        <v/>
      </c>
      <c r="N626" s="18" t="str">
        <f ca="1">IFERROR(__xludf.DUMMYFUNCTION("""COMPUTED_VALUE"""),"")</f>
        <v/>
      </c>
      <c r="O626" s="18" t="str">
        <f ca="1">IFERROR(__xludf.DUMMYFUNCTION("""COMPUTED_VALUE"""),"")</f>
        <v/>
      </c>
      <c r="P626" s="18" t="str">
        <f ca="1">IFERROR(__xludf.DUMMYFUNCTION("""COMPUTED_VALUE"""),"")</f>
        <v/>
      </c>
      <c r="Q626" s="18" t="str">
        <f ca="1">IFERROR(__xludf.DUMMYFUNCTION("""COMPUTED_VALUE"""),"")</f>
        <v/>
      </c>
      <c r="R626" s="18" t="str">
        <f ca="1">IFERROR(__xludf.DUMMYFUNCTION("""COMPUTED_VALUE"""),"")</f>
        <v/>
      </c>
      <c r="S626" s="18" t="str">
        <f ca="1">IFERROR(__xludf.DUMMYFUNCTION("""COMPUTED_VALUE"""),"")</f>
        <v/>
      </c>
      <c r="T626" s="18" t="str">
        <f ca="1">IFERROR(__xludf.DUMMYFUNCTION("""COMPUTED_VALUE"""),"")</f>
        <v/>
      </c>
      <c r="U626" s="18" t="str">
        <f ca="1">IFERROR(__xludf.DUMMYFUNCTION("""COMPUTED_VALUE"""),"")</f>
        <v/>
      </c>
      <c r="V626" s="18" t="str">
        <f ca="1">IFERROR(__xludf.DUMMYFUNCTION("""COMPUTED_VALUE"""),"")</f>
        <v/>
      </c>
      <c r="W626" s="18" t="str">
        <f ca="1">IFERROR(__xludf.DUMMYFUNCTION("""COMPUTED_VALUE"""),"")</f>
        <v/>
      </c>
      <c r="X626" s="18" t="str">
        <f ca="1">IFERROR(__xludf.DUMMYFUNCTION("""COMPUTED_VALUE"""),"")</f>
        <v/>
      </c>
      <c r="Y626" s="18" t="e">
        <f ca="1"/>
        <v>#NAME?</v>
      </c>
      <c r="Z626" s="18" t="str">
        <f ca="1">IFERROR(__xludf.DUMMYFUNCTION("""COMPUTED_VALUE"""),"")</f>
        <v/>
      </c>
      <c r="AA626" s="18" t="str">
        <f ca="1">IFERROR(__xludf.DUMMYFUNCTION("""COMPUTED_VALUE"""),"")</f>
        <v/>
      </c>
      <c r="AC626" s="59"/>
    </row>
    <row r="627" spans="1:29" x14ac:dyDescent="0.25">
      <c r="A627" s="18">
        <v>0</v>
      </c>
      <c r="B627" s="52" t="str">
        <f ca="1"/>
        <v/>
      </c>
      <c r="C627" s="52" t="str">
        <f ca="1">IFERROR(__xludf.DUMMYFUNCTION("""COMPUTED_VALUE"""),"")</f>
        <v/>
      </c>
      <c r="D627" s="18" t="str">
        <f ca="1">IFERROR(__xludf.DUMMYFUNCTION("""COMPUTED_VALUE"""),"")</f>
        <v/>
      </c>
      <c r="E627" s="18" t="str">
        <f ca="1">IFERROR(__xludf.DUMMYFUNCTION("""COMPUTED_VALUE"""),"")</f>
        <v/>
      </c>
      <c r="F627" s="18" t="str">
        <f ca="1">IFERROR(__xludf.DUMMYFUNCTION("""COMPUTED_VALUE"""),"")</f>
        <v/>
      </c>
      <c r="G627" s="18" t="str">
        <f ca="1">IFERROR(__xludf.DUMMYFUNCTION("""COMPUTED_VALUE"""),"")</f>
        <v/>
      </c>
      <c r="H627" s="18" t="str">
        <f ca="1">IFERROR(__xludf.DUMMYFUNCTION("""COMPUTED_VALUE"""),"")</f>
        <v/>
      </c>
      <c r="I627" s="18" t="str">
        <f ca="1">IFERROR(__xludf.DUMMYFUNCTION("""COMPUTED_VALUE"""),"")</f>
        <v/>
      </c>
      <c r="J627" s="18" t="str">
        <f ca="1">IFERROR(__xludf.DUMMYFUNCTION("""COMPUTED_VALUE"""),"")</f>
        <v/>
      </c>
      <c r="K627" s="18" t="str">
        <f ca="1">IFERROR(__xludf.DUMMYFUNCTION("""COMPUTED_VALUE"""),"")</f>
        <v/>
      </c>
      <c r="L627" s="18" t="str">
        <f ca="1">IFERROR(__xludf.DUMMYFUNCTION("""COMPUTED_VALUE"""),"")</f>
        <v/>
      </c>
      <c r="M627" s="18" t="str">
        <f ca="1">IFERROR(__xludf.DUMMYFUNCTION("""COMPUTED_VALUE"""),"")</f>
        <v/>
      </c>
      <c r="N627" s="18" t="str">
        <f ca="1">IFERROR(__xludf.DUMMYFUNCTION("""COMPUTED_VALUE"""),"")</f>
        <v/>
      </c>
      <c r="O627" s="18" t="str">
        <f ca="1">IFERROR(__xludf.DUMMYFUNCTION("""COMPUTED_VALUE"""),"")</f>
        <v/>
      </c>
      <c r="P627" s="18" t="str">
        <f ca="1">IFERROR(__xludf.DUMMYFUNCTION("""COMPUTED_VALUE"""),"")</f>
        <v/>
      </c>
      <c r="Q627" s="18" t="str">
        <f ca="1">IFERROR(__xludf.DUMMYFUNCTION("""COMPUTED_VALUE"""),"")</f>
        <v/>
      </c>
      <c r="R627" s="18" t="str">
        <f ca="1">IFERROR(__xludf.DUMMYFUNCTION("""COMPUTED_VALUE"""),"")</f>
        <v/>
      </c>
      <c r="S627" s="18" t="str">
        <f ca="1">IFERROR(__xludf.DUMMYFUNCTION("""COMPUTED_VALUE"""),"")</f>
        <v/>
      </c>
      <c r="T627" s="18" t="str">
        <f ca="1">IFERROR(__xludf.DUMMYFUNCTION("""COMPUTED_VALUE"""),"")</f>
        <v/>
      </c>
      <c r="U627" s="18" t="str">
        <f ca="1">IFERROR(__xludf.DUMMYFUNCTION("""COMPUTED_VALUE"""),"")</f>
        <v/>
      </c>
      <c r="V627" s="18" t="str">
        <f ca="1">IFERROR(__xludf.DUMMYFUNCTION("""COMPUTED_VALUE"""),"")</f>
        <v/>
      </c>
      <c r="W627" s="18" t="str">
        <f ca="1">IFERROR(__xludf.DUMMYFUNCTION("""COMPUTED_VALUE"""),"")</f>
        <v/>
      </c>
      <c r="X627" s="18" t="str">
        <f ca="1">IFERROR(__xludf.DUMMYFUNCTION("""COMPUTED_VALUE"""),"")</f>
        <v/>
      </c>
      <c r="Y627" s="18" t="e">
        <f ca="1"/>
        <v>#NAME?</v>
      </c>
      <c r="Z627" s="18" t="str">
        <f ca="1">IFERROR(__xludf.DUMMYFUNCTION("""COMPUTED_VALUE"""),"")</f>
        <v/>
      </c>
      <c r="AA627" s="18" t="str">
        <f ca="1">IFERROR(__xludf.DUMMYFUNCTION("""COMPUTED_VALUE"""),"")</f>
        <v/>
      </c>
      <c r="AC627" s="59"/>
    </row>
    <row r="628" spans="1:29" x14ac:dyDescent="0.25">
      <c r="A628" s="18">
        <v>0</v>
      </c>
      <c r="B628" s="52" t="str">
        <f ca="1"/>
        <v/>
      </c>
      <c r="C628" s="52" t="str">
        <f ca="1">IFERROR(__xludf.DUMMYFUNCTION("""COMPUTED_VALUE"""),"")</f>
        <v/>
      </c>
      <c r="D628" s="18" t="str">
        <f ca="1">IFERROR(__xludf.DUMMYFUNCTION("""COMPUTED_VALUE"""),"")</f>
        <v/>
      </c>
      <c r="E628" s="18" t="str">
        <f ca="1">IFERROR(__xludf.DUMMYFUNCTION("""COMPUTED_VALUE"""),"")</f>
        <v/>
      </c>
      <c r="F628" s="18" t="str">
        <f ca="1">IFERROR(__xludf.DUMMYFUNCTION("""COMPUTED_VALUE"""),"")</f>
        <v/>
      </c>
      <c r="G628" s="18" t="str">
        <f ca="1">IFERROR(__xludf.DUMMYFUNCTION("""COMPUTED_VALUE"""),"")</f>
        <v/>
      </c>
      <c r="H628" s="18" t="str">
        <f ca="1">IFERROR(__xludf.DUMMYFUNCTION("""COMPUTED_VALUE"""),"")</f>
        <v/>
      </c>
      <c r="I628" s="18" t="str">
        <f ca="1">IFERROR(__xludf.DUMMYFUNCTION("""COMPUTED_VALUE"""),"")</f>
        <v/>
      </c>
      <c r="J628" s="18" t="str">
        <f ca="1">IFERROR(__xludf.DUMMYFUNCTION("""COMPUTED_VALUE"""),"")</f>
        <v/>
      </c>
      <c r="K628" s="18" t="str">
        <f ca="1">IFERROR(__xludf.DUMMYFUNCTION("""COMPUTED_VALUE"""),"")</f>
        <v/>
      </c>
      <c r="L628" s="18" t="str">
        <f ca="1">IFERROR(__xludf.DUMMYFUNCTION("""COMPUTED_VALUE"""),"")</f>
        <v/>
      </c>
      <c r="M628" s="18" t="str">
        <f ca="1">IFERROR(__xludf.DUMMYFUNCTION("""COMPUTED_VALUE"""),"")</f>
        <v/>
      </c>
      <c r="N628" s="18" t="str">
        <f ca="1">IFERROR(__xludf.DUMMYFUNCTION("""COMPUTED_VALUE"""),"")</f>
        <v/>
      </c>
      <c r="O628" s="18" t="str">
        <f ca="1">IFERROR(__xludf.DUMMYFUNCTION("""COMPUTED_VALUE"""),"")</f>
        <v/>
      </c>
      <c r="P628" s="18" t="str">
        <f ca="1">IFERROR(__xludf.DUMMYFUNCTION("""COMPUTED_VALUE"""),"")</f>
        <v/>
      </c>
      <c r="Q628" s="18" t="str">
        <f ca="1">IFERROR(__xludf.DUMMYFUNCTION("""COMPUTED_VALUE"""),"")</f>
        <v/>
      </c>
      <c r="R628" s="18" t="str">
        <f ca="1">IFERROR(__xludf.DUMMYFUNCTION("""COMPUTED_VALUE"""),"")</f>
        <v/>
      </c>
      <c r="S628" s="18" t="str">
        <f ca="1">IFERROR(__xludf.DUMMYFUNCTION("""COMPUTED_VALUE"""),"")</f>
        <v/>
      </c>
      <c r="T628" s="18" t="str">
        <f ca="1">IFERROR(__xludf.DUMMYFUNCTION("""COMPUTED_VALUE"""),"")</f>
        <v/>
      </c>
      <c r="U628" s="18" t="str">
        <f ca="1">IFERROR(__xludf.DUMMYFUNCTION("""COMPUTED_VALUE"""),"")</f>
        <v/>
      </c>
      <c r="V628" s="18" t="str">
        <f ca="1">IFERROR(__xludf.DUMMYFUNCTION("""COMPUTED_VALUE"""),"")</f>
        <v/>
      </c>
      <c r="W628" s="18" t="str">
        <f ca="1">IFERROR(__xludf.DUMMYFUNCTION("""COMPUTED_VALUE"""),"")</f>
        <v/>
      </c>
      <c r="X628" s="18" t="str">
        <f ca="1">IFERROR(__xludf.DUMMYFUNCTION("""COMPUTED_VALUE"""),"")</f>
        <v/>
      </c>
      <c r="Y628" s="18" t="e">
        <f ca="1"/>
        <v>#NAME?</v>
      </c>
      <c r="Z628" s="18" t="str">
        <f ca="1">IFERROR(__xludf.DUMMYFUNCTION("""COMPUTED_VALUE"""),"")</f>
        <v/>
      </c>
      <c r="AA628" s="18" t="str">
        <f ca="1">IFERROR(__xludf.DUMMYFUNCTION("""COMPUTED_VALUE"""),"")</f>
        <v/>
      </c>
      <c r="AC628" s="59"/>
    </row>
    <row r="629" spans="1:29" x14ac:dyDescent="0.25">
      <c r="A629" s="18">
        <v>0</v>
      </c>
      <c r="B629" s="52" t="str">
        <f ca="1"/>
        <v/>
      </c>
      <c r="C629" s="52" t="str">
        <f ca="1">IFERROR(__xludf.DUMMYFUNCTION("""COMPUTED_VALUE"""),"")</f>
        <v/>
      </c>
      <c r="D629" s="18" t="str">
        <f ca="1">IFERROR(__xludf.DUMMYFUNCTION("""COMPUTED_VALUE"""),"")</f>
        <v/>
      </c>
      <c r="E629" s="18" t="str">
        <f ca="1">IFERROR(__xludf.DUMMYFUNCTION("""COMPUTED_VALUE"""),"")</f>
        <v/>
      </c>
      <c r="F629" s="18" t="str">
        <f ca="1">IFERROR(__xludf.DUMMYFUNCTION("""COMPUTED_VALUE"""),"")</f>
        <v/>
      </c>
      <c r="G629" s="18" t="str">
        <f ca="1">IFERROR(__xludf.DUMMYFUNCTION("""COMPUTED_VALUE"""),"")</f>
        <v/>
      </c>
      <c r="H629" s="18" t="str">
        <f ca="1">IFERROR(__xludf.DUMMYFUNCTION("""COMPUTED_VALUE"""),"")</f>
        <v/>
      </c>
      <c r="I629" s="18" t="str">
        <f ca="1">IFERROR(__xludf.DUMMYFUNCTION("""COMPUTED_VALUE"""),"")</f>
        <v/>
      </c>
      <c r="J629" s="18" t="str">
        <f ca="1">IFERROR(__xludf.DUMMYFUNCTION("""COMPUTED_VALUE"""),"")</f>
        <v/>
      </c>
      <c r="K629" s="18" t="str">
        <f ca="1">IFERROR(__xludf.DUMMYFUNCTION("""COMPUTED_VALUE"""),"")</f>
        <v/>
      </c>
      <c r="L629" s="18" t="str">
        <f ca="1">IFERROR(__xludf.DUMMYFUNCTION("""COMPUTED_VALUE"""),"")</f>
        <v/>
      </c>
      <c r="M629" s="18" t="str">
        <f ca="1">IFERROR(__xludf.DUMMYFUNCTION("""COMPUTED_VALUE"""),"")</f>
        <v/>
      </c>
      <c r="N629" s="18" t="str">
        <f ca="1">IFERROR(__xludf.DUMMYFUNCTION("""COMPUTED_VALUE"""),"")</f>
        <v/>
      </c>
      <c r="O629" s="18" t="str">
        <f ca="1">IFERROR(__xludf.DUMMYFUNCTION("""COMPUTED_VALUE"""),"")</f>
        <v/>
      </c>
      <c r="P629" s="18" t="str">
        <f ca="1">IFERROR(__xludf.DUMMYFUNCTION("""COMPUTED_VALUE"""),"")</f>
        <v/>
      </c>
      <c r="Q629" s="18" t="str">
        <f ca="1">IFERROR(__xludf.DUMMYFUNCTION("""COMPUTED_VALUE"""),"")</f>
        <v/>
      </c>
      <c r="R629" s="18" t="str">
        <f ca="1">IFERROR(__xludf.DUMMYFUNCTION("""COMPUTED_VALUE"""),"")</f>
        <v/>
      </c>
      <c r="S629" s="18" t="str">
        <f ca="1">IFERROR(__xludf.DUMMYFUNCTION("""COMPUTED_VALUE"""),"")</f>
        <v/>
      </c>
      <c r="T629" s="18" t="str">
        <f ca="1">IFERROR(__xludf.DUMMYFUNCTION("""COMPUTED_VALUE"""),"")</f>
        <v/>
      </c>
      <c r="U629" s="18" t="str">
        <f ca="1">IFERROR(__xludf.DUMMYFUNCTION("""COMPUTED_VALUE"""),"")</f>
        <v/>
      </c>
      <c r="V629" s="18" t="str">
        <f ca="1">IFERROR(__xludf.DUMMYFUNCTION("""COMPUTED_VALUE"""),"")</f>
        <v/>
      </c>
      <c r="W629" s="18" t="str">
        <f ca="1">IFERROR(__xludf.DUMMYFUNCTION("""COMPUTED_VALUE"""),"")</f>
        <v/>
      </c>
      <c r="X629" s="18" t="str">
        <f ca="1">IFERROR(__xludf.DUMMYFUNCTION("""COMPUTED_VALUE"""),"")</f>
        <v/>
      </c>
      <c r="Y629" s="18" t="e">
        <f ca="1"/>
        <v>#NAME?</v>
      </c>
      <c r="Z629" s="18" t="str">
        <f ca="1">IFERROR(__xludf.DUMMYFUNCTION("""COMPUTED_VALUE"""),"")</f>
        <v/>
      </c>
      <c r="AA629" s="18" t="str">
        <f ca="1">IFERROR(__xludf.DUMMYFUNCTION("""COMPUTED_VALUE"""),"")</f>
        <v/>
      </c>
      <c r="AC629" s="59"/>
    </row>
    <row r="630" spans="1:29" x14ac:dyDescent="0.25">
      <c r="A630" s="18">
        <v>0</v>
      </c>
      <c r="B630" s="52" t="str">
        <f ca="1"/>
        <v/>
      </c>
      <c r="C630" s="52" t="str">
        <f ca="1">IFERROR(__xludf.DUMMYFUNCTION("""COMPUTED_VALUE"""),"")</f>
        <v/>
      </c>
      <c r="D630" s="18" t="str">
        <f ca="1">IFERROR(__xludf.DUMMYFUNCTION("""COMPUTED_VALUE"""),"")</f>
        <v/>
      </c>
      <c r="E630" s="18" t="str">
        <f ca="1">IFERROR(__xludf.DUMMYFUNCTION("""COMPUTED_VALUE"""),"")</f>
        <v/>
      </c>
      <c r="F630" s="18" t="str">
        <f ca="1">IFERROR(__xludf.DUMMYFUNCTION("""COMPUTED_VALUE"""),"")</f>
        <v/>
      </c>
      <c r="G630" s="18" t="str">
        <f ca="1">IFERROR(__xludf.DUMMYFUNCTION("""COMPUTED_VALUE"""),"")</f>
        <v/>
      </c>
      <c r="H630" s="18" t="str">
        <f ca="1">IFERROR(__xludf.DUMMYFUNCTION("""COMPUTED_VALUE"""),"")</f>
        <v/>
      </c>
      <c r="I630" s="18" t="str">
        <f ca="1">IFERROR(__xludf.DUMMYFUNCTION("""COMPUTED_VALUE"""),"")</f>
        <v/>
      </c>
      <c r="J630" s="18" t="str">
        <f ca="1">IFERROR(__xludf.DUMMYFUNCTION("""COMPUTED_VALUE"""),"")</f>
        <v/>
      </c>
      <c r="K630" s="18" t="str">
        <f ca="1">IFERROR(__xludf.DUMMYFUNCTION("""COMPUTED_VALUE"""),"")</f>
        <v/>
      </c>
      <c r="L630" s="18" t="str">
        <f ca="1">IFERROR(__xludf.DUMMYFUNCTION("""COMPUTED_VALUE"""),"")</f>
        <v/>
      </c>
      <c r="M630" s="18" t="str">
        <f ca="1">IFERROR(__xludf.DUMMYFUNCTION("""COMPUTED_VALUE"""),"")</f>
        <v/>
      </c>
      <c r="N630" s="18" t="str">
        <f ca="1">IFERROR(__xludf.DUMMYFUNCTION("""COMPUTED_VALUE"""),"")</f>
        <v/>
      </c>
      <c r="O630" s="18" t="str">
        <f ca="1">IFERROR(__xludf.DUMMYFUNCTION("""COMPUTED_VALUE"""),"")</f>
        <v/>
      </c>
      <c r="P630" s="18" t="str">
        <f ca="1">IFERROR(__xludf.DUMMYFUNCTION("""COMPUTED_VALUE"""),"")</f>
        <v/>
      </c>
      <c r="Q630" s="18" t="str">
        <f ca="1">IFERROR(__xludf.DUMMYFUNCTION("""COMPUTED_VALUE"""),"")</f>
        <v/>
      </c>
      <c r="R630" s="18" t="str">
        <f ca="1">IFERROR(__xludf.DUMMYFUNCTION("""COMPUTED_VALUE"""),"")</f>
        <v/>
      </c>
      <c r="S630" s="18" t="str">
        <f ca="1">IFERROR(__xludf.DUMMYFUNCTION("""COMPUTED_VALUE"""),"")</f>
        <v/>
      </c>
      <c r="T630" s="18" t="str">
        <f ca="1">IFERROR(__xludf.DUMMYFUNCTION("""COMPUTED_VALUE"""),"")</f>
        <v/>
      </c>
      <c r="U630" s="18" t="str">
        <f ca="1">IFERROR(__xludf.DUMMYFUNCTION("""COMPUTED_VALUE"""),"")</f>
        <v/>
      </c>
      <c r="V630" s="18" t="str">
        <f ca="1">IFERROR(__xludf.DUMMYFUNCTION("""COMPUTED_VALUE"""),"")</f>
        <v/>
      </c>
      <c r="W630" s="18" t="str">
        <f ca="1">IFERROR(__xludf.DUMMYFUNCTION("""COMPUTED_VALUE"""),"")</f>
        <v/>
      </c>
      <c r="X630" s="18" t="str">
        <f ca="1">IFERROR(__xludf.DUMMYFUNCTION("""COMPUTED_VALUE"""),"")</f>
        <v/>
      </c>
      <c r="Y630" s="18" t="e">
        <f ca="1"/>
        <v>#NAME?</v>
      </c>
      <c r="Z630" s="18" t="str">
        <f ca="1">IFERROR(__xludf.DUMMYFUNCTION("""COMPUTED_VALUE"""),"")</f>
        <v/>
      </c>
      <c r="AA630" s="18" t="str">
        <f ca="1">IFERROR(__xludf.DUMMYFUNCTION("""COMPUTED_VALUE"""),"")</f>
        <v/>
      </c>
      <c r="AC630" s="59"/>
    </row>
    <row r="631" spans="1:29" x14ac:dyDescent="0.25">
      <c r="A631" s="18">
        <v>0</v>
      </c>
      <c r="B631" s="52" t="str">
        <f ca="1"/>
        <v/>
      </c>
      <c r="C631" s="52" t="str">
        <f ca="1">IFERROR(__xludf.DUMMYFUNCTION("""COMPUTED_VALUE"""),"")</f>
        <v/>
      </c>
      <c r="D631" s="18" t="str">
        <f ca="1">IFERROR(__xludf.DUMMYFUNCTION("""COMPUTED_VALUE"""),"")</f>
        <v/>
      </c>
      <c r="E631" s="18" t="str">
        <f ca="1">IFERROR(__xludf.DUMMYFUNCTION("""COMPUTED_VALUE"""),"")</f>
        <v/>
      </c>
      <c r="F631" s="18" t="str">
        <f ca="1">IFERROR(__xludf.DUMMYFUNCTION("""COMPUTED_VALUE"""),"")</f>
        <v/>
      </c>
      <c r="G631" s="18" t="str">
        <f ca="1">IFERROR(__xludf.DUMMYFUNCTION("""COMPUTED_VALUE"""),"")</f>
        <v/>
      </c>
      <c r="H631" s="18" t="str">
        <f ca="1">IFERROR(__xludf.DUMMYFUNCTION("""COMPUTED_VALUE"""),"")</f>
        <v/>
      </c>
      <c r="I631" s="18" t="str">
        <f ca="1">IFERROR(__xludf.DUMMYFUNCTION("""COMPUTED_VALUE"""),"")</f>
        <v/>
      </c>
      <c r="J631" s="18" t="str">
        <f ca="1">IFERROR(__xludf.DUMMYFUNCTION("""COMPUTED_VALUE"""),"")</f>
        <v/>
      </c>
      <c r="K631" s="18" t="str">
        <f ca="1">IFERROR(__xludf.DUMMYFUNCTION("""COMPUTED_VALUE"""),"")</f>
        <v/>
      </c>
      <c r="L631" s="18" t="str">
        <f ca="1">IFERROR(__xludf.DUMMYFUNCTION("""COMPUTED_VALUE"""),"")</f>
        <v/>
      </c>
      <c r="M631" s="18" t="str">
        <f ca="1">IFERROR(__xludf.DUMMYFUNCTION("""COMPUTED_VALUE"""),"")</f>
        <v/>
      </c>
      <c r="N631" s="18" t="str">
        <f ca="1">IFERROR(__xludf.DUMMYFUNCTION("""COMPUTED_VALUE"""),"")</f>
        <v/>
      </c>
      <c r="O631" s="18" t="str">
        <f ca="1">IFERROR(__xludf.DUMMYFUNCTION("""COMPUTED_VALUE"""),"")</f>
        <v/>
      </c>
      <c r="P631" s="18" t="str">
        <f ca="1">IFERROR(__xludf.DUMMYFUNCTION("""COMPUTED_VALUE"""),"")</f>
        <v/>
      </c>
      <c r="Q631" s="18" t="str">
        <f ca="1">IFERROR(__xludf.DUMMYFUNCTION("""COMPUTED_VALUE"""),"")</f>
        <v/>
      </c>
      <c r="R631" s="18" t="str">
        <f ca="1">IFERROR(__xludf.DUMMYFUNCTION("""COMPUTED_VALUE"""),"")</f>
        <v/>
      </c>
      <c r="S631" s="18" t="str">
        <f ca="1">IFERROR(__xludf.DUMMYFUNCTION("""COMPUTED_VALUE"""),"")</f>
        <v/>
      </c>
      <c r="T631" s="18" t="str">
        <f ca="1">IFERROR(__xludf.DUMMYFUNCTION("""COMPUTED_VALUE"""),"")</f>
        <v/>
      </c>
      <c r="U631" s="18" t="str">
        <f ca="1">IFERROR(__xludf.DUMMYFUNCTION("""COMPUTED_VALUE"""),"")</f>
        <v/>
      </c>
      <c r="V631" s="18" t="str">
        <f ca="1">IFERROR(__xludf.DUMMYFUNCTION("""COMPUTED_VALUE"""),"")</f>
        <v/>
      </c>
      <c r="W631" s="18" t="str">
        <f ca="1">IFERROR(__xludf.DUMMYFUNCTION("""COMPUTED_VALUE"""),"")</f>
        <v/>
      </c>
      <c r="X631" s="18" t="str">
        <f ca="1">IFERROR(__xludf.DUMMYFUNCTION("""COMPUTED_VALUE"""),"")</f>
        <v/>
      </c>
      <c r="Y631" s="18" t="e">
        <f ca="1"/>
        <v>#NAME?</v>
      </c>
      <c r="Z631" s="18" t="str">
        <f ca="1">IFERROR(__xludf.DUMMYFUNCTION("""COMPUTED_VALUE"""),"")</f>
        <v/>
      </c>
      <c r="AA631" s="18" t="str">
        <f ca="1">IFERROR(__xludf.DUMMYFUNCTION("""COMPUTED_VALUE"""),"")</f>
        <v/>
      </c>
      <c r="AC631" s="59"/>
    </row>
    <row r="632" spans="1:29" x14ac:dyDescent="0.25">
      <c r="A632" s="18">
        <v>0</v>
      </c>
      <c r="B632" s="52" t="str">
        <f ca="1"/>
        <v/>
      </c>
      <c r="C632" s="52" t="str">
        <f ca="1">IFERROR(__xludf.DUMMYFUNCTION("""COMPUTED_VALUE"""),"")</f>
        <v/>
      </c>
      <c r="D632" s="18" t="str">
        <f ca="1">IFERROR(__xludf.DUMMYFUNCTION("""COMPUTED_VALUE"""),"")</f>
        <v/>
      </c>
      <c r="E632" s="18" t="str">
        <f ca="1">IFERROR(__xludf.DUMMYFUNCTION("""COMPUTED_VALUE"""),"")</f>
        <v/>
      </c>
      <c r="F632" s="18" t="str">
        <f ca="1">IFERROR(__xludf.DUMMYFUNCTION("""COMPUTED_VALUE"""),"")</f>
        <v/>
      </c>
      <c r="G632" s="18" t="str">
        <f ca="1">IFERROR(__xludf.DUMMYFUNCTION("""COMPUTED_VALUE"""),"")</f>
        <v/>
      </c>
      <c r="H632" s="18" t="str">
        <f ca="1">IFERROR(__xludf.DUMMYFUNCTION("""COMPUTED_VALUE"""),"")</f>
        <v/>
      </c>
      <c r="I632" s="18" t="str">
        <f ca="1">IFERROR(__xludf.DUMMYFUNCTION("""COMPUTED_VALUE"""),"")</f>
        <v/>
      </c>
      <c r="J632" s="18" t="str">
        <f ca="1">IFERROR(__xludf.DUMMYFUNCTION("""COMPUTED_VALUE"""),"")</f>
        <v/>
      </c>
      <c r="K632" s="18" t="str">
        <f ca="1">IFERROR(__xludf.DUMMYFUNCTION("""COMPUTED_VALUE"""),"")</f>
        <v/>
      </c>
      <c r="L632" s="18" t="str">
        <f ca="1">IFERROR(__xludf.DUMMYFUNCTION("""COMPUTED_VALUE"""),"")</f>
        <v/>
      </c>
      <c r="M632" s="18" t="str">
        <f ca="1">IFERROR(__xludf.DUMMYFUNCTION("""COMPUTED_VALUE"""),"")</f>
        <v/>
      </c>
      <c r="N632" s="18" t="str">
        <f ca="1">IFERROR(__xludf.DUMMYFUNCTION("""COMPUTED_VALUE"""),"")</f>
        <v/>
      </c>
      <c r="O632" s="18" t="str">
        <f ca="1">IFERROR(__xludf.DUMMYFUNCTION("""COMPUTED_VALUE"""),"")</f>
        <v/>
      </c>
      <c r="P632" s="18" t="str">
        <f ca="1">IFERROR(__xludf.DUMMYFUNCTION("""COMPUTED_VALUE"""),"")</f>
        <v/>
      </c>
      <c r="Q632" s="18" t="str">
        <f ca="1">IFERROR(__xludf.DUMMYFUNCTION("""COMPUTED_VALUE"""),"")</f>
        <v/>
      </c>
      <c r="R632" s="18" t="str">
        <f ca="1">IFERROR(__xludf.DUMMYFUNCTION("""COMPUTED_VALUE"""),"")</f>
        <v/>
      </c>
      <c r="S632" s="18" t="str">
        <f ca="1">IFERROR(__xludf.DUMMYFUNCTION("""COMPUTED_VALUE"""),"")</f>
        <v/>
      </c>
      <c r="T632" s="18" t="str">
        <f ca="1">IFERROR(__xludf.DUMMYFUNCTION("""COMPUTED_VALUE"""),"")</f>
        <v/>
      </c>
      <c r="U632" s="18" t="str">
        <f ca="1">IFERROR(__xludf.DUMMYFUNCTION("""COMPUTED_VALUE"""),"")</f>
        <v/>
      </c>
      <c r="V632" s="18" t="str">
        <f ca="1">IFERROR(__xludf.DUMMYFUNCTION("""COMPUTED_VALUE"""),"")</f>
        <v/>
      </c>
      <c r="W632" s="18" t="str">
        <f ca="1">IFERROR(__xludf.DUMMYFUNCTION("""COMPUTED_VALUE"""),"")</f>
        <v/>
      </c>
      <c r="X632" s="18" t="str">
        <f ca="1">IFERROR(__xludf.DUMMYFUNCTION("""COMPUTED_VALUE"""),"")</f>
        <v/>
      </c>
      <c r="Y632" s="18" t="e">
        <f ca="1"/>
        <v>#NAME?</v>
      </c>
      <c r="Z632" s="18" t="str">
        <f ca="1">IFERROR(__xludf.DUMMYFUNCTION("""COMPUTED_VALUE"""),"")</f>
        <v/>
      </c>
      <c r="AA632" s="18" t="str">
        <f ca="1">IFERROR(__xludf.DUMMYFUNCTION("""COMPUTED_VALUE"""),"")</f>
        <v/>
      </c>
      <c r="AC632" s="59"/>
    </row>
    <row r="633" spans="1:29" x14ac:dyDescent="0.25">
      <c r="A633" s="18">
        <v>0</v>
      </c>
      <c r="B633" s="52" t="str">
        <f ca="1"/>
        <v/>
      </c>
      <c r="C633" s="52" t="str">
        <f ca="1">IFERROR(__xludf.DUMMYFUNCTION("""COMPUTED_VALUE"""),"")</f>
        <v/>
      </c>
      <c r="D633" s="18" t="str">
        <f ca="1">IFERROR(__xludf.DUMMYFUNCTION("""COMPUTED_VALUE"""),"")</f>
        <v/>
      </c>
      <c r="E633" s="18" t="str">
        <f ca="1">IFERROR(__xludf.DUMMYFUNCTION("""COMPUTED_VALUE"""),"")</f>
        <v/>
      </c>
      <c r="F633" s="18" t="str">
        <f ca="1">IFERROR(__xludf.DUMMYFUNCTION("""COMPUTED_VALUE"""),"")</f>
        <v/>
      </c>
      <c r="G633" s="18" t="str">
        <f ca="1">IFERROR(__xludf.DUMMYFUNCTION("""COMPUTED_VALUE"""),"")</f>
        <v/>
      </c>
      <c r="H633" s="18" t="str">
        <f ca="1">IFERROR(__xludf.DUMMYFUNCTION("""COMPUTED_VALUE"""),"")</f>
        <v/>
      </c>
      <c r="I633" s="18" t="str">
        <f ca="1">IFERROR(__xludf.DUMMYFUNCTION("""COMPUTED_VALUE"""),"")</f>
        <v/>
      </c>
      <c r="J633" s="18" t="str">
        <f ca="1">IFERROR(__xludf.DUMMYFUNCTION("""COMPUTED_VALUE"""),"")</f>
        <v/>
      </c>
      <c r="K633" s="18" t="str">
        <f ca="1">IFERROR(__xludf.DUMMYFUNCTION("""COMPUTED_VALUE"""),"")</f>
        <v/>
      </c>
      <c r="L633" s="18" t="str">
        <f ca="1">IFERROR(__xludf.DUMMYFUNCTION("""COMPUTED_VALUE"""),"")</f>
        <v/>
      </c>
      <c r="M633" s="18" t="str">
        <f ca="1">IFERROR(__xludf.DUMMYFUNCTION("""COMPUTED_VALUE"""),"")</f>
        <v/>
      </c>
      <c r="N633" s="18" t="str">
        <f ca="1">IFERROR(__xludf.DUMMYFUNCTION("""COMPUTED_VALUE"""),"")</f>
        <v/>
      </c>
      <c r="O633" s="18" t="str">
        <f ca="1">IFERROR(__xludf.DUMMYFUNCTION("""COMPUTED_VALUE"""),"")</f>
        <v/>
      </c>
      <c r="P633" s="18" t="str">
        <f ca="1">IFERROR(__xludf.DUMMYFUNCTION("""COMPUTED_VALUE"""),"")</f>
        <v/>
      </c>
      <c r="Q633" s="18" t="str">
        <f ca="1">IFERROR(__xludf.DUMMYFUNCTION("""COMPUTED_VALUE"""),"")</f>
        <v/>
      </c>
      <c r="R633" s="18" t="str">
        <f ca="1">IFERROR(__xludf.DUMMYFUNCTION("""COMPUTED_VALUE"""),"")</f>
        <v/>
      </c>
      <c r="S633" s="18" t="str">
        <f ca="1">IFERROR(__xludf.DUMMYFUNCTION("""COMPUTED_VALUE"""),"")</f>
        <v/>
      </c>
      <c r="T633" s="18" t="str">
        <f ca="1">IFERROR(__xludf.DUMMYFUNCTION("""COMPUTED_VALUE"""),"")</f>
        <v/>
      </c>
      <c r="U633" s="18" t="str">
        <f ca="1">IFERROR(__xludf.DUMMYFUNCTION("""COMPUTED_VALUE"""),"")</f>
        <v/>
      </c>
      <c r="V633" s="18" t="str">
        <f ca="1">IFERROR(__xludf.DUMMYFUNCTION("""COMPUTED_VALUE"""),"")</f>
        <v/>
      </c>
      <c r="W633" s="18" t="str">
        <f ca="1">IFERROR(__xludf.DUMMYFUNCTION("""COMPUTED_VALUE"""),"")</f>
        <v/>
      </c>
      <c r="X633" s="18" t="str">
        <f ca="1">IFERROR(__xludf.DUMMYFUNCTION("""COMPUTED_VALUE"""),"")</f>
        <v/>
      </c>
      <c r="Y633" s="18" t="e">
        <f ca="1"/>
        <v>#NAME?</v>
      </c>
      <c r="Z633" s="18" t="str">
        <f ca="1">IFERROR(__xludf.DUMMYFUNCTION("""COMPUTED_VALUE"""),"")</f>
        <v/>
      </c>
      <c r="AA633" s="18" t="str">
        <f ca="1">IFERROR(__xludf.DUMMYFUNCTION("""COMPUTED_VALUE"""),"")</f>
        <v/>
      </c>
      <c r="AC633" s="59"/>
    </row>
    <row r="634" spans="1:29" x14ac:dyDescent="0.25">
      <c r="A634" s="18">
        <v>0</v>
      </c>
      <c r="B634" s="52" t="str">
        <f ca="1"/>
        <v/>
      </c>
      <c r="C634" s="52" t="str">
        <f ca="1">IFERROR(__xludf.DUMMYFUNCTION("""COMPUTED_VALUE"""),"")</f>
        <v/>
      </c>
      <c r="D634" s="18" t="str">
        <f ca="1">IFERROR(__xludf.DUMMYFUNCTION("""COMPUTED_VALUE"""),"")</f>
        <v/>
      </c>
      <c r="E634" s="18" t="str">
        <f ca="1">IFERROR(__xludf.DUMMYFUNCTION("""COMPUTED_VALUE"""),"")</f>
        <v/>
      </c>
      <c r="F634" s="18" t="str">
        <f ca="1">IFERROR(__xludf.DUMMYFUNCTION("""COMPUTED_VALUE"""),"")</f>
        <v/>
      </c>
      <c r="G634" s="18" t="str">
        <f ca="1">IFERROR(__xludf.DUMMYFUNCTION("""COMPUTED_VALUE"""),"")</f>
        <v/>
      </c>
      <c r="H634" s="18" t="str">
        <f ca="1">IFERROR(__xludf.DUMMYFUNCTION("""COMPUTED_VALUE"""),"")</f>
        <v/>
      </c>
      <c r="I634" s="18" t="str">
        <f ca="1">IFERROR(__xludf.DUMMYFUNCTION("""COMPUTED_VALUE"""),"")</f>
        <v/>
      </c>
      <c r="J634" s="18" t="str">
        <f ca="1">IFERROR(__xludf.DUMMYFUNCTION("""COMPUTED_VALUE"""),"")</f>
        <v/>
      </c>
      <c r="K634" s="18" t="str">
        <f ca="1">IFERROR(__xludf.DUMMYFUNCTION("""COMPUTED_VALUE"""),"")</f>
        <v/>
      </c>
      <c r="L634" s="18" t="str">
        <f ca="1">IFERROR(__xludf.DUMMYFUNCTION("""COMPUTED_VALUE"""),"")</f>
        <v/>
      </c>
      <c r="M634" s="18" t="str">
        <f ca="1">IFERROR(__xludf.DUMMYFUNCTION("""COMPUTED_VALUE"""),"")</f>
        <v/>
      </c>
      <c r="N634" s="18" t="str">
        <f ca="1">IFERROR(__xludf.DUMMYFUNCTION("""COMPUTED_VALUE"""),"")</f>
        <v/>
      </c>
      <c r="O634" s="18" t="str">
        <f ca="1">IFERROR(__xludf.DUMMYFUNCTION("""COMPUTED_VALUE"""),"")</f>
        <v/>
      </c>
      <c r="P634" s="18" t="str">
        <f ca="1">IFERROR(__xludf.DUMMYFUNCTION("""COMPUTED_VALUE"""),"")</f>
        <v/>
      </c>
      <c r="Q634" s="18" t="str">
        <f ca="1">IFERROR(__xludf.DUMMYFUNCTION("""COMPUTED_VALUE"""),"")</f>
        <v/>
      </c>
      <c r="R634" s="18" t="str">
        <f ca="1">IFERROR(__xludf.DUMMYFUNCTION("""COMPUTED_VALUE"""),"")</f>
        <v/>
      </c>
      <c r="S634" s="18" t="str">
        <f ca="1">IFERROR(__xludf.DUMMYFUNCTION("""COMPUTED_VALUE"""),"")</f>
        <v/>
      </c>
      <c r="T634" s="18" t="str">
        <f ca="1">IFERROR(__xludf.DUMMYFUNCTION("""COMPUTED_VALUE"""),"")</f>
        <v/>
      </c>
      <c r="U634" s="18" t="str">
        <f ca="1">IFERROR(__xludf.DUMMYFUNCTION("""COMPUTED_VALUE"""),"")</f>
        <v/>
      </c>
      <c r="V634" s="18" t="str">
        <f ca="1">IFERROR(__xludf.DUMMYFUNCTION("""COMPUTED_VALUE"""),"")</f>
        <v/>
      </c>
      <c r="W634" s="18" t="str">
        <f ca="1">IFERROR(__xludf.DUMMYFUNCTION("""COMPUTED_VALUE"""),"")</f>
        <v/>
      </c>
      <c r="X634" s="18" t="str">
        <f ca="1">IFERROR(__xludf.DUMMYFUNCTION("""COMPUTED_VALUE"""),"")</f>
        <v/>
      </c>
      <c r="Y634" s="18" t="e">
        <f ca="1"/>
        <v>#NAME?</v>
      </c>
      <c r="Z634" s="18" t="str">
        <f ca="1">IFERROR(__xludf.DUMMYFUNCTION("""COMPUTED_VALUE"""),"")</f>
        <v/>
      </c>
      <c r="AA634" s="18" t="str">
        <f ca="1">IFERROR(__xludf.DUMMYFUNCTION("""COMPUTED_VALUE"""),"")</f>
        <v/>
      </c>
      <c r="AC634" s="59"/>
    </row>
    <row r="635" spans="1:29" x14ac:dyDescent="0.25">
      <c r="A635" s="18">
        <v>0</v>
      </c>
      <c r="B635" s="52" t="str">
        <f ca="1"/>
        <v/>
      </c>
      <c r="C635" s="52" t="str">
        <f ca="1">IFERROR(__xludf.DUMMYFUNCTION("""COMPUTED_VALUE"""),"")</f>
        <v/>
      </c>
      <c r="D635" s="18" t="str">
        <f ca="1">IFERROR(__xludf.DUMMYFUNCTION("""COMPUTED_VALUE"""),"")</f>
        <v/>
      </c>
      <c r="E635" s="18" t="str">
        <f ca="1">IFERROR(__xludf.DUMMYFUNCTION("""COMPUTED_VALUE"""),"")</f>
        <v/>
      </c>
      <c r="F635" s="18" t="str">
        <f ca="1">IFERROR(__xludf.DUMMYFUNCTION("""COMPUTED_VALUE"""),"")</f>
        <v/>
      </c>
      <c r="G635" s="18" t="str">
        <f ca="1">IFERROR(__xludf.DUMMYFUNCTION("""COMPUTED_VALUE"""),"")</f>
        <v/>
      </c>
      <c r="H635" s="18" t="str">
        <f ca="1">IFERROR(__xludf.DUMMYFUNCTION("""COMPUTED_VALUE"""),"")</f>
        <v/>
      </c>
      <c r="I635" s="18" t="str">
        <f ca="1">IFERROR(__xludf.DUMMYFUNCTION("""COMPUTED_VALUE"""),"")</f>
        <v/>
      </c>
      <c r="J635" s="18" t="str">
        <f ca="1">IFERROR(__xludf.DUMMYFUNCTION("""COMPUTED_VALUE"""),"")</f>
        <v/>
      </c>
      <c r="K635" s="18" t="str">
        <f ca="1">IFERROR(__xludf.DUMMYFUNCTION("""COMPUTED_VALUE"""),"")</f>
        <v/>
      </c>
      <c r="L635" s="18" t="str">
        <f ca="1">IFERROR(__xludf.DUMMYFUNCTION("""COMPUTED_VALUE"""),"")</f>
        <v/>
      </c>
      <c r="M635" s="18" t="str">
        <f ca="1">IFERROR(__xludf.DUMMYFUNCTION("""COMPUTED_VALUE"""),"")</f>
        <v/>
      </c>
      <c r="N635" s="18" t="str">
        <f ca="1">IFERROR(__xludf.DUMMYFUNCTION("""COMPUTED_VALUE"""),"")</f>
        <v/>
      </c>
      <c r="O635" s="18" t="str">
        <f ca="1">IFERROR(__xludf.DUMMYFUNCTION("""COMPUTED_VALUE"""),"")</f>
        <v/>
      </c>
      <c r="P635" s="18" t="str">
        <f ca="1">IFERROR(__xludf.DUMMYFUNCTION("""COMPUTED_VALUE"""),"")</f>
        <v/>
      </c>
      <c r="Q635" s="18" t="str">
        <f ca="1">IFERROR(__xludf.DUMMYFUNCTION("""COMPUTED_VALUE"""),"")</f>
        <v/>
      </c>
      <c r="R635" s="18" t="str">
        <f ca="1">IFERROR(__xludf.DUMMYFUNCTION("""COMPUTED_VALUE"""),"")</f>
        <v/>
      </c>
      <c r="S635" s="18" t="str">
        <f ca="1">IFERROR(__xludf.DUMMYFUNCTION("""COMPUTED_VALUE"""),"")</f>
        <v/>
      </c>
      <c r="T635" s="18" t="str">
        <f ca="1">IFERROR(__xludf.DUMMYFUNCTION("""COMPUTED_VALUE"""),"")</f>
        <v/>
      </c>
      <c r="U635" s="18" t="str">
        <f ca="1">IFERROR(__xludf.DUMMYFUNCTION("""COMPUTED_VALUE"""),"")</f>
        <v/>
      </c>
      <c r="V635" s="18" t="str">
        <f ca="1">IFERROR(__xludf.DUMMYFUNCTION("""COMPUTED_VALUE"""),"")</f>
        <v/>
      </c>
      <c r="W635" s="18" t="str">
        <f ca="1">IFERROR(__xludf.DUMMYFUNCTION("""COMPUTED_VALUE"""),"")</f>
        <v/>
      </c>
      <c r="X635" s="18" t="str">
        <f ca="1">IFERROR(__xludf.DUMMYFUNCTION("""COMPUTED_VALUE"""),"")</f>
        <v/>
      </c>
      <c r="Y635" s="18" t="e">
        <f ca="1"/>
        <v>#NAME?</v>
      </c>
      <c r="Z635" s="18" t="str">
        <f ca="1">IFERROR(__xludf.DUMMYFUNCTION("""COMPUTED_VALUE"""),"")</f>
        <v/>
      </c>
      <c r="AA635" s="18" t="str">
        <f ca="1">IFERROR(__xludf.DUMMYFUNCTION("""COMPUTED_VALUE"""),"")</f>
        <v/>
      </c>
      <c r="AC635" s="59"/>
    </row>
    <row r="636" spans="1:29" x14ac:dyDescent="0.25">
      <c r="A636" s="18">
        <v>0</v>
      </c>
      <c r="B636" s="52" t="str">
        <f ca="1"/>
        <v/>
      </c>
      <c r="C636" s="52" t="str">
        <f ca="1">IFERROR(__xludf.DUMMYFUNCTION("""COMPUTED_VALUE"""),"")</f>
        <v/>
      </c>
      <c r="D636" s="18" t="str">
        <f ca="1">IFERROR(__xludf.DUMMYFUNCTION("""COMPUTED_VALUE"""),"")</f>
        <v/>
      </c>
      <c r="E636" s="18" t="str">
        <f ca="1">IFERROR(__xludf.DUMMYFUNCTION("""COMPUTED_VALUE"""),"")</f>
        <v/>
      </c>
      <c r="F636" s="18" t="str">
        <f ca="1">IFERROR(__xludf.DUMMYFUNCTION("""COMPUTED_VALUE"""),"")</f>
        <v/>
      </c>
      <c r="G636" s="18" t="str">
        <f ca="1">IFERROR(__xludf.DUMMYFUNCTION("""COMPUTED_VALUE"""),"")</f>
        <v/>
      </c>
      <c r="H636" s="18" t="str">
        <f ca="1">IFERROR(__xludf.DUMMYFUNCTION("""COMPUTED_VALUE"""),"")</f>
        <v/>
      </c>
      <c r="I636" s="18" t="str">
        <f ca="1">IFERROR(__xludf.DUMMYFUNCTION("""COMPUTED_VALUE"""),"")</f>
        <v/>
      </c>
      <c r="J636" s="18" t="str">
        <f ca="1">IFERROR(__xludf.DUMMYFUNCTION("""COMPUTED_VALUE"""),"")</f>
        <v/>
      </c>
      <c r="K636" s="18" t="str">
        <f ca="1">IFERROR(__xludf.DUMMYFUNCTION("""COMPUTED_VALUE"""),"")</f>
        <v/>
      </c>
      <c r="L636" s="18" t="str">
        <f ca="1">IFERROR(__xludf.DUMMYFUNCTION("""COMPUTED_VALUE"""),"")</f>
        <v/>
      </c>
      <c r="M636" s="18" t="str">
        <f ca="1">IFERROR(__xludf.DUMMYFUNCTION("""COMPUTED_VALUE"""),"")</f>
        <v/>
      </c>
      <c r="N636" s="18" t="str">
        <f ca="1">IFERROR(__xludf.DUMMYFUNCTION("""COMPUTED_VALUE"""),"")</f>
        <v/>
      </c>
      <c r="O636" s="18" t="str">
        <f ca="1">IFERROR(__xludf.DUMMYFUNCTION("""COMPUTED_VALUE"""),"")</f>
        <v/>
      </c>
      <c r="P636" s="18" t="str">
        <f ca="1">IFERROR(__xludf.DUMMYFUNCTION("""COMPUTED_VALUE"""),"")</f>
        <v/>
      </c>
      <c r="Q636" s="18" t="str">
        <f ca="1">IFERROR(__xludf.DUMMYFUNCTION("""COMPUTED_VALUE"""),"")</f>
        <v/>
      </c>
      <c r="R636" s="18" t="str">
        <f ca="1">IFERROR(__xludf.DUMMYFUNCTION("""COMPUTED_VALUE"""),"")</f>
        <v/>
      </c>
      <c r="S636" s="18" t="str">
        <f ca="1">IFERROR(__xludf.DUMMYFUNCTION("""COMPUTED_VALUE"""),"")</f>
        <v/>
      </c>
      <c r="T636" s="18" t="str">
        <f ca="1">IFERROR(__xludf.DUMMYFUNCTION("""COMPUTED_VALUE"""),"")</f>
        <v/>
      </c>
      <c r="U636" s="18" t="str">
        <f ca="1">IFERROR(__xludf.DUMMYFUNCTION("""COMPUTED_VALUE"""),"")</f>
        <v/>
      </c>
      <c r="V636" s="18" t="str">
        <f ca="1">IFERROR(__xludf.DUMMYFUNCTION("""COMPUTED_VALUE"""),"")</f>
        <v/>
      </c>
      <c r="W636" s="18" t="str">
        <f ca="1">IFERROR(__xludf.DUMMYFUNCTION("""COMPUTED_VALUE"""),"")</f>
        <v/>
      </c>
      <c r="X636" s="18" t="str">
        <f ca="1">IFERROR(__xludf.DUMMYFUNCTION("""COMPUTED_VALUE"""),"")</f>
        <v/>
      </c>
      <c r="Y636" s="18" t="e">
        <f ca="1"/>
        <v>#NAME?</v>
      </c>
      <c r="Z636" s="18" t="str">
        <f ca="1">IFERROR(__xludf.DUMMYFUNCTION("""COMPUTED_VALUE"""),"")</f>
        <v/>
      </c>
      <c r="AA636" s="18" t="str">
        <f ca="1">IFERROR(__xludf.DUMMYFUNCTION("""COMPUTED_VALUE"""),"")</f>
        <v/>
      </c>
      <c r="AC636" s="59"/>
    </row>
    <row r="637" spans="1:29" x14ac:dyDescent="0.25">
      <c r="A637" s="18">
        <v>0</v>
      </c>
      <c r="B637" s="52" t="str">
        <f ca="1"/>
        <v/>
      </c>
      <c r="C637" s="52" t="str">
        <f ca="1">IFERROR(__xludf.DUMMYFUNCTION("""COMPUTED_VALUE"""),"")</f>
        <v/>
      </c>
      <c r="D637" s="18" t="str">
        <f ca="1">IFERROR(__xludf.DUMMYFUNCTION("""COMPUTED_VALUE"""),"")</f>
        <v/>
      </c>
      <c r="E637" s="18" t="str">
        <f ca="1">IFERROR(__xludf.DUMMYFUNCTION("""COMPUTED_VALUE"""),"")</f>
        <v/>
      </c>
      <c r="F637" s="18" t="str">
        <f ca="1">IFERROR(__xludf.DUMMYFUNCTION("""COMPUTED_VALUE"""),"")</f>
        <v/>
      </c>
      <c r="G637" s="18" t="str">
        <f ca="1">IFERROR(__xludf.DUMMYFUNCTION("""COMPUTED_VALUE"""),"")</f>
        <v/>
      </c>
      <c r="H637" s="18" t="str">
        <f ca="1">IFERROR(__xludf.DUMMYFUNCTION("""COMPUTED_VALUE"""),"")</f>
        <v/>
      </c>
      <c r="I637" s="18" t="str">
        <f ca="1">IFERROR(__xludf.DUMMYFUNCTION("""COMPUTED_VALUE"""),"")</f>
        <v/>
      </c>
      <c r="J637" s="18" t="str">
        <f ca="1">IFERROR(__xludf.DUMMYFUNCTION("""COMPUTED_VALUE"""),"")</f>
        <v/>
      </c>
      <c r="K637" s="18" t="str">
        <f ca="1">IFERROR(__xludf.DUMMYFUNCTION("""COMPUTED_VALUE"""),"")</f>
        <v/>
      </c>
      <c r="L637" s="18" t="str">
        <f ca="1">IFERROR(__xludf.DUMMYFUNCTION("""COMPUTED_VALUE"""),"")</f>
        <v/>
      </c>
      <c r="M637" s="18" t="str">
        <f ca="1">IFERROR(__xludf.DUMMYFUNCTION("""COMPUTED_VALUE"""),"")</f>
        <v/>
      </c>
      <c r="N637" s="18" t="str">
        <f ca="1">IFERROR(__xludf.DUMMYFUNCTION("""COMPUTED_VALUE"""),"")</f>
        <v/>
      </c>
      <c r="O637" s="18" t="str">
        <f ca="1">IFERROR(__xludf.DUMMYFUNCTION("""COMPUTED_VALUE"""),"")</f>
        <v/>
      </c>
      <c r="P637" s="18" t="str">
        <f ca="1">IFERROR(__xludf.DUMMYFUNCTION("""COMPUTED_VALUE"""),"")</f>
        <v/>
      </c>
      <c r="Q637" s="18" t="str">
        <f ca="1">IFERROR(__xludf.DUMMYFUNCTION("""COMPUTED_VALUE"""),"")</f>
        <v/>
      </c>
      <c r="R637" s="18" t="str">
        <f ca="1">IFERROR(__xludf.DUMMYFUNCTION("""COMPUTED_VALUE"""),"")</f>
        <v/>
      </c>
      <c r="S637" s="18" t="str">
        <f ca="1">IFERROR(__xludf.DUMMYFUNCTION("""COMPUTED_VALUE"""),"")</f>
        <v/>
      </c>
      <c r="T637" s="18" t="str">
        <f ca="1">IFERROR(__xludf.DUMMYFUNCTION("""COMPUTED_VALUE"""),"")</f>
        <v/>
      </c>
      <c r="U637" s="18" t="str">
        <f ca="1">IFERROR(__xludf.DUMMYFUNCTION("""COMPUTED_VALUE"""),"")</f>
        <v/>
      </c>
      <c r="V637" s="18" t="str">
        <f ca="1">IFERROR(__xludf.DUMMYFUNCTION("""COMPUTED_VALUE"""),"")</f>
        <v/>
      </c>
      <c r="W637" s="18" t="str">
        <f ca="1">IFERROR(__xludf.DUMMYFUNCTION("""COMPUTED_VALUE"""),"")</f>
        <v/>
      </c>
      <c r="X637" s="18" t="str">
        <f ca="1">IFERROR(__xludf.DUMMYFUNCTION("""COMPUTED_VALUE"""),"")</f>
        <v/>
      </c>
      <c r="Y637" s="18" t="e">
        <f ca="1"/>
        <v>#NAME?</v>
      </c>
      <c r="Z637" s="18" t="str">
        <f ca="1">IFERROR(__xludf.DUMMYFUNCTION("""COMPUTED_VALUE"""),"")</f>
        <v/>
      </c>
      <c r="AA637" s="18" t="str">
        <f ca="1">IFERROR(__xludf.DUMMYFUNCTION("""COMPUTED_VALUE"""),"")</f>
        <v/>
      </c>
      <c r="AC637" s="59"/>
    </row>
    <row r="638" spans="1:29" x14ac:dyDescent="0.25">
      <c r="A638" s="18">
        <v>0</v>
      </c>
      <c r="B638" s="52" t="str">
        <f ca="1"/>
        <v/>
      </c>
      <c r="C638" s="52" t="str">
        <f ca="1">IFERROR(__xludf.DUMMYFUNCTION("""COMPUTED_VALUE"""),"")</f>
        <v/>
      </c>
      <c r="D638" s="18" t="str">
        <f ca="1">IFERROR(__xludf.DUMMYFUNCTION("""COMPUTED_VALUE"""),"")</f>
        <v/>
      </c>
      <c r="E638" s="18" t="str">
        <f ca="1">IFERROR(__xludf.DUMMYFUNCTION("""COMPUTED_VALUE"""),"")</f>
        <v/>
      </c>
      <c r="F638" s="18" t="str">
        <f ca="1">IFERROR(__xludf.DUMMYFUNCTION("""COMPUTED_VALUE"""),"")</f>
        <v/>
      </c>
      <c r="G638" s="18" t="str">
        <f ca="1">IFERROR(__xludf.DUMMYFUNCTION("""COMPUTED_VALUE"""),"")</f>
        <v/>
      </c>
      <c r="H638" s="18" t="str">
        <f ca="1">IFERROR(__xludf.DUMMYFUNCTION("""COMPUTED_VALUE"""),"")</f>
        <v/>
      </c>
      <c r="I638" s="18" t="str">
        <f ca="1">IFERROR(__xludf.DUMMYFUNCTION("""COMPUTED_VALUE"""),"")</f>
        <v/>
      </c>
      <c r="J638" s="18" t="str">
        <f ca="1">IFERROR(__xludf.DUMMYFUNCTION("""COMPUTED_VALUE"""),"")</f>
        <v/>
      </c>
      <c r="K638" s="18" t="str">
        <f ca="1">IFERROR(__xludf.DUMMYFUNCTION("""COMPUTED_VALUE"""),"")</f>
        <v/>
      </c>
      <c r="L638" s="18" t="str">
        <f ca="1">IFERROR(__xludf.DUMMYFUNCTION("""COMPUTED_VALUE"""),"")</f>
        <v/>
      </c>
      <c r="M638" s="18" t="str">
        <f ca="1">IFERROR(__xludf.DUMMYFUNCTION("""COMPUTED_VALUE"""),"")</f>
        <v/>
      </c>
      <c r="N638" s="18" t="str">
        <f ca="1">IFERROR(__xludf.DUMMYFUNCTION("""COMPUTED_VALUE"""),"")</f>
        <v/>
      </c>
      <c r="O638" s="18" t="str">
        <f ca="1">IFERROR(__xludf.DUMMYFUNCTION("""COMPUTED_VALUE"""),"")</f>
        <v/>
      </c>
      <c r="P638" s="18" t="str">
        <f ca="1">IFERROR(__xludf.DUMMYFUNCTION("""COMPUTED_VALUE"""),"")</f>
        <v/>
      </c>
      <c r="Q638" s="18" t="str">
        <f ca="1">IFERROR(__xludf.DUMMYFUNCTION("""COMPUTED_VALUE"""),"")</f>
        <v/>
      </c>
      <c r="R638" s="18" t="str">
        <f ca="1">IFERROR(__xludf.DUMMYFUNCTION("""COMPUTED_VALUE"""),"")</f>
        <v/>
      </c>
      <c r="S638" s="18" t="str">
        <f ca="1">IFERROR(__xludf.DUMMYFUNCTION("""COMPUTED_VALUE"""),"")</f>
        <v/>
      </c>
      <c r="T638" s="18" t="str">
        <f ca="1">IFERROR(__xludf.DUMMYFUNCTION("""COMPUTED_VALUE"""),"")</f>
        <v/>
      </c>
      <c r="U638" s="18" t="str">
        <f ca="1">IFERROR(__xludf.DUMMYFUNCTION("""COMPUTED_VALUE"""),"")</f>
        <v/>
      </c>
      <c r="V638" s="18" t="str">
        <f ca="1">IFERROR(__xludf.DUMMYFUNCTION("""COMPUTED_VALUE"""),"")</f>
        <v/>
      </c>
      <c r="W638" s="18" t="str">
        <f ca="1">IFERROR(__xludf.DUMMYFUNCTION("""COMPUTED_VALUE"""),"")</f>
        <v/>
      </c>
      <c r="X638" s="18" t="str">
        <f ca="1">IFERROR(__xludf.DUMMYFUNCTION("""COMPUTED_VALUE"""),"")</f>
        <v/>
      </c>
      <c r="Y638" s="18" t="e">
        <f ca="1"/>
        <v>#NAME?</v>
      </c>
      <c r="Z638" s="18" t="str">
        <f ca="1">IFERROR(__xludf.DUMMYFUNCTION("""COMPUTED_VALUE"""),"")</f>
        <v/>
      </c>
      <c r="AA638" s="18" t="str">
        <f ca="1">IFERROR(__xludf.DUMMYFUNCTION("""COMPUTED_VALUE"""),"")</f>
        <v/>
      </c>
      <c r="AC638" s="59"/>
    </row>
    <row r="639" spans="1:29" x14ac:dyDescent="0.25">
      <c r="A639" s="18">
        <v>0</v>
      </c>
      <c r="B639" s="52" t="str">
        <f ca="1"/>
        <v/>
      </c>
      <c r="C639" s="52" t="str">
        <f ca="1">IFERROR(__xludf.DUMMYFUNCTION("""COMPUTED_VALUE"""),"")</f>
        <v/>
      </c>
      <c r="D639" s="18" t="str">
        <f ca="1">IFERROR(__xludf.DUMMYFUNCTION("""COMPUTED_VALUE"""),"")</f>
        <v/>
      </c>
      <c r="E639" s="18" t="str">
        <f ca="1">IFERROR(__xludf.DUMMYFUNCTION("""COMPUTED_VALUE"""),"")</f>
        <v/>
      </c>
      <c r="F639" s="18" t="str">
        <f ca="1">IFERROR(__xludf.DUMMYFUNCTION("""COMPUTED_VALUE"""),"")</f>
        <v/>
      </c>
      <c r="G639" s="18" t="str">
        <f ca="1">IFERROR(__xludf.DUMMYFUNCTION("""COMPUTED_VALUE"""),"")</f>
        <v/>
      </c>
      <c r="H639" s="18" t="str">
        <f ca="1">IFERROR(__xludf.DUMMYFUNCTION("""COMPUTED_VALUE"""),"")</f>
        <v/>
      </c>
      <c r="I639" s="18" t="str">
        <f ca="1">IFERROR(__xludf.DUMMYFUNCTION("""COMPUTED_VALUE"""),"")</f>
        <v/>
      </c>
      <c r="J639" s="18" t="str">
        <f ca="1">IFERROR(__xludf.DUMMYFUNCTION("""COMPUTED_VALUE"""),"")</f>
        <v/>
      </c>
      <c r="K639" s="18" t="str">
        <f ca="1">IFERROR(__xludf.DUMMYFUNCTION("""COMPUTED_VALUE"""),"")</f>
        <v/>
      </c>
      <c r="L639" s="18" t="str">
        <f ca="1">IFERROR(__xludf.DUMMYFUNCTION("""COMPUTED_VALUE"""),"")</f>
        <v/>
      </c>
      <c r="M639" s="18" t="str">
        <f ca="1">IFERROR(__xludf.DUMMYFUNCTION("""COMPUTED_VALUE"""),"")</f>
        <v/>
      </c>
      <c r="N639" s="18" t="str">
        <f ca="1">IFERROR(__xludf.DUMMYFUNCTION("""COMPUTED_VALUE"""),"")</f>
        <v/>
      </c>
      <c r="O639" s="18" t="str">
        <f ca="1">IFERROR(__xludf.DUMMYFUNCTION("""COMPUTED_VALUE"""),"")</f>
        <v/>
      </c>
      <c r="P639" s="18" t="str">
        <f ca="1">IFERROR(__xludf.DUMMYFUNCTION("""COMPUTED_VALUE"""),"")</f>
        <v/>
      </c>
      <c r="Q639" s="18" t="str">
        <f ca="1">IFERROR(__xludf.DUMMYFUNCTION("""COMPUTED_VALUE"""),"")</f>
        <v/>
      </c>
      <c r="R639" s="18" t="str">
        <f ca="1">IFERROR(__xludf.DUMMYFUNCTION("""COMPUTED_VALUE"""),"")</f>
        <v/>
      </c>
      <c r="S639" s="18" t="str">
        <f ca="1">IFERROR(__xludf.DUMMYFUNCTION("""COMPUTED_VALUE"""),"")</f>
        <v/>
      </c>
      <c r="T639" s="18" t="str">
        <f ca="1">IFERROR(__xludf.DUMMYFUNCTION("""COMPUTED_VALUE"""),"")</f>
        <v/>
      </c>
      <c r="U639" s="18" t="str">
        <f ca="1">IFERROR(__xludf.DUMMYFUNCTION("""COMPUTED_VALUE"""),"")</f>
        <v/>
      </c>
      <c r="V639" s="18" t="str">
        <f ca="1">IFERROR(__xludf.DUMMYFUNCTION("""COMPUTED_VALUE"""),"")</f>
        <v/>
      </c>
      <c r="W639" s="18" t="str">
        <f ca="1">IFERROR(__xludf.DUMMYFUNCTION("""COMPUTED_VALUE"""),"")</f>
        <v/>
      </c>
      <c r="X639" s="18" t="str">
        <f ca="1">IFERROR(__xludf.DUMMYFUNCTION("""COMPUTED_VALUE"""),"")</f>
        <v/>
      </c>
      <c r="Y639" s="18" t="e">
        <f ca="1"/>
        <v>#NAME?</v>
      </c>
      <c r="Z639" s="18" t="str">
        <f ca="1">IFERROR(__xludf.DUMMYFUNCTION("""COMPUTED_VALUE"""),"")</f>
        <v/>
      </c>
      <c r="AA639" s="18" t="str">
        <f ca="1">IFERROR(__xludf.DUMMYFUNCTION("""COMPUTED_VALUE"""),"")</f>
        <v/>
      </c>
      <c r="AC639" s="59"/>
    </row>
    <row r="640" spans="1:29" x14ac:dyDescent="0.25">
      <c r="A640" s="18">
        <v>0</v>
      </c>
      <c r="B640" s="52" t="str">
        <f ca="1"/>
        <v/>
      </c>
      <c r="C640" s="52" t="str">
        <f ca="1">IFERROR(__xludf.DUMMYFUNCTION("""COMPUTED_VALUE"""),"")</f>
        <v/>
      </c>
      <c r="D640" s="18" t="str">
        <f ca="1">IFERROR(__xludf.DUMMYFUNCTION("""COMPUTED_VALUE"""),"")</f>
        <v/>
      </c>
      <c r="E640" s="18" t="str">
        <f ca="1">IFERROR(__xludf.DUMMYFUNCTION("""COMPUTED_VALUE"""),"")</f>
        <v/>
      </c>
      <c r="F640" s="18" t="str">
        <f ca="1">IFERROR(__xludf.DUMMYFUNCTION("""COMPUTED_VALUE"""),"")</f>
        <v/>
      </c>
      <c r="G640" s="18" t="str">
        <f ca="1">IFERROR(__xludf.DUMMYFUNCTION("""COMPUTED_VALUE"""),"")</f>
        <v/>
      </c>
      <c r="H640" s="18" t="str">
        <f ca="1">IFERROR(__xludf.DUMMYFUNCTION("""COMPUTED_VALUE"""),"")</f>
        <v/>
      </c>
      <c r="I640" s="18" t="str">
        <f ca="1">IFERROR(__xludf.DUMMYFUNCTION("""COMPUTED_VALUE"""),"")</f>
        <v/>
      </c>
      <c r="J640" s="18" t="str">
        <f ca="1">IFERROR(__xludf.DUMMYFUNCTION("""COMPUTED_VALUE"""),"")</f>
        <v/>
      </c>
      <c r="K640" s="18" t="str">
        <f ca="1">IFERROR(__xludf.DUMMYFUNCTION("""COMPUTED_VALUE"""),"")</f>
        <v/>
      </c>
      <c r="L640" s="18" t="str">
        <f ca="1">IFERROR(__xludf.DUMMYFUNCTION("""COMPUTED_VALUE"""),"")</f>
        <v/>
      </c>
      <c r="M640" s="18" t="str">
        <f ca="1">IFERROR(__xludf.DUMMYFUNCTION("""COMPUTED_VALUE"""),"")</f>
        <v/>
      </c>
      <c r="N640" s="18" t="str">
        <f ca="1">IFERROR(__xludf.DUMMYFUNCTION("""COMPUTED_VALUE"""),"")</f>
        <v/>
      </c>
      <c r="O640" s="18" t="str">
        <f ca="1">IFERROR(__xludf.DUMMYFUNCTION("""COMPUTED_VALUE"""),"")</f>
        <v/>
      </c>
      <c r="P640" s="18" t="str">
        <f ca="1">IFERROR(__xludf.DUMMYFUNCTION("""COMPUTED_VALUE"""),"")</f>
        <v/>
      </c>
      <c r="Q640" s="18" t="str">
        <f ca="1">IFERROR(__xludf.DUMMYFUNCTION("""COMPUTED_VALUE"""),"")</f>
        <v/>
      </c>
      <c r="R640" s="18" t="str">
        <f ca="1">IFERROR(__xludf.DUMMYFUNCTION("""COMPUTED_VALUE"""),"")</f>
        <v/>
      </c>
      <c r="S640" s="18" t="str">
        <f ca="1">IFERROR(__xludf.DUMMYFUNCTION("""COMPUTED_VALUE"""),"")</f>
        <v/>
      </c>
      <c r="T640" s="18" t="str">
        <f ca="1">IFERROR(__xludf.DUMMYFUNCTION("""COMPUTED_VALUE"""),"")</f>
        <v/>
      </c>
      <c r="U640" s="18" t="str">
        <f ca="1">IFERROR(__xludf.DUMMYFUNCTION("""COMPUTED_VALUE"""),"")</f>
        <v/>
      </c>
      <c r="V640" s="18" t="str">
        <f ca="1">IFERROR(__xludf.DUMMYFUNCTION("""COMPUTED_VALUE"""),"")</f>
        <v/>
      </c>
      <c r="W640" s="18" t="str">
        <f ca="1">IFERROR(__xludf.DUMMYFUNCTION("""COMPUTED_VALUE"""),"")</f>
        <v/>
      </c>
      <c r="X640" s="18" t="str">
        <f ca="1">IFERROR(__xludf.DUMMYFUNCTION("""COMPUTED_VALUE"""),"")</f>
        <v/>
      </c>
      <c r="Y640" s="18" t="e">
        <f ca="1"/>
        <v>#NAME?</v>
      </c>
      <c r="Z640" s="18" t="str">
        <f ca="1">IFERROR(__xludf.DUMMYFUNCTION("""COMPUTED_VALUE"""),"")</f>
        <v/>
      </c>
      <c r="AA640" s="18" t="str">
        <f ca="1">IFERROR(__xludf.DUMMYFUNCTION("""COMPUTED_VALUE"""),"")</f>
        <v/>
      </c>
      <c r="AC640" s="59"/>
    </row>
    <row r="641" spans="1:29" x14ac:dyDescent="0.25">
      <c r="A641" s="18">
        <v>0</v>
      </c>
      <c r="B641" s="52" t="str">
        <f ca="1"/>
        <v/>
      </c>
      <c r="C641" s="52" t="str">
        <f ca="1">IFERROR(__xludf.DUMMYFUNCTION("""COMPUTED_VALUE"""),"")</f>
        <v/>
      </c>
      <c r="D641" s="18" t="str">
        <f ca="1">IFERROR(__xludf.DUMMYFUNCTION("""COMPUTED_VALUE"""),"")</f>
        <v/>
      </c>
      <c r="E641" s="18" t="str">
        <f ca="1">IFERROR(__xludf.DUMMYFUNCTION("""COMPUTED_VALUE"""),"")</f>
        <v/>
      </c>
      <c r="F641" s="18" t="str">
        <f ca="1">IFERROR(__xludf.DUMMYFUNCTION("""COMPUTED_VALUE"""),"")</f>
        <v/>
      </c>
      <c r="G641" s="18" t="str">
        <f ca="1">IFERROR(__xludf.DUMMYFUNCTION("""COMPUTED_VALUE"""),"")</f>
        <v/>
      </c>
      <c r="H641" s="18" t="str">
        <f ca="1">IFERROR(__xludf.DUMMYFUNCTION("""COMPUTED_VALUE"""),"")</f>
        <v/>
      </c>
      <c r="I641" s="18" t="str">
        <f ca="1">IFERROR(__xludf.DUMMYFUNCTION("""COMPUTED_VALUE"""),"")</f>
        <v/>
      </c>
      <c r="J641" s="18" t="str">
        <f ca="1">IFERROR(__xludf.DUMMYFUNCTION("""COMPUTED_VALUE"""),"")</f>
        <v/>
      </c>
      <c r="K641" s="18" t="str">
        <f ca="1">IFERROR(__xludf.DUMMYFUNCTION("""COMPUTED_VALUE"""),"")</f>
        <v/>
      </c>
      <c r="L641" s="18" t="str">
        <f ca="1">IFERROR(__xludf.DUMMYFUNCTION("""COMPUTED_VALUE"""),"")</f>
        <v/>
      </c>
      <c r="M641" s="18" t="str">
        <f ca="1">IFERROR(__xludf.DUMMYFUNCTION("""COMPUTED_VALUE"""),"")</f>
        <v/>
      </c>
      <c r="N641" s="18" t="str">
        <f ca="1">IFERROR(__xludf.DUMMYFUNCTION("""COMPUTED_VALUE"""),"")</f>
        <v/>
      </c>
      <c r="O641" s="18" t="str">
        <f ca="1">IFERROR(__xludf.DUMMYFUNCTION("""COMPUTED_VALUE"""),"")</f>
        <v/>
      </c>
      <c r="P641" s="18" t="str">
        <f ca="1">IFERROR(__xludf.DUMMYFUNCTION("""COMPUTED_VALUE"""),"")</f>
        <v/>
      </c>
      <c r="Q641" s="18" t="str">
        <f ca="1">IFERROR(__xludf.DUMMYFUNCTION("""COMPUTED_VALUE"""),"")</f>
        <v/>
      </c>
      <c r="R641" s="18" t="str">
        <f ca="1">IFERROR(__xludf.DUMMYFUNCTION("""COMPUTED_VALUE"""),"")</f>
        <v/>
      </c>
      <c r="S641" s="18" t="str">
        <f ca="1">IFERROR(__xludf.DUMMYFUNCTION("""COMPUTED_VALUE"""),"")</f>
        <v/>
      </c>
      <c r="T641" s="18" t="str">
        <f ca="1">IFERROR(__xludf.DUMMYFUNCTION("""COMPUTED_VALUE"""),"")</f>
        <v/>
      </c>
      <c r="U641" s="18" t="str">
        <f ca="1">IFERROR(__xludf.DUMMYFUNCTION("""COMPUTED_VALUE"""),"")</f>
        <v/>
      </c>
      <c r="V641" s="18" t="str">
        <f ca="1">IFERROR(__xludf.DUMMYFUNCTION("""COMPUTED_VALUE"""),"")</f>
        <v/>
      </c>
      <c r="W641" s="18" t="str">
        <f ca="1">IFERROR(__xludf.DUMMYFUNCTION("""COMPUTED_VALUE"""),"")</f>
        <v/>
      </c>
      <c r="X641" s="18" t="str">
        <f ca="1">IFERROR(__xludf.DUMMYFUNCTION("""COMPUTED_VALUE"""),"")</f>
        <v/>
      </c>
      <c r="Y641" s="18" t="e">
        <f ca="1"/>
        <v>#NAME?</v>
      </c>
      <c r="Z641" s="18" t="str">
        <f ca="1">IFERROR(__xludf.DUMMYFUNCTION("""COMPUTED_VALUE"""),"")</f>
        <v/>
      </c>
      <c r="AA641" s="18" t="str">
        <f ca="1">IFERROR(__xludf.DUMMYFUNCTION("""COMPUTED_VALUE"""),"")</f>
        <v/>
      </c>
      <c r="AC641" s="59"/>
    </row>
    <row r="642" spans="1:29" x14ac:dyDescent="0.25">
      <c r="A642" s="18">
        <v>0</v>
      </c>
      <c r="B642" s="52" t="str">
        <f ca="1"/>
        <v/>
      </c>
      <c r="C642" s="52" t="str">
        <f ca="1">IFERROR(__xludf.DUMMYFUNCTION("""COMPUTED_VALUE"""),"")</f>
        <v/>
      </c>
      <c r="D642" s="18" t="str">
        <f ca="1">IFERROR(__xludf.DUMMYFUNCTION("""COMPUTED_VALUE"""),"")</f>
        <v/>
      </c>
      <c r="E642" s="18" t="str">
        <f ca="1">IFERROR(__xludf.DUMMYFUNCTION("""COMPUTED_VALUE"""),"")</f>
        <v/>
      </c>
      <c r="F642" s="18" t="str">
        <f ca="1">IFERROR(__xludf.DUMMYFUNCTION("""COMPUTED_VALUE"""),"")</f>
        <v/>
      </c>
      <c r="G642" s="18" t="str">
        <f ca="1">IFERROR(__xludf.DUMMYFUNCTION("""COMPUTED_VALUE"""),"")</f>
        <v/>
      </c>
      <c r="H642" s="18" t="str">
        <f ca="1">IFERROR(__xludf.DUMMYFUNCTION("""COMPUTED_VALUE"""),"")</f>
        <v/>
      </c>
      <c r="I642" s="18" t="str">
        <f ca="1">IFERROR(__xludf.DUMMYFUNCTION("""COMPUTED_VALUE"""),"")</f>
        <v/>
      </c>
      <c r="J642" s="18" t="str">
        <f ca="1">IFERROR(__xludf.DUMMYFUNCTION("""COMPUTED_VALUE"""),"")</f>
        <v/>
      </c>
      <c r="K642" s="18" t="str">
        <f ca="1">IFERROR(__xludf.DUMMYFUNCTION("""COMPUTED_VALUE"""),"")</f>
        <v/>
      </c>
      <c r="L642" s="18" t="str">
        <f ca="1">IFERROR(__xludf.DUMMYFUNCTION("""COMPUTED_VALUE"""),"")</f>
        <v/>
      </c>
      <c r="M642" s="18" t="str">
        <f ca="1">IFERROR(__xludf.DUMMYFUNCTION("""COMPUTED_VALUE"""),"")</f>
        <v/>
      </c>
      <c r="N642" s="18" t="str">
        <f ca="1">IFERROR(__xludf.DUMMYFUNCTION("""COMPUTED_VALUE"""),"")</f>
        <v/>
      </c>
      <c r="O642" s="18" t="str">
        <f ca="1">IFERROR(__xludf.DUMMYFUNCTION("""COMPUTED_VALUE"""),"")</f>
        <v/>
      </c>
      <c r="P642" s="18" t="str">
        <f ca="1">IFERROR(__xludf.DUMMYFUNCTION("""COMPUTED_VALUE"""),"")</f>
        <v/>
      </c>
      <c r="Q642" s="18" t="str">
        <f ca="1">IFERROR(__xludf.DUMMYFUNCTION("""COMPUTED_VALUE"""),"")</f>
        <v/>
      </c>
      <c r="R642" s="18" t="str">
        <f ca="1">IFERROR(__xludf.DUMMYFUNCTION("""COMPUTED_VALUE"""),"")</f>
        <v/>
      </c>
      <c r="S642" s="18" t="str">
        <f ca="1">IFERROR(__xludf.DUMMYFUNCTION("""COMPUTED_VALUE"""),"")</f>
        <v/>
      </c>
      <c r="T642" s="18" t="str">
        <f ca="1">IFERROR(__xludf.DUMMYFUNCTION("""COMPUTED_VALUE"""),"")</f>
        <v/>
      </c>
      <c r="U642" s="18" t="str">
        <f ca="1">IFERROR(__xludf.DUMMYFUNCTION("""COMPUTED_VALUE"""),"")</f>
        <v/>
      </c>
      <c r="V642" s="18" t="str">
        <f ca="1">IFERROR(__xludf.DUMMYFUNCTION("""COMPUTED_VALUE"""),"")</f>
        <v/>
      </c>
      <c r="W642" s="18" t="str">
        <f ca="1">IFERROR(__xludf.DUMMYFUNCTION("""COMPUTED_VALUE"""),"")</f>
        <v/>
      </c>
      <c r="X642" s="18" t="str">
        <f ca="1">IFERROR(__xludf.DUMMYFUNCTION("""COMPUTED_VALUE"""),"")</f>
        <v/>
      </c>
      <c r="Y642" s="18" t="e">
        <f ca="1"/>
        <v>#NAME?</v>
      </c>
      <c r="Z642" s="18" t="str">
        <f ca="1">IFERROR(__xludf.DUMMYFUNCTION("""COMPUTED_VALUE"""),"")</f>
        <v/>
      </c>
      <c r="AA642" s="18" t="str">
        <f ca="1">IFERROR(__xludf.DUMMYFUNCTION("""COMPUTED_VALUE"""),"")</f>
        <v/>
      </c>
      <c r="AC642" s="59"/>
    </row>
    <row r="643" spans="1:29" x14ac:dyDescent="0.25">
      <c r="A643" s="18">
        <v>0</v>
      </c>
      <c r="B643" s="52" t="str">
        <f ca="1"/>
        <v/>
      </c>
      <c r="C643" s="52" t="str">
        <f ca="1">IFERROR(__xludf.DUMMYFUNCTION("""COMPUTED_VALUE"""),"")</f>
        <v/>
      </c>
      <c r="D643" s="18" t="str">
        <f ca="1">IFERROR(__xludf.DUMMYFUNCTION("""COMPUTED_VALUE"""),"")</f>
        <v/>
      </c>
      <c r="E643" s="18" t="str">
        <f ca="1">IFERROR(__xludf.DUMMYFUNCTION("""COMPUTED_VALUE"""),"")</f>
        <v/>
      </c>
      <c r="F643" s="18" t="str">
        <f ca="1">IFERROR(__xludf.DUMMYFUNCTION("""COMPUTED_VALUE"""),"")</f>
        <v/>
      </c>
      <c r="G643" s="18" t="str">
        <f ca="1">IFERROR(__xludf.DUMMYFUNCTION("""COMPUTED_VALUE"""),"")</f>
        <v/>
      </c>
      <c r="H643" s="18" t="str">
        <f ca="1">IFERROR(__xludf.DUMMYFUNCTION("""COMPUTED_VALUE"""),"")</f>
        <v/>
      </c>
      <c r="I643" s="18" t="str">
        <f ca="1">IFERROR(__xludf.DUMMYFUNCTION("""COMPUTED_VALUE"""),"")</f>
        <v/>
      </c>
      <c r="J643" s="18" t="str">
        <f ca="1">IFERROR(__xludf.DUMMYFUNCTION("""COMPUTED_VALUE"""),"")</f>
        <v/>
      </c>
      <c r="K643" s="18" t="str">
        <f ca="1">IFERROR(__xludf.DUMMYFUNCTION("""COMPUTED_VALUE"""),"")</f>
        <v/>
      </c>
      <c r="L643" s="18" t="str">
        <f ca="1">IFERROR(__xludf.DUMMYFUNCTION("""COMPUTED_VALUE"""),"")</f>
        <v/>
      </c>
      <c r="M643" s="18" t="str">
        <f ca="1">IFERROR(__xludf.DUMMYFUNCTION("""COMPUTED_VALUE"""),"")</f>
        <v/>
      </c>
      <c r="N643" s="18" t="str">
        <f ca="1">IFERROR(__xludf.DUMMYFUNCTION("""COMPUTED_VALUE"""),"")</f>
        <v/>
      </c>
      <c r="O643" s="18" t="str">
        <f ca="1">IFERROR(__xludf.DUMMYFUNCTION("""COMPUTED_VALUE"""),"")</f>
        <v/>
      </c>
      <c r="P643" s="18" t="str">
        <f ca="1">IFERROR(__xludf.DUMMYFUNCTION("""COMPUTED_VALUE"""),"")</f>
        <v/>
      </c>
      <c r="Q643" s="18" t="str">
        <f ca="1">IFERROR(__xludf.DUMMYFUNCTION("""COMPUTED_VALUE"""),"")</f>
        <v/>
      </c>
      <c r="R643" s="18" t="str">
        <f ca="1">IFERROR(__xludf.DUMMYFUNCTION("""COMPUTED_VALUE"""),"")</f>
        <v/>
      </c>
      <c r="S643" s="18" t="str">
        <f ca="1">IFERROR(__xludf.DUMMYFUNCTION("""COMPUTED_VALUE"""),"")</f>
        <v/>
      </c>
      <c r="T643" s="18" t="str">
        <f ca="1">IFERROR(__xludf.DUMMYFUNCTION("""COMPUTED_VALUE"""),"")</f>
        <v/>
      </c>
      <c r="U643" s="18" t="str">
        <f ca="1">IFERROR(__xludf.DUMMYFUNCTION("""COMPUTED_VALUE"""),"")</f>
        <v/>
      </c>
      <c r="V643" s="18" t="str">
        <f ca="1">IFERROR(__xludf.DUMMYFUNCTION("""COMPUTED_VALUE"""),"")</f>
        <v/>
      </c>
      <c r="W643" s="18" t="str">
        <f ca="1">IFERROR(__xludf.DUMMYFUNCTION("""COMPUTED_VALUE"""),"")</f>
        <v/>
      </c>
      <c r="X643" s="18" t="str">
        <f ca="1">IFERROR(__xludf.DUMMYFUNCTION("""COMPUTED_VALUE"""),"")</f>
        <v/>
      </c>
      <c r="Y643" s="18" t="e">
        <f ca="1"/>
        <v>#NAME?</v>
      </c>
      <c r="Z643" s="18" t="str">
        <f ca="1">IFERROR(__xludf.DUMMYFUNCTION("""COMPUTED_VALUE"""),"")</f>
        <v/>
      </c>
      <c r="AA643" s="18" t="str">
        <f ca="1">IFERROR(__xludf.DUMMYFUNCTION("""COMPUTED_VALUE"""),"")</f>
        <v/>
      </c>
      <c r="AC643" s="59"/>
    </row>
    <row r="644" spans="1:29" x14ac:dyDescent="0.25">
      <c r="A644" s="18">
        <v>0</v>
      </c>
      <c r="B644" s="52" t="str">
        <f ca="1"/>
        <v/>
      </c>
      <c r="C644" s="52" t="str">
        <f ca="1">IFERROR(__xludf.DUMMYFUNCTION("""COMPUTED_VALUE"""),"")</f>
        <v/>
      </c>
      <c r="D644" s="18" t="str">
        <f ca="1">IFERROR(__xludf.DUMMYFUNCTION("""COMPUTED_VALUE"""),"")</f>
        <v/>
      </c>
      <c r="E644" s="18" t="str">
        <f ca="1">IFERROR(__xludf.DUMMYFUNCTION("""COMPUTED_VALUE"""),"")</f>
        <v/>
      </c>
      <c r="F644" s="18" t="str">
        <f ca="1">IFERROR(__xludf.DUMMYFUNCTION("""COMPUTED_VALUE"""),"")</f>
        <v/>
      </c>
      <c r="G644" s="18" t="str">
        <f ca="1">IFERROR(__xludf.DUMMYFUNCTION("""COMPUTED_VALUE"""),"")</f>
        <v/>
      </c>
      <c r="H644" s="18" t="str">
        <f ca="1">IFERROR(__xludf.DUMMYFUNCTION("""COMPUTED_VALUE"""),"")</f>
        <v/>
      </c>
      <c r="I644" s="18" t="str">
        <f ca="1">IFERROR(__xludf.DUMMYFUNCTION("""COMPUTED_VALUE"""),"")</f>
        <v/>
      </c>
      <c r="J644" s="18" t="str">
        <f ca="1">IFERROR(__xludf.DUMMYFUNCTION("""COMPUTED_VALUE"""),"")</f>
        <v/>
      </c>
      <c r="K644" s="18" t="str">
        <f ca="1">IFERROR(__xludf.DUMMYFUNCTION("""COMPUTED_VALUE"""),"")</f>
        <v/>
      </c>
      <c r="L644" s="18" t="str">
        <f ca="1">IFERROR(__xludf.DUMMYFUNCTION("""COMPUTED_VALUE"""),"")</f>
        <v/>
      </c>
      <c r="M644" s="18" t="str">
        <f ca="1">IFERROR(__xludf.DUMMYFUNCTION("""COMPUTED_VALUE"""),"")</f>
        <v/>
      </c>
      <c r="N644" s="18" t="str">
        <f ca="1">IFERROR(__xludf.DUMMYFUNCTION("""COMPUTED_VALUE"""),"")</f>
        <v/>
      </c>
      <c r="O644" s="18" t="str">
        <f ca="1">IFERROR(__xludf.DUMMYFUNCTION("""COMPUTED_VALUE"""),"")</f>
        <v/>
      </c>
      <c r="P644" s="18" t="str">
        <f ca="1">IFERROR(__xludf.DUMMYFUNCTION("""COMPUTED_VALUE"""),"")</f>
        <v/>
      </c>
      <c r="Q644" s="18" t="str">
        <f ca="1">IFERROR(__xludf.DUMMYFUNCTION("""COMPUTED_VALUE"""),"")</f>
        <v/>
      </c>
      <c r="R644" s="18" t="str">
        <f ca="1">IFERROR(__xludf.DUMMYFUNCTION("""COMPUTED_VALUE"""),"")</f>
        <v/>
      </c>
      <c r="S644" s="18" t="str">
        <f ca="1">IFERROR(__xludf.DUMMYFUNCTION("""COMPUTED_VALUE"""),"")</f>
        <v/>
      </c>
      <c r="T644" s="18" t="str">
        <f ca="1">IFERROR(__xludf.DUMMYFUNCTION("""COMPUTED_VALUE"""),"")</f>
        <v/>
      </c>
      <c r="U644" s="18" t="str">
        <f ca="1">IFERROR(__xludf.DUMMYFUNCTION("""COMPUTED_VALUE"""),"")</f>
        <v/>
      </c>
      <c r="V644" s="18" t="str">
        <f ca="1">IFERROR(__xludf.DUMMYFUNCTION("""COMPUTED_VALUE"""),"")</f>
        <v/>
      </c>
      <c r="W644" s="18" t="str">
        <f ca="1">IFERROR(__xludf.DUMMYFUNCTION("""COMPUTED_VALUE"""),"")</f>
        <v/>
      </c>
      <c r="X644" s="18" t="str">
        <f ca="1">IFERROR(__xludf.DUMMYFUNCTION("""COMPUTED_VALUE"""),"")</f>
        <v/>
      </c>
      <c r="Y644" s="18" t="e">
        <f ca="1"/>
        <v>#NAME?</v>
      </c>
      <c r="Z644" s="18" t="str">
        <f ca="1">IFERROR(__xludf.DUMMYFUNCTION("""COMPUTED_VALUE"""),"")</f>
        <v/>
      </c>
      <c r="AA644" s="18" t="str">
        <f ca="1">IFERROR(__xludf.DUMMYFUNCTION("""COMPUTED_VALUE"""),"")</f>
        <v/>
      </c>
      <c r="AC644" s="59"/>
    </row>
    <row r="645" spans="1:29" x14ac:dyDescent="0.25">
      <c r="A645" s="18">
        <v>0</v>
      </c>
      <c r="B645" s="52" t="str">
        <f ca="1"/>
        <v/>
      </c>
      <c r="C645" s="52" t="str">
        <f ca="1">IFERROR(__xludf.DUMMYFUNCTION("""COMPUTED_VALUE"""),"")</f>
        <v/>
      </c>
      <c r="D645" s="18" t="str">
        <f ca="1">IFERROR(__xludf.DUMMYFUNCTION("""COMPUTED_VALUE"""),"")</f>
        <v/>
      </c>
      <c r="E645" s="18" t="str">
        <f ca="1">IFERROR(__xludf.DUMMYFUNCTION("""COMPUTED_VALUE"""),"")</f>
        <v/>
      </c>
      <c r="F645" s="18" t="str">
        <f ca="1">IFERROR(__xludf.DUMMYFUNCTION("""COMPUTED_VALUE"""),"")</f>
        <v/>
      </c>
      <c r="G645" s="18" t="str">
        <f ca="1">IFERROR(__xludf.DUMMYFUNCTION("""COMPUTED_VALUE"""),"")</f>
        <v/>
      </c>
      <c r="H645" s="18" t="str">
        <f ca="1">IFERROR(__xludf.DUMMYFUNCTION("""COMPUTED_VALUE"""),"")</f>
        <v/>
      </c>
      <c r="I645" s="18" t="str">
        <f ca="1">IFERROR(__xludf.DUMMYFUNCTION("""COMPUTED_VALUE"""),"")</f>
        <v/>
      </c>
      <c r="J645" s="18" t="str">
        <f ca="1">IFERROR(__xludf.DUMMYFUNCTION("""COMPUTED_VALUE"""),"")</f>
        <v/>
      </c>
      <c r="K645" s="18" t="str">
        <f ca="1">IFERROR(__xludf.DUMMYFUNCTION("""COMPUTED_VALUE"""),"")</f>
        <v/>
      </c>
      <c r="L645" s="18" t="str">
        <f ca="1">IFERROR(__xludf.DUMMYFUNCTION("""COMPUTED_VALUE"""),"")</f>
        <v/>
      </c>
      <c r="M645" s="18" t="str">
        <f ca="1">IFERROR(__xludf.DUMMYFUNCTION("""COMPUTED_VALUE"""),"")</f>
        <v/>
      </c>
      <c r="N645" s="18" t="str">
        <f ca="1">IFERROR(__xludf.DUMMYFUNCTION("""COMPUTED_VALUE"""),"")</f>
        <v/>
      </c>
      <c r="O645" s="18" t="str">
        <f ca="1">IFERROR(__xludf.DUMMYFUNCTION("""COMPUTED_VALUE"""),"")</f>
        <v/>
      </c>
      <c r="P645" s="18" t="str">
        <f ca="1">IFERROR(__xludf.DUMMYFUNCTION("""COMPUTED_VALUE"""),"")</f>
        <v/>
      </c>
      <c r="Q645" s="18" t="str">
        <f ca="1">IFERROR(__xludf.DUMMYFUNCTION("""COMPUTED_VALUE"""),"")</f>
        <v/>
      </c>
      <c r="R645" s="18" t="str">
        <f ca="1">IFERROR(__xludf.DUMMYFUNCTION("""COMPUTED_VALUE"""),"")</f>
        <v/>
      </c>
      <c r="S645" s="18" t="str">
        <f ca="1">IFERROR(__xludf.DUMMYFUNCTION("""COMPUTED_VALUE"""),"")</f>
        <v/>
      </c>
      <c r="T645" s="18" t="str">
        <f ca="1">IFERROR(__xludf.DUMMYFUNCTION("""COMPUTED_VALUE"""),"")</f>
        <v/>
      </c>
      <c r="U645" s="18" t="str">
        <f ca="1">IFERROR(__xludf.DUMMYFUNCTION("""COMPUTED_VALUE"""),"")</f>
        <v/>
      </c>
      <c r="V645" s="18" t="str">
        <f ca="1">IFERROR(__xludf.DUMMYFUNCTION("""COMPUTED_VALUE"""),"")</f>
        <v/>
      </c>
      <c r="W645" s="18" t="str">
        <f ca="1">IFERROR(__xludf.DUMMYFUNCTION("""COMPUTED_VALUE"""),"")</f>
        <v/>
      </c>
      <c r="X645" s="18" t="str">
        <f ca="1">IFERROR(__xludf.DUMMYFUNCTION("""COMPUTED_VALUE"""),"")</f>
        <v/>
      </c>
      <c r="Y645" s="18" t="e">
        <f ca="1"/>
        <v>#NAME?</v>
      </c>
      <c r="Z645" s="18" t="str">
        <f ca="1">IFERROR(__xludf.DUMMYFUNCTION("""COMPUTED_VALUE"""),"")</f>
        <v/>
      </c>
      <c r="AA645" s="18" t="str">
        <f ca="1">IFERROR(__xludf.DUMMYFUNCTION("""COMPUTED_VALUE"""),"")</f>
        <v/>
      </c>
      <c r="AC645" s="59"/>
    </row>
    <row r="646" spans="1:29" x14ac:dyDescent="0.25">
      <c r="A646" s="18">
        <v>0</v>
      </c>
      <c r="B646" s="52" t="str">
        <f ca="1"/>
        <v/>
      </c>
      <c r="C646" s="52" t="str">
        <f ca="1">IFERROR(__xludf.DUMMYFUNCTION("""COMPUTED_VALUE"""),"")</f>
        <v/>
      </c>
      <c r="D646" s="18" t="str">
        <f ca="1">IFERROR(__xludf.DUMMYFUNCTION("""COMPUTED_VALUE"""),"")</f>
        <v/>
      </c>
      <c r="E646" s="18" t="str">
        <f ca="1">IFERROR(__xludf.DUMMYFUNCTION("""COMPUTED_VALUE"""),"")</f>
        <v/>
      </c>
      <c r="F646" s="18" t="str">
        <f ca="1">IFERROR(__xludf.DUMMYFUNCTION("""COMPUTED_VALUE"""),"")</f>
        <v/>
      </c>
      <c r="G646" s="18" t="str">
        <f ca="1">IFERROR(__xludf.DUMMYFUNCTION("""COMPUTED_VALUE"""),"")</f>
        <v/>
      </c>
      <c r="H646" s="18" t="str">
        <f ca="1">IFERROR(__xludf.DUMMYFUNCTION("""COMPUTED_VALUE"""),"")</f>
        <v/>
      </c>
      <c r="I646" s="18" t="str">
        <f ca="1">IFERROR(__xludf.DUMMYFUNCTION("""COMPUTED_VALUE"""),"")</f>
        <v/>
      </c>
      <c r="J646" s="18" t="str">
        <f ca="1">IFERROR(__xludf.DUMMYFUNCTION("""COMPUTED_VALUE"""),"")</f>
        <v/>
      </c>
      <c r="K646" s="18" t="str">
        <f ca="1">IFERROR(__xludf.DUMMYFUNCTION("""COMPUTED_VALUE"""),"")</f>
        <v/>
      </c>
      <c r="L646" s="18" t="str">
        <f ca="1">IFERROR(__xludf.DUMMYFUNCTION("""COMPUTED_VALUE"""),"")</f>
        <v/>
      </c>
      <c r="M646" s="18" t="str">
        <f ca="1">IFERROR(__xludf.DUMMYFUNCTION("""COMPUTED_VALUE"""),"")</f>
        <v/>
      </c>
      <c r="N646" s="18" t="str">
        <f ca="1">IFERROR(__xludf.DUMMYFUNCTION("""COMPUTED_VALUE"""),"")</f>
        <v/>
      </c>
      <c r="O646" s="18" t="str">
        <f ca="1">IFERROR(__xludf.DUMMYFUNCTION("""COMPUTED_VALUE"""),"")</f>
        <v/>
      </c>
      <c r="P646" s="18" t="str">
        <f ca="1">IFERROR(__xludf.DUMMYFUNCTION("""COMPUTED_VALUE"""),"")</f>
        <v/>
      </c>
      <c r="Q646" s="18" t="str">
        <f ca="1">IFERROR(__xludf.DUMMYFUNCTION("""COMPUTED_VALUE"""),"")</f>
        <v/>
      </c>
      <c r="R646" s="18" t="str">
        <f ca="1">IFERROR(__xludf.DUMMYFUNCTION("""COMPUTED_VALUE"""),"")</f>
        <v/>
      </c>
      <c r="S646" s="18" t="str">
        <f ca="1">IFERROR(__xludf.DUMMYFUNCTION("""COMPUTED_VALUE"""),"")</f>
        <v/>
      </c>
      <c r="T646" s="18" t="str">
        <f ca="1">IFERROR(__xludf.DUMMYFUNCTION("""COMPUTED_VALUE"""),"")</f>
        <v/>
      </c>
      <c r="U646" s="18" t="str">
        <f ca="1">IFERROR(__xludf.DUMMYFUNCTION("""COMPUTED_VALUE"""),"")</f>
        <v/>
      </c>
      <c r="V646" s="18" t="str">
        <f ca="1">IFERROR(__xludf.DUMMYFUNCTION("""COMPUTED_VALUE"""),"")</f>
        <v/>
      </c>
      <c r="W646" s="18" t="str">
        <f ca="1">IFERROR(__xludf.DUMMYFUNCTION("""COMPUTED_VALUE"""),"")</f>
        <v/>
      </c>
      <c r="X646" s="18" t="str">
        <f ca="1">IFERROR(__xludf.DUMMYFUNCTION("""COMPUTED_VALUE"""),"")</f>
        <v/>
      </c>
      <c r="Y646" s="18" t="e">
        <f ca="1"/>
        <v>#NAME?</v>
      </c>
      <c r="Z646" s="18" t="str">
        <f ca="1">IFERROR(__xludf.DUMMYFUNCTION("""COMPUTED_VALUE"""),"")</f>
        <v/>
      </c>
      <c r="AA646" s="18" t="str">
        <f ca="1">IFERROR(__xludf.DUMMYFUNCTION("""COMPUTED_VALUE"""),"")</f>
        <v/>
      </c>
      <c r="AC646" s="59"/>
    </row>
    <row r="647" spans="1:29" x14ac:dyDescent="0.25">
      <c r="A647" s="18">
        <v>0</v>
      </c>
      <c r="B647" s="52" t="str">
        <f ca="1"/>
        <v/>
      </c>
      <c r="C647" s="52" t="str">
        <f ca="1">IFERROR(__xludf.DUMMYFUNCTION("""COMPUTED_VALUE"""),"")</f>
        <v/>
      </c>
      <c r="D647" s="18" t="str">
        <f ca="1">IFERROR(__xludf.DUMMYFUNCTION("""COMPUTED_VALUE"""),"")</f>
        <v/>
      </c>
      <c r="E647" s="18" t="str">
        <f ca="1">IFERROR(__xludf.DUMMYFUNCTION("""COMPUTED_VALUE"""),"")</f>
        <v/>
      </c>
      <c r="F647" s="18" t="str">
        <f ca="1">IFERROR(__xludf.DUMMYFUNCTION("""COMPUTED_VALUE"""),"")</f>
        <v/>
      </c>
      <c r="G647" s="18" t="str">
        <f ca="1">IFERROR(__xludf.DUMMYFUNCTION("""COMPUTED_VALUE"""),"")</f>
        <v/>
      </c>
      <c r="H647" s="18" t="str">
        <f ca="1">IFERROR(__xludf.DUMMYFUNCTION("""COMPUTED_VALUE"""),"")</f>
        <v/>
      </c>
      <c r="I647" s="18" t="str">
        <f ca="1">IFERROR(__xludf.DUMMYFUNCTION("""COMPUTED_VALUE"""),"")</f>
        <v/>
      </c>
      <c r="J647" s="18" t="str">
        <f ca="1">IFERROR(__xludf.DUMMYFUNCTION("""COMPUTED_VALUE"""),"")</f>
        <v/>
      </c>
      <c r="K647" s="18" t="str">
        <f ca="1">IFERROR(__xludf.DUMMYFUNCTION("""COMPUTED_VALUE"""),"")</f>
        <v/>
      </c>
      <c r="L647" s="18" t="str">
        <f ca="1">IFERROR(__xludf.DUMMYFUNCTION("""COMPUTED_VALUE"""),"")</f>
        <v/>
      </c>
      <c r="M647" s="18" t="str">
        <f ca="1">IFERROR(__xludf.DUMMYFUNCTION("""COMPUTED_VALUE"""),"")</f>
        <v/>
      </c>
      <c r="N647" s="18" t="str">
        <f ca="1">IFERROR(__xludf.DUMMYFUNCTION("""COMPUTED_VALUE"""),"")</f>
        <v/>
      </c>
      <c r="O647" s="18" t="str">
        <f ca="1">IFERROR(__xludf.DUMMYFUNCTION("""COMPUTED_VALUE"""),"")</f>
        <v/>
      </c>
      <c r="P647" s="18" t="str">
        <f ca="1">IFERROR(__xludf.DUMMYFUNCTION("""COMPUTED_VALUE"""),"")</f>
        <v/>
      </c>
      <c r="Q647" s="18" t="str">
        <f ca="1">IFERROR(__xludf.DUMMYFUNCTION("""COMPUTED_VALUE"""),"")</f>
        <v/>
      </c>
      <c r="R647" s="18" t="str">
        <f ca="1">IFERROR(__xludf.DUMMYFUNCTION("""COMPUTED_VALUE"""),"")</f>
        <v/>
      </c>
      <c r="S647" s="18" t="str">
        <f ca="1">IFERROR(__xludf.DUMMYFUNCTION("""COMPUTED_VALUE"""),"")</f>
        <v/>
      </c>
      <c r="T647" s="18" t="str">
        <f ca="1">IFERROR(__xludf.DUMMYFUNCTION("""COMPUTED_VALUE"""),"")</f>
        <v/>
      </c>
      <c r="U647" s="18" t="str">
        <f ca="1">IFERROR(__xludf.DUMMYFUNCTION("""COMPUTED_VALUE"""),"")</f>
        <v/>
      </c>
      <c r="V647" s="18" t="str">
        <f ca="1">IFERROR(__xludf.DUMMYFUNCTION("""COMPUTED_VALUE"""),"")</f>
        <v/>
      </c>
      <c r="W647" s="18" t="str">
        <f ca="1">IFERROR(__xludf.DUMMYFUNCTION("""COMPUTED_VALUE"""),"")</f>
        <v/>
      </c>
      <c r="X647" s="18" t="str">
        <f ca="1">IFERROR(__xludf.DUMMYFUNCTION("""COMPUTED_VALUE"""),"")</f>
        <v/>
      </c>
      <c r="Y647" s="18" t="e">
        <f ca="1"/>
        <v>#NAME?</v>
      </c>
      <c r="Z647" s="18" t="str">
        <f ca="1">IFERROR(__xludf.DUMMYFUNCTION("""COMPUTED_VALUE"""),"")</f>
        <v/>
      </c>
      <c r="AA647" s="18" t="str">
        <f ca="1">IFERROR(__xludf.DUMMYFUNCTION("""COMPUTED_VALUE"""),"")</f>
        <v/>
      </c>
      <c r="AC647" s="59"/>
    </row>
    <row r="648" spans="1:29" x14ac:dyDescent="0.25">
      <c r="A648" s="18">
        <v>0</v>
      </c>
      <c r="B648" s="52" t="str">
        <f ca="1"/>
        <v/>
      </c>
      <c r="C648" s="52" t="str">
        <f ca="1">IFERROR(__xludf.DUMMYFUNCTION("""COMPUTED_VALUE"""),"")</f>
        <v/>
      </c>
      <c r="D648" s="18" t="str">
        <f ca="1">IFERROR(__xludf.DUMMYFUNCTION("""COMPUTED_VALUE"""),"")</f>
        <v/>
      </c>
      <c r="E648" s="18" t="str">
        <f ca="1">IFERROR(__xludf.DUMMYFUNCTION("""COMPUTED_VALUE"""),"")</f>
        <v/>
      </c>
      <c r="F648" s="18" t="str">
        <f ca="1">IFERROR(__xludf.DUMMYFUNCTION("""COMPUTED_VALUE"""),"")</f>
        <v/>
      </c>
      <c r="G648" s="18" t="str">
        <f ca="1">IFERROR(__xludf.DUMMYFUNCTION("""COMPUTED_VALUE"""),"")</f>
        <v/>
      </c>
      <c r="H648" s="18" t="str">
        <f ca="1">IFERROR(__xludf.DUMMYFUNCTION("""COMPUTED_VALUE"""),"")</f>
        <v/>
      </c>
      <c r="I648" s="18" t="str">
        <f ca="1">IFERROR(__xludf.DUMMYFUNCTION("""COMPUTED_VALUE"""),"")</f>
        <v/>
      </c>
      <c r="J648" s="18" t="str">
        <f ca="1">IFERROR(__xludf.DUMMYFUNCTION("""COMPUTED_VALUE"""),"")</f>
        <v/>
      </c>
      <c r="K648" s="18" t="str">
        <f ca="1">IFERROR(__xludf.DUMMYFUNCTION("""COMPUTED_VALUE"""),"")</f>
        <v/>
      </c>
      <c r="L648" s="18" t="str">
        <f ca="1">IFERROR(__xludf.DUMMYFUNCTION("""COMPUTED_VALUE"""),"")</f>
        <v/>
      </c>
      <c r="M648" s="18" t="str">
        <f ca="1">IFERROR(__xludf.DUMMYFUNCTION("""COMPUTED_VALUE"""),"")</f>
        <v/>
      </c>
      <c r="N648" s="18" t="str">
        <f ca="1">IFERROR(__xludf.DUMMYFUNCTION("""COMPUTED_VALUE"""),"")</f>
        <v/>
      </c>
      <c r="O648" s="18" t="str">
        <f ca="1">IFERROR(__xludf.DUMMYFUNCTION("""COMPUTED_VALUE"""),"")</f>
        <v/>
      </c>
      <c r="P648" s="18" t="str">
        <f ca="1">IFERROR(__xludf.DUMMYFUNCTION("""COMPUTED_VALUE"""),"")</f>
        <v/>
      </c>
      <c r="Q648" s="18" t="str">
        <f ca="1">IFERROR(__xludf.DUMMYFUNCTION("""COMPUTED_VALUE"""),"")</f>
        <v/>
      </c>
      <c r="R648" s="18" t="str">
        <f ca="1">IFERROR(__xludf.DUMMYFUNCTION("""COMPUTED_VALUE"""),"")</f>
        <v/>
      </c>
      <c r="S648" s="18" t="str">
        <f ca="1">IFERROR(__xludf.DUMMYFUNCTION("""COMPUTED_VALUE"""),"")</f>
        <v/>
      </c>
      <c r="T648" s="18" t="str">
        <f ca="1">IFERROR(__xludf.DUMMYFUNCTION("""COMPUTED_VALUE"""),"")</f>
        <v/>
      </c>
      <c r="U648" s="18" t="str">
        <f ca="1">IFERROR(__xludf.DUMMYFUNCTION("""COMPUTED_VALUE"""),"")</f>
        <v/>
      </c>
      <c r="V648" s="18" t="str">
        <f ca="1">IFERROR(__xludf.DUMMYFUNCTION("""COMPUTED_VALUE"""),"")</f>
        <v/>
      </c>
      <c r="W648" s="18" t="str">
        <f ca="1">IFERROR(__xludf.DUMMYFUNCTION("""COMPUTED_VALUE"""),"")</f>
        <v/>
      </c>
      <c r="X648" s="18" t="str">
        <f ca="1">IFERROR(__xludf.DUMMYFUNCTION("""COMPUTED_VALUE"""),"")</f>
        <v/>
      </c>
      <c r="Y648" s="18" t="e">
        <f ca="1"/>
        <v>#NAME?</v>
      </c>
      <c r="Z648" s="18" t="str">
        <f ca="1">IFERROR(__xludf.DUMMYFUNCTION("""COMPUTED_VALUE"""),"")</f>
        <v/>
      </c>
      <c r="AA648" s="18" t="str">
        <f ca="1">IFERROR(__xludf.DUMMYFUNCTION("""COMPUTED_VALUE"""),"")</f>
        <v/>
      </c>
      <c r="AC648" s="59"/>
    </row>
    <row r="649" spans="1:29" x14ac:dyDescent="0.25">
      <c r="A649" s="18">
        <v>0</v>
      </c>
      <c r="B649" s="52" t="str">
        <f ca="1"/>
        <v/>
      </c>
      <c r="C649" s="52" t="str">
        <f ca="1">IFERROR(__xludf.DUMMYFUNCTION("""COMPUTED_VALUE"""),"")</f>
        <v/>
      </c>
      <c r="D649" s="18" t="str">
        <f ca="1">IFERROR(__xludf.DUMMYFUNCTION("""COMPUTED_VALUE"""),"")</f>
        <v/>
      </c>
      <c r="E649" s="18" t="str">
        <f ca="1">IFERROR(__xludf.DUMMYFUNCTION("""COMPUTED_VALUE"""),"")</f>
        <v/>
      </c>
      <c r="F649" s="18" t="str">
        <f ca="1">IFERROR(__xludf.DUMMYFUNCTION("""COMPUTED_VALUE"""),"")</f>
        <v/>
      </c>
      <c r="G649" s="18" t="str">
        <f ca="1">IFERROR(__xludf.DUMMYFUNCTION("""COMPUTED_VALUE"""),"")</f>
        <v/>
      </c>
      <c r="H649" s="18" t="str">
        <f ca="1">IFERROR(__xludf.DUMMYFUNCTION("""COMPUTED_VALUE"""),"")</f>
        <v/>
      </c>
      <c r="I649" s="18" t="str">
        <f ca="1">IFERROR(__xludf.DUMMYFUNCTION("""COMPUTED_VALUE"""),"")</f>
        <v/>
      </c>
      <c r="J649" s="18" t="str">
        <f ca="1">IFERROR(__xludf.DUMMYFUNCTION("""COMPUTED_VALUE"""),"")</f>
        <v/>
      </c>
      <c r="K649" s="18" t="str">
        <f ca="1">IFERROR(__xludf.DUMMYFUNCTION("""COMPUTED_VALUE"""),"")</f>
        <v/>
      </c>
      <c r="L649" s="18" t="str">
        <f ca="1">IFERROR(__xludf.DUMMYFUNCTION("""COMPUTED_VALUE"""),"")</f>
        <v/>
      </c>
      <c r="M649" s="18" t="str">
        <f ca="1">IFERROR(__xludf.DUMMYFUNCTION("""COMPUTED_VALUE"""),"")</f>
        <v/>
      </c>
      <c r="N649" s="18" t="str">
        <f ca="1">IFERROR(__xludf.DUMMYFUNCTION("""COMPUTED_VALUE"""),"")</f>
        <v/>
      </c>
      <c r="O649" s="18" t="str">
        <f ca="1">IFERROR(__xludf.DUMMYFUNCTION("""COMPUTED_VALUE"""),"")</f>
        <v/>
      </c>
      <c r="P649" s="18" t="str">
        <f ca="1">IFERROR(__xludf.DUMMYFUNCTION("""COMPUTED_VALUE"""),"")</f>
        <v/>
      </c>
      <c r="Q649" s="18" t="str">
        <f ca="1">IFERROR(__xludf.DUMMYFUNCTION("""COMPUTED_VALUE"""),"")</f>
        <v/>
      </c>
      <c r="R649" s="18" t="str">
        <f ca="1">IFERROR(__xludf.DUMMYFUNCTION("""COMPUTED_VALUE"""),"")</f>
        <v/>
      </c>
      <c r="S649" s="18" t="str">
        <f ca="1">IFERROR(__xludf.DUMMYFUNCTION("""COMPUTED_VALUE"""),"")</f>
        <v/>
      </c>
      <c r="T649" s="18" t="str">
        <f ca="1">IFERROR(__xludf.DUMMYFUNCTION("""COMPUTED_VALUE"""),"")</f>
        <v/>
      </c>
      <c r="U649" s="18" t="str">
        <f ca="1">IFERROR(__xludf.DUMMYFUNCTION("""COMPUTED_VALUE"""),"")</f>
        <v/>
      </c>
      <c r="V649" s="18" t="str">
        <f ca="1">IFERROR(__xludf.DUMMYFUNCTION("""COMPUTED_VALUE"""),"")</f>
        <v/>
      </c>
      <c r="W649" s="18" t="str">
        <f ca="1">IFERROR(__xludf.DUMMYFUNCTION("""COMPUTED_VALUE"""),"")</f>
        <v/>
      </c>
      <c r="X649" s="18" t="str">
        <f ca="1">IFERROR(__xludf.DUMMYFUNCTION("""COMPUTED_VALUE"""),"")</f>
        <v/>
      </c>
      <c r="Y649" s="18" t="e">
        <f ca="1"/>
        <v>#NAME?</v>
      </c>
      <c r="Z649" s="18" t="str">
        <f ca="1">IFERROR(__xludf.DUMMYFUNCTION("""COMPUTED_VALUE"""),"")</f>
        <v/>
      </c>
      <c r="AA649" s="18" t="str">
        <f ca="1">IFERROR(__xludf.DUMMYFUNCTION("""COMPUTED_VALUE"""),"")</f>
        <v/>
      </c>
      <c r="AC649" s="59"/>
    </row>
    <row r="650" spans="1:29" x14ac:dyDescent="0.25">
      <c r="A650" s="18">
        <v>0</v>
      </c>
      <c r="B650" s="52" t="str">
        <f ca="1"/>
        <v/>
      </c>
      <c r="C650" s="52" t="str">
        <f ca="1">IFERROR(__xludf.DUMMYFUNCTION("""COMPUTED_VALUE"""),"")</f>
        <v/>
      </c>
      <c r="D650" s="18" t="str">
        <f ca="1">IFERROR(__xludf.DUMMYFUNCTION("""COMPUTED_VALUE"""),"")</f>
        <v/>
      </c>
      <c r="E650" s="18" t="str">
        <f ca="1">IFERROR(__xludf.DUMMYFUNCTION("""COMPUTED_VALUE"""),"")</f>
        <v/>
      </c>
      <c r="F650" s="18" t="str">
        <f ca="1">IFERROR(__xludf.DUMMYFUNCTION("""COMPUTED_VALUE"""),"")</f>
        <v/>
      </c>
      <c r="G650" s="18" t="str">
        <f ca="1">IFERROR(__xludf.DUMMYFUNCTION("""COMPUTED_VALUE"""),"")</f>
        <v/>
      </c>
      <c r="H650" s="18" t="str">
        <f ca="1">IFERROR(__xludf.DUMMYFUNCTION("""COMPUTED_VALUE"""),"")</f>
        <v/>
      </c>
      <c r="I650" s="18" t="str">
        <f ca="1">IFERROR(__xludf.DUMMYFUNCTION("""COMPUTED_VALUE"""),"")</f>
        <v/>
      </c>
      <c r="J650" s="18" t="str">
        <f ca="1">IFERROR(__xludf.DUMMYFUNCTION("""COMPUTED_VALUE"""),"")</f>
        <v/>
      </c>
      <c r="K650" s="18" t="str">
        <f ca="1">IFERROR(__xludf.DUMMYFUNCTION("""COMPUTED_VALUE"""),"")</f>
        <v/>
      </c>
      <c r="L650" s="18" t="str">
        <f ca="1">IFERROR(__xludf.DUMMYFUNCTION("""COMPUTED_VALUE"""),"")</f>
        <v/>
      </c>
      <c r="M650" s="18" t="str">
        <f ca="1">IFERROR(__xludf.DUMMYFUNCTION("""COMPUTED_VALUE"""),"")</f>
        <v/>
      </c>
      <c r="N650" s="18" t="str">
        <f ca="1">IFERROR(__xludf.DUMMYFUNCTION("""COMPUTED_VALUE"""),"")</f>
        <v/>
      </c>
      <c r="O650" s="18" t="str">
        <f ca="1">IFERROR(__xludf.DUMMYFUNCTION("""COMPUTED_VALUE"""),"")</f>
        <v/>
      </c>
      <c r="P650" s="18" t="str">
        <f ca="1">IFERROR(__xludf.DUMMYFUNCTION("""COMPUTED_VALUE"""),"")</f>
        <v/>
      </c>
      <c r="Q650" s="18" t="str">
        <f ca="1">IFERROR(__xludf.DUMMYFUNCTION("""COMPUTED_VALUE"""),"")</f>
        <v/>
      </c>
      <c r="R650" s="18" t="str">
        <f ca="1">IFERROR(__xludf.DUMMYFUNCTION("""COMPUTED_VALUE"""),"")</f>
        <v/>
      </c>
      <c r="S650" s="18" t="str">
        <f ca="1">IFERROR(__xludf.DUMMYFUNCTION("""COMPUTED_VALUE"""),"")</f>
        <v/>
      </c>
      <c r="T650" s="18" t="str">
        <f ca="1">IFERROR(__xludf.DUMMYFUNCTION("""COMPUTED_VALUE"""),"")</f>
        <v/>
      </c>
      <c r="U650" s="18" t="str">
        <f ca="1">IFERROR(__xludf.DUMMYFUNCTION("""COMPUTED_VALUE"""),"")</f>
        <v/>
      </c>
      <c r="V650" s="18" t="str">
        <f ca="1">IFERROR(__xludf.DUMMYFUNCTION("""COMPUTED_VALUE"""),"")</f>
        <v/>
      </c>
      <c r="W650" s="18" t="str">
        <f ca="1">IFERROR(__xludf.DUMMYFUNCTION("""COMPUTED_VALUE"""),"")</f>
        <v/>
      </c>
      <c r="X650" s="18" t="str">
        <f ca="1">IFERROR(__xludf.DUMMYFUNCTION("""COMPUTED_VALUE"""),"")</f>
        <v/>
      </c>
      <c r="Y650" s="18" t="e">
        <f ca="1"/>
        <v>#NAME?</v>
      </c>
      <c r="Z650" s="18" t="str">
        <f ca="1">IFERROR(__xludf.DUMMYFUNCTION("""COMPUTED_VALUE"""),"")</f>
        <v/>
      </c>
      <c r="AA650" s="18" t="str">
        <f ca="1">IFERROR(__xludf.DUMMYFUNCTION("""COMPUTED_VALUE"""),"")</f>
        <v/>
      </c>
      <c r="AC650" s="59"/>
    </row>
    <row r="651" spans="1:29" x14ac:dyDescent="0.25">
      <c r="A651" s="18">
        <v>0</v>
      </c>
      <c r="B651" s="52" t="str">
        <f ca="1"/>
        <v/>
      </c>
      <c r="C651" s="52" t="str">
        <f ca="1">IFERROR(__xludf.DUMMYFUNCTION("""COMPUTED_VALUE"""),"")</f>
        <v/>
      </c>
      <c r="D651" s="18" t="str">
        <f ca="1">IFERROR(__xludf.DUMMYFUNCTION("""COMPUTED_VALUE"""),"")</f>
        <v/>
      </c>
      <c r="E651" s="18" t="str">
        <f ca="1">IFERROR(__xludf.DUMMYFUNCTION("""COMPUTED_VALUE"""),"")</f>
        <v/>
      </c>
      <c r="F651" s="18" t="str">
        <f ca="1">IFERROR(__xludf.DUMMYFUNCTION("""COMPUTED_VALUE"""),"")</f>
        <v/>
      </c>
      <c r="G651" s="18" t="str">
        <f ca="1">IFERROR(__xludf.DUMMYFUNCTION("""COMPUTED_VALUE"""),"")</f>
        <v/>
      </c>
      <c r="H651" s="18" t="str">
        <f ca="1">IFERROR(__xludf.DUMMYFUNCTION("""COMPUTED_VALUE"""),"")</f>
        <v/>
      </c>
      <c r="I651" s="18" t="str">
        <f ca="1">IFERROR(__xludf.DUMMYFUNCTION("""COMPUTED_VALUE"""),"")</f>
        <v/>
      </c>
      <c r="J651" s="18" t="str">
        <f ca="1">IFERROR(__xludf.DUMMYFUNCTION("""COMPUTED_VALUE"""),"")</f>
        <v/>
      </c>
      <c r="K651" s="18" t="str">
        <f ca="1">IFERROR(__xludf.DUMMYFUNCTION("""COMPUTED_VALUE"""),"")</f>
        <v/>
      </c>
      <c r="L651" s="18" t="str">
        <f ca="1">IFERROR(__xludf.DUMMYFUNCTION("""COMPUTED_VALUE"""),"")</f>
        <v/>
      </c>
      <c r="M651" s="18" t="str">
        <f ca="1">IFERROR(__xludf.DUMMYFUNCTION("""COMPUTED_VALUE"""),"")</f>
        <v/>
      </c>
      <c r="N651" s="18" t="str">
        <f ca="1">IFERROR(__xludf.DUMMYFUNCTION("""COMPUTED_VALUE"""),"")</f>
        <v/>
      </c>
      <c r="O651" s="18" t="str">
        <f ca="1">IFERROR(__xludf.DUMMYFUNCTION("""COMPUTED_VALUE"""),"")</f>
        <v/>
      </c>
      <c r="P651" s="18" t="str">
        <f ca="1">IFERROR(__xludf.DUMMYFUNCTION("""COMPUTED_VALUE"""),"")</f>
        <v/>
      </c>
      <c r="Q651" s="18" t="str">
        <f ca="1">IFERROR(__xludf.DUMMYFUNCTION("""COMPUTED_VALUE"""),"")</f>
        <v/>
      </c>
      <c r="R651" s="18" t="str">
        <f ca="1">IFERROR(__xludf.DUMMYFUNCTION("""COMPUTED_VALUE"""),"")</f>
        <v/>
      </c>
      <c r="S651" s="18" t="str">
        <f ca="1">IFERROR(__xludf.DUMMYFUNCTION("""COMPUTED_VALUE"""),"")</f>
        <v/>
      </c>
      <c r="T651" s="18" t="str">
        <f ca="1">IFERROR(__xludf.DUMMYFUNCTION("""COMPUTED_VALUE"""),"")</f>
        <v/>
      </c>
      <c r="U651" s="18" t="str">
        <f ca="1">IFERROR(__xludf.DUMMYFUNCTION("""COMPUTED_VALUE"""),"")</f>
        <v/>
      </c>
      <c r="V651" s="18" t="str">
        <f ca="1">IFERROR(__xludf.DUMMYFUNCTION("""COMPUTED_VALUE"""),"")</f>
        <v/>
      </c>
      <c r="W651" s="18" t="str">
        <f ca="1">IFERROR(__xludf.DUMMYFUNCTION("""COMPUTED_VALUE"""),"")</f>
        <v/>
      </c>
      <c r="X651" s="18" t="str">
        <f ca="1">IFERROR(__xludf.DUMMYFUNCTION("""COMPUTED_VALUE"""),"")</f>
        <v/>
      </c>
      <c r="Y651" s="18" t="e">
        <f ca="1"/>
        <v>#NAME?</v>
      </c>
      <c r="Z651" s="18" t="str">
        <f ca="1">IFERROR(__xludf.DUMMYFUNCTION("""COMPUTED_VALUE"""),"")</f>
        <v/>
      </c>
      <c r="AA651" s="18" t="str">
        <f ca="1">IFERROR(__xludf.DUMMYFUNCTION("""COMPUTED_VALUE"""),"")</f>
        <v/>
      </c>
      <c r="AC651" s="59"/>
    </row>
    <row r="652" spans="1:29" x14ac:dyDescent="0.25">
      <c r="A652" s="18">
        <v>0</v>
      </c>
      <c r="B652" s="52" t="str">
        <f ca="1"/>
        <v/>
      </c>
      <c r="C652" s="52" t="str">
        <f ca="1">IFERROR(__xludf.DUMMYFUNCTION("""COMPUTED_VALUE"""),"")</f>
        <v/>
      </c>
      <c r="D652" s="18" t="str">
        <f ca="1">IFERROR(__xludf.DUMMYFUNCTION("""COMPUTED_VALUE"""),"")</f>
        <v/>
      </c>
      <c r="E652" s="18" t="str">
        <f ca="1">IFERROR(__xludf.DUMMYFUNCTION("""COMPUTED_VALUE"""),"")</f>
        <v/>
      </c>
      <c r="F652" s="18" t="str">
        <f ca="1">IFERROR(__xludf.DUMMYFUNCTION("""COMPUTED_VALUE"""),"")</f>
        <v/>
      </c>
      <c r="G652" s="18" t="str">
        <f ca="1">IFERROR(__xludf.DUMMYFUNCTION("""COMPUTED_VALUE"""),"")</f>
        <v/>
      </c>
      <c r="H652" s="18" t="str">
        <f ca="1">IFERROR(__xludf.DUMMYFUNCTION("""COMPUTED_VALUE"""),"")</f>
        <v/>
      </c>
      <c r="I652" s="18" t="str">
        <f ca="1">IFERROR(__xludf.DUMMYFUNCTION("""COMPUTED_VALUE"""),"")</f>
        <v/>
      </c>
      <c r="J652" s="18" t="str">
        <f ca="1">IFERROR(__xludf.DUMMYFUNCTION("""COMPUTED_VALUE"""),"")</f>
        <v/>
      </c>
      <c r="K652" s="18" t="str">
        <f ca="1">IFERROR(__xludf.DUMMYFUNCTION("""COMPUTED_VALUE"""),"")</f>
        <v/>
      </c>
      <c r="L652" s="18" t="str">
        <f ca="1">IFERROR(__xludf.DUMMYFUNCTION("""COMPUTED_VALUE"""),"")</f>
        <v/>
      </c>
      <c r="M652" s="18" t="str">
        <f ca="1">IFERROR(__xludf.DUMMYFUNCTION("""COMPUTED_VALUE"""),"")</f>
        <v/>
      </c>
      <c r="N652" s="18" t="str">
        <f ca="1">IFERROR(__xludf.DUMMYFUNCTION("""COMPUTED_VALUE"""),"")</f>
        <v/>
      </c>
      <c r="O652" s="18" t="str">
        <f ca="1">IFERROR(__xludf.DUMMYFUNCTION("""COMPUTED_VALUE"""),"")</f>
        <v/>
      </c>
      <c r="P652" s="18" t="str">
        <f ca="1">IFERROR(__xludf.DUMMYFUNCTION("""COMPUTED_VALUE"""),"")</f>
        <v/>
      </c>
      <c r="Q652" s="18" t="str">
        <f ca="1">IFERROR(__xludf.DUMMYFUNCTION("""COMPUTED_VALUE"""),"")</f>
        <v/>
      </c>
      <c r="R652" s="18" t="str">
        <f ca="1">IFERROR(__xludf.DUMMYFUNCTION("""COMPUTED_VALUE"""),"")</f>
        <v/>
      </c>
      <c r="S652" s="18" t="str">
        <f ca="1">IFERROR(__xludf.DUMMYFUNCTION("""COMPUTED_VALUE"""),"")</f>
        <v/>
      </c>
      <c r="T652" s="18" t="str">
        <f ca="1">IFERROR(__xludf.DUMMYFUNCTION("""COMPUTED_VALUE"""),"")</f>
        <v/>
      </c>
      <c r="U652" s="18" t="str">
        <f ca="1">IFERROR(__xludf.DUMMYFUNCTION("""COMPUTED_VALUE"""),"")</f>
        <v/>
      </c>
      <c r="V652" s="18" t="str">
        <f ca="1">IFERROR(__xludf.DUMMYFUNCTION("""COMPUTED_VALUE"""),"")</f>
        <v/>
      </c>
      <c r="W652" s="18" t="str">
        <f ca="1">IFERROR(__xludf.DUMMYFUNCTION("""COMPUTED_VALUE"""),"")</f>
        <v/>
      </c>
      <c r="X652" s="18" t="str">
        <f ca="1">IFERROR(__xludf.DUMMYFUNCTION("""COMPUTED_VALUE"""),"")</f>
        <v/>
      </c>
      <c r="Y652" s="18" t="e">
        <f ca="1"/>
        <v>#NAME?</v>
      </c>
      <c r="Z652" s="18" t="str">
        <f ca="1">IFERROR(__xludf.DUMMYFUNCTION("""COMPUTED_VALUE"""),"")</f>
        <v/>
      </c>
      <c r="AA652" s="18" t="str">
        <f ca="1">IFERROR(__xludf.DUMMYFUNCTION("""COMPUTED_VALUE"""),"")</f>
        <v/>
      </c>
      <c r="AC652" s="59"/>
    </row>
    <row r="653" spans="1:29" x14ac:dyDescent="0.25">
      <c r="A653" s="18">
        <v>0</v>
      </c>
      <c r="B653" s="52" t="str">
        <f ca="1"/>
        <v/>
      </c>
      <c r="C653" s="52" t="str">
        <f ca="1">IFERROR(__xludf.DUMMYFUNCTION("""COMPUTED_VALUE"""),"")</f>
        <v/>
      </c>
      <c r="D653" s="18" t="str">
        <f ca="1">IFERROR(__xludf.DUMMYFUNCTION("""COMPUTED_VALUE"""),"")</f>
        <v/>
      </c>
      <c r="E653" s="18" t="str">
        <f ca="1">IFERROR(__xludf.DUMMYFUNCTION("""COMPUTED_VALUE"""),"")</f>
        <v/>
      </c>
      <c r="F653" s="18" t="str">
        <f ca="1">IFERROR(__xludf.DUMMYFUNCTION("""COMPUTED_VALUE"""),"")</f>
        <v/>
      </c>
      <c r="G653" s="18" t="str">
        <f ca="1">IFERROR(__xludf.DUMMYFUNCTION("""COMPUTED_VALUE"""),"")</f>
        <v/>
      </c>
      <c r="H653" s="18" t="str">
        <f ca="1">IFERROR(__xludf.DUMMYFUNCTION("""COMPUTED_VALUE"""),"")</f>
        <v/>
      </c>
      <c r="I653" s="18" t="str">
        <f ca="1">IFERROR(__xludf.DUMMYFUNCTION("""COMPUTED_VALUE"""),"")</f>
        <v/>
      </c>
      <c r="J653" s="18" t="str">
        <f ca="1">IFERROR(__xludf.DUMMYFUNCTION("""COMPUTED_VALUE"""),"")</f>
        <v/>
      </c>
      <c r="K653" s="18" t="str">
        <f ca="1">IFERROR(__xludf.DUMMYFUNCTION("""COMPUTED_VALUE"""),"")</f>
        <v/>
      </c>
      <c r="L653" s="18" t="str">
        <f ca="1">IFERROR(__xludf.DUMMYFUNCTION("""COMPUTED_VALUE"""),"")</f>
        <v/>
      </c>
      <c r="M653" s="18" t="str">
        <f ca="1">IFERROR(__xludf.DUMMYFUNCTION("""COMPUTED_VALUE"""),"")</f>
        <v/>
      </c>
      <c r="N653" s="18" t="str">
        <f ca="1">IFERROR(__xludf.DUMMYFUNCTION("""COMPUTED_VALUE"""),"")</f>
        <v/>
      </c>
      <c r="O653" s="18" t="str">
        <f ca="1">IFERROR(__xludf.DUMMYFUNCTION("""COMPUTED_VALUE"""),"")</f>
        <v/>
      </c>
      <c r="P653" s="18" t="str">
        <f ca="1">IFERROR(__xludf.DUMMYFUNCTION("""COMPUTED_VALUE"""),"")</f>
        <v/>
      </c>
      <c r="Q653" s="18" t="str">
        <f ca="1">IFERROR(__xludf.DUMMYFUNCTION("""COMPUTED_VALUE"""),"")</f>
        <v/>
      </c>
      <c r="R653" s="18" t="str">
        <f ca="1">IFERROR(__xludf.DUMMYFUNCTION("""COMPUTED_VALUE"""),"")</f>
        <v/>
      </c>
      <c r="S653" s="18" t="str">
        <f ca="1">IFERROR(__xludf.DUMMYFUNCTION("""COMPUTED_VALUE"""),"")</f>
        <v/>
      </c>
      <c r="T653" s="18" t="str">
        <f ca="1">IFERROR(__xludf.DUMMYFUNCTION("""COMPUTED_VALUE"""),"")</f>
        <v/>
      </c>
      <c r="U653" s="18" t="str">
        <f ca="1">IFERROR(__xludf.DUMMYFUNCTION("""COMPUTED_VALUE"""),"")</f>
        <v/>
      </c>
      <c r="V653" s="18" t="str">
        <f ca="1">IFERROR(__xludf.DUMMYFUNCTION("""COMPUTED_VALUE"""),"")</f>
        <v/>
      </c>
      <c r="W653" s="18" t="str">
        <f ca="1">IFERROR(__xludf.DUMMYFUNCTION("""COMPUTED_VALUE"""),"")</f>
        <v/>
      </c>
      <c r="X653" s="18" t="str">
        <f ca="1">IFERROR(__xludf.DUMMYFUNCTION("""COMPUTED_VALUE"""),"")</f>
        <v/>
      </c>
      <c r="Y653" s="18" t="e">
        <f ca="1"/>
        <v>#NAME?</v>
      </c>
      <c r="Z653" s="18" t="str">
        <f ca="1">IFERROR(__xludf.DUMMYFUNCTION("""COMPUTED_VALUE"""),"")</f>
        <v/>
      </c>
      <c r="AA653" s="18" t="str">
        <f ca="1">IFERROR(__xludf.DUMMYFUNCTION("""COMPUTED_VALUE"""),"")</f>
        <v/>
      </c>
      <c r="AC653" s="59"/>
    </row>
    <row r="654" spans="1:29" x14ac:dyDescent="0.25">
      <c r="A654" s="18">
        <v>0</v>
      </c>
      <c r="B654" s="52" t="str">
        <f ca="1"/>
        <v/>
      </c>
      <c r="C654" s="52" t="str">
        <f ca="1">IFERROR(__xludf.DUMMYFUNCTION("""COMPUTED_VALUE"""),"")</f>
        <v/>
      </c>
      <c r="D654" s="18" t="str">
        <f ca="1">IFERROR(__xludf.DUMMYFUNCTION("""COMPUTED_VALUE"""),"")</f>
        <v/>
      </c>
      <c r="E654" s="18" t="str">
        <f ca="1">IFERROR(__xludf.DUMMYFUNCTION("""COMPUTED_VALUE"""),"")</f>
        <v/>
      </c>
      <c r="F654" s="18" t="str">
        <f ca="1">IFERROR(__xludf.DUMMYFUNCTION("""COMPUTED_VALUE"""),"")</f>
        <v/>
      </c>
      <c r="G654" s="18" t="str">
        <f ca="1">IFERROR(__xludf.DUMMYFUNCTION("""COMPUTED_VALUE"""),"")</f>
        <v/>
      </c>
      <c r="H654" s="18" t="str">
        <f ca="1">IFERROR(__xludf.DUMMYFUNCTION("""COMPUTED_VALUE"""),"")</f>
        <v/>
      </c>
      <c r="I654" s="18" t="str">
        <f ca="1">IFERROR(__xludf.DUMMYFUNCTION("""COMPUTED_VALUE"""),"")</f>
        <v/>
      </c>
      <c r="J654" s="18" t="str">
        <f ca="1">IFERROR(__xludf.DUMMYFUNCTION("""COMPUTED_VALUE"""),"")</f>
        <v/>
      </c>
      <c r="K654" s="18" t="str">
        <f ca="1">IFERROR(__xludf.DUMMYFUNCTION("""COMPUTED_VALUE"""),"")</f>
        <v/>
      </c>
      <c r="L654" s="18" t="str">
        <f ca="1">IFERROR(__xludf.DUMMYFUNCTION("""COMPUTED_VALUE"""),"")</f>
        <v/>
      </c>
      <c r="M654" s="18" t="str">
        <f ca="1">IFERROR(__xludf.DUMMYFUNCTION("""COMPUTED_VALUE"""),"")</f>
        <v/>
      </c>
      <c r="N654" s="18" t="str">
        <f ca="1">IFERROR(__xludf.DUMMYFUNCTION("""COMPUTED_VALUE"""),"")</f>
        <v/>
      </c>
      <c r="O654" s="18" t="str">
        <f ca="1">IFERROR(__xludf.DUMMYFUNCTION("""COMPUTED_VALUE"""),"")</f>
        <v/>
      </c>
      <c r="P654" s="18" t="str">
        <f ca="1">IFERROR(__xludf.DUMMYFUNCTION("""COMPUTED_VALUE"""),"")</f>
        <v/>
      </c>
      <c r="Q654" s="18" t="str">
        <f ca="1">IFERROR(__xludf.DUMMYFUNCTION("""COMPUTED_VALUE"""),"")</f>
        <v/>
      </c>
      <c r="R654" s="18" t="str">
        <f ca="1">IFERROR(__xludf.DUMMYFUNCTION("""COMPUTED_VALUE"""),"")</f>
        <v/>
      </c>
      <c r="S654" s="18" t="str">
        <f ca="1">IFERROR(__xludf.DUMMYFUNCTION("""COMPUTED_VALUE"""),"")</f>
        <v/>
      </c>
      <c r="T654" s="18" t="str">
        <f ca="1">IFERROR(__xludf.DUMMYFUNCTION("""COMPUTED_VALUE"""),"")</f>
        <v/>
      </c>
      <c r="U654" s="18" t="str">
        <f ca="1">IFERROR(__xludf.DUMMYFUNCTION("""COMPUTED_VALUE"""),"")</f>
        <v/>
      </c>
      <c r="V654" s="18" t="str">
        <f ca="1">IFERROR(__xludf.DUMMYFUNCTION("""COMPUTED_VALUE"""),"")</f>
        <v/>
      </c>
      <c r="W654" s="18" t="str">
        <f ca="1">IFERROR(__xludf.DUMMYFUNCTION("""COMPUTED_VALUE"""),"")</f>
        <v/>
      </c>
      <c r="X654" s="18" t="str">
        <f ca="1">IFERROR(__xludf.DUMMYFUNCTION("""COMPUTED_VALUE"""),"")</f>
        <v/>
      </c>
      <c r="Y654" s="18" t="e">
        <f ca="1"/>
        <v>#NAME?</v>
      </c>
      <c r="Z654" s="18" t="str">
        <f ca="1">IFERROR(__xludf.DUMMYFUNCTION("""COMPUTED_VALUE"""),"")</f>
        <v/>
      </c>
      <c r="AA654" s="18" t="str">
        <f ca="1">IFERROR(__xludf.DUMMYFUNCTION("""COMPUTED_VALUE"""),"")</f>
        <v/>
      </c>
      <c r="AC654" s="59"/>
    </row>
    <row r="655" spans="1:29" x14ac:dyDescent="0.25">
      <c r="A655" s="18">
        <v>0</v>
      </c>
      <c r="B655" s="52" t="str">
        <f ca="1"/>
        <v/>
      </c>
      <c r="C655" s="52" t="str">
        <f ca="1">IFERROR(__xludf.DUMMYFUNCTION("""COMPUTED_VALUE"""),"")</f>
        <v/>
      </c>
      <c r="D655" s="18" t="str">
        <f ca="1">IFERROR(__xludf.DUMMYFUNCTION("""COMPUTED_VALUE"""),"")</f>
        <v/>
      </c>
      <c r="E655" s="18" t="str">
        <f ca="1">IFERROR(__xludf.DUMMYFUNCTION("""COMPUTED_VALUE"""),"")</f>
        <v/>
      </c>
      <c r="F655" s="18" t="str">
        <f ca="1">IFERROR(__xludf.DUMMYFUNCTION("""COMPUTED_VALUE"""),"")</f>
        <v/>
      </c>
      <c r="G655" s="18" t="str">
        <f ca="1">IFERROR(__xludf.DUMMYFUNCTION("""COMPUTED_VALUE"""),"")</f>
        <v/>
      </c>
      <c r="H655" s="18" t="str">
        <f ca="1">IFERROR(__xludf.DUMMYFUNCTION("""COMPUTED_VALUE"""),"")</f>
        <v/>
      </c>
      <c r="I655" s="18" t="str">
        <f ca="1">IFERROR(__xludf.DUMMYFUNCTION("""COMPUTED_VALUE"""),"")</f>
        <v/>
      </c>
      <c r="J655" s="18" t="str">
        <f ca="1">IFERROR(__xludf.DUMMYFUNCTION("""COMPUTED_VALUE"""),"")</f>
        <v/>
      </c>
      <c r="K655" s="18" t="str">
        <f ca="1">IFERROR(__xludf.DUMMYFUNCTION("""COMPUTED_VALUE"""),"")</f>
        <v/>
      </c>
      <c r="L655" s="18" t="str">
        <f ca="1">IFERROR(__xludf.DUMMYFUNCTION("""COMPUTED_VALUE"""),"")</f>
        <v/>
      </c>
      <c r="M655" s="18" t="str">
        <f ca="1">IFERROR(__xludf.DUMMYFUNCTION("""COMPUTED_VALUE"""),"")</f>
        <v/>
      </c>
      <c r="N655" s="18" t="str">
        <f ca="1">IFERROR(__xludf.DUMMYFUNCTION("""COMPUTED_VALUE"""),"")</f>
        <v/>
      </c>
      <c r="O655" s="18" t="str">
        <f ca="1">IFERROR(__xludf.DUMMYFUNCTION("""COMPUTED_VALUE"""),"")</f>
        <v/>
      </c>
      <c r="P655" s="18" t="str">
        <f ca="1">IFERROR(__xludf.DUMMYFUNCTION("""COMPUTED_VALUE"""),"")</f>
        <v/>
      </c>
      <c r="Q655" s="18" t="str">
        <f ca="1">IFERROR(__xludf.DUMMYFUNCTION("""COMPUTED_VALUE"""),"")</f>
        <v/>
      </c>
      <c r="R655" s="18" t="str">
        <f ca="1">IFERROR(__xludf.DUMMYFUNCTION("""COMPUTED_VALUE"""),"")</f>
        <v/>
      </c>
      <c r="S655" s="18" t="str">
        <f ca="1">IFERROR(__xludf.DUMMYFUNCTION("""COMPUTED_VALUE"""),"")</f>
        <v/>
      </c>
      <c r="T655" s="18" t="str">
        <f ca="1">IFERROR(__xludf.DUMMYFUNCTION("""COMPUTED_VALUE"""),"")</f>
        <v/>
      </c>
      <c r="U655" s="18" t="str">
        <f ca="1">IFERROR(__xludf.DUMMYFUNCTION("""COMPUTED_VALUE"""),"")</f>
        <v/>
      </c>
      <c r="V655" s="18" t="str">
        <f ca="1">IFERROR(__xludf.DUMMYFUNCTION("""COMPUTED_VALUE"""),"")</f>
        <v/>
      </c>
      <c r="W655" s="18" t="str">
        <f ca="1">IFERROR(__xludf.DUMMYFUNCTION("""COMPUTED_VALUE"""),"")</f>
        <v/>
      </c>
      <c r="X655" s="18" t="str">
        <f ca="1">IFERROR(__xludf.DUMMYFUNCTION("""COMPUTED_VALUE"""),"")</f>
        <v/>
      </c>
      <c r="Y655" s="18" t="e">
        <f ca="1"/>
        <v>#NAME?</v>
      </c>
      <c r="Z655" s="18" t="str">
        <f ca="1">IFERROR(__xludf.DUMMYFUNCTION("""COMPUTED_VALUE"""),"")</f>
        <v/>
      </c>
      <c r="AA655" s="18" t="str">
        <f ca="1">IFERROR(__xludf.DUMMYFUNCTION("""COMPUTED_VALUE"""),"")</f>
        <v/>
      </c>
      <c r="AC655" s="59"/>
    </row>
    <row r="656" spans="1:29" x14ac:dyDescent="0.25">
      <c r="A656" s="18">
        <v>0</v>
      </c>
      <c r="B656" s="52" t="str">
        <f ca="1"/>
        <v/>
      </c>
      <c r="C656" s="52" t="str">
        <f ca="1">IFERROR(__xludf.DUMMYFUNCTION("""COMPUTED_VALUE"""),"")</f>
        <v/>
      </c>
      <c r="D656" s="18" t="str">
        <f ca="1">IFERROR(__xludf.DUMMYFUNCTION("""COMPUTED_VALUE"""),"")</f>
        <v/>
      </c>
      <c r="E656" s="18" t="str">
        <f ca="1">IFERROR(__xludf.DUMMYFUNCTION("""COMPUTED_VALUE"""),"")</f>
        <v/>
      </c>
      <c r="F656" s="18" t="str">
        <f ca="1">IFERROR(__xludf.DUMMYFUNCTION("""COMPUTED_VALUE"""),"")</f>
        <v/>
      </c>
      <c r="G656" s="18" t="str">
        <f ca="1">IFERROR(__xludf.DUMMYFUNCTION("""COMPUTED_VALUE"""),"")</f>
        <v/>
      </c>
      <c r="H656" s="18" t="str">
        <f ca="1">IFERROR(__xludf.DUMMYFUNCTION("""COMPUTED_VALUE"""),"")</f>
        <v/>
      </c>
      <c r="I656" s="18" t="str">
        <f ca="1">IFERROR(__xludf.DUMMYFUNCTION("""COMPUTED_VALUE"""),"")</f>
        <v/>
      </c>
      <c r="J656" s="18" t="str">
        <f ca="1">IFERROR(__xludf.DUMMYFUNCTION("""COMPUTED_VALUE"""),"")</f>
        <v/>
      </c>
      <c r="K656" s="18" t="str">
        <f ca="1">IFERROR(__xludf.DUMMYFUNCTION("""COMPUTED_VALUE"""),"")</f>
        <v/>
      </c>
      <c r="L656" s="18" t="str">
        <f ca="1">IFERROR(__xludf.DUMMYFUNCTION("""COMPUTED_VALUE"""),"")</f>
        <v/>
      </c>
      <c r="M656" s="18" t="str">
        <f ca="1">IFERROR(__xludf.DUMMYFUNCTION("""COMPUTED_VALUE"""),"")</f>
        <v/>
      </c>
      <c r="N656" s="18" t="str">
        <f ca="1">IFERROR(__xludf.DUMMYFUNCTION("""COMPUTED_VALUE"""),"")</f>
        <v/>
      </c>
      <c r="O656" s="18" t="str">
        <f ca="1">IFERROR(__xludf.DUMMYFUNCTION("""COMPUTED_VALUE"""),"")</f>
        <v/>
      </c>
      <c r="P656" s="18" t="str">
        <f ca="1">IFERROR(__xludf.DUMMYFUNCTION("""COMPUTED_VALUE"""),"")</f>
        <v/>
      </c>
      <c r="Q656" s="18" t="str">
        <f ca="1">IFERROR(__xludf.DUMMYFUNCTION("""COMPUTED_VALUE"""),"")</f>
        <v/>
      </c>
      <c r="R656" s="18" t="str">
        <f ca="1">IFERROR(__xludf.DUMMYFUNCTION("""COMPUTED_VALUE"""),"")</f>
        <v/>
      </c>
      <c r="S656" s="18" t="str">
        <f ca="1">IFERROR(__xludf.DUMMYFUNCTION("""COMPUTED_VALUE"""),"")</f>
        <v/>
      </c>
      <c r="T656" s="18" t="str">
        <f ca="1">IFERROR(__xludf.DUMMYFUNCTION("""COMPUTED_VALUE"""),"")</f>
        <v/>
      </c>
      <c r="U656" s="18" t="str">
        <f ca="1">IFERROR(__xludf.DUMMYFUNCTION("""COMPUTED_VALUE"""),"")</f>
        <v/>
      </c>
      <c r="V656" s="18" t="str">
        <f ca="1">IFERROR(__xludf.DUMMYFUNCTION("""COMPUTED_VALUE"""),"")</f>
        <v/>
      </c>
      <c r="W656" s="18" t="str">
        <f ca="1">IFERROR(__xludf.DUMMYFUNCTION("""COMPUTED_VALUE"""),"")</f>
        <v/>
      </c>
      <c r="X656" s="18" t="str">
        <f ca="1">IFERROR(__xludf.DUMMYFUNCTION("""COMPUTED_VALUE"""),"")</f>
        <v/>
      </c>
      <c r="Y656" s="18" t="e">
        <f ca="1"/>
        <v>#NAME?</v>
      </c>
      <c r="Z656" s="18" t="str">
        <f ca="1">IFERROR(__xludf.DUMMYFUNCTION("""COMPUTED_VALUE"""),"")</f>
        <v/>
      </c>
      <c r="AA656" s="18" t="str">
        <f ca="1">IFERROR(__xludf.DUMMYFUNCTION("""COMPUTED_VALUE"""),"")</f>
        <v/>
      </c>
      <c r="AC656" s="59"/>
    </row>
    <row r="657" spans="1:29" x14ac:dyDescent="0.25">
      <c r="A657" s="18">
        <v>0</v>
      </c>
      <c r="B657" s="52" t="str">
        <f ca="1"/>
        <v/>
      </c>
      <c r="C657" s="52" t="str">
        <f ca="1">IFERROR(__xludf.DUMMYFUNCTION("""COMPUTED_VALUE"""),"")</f>
        <v/>
      </c>
      <c r="D657" s="18" t="str">
        <f ca="1">IFERROR(__xludf.DUMMYFUNCTION("""COMPUTED_VALUE"""),"")</f>
        <v/>
      </c>
      <c r="E657" s="18" t="str">
        <f ca="1">IFERROR(__xludf.DUMMYFUNCTION("""COMPUTED_VALUE"""),"")</f>
        <v/>
      </c>
      <c r="F657" s="18" t="str">
        <f ca="1">IFERROR(__xludf.DUMMYFUNCTION("""COMPUTED_VALUE"""),"")</f>
        <v/>
      </c>
      <c r="G657" s="18" t="str">
        <f ca="1">IFERROR(__xludf.DUMMYFUNCTION("""COMPUTED_VALUE"""),"")</f>
        <v/>
      </c>
      <c r="H657" s="18" t="str">
        <f ca="1">IFERROR(__xludf.DUMMYFUNCTION("""COMPUTED_VALUE"""),"")</f>
        <v/>
      </c>
      <c r="I657" s="18" t="str">
        <f ca="1">IFERROR(__xludf.DUMMYFUNCTION("""COMPUTED_VALUE"""),"")</f>
        <v/>
      </c>
      <c r="J657" s="18" t="str">
        <f ca="1">IFERROR(__xludf.DUMMYFUNCTION("""COMPUTED_VALUE"""),"")</f>
        <v/>
      </c>
      <c r="K657" s="18" t="str">
        <f ca="1">IFERROR(__xludf.DUMMYFUNCTION("""COMPUTED_VALUE"""),"")</f>
        <v/>
      </c>
      <c r="L657" s="18" t="str">
        <f ca="1">IFERROR(__xludf.DUMMYFUNCTION("""COMPUTED_VALUE"""),"")</f>
        <v/>
      </c>
      <c r="M657" s="18" t="str">
        <f ca="1">IFERROR(__xludf.DUMMYFUNCTION("""COMPUTED_VALUE"""),"")</f>
        <v/>
      </c>
      <c r="N657" s="18" t="str">
        <f ca="1">IFERROR(__xludf.DUMMYFUNCTION("""COMPUTED_VALUE"""),"")</f>
        <v/>
      </c>
      <c r="O657" s="18" t="str">
        <f ca="1">IFERROR(__xludf.DUMMYFUNCTION("""COMPUTED_VALUE"""),"")</f>
        <v/>
      </c>
      <c r="P657" s="18" t="str">
        <f ca="1">IFERROR(__xludf.DUMMYFUNCTION("""COMPUTED_VALUE"""),"")</f>
        <v/>
      </c>
      <c r="Q657" s="18" t="str">
        <f ca="1">IFERROR(__xludf.DUMMYFUNCTION("""COMPUTED_VALUE"""),"")</f>
        <v/>
      </c>
      <c r="R657" s="18" t="str">
        <f ca="1">IFERROR(__xludf.DUMMYFUNCTION("""COMPUTED_VALUE"""),"")</f>
        <v/>
      </c>
      <c r="S657" s="18" t="str">
        <f ca="1">IFERROR(__xludf.DUMMYFUNCTION("""COMPUTED_VALUE"""),"")</f>
        <v/>
      </c>
      <c r="T657" s="18" t="str">
        <f ca="1">IFERROR(__xludf.DUMMYFUNCTION("""COMPUTED_VALUE"""),"")</f>
        <v/>
      </c>
      <c r="U657" s="18" t="str">
        <f ca="1">IFERROR(__xludf.DUMMYFUNCTION("""COMPUTED_VALUE"""),"")</f>
        <v/>
      </c>
      <c r="V657" s="18" t="str">
        <f ca="1">IFERROR(__xludf.DUMMYFUNCTION("""COMPUTED_VALUE"""),"")</f>
        <v/>
      </c>
      <c r="W657" s="18" t="str">
        <f ca="1">IFERROR(__xludf.DUMMYFUNCTION("""COMPUTED_VALUE"""),"")</f>
        <v/>
      </c>
      <c r="X657" s="18" t="str">
        <f ca="1">IFERROR(__xludf.DUMMYFUNCTION("""COMPUTED_VALUE"""),"")</f>
        <v/>
      </c>
      <c r="Y657" s="18" t="e">
        <f ca="1"/>
        <v>#NAME?</v>
      </c>
      <c r="Z657" s="18" t="str">
        <f ca="1">IFERROR(__xludf.DUMMYFUNCTION("""COMPUTED_VALUE"""),"")</f>
        <v/>
      </c>
      <c r="AA657" s="18" t="str">
        <f ca="1">IFERROR(__xludf.DUMMYFUNCTION("""COMPUTED_VALUE"""),"")</f>
        <v/>
      </c>
      <c r="AC657" s="59"/>
    </row>
    <row r="658" spans="1:29" x14ac:dyDescent="0.25">
      <c r="A658" s="18">
        <v>0</v>
      </c>
      <c r="B658" s="52" t="str">
        <f ca="1"/>
        <v/>
      </c>
      <c r="C658" s="52" t="str">
        <f ca="1">IFERROR(__xludf.DUMMYFUNCTION("""COMPUTED_VALUE"""),"")</f>
        <v/>
      </c>
      <c r="D658" s="18" t="str">
        <f ca="1">IFERROR(__xludf.DUMMYFUNCTION("""COMPUTED_VALUE"""),"")</f>
        <v/>
      </c>
      <c r="E658" s="18" t="str">
        <f ca="1">IFERROR(__xludf.DUMMYFUNCTION("""COMPUTED_VALUE"""),"")</f>
        <v/>
      </c>
      <c r="F658" s="18" t="str">
        <f ca="1">IFERROR(__xludf.DUMMYFUNCTION("""COMPUTED_VALUE"""),"")</f>
        <v/>
      </c>
      <c r="G658" s="18" t="str">
        <f ca="1">IFERROR(__xludf.DUMMYFUNCTION("""COMPUTED_VALUE"""),"")</f>
        <v/>
      </c>
      <c r="H658" s="18" t="str">
        <f ca="1">IFERROR(__xludf.DUMMYFUNCTION("""COMPUTED_VALUE"""),"")</f>
        <v/>
      </c>
      <c r="I658" s="18" t="str">
        <f ca="1">IFERROR(__xludf.DUMMYFUNCTION("""COMPUTED_VALUE"""),"")</f>
        <v/>
      </c>
      <c r="J658" s="18" t="str">
        <f ca="1">IFERROR(__xludf.DUMMYFUNCTION("""COMPUTED_VALUE"""),"")</f>
        <v/>
      </c>
      <c r="K658" s="18" t="str">
        <f ca="1">IFERROR(__xludf.DUMMYFUNCTION("""COMPUTED_VALUE"""),"")</f>
        <v/>
      </c>
      <c r="L658" s="18" t="str">
        <f ca="1">IFERROR(__xludf.DUMMYFUNCTION("""COMPUTED_VALUE"""),"")</f>
        <v/>
      </c>
      <c r="M658" s="18" t="str">
        <f ca="1">IFERROR(__xludf.DUMMYFUNCTION("""COMPUTED_VALUE"""),"")</f>
        <v/>
      </c>
      <c r="N658" s="18" t="str">
        <f ca="1">IFERROR(__xludf.DUMMYFUNCTION("""COMPUTED_VALUE"""),"")</f>
        <v/>
      </c>
      <c r="O658" s="18" t="str">
        <f ca="1">IFERROR(__xludf.DUMMYFUNCTION("""COMPUTED_VALUE"""),"")</f>
        <v/>
      </c>
      <c r="P658" s="18" t="str">
        <f ca="1">IFERROR(__xludf.DUMMYFUNCTION("""COMPUTED_VALUE"""),"")</f>
        <v/>
      </c>
      <c r="Q658" s="18" t="str">
        <f ca="1">IFERROR(__xludf.DUMMYFUNCTION("""COMPUTED_VALUE"""),"")</f>
        <v/>
      </c>
      <c r="R658" s="18" t="str">
        <f ca="1">IFERROR(__xludf.DUMMYFUNCTION("""COMPUTED_VALUE"""),"")</f>
        <v/>
      </c>
      <c r="S658" s="18" t="str">
        <f ca="1">IFERROR(__xludf.DUMMYFUNCTION("""COMPUTED_VALUE"""),"")</f>
        <v/>
      </c>
      <c r="T658" s="18" t="str">
        <f ca="1">IFERROR(__xludf.DUMMYFUNCTION("""COMPUTED_VALUE"""),"")</f>
        <v/>
      </c>
      <c r="U658" s="18" t="str">
        <f ca="1">IFERROR(__xludf.DUMMYFUNCTION("""COMPUTED_VALUE"""),"")</f>
        <v/>
      </c>
      <c r="V658" s="18" t="str">
        <f ca="1">IFERROR(__xludf.DUMMYFUNCTION("""COMPUTED_VALUE"""),"")</f>
        <v/>
      </c>
      <c r="W658" s="18" t="str">
        <f ca="1">IFERROR(__xludf.DUMMYFUNCTION("""COMPUTED_VALUE"""),"")</f>
        <v/>
      </c>
      <c r="X658" s="18" t="str">
        <f ca="1">IFERROR(__xludf.DUMMYFUNCTION("""COMPUTED_VALUE"""),"")</f>
        <v/>
      </c>
      <c r="Y658" s="18" t="e">
        <f ca="1"/>
        <v>#NAME?</v>
      </c>
      <c r="Z658" s="18" t="str">
        <f ca="1">IFERROR(__xludf.DUMMYFUNCTION("""COMPUTED_VALUE"""),"")</f>
        <v/>
      </c>
      <c r="AA658" s="18" t="str">
        <f ca="1">IFERROR(__xludf.DUMMYFUNCTION("""COMPUTED_VALUE"""),"")</f>
        <v/>
      </c>
      <c r="AC658" s="59"/>
    </row>
    <row r="659" spans="1:29" x14ac:dyDescent="0.25">
      <c r="A659" s="18">
        <v>0</v>
      </c>
      <c r="B659" s="52" t="str">
        <f ca="1"/>
        <v/>
      </c>
      <c r="C659" s="52" t="str">
        <f ca="1">IFERROR(__xludf.DUMMYFUNCTION("""COMPUTED_VALUE"""),"")</f>
        <v/>
      </c>
      <c r="D659" s="18" t="str">
        <f ca="1">IFERROR(__xludf.DUMMYFUNCTION("""COMPUTED_VALUE"""),"")</f>
        <v/>
      </c>
      <c r="E659" s="18" t="str">
        <f ca="1">IFERROR(__xludf.DUMMYFUNCTION("""COMPUTED_VALUE"""),"")</f>
        <v/>
      </c>
      <c r="F659" s="18" t="str">
        <f ca="1">IFERROR(__xludf.DUMMYFUNCTION("""COMPUTED_VALUE"""),"")</f>
        <v/>
      </c>
      <c r="G659" s="18" t="str">
        <f ca="1">IFERROR(__xludf.DUMMYFUNCTION("""COMPUTED_VALUE"""),"")</f>
        <v/>
      </c>
      <c r="H659" s="18" t="str">
        <f ca="1">IFERROR(__xludf.DUMMYFUNCTION("""COMPUTED_VALUE"""),"")</f>
        <v/>
      </c>
      <c r="I659" s="18" t="str">
        <f ca="1">IFERROR(__xludf.DUMMYFUNCTION("""COMPUTED_VALUE"""),"")</f>
        <v/>
      </c>
      <c r="J659" s="18" t="str">
        <f ca="1">IFERROR(__xludf.DUMMYFUNCTION("""COMPUTED_VALUE"""),"")</f>
        <v/>
      </c>
      <c r="K659" s="18" t="str">
        <f ca="1">IFERROR(__xludf.DUMMYFUNCTION("""COMPUTED_VALUE"""),"")</f>
        <v/>
      </c>
      <c r="L659" s="18" t="str">
        <f ca="1">IFERROR(__xludf.DUMMYFUNCTION("""COMPUTED_VALUE"""),"")</f>
        <v/>
      </c>
      <c r="M659" s="18" t="str">
        <f ca="1">IFERROR(__xludf.DUMMYFUNCTION("""COMPUTED_VALUE"""),"")</f>
        <v/>
      </c>
      <c r="N659" s="18" t="str">
        <f ca="1">IFERROR(__xludf.DUMMYFUNCTION("""COMPUTED_VALUE"""),"")</f>
        <v/>
      </c>
      <c r="O659" s="18" t="str">
        <f ca="1">IFERROR(__xludf.DUMMYFUNCTION("""COMPUTED_VALUE"""),"")</f>
        <v/>
      </c>
      <c r="P659" s="18" t="str">
        <f ca="1">IFERROR(__xludf.DUMMYFUNCTION("""COMPUTED_VALUE"""),"")</f>
        <v/>
      </c>
      <c r="Q659" s="18" t="str">
        <f ca="1">IFERROR(__xludf.DUMMYFUNCTION("""COMPUTED_VALUE"""),"")</f>
        <v/>
      </c>
      <c r="R659" s="18" t="str">
        <f ca="1">IFERROR(__xludf.DUMMYFUNCTION("""COMPUTED_VALUE"""),"")</f>
        <v/>
      </c>
      <c r="S659" s="18" t="str">
        <f ca="1">IFERROR(__xludf.DUMMYFUNCTION("""COMPUTED_VALUE"""),"")</f>
        <v/>
      </c>
      <c r="T659" s="18" t="str">
        <f ca="1">IFERROR(__xludf.DUMMYFUNCTION("""COMPUTED_VALUE"""),"")</f>
        <v/>
      </c>
      <c r="U659" s="18" t="str">
        <f ca="1">IFERROR(__xludf.DUMMYFUNCTION("""COMPUTED_VALUE"""),"")</f>
        <v/>
      </c>
      <c r="V659" s="18" t="str">
        <f ca="1">IFERROR(__xludf.DUMMYFUNCTION("""COMPUTED_VALUE"""),"")</f>
        <v/>
      </c>
      <c r="W659" s="18" t="str">
        <f ca="1">IFERROR(__xludf.DUMMYFUNCTION("""COMPUTED_VALUE"""),"")</f>
        <v/>
      </c>
      <c r="X659" s="18" t="str">
        <f ca="1">IFERROR(__xludf.DUMMYFUNCTION("""COMPUTED_VALUE"""),"")</f>
        <v/>
      </c>
      <c r="Y659" s="18" t="e">
        <f ca="1"/>
        <v>#NAME?</v>
      </c>
      <c r="Z659" s="18" t="str">
        <f ca="1">IFERROR(__xludf.DUMMYFUNCTION("""COMPUTED_VALUE"""),"")</f>
        <v/>
      </c>
      <c r="AA659" s="18" t="str">
        <f ca="1">IFERROR(__xludf.DUMMYFUNCTION("""COMPUTED_VALUE"""),"")</f>
        <v/>
      </c>
      <c r="AC659" s="59"/>
    </row>
    <row r="660" spans="1:29" x14ac:dyDescent="0.25">
      <c r="A660" s="18">
        <v>0</v>
      </c>
      <c r="B660" s="52" t="str">
        <f ca="1"/>
        <v/>
      </c>
      <c r="C660" s="52" t="str">
        <f ca="1">IFERROR(__xludf.DUMMYFUNCTION("""COMPUTED_VALUE"""),"")</f>
        <v/>
      </c>
      <c r="D660" s="18" t="str">
        <f ca="1">IFERROR(__xludf.DUMMYFUNCTION("""COMPUTED_VALUE"""),"")</f>
        <v/>
      </c>
      <c r="E660" s="18" t="str">
        <f ca="1">IFERROR(__xludf.DUMMYFUNCTION("""COMPUTED_VALUE"""),"")</f>
        <v/>
      </c>
      <c r="F660" s="18" t="str">
        <f ca="1">IFERROR(__xludf.DUMMYFUNCTION("""COMPUTED_VALUE"""),"")</f>
        <v/>
      </c>
      <c r="G660" s="18" t="str">
        <f ca="1">IFERROR(__xludf.DUMMYFUNCTION("""COMPUTED_VALUE"""),"")</f>
        <v/>
      </c>
      <c r="H660" s="18" t="str">
        <f ca="1">IFERROR(__xludf.DUMMYFUNCTION("""COMPUTED_VALUE"""),"")</f>
        <v/>
      </c>
      <c r="I660" s="18" t="str">
        <f ca="1">IFERROR(__xludf.DUMMYFUNCTION("""COMPUTED_VALUE"""),"")</f>
        <v/>
      </c>
      <c r="J660" s="18" t="str">
        <f ca="1">IFERROR(__xludf.DUMMYFUNCTION("""COMPUTED_VALUE"""),"")</f>
        <v/>
      </c>
      <c r="K660" s="18" t="str">
        <f ca="1">IFERROR(__xludf.DUMMYFUNCTION("""COMPUTED_VALUE"""),"")</f>
        <v/>
      </c>
      <c r="L660" s="18" t="str">
        <f ca="1">IFERROR(__xludf.DUMMYFUNCTION("""COMPUTED_VALUE"""),"")</f>
        <v/>
      </c>
      <c r="M660" s="18" t="str">
        <f ca="1">IFERROR(__xludf.DUMMYFUNCTION("""COMPUTED_VALUE"""),"")</f>
        <v/>
      </c>
      <c r="N660" s="18" t="str">
        <f ca="1">IFERROR(__xludf.DUMMYFUNCTION("""COMPUTED_VALUE"""),"")</f>
        <v/>
      </c>
      <c r="O660" s="18" t="str">
        <f ca="1">IFERROR(__xludf.DUMMYFUNCTION("""COMPUTED_VALUE"""),"")</f>
        <v/>
      </c>
      <c r="P660" s="18" t="str">
        <f ca="1">IFERROR(__xludf.DUMMYFUNCTION("""COMPUTED_VALUE"""),"")</f>
        <v/>
      </c>
      <c r="Q660" s="18" t="str">
        <f ca="1">IFERROR(__xludf.DUMMYFUNCTION("""COMPUTED_VALUE"""),"")</f>
        <v/>
      </c>
      <c r="R660" s="18" t="str">
        <f ca="1">IFERROR(__xludf.DUMMYFUNCTION("""COMPUTED_VALUE"""),"")</f>
        <v/>
      </c>
      <c r="S660" s="18" t="str">
        <f ca="1">IFERROR(__xludf.DUMMYFUNCTION("""COMPUTED_VALUE"""),"")</f>
        <v/>
      </c>
      <c r="T660" s="18" t="str">
        <f ca="1">IFERROR(__xludf.DUMMYFUNCTION("""COMPUTED_VALUE"""),"")</f>
        <v/>
      </c>
      <c r="U660" s="18" t="str">
        <f ca="1">IFERROR(__xludf.DUMMYFUNCTION("""COMPUTED_VALUE"""),"")</f>
        <v/>
      </c>
      <c r="V660" s="18" t="str">
        <f ca="1">IFERROR(__xludf.DUMMYFUNCTION("""COMPUTED_VALUE"""),"")</f>
        <v/>
      </c>
      <c r="W660" s="18" t="str">
        <f ca="1">IFERROR(__xludf.DUMMYFUNCTION("""COMPUTED_VALUE"""),"")</f>
        <v/>
      </c>
      <c r="X660" s="18" t="str">
        <f ca="1">IFERROR(__xludf.DUMMYFUNCTION("""COMPUTED_VALUE"""),"")</f>
        <v/>
      </c>
      <c r="Y660" s="18" t="e">
        <f ca="1"/>
        <v>#NAME?</v>
      </c>
      <c r="Z660" s="18" t="str">
        <f ca="1">IFERROR(__xludf.DUMMYFUNCTION("""COMPUTED_VALUE"""),"")</f>
        <v/>
      </c>
      <c r="AA660" s="18" t="str">
        <f ca="1">IFERROR(__xludf.DUMMYFUNCTION("""COMPUTED_VALUE"""),"")</f>
        <v/>
      </c>
      <c r="AC660" s="59"/>
    </row>
    <row r="661" spans="1:29" x14ac:dyDescent="0.25">
      <c r="A661" s="18">
        <v>0</v>
      </c>
      <c r="B661" s="52" t="str">
        <f ca="1"/>
        <v/>
      </c>
      <c r="C661" s="52" t="str">
        <f ca="1">IFERROR(__xludf.DUMMYFUNCTION("""COMPUTED_VALUE"""),"")</f>
        <v/>
      </c>
      <c r="D661" s="18" t="str">
        <f ca="1">IFERROR(__xludf.DUMMYFUNCTION("""COMPUTED_VALUE"""),"")</f>
        <v/>
      </c>
      <c r="E661" s="18" t="str">
        <f ca="1">IFERROR(__xludf.DUMMYFUNCTION("""COMPUTED_VALUE"""),"")</f>
        <v/>
      </c>
      <c r="F661" s="18" t="str">
        <f ca="1">IFERROR(__xludf.DUMMYFUNCTION("""COMPUTED_VALUE"""),"")</f>
        <v/>
      </c>
      <c r="G661" s="18" t="str">
        <f ca="1">IFERROR(__xludf.DUMMYFUNCTION("""COMPUTED_VALUE"""),"")</f>
        <v/>
      </c>
      <c r="H661" s="18" t="str">
        <f ca="1">IFERROR(__xludf.DUMMYFUNCTION("""COMPUTED_VALUE"""),"")</f>
        <v/>
      </c>
      <c r="I661" s="18" t="str">
        <f ca="1">IFERROR(__xludf.DUMMYFUNCTION("""COMPUTED_VALUE"""),"")</f>
        <v/>
      </c>
      <c r="J661" s="18" t="str">
        <f ca="1">IFERROR(__xludf.DUMMYFUNCTION("""COMPUTED_VALUE"""),"")</f>
        <v/>
      </c>
      <c r="K661" s="18" t="str">
        <f ca="1">IFERROR(__xludf.DUMMYFUNCTION("""COMPUTED_VALUE"""),"")</f>
        <v/>
      </c>
      <c r="L661" s="18" t="str">
        <f ca="1">IFERROR(__xludf.DUMMYFUNCTION("""COMPUTED_VALUE"""),"")</f>
        <v/>
      </c>
      <c r="M661" s="18" t="str">
        <f ca="1">IFERROR(__xludf.DUMMYFUNCTION("""COMPUTED_VALUE"""),"")</f>
        <v/>
      </c>
      <c r="N661" s="18" t="str">
        <f ca="1">IFERROR(__xludf.DUMMYFUNCTION("""COMPUTED_VALUE"""),"")</f>
        <v/>
      </c>
      <c r="O661" s="18" t="str">
        <f ca="1">IFERROR(__xludf.DUMMYFUNCTION("""COMPUTED_VALUE"""),"")</f>
        <v/>
      </c>
      <c r="P661" s="18" t="str">
        <f ca="1">IFERROR(__xludf.DUMMYFUNCTION("""COMPUTED_VALUE"""),"")</f>
        <v/>
      </c>
      <c r="Q661" s="18" t="str">
        <f ca="1">IFERROR(__xludf.DUMMYFUNCTION("""COMPUTED_VALUE"""),"")</f>
        <v/>
      </c>
      <c r="R661" s="18" t="str">
        <f ca="1">IFERROR(__xludf.DUMMYFUNCTION("""COMPUTED_VALUE"""),"")</f>
        <v/>
      </c>
      <c r="S661" s="18" t="str">
        <f ca="1">IFERROR(__xludf.DUMMYFUNCTION("""COMPUTED_VALUE"""),"")</f>
        <v/>
      </c>
      <c r="T661" s="18" t="str">
        <f ca="1">IFERROR(__xludf.DUMMYFUNCTION("""COMPUTED_VALUE"""),"")</f>
        <v/>
      </c>
      <c r="U661" s="18" t="str">
        <f ca="1">IFERROR(__xludf.DUMMYFUNCTION("""COMPUTED_VALUE"""),"")</f>
        <v/>
      </c>
      <c r="V661" s="18" t="str">
        <f ca="1">IFERROR(__xludf.DUMMYFUNCTION("""COMPUTED_VALUE"""),"")</f>
        <v/>
      </c>
      <c r="W661" s="18" t="str">
        <f ca="1">IFERROR(__xludf.DUMMYFUNCTION("""COMPUTED_VALUE"""),"")</f>
        <v/>
      </c>
      <c r="X661" s="18" t="str">
        <f ca="1">IFERROR(__xludf.DUMMYFUNCTION("""COMPUTED_VALUE"""),"")</f>
        <v/>
      </c>
      <c r="Y661" s="18" t="e">
        <f ca="1"/>
        <v>#NAME?</v>
      </c>
      <c r="Z661" s="18" t="str">
        <f ca="1">IFERROR(__xludf.DUMMYFUNCTION("""COMPUTED_VALUE"""),"")</f>
        <v/>
      </c>
      <c r="AA661" s="18" t="str">
        <f ca="1">IFERROR(__xludf.DUMMYFUNCTION("""COMPUTED_VALUE"""),"")</f>
        <v/>
      </c>
      <c r="AC661" s="59"/>
    </row>
    <row r="662" spans="1:29" x14ac:dyDescent="0.25">
      <c r="A662" s="18">
        <v>0</v>
      </c>
      <c r="B662" s="52" t="str">
        <f ca="1"/>
        <v/>
      </c>
      <c r="C662" s="52" t="str">
        <f ca="1">IFERROR(__xludf.DUMMYFUNCTION("""COMPUTED_VALUE"""),"")</f>
        <v/>
      </c>
      <c r="D662" s="18" t="str">
        <f ca="1">IFERROR(__xludf.DUMMYFUNCTION("""COMPUTED_VALUE"""),"")</f>
        <v/>
      </c>
      <c r="E662" s="18" t="str">
        <f ca="1">IFERROR(__xludf.DUMMYFUNCTION("""COMPUTED_VALUE"""),"")</f>
        <v/>
      </c>
      <c r="F662" s="18" t="str">
        <f ca="1">IFERROR(__xludf.DUMMYFUNCTION("""COMPUTED_VALUE"""),"")</f>
        <v/>
      </c>
      <c r="G662" s="18" t="str">
        <f ca="1">IFERROR(__xludf.DUMMYFUNCTION("""COMPUTED_VALUE"""),"")</f>
        <v/>
      </c>
      <c r="H662" s="18" t="str">
        <f ca="1">IFERROR(__xludf.DUMMYFUNCTION("""COMPUTED_VALUE"""),"")</f>
        <v/>
      </c>
      <c r="I662" s="18" t="str">
        <f ca="1">IFERROR(__xludf.DUMMYFUNCTION("""COMPUTED_VALUE"""),"")</f>
        <v/>
      </c>
      <c r="J662" s="18" t="str">
        <f ca="1">IFERROR(__xludf.DUMMYFUNCTION("""COMPUTED_VALUE"""),"")</f>
        <v/>
      </c>
      <c r="K662" s="18" t="str">
        <f ca="1">IFERROR(__xludf.DUMMYFUNCTION("""COMPUTED_VALUE"""),"")</f>
        <v/>
      </c>
      <c r="L662" s="18" t="str">
        <f ca="1">IFERROR(__xludf.DUMMYFUNCTION("""COMPUTED_VALUE"""),"")</f>
        <v/>
      </c>
      <c r="M662" s="18" t="str">
        <f ca="1">IFERROR(__xludf.DUMMYFUNCTION("""COMPUTED_VALUE"""),"")</f>
        <v/>
      </c>
      <c r="N662" s="18" t="str">
        <f ca="1">IFERROR(__xludf.DUMMYFUNCTION("""COMPUTED_VALUE"""),"")</f>
        <v/>
      </c>
      <c r="O662" s="18" t="str">
        <f ca="1">IFERROR(__xludf.DUMMYFUNCTION("""COMPUTED_VALUE"""),"")</f>
        <v/>
      </c>
      <c r="P662" s="18" t="str">
        <f ca="1">IFERROR(__xludf.DUMMYFUNCTION("""COMPUTED_VALUE"""),"")</f>
        <v/>
      </c>
      <c r="Q662" s="18" t="str">
        <f ca="1">IFERROR(__xludf.DUMMYFUNCTION("""COMPUTED_VALUE"""),"")</f>
        <v/>
      </c>
      <c r="R662" s="18" t="str">
        <f ca="1">IFERROR(__xludf.DUMMYFUNCTION("""COMPUTED_VALUE"""),"")</f>
        <v/>
      </c>
      <c r="S662" s="18" t="str">
        <f ca="1">IFERROR(__xludf.DUMMYFUNCTION("""COMPUTED_VALUE"""),"")</f>
        <v/>
      </c>
      <c r="T662" s="18" t="str">
        <f ca="1">IFERROR(__xludf.DUMMYFUNCTION("""COMPUTED_VALUE"""),"")</f>
        <v/>
      </c>
      <c r="U662" s="18" t="str">
        <f ca="1">IFERROR(__xludf.DUMMYFUNCTION("""COMPUTED_VALUE"""),"")</f>
        <v/>
      </c>
      <c r="V662" s="18" t="str">
        <f ca="1">IFERROR(__xludf.DUMMYFUNCTION("""COMPUTED_VALUE"""),"")</f>
        <v/>
      </c>
      <c r="W662" s="18" t="str">
        <f ca="1">IFERROR(__xludf.DUMMYFUNCTION("""COMPUTED_VALUE"""),"")</f>
        <v/>
      </c>
      <c r="X662" s="18" t="str">
        <f ca="1">IFERROR(__xludf.DUMMYFUNCTION("""COMPUTED_VALUE"""),"")</f>
        <v/>
      </c>
      <c r="Y662" s="18" t="e">
        <f ca="1"/>
        <v>#NAME?</v>
      </c>
      <c r="Z662" s="18" t="str">
        <f ca="1">IFERROR(__xludf.DUMMYFUNCTION("""COMPUTED_VALUE"""),"")</f>
        <v/>
      </c>
      <c r="AA662" s="18" t="str">
        <f ca="1">IFERROR(__xludf.DUMMYFUNCTION("""COMPUTED_VALUE"""),"")</f>
        <v/>
      </c>
      <c r="AC662" s="59"/>
    </row>
    <row r="663" spans="1:29" x14ac:dyDescent="0.25">
      <c r="A663" s="18">
        <v>0</v>
      </c>
      <c r="B663" s="52" t="str">
        <f ca="1"/>
        <v/>
      </c>
      <c r="C663" s="52" t="str">
        <f ca="1">IFERROR(__xludf.DUMMYFUNCTION("""COMPUTED_VALUE"""),"")</f>
        <v/>
      </c>
      <c r="D663" s="18" t="str">
        <f ca="1">IFERROR(__xludf.DUMMYFUNCTION("""COMPUTED_VALUE"""),"")</f>
        <v/>
      </c>
      <c r="E663" s="18" t="str">
        <f ca="1">IFERROR(__xludf.DUMMYFUNCTION("""COMPUTED_VALUE"""),"")</f>
        <v/>
      </c>
      <c r="F663" s="18" t="str">
        <f ca="1">IFERROR(__xludf.DUMMYFUNCTION("""COMPUTED_VALUE"""),"")</f>
        <v/>
      </c>
      <c r="G663" s="18" t="str">
        <f ca="1">IFERROR(__xludf.DUMMYFUNCTION("""COMPUTED_VALUE"""),"")</f>
        <v/>
      </c>
      <c r="H663" s="18" t="str">
        <f ca="1">IFERROR(__xludf.DUMMYFUNCTION("""COMPUTED_VALUE"""),"")</f>
        <v/>
      </c>
      <c r="I663" s="18" t="str">
        <f ca="1">IFERROR(__xludf.DUMMYFUNCTION("""COMPUTED_VALUE"""),"")</f>
        <v/>
      </c>
      <c r="J663" s="18" t="str">
        <f ca="1">IFERROR(__xludf.DUMMYFUNCTION("""COMPUTED_VALUE"""),"")</f>
        <v/>
      </c>
      <c r="K663" s="18" t="str">
        <f ca="1">IFERROR(__xludf.DUMMYFUNCTION("""COMPUTED_VALUE"""),"")</f>
        <v/>
      </c>
      <c r="L663" s="18" t="str">
        <f ca="1">IFERROR(__xludf.DUMMYFUNCTION("""COMPUTED_VALUE"""),"")</f>
        <v/>
      </c>
      <c r="M663" s="18" t="str">
        <f ca="1">IFERROR(__xludf.DUMMYFUNCTION("""COMPUTED_VALUE"""),"")</f>
        <v/>
      </c>
      <c r="N663" s="18" t="str">
        <f ca="1">IFERROR(__xludf.DUMMYFUNCTION("""COMPUTED_VALUE"""),"")</f>
        <v/>
      </c>
      <c r="O663" s="18" t="str">
        <f ca="1">IFERROR(__xludf.DUMMYFUNCTION("""COMPUTED_VALUE"""),"")</f>
        <v/>
      </c>
      <c r="P663" s="18" t="str">
        <f ca="1">IFERROR(__xludf.DUMMYFUNCTION("""COMPUTED_VALUE"""),"")</f>
        <v/>
      </c>
      <c r="Q663" s="18" t="str">
        <f ca="1">IFERROR(__xludf.DUMMYFUNCTION("""COMPUTED_VALUE"""),"")</f>
        <v/>
      </c>
      <c r="R663" s="18" t="str">
        <f ca="1">IFERROR(__xludf.DUMMYFUNCTION("""COMPUTED_VALUE"""),"")</f>
        <v/>
      </c>
      <c r="S663" s="18" t="str">
        <f ca="1">IFERROR(__xludf.DUMMYFUNCTION("""COMPUTED_VALUE"""),"")</f>
        <v/>
      </c>
      <c r="T663" s="18" t="str">
        <f ca="1">IFERROR(__xludf.DUMMYFUNCTION("""COMPUTED_VALUE"""),"")</f>
        <v/>
      </c>
      <c r="U663" s="18" t="str">
        <f ca="1">IFERROR(__xludf.DUMMYFUNCTION("""COMPUTED_VALUE"""),"")</f>
        <v/>
      </c>
      <c r="V663" s="18" t="str">
        <f ca="1">IFERROR(__xludf.DUMMYFUNCTION("""COMPUTED_VALUE"""),"")</f>
        <v/>
      </c>
      <c r="W663" s="18" t="str">
        <f ca="1">IFERROR(__xludf.DUMMYFUNCTION("""COMPUTED_VALUE"""),"")</f>
        <v/>
      </c>
      <c r="X663" s="18" t="str">
        <f ca="1">IFERROR(__xludf.DUMMYFUNCTION("""COMPUTED_VALUE"""),"")</f>
        <v/>
      </c>
      <c r="Y663" s="18" t="e">
        <f ca="1"/>
        <v>#NAME?</v>
      </c>
      <c r="Z663" s="18" t="str">
        <f ca="1">IFERROR(__xludf.DUMMYFUNCTION("""COMPUTED_VALUE"""),"")</f>
        <v/>
      </c>
      <c r="AA663" s="18" t="str">
        <f ca="1">IFERROR(__xludf.DUMMYFUNCTION("""COMPUTED_VALUE"""),"")</f>
        <v/>
      </c>
      <c r="AC663" s="59"/>
    </row>
    <row r="664" spans="1:29" x14ac:dyDescent="0.25">
      <c r="A664" s="18">
        <v>0</v>
      </c>
      <c r="B664" s="52" t="str">
        <f ca="1"/>
        <v/>
      </c>
      <c r="C664" s="52" t="str">
        <f ca="1">IFERROR(__xludf.DUMMYFUNCTION("""COMPUTED_VALUE"""),"")</f>
        <v/>
      </c>
      <c r="D664" s="18" t="str">
        <f ca="1">IFERROR(__xludf.DUMMYFUNCTION("""COMPUTED_VALUE"""),"")</f>
        <v/>
      </c>
      <c r="E664" s="18" t="str">
        <f ca="1">IFERROR(__xludf.DUMMYFUNCTION("""COMPUTED_VALUE"""),"")</f>
        <v/>
      </c>
      <c r="F664" s="18" t="str">
        <f ca="1">IFERROR(__xludf.DUMMYFUNCTION("""COMPUTED_VALUE"""),"")</f>
        <v/>
      </c>
      <c r="G664" s="18" t="str">
        <f ca="1">IFERROR(__xludf.DUMMYFUNCTION("""COMPUTED_VALUE"""),"")</f>
        <v/>
      </c>
      <c r="H664" s="18" t="str">
        <f ca="1">IFERROR(__xludf.DUMMYFUNCTION("""COMPUTED_VALUE"""),"")</f>
        <v/>
      </c>
      <c r="I664" s="18" t="str">
        <f ca="1">IFERROR(__xludf.DUMMYFUNCTION("""COMPUTED_VALUE"""),"")</f>
        <v/>
      </c>
      <c r="J664" s="18" t="str">
        <f ca="1">IFERROR(__xludf.DUMMYFUNCTION("""COMPUTED_VALUE"""),"")</f>
        <v/>
      </c>
      <c r="K664" s="18" t="str">
        <f ca="1">IFERROR(__xludf.DUMMYFUNCTION("""COMPUTED_VALUE"""),"")</f>
        <v/>
      </c>
      <c r="L664" s="18" t="str">
        <f ca="1">IFERROR(__xludf.DUMMYFUNCTION("""COMPUTED_VALUE"""),"")</f>
        <v/>
      </c>
      <c r="M664" s="18" t="str">
        <f ca="1">IFERROR(__xludf.DUMMYFUNCTION("""COMPUTED_VALUE"""),"")</f>
        <v/>
      </c>
      <c r="N664" s="18" t="str">
        <f ca="1">IFERROR(__xludf.DUMMYFUNCTION("""COMPUTED_VALUE"""),"")</f>
        <v/>
      </c>
      <c r="O664" s="18" t="str">
        <f ca="1">IFERROR(__xludf.DUMMYFUNCTION("""COMPUTED_VALUE"""),"")</f>
        <v/>
      </c>
      <c r="P664" s="18" t="str">
        <f ca="1">IFERROR(__xludf.DUMMYFUNCTION("""COMPUTED_VALUE"""),"")</f>
        <v/>
      </c>
      <c r="Q664" s="18" t="str">
        <f ca="1">IFERROR(__xludf.DUMMYFUNCTION("""COMPUTED_VALUE"""),"")</f>
        <v/>
      </c>
      <c r="R664" s="18" t="str">
        <f ca="1">IFERROR(__xludf.DUMMYFUNCTION("""COMPUTED_VALUE"""),"")</f>
        <v/>
      </c>
      <c r="S664" s="18" t="str">
        <f ca="1">IFERROR(__xludf.DUMMYFUNCTION("""COMPUTED_VALUE"""),"")</f>
        <v/>
      </c>
      <c r="T664" s="18" t="str">
        <f ca="1">IFERROR(__xludf.DUMMYFUNCTION("""COMPUTED_VALUE"""),"")</f>
        <v/>
      </c>
      <c r="U664" s="18" t="str">
        <f ca="1">IFERROR(__xludf.DUMMYFUNCTION("""COMPUTED_VALUE"""),"")</f>
        <v/>
      </c>
      <c r="V664" s="18" t="str">
        <f ca="1">IFERROR(__xludf.DUMMYFUNCTION("""COMPUTED_VALUE"""),"")</f>
        <v/>
      </c>
      <c r="W664" s="18" t="str">
        <f ca="1">IFERROR(__xludf.DUMMYFUNCTION("""COMPUTED_VALUE"""),"")</f>
        <v/>
      </c>
      <c r="X664" s="18" t="str">
        <f ca="1">IFERROR(__xludf.DUMMYFUNCTION("""COMPUTED_VALUE"""),"")</f>
        <v/>
      </c>
      <c r="Y664" s="18" t="e">
        <f ca="1"/>
        <v>#NAME?</v>
      </c>
      <c r="Z664" s="18" t="str">
        <f ca="1">IFERROR(__xludf.DUMMYFUNCTION("""COMPUTED_VALUE"""),"")</f>
        <v/>
      </c>
      <c r="AA664" s="18" t="str">
        <f ca="1">IFERROR(__xludf.DUMMYFUNCTION("""COMPUTED_VALUE"""),"")</f>
        <v/>
      </c>
      <c r="AC664" s="59"/>
    </row>
    <row r="665" spans="1:29" x14ac:dyDescent="0.25">
      <c r="A665" s="18">
        <v>0</v>
      </c>
      <c r="B665" s="52" t="str">
        <f ca="1"/>
        <v/>
      </c>
      <c r="C665" s="52" t="str">
        <f ca="1">IFERROR(__xludf.DUMMYFUNCTION("""COMPUTED_VALUE"""),"")</f>
        <v/>
      </c>
      <c r="D665" s="18" t="str">
        <f ca="1">IFERROR(__xludf.DUMMYFUNCTION("""COMPUTED_VALUE"""),"")</f>
        <v/>
      </c>
      <c r="E665" s="18" t="str">
        <f ca="1">IFERROR(__xludf.DUMMYFUNCTION("""COMPUTED_VALUE"""),"")</f>
        <v/>
      </c>
      <c r="F665" s="18" t="str">
        <f ca="1">IFERROR(__xludf.DUMMYFUNCTION("""COMPUTED_VALUE"""),"")</f>
        <v/>
      </c>
      <c r="G665" s="18" t="str">
        <f ca="1">IFERROR(__xludf.DUMMYFUNCTION("""COMPUTED_VALUE"""),"")</f>
        <v/>
      </c>
      <c r="H665" s="18" t="str">
        <f ca="1">IFERROR(__xludf.DUMMYFUNCTION("""COMPUTED_VALUE"""),"")</f>
        <v/>
      </c>
      <c r="I665" s="18" t="str">
        <f ca="1">IFERROR(__xludf.DUMMYFUNCTION("""COMPUTED_VALUE"""),"")</f>
        <v/>
      </c>
      <c r="J665" s="18" t="str">
        <f ca="1">IFERROR(__xludf.DUMMYFUNCTION("""COMPUTED_VALUE"""),"")</f>
        <v/>
      </c>
      <c r="K665" s="18" t="str">
        <f ca="1">IFERROR(__xludf.DUMMYFUNCTION("""COMPUTED_VALUE"""),"")</f>
        <v/>
      </c>
      <c r="L665" s="18" t="str">
        <f ca="1">IFERROR(__xludf.DUMMYFUNCTION("""COMPUTED_VALUE"""),"")</f>
        <v/>
      </c>
      <c r="M665" s="18" t="str">
        <f ca="1">IFERROR(__xludf.DUMMYFUNCTION("""COMPUTED_VALUE"""),"")</f>
        <v/>
      </c>
      <c r="N665" s="18" t="str">
        <f ca="1">IFERROR(__xludf.DUMMYFUNCTION("""COMPUTED_VALUE"""),"")</f>
        <v/>
      </c>
      <c r="O665" s="18" t="str">
        <f ca="1">IFERROR(__xludf.DUMMYFUNCTION("""COMPUTED_VALUE"""),"")</f>
        <v/>
      </c>
      <c r="P665" s="18" t="str">
        <f ca="1">IFERROR(__xludf.DUMMYFUNCTION("""COMPUTED_VALUE"""),"")</f>
        <v/>
      </c>
      <c r="Q665" s="18" t="str">
        <f ca="1">IFERROR(__xludf.DUMMYFUNCTION("""COMPUTED_VALUE"""),"")</f>
        <v/>
      </c>
      <c r="R665" s="18" t="str">
        <f ca="1">IFERROR(__xludf.DUMMYFUNCTION("""COMPUTED_VALUE"""),"")</f>
        <v/>
      </c>
      <c r="S665" s="18" t="str">
        <f ca="1">IFERROR(__xludf.DUMMYFUNCTION("""COMPUTED_VALUE"""),"")</f>
        <v/>
      </c>
      <c r="T665" s="18" t="str">
        <f ca="1">IFERROR(__xludf.DUMMYFUNCTION("""COMPUTED_VALUE"""),"")</f>
        <v/>
      </c>
      <c r="U665" s="18" t="str">
        <f ca="1">IFERROR(__xludf.DUMMYFUNCTION("""COMPUTED_VALUE"""),"")</f>
        <v/>
      </c>
      <c r="V665" s="18" t="str">
        <f ca="1">IFERROR(__xludf.DUMMYFUNCTION("""COMPUTED_VALUE"""),"")</f>
        <v/>
      </c>
      <c r="W665" s="18" t="str">
        <f ca="1">IFERROR(__xludf.DUMMYFUNCTION("""COMPUTED_VALUE"""),"")</f>
        <v/>
      </c>
      <c r="X665" s="18" t="str">
        <f ca="1">IFERROR(__xludf.DUMMYFUNCTION("""COMPUTED_VALUE"""),"")</f>
        <v/>
      </c>
      <c r="Y665" s="18" t="e">
        <f ca="1"/>
        <v>#NAME?</v>
      </c>
      <c r="Z665" s="18" t="str">
        <f ca="1">IFERROR(__xludf.DUMMYFUNCTION("""COMPUTED_VALUE"""),"")</f>
        <v/>
      </c>
      <c r="AA665" s="18" t="str">
        <f ca="1">IFERROR(__xludf.DUMMYFUNCTION("""COMPUTED_VALUE"""),"")</f>
        <v/>
      </c>
      <c r="AC665" s="59"/>
    </row>
    <row r="666" spans="1:29" x14ac:dyDescent="0.25">
      <c r="A666" s="18">
        <v>0</v>
      </c>
      <c r="B666" s="52" t="str">
        <f ca="1"/>
        <v/>
      </c>
      <c r="C666" s="52" t="str">
        <f ca="1">IFERROR(__xludf.DUMMYFUNCTION("""COMPUTED_VALUE"""),"")</f>
        <v/>
      </c>
      <c r="D666" s="18" t="str">
        <f ca="1">IFERROR(__xludf.DUMMYFUNCTION("""COMPUTED_VALUE"""),"")</f>
        <v/>
      </c>
      <c r="E666" s="18" t="str">
        <f ca="1">IFERROR(__xludf.DUMMYFUNCTION("""COMPUTED_VALUE"""),"")</f>
        <v/>
      </c>
      <c r="F666" s="18" t="str">
        <f ca="1">IFERROR(__xludf.DUMMYFUNCTION("""COMPUTED_VALUE"""),"")</f>
        <v/>
      </c>
      <c r="G666" s="18" t="str">
        <f ca="1">IFERROR(__xludf.DUMMYFUNCTION("""COMPUTED_VALUE"""),"")</f>
        <v/>
      </c>
      <c r="H666" s="18" t="str">
        <f ca="1">IFERROR(__xludf.DUMMYFUNCTION("""COMPUTED_VALUE"""),"")</f>
        <v/>
      </c>
      <c r="I666" s="18" t="str">
        <f ca="1">IFERROR(__xludf.DUMMYFUNCTION("""COMPUTED_VALUE"""),"")</f>
        <v/>
      </c>
      <c r="J666" s="18" t="str">
        <f ca="1">IFERROR(__xludf.DUMMYFUNCTION("""COMPUTED_VALUE"""),"")</f>
        <v/>
      </c>
      <c r="K666" s="18" t="str">
        <f ca="1">IFERROR(__xludf.DUMMYFUNCTION("""COMPUTED_VALUE"""),"")</f>
        <v/>
      </c>
      <c r="L666" s="18" t="str">
        <f ca="1">IFERROR(__xludf.DUMMYFUNCTION("""COMPUTED_VALUE"""),"")</f>
        <v/>
      </c>
      <c r="M666" s="18" t="str">
        <f ca="1">IFERROR(__xludf.DUMMYFUNCTION("""COMPUTED_VALUE"""),"")</f>
        <v/>
      </c>
      <c r="N666" s="18" t="str">
        <f ca="1">IFERROR(__xludf.DUMMYFUNCTION("""COMPUTED_VALUE"""),"")</f>
        <v/>
      </c>
      <c r="O666" s="18" t="str">
        <f ca="1">IFERROR(__xludf.DUMMYFUNCTION("""COMPUTED_VALUE"""),"")</f>
        <v/>
      </c>
      <c r="P666" s="18" t="str">
        <f ca="1">IFERROR(__xludf.DUMMYFUNCTION("""COMPUTED_VALUE"""),"")</f>
        <v/>
      </c>
      <c r="Q666" s="18" t="str">
        <f ca="1">IFERROR(__xludf.DUMMYFUNCTION("""COMPUTED_VALUE"""),"")</f>
        <v/>
      </c>
      <c r="R666" s="18" t="str">
        <f ca="1">IFERROR(__xludf.DUMMYFUNCTION("""COMPUTED_VALUE"""),"")</f>
        <v/>
      </c>
      <c r="S666" s="18" t="str">
        <f ca="1">IFERROR(__xludf.DUMMYFUNCTION("""COMPUTED_VALUE"""),"")</f>
        <v/>
      </c>
      <c r="T666" s="18" t="str">
        <f ca="1">IFERROR(__xludf.DUMMYFUNCTION("""COMPUTED_VALUE"""),"")</f>
        <v/>
      </c>
      <c r="U666" s="18" t="str">
        <f ca="1">IFERROR(__xludf.DUMMYFUNCTION("""COMPUTED_VALUE"""),"")</f>
        <v/>
      </c>
      <c r="V666" s="18" t="str">
        <f ca="1">IFERROR(__xludf.DUMMYFUNCTION("""COMPUTED_VALUE"""),"")</f>
        <v/>
      </c>
      <c r="W666" s="18" t="str">
        <f ca="1">IFERROR(__xludf.DUMMYFUNCTION("""COMPUTED_VALUE"""),"")</f>
        <v/>
      </c>
      <c r="X666" s="18" t="str">
        <f ca="1">IFERROR(__xludf.DUMMYFUNCTION("""COMPUTED_VALUE"""),"")</f>
        <v/>
      </c>
      <c r="Y666" s="18" t="e">
        <f ca="1"/>
        <v>#NAME?</v>
      </c>
      <c r="Z666" s="18" t="str">
        <f ca="1">IFERROR(__xludf.DUMMYFUNCTION("""COMPUTED_VALUE"""),"")</f>
        <v/>
      </c>
      <c r="AA666" s="18" t="str">
        <f ca="1">IFERROR(__xludf.DUMMYFUNCTION("""COMPUTED_VALUE"""),"")</f>
        <v/>
      </c>
      <c r="AC666" s="59"/>
    </row>
    <row r="667" spans="1:29" x14ac:dyDescent="0.25">
      <c r="A667" s="18">
        <v>0</v>
      </c>
      <c r="B667" s="52" t="str">
        <f ca="1"/>
        <v/>
      </c>
      <c r="C667" s="52" t="str">
        <f ca="1">IFERROR(__xludf.DUMMYFUNCTION("""COMPUTED_VALUE"""),"")</f>
        <v/>
      </c>
      <c r="D667" s="18" t="str">
        <f ca="1">IFERROR(__xludf.DUMMYFUNCTION("""COMPUTED_VALUE"""),"")</f>
        <v/>
      </c>
      <c r="E667" s="18" t="str">
        <f ca="1">IFERROR(__xludf.DUMMYFUNCTION("""COMPUTED_VALUE"""),"")</f>
        <v/>
      </c>
      <c r="F667" s="18" t="str">
        <f ca="1">IFERROR(__xludf.DUMMYFUNCTION("""COMPUTED_VALUE"""),"")</f>
        <v/>
      </c>
      <c r="G667" s="18" t="str">
        <f ca="1">IFERROR(__xludf.DUMMYFUNCTION("""COMPUTED_VALUE"""),"")</f>
        <v/>
      </c>
      <c r="H667" s="18" t="str">
        <f ca="1">IFERROR(__xludf.DUMMYFUNCTION("""COMPUTED_VALUE"""),"")</f>
        <v/>
      </c>
      <c r="I667" s="18" t="str">
        <f ca="1">IFERROR(__xludf.DUMMYFUNCTION("""COMPUTED_VALUE"""),"")</f>
        <v/>
      </c>
      <c r="J667" s="18" t="str">
        <f ca="1">IFERROR(__xludf.DUMMYFUNCTION("""COMPUTED_VALUE"""),"")</f>
        <v/>
      </c>
      <c r="K667" s="18" t="str">
        <f ca="1">IFERROR(__xludf.DUMMYFUNCTION("""COMPUTED_VALUE"""),"")</f>
        <v/>
      </c>
      <c r="L667" s="18" t="str">
        <f ca="1">IFERROR(__xludf.DUMMYFUNCTION("""COMPUTED_VALUE"""),"")</f>
        <v/>
      </c>
      <c r="M667" s="18" t="str">
        <f ca="1">IFERROR(__xludf.DUMMYFUNCTION("""COMPUTED_VALUE"""),"")</f>
        <v/>
      </c>
      <c r="N667" s="18" t="str">
        <f ca="1">IFERROR(__xludf.DUMMYFUNCTION("""COMPUTED_VALUE"""),"")</f>
        <v/>
      </c>
      <c r="O667" s="18" t="str">
        <f ca="1">IFERROR(__xludf.DUMMYFUNCTION("""COMPUTED_VALUE"""),"")</f>
        <v/>
      </c>
      <c r="P667" s="18" t="str">
        <f ca="1">IFERROR(__xludf.DUMMYFUNCTION("""COMPUTED_VALUE"""),"")</f>
        <v/>
      </c>
      <c r="Q667" s="18" t="str">
        <f ca="1">IFERROR(__xludf.DUMMYFUNCTION("""COMPUTED_VALUE"""),"")</f>
        <v/>
      </c>
      <c r="R667" s="18" t="str">
        <f ca="1">IFERROR(__xludf.DUMMYFUNCTION("""COMPUTED_VALUE"""),"")</f>
        <v/>
      </c>
      <c r="S667" s="18" t="str">
        <f ca="1">IFERROR(__xludf.DUMMYFUNCTION("""COMPUTED_VALUE"""),"")</f>
        <v/>
      </c>
      <c r="T667" s="18" t="str">
        <f ca="1">IFERROR(__xludf.DUMMYFUNCTION("""COMPUTED_VALUE"""),"")</f>
        <v/>
      </c>
      <c r="U667" s="18" t="str">
        <f ca="1">IFERROR(__xludf.DUMMYFUNCTION("""COMPUTED_VALUE"""),"")</f>
        <v/>
      </c>
      <c r="V667" s="18" t="str">
        <f ca="1">IFERROR(__xludf.DUMMYFUNCTION("""COMPUTED_VALUE"""),"")</f>
        <v/>
      </c>
      <c r="W667" s="18" t="str">
        <f ca="1">IFERROR(__xludf.DUMMYFUNCTION("""COMPUTED_VALUE"""),"")</f>
        <v/>
      </c>
      <c r="X667" s="18" t="str">
        <f ca="1">IFERROR(__xludf.DUMMYFUNCTION("""COMPUTED_VALUE"""),"")</f>
        <v/>
      </c>
      <c r="Y667" s="18" t="e">
        <f ca="1"/>
        <v>#NAME?</v>
      </c>
      <c r="Z667" s="18" t="str">
        <f ca="1">IFERROR(__xludf.DUMMYFUNCTION("""COMPUTED_VALUE"""),"")</f>
        <v/>
      </c>
      <c r="AA667" s="18" t="str">
        <f ca="1">IFERROR(__xludf.DUMMYFUNCTION("""COMPUTED_VALUE"""),"")</f>
        <v/>
      </c>
      <c r="AC667" s="59"/>
    </row>
    <row r="668" spans="1:29" x14ac:dyDescent="0.25">
      <c r="A668" s="18">
        <v>0</v>
      </c>
      <c r="B668" s="52" t="str">
        <f ca="1"/>
        <v/>
      </c>
      <c r="C668" s="52" t="str">
        <f ca="1">IFERROR(__xludf.DUMMYFUNCTION("""COMPUTED_VALUE"""),"")</f>
        <v/>
      </c>
      <c r="D668" s="18" t="str">
        <f ca="1">IFERROR(__xludf.DUMMYFUNCTION("""COMPUTED_VALUE"""),"")</f>
        <v/>
      </c>
      <c r="E668" s="18" t="str">
        <f ca="1">IFERROR(__xludf.DUMMYFUNCTION("""COMPUTED_VALUE"""),"")</f>
        <v/>
      </c>
      <c r="F668" s="18" t="str">
        <f ca="1">IFERROR(__xludf.DUMMYFUNCTION("""COMPUTED_VALUE"""),"")</f>
        <v/>
      </c>
      <c r="G668" s="18" t="str">
        <f ca="1">IFERROR(__xludf.DUMMYFUNCTION("""COMPUTED_VALUE"""),"")</f>
        <v/>
      </c>
      <c r="H668" s="18" t="str">
        <f ca="1">IFERROR(__xludf.DUMMYFUNCTION("""COMPUTED_VALUE"""),"")</f>
        <v/>
      </c>
      <c r="I668" s="18" t="str">
        <f ca="1">IFERROR(__xludf.DUMMYFUNCTION("""COMPUTED_VALUE"""),"")</f>
        <v/>
      </c>
      <c r="J668" s="18" t="str">
        <f ca="1">IFERROR(__xludf.DUMMYFUNCTION("""COMPUTED_VALUE"""),"")</f>
        <v/>
      </c>
      <c r="K668" s="18" t="str">
        <f ca="1">IFERROR(__xludf.DUMMYFUNCTION("""COMPUTED_VALUE"""),"")</f>
        <v/>
      </c>
      <c r="L668" s="18" t="str">
        <f ca="1">IFERROR(__xludf.DUMMYFUNCTION("""COMPUTED_VALUE"""),"")</f>
        <v/>
      </c>
      <c r="M668" s="18" t="str">
        <f ca="1">IFERROR(__xludf.DUMMYFUNCTION("""COMPUTED_VALUE"""),"")</f>
        <v/>
      </c>
      <c r="N668" s="18" t="str">
        <f ca="1">IFERROR(__xludf.DUMMYFUNCTION("""COMPUTED_VALUE"""),"")</f>
        <v/>
      </c>
      <c r="O668" s="18" t="str">
        <f ca="1">IFERROR(__xludf.DUMMYFUNCTION("""COMPUTED_VALUE"""),"")</f>
        <v/>
      </c>
      <c r="P668" s="18" t="str">
        <f ca="1">IFERROR(__xludf.DUMMYFUNCTION("""COMPUTED_VALUE"""),"")</f>
        <v/>
      </c>
      <c r="Q668" s="18" t="str">
        <f ca="1">IFERROR(__xludf.DUMMYFUNCTION("""COMPUTED_VALUE"""),"")</f>
        <v/>
      </c>
      <c r="R668" s="18" t="str">
        <f ca="1">IFERROR(__xludf.DUMMYFUNCTION("""COMPUTED_VALUE"""),"")</f>
        <v/>
      </c>
      <c r="S668" s="18" t="str">
        <f ca="1">IFERROR(__xludf.DUMMYFUNCTION("""COMPUTED_VALUE"""),"")</f>
        <v/>
      </c>
      <c r="T668" s="18" t="str">
        <f ca="1">IFERROR(__xludf.DUMMYFUNCTION("""COMPUTED_VALUE"""),"")</f>
        <v/>
      </c>
      <c r="U668" s="18" t="str">
        <f ca="1">IFERROR(__xludf.DUMMYFUNCTION("""COMPUTED_VALUE"""),"")</f>
        <v/>
      </c>
      <c r="V668" s="18" t="str">
        <f ca="1">IFERROR(__xludf.DUMMYFUNCTION("""COMPUTED_VALUE"""),"")</f>
        <v/>
      </c>
      <c r="W668" s="18" t="str">
        <f ca="1">IFERROR(__xludf.DUMMYFUNCTION("""COMPUTED_VALUE"""),"")</f>
        <v/>
      </c>
      <c r="X668" s="18" t="str">
        <f ca="1">IFERROR(__xludf.DUMMYFUNCTION("""COMPUTED_VALUE"""),"")</f>
        <v/>
      </c>
      <c r="Y668" s="18" t="e">
        <f ca="1"/>
        <v>#NAME?</v>
      </c>
      <c r="Z668" s="18" t="str">
        <f ca="1">IFERROR(__xludf.DUMMYFUNCTION("""COMPUTED_VALUE"""),"")</f>
        <v/>
      </c>
      <c r="AA668" s="18" t="str">
        <f ca="1">IFERROR(__xludf.DUMMYFUNCTION("""COMPUTED_VALUE"""),"")</f>
        <v/>
      </c>
      <c r="AC668" s="59"/>
    </row>
    <row r="669" spans="1:29" x14ac:dyDescent="0.25">
      <c r="A669" s="18">
        <v>0</v>
      </c>
      <c r="B669" s="52" t="str">
        <f ca="1"/>
        <v/>
      </c>
      <c r="C669" s="52" t="str">
        <f ca="1">IFERROR(__xludf.DUMMYFUNCTION("""COMPUTED_VALUE"""),"")</f>
        <v/>
      </c>
      <c r="D669" s="18" t="str">
        <f ca="1">IFERROR(__xludf.DUMMYFUNCTION("""COMPUTED_VALUE"""),"")</f>
        <v/>
      </c>
      <c r="E669" s="18" t="str">
        <f ca="1">IFERROR(__xludf.DUMMYFUNCTION("""COMPUTED_VALUE"""),"")</f>
        <v/>
      </c>
      <c r="F669" s="18" t="str">
        <f ca="1">IFERROR(__xludf.DUMMYFUNCTION("""COMPUTED_VALUE"""),"")</f>
        <v/>
      </c>
      <c r="G669" s="18" t="str">
        <f ca="1">IFERROR(__xludf.DUMMYFUNCTION("""COMPUTED_VALUE"""),"")</f>
        <v/>
      </c>
      <c r="H669" s="18" t="str">
        <f ca="1">IFERROR(__xludf.DUMMYFUNCTION("""COMPUTED_VALUE"""),"")</f>
        <v/>
      </c>
      <c r="I669" s="18" t="str">
        <f ca="1">IFERROR(__xludf.DUMMYFUNCTION("""COMPUTED_VALUE"""),"")</f>
        <v/>
      </c>
      <c r="J669" s="18" t="str">
        <f ca="1">IFERROR(__xludf.DUMMYFUNCTION("""COMPUTED_VALUE"""),"")</f>
        <v/>
      </c>
      <c r="K669" s="18" t="str">
        <f ca="1">IFERROR(__xludf.DUMMYFUNCTION("""COMPUTED_VALUE"""),"")</f>
        <v/>
      </c>
      <c r="L669" s="18" t="str">
        <f ca="1">IFERROR(__xludf.DUMMYFUNCTION("""COMPUTED_VALUE"""),"")</f>
        <v/>
      </c>
      <c r="M669" s="18" t="str">
        <f ca="1">IFERROR(__xludf.DUMMYFUNCTION("""COMPUTED_VALUE"""),"")</f>
        <v/>
      </c>
      <c r="N669" s="18" t="str">
        <f ca="1">IFERROR(__xludf.DUMMYFUNCTION("""COMPUTED_VALUE"""),"")</f>
        <v/>
      </c>
      <c r="O669" s="18" t="str">
        <f ca="1">IFERROR(__xludf.DUMMYFUNCTION("""COMPUTED_VALUE"""),"")</f>
        <v/>
      </c>
      <c r="P669" s="18" t="str">
        <f ca="1">IFERROR(__xludf.DUMMYFUNCTION("""COMPUTED_VALUE"""),"")</f>
        <v/>
      </c>
      <c r="Q669" s="18" t="str">
        <f ca="1">IFERROR(__xludf.DUMMYFUNCTION("""COMPUTED_VALUE"""),"")</f>
        <v/>
      </c>
      <c r="R669" s="18" t="str">
        <f ca="1">IFERROR(__xludf.DUMMYFUNCTION("""COMPUTED_VALUE"""),"")</f>
        <v/>
      </c>
      <c r="S669" s="18" t="str">
        <f ca="1">IFERROR(__xludf.DUMMYFUNCTION("""COMPUTED_VALUE"""),"")</f>
        <v/>
      </c>
      <c r="T669" s="18" t="str">
        <f ca="1">IFERROR(__xludf.DUMMYFUNCTION("""COMPUTED_VALUE"""),"")</f>
        <v/>
      </c>
      <c r="U669" s="18" t="str">
        <f ca="1">IFERROR(__xludf.DUMMYFUNCTION("""COMPUTED_VALUE"""),"")</f>
        <v/>
      </c>
      <c r="V669" s="18" t="str">
        <f ca="1">IFERROR(__xludf.DUMMYFUNCTION("""COMPUTED_VALUE"""),"")</f>
        <v/>
      </c>
      <c r="W669" s="18" t="str">
        <f ca="1">IFERROR(__xludf.DUMMYFUNCTION("""COMPUTED_VALUE"""),"")</f>
        <v/>
      </c>
      <c r="X669" s="18" t="str">
        <f ca="1">IFERROR(__xludf.DUMMYFUNCTION("""COMPUTED_VALUE"""),"")</f>
        <v/>
      </c>
      <c r="Y669" s="18" t="e">
        <f ca="1"/>
        <v>#NAME?</v>
      </c>
      <c r="Z669" s="18" t="str">
        <f ca="1">IFERROR(__xludf.DUMMYFUNCTION("""COMPUTED_VALUE"""),"")</f>
        <v/>
      </c>
      <c r="AA669" s="18" t="str">
        <f ca="1">IFERROR(__xludf.DUMMYFUNCTION("""COMPUTED_VALUE"""),"")</f>
        <v/>
      </c>
      <c r="AC669" s="59"/>
    </row>
    <row r="670" spans="1:29" x14ac:dyDescent="0.25">
      <c r="A670" s="18">
        <v>0</v>
      </c>
      <c r="B670" s="52" t="str">
        <f ca="1"/>
        <v/>
      </c>
      <c r="C670" s="52" t="str">
        <f ca="1">IFERROR(__xludf.DUMMYFUNCTION("""COMPUTED_VALUE"""),"")</f>
        <v/>
      </c>
      <c r="D670" s="18" t="str">
        <f ca="1">IFERROR(__xludf.DUMMYFUNCTION("""COMPUTED_VALUE"""),"")</f>
        <v/>
      </c>
      <c r="E670" s="18" t="str">
        <f ca="1">IFERROR(__xludf.DUMMYFUNCTION("""COMPUTED_VALUE"""),"")</f>
        <v/>
      </c>
      <c r="F670" s="18" t="str">
        <f ca="1">IFERROR(__xludf.DUMMYFUNCTION("""COMPUTED_VALUE"""),"")</f>
        <v/>
      </c>
      <c r="G670" s="18" t="str">
        <f ca="1">IFERROR(__xludf.DUMMYFUNCTION("""COMPUTED_VALUE"""),"")</f>
        <v/>
      </c>
      <c r="H670" s="18" t="str">
        <f ca="1">IFERROR(__xludf.DUMMYFUNCTION("""COMPUTED_VALUE"""),"")</f>
        <v/>
      </c>
      <c r="I670" s="18" t="str">
        <f ca="1">IFERROR(__xludf.DUMMYFUNCTION("""COMPUTED_VALUE"""),"")</f>
        <v/>
      </c>
      <c r="J670" s="18" t="str">
        <f ca="1">IFERROR(__xludf.DUMMYFUNCTION("""COMPUTED_VALUE"""),"")</f>
        <v/>
      </c>
      <c r="K670" s="18" t="str">
        <f ca="1">IFERROR(__xludf.DUMMYFUNCTION("""COMPUTED_VALUE"""),"")</f>
        <v/>
      </c>
      <c r="L670" s="18" t="str">
        <f ca="1">IFERROR(__xludf.DUMMYFUNCTION("""COMPUTED_VALUE"""),"")</f>
        <v/>
      </c>
      <c r="M670" s="18" t="str">
        <f ca="1">IFERROR(__xludf.DUMMYFUNCTION("""COMPUTED_VALUE"""),"")</f>
        <v/>
      </c>
      <c r="N670" s="18" t="str">
        <f ca="1">IFERROR(__xludf.DUMMYFUNCTION("""COMPUTED_VALUE"""),"")</f>
        <v/>
      </c>
      <c r="O670" s="18" t="str">
        <f ca="1">IFERROR(__xludf.DUMMYFUNCTION("""COMPUTED_VALUE"""),"")</f>
        <v/>
      </c>
      <c r="P670" s="18" t="str">
        <f ca="1">IFERROR(__xludf.DUMMYFUNCTION("""COMPUTED_VALUE"""),"")</f>
        <v/>
      </c>
      <c r="Q670" s="18" t="str">
        <f ca="1">IFERROR(__xludf.DUMMYFUNCTION("""COMPUTED_VALUE"""),"")</f>
        <v/>
      </c>
      <c r="R670" s="18" t="str">
        <f ca="1">IFERROR(__xludf.DUMMYFUNCTION("""COMPUTED_VALUE"""),"")</f>
        <v/>
      </c>
      <c r="S670" s="18" t="str">
        <f ca="1">IFERROR(__xludf.DUMMYFUNCTION("""COMPUTED_VALUE"""),"")</f>
        <v/>
      </c>
      <c r="T670" s="18" t="str">
        <f ca="1">IFERROR(__xludf.DUMMYFUNCTION("""COMPUTED_VALUE"""),"")</f>
        <v/>
      </c>
      <c r="U670" s="18" t="str">
        <f ca="1">IFERROR(__xludf.DUMMYFUNCTION("""COMPUTED_VALUE"""),"")</f>
        <v/>
      </c>
      <c r="V670" s="18" t="str">
        <f ca="1">IFERROR(__xludf.DUMMYFUNCTION("""COMPUTED_VALUE"""),"")</f>
        <v/>
      </c>
      <c r="W670" s="18" t="str">
        <f ca="1">IFERROR(__xludf.DUMMYFUNCTION("""COMPUTED_VALUE"""),"")</f>
        <v/>
      </c>
      <c r="X670" s="18" t="str">
        <f ca="1">IFERROR(__xludf.DUMMYFUNCTION("""COMPUTED_VALUE"""),"")</f>
        <v/>
      </c>
      <c r="Y670" s="18" t="e">
        <f ca="1"/>
        <v>#NAME?</v>
      </c>
      <c r="Z670" s="18" t="str">
        <f ca="1">IFERROR(__xludf.DUMMYFUNCTION("""COMPUTED_VALUE"""),"")</f>
        <v/>
      </c>
      <c r="AA670" s="18" t="str">
        <f ca="1">IFERROR(__xludf.DUMMYFUNCTION("""COMPUTED_VALUE"""),"")</f>
        <v/>
      </c>
      <c r="AC670" s="59"/>
    </row>
    <row r="671" spans="1:29" x14ac:dyDescent="0.25">
      <c r="A671" s="18">
        <v>0</v>
      </c>
      <c r="B671" s="52" t="str">
        <f ca="1"/>
        <v/>
      </c>
      <c r="C671" s="52" t="str">
        <f ca="1">IFERROR(__xludf.DUMMYFUNCTION("""COMPUTED_VALUE"""),"")</f>
        <v/>
      </c>
      <c r="D671" s="18" t="str">
        <f ca="1">IFERROR(__xludf.DUMMYFUNCTION("""COMPUTED_VALUE"""),"")</f>
        <v/>
      </c>
      <c r="E671" s="18" t="str">
        <f ca="1">IFERROR(__xludf.DUMMYFUNCTION("""COMPUTED_VALUE"""),"")</f>
        <v/>
      </c>
      <c r="F671" s="18" t="str">
        <f ca="1">IFERROR(__xludf.DUMMYFUNCTION("""COMPUTED_VALUE"""),"")</f>
        <v/>
      </c>
      <c r="G671" s="18" t="str">
        <f ca="1">IFERROR(__xludf.DUMMYFUNCTION("""COMPUTED_VALUE"""),"")</f>
        <v/>
      </c>
      <c r="H671" s="18" t="str">
        <f ca="1">IFERROR(__xludf.DUMMYFUNCTION("""COMPUTED_VALUE"""),"")</f>
        <v/>
      </c>
      <c r="I671" s="18" t="str">
        <f ca="1">IFERROR(__xludf.DUMMYFUNCTION("""COMPUTED_VALUE"""),"")</f>
        <v/>
      </c>
      <c r="J671" s="18" t="str">
        <f ca="1">IFERROR(__xludf.DUMMYFUNCTION("""COMPUTED_VALUE"""),"")</f>
        <v/>
      </c>
      <c r="K671" s="18" t="str">
        <f ca="1">IFERROR(__xludf.DUMMYFUNCTION("""COMPUTED_VALUE"""),"")</f>
        <v/>
      </c>
      <c r="L671" s="18" t="str">
        <f ca="1">IFERROR(__xludf.DUMMYFUNCTION("""COMPUTED_VALUE"""),"")</f>
        <v/>
      </c>
      <c r="M671" s="18" t="str">
        <f ca="1">IFERROR(__xludf.DUMMYFUNCTION("""COMPUTED_VALUE"""),"")</f>
        <v/>
      </c>
      <c r="N671" s="18" t="str">
        <f ca="1">IFERROR(__xludf.DUMMYFUNCTION("""COMPUTED_VALUE"""),"")</f>
        <v/>
      </c>
      <c r="O671" s="18" t="str">
        <f ca="1">IFERROR(__xludf.DUMMYFUNCTION("""COMPUTED_VALUE"""),"")</f>
        <v/>
      </c>
      <c r="P671" s="18" t="str">
        <f ca="1">IFERROR(__xludf.DUMMYFUNCTION("""COMPUTED_VALUE"""),"")</f>
        <v/>
      </c>
      <c r="Q671" s="18" t="str">
        <f ca="1">IFERROR(__xludf.DUMMYFUNCTION("""COMPUTED_VALUE"""),"")</f>
        <v/>
      </c>
      <c r="R671" s="18" t="str">
        <f ca="1">IFERROR(__xludf.DUMMYFUNCTION("""COMPUTED_VALUE"""),"")</f>
        <v/>
      </c>
      <c r="S671" s="18" t="str">
        <f ca="1">IFERROR(__xludf.DUMMYFUNCTION("""COMPUTED_VALUE"""),"")</f>
        <v/>
      </c>
      <c r="T671" s="18" t="str">
        <f ca="1">IFERROR(__xludf.DUMMYFUNCTION("""COMPUTED_VALUE"""),"")</f>
        <v/>
      </c>
      <c r="U671" s="18" t="str">
        <f ca="1">IFERROR(__xludf.DUMMYFUNCTION("""COMPUTED_VALUE"""),"")</f>
        <v/>
      </c>
      <c r="V671" s="18" t="str">
        <f ca="1">IFERROR(__xludf.DUMMYFUNCTION("""COMPUTED_VALUE"""),"")</f>
        <v/>
      </c>
      <c r="W671" s="18" t="str">
        <f ca="1">IFERROR(__xludf.DUMMYFUNCTION("""COMPUTED_VALUE"""),"")</f>
        <v/>
      </c>
      <c r="X671" s="18" t="str">
        <f ca="1">IFERROR(__xludf.DUMMYFUNCTION("""COMPUTED_VALUE"""),"")</f>
        <v/>
      </c>
      <c r="Y671" s="18" t="e">
        <f ca="1"/>
        <v>#NAME?</v>
      </c>
      <c r="Z671" s="18" t="str">
        <f ca="1">IFERROR(__xludf.DUMMYFUNCTION("""COMPUTED_VALUE"""),"")</f>
        <v/>
      </c>
      <c r="AA671" s="18" t="str">
        <f ca="1">IFERROR(__xludf.DUMMYFUNCTION("""COMPUTED_VALUE"""),"")</f>
        <v/>
      </c>
      <c r="AC671" s="59"/>
    </row>
    <row r="672" spans="1:29" x14ac:dyDescent="0.25">
      <c r="A672" s="18">
        <v>0</v>
      </c>
      <c r="B672" s="52" t="str">
        <f ca="1"/>
        <v/>
      </c>
      <c r="C672" s="52" t="str">
        <f ca="1">IFERROR(__xludf.DUMMYFUNCTION("""COMPUTED_VALUE"""),"")</f>
        <v/>
      </c>
      <c r="D672" s="18" t="str">
        <f ca="1">IFERROR(__xludf.DUMMYFUNCTION("""COMPUTED_VALUE"""),"")</f>
        <v/>
      </c>
      <c r="E672" s="18" t="str">
        <f ca="1">IFERROR(__xludf.DUMMYFUNCTION("""COMPUTED_VALUE"""),"")</f>
        <v/>
      </c>
      <c r="F672" s="18" t="str">
        <f ca="1">IFERROR(__xludf.DUMMYFUNCTION("""COMPUTED_VALUE"""),"")</f>
        <v/>
      </c>
      <c r="G672" s="18" t="str">
        <f ca="1">IFERROR(__xludf.DUMMYFUNCTION("""COMPUTED_VALUE"""),"")</f>
        <v/>
      </c>
      <c r="H672" s="18" t="str">
        <f ca="1">IFERROR(__xludf.DUMMYFUNCTION("""COMPUTED_VALUE"""),"")</f>
        <v/>
      </c>
      <c r="I672" s="18" t="str">
        <f ca="1">IFERROR(__xludf.DUMMYFUNCTION("""COMPUTED_VALUE"""),"")</f>
        <v/>
      </c>
      <c r="J672" s="18" t="str">
        <f ca="1">IFERROR(__xludf.DUMMYFUNCTION("""COMPUTED_VALUE"""),"")</f>
        <v/>
      </c>
      <c r="K672" s="18" t="str">
        <f ca="1">IFERROR(__xludf.DUMMYFUNCTION("""COMPUTED_VALUE"""),"")</f>
        <v/>
      </c>
      <c r="L672" s="18" t="str">
        <f ca="1">IFERROR(__xludf.DUMMYFUNCTION("""COMPUTED_VALUE"""),"")</f>
        <v/>
      </c>
      <c r="M672" s="18" t="str">
        <f ca="1">IFERROR(__xludf.DUMMYFUNCTION("""COMPUTED_VALUE"""),"")</f>
        <v/>
      </c>
      <c r="N672" s="18" t="str">
        <f ca="1">IFERROR(__xludf.DUMMYFUNCTION("""COMPUTED_VALUE"""),"")</f>
        <v/>
      </c>
      <c r="O672" s="18" t="str">
        <f ca="1">IFERROR(__xludf.DUMMYFUNCTION("""COMPUTED_VALUE"""),"")</f>
        <v/>
      </c>
      <c r="P672" s="18" t="str">
        <f ca="1">IFERROR(__xludf.DUMMYFUNCTION("""COMPUTED_VALUE"""),"")</f>
        <v/>
      </c>
      <c r="Q672" s="18" t="str">
        <f ca="1">IFERROR(__xludf.DUMMYFUNCTION("""COMPUTED_VALUE"""),"")</f>
        <v/>
      </c>
      <c r="R672" s="18" t="str">
        <f ca="1">IFERROR(__xludf.DUMMYFUNCTION("""COMPUTED_VALUE"""),"")</f>
        <v/>
      </c>
      <c r="S672" s="18" t="str">
        <f ca="1">IFERROR(__xludf.DUMMYFUNCTION("""COMPUTED_VALUE"""),"")</f>
        <v/>
      </c>
      <c r="T672" s="18" t="str">
        <f ca="1">IFERROR(__xludf.DUMMYFUNCTION("""COMPUTED_VALUE"""),"")</f>
        <v/>
      </c>
      <c r="U672" s="18" t="str">
        <f ca="1">IFERROR(__xludf.DUMMYFUNCTION("""COMPUTED_VALUE"""),"")</f>
        <v/>
      </c>
      <c r="V672" s="18" t="str">
        <f ca="1">IFERROR(__xludf.DUMMYFUNCTION("""COMPUTED_VALUE"""),"")</f>
        <v/>
      </c>
      <c r="W672" s="18" t="str">
        <f ca="1">IFERROR(__xludf.DUMMYFUNCTION("""COMPUTED_VALUE"""),"")</f>
        <v/>
      </c>
      <c r="X672" s="18" t="str">
        <f ca="1">IFERROR(__xludf.DUMMYFUNCTION("""COMPUTED_VALUE"""),"")</f>
        <v/>
      </c>
      <c r="Y672" s="18" t="e">
        <f ca="1"/>
        <v>#NAME?</v>
      </c>
      <c r="Z672" s="18" t="str">
        <f ca="1">IFERROR(__xludf.DUMMYFUNCTION("""COMPUTED_VALUE"""),"")</f>
        <v/>
      </c>
      <c r="AA672" s="18" t="str">
        <f ca="1">IFERROR(__xludf.DUMMYFUNCTION("""COMPUTED_VALUE"""),"")</f>
        <v/>
      </c>
      <c r="AC672" s="59"/>
    </row>
    <row r="673" spans="1:29" x14ac:dyDescent="0.25">
      <c r="A673" s="18">
        <v>0</v>
      </c>
      <c r="B673" s="52" t="str">
        <f ca="1"/>
        <v/>
      </c>
      <c r="C673" s="52" t="str">
        <f ca="1">IFERROR(__xludf.DUMMYFUNCTION("""COMPUTED_VALUE"""),"")</f>
        <v/>
      </c>
      <c r="D673" s="18" t="str">
        <f ca="1">IFERROR(__xludf.DUMMYFUNCTION("""COMPUTED_VALUE"""),"")</f>
        <v/>
      </c>
      <c r="E673" s="18" t="str">
        <f ca="1">IFERROR(__xludf.DUMMYFUNCTION("""COMPUTED_VALUE"""),"")</f>
        <v/>
      </c>
      <c r="F673" s="18" t="str">
        <f ca="1">IFERROR(__xludf.DUMMYFUNCTION("""COMPUTED_VALUE"""),"")</f>
        <v/>
      </c>
      <c r="G673" s="18" t="str">
        <f ca="1">IFERROR(__xludf.DUMMYFUNCTION("""COMPUTED_VALUE"""),"")</f>
        <v/>
      </c>
      <c r="H673" s="18" t="str">
        <f ca="1">IFERROR(__xludf.DUMMYFUNCTION("""COMPUTED_VALUE"""),"")</f>
        <v/>
      </c>
      <c r="I673" s="18" t="str">
        <f ca="1">IFERROR(__xludf.DUMMYFUNCTION("""COMPUTED_VALUE"""),"")</f>
        <v/>
      </c>
      <c r="J673" s="18" t="str">
        <f ca="1">IFERROR(__xludf.DUMMYFUNCTION("""COMPUTED_VALUE"""),"")</f>
        <v/>
      </c>
      <c r="K673" s="18" t="str">
        <f ca="1">IFERROR(__xludf.DUMMYFUNCTION("""COMPUTED_VALUE"""),"")</f>
        <v/>
      </c>
      <c r="L673" s="18" t="str">
        <f ca="1">IFERROR(__xludf.DUMMYFUNCTION("""COMPUTED_VALUE"""),"")</f>
        <v/>
      </c>
      <c r="M673" s="18" t="str">
        <f ca="1">IFERROR(__xludf.DUMMYFUNCTION("""COMPUTED_VALUE"""),"")</f>
        <v/>
      </c>
      <c r="N673" s="18" t="str">
        <f ca="1">IFERROR(__xludf.DUMMYFUNCTION("""COMPUTED_VALUE"""),"")</f>
        <v/>
      </c>
      <c r="O673" s="18" t="str">
        <f ca="1">IFERROR(__xludf.DUMMYFUNCTION("""COMPUTED_VALUE"""),"")</f>
        <v/>
      </c>
      <c r="P673" s="18" t="str">
        <f ca="1">IFERROR(__xludf.DUMMYFUNCTION("""COMPUTED_VALUE"""),"")</f>
        <v/>
      </c>
      <c r="Q673" s="18" t="str">
        <f ca="1">IFERROR(__xludf.DUMMYFUNCTION("""COMPUTED_VALUE"""),"")</f>
        <v/>
      </c>
      <c r="R673" s="18" t="str">
        <f ca="1">IFERROR(__xludf.DUMMYFUNCTION("""COMPUTED_VALUE"""),"")</f>
        <v/>
      </c>
      <c r="S673" s="18" t="str">
        <f ca="1">IFERROR(__xludf.DUMMYFUNCTION("""COMPUTED_VALUE"""),"")</f>
        <v/>
      </c>
      <c r="T673" s="18" t="str">
        <f ca="1">IFERROR(__xludf.DUMMYFUNCTION("""COMPUTED_VALUE"""),"")</f>
        <v/>
      </c>
      <c r="U673" s="18" t="str">
        <f ca="1">IFERROR(__xludf.DUMMYFUNCTION("""COMPUTED_VALUE"""),"")</f>
        <v/>
      </c>
      <c r="V673" s="18" t="str">
        <f ca="1">IFERROR(__xludf.DUMMYFUNCTION("""COMPUTED_VALUE"""),"")</f>
        <v/>
      </c>
      <c r="W673" s="18" t="str">
        <f ca="1">IFERROR(__xludf.DUMMYFUNCTION("""COMPUTED_VALUE"""),"")</f>
        <v/>
      </c>
      <c r="X673" s="18" t="str">
        <f ca="1">IFERROR(__xludf.DUMMYFUNCTION("""COMPUTED_VALUE"""),"")</f>
        <v/>
      </c>
      <c r="Y673" s="18" t="e">
        <f ca="1"/>
        <v>#NAME?</v>
      </c>
      <c r="Z673" s="18" t="str">
        <f ca="1">IFERROR(__xludf.DUMMYFUNCTION("""COMPUTED_VALUE"""),"")</f>
        <v/>
      </c>
      <c r="AA673" s="18" t="str">
        <f ca="1">IFERROR(__xludf.DUMMYFUNCTION("""COMPUTED_VALUE"""),"")</f>
        <v/>
      </c>
      <c r="AC673" s="59"/>
    </row>
    <row r="674" spans="1:29" x14ac:dyDescent="0.25">
      <c r="A674" s="18">
        <v>0</v>
      </c>
      <c r="B674" s="52" t="str">
        <f ca="1"/>
        <v/>
      </c>
      <c r="C674" s="52" t="str">
        <f ca="1">IFERROR(__xludf.DUMMYFUNCTION("""COMPUTED_VALUE"""),"")</f>
        <v/>
      </c>
      <c r="D674" s="18" t="str">
        <f ca="1">IFERROR(__xludf.DUMMYFUNCTION("""COMPUTED_VALUE"""),"")</f>
        <v/>
      </c>
      <c r="E674" s="18" t="str">
        <f ca="1">IFERROR(__xludf.DUMMYFUNCTION("""COMPUTED_VALUE"""),"")</f>
        <v/>
      </c>
      <c r="F674" s="18" t="str">
        <f ca="1">IFERROR(__xludf.DUMMYFUNCTION("""COMPUTED_VALUE"""),"")</f>
        <v/>
      </c>
      <c r="G674" s="18" t="str">
        <f ca="1">IFERROR(__xludf.DUMMYFUNCTION("""COMPUTED_VALUE"""),"")</f>
        <v/>
      </c>
      <c r="H674" s="18" t="str">
        <f ca="1">IFERROR(__xludf.DUMMYFUNCTION("""COMPUTED_VALUE"""),"")</f>
        <v/>
      </c>
      <c r="I674" s="18" t="str">
        <f ca="1">IFERROR(__xludf.DUMMYFUNCTION("""COMPUTED_VALUE"""),"")</f>
        <v/>
      </c>
      <c r="J674" s="18" t="str">
        <f ca="1">IFERROR(__xludf.DUMMYFUNCTION("""COMPUTED_VALUE"""),"")</f>
        <v/>
      </c>
      <c r="K674" s="18" t="str">
        <f ca="1">IFERROR(__xludf.DUMMYFUNCTION("""COMPUTED_VALUE"""),"")</f>
        <v/>
      </c>
      <c r="L674" s="18" t="str">
        <f ca="1">IFERROR(__xludf.DUMMYFUNCTION("""COMPUTED_VALUE"""),"")</f>
        <v/>
      </c>
      <c r="M674" s="18" t="str">
        <f ca="1">IFERROR(__xludf.DUMMYFUNCTION("""COMPUTED_VALUE"""),"")</f>
        <v/>
      </c>
      <c r="N674" s="18" t="str">
        <f ca="1">IFERROR(__xludf.DUMMYFUNCTION("""COMPUTED_VALUE"""),"")</f>
        <v/>
      </c>
      <c r="O674" s="18" t="str">
        <f ca="1">IFERROR(__xludf.DUMMYFUNCTION("""COMPUTED_VALUE"""),"")</f>
        <v/>
      </c>
      <c r="P674" s="18" t="str">
        <f ca="1">IFERROR(__xludf.DUMMYFUNCTION("""COMPUTED_VALUE"""),"")</f>
        <v/>
      </c>
      <c r="Q674" s="18" t="str">
        <f ca="1">IFERROR(__xludf.DUMMYFUNCTION("""COMPUTED_VALUE"""),"")</f>
        <v/>
      </c>
      <c r="R674" s="18" t="str">
        <f ca="1">IFERROR(__xludf.DUMMYFUNCTION("""COMPUTED_VALUE"""),"")</f>
        <v/>
      </c>
      <c r="S674" s="18" t="str">
        <f ca="1">IFERROR(__xludf.DUMMYFUNCTION("""COMPUTED_VALUE"""),"")</f>
        <v/>
      </c>
      <c r="T674" s="18" t="str">
        <f ca="1">IFERROR(__xludf.DUMMYFUNCTION("""COMPUTED_VALUE"""),"")</f>
        <v/>
      </c>
      <c r="U674" s="18" t="str">
        <f ca="1">IFERROR(__xludf.DUMMYFUNCTION("""COMPUTED_VALUE"""),"")</f>
        <v/>
      </c>
      <c r="V674" s="18" t="str">
        <f ca="1">IFERROR(__xludf.DUMMYFUNCTION("""COMPUTED_VALUE"""),"")</f>
        <v/>
      </c>
      <c r="W674" s="18" t="str">
        <f ca="1">IFERROR(__xludf.DUMMYFUNCTION("""COMPUTED_VALUE"""),"")</f>
        <v/>
      </c>
      <c r="X674" s="18" t="str">
        <f ca="1">IFERROR(__xludf.DUMMYFUNCTION("""COMPUTED_VALUE"""),"")</f>
        <v/>
      </c>
      <c r="Y674" s="18" t="e">
        <f ca="1"/>
        <v>#NAME?</v>
      </c>
      <c r="Z674" s="18" t="str">
        <f ca="1">IFERROR(__xludf.DUMMYFUNCTION("""COMPUTED_VALUE"""),"")</f>
        <v/>
      </c>
      <c r="AA674" s="18" t="str">
        <f ca="1">IFERROR(__xludf.DUMMYFUNCTION("""COMPUTED_VALUE"""),"")</f>
        <v/>
      </c>
      <c r="AC674" s="59"/>
    </row>
    <row r="675" spans="1:29" x14ac:dyDescent="0.25">
      <c r="A675" s="18">
        <v>0</v>
      </c>
      <c r="B675" s="52" t="str">
        <f ca="1"/>
        <v/>
      </c>
      <c r="C675" s="52" t="str">
        <f ca="1">IFERROR(__xludf.DUMMYFUNCTION("""COMPUTED_VALUE"""),"")</f>
        <v/>
      </c>
      <c r="D675" s="18" t="str">
        <f ca="1">IFERROR(__xludf.DUMMYFUNCTION("""COMPUTED_VALUE"""),"")</f>
        <v/>
      </c>
      <c r="E675" s="18" t="str">
        <f ca="1">IFERROR(__xludf.DUMMYFUNCTION("""COMPUTED_VALUE"""),"")</f>
        <v/>
      </c>
      <c r="F675" s="18" t="str">
        <f ca="1">IFERROR(__xludf.DUMMYFUNCTION("""COMPUTED_VALUE"""),"")</f>
        <v/>
      </c>
      <c r="G675" s="18" t="str">
        <f ca="1">IFERROR(__xludf.DUMMYFUNCTION("""COMPUTED_VALUE"""),"")</f>
        <v/>
      </c>
      <c r="H675" s="18" t="str">
        <f ca="1">IFERROR(__xludf.DUMMYFUNCTION("""COMPUTED_VALUE"""),"")</f>
        <v/>
      </c>
      <c r="I675" s="18" t="str">
        <f ca="1">IFERROR(__xludf.DUMMYFUNCTION("""COMPUTED_VALUE"""),"")</f>
        <v/>
      </c>
      <c r="J675" s="18" t="str">
        <f ca="1">IFERROR(__xludf.DUMMYFUNCTION("""COMPUTED_VALUE"""),"")</f>
        <v/>
      </c>
      <c r="K675" s="18" t="str">
        <f ca="1">IFERROR(__xludf.DUMMYFUNCTION("""COMPUTED_VALUE"""),"")</f>
        <v/>
      </c>
      <c r="L675" s="18" t="str">
        <f ca="1">IFERROR(__xludf.DUMMYFUNCTION("""COMPUTED_VALUE"""),"")</f>
        <v/>
      </c>
      <c r="M675" s="18" t="str">
        <f ca="1">IFERROR(__xludf.DUMMYFUNCTION("""COMPUTED_VALUE"""),"")</f>
        <v/>
      </c>
      <c r="N675" s="18" t="str">
        <f ca="1">IFERROR(__xludf.DUMMYFUNCTION("""COMPUTED_VALUE"""),"")</f>
        <v/>
      </c>
      <c r="O675" s="18" t="str">
        <f ca="1">IFERROR(__xludf.DUMMYFUNCTION("""COMPUTED_VALUE"""),"")</f>
        <v/>
      </c>
      <c r="P675" s="18" t="str">
        <f ca="1">IFERROR(__xludf.DUMMYFUNCTION("""COMPUTED_VALUE"""),"")</f>
        <v/>
      </c>
      <c r="Q675" s="18" t="str">
        <f ca="1">IFERROR(__xludf.DUMMYFUNCTION("""COMPUTED_VALUE"""),"")</f>
        <v/>
      </c>
      <c r="R675" s="18" t="str">
        <f ca="1">IFERROR(__xludf.DUMMYFUNCTION("""COMPUTED_VALUE"""),"")</f>
        <v/>
      </c>
      <c r="S675" s="18" t="str">
        <f ca="1">IFERROR(__xludf.DUMMYFUNCTION("""COMPUTED_VALUE"""),"")</f>
        <v/>
      </c>
      <c r="T675" s="18" t="str">
        <f ca="1">IFERROR(__xludf.DUMMYFUNCTION("""COMPUTED_VALUE"""),"")</f>
        <v/>
      </c>
      <c r="U675" s="18" t="str">
        <f ca="1">IFERROR(__xludf.DUMMYFUNCTION("""COMPUTED_VALUE"""),"")</f>
        <v/>
      </c>
      <c r="V675" s="18" t="str">
        <f ca="1">IFERROR(__xludf.DUMMYFUNCTION("""COMPUTED_VALUE"""),"")</f>
        <v/>
      </c>
      <c r="W675" s="18" t="str">
        <f ca="1">IFERROR(__xludf.DUMMYFUNCTION("""COMPUTED_VALUE"""),"")</f>
        <v/>
      </c>
      <c r="X675" s="18" t="str">
        <f ca="1">IFERROR(__xludf.DUMMYFUNCTION("""COMPUTED_VALUE"""),"")</f>
        <v/>
      </c>
      <c r="Y675" s="18" t="e">
        <f ca="1"/>
        <v>#NAME?</v>
      </c>
      <c r="Z675" s="18" t="str">
        <f ca="1">IFERROR(__xludf.DUMMYFUNCTION("""COMPUTED_VALUE"""),"")</f>
        <v/>
      </c>
      <c r="AA675" s="18" t="str">
        <f ca="1">IFERROR(__xludf.DUMMYFUNCTION("""COMPUTED_VALUE"""),"")</f>
        <v/>
      </c>
      <c r="AC675" s="59"/>
    </row>
    <row r="676" spans="1:29" x14ac:dyDescent="0.25">
      <c r="A676" s="18">
        <v>0</v>
      </c>
      <c r="B676" s="52" t="str">
        <f ca="1"/>
        <v/>
      </c>
      <c r="C676" s="52" t="str">
        <f ca="1">IFERROR(__xludf.DUMMYFUNCTION("""COMPUTED_VALUE"""),"")</f>
        <v/>
      </c>
      <c r="D676" s="18" t="str">
        <f ca="1">IFERROR(__xludf.DUMMYFUNCTION("""COMPUTED_VALUE"""),"")</f>
        <v/>
      </c>
      <c r="E676" s="18" t="str">
        <f ca="1">IFERROR(__xludf.DUMMYFUNCTION("""COMPUTED_VALUE"""),"")</f>
        <v/>
      </c>
      <c r="F676" s="18" t="str">
        <f ca="1">IFERROR(__xludf.DUMMYFUNCTION("""COMPUTED_VALUE"""),"")</f>
        <v/>
      </c>
      <c r="G676" s="18" t="str">
        <f ca="1">IFERROR(__xludf.DUMMYFUNCTION("""COMPUTED_VALUE"""),"")</f>
        <v/>
      </c>
      <c r="H676" s="18" t="str">
        <f ca="1">IFERROR(__xludf.DUMMYFUNCTION("""COMPUTED_VALUE"""),"")</f>
        <v/>
      </c>
      <c r="I676" s="18" t="str">
        <f ca="1">IFERROR(__xludf.DUMMYFUNCTION("""COMPUTED_VALUE"""),"")</f>
        <v/>
      </c>
      <c r="J676" s="18" t="str">
        <f ca="1">IFERROR(__xludf.DUMMYFUNCTION("""COMPUTED_VALUE"""),"")</f>
        <v/>
      </c>
      <c r="K676" s="18" t="str">
        <f ca="1">IFERROR(__xludf.DUMMYFUNCTION("""COMPUTED_VALUE"""),"")</f>
        <v/>
      </c>
      <c r="L676" s="18" t="str">
        <f ca="1">IFERROR(__xludf.DUMMYFUNCTION("""COMPUTED_VALUE"""),"")</f>
        <v/>
      </c>
      <c r="M676" s="18" t="str">
        <f ca="1">IFERROR(__xludf.DUMMYFUNCTION("""COMPUTED_VALUE"""),"")</f>
        <v/>
      </c>
      <c r="N676" s="18" t="str">
        <f ca="1">IFERROR(__xludf.DUMMYFUNCTION("""COMPUTED_VALUE"""),"")</f>
        <v/>
      </c>
      <c r="O676" s="18" t="str">
        <f ca="1">IFERROR(__xludf.DUMMYFUNCTION("""COMPUTED_VALUE"""),"")</f>
        <v/>
      </c>
      <c r="P676" s="18" t="str">
        <f ca="1">IFERROR(__xludf.DUMMYFUNCTION("""COMPUTED_VALUE"""),"")</f>
        <v/>
      </c>
      <c r="Q676" s="18" t="str">
        <f ca="1">IFERROR(__xludf.DUMMYFUNCTION("""COMPUTED_VALUE"""),"")</f>
        <v/>
      </c>
      <c r="R676" s="18" t="str">
        <f ca="1">IFERROR(__xludf.DUMMYFUNCTION("""COMPUTED_VALUE"""),"")</f>
        <v/>
      </c>
      <c r="S676" s="18" t="str">
        <f ca="1">IFERROR(__xludf.DUMMYFUNCTION("""COMPUTED_VALUE"""),"")</f>
        <v/>
      </c>
      <c r="T676" s="18" t="str">
        <f ca="1">IFERROR(__xludf.DUMMYFUNCTION("""COMPUTED_VALUE"""),"")</f>
        <v/>
      </c>
      <c r="U676" s="18" t="str">
        <f ca="1">IFERROR(__xludf.DUMMYFUNCTION("""COMPUTED_VALUE"""),"")</f>
        <v/>
      </c>
      <c r="V676" s="18" t="str">
        <f ca="1">IFERROR(__xludf.DUMMYFUNCTION("""COMPUTED_VALUE"""),"")</f>
        <v/>
      </c>
      <c r="W676" s="18" t="str">
        <f ca="1">IFERROR(__xludf.DUMMYFUNCTION("""COMPUTED_VALUE"""),"")</f>
        <v/>
      </c>
      <c r="X676" s="18" t="str">
        <f ca="1">IFERROR(__xludf.DUMMYFUNCTION("""COMPUTED_VALUE"""),"")</f>
        <v/>
      </c>
      <c r="Y676" s="18" t="e">
        <f ca="1"/>
        <v>#NAME?</v>
      </c>
      <c r="Z676" s="18" t="str">
        <f ca="1">IFERROR(__xludf.DUMMYFUNCTION("""COMPUTED_VALUE"""),"")</f>
        <v/>
      </c>
      <c r="AA676" s="18" t="str">
        <f ca="1">IFERROR(__xludf.DUMMYFUNCTION("""COMPUTED_VALUE"""),"")</f>
        <v/>
      </c>
      <c r="AC676" s="59"/>
    </row>
    <row r="677" spans="1:29" x14ac:dyDescent="0.25">
      <c r="A677" s="18">
        <v>0</v>
      </c>
      <c r="B677" s="52" t="str">
        <f ca="1"/>
        <v/>
      </c>
      <c r="C677" s="52" t="str">
        <f ca="1">IFERROR(__xludf.DUMMYFUNCTION("""COMPUTED_VALUE"""),"")</f>
        <v/>
      </c>
      <c r="D677" s="18" t="str">
        <f ca="1">IFERROR(__xludf.DUMMYFUNCTION("""COMPUTED_VALUE"""),"")</f>
        <v/>
      </c>
      <c r="E677" s="18" t="str">
        <f ca="1">IFERROR(__xludf.DUMMYFUNCTION("""COMPUTED_VALUE"""),"")</f>
        <v/>
      </c>
      <c r="F677" s="18" t="str">
        <f ca="1">IFERROR(__xludf.DUMMYFUNCTION("""COMPUTED_VALUE"""),"")</f>
        <v/>
      </c>
      <c r="G677" s="18" t="str">
        <f ca="1">IFERROR(__xludf.DUMMYFUNCTION("""COMPUTED_VALUE"""),"")</f>
        <v/>
      </c>
      <c r="H677" s="18" t="str">
        <f ca="1">IFERROR(__xludf.DUMMYFUNCTION("""COMPUTED_VALUE"""),"")</f>
        <v/>
      </c>
      <c r="I677" s="18" t="str">
        <f ca="1">IFERROR(__xludf.DUMMYFUNCTION("""COMPUTED_VALUE"""),"")</f>
        <v/>
      </c>
      <c r="J677" s="18" t="str">
        <f ca="1">IFERROR(__xludf.DUMMYFUNCTION("""COMPUTED_VALUE"""),"")</f>
        <v/>
      </c>
      <c r="K677" s="18" t="str">
        <f ca="1">IFERROR(__xludf.DUMMYFUNCTION("""COMPUTED_VALUE"""),"")</f>
        <v/>
      </c>
      <c r="L677" s="18" t="str">
        <f ca="1">IFERROR(__xludf.DUMMYFUNCTION("""COMPUTED_VALUE"""),"")</f>
        <v/>
      </c>
      <c r="M677" s="18" t="str">
        <f ca="1">IFERROR(__xludf.DUMMYFUNCTION("""COMPUTED_VALUE"""),"")</f>
        <v/>
      </c>
      <c r="N677" s="18" t="str">
        <f ca="1">IFERROR(__xludf.DUMMYFUNCTION("""COMPUTED_VALUE"""),"")</f>
        <v/>
      </c>
      <c r="O677" s="18" t="str">
        <f ca="1">IFERROR(__xludf.DUMMYFUNCTION("""COMPUTED_VALUE"""),"")</f>
        <v/>
      </c>
      <c r="P677" s="18" t="str">
        <f ca="1">IFERROR(__xludf.DUMMYFUNCTION("""COMPUTED_VALUE"""),"")</f>
        <v/>
      </c>
      <c r="Q677" s="18" t="str">
        <f ca="1">IFERROR(__xludf.DUMMYFUNCTION("""COMPUTED_VALUE"""),"")</f>
        <v/>
      </c>
      <c r="R677" s="18" t="str">
        <f ca="1">IFERROR(__xludf.DUMMYFUNCTION("""COMPUTED_VALUE"""),"")</f>
        <v/>
      </c>
      <c r="S677" s="18" t="str">
        <f ca="1">IFERROR(__xludf.DUMMYFUNCTION("""COMPUTED_VALUE"""),"")</f>
        <v/>
      </c>
      <c r="T677" s="18" t="str">
        <f ca="1">IFERROR(__xludf.DUMMYFUNCTION("""COMPUTED_VALUE"""),"")</f>
        <v/>
      </c>
      <c r="U677" s="18" t="str">
        <f ca="1">IFERROR(__xludf.DUMMYFUNCTION("""COMPUTED_VALUE"""),"")</f>
        <v/>
      </c>
      <c r="V677" s="18" t="str">
        <f ca="1">IFERROR(__xludf.DUMMYFUNCTION("""COMPUTED_VALUE"""),"")</f>
        <v/>
      </c>
      <c r="W677" s="18" t="str">
        <f ca="1">IFERROR(__xludf.DUMMYFUNCTION("""COMPUTED_VALUE"""),"")</f>
        <v/>
      </c>
      <c r="X677" s="18" t="str">
        <f ca="1">IFERROR(__xludf.DUMMYFUNCTION("""COMPUTED_VALUE"""),"")</f>
        <v/>
      </c>
      <c r="Y677" s="18" t="e">
        <f ca="1"/>
        <v>#NAME?</v>
      </c>
      <c r="Z677" s="18" t="str">
        <f ca="1">IFERROR(__xludf.DUMMYFUNCTION("""COMPUTED_VALUE"""),"")</f>
        <v/>
      </c>
      <c r="AA677" s="18" t="str">
        <f ca="1">IFERROR(__xludf.DUMMYFUNCTION("""COMPUTED_VALUE"""),"")</f>
        <v/>
      </c>
      <c r="AC677" s="59"/>
    </row>
    <row r="678" spans="1:29" x14ac:dyDescent="0.25">
      <c r="A678" s="18">
        <v>0</v>
      </c>
      <c r="B678" s="52" t="str">
        <f ca="1"/>
        <v/>
      </c>
      <c r="C678" s="52" t="str">
        <f ca="1">IFERROR(__xludf.DUMMYFUNCTION("""COMPUTED_VALUE"""),"")</f>
        <v/>
      </c>
      <c r="D678" s="18" t="str">
        <f ca="1">IFERROR(__xludf.DUMMYFUNCTION("""COMPUTED_VALUE"""),"")</f>
        <v/>
      </c>
      <c r="E678" s="18" t="str">
        <f ca="1">IFERROR(__xludf.DUMMYFUNCTION("""COMPUTED_VALUE"""),"")</f>
        <v/>
      </c>
      <c r="F678" s="18" t="str">
        <f ca="1">IFERROR(__xludf.DUMMYFUNCTION("""COMPUTED_VALUE"""),"")</f>
        <v/>
      </c>
      <c r="G678" s="18" t="str">
        <f ca="1">IFERROR(__xludf.DUMMYFUNCTION("""COMPUTED_VALUE"""),"")</f>
        <v/>
      </c>
      <c r="H678" s="18" t="str">
        <f ca="1">IFERROR(__xludf.DUMMYFUNCTION("""COMPUTED_VALUE"""),"")</f>
        <v/>
      </c>
      <c r="I678" s="18" t="str">
        <f ca="1">IFERROR(__xludf.DUMMYFUNCTION("""COMPUTED_VALUE"""),"")</f>
        <v/>
      </c>
      <c r="J678" s="18" t="str">
        <f ca="1">IFERROR(__xludf.DUMMYFUNCTION("""COMPUTED_VALUE"""),"")</f>
        <v/>
      </c>
      <c r="K678" s="18" t="str">
        <f ca="1">IFERROR(__xludf.DUMMYFUNCTION("""COMPUTED_VALUE"""),"")</f>
        <v/>
      </c>
      <c r="L678" s="18" t="str">
        <f ca="1">IFERROR(__xludf.DUMMYFUNCTION("""COMPUTED_VALUE"""),"")</f>
        <v/>
      </c>
      <c r="M678" s="18" t="str">
        <f ca="1">IFERROR(__xludf.DUMMYFUNCTION("""COMPUTED_VALUE"""),"")</f>
        <v/>
      </c>
      <c r="N678" s="18" t="str">
        <f ca="1">IFERROR(__xludf.DUMMYFUNCTION("""COMPUTED_VALUE"""),"")</f>
        <v/>
      </c>
      <c r="O678" s="18" t="str">
        <f ca="1">IFERROR(__xludf.DUMMYFUNCTION("""COMPUTED_VALUE"""),"")</f>
        <v/>
      </c>
      <c r="P678" s="18" t="str">
        <f ca="1">IFERROR(__xludf.DUMMYFUNCTION("""COMPUTED_VALUE"""),"")</f>
        <v/>
      </c>
      <c r="Q678" s="18" t="str">
        <f ca="1">IFERROR(__xludf.DUMMYFUNCTION("""COMPUTED_VALUE"""),"")</f>
        <v/>
      </c>
      <c r="R678" s="18" t="str">
        <f ca="1">IFERROR(__xludf.DUMMYFUNCTION("""COMPUTED_VALUE"""),"")</f>
        <v/>
      </c>
      <c r="S678" s="18" t="str">
        <f ca="1">IFERROR(__xludf.DUMMYFUNCTION("""COMPUTED_VALUE"""),"")</f>
        <v/>
      </c>
      <c r="T678" s="18" t="str">
        <f ca="1">IFERROR(__xludf.DUMMYFUNCTION("""COMPUTED_VALUE"""),"")</f>
        <v/>
      </c>
      <c r="U678" s="18" t="str">
        <f ca="1">IFERROR(__xludf.DUMMYFUNCTION("""COMPUTED_VALUE"""),"")</f>
        <v/>
      </c>
      <c r="V678" s="18" t="str">
        <f ca="1">IFERROR(__xludf.DUMMYFUNCTION("""COMPUTED_VALUE"""),"")</f>
        <v/>
      </c>
      <c r="W678" s="18" t="str">
        <f ca="1">IFERROR(__xludf.DUMMYFUNCTION("""COMPUTED_VALUE"""),"")</f>
        <v/>
      </c>
      <c r="X678" s="18" t="str">
        <f ca="1">IFERROR(__xludf.DUMMYFUNCTION("""COMPUTED_VALUE"""),"")</f>
        <v/>
      </c>
      <c r="Y678" s="18" t="e">
        <f ca="1"/>
        <v>#NAME?</v>
      </c>
      <c r="Z678" s="18" t="str">
        <f ca="1">IFERROR(__xludf.DUMMYFUNCTION("""COMPUTED_VALUE"""),"")</f>
        <v/>
      </c>
      <c r="AA678" s="18" t="str">
        <f ca="1">IFERROR(__xludf.DUMMYFUNCTION("""COMPUTED_VALUE"""),"")</f>
        <v/>
      </c>
      <c r="AC678" s="59"/>
    </row>
    <row r="679" spans="1:29" x14ac:dyDescent="0.25">
      <c r="A679" s="18">
        <v>0</v>
      </c>
      <c r="B679" s="52" t="str">
        <f ca="1"/>
        <v/>
      </c>
      <c r="C679" s="52" t="str">
        <f ca="1">IFERROR(__xludf.DUMMYFUNCTION("""COMPUTED_VALUE"""),"")</f>
        <v/>
      </c>
      <c r="D679" s="18" t="str">
        <f ca="1">IFERROR(__xludf.DUMMYFUNCTION("""COMPUTED_VALUE"""),"")</f>
        <v/>
      </c>
      <c r="E679" s="18" t="str">
        <f ca="1">IFERROR(__xludf.DUMMYFUNCTION("""COMPUTED_VALUE"""),"")</f>
        <v/>
      </c>
      <c r="F679" s="18" t="str">
        <f ca="1">IFERROR(__xludf.DUMMYFUNCTION("""COMPUTED_VALUE"""),"")</f>
        <v/>
      </c>
      <c r="G679" s="18" t="str">
        <f ca="1">IFERROR(__xludf.DUMMYFUNCTION("""COMPUTED_VALUE"""),"")</f>
        <v/>
      </c>
      <c r="H679" s="18" t="str">
        <f ca="1">IFERROR(__xludf.DUMMYFUNCTION("""COMPUTED_VALUE"""),"")</f>
        <v/>
      </c>
      <c r="I679" s="18" t="str">
        <f ca="1">IFERROR(__xludf.DUMMYFUNCTION("""COMPUTED_VALUE"""),"")</f>
        <v/>
      </c>
      <c r="J679" s="18" t="str">
        <f ca="1">IFERROR(__xludf.DUMMYFUNCTION("""COMPUTED_VALUE"""),"")</f>
        <v/>
      </c>
      <c r="K679" s="18" t="str">
        <f ca="1">IFERROR(__xludf.DUMMYFUNCTION("""COMPUTED_VALUE"""),"")</f>
        <v/>
      </c>
      <c r="L679" s="18" t="str">
        <f ca="1">IFERROR(__xludf.DUMMYFUNCTION("""COMPUTED_VALUE"""),"")</f>
        <v/>
      </c>
      <c r="M679" s="18" t="str">
        <f ca="1">IFERROR(__xludf.DUMMYFUNCTION("""COMPUTED_VALUE"""),"")</f>
        <v/>
      </c>
      <c r="N679" s="18" t="str">
        <f ca="1">IFERROR(__xludf.DUMMYFUNCTION("""COMPUTED_VALUE"""),"")</f>
        <v/>
      </c>
      <c r="O679" s="18" t="str">
        <f ca="1">IFERROR(__xludf.DUMMYFUNCTION("""COMPUTED_VALUE"""),"")</f>
        <v/>
      </c>
      <c r="P679" s="18" t="str">
        <f ca="1">IFERROR(__xludf.DUMMYFUNCTION("""COMPUTED_VALUE"""),"")</f>
        <v/>
      </c>
      <c r="Q679" s="18" t="str">
        <f ca="1">IFERROR(__xludf.DUMMYFUNCTION("""COMPUTED_VALUE"""),"")</f>
        <v/>
      </c>
      <c r="R679" s="18" t="str">
        <f ca="1">IFERROR(__xludf.DUMMYFUNCTION("""COMPUTED_VALUE"""),"")</f>
        <v/>
      </c>
      <c r="S679" s="18" t="str">
        <f ca="1">IFERROR(__xludf.DUMMYFUNCTION("""COMPUTED_VALUE"""),"")</f>
        <v/>
      </c>
      <c r="T679" s="18" t="str">
        <f ca="1">IFERROR(__xludf.DUMMYFUNCTION("""COMPUTED_VALUE"""),"")</f>
        <v/>
      </c>
      <c r="U679" s="18" t="str">
        <f ca="1">IFERROR(__xludf.DUMMYFUNCTION("""COMPUTED_VALUE"""),"")</f>
        <v/>
      </c>
      <c r="V679" s="18" t="str">
        <f ca="1">IFERROR(__xludf.DUMMYFUNCTION("""COMPUTED_VALUE"""),"")</f>
        <v/>
      </c>
      <c r="W679" s="18" t="str">
        <f ca="1">IFERROR(__xludf.DUMMYFUNCTION("""COMPUTED_VALUE"""),"")</f>
        <v/>
      </c>
      <c r="X679" s="18" t="str">
        <f ca="1">IFERROR(__xludf.DUMMYFUNCTION("""COMPUTED_VALUE"""),"")</f>
        <v/>
      </c>
      <c r="Y679" s="18" t="e">
        <f ca="1"/>
        <v>#NAME?</v>
      </c>
      <c r="Z679" s="18" t="str">
        <f ca="1">IFERROR(__xludf.DUMMYFUNCTION("""COMPUTED_VALUE"""),"")</f>
        <v/>
      </c>
      <c r="AA679" s="18" t="str">
        <f ca="1">IFERROR(__xludf.DUMMYFUNCTION("""COMPUTED_VALUE"""),"")</f>
        <v/>
      </c>
      <c r="AC679" s="59"/>
    </row>
    <row r="680" spans="1:29" x14ac:dyDescent="0.25">
      <c r="A680" s="18">
        <v>0</v>
      </c>
      <c r="B680" s="52" t="str">
        <f ca="1"/>
        <v/>
      </c>
      <c r="C680" s="52" t="str">
        <f ca="1">IFERROR(__xludf.DUMMYFUNCTION("""COMPUTED_VALUE"""),"")</f>
        <v/>
      </c>
      <c r="D680" s="18" t="str">
        <f ca="1">IFERROR(__xludf.DUMMYFUNCTION("""COMPUTED_VALUE"""),"")</f>
        <v/>
      </c>
      <c r="E680" s="18" t="str">
        <f ca="1">IFERROR(__xludf.DUMMYFUNCTION("""COMPUTED_VALUE"""),"")</f>
        <v/>
      </c>
      <c r="F680" s="18" t="str">
        <f ca="1">IFERROR(__xludf.DUMMYFUNCTION("""COMPUTED_VALUE"""),"")</f>
        <v/>
      </c>
      <c r="G680" s="18" t="str">
        <f ca="1">IFERROR(__xludf.DUMMYFUNCTION("""COMPUTED_VALUE"""),"")</f>
        <v/>
      </c>
      <c r="H680" s="18" t="str">
        <f ca="1">IFERROR(__xludf.DUMMYFUNCTION("""COMPUTED_VALUE"""),"")</f>
        <v/>
      </c>
      <c r="I680" s="18" t="str">
        <f ca="1">IFERROR(__xludf.DUMMYFUNCTION("""COMPUTED_VALUE"""),"")</f>
        <v/>
      </c>
      <c r="J680" s="18" t="str">
        <f ca="1">IFERROR(__xludf.DUMMYFUNCTION("""COMPUTED_VALUE"""),"")</f>
        <v/>
      </c>
      <c r="K680" s="18" t="str">
        <f ca="1">IFERROR(__xludf.DUMMYFUNCTION("""COMPUTED_VALUE"""),"")</f>
        <v/>
      </c>
      <c r="L680" s="18" t="str">
        <f ca="1">IFERROR(__xludf.DUMMYFUNCTION("""COMPUTED_VALUE"""),"")</f>
        <v/>
      </c>
      <c r="M680" s="18" t="str">
        <f ca="1">IFERROR(__xludf.DUMMYFUNCTION("""COMPUTED_VALUE"""),"")</f>
        <v/>
      </c>
      <c r="N680" s="18" t="str">
        <f ca="1">IFERROR(__xludf.DUMMYFUNCTION("""COMPUTED_VALUE"""),"")</f>
        <v/>
      </c>
      <c r="O680" s="18" t="str">
        <f ca="1">IFERROR(__xludf.DUMMYFUNCTION("""COMPUTED_VALUE"""),"")</f>
        <v/>
      </c>
      <c r="P680" s="18" t="str">
        <f ca="1">IFERROR(__xludf.DUMMYFUNCTION("""COMPUTED_VALUE"""),"")</f>
        <v/>
      </c>
      <c r="Q680" s="18" t="str">
        <f ca="1">IFERROR(__xludf.DUMMYFUNCTION("""COMPUTED_VALUE"""),"")</f>
        <v/>
      </c>
      <c r="R680" s="18" t="str">
        <f ca="1">IFERROR(__xludf.DUMMYFUNCTION("""COMPUTED_VALUE"""),"")</f>
        <v/>
      </c>
      <c r="S680" s="18" t="str">
        <f ca="1">IFERROR(__xludf.DUMMYFUNCTION("""COMPUTED_VALUE"""),"")</f>
        <v/>
      </c>
      <c r="T680" s="18" t="str">
        <f ca="1">IFERROR(__xludf.DUMMYFUNCTION("""COMPUTED_VALUE"""),"")</f>
        <v/>
      </c>
      <c r="U680" s="18" t="str">
        <f ca="1">IFERROR(__xludf.DUMMYFUNCTION("""COMPUTED_VALUE"""),"")</f>
        <v/>
      </c>
      <c r="V680" s="18" t="str">
        <f ca="1">IFERROR(__xludf.DUMMYFUNCTION("""COMPUTED_VALUE"""),"")</f>
        <v/>
      </c>
      <c r="W680" s="18" t="str">
        <f ca="1">IFERROR(__xludf.DUMMYFUNCTION("""COMPUTED_VALUE"""),"")</f>
        <v/>
      </c>
      <c r="X680" s="18" t="str">
        <f ca="1">IFERROR(__xludf.DUMMYFUNCTION("""COMPUTED_VALUE"""),"")</f>
        <v/>
      </c>
      <c r="Y680" s="18" t="e">
        <f ca="1"/>
        <v>#NAME?</v>
      </c>
      <c r="Z680" s="18" t="str">
        <f ca="1">IFERROR(__xludf.DUMMYFUNCTION("""COMPUTED_VALUE"""),"")</f>
        <v/>
      </c>
      <c r="AA680" s="18" t="str">
        <f ca="1">IFERROR(__xludf.DUMMYFUNCTION("""COMPUTED_VALUE"""),"")</f>
        <v/>
      </c>
      <c r="AC680" s="59"/>
    </row>
    <row r="681" spans="1:29" x14ac:dyDescent="0.25">
      <c r="A681" s="18">
        <v>0</v>
      </c>
      <c r="B681" s="52" t="str">
        <f ca="1"/>
        <v/>
      </c>
      <c r="C681" s="52" t="str">
        <f ca="1">IFERROR(__xludf.DUMMYFUNCTION("""COMPUTED_VALUE"""),"")</f>
        <v/>
      </c>
      <c r="D681" s="18" t="str">
        <f ca="1">IFERROR(__xludf.DUMMYFUNCTION("""COMPUTED_VALUE"""),"")</f>
        <v/>
      </c>
      <c r="E681" s="18" t="str">
        <f ca="1">IFERROR(__xludf.DUMMYFUNCTION("""COMPUTED_VALUE"""),"")</f>
        <v/>
      </c>
      <c r="F681" s="18" t="str">
        <f ca="1">IFERROR(__xludf.DUMMYFUNCTION("""COMPUTED_VALUE"""),"")</f>
        <v/>
      </c>
      <c r="G681" s="18" t="str">
        <f ca="1">IFERROR(__xludf.DUMMYFUNCTION("""COMPUTED_VALUE"""),"")</f>
        <v/>
      </c>
      <c r="H681" s="18" t="str">
        <f ca="1">IFERROR(__xludf.DUMMYFUNCTION("""COMPUTED_VALUE"""),"")</f>
        <v/>
      </c>
      <c r="I681" s="18" t="str">
        <f ca="1">IFERROR(__xludf.DUMMYFUNCTION("""COMPUTED_VALUE"""),"")</f>
        <v/>
      </c>
      <c r="J681" s="18" t="str">
        <f ca="1">IFERROR(__xludf.DUMMYFUNCTION("""COMPUTED_VALUE"""),"")</f>
        <v/>
      </c>
      <c r="K681" s="18" t="str">
        <f ca="1">IFERROR(__xludf.DUMMYFUNCTION("""COMPUTED_VALUE"""),"")</f>
        <v/>
      </c>
      <c r="L681" s="18" t="str">
        <f ca="1">IFERROR(__xludf.DUMMYFUNCTION("""COMPUTED_VALUE"""),"")</f>
        <v/>
      </c>
      <c r="M681" s="18" t="str">
        <f ca="1">IFERROR(__xludf.DUMMYFUNCTION("""COMPUTED_VALUE"""),"")</f>
        <v/>
      </c>
      <c r="N681" s="18" t="str">
        <f ca="1">IFERROR(__xludf.DUMMYFUNCTION("""COMPUTED_VALUE"""),"")</f>
        <v/>
      </c>
      <c r="O681" s="18" t="str">
        <f ca="1">IFERROR(__xludf.DUMMYFUNCTION("""COMPUTED_VALUE"""),"")</f>
        <v/>
      </c>
      <c r="P681" s="18" t="str">
        <f ca="1">IFERROR(__xludf.DUMMYFUNCTION("""COMPUTED_VALUE"""),"")</f>
        <v/>
      </c>
      <c r="Q681" s="18" t="str">
        <f ca="1">IFERROR(__xludf.DUMMYFUNCTION("""COMPUTED_VALUE"""),"")</f>
        <v/>
      </c>
      <c r="R681" s="18" t="str">
        <f ca="1">IFERROR(__xludf.DUMMYFUNCTION("""COMPUTED_VALUE"""),"")</f>
        <v/>
      </c>
      <c r="S681" s="18" t="str">
        <f ca="1">IFERROR(__xludf.DUMMYFUNCTION("""COMPUTED_VALUE"""),"")</f>
        <v/>
      </c>
      <c r="T681" s="18" t="str">
        <f ca="1">IFERROR(__xludf.DUMMYFUNCTION("""COMPUTED_VALUE"""),"")</f>
        <v/>
      </c>
      <c r="U681" s="18" t="str">
        <f ca="1">IFERROR(__xludf.DUMMYFUNCTION("""COMPUTED_VALUE"""),"")</f>
        <v/>
      </c>
      <c r="V681" s="18" t="str">
        <f ca="1">IFERROR(__xludf.DUMMYFUNCTION("""COMPUTED_VALUE"""),"")</f>
        <v/>
      </c>
      <c r="W681" s="18" t="str">
        <f ca="1">IFERROR(__xludf.DUMMYFUNCTION("""COMPUTED_VALUE"""),"")</f>
        <v/>
      </c>
      <c r="X681" s="18" t="str">
        <f ca="1">IFERROR(__xludf.DUMMYFUNCTION("""COMPUTED_VALUE"""),"")</f>
        <v/>
      </c>
      <c r="Y681" s="18" t="e">
        <f ca="1"/>
        <v>#NAME?</v>
      </c>
      <c r="Z681" s="18" t="str">
        <f ca="1">IFERROR(__xludf.DUMMYFUNCTION("""COMPUTED_VALUE"""),"")</f>
        <v/>
      </c>
      <c r="AA681" s="18" t="str">
        <f ca="1">IFERROR(__xludf.DUMMYFUNCTION("""COMPUTED_VALUE"""),"")</f>
        <v/>
      </c>
      <c r="AC681" s="59"/>
    </row>
    <row r="682" spans="1:29" x14ac:dyDescent="0.25">
      <c r="A682" s="18">
        <v>0</v>
      </c>
      <c r="B682" s="52" t="str">
        <f ca="1"/>
        <v/>
      </c>
      <c r="C682" s="52" t="str">
        <f ca="1">IFERROR(__xludf.DUMMYFUNCTION("""COMPUTED_VALUE"""),"")</f>
        <v/>
      </c>
      <c r="D682" s="18" t="str">
        <f ca="1">IFERROR(__xludf.DUMMYFUNCTION("""COMPUTED_VALUE"""),"")</f>
        <v/>
      </c>
      <c r="E682" s="18" t="str">
        <f ca="1">IFERROR(__xludf.DUMMYFUNCTION("""COMPUTED_VALUE"""),"")</f>
        <v/>
      </c>
      <c r="F682" s="18" t="str">
        <f ca="1">IFERROR(__xludf.DUMMYFUNCTION("""COMPUTED_VALUE"""),"")</f>
        <v/>
      </c>
      <c r="G682" s="18" t="str">
        <f ca="1">IFERROR(__xludf.DUMMYFUNCTION("""COMPUTED_VALUE"""),"")</f>
        <v/>
      </c>
      <c r="H682" s="18" t="str">
        <f ca="1">IFERROR(__xludf.DUMMYFUNCTION("""COMPUTED_VALUE"""),"")</f>
        <v/>
      </c>
      <c r="I682" s="18" t="str">
        <f ca="1">IFERROR(__xludf.DUMMYFUNCTION("""COMPUTED_VALUE"""),"")</f>
        <v/>
      </c>
      <c r="J682" s="18" t="str">
        <f ca="1">IFERROR(__xludf.DUMMYFUNCTION("""COMPUTED_VALUE"""),"")</f>
        <v/>
      </c>
      <c r="K682" s="18" t="str">
        <f ca="1">IFERROR(__xludf.DUMMYFUNCTION("""COMPUTED_VALUE"""),"")</f>
        <v/>
      </c>
      <c r="L682" s="18" t="str">
        <f ca="1">IFERROR(__xludf.DUMMYFUNCTION("""COMPUTED_VALUE"""),"")</f>
        <v/>
      </c>
      <c r="M682" s="18" t="str">
        <f ca="1">IFERROR(__xludf.DUMMYFUNCTION("""COMPUTED_VALUE"""),"")</f>
        <v/>
      </c>
      <c r="N682" s="18" t="str">
        <f ca="1">IFERROR(__xludf.DUMMYFUNCTION("""COMPUTED_VALUE"""),"")</f>
        <v/>
      </c>
      <c r="O682" s="18" t="str">
        <f ca="1">IFERROR(__xludf.DUMMYFUNCTION("""COMPUTED_VALUE"""),"")</f>
        <v/>
      </c>
      <c r="P682" s="18" t="str">
        <f ca="1">IFERROR(__xludf.DUMMYFUNCTION("""COMPUTED_VALUE"""),"")</f>
        <v/>
      </c>
      <c r="Q682" s="18" t="str">
        <f ca="1">IFERROR(__xludf.DUMMYFUNCTION("""COMPUTED_VALUE"""),"")</f>
        <v/>
      </c>
      <c r="R682" s="18" t="str">
        <f ca="1">IFERROR(__xludf.DUMMYFUNCTION("""COMPUTED_VALUE"""),"")</f>
        <v/>
      </c>
      <c r="S682" s="18" t="str">
        <f ca="1">IFERROR(__xludf.DUMMYFUNCTION("""COMPUTED_VALUE"""),"")</f>
        <v/>
      </c>
      <c r="T682" s="18" t="str">
        <f ca="1">IFERROR(__xludf.DUMMYFUNCTION("""COMPUTED_VALUE"""),"")</f>
        <v/>
      </c>
      <c r="U682" s="18" t="str">
        <f ca="1">IFERROR(__xludf.DUMMYFUNCTION("""COMPUTED_VALUE"""),"")</f>
        <v/>
      </c>
      <c r="V682" s="18" t="str">
        <f ca="1">IFERROR(__xludf.DUMMYFUNCTION("""COMPUTED_VALUE"""),"")</f>
        <v/>
      </c>
      <c r="W682" s="18" t="str">
        <f ca="1">IFERROR(__xludf.DUMMYFUNCTION("""COMPUTED_VALUE"""),"")</f>
        <v/>
      </c>
      <c r="X682" s="18" t="str">
        <f ca="1">IFERROR(__xludf.DUMMYFUNCTION("""COMPUTED_VALUE"""),"")</f>
        <v/>
      </c>
      <c r="Y682" s="18" t="e">
        <f ca="1"/>
        <v>#NAME?</v>
      </c>
      <c r="Z682" s="18" t="str">
        <f ca="1">IFERROR(__xludf.DUMMYFUNCTION("""COMPUTED_VALUE"""),"")</f>
        <v/>
      </c>
      <c r="AA682" s="18" t="str">
        <f ca="1">IFERROR(__xludf.DUMMYFUNCTION("""COMPUTED_VALUE"""),"")</f>
        <v/>
      </c>
      <c r="AC682" s="59"/>
    </row>
    <row r="683" spans="1:29" x14ac:dyDescent="0.25">
      <c r="A683" s="18">
        <v>0</v>
      </c>
      <c r="B683" s="52" t="str">
        <f ca="1"/>
        <v/>
      </c>
      <c r="C683" s="52" t="str">
        <f ca="1">IFERROR(__xludf.DUMMYFUNCTION("""COMPUTED_VALUE"""),"")</f>
        <v/>
      </c>
      <c r="D683" s="18" t="str">
        <f ca="1">IFERROR(__xludf.DUMMYFUNCTION("""COMPUTED_VALUE"""),"")</f>
        <v/>
      </c>
      <c r="E683" s="18" t="str">
        <f ca="1">IFERROR(__xludf.DUMMYFUNCTION("""COMPUTED_VALUE"""),"")</f>
        <v/>
      </c>
      <c r="F683" s="18" t="str">
        <f ca="1">IFERROR(__xludf.DUMMYFUNCTION("""COMPUTED_VALUE"""),"")</f>
        <v/>
      </c>
      <c r="G683" s="18" t="str">
        <f ca="1">IFERROR(__xludf.DUMMYFUNCTION("""COMPUTED_VALUE"""),"")</f>
        <v/>
      </c>
      <c r="H683" s="18" t="str">
        <f ca="1">IFERROR(__xludf.DUMMYFUNCTION("""COMPUTED_VALUE"""),"")</f>
        <v/>
      </c>
      <c r="I683" s="18" t="str">
        <f ca="1">IFERROR(__xludf.DUMMYFUNCTION("""COMPUTED_VALUE"""),"")</f>
        <v/>
      </c>
      <c r="J683" s="18" t="str">
        <f ca="1">IFERROR(__xludf.DUMMYFUNCTION("""COMPUTED_VALUE"""),"")</f>
        <v/>
      </c>
      <c r="K683" s="18" t="str">
        <f ca="1">IFERROR(__xludf.DUMMYFUNCTION("""COMPUTED_VALUE"""),"")</f>
        <v/>
      </c>
      <c r="L683" s="18" t="str">
        <f ca="1">IFERROR(__xludf.DUMMYFUNCTION("""COMPUTED_VALUE"""),"")</f>
        <v/>
      </c>
      <c r="M683" s="18" t="str">
        <f ca="1">IFERROR(__xludf.DUMMYFUNCTION("""COMPUTED_VALUE"""),"")</f>
        <v/>
      </c>
      <c r="N683" s="18" t="str">
        <f ca="1">IFERROR(__xludf.DUMMYFUNCTION("""COMPUTED_VALUE"""),"")</f>
        <v/>
      </c>
      <c r="O683" s="18" t="str">
        <f ca="1">IFERROR(__xludf.DUMMYFUNCTION("""COMPUTED_VALUE"""),"")</f>
        <v/>
      </c>
      <c r="P683" s="18" t="str">
        <f ca="1">IFERROR(__xludf.DUMMYFUNCTION("""COMPUTED_VALUE"""),"")</f>
        <v/>
      </c>
      <c r="Q683" s="18" t="str">
        <f ca="1">IFERROR(__xludf.DUMMYFUNCTION("""COMPUTED_VALUE"""),"")</f>
        <v/>
      </c>
      <c r="R683" s="18" t="str">
        <f ca="1">IFERROR(__xludf.DUMMYFUNCTION("""COMPUTED_VALUE"""),"")</f>
        <v/>
      </c>
      <c r="S683" s="18" t="str">
        <f ca="1">IFERROR(__xludf.DUMMYFUNCTION("""COMPUTED_VALUE"""),"")</f>
        <v/>
      </c>
      <c r="T683" s="18" t="str">
        <f ca="1">IFERROR(__xludf.DUMMYFUNCTION("""COMPUTED_VALUE"""),"")</f>
        <v/>
      </c>
      <c r="U683" s="18" t="str">
        <f ca="1">IFERROR(__xludf.DUMMYFUNCTION("""COMPUTED_VALUE"""),"")</f>
        <v/>
      </c>
      <c r="V683" s="18" t="str">
        <f ca="1">IFERROR(__xludf.DUMMYFUNCTION("""COMPUTED_VALUE"""),"")</f>
        <v/>
      </c>
      <c r="W683" s="18" t="str">
        <f ca="1">IFERROR(__xludf.DUMMYFUNCTION("""COMPUTED_VALUE"""),"")</f>
        <v/>
      </c>
      <c r="X683" s="18" t="str">
        <f ca="1">IFERROR(__xludf.DUMMYFUNCTION("""COMPUTED_VALUE"""),"")</f>
        <v/>
      </c>
      <c r="Y683" s="18" t="e">
        <f ca="1"/>
        <v>#NAME?</v>
      </c>
      <c r="Z683" s="18" t="str">
        <f ca="1">IFERROR(__xludf.DUMMYFUNCTION("""COMPUTED_VALUE"""),"")</f>
        <v/>
      </c>
      <c r="AA683" s="18" t="str">
        <f ca="1">IFERROR(__xludf.DUMMYFUNCTION("""COMPUTED_VALUE"""),"")</f>
        <v/>
      </c>
      <c r="AC683" s="59"/>
    </row>
    <row r="684" spans="1:29" x14ac:dyDescent="0.25">
      <c r="A684" s="18">
        <v>0</v>
      </c>
      <c r="B684" s="52" t="str">
        <f ca="1"/>
        <v/>
      </c>
      <c r="C684" s="52" t="str">
        <f ca="1">IFERROR(__xludf.DUMMYFUNCTION("""COMPUTED_VALUE"""),"")</f>
        <v/>
      </c>
      <c r="D684" s="18" t="str">
        <f ca="1">IFERROR(__xludf.DUMMYFUNCTION("""COMPUTED_VALUE"""),"")</f>
        <v/>
      </c>
      <c r="E684" s="18" t="str">
        <f ca="1">IFERROR(__xludf.DUMMYFUNCTION("""COMPUTED_VALUE"""),"")</f>
        <v/>
      </c>
      <c r="F684" s="18" t="str">
        <f ca="1">IFERROR(__xludf.DUMMYFUNCTION("""COMPUTED_VALUE"""),"")</f>
        <v/>
      </c>
      <c r="G684" s="18" t="str">
        <f ca="1">IFERROR(__xludf.DUMMYFUNCTION("""COMPUTED_VALUE"""),"")</f>
        <v/>
      </c>
      <c r="H684" s="18" t="str">
        <f ca="1">IFERROR(__xludf.DUMMYFUNCTION("""COMPUTED_VALUE"""),"")</f>
        <v/>
      </c>
      <c r="I684" s="18" t="str">
        <f ca="1">IFERROR(__xludf.DUMMYFUNCTION("""COMPUTED_VALUE"""),"")</f>
        <v/>
      </c>
      <c r="J684" s="18" t="str">
        <f ca="1">IFERROR(__xludf.DUMMYFUNCTION("""COMPUTED_VALUE"""),"")</f>
        <v/>
      </c>
      <c r="K684" s="18" t="str">
        <f ca="1">IFERROR(__xludf.DUMMYFUNCTION("""COMPUTED_VALUE"""),"")</f>
        <v/>
      </c>
      <c r="L684" s="18" t="str">
        <f ca="1">IFERROR(__xludf.DUMMYFUNCTION("""COMPUTED_VALUE"""),"")</f>
        <v/>
      </c>
      <c r="M684" s="18" t="str">
        <f ca="1">IFERROR(__xludf.DUMMYFUNCTION("""COMPUTED_VALUE"""),"")</f>
        <v/>
      </c>
      <c r="N684" s="18" t="str">
        <f ca="1">IFERROR(__xludf.DUMMYFUNCTION("""COMPUTED_VALUE"""),"")</f>
        <v/>
      </c>
      <c r="O684" s="18" t="str">
        <f ca="1">IFERROR(__xludf.DUMMYFUNCTION("""COMPUTED_VALUE"""),"")</f>
        <v/>
      </c>
      <c r="P684" s="18" t="str">
        <f ca="1">IFERROR(__xludf.DUMMYFUNCTION("""COMPUTED_VALUE"""),"")</f>
        <v/>
      </c>
      <c r="Q684" s="18" t="str">
        <f ca="1">IFERROR(__xludf.DUMMYFUNCTION("""COMPUTED_VALUE"""),"")</f>
        <v/>
      </c>
      <c r="R684" s="18" t="str">
        <f ca="1">IFERROR(__xludf.DUMMYFUNCTION("""COMPUTED_VALUE"""),"")</f>
        <v/>
      </c>
      <c r="S684" s="18" t="str">
        <f ca="1">IFERROR(__xludf.DUMMYFUNCTION("""COMPUTED_VALUE"""),"")</f>
        <v/>
      </c>
      <c r="T684" s="18" t="str">
        <f ca="1">IFERROR(__xludf.DUMMYFUNCTION("""COMPUTED_VALUE"""),"")</f>
        <v/>
      </c>
      <c r="U684" s="18" t="str">
        <f ca="1">IFERROR(__xludf.DUMMYFUNCTION("""COMPUTED_VALUE"""),"")</f>
        <v/>
      </c>
      <c r="V684" s="18" t="str">
        <f ca="1">IFERROR(__xludf.DUMMYFUNCTION("""COMPUTED_VALUE"""),"")</f>
        <v/>
      </c>
      <c r="W684" s="18" t="str">
        <f ca="1">IFERROR(__xludf.DUMMYFUNCTION("""COMPUTED_VALUE"""),"")</f>
        <v/>
      </c>
      <c r="X684" s="18" t="str">
        <f ca="1">IFERROR(__xludf.DUMMYFUNCTION("""COMPUTED_VALUE"""),"")</f>
        <v/>
      </c>
      <c r="Y684" s="18" t="e">
        <f ca="1"/>
        <v>#NAME?</v>
      </c>
      <c r="Z684" s="18" t="str">
        <f ca="1">IFERROR(__xludf.DUMMYFUNCTION("""COMPUTED_VALUE"""),"")</f>
        <v/>
      </c>
      <c r="AA684" s="18" t="str">
        <f ca="1">IFERROR(__xludf.DUMMYFUNCTION("""COMPUTED_VALUE"""),"")</f>
        <v/>
      </c>
      <c r="AC684" s="59"/>
    </row>
    <row r="685" spans="1:29" x14ac:dyDescent="0.25">
      <c r="A685" s="18">
        <v>0</v>
      </c>
      <c r="B685" s="52" t="str">
        <f ca="1"/>
        <v/>
      </c>
      <c r="C685" s="52" t="str">
        <f ca="1">IFERROR(__xludf.DUMMYFUNCTION("""COMPUTED_VALUE"""),"")</f>
        <v/>
      </c>
      <c r="D685" s="18" t="str">
        <f ca="1">IFERROR(__xludf.DUMMYFUNCTION("""COMPUTED_VALUE"""),"")</f>
        <v/>
      </c>
      <c r="E685" s="18" t="str">
        <f ca="1">IFERROR(__xludf.DUMMYFUNCTION("""COMPUTED_VALUE"""),"")</f>
        <v/>
      </c>
      <c r="F685" s="18" t="str">
        <f ca="1">IFERROR(__xludf.DUMMYFUNCTION("""COMPUTED_VALUE"""),"")</f>
        <v/>
      </c>
      <c r="G685" s="18" t="str">
        <f ca="1">IFERROR(__xludf.DUMMYFUNCTION("""COMPUTED_VALUE"""),"")</f>
        <v/>
      </c>
      <c r="H685" s="18" t="str">
        <f ca="1">IFERROR(__xludf.DUMMYFUNCTION("""COMPUTED_VALUE"""),"")</f>
        <v/>
      </c>
      <c r="I685" s="18" t="str">
        <f ca="1">IFERROR(__xludf.DUMMYFUNCTION("""COMPUTED_VALUE"""),"")</f>
        <v/>
      </c>
      <c r="J685" s="18" t="str">
        <f ca="1">IFERROR(__xludf.DUMMYFUNCTION("""COMPUTED_VALUE"""),"")</f>
        <v/>
      </c>
      <c r="K685" s="18" t="str">
        <f ca="1">IFERROR(__xludf.DUMMYFUNCTION("""COMPUTED_VALUE"""),"")</f>
        <v/>
      </c>
      <c r="L685" s="18" t="str">
        <f ca="1">IFERROR(__xludf.DUMMYFUNCTION("""COMPUTED_VALUE"""),"")</f>
        <v/>
      </c>
      <c r="M685" s="18" t="str">
        <f ca="1">IFERROR(__xludf.DUMMYFUNCTION("""COMPUTED_VALUE"""),"")</f>
        <v/>
      </c>
      <c r="N685" s="18" t="str">
        <f ca="1">IFERROR(__xludf.DUMMYFUNCTION("""COMPUTED_VALUE"""),"")</f>
        <v/>
      </c>
      <c r="O685" s="18" t="str">
        <f ca="1">IFERROR(__xludf.DUMMYFUNCTION("""COMPUTED_VALUE"""),"")</f>
        <v/>
      </c>
      <c r="P685" s="18" t="str">
        <f ca="1">IFERROR(__xludf.DUMMYFUNCTION("""COMPUTED_VALUE"""),"")</f>
        <v/>
      </c>
      <c r="Q685" s="18" t="str">
        <f ca="1">IFERROR(__xludf.DUMMYFUNCTION("""COMPUTED_VALUE"""),"")</f>
        <v/>
      </c>
      <c r="R685" s="18" t="str">
        <f ca="1">IFERROR(__xludf.DUMMYFUNCTION("""COMPUTED_VALUE"""),"")</f>
        <v/>
      </c>
      <c r="S685" s="18" t="str">
        <f ca="1">IFERROR(__xludf.DUMMYFUNCTION("""COMPUTED_VALUE"""),"")</f>
        <v/>
      </c>
      <c r="T685" s="18" t="str">
        <f ca="1">IFERROR(__xludf.DUMMYFUNCTION("""COMPUTED_VALUE"""),"")</f>
        <v/>
      </c>
      <c r="U685" s="18" t="str">
        <f ca="1">IFERROR(__xludf.DUMMYFUNCTION("""COMPUTED_VALUE"""),"")</f>
        <v/>
      </c>
      <c r="V685" s="18" t="str">
        <f ca="1">IFERROR(__xludf.DUMMYFUNCTION("""COMPUTED_VALUE"""),"")</f>
        <v/>
      </c>
      <c r="W685" s="18" t="str">
        <f ca="1">IFERROR(__xludf.DUMMYFUNCTION("""COMPUTED_VALUE"""),"")</f>
        <v/>
      </c>
      <c r="X685" s="18" t="str">
        <f ca="1">IFERROR(__xludf.DUMMYFUNCTION("""COMPUTED_VALUE"""),"")</f>
        <v/>
      </c>
      <c r="Y685" s="18" t="e">
        <f ca="1"/>
        <v>#NAME?</v>
      </c>
      <c r="Z685" s="18" t="str">
        <f ca="1">IFERROR(__xludf.DUMMYFUNCTION("""COMPUTED_VALUE"""),"")</f>
        <v/>
      </c>
      <c r="AA685" s="18" t="str">
        <f ca="1">IFERROR(__xludf.DUMMYFUNCTION("""COMPUTED_VALUE"""),"")</f>
        <v/>
      </c>
      <c r="AC685" s="59"/>
    </row>
    <row r="686" spans="1:29" x14ac:dyDescent="0.25">
      <c r="A686" s="18">
        <v>0</v>
      </c>
      <c r="B686" s="52" t="str">
        <f ca="1"/>
        <v/>
      </c>
      <c r="C686" s="52" t="str">
        <f ca="1">IFERROR(__xludf.DUMMYFUNCTION("""COMPUTED_VALUE"""),"")</f>
        <v/>
      </c>
      <c r="D686" s="18" t="str">
        <f ca="1">IFERROR(__xludf.DUMMYFUNCTION("""COMPUTED_VALUE"""),"")</f>
        <v/>
      </c>
      <c r="E686" s="18" t="str">
        <f ca="1">IFERROR(__xludf.DUMMYFUNCTION("""COMPUTED_VALUE"""),"")</f>
        <v/>
      </c>
      <c r="F686" s="18" t="str">
        <f ca="1">IFERROR(__xludf.DUMMYFUNCTION("""COMPUTED_VALUE"""),"")</f>
        <v/>
      </c>
      <c r="G686" s="18" t="str">
        <f ca="1">IFERROR(__xludf.DUMMYFUNCTION("""COMPUTED_VALUE"""),"")</f>
        <v/>
      </c>
      <c r="H686" s="18" t="str">
        <f ca="1">IFERROR(__xludf.DUMMYFUNCTION("""COMPUTED_VALUE"""),"")</f>
        <v/>
      </c>
      <c r="I686" s="18" t="str">
        <f ca="1">IFERROR(__xludf.DUMMYFUNCTION("""COMPUTED_VALUE"""),"")</f>
        <v/>
      </c>
      <c r="J686" s="18" t="str">
        <f ca="1">IFERROR(__xludf.DUMMYFUNCTION("""COMPUTED_VALUE"""),"")</f>
        <v/>
      </c>
      <c r="K686" s="18" t="str">
        <f ca="1">IFERROR(__xludf.DUMMYFUNCTION("""COMPUTED_VALUE"""),"")</f>
        <v/>
      </c>
      <c r="L686" s="18" t="str">
        <f ca="1">IFERROR(__xludf.DUMMYFUNCTION("""COMPUTED_VALUE"""),"")</f>
        <v/>
      </c>
      <c r="M686" s="18" t="str">
        <f ca="1">IFERROR(__xludf.DUMMYFUNCTION("""COMPUTED_VALUE"""),"")</f>
        <v/>
      </c>
      <c r="N686" s="18" t="str">
        <f ca="1">IFERROR(__xludf.DUMMYFUNCTION("""COMPUTED_VALUE"""),"")</f>
        <v/>
      </c>
      <c r="O686" s="18" t="str">
        <f ca="1">IFERROR(__xludf.DUMMYFUNCTION("""COMPUTED_VALUE"""),"")</f>
        <v/>
      </c>
      <c r="P686" s="18" t="str">
        <f ca="1">IFERROR(__xludf.DUMMYFUNCTION("""COMPUTED_VALUE"""),"")</f>
        <v/>
      </c>
      <c r="Q686" s="18" t="str">
        <f ca="1">IFERROR(__xludf.DUMMYFUNCTION("""COMPUTED_VALUE"""),"")</f>
        <v/>
      </c>
      <c r="R686" s="18" t="str">
        <f ca="1">IFERROR(__xludf.DUMMYFUNCTION("""COMPUTED_VALUE"""),"")</f>
        <v/>
      </c>
      <c r="S686" s="18" t="str">
        <f ca="1">IFERROR(__xludf.DUMMYFUNCTION("""COMPUTED_VALUE"""),"")</f>
        <v/>
      </c>
      <c r="T686" s="18" t="str">
        <f ca="1">IFERROR(__xludf.DUMMYFUNCTION("""COMPUTED_VALUE"""),"")</f>
        <v/>
      </c>
      <c r="U686" s="18" t="str">
        <f ca="1">IFERROR(__xludf.DUMMYFUNCTION("""COMPUTED_VALUE"""),"")</f>
        <v/>
      </c>
      <c r="V686" s="18" t="str">
        <f ca="1">IFERROR(__xludf.DUMMYFUNCTION("""COMPUTED_VALUE"""),"")</f>
        <v/>
      </c>
      <c r="W686" s="18" t="str">
        <f ca="1">IFERROR(__xludf.DUMMYFUNCTION("""COMPUTED_VALUE"""),"")</f>
        <v/>
      </c>
      <c r="X686" s="18" t="str">
        <f ca="1">IFERROR(__xludf.DUMMYFUNCTION("""COMPUTED_VALUE"""),"")</f>
        <v/>
      </c>
      <c r="Y686" s="18" t="e">
        <f ca="1"/>
        <v>#NAME?</v>
      </c>
      <c r="Z686" s="18" t="str">
        <f ca="1">IFERROR(__xludf.DUMMYFUNCTION("""COMPUTED_VALUE"""),"")</f>
        <v/>
      </c>
      <c r="AA686" s="18" t="str">
        <f ca="1">IFERROR(__xludf.DUMMYFUNCTION("""COMPUTED_VALUE"""),"")</f>
        <v/>
      </c>
      <c r="AC686" s="59"/>
    </row>
    <row r="687" spans="1:29" x14ac:dyDescent="0.25">
      <c r="A687" s="18">
        <v>0</v>
      </c>
      <c r="B687" s="52" t="str">
        <f ca="1"/>
        <v/>
      </c>
      <c r="C687" s="52" t="str">
        <f ca="1">IFERROR(__xludf.DUMMYFUNCTION("""COMPUTED_VALUE"""),"")</f>
        <v/>
      </c>
      <c r="D687" s="18" t="str">
        <f ca="1">IFERROR(__xludf.DUMMYFUNCTION("""COMPUTED_VALUE"""),"")</f>
        <v/>
      </c>
      <c r="E687" s="18" t="str">
        <f ca="1">IFERROR(__xludf.DUMMYFUNCTION("""COMPUTED_VALUE"""),"")</f>
        <v/>
      </c>
      <c r="F687" s="18" t="str">
        <f ca="1">IFERROR(__xludf.DUMMYFUNCTION("""COMPUTED_VALUE"""),"")</f>
        <v/>
      </c>
      <c r="G687" s="18" t="str">
        <f ca="1">IFERROR(__xludf.DUMMYFUNCTION("""COMPUTED_VALUE"""),"")</f>
        <v/>
      </c>
      <c r="H687" s="18" t="str">
        <f ca="1">IFERROR(__xludf.DUMMYFUNCTION("""COMPUTED_VALUE"""),"")</f>
        <v/>
      </c>
      <c r="I687" s="18" t="str">
        <f ca="1">IFERROR(__xludf.DUMMYFUNCTION("""COMPUTED_VALUE"""),"")</f>
        <v/>
      </c>
      <c r="J687" s="18" t="str">
        <f ca="1">IFERROR(__xludf.DUMMYFUNCTION("""COMPUTED_VALUE"""),"")</f>
        <v/>
      </c>
      <c r="K687" s="18" t="str">
        <f ca="1">IFERROR(__xludf.DUMMYFUNCTION("""COMPUTED_VALUE"""),"")</f>
        <v/>
      </c>
      <c r="L687" s="18" t="str">
        <f ca="1">IFERROR(__xludf.DUMMYFUNCTION("""COMPUTED_VALUE"""),"")</f>
        <v/>
      </c>
      <c r="M687" s="18" t="str">
        <f ca="1">IFERROR(__xludf.DUMMYFUNCTION("""COMPUTED_VALUE"""),"")</f>
        <v/>
      </c>
      <c r="N687" s="18" t="str">
        <f ca="1">IFERROR(__xludf.DUMMYFUNCTION("""COMPUTED_VALUE"""),"")</f>
        <v/>
      </c>
      <c r="O687" s="18" t="str">
        <f ca="1">IFERROR(__xludf.DUMMYFUNCTION("""COMPUTED_VALUE"""),"")</f>
        <v/>
      </c>
      <c r="P687" s="18" t="str">
        <f ca="1">IFERROR(__xludf.DUMMYFUNCTION("""COMPUTED_VALUE"""),"")</f>
        <v/>
      </c>
      <c r="Q687" s="18" t="str">
        <f ca="1">IFERROR(__xludf.DUMMYFUNCTION("""COMPUTED_VALUE"""),"")</f>
        <v/>
      </c>
      <c r="R687" s="18" t="str">
        <f ca="1">IFERROR(__xludf.DUMMYFUNCTION("""COMPUTED_VALUE"""),"")</f>
        <v/>
      </c>
      <c r="S687" s="18" t="str">
        <f ca="1">IFERROR(__xludf.DUMMYFUNCTION("""COMPUTED_VALUE"""),"")</f>
        <v/>
      </c>
      <c r="T687" s="18" t="str">
        <f ca="1">IFERROR(__xludf.DUMMYFUNCTION("""COMPUTED_VALUE"""),"")</f>
        <v/>
      </c>
      <c r="U687" s="18" t="str">
        <f ca="1">IFERROR(__xludf.DUMMYFUNCTION("""COMPUTED_VALUE"""),"")</f>
        <v/>
      </c>
      <c r="V687" s="18" t="str">
        <f ca="1">IFERROR(__xludf.DUMMYFUNCTION("""COMPUTED_VALUE"""),"")</f>
        <v/>
      </c>
      <c r="W687" s="18" t="str">
        <f ca="1">IFERROR(__xludf.DUMMYFUNCTION("""COMPUTED_VALUE"""),"")</f>
        <v/>
      </c>
      <c r="X687" s="18" t="str">
        <f ca="1">IFERROR(__xludf.DUMMYFUNCTION("""COMPUTED_VALUE"""),"")</f>
        <v/>
      </c>
      <c r="Y687" s="18" t="e">
        <f ca="1"/>
        <v>#NAME?</v>
      </c>
      <c r="Z687" s="18" t="str">
        <f ca="1">IFERROR(__xludf.DUMMYFUNCTION("""COMPUTED_VALUE"""),"")</f>
        <v/>
      </c>
      <c r="AA687" s="18" t="str">
        <f ca="1">IFERROR(__xludf.DUMMYFUNCTION("""COMPUTED_VALUE"""),"")</f>
        <v/>
      </c>
      <c r="AC687" s="59"/>
    </row>
    <row r="688" spans="1:29" x14ac:dyDescent="0.25">
      <c r="A688" s="18">
        <v>0</v>
      </c>
      <c r="B688" s="52" t="str">
        <f ca="1"/>
        <v/>
      </c>
      <c r="C688" s="52" t="str">
        <f ca="1">IFERROR(__xludf.DUMMYFUNCTION("""COMPUTED_VALUE"""),"")</f>
        <v/>
      </c>
      <c r="D688" s="18" t="str">
        <f ca="1">IFERROR(__xludf.DUMMYFUNCTION("""COMPUTED_VALUE"""),"")</f>
        <v/>
      </c>
      <c r="E688" s="18" t="str">
        <f ca="1">IFERROR(__xludf.DUMMYFUNCTION("""COMPUTED_VALUE"""),"")</f>
        <v/>
      </c>
      <c r="F688" s="18" t="str">
        <f ca="1">IFERROR(__xludf.DUMMYFUNCTION("""COMPUTED_VALUE"""),"")</f>
        <v/>
      </c>
      <c r="G688" s="18" t="str">
        <f ca="1">IFERROR(__xludf.DUMMYFUNCTION("""COMPUTED_VALUE"""),"")</f>
        <v/>
      </c>
      <c r="H688" s="18" t="str">
        <f ca="1">IFERROR(__xludf.DUMMYFUNCTION("""COMPUTED_VALUE"""),"")</f>
        <v/>
      </c>
      <c r="I688" s="18" t="str">
        <f ca="1">IFERROR(__xludf.DUMMYFUNCTION("""COMPUTED_VALUE"""),"")</f>
        <v/>
      </c>
      <c r="J688" s="18" t="str">
        <f ca="1">IFERROR(__xludf.DUMMYFUNCTION("""COMPUTED_VALUE"""),"")</f>
        <v/>
      </c>
      <c r="K688" s="18" t="str">
        <f ca="1">IFERROR(__xludf.DUMMYFUNCTION("""COMPUTED_VALUE"""),"")</f>
        <v/>
      </c>
      <c r="L688" s="18" t="str">
        <f ca="1">IFERROR(__xludf.DUMMYFUNCTION("""COMPUTED_VALUE"""),"")</f>
        <v/>
      </c>
      <c r="M688" s="18" t="str">
        <f ca="1">IFERROR(__xludf.DUMMYFUNCTION("""COMPUTED_VALUE"""),"")</f>
        <v/>
      </c>
      <c r="N688" s="18" t="str">
        <f ca="1">IFERROR(__xludf.DUMMYFUNCTION("""COMPUTED_VALUE"""),"")</f>
        <v/>
      </c>
      <c r="O688" s="18" t="str">
        <f ca="1">IFERROR(__xludf.DUMMYFUNCTION("""COMPUTED_VALUE"""),"")</f>
        <v/>
      </c>
      <c r="P688" s="18" t="str">
        <f ca="1">IFERROR(__xludf.DUMMYFUNCTION("""COMPUTED_VALUE"""),"")</f>
        <v/>
      </c>
      <c r="Q688" s="18" t="str">
        <f ca="1">IFERROR(__xludf.DUMMYFUNCTION("""COMPUTED_VALUE"""),"")</f>
        <v/>
      </c>
      <c r="R688" s="18" t="str">
        <f ca="1">IFERROR(__xludf.DUMMYFUNCTION("""COMPUTED_VALUE"""),"")</f>
        <v/>
      </c>
      <c r="S688" s="18" t="str">
        <f ca="1">IFERROR(__xludf.DUMMYFUNCTION("""COMPUTED_VALUE"""),"")</f>
        <v/>
      </c>
      <c r="T688" s="18" t="str">
        <f ca="1">IFERROR(__xludf.DUMMYFUNCTION("""COMPUTED_VALUE"""),"")</f>
        <v/>
      </c>
      <c r="U688" s="18" t="str">
        <f ca="1">IFERROR(__xludf.DUMMYFUNCTION("""COMPUTED_VALUE"""),"")</f>
        <v/>
      </c>
      <c r="V688" s="18" t="str">
        <f ca="1">IFERROR(__xludf.DUMMYFUNCTION("""COMPUTED_VALUE"""),"")</f>
        <v/>
      </c>
      <c r="W688" s="18" t="str">
        <f ca="1">IFERROR(__xludf.DUMMYFUNCTION("""COMPUTED_VALUE"""),"")</f>
        <v/>
      </c>
      <c r="X688" s="18" t="str">
        <f ca="1">IFERROR(__xludf.DUMMYFUNCTION("""COMPUTED_VALUE"""),"")</f>
        <v/>
      </c>
      <c r="Y688" s="18" t="e">
        <f ca="1"/>
        <v>#NAME?</v>
      </c>
      <c r="Z688" s="18" t="str">
        <f ca="1">IFERROR(__xludf.DUMMYFUNCTION("""COMPUTED_VALUE"""),"")</f>
        <v/>
      </c>
      <c r="AA688" s="18" t="str">
        <f ca="1">IFERROR(__xludf.DUMMYFUNCTION("""COMPUTED_VALUE"""),"")</f>
        <v/>
      </c>
      <c r="AC688" s="59"/>
    </row>
    <row r="689" spans="1:29" x14ac:dyDescent="0.25">
      <c r="A689" s="18">
        <v>0</v>
      </c>
      <c r="B689" s="52" t="str">
        <f ca="1"/>
        <v/>
      </c>
      <c r="C689" s="52" t="str">
        <f ca="1">IFERROR(__xludf.DUMMYFUNCTION("""COMPUTED_VALUE"""),"")</f>
        <v/>
      </c>
      <c r="D689" s="18" t="str">
        <f ca="1">IFERROR(__xludf.DUMMYFUNCTION("""COMPUTED_VALUE"""),"")</f>
        <v/>
      </c>
      <c r="E689" s="18" t="str">
        <f ca="1">IFERROR(__xludf.DUMMYFUNCTION("""COMPUTED_VALUE"""),"")</f>
        <v/>
      </c>
      <c r="F689" s="18" t="str">
        <f ca="1">IFERROR(__xludf.DUMMYFUNCTION("""COMPUTED_VALUE"""),"")</f>
        <v/>
      </c>
      <c r="G689" s="18" t="str">
        <f ca="1">IFERROR(__xludf.DUMMYFUNCTION("""COMPUTED_VALUE"""),"")</f>
        <v/>
      </c>
      <c r="H689" s="18" t="str">
        <f ca="1">IFERROR(__xludf.DUMMYFUNCTION("""COMPUTED_VALUE"""),"")</f>
        <v/>
      </c>
      <c r="I689" s="18" t="str">
        <f ca="1">IFERROR(__xludf.DUMMYFUNCTION("""COMPUTED_VALUE"""),"")</f>
        <v/>
      </c>
      <c r="J689" s="18" t="str">
        <f ca="1">IFERROR(__xludf.DUMMYFUNCTION("""COMPUTED_VALUE"""),"")</f>
        <v/>
      </c>
      <c r="K689" s="18" t="str">
        <f ca="1">IFERROR(__xludf.DUMMYFUNCTION("""COMPUTED_VALUE"""),"")</f>
        <v/>
      </c>
      <c r="L689" s="18" t="str">
        <f ca="1">IFERROR(__xludf.DUMMYFUNCTION("""COMPUTED_VALUE"""),"")</f>
        <v/>
      </c>
      <c r="M689" s="18" t="str">
        <f ca="1">IFERROR(__xludf.DUMMYFUNCTION("""COMPUTED_VALUE"""),"")</f>
        <v/>
      </c>
      <c r="N689" s="18" t="str">
        <f ca="1">IFERROR(__xludf.DUMMYFUNCTION("""COMPUTED_VALUE"""),"")</f>
        <v/>
      </c>
      <c r="O689" s="18" t="str">
        <f ca="1">IFERROR(__xludf.DUMMYFUNCTION("""COMPUTED_VALUE"""),"")</f>
        <v/>
      </c>
      <c r="P689" s="18" t="str">
        <f ca="1">IFERROR(__xludf.DUMMYFUNCTION("""COMPUTED_VALUE"""),"")</f>
        <v/>
      </c>
      <c r="Q689" s="18" t="str">
        <f ca="1">IFERROR(__xludf.DUMMYFUNCTION("""COMPUTED_VALUE"""),"")</f>
        <v/>
      </c>
      <c r="R689" s="18" t="str">
        <f ca="1">IFERROR(__xludf.DUMMYFUNCTION("""COMPUTED_VALUE"""),"")</f>
        <v/>
      </c>
      <c r="S689" s="18" t="str">
        <f ca="1">IFERROR(__xludf.DUMMYFUNCTION("""COMPUTED_VALUE"""),"")</f>
        <v/>
      </c>
      <c r="T689" s="18" t="str">
        <f ca="1">IFERROR(__xludf.DUMMYFUNCTION("""COMPUTED_VALUE"""),"")</f>
        <v/>
      </c>
      <c r="U689" s="18" t="str">
        <f ca="1">IFERROR(__xludf.DUMMYFUNCTION("""COMPUTED_VALUE"""),"")</f>
        <v/>
      </c>
      <c r="V689" s="18" t="str">
        <f ca="1">IFERROR(__xludf.DUMMYFUNCTION("""COMPUTED_VALUE"""),"")</f>
        <v/>
      </c>
      <c r="W689" s="18" t="str">
        <f ca="1">IFERROR(__xludf.DUMMYFUNCTION("""COMPUTED_VALUE"""),"")</f>
        <v/>
      </c>
      <c r="X689" s="18" t="str">
        <f ca="1">IFERROR(__xludf.DUMMYFUNCTION("""COMPUTED_VALUE"""),"")</f>
        <v/>
      </c>
      <c r="Y689" s="18" t="e">
        <f ca="1"/>
        <v>#NAME?</v>
      </c>
      <c r="Z689" s="18" t="str">
        <f ca="1">IFERROR(__xludf.DUMMYFUNCTION("""COMPUTED_VALUE"""),"")</f>
        <v/>
      </c>
      <c r="AA689" s="18" t="str">
        <f ca="1">IFERROR(__xludf.DUMMYFUNCTION("""COMPUTED_VALUE"""),"")</f>
        <v/>
      </c>
      <c r="AC689" s="59"/>
    </row>
    <row r="690" spans="1:29" x14ac:dyDescent="0.25">
      <c r="A690" s="18">
        <v>0</v>
      </c>
      <c r="B690" s="52" t="str">
        <f ca="1"/>
        <v/>
      </c>
      <c r="C690" s="52" t="str">
        <f ca="1">IFERROR(__xludf.DUMMYFUNCTION("""COMPUTED_VALUE"""),"")</f>
        <v/>
      </c>
      <c r="D690" s="18" t="str">
        <f ca="1">IFERROR(__xludf.DUMMYFUNCTION("""COMPUTED_VALUE"""),"")</f>
        <v/>
      </c>
      <c r="E690" s="18" t="str">
        <f ca="1">IFERROR(__xludf.DUMMYFUNCTION("""COMPUTED_VALUE"""),"")</f>
        <v/>
      </c>
      <c r="F690" s="18" t="str">
        <f ca="1">IFERROR(__xludf.DUMMYFUNCTION("""COMPUTED_VALUE"""),"")</f>
        <v/>
      </c>
      <c r="G690" s="18" t="str">
        <f ca="1">IFERROR(__xludf.DUMMYFUNCTION("""COMPUTED_VALUE"""),"")</f>
        <v/>
      </c>
      <c r="H690" s="18" t="str">
        <f ca="1">IFERROR(__xludf.DUMMYFUNCTION("""COMPUTED_VALUE"""),"")</f>
        <v/>
      </c>
      <c r="I690" s="18" t="str">
        <f ca="1">IFERROR(__xludf.DUMMYFUNCTION("""COMPUTED_VALUE"""),"")</f>
        <v/>
      </c>
      <c r="J690" s="18" t="str">
        <f ca="1">IFERROR(__xludf.DUMMYFUNCTION("""COMPUTED_VALUE"""),"")</f>
        <v/>
      </c>
      <c r="K690" s="18" t="str">
        <f ca="1">IFERROR(__xludf.DUMMYFUNCTION("""COMPUTED_VALUE"""),"")</f>
        <v/>
      </c>
      <c r="L690" s="18" t="str">
        <f ca="1">IFERROR(__xludf.DUMMYFUNCTION("""COMPUTED_VALUE"""),"")</f>
        <v/>
      </c>
      <c r="M690" s="18" t="str">
        <f ca="1">IFERROR(__xludf.DUMMYFUNCTION("""COMPUTED_VALUE"""),"")</f>
        <v/>
      </c>
      <c r="N690" s="18" t="str">
        <f ca="1">IFERROR(__xludf.DUMMYFUNCTION("""COMPUTED_VALUE"""),"")</f>
        <v/>
      </c>
      <c r="O690" s="18" t="str">
        <f ca="1">IFERROR(__xludf.DUMMYFUNCTION("""COMPUTED_VALUE"""),"")</f>
        <v/>
      </c>
      <c r="P690" s="18" t="str">
        <f ca="1">IFERROR(__xludf.DUMMYFUNCTION("""COMPUTED_VALUE"""),"")</f>
        <v/>
      </c>
      <c r="Q690" s="18" t="str">
        <f ca="1">IFERROR(__xludf.DUMMYFUNCTION("""COMPUTED_VALUE"""),"")</f>
        <v/>
      </c>
      <c r="R690" s="18" t="str">
        <f ca="1">IFERROR(__xludf.DUMMYFUNCTION("""COMPUTED_VALUE"""),"")</f>
        <v/>
      </c>
      <c r="S690" s="18" t="str">
        <f ca="1">IFERROR(__xludf.DUMMYFUNCTION("""COMPUTED_VALUE"""),"")</f>
        <v/>
      </c>
      <c r="T690" s="18" t="str">
        <f ca="1">IFERROR(__xludf.DUMMYFUNCTION("""COMPUTED_VALUE"""),"")</f>
        <v/>
      </c>
      <c r="U690" s="18" t="str">
        <f ca="1">IFERROR(__xludf.DUMMYFUNCTION("""COMPUTED_VALUE"""),"")</f>
        <v/>
      </c>
      <c r="V690" s="18" t="str">
        <f ca="1">IFERROR(__xludf.DUMMYFUNCTION("""COMPUTED_VALUE"""),"")</f>
        <v/>
      </c>
      <c r="W690" s="18" t="str">
        <f ca="1">IFERROR(__xludf.DUMMYFUNCTION("""COMPUTED_VALUE"""),"")</f>
        <v/>
      </c>
      <c r="X690" s="18" t="str">
        <f ca="1">IFERROR(__xludf.DUMMYFUNCTION("""COMPUTED_VALUE"""),"")</f>
        <v/>
      </c>
      <c r="Y690" s="18" t="e">
        <f ca="1"/>
        <v>#NAME?</v>
      </c>
      <c r="Z690" s="18" t="str">
        <f ca="1">IFERROR(__xludf.DUMMYFUNCTION("""COMPUTED_VALUE"""),"")</f>
        <v/>
      </c>
      <c r="AA690" s="18" t="str">
        <f ca="1">IFERROR(__xludf.DUMMYFUNCTION("""COMPUTED_VALUE"""),"")</f>
        <v/>
      </c>
      <c r="AC690" s="59"/>
    </row>
    <row r="691" spans="1:29" x14ac:dyDescent="0.25">
      <c r="A691" s="18">
        <v>0</v>
      </c>
      <c r="B691" s="52" t="str">
        <f ca="1"/>
        <v/>
      </c>
      <c r="C691" s="52" t="str">
        <f ca="1">IFERROR(__xludf.DUMMYFUNCTION("""COMPUTED_VALUE"""),"")</f>
        <v/>
      </c>
      <c r="D691" s="18" t="str">
        <f ca="1">IFERROR(__xludf.DUMMYFUNCTION("""COMPUTED_VALUE"""),"")</f>
        <v/>
      </c>
      <c r="E691" s="18" t="str">
        <f ca="1">IFERROR(__xludf.DUMMYFUNCTION("""COMPUTED_VALUE"""),"")</f>
        <v/>
      </c>
      <c r="F691" s="18" t="str">
        <f ca="1">IFERROR(__xludf.DUMMYFUNCTION("""COMPUTED_VALUE"""),"")</f>
        <v/>
      </c>
      <c r="G691" s="18" t="str">
        <f ca="1">IFERROR(__xludf.DUMMYFUNCTION("""COMPUTED_VALUE"""),"")</f>
        <v/>
      </c>
      <c r="H691" s="18" t="str">
        <f ca="1">IFERROR(__xludf.DUMMYFUNCTION("""COMPUTED_VALUE"""),"")</f>
        <v/>
      </c>
      <c r="I691" s="18" t="str">
        <f ca="1">IFERROR(__xludf.DUMMYFUNCTION("""COMPUTED_VALUE"""),"")</f>
        <v/>
      </c>
      <c r="J691" s="18" t="str">
        <f ca="1">IFERROR(__xludf.DUMMYFUNCTION("""COMPUTED_VALUE"""),"")</f>
        <v/>
      </c>
      <c r="K691" s="18" t="str">
        <f ca="1">IFERROR(__xludf.DUMMYFUNCTION("""COMPUTED_VALUE"""),"")</f>
        <v/>
      </c>
      <c r="L691" s="18" t="str">
        <f ca="1">IFERROR(__xludf.DUMMYFUNCTION("""COMPUTED_VALUE"""),"")</f>
        <v/>
      </c>
      <c r="M691" s="18" t="str">
        <f ca="1">IFERROR(__xludf.DUMMYFUNCTION("""COMPUTED_VALUE"""),"")</f>
        <v/>
      </c>
      <c r="N691" s="18" t="str">
        <f ca="1">IFERROR(__xludf.DUMMYFUNCTION("""COMPUTED_VALUE"""),"")</f>
        <v/>
      </c>
      <c r="O691" s="18" t="str">
        <f ca="1">IFERROR(__xludf.DUMMYFUNCTION("""COMPUTED_VALUE"""),"")</f>
        <v/>
      </c>
      <c r="P691" s="18" t="str">
        <f ca="1">IFERROR(__xludf.DUMMYFUNCTION("""COMPUTED_VALUE"""),"")</f>
        <v/>
      </c>
      <c r="Q691" s="18" t="str">
        <f ca="1">IFERROR(__xludf.DUMMYFUNCTION("""COMPUTED_VALUE"""),"")</f>
        <v/>
      </c>
      <c r="R691" s="18" t="str">
        <f ca="1">IFERROR(__xludf.DUMMYFUNCTION("""COMPUTED_VALUE"""),"")</f>
        <v/>
      </c>
      <c r="S691" s="18" t="str">
        <f ca="1">IFERROR(__xludf.DUMMYFUNCTION("""COMPUTED_VALUE"""),"")</f>
        <v/>
      </c>
      <c r="T691" s="18" t="str">
        <f ca="1">IFERROR(__xludf.DUMMYFUNCTION("""COMPUTED_VALUE"""),"")</f>
        <v/>
      </c>
      <c r="U691" s="18" t="str">
        <f ca="1">IFERROR(__xludf.DUMMYFUNCTION("""COMPUTED_VALUE"""),"")</f>
        <v/>
      </c>
      <c r="V691" s="18" t="str">
        <f ca="1">IFERROR(__xludf.DUMMYFUNCTION("""COMPUTED_VALUE"""),"")</f>
        <v/>
      </c>
      <c r="W691" s="18" t="str">
        <f ca="1">IFERROR(__xludf.DUMMYFUNCTION("""COMPUTED_VALUE"""),"")</f>
        <v/>
      </c>
      <c r="X691" s="18" t="str">
        <f ca="1">IFERROR(__xludf.DUMMYFUNCTION("""COMPUTED_VALUE"""),"")</f>
        <v/>
      </c>
      <c r="Y691" s="18" t="e">
        <f ca="1"/>
        <v>#NAME?</v>
      </c>
      <c r="Z691" s="18" t="str">
        <f ca="1">IFERROR(__xludf.DUMMYFUNCTION("""COMPUTED_VALUE"""),"")</f>
        <v/>
      </c>
      <c r="AA691" s="18" t="str">
        <f ca="1">IFERROR(__xludf.DUMMYFUNCTION("""COMPUTED_VALUE"""),"")</f>
        <v/>
      </c>
      <c r="AC691" s="59"/>
    </row>
    <row r="692" spans="1:29" x14ac:dyDescent="0.25">
      <c r="A692" s="18">
        <v>0</v>
      </c>
      <c r="B692" s="52" t="str">
        <f ca="1"/>
        <v/>
      </c>
      <c r="C692" s="52" t="str">
        <f ca="1">IFERROR(__xludf.DUMMYFUNCTION("""COMPUTED_VALUE"""),"")</f>
        <v/>
      </c>
      <c r="D692" s="18" t="str">
        <f ca="1">IFERROR(__xludf.DUMMYFUNCTION("""COMPUTED_VALUE"""),"")</f>
        <v/>
      </c>
      <c r="E692" s="18" t="str">
        <f ca="1">IFERROR(__xludf.DUMMYFUNCTION("""COMPUTED_VALUE"""),"")</f>
        <v/>
      </c>
      <c r="F692" s="18" t="str">
        <f ca="1">IFERROR(__xludf.DUMMYFUNCTION("""COMPUTED_VALUE"""),"")</f>
        <v/>
      </c>
      <c r="G692" s="18" t="str">
        <f ca="1">IFERROR(__xludf.DUMMYFUNCTION("""COMPUTED_VALUE"""),"")</f>
        <v/>
      </c>
      <c r="H692" s="18" t="str">
        <f ca="1">IFERROR(__xludf.DUMMYFUNCTION("""COMPUTED_VALUE"""),"")</f>
        <v/>
      </c>
      <c r="I692" s="18" t="str">
        <f ca="1">IFERROR(__xludf.DUMMYFUNCTION("""COMPUTED_VALUE"""),"")</f>
        <v/>
      </c>
      <c r="J692" s="18" t="str">
        <f ca="1">IFERROR(__xludf.DUMMYFUNCTION("""COMPUTED_VALUE"""),"")</f>
        <v/>
      </c>
      <c r="K692" s="18" t="str">
        <f ca="1">IFERROR(__xludf.DUMMYFUNCTION("""COMPUTED_VALUE"""),"")</f>
        <v/>
      </c>
      <c r="L692" s="18" t="str">
        <f ca="1">IFERROR(__xludf.DUMMYFUNCTION("""COMPUTED_VALUE"""),"")</f>
        <v/>
      </c>
      <c r="M692" s="18" t="str">
        <f ca="1">IFERROR(__xludf.DUMMYFUNCTION("""COMPUTED_VALUE"""),"")</f>
        <v/>
      </c>
      <c r="N692" s="18" t="str">
        <f ca="1">IFERROR(__xludf.DUMMYFUNCTION("""COMPUTED_VALUE"""),"")</f>
        <v/>
      </c>
      <c r="O692" s="18" t="str">
        <f ca="1">IFERROR(__xludf.DUMMYFUNCTION("""COMPUTED_VALUE"""),"")</f>
        <v/>
      </c>
      <c r="P692" s="18" t="str">
        <f ca="1">IFERROR(__xludf.DUMMYFUNCTION("""COMPUTED_VALUE"""),"")</f>
        <v/>
      </c>
      <c r="Q692" s="18" t="str">
        <f ca="1">IFERROR(__xludf.DUMMYFUNCTION("""COMPUTED_VALUE"""),"")</f>
        <v/>
      </c>
      <c r="R692" s="18" t="str">
        <f ca="1">IFERROR(__xludf.DUMMYFUNCTION("""COMPUTED_VALUE"""),"")</f>
        <v/>
      </c>
      <c r="S692" s="18" t="str">
        <f ca="1">IFERROR(__xludf.DUMMYFUNCTION("""COMPUTED_VALUE"""),"")</f>
        <v/>
      </c>
      <c r="T692" s="18" t="str">
        <f ca="1">IFERROR(__xludf.DUMMYFUNCTION("""COMPUTED_VALUE"""),"")</f>
        <v/>
      </c>
      <c r="U692" s="18" t="str">
        <f ca="1">IFERROR(__xludf.DUMMYFUNCTION("""COMPUTED_VALUE"""),"")</f>
        <v/>
      </c>
      <c r="V692" s="18" t="str">
        <f ca="1">IFERROR(__xludf.DUMMYFUNCTION("""COMPUTED_VALUE"""),"")</f>
        <v/>
      </c>
      <c r="W692" s="18" t="str">
        <f ca="1">IFERROR(__xludf.DUMMYFUNCTION("""COMPUTED_VALUE"""),"")</f>
        <v/>
      </c>
      <c r="X692" s="18" t="str">
        <f ca="1">IFERROR(__xludf.DUMMYFUNCTION("""COMPUTED_VALUE"""),"")</f>
        <v/>
      </c>
      <c r="Y692" s="18" t="e">
        <f ca="1"/>
        <v>#NAME?</v>
      </c>
      <c r="Z692" s="18" t="str">
        <f ca="1">IFERROR(__xludf.DUMMYFUNCTION("""COMPUTED_VALUE"""),"")</f>
        <v/>
      </c>
      <c r="AA692" s="18" t="str">
        <f ca="1">IFERROR(__xludf.DUMMYFUNCTION("""COMPUTED_VALUE"""),"")</f>
        <v/>
      </c>
      <c r="AC692" s="59"/>
    </row>
    <row r="693" spans="1:29" x14ac:dyDescent="0.25">
      <c r="A693" s="18">
        <v>0</v>
      </c>
      <c r="B693" s="52" t="str">
        <f ca="1"/>
        <v/>
      </c>
      <c r="C693" s="52" t="str">
        <f ca="1">IFERROR(__xludf.DUMMYFUNCTION("""COMPUTED_VALUE"""),"")</f>
        <v/>
      </c>
      <c r="D693" s="18" t="str">
        <f ca="1">IFERROR(__xludf.DUMMYFUNCTION("""COMPUTED_VALUE"""),"")</f>
        <v/>
      </c>
      <c r="E693" s="18" t="str">
        <f ca="1">IFERROR(__xludf.DUMMYFUNCTION("""COMPUTED_VALUE"""),"")</f>
        <v/>
      </c>
      <c r="F693" s="18" t="str">
        <f ca="1">IFERROR(__xludf.DUMMYFUNCTION("""COMPUTED_VALUE"""),"")</f>
        <v/>
      </c>
      <c r="G693" s="18" t="str">
        <f ca="1">IFERROR(__xludf.DUMMYFUNCTION("""COMPUTED_VALUE"""),"")</f>
        <v/>
      </c>
      <c r="H693" s="18" t="str">
        <f ca="1">IFERROR(__xludf.DUMMYFUNCTION("""COMPUTED_VALUE"""),"")</f>
        <v/>
      </c>
      <c r="I693" s="18" t="str">
        <f ca="1">IFERROR(__xludf.DUMMYFUNCTION("""COMPUTED_VALUE"""),"")</f>
        <v/>
      </c>
      <c r="J693" s="18" t="str">
        <f ca="1">IFERROR(__xludf.DUMMYFUNCTION("""COMPUTED_VALUE"""),"")</f>
        <v/>
      </c>
      <c r="K693" s="18" t="str">
        <f ca="1">IFERROR(__xludf.DUMMYFUNCTION("""COMPUTED_VALUE"""),"")</f>
        <v/>
      </c>
      <c r="L693" s="18" t="str">
        <f ca="1">IFERROR(__xludf.DUMMYFUNCTION("""COMPUTED_VALUE"""),"")</f>
        <v/>
      </c>
      <c r="M693" s="18" t="str">
        <f ca="1">IFERROR(__xludf.DUMMYFUNCTION("""COMPUTED_VALUE"""),"")</f>
        <v/>
      </c>
      <c r="N693" s="18" t="str">
        <f ca="1">IFERROR(__xludf.DUMMYFUNCTION("""COMPUTED_VALUE"""),"")</f>
        <v/>
      </c>
      <c r="O693" s="18" t="str">
        <f ca="1">IFERROR(__xludf.DUMMYFUNCTION("""COMPUTED_VALUE"""),"")</f>
        <v/>
      </c>
      <c r="P693" s="18" t="str">
        <f ca="1">IFERROR(__xludf.DUMMYFUNCTION("""COMPUTED_VALUE"""),"")</f>
        <v/>
      </c>
      <c r="Q693" s="18" t="str">
        <f ca="1">IFERROR(__xludf.DUMMYFUNCTION("""COMPUTED_VALUE"""),"")</f>
        <v/>
      </c>
      <c r="R693" s="18" t="str">
        <f ca="1">IFERROR(__xludf.DUMMYFUNCTION("""COMPUTED_VALUE"""),"")</f>
        <v/>
      </c>
      <c r="S693" s="18" t="str">
        <f ca="1">IFERROR(__xludf.DUMMYFUNCTION("""COMPUTED_VALUE"""),"")</f>
        <v/>
      </c>
      <c r="T693" s="18" t="str">
        <f ca="1">IFERROR(__xludf.DUMMYFUNCTION("""COMPUTED_VALUE"""),"")</f>
        <v/>
      </c>
      <c r="U693" s="18" t="str">
        <f ca="1">IFERROR(__xludf.DUMMYFUNCTION("""COMPUTED_VALUE"""),"")</f>
        <v/>
      </c>
      <c r="V693" s="18" t="str">
        <f ca="1">IFERROR(__xludf.DUMMYFUNCTION("""COMPUTED_VALUE"""),"")</f>
        <v/>
      </c>
      <c r="W693" s="18" t="str">
        <f ca="1">IFERROR(__xludf.DUMMYFUNCTION("""COMPUTED_VALUE"""),"")</f>
        <v/>
      </c>
      <c r="X693" s="18" t="str">
        <f ca="1">IFERROR(__xludf.DUMMYFUNCTION("""COMPUTED_VALUE"""),"")</f>
        <v/>
      </c>
      <c r="Y693" s="18" t="e">
        <f ca="1"/>
        <v>#NAME?</v>
      </c>
      <c r="Z693" s="18" t="str">
        <f ca="1">IFERROR(__xludf.DUMMYFUNCTION("""COMPUTED_VALUE"""),"")</f>
        <v/>
      </c>
      <c r="AA693" s="18" t="str">
        <f ca="1">IFERROR(__xludf.DUMMYFUNCTION("""COMPUTED_VALUE"""),"")</f>
        <v/>
      </c>
      <c r="AC693" s="59"/>
    </row>
    <row r="694" spans="1:29" x14ac:dyDescent="0.25">
      <c r="A694" s="18">
        <v>0</v>
      </c>
      <c r="B694" s="52" t="str">
        <f ca="1"/>
        <v/>
      </c>
      <c r="C694" s="52" t="str">
        <f ca="1">IFERROR(__xludf.DUMMYFUNCTION("""COMPUTED_VALUE"""),"")</f>
        <v/>
      </c>
      <c r="D694" s="18" t="str">
        <f ca="1">IFERROR(__xludf.DUMMYFUNCTION("""COMPUTED_VALUE"""),"")</f>
        <v/>
      </c>
      <c r="E694" s="18" t="str">
        <f ca="1">IFERROR(__xludf.DUMMYFUNCTION("""COMPUTED_VALUE"""),"")</f>
        <v/>
      </c>
      <c r="F694" s="18" t="str">
        <f ca="1">IFERROR(__xludf.DUMMYFUNCTION("""COMPUTED_VALUE"""),"")</f>
        <v/>
      </c>
      <c r="G694" s="18" t="str">
        <f ca="1">IFERROR(__xludf.DUMMYFUNCTION("""COMPUTED_VALUE"""),"")</f>
        <v/>
      </c>
      <c r="H694" s="18" t="str">
        <f ca="1">IFERROR(__xludf.DUMMYFUNCTION("""COMPUTED_VALUE"""),"")</f>
        <v/>
      </c>
      <c r="I694" s="18" t="str">
        <f ca="1">IFERROR(__xludf.DUMMYFUNCTION("""COMPUTED_VALUE"""),"")</f>
        <v/>
      </c>
      <c r="J694" s="18" t="str">
        <f ca="1">IFERROR(__xludf.DUMMYFUNCTION("""COMPUTED_VALUE"""),"")</f>
        <v/>
      </c>
      <c r="K694" s="18" t="str">
        <f ca="1">IFERROR(__xludf.DUMMYFUNCTION("""COMPUTED_VALUE"""),"")</f>
        <v/>
      </c>
      <c r="L694" s="18" t="str">
        <f ca="1">IFERROR(__xludf.DUMMYFUNCTION("""COMPUTED_VALUE"""),"")</f>
        <v/>
      </c>
      <c r="M694" s="18" t="str">
        <f ca="1">IFERROR(__xludf.DUMMYFUNCTION("""COMPUTED_VALUE"""),"")</f>
        <v/>
      </c>
      <c r="N694" s="18" t="str">
        <f ca="1">IFERROR(__xludf.DUMMYFUNCTION("""COMPUTED_VALUE"""),"")</f>
        <v/>
      </c>
      <c r="O694" s="18" t="str">
        <f ca="1">IFERROR(__xludf.DUMMYFUNCTION("""COMPUTED_VALUE"""),"")</f>
        <v/>
      </c>
      <c r="P694" s="18" t="str">
        <f ca="1">IFERROR(__xludf.DUMMYFUNCTION("""COMPUTED_VALUE"""),"")</f>
        <v/>
      </c>
      <c r="Q694" s="18" t="str">
        <f ca="1">IFERROR(__xludf.DUMMYFUNCTION("""COMPUTED_VALUE"""),"")</f>
        <v/>
      </c>
      <c r="R694" s="18" t="str">
        <f ca="1">IFERROR(__xludf.DUMMYFUNCTION("""COMPUTED_VALUE"""),"")</f>
        <v/>
      </c>
      <c r="S694" s="18" t="str">
        <f ca="1">IFERROR(__xludf.DUMMYFUNCTION("""COMPUTED_VALUE"""),"")</f>
        <v/>
      </c>
      <c r="T694" s="18" t="str">
        <f ca="1">IFERROR(__xludf.DUMMYFUNCTION("""COMPUTED_VALUE"""),"")</f>
        <v/>
      </c>
      <c r="U694" s="18" t="str">
        <f ca="1">IFERROR(__xludf.DUMMYFUNCTION("""COMPUTED_VALUE"""),"")</f>
        <v/>
      </c>
      <c r="V694" s="18" t="str">
        <f ca="1">IFERROR(__xludf.DUMMYFUNCTION("""COMPUTED_VALUE"""),"")</f>
        <v/>
      </c>
      <c r="W694" s="18" t="str">
        <f ca="1">IFERROR(__xludf.DUMMYFUNCTION("""COMPUTED_VALUE"""),"")</f>
        <v/>
      </c>
      <c r="X694" s="18" t="str">
        <f ca="1">IFERROR(__xludf.DUMMYFUNCTION("""COMPUTED_VALUE"""),"")</f>
        <v/>
      </c>
      <c r="Y694" s="18" t="e">
        <f ca="1"/>
        <v>#NAME?</v>
      </c>
      <c r="Z694" s="18" t="str">
        <f ca="1">IFERROR(__xludf.DUMMYFUNCTION("""COMPUTED_VALUE"""),"")</f>
        <v/>
      </c>
      <c r="AA694" s="18" t="str">
        <f ca="1">IFERROR(__xludf.DUMMYFUNCTION("""COMPUTED_VALUE"""),"")</f>
        <v/>
      </c>
      <c r="AC694" s="59"/>
    </row>
    <row r="695" spans="1:29" x14ac:dyDescent="0.25">
      <c r="A695" s="18">
        <v>0</v>
      </c>
      <c r="B695" s="52" t="str">
        <f ca="1"/>
        <v/>
      </c>
      <c r="C695" s="52" t="str">
        <f ca="1">IFERROR(__xludf.DUMMYFUNCTION("""COMPUTED_VALUE"""),"")</f>
        <v/>
      </c>
      <c r="D695" s="18" t="str">
        <f ca="1">IFERROR(__xludf.DUMMYFUNCTION("""COMPUTED_VALUE"""),"")</f>
        <v/>
      </c>
      <c r="E695" s="18" t="str">
        <f ca="1">IFERROR(__xludf.DUMMYFUNCTION("""COMPUTED_VALUE"""),"")</f>
        <v/>
      </c>
      <c r="F695" s="18" t="str">
        <f ca="1">IFERROR(__xludf.DUMMYFUNCTION("""COMPUTED_VALUE"""),"")</f>
        <v/>
      </c>
      <c r="G695" s="18" t="str">
        <f ca="1">IFERROR(__xludf.DUMMYFUNCTION("""COMPUTED_VALUE"""),"")</f>
        <v/>
      </c>
      <c r="H695" s="18" t="str">
        <f ca="1">IFERROR(__xludf.DUMMYFUNCTION("""COMPUTED_VALUE"""),"")</f>
        <v/>
      </c>
      <c r="I695" s="18" t="str">
        <f ca="1">IFERROR(__xludf.DUMMYFUNCTION("""COMPUTED_VALUE"""),"")</f>
        <v/>
      </c>
      <c r="J695" s="18" t="str">
        <f ca="1">IFERROR(__xludf.DUMMYFUNCTION("""COMPUTED_VALUE"""),"")</f>
        <v/>
      </c>
      <c r="K695" s="18" t="str">
        <f ca="1">IFERROR(__xludf.DUMMYFUNCTION("""COMPUTED_VALUE"""),"")</f>
        <v/>
      </c>
      <c r="L695" s="18" t="str">
        <f ca="1">IFERROR(__xludf.DUMMYFUNCTION("""COMPUTED_VALUE"""),"")</f>
        <v/>
      </c>
      <c r="M695" s="18" t="str">
        <f ca="1">IFERROR(__xludf.DUMMYFUNCTION("""COMPUTED_VALUE"""),"")</f>
        <v/>
      </c>
      <c r="N695" s="18" t="str">
        <f ca="1">IFERROR(__xludf.DUMMYFUNCTION("""COMPUTED_VALUE"""),"")</f>
        <v/>
      </c>
      <c r="O695" s="18" t="str">
        <f ca="1">IFERROR(__xludf.DUMMYFUNCTION("""COMPUTED_VALUE"""),"")</f>
        <v/>
      </c>
      <c r="P695" s="18" t="str">
        <f ca="1">IFERROR(__xludf.DUMMYFUNCTION("""COMPUTED_VALUE"""),"")</f>
        <v/>
      </c>
      <c r="Q695" s="18" t="str">
        <f ca="1">IFERROR(__xludf.DUMMYFUNCTION("""COMPUTED_VALUE"""),"")</f>
        <v/>
      </c>
      <c r="R695" s="18" t="str">
        <f ca="1">IFERROR(__xludf.DUMMYFUNCTION("""COMPUTED_VALUE"""),"")</f>
        <v/>
      </c>
      <c r="S695" s="18" t="str">
        <f ca="1">IFERROR(__xludf.DUMMYFUNCTION("""COMPUTED_VALUE"""),"")</f>
        <v/>
      </c>
      <c r="T695" s="18" t="str">
        <f ca="1">IFERROR(__xludf.DUMMYFUNCTION("""COMPUTED_VALUE"""),"")</f>
        <v/>
      </c>
      <c r="U695" s="18" t="str">
        <f ca="1">IFERROR(__xludf.DUMMYFUNCTION("""COMPUTED_VALUE"""),"")</f>
        <v/>
      </c>
      <c r="V695" s="18" t="str">
        <f ca="1">IFERROR(__xludf.DUMMYFUNCTION("""COMPUTED_VALUE"""),"")</f>
        <v/>
      </c>
      <c r="W695" s="18" t="str">
        <f ca="1">IFERROR(__xludf.DUMMYFUNCTION("""COMPUTED_VALUE"""),"")</f>
        <v/>
      </c>
      <c r="X695" s="18" t="str">
        <f ca="1">IFERROR(__xludf.DUMMYFUNCTION("""COMPUTED_VALUE"""),"")</f>
        <v/>
      </c>
      <c r="Y695" s="18" t="e">
        <f ca="1"/>
        <v>#NAME?</v>
      </c>
      <c r="Z695" s="18" t="str">
        <f ca="1">IFERROR(__xludf.DUMMYFUNCTION("""COMPUTED_VALUE"""),"")</f>
        <v/>
      </c>
      <c r="AA695" s="18" t="str">
        <f ca="1">IFERROR(__xludf.DUMMYFUNCTION("""COMPUTED_VALUE"""),"")</f>
        <v/>
      </c>
      <c r="AC695" s="59"/>
    </row>
    <row r="696" spans="1:29" x14ac:dyDescent="0.25">
      <c r="A696" s="18">
        <v>0</v>
      </c>
      <c r="B696" s="52" t="str">
        <f ca="1"/>
        <v/>
      </c>
      <c r="C696" s="52" t="str">
        <f ca="1">IFERROR(__xludf.DUMMYFUNCTION("""COMPUTED_VALUE"""),"")</f>
        <v/>
      </c>
      <c r="D696" s="18" t="str">
        <f ca="1">IFERROR(__xludf.DUMMYFUNCTION("""COMPUTED_VALUE"""),"")</f>
        <v/>
      </c>
      <c r="E696" s="18" t="str">
        <f ca="1">IFERROR(__xludf.DUMMYFUNCTION("""COMPUTED_VALUE"""),"")</f>
        <v/>
      </c>
      <c r="F696" s="18" t="str">
        <f ca="1">IFERROR(__xludf.DUMMYFUNCTION("""COMPUTED_VALUE"""),"")</f>
        <v/>
      </c>
      <c r="G696" s="18" t="str">
        <f ca="1">IFERROR(__xludf.DUMMYFUNCTION("""COMPUTED_VALUE"""),"")</f>
        <v/>
      </c>
      <c r="H696" s="18" t="str">
        <f ca="1">IFERROR(__xludf.DUMMYFUNCTION("""COMPUTED_VALUE"""),"")</f>
        <v/>
      </c>
      <c r="I696" s="18" t="str">
        <f ca="1">IFERROR(__xludf.DUMMYFUNCTION("""COMPUTED_VALUE"""),"")</f>
        <v/>
      </c>
      <c r="J696" s="18" t="str">
        <f ca="1">IFERROR(__xludf.DUMMYFUNCTION("""COMPUTED_VALUE"""),"")</f>
        <v/>
      </c>
      <c r="K696" s="18" t="str">
        <f ca="1">IFERROR(__xludf.DUMMYFUNCTION("""COMPUTED_VALUE"""),"")</f>
        <v/>
      </c>
      <c r="L696" s="18" t="str">
        <f ca="1">IFERROR(__xludf.DUMMYFUNCTION("""COMPUTED_VALUE"""),"")</f>
        <v/>
      </c>
      <c r="M696" s="18" t="str">
        <f ca="1">IFERROR(__xludf.DUMMYFUNCTION("""COMPUTED_VALUE"""),"")</f>
        <v/>
      </c>
      <c r="N696" s="18" t="str">
        <f ca="1">IFERROR(__xludf.DUMMYFUNCTION("""COMPUTED_VALUE"""),"")</f>
        <v/>
      </c>
      <c r="O696" s="18" t="str">
        <f ca="1">IFERROR(__xludf.DUMMYFUNCTION("""COMPUTED_VALUE"""),"")</f>
        <v/>
      </c>
      <c r="P696" s="18" t="str">
        <f ca="1">IFERROR(__xludf.DUMMYFUNCTION("""COMPUTED_VALUE"""),"")</f>
        <v/>
      </c>
      <c r="Q696" s="18" t="str">
        <f ca="1">IFERROR(__xludf.DUMMYFUNCTION("""COMPUTED_VALUE"""),"")</f>
        <v/>
      </c>
      <c r="R696" s="18" t="str">
        <f ca="1">IFERROR(__xludf.DUMMYFUNCTION("""COMPUTED_VALUE"""),"")</f>
        <v/>
      </c>
      <c r="S696" s="18" t="str">
        <f ca="1">IFERROR(__xludf.DUMMYFUNCTION("""COMPUTED_VALUE"""),"")</f>
        <v/>
      </c>
      <c r="T696" s="18" t="str">
        <f ca="1">IFERROR(__xludf.DUMMYFUNCTION("""COMPUTED_VALUE"""),"")</f>
        <v/>
      </c>
      <c r="U696" s="18" t="str">
        <f ca="1">IFERROR(__xludf.DUMMYFUNCTION("""COMPUTED_VALUE"""),"")</f>
        <v/>
      </c>
      <c r="V696" s="18" t="str">
        <f ca="1">IFERROR(__xludf.DUMMYFUNCTION("""COMPUTED_VALUE"""),"")</f>
        <v/>
      </c>
      <c r="W696" s="18" t="str">
        <f ca="1">IFERROR(__xludf.DUMMYFUNCTION("""COMPUTED_VALUE"""),"")</f>
        <v/>
      </c>
      <c r="X696" s="18" t="str">
        <f ca="1">IFERROR(__xludf.DUMMYFUNCTION("""COMPUTED_VALUE"""),"")</f>
        <v/>
      </c>
      <c r="Y696" s="18" t="e">
        <f ca="1"/>
        <v>#NAME?</v>
      </c>
      <c r="Z696" s="18" t="str">
        <f ca="1">IFERROR(__xludf.DUMMYFUNCTION("""COMPUTED_VALUE"""),"")</f>
        <v/>
      </c>
      <c r="AA696" s="18" t="str">
        <f ca="1">IFERROR(__xludf.DUMMYFUNCTION("""COMPUTED_VALUE"""),"")</f>
        <v/>
      </c>
      <c r="AC696" s="59"/>
    </row>
    <row r="697" spans="1:29" x14ac:dyDescent="0.25">
      <c r="A697" s="18">
        <v>0</v>
      </c>
      <c r="B697" s="52" t="str">
        <f ca="1"/>
        <v/>
      </c>
      <c r="C697" s="52" t="str">
        <f ca="1">IFERROR(__xludf.DUMMYFUNCTION("""COMPUTED_VALUE"""),"")</f>
        <v/>
      </c>
      <c r="D697" s="18" t="str">
        <f ca="1">IFERROR(__xludf.DUMMYFUNCTION("""COMPUTED_VALUE"""),"")</f>
        <v/>
      </c>
      <c r="E697" s="18" t="str">
        <f ca="1">IFERROR(__xludf.DUMMYFUNCTION("""COMPUTED_VALUE"""),"")</f>
        <v/>
      </c>
      <c r="F697" s="18" t="str">
        <f ca="1">IFERROR(__xludf.DUMMYFUNCTION("""COMPUTED_VALUE"""),"")</f>
        <v/>
      </c>
      <c r="G697" s="18" t="str">
        <f ca="1">IFERROR(__xludf.DUMMYFUNCTION("""COMPUTED_VALUE"""),"")</f>
        <v/>
      </c>
      <c r="H697" s="18" t="str">
        <f ca="1">IFERROR(__xludf.DUMMYFUNCTION("""COMPUTED_VALUE"""),"")</f>
        <v/>
      </c>
      <c r="I697" s="18" t="str">
        <f ca="1">IFERROR(__xludf.DUMMYFUNCTION("""COMPUTED_VALUE"""),"")</f>
        <v/>
      </c>
      <c r="J697" s="18" t="str">
        <f ca="1">IFERROR(__xludf.DUMMYFUNCTION("""COMPUTED_VALUE"""),"")</f>
        <v/>
      </c>
      <c r="K697" s="18" t="str">
        <f ca="1">IFERROR(__xludf.DUMMYFUNCTION("""COMPUTED_VALUE"""),"")</f>
        <v/>
      </c>
      <c r="L697" s="18" t="str">
        <f ca="1">IFERROR(__xludf.DUMMYFUNCTION("""COMPUTED_VALUE"""),"")</f>
        <v/>
      </c>
      <c r="M697" s="18" t="str">
        <f ca="1">IFERROR(__xludf.DUMMYFUNCTION("""COMPUTED_VALUE"""),"")</f>
        <v/>
      </c>
      <c r="N697" s="18" t="str">
        <f ca="1">IFERROR(__xludf.DUMMYFUNCTION("""COMPUTED_VALUE"""),"")</f>
        <v/>
      </c>
      <c r="O697" s="18" t="str">
        <f ca="1">IFERROR(__xludf.DUMMYFUNCTION("""COMPUTED_VALUE"""),"")</f>
        <v/>
      </c>
      <c r="P697" s="18" t="str">
        <f ca="1">IFERROR(__xludf.DUMMYFUNCTION("""COMPUTED_VALUE"""),"")</f>
        <v/>
      </c>
      <c r="Q697" s="18" t="str">
        <f ca="1">IFERROR(__xludf.DUMMYFUNCTION("""COMPUTED_VALUE"""),"")</f>
        <v/>
      </c>
      <c r="R697" s="18" t="str">
        <f ca="1">IFERROR(__xludf.DUMMYFUNCTION("""COMPUTED_VALUE"""),"")</f>
        <v/>
      </c>
      <c r="S697" s="18" t="str">
        <f ca="1">IFERROR(__xludf.DUMMYFUNCTION("""COMPUTED_VALUE"""),"")</f>
        <v/>
      </c>
      <c r="T697" s="18" t="str">
        <f ca="1">IFERROR(__xludf.DUMMYFUNCTION("""COMPUTED_VALUE"""),"")</f>
        <v/>
      </c>
      <c r="U697" s="18" t="str">
        <f ca="1">IFERROR(__xludf.DUMMYFUNCTION("""COMPUTED_VALUE"""),"")</f>
        <v/>
      </c>
      <c r="V697" s="18" t="str">
        <f ca="1">IFERROR(__xludf.DUMMYFUNCTION("""COMPUTED_VALUE"""),"")</f>
        <v/>
      </c>
      <c r="W697" s="18" t="str">
        <f ca="1">IFERROR(__xludf.DUMMYFUNCTION("""COMPUTED_VALUE"""),"")</f>
        <v/>
      </c>
      <c r="X697" s="18" t="str">
        <f ca="1">IFERROR(__xludf.DUMMYFUNCTION("""COMPUTED_VALUE"""),"")</f>
        <v/>
      </c>
      <c r="Y697" s="18" t="e">
        <f ca="1"/>
        <v>#NAME?</v>
      </c>
      <c r="Z697" s="18" t="str">
        <f ca="1">IFERROR(__xludf.DUMMYFUNCTION("""COMPUTED_VALUE"""),"")</f>
        <v/>
      </c>
      <c r="AA697" s="18" t="str">
        <f ca="1">IFERROR(__xludf.DUMMYFUNCTION("""COMPUTED_VALUE"""),"")</f>
        <v/>
      </c>
      <c r="AC697" s="59"/>
    </row>
    <row r="698" spans="1:29" x14ac:dyDescent="0.25">
      <c r="A698" s="18">
        <v>0</v>
      </c>
      <c r="B698" s="52" t="str">
        <f ca="1"/>
        <v/>
      </c>
      <c r="C698" s="52" t="str">
        <f ca="1">IFERROR(__xludf.DUMMYFUNCTION("""COMPUTED_VALUE"""),"")</f>
        <v/>
      </c>
      <c r="D698" s="18" t="str">
        <f ca="1">IFERROR(__xludf.DUMMYFUNCTION("""COMPUTED_VALUE"""),"")</f>
        <v/>
      </c>
      <c r="E698" s="18" t="str">
        <f ca="1">IFERROR(__xludf.DUMMYFUNCTION("""COMPUTED_VALUE"""),"")</f>
        <v/>
      </c>
      <c r="F698" s="18" t="str">
        <f ca="1">IFERROR(__xludf.DUMMYFUNCTION("""COMPUTED_VALUE"""),"")</f>
        <v/>
      </c>
      <c r="G698" s="18" t="str">
        <f ca="1">IFERROR(__xludf.DUMMYFUNCTION("""COMPUTED_VALUE"""),"")</f>
        <v/>
      </c>
      <c r="H698" s="18" t="str">
        <f ca="1">IFERROR(__xludf.DUMMYFUNCTION("""COMPUTED_VALUE"""),"")</f>
        <v/>
      </c>
      <c r="I698" s="18" t="str">
        <f ca="1">IFERROR(__xludf.DUMMYFUNCTION("""COMPUTED_VALUE"""),"")</f>
        <v/>
      </c>
      <c r="J698" s="18" t="str">
        <f ca="1">IFERROR(__xludf.DUMMYFUNCTION("""COMPUTED_VALUE"""),"")</f>
        <v/>
      </c>
      <c r="K698" s="18" t="str">
        <f ca="1">IFERROR(__xludf.DUMMYFUNCTION("""COMPUTED_VALUE"""),"")</f>
        <v/>
      </c>
      <c r="L698" s="18" t="str">
        <f ca="1">IFERROR(__xludf.DUMMYFUNCTION("""COMPUTED_VALUE"""),"")</f>
        <v/>
      </c>
      <c r="M698" s="18" t="str">
        <f ca="1">IFERROR(__xludf.DUMMYFUNCTION("""COMPUTED_VALUE"""),"")</f>
        <v/>
      </c>
      <c r="N698" s="18" t="str">
        <f ca="1">IFERROR(__xludf.DUMMYFUNCTION("""COMPUTED_VALUE"""),"")</f>
        <v/>
      </c>
      <c r="O698" s="18" t="str">
        <f ca="1">IFERROR(__xludf.DUMMYFUNCTION("""COMPUTED_VALUE"""),"")</f>
        <v/>
      </c>
      <c r="P698" s="18" t="str">
        <f ca="1">IFERROR(__xludf.DUMMYFUNCTION("""COMPUTED_VALUE"""),"")</f>
        <v/>
      </c>
      <c r="Q698" s="18" t="str">
        <f ca="1">IFERROR(__xludf.DUMMYFUNCTION("""COMPUTED_VALUE"""),"")</f>
        <v/>
      </c>
      <c r="R698" s="18" t="str">
        <f ca="1">IFERROR(__xludf.DUMMYFUNCTION("""COMPUTED_VALUE"""),"")</f>
        <v/>
      </c>
      <c r="S698" s="18" t="str">
        <f ca="1">IFERROR(__xludf.DUMMYFUNCTION("""COMPUTED_VALUE"""),"")</f>
        <v/>
      </c>
      <c r="T698" s="18" t="str">
        <f ca="1">IFERROR(__xludf.DUMMYFUNCTION("""COMPUTED_VALUE"""),"")</f>
        <v/>
      </c>
      <c r="U698" s="18" t="str">
        <f ca="1">IFERROR(__xludf.DUMMYFUNCTION("""COMPUTED_VALUE"""),"")</f>
        <v/>
      </c>
      <c r="V698" s="18" t="str">
        <f ca="1">IFERROR(__xludf.DUMMYFUNCTION("""COMPUTED_VALUE"""),"")</f>
        <v/>
      </c>
      <c r="W698" s="18" t="str">
        <f ca="1">IFERROR(__xludf.DUMMYFUNCTION("""COMPUTED_VALUE"""),"")</f>
        <v/>
      </c>
      <c r="X698" s="18" t="str">
        <f ca="1">IFERROR(__xludf.DUMMYFUNCTION("""COMPUTED_VALUE"""),"")</f>
        <v/>
      </c>
      <c r="Y698" s="18" t="e">
        <f ca="1"/>
        <v>#NAME?</v>
      </c>
      <c r="Z698" s="18" t="str">
        <f ca="1">IFERROR(__xludf.DUMMYFUNCTION("""COMPUTED_VALUE"""),"")</f>
        <v/>
      </c>
      <c r="AA698" s="18" t="str">
        <f ca="1">IFERROR(__xludf.DUMMYFUNCTION("""COMPUTED_VALUE"""),"")</f>
        <v/>
      </c>
      <c r="AC698" s="59"/>
    </row>
    <row r="699" spans="1:29" x14ac:dyDescent="0.25">
      <c r="A699" s="18">
        <v>0</v>
      </c>
      <c r="B699" s="52" t="str">
        <f ca="1"/>
        <v/>
      </c>
      <c r="C699" s="52" t="str">
        <f ca="1">IFERROR(__xludf.DUMMYFUNCTION("""COMPUTED_VALUE"""),"")</f>
        <v/>
      </c>
      <c r="D699" s="18" t="str">
        <f ca="1">IFERROR(__xludf.DUMMYFUNCTION("""COMPUTED_VALUE"""),"")</f>
        <v/>
      </c>
      <c r="E699" s="18" t="str">
        <f ca="1">IFERROR(__xludf.DUMMYFUNCTION("""COMPUTED_VALUE"""),"")</f>
        <v/>
      </c>
      <c r="F699" s="18" t="str">
        <f ca="1">IFERROR(__xludf.DUMMYFUNCTION("""COMPUTED_VALUE"""),"")</f>
        <v/>
      </c>
      <c r="G699" s="18" t="str">
        <f ca="1">IFERROR(__xludf.DUMMYFUNCTION("""COMPUTED_VALUE"""),"")</f>
        <v/>
      </c>
      <c r="H699" s="18" t="str">
        <f ca="1">IFERROR(__xludf.DUMMYFUNCTION("""COMPUTED_VALUE"""),"")</f>
        <v/>
      </c>
      <c r="I699" s="18" t="str">
        <f ca="1">IFERROR(__xludf.DUMMYFUNCTION("""COMPUTED_VALUE"""),"")</f>
        <v/>
      </c>
      <c r="J699" s="18" t="str">
        <f ca="1">IFERROR(__xludf.DUMMYFUNCTION("""COMPUTED_VALUE"""),"")</f>
        <v/>
      </c>
      <c r="K699" s="18" t="str">
        <f ca="1">IFERROR(__xludf.DUMMYFUNCTION("""COMPUTED_VALUE"""),"")</f>
        <v/>
      </c>
      <c r="L699" s="18" t="str">
        <f ca="1">IFERROR(__xludf.DUMMYFUNCTION("""COMPUTED_VALUE"""),"")</f>
        <v/>
      </c>
      <c r="M699" s="18" t="str">
        <f ca="1">IFERROR(__xludf.DUMMYFUNCTION("""COMPUTED_VALUE"""),"")</f>
        <v/>
      </c>
      <c r="N699" s="18" t="str">
        <f ca="1">IFERROR(__xludf.DUMMYFUNCTION("""COMPUTED_VALUE"""),"")</f>
        <v/>
      </c>
      <c r="O699" s="18" t="str">
        <f ca="1">IFERROR(__xludf.DUMMYFUNCTION("""COMPUTED_VALUE"""),"")</f>
        <v/>
      </c>
      <c r="P699" s="18" t="str">
        <f ca="1">IFERROR(__xludf.DUMMYFUNCTION("""COMPUTED_VALUE"""),"")</f>
        <v/>
      </c>
      <c r="Q699" s="18" t="str">
        <f ca="1">IFERROR(__xludf.DUMMYFUNCTION("""COMPUTED_VALUE"""),"")</f>
        <v/>
      </c>
      <c r="R699" s="18" t="str">
        <f ca="1">IFERROR(__xludf.DUMMYFUNCTION("""COMPUTED_VALUE"""),"")</f>
        <v/>
      </c>
      <c r="S699" s="18" t="str">
        <f ca="1">IFERROR(__xludf.DUMMYFUNCTION("""COMPUTED_VALUE"""),"")</f>
        <v/>
      </c>
      <c r="T699" s="18" t="str">
        <f ca="1">IFERROR(__xludf.DUMMYFUNCTION("""COMPUTED_VALUE"""),"")</f>
        <v/>
      </c>
      <c r="U699" s="18" t="str">
        <f ca="1">IFERROR(__xludf.DUMMYFUNCTION("""COMPUTED_VALUE"""),"")</f>
        <v/>
      </c>
      <c r="V699" s="18" t="str">
        <f ca="1">IFERROR(__xludf.DUMMYFUNCTION("""COMPUTED_VALUE"""),"")</f>
        <v/>
      </c>
      <c r="W699" s="18" t="str">
        <f ca="1">IFERROR(__xludf.DUMMYFUNCTION("""COMPUTED_VALUE"""),"")</f>
        <v/>
      </c>
      <c r="X699" s="18" t="str">
        <f ca="1">IFERROR(__xludf.DUMMYFUNCTION("""COMPUTED_VALUE"""),"")</f>
        <v/>
      </c>
      <c r="Y699" s="18" t="e">
        <f ca="1"/>
        <v>#NAME?</v>
      </c>
      <c r="Z699" s="18" t="str">
        <f ca="1">IFERROR(__xludf.DUMMYFUNCTION("""COMPUTED_VALUE"""),"")</f>
        <v/>
      </c>
      <c r="AA699" s="18" t="str">
        <f ca="1">IFERROR(__xludf.DUMMYFUNCTION("""COMPUTED_VALUE"""),"")</f>
        <v/>
      </c>
      <c r="AC699" s="59"/>
    </row>
    <row r="700" spans="1:29" x14ac:dyDescent="0.25">
      <c r="A700" s="18">
        <v>0</v>
      </c>
      <c r="B700" s="52" t="str">
        <f ca="1"/>
        <v/>
      </c>
      <c r="C700" s="52" t="str">
        <f ca="1">IFERROR(__xludf.DUMMYFUNCTION("""COMPUTED_VALUE"""),"")</f>
        <v/>
      </c>
      <c r="D700" s="18" t="str">
        <f ca="1">IFERROR(__xludf.DUMMYFUNCTION("""COMPUTED_VALUE"""),"")</f>
        <v/>
      </c>
      <c r="E700" s="18" t="str">
        <f ca="1">IFERROR(__xludf.DUMMYFUNCTION("""COMPUTED_VALUE"""),"")</f>
        <v/>
      </c>
      <c r="F700" s="18" t="str">
        <f ca="1">IFERROR(__xludf.DUMMYFUNCTION("""COMPUTED_VALUE"""),"")</f>
        <v/>
      </c>
      <c r="G700" s="18" t="str">
        <f ca="1">IFERROR(__xludf.DUMMYFUNCTION("""COMPUTED_VALUE"""),"")</f>
        <v/>
      </c>
      <c r="H700" s="18" t="str">
        <f ca="1">IFERROR(__xludf.DUMMYFUNCTION("""COMPUTED_VALUE"""),"")</f>
        <v/>
      </c>
      <c r="I700" s="18" t="str">
        <f ca="1">IFERROR(__xludf.DUMMYFUNCTION("""COMPUTED_VALUE"""),"")</f>
        <v/>
      </c>
      <c r="J700" s="18" t="str">
        <f ca="1">IFERROR(__xludf.DUMMYFUNCTION("""COMPUTED_VALUE"""),"")</f>
        <v/>
      </c>
      <c r="K700" s="18" t="str">
        <f ca="1">IFERROR(__xludf.DUMMYFUNCTION("""COMPUTED_VALUE"""),"")</f>
        <v/>
      </c>
      <c r="L700" s="18" t="str">
        <f ca="1">IFERROR(__xludf.DUMMYFUNCTION("""COMPUTED_VALUE"""),"")</f>
        <v/>
      </c>
      <c r="M700" s="18" t="str">
        <f ca="1">IFERROR(__xludf.DUMMYFUNCTION("""COMPUTED_VALUE"""),"")</f>
        <v/>
      </c>
      <c r="N700" s="18" t="str">
        <f ca="1">IFERROR(__xludf.DUMMYFUNCTION("""COMPUTED_VALUE"""),"")</f>
        <v/>
      </c>
      <c r="O700" s="18" t="str">
        <f ca="1">IFERROR(__xludf.DUMMYFUNCTION("""COMPUTED_VALUE"""),"")</f>
        <v/>
      </c>
      <c r="P700" s="18" t="str">
        <f ca="1">IFERROR(__xludf.DUMMYFUNCTION("""COMPUTED_VALUE"""),"")</f>
        <v/>
      </c>
      <c r="Q700" s="18" t="str">
        <f ca="1">IFERROR(__xludf.DUMMYFUNCTION("""COMPUTED_VALUE"""),"")</f>
        <v/>
      </c>
      <c r="R700" s="18" t="str">
        <f ca="1">IFERROR(__xludf.DUMMYFUNCTION("""COMPUTED_VALUE"""),"")</f>
        <v/>
      </c>
      <c r="S700" s="18" t="str">
        <f ca="1">IFERROR(__xludf.DUMMYFUNCTION("""COMPUTED_VALUE"""),"")</f>
        <v/>
      </c>
      <c r="T700" s="18" t="str">
        <f ca="1">IFERROR(__xludf.DUMMYFUNCTION("""COMPUTED_VALUE"""),"")</f>
        <v/>
      </c>
      <c r="U700" s="18" t="str">
        <f ca="1">IFERROR(__xludf.DUMMYFUNCTION("""COMPUTED_VALUE"""),"")</f>
        <v/>
      </c>
      <c r="V700" s="18" t="str">
        <f ca="1">IFERROR(__xludf.DUMMYFUNCTION("""COMPUTED_VALUE"""),"")</f>
        <v/>
      </c>
      <c r="W700" s="18" t="str">
        <f ca="1">IFERROR(__xludf.DUMMYFUNCTION("""COMPUTED_VALUE"""),"")</f>
        <v/>
      </c>
      <c r="X700" s="18" t="str">
        <f ca="1">IFERROR(__xludf.DUMMYFUNCTION("""COMPUTED_VALUE"""),"")</f>
        <v/>
      </c>
      <c r="Y700" s="18" t="e">
        <f ca="1"/>
        <v>#NAME?</v>
      </c>
      <c r="Z700" s="18" t="str">
        <f ca="1">IFERROR(__xludf.DUMMYFUNCTION("""COMPUTED_VALUE"""),"")</f>
        <v/>
      </c>
      <c r="AA700" s="18" t="str">
        <f ca="1">IFERROR(__xludf.DUMMYFUNCTION("""COMPUTED_VALUE"""),"")</f>
        <v/>
      </c>
      <c r="AC700" s="59"/>
    </row>
    <row r="701" spans="1:29" x14ac:dyDescent="0.25">
      <c r="A701" s="18">
        <v>0</v>
      </c>
      <c r="B701" s="52" t="str">
        <f ca="1"/>
        <v/>
      </c>
      <c r="C701" s="52" t="str">
        <f ca="1">IFERROR(__xludf.DUMMYFUNCTION("""COMPUTED_VALUE"""),"")</f>
        <v/>
      </c>
      <c r="D701" s="18" t="str">
        <f ca="1">IFERROR(__xludf.DUMMYFUNCTION("""COMPUTED_VALUE"""),"")</f>
        <v/>
      </c>
      <c r="E701" s="18" t="str">
        <f ca="1">IFERROR(__xludf.DUMMYFUNCTION("""COMPUTED_VALUE"""),"")</f>
        <v/>
      </c>
      <c r="F701" s="18" t="str">
        <f ca="1">IFERROR(__xludf.DUMMYFUNCTION("""COMPUTED_VALUE"""),"")</f>
        <v/>
      </c>
      <c r="G701" s="18" t="str">
        <f ca="1">IFERROR(__xludf.DUMMYFUNCTION("""COMPUTED_VALUE"""),"")</f>
        <v/>
      </c>
      <c r="H701" s="18" t="str">
        <f ca="1">IFERROR(__xludf.DUMMYFUNCTION("""COMPUTED_VALUE"""),"")</f>
        <v/>
      </c>
      <c r="I701" s="18" t="str">
        <f ca="1">IFERROR(__xludf.DUMMYFUNCTION("""COMPUTED_VALUE"""),"")</f>
        <v/>
      </c>
      <c r="J701" s="18" t="str">
        <f ca="1">IFERROR(__xludf.DUMMYFUNCTION("""COMPUTED_VALUE"""),"")</f>
        <v/>
      </c>
      <c r="K701" s="18" t="str">
        <f ca="1">IFERROR(__xludf.DUMMYFUNCTION("""COMPUTED_VALUE"""),"")</f>
        <v/>
      </c>
      <c r="L701" s="18" t="str">
        <f ca="1">IFERROR(__xludf.DUMMYFUNCTION("""COMPUTED_VALUE"""),"")</f>
        <v/>
      </c>
      <c r="M701" s="18" t="str">
        <f ca="1">IFERROR(__xludf.DUMMYFUNCTION("""COMPUTED_VALUE"""),"")</f>
        <v/>
      </c>
      <c r="N701" s="18" t="str">
        <f ca="1">IFERROR(__xludf.DUMMYFUNCTION("""COMPUTED_VALUE"""),"")</f>
        <v/>
      </c>
      <c r="O701" s="18" t="str">
        <f ca="1">IFERROR(__xludf.DUMMYFUNCTION("""COMPUTED_VALUE"""),"")</f>
        <v/>
      </c>
      <c r="P701" s="18" t="str">
        <f ca="1">IFERROR(__xludf.DUMMYFUNCTION("""COMPUTED_VALUE"""),"")</f>
        <v/>
      </c>
      <c r="Q701" s="18" t="str">
        <f ca="1">IFERROR(__xludf.DUMMYFUNCTION("""COMPUTED_VALUE"""),"")</f>
        <v/>
      </c>
      <c r="R701" s="18" t="str">
        <f ca="1">IFERROR(__xludf.DUMMYFUNCTION("""COMPUTED_VALUE"""),"")</f>
        <v/>
      </c>
      <c r="S701" s="18" t="str">
        <f ca="1">IFERROR(__xludf.DUMMYFUNCTION("""COMPUTED_VALUE"""),"")</f>
        <v/>
      </c>
      <c r="T701" s="18" t="str">
        <f ca="1">IFERROR(__xludf.DUMMYFUNCTION("""COMPUTED_VALUE"""),"")</f>
        <v/>
      </c>
      <c r="U701" s="18" t="str">
        <f ca="1">IFERROR(__xludf.DUMMYFUNCTION("""COMPUTED_VALUE"""),"")</f>
        <v/>
      </c>
      <c r="V701" s="18" t="str">
        <f ca="1">IFERROR(__xludf.DUMMYFUNCTION("""COMPUTED_VALUE"""),"")</f>
        <v/>
      </c>
      <c r="W701" s="18" t="str">
        <f ca="1">IFERROR(__xludf.DUMMYFUNCTION("""COMPUTED_VALUE"""),"")</f>
        <v/>
      </c>
      <c r="X701" s="18" t="str">
        <f ca="1">IFERROR(__xludf.DUMMYFUNCTION("""COMPUTED_VALUE"""),"")</f>
        <v/>
      </c>
      <c r="Y701" s="18" t="e">
        <f ca="1"/>
        <v>#NAME?</v>
      </c>
      <c r="Z701" s="18" t="str">
        <f ca="1">IFERROR(__xludf.DUMMYFUNCTION("""COMPUTED_VALUE"""),"")</f>
        <v/>
      </c>
      <c r="AA701" s="18" t="str">
        <f ca="1">IFERROR(__xludf.DUMMYFUNCTION("""COMPUTED_VALUE"""),"")</f>
        <v/>
      </c>
      <c r="AC701" s="59"/>
    </row>
    <row r="702" spans="1:29" x14ac:dyDescent="0.25">
      <c r="A702" s="18">
        <v>0</v>
      </c>
      <c r="B702" s="52" t="str">
        <f ca="1"/>
        <v/>
      </c>
      <c r="C702" s="52" t="str">
        <f ca="1">IFERROR(__xludf.DUMMYFUNCTION("""COMPUTED_VALUE"""),"")</f>
        <v/>
      </c>
      <c r="D702" s="18" t="str">
        <f ca="1">IFERROR(__xludf.DUMMYFUNCTION("""COMPUTED_VALUE"""),"")</f>
        <v/>
      </c>
      <c r="E702" s="18" t="str">
        <f ca="1">IFERROR(__xludf.DUMMYFUNCTION("""COMPUTED_VALUE"""),"")</f>
        <v/>
      </c>
      <c r="F702" s="18" t="str">
        <f ca="1">IFERROR(__xludf.DUMMYFUNCTION("""COMPUTED_VALUE"""),"")</f>
        <v/>
      </c>
      <c r="G702" s="18" t="str">
        <f ca="1">IFERROR(__xludf.DUMMYFUNCTION("""COMPUTED_VALUE"""),"")</f>
        <v/>
      </c>
      <c r="H702" s="18" t="str">
        <f ca="1">IFERROR(__xludf.DUMMYFUNCTION("""COMPUTED_VALUE"""),"")</f>
        <v/>
      </c>
      <c r="I702" s="18" t="str">
        <f ca="1">IFERROR(__xludf.DUMMYFUNCTION("""COMPUTED_VALUE"""),"")</f>
        <v/>
      </c>
      <c r="J702" s="18" t="str">
        <f ca="1">IFERROR(__xludf.DUMMYFUNCTION("""COMPUTED_VALUE"""),"")</f>
        <v/>
      </c>
      <c r="K702" s="18" t="str">
        <f ca="1">IFERROR(__xludf.DUMMYFUNCTION("""COMPUTED_VALUE"""),"")</f>
        <v/>
      </c>
      <c r="L702" s="18" t="str">
        <f ca="1">IFERROR(__xludf.DUMMYFUNCTION("""COMPUTED_VALUE"""),"")</f>
        <v/>
      </c>
      <c r="M702" s="18" t="str">
        <f ca="1">IFERROR(__xludf.DUMMYFUNCTION("""COMPUTED_VALUE"""),"")</f>
        <v/>
      </c>
      <c r="N702" s="18" t="str">
        <f ca="1">IFERROR(__xludf.DUMMYFUNCTION("""COMPUTED_VALUE"""),"")</f>
        <v/>
      </c>
      <c r="O702" s="18" t="str">
        <f ca="1">IFERROR(__xludf.DUMMYFUNCTION("""COMPUTED_VALUE"""),"")</f>
        <v/>
      </c>
      <c r="P702" s="18" t="str">
        <f ca="1">IFERROR(__xludf.DUMMYFUNCTION("""COMPUTED_VALUE"""),"")</f>
        <v/>
      </c>
      <c r="Q702" s="18" t="str">
        <f ca="1">IFERROR(__xludf.DUMMYFUNCTION("""COMPUTED_VALUE"""),"")</f>
        <v/>
      </c>
      <c r="R702" s="18" t="str">
        <f ca="1">IFERROR(__xludf.DUMMYFUNCTION("""COMPUTED_VALUE"""),"")</f>
        <v/>
      </c>
      <c r="S702" s="18" t="str">
        <f ca="1">IFERROR(__xludf.DUMMYFUNCTION("""COMPUTED_VALUE"""),"")</f>
        <v/>
      </c>
      <c r="T702" s="18" t="str">
        <f ca="1">IFERROR(__xludf.DUMMYFUNCTION("""COMPUTED_VALUE"""),"")</f>
        <v/>
      </c>
      <c r="U702" s="18" t="str">
        <f ca="1">IFERROR(__xludf.DUMMYFUNCTION("""COMPUTED_VALUE"""),"")</f>
        <v/>
      </c>
      <c r="V702" s="18" t="str">
        <f ca="1">IFERROR(__xludf.DUMMYFUNCTION("""COMPUTED_VALUE"""),"")</f>
        <v/>
      </c>
      <c r="W702" s="18" t="str">
        <f ca="1">IFERROR(__xludf.DUMMYFUNCTION("""COMPUTED_VALUE"""),"")</f>
        <v/>
      </c>
      <c r="X702" s="18" t="str">
        <f ca="1">IFERROR(__xludf.DUMMYFUNCTION("""COMPUTED_VALUE"""),"")</f>
        <v/>
      </c>
      <c r="Y702" s="18" t="e">
        <f ca="1"/>
        <v>#NAME?</v>
      </c>
      <c r="Z702" s="18" t="str">
        <f ca="1">IFERROR(__xludf.DUMMYFUNCTION("""COMPUTED_VALUE"""),"")</f>
        <v/>
      </c>
      <c r="AA702" s="18" t="str">
        <f ca="1">IFERROR(__xludf.DUMMYFUNCTION("""COMPUTED_VALUE"""),"")</f>
        <v/>
      </c>
      <c r="AC702" s="59"/>
    </row>
    <row r="703" spans="1:29" x14ac:dyDescent="0.25">
      <c r="A703" s="18">
        <v>0</v>
      </c>
      <c r="B703" s="52" t="str">
        <f ca="1"/>
        <v/>
      </c>
      <c r="C703" s="52" t="str">
        <f ca="1">IFERROR(__xludf.DUMMYFUNCTION("""COMPUTED_VALUE"""),"")</f>
        <v/>
      </c>
      <c r="D703" s="18" t="str">
        <f ca="1">IFERROR(__xludf.DUMMYFUNCTION("""COMPUTED_VALUE"""),"")</f>
        <v/>
      </c>
      <c r="E703" s="18" t="str">
        <f ca="1">IFERROR(__xludf.DUMMYFUNCTION("""COMPUTED_VALUE"""),"")</f>
        <v/>
      </c>
      <c r="F703" s="18" t="str">
        <f ca="1">IFERROR(__xludf.DUMMYFUNCTION("""COMPUTED_VALUE"""),"")</f>
        <v/>
      </c>
      <c r="G703" s="18" t="str">
        <f ca="1">IFERROR(__xludf.DUMMYFUNCTION("""COMPUTED_VALUE"""),"")</f>
        <v/>
      </c>
      <c r="H703" s="18" t="str">
        <f ca="1">IFERROR(__xludf.DUMMYFUNCTION("""COMPUTED_VALUE"""),"")</f>
        <v/>
      </c>
      <c r="I703" s="18" t="str">
        <f ca="1">IFERROR(__xludf.DUMMYFUNCTION("""COMPUTED_VALUE"""),"")</f>
        <v/>
      </c>
      <c r="J703" s="18" t="str">
        <f ca="1">IFERROR(__xludf.DUMMYFUNCTION("""COMPUTED_VALUE"""),"")</f>
        <v/>
      </c>
      <c r="K703" s="18" t="str">
        <f ca="1">IFERROR(__xludf.DUMMYFUNCTION("""COMPUTED_VALUE"""),"")</f>
        <v/>
      </c>
      <c r="L703" s="18" t="str">
        <f ca="1">IFERROR(__xludf.DUMMYFUNCTION("""COMPUTED_VALUE"""),"")</f>
        <v/>
      </c>
      <c r="M703" s="18" t="str">
        <f ca="1">IFERROR(__xludf.DUMMYFUNCTION("""COMPUTED_VALUE"""),"")</f>
        <v/>
      </c>
      <c r="N703" s="18" t="str">
        <f ca="1">IFERROR(__xludf.DUMMYFUNCTION("""COMPUTED_VALUE"""),"")</f>
        <v/>
      </c>
      <c r="O703" s="18" t="str">
        <f ca="1">IFERROR(__xludf.DUMMYFUNCTION("""COMPUTED_VALUE"""),"")</f>
        <v/>
      </c>
      <c r="P703" s="18" t="str">
        <f ca="1">IFERROR(__xludf.DUMMYFUNCTION("""COMPUTED_VALUE"""),"")</f>
        <v/>
      </c>
      <c r="Q703" s="18" t="str">
        <f ca="1">IFERROR(__xludf.DUMMYFUNCTION("""COMPUTED_VALUE"""),"")</f>
        <v/>
      </c>
      <c r="R703" s="18" t="str">
        <f ca="1">IFERROR(__xludf.DUMMYFUNCTION("""COMPUTED_VALUE"""),"")</f>
        <v/>
      </c>
      <c r="S703" s="18" t="str">
        <f ca="1">IFERROR(__xludf.DUMMYFUNCTION("""COMPUTED_VALUE"""),"")</f>
        <v/>
      </c>
      <c r="T703" s="18" t="str">
        <f ca="1">IFERROR(__xludf.DUMMYFUNCTION("""COMPUTED_VALUE"""),"")</f>
        <v/>
      </c>
      <c r="U703" s="18" t="str">
        <f ca="1">IFERROR(__xludf.DUMMYFUNCTION("""COMPUTED_VALUE"""),"")</f>
        <v/>
      </c>
      <c r="V703" s="18" t="str">
        <f ca="1">IFERROR(__xludf.DUMMYFUNCTION("""COMPUTED_VALUE"""),"")</f>
        <v/>
      </c>
      <c r="W703" s="18" t="str">
        <f ca="1">IFERROR(__xludf.DUMMYFUNCTION("""COMPUTED_VALUE"""),"")</f>
        <v/>
      </c>
      <c r="X703" s="18" t="str">
        <f ca="1">IFERROR(__xludf.DUMMYFUNCTION("""COMPUTED_VALUE"""),"")</f>
        <v/>
      </c>
      <c r="Y703" s="18" t="e">
        <f ca="1"/>
        <v>#NAME?</v>
      </c>
      <c r="Z703" s="18" t="str">
        <f ca="1">IFERROR(__xludf.DUMMYFUNCTION("""COMPUTED_VALUE"""),"")</f>
        <v/>
      </c>
      <c r="AA703" s="18" t="str">
        <f ca="1">IFERROR(__xludf.DUMMYFUNCTION("""COMPUTED_VALUE"""),"")</f>
        <v/>
      </c>
      <c r="AC703" s="59"/>
    </row>
    <row r="704" spans="1:29" x14ac:dyDescent="0.25">
      <c r="A704" s="18">
        <v>0</v>
      </c>
      <c r="B704" s="52" t="str">
        <f ca="1"/>
        <v/>
      </c>
      <c r="C704" s="52" t="str">
        <f ca="1">IFERROR(__xludf.DUMMYFUNCTION("""COMPUTED_VALUE"""),"")</f>
        <v/>
      </c>
      <c r="D704" s="18" t="str">
        <f ca="1">IFERROR(__xludf.DUMMYFUNCTION("""COMPUTED_VALUE"""),"")</f>
        <v/>
      </c>
      <c r="E704" s="18" t="str">
        <f ca="1">IFERROR(__xludf.DUMMYFUNCTION("""COMPUTED_VALUE"""),"")</f>
        <v/>
      </c>
      <c r="F704" s="18" t="str">
        <f ca="1">IFERROR(__xludf.DUMMYFUNCTION("""COMPUTED_VALUE"""),"")</f>
        <v/>
      </c>
      <c r="G704" s="18" t="str">
        <f ca="1">IFERROR(__xludf.DUMMYFUNCTION("""COMPUTED_VALUE"""),"")</f>
        <v/>
      </c>
      <c r="H704" s="18" t="str">
        <f ca="1">IFERROR(__xludf.DUMMYFUNCTION("""COMPUTED_VALUE"""),"")</f>
        <v/>
      </c>
      <c r="I704" s="18" t="str">
        <f ca="1">IFERROR(__xludf.DUMMYFUNCTION("""COMPUTED_VALUE"""),"")</f>
        <v/>
      </c>
      <c r="J704" s="18" t="str">
        <f ca="1">IFERROR(__xludf.DUMMYFUNCTION("""COMPUTED_VALUE"""),"")</f>
        <v/>
      </c>
      <c r="K704" s="18" t="str">
        <f ca="1">IFERROR(__xludf.DUMMYFUNCTION("""COMPUTED_VALUE"""),"")</f>
        <v/>
      </c>
      <c r="L704" s="18" t="str">
        <f ca="1">IFERROR(__xludf.DUMMYFUNCTION("""COMPUTED_VALUE"""),"")</f>
        <v/>
      </c>
      <c r="M704" s="18" t="str">
        <f ca="1">IFERROR(__xludf.DUMMYFUNCTION("""COMPUTED_VALUE"""),"")</f>
        <v/>
      </c>
      <c r="N704" s="18" t="str">
        <f ca="1">IFERROR(__xludf.DUMMYFUNCTION("""COMPUTED_VALUE"""),"")</f>
        <v/>
      </c>
      <c r="O704" s="18" t="str">
        <f ca="1">IFERROR(__xludf.DUMMYFUNCTION("""COMPUTED_VALUE"""),"")</f>
        <v/>
      </c>
      <c r="P704" s="18" t="str">
        <f ca="1">IFERROR(__xludf.DUMMYFUNCTION("""COMPUTED_VALUE"""),"")</f>
        <v/>
      </c>
      <c r="Q704" s="18" t="str">
        <f ca="1">IFERROR(__xludf.DUMMYFUNCTION("""COMPUTED_VALUE"""),"")</f>
        <v/>
      </c>
      <c r="R704" s="18" t="str">
        <f ca="1">IFERROR(__xludf.DUMMYFUNCTION("""COMPUTED_VALUE"""),"")</f>
        <v/>
      </c>
      <c r="S704" s="18" t="str">
        <f ca="1">IFERROR(__xludf.DUMMYFUNCTION("""COMPUTED_VALUE"""),"")</f>
        <v/>
      </c>
      <c r="T704" s="18" t="str">
        <f ca="1">IFERROR(__xludf.DUMMYFUNCTION("""COMPUTED_VALUE"""),"")</f>
        <v/>
      </c>
      <c r="U704" s="18" t="str">
        <f ca="1">IFERROR(__xludf.DUMMYFUNCTION("""COMPUTED_VALUE"""),"")</f>
        <v/>
      </c>
      <c r="V704" s="18" t="str">
        <f ca="1">IFERROR(__xludf.DUMMYFUNCTION("""COMPUTED_VALUE"""),"")</f>
        <v/>
      </c>
      <c r="W704" s="18" t="str">
        <f ca="1">IFERROR(__xludf.DUMMYFUNCTION("""COMPUTED_VALUE"""),"")</f>
        <v/>
      </c>
      <c r="X704" s="18" t="str">
        <f ca="1">IFERROR(__xludf.DUMMYFUNCTION("""COMPUTED_VALUE"""),"")</f>
        <v/>
      </c>
      <c r="Y704" s="18" t="e">
        <f ca="1"/>
        <v>#NAME?</v>
      </c>
      <c r="Z704" s="18" t="str">
        <f ca="1">IFERROR(__xludf.DUMMYFUNCTION("""COMPUTED_VALUE"""),"")</f>
        <v/>
      </c>
      <c r="AA704" s="18" t="str">
        <f ca="1">IFERROR(__xludf.DUMMYFUNCTION("""COMPUTED_VALUE"""),"")</f>
        <v/>
      </c>
      <c r="AC704" s="59"/>
    </row>
    <row r="705" spans="1:29" x14ac:dyDescent="0.25">
      <c r="A705" s="18">
        <v>0</v>
      </c>
      <c r="B705" s="52" t="str">
        <f ca="1"/>
        <v/>
      </c>
      <c r="C705" s="52" t="str">
        <f ca="1">IFERROR(__xludf.DUMMYFUNCTION("""COMPUTED_VALUE"""),"")</f>
        <v/>
      </c>
      <c r="D705" s="18" t="str">
        <f ca="1">IFERROR(__xludf.DUMMYFUNCTION("""COMPUTED_VALUE"""),"")</f>
        <v/>
      </c>
      <c r="E705" s="18" t="str">
        <f ca="1">IFERROR(__xludf.DUMMYFUNCTION("""COMPUTED_VALUE"""),"")</f>
        <v/>
      </c>
      <c r="F705" s="18" t="str">
        <f ca="1">IFERROR(__xludf.DUMMYFUNCTION("""COMPUTED_VALUE"""),"")</f>
        <v/>
      </c>
      <c r="G705" s="18" t="str">
        <f ca="1">IFERROR(__xludf.DUMMYFUNCTION("""COMPUTED_VALUE"""),"")</f>
        <v/>
      </c>
      <c r="H705" s="18" t="str">
        <f ca="1">IFERROR(__xludf.DUMMYFUNCTION("""COMPUTED_VALUE"""),"")</f>
        <v/>
      </c>
      <c r="I705" s="18" t="str">
        <f ca="1">IFERROR(__xludf.DUMMYFUNCTION("""COMPUTED_VALUE"""),"")</f>
        <v/>
      </c>
      <c r="J705" s="18" t="str">
        <f ca="1">IFERROR(__xludf.DUMMYFUNCTION("""COMPUTED_VALUE"""),"")</f>
        <v/>
      </c>
      <c r="K705" s="18" t="str">
        <f ca="1">IFERROR(__xludf.DUMMYFUNCTION("""COMPUTED_VALUE"""),"")</f>
        <v/>
      </c>
      <c r="L705" s="18" t="str">
        <f ca="1">IFERROR(__xludf.DUMMYFUNCTION("""COMPUTED_VALUE"""),"")</f>
        <v/>
      </c>
      <c r="M705" s="18" t="str">
        <f ca="1">IFERROR(__xludf.DUMMYFUNCTION("""COMPUTED_VALUE"""),"")</f>
        <v/>
      </c>
      <c r="N705" s="18" t="str">
        <f ca="1">IFERROR(__xludf.DUMMYFUNCTION("""COMPUTED_VALUE"""),"")</f>
        <v/>
      </c>
      <c r="O705" s="18" t="str">
        <f ca="1">IFERROR(__xludf.DUMMYFUNCTION("""COMPUTED_VALUE"""),"")</f>
        <v/>
      </c>
      <c r="P705" s="18" t="str">
        <f ca="1">IFERROR(__xludf.DUMMYFUNCTION("""COMPUTED_VALUE"""),"")</f>
        <v/>
      </c>
      <c r="Q705" s="18" t="str">
        <f ca="1">IFERROR(__xludf.DUMMYFUNCTION("""COMPUTED_VALUE"""),"")</f>
        <v/>
      </c>
      <c r="R705" s="18" t="str">
        <f ca="1">IFERROR(__xludf.DUMMYFUNCTION("""COMPUTED_VALUE"""),"")</f>
        <v/>
      </c>
      <c r="S705" s="18" t="str">
        <f ca="1">IFERROR(__xludf.DUMMYFUNCTION("""COMPUTED_VALUE"""),"")</f>
        <v/>
      </c>
      <c r="T705" s="18" t="str">
        <f ca="1">IFERROR(__xludf.DUMMYFUNCTION("""COMPUTED_VALUE"""),"")</f>
        <v/>
      </c>
      <c r="U705" s="18" t="str">
        <f ca="1">IFERROR(__xludf.DUMMYFUNCTION("""COMPUTED_VALUE"""),"")</f>
        <v/>
      </c>
      <c r="V705" s="18" t="str">
        <f ca="1">IFERROR(__xludf.DUMMYFUNCTION("""COMPUTED_VALUE"""),"")</f>
        <v/>
      </c>
      <c r="W705" s="18" t="str">
        <f ca="1">IFERROR(__xludf.DUMMYFUNCTION("""COMPUTED_VALUE"""),"")</f>
        <v/>
      </c>
      <c r="X705" s="18" t="str">
        <f ca="1">IFERROR(__xludf.DUMMYFUNCTION("""COMPUTED_VALUE"""),"")</f>
        <v/>
      </c>
      <c r="Y705" s="18" t="e">
        <f ca="1"/>
        <v>#NAME?</v>
      </c>
      <c r="Z705" s="18" t="str">
        <f ca="1">IFERROR(__xludf.DUMMYFUNCTION("""COMPUTED_VALUE"""),"")</f>
        <v/>
      </c>
      <c r="AA705" s="18" t="str">
        <f ca="1">IFERROR(__xludf.DUMMYFUNCTION("""COMPUTED_VALUE"""),"")</f>
        <v/>
      </c>
      <c r="AC705" s="59"/>
    </row>
    <row r="706" spans="1:29" x14ac:dyDescent="0.25">
      <c r="A706" s="18">
        <v>0</v>
      </c>
      <c r="B706" s="52" t="str">
        <f ca="1"/>
        <v/>
      </c>
      <c r="C706" s="52" t="str">
        <f ca="1">IFERROR(__xludf.DUMMYFUNCTION("""COMPUTED_VALUE"""),"")</f>
        <v/>
      </c>
      <c r="D706" s="18" t="str">
        <f ca="1">IFERROR(__xludf.DUMMYFUNCTION("""COMPUTED_VALUE"""),"")</f>
        <v/>
      </c>
      <c r="E706" s="18" t="str">
        <f ca="1">IFERROR(__xludf.DUMMYFUNCTION("""COMPUTED_VALUE"""),"")</f>
        <v/>
      </c>
      <c r="F706" s="18" t="str">
        <f ca="1">IFERROR(__xludf.DUMMYFUNCTION("""COMPUTED_VALUE"""),"")</f>
        <v/>
      </c>
      <c r="G706" s="18" t="str">
        <f ca="1">IFERROR(__xludf.DUMMYFUNCTION("""COMPUTED_VALUE"""),"")</f>
        <v/>
      </c>
      <c r="H706" s="18" t="str">
        <f ca="1">IFERROR(__xludf.DUMMYFUNCTION("""COMPUTED_VALUE"""),"")</f>
        <v/>
      </c>
      <c r="I706" s="18" t="str">
        <f ca="1">IFERROR(__xludf.DUMMYFUNCTION("""COMPUTED_VALUE"""),"")</f>
        <v/>
      </c>
      <c r="J706" s="18" t="str">
        <f ca="1">IFERROR(__xludf.DUMMYFUNCTION("""COMPUTED_VALUE"""),"")</f>
        <v/>
      </c>
      <c r="K706" s="18" t="str">
        <f ca="1">IFERROR(__xludf.DUMMYFUNCTION("""COMPUTED_VALUE"""),"")</f>
        <v/>
      </c>
      <c r="L706" s="18" t="str">
        <f ca="1">IFERROR(__xludf.DUMMYFUNCTION("""COMPUTED_VALUE"""),"")</f>
        <v/>
      </c>
      <c r="M706" s="18" t="str">
        <f ca="1">IFERROR(__xludf.DUMMYFUNCTION("""COMPUTED_VALUE"""),"")</f>
        <v/>
      </c>
      <c r="N706" s="18" t="str">
        <f ca="1">IFERROR(__xludf.DUMMYFUNCTION("""COMPUTED_VALUE"""),"")</f>
        <v/>
      </c>
      <c r="O706" s="18" t="str">
        <f ca="1">IFERROR(__xludf.DUMMYFUNCTION("""COMPUTED_VALUE"""),"")</f>
        <v/>
      </c>
      <c r="P706" s="18" t="str">
        <f ca="1">IFERROR(__xludf.DUMMYFUNCTION("""COMPUTED_VALUE"""),"")</f>
        <v/>
      </c>
      <c r="Q706" s="18" t="str">
        <f ca="1">IFERROR(__xludf.DUMMYFUNCTION("""COMPUTED_VALUE"""),"")</f>
        <v/>
      </c>
      <c r="R706" s="18" t="str">
        <f ca="1">IFERROR(__xludf.DUMMYFUNCTION("""COMPUTED_VALUE"""),"")</f>
        <v/>
      </c>
      <c r="S706" s="18" t="str">
        <f ca="1">IFERROR(__xludf.DUMMYFUNCTION("""COMPUTED_VALUE"""),"")</f>
        <v/>
      </c>
      <c r="T706" s="18" t="str">
        <f ca="1">IFERROR(__xludf.DUMMYFUNCTION("""COMPUTED_VALUE"""),"")</f>
        <v/>
      </c>
      <c r="U706" s="18" t="str">
        <f ca="1">IFERROR(__xludf.DUMMYFUNCTION("""COMPUTED_VALUE"""),"")</f>
        <v/>
      </c>
      <c r="V706" s="18" t="str">
        <f ca="1">IFERROR(__xludf.DUMMYFUNCTION("""COMPUTED_VALUE"""),"")</f>
        <v/>
      </c>
      <c r="W706" s="18" t="str">
        <f ca="1">IFERROR(__xludf.DUMMYFUNCTION("""COMPUTED_VALUE"""),"")</f>
        <v/>
      </c>
      <c r="X706" s="18" t="str">
        <f ca="1">IFERROR(__xludf.DUMMYFUNCTION("""COMPUTED_VALUE"""),"")</f>
        <v/>
      </c>
      <c r="Y706" s="18" t="e">
        <f ca="1"/>
        <v>#NAME?</v>
      </c>
      <c r="Z706" s="18" t="str">
        <f ca="1">IFERROR(__xludf.DUMMYFUNCTION("""COMPUTED_VALUE"""),"")</f>
        <v/>
      </c>
      <c r="AA706" s="18" t="str">
        <f ca="1">IFERROR(__xludf.DUMMYFUNCTION("""COMPUTED_VALUE"""),"")</f>
        <v/>
      </c>
      <c r="AC706" s="59"/>
    </row>
    <row r="707" spans="1:29" x14ac:dyDescent="0.25">
      <c r="A707" s="18">
        <v>0</v>
      </c>
      <c r="B707" s="52" t="str">
        <f ca="1"/>
        <v/>
      </c>
      <c r="C707" s="52" t="str">
        <f ca="1">IFERROR(__xludf.DUMMYFUNCTION("""COMPUTED_VALUE"""),"")</f>
        <v/>
      </c>
      <c r="D707" s="18" t="str">
        <f ca="1">IFERROR(__xludf.DUMMYFUNCTION("""COMPUTED_VALUE"""),"")</f>
        <v/>
      </c>
      <c r="E707" s="18" t="str">
        <f ca="1">IFERROR(__xludf.DUMMYFUNCTION("""COMPUTED_VALUE"""),"")</f>
        <v/>
      </c>
      <c r="F707" s="18" t="str">
        <f ca="1">IFERROR(__xludf.DUMMYFUNCTION("""COMPUTED_VALUE"""),"")</f>
        <v/>
      </c>
      <c r="G707" s="18" t="str">
        <f ca="1">IFERROR(__xludf.DUMMYFUNCTION("""COMPUTED_VALUE"""),"")</f>
        <v/>
      </c>
      <c r="H707" s="18" t="str">
        <f ca="1">IFERROR(__xludf.DUMMYFUNCTION("""COMPUTED_VALUE"""),"")</f>
        <v/>
      </c>
      <c r="I707" s="18" t="str">
        <f ca="1">IFERROR(__xludf.DUMMYFUNCTION("""COMPUTED_VALUE"""),"")</f>
        <v/>
      </c>
      <c r="J707" s="18" t="str">
        <f ca="1">IFERROR(__xludf.DUMMYFUNCTION("""COMPUTED_VALUE"""),"")</f>
        <v/>
      </c>
      <c r="K707" s="18" t="str">
        <f ca="1">IFERROR(__xludf.DUMMYFUNCTION("""COMPUTED_VALUE"""),"")</f>
        <v/>
      </c>
      <c r="L707" s="18" t="str">
        <f ca="1">IFERROR(__xludf.DUMMYFUNCTION("""COMPUTED_VALUE"""),"")</f>
        <v/>
      </c>
      <c r="M707" s="18" t="str">
        <f ca="1">IFERROR(__xludf.DUMMYFUNCTION("""COMPUTED_VALUE"""),"")</f>
        <v/>
      </c>
      <c r="N707" s="18" t="str">
        <f ca="1">IFERROR(__xludf.DUMMYFUNCTION("""COMPUTED_VALUE"""),"")</f>
        <v/>
      </c>
      <c r="O707" s="18" t="str">
        <f ca="1">IFERROR(__xludf.DUMMYFUNCTION("""COMPUTED_VALUE"""),"")</f>
        <v/>
      </c>
      <c r="P707" s="18" t="str">
        <f ca="1">IFERROR(__xludf.DUMMYFUNCTION("""COMPUTED_VALUE"""),"")</f>
        <v/>
      </c>
      <c r="Q707" s="18" t="str">
        <f ca="1">IFERROR(__xludf.DUMMYFUNCTION("""COMPUTED_VALUE"""),"")</f>
        <v/>
      </c>
      <c r="R707" s="18" t="str">
        <f ca="1">IFERROR(__xludf.DUMMYFUNCTION("""COMPUTED_VALUE"""),"")</f>
        <v/>
      </c>
      <c r="S707" s="18" t="str">
        <f ca="1">IFERROR(__xludf.DUMMYFUNCTION("""COMPUTED_VALUE"""),"")</f>
        <v/>
      </c>
      <c r="T707" s="18" t="str">
        <f ca="1">IFERROR(__xludf.DUMMYFUNCTION("""COMPUTED_VALUE"""),"")</f>
        <v/>
      </c>
      <c r="U707" s="18" t="str">
        <f ca="1">IFERROR(__xludf.DUMMYFUNCTION("""COMPUTED_VALUE"""),"")</f>
        <v/>
      </c>
      <c r="V707" s="18" t="str">
        <f ca="1">IFERROR(__xludf.DUMMYFUNCTION("""COMPUTED_VALUE"""),"")</f>
        <v/>
      </c>
      <c r="W707" s="18" t="str">
        <f ca="1">IFERROR(__xludf.DUMMYFUNCTION("""COMPUTED_VALUE"""),"")</f>
        <v/>
      </c>
      <c r="X707" s="18" t="str">
        <f ca="1">IFERROR(__xludf.DUMMYFUNCTION("""COMPUTED_VALUE"""),"")</f>
        <v/>
      </c>
      <c r="Y707" s="18" t="e">
        <f ca="1"/>
        <v>#NAME?</v>
      </c>
      <c r="Z707" s="18" t="str">
        <f ca="1">IFERROR(__xludf.DUMMYFUNCTION("""COMPUTED_VALUE"""),"")</f>
        <v/>
      </c>
      <c r="AA707" s="18" t="str">
        <f ca="1">IFERROR(__xludf.DUMMYFUNCTION("""COMPUTED_VALUE"""),"")</f>
        <v/>
      </c>
      <c r="AC707" s="59"/>
    </row>
    <row r="708" spans="1:29" x14ac:dyDescent="0.25">
      <c r="A708" s="18">
        <v>0</v>
      </c>
      <c r="B708" s="52" t="str">
        <f ca="1"/>
        <v/>
      </c>
      <c r="C708" s="52" t="str">
        <f ca="1">IFERROR(__xludf.DUMMYFUNCTION("""COMPUTED_VALUE"""),"")</f>
        <v/>
      </c>
      <c r="D708" s="18" t="str">
        <f ca="1">IFERROR(__xludf.DUMMYFUNCTION("""COMPUTED_VALUE"""),"")</f>
        <v/>
      </c>
      <c r="E708" s="18" t="str">
        <f ca="1">IFERROR(__xludf.DUMMYFUNCTION("""COMPUTED_VALUE"""),"")</f>
        <v/>
      </c>
      <c r="F708" s="18" t="str">
        <f ca="1">IFERROR(__xludf.DUMMYFUNCTION("""COMPUTED_VALUE"""),"")</f>
        <v/>
      </c>
      <c r="G708" s="18" t="str">
        <f ca="1">IFERROR(__xludf.DUMMYFUNCTION("""COMPUTED_VALUE"""),"")</f>
        <v/>
      </c>
      <c r="H708" s="18" t="str">
        <f ca="1">IFERROR(__xludf.DUMMYFUNCTION("""COMPUTED_VALUE"""),"")</f>
        <v/>
      </c>
      <c r="I708" s="18" t="str">
        <f ca="1">IFERROR(__xludf.DUMMYFUNCTION("""COMPUTED_VALUE"""),"")</f>
        <v/>
      </c>
      <c r="J708" s="18" t="str">
        <f ca="1">IFERROR(__xludf.DUMMYFUNCTION("""COMPUTED_VALUE"""),"")</f>
        <v/>
      </c>
      <c r="K708" s="18" t="str">
        <f ca="1">IFERROR(__xludf.DUMMYFUNCTION("""COMPUTED_VALUE"""),"")</f>
        <v/>
      </c>
      <c r="L708" s="18" t="str">
        <f ca="1">IFERROR(__xludf.DUMMYFUNCTION("""COMPUTED_VALUE"""),"")</f>
        <v/>
      </c>
      <c r="M708" s="18" t="str">
        <f ca="1">IFERROR(__xludf.DUMMYFUNCTION("""COMPUTED_VALUE"""),"")</f>
        <v/>
      </c>
      <c r="N708" s="18" t="str">
        <f ca="1">IFERROR(__xludf.DUMMYFUNCTION("""COMPUTED_VALUE"""),"")</f>
        <v/>
      </c>
      <c r="O708" s="18" t="str">
        <f ca="1">IFERROR(__xludf.DUMMYFUNCTION("""COMPUTED_VALUE"""),"")</f>
        <v/>
      </c>
      <c r="P708" s="18" t="str">
        <f ca="1">IFERROR(__xludf.DUMMYFUNCTION("""COMPUTED_VALUE"""),"")</f>
        <v/>
      </c>
      <c r="Q708" s="18" t="str">
        <f ca="1">IFERROR(__xludf.DUMMYFUNCTION("""COMPUTED_VALUE"""),"")</f>
        <v/>
      </c>
      <c r="R708" s="18" t="str">
        <f ca="1">IFERROR(__xludf.DUMMYFUNCTION("""COMPUTED_VALUE"""),"")</f>
        <v/>
      </c>
      <c r="S708" s="18" t="str">
        <f ca="1">IFERROR(__xludf.DUMMYFUNCTION("""COMPUTED_VALUE"""),"")</f>
        <v/>
      </c>
      <c r="T708" s="18" t="str">
        <f ca="1">IFERROR(__xludf.DUMMYFUNCTION("""COMPUTED_VALUE"""),"")</f>
        <v/>
      </c>
      <c r="U708" s="18" t="str">
        <f ca="1">IFERROR(__xludf.DUMMYFUNCTION("""COMPUTED_VALUE"""),"")</f>
        <v/>
      </c>
      <c r="V708" s="18" t="str">
        <f ca="1">IFERROR(__xludf.DUMMYFUNCTION("""COMPUTED_VALUE"""),"")</f>
        <v/>
      </c>
      <c r="W708" s="18" t="str">
        <f ca="1">IFERROR(__xludf.DUMMYFUNCTION("""COMPUTED_VALUE"""),"")</f>
        <v/>
      </c>
      <c r="X708" s="18" t="str">
        <f ca="1">IFERROR(__xludf.DUMMYFUNCTION("""COMPUTED_VALUE"""),"")</f>
        <v/>
      </c>
      <c r="Y708" s="18" t="e">
        <f ca="1"/>
        <v>#NAME?</v>
      </c>
      <c r="Z708" s="18" t="str">
        <f ca="1">IFERROR(__xludf.DUMMYFUNCTION("""COMPUTED_VALUE"""),"")</f>
        <v/>
      </c>
      <c r="AA708" s="18" t="str">
        <f ca="1">IFERROR(__xludf.DUMMYFUNCTION("""COMPUTED_VALUE"""),"")</f>
        <v/>
      </c>
      <c r="AC708" s="59"/>
    </row>
    <row r="709" spans="1:29" x14ac:dyDescent="0.25">
      <c r="A709" s="18">
        <v>0</v>
      </c>
      <c r="B709" s="52" t="str">
        <f ca="1"/>
        <v/>
      </c>
      <c r="C709" s="52" t="str">
        <f ca="1">IFERROR(__xludf.DUMMYFUNCTION("""COMPUTED_VALUE"""),"")</f>
        <v/>
      </c>
      <c r="D709" s="18" t="str">
        <f ca="1">IFERROR(__xludf.DUMMYFUNCTION("""COMPUTED_VALUE"""),"")</f>
        <v/>
      </c>
      <c r="E709" s="18" t="str">
        <f ca="1">IFERROR(__xludf.DUMMYFUNCTION("""COMPUTED_VALUE"""),"")</f>
        <v/>
      </c>
      <c r="F709" s="18" t="str">
        <f ca="1">IFERROR(__xludf.DUMMYFUNCTION("""COMPUTED_VALUE"""),"")</f>
        <v/>
      </c>
      <c r="G709" s="18" t="str">
        <f ca="1">IFERROR(__xludf.DUMMYFUNCTION("""COMPUTED_VALUE"""),"")</f>
        <v/>
      </c>
      <c r="H709" s="18" t="str">
        <f ca="1">IFERROR(__xludf.DUMMYFUNCTION("""COMPUTED_VALUE"""),"")</f>
        <v/>
      </c>
      <c r="I709" s="18" t="str">
        <f ca="1">IFERROR(__xludf.DUMMYFUNCTION("""COMPUTED_VALUE"""),"")</f>
        <v/>
      </c>
      <c r="J709" s="18" t="str">
        <f ca="1">IFERROR(__xludf.DUMMYFUNCTION("""COMPUTED_VALUE"""),"")</f>
        <v/>
      </c>
      <c r="K709" s="18" t="str">
        <f ca="1">IFERROR(__xludf.DUMMYFUNCTION("""COMPUTED_VALUE"""),"")</f>
        <v/>
      </c>
      <c r="L709" s="18" t="str">
        <f ca="1">IFERROR(__xludf.DUMMYFUNCTION("""COMPUTED_VALUE"""),"")</f>
        <v/>
      </c>
      <c r="M709" s="18" t="str">
        <f ca="1">IFERROR(__xludf.DUMMYFUNCTION("""COMPUTED_VALUE"""),"")</f>
        <v/>
      </c>
      <c r="N709" s="18" t="str">
        <f ca="1">IFERROR(__xludf.DUMMYFUNCTION("""COMPUTED_VALUE"""),"")</f>
        <v/>
      </c>
      <c r="O709" s="18" t="str">
        <f ca="1">IFERROR(__xludf.DUMMYFUNCTION("""COMPUTED_VALUE"""),"")</f>
        <v/>
      </c>
      <c r="P709" s="18" t="str">
        <f ca="1">IFERROR(__xludf.DUMMYFUNCTION("""COMPUTED_VALUE"""),"")</f>
        <v/>
      </c>
      <c r="Q709" s="18" t="str">
        <f ca="1">IFERROR(__xludf.DUMMYFUNCTION("""COMPUTED_VALUE"""),"")</f>
        <v/>
      </c>
      <c r="R709" s="18" t="str">
        <f ca="1">IFERROR(__xludf.DUMMYFUNCTION("""COMPUTED_VALUE"""),"")</f>
        <v/>
      </c>
      <c r="S709" s="18" t="str">
        <f ca="1">IFERROR(__xludf.DUMMYFUNCTION("""COMPUTED_VALUE"""),"")</f>
        <v/>
      </c>
      <c r="T709" s="18" t="str">
        <f ca="1">IFERROR(__xludf.DUMMYFUNCTION("""COMPUTED_VALUE"""),"")</f>
        <v/>
      </c>
      <c r="U709" s="18" t="str">
        <f ca="1">IFERROR(__xludf.DUMMYFUNCTION("""COMPUTED_VALUE"""),"")</f>
        <v/>
      </c>
      <c r="V709" s="18" t="str">
        <f ca="1">IFERROR(__xludf.DUMMYFUNCTION("""COMPUTED_VALUE"""),"")</f>
        <v/>
      </c>
      <c r="W709" s="18" t="str">
        <f ca="1">IFERROR(__xludf.DUMMYFUNCTION("""COMPUTED_VALUE"""),"")</f>
        <v/>
      </c>
      <c r="X709" s="18" t="str">
        <f ca="1">IFERROR(__xludf.DUMMYFUNCTION("""COMPUTED_VALUE"""),"")</f>
        <v/>
      </c>
      <c r="Y709" s="18" t="e">
        <f ca="1"/>
        <v>#NAME?</v>
      </c>
      <c r="Z709" s="18" t="str">
        <f ca="1">IFERROR(__xludf.DUMMYFUNCTION("""COMPUTED_VALUE"""),"")</f>
        <v/>
      </c>
      <c r="AA709" s="18" t="str">
        <f ca="1">IFERROR(__xludf.DUMMYFUNCTION("""COMPUTED_VALUE"""),"")</f>
        <v/>
      </c>
      <c r="AC709" s="59"/>
    </row>
    <row r="710" spans="1:29" x14ac:dyDescent="0.25">
      <c r="A710" s="18">
        <v>0</v>
      </c>
      <c r="B710" s="52" t="str">
        <f ca="1"/>
        <v/>
      </c>
      <c r="C710" s="52" t="str">
        <f ca="1">IFERROR(__xludf.DUMMYFUNCTION("""COMPUTED_VALUE"""),"")</f>
        <v/>
      </c>
      <c r="D710" s="18" t="str">
        <f ca="1">IFERROR(__xludf.DUMMYFUNCTION("""COMPUTED_VALUE"""),"")</f>
        <v/>
      </c>
      <c r="E710" s="18" t="str">
        <f ca="1">IFERROR(__xludf.DUMMYFUNCTION("""COMPUTED_VALUE"""),"")</f>
        <v/>
      </c>
      <c r="F710" s="18" t="str">
        <f ca="1">IFERROR(__xludf.DUMMYFUNCTION("""COMPUTED_VALUE"""),"")</f>
        <v/>
      </c>
      <c r="G710" s="18" t="str">
        <f ca="1">IFERROR(__xludf.DUMMYFUNCTION("""COMPUTED_VALUE"""),"")</f>
        <v/>
      </c>
      <c r="H710" s="18" t="str">
        <f ca="1">IFERROR(__xludf.DUMMYFUNCTION("""COMPUTED_VALUE"""),"")</f>
        <v/>
      </c>
      <c r="I710" s="18" t="str">
        <f ca="1">IFERROR(__xludf.DUMMYFUNCTION("""COMPUTED_VALUE"""),"")</f>
        <v/>
      </c>
      <c r="J710" s="18" t="str">
        <f ca="1">IFERROR(__xludf.DUMMYFUNCTION("""COMPUTED_VALUE"""),"")</f>
        <v/>
      </c>
      <c r="K710" s="18" t="str">
        <f ca="1">IFERROR(__xludf.DUMMYFUNCTION("""COMPUTED_VALUE"""),"")</f>
        <v/>
      </c>
      <c r="L710" s="18" t="str">
        <f ca="1">IFERROR(__xludf.DUMMYFUNCTION("""COMPUTED_VALUE"""),"")</f>
        <v/>
      </c>
      <c r="M710" s="18" t="str">
        <f ca="1">IFERROR(__xludf.DUMMYFUNCTION("""COMPUTED_VALUE"""),"")</f>
        <v/>
      </c>
      <c r="N710" s="18" t="str">
        <f ca="1">IFERROR(__xludf.DUMMYFUNCTION("""COMPUTED_VALUE"""),"")</f>
        <v/>
      </c>
      <c r="O710" s="18" t="str">
        <f ca="1">IFERROR(__xludf.DUMMYFUNCTION("""COMPUTED_VALUE"""),"")</f>
        <v/>
      </c>
      <c r="P710" s="18" t="str">
        <f ca="1">IFERROR(__xludf.DUMMYFUNCTION("""COMPUTED_VALUE"""),"")</f>
        <v/>
      </c>
      <c r="Q710" s="18" t="str">
        <f ca="1">IFERROR(__xludf.DUMMYFUNCTION("""COMPUTED_VALUE"""),"")</f>
        <v/>
      </c>
      <c r="R710" s="18" t="str">
        <f ca="1">IFERROR(__xludf.DUMMYFUNCTION("""COMPUTED_VALUE"""),"")</f>
        <v/>
      </c>
      <c r="S710" s="18" t="str">
        <f ca="1">IFERROR(__xludf.DUMMYFUNCTION("""COMPUTED_VALUE"""),"")</f>
        <v/>
      </c>
      <c r="T710" s="18" t="str">
        <f ca="1">IFERROR(__xludf.DUMMYFUNCTION("""COMPUTED_VALUE"""),"")</f>
        <v/>
      </c>
      <c r="U710" s="18" t="str">
        <f ca="1">IFERROR(__xludf.DUMMYFUNCTION("""COMPUTED_VALUE"""),"")</f>
        <v/>
      </c>
      <c r="V710" s="18" t="str">
        <f ca="1">IFERROR(__xludf.DUMMYFUNCTION("""COMPUTED_VALUE"""),"")</f>
        <v/>
      </c>
      <c r="W710" s="18" t="str">
        <f ca="1">IFERROR(__xludf.DUMMYFUNCTION("""COMPUTED_VALUE"""),"")</f>
        <v/>
      </c>
      <c r="X710" s="18" t="str">
        <f ca="1">IFERROR(__xludf.DUMMYFUNCTION("""COMPUTED_VALUE"""),"")</f>
        <v/>
      </c>
      <c r="Y710" s="18" t="e">
        <f ca="1"/>
        <v>#NAME?</v>
      </c>
      <c r="Z710" s="18" t="str">
        <f ca="1">IFERROR(__xludf.DUMMYFUNCTION("""COMPUTED_VALUE"""),"")</f>
        <v/>
      </c>
      <c r="AA710" s="18" t="str">
        <f ca="1">IFERROR(__xludf.DUMMYFUNCTION("""COMPUTED_VALUE"""),"")</f>
        <v/>
      </c>
      <c r="AC710" s="59"/>
    </row>
    <row r="711" spans="1:29" x14ac:dyDescent="0.25">
      <c r="A711" s="18">
        <v>0</v>
      </c>
      <c r="B711" s="52" t="str">
        <f ca="1"/>
        <v/>
      </c>
      <c r="C711" s="52" t="str">
        <f ca="1">IFERROR(__xludf.DUMMYFUNCTION("""COMPUTED_VALUE"""),"")</f>
        <v/>
      </c>
      <c r="D711" s="18" t="str">
        <f ca="1">IFERROR(__xludf.DUMMYFUNCTION("""COMPUTED_VALUE"""),"")</f>
        <v/>
      </c>
      <c r="E711" s="18" t="str">
        <f ca="1">IFERROR(__xludf.DUMMYFUNCTION("""COMPUTED_VALUE"""),"")</f>
        <v/>
      </c>
      <c r="F711" s="18" t="str">
        <f ca="1">IFERROR(__xludf.DUMMYFUNCTION("""COMPUTED_VALUE"""),"")</f>
        <v/>
      </c>
      <c r="G711" s="18" t="str">
        <f ca="1">IFERROR(__xludf.DUMMYFUNCTION("""COMPUTED_VALUE"""),"")</f>
        <v/>
      </c>
      <c r="H711" s="18" t="str">
        <f ca="1">IFERROR(__xludf.DUMMYFUNCTION("""COMPUTED_VALUE"""),"")</f>
        <v/>
      </c>
      <c r="I711" s="18" t="str">
        <f ca="1">IFERROR(__xludf.DUMMYFUNCTION("""COMPUTED_VALUE"""),"")</f>
        <v/>
      </c>
      <c r="J711" s="18" t="str">
        <f ca="1">IFERROR(__xludf.DUMMYFUNCTION("""COMPUTED_VALUE"""),"")</f>
        <v/>
      </c>
      <c r="K711" s="18" t="str">
        <f ca="1">IFERROR(__xludf.DUMMYFUNCTION("""COMPUTED_VALUE"""),"")</f>
        <v/>
      </c>
      <c r="L711" s="18" t="str">
        <f ca="1">IFERROR(__xludf.DUMMYFUNCTION("""COMPUTED_VALUE"""),"")</f>
        <v/>
      </c>
      <c r="M711" s="18" t="str">
        <f ca="1">IFERROR(__xludf.DUMMYFUNCTION("""COMPUTED_VALUE"""),"")</f>
        <v/>
      </c>
      <c r="N711" s="18" t="str">
        <f ca="1">IFERROR(__xludf.DUMMYFUNCTION("""COMPUTED_VALUE"""),"")</f>
        <v/>
      </c>
      <c r="O711" s="18" t="str">
        <f ca="1">IFERROR(__xludf.DUMMYFUNCTION("""COMPUTED_VALUE"""),"")</f>
        <v/>
      </c>
      <c r="P711" s="18" t="str">
        <f ca="1">IFERROR(__xludf.DUMMYFUNCTION("""COMPUTED_VALUE"""),"")</f>
        <v/>
      </c>
      <c r="Q711" s="18" t="str">
        <f ca="1">IFERROR(__xludf.DUMMYFUNCTION("""COMPUTED_VALUE"""),"")</f>
        <v/>
      </c>
      <c r="R711" s="18" t="str">
        <f ca="1">IFERROR(__xludf.DUMMYFUNCTION("""COMPUTED_VALUE"""),"")</f>
        <v/>
      </c>
      <c r="S711" s="18" t="str">
        <f ca="1">IFERROR(__xludf.DUMMYFUNCTION("""COMPUTED_VALUE"""),"")</f>
        <v/>
      </c>
      <c r="T711" s="18" t="str">
        <f ca="1">IFERROR(__xludf.DUMMYFUNCTION("""COMPUTED_VALUE"""),"")</f>
        <v/>
      </c>
      <c r="U711" s="18" t="str">
        <f ca="1">IFERROR(__xludf.DUMMYFUNCTION("""COMPUTED_VALUE"""),"")</f>
        <v/>
      </c>
      <c r="V711" s="18" t="str">
        <f ca="1">IFERROR(__xludf.DUMMYFUNCTION("""COMPUTED_VALUE"""),"")</f>
        <v/>
      </c>
      <c r="W711" s="18" t="str">
        <f ca="1">IFERROR(__xludf.DUMMYFUNCTION("""COMPUTED_VALUE"""),"")</f>
        <v/>
      </c>
      <c r="X711" s="18" t="str">
        <f ca="1">IFERROR(__xludf.DUMMYFUNCTION("""COMPUTED_VALUE"""),"")</f>
        <v/>
      </c>
      <c r="Y711" s="18" t="e">
        <f ca="1"/>
        <v>#NAME?</v>
      </c>
      <c r="Z711" s="18" t="str">
        <f ca="1">IFERROR(__xludf.DUMMYFUNCTION("""COMPUTED_VALUE"""),"")</f>
        <v/>
      </c>
      <c r="AA711" s="18" t="str">
        <f ca="1">IFERROR(__xludf.DUMMYFUNCTION("""COMPUTED_VALUE"""),"")</f>
        <v/>
      </c>
      <c r="AC711" s="59"/>
    </row>
    <row r="712" spans="1:29" x14ac:dyDescent="0.25">
      <c r="A712" s="18">
        <v>0</v>
      </c>
      <c r="B712" s="52" t="str">
        <f ca="1"/>
        <v/>
      </c>
      <c r="C712" s="52" t="str">
        <f ca="1">IFERROR(__xludf.DUMMYFUNCTION("""COMPUTED_VALUE"""),"")</f>
        <v/>
      </c>
      <c r="D712" s="18" t="str">
        <f ca="1">IFERROR(__xludf.DUMMYFUNCTION("""COMPUTED_VALUE"""),"")</f>
        <v/>
      </c>
      <c r="E712" s="18" t="str">
        <f ca="1">IFERROR(__xludf.DUMMYFUNCTION("""COMPUTED_VALUE"""),"")</f>
        <v/>
      </c>
      <c r="F712" s="18" t="str">
        <f ca="1">IFERROR(__xludf.DUMMYFUNCTION("""COMPUTED_VALUE"""),"")</f>
        <v/>
      </c>
      <c r="G712" s="18" t="str">
        <f ca="1">IFERROR(__xludf.DUMMYFUNCTION("""COMPUTED_VALUE"""),"")</f>
        <v/>
      </c>
      <c r="H712" s="18" t="str">
        <f ca="1">IFERROR(__xludf.DUMMYFUNCTION("""COMPUTED_VALUE"""),"")</f>
        <v/>
      </c>
      <c r="I712" s="18" t="str">
        <f ca="1">IFERROR(__xludf.DUMMYFUNCTION("""COMPUTED_VALUE"""),"")</f>
        <v/>
      </c>
      <c r="J712" s="18" t="str">
        <f ca="1">IFERROR(__xludf.DUMMYFUNCTION("""COMPUTED_VALUE"""),"")</f>
        <v/>
      </c>
      <c r="K712" s="18" t="str">
        <f ca="1">IFERROR(__xludf.DUMMYFUNCTION("""COMPUTED_VALUE"""),"")</f>
        <v/>
      </c>
      <c r="L712" s="18" t="str">
        <f ca="1">IFERROR(__xludf.DUMMYFUNCTION("""COMPUTED_VALUE"""),"")</f>
        <v/>
      </c>
      <c r="M712" s="18" t="str">
        <f ca="1">IFERROR(__xludf.DUMMYFUNCTION("""COMPUTED_VALUE"""),"")</f>
        <v/>
      </c>
      <c r="N712" s="18" t="str">
        <f ca="1">IFERROR(__xludf.DUMMYFUNCTION("""COMPUTED_VALUE"""),"")</f>
        <v/>
      </c>
      <c r="O712" s="18" t="str">
        <f ca="1">IFERROR(__xludf.DUMMYFUNCTION("""COMPUTED_VALUE"""),"")</f>
        <v/>
      </c>
      <c r="P712" s="18" t="str">
        <f ca="1">IFERROR(__xludf.DUMMYFUNCTION("""COMPUTED_VALUE"""),"")</f>
        <v/>
      </c>
      <c r="Q712" s="18" t="str">
        <f ca="1">IFERROR(__xludf.DUMMYFUNCTION("""COMPUTED_VALUE"""),"")</f>
        <v/>
      </c>
      <c r="R712" s="18" t="str">
        <f ca="1">IFERROR(__xludf.DUMMYFUNCTION("""COMPUTED_VALUE"""),"")</f>
        <v/>
      </c>
      <c r="S712" s="18" t="str">
        <f ca="1">IFERROR(__xludf.DUMMYFUNCTION("""COMPUTED_VALUE"""),"")</f>
        <v/>
      </c>
      <c r="T712" s="18" t="str">
        <f ca="1">IFERROR(__xludf.DUMMYFUNCTION("""COMPUTED_VALUE"""),"")</f>
        <v/>
      </c>
      <c r="U712" s="18" t="str">
        <f ca="1">IFERROR(__xludf.DUMMYFUNCTION("""COMPUTED_VALUE"""),"")</f>
        <v/>
      </c>
      <c r="V712" s="18" t="str">
        <f ca="1">IFERROR(__xludf.DUMMYFUNCTION("""COMPUTED_VALUE"""),"")</f>
        <v/>
      </c>
      <c r="W712" s="18" t="str">
        <f ca="1">IFERROR(__xludf.DUMMYFUNCTION("""COMPUTED_VALUE"""),"")</f>
        <v/>
      </c>
      <c r="X712" s="18" t="str">
        <f ca="1">IFERROR(__xludf.DUMMYFUNCTION("""COMPUTED_VALUE"""),"")</f>
        <v/>
      </c>
      <c r="Y712" s="18" t="e">
        <f ca="1"/>
        <v>#NAME?</v>
      </c>
      <c r="Z712" s="18" t="str">
        <f ca="1">IFERROR(__xludf.DUMMYFUNCTION("""COMPUTED_VALUE"""),"")</f>
        <v/>
      </c>
      <c r="AA712" s="18" t="str">
        <f ca="1">IFERROR(__xludf.DUMMYFUNCTION("""COMPUTED_VALUE"""),"")</f>
        <v/>
      </c>
      <c r="AC712" s="59"/>
    </row>
    <row r="713" spans="1:29" x14ac:dyDescent="0.25">
      <c r="A713" s="18">
        <v>0</v>
      </c>
      <c r="B713" s="52" t="str">
        <f ca="1"/>
        <v/>
      </c>
      <c r="C713" s="52" t="str">
        <f ca="1">IFERROR(__xludf.DUMMYFUNCTION("""COMPUTED_VALUE"""),"")</f>
        <v/>
      </c>
      <c r="D713" s="18" t="str">
        <f ca="1">IFERROR(__xludf.DUMMYFUNCTION("""COMPUTED_VALUE"""),"")</f>
        <v/>
      </c>
      <c r="E713" s="18" t="str">
        <f ca="1">IFERROR(__xludf.DUMMYFUNCTION("""COMPUTED_VALUE"""),"")</f>
        <v/>
      </c>
      <c r="F713" s="18" t="str">
        <f ca="1">IFERROR(__xludf.DUMMYFUNCTION("""COMPUTED_VALUE"""),"")</f>
        <v/>
      </c>
      <c r="G713" s="18" t="str">
        <f ca="1">IFERROR(__xludf.DUMMYFUNCTION("""COMPUTED_VALUE"""),"")</f>
        <v/>
      </c>
      <c r="H713" s="18" t="str">
        <f ca="1">IFERROR(__xludf.DUMMYFUNCTION("""COMPUTED_VALUE"""),"")</f>
        <v/>
      </c>
      <c r="I713" s="18" t="str">
        <f ca="1">IFERROR(__xludf.DUMMYFUNCTION("""COMPUTED_VALUE"""),"")</f>
        <v/>
      </c>
      <c r="J713" s="18" t="str">
        <f ca="1">IFERROR(__xludf.DUMMYFUNCTION("""COMPUTED_VALUE"""),"")</f>
        <v/>
      </c>
      <c r="K713" s="18" t="str">
        <f ca="1">IFERROR(__xludf.DUMMYFUNCTION("""COMPUTED_VALUE"""),"")</f>
        <v/>
      </c>
      <c r="L713" s="18" t="str">
        <f ca="1">IFERROR(__xludf.DUMMYFUNCTION("""COMPUTED_VALUE"""),"")</f>
        <v/>
      </c>
      <c r="M713" s="18" t="str">
        <f ca="1">IFERROR(__xludf.DUMMYFUNCTION("""COMPUTED_VALUE"""),"")</f>
        <v/>
      </c>
      <c r="N713" s="18" t="str">
        <f ca="1">IFERROR(__xludf.DUMMYFUNCTION("""COMPUTED_VALUE"""),"")</f>
        <v/>
      </c>
      <c r="O713" s="18" t="str">
        <f ca="1">IFERROR(__xludf.DUMMYFUNCTION("""COMPUTED_VALUE"""),"")</f>
        <v/>
      </c>
      <c r="P713" s="18" t="str">
        <f ca="1">IFERROR(__xludf.DUMMYFUNCTION("""COMPUTED_VALUE"""),"")</f>
        <v/>
      </c>
      <c r="Q713" s="18" t="str">
        <f ca="1">IFERROR(__xludf.DUMMYFUNCTION("""COMPUTED_VALUE"""),"")</f>
        <v/>
      </c>
      <c r="R713" s="18" t="str">
        <f ca="1">IFERROR(__xludf.DUMMYFUNCTION("""COMPUTED_VALUE"""),"")</f>
        <v/>
      </c>
      <c r="S713" s="18" t="str">
        <f ca="1">IFERROR(__xludf.DUMMYFUNCTION("""COMPUTED_VALUE"""),"")</f>
        <v/>
      </c>
      <c r="T713" s="18" t="str">
        <f ca="1">IFERROR(__xludf.DUMMYFUNCTION("""COMPUTED_VALUE"""),"")</f>
        <v/>
      </c>
      <c r="U713" s="18" t="str">
        <f ca="1">IFERROR(__xludf.DUMMYFUNCTION("""COMPUTED_VALUE"""),"")</f>
        <v/>
      </c>
      <c r="V713" s="18" t="str">
        <f ca="1">IFERROR(__xludf.DUMMYFUNCTION("""COMPUTED_VALUE"""),"")</f>
        <v/>
      </c>
      <c r="W713" s="18" t="str">
        <f ca="1">IFERROR(__xludf.DUMMYFUNCTION("""COMPUTED_VALUE"""),"")</f>
        <v/>
      </c>
      <c r="X713" s="18" t="str">
        <f ca="1">IFERROR(__xludf.DUMMYFUNCTION("""COMPUTED_VALUE"""),"")</f>
        <v/>
      </c>
      <c r="Y713" s="18" t="e">
        <f ca="1"/>
        <v>#NAME?</v>
      </c>
      <c r="Z713" s="18" t="str">
        <f ca="1">IFERROR(__xludf.DUMMYFUNCTION("""COMPUTED_VALUE"""),"")</f>
        <v/>
      </c>
      <c r="AA713" s="18" t="str">
        <f ca="1">IFERROR(__xludf.DUMMYFUNCTION("""COMPUTED_VALUE"""),"")</f>
        <v/>
      </c>
      <c r="AC713" s="59"/>
    </row>
    <row r="714" spans="1:29" x14ac:dyDescent="0.25">
      <c r="A714" s="18">
        <v>0</v>
      </c>
      <c r="B714" s="52" t="str">
        <f ca="1"/>
        <v/>
      </c>
      <c r="C714" s="52" t="str">
        <f ca="1">IFERROR(__xludf.DUMMYFUNCTION("""COMPUTED_VALUE"""),"")</f>
        <v/>
      </c>
      <c r="D714" s="18" t="str">
        <f ca="1">IFERROR(__xludf.DUMMYFUNCTION("""COMPUTED_VALUE"""),"")</f>
        <v/>
      </c>
      <c r="E714" s="18" t="str">
        <f ca="1">IFERROR(__xludf.DUMMYFUNCTION("""COMPUTED_VALUE"""),"")</f>
        <v/>
      </c>
      <c r="F714" s="18" t="str">
        <f ca="1">IFERROR(__xludf.DUMMYFUNCTION("""COMPUTED_VALUE"""),"")</f>
        <v/>
      </c>
      <c r="G714" s="18" t="str">
        <f ca="1">IFERROR(__xludf.DUMMYFUNCTION("""COMPUTED_VALUE"""),"")</f>
        <v/>
      </c>
      <c r="H714" s="18" t="str">
        <f ca="1">IFERROR(__xludf.DUMMYFUNCTION("""COMPUTED_VALUE"""),"")</f>
        <v/>
      </c>
      <c r="I714" s="18" t="str">
        <f ca="1">IFERROR(__xludf.DUMMYFUNCTION("""COMPUTED_VALUE"""),"")</f>
        <v/>
      </c>
      <c r="J714" s="18" t="str">
        <f ca="1">IFERROR(__xludf.DUMMYFUNCTION("""COMPUTED_VALUE"""),"")</f>
        <v/>
      </c>
      <c r="K714" s="18" t="str">
        <f ca="1">IFERROR(__xludf.DUMMYFUNCTION("""COMPUTED_VALUE"""),"")</f>
        <v/>
      </c>
      <c r="L714" s="18" t="str">
        <f ca="1">IFERROR(__xludf.DUMMYFUNCTION("""COMPUTED_VALUE"""),"")</f>
        <v/>
      </c>
      <c r="M714" s="18" t="str">
        <f ca="1">IFERROR(__xludf.DUMMYFUNCTION("""COMPUTED_VALUE"""),"")</f>
        <v/>
      </c>
      <c r="N714" s="18" t="str">
        <f ca="1">IFERROR(__xludf.DUMMYFUNCTION("""COMPUTED_VALUE"""),"")</f>
        <v/>
      </c>
      <c r="O714" s="18" t="str">
        <f ca="1">IFERROR(__xludf.DUMMYFUNCTION("""COMPUTED_VALUE"""),"")</f>
        <v/>
      </c>
      <c r="P714" s="18" t="str">
        <f ca="1">IFERROR(__xludf.DUMMYFUNCTION("""COMPUTED_VALUE"""),"")</f>
        <v/>
      </c>
      <c r="Q714" s="18" t="str">
        <f ca="1">IFERROR(__xludf.DUMMYFUNCTION("""COMPUTED_VALUE"""),"")</f>
        <v/>
      </c>
      <c r="R714" s="18" t="str">
        <f ca="1">IFERROR(__xludf.DUMMYFUNCTION("""COMPUTED_VALUE"""),"")</f>
        <v/>
      </c>
      <c r="S714" s="18" t="str">
        <f ca="1">IFERROR(__xludf.DUMMYFUNCTION("""COMPUTED_VALUE"""),"")</f>
        <v/>
      </c>
      <c r="T714" s="18" t="str">
        <f ca="1">IFERROR(__xludf.DUMMYFUNCTION("""COMPUTED_VALUE"""),"")</f>
        <v/>
      </c>
      <c r="U714" s="18" t="str">
        <f ca="1">IFERROR(__xludf.DUMMYFUNCTION("""COMPUTED_VALUE"""),"")</f>
        <v/>
      </c>
      <c r="V714" s="18" t="str">
        <f ca="1">IFERROR(__xludf.DUMMYFUNCTION("""COMPUTED_VALUE"""),"")</f>
        <v/>
      </c>
      <c r="W714" s="18" t="str">
        <f ca="1">IFERROR(__xludf.DUMMYFUNCTION("""COMPUTED_VALUE"""),"")</f>
        <v/>
      </c>
      <c r="X714" s="18" t="str">
        <f ca="1">IFERROR(__xludf.DUMMYFUNCTION("""COMPUTED_VALUE"""),"")</f>
        <v/>
      </c>
      <c r="Y714" s="18" t="e">
        <f ca="1"/>
        <v>#NAME?</v>
      </c>
      <c r="Z714" s="18" t="str">
        <f ca="1">IFERROR(__xludf.DUMMYFUNCTION("""COMPUTED_VALUE"""),"")</f>
        <v/>
      </c>
      <c r="AA714" s="18" t="str">
        <f ca="1">IFERROR(__xludf.DUMMYFUNCTION("""COMPUTED_VALUE"""),"")</f>
        <v/>
      </c>
      <c r="AC714" s="59"/>
    </row>
    <row r="715" spans="1:29" x14ac:dyDescent="0.25">
      <c r="A715" s="18">
        <v>0</v>
      </c>
      <c r="B715" s="52" t="str">
        <f ca="1"/>
        <v/>
      </c>
      <c r="C715" s="52" t="str">
        <f ca="1">IFERROR(__xludf.DUMMYFUNCTION("""COMPUTED_VALUE"""),"")</f>
        <v/>
      </c>
      <c r="D715" s="18" t="str">
        <f ca="1">IFERROR(__xludf.DUMMYFUNCTION("""COMPUTED_VALUE"""),"")</f>
        <v/>
      </c>
      <c r="E715" s="18" t="str">
        <f ca="1">IFERROR(__xludf.DUMMYFUNCTION("""COMPUTED_VALUE"""),"")</f>
        <v/>
      </c>
      <c r="F715" s="18" t="str">
        <f ca="1">IFERROR(__xludf.DUMMYFUNCTION("""COMPUTED_VALUE"""),"")</f>
        <v/>
      </c>
      <c r="G715" s="18" t="str">
        <f ca="1">IFERROR(__xludf.DUMMYFUNCTION("""COMPUTED_VALUE"""),"")</f>
        <v/>
      </c>
      <c r="H715" s="18" t="str">
        <f ca="1">IFERROR(__xludf.DUMMYFUNCTION("""COMPUTED_VALUE"""),"")</f>
        <v/>
      </c>
      <c r="I715" s="18" t="str">
        <f ca="1">IFERROR(__xludf.DUMMYFUNCTION("""COMPUTED_VALUE"""),"")</f>
        <v/>
      </c>
      <c r="J715" s="18" t="str">
        <f ca="1">IFERROR(__xludf.DUMMYFUNCTION("""COMPUTED_VALUE"""),"")</f>
        <v/>
      </c>
      <c r="K715" s="18" t="str">
        <f ca="1">IFERROR(__xludf.DUMMYFUNCTION("""COMPUTED_VALUE"""),"")</f>
        <v/>
      </c>
      <c r="L715" s="18" t="str">
        <f ca="1">IFERROR(__xludf.DUMMYFUNCTION("""COMPUTED_VALUE"""),"")</f>
        <v/>
      </c>
      <c r="M715" s="18" t="str">
        <f ca="1">IFERROR(__xludf.DUMMYFUNCTION("""COMPUTED_VALUE"""),"")</f>
        <v/>
      </c>
      <c r="N715" s="18" t="str">
        <f ca="1">IFERROR(__xludf.DUMMYFUNCTION("""COMPUTED_VALUE"""),"")</f>
        <v/>
      </c>
      <c r="O715" s="18" t="str">
        <f ca="1">IFERROR(__xludf.DUMMYFUNCTION("""COMPUTED_VALUE"""),"")</f>
        <v/>
      </c>
      <c r="P715" s="18" t="str">
        <f ca="1">IFERROR(__xludf.DUMMYFUNCTION("""COMPUTED_VALUE"""),"")</f>
        <v/>
      </c>
      <c r="Q715" s="18" t="str">
        <f ca="1">IFERROR(__xludf.DUMMYFUNCTION("""COMPUTED_VALUE"""),"")</f>
        <v/>
      </c>
      <c r="R715" s="18" t="str">
        <f ca="1">IFERROR(__xludf.DUMMYFUNCTION("""COMPUTED_VALUE"""),"")</f>
        <v/>
      </c>
      <c r="S715" s="18" t="str">
        <f ca="1">IFERROR(__xludf.DUMMYFUNCTION("""COMPUTED_VALUE"""),"")</f>
        <v/>
      </c>
      <c r="T715" s="18" t="str">
        <f ca="1">IFERROR(__xludf.DUMMYFUNCTION("""COMPUTED_VALUE"""),"")</f>
        <v/>
      </c>
      <c r="U715" s="18" t="str">
        <f ca="1">IFERROR(__xludf.DUMMYFUNCTION("""COMPUTED_VALUE"""),"")</f>
        <v/>
      </c>
      <c r="V715" s="18" t="str">
        <f ca="1">IFERROR(__xludf.DUMMYFUNCTION("""COMPUTED_VALUE"""),"")</f>
        <v/>
      </c>
      <c r="W715" s="18" t="str">
        <f ca="1">IFERROR(__xludf.DUMMYFUNCTION("""COMPUTED_VALUE"""),"")</f>
        <v/>
      </c>
      <c r="X715" s="18" t="str">
        <f ca="1">IFERROR(__xludf.DUMMYFUNCTION("""COMPUTED_VALUE"""),"")</f>
        <v/>
      </c>
      <c r="Y715" s="18" t="e">
        <f ca="1"/>
        <v>#NAME?</v>
      </c>
      <c r="Z715" s="18" t="str">
        <f ca="1">IFERROR(__xludf.DUMMYFUNCTION("""COMPUTED_VALUE"""),"")</f>
        <v/>
      </c>
      <c r="AA715" s="18" t="str">
        <f ca="1">IFERROR(__xludf.DUMMYFUNCTION("""COMPUTED_VALUE"""),"")</f>
        <v/>
      </c>
      <c r="AC715" s="59"/>
    </row>
    <row r="716" spans="1:29" x14ac:dyDescent="0.25">
      <c r="A716" s="18">
        <v>0</v>
      </c>
      <c r="B716" s="52" t="str">
        <f ca="1"/>
        <v/>
      </c>
      <c r="C716" s="52" t="str">
        <f ca="1">IFERROR(__xludf.DUMMYFUNCTION("""COMPUTED_VALUE"""),"")</f>
        <v/>
      </c>
      <c r="D716" s="18" t="str">
        <f ca="1">IFERROR(__xludf.DUMMYFUNCTION("""COMPUTED_VALUE"""),"")</f>
        <v/>
      </c>
      <c r="E716" s="18" t="str">
        <f ca="1">IFERROR(__xludf.DUMMYFUNCTION("""COMPUTED_VALUE"""),"")</f>
        <v/>
      </c>
      <c r="F716" s="18" t="str">
        <f ca="1">IFERROR(__xludf.DUMMYFUNCTION("""COMPUTED_VALUE"""),"")</f>
        <v/>
      </c>
      <c r="G716" s="18" t="str">
        <f ca="1">IFERROR(__xludf.DUMMYFUNCTION("""COMPUTED_VALUE"""),"")</f>
        <v/>
      </c>
      <c r="H716" s="18" t="str">
        <f ca="1">IFERROR(__xludf.DUMMYFUNCTION("""COMPUTED_VALUE"""),"")</f>
        <v/>
      </c>
      <c r="I716" s="18" t="str">
        <f ca="1">IFERROR(__xludf.DUMMYFUNCTION("""COMPUTED_VALUE"""),"")</f>
        <v/>
      </c>
      <c r="J716" s="18" t="str">
        <f ca="1">IFERROR(__xludf.DUMMYFUNCTION("""COMPUTED_VALUE"""),"")</f>
        <v/>
      </c>
      <c r="K716" s="18" t="str">
        <f ca="1">IFERROR(__xludf.DUMMYFUNCTION("""COMPUTED_VALUE"""),"")</f>
        <v/>
      </c>
      <c r="L716" s="18" t="str">
        <f ca="1">IFERROR(__xludf.DUMMYFUNCTION("""COMPUTED_VALUE"""),"")</f>
        <v/>
      </c>
      <c r="M716" s="18" t="str">
        <f ca="1">IFERROR(__xludf.DUMMYFUNCTION("""COMPUTED_VALUE"""),"")</f>
        <v/>
      </c>
      <c r="N716" s="18" t="str">
        <f ca="1">IFERROR(__xludf.DUMMYFUNCTION("""COMPUTED_VALUE"""),"")</f>
        <v/>
      </c>
      <c r="O716" s="18" t="str">
        <f ca="1">IFERROR(__xludf.DUMMYFUNCTION("""COMPUTED_VALUE"""),"")</f>
        <v/>
      </c>
      <c r="P716" s="18" t="str">
        <f ca="1">IFERROR(__xludf.DUMMYFUNCTION("""COMPUTED_VALUE"""),"")</f>
        <v/>
      </c>
      <c r="Q716" s="18" t="str">
        <f ca="1">IFERROR(__xludf.DUMMYFUNCTION("""COMPUTED_VALUE"""),"")</f>
        <v/>
      </c>
      <c r="R716" s="18" t="str">
        <f ca="1">IFERROR(__xludf.DUMMYFUNCTION("""COMPUTED_VALUE"""),"")</f>
        <v/>
      </c>
      <c r="S716" s="18" t="str">
        <f ca="1">IFERROR(__xludf.DUMMYFUNCTION("""COMPUTED_VALUE"""),"")</f>
        <v/>
      </c>
      <c r="T716" s="18" t="str">
        <f ca="1">IFERROR(__xludf.DUMMYFUNCTION("""COMPUTED_VALUE"""),"")</f>
        <v/>
      </c>
      <c r="U716" s="18" t="str">
        <f ca="1">IFERROR(__xludf.DUMMYFUNCTION("""COMPUTED_VALUE"""),"")</f>
        <v/>
      </c>
      <c r="V716" s="18" t="str">
        <f ca="1">IFERROR(__xludf.DUMMYFUNCTION("""COMPUTED_VALUE"""),"")</f>
        <v/>
      </c>
      <c r="W716" s="18" t="str">
        <f ca="1">IFERROR(__xludf.DUMMYFUNCTION("""COMPUTED_VALUE"""),"")</f>
        <v/>
      </c>
      <c r="X716" s="18" t="str">
        <f ca="1">IFERROR(__xludf.DUMMYFUNCTION("""COMPUTED_VALUE"""),"")</f>
        <v/>
      </c>
      <c r="Y716" s="18" t="e">
        <f ca="1"/>
        <v>#NAME?</v>
      </c>
      <c r="Z716" s="18" t="str">
        <f ca="1">IFERROR(__xludf.DUMMYFUNCTION("""COMPUTED_VALUE"""),"")</f>
        <v/>
      </c>
      <c r="AA716" s="18" t="str">
        <f ca="1">IFERROR(__xludf.DUMMYFUNCTION("""COMPUTED_VALUE"""),"")</f>
        <v/>
      </c>
      <c r="AC716" s="59"/>
    </row>
    <row r="717" spans="1:29" x14ac:dyDescent="0.25">
      <c r="A717" s="18">
        <v>0</v>
      </c>
      <c r="B717" s="52" t="str">
        <f ca="1"/>
        <v/>
      </c>
      <c r="C717" s="52" t="str">
        <f ca="1">IFERROR(__xludf.DUMMYFUNCTION("""COMPUTED_VALUE"""),"")</f>
        <v/>
      </c>
      <c r="D717" s="18" t="str">
        <f ca="1">IFERROR(__xludf.DUMMYFUNCTION("""COMPUTED_VALUE"""),"")</f>
        <v/>
      </c>
      <c r="E717" s="18" t="str">
        <f ca="1">IFERROR(__xludf.DUMMYFUNCTION("""COMPUTED_VALUE"""),"")</f>
        <v/>
      </c>
      <c r="F717" s="18" t="str">
        <f ca="1">IFERROR(__xludf.DUMMYFUNCTION("""COMPUTED_VALUE"""),"")</f>
        <v/>
      </c>
      <c r="G717" s="18" t="str">
        <f ca="1">IFERROR(__xludf.DUMMYFUNCTION("""COMPUTED_VALUE"""),"")</f>
        <v/>
      </c>
      <c r="H717" s="18" t="str">
        <f ca="1">IFERROR(__xludf.DUMMYFUNCTION("""COMPUTED_VALUE"""),"")</f>
        <v/>
      </c>
      <c r="I717" s="18" t="str">
        <f ca="1">IFERROR(__xludf.DUMMYFUNCTION("""COMPUTED_VALUE"""),"")</f>
        <v/>
      </c>
      <c r="J717" s="18" t="str">
        <f ca="1">IFERROR(__xludf.DUMMYFUNCTION("""COMPUTED_VALUE"""),"")</f>
        <v/>
      </c>
      <c r="K717" s="18" t="str">
        <f ca="1">IFERROR(__xludf.DUMMYFUNCTION("""COMPUTED_VALUE"""),"")</f>
        <v/>
      </c>
      <c r="L717" s="18" t="str">
        <f ca="1">IFERROR(__xludf.DUMMYFUNCTION("""COMPUTED_VALUE"""),"")</f>
        <v/>
      </c>
      <c r="M717" s="18" t="str">
        <f ca="1">IFERROR(__xludf.DUMMYFUNCTION("""COMPUTED_VALUE"""),"")</f>
        <v/>
      </c>
      <c r="N717" s="18" t="str">
        <f ca="1">IFERROR(__xludf.DUMMYFUNCTION("""COMPUTED_VALUE"""),"")</f>
        <v/>
      </c>
      <c r="O717" s="18" t="str">
        <f ca="1">IFERROR(__xludf.DUMMYFUNCTION("""COMPUTED_VALUE"""),"")</f>
        <v/>
      </c>
      <c r="P717" s="18" t="str">
        <f ca="1">IFERROR(__xludf.DUMMYFUNCTION("""COMPUTED_VALUE"""),"")</f>
        <v/>
      </c>
      <c r="Q717" s="18" t="str">
        <f ca="1">IFERROR(__xludf.DUMMYFUNCTION("""COMPUTED_VALUE"""),"")</f>
        <v/>
      </c>
      <c r="R717" s="18" t="str">
        <f ca="1">IFERROR(__xludf.DUMMYFUNCTION("""COMPUTED_VALUE"""),"")</f>
        <v/>
      </c>
      <c r="S717" s="18" t="str">
        <f ca="1">IFERROR(__xludf.DUMMYFUNCTION("""COMPUTED_VALUE"""),"")</f>
        <v/>
      </c>
      <c r="T717" s="18" t="str">
        <f ca="1">IFERROR(__xludf.DUMMYFUNCTION("""COMPUTED_VALUE"""),"")</f>
        <v/>
      </c>
      <c r="U717" s="18" t="str">
        <f ca="1">IFERROR(__xludf.DUMMYFUNCTION("""COMPUTED_VALUE"""),"")</f>
        <v/>
      </c>
      <c r="V717" s="18" t="str">
        <f ca="1">IFERROR(__xludf.DUMMYFUNCTION("""COMPUTED_VALUE"""),"")</f>
        <v/>
      </c>
      <c r="W717" s="18" t="str">
        <f ca="1">IFERROR(__xludf.DUMMYFUNCTION("""COMPUTED_VALUE"""),"")</f>
        <v/>
      </c>
      <c r="X717" s="18" t="str">
        <f ca="1">IFERROR(__xludf.DUMMYFUNCTION("""COMPUTED_VALUE"""),"")</f>
        <v/>
      </c>
      <c r="Y717" s="18" t="e">
        <f ca="1"/>
        <v>#NAME?</v>
      </c>
      <c r="Z717" s="18" t="str">
        <f ca="1">IFERROR(__xludf.DUMMYFUNCTION("""COMPUTED_VALUE"""),"")</f>
        <v/>
      </c>
      <c r="AA717" s="18" t="str">
        <f ca="1">IFERROR(__xludf.DUMMYFUNCTION("""COMPUTED_VALUE"""),"")</f>
        <v/>
      </c>
      <c r="AC717" s="59"/>
    </row>
    <row r="718" spans="1:29" x14ac:dyDescent="0.25">
      <c r="A718" s="18">
        <v>0</v>
      </c>
      <c r="B718" s="52" t="str">
        <f ca="1"/>
        <v/>
      </c>
      <c r="C718" s="52" t="str">
        <f ca="1">IFERROR(__xludf.DUMMYFUNCTION("""COMPUTED_VALUE"""),"")</f>
        <v/>
      </c>
      <c r="D718" s="18" t="str">
        <f ca="1">IFERROR(__xludf.DUMMYFUNCTION("""COMPUTED_VALUE"""),"")</f>
        <v/>
      </c>
      <c r="E718" s="18" t="str">
        <f ca="1">IFERROR(__xludf.DUMMYFUNCTION("""COMPUTED_VALUE"""),"")</f>
        <v/>
      </c>
      <c r="F718" s="18" t="str">
        <f ca="1">IFERROR(__xludf.DUMMYFUNCTION("""COMPUTED_VALUE"""),"")</f>
        <v/>
      </c>
      <c r="G718" s="18" t="str">
        <f ca="1">IFERROR(__xludf.DUMMYFUNCTION("""COMPUTED_VALUE"""),"")</f>
        <v/>
      </c>
      <c r="H718" s="18" t="str">
        <f ca="1">IFERROR(__xludf.DUMMYFUNCTION("""COMPUTED_VALUE"""),"")</f>
        <v/>
      </c>
      <c r="I718" s="18" t="str">
        <f ca="1">IFERROR(__xludf.DUMMYFUNCTION("""COMPUTED_VALUE"""),"")</f>
        <v/>
      </c>
      <c r="J718" s="18" t="str">
        <f ca="1">IFERROR(__xludf.DUMMYFUNCTION("""COMPUTED_VALUE"""),"")</f>
        <v/>
      </c>
      <c r="K718" s="18" t="str">
        <f ca="1">IFERROR(__xludf.DUMMYFUNCTION("""COMPUTED_VALUE"""),"")</f>
        <v/>
      </c>
      <c r="L718" s="18" t="str">
        <f ca="1">IFERROR(__xludf.DUMMYFUNCTION("""COMPUTED_VALUE"""),"")</f>
        <v/>
      </c>
      <c r="M718" s="18" t="str">
        <f ca="1">IFERROR(__xludf.DUMMYFUNCTION("""COMPUTED_VALUE"""),"")</f>
        <v/>
      </c>
      <c r="N718" s="18" t="str">
        <f ca="1">IFERROR(__xludf.DUMMYFUNCTION("""COMPUTED_VALUE"""),"")</f>
        <v/>
      </c>
      <c r="O718" s="18" t="str">
        <f ca="1">IFERROR(__xludf.DUMMYFUNCTION("""COMPUTED_VALUE"""),"")</f>
        <v/>
      </c>
      <c r="P718" s="18" t="str">
        <f ca="1">IFERROR(__xludf.DUMMYFUNCTION("""COMPUTED_VALUE"""),"")</f>
        <v/>
      </c>
      <c r="Q718" s="18" t="str">
        <f ca="1">IFERROR(__xludf.DUMMYFUNCTION("""COMPUTED_VALUE"""),"")</f>
        <v/>
      </c>
      <c r="R718" s="18" t="str">
        <f ca="1">IFERROR(__xludf.DUMMYFUNCTION("""COMPUTED_VALUE"""),"")</f>
        <v/>
      </c>
      <c r="S718" s="18" t="str">
        <f ca="1">IFERROR(__xludf.DUMMYFUNCTION("""COMPUTED_VALUE"""),"")</f>
        <v/>
      </c>
      <c r="T718" s="18" t="str">
        <f ca="1">IFERROR(__xludf.DUMMYFUNCTION("""COMPUTED_VALUE"""),"")</f>
        <v/>
      </c>
      <c r="U718" s="18" t="str">
        <f ca="1">IFERROR(__xludf.DUMMYFUNCTION("""COMPUTED_VALUE"""),"")</f>
        <v/>
      </c>
      <c r="V718" s="18" t="str">
        <f ca="1">IFERROR(__xludf.DUMMYFUNCTION("""COMPUTED_VALUE"""),"")</f>
        <v/>
      </c>
      <c r="W718" s="18" t="str">
        <f ca="1">IFERROR(__xludf.DUMMYFUNCTION("""COMPUTED_VALUE"""),"")</f>
        <v/>
      </c>
      <c r="X718" s="18" t="str">
        <f ca="1">IFERROR(__xludf.DUMMYFUNCTION("""COMPUTED_VALUE"""),"")</f>
        <v/>
      </c>
      <c r="Y718" s="18" t="e">
        <f ca="1"/>
        <v>#NAME?</v>
      </c>
      <c r="Z718" s="18" t="str">
        <f ca="1">IFERROR(__xludf.DUMMYFUNCTION("""COMPUTED_VALUE"""),"")</f>
        <v/>
      </c>
      <c r="AA718" s="18" t="str">
        <f ca="1">IFERROR(__xludf.DUMMYFUNCTION("""COMPUTED_VALUE"""),"")</f>
        <v/>
      </c>
      <c r="AC718" s="59"/>
    </row>
    <row r="719" spans="1:29" x14ac:dyDescent="0.25">
      <c r="A719" s="18">
        <v>0</v>
      </c>
      <c r="B719" s="52" t="str">
        <f ca="1"/>
        <v/>
      </c>
      <c r="C719" s="52" t="str">
        <f ca="1">IFERROR(__xludf.DUMMYFUNCTION("""COMPUTED_VALUE"""),"")</f>
        <v/>
      </c>
      <c r="D719" s="18" t="str">
        <f ca="1">IFERROR(__xludf.DUMMYFUNCTION("""COMPUTED_VALUE"""),"")</f>
        <v/>
      </c>
      <c r="E719" s="18" t="str">
        <f ca="1">IFERROR(__xludf.DUMMYFUNCTION("""COMPUTED_VALUE"""),"")</f>
        <v/>
      </c>
      <c r="F719" s="18" t="str">
        <f ca="1">IFERROR(__xludf.DUMMYFUNCTION("""COMPUTED_VALUE"""),"")</f>
        <v/>
      </c>
      <c r="G719" s="18" t="str">
        <f ca="1">IFERROR(__xludf.DUMMYFUNCTION("""COMPUTED_VALUE"""),"")</f>
        <v/>
      </c>
      <c r="H719" s="18" t="str">
        <f ca="1">IFERROR(__xludf.DUMMYFUNCTION("""COMPUTED_VALUE"""),"")</f>
        <v/>
      </c>
      <c r="I719" s="18" t="str">
        <f ca="1">IFERROR(__xludf.DUMMYFUNCTION("""COMPUTED_VALUE"""),"")</f>
        <v/>
      </c>
      <c r="J719" s="18" t="str">
        <f ca="1">IFERROR(__xludf.DUMMYFUNCTION("""COMPUTED_VALUE"""),"")</f>
        <v/>
      </c>
      <c r="K719" s="18" t="str">
        <f ca="1">IFERROR(__xludf.DUMMYFUNCTION("""COMPUTED_VALUE"""),"")</f>
        <v/>
      </c>
      <c r="L719" s="18" t="str">
        <f ca="1">IFERROR(__xludf.DUMMYFUNCTION("""COMPUTED_VALUE"""),"")</f>
        <v/>
      </c>
      <c r="M719" s="18" t="str">
        <f ca="1">IFERROR(__xludf.DUMMYFUNCTION("""COMPUTED_VALUE"""),"")</f>
        <v/>
      </c>
      <c r="N719" s="18" t="str">
        <f ca="1">IFERROR(__xludf.DUMMYFUNCTION("""COMPUTED_VALUE"""),"")</f>
        <v/>
      </c>
      <c r="O719" s="18" t="str">
        <f ca="1">IFERROR(__xludf.DUMMYFUNCTION("""COMPUTED_VALUE"""),"")</f>
        <v/>
      </c>
      <c r="P719" s="18" t="str">
        <f ca="1">IFERROR(__xludf.DUMMYFUNCTION("""COMPUTED_VALUE"""),"")</f>
        <v/>
      </c>
      <c r="Q719" s="18" t="str">
        <f ca="1">IFERROR(__xludf.DUMMYFUNCTION("""COMPUTED_VALUE"""),"")</f>
        <v/>
      </c>
      <c r="R719" s="18" t="str">
        <f ca="1">IFERROR(__xludf.DUMMYFUNCTION("""COMPUTED_VALUE"""),"")</f>
        <v/>
      </c>
      <c r="S719" s="18" t="str">
        <f ca="1">IFERROR(__xludf.DUMMYFUNCTION("""COMPUTED_VALUE"""),"")</f>
        <v/>
      </c>
      <c r="T719" s="18" t="str">
        <f ca="1">IFERROR(__xludf.DUMMYFUNCTION("""COMPUTED_VALUE"""),"")</f>
        <v/>
      </c>
      <c r="U719" s="18" t="str">
        <f ca="1">IFERROR(__xludf.DUMMYFUNCTION("""COMPUTED_VALUE"""),"")</f>
        <v/>
      </c>
      <c r="V719" s="18" t="str">
        <f ca="1">IFERROR(__xludf.DUMMYFUNCTION("""COMPUTED_VALUE"""),"")</f>
        <v/>
      </c>
      <c r="W719" s="18" t="str">
        <f ca="1">IFERROR(__xludf.DUMMYFUNCTION("""COMPUTED_VALUE"""),"")</f>
        <v/>
      </c>
      <c r="X719" s="18" t="str">
        <f ca="1">IFERROR(__xludf.DUMMYFUNCTION("""COMPUTED_VALUE"""),"")</f>
        <v/>
      </c>
      <c r="Y719" s="18" t="e">
        <f ca="1"/>
        <v>#NAME?</v>
      </c>
      <c r="Z719" s="18" t="str">
        <f ca="1">IFERROR(__xludf.DUMMYFUNCTION("""COMPUTED_VALUE"""),"")</f>
        <v/>
      </c>
      <c r="AA719" s="18" t="str">
        <f ca="1">IFERROR(__xludf.DUMMYFUNCTION("""COMPUTED_VALUE"""),"")</f>
        <v/>
      </c>
      <c r="AC719" s="59"/>
    </row>
    <row r="720" spans="1:29" x14ac:dyDescent="0.25">
      <c r="A720" s="18">
        <v>0</v>
      </c>
      <c r="B720" s="52" t="str">
        <f ca="1"/>
        <v/>
      </c>
      <c r="C720" s="52" t="str">
        <f ca="1">IFERROR(__xludf.DUMMYFUNCTION("""COMPUTED_VALUE"""),"")</f>
        <v/>
      </c>
      <c r="D720" s="18" t="str">
        <f ca="1">IFERROR(__xludf.DUMMYFUNCTION("""COMPUTED_VALUE"""),"")</f>
        <v/>
      </c>
      <c r="E720" s="18" t="str">
        <f ca="1">IFERROR(__xludf.DUMMYFUNCTION("""COMPUTED_VALUE"""),"")</f>
        <v/>
      </c>
      <c r="F720" s="18" t="str">
        <f ca="1">IFERROR(__xludf.DUMMYFUNCTION("""COMPUTED_VALUE"""),"")</f>
        <v/>
      </c>
      <c r="G720" s="18" t="str">
        <f ca="1">IFERROR(__xludf.DUMMYFUNCTION("""COMPUTED_VALUE"""),"")</f>
        <v/>
      </c>
      <c r="H720" s="18" t="str">
        <f ca="1">IFERROR(__xludf.DUMMYFUNCTION("""COMPUTED_VALUE"""),"")</f>
        <v/>
      </c>
      <c r="I720" s="18" t="str">
        <f ca="1">IFERROR(__xludf.DUMMYFUNCTION("""COMPUTED_VALUE"""),"")</f>
        <v/>
      </c>
      <c r="J720" s="18" t="str">
        <f ca="1">IFERROR(__xludf.DUMMYFUNCTION("""COMPUTED_VALUE"""),"")</f>
        <v/>
      </c>
      <c r="K720" s="18" t="str">
        <f ca="1">IFERROR(__xludf.DUMMYFUNCTION("""COMPUTED_VALUE"""),"")</f>
        <v/>
      </c>
      <c r="L720" s="18" t="str">
        <f ca="1">IFERROR(__xludf.DUMMYFUNCTION("""COMPUTED_VALUE"""),"")</f>
        <v/>
      </c>
      <c r="M720" s="18" t="str">
        <f ca="1">IFERROR(__xludf.DUMMYFUNCTION("""COMPUTED_VALUE"""),"")</f>
        <v/>
      </c>
      <c r="N720" s="18" t="str">
        <f ca="1">IFERROR(__xludf.DUMMYFUNCTION("""COMPUTED_VALUE"""),"")</f>
        <v/>
      </c>
      <c r="O720" s="18" t="str">
        <f ca="1">IFERROR(__xludf.DUMMYFUNCTION("""COMPUTED_VALUE"""),"")</f>
        <v/>
      </c>
      <c r="P720" s="18" t="str">
        <f ca="1">IFERROR(__xludf.DUMMYFUNCTION("""COMPUTED_VALUE"""),"")</f>
        <v/>
      </c>
      <c r="Q720" s="18" t="str">
        <f ca="1">IFERROR(__xludf.DUMMYFUNCTION("""COMPUTED_VALUE"""),"")</f>
        <v/>
      </c>
      <c r="R720" s="18" t="str">
        <f ca="1">IFERROR(__xludf.DUMMYFUNCTION("""COMPUTED_VALUE"""),"")</f>
        <v/>
      </c>
      <c r="S720" s="18" t="str">
        <f ca="1">IFERROR(__xludf.DUMMYFUNCTION("""COMPUTED_VALUE"""),"")</f>
        <v/>
      </c>
      <c r="T720" s="18" t="str">
        <f ca="1">IFERROR(__xludf.DUMMYFUNCTION("""COMPUTED_VALUE"""),"")</f>
        <v/>
      </c>
      <c r="U720" s="18" t="str">
        <f ca="1">IFERROR(__xludf.DUMMYFUNCTION("""COMPUTED_VALUE"""),"")</f>
        <v/>
      </c>
      <c r="V720" s="18" t="str">
        <f ca="1">IFERROR(__xludf.DUMMYFUNCTION("""COMPUTED_VALUE"""),"")</f>
        <v/>
      </c>
      <c r="W720" s="18" t="str">
        <f ca="1">IFERROR(__xludf.DUMMYFUNCTION("""COMPUTED_VALUE"""),"")</f>
        <v/>
      </c>
      <c r="X720" s="18" t="str">
        <f ca="1">IFERROR(__xludf.DUMMYFUNCTION("""COMPUTED_VALUE"""),"")</f>
        <v/>
      </c>
      <c r="Y720" s="18" t="e">
        <f ca="1"/>
        <v>#NAME?</v>
      </c>
      <c r="Z720" s="18" t="str">
        <f ca="1">IFERROR(__xludf.DUMMYFUNCTION("""COMPUTED_VALUE"""),"")</f>
        <v/>
      </c>
      <c r="AA720" s="18" t="str">
        <f ca="1">IFERROR(__xludf.DUMMYFUNCTION("""COMPUTED_VALUE"""),"")</f>
        <v/>
      </c>
      <c r="AC720" s="59"/>
    </row>
    <row r="721" spans="1:29" x14ac:dyDescent="0.25">
      <c r="A721" s="18">
        <v>0</v>
      </c>
      <c r="B721" s="52" t="str">
        <f ca="1"/>
        <v/>
      </c>
      <c r="C721" s="52" t="str">
        <f ca="1">IFERROR(__xludf.DUMMYFUNCTION("""COMPUTED_VALUE"""),"")</f>
        <v/>
      </c>
      <c r="D721" s="18" t="str">
        <f ca="1">IFERROR(__xludf.DUMMYFUNCTION("""COMPUTED_VALUE"""),"")</f>
        <v/>
      </c>
      <c r="E721" s="18" t="str">
        <f ca="1">IFERROR(__xludf.DUMMYFUNCTION("""COMPUTED_VALUE"""),"")</f>
        <v/>
      </c>
      <c r="F721" s="18" t="str">
        <f ca="1">IFERROR(__xludf.DUMMYFUNCTION("""COMPUTED_VALUE"""),"")</f>
        <v/>
      </c>
      <c r="G721" s="18" t="str">
        <f ca="1">IFERROR(__xludf.DUMMYFUNCTION("""COMPUTED_VALUE"""),"")</f>
        <v/>
      </c>
      <c r="H721" s="18" t="str">
        <f ca="1">IFERROR(__xludf.DUMMYFUNCTION("""COMPUTED_VALUE"""),"")</f>
        <v/>
      </c>
      <c r="I721" s="18" t="str">
        <f ca="1">IFERROR(__xludf.DUMMYFUNCTION("""COMPUTED_VALUE"""),"")</f>
        <v/>
      </c>
      <c r="J721" s="18" t="str">
        <f ca="1">IFERROR(__xludf.DUMMYFUNCTION("""COMPUTED_VALUE"""),"")</f>
        <v/>
      </c>
      <c r="K721" s="18" t="str">
        <f ca="1">IFERROR(__xludf.DUMMYFUNCTION("""COMPUTED_VALUE"""),"")</f>
        <v/>
      </c>
      <c r="L721" s="18" t="str">
        <f ca="1">IFERROR(__xludf.DUMMYFUNCTION("""COMPUTED_VALUE"""),"")</f>
        <v/>
      </c>
      <c r="M721" s="18" t="str">
        <f ca="1">IFERROR(__xludf.DUMMYFUNCTION("""COMPUTED_VALUE"""),"")</f>
        <v/>
      </c>
      <c r="N721" s="18" t="str">
        <f ca="1">IFERROR(__xludf.DUMMYFUNCTION("""COMPUTED_VALUE"""),"")</f>
        <v/>
      </c>
      <c r="O721" s="18" t="str">
        <f ca="1">IFERROR(__xludf.DUMMYFUNCTION("""COMPUTED_VALUE"""),"")</f>
        <v/>
      </c>
      <c r="P721" s="18" t="str">
        <f ca="1">IFERROR(__xludf.DUMMYFUNCTION("""COMPUTED_VALUE"""),"")</f>
        <v/>
      </c>
      <c r="Q721" s="18" t="str">
        <f ca="1">IFERROR(__xludf.DUMMYFUNCTION("""COMPUTED_VALUE"""),"")</f>
        <v/>
      </c>
      <c r="R721" s="18" t="str">
        <f ca="1">IFERROR(__xludf.DUMMYFUNCTION("""COMPUTED_VALUE"""),"")</f>
        <v/>
      </c>
      <c r="S721" s="18" t="str">
        <f ca="1">IFERROR(__xludf.DUMMYFUNCTION("""COMPUTED_VALUE"""),"")</f>
        <v/>
      </c>
      <c r="T721" s="18" t="str">
        <f ca="1">IFERROR(__xludf.DUMMYFUNCTION("""COMPUTED_VALUE"""),"")</f>
        <v/>
      </c>
      <c r="U721" s="18" t="str">
        <f ca="1">IFERROR(__xludf.DUMMYFUNCTION("""COMPUTED_VALUE"""),"")</f>
        <v/>
      </c>
      <c r="V721" s="18" t="str">
        <f ca="1">IFERROR(__xludf.DUMMYFUNCTION("""COMPUTED_VALUE"""),"")</f>
        <v/>
      </c>
      <c r="W721" s="18" t="str">
        <f ca="1">IFERROR(__xludf.DUMMYFUNCTION("""COMPUTED_VALUE"""),"")</f>
        <v/>
      </c>
      <c r="X721" s="18" t="str">
        <f ca="1">IFERROR(__xludf.DUMMYFUNCTION("""COMPUTED_VALUE"""),"")</f>
        <v/>
      </c>
      <c r="Y721" s="18" t="e">
        <f ca="1"/>
        <v>#NAME?</v>
      </c>
      <c r="Z721" s="18" t="str">
        <f ca="1">IFERROR(__xludf.DUMMYFUNCTION("""COMPUTED_VALUE"""),"")</f>
        <v/>
      </c>
      <c r="AA721" s="18" t="str">
        <f ca="1">IFERROR(__xludf.DUMMYFUNCTION("""COMPUTED_VALUE"""),"")</f>
        <v/>
      </c>
      <c r="AC721" s="59"/>
    </row>
    <row r="722" spans="1:29" x14ac:dyDescent="0.25">
      <c r="A722" s="18">
        <v>0</v>
      </c>
      <c r="B722" s="52" t="str">
        <f ca="1"/>
        <v/>
      </c>
      <c r="C722" s="52" t="str">
        <f ca="1">IFERROR(__xludf.DUMMYFUNCTION("""COMPUTED_VALUE"""),"")</f>
        <v/>
      </c>
      <c r="D722" s="18" t="str">
        <f ca="1">IFERROR(__xludf.DUMMYFUNCTION("""COMPUTED_VALUE"""),"")</f>
        <v/>
      </c>
      <c r="E722" s="18" t="str">
        <f ca="1">IFERROR(__xludf.DUMMYFUNCTION("""COMPUTED_VALUE"""),"")</f>
        <v/>
      </c>
      <c r="F722" s="18" t="str">
        <f ca="1">IFERROR(__xludf.DUMMYFUNCTION("""COMPUTED_VALUE"""),"")</f>
        <v/>
      </c>
      <c r="G722" s="18" t="str">
        <f ca="1">IFERROR(__xludf.DUMMYFUNCTION("""COMPUTED_VALUE"""),"")</f>
        <v/>
      </c>
      <c r="H722" s="18" t="str">
        <f ca="1">IFERROR(__xludf.DUMMYFUNCTION("""COMPUTED_VALUE"""),"")</f>
        <v/>
      </c>
      <c r="I722" s="18" t="str">
        <f ca="1">IFERROR(__xludf.DUMMYFUNCTION("""COMPUTED_VALUE"""),"")</f>
        <v/>
      </c>
      <c r="J722" s="18" t="str">
        <f ca="1">IFERROR(__xludf.DUMMYFUNCTION("""COMPUTED_VALUE"""),"")</f>
        <v/>
      </c>
      <c r="K722" s="18" t="str">
        <f ca="1">IFERROR(__xludf.DUMMYFUNCTION("""COMPUTED_VALUE"""),"")</f>
        <v/>
      </c>
      <c r="L722" s="18" t="str">
        <f ca="1">IFERROR(__xludf.DUMMYFUNCTION("""COMPUTED_VALUE"""),"")</f>
        <v/>
      </c>
      <c r="M722" s="18" t="str">
        <f ca="1">IFERROR(__xludf.DUMMYFUNCTION("""COMPUTED_VALUE"""),"")</f>
        <v/>
      </c>
      <c r="N722" s="18" t="str">
        <f ca="1">IFERROR(__xludf.DUMMYFUNCTION("""COMPUTED_VALUE"""),"")</f>
        <v/>
      </c>
      <c r="O722" s="18" t="str">
        <f ca="1">IFERROR(__xludf.DUMMYFUNCTION("""COMPUTED_VALUE"""),"")</f>
        <v/>
      </c>
      <c r="P722" s="18" t="str">
        <f ca="1">IFERROR(__xludf.DUMMYFUNCTION("""COMPUTED_VALUE"""),"")</f>
        <v/>
      </c>
      <c r="Q722" s="18" t="str">
        <f ca="1">IFERROR(__xludf.DUMMYFUNCTION("""COMPUTED_VALUE"""),"")</f>
        <v/>
      </c>
      <c r="R722" s="18" t="str">
        <f ca="1">IFERROR(__xludf.DUMMYFUNCTION("""COMPUTED_VALUE"""),"")</f>
        <v/>
      </c>
      <c r="S722" s="18" t="str">
        <f ca="1">IFERROR(__xludf.DUMMYFUNCTION("""COMPUTED_VALUE"""),"")</f>
        <v/>
      </c>
      <c r="T722" s="18" t="str">
        <f ca="1">IFERROR(__xludf.DUMMYFUNCTION("""COMPUTED_VALUE"""),"")</f>
        <v/>
      </c>
      <c r="U722" s="18" t="str">
        <f ca="1">IFERROR(__xludf.DUMMYFUNCTION("""COMPUTED_VALUE"""),"")</f>
        <v/>
      </c>
      <c r="V722" s="18" t="str">
        <f ca="1">IFERROR(__xludf.DUMMYFUNCTION("""COMPUTED_VALUE"""),"")</f>
        <v/>
      </c>
      <c r="W722" s="18" t="str">
        <f ca="1">IFERROR(__xludf.DUMMYFUNCTION("""COMPUTED_VALUE"""),"")</f>
        <v/>
      </c>
      <c r="X722" s="18" t="str">
        <f ca="1">IFERROR(__xludf.DUMMYFUNCTION("""COMPUTED_VALUE"""),"")</f>
        <v/>
      </c>
      <c r="Y722" s="18" t="e">
        <f ca="1"/>
        <v>#NAME?</v>
      </c>
      <c r="Z722" s="18" t="str">
        <f ca="1">IFERROR(__xludf.DUMMYFUNCTION("""COMPUTED_VALUE"""),"")</f>
        <v/>
      </c>
      <c r="AA722" s="18" t="str">
        <f ca="1">IFERROR(__xludf.DUMMYFUNCTION("""COMPUTED_VALUE"""),"")</f>
        <v/>
      </c>
      <c r="AC722" s="59"/>
    </row>
    <row r="723" spans="1:29" x14ac:dyDescent="0.25">
      <c r="A723" s="18">
        <v>0</v>
      </c>
      <c r="B723" s="52" t="str">
        <f ca="1"/>
        <v/>
      </c>
      <c r="C723" s="52" t="str">
        <f ca="1">IFERROR(__xludf.DUMMYFUNCTION("""COMPUTED_VALUE"""),"")</f>
        <v/>
      </c>
      <c r="D723" s="18" t="str">
        <f ca="1">IFERROR(__xludf.DUMMYFUNCTION("""COMPUTED_VALUE"""),"")</f>
        <v/>
      </c>
      <c r="E723" s="18" t="str">
        <f ca="1">IFERROR(__xludf.DUMMYFUNCTION("""COMPUTED_VALUE"""),"")</f>
        <v/>
      </c>
      <c r="F723" s="18" t="str">
        <f ca="1">IFERROR(__xludf.DUMMYFUNCTION("""COMPUTED_VALUE"""),"")</f>
        <v/>
      </c>
      <c r="G723" s="18" t="str">
        <f ca="1">IFERROR(__xludf.DUMMYFUNCTION("""COMPUTED_VALUE"""),"")</f>
        <v/>
      </c>
      <c r="H723" s="18" t="str">
        <f ca="1">IFERROR(__xludf.DUMMYFUNCTION("""COMPUTED_VALUE"""),"")</f>
        <v/>
      </c>
      <c r="I723" s="18" t="str">
        <f ca="1">IFERROR(__xludf.DUMMYFUNCTION("""COMPUTED_VALUE"""),"")</f>
        <v/>
      </c>
      <c r="J723" s="18" t="str">
        <f ca="1">IFERROR(__xludf.DUMMYFUNCTION("""COMPUTED_VALUE"""),"")</f>
        <v/>
      </c>
      <c r="K723" s="18" t="str">
        <f ca="1">IFERROR(__xludf.DUMMYFUNCTION("""COMPUTED_VALUE"""),"")</f>
        <v/>
      </c>
      <c r="L723" s="18" t="str">
        <f ca="1">IFERROR(__xludf.DUMMYFUNCTION("""COMPUTED_VALUE"""),"")</f>
        <v/>
      </c>
      <c r="M723" s="18" t="str">
        <f ca="1">IFERROR(__xludf.DUMMYFUNCTION("""COMPUTED_VALUE"""),"")</f>
        <v/>
      </c>
      <c r="N723" s="18" t="str">
        <f ca="1">IFERROR(__xludf.DUMMYFUNCTION("""COMPUTED_VALUE"""),"")</f>
        <v/>
      </c>
      <c r="O723" s="18" t="str">
        <f ca="1">IFERROR(__xludf.DUMMYFUNCTION("""COMPUTED_VALUE"""),"")</f>
        <v/>
      </c>
      <c r="P723" s="18" t="str">
        <f ca="1">IFERROR(__xludf.DUMMYFUNCTION("""COMPUTED_VALUE"""),"")</f>
        <v/>
      </c>
      <c r="Q723" s="18" t="str">
        <f ca="1">IFERROR(__xludf.DUMMYFUNCTION("""COMPUTED_VALUE"""),"")</f>
        <v/>
      </c>
      <c r="R723" s="18" t="str">
        <f ca="1">IFERROR(__xludf.DUMMYFUNCTION("""COMPUTED_VALUE"""),"")</f>
        <v/>
      </c>
      <c r="S723" s="18" t="str">
        <f ca="1">IFERROR(__xludf.DUMMYFUNCTION("""COMPUTED_VALUE"""),"")</f>
        <v/>
      </c>
      <c r="T723" s="18" t="str">
        <f ca="1">IFERROR(__xludf.DUMMYFUNCTION("""COMPUTED_VALUE"""),"")</f>
        <v/>
      </c>
      <c r="U723" s="18" t="str">
        <f ca="1">IFERROR(__xludf.DUMMYFUNCTION("""COMPUTED_VALUE"""),"")</f>
        <v/>
      </c>
      <c r="V723" s="18" t="str">
        <f ca="1">IFERROR(__xludf.DUMMYFUNCTION("""COMPUTED_VALUE"""),"")</f>
        <v/>
      </c>
      <c r="W723" s="18" t="str">
        <f ca="1">IFERROR(__xludf.DUMMYFUNCTION("""COMPUTED_VALUE"""),"")</f>
        <v/>
      </c>
      <c r="X723" s="18" t="str">
        <f ca="1">IFERROR(__xludf.DUMMYFUNCTION("""COMPUTED_VALUE"""),"")</f>
        <v/>
      </c>
      <c r="Y723" s="18" t="e">
        <f ca="1"/>
        <v>#NAME?</v>
      </c>
      <c r="Z723" s="18" t="str">
        <f ca="1">IFERROR(__xludf.DUMMYFUNCTION("""COMPUTED_VALUE"""),"")</f>
        <v/>
      </c>
      <c r="AA723" s="18" t="str">
        <f ca="1">IFERROR(__xludf.DUMMYFUNCTION("""COMPUTED_VALUE"""),"")</f>
        <v/>
      </c>
      <c r="AC723" s="59"/>
    </row>
    <row r="724" spans="1:29" x14ac:dyDescent="0.25">
      <c r="A724" s="18">
        <v>0</v>
      </c>
      <c r="B724" s="52" t="str">
        <f ca="1"/>
        <v/>
      </c>
      <c r="C724" s="52" t="str">
        <f ca="1">IFERROR(__xludf.DUMMYFUNCTION("""COMPUTED_VALUE"""),"")</f>
        <v/>
      </c>
      <c r="D724" s="18" t="str">
        <f ca="1">IFERROR(__xludf.DUMMYFUNCTION("""COMPUTED_VALUE"""),"")</f>
        <v/>
      </c>
      <c r="E724" s="18" t="str">
        <f ca="1">IFERROR(__xludf.DUMMYFUNCTION("""COMPUTED_VALUE"""),"")</f>
        <v/>
      </c>
      <c r="F724" s="18" t="str">
        <f ca="1">IFERROR(__xludf.DUMMYFUNCTION("""COMPUTED_VALUE"""),"")</f>
        <v/>
      </c>
      <c r="G724" s="18" t="str">
        <f ca="1">IFERROR(__xludf.DUMMYFUNCTION("""COMPUTED_VALUE"""),"")</f>
        <v/>
      </c>
      <c r="H724" s="18" t="str">
        <f ca="1">IFERROR(__xludf.DUMMYFUNCTION("""COMPUTED_VALUE"""),"")</f>
        <v/>
      </c>
      <c r="I724" s="18" t="str">
        <f ca="1">IFERROR(__xludf.DUMMYFUNCTION("""COMPUTED_VALUE"""),"")</f>
        <v/>
      </c>
      <c r="J724" s="18" t="str">
        <f ca="1">IFERROR(__xludf.DUMMYFUNCTION("""COMPUTED_VALUE"""),"")</f>
        <v/>
      </c>
      <c r="K724" s="18" t="str">
        <f ca="1">IFERROR(__xludf.DUMMYFUNCTION("""COMPUTED_VALUE"""),"")</f>
        <v/>
      </c>
      <c r="L724" s="18" t="str">
        <f ca="1">IFERROR(__xludf.DUMMYFUNCTION("""COMPUTED_VALUE"""),"")</f>
        <v/>
      </c>
      <c r="M724" s="18" t="str">
        <f ca="1">IFERROR(__xludf.DUMMYFUNCTION("""COMPUTED_VALUE"""),"")</f>
        <v/>
      </c>
      <c r="N724" s="18" t="str">
        <f ca="1">IFERROR(__xludf.DUMMYFUNCTION("""COMPUTED_VALUE"""),"")</f>
        <v/>
      </c>
      <c r="O724" s="18" t="str">
        <f ca="1">IFERROR(__xludf.DUMMYFUNCTION("""COMPUTED_VALUE"""),"")</f>
        <v/>
      </c>
      <c r="P724" s="18" t="str">
        <f ca="1">IFERROR(__xludf.DUMMYFUNCTION("""COMPUTED_VALUE"""),"")</f>
        <v/>
      </c>
      <c r="Q724" s="18" t="str">
        <f ca="1">IFERROR(__xludf.DUMMYFUNCTION("""COMPUTED_VALUE"""),"")</f>
        <v/>
      </c>
      <c r="R724" s="18" t="str">
        <f ca="1">IFERROR(__xludf.DUMMYFUNCTION("""COMPUTED_VALUE"""),"")</f>
        <v/>
      </c>
      <c r="S724" s="18" t="str">
        <f ca="1">IFERROR(__xludf.DUMMYFUNCTION("""COMPUTED_VALUE"""),"")</f>
        <v/>
      </c>
      <c r="T724" s="18" t="str">
        <f ca="1">IFERROR(__xludf.DUMMYFUNCTION("""COMPUTED_VALUE"""),"")</f>
        <v/>
      </c>
      <c r="U724" s="18" t="str">
        <f ca="1">IFERROR(__xludf.DUMMYFUNCTION("""COMPUTED_VALUE"""),"")</f>
        <v/>
      </c>
      <c r="V724" s="18" t="str">
        <f ca="1">IFERROR(__xludf.DUMMYFUNCTION("""COMPUTED_VALUE"""),"")</f>
        <v/>
      </c>
      <c r="W724" s="18" t="str">
        <f ca="1">IFERROR(__xludf.DUMMYFUNCTION("""COMPUTED_VALUE"""),"")</f>
        <v/>
      </c>
      <c r="X724" s="18" t="str">
        <f ca="1">IFERROR(__xludf.DUMMYFUNCTION("""COMPUTED_VALUE"""),"")</f>
        <v/>
      </c>
      <c r="Y724" s="18" t="e">
        <f ca="1"/>
        <v>#NAME?</v>
      </c>
      <c r="Z724" s="18" t="str">
        <f ca="1">IFERROR(__xludf.DUMMYFUNCTION("""COMPUTED_VALUE"""),"")</f>
        <v/>
      </c>
      <c r="AA724" s="18" t="str">
        <f ca="1">IFERROR(__xludf.DUMMYFUNCTION("""COMPUTED_VALUE"""),"")</f>
        <v/>
      </c>
      <c r="AC724" s="59"/>
    </row>
    <row r="725" spans="1:29" x14ac:dyDescent="0.25">
      <c r="A725" s="18">
        <v>0</v>
      </c>
      <c r="B725" s="52" t="str">
        <f ca="1"/>
        <v/>
      </c>
      <c r="C725" s="52" t="str">
        <f ca="1">IFERROR(__xludf.DUMMYFUNCTION("""COMPUTED_VALUE"""),"")</f>
        <v/>
      </c>
      <c r="D725" s="18" t="str">
        <f ca="1">IFERROR(__xludf.DUMMYFUNCTION("""COMPUTED_VALUE"""),"")</f>
        <v/>
      </c>
      <c r="E725" s="18" t="str">
        <f ca="1">IFERROR(__xludf.DUMMYFUNCTION("""COMPUTED_VALUE"""),"")</f>
        <v/>
      </c>
      <c r="F725" s="18" t="str">
        <f ca="1">IFERROR(__xludf.DUMMYFUNCTION("""COMPUTED_VALUE"""),"")</f>
        <v/>
      </c>
      <c r="G725" s="18" t="str">
        <f ca="1">IFERROR(__xludf.DUMMYFUNCTION("""COMPUTED_VALUE"""),"")</f>
        <v/>
      </c>
      <c r="H725" s="18" t="str">
        <f ca="1">IFERROR(__xludf.DUMMYFUNCTION("""COMPUTED_VALUE"""),"")</f>
        <v/>
      </c>
      <c r="I725" s="18" t="str">
        <f ca="1">IFERROR(__xludf.DUMMYFUNCTION("""COMPUTED_VALUE"""),"")</f>
        <v/>
      </c>
      <c r="J725" s="18" t="str">
        <f ca="1">IFERROR(__xludf.DUMMYFUNCTION("""COMPUTED_VALUE"""),"")</f>
        <v/>
      </c>
      <c r="K725" s="18" t="str">
        <f ca="1">IFERROR(__xludf.DUMMYFUNCTION("""COMPUTED_VALUE"""),"")</f>
        <v/>
      </c>
      <c r="L725" s="18" t="str">
        <f ca="1">IFERROR(__xludf.DUMMYFUNCTION("""COMPUTED_VALUE"""),"")</f>
        <v/>
      </c>
      <c r="M725" s="18" t="str">
        <f ca="1">IFERROR(__xludf.DUMMYFUNCTION("""COMPUTED_VALUE"""),"")</f>
        <v/>
      </c>
      <c r="N725" s="18" t="str">
        <f ca="1">IFERROR(__xludf.DUMMYFUNCTION("""COMPUTED_VALUE"""),"")</f>
        <v/>
      </c>
      <c r="O725" s="18" t="str">
        <f ca="1">IFERROR(__xludf.DUMMYFUNCTION("""COMPUTED_VALUE"""),"")</f>
        <v/>
      </c>
      <c r="P725" s="18" t="str">
        <f ca="1">IFERROR(__xludf.DUMMYFUNCTION("""COMPUTED_VALUE"""),"")</f>
        <v/>
      </c>
      <c r="Q725" s="18" t="str">
        <f ca="1">IFERROR(__xludf.DUMMYFUNCTION("""COMPUTED_VALUE"""),"")</f>
        <v/>
      </c>
      <c r="R725" s="18" t="str">
        <f ca="1">IFERROR(__xludf.DUMMYFUNCTION("""COMPUTED_VALUE"""),"")</f>
        <v/>
      </c>
      <c r="S725" s="18" t="str">
        <f ca="1">IFERROR(__xludf.DUMMYFUNCTION("""COMPUTED_VALUE"""),"")</f>
        <v/>
      </c>
      <c r="T725" s="18" t="str">
        <f ca="1">IFERROR(__xludf.DUMMYFUNCTION("""COMPUTED_VALUE"""),"")</f>
        <v/>
      </c>
      <c r="U725" s="18" t="str">
        <f ca="1">IFERROR(__xludf.DUMMYFUNCTION("""COMPUTED_VALUE"""),"")</f>
        <v/>
      </c>
      <c r="V725" s="18" t="str">
        <f ca="1">IFERROR(__xludf.DUMMYFUNCTION("""COMPUTED_VALUE"""),"")</f>
        <v/>
      </c>
      <c r="W725" s="18" t="str">
        <f ca="1">IFERROR(__xludf.DUMMYFUNCTION("""COMPUTED_VALUE"""),"")</f>
        <v/>
      </c>
      <c r="X725" s="18" t="str">
        <f ca="1">IFERROR(__xludf.DUMMYFUNCTION("""COMPUTED_VALUE"""),"")</f>
        <v/>
      </c>
      <c r="Y725" s="18" t="e">
        <f ca="1"/>
        <v>#NAME?</v>
      </c>
      <c r="Z725" s="18" t="str">
        <f ca="1">IFERROR(__xludf.DUMMYFUNCTION("""COMPUTED_VALUE"""),"")</f>
        <v/>
      </c>
      <c r="AA725" s="18" t="str">
        <f ca="1">IFERROR(__xludf.DUMMYFUNCTION("""COMPUTED_VALUE"""),"")</f>
        <v/>
      </c>
      <c r="AC725" s="59"/>
    </row>
    <row r="726" spans="1:29" x14ac:dyDescent="0.25">
      <c r="A726" s="18">
        <v>0</v>
      </c>
      <c r="B726" s="52" t="str">
        <f ca="1"/>
        <v/>
      </c>
      <c r="C726" s="52" t="str">
        <f ca="1">IFERROR(__xludf.DUMMYFUNCTION("""COMPUTED_VALUE"""),"")</f>
        <v/>
      </c>
      <c r="D726" s="18" t="str">
        <f ca="1">IFERROR(__xludf.DUMMYFUNCTION("""COMPUTED_VALUE"""),"")</f>
        <v/>
      </c>
      <c r="E726" s="18" t="str">
        <f ca="1">IFERROR(__xludf.DUMMYFUNCTION("""COMPUTED_VALUE"""),"")</f>
        <v/>
      </c>
      <c r="F726" s="18" t="str">
        <f ca="1">IFERROR(__xludf.DUMMYFUNCTION("""COMPUTED_VALUE"""),"")</f>
        <v/>
      </c>
      <c r="G726" s="18" t="str">
        <f ca="1">IFERROR(__xludf.DUMMYFUNCTION("""COMPUTED_VALUE"""),"")</f>
        <v/>
      </c>
      <c r="H726" s="18" t="str">
        <f ca="1">IFERROR(__xludf.DUMMYFUNCTION("""COMPUTED_VALUE"""),"")</f>
        <v/>
      </c>
      <c r="I726" s="18" t="str">
        <f ca="1">IFERROR(__xludf.DUMMYFUNCTION("""COMPUTED_VALUE"""),"")</f>
        <v/>
      </c>
      <c r="J726" s="18" t="str">
        <f ca="1">IFERROR(__xludf.DUMMYFUNCTION("""COMPUTED_VALUE"""),"")</f>
        <v/>
      </c>
      <c r="K726" s="18" t="str">
        <f ca="1">IFERROR(__xludf.DUMMYFUNCTION("""COMPUTED_VALUE"""),"")</f>
        <v/>
      </c>
      <c r="L726" s="18" t="str">
        <f ca="1">IFERROR(__xludf.DUMMYFUNCTION("""COMPUTED_VALUE"""),"")</f>
        <v/>
      </c>
      <c r="M726" s="18" t="str">
        <f ca="1">IFERROR(__xludf.DUMMYFUNCTION("""COMPUTED_VALUE"""),"")</f>
        <v/>
      </c>
      <c r="N726" s="18" t="str">
        <f ca="1">IFERROR(__xludf.DUMMYFUNCTION("""COMPUTED_VALUE"""),"")</f>
        <v/>
      </c>
      <c r="O726" s="18" t="str">
        <f ca="1">IFERROR(__xludf.DUMMYFUNCTION("""COMPUTED_VALUE"""),"")</f>
        <v/>
      </c>
      <c r="P726" s="18" t="str">
        <f ca="1">IFERROR(__xludf.DUMMYFUNCTION("""COMPUTED_VALUE"""),"")</f>
        <v/>
      </c>
      <c r="Q726" s="18" t="str">
        <f ca="1">IFERROR(__xludf.DUMMYFUNCTION("""COMPUTED_VALUE"""),"")</f>
        <v/>
      </c>
      <c r="R726" s="18" t="str">
        <f ca="1">IFERROR(__xludf.DUMMYFUNCTION("""COMPUTED_VALUE"""),"")</f>
        <v/>
      </c>
      <c r="S726" s="18" t="str">
        <f ca="1">IFERROR(__xludf.DUMMYFUNCTION("""COMPUTED_VALUE"""),"")</f>
        <v/>
      </c>
      <c r="T726" s="18" t="str">
        <f ca="1">IFERROR(__xludf.DUMMYFUNCTION("""COMPUTED_VALUE"""),"")</f>
        <v/>
      </c>
      <c r="U726" s="18" t="str">
        <f ca="1">IFERROR(__xludf.DUMMYFUNCTION("""COMPUTED_VALUE"""),"")</f>
        <v/>
      </c>
      <c r="V726" s="18" t="str">
        <f ca="1">IFERROR(__xludf.DUMMYFUNCTION("""COMPUTED_VALUE"""),"")</f>
        <v/>
      </c>
      <c r="W726" s="18" t="str">
        <f ca="1">IFERROR(__xludf.DUMMYFUNCTION("""COMPUTED_VALUE"""),"")</f>
        <v/>
      </c>
      <c r="X726" s="18" t="str">
        <f ca="1">IFERROR(__xludf.DUMMYFUNCTION("""COMPUTED_VALUE"""),"")</f>
        <v/>
      </c>
      <c r="Y726" s="18" t="e">
        <f ca="1"/>
        <v>#NAME?</v>
      </c>
      <c r="Z726" s="18" t="str">
        <f ca="1">IFERROR(__xludf.DUMMYFUNCTION("""COMPUTED_VALUE"""),"")</f>
        <v/>
      </c>
      <c r="AA726" s="18" t="str">
        <f ca="1">IFERROR(__xludf.DUMMYFUNCTION("""COMPUTED_VALUE"""),"")</f>
        <v/>
      </c>
      <c r="AC726" s="59"/>
    </row>
    <row r="727" spans="1:29" x14ac:dyDescent="0.25">
      <c r="A727" s="18">
        <v>0</v>
      </c>
      <c r="B727" s="52" t="str">
        <f ca="1"/>
        <v/>
      </c>
      <c r="C727" s="52" t="str">
        <f ca="1">IFERROR(__xludf.DUMMYFUNCTION("""COMPUTED_VALUE"""),"")</f>
        <v/>
      </c>
      <c r="D727" s="18" t="str">
        <f ca="1">IFERROR(__xludf.DUMMYFUNCTION("""COMPUTED_VALUE"""),"")</f>
        <v/>
      </c>
      <c r="E727" s="18" t="str">
        <f ca="1">IFERROR(__xludf.DUMMYFUNCTION("""COMPUTED_VALUE"""),"")</f>
        <v/>
      </c>
      <c r="F727" s="18" t="str">
        <f ca="1">IFERROR(__xludf.DUMMYFUNCTION("""COMPUTED_VALUE"""),"")</f>
        <v/>
      </c>
      <c r="G727" s="18" t="str">
        <f ca="1">IFERROR(__xludf.DUMMYFUNCTION("""COMPUTED_VALUE"""),"")</f>
        <v/>
      </c>
      <c r="H727" s="18" t="str">
        <f ca="1">IFERROR(__xludf.DUMMYFUNCTION("""COMPUTED_VALUE"""),"")</f>
        <v/>
      </c>
      <c r="I727" s="18" t="str">
        <f ca="1">IFERROR(__xludf.DUMMYFUNCTION("""COMPUTED_VALUE"""),"")</f>
        <v/>
      </c>
      <c r="J727" s="18" t="str">
        <f ca="1">IFERROR(__xludf.DUMMYFUNCTION("""COMPUTED_VALUE"""),"")</f>
        <v/>
      </c>
      <c r="K727" s="18" t="str">
        <f ca="1">IFERROR(__xludf.DUMMYFUNCTION("""COMPUTED_VALUE"""),"")</f>
        <v/>
      </c>
      <c r="L727" s="18" t="str">
        <f ca="1">IFERROR(__xludf.DUMMYFUNCTION("""COMPUTED_VALUE"""),"")</f>
        <v/>
      </c>
      <c r="M727" s="18" t="str">
        <f ca="1">IFERROR(__xludf.DUMMYFUNCTION("""COMPUTED_VALUE"""),"")</f>
        <v/>
      </c>
      <c r="N727" s="18" t="str">
        <f ca="1">IFERROR(__xludf.DUMMYFUNCTION("""COMPUTED_VALUE"""),"")</f>
        <v/>
      </c>
      <c r="O727" s="18" t="str">
        <f ca="1">IFERROR(__xludf.DUMMYFUNCTION("""COMPUTED_VALUE"""),"")</f>
        <v/>
      </c>
      <c r="P727" s="18" t="str">
        <f ca="1">IFERROR(__xludf.DUMMYFUNCTION("""COMPUTED_VALUE"""),"")</f>
        <v/>
      </c>
      <c r="Q727" s="18" t="str">
        <f ca="1">IFERROR(__xludf.DUMMYFUNCTION("""COMPUTED_VALUE"""),"")</f>
        <v/>
      </c>
      <c r="R727" s="18" t="str">
        <f ca="1">IFERROR(__xludf.DUMMYFUNCTION("""COMPUTED_VALUE"""),"")</f>
        <v/>
      </c>
      <c r="S727" s="18" t="str">
        <f ca="1">IFERROR(__xludf.DUMMYFUNCTION("""COMPUTED_VALUE"""),"")</f>
        <v/>
      </c>
      <c r="T727" s="18" t="str">
        <f ca="1">IFERROR(__xludf.DUMMYFUNCTION("""COMPUTED_VALUE"""),"")</f>
        <v/>
      </c>
      <c r="U727" s="18" t="str">
        <f ca="1">IFERROR(__xludf.DUMMYFUNCTION("""COMPUTED_VALUE"""),"")</f>
        <v/>
      </c>
      <c r="V727" s="18" t="str">
        <f ca="1">IFERROR(__xludf.DUMMYFUNCTION("""COMPUTED_VALUE"""),"")</f>
        <v/>
      </c>
      <c r="W727" s="18" t="str">
        <f ca="1">IFERROR(__xludf.DUMMYFUNCTION("""COMPUTED_VALUE"""),"")</f>
        <v/>
      </c>
      <c r="X727" s="18" t="str">
        <f ca="1">IFERROR(__xludf.DUMMYFUNCTION("""COMPUTED_VALUE"""),"")</f>
        <v/>
      </c>
      <c r="Y727" s="18" t="e">
        <f ca="1"/>
        <v>#NAME?</v>
      </c>
      <c r="Z727" s="18" t="str">
        <f ca="1">IFERROR(__xludf.DUMMYFUNCTION("""COMPUTED_VALUE"""),"")</f>
        <v/>
      </c>
      <c r="AA727" s="18" t="str">
        <f ca="1">IFERROR(__xludf.DUMMYFUNCTION("""COMPUTED_VALUE"""),"")</f>
        <v/>
      </c>
      <c r="AC727" s="59"/>
    </row>
    <row r="728" spans="1:29" x14ac:dyDescent="0.25">
      <c r="A728" s="18">
        <v>0</v>
      </c>
      <c r="B728" s="52" t="str">
        <f ca="1"/>
        <v/>
      </c>
      <c r="C728" s="52" t="str">
        <f ca="1">IFERROR(__xludf.DUMMYFUNCTION("""COMPUTED_VALUE"""),"")</f>
        <v/>
      </c>
      <c r="D728" s="18" t="str">
        <f ca="1">IFERROR(__xludf.DUMMYFUNCTION("""COMPUTED_VALUE"""),"")</f>
        <v/>
      </c>
      <c r="E728" s="18" t="str">
        <f ca="1">IFERROR(__xludf.DUMMYFUNCTION("""COMPUTED_VALUE"""),"")</f>
        <v/>
      </c>
      <c r="F728" s="18" t="str">
        <f ca="1">IFERROR(__xludf.DUMMYFUNCTION("""COMPUTED_VALUE"""),"")</f>
        <v/>
      </c>
      <c r="G728" s="18" t="str">
        <f ca="1">IFERROR(__xludf.DUMMYFUNCTION("""COMPUTED_VALUE"""),"")</f>
        <v/>
      </c>
      <c r="H728" s="18" t="str">
        <f ca="1">IFERROR(__xludf.DUMMYFUNCTION("""COMPUTED_VALUE"""),"")</f>
        <v/>
      </c>
      <c r="I728" s="18" t="str">
        <f ca="1">IFERROR(__xludf.DUMMYFUNCTION("""COMPUTED_VALUE"""),"")</f>
        <v/>
      </c>
      <c r="J728" s="18" t="str">
        <f ca="1">IFERROR(__xludf.DUMMYFUNCTION("""COMPUTED_VALUE"""),"")</f>
        <v/>
      </c>
      <c r="K728" s="18" t="str">
        <f ca="1">IFERROR(__xludf.DUMMYFUNCTION("""COMPUTED_VALUE"""),"")</f>
        <v/>
      </c>
      <c r="L728" s="18" t="str">
        <f ca="1">IFERROR(__xludf.DUMMYFUNCTION("""COMPUTED_VALUE"""),"")</f>
        <v/>
      </c>
      <c r="M728" s="18" t="str">
        <f ca="1">IFERROR(__xludf.DUMMYFUNCTION("""COMPUTED_VALUE"""),"")</f>
        <v/>
      </c>
      <c r="N728" s="18" t="str">
        <f ca="1">IFERROR(__xludf.DUMMYFUNCTION("""COMPUTED_VALUE"""),"")</f>
        <v/>
      </c>
      <c r="O728" s="18" t="str">
        <f ca="1">IFERROR(__xludf.DUMMYFUNCTION("""COMPUTED_VALUE"""),"")</f>
        <v/>
      </c>
      <c r="P728" s="18" t="str">
        <f ca="1">IFERROR(__xludf.DUMMYFUNCTION("""COMPUTED_VALUE"""),"")</f>
        <v/>
      </c>
      <c r="Q728" s="18" t="str">
        <f ca="1">IFERROR(__xludf.DUMMYFUNCTION("""COMPUTED_VALUE"""),"")</f>
        <v/>
      </c>
      <c r="R728" s="18" t="str">
        <f ca="1">IFERROR(__xludf.DUMMYFUNCTION("""COMPUTED_VALUE"""),"")</f>
        <v/>
      </c>
      <c r="S728" s="18" t="str">
        <f ca="1">IFERROR(__xludf.DUMMYFUNCTION("""COMPUTED_VALUE"""),"")</f>
        <v/>
      </c>
      <c r="T728" s="18" t="str">
        <f ca="1">IFERROR(__xludf.DUMMYFUNCTION("""COMPUTED_VALUE"""),"")</f>
        <v/>
      </c>
      <c r="U728" s="18" t="str">
        <f ca="1">IFERROR(__xludf.DUMMYFUNCTION("""COMPUTED_VALUE"""),"")</f>
        <v/>
      </c>
      <c r="V728" s="18" t="str">
        <f ca="1">IFERROR(__xludf.DUMMYFUNCTION("""COMPUTED_VALUE"""),"")</f>
        <v/>
      </c>
      <c r="W728" s="18" t="str">
        <f ca="1">IFERROR(__xludf.DUMMYFUNCTION("""COMPUTED_VALUE"""),"")</f>
        <v/>
      </c>
      <c r="X728" s="18" t="str">
        <f ca="1">IFERROR(__xludf.DUMMYFUNCTION("""COMPUTED_VALUE"""),"")</f>
        <v/>
      </c>
      <c r="Y728" s="18" t="e">
        <f ca="1"/>
        <v>#NAME?</v>
      </c>
      <c r="Z728" s="18" t="str">
        <f ca="1">IFERROR(__xludf.DUMMYFUNCTION("""COMPUTED_VALUE"""),"")</f>
        <v/>
      </c>
      <c r="AA728" s="18" t="str">
        <f ca="1">IFERROR(__xludf.DUMMYFUNCTION("""COMPUTED_VALUE"""),"")</f>
        <v/>
      </c>
      <c r="AC728" s="59"/>
    </row>
    <row r="729" spans="1:29" x14ac:dyDescent="0.25">
      <c r="A729" s="18">
        <v>0</v>
      </c>
      <c r="B729" s="52" t="str">
        <f ca="1"/>
        <v/>
      </c>
      <c r="C729" s="52" t="str">
        <f ca="1">IFERROR(__xludf.DUMMYFUNCTION("""COMPUTED_VALUE"""),"")</f>
        <v/>
      </c>
      <c r="D729" s="18" t="str">
        <f ca="1">IFERROR(__xludf.DUMMYFUNCTION("""COMPUTED_VALUE"""),"")</f>
        <v/>
      </c>
      <c r="E729" s="18" t="str">
        <f ca="1">IFERROR(__xludf.DUMMYFUNCTION("""COMPUTED_VALUE"""),"")</f>
        <v/>
      </c>
      <c r="F729" s="18" t="str">
        <f ca="1">IFERROR(__xludf.DUMMYFUNCTION("""COMPUTED_VALUE"""),"")</f>
        <v/>
      </c>
      <c r="G729" s="18" t="str">
        <f ca="1">IFERROR(__xludf.DUMMYFUNCTION("""COMPUTED_VALUE"""),"")</f>
        <v/>
      </c>
      <c r="H729" s="18" t="str">
        <f ca="1">IFERROR(__xludf.DUMMYFUNCTION("""COMPUTED_VALUE"""),"")</f>
        <v/>
      </c>
      <c r="I729" s="18" t="str">
        <f ca="1">IFERROR(__xludf.DUMMYFUNCTION("""COMPUTED_VALUE"""),"")</f>
        <v/>
      </c>
      <c r="J729" s="18" t="str">
        <f ca="1">IFERROR(__xludf.DUMMYFUNCTION("""COMPUTED_VALUE"""),"")</f>
        <v/>
      </c>
      <c r="K729" s="18" t="str">
        <f ca="1">IFERROR(__xludf.DUMMYFUNCTION("""COMPUTED_VALUE"""),"")</f>
        <v/>
      </c>
      <c r="L729" s="18" t="str">
        <f ca="1">IFERROR(__xludf.DUMMYFUNCTION("""COMPUTED_VALUE"""),"")</f>
        <v/>
      </c>
      <c r="M729" s="18" t="str">
        <f ca="1">IFERROR(__xludf.DUMMYFUNCTION("""COMPUTED_VALUE"""),"")</f>
        <v/>
      </c>
      <c r="N729" s="18" t="str">
        <f ca="1">IFERROR(__xludf.DUMMYFUNCTION("""COMPUTED_VALUE"""),"")</f>
        <v/>
      </c>
      <c r="O729" s="18" t="str">
        <f ca="1">IFERROR(__xludf.DUMMYFUNCTION("""COMPUTED_VALUE"""),"")</f>
        <v/>
      </c>
      <c r="P729" s="18" t="str">
        <f ca="1">IFERROR(__xludf.DUMMYFUNCTION("""COMPUTED_VALUE"""),"")</f>
        <v/>
      </c>
      <c r="Q729" s="18" t="str">
        <f ca="1">IFERROR(__xludf.DUMMYFUNCTION("""COMPUTED_VALUE"""),"")</f>
        <v/>
      </c>
      <c r="R729" s="18" t="str">
        <f ca="1">IFERROR(__xludf.DUMMYFUNCTION("""COMPUTED_VALUE"""),"")</f>
        <v/>
      </c>
      <c r="S729" s="18" t="str">
        <f ca="1">IFERROR(__xludf.DUMMYFUNCTION("""COMPUTED_VALUE"""),"")</f>
        <v/>
      </c>
      <c r="T729" s="18" t="str">
        <f ca="1">IFERROR(__xludf.DUMMYFUNCTION("""COMPUTED_VALUE"""),"")</f>
        <v/>
      </c>
      <c r="U729" s="18" t="str">
        <f ca="1">IFERROR(__xludf.DUMMYFUNCTION("""COMPUTED_VALUE"""),"")</f>
        <v/>
      </c>
      <c r="V729" s="18" t="str">
        <f ca="1">IFERROR(__xludf.DUMMYFUNCTION("""COMPUTED_VALUE"""),"")</f>
        <v/>
      </c>
      <c r="W729" s="18" t="str">
        <f ca="1">IFERROR(__xludf.DUMMYFUNCTION("""COMPUTED_VALUE"""),"")</f>
        <v/>
      </c>
      <c r="X729" s="18" t="str">
        <f ca="1">IFERROR(__xludf.DUMMYFUNCTION("""COMPUTED_VALUE"""),"")</f>
        <v/>
      </c>
      <c r="Y729" s="18" t="e">
        <f ca="1"/>
        <v>#NAME?</v>
      </c>
      <c r="Z729" s="18" t="str">
        <f ca="1">IFERROR(__xludf.DUMMYFUNCTION("""COMPUTED_VALUE"""),"")</f>
        <v/>
      </c>
      <c r="AA729" s="18" t="str">
        <f ca="1">IFERROR(__xludf.DUMMYFUNCTION("""COMPUTED_VALUE"""),"")</f>
        <v/>
      </c>
      <c r="AC729" s="59"/>
    </row>
    <row r="730" spans="1:29" x14ac:dyDescent="0.25">
      <c r="A730" s="18">
        <v>0</v>
      </c>
      <c r="B730" s="52" t="str">
        <f ca="1"/>
        <v/>
      </c>
      <c r="C730" s="52" t="str">
        <f ca="1">IFERROR(__xludf.DUMMYFUNCTION("""COMPUTED_VALUE"""),"")</f>
        <v/>
      </c>
      <c r="D730" s="18" t="str">
        <f ca="1">IFERROR(__xludf.DUMMYFUNCTION("""COMPUTED_VALUE"""),"")</f>
        <v/>
      </c>
      <c r="E730" s="18" t="str">
        <f ca="1">IFERROR(__xludf.DUMMYFUNCTION("""COMPUTED_VALUE"""),"")</f>
        <v/>
      </c>
      <c r="F730" s="18" t="str">
        <f ca="1">IFERROR(__xludf.DUMMYFUNCTION("""COMPUTED_VALUE"""),"")</f>
        <v/>
      </c>
      <c r="G730" s="18" t="str">
        <f ca="1">IFERROR(__xludf.DUMMYFUNCTION("""COMPUTED_VALUE"""),"")</f>
        <v/>
      </c>
      <c r="H730" s="18" t="str">
        <f ca="1">IFERROR(__xludf.DUMMYFUNCTION("""COMPUTED_VALUE"""),"")</f>
        <v/>
      </c>
      <c r="I730" s="18" t="str">
        <f ca="1">IFERROR(__xludf.DUMMYFUNCTION("""COMPUTED_VALUE"""),"")</f>
        <v/>
      </c>
      <c r="J730" s="18" t="str">
        <f ca="1">IFERROR(__xludf.DUMMYFUNCTION("""COMPUTED_VALUE"""),"")</f>
        <v/>
      </c>
      <c r="K730" s="18" t="str">
        <f ca="1">IFERROR(__xludf.DUMMYFUNCTION("""COMPUTED_VALUE"""),"")</f>
        <v/>
      </c>
      <c r="L730" s="18" t="str">
        <f ca="1">IFERROR(__xludf.DUMMYFUNCTION("""COMPUTED_VALUE"""),"")</f>
        <v/>
      </c>
      <c r="M730" s="18" t="str">
        <f ca="1">IFERROR(__xludf.DUMMYFUNCTION("""COMPUTED_VALUE"""),"")</f>
        <v/>
      </c>
      <c r="N730" s="18" t="str">
        <f ca="1">IFERROR(__xludf.DUMMYFUNCTION("""COMPUTED_VALUE"""),"")</f>
        <v/>
      </c>
      <c r="O730" s="18" t="str">
        <f ca="1">IFERROR(__xludf.DUMMYFUNCTION("""COMPUTED_VALUE"""),"")</f>
        <v/>
      </c>
      <c r="P730" s="18" t="str">
        <f ca="1">IFERROR(__xludf.DUMMYFUNCTION("""COMPUTED_VALUE"""),"")</f>
        <v/>
      </c>
      <c r="Q730" s="18" t="str">
        <f ca="1">IFERROR(__xludf.DUMMYFUNCTION("""COMPUTED_VALUE"""),"")</f>
        <v/>
      </c>
      <c r="R730" s="18" t="str">
        <f ca="1">IFERROR(__xludf.DUMMYFUNCTION("""COMPUTED_VALUE"""),"")</f>
        <v/>
      </c>
      <c r="S730" s="18" t="str">
        <f ca="1">IFERROR(__xludf.DUMMYFUNCTION("""COMPUTED_VALUE"""),"")</f>
        <v/>
      </c>
      <c r="T730" s="18" t="str">
        <f ca="1">IFERROR(__xludf.DUMMYFUNCTION("""COMPUTED_VALUE"""),"")</f>
        <v/>
      </c>
      <c r="U730" s="18" t="str">
        <f ca="1">IFERROR(__xludf.DUMMYFUNCTION("""COMPUTED_VALUE"""),"")</f>
        <v/>
      </c>
      <c r="V730" s="18" t="str">
        <f ca="1">IFERROR(__xludf.DUMMYFUNCTION("""COMPUTED_VALUE"""),"")</f>
        <v/>
      </c>
      <c r="W730" s="18" t="str">
        <f ca="1">IFERROR(__xludf.DUMMYFUNCTION("""COMPUTED_VALUE"""),"")</f>
        <v/>
      </c>
      <c r="X730" s="18" t="str">
        <f ca="1">IFERROR(__xludf.DUMMYFUNCTION("""COMPUTED_VALUE"""),"")</f>
        <v/>
      </c>
      <c r="Y730" s="18" t="e">
        <f ca="1"/>
        <v>#NAME?</v>
      </c>
      <c r="Z730" s="18" t="str">
        <f ca="1">IFERROR(__xludf.DUMMYFUNCTION("""COMPUTED_VALUE"""),"")</f>
        <v/>
      </c>
      <c r="AA730" s="18" t="str">
        <f ca="1">IFERROR(__xludf.DUMMYFUNCTION("""COMPUTED_VALUE"""),"")</f>
        <v/>
      </c>
      <c r="AC730" s="59"/>
    </row>
    <row r="731" spans="1:29" x14ac:dyDescent="0.25">
      <c r="A731" s="18">
        <v>0</v>
      </c>
      <c r="B731" s="52" t="str">
        <f ca="1"/>
        <v/>
      </c>
      <c r="C731" s="52" t="str">
        <f ca="1">IFERROR(__xludf.DUMMYFUNCTION("""COMPUTED_VALUE"""),"")</f>
        <v/>
      </c>
      <c r="D731" s="18" t="str">
        <f ca="1">IFERROR(__xludf.DUMMYFUNCTION("""COMPUTED_VALUE"""),"")</f>
        <v/>
      </c>
      <c r="E731" s="18" t="str">
        <f ca="1">IFERROR(__xludf.DUMMYFUNCTION("""COMPUTED_VALUE"""),"")</f>
        <v/>
      </c>
      <c r="F731" s="18" t="str">
        <f ca="1">IFERROR(__xludf.DUMMYFUNCTION("""COMPUTED_VALUE"""),"")</f>
        <v/>
      </c>
      <c r="G731" s="18" t="str">
        <f ca="1">IFERROR(__xludf.DUMMYFUNCTION("""COMPUTED_VALUE"""),"")</f>
        <v/>
      </c>
      <c r="H731" s="18" t="str">
        <f ca="1">IFERROR(__xludf.DUMMYFUNCTION("""COMPUTED_VALUE"""),"")</f>
        <v/>
      </c>
      <c r="I731" s="18" t="str">
        <f ca="1">IFERROR(__xludf.DUMMYFUNCTION("""COMPUTED_VALUE"""),"")</f>
        <v/>
      </c>
      <c r="J731" s="18" t="str">
        <f ca="1">IFERROR(__xludf.DUMMYFUNCTION("""COMPUTED_VALUE"""),"")</f>
        <v/>
      </c>
      <c r="K731" s="18" t="str">
        <f ca="1">IFERROR(__xludf.DUMMYFUNCTION("""COMPUTED_VALUE"""),"")</f>
        <v/>
      </c>
      <c r="L731" s="18" t="str">
        <f ca="1">IFERROR(__xludf.DUMMYFUNCTION("""COMPUTED_VALUE"""),"")</f>
        <v/>
      </c>
      <c r="M731" s="18" t="str">
        <f ca="1">IFERROR(__xludf.DUMMYFUNCTION("""COMPUTED_VALUE"""),"")</f>
        <v/>
      </c>
      <c r="N731" s="18" t="str">
        <f ca="1">IFERROR(__xludf.DUMMYFUNCTION("""COMPUTED_VALUE"""),"")</f>
        <v/>
      </c>
      <c r="O731" s="18" t="str">
        <f ca="1">IFERROR(__xludf.DUMMYFUNCTION("""COMPUTED_VALUE"""),"")</f>
        <v/>
      </c>
      <c r="P731" s="18" t="str">
        <f ca="1">IFERROR(__xludf.DUMMYFUNCTION("""COMPUTED_VALUE"""),"")</f>
        <v/>
      </c>
      <c r="Q731" s="18" t="str">
        <f ca="1">IFERROR(__xludf.DUMMYFUNCTION("""COMPUTED_VALUE"""),"")</f>
        <v/>
      </c>
      <c r="R731" s="18" t="str">
        <f ca="1">IFERROR(__xludf.DUMMYFUNCTION("""COMPUTED_VALUE"""),"")</f>
        <v/>
      </c>
      <c r="S731" s="18" t="str">
        <f ca="1">IFERROR(__xludf.DUMMYFUNCTION("""COMPUTED_VALUE"""),"")</f>
        <v/>
      </c>
      <c r="T731" s="18" t="str">
        <f ca="1">IFERROR(__xludf.DUMMYFUNCTION("""COMPUTED_VALUE"""),"")</f>
        <v/>
      </c>
      <c r="U731" s="18" t="str">
        <f ca="1">IFERROR(__xludf.DUMMYFUNCTION("""COMPUTED_VALUE"""),"")</f>
        <v/>
      </c>
      <c r="V731" s="18" t="str">
        <f ca="1">IFERROR(__xludf.DUMMYFUNCTION("""COMPUTED_VALUE"""),"")</f>
        <v/>
      </c>
      <c r="W731" s="18" t="str">
        <f ca="1">IFERROR(__xludf.DUMMYFUNCTION("""COMPUTED_VALUE"""),"")</f>
        <v/>
      </c>
      <c r="X731" s="18" t="str">
        <f ca="1">IFERROR(__xludf.DUMMYFUNCTION("""COMPUTED_VALUE"""),"")</f>
        <v/>
      </c>
      <c r="Y731" s="18" t="e">
        <f ca="1"/>
        <v>#NAME?</v>
      </c>
      <c r="Z731" s="18" t="str">
        <f ca="1">IFERROR(__xludf.DUMMYFUNCTION("""COMPUTED_VALUE"""),"")</f>
        <v/>
      </c>
      <c r="AA731" s="18" t="str">
        <f ca="1">IFERROR(__xludf.DUMMYFUNCTION("""COMPUTED_VALUE"""),"")</f>
        <v/>
      </c>
      <c r="AC731" s="59"/>
    </row>
    <row r="732" spans="1:29" x14ac:dyDescent="0.25">
      <c r="A732" s="18">
        <v>0</v>
      </c>
      <c r="B732" s="52" t="str">
        <f ca="1"/>
        <v/>
      </c>
      <c r="C732" s="52" t="str">
        <f ca="1">IFERROR(__xludf.DUMMYFUNCTION("""COMPUTED_VALUE"""),"")</f>
        <v/>
      </c>
      <c r="D732" s="18" t="str">
        <f ca="1">IFERROR(__xludf.DUMMYFUNCTION("""COMPUTED_VALUE"""),"")</f>
        <v/>
      </c>
      <c r="E732" s="18" t="str">
        <f ca="1">IFERROR(__xludf.DUMMYFUNCTION("""COMPUTED_VALUE"""),"")</f>
        <v/>
      </c>
      <c r="F732" s="18" t="str">
        <f ca="1">IFERROR(__xludf.DUMMYFUNCTION("""COMPUTED_VALUE"""),"")</f>
        <v/>
      </c>
      <c r="G732" s="18" t="str">
        <f ca="1">IFERROR(__xludf.DUMMYFUNCTION("""COMPUTED_VALUE"""),"")</f>
        <v/>
      </c>
      <c r="H732" s="18" t="str">
        <f ca="1">IFERROR(__xludf.DUMMYFUNCTION("""COMPUTED_VALUE"""),"")</f>
        <v/>
      </c>
      <c r="I732" s="18" t="str">
        <f ca="1">IFERROR(__xludf.DUMMYFUNCTION("""COMPUTED_VALUE"""),"")</f>
        <v/>
      </c>
      <c r="J732" s="18" t="str">
        <f ca="1">IFERROR(__xludf.DUMMYFUNCTION("""COMPUTED_VALUE"""),"")</f>
        <v/>
      </c>
      <c r="K732" s="18" t="str">
        <f ca="1">IFERROR(__xludf.DUMMYFUNCTION("""COMPUTED_VALUE"""),"")</f>
        <v/>
      </c>
      <c r="L732" s="18" t="str">
        <f ca="1">IFERROR(__xludf.DUMMYFUNCTION("""COMPUTED_VALUE"""),"")</f>
        <v/>
      </c>
      <c r="M732" s="18" t="str">
        <f ca="1">IFERROR(__xludf.DUMMYFUNCTION("""COMPUTED_VALUE"""),"")</f>
        <v/>
      </c>
      <c r="N732" s="18" t="str">
        <f ca="1">IFERROR(__xludf.DUMMYFUNCTION("""COMPUTED_VALUE"""),"")</f>
        <v/>
      </c>
      <c r="O732" s="18" t="str">
        <f ca="1">IFERROR(__xludf.DUMMYFUNCTION("""COMPUTED_VALUE"""),"")</f>
        <v/>
      </c>
      <c r="P732" s="18" t="str">
        <f ca="1">IFERROR(__xludf.DUMMYFUNCTION("""COMPUTED_VALUE"""),"")</f>
        <v/>
      </c>
      <c r="Q732" s="18" t="str">
        <f ca="1">IFERROR(__xludf.DUMMYFUNCTION("""COMPUTED_VALUE"""),"")</f>
        <v/>
      </c>
      <c r="R732" s="18" t="str">
        <f ca="1">IFERROR(__xludf.DUMMYFUNCTION("""COMPUTED_VALUE"""),"")</f>
        <v/>
      </c>
      <c r="S732" s="18" t="str">
        <f ca="1">IFERROR(__xludf.DUMMYFUNCTION("""COMPUTED_VALUE"""),"")</f>
        <v/>
      </c>
      <c r="T732" s="18" t="str">
        <f ca="1">IFERROR(__xludf.DUMMYFUNCTION("""COMPUTED_VALUE"""),"")</f>
        <v/>
      </c>
      <c r="U732" s="18" t="str">
        <f ca="1">IFERROR(__xludf.DUMMYFUNCTION("""COMPUTED_VALUE"""),"")</f>
        <v/>
      </c>
      <c r="V732" s="18" t="str">
        <f ca="1">IFERROR(__xludf.DUMMYFUNCTION("""COMPUTED_VALUE"""),"")</f>
        <v/>
      </c>
      <c r="W732" s="18" t="str">
        <f ca="1">IFERROR(__xludf.DUMMYFUNCTION("""COMPUTED_VALUE"""),"")</f>
        <v/>
      </c>
      <c r="X732" s="18" t="str">
        <f ca="1">IFERROR(__xludf.DUMMYFUNCTION("""COMPUTED_VALUE"""),"")</f>
        <v/>
      </c>
      <c r="Y732" s="18" t="e">
        <f ca="1"/>
        <v>#NAME?</v>
      </c>
      <c r="Z732" s="18" t="str">
        <f ca="1">IFERROR(__xludf.DUMMYFUNCTION("""COMPUTED_VALUE"""),"")</f>
        <v/>
      </c>
      <c r="AA732" s="18" t="str">
        <f ca="1">IFERROR(__xludf.DUMMYFUNCTION("""COMPUTED_VALUE"""),"")</f>
        <v/>
      </c>
      <c r="AC732" s="59"/>
    </row>
    <row r="733" spans="1:29" x14ac:dyDescent="0.25">
      <c r="A733" s="18">
        <v>0</v>
      </c>
      <c r="B733" s="52" t="str">
        <f ca="1"/>
        <v/>
      </c>
      <c r="C733" s="52" t="str">
        <f ca="1">IFERROR(__xludf.DUMMYFUNCTION("""COMPUTED_VALUE"""),"")</f>
        <v/>
      </c>
      <c r="D733" s="18" t="str">
        <f ca="1">IFERROR(__xludf.DUMMYFUNCTION("""COMPUTED_VALUE"""),"")</f>
        <v/>
      </c>
      <c r="E733" s="18" t="str">
        <f ca="1">IFERROR(__xludf.DUMMYFUNCTION("""COMPUTED_VALUE"""),"")</f>
        <v/>
      </c>
      <c r="F733" s="18" t="str">
        <f ca="1">IFERROR(__xludf.DUMMYFUNCTION("""COMPUTED_VALUE"""),"")</f>
        <v/>
      </c>
      <c r="G733" s="18" t="str">
        <f ca="1">IFERROR(__xludf.DUMMYFUNCTION("""COMPUTED_VALUE"""),"")</f>
        <v/>
      </c>
      <c r="H733" s="18" t="str">
        <f ca="1">IFERROR(__xludf.DUMMYFUNCTION("""COMPUTED_VALUE"""),"")</f>
        <v/>
      </c>
      <c r="I733" s="18" t="str">
        <f ca="1">IFERROR(__xludf.DUMMYFUNCTION("""COMPUTED_VALUE"""),"")</f>
        <v/>
      </c>
      <c r="J733" s="18" t="str">
        <f ca="1">IFERROR(__xludf.DUMMYFUNCTION("""COMPUTED_VALUE"""),"")</f>
        <v/>
      </c>
      <c r="K733" s="18" t="str">
        <f ca="1">IFERROR(__xludf.DUMMYFUNCTION("""COMPUTED_VALUE"""),"")</f>
        <v/>
      </c>
      <c r="L733" s="18" t="str">
        <f ca="1">IFERROR(__xludf.DUMMYFUNCTION("""COMPUTED_VALUE"""),"")</f>
        <v/>
      </c>
      <c r="M733" s="18" t="str">
        <f ca="1">IFERROR(__xludf.DUMMYFUNCTION("""COMPUTED_VALUE"""),"")</f>
        <v/>
      </c>
      <c r="N733" s="18" t="str">
        <f ca="1">IFERROR(__xludf.DUMMYFUNCTION("""COMPUTED_VALUE"""),"")</f>
        <v/>
      </c>
      <c r="O733" s="18" t="str">
        <f ca="1">IFERROR(__xludf.DUMMYFUNCTION("""COMPUTED_VALUE"""),"")</f>
        <v/>
      </c>
      <c r="P733" s="18" t="str">
        <f ca="1">IFERROR(__xludf.DUMMYFUNCTION("""COMPUTED_VALUE"""),"")</f>
        <v/>
      </c>
      <c r="Q733" s="18" t="str">
        <f ca="1">IFERROR(__xludf.DUMMYFUNCTION("""COMPUTED_VALUE"""),"")</f>
        <v/>
      </c>
      <c r="R733" s="18" t="str">
        <f ca="1">IFERROR(__xludf.DUMMYFUNCTION("""COMPUTED_VALUE"""),"")</f>
        <v/>
      </c>
      <c r="S733" s="18" t="str">
        <f ca="1">IFERROR(__xludf.DUMMYFUNCTION("""COMPUTED_VALUE"""),"")</f>
        <v/>
      </c>
      <c r="T733" s="18" t="str">
        <f ca="1">IFERROR(__xludf.DUMMYFUNCTION("""COMPUTED_VALUE"""),"")</f>
        <v/>
      </c>
      <c r="U733" s="18" t="str">
        <f ca="1">IFERROR(__xludf.DUMMYFUNCTION("""COMPUTED_VALUE"""),"")</f>
        <v/>
      </c>
      <c r="V733" s="18" t="str">
        <f ca="1">IFERROR(__xludf.DUMMYFUNCTION("""COMPUTED_VALUE"""),"")</f>
        <v/>
      </c>
      <c r="W733" s="18" t="str">
        <f ca="1">IFERROR(__xludf.DUMMYFUNCTION("""COMPUTED_VALUE"""),"")</f>
        <v/>
      </c>
      <c r="X733" s="18" t="str">
        <f ca="1">IFERROR(__xludf.DUMMYFUNCTION("""COMPUTED_VALUE"""),"")</f>
        <v/>
      </c>
      <c r="Y733" s="18" t="e">
        <f ca="1"/>
        <v>#NAME?</v>
      </c>
      <c r="Z733" s="18" t="str">
        <f ca="1">IFERROR(__xludf.DUMMYFUNCTION("""COMPUTED_VALUE"""),"")</f>
        <v/>
      </c>
      <c r="AA733" s="18" t="str">
        <f ca="1">IFERROR(__xludf.DUMMYFUNCTION("""COMPUTED_VALUE"""),"")</f>
        <v/>
      </c>
      <c r="AC733" s="59"/>
    </row>
    <row r="734" spans="1:29" x14ac:dyDescent="0.25">
      <c r="A734" s="18">
        <v>0</v>
      </c>
      <c r="B734" s="52" t="str">
        <f ca="1"/>
        <v/>
      </c>
      <c r="C734" s="52" t="str">
        <f ca="1">IFERROR(__xludf.DUMMYFUNCTION("""COMPUTED_VALUE"""),"")</f>
        <v/>
      </c>
      <c r="D734" s="18" t="str">
        <f ca="1">IFERROR(__xludf.DUMMYFUNCTION("""COMPUTED_VALUE"""),"")</f>
        <v/>
      </c>
      <c r="E734" s="18" t="str">
        <f ca="1">IFERROR(__xludf.DUMMYFUNCTION("""COMPUTED_VALUE"""),"")</f>
        <v/>
      </c>
      <c r="F734" s="18" t="str">
        <f ca="1">IFERROR(__xludf.DUMMYFUNCTION("""COMPUTED_VALUE"""),"")</f>
        <v/>
      </c>
      <c r="G734" s="18" t="str">
        <f ca="1">IFERROR(__xludf.DUMMYFUNCTION("""COMPUTED_VALUE"""),"")</f>
        <v/>
      </c>
      <c r="H734" s="18" t="str">
        <f ca="1">IFERROR(__xludf.DUMMYFUNCTION("""COMPUTED_VALUE"""),"")</f>
        <v/>
      </c>
      <c r="I734" s="18" t="str">
        <f ca="1">IFERROR(__xludf.DUMMYFUNCTION("""COMPUTED_VALUE"""),"")</f>
        <v/>
      </c>
      <c r="J734" s="18" t="str">
        <f ca="1">IFERROR(__xludf.DUMMYFUNCTION("""COMPUTED_VALUE"""),"")</f>
        <v/>
      </c>
      <c r="K734" s="18" t="str">
        <f ca="1">IFERROR(__xludf.DUMMYFUNCTION("""COMPUTED_VALUE"""),"")</f>
        <v/>
      </c>
      <c r="L734" s="18" t="str">
        <f ca="1">IFERROR(__xludf.DUMMYFUNCTION("""COMPUTED_VALUE"""),"")</f>
        <v/>
      </c>
      <c r="M734" s="18" t="str">
        <f ca="1">IFERROR(__xludf.DUMMYFUNCTION("""COMPUTED_VALUE"""),"")</f>
        <v/>
      </c>
      <c r="N734" s="18" t="str">
        <f ca="1">IFERROR(__xludf.DUMMYFUNCTION("""COMPUTED_VALUE"""),"")</f>
        <v/>
      </c>
      <c r="O734" s="18" t="str">
        <f ca="1">IFERROR(__xludf.DUMMYFUNCTION("""COMPUTED_VALUE"""),"")</f>
        <v/>
      </c>
      <c r="P734" s="18" t="str">
        <f ca="1">IFERROR(__xludf.DUMMYFUNCTION("""COMPUTED_VALUE"""),"")</f>
        <v/>
      </c>
      <c r="Q734" s="18" t="str">
        <f ca="1">IFERROR(__xludf.DUMMYFUNCTION("""COMPUTED_VALUE"""),"")</f>
        <v/>
      </c>
      <c r="R734" s="18" t="str">
        <f ca="1">IFERROR(__xludf.DUMMYFUNCTION("""COMPUTED_VALUE"""),"")</f>
        <v/>
      </c>
      <c r="S734" s="18" t="str">
        <f ca="1">IFERROR(__xludf.DUMMYFUNCTION("""COMPUTED_VALUE"""),"")</f>
        <v/>
      </c>
      <c r="T734" s="18" t="str">
        <f ca="1">IFERROR(__xludf.DUMMYFUNCTION("""COMPUTED_VALUE"""),"")</f>
        <v/>
      </c>
      <c r="U734" s="18" t="str">
        <f ca="1">IFERROR(__xludf.DUMMYFUNCTION("""COMPUTED_VALUE"""),"")</f>
        <v/>
      </c>
      <c r="V734" s="18" t="str">
        <f ca="1">IFERROR(__xludf.DUMMYFUNCTION("""COMPUTED_VALUE"""),"")</f>
        <v/>
      </c>
      <c r="W734" s="18" t="str">
        <f ca="1">IFERROR(__xludf.DUMMYFUNCTION("""COMPUTED_VALUE"""),"")</f>
        <v/>
      </c>
      <c r="X734" s="18" t="str">
        <f ca="1">IFERROR(__xludf.DUMMYFUNCTION("""COMPUTED_VALUE"""),"")</f>
        <v/>
      </c>
      <c r="Y734" s="18" t="e">
        <f ca="1"/>
        <v>#NAME?</v>
      </c>
      <c r="Z734" s="18" t="str">
        <f ca="1">IFERROR(__xludf.DUMMYFUNCTION("""COMPUTED_VALUE"""),"")</f>
        <v/>
      </c>
      <c r="AA734" s="18" t="str">
        <f ca="1">IFERROR(__xludf.DUMMYFUNCTION("""COMPUTED_VALUE"""),"")</f>
        <v/>
      </c>
      <c r="AC734" s="59"/>
    </row>
    <row r="735" spans="1:29" x14ac:dyDescent="0.25">
      <c r="A735" s="18">
        <v>0</v>
      </c>
      <c r="B735" s="52" t="str">
        <f ca="1"/>
        <v/>
      </c>
      <c r="C735" s="52" t="str">
        <f ca="1">IFERROR(__xludf.DUMMYFUNCTION("""COMPUTED_VALUE"""),"")</f>
        <v/>
      </c>
      <c r="D735" s="18" t="str">
        <f ca="1">IFERROR(__xludf.DUMMYFUNCTION("""COMPUTED_VALUE"""),"")</f>
        <v/>
      </c>
      <c r="E735" s="18" t="str">
        <f ca="1">IFERROR(__xludf.DUMMYFUNCTION("""COMPUTED_VALUE"""),"")</f>
        <v/>
      </c>
      <c r="F735" s="18" t="str">
        <f ca="1">IFERROR(__xludf.DUMMYFUNCTION("""COMPUTED_VALUE"""),"")</f>
        <v/>
      </c>
      <c r="G735" s="18" t="str">
        <f ca="1">IFERROR(__xludf.DUMMYFUNCTION("""COMPUTED_VALUE"""),"")</f>
        <v/>
      </c>
      <c r="H735" s="18" t="str">
        <f ca="1">IFERROR(__xludf.DUMMYFUNCTION("""COMPUTED_VALUE"""),"")</f>
        <v/>
      </c>
      <c r="I735" s="18" t="str">
        <f ca="1">IFERROR(__xludf.DUMMYFUNCTION("""COMPUTED_VALUE"""),"")</f>
        <v/>
      </c>
      <c r="J735" s="18" t="str">
        <f ca="1">IFERROR(__xludf.DUMMYFUNCTION("""COMPUTED_VALUE"""),"")</f>
        <v/>
      </c>
      <c r="K735" s="18" t="str">
        <f ca="1">IFERROR(__xludf.DUMMYFUNCTION("""COMPUTED_VALUE"""),"")</f>
        <v/>
      </c>
      <c r="L735" s="18" t="str">
        <f ca="1">IFERROR(__xludf.DUMMYFUNCTION("""COMPUTED_VALUE"""),"")</f>
        <v/>
      </c>
      <c r="M735" s="18" t="str">
        <f ca="1">IFERROR(__xludf.DUMMYFUNCTION("""COMPUTED_VALUE"""),"")</f>
        <v/>
      </c>
      <c r="N735" s="18" t="str">
        <f ca="1">IFERROR(__xludf.DUMMYFUNCTION("""COMPUTED_VALUE"""),"")</f>
        <v/>
      </c>
      <c r="O735" s="18" t="str">
        <f ca="1">IFERROR(__xludf.DUMMYFUNCTION("""COMPUTED_VALUE"""),"")</f>
        <v/>
      </c>
      <c r="P735" s="18" t="str">
        <f ca="1">IFERROR(__xludf.DUMMYFUNCTION("""COMPUTED_VALUE"""),"")</f>
        <v/>
      </c>
      <c r="Q735" s="18" t="str">
        <f ca="1">IFERROR(__xludf.DUMMYFUNCTION("""COMPUTED_VALUE"""),"")</f>
        <v/>
      </c>
      <c r="R735" s="18" t="str">
        <f ca="1">IFERROR(__xludf.DUMMYFUNCTION("""COMPUTED_VALUE"""),"")</f>
        <v/>
      </c>
      <c r="S735" s="18" t="str">
        <f ca="1">IFERROR(__xludf.DUMMYFUNCTION("""COMPUTED_VALUE"""),"")</f>
        <v/>
      </c>
      <c r="T735" s="18" t="str">
        <f ca="1">IFERROR(__xludf.DUMMYFUNCTION("""COMPUTED_VALUE"""),"")</f>
        <v/>
      </c>
      <c r="U735" s="18" t="str">
        <f ca="1">IFERROR(__xludf.DUMMYFUNCTION("""COMPUTED_VALUE"""),"")</f>
        <v/>
      </c>
      <c r="V735" s="18" t="str">
        <f ca="1">IFERROR(__xludf.DUMMYFUNCTION("""COMPUTED_VALUE"""),"")</f>
        <v/>
      </c>
      <c r="W735" s="18" t="str">
        <f ca="1">IFERROR(__xludf.DUMMYFUNCTION("""COMPUTED_VALUE"""),"")</f>
        <v/>
      </c>
      <c r="X735" s="18" t="str">
        <f ca="1">IFERROR(__xludf.DUMMYFUNCTION("""COMPUTED_VALUE"""),"")</f>
        <v/>
      </c>
      <c r="Y735" s="18" t="e">
        <f ca="1"/>
        <v>#NAME?</v>
      </c>
      <c r="Z735" s="18" t="str">
        <f ca="1">IFERROR(__xludf.DUMMYFUNCTION("""COMPUTED_VALUE"""),"")</f>
        <v/>
      </c>
      <c r="AA735" s="18" t="str">
        <f ca="1">IFERROR(__xludf.DUMMYFUNCTION("""COMPUTED_VALUE"""),"")</f>
        <v/>
      </c>
      <c r="AC735" s="59"/>
    </row>
    <row r="736" spans="1:29" x14ac:dyDescent="0.25">
      <c r="A736" s="18">
        <v>0</v>
      </c>
      <c r="B736" s="52" t="str">
        <f ca="1"/>
        <v/>
      </c>
      <c r="C736" s="52" t="str">
        <f ca="1">IFERROR(__xludf.DUMMYFUNCTION("""COMPUTED_VALUE"""),"")</f>
        <v/>
      </c>
      <c r="D736" s="18" t="str">
        <f ca="1">IFERROR(__xludf.DUMMYFUNCTION("""COMPUTED_VALUE"""),"")</f>
        <v/>
      </c>
      <c r="E736" s="18" t="str">
        <f ca="1">IFERROR(__xludf.DUMMYFUNCTION("""COMPUTED_VALUE"""),"")</f>
        <v/>
      </c>
      <c r="F736" s="18" t="str">
        <f ca="1">IFERROR(__xludf.DUMMYFUNCTION("""COMPUTED_VALUE"""),"")</f>
        <v/>
      </c>
      <c r="G736" s="18" t="str">
        <f ca="1">IFERROR(__xludf.DUMMYFUNCTION("""COMPUTED_VALUE"""),"")</f>
        <v/>
      </c>
      <c r="H736" s="18" t="str">
        <f ca="1">IFERROR(__xludf.DUMMYFUNCTION("""COMPUTED_VALUE"""),"")</f>
        <v/>
      </c>
      <c r="I736" s="18" t="str">
        <f ca="1">IFERROR(__xludf.DUMMYFUNCTION("""COMPUTED_VALUE"""),"")</f>
        <v/>
      </c>
      <c r="J736" s="18" t="str">
        <f ca="1">IFERROR(__xludf.DUMMYFUNCTION("""COMPUTED_VALUE"""),"")</f>
        <v/>
      </c>
      <c r="K736" s="18" t="str">
        <f ca="1">IFERROR(__xludf.DUMMYFUNCTION("""COMPUTED_VALUE"""),"")</f>
        <v/>
      </c>
      <c r="L736" s="18" t="str">
        <f ca="1">IFERROR(__xludf.DUMMYFUNCTION("""COMPUTED_VALUE"""),"")</f>
        <v/>
      </c>
      <c r="M736" s="18" t="str">
        <f ca="1">IFERROR(__xludf.DUMMYFUNCTION("""COMPUTED_VALUE"""),"")</f>
        <v/>
      </c>
      <c r="N736" s="18" t="str">
        <f ca="1">IFERROR(__xludf.DUMMYFUNCTION("""COMPUTED_VALUE"""),"")</f>
        <v/>
      </c>
      <c r="O736" s="18" t="str">
        <f ca="1">IFERROR(__xludf.DUMMYFUNCTION("""COMPUTED_VALUE"""),"")</f>
        <v/>
      </c>
      <c r="P736" s="18" t="str">
        <f ca="1">IFERROR(__xludf.DUMMYFUNCTION("""COMPUTED_VALUE"""),"")</f>
        <v/>
      </c>
      <c r="Q736" s="18" t="str">
        <f ca="1">IFERROR(__xludf.DUMMYFUNCTION("""COMPUTED_VALUE"""),"")</f>
        <v/>
      </c>
      <c r="R736" s="18" t="str">
        <f ca="1">IFERROR(__xludf.DUMMYFUNCTION("""COMPUTED_VALUE"""),"")</f>
        <v/>
      </c>
      <c r="S736" s="18" t="str">
        <f ca="1">IFERROR(__xludf.DUMMYFUNCTION("""COMPUTED_VALUE"""),"")</f>
        <v/>
      </c>
      <c r="T736" s="18" t="str">
        <f ca="1">IFERROR(__xludf.DUMMYFUNCTION("""COMPUTED_VALUE"""),"")</f>
        <v/>
      </c>
      <c r="U736" s="18" t="str">
        <f ca="1">IFERROR(__xludf.DUMMYFUNCTION("""COMPUTED_VALUE"""),"")</f>
        <v/>
      </c>
      <c r="V736" s="18" t="str">
        <f ca="1">IFERROR(__xludf.DUMMYFUNCTION("""COMPUTED_VALUE"""),"")</f>
        <v/>
      </c>
      <c r="W736" s="18" t="str">
        <f ca="1">IFERROR(__xludf.DUMMYFUNCTION("""COMPUTED_VALUE"""),"")</f>
        <v/>
      </c>
      <c r="X736" s="18" t="str">
        <f ca="1">IFERROR(__xludf.DUMMYFUNCTION("""COMPUTED_VALUE"""),"")</f>
        <v/>
      </c>
      <c r="Y736" s="18" t="e">
        <f ca="1"/>
        <v>#NAME?</v>
      </c>
      <c r="Z736" s="18" t="str">
        <f ca="1">IFERROR(__xludf.DUMMYFUNCTION("""COMPUTED_VALUE"""),"")</f>
        <v/>
      </c>
      <c r="AA736" s="18" t="str">
        <f ca="1">IFERROR(__xludf.DUMMYFUNCTION("""COMPUTED_VALUE"""),"")</f>
        <v/>
      </c>
      <c r="AC736" s="59"/>
    </row>
    <row r="737" spans="1:29" x14ac:dyDescent="0.25">
      <c r="A737" s="18">
        <v>0</v>
      </c>
      <c r="B737" s="52" t="str">
        <f ca="1"/>
        <v/>
      </c>
      <c r="C737" s="52" t="str">
        <f ca="1">IFERROR(__xludf.DUMMYFUNCTION("""COMPUTED_VALUE"""),"")</f>
        <v/>
      </c>
      <c r="D737" s="18" t="str">
        <f ca="1">IFERROR(__xludf.DUMMYFUNCTION("""COMPUTED_VALUE"""),"")</f>
        <v/>
      </c>
      <c r="E737" s="18" t="str">
        <f ca="1">IFERROR(__xludf.DUMMYFUNCTION("""COMPUTED_VALUE"""),"")</f>
        <v/>
      </c>
      <c r="F737" s="18" t="str">
        <f ca="1">IFERROR(__xludf.DUMMYFUNCTION("""COMPUTED_VALUE"""),"")</f>
        <v/>
      </c>
      <c r="G737" s="18" t="str">
        <f ca="1">IFERROR(__xludf.DUMMYFUNCTION("""COMPUTED_VALUE"""),"")</f>
        <v/>
      </c>
      <c r="H737" s="18" t="str">
        <f ca="1">IFERROR(__xludf.DUMMYFUNCTION("""COMPUTED_VALUE"""),"")</f>
        <v/>
      </c>
      <c r="I737" s="18" t="str">
        <f ca="1">IFERROR(__xludf.DUMMYFUNCTION("""COMPUTED_VALUE"""),"")</f>
        <v/>
      </c>
      <c r="J737" s="18" t="str">
        <f ca="1">IFERROR(__xludf.DUMMYFUNCTION("""COMPUTED_VALUE"""),"")</f>
        <v/>
      </c>
      <c r="K737" s="18" t="str">
        <f ca="1">IFERROR(__xludf.DUMMYFUNCTION("""COMPUTED_VALUE"""),"")</f>
        <v/>
      </c>
      <c r="L737" s="18" t="str">
        <f ca="1">IFERROR(__xludf.DUMMYFUNCTION("""COMPUTED_VALUE"""),"")</f>
        <v/>
      </c>
      <c r="M737" s="18" t="str">
        <f ca="1">IFERROR(__xludf.DUMMYFUNCTION("""COMPUTED_VALUE"""),"")</f>
        <v/>
      </c>
      <c r="N737" s="18" t="str">
        <f ca="1">IFERROR(__xludf.DUMMYFUNCTION("""COMPUTED_VALUE"""),"")</f>
        <v/>
      </c>
      <c r="O737" s="18" t="str">
        <f ca="1">IFERROR(__xludf.DUMMYFUNCTION("""COMPUTED_VALUE"""),"")</f>
        <v/>
      </c>
      <c r="P737" s="18" t="str">
        <f ca="1">IFERROR(__xludf.DUMMYFUNCTION("""COMPUTED_VALUE"""),"")</f>
        <v/>
      </c>
      <c r="Q737" s="18" t="str">
        <f ca="1">IFERROR(__xludf.DUMMYFUNCTION("""COMPUTED_VALUE"""),"")</f>
        <v/>
      </c>
      <c r="R737" s="18" t="str">
        <f ca="1">IFERROR(__xludf.DUMMYFUNCTION("""COMPUTED_VALUE"""),"")</f>
        <v/>
      </c>
      <c r="S737" s="18" t="str">
        <f ca="1">IFERROR(__xludf.DUMMYFUNCTION("""COMPUTED_VALUE"""),"")</f>
        <v/>
      </c>
      <c r="T737" s="18" t="str">
        <f ca="1">IFERROR(__xludf.DUMMYFUNCTION("""COMPUTED_VALUE"""),"")</f>
        <v/>
      </c>
      <c r="U737" s="18" t="str">
        <f ca="1">IFERROR(__xludf.DUMMYFUNCTION("""COMPUTED_VALUE"""),"")</f>
        <v/>
      </c>
      <c r="V737" s="18" t="str">
        <f ca="1">IFERROR(__xludf.DUMMYFUNCTION("""COMPUTED_VALUE"""),"")</f>
        <v/>
      </c>
      <c r="W737" s="18" t="str">
        <f ca="1">IFERROR(__xludf.DUMMYFUNCTION("""COMPUTED_VALUE"""),"")</f>
        <v/>
      </c>
      <c r="X737" s="18" t="str">
        <f ca="1">IFERROR(__xludf.DUMMYFUNCTION("""COMPUTED_VALUE"""),"")</f>
        <v/>
      </c>
      <c r="Y737" s="18" t="e">
        <f ca="1"/>
        <v>#NAME?</v>
      </c>
      <c r="Z737" s="18" t="str">
        <f ca="1">IFERROR(__xludf.DUMMYFUNCTION("""COMPUTED_VALUE"""),"")</f>
        <v/>
      </c>
      <c r="AA737" s="18" t="str">
        <f ca="1">IFERROR(__xludf.DUMMYFUNCTION("""COMPUTED_VALUE"""),"")</f>
        <v/>
      </c>
      <c r="AC737" s="59"/>
    </row>
    <row r="738" spans="1:29" x14ac:dyDescent="0.25">
      <c r="A738" s="18">
        <v>0</v>
      </c>
      <c r="B738" s="52" t="str">
        <f ca="1"/>
        <v/>
      </c>
      <c r="C738" s="52" t="str">
        <f ca="1">IFERROR(__xludf.DUMMYFUNCTION("""COMPUTED_VALUE"""),"")</f>
        <v/>
      </c>
      <c r="D738" s="18" t="str">
        <f ca="1">IFERROR(__xludf.DUMMYFUNCTION("""COMPUTED_VALUE"""),"")</f>
        <v/>
      </c>
      <c r="E738" s="18" t="str">
        <f ca="1">IFERROR(__xludf.DUMMYFUNCTION("""COMPUTED_VALUE"""),"")</f>
        <v/>
      </c>
      <c r="F738" s="18" t="str">
        <f ca="1">IFERROR(__xludf.DUMMYFUNCTION("""COMPUTED_VALUE"""),"")</f>
        <v/>
      </c>
      <c r="G738" s="18" t="str">
        <f ca="1">IFERROR(__xludf.DUMMYFUNCTION("""COMPUTED_VALUE"""),"")</f>
        <v/>
      </c>
      <c r="H738" s="18" t="str">
        <f ca="1">IFERROR(__xludf.DUMMYFUNCTION("""COMPUTED_VALUE"""),"")</f>
        <v/>
      </c>
      <c r="I738" s="18" t="str">
        <f ca="1">IFERROR(__xludf.DUMMYFUNCTION("""COMPUTED_VALUE"""),"")</f>
        <v/>
      </c>
      <c r="J738" s="18" t="str">
        <f ca="1">IFERROR(__xludf.DUMMYFUNCTION("""COMPUTED_VALUE"""),"")</f>
        <v/>
      </c>
      <c r="K738" s="18" t="str">
        <f ca="1">IFERROR(__xludf.DUMMYFUNCTION("""COMPUTED_VALUE"""),"")</f>
        <v/>
      </c>
      <c r="L738" s="18" t="str">
        <f ca="1">IFERROR(__xludf.DUMMYFUNCTION("""COMPUTED_VALUE"""),"")</f>
        <v/>
      </c>
      <c r="M738" s="18" t="str">
        <f ca="1">IFERROR(__xludf.DUMMYFUNCTION("""COMPUTED_VALUE"""),"")</f>
        <v/>
      </c>
      <c r="N738" s="18" t="str">
        <f ca="1">IFERROR(__xludf.DUMMYFUNCTION("""COMPUTED_VALUE"""),"")</f>
        <v/>
      </c>
      <c r="O738" s="18" t="str">
        <f ca="1">IFERROR(__xludf.DUMMYFUNCTION("""COMPUTED_VALUE"""),"")</f>
        <v/>
      </c>
      <c r="P738" s="18" t="str">
        <f ca="1">IFERROR(__xludf.DUMMYFUNCTION("""COMPUTED_VALUE"""),"")</f>
        <v/>
      </c>
      <c r="Q738" s="18" t="str">
        <f ca="1">IFERROR(__xludf.DUMMYFUNCTION("""COMPUTED_VALUE"""),"")</f>
        <v/>
      </c>
      <c r="R738" s="18" t="str">
        <f ca="1">IFERROR(__xludf.DUMMYFUNCTION("""COMPUTED_VALUE"""),"")</f>
        <v/>
      </c>
      <c r="S738" s="18" t="str">
        <f ca="1">IFERROR(__xludf.DUMMYFUNCTION("""COMPUTED_VALUE"""),"")</f>
        <v/>
      </c>
      <c r="T738" s="18" t="str">
        <f ca="1">IFERROR(__xludf.DUMMYFUNCTION("""COMPUTED_VALUE"""),"")</f>
        <v/>
      </c>
      <c r="U738" s="18" t="str">
        <f ca="1">IFERROR(__xludf.DUMMYFUNCTION("""COMPUTED_VALUE"""),"")</f>
        <v/>
      </c>
      <c r="V738" s="18" t="str">
        <f ca="1">IFERROR(__xludf.DUMMYFUNCTION("""COMPUTED_VALUE"""),"")</f>
        <v/>
      </c>
      <c r="W738" s="18" t="str">
        <f ca="1">IFERROR(__xludf.DUMMYFUNCTION("""COMPUTED_VALUE"""),"")</f>
        <v/>
      </c>
      <c r="X738" s="18" t="str">
        <f ca="1">IFERROR(__xludf.DUMMYFUNCTION("""COMPUTED_VALUE"""),"")</f>
        <v/>
      </c>
      <c r="Y738" s="18" t="e">
        <f ca="1"/>
        <v>#NAME?</v>
      </c>
      <c r="Z738" s="18" t="str">
        <f ca="1">IFERROR(__xludf.DUMMYFUNCTION("""COMPUTED_VALUE"""),"")</f>
        <v/>
      </c>
      <c r="AA738" s="18" t="str">
        <f ca="1">IFERROR(__xludf.DUMMYFUNCTION("""COMPUTED_VALUE"""),"")</f>
        <v/>
      </c>
      <c r="AC738" s="59"/>
    </row>
    <row r="739" spans="1:29" x14ac:dyDescent="0.25">
      <c r="A739" s="18">
        <v>0</v>
      </c>
      <c r="B739" s="52" t="str">
        <f ca="1"/>
        <v/>
      </c>
      <c r="C739" s="52" t="str">
        <f ca="1">IFERROR(__xludf.DUMMYFUNCTION("""COMPUTED_VALUE"""),"")</f>
        <v/>
      </c>
      <c r="D739" s="18" t="str">
        <f ca="1">IFERROR(__xludf.DUMMYFUNCTION("""COMPUTED_VALUE"""),"")</f>
        <v/>
      </c>
      <c r="E739" s="18" t="str">
        <f ca="1">IFERROR(__xludf.DUMMYFUNCTION("""COMPUTED_VALUE"""),"")</f>
        <v/>
      </c>
      <c r="F739" s="18" t="str">
        <f ca="1">IFERROR(__xludf.DUMMYFUNCTION("""COMPUTED_VALUE"""),"")</f>
        <v/>
      </c>
      <c r="G739" s="18" t="str">
        <f ca="1">IFERROR(__xludf.DUMMYFUNCTION("""COMPUTED_VALUE"""),"")</f>
        <v/>
      </c>
      <c r="H739" s="18" t="str">
        <f ca="1">IFERROR(__xludf.DUMMYFUNCTION("""COMPUTED_VALUE"""),"")</f>
        <v/>
      </c>
      <c r="I739" s="18" t="str">
        <f ca="1">IFERROR(__xludf.DUMMYFUNCTION("""COMPUTED_VALUE"""),"")</f>
        <v/>
      </c>
      <c r="J739" s="18" t="str">
        <f ca="1">IFERROR(__xludf.DUMMYFUNCTION("""COMPUTED_VALUE"""),"")</f>
        <v/>
      </c>
      <c r="K739" s="18" t="str">
        <f ca="1">IFERROR(__xludf.DUMMYFUNCTION("""COMPUTED_VALUE"""),"")</f>
        <v/>
      </c>
      <c r="L739" s="18" t="str">
        <f ca="1">IFERROR(__xludf.DUMMYFUNCTION("""COMPUTED_VALUE"""),"")</f>
        <v/>
      </c>
      <c r="M739" s="18" t="str">
        <f ca="1">IFERROR(__xludf.DUMMYFUNCTION("""COMPUTED_VALUE"""),"")</f>
        <v/>
      </c>
      <c r="N739" s="18" t="str">
        <f ca="1">IFERROR(__xludf.DUMMYFUNCTION("""COMPUTED_VALUE"""),"")</f>
        <v/>
      </c>
      <c r="O739" s="18" t="str">
        <f ca="1">IFERROR(__xludf.DUMMYFUNCTION("""COMPUTED_VALUE"""),"")</f>
        <v/>
      </c>
      <c r="P739" s="18" t="str">
        <f ca="1">IFERROR(__xludf.DUMMYFUNCTION("""COMPUTED_VALUE"""),"")</f>
        <v/>
      </c>
      <c r="Q739" s="18" t="str">
        <f ca="1">IFERROR(__xludf.DUMMYFUNCTION("""COMPUTED_VALUE"""),"")</f>
        <v/>
      </c>
      <c r="R739" s="18" t="str">
        <f ca="1">IFERROR(__xludf.DUMMYFUNCTION("""COMPUTED_VALUE"""),"")</f>
        <v/>
      </c>
      <c r="S739" s="18" t="str">
        <f ca="1">IFERROR(__xludf.DUMMYFUNCTION("""COMPUTED_VALUE"""),"")</f>
        <v/>
      </c>
      <c r="T739" s="18" t="str">
        <f ca="1">IFERROR(__xludf.DUMMYFUNCTION("""COMPUTED_VALUE"""),"")</f>
        <v/>
      </c>
      <c r="U739" s="18" t="str">
        <f ca="1">IFERROR(__xludf.DUMMYFUNCTION("""COMPUTED_VALUE"""),"")</f>
        <v/>
      </c>
      <c r="V739" s="18" t="str">
        <f ca="1">IFERROR(__xludf.DUMMYFUNCTION("""COMPUTED_VALUE"""),"")</f>
        <v/>
      </c>
      <c r="W739" s="18" t="str">
        <f ca="1">IFERROR(__xludf.DUMMYFUNCTION("""COMPUTED_VALUE"""),"")</f>
        <v/>
      </c>
      <c r="X739" s="18" t="str">
        <f ca="1">IFERROR(__xludf.DUMMYFUNCTION("""COMPUTED_VALUE"""),"")</f>
        <v/>
      </c>
      <c r="Y739" s="18" t="e">
        <f ca="1"/>
        <v>#NAME?</v>
      </c>
      <c r="Z739" s="18" t="str">
        <f ca="1">IFERROR(__xludf.DUMMYFUNCTION("""COMPUTED_VALUE"""),"")</f>
        <v/>
      </c>
      <c r="AA739" s="18" t="str">
        <f ca="1">IFERROR(__xludf.DUMMYFUNCTION("""COMPUTED_VALUE"""),"")</f>
        <v/>
      </c>
      <c r="AC739" s="59"/>
    </row>
    <row r="740" spans="1:29" x14ac:dyDescent="0.25">
      <c r="A740" s="18">
        <v>0</v>
      </c>
      <c r="B740" s="52" t="str">
        <f ca="1"/>
        <v/>
      </c>
      <c r="C740" s="52" t="str">
        <f ca="1">IFERROR(__xludf.DUMMYFUNCTION("""COMPUTED_VALUE"""),"")</f>
        <v/>
      </c>
      <c r="D740" s="18" t="str">
        <f ca="1">IFERROR(__xludf.DUMMYFUNCTION("""COMPUTED_VALUE"""),"")</f>
        <v/>
      </c>
      <c r="E740" s="18" t="str">
        <f ca="1">IFERROR(__xludf.DUMMYFUNCTION("""COMPUTED_VALUE"""),"")</f>
        <v/>
      </c>
      <c r="F740" s="18" t="str">
        <f ca="1">IFERROR(__xludf.DUMMYFUNCTION("""COMPUTED_VALUE"""),"")</f>
        <v/>
      </c>
      <c r="G740" s="18" t="str">
        <f ca="1">IFERROR(__xludf.DUMMYFUNCTION("""COMPUTED_VALUE"""),"")</f>
        <v/>
      </c>
      <c r="H740" s="18" t="str">
        <f ca="1">IFERROR(__xludf.DUMMYFUNCTION("""COMPUTED_VALUE"""),"")</f>
        <v/>
      </c>
      <c r="I740" s="18" t="str">
        <f ca="1">IFERROR(__xludf.DUMMYFUNCTION("""COMPUTED_VALUE"""),"")</f>
        <v/>
      </c>
      <c r="J740" s="18" t="str">
        <f ca="1">IFERROR(__xludf.DUMMYFUNCTION("""COMPUTED_VALUE"""),"")</f>
        <v/>
      </c>
      <c r="K740" s="18" t="str">
        <f ca="1">IFERROR(__xludf.DUMMYFUNCTION("""COMPUTED_VALUE"""),"")</f>
        <v/>
      </c>
      <c r="L740" s="18" t="str">
        <f ca="1">IFERROR(__xludf.DUMMYFUNCTION("""COMPUTED_VALUE"""),"")</f>
        <v/>
      </c>
      <c r="M740" s="18" t="str">
        <f ca="1">IFERROR(__xludf.DUMMYFUNCTION("""COMPUTED_VALUE"""),"")</f>
        <v/>
      </c>
      <c r="N740" s="18" t="str">
        <f ca="1">IFERROR(__xludf.DUMMYFUNCTION("""COMPUTED_VALUE"""),"")</f>
        <v/>
      </c>
      <c r="O740" s="18" t="str">
        <f ca="1">IFERROR(__xludf.DUMMYFUNCTION("""COMPUTED_VALUE"""),"")</f>
        <v/>
      </c>
      <c r="P740" s="18" t="str">
        <f ca="1">IFERROR(__xludf.DUMMYFUNCTION("""COMPUTED_VALUE"""),"")</f>
        <v/>
      </c>
      <c r="Q740" s="18" t="str">
        <f ca="1">IFERROR(__xludf.DUMMYFUNCTION("""COMPUTED_VALUE"""),"")</f>
        <v/>
      </c>
      <c r="R740" s="18" t="str">
        <f ca="1">IFERROR(__xludf.DUMMYFUNCTION("""COMPUTED_VALUE"""),"")</f>
        <v/>
      </c>
      <c r="S740" s="18" t="str">
        <f ca="1">IFERROR(__xludf.DUMMYFUNCTION("""COMPUTED_VALUE"""),"")</f>
        <v/>
      </c>
      <c r="T740" s="18" t="str">
        <f ca="1">IFERROR(__xludf.DUMMYFUNCTION("""COMPUTED_VALUE"""),"")</f>
        <v/>
      </c>
      <c r="U740" s="18" t="str">
        <f ca="1">IFERROR(__xludf.DUMMYFUNCTION("""COMPUTED_VALUE"""),"")</f>
        <v/>
      </c>
      <c r="V740" s="18" t="str">
        <f ca="1">IFERROR(__xludf.DUMMYFUNCTION("""COMPUTED_VALUE"""),"")</f>
        <v/>
      </c>
      <c r="W740" s="18" t="str">
        <f ca="1">IFERROR(__xludf.DUMMYFUNCTION("""COMPUTED_VALUE"""),"")</f>
        <v/>
      </c>
      <c r="X740" s="18" t="str">
        <f ca="1">IFERROR(__xludf.DUMMYFUNCTION("""COMPUTED_VALUE"""),"")</f>
        <v/>
      </c>
      <c r="Y740" s="18" t="e">
        <f ca="1"/>
        <v>#NAME?</v>
      </c>
      <c r="Z740" s="18" t="str">
        <f ca="1">IFERROR(__xludf.DUMMYFUNCTION("""COMPUTED_VALUE"""),"")</f>
        <v/>
      </c>
      <c r="AA740" s="18" t="str">
        <f ca="1">IFERROR(__xludf.DUMMYFUNCTION("""COMPUTED_VALUE"""),"")</f>
        <v/>
      </c>
      <c r="AC740" s="59"/>
    </row>
    <row r="741" spans="1:29" x14ac:dyDescent="0.25">
      <c r="A741" s="18">
        <v>0</v>
      </c>
      <c r="B741" s="52" t="str">
        <f ca="1"/>
        <v/>
      </c>
      <c r="C741" s="52" t="str">
        <f ca="1">IFERROR(__xludf.DUMMYFUNCTION("""COMPUTED_VALUE"""),"")</f>
        <v/>
      </c>
      <c r="D741" s="18" t="str">
        <f ca="1">IFERROR(__xludf.DUMMYFUNCTION("""COMPUTED_VALUE"""),"")</f>
        <v/>
      </c>
      <c r="E741" s="18" t="str">
        <f ca="1">IFERROR(__xludf.DUMMYFUNCTION("""COMPUTED_VALUE"""),"")</f>
        <v/>
      </c>
      <c r="F741" s="18" t="str">
        <f ca="1">IFERROR(__xludf.DUMMYFUNCTION("""COMPUTED_VALUE"""),"")</f>
        <v/>
      </c>
      <c r="G741" s="18" t="str">
        <f ca="1">IFERROR(__xludf.DUMMYFUNCTION("""COMPUTED_VALUE"""),"")</f>
        <v/>
      </c>
      <c r="H741" s="18" t="str">
        <f ca="1">IFERROR(__xludf.DUMMYFUNCTION("""COMPUTED_VALUE"""),"")</f>
        <v/>
      </c>
      <c r="I741" s="18" t="str">
        <f ca="1">IFERROR(__xludf.DUMMYFUNCTION("""COMPUTED_VALUE"""),"")</f>
        <v/>
      </c>
      <c r="J741" s="18" t="str">
        <f ca="1">IFERROR(__xludf.DUMMYFUNCTION("""COMPUTED_VALUE"""),"")</f>
        <v/>
      </c>
      <c r="K741" s="18" t="str">
        <f ca="1">IFERROR(__xludf.DUMMYFUNCTION("""COMPUTED_VALUE"""),"")</f>
        <v/>
      </c>
      <c r="L741" s="18" t="str">
        <f ca="1">IFERROR(__xludf.DUMMYFUNCTION("""COMPUTED_VALUE"""),"")</f>
        <v/>
      </c>
      <c r="M741" s="18" t="str">
        <f ca="1">IFERROR(__xludf.DUMMYFUNCTION("""COMPUTED_VALUE"""),"")</f>
        <v/>
      </c>
      <c r="N741" s="18" t="str">
        <f ca="1">IFERROR(__xludf.DUMMYFUNCTION("""COMPUTED_VALUE"""),"")</f>
        <v/>
      </c>
      <c r="O741" s="18" t="str">
        <f ca="1">IFERROR(__xludf.DUMMYFUNCTION("""COMPUTED_VALUE"""),"")</f>
        <v/>
      </c>
      <c r="P741" s="18" t="str">
        <f ca="1">IFERROR(__xludf.DUMMYFUNCTION("""COMPUTED_VALUE"""),"")</f>
        <v/>
      </c>
      <c r="Q741" s="18" t="str">
        <f ca="1">IFERROR(__xludf.DUMMYFUNCTION("""COMPUTED_VALUE"""),"")</f>
        <v/>
      </c>
      <c r="R741" s="18" t="str">
        <f ca="1">IFERROR(__xludf.DUMMYFUNCTION("""COMPUTED_VALUE"""),"")</f>
        <v/>
      </c>
      <c r="S741" s="18" t="str">
        <f ca="1">IFERROR(__xludf.DUMMYFUNCTION("""COMPUTED_VALUE"""),"")</f>
        <v/>
      </c>
      <c r="T741" s="18" t="str">
        <f ca="1">IFERROR(__xludf.DUMMYFUNCTION("""COMPUTED_VALUE"""),"")</f>
        <v/>
      </c>
      <c r="U741" s="18" t="str">
        <f ca="1">IFERROR(__xludf.DUMMYFUNCTION("""COMPUTED_VALUE"""),"")</f>
        <v/>
      </c>
      <c r="V741" s="18" t="str">
        <f ca="1">IFERROR(__xludf.DUMMYFUNCTION("""COMPUTED_VALUE"""),"")</f>
        <v/>
      </c>
      <c r="W741" s="18" t="str">
        <f ca="1">IFERROR(__xludf.DUMMYFUNCTION("""COMPUTED_VALUE"""),"")</f>
        <v/>
      </c>
      <c r="X741" s="18" t="str">
        <f ca="1">IFERROR(__xludf.DUMMYFUNCTION("""COMPUTED_VALUE"""),"")</f>
        <v/>
      </c>
      <c r="Y741" s="18" t="e">
        <f ca="1"/>
        <v>#NAME?</v>
      </c>
      <c r="Z741" s="18" t="str">
        <f ca="1">IFERROR(__xludf.DUMMYFUNCTION("""COMPUTED_VALUE"""),"")</f>
        <v/>
      </c>
      <c r="AA741" s="18" t="str">
        <f ca="1">IFERROR(__xludf.DUMMYFUNCTION("""COMPUTED_VALUE"""),"")</f>
        <v/>
      </c>
      <c r="AC741" s="59"/>
    </row>
    <row r="742" spans="1:29" x14ac:dyDescent="0.25">
      <c r="A742" s="18">
        <v>0</v>
      </c>
      <c r="B742" s="52" t="str">
        <f ca="1"/>
        <v/>
      </c>
      <c r="C742" s="52" t="str">
        <f ca="1">IFERROR(__xludf.DUMMYFUNCTION("""COMPUTED_VALUE"""),"")</f>
        <v/>
      </c>
      <c r="D742" s="18" t="str">
        <f ca="1">IFERROR(__xludf.DUMMYFUNCTION("""COMPUTED_VALUE"""),"")</f>
        <v/>
      </c>
      <c r="E742" s="18" t="str">
        <f ca="1">IFERROR(__xludf.DUMMYFUNCTION("""COMPUTED_VALUE"""),"")</f>
        <v/>
      </c>
      <c r="F742" s="18" t="str">
        <f ca="1">IFERROR(__xludf.DUMMYFUNCTION("""COMPUTED_VALUE"""),"")</f>
        <v/>
      </c>
      <c r="G742" s="18" t="str">
        <f ca="1">IFERROR(__xludf.DUMMYFUNCTION("""COMPUTED_VALUE"""),"")</f>
        <v/>
      </c>
      <c r="H742" s="18" t="str">
        <f ca="1">IFERROR(__xludf.DUMMYFUNCTION("""COMPUTED_VALUE"""),"")</f>
        <v/>
      </c>
      <c r="I742" s="18" t="str">
        <f ca="1">IFERROR(__xludf.DUMMYFUNCTION("""COMPUTED_VALUE"""),"")</f>
        <v/>
      </c>
      <c r="J742" s="18" t="str">
        <f ca="1">IFERROR(__xludf.DUMMYFUNCTION("""COMPUTED_VALUE"""),"")</f>
        <v/>
      </c>
      <c r="K742" s="18" t="str">
        <f ca="1">IFERROR(__xludf.DUMMYFUNCTION("""COMPUTED_VALUE"""),"")</f>
        <v/>
      </c>
      <c r="L742" s="18" t="str">
        <f ca="1">IFERROR(__xludf.DUMMYFUNCTION("""COMPUTED_VALUE"""),"")</f>
        <v/>
      </c>
      <c r="M742" s="18" t="str">
        <f ca="1">IFERROR(__xludf.DUMMYFUNCTION("""COMPUTED_VALUE"""),"")</f>
        <v/>
      </c>
      <c r="N742" s="18" t="str">
        <f ca="1">IFERROR(__xludf.DUMMYFUNCTION("""COMPUTED_VALUE"""),"")</f>
        <v/>
      </c>
      <c r="O742" s="18" t="str">
        <f ca="1">IFERROR(__xludf.DUMMYFUNCTION("""COMPUTED_VALUE"""),"")</f>
        <v/>
      </c>
      <c r="P742" s="18" t="str">
        <f ca="1">IFERROR(__xludf.DUMMYFUNCTION("""COMPUTED_VALUE"""),"")</f>
        <v/>
      </c>
      <c r="Q742" s="18" t="str">
        <f ca="1">IFERROR(__xludf.DUMMYFUNCTION("""COMPUTED_VALUE"""),"")</f>
        <v/>
      </c>
      <c r="R742" s="18" t="str">
        <f ca="1">IFERROR(__xludf.DUMMYFUNCTION("""COMPUTED_VALUE"""),"")</f>
        <v/>
      </c>
      <c r="S742" s="18" t="str">
        <f ca="1">IFERROR(__xludf.DUMMYFUNCTION("""COMPUTED_VALUE"""),"")</f>
        <v/>
      </c>
      <c r="T742" s="18" t="str">
        <f ca="1">IFERROR(__xludf.DUMMYFUNCTION("""COMPUTED_VALUE"""),"")</f>
        <v/>
      </c>
      <c r="U742" s="18" t="str">
        <f ca="1">IFERROR(__xludf.DUMMYFUNCTION("""COMPUTED_VALUE"""),"")</f>
        <v/>
      </c>
      <c r="V742" s="18" t="str">
        <f ca="1">IFERROR(__xludf.DUMMYFUNCTION("""COMPUTED_VALUE"""),"")</f>
        <v/>
      </c>
      <c r="W742" s="18" t="str">
        <f ca="1">IFERROR(__xludf.DUMMYFUNCTION("""COMPUTED_VALUE"""),"")</f>
        <v/>
      </c>
      <c r="X742" s="18" t="str">
        <f ca="1">IFERROR(__xludf.DUMMYFUNCTION("""COMPUTED_VALUE"""),"")</f>
        <v/>
      </c>
      <c r="Y742" s="18" t="e">
        <f ca="1"/>
        <v>#NAME?</v>
      </c>
      <c r="Z742" s="18" t="str">
        <f ca="1">IFERROR(__xludf.DUMMYFUNCTION("""COMPUTED_VALUE"""),"")</f>
        <v/>
      </c>
      <c r="AA742" s="18" t="str">
        <f ca="1">IFERROR(__xludf.DUMMYFUNCTION("""COMPUTED_VALUE"""),"")</f>
        <v/>
      </c>
      <c r="AC742" s="59"/>
    </row>
    <row r="743" spans="1:29" x14ac:dyDescent="0.25">
      <c r="A743" s="18">
        <v>0</v>
      </c>
      <c r="B743" s="52" t="str">
        <f ca="1"/>
        <v/>
      </c>
      <c r="C743" s="52" t="str">
        <f ca="1">IFERROR(__xludf.DUMMYFUNCTION("""COMPUTED_VALUE"""),"")</f>
        <v/>
      </c>
      <c r="D743" s="18" t="str">
        <f ca="1">IFERROR(__xludf.DUMMYFUNCTION("""COMPUTED_VALUE"""),"")</f>
        <v/>
      </c>
      <c r="E743" s="18" t="str">
        <f ca="1">IFERROR(__xludf.DUMMYFUNCTION("""COMPUTED_VALUE"""),"")</f>
        <v/>
      </c>
      <c r="F743" s="18" t="str">
        <f ca="1">IFERROR(__xludf.DUMMYFUNCTION("""COMPUTED_VALUE"""),"")</f>
        <v/>
      </c>
      <c r="G743" s="18" t="str">
        <f ca="1">IFERROR(__xludf.DUMMYFUNCTION("""COMPUTED_VALUE"""),"")</f>
        <v/>
      </c>
      <c r="H743" s="18" t="str">
        <f ca="1">IFERROR(__xludf.DUMMYFUNCTION("""COMPUTED_VALUE"""),"")</f>
        <v/>
      </c>
      <c r="I743" s="18" t="str">
        <f ca="1">IFERROR(__xludf.DUMMYFUNCTION("""COMPUTED_VALUE"""),"")</f>
        <v/>
      </c>
      <c r="J743" s="18" t="str">
        <f ca="1">IFERROR(__xludf.DUMMYFUNCTION("""COMPUTED_VALUE"""),"")</f>
        <v/>
      </c>
      <c r="K743" s="18" t="str">
        <f ca="1">IFERROR(__xludf.DUMMYFUNCTION("""COMPUTED_VALUE"""),"")</f>
        <v/>
      </c>
      <c r="L743" s="18" t="str">
        <f ca="1">IFERROR(__xludf.DUMMYFUNCTION("""COMPUTED_VALUE"""),"")</f>
        <v/>
      </c>
      <c r="M743" s="18" t="str">
        <f ca="1">IFERROR(__xludf.DUMMYFUNCTION("""COMPUTED_VALUE"""),"")</f>
        <v/>
      </c>
      <c r="N743" s="18" t="str">
        <f ca="1">IFERROR(__xludf.DUMMYFUNCTION("""COMPUTED_VALUE"""),"")</f>
        <v/>
      </c>
      <c r="O743" s="18" t="str">
        <f ca="1">IFERROR(__xludf.DUMMYFUNCTION("""COMPUTED_VALUE"""),"")</f>
        <v/>
      </c>
      <c r="P743" s="18" t="str">
        <f ca="1">IFERROR(__xludf.DUMMYFUNCTION("""COMPUTED_VALUE"""),"")</f>
        <v/>
      </c>
      <c r="Q743" s="18" t="str">
        <f ca="1">IFERROR(__xludf.DUMMYFUNCTION("""COMPUTED_VALUE"""),"")</f>
        <v/>
      </c>
      <c r="R743" s="18" t="str">
        <f ca="1">IFERROR(__xludf.DUMMYFUNCTION("""COMPUTED_VALUE"""),"")</f>
        <v/>
      </c>
      <c r="S743" s="18" t="str">
        <f ca="1">IFERROR(__xludf.DUMMYFUNCTION("""COMPUTED_VALUE"""),"")</f>
        <v/>
      </c>
      <c r="T743" s="18" t="str">
        <f ca="1">IFERROR(__xludf.DUMMYFUNCTION("""COMPUTED_VALUE"""),"")</f>
        <v/>
      </c>
      <c r="U743" s="18" t="str">
        <f ca="1">IFERROR(__xludf.DUMMYFUNCTION("""COMPUTED_VALUE"""),"")</f>
        <v/>
      </c>
      <c r="V743" s="18" t="str">
        <f ca="1">IFERROR(__xludf.DUMMYFUNCTION("""COMPUTED_VALUE"""),"")</f>
        <v/>
      </c>
      <c r="W743" s="18" t="str">
        <f ca="1">IFERROR(__xludf.DUMMYFUNCTION("""COMPUTED_VALUE"""),"")</f>
        <v/>
      </c>
      <c r="X743" s="18" t="str">
        <f ca="1">IFERROR(__xludf.DUMMYFUNCTION("""COMPUTED_VALUE"""),"")</f>
        <v/>
      </c>
      <c r="Y743" s="18" t="e">
        <f ca="1"/>
        <v>#NAME?</v>
      </c>
      <c r="Z743" s="18" t="str">
        <f ca="1">IFERROR(__xludf.DUMMYFUNCTION("""COMPUTED_VALUE"""),"")</f>
        <v/>
      </c>
      <c r="AA743" s="18" t="str">
        <f ca="1">IFERROR(__xludf.DUMMYFUNCTION("""COMPUTED_VALUE"""),"")</f>
        <v/>
      </c>
      <c r="AC743" s="59"/>
    </row>
    <row r="744" spans="1:29" x14ac:dyDescent="0.25">
      <c r="A744" s="18">
        <v>0</v>
      </c>
      <c r="B744" s="52" t="str">
        <f ca="1"/>
        <v/>
      </c>
      <c r="C744" s="52" t="str">
        <f ca="1">IFERROR(__xludf.DUMMYFUNCTION("""COMPUTED_VALUE"""),"")</f>
        <v/>
      </c>
      <c r="D744" s="18" t="str">
        <f ca="1">IFERROR(__xludf.DUMMYFUNCTION("""COMPUTED_VALUE"""),"")</f>
        <v/>
      </c>
      <c r="E744" s="18" t="str">
        <f ca="1">IFERROR(__xludf.DUMMYFUNCTION("""COMPUTED_VALUE"""),"")</f>
        <v/>
      </c>
      <c r="F744" s="18" t="str">
        <f ca="1">IFERROR(__xludf.DUMMYFUNCTION("""COMPUTED_VALUE"""),"")</f>
        <v/>
      </c>
      <c r="G744" s="18" t="str">
        <f ca="1">IFERROR(__xludf.DUMMYFUNCTION("""COMPUTED_VALUE"""),"")</f>
        <v/>
      </c>
      <c r="H744" s="18" t="str">
        <f ca="1">IFERROR(__xludf.DUMMYFUNCTION("""COMPUTED_VALUE"""),"")</f>
        <v/>
      </c>
      <c r="I744" s="18" t="str">
        <f ca="1">IFERROR(__xludf.DUMMYFUNCTION("""COMPUTED_VALUE"""),"")</f>
        <v/>
      </c>
      <c r="J744" s="18" t="str">
        <f ca="1">IFERROR(__xludf.DUMMYFUNCTION("""COMPUTED_VALUE"""),"")</f>
        <v/>
      </c>
      <c r="K744" s="18" t="str">
        <f ca="1">IFERROR(__xludf.DUMMYFUNCTION("""COMPUTED_VALUE"""),"")</f>
        <v/>
      </c>
      <c r="L744" s="18" t="str">
        <f ca="1">IFERROR(__xludf.DUMMYFUNCTION("""COMPUTED_VALUE"""),"")</f>
        <v/>
      </c>
      <c r="M744" s="18" t="str">
        <f ca="1">IFERROR(__xludf.DUMMYFUNCTION("""COMPUTED_VALUE"""),"")</f>
        <v/>
      </c>
      <c r="N744" s="18" t="str">
        <f ca="1">IFERROR(__xludf.DUMMYFUNCTION("""COMPUTED_VALUE"""),"")</f>
        <v/>
      </c>
      <c r="O744" s="18" t="str">
        <f ca="1">IFERROR(__xludf.DUMMYFUNCTION("""COMPUTED_VALUE"""),"")</f>
        <v/>
      </c>
      <c r="P744" s="18" t="str">
        <f ca="1">IFERROR(__xludf.DUMMYFUNCTION("""COMPUTED_VALUE"""),"")</f>
        <v/>
      </c>
      <c r="Q744" s="18" t="str">
        <f ca="1">IFERROR(__xludf.DUMMYFUNCTION("""COMPUTED_VALUE"""),"")</f>
        <v/>
      </c>
      <c r="R744" s="18" t="str">
        <f ca="1">IFERROR(__xludf.DUMMYFUNCTION("""COMPUTED_VALUE"""),"")</f>
        <v/>
      </c>
      <c r="S744" s="18" t="str">
        <f ca="1">IFERROR(__xludf.DUMMYFUNCTION("""COMPUTED_VALUE"""),"")</f>
        <v/>
      </c>
      <c r="T744" s="18" t="str">
        <f ca="1">IFERROR(__xludf.DUMMYFUNCTION("""COMPUTED_VALUE"""),"")</f>
        <v/>
      </c>
      <c r="U744" s="18" t="str">
        <f ca="1">IFERROR(__xludf.DUMMYFUNCTION("""COMPUTED_VALUE"""),"")</f>
        <v/>
      </c>
      <c r="V744" s="18" t="str">
        <f ca="1">IFERROR(__xludf.DUMMYFUNCTION("""COMPUTED_VALUE"""),"")</f>
        <v/>
      </c>
      <c r="W744" s="18" t="str">
        <f ca="1">IFERROR(__xludf.DUMMYFUNCTION("""COMPUTED_VALUE"""),"")</f>
        <v/>
      </c>
      <c r="X744" s="18" t="str">
        <f ca="1">IFERROR(__xludf.DUMMYFUNCTION("""COMPUTED_VALUE"""),"")</f>
        <v/>
      </c>
      <c r="Y744" s="18" t="e">
        <f ca="1"/>
        <v>#NAME?</v>
      </c>
      <c r="Z744" s="18" t="str">
        <f ca="1">IFERROR(__xludf.DUMMYFUNCTION("""COMPUTED_VALUE"""),"")</f>
        <v/>
      </c>
      <c r="AA744" s="18" t="str">
        <f ca="1">IFERROR(__xludf.DUMMYFUNCTION("""COMPUTED_VALUE"""),"")</f>
        <v/>
      </c>
      <c r="AC744" s="59"/>
    </row>
    <row r="745" spans="1:29" x14ac:dyDescent="0.25">
      <c r="A745" s="18">
        <v>0</v>
      </c>
      <c r="B745" s="52" t="str">
        <f ca="1"/>
        <v/>
      </c>
      <c r="C745" s="52" t="str">
        <f ca="1">IFERROR(__xludf.DUMMYFUNCTION("""COMPUTED_VALUE"""),"")</f>
        <v/>
      </c>
      <c r="D745" s="18" t="str">
        <f ca="1">IFERROR(__xludf.DUMMYFUNCTION("""COMPUTED_VALUE"""),"")</f>
        <v/>
      </c>
      <c r="E745" s="18" t="str">
        <f ca="1">IFERROR(__xludf.DUMMYFUNCTION("""COMPUTED_VALUE"""),"")</f>
        <v/>
      </c>
      <c r="F745" s="18" t="str">
        <f ca="1">IFERROR(__xludf.DUMMYFUNCTION("""COMPUTED_VALUE"""),"")</f>
        <v/>
      </c>
      <c r="G745" s="18" t="str">
        <f ca="1">IFERROR(__xludf.DUMMYFUNCTION("""COMPUTED_VALUE"""),"")</f>
        <v/>
      </c>
      <c r="H745" s="18" t="str">
        <f ca="1">IFERROR(__xludf.DUMMYFUNCTION("""COMPUTED_VALUE"""),"")</f>
        <v/>
      </c>
      <c r="I745" s="18" t="str">
        <f ca="1">IFERROR(__xludf.DUMMYFUNCTION("""COMPUTED_VALUE"""),"")</f>
        <v/>
      </c>
      <c r="J745" s="18" t="str">
        <f ca="1">IFERROR(__xludf.DUMMYFUNCTION("""COMPUTED_VALUE"""),"")</f>
        <v/>
      </c>
      <c r="K745" s="18" t="str">
        <f ca="1">IFERROR(__xludf.DUMMYFUNCTION("""COMPUTED_VALUE"""),"")</f>
        <v/>
      </c>
      <c r="L745" s="18" t="str">
        <f ca="1">IFERROR(__xludf.DUMMYFUNCTION("""COMPUTED_VALUE"""),"")</f>
        <v/>
      </c>
      <c r="M745" s="18" t="str">
        <f ca="1">IFERROR(__xludf.DUMMYFUNCTION("""COMPUTED_VALUE"""),"")</f>
        <v/>
      </c>
      <c r="N745" s="18" t="str">
        <f ca="1">IFERROR(__xludf.DUMMYFUNCTION("""COMPUTED_VALUE"""),"")</f>
        <v/>
      </c>
      <c r="O745" s="18" t="str">
        <f ca="1">IFERROR(__xludf.DUMMYFUNCTION("""COMPUTED_VALUE"""),"")</f>
        <v/>
      </c>
      <c r="P745" s="18" t="str">
        <f ca="1">IFERROR(__xludf.DUMMYFUNCTION("""COMPUTED_VALUE"""),"")</f>
        <v/>
      </c>
      <c r="Q745" s="18" t="str">
        <f ca="1">IFERROR(__xludf.DUMMYFUNCTION("""COMPUTED_VALUE"""),"")</f>
        <v/>
      </c>
      <c r="R745" s="18" t="str">
        <f ca="1">IFERROR(__xludf.DUMMYFUNCTION("""COMPUTED_VALUE"""),"")</f>
        <v/>
      </c>
      <c r="S745" s="18" t="str">
        <f ca="1">IFERROR(__xludf.DUMMYFUNCTION("""COMPUTED_VALUE"""),"")</f>
        <v/>
      </c>
      <c r="T745" s="18" t="str">
        <f ca="1">IFERROR(__xludf.DUMMYFUNCTION("""COMPUTED_VALUE"""),"")</f>
        <v/>
      </c>
      <c r="U745" s="18" t="str">
        <f ca="1">IFERROR(__xludf.DUMMYFUNCTION("""COMPUTED_VALUE"""),"")</f>
        <v/>
      </c>
      <c r="V745" s="18" t="str">
        <f ca="1">IFERROR(__xludf.DUMMYFUNCTION("""COMPUTED_VALUE"""),"")</f>
        <v/>
      </c>
      <c r="W745" s="18" t="str">
        <f ca="1">IFERROR(__xludf.DUMMYFUNCTION("""COMPUTED_VALUE"""),"")</f>
        <v/>
      </c>
      <c r="X745" s="18" t="str">
        <f ca="1">IFERROR(__xludf.DUMMYFUNCTION("""COMPUTED_VALUE"""),"")</f>
        <v/>
      </c>
      <c r="Y745" s="18" t="e">
        <f ca="1"/>
        <v>#NAME?</v>
      </c>
      <c r="Z745" s="18" t="str">
        <f ca="1">IFERROR(__xludf.DUMMYFUNCTION("""COMPUTED_VALUE"""),"")</f>
        <v/>
      </c>
      <c r="AA745" s="18" t="str">
        <f ca="1">IFERROR(__xludf.DUMMYFUNCTION("""COMPUTED_VALUE"""),"")</f>
        <v/>
      </c>
      <c r="AC745" s="59"/>
    </row>
    <row r="746" spans="1:29" x14ac:dyDescent="0.25">
      <c r="A746" s="18">
        <v>0</v>
      </c>
      <c r="B746" s="52" t="str">
        <f ca="1"/>
        <v/>
      </c>
      <c r="C746" s="52" t="str">
        <f ca="1">IFERROR(__xludf.DUMMYFUNCTION("""COMPUTED_VALUE"""),"")</f>
        <v/>
      </c>
      <c r="D746" s="18" t="str">
        <f ca="1">IFERROR(__xludf.DUMMYFUNCTION("""COMPUTED_VALUE"""),"")</f>
        <v/>
      </c>
      <c r="E746" s="18" t="str">
        <f ca="1">IFERROR(__xludf.DUMMYFUNCTION("""COMPUTED_VALUE"""),"")</f>
        <v/>
      </c>
      <c r="F746" s="18" t="str">
        <f ca="1">IFERROR(__xludf.DUMMYFUNCTION("""COMPUTED_VALUE"""),"")</f>
        <v/>
      </c>
      <c r="G746" s="18" t="str">
        <f ca="1">IFERROR(__xludf.DUMMYFUNCTION("""COMPUTED_VALUE"""),"")</f>
        <v/>
      </c>
      <c r="H746" s="18" t="str">
        <f ca="1">IFERROR(__xludf.DUMMYFUNCTION("""COMPUTED_VALUE"""),"")</f>
        <v/>
      </c>
      <c r="I746" s="18" t="str">
        <f ca="1">IFERROR(__xludf.DUMMYFUNCTION("""COMPUTED_VALUE"""),"")</f>
        <v/>
      </c>
      <c r="J746" s="18" t="str">
        <f ca="1">IFERROR(__xludf.DUMMYFUNCTION("""COMPUTED_VALUE"""),"")</f>
        <v/>
      </c>
      <c r="K746" s="18" t="str">
        <f ca="1">IFERROR(__xludf.DUMMYFUNCTION("""COMPUTED_VALUE"""),"")</f>
        <v/>
      </c>
      <c r="L746" s="18" t="str">
        <f ca="1">IFERROR(__xludf.DUMMYFUNCTION("""COMPUTED_VALUE"""),"")</f>
        <v/>
      </c>
      <c r="M746" s="18" t="str">
        <f ca="1">IFERROR(__xludf.DUMMYFUNCTION("""COMPUTED_VALUE"""),"")</f>
        <v/>
      </c>
      <c r="N746" s="18" t="str">
        <f ca="1">IFERROR(__xludf.DUMMYFUNCTION("""COMPUTED_VALUE"""),"")</f>
        <v/>
      </c>
      <c r="O746" s="18" t="str">
        <f ca="1">IFERROR(__xludf.DUMMYFUNCTION("""COMPUTED_VALUE"""),"")</f>
        <v/>
      </c>
      <c r="P746" s="18" t="str">
        <f ca="1">IFERROR(__xludf.DUMMYFUNCTION("""COMPUTED_VALUE"""),"")</f>
        <v/>
      </c>
      <c r="Q746" s="18" t="str">
        <f ca="1">IFERROR(__xludf.DUMMYFUNCTION("""COMPUTED_VALUE"""),"")</f>
        <v/>
      </c>
      <c r="R746" s="18" t="str">
        <f ca="1">IFERROR(__xludf.DUMMYFUNCTION("""COMPUTED_VALUE"""),"")</f>
        <v/>
      </c>
      <c r="S746" s="18" t="str">
        <f ca="1">IFERROR(__xludf.DUMMYFUNCTION("""COMPUTED_VALUE"""),"")</f>
        <v/>
      </c>
      <c r="T746" s="18" t="str">
        <f ca="1">IFERROR(__xludf.DUMMYFUNCTION("""COMPUTED_VALUE"""),"")</f>
        <v/>
      </c>
      <c r="U746" s="18" t="str">
        <f ca="1">IFERROR(__xludf.DUMMYFUNCTION("""COMPUTED_VALUE"""),"")</f>
        <v/>
      </c>
      <c r="V746" s="18" t="str">
        <f ca="1">IFERROR(__xludf.DUMMYFUNCTION("""COMPUTED_VALUE"""),"")</f>
        <v/>
      </c>
      <c r="W746" s="18" t="str">
        <f ca="1">IFERROR(__xludf.DUMMYFUNCTION("""COMPUTED_VALUE"""),"")</f>
        <v/>
      </c>
      <c r="X746" s="18" t="str">
        <f ca="1">IFERROR(__xludf.DUMMYFUNCTION("""COMPUTED_VALUE"""),"")</f>
        <v/>
      </c>
      <c r="Y746" s="18" t="e">
        <f ca="1"/>
        <v>#NAME?</v>
      </c>
      <c r="Z746" s="18" t="str">
        <f ca="1">IFERROR(__xludf.DUMMYFUNCTION("""COMPUTED_VALUE"""),"")</f>
        <v/>
      </c>
      <c r="AA746" s="18" t="str">
        <f ca="1">IFERROR(__xludf.DUMMYFUNCTION("""COMPUTED_VALUE"""),"")</f>
        <v/>
      </c>
      <c r="AC746" s="59"/>
    </row>
    <row r="747" spans="1:29" x14ac:dyDescent="0.25">
      <c r="A747" s="18">
        <v>0</v>
      </c>
      <c r="B747" s="52" t="str">
        <f ca="1"/>
        <v/>
      </c>
      <c r="C747" s="52" t="str">
        <f ca="1">IFERROR(__xludf.DUMMYFUNCTION("""COMPUTED_VALUE"""),"")</f>
        <v/>
      </c>
      <c r="D747" s="18" t="str">
        <f ca="1">IFERROR(__xludf.DUMMYFUNCTION("""COMPUTED_VALUE"""),"")</f>
        <v/>
      </c>
      <c r="E747" s="18" t="str">
        <f ca="1">IFERROR(__xludf.DUMMYFUNCTION("""COMPUTED_VALUE"""),"")</f>
        <v/>
      </c>
      <c r="F747" s="18" t="str">
        <f ca="1">IFERROR(__xludf.DUMMYFUNCTION("""COMPUTED_VALUE"""),"")</f>
        <v/>
      </c>
      <c r="G747" s="18" t="str">
        <f ca="1">IFERROR(__xludf.DUMMYFUNCTION("""COMPUTED_VALUE"""),"")</f>
        <v/>
      </c>
      <c r="H747" s="18" t="str">
        <f ca="1">IFERROR(__xludf.DUMMYFUNCTION("""COMPUTED_VALUE"""),"")</f>
        <v/>
      </c>
      <c r="I747" s="18" t="str">
        <f ca="1">IFERROR(__xludf.DUMMYFUNCTION("""COMPUTED_VALUE"""),"")</f>
        <v/>
      </c>
      <c r="J747" s="18" t="str">
        <f ca="1">IFERROR(__xludf.DUMMYFUNCTION("""COMPUTED_VALUE"""),"")</f>
        <v/>
      </c>
      <c r="K747" s="18" t="str">
        <f ca="1">IFERROR(__xludf.DUMMYFUNCTION("""COMPUTED_VALUE"""),"")</f>
        <v/>
      </c>
      <c r="L747" s="18" t="str">
        <f ca="1">IFERROR(__xludf.DUMMYFUNCTION("""COMPUTED_VALUE"""),"")</f>
        <v/>
      </c>
      <c r="M747" s="18" t="str">
        <f ca="1">IFERROR(__xludf.DUMMYFUNCTION("""COMPUTED_VALUE"""),"")</f>
        <v/>
      </c>
      <c r="N747" s="18" t="str">
        <f ca="1">IFERROR(__xludf.DUMMYFUNCTION("""COMPUTED_VALUE"""),"")</f>
        <v/>
      </c>
      <c r="O747" s="18" t="str">
        <f ca="1">IFERROR(__xludf.DUMMYFUNCTION("""COMPUTED_VALUE"""),"")</f>
        <v/>
      </c>
      <c r="P747" s="18" t="str">
        <f ca="1">IFERROR(__xludf.DUMMYFUNCTION("""COMPUTED_VALUE"""),"")</f>
        <v/>
      </c>
      <c r="Q747" s="18" t="str">
        <f ca="1">IFERROR(__xludf.DUMMYFUNCTION("""COMPUTED_VALUE"""),"")</f>
        <v/>
      </c>
      <c r="R747" s="18" t="str">
        <f ca="1">IFERROR(__xludf.DUMMYFUNCTION("""COMPUTED_VALUE"""),"")</f>
        <v/>
      </c>
      <c r="S747" s="18" t="str">
        <f ca="1">IFERROR(__xludf.DUMMYFUNCTION("""COMPUTED_VALUE"""),"")</f>
        <v/>
      </c>
      <c r="T747" s="18" t="str">
        <f ca="1">IFERROR(__xludf.DUMMYFUNCTION("""COMPUTED_VALUE"""),"")</f>
        <v/>
      </c>
      <c r="U747" s="18" t="str">
        <f ca="1">IFERROR(__xludf.DUMMYFUNCTION("""COMPUTED_VALUE"""),"")</f>
        <v/>
      </c>
      <c r="V747" s="18" t="str">
        <f ca="1">IFERROR(__xludf.DUMMYFUNCTION("""COMPUTED_VALUE"""),"")</f>
        <v/>
      </c>
      <c r="W747" s="18" t="str">
        <f ca="1">IFERROR(__xludf.DUMMYFUNCTION("""COMPUTED_VALUE"""),"")</f>
        <v/>
      </c>
      <c r="X747" s="18" t="str">
        <f ca="1">IFERROR(__xludf.DUMMYFUNCTION("""COMPUTED_VALUE"""),"")</f>
        <v/>
      </c>
      <c r="Y747" s="18" t="e">
        <f ca="1"/>
        <v>#NAME?</v>
      </c>
      <c r="Z747" s="18" t="str">
        <f ca="1">IFERROR(__xludf.DUMMYFUNCTION("""COMPUTED_VALUE"""),"")</f>
        <v/>
      </c>
      <c r="AA747" s="18" t="str">
        <f ca="1">IFERROR(__xludf.DUMMYFUNCTION("""COMPUTED_VALUE"""),"")</f>
        <v/>
      </c>
      <c r="AC747" s="59"/>
    </row>
    <row r="748" spans="1:29" x14ac:dyDescent="0.25">
      <c r="A748" s="18">
        <v>0</v>
      </c>
      <c r="B748" s="52" t="str">
        <f ca="1"/>
        <v/>
      </c>
      <c r="C748" s="52" t="str">
        <f ca="1">IFERROR(__xludf.DUMMYFUNCTION("""COMPUTED_VALUE"""),"")</f>
        <v/>
      </c>
      <c r="D748" s="18" t="str">
        <f ca="1">IFERROR(__xludf.DUMMYFUNCTION("""COMPUTED_VALUE"""),"")</f>
        <v/>
      </c>
      <c r="E748" s="18" t="str">
        <f ca="1">IFERROR(__xludf.DUMMYFUNCTION("""COMPUTED_VALUE"""),"")</f>
        <v/>
      </c>
      <c r="F748" s="18" t="str">
        <f ca="1">IFERROR(__xludf.DUMMYFUNCTION("""COMPUTED_VALUE"""),"")</f>
        <v/>
      </c>
      <c r="G748" s="18" t="str">
        <f ca="1">IFERROR(__xludf.DUMMYFUNCTION("""COMPUTED_VALUE"""),"")</f>
        <v/>
      </c>
      <c r="H748" s="18" t="str">
        <f ca="1">IFERROR(__xludf.DUMMYFUNCTION("""COMPUTED_VALUE"""),"")</f>
        <v/>
      </c>
      <c r="I748" s="18" t="str">
        <f ca="1">IFERROR(__xludf.DUMMYFUNCTION("""COMPUTED_VALUE"""),"")</f>
        <v/>
      </c>
      <c r="J748" s="18" t="str">
        <f ca="1">IFERROR(__xludf.DUMMYFUNCTION("""COMPUTED_VALUE"""),"")</f>
        <v/>
      </c>
      <c r="K748" s="18" t="str">
        <f ca="1">IFERROR(__xludf.DUMMYFUNCTION("""COMPUTED_VALUE"""),"")</f>
        <v/>
      </c>
      <c r="L748" s="18" t="str">
        <f ca="1">IFERROR(__xludf.DUMMYFUNCTION("""COMPUTED_VALUE"""),"")</f>
        <v/>
      </c>
      <c r="M748" s="18" t="str">
        <f ca="1">IFERROR(__xludf.DUMMYFUNCTION("""COMPUTED_VALUE"""),"")</f>
        <v/>
      </c>
      <c r="N748" s="18" t="str">
        <f ca="1">IFERROR(__xludf.DUMMYFUNCTION("""COMPUTED_VALUE"""),"")</f>
        <v/>
      </c>
      <c r="O748" s="18" t="str">
        <f ca="1">IFERROR(__xludf.DUMMYFUNCTION("""COMPUTED_VALUE"""),"")</f>
        <v/>
      </c>
      <c r="P748" s="18" t="str">
        <f ca="1">IFERROR(__xludf.DUMMYFUNCTION("""COMPUTED_VALUE"""),"")</f>
        <v/>
      </c>
      <c r="Q748" s="18" t="str">
        <f ca="1">IFERROR(__xludf.DUMMYFUNCTION("""COMPUTED_VALUE"""),"")</f>
        <v/>
      </c>
      <c r="R748" s="18" t="str">
        <f ca="1">IFERROR(__xludf.DUMMYFUNCTION("""COMPUTED_VALUE"""),"")</f>
        <v/>
      </c>
      <c r="S748" s="18" t="str">
        <f ca="1">IFERROR(__xludf.DUMMYFUNCTION("""COMPUTED_VALUE"""),"")</f>
        <v/>
      </c>
      <c r="T748" s="18" t="str">
        <f ca="1">IFERROR(__xludf.DUMMYFUNCTION("""COMPUTED_VALUE"""),"")</f>
        <v/>
      </c>
      <c r="U748" s="18" t="str">
        <f ca="1">IFERROR(__xludf.DUMMYFUNCTION("""COMPUTED_VALUE"""),"")</f>
        <v/>
      </c>
      <c r="V748" s="18" t="str">
        <f ca="1">IFERROR(__xludf.DUMMYFUNCTION("""COMPUTED_VALUE"""),"")</f>
        <v/>
      </c>
      <c r="W748" s="18" t="str">
        <f ca="1">IFERROR(__xludf.DUMMYFUNCTION("""COMPUTED_VALUE"""),"")</f>
        <v/>
      </c>
      <c r="X748" s="18" t="str">
        <f ca="1">IFERROR(__xludf.DUMMYFUNCTION("""COMPUTED_VALUE"""),"")</f>
        <v/>
      </c>
      <c r="Y748" s="18" t="e">
        <f ca="1"/>
        <v>#NAME?</v>
      </c>
      <c r="Z748" s="18" t="str">
        <f ca="1">IFERROR(__xludf.DUMMYFUNCTION("""COMPUTED_VALUE"""),"")</f>
        <v/>
      </c>
      <c r="AA748" s="18" t="str">
        <f ca="1">IFERROR(__xludf.DUMMYFUNCTION("""COMPUTED_VALUE"""),"")</f>
        <v/>
      </c>
      <c r="AC748" s="59"/>
    </row>
    <row r="749" spans="1:29" x14ac:dyDescent="0.25">
      <c r="A749" s="18">
        <v>0</v>
      </c>
      <c r="B749" s="52" t="str">
        <f ca="1"/>
        <v/>
      </c>
      <c r="C749" s="52" t="str">
        <f ca="1">IFERROR(__xludf.DUMMYFUNCTION("""COMPUTED_VALUE"""),"")</f>
        <v/>
      </c>
      <c r="D749" s="18" t="str">
        <f ca="1">IFERROR(__xludf.DUMMYFUNCTION("""COMPUTED_VALUE"""),"")</f>
        <v/>
      </c>
      <c r="E749" s="18" t="str">
        <f ca="1">IFERROR(__xludf.DUMMYFUNCTION("""COMPUTED_VALUE"""),"")</f>
        <v/>
      </c>
      <c r="F749" s="18" t="str">
        <f ca="1">IFERROR(__xludf.DUMMYFUNCTION("""COMPUTED_VALUE"""),"")</f>
        <v/>
      </c>
      <c r="G749" s="18" t="str">
        <f ca="1">IFERROR(__xludf.DUMMYFUNCTION("""COMPUTED_VALUE"""),"")</f>
        <v/>
      </c>
      <c r="H749" s="18" t="str">
        <f ca="1">IFERROR(__xludf.DUMMYFUNCTION("""COMPUTED_VALUE"""),"")</f>
        <v/>
      </c>
      <c r="I749" s="18" t="str">
        <f ca="1">IFERROR(__xludf.DUMMYFUNCTION("""COMPUTED_VALUE"""),"")</f>
        <v/>
      </c>
      <c r="J749" s="18" t="str">
        <f ca="1">IFERROR(__xludf.DUMMYFUNCTION("""COMPUTED_VALUE"""),"")</f>
        <v/>
      </c>
      <c r="K749" s="18" t="str">
        <f ca="1">IFERROR(__xludf.DUMMYFUNCTION("""COMPUTED_VALUE"""),"")</f>
        <v/>
      </c>
      <c r="L749" s="18" t="str">
        <f ca="1">IFERROR(__xludf.DUMMYFUNCTION("""COMPUTED_VALUE"""),"")</f>
        <v/>
      </c>
      <c r="M749" s="18" t="str">
        <f ca="1">IFERROR(__xludf.DUMMYFUNCTION("""COMPUTED_VALUE"""),"")</f>
        <v/>
      </c>
      <c r="N749" s="18" t="str">
        <f ca="1">IFERROR(__xludf.DUMMYFUNCTION("""COMPUTED_VALUE"""),"")</f>
        <v/>
      </c>
      <c r="O749" s="18" t="str">
        <f ca="1">IFERROR(__xludf.DUMMYFUNCTION("""COMPUTED_VALUE"""),"")</f>
        <v/>
      </c>
      <c r="P749" s="18" t="str">
        <f ca="1">IFERROR(__xludf.DUMMYFUNCTION("""COMPUTED_VALUE"""),"")</f>
        <v/>
      </c>
      <c r="Q749" s="18" t="str">
        <f ca="1">IFERROR(__xludf.DUMMYFUNCTION("""COMPUTED_VALUE"""),"")</f>
        <v/>
      </c>
      <c r="R749" s="18" t="str">
        <f ca="1">IFERROR(__xludf.DUMMYFUNCTION("""COMPUTED_VALUE"""),"")</f>
        <v/>
      </c>
      <c r="S749" s="18" t="str">
        <f ca="1">IFERROR(__xludf.DUMMYFUNCTION("""COMPUTED_VALUE"""),"")</f>
        <v/>
      </c>
      <c r="T749" s="18" t="str">
        <f ca="1">IFERROR(__xludf.DUMMYFUNCTION("""COMPUTED_VALUE"""),"")</f>
        <v/>
      </c>
      <c r="U749" s="18" t="str">
        <f ca="1">IFERROR(__xludf.DUMMYFUNCTION("""COMPUTED_VALUE"""),"")</f>
        <v/>
      </c>
      <c r="V749" s="18" t="str">
        <f ca="1">IFERROR(__xludf.DUMMYFUNCTION("""COMPUTED_VALUE"""),"")</f>
        <v/>
      </c>
      <c r="W749" s="18" t="str">
        <f ca="1">IFERROR(__xludf.DUMMYFUNCTION("""COMPUTED_VALUE"""),"")</f>
        <v/>
      </c>
      <c r="X749" s="18" t="str">
        <f ca="1">IFERROR(__xludf.DUMMYFUNCTION("""COMPUTED_VALUE"""),"")</f>
        <v/>
      </c>
      <c r="Y749" s="18" t="e">
        <f ca="1"/>
        <v>#NAME?</v>
      </c>
      <c r="Z749" s="18" t="str">
        <f ca="1">IFERROR(__xludf.DUMMYFUNCTION("""COMPUTED_VALUE"""),"")</f>
        <v/>
      </c>
      <c r="AA749" s="18" t="str">
        <f ca="1">IFERROR(__xludf.DUMMYFUNCTION("""COMPUTED_VALUE"""),"")</f>
        <v/>
      </c>
      <c r="AC749" s="59"/>
    </row>
    <row r="750" spans="1:29" x14ac:dyDescent="0.25">
      <c r="A750" s="18">
        <v>0</v>
      </c>
      <c r="B750" s="52" t="str">
        <f ca="1"/>
        <v/>
      </c>
      <c r="C750" s="52" t="str">
        <f ca="1">IFERROR(__xludf.DUMMYFUNCTION("""COMPUTED_VALUE"""),"")</f>
        <v/>
      </c>
      <c r="D750" s="18" t="str">
        <f ca="1">IFERROR(__xludf.DUMMYFUNCTION("""COMPUTED_VALUE"""),"")</f>
        <v/>
      </c>
      <c r="E750" s="18" t="str">
        <f ca="1">IFERROR(__xludf.DUMMYFUNCTION("""COMPUTED_VALUE"""),"")</f>
        <v/>
      </c>
      <c r="F750" s="18" t="str">
        <f ca="1">IFERROR(__xludf.DUMMYFUNCTION("""COMPUTED_VALUE"""),"")</f>
        <v/>
      </c>
      <c r="G750" s="18" t="str">
        <f ca="1">IFERROR(__xludf.DUMMYFUNCTION("""COMPUTED_VALUE"""),"")</f>
        <v/>
      </c>
      <c r="H750" s="18" t="str">
        <f ca="1">IFERROR(__xludf.DUMMYFUNCTION("""COMPUTED_VALUE"""),"")</f>
        <v/>
      </c>
      <c r="I750" s="18" t="str">
        <f ca="1">IFERROR(__xludf.DUMMYFUNCTION("""COMPUTED_VALUE"""),"")</f>
        <v/>
      </c>
      <c r="J750" s="18" t="str">
        <f ca="1">IFERROR(__xludf.DUMMYFUNCTION("""COMPUTED_VALUE"""),"")</f>
        <v/>
      </c>
      <c r="K750" s="18" t="str">
        <f ca="1">IFERROR(__xludf.DUMMYFUNCTION("""COMPUTED_VALUE"""),"")</f>
        <v/>
      </c>
      <c r="L750" s="18" t="str">
        <f ca="1">IFERROR(__xludf.DUMMYFUNCTION("""COMPUTED_VALUE"""),"")</f>
        <v/>
      </c>
      <c r="M750" s="18" t="str">
        <f ca="1">IFERROR(__xludf.DUMMYFUNCTION("""COMPUTED_VALUE"""),"")</f>
        <v/>
      </c>
      <c r="N750" s="18" t="str">
        <f ca="1">IFERROR(__xludf.DUMMYFUNCTION("""COMPUTED_VALUE"""),"")</f>
        <v/>
      </c>
      <c r="O750" s="18" t="str">
        <f ca="1">IFERROR(__xludf.DUMMYFUNCTION("""COMPUTED_VALUE"""),"")</f>
        <v/>
      </c>
      <c r="P750" s="18" t="str">
        <f ca="1">IFERROR(__xludf.DUMMYFUNCTION("""COMPUTED_VALUE"""),"")</f>
        <v/>
      </c>
      <c r="Q750" s="18" t="str">
        <f ca="1">IFERROR(__xludf.DUMMYFUNCTION("""COMPUTED_VALUE"""),"")</f>
        <v/>
      </c>
      <c r="R750" s="18" t="str">
        <f ca="1">IFERROR(__xludf.DUMMYFUNCTION("""COMPUTED_VALUE"""),"")</f>
        <v/>
      </c>
      <c r="S750" s="18" t="str">
        <f ca="1">IFERROR(__xludf.DUMMYFUNCTION("""COMPUTED_VALUE"""),"")</f>
        <v/>
      </c>
      <c r="T750" s="18" t="str">
        <f ca="1">IFERROR(__xludf.DUMMYFUNCTION("""COMPUTED_VALUE"""),"")</f>
        <v/>
      </c>
      <c r="U750" s="18" t="str">
        <f ca="1">IFERROR(__xludf.DUMMYFUNCTION("""COMPUTED_VALUE"""),"")</f>
        <v/>
      </c>
      <c r="V750" s="18" t="str">
        <f ca="1">IFERROR(__xludf.DUMMYFUNCTION("""COMPUTED_VALUE"""),"")</f>
        <v/>
      </c>
      <c r="W750" s="18" t="str">
        <f ca="1">IFERROR(__xludf.DUMMYFUNCTION("""COMPUTED_VALUE"""),"")</f>
        <v/>
      </c>
      <c r="X750" s="18" t="str">
        <f ca="1">IFERROR(__xludf.DUMMYFUNCTION("""COMPUTED_VALUE"""),"")</f>
        <v/>
      </c>
      <c r="Y750" s="18" t="e">
        <f ca="1"/>
        <v>#NAME?</v>
      </c>
      <c r="Z750" s="18" t="str">
        <f ca="1">IFERROR(__xludf.DUMMYFUNCTION("""COMPUTED_VALUE"""),"")</f>
        <v/>
      </c>
      <c r="AA750" s="18" t="str">
        <f ca="1">IFERROR(__xludf.DUMMYFUNCTION("""COMPUTED_VALUE"""),"")</f>
        <v/>
      </c>
      <c r="AC750" s="59"/>
    </row>
    <row r="751" spans="1:29" x14ac:dyDescent="0.25">
      <c r="A751" s="18">
        <v>0</v>
      </c>
      <c r="B751" s="52" t="str">
        <f ca="1"/>
        <v/>
      </c>
      <c r="C751" s="52" t="str">
        <f ca="1">IFERROR(__xludf.DUMMYFUNCTION("""COMPUTED_VALUE"""),"")</f>
        <v/>
      </c>
      <c r="D751" s="18" t="str">
        <f ca="1">IFERROR(__xludf.DUMMYFUNCTION("""COMPUTED_VALUE"""),"")</f>
        <v/>
      </c>
      <c r="E751" s="18" t="str">
        <f ca="1">IFERROR(__xludf.DUMMYFUNCTION("""COMPUTED_VALUE"""),"")</f>
        <v/>
      </c>
      <c r="F751" s="18" t="str">
        <f ca="1">IFERROR(__xludf.DUMMYFUNCTION("""COMPUTED_VALUE"""),"")</f>
        <v/>
      </c>
      <c r="G751" s="18" t="str">
        <f ca="1">IFERROR(__xludf.DUMMYFUNCTION("""COMPUTED_VALUE"""),"")</f>
        <v/>
      </c>
      <c r="H751" s="18" t="str">
        <f ca="1">IFERROR(__xludf.DUMMYFUNCTION("""COMPUTED_VALUE"""),"")</f>
        <v/>
      </c>
      <c r="I751" s="18" t="str">
        <f ca="1">IFERROR(__xludf.DUMMYFUNCTION("""COMPUTED_VALUE"""),"")</f>
        <v/>
      </c>
      <c r="J751" s="18" t="str">
        <f ca="1">IFERROR(__xludf.DUMMYFUNCTION("""COMPUTED_VALUE"""),"")</f>
        <v/>
      </c>
      <c r="K751" s="18" t="str">
        <f ca="1">IFERROR(__xludf.DUMMYFUNCTION("""COMPUTED_VALUE"""),"")</f>
        <v/>
      </c>
      <c r="L751" s="18" t="str">
        <f ca="1">IFERROR(__xludf.DUMMYFUNCTION("""COMPUTED_VALUE"""),"")</f>
        <v/>
      </c>
      <c r="M751" s="18" t="str">
        <f ca="1">IFERROR(__xludf.DUMMYFUNCTION("""COMPUTED_VALUE"""),"")</f>
        <v/>
      </c>
      <c r="N751" s="18" t="str">
        <f ca="1">IFERROR(__xludf.DUMMYFUNCTION("""COMPUTED_VALUE"""),"")</f>
        <v/>
      </c>
      <c r="O751" s="18" t="str">
        <f ca="1">IFERROR(__xludf.DUMMYFUNCTION("""COMPUTED_VALUE"""),"")</f>
        <v/>
      </c>
      <c r="P751" s="18" t="str">
        <f ca="1">IFERROR(__xludf.DUMMYFUNCTION("""COMPUTED_VALUE"""),"")</f>
        <v/>
      </c>
      <c r="Q751" s="18" t="str">
        <f ca="1">IFERROR(__xludf.DUMMYFUNCTION("""COMPUTED_VALUE"""),"")</f>
        <v/>
      </c>
      <c r="R751" s="18" t="str">
        <f ca="1">IFERROR(__xludf.DUMMYFUNCTION("""COMPUTED_VALUE"""),"")</f>
        <v/>
      </c>
      <c r="S751" s="18" t="str">
        <f ca="1">IFERROR(__xludf.DUMMYFUNCTION("""COMPUTED_VALUE"""),"")</f>
        <v/>
      </c>
      <c r="T751" s="18" t="str">
        <f ca="1">IFERROR(__xludf.DUMMYFUNCTION("""COMPUTED_VALUE"""),"")</f>
        <v/>
      </c>
      <c r="U751" s="18" t="str">
        <f ca="1">IFERROR(__xludf.DUMMYFUNCTION("""COMPUTED_VALUE"""),"")</f>
        <v/>
      </c>
      <c r="V751" s="18" t="str">
        <f ca="1">IFERROR(__xludf.DUMMYFUNCTION("""COMPUTED_VALUE"""),"")</f>
        <v/>
      </c>
      <c r="W751" s="18" t="str">
        <f ca="1">IFERROR(__xludf.DUMMYFUNCTION("""COMPUTED_VALUE"""),"")</f>
        <v/>
      </c>
      <c r="X751" s="18" t="str">
        <f ca="1">IFERROR(__xludf.DUMMYFUNCTION("""COMPUTED_VALUE"""),"")</f>
        <v/>
      </c>
      <c r="Y751" s="18" t="e">
        <f ca="1"/>
        <v>#NAME?</v>
      </c>
      <c r="Z751" s="18" t="str">
        <f ca="1">IFERROR(__xludf.DUMMYFUNCTION("""COMPUTED_VALUE"""),"")</f>
        <v/>
      </c>
      <c r="AA751" s="18" t="str">
        <f ca="1">IFERROR(__xludf.DUMMYFUNCTION("""COMPUTED_VALUE"""),"")</f>
        <v/>
      </c>
      <c r="AC751" s="59"/>
    </row>
    <row r="752" spans="1:29" x14ac:dyDescent="0.25">
      <c r="A752" s="18">
        <v>0</v>
      </c>
      <c r="B752" s="52" t="str">
        <f ca="1"/>
        <v/>
      </c>
      <c r="C752" s="52" t="str">
        <f ca="1">IFERROR(__xludf.DUMMYFUNCTION("""COMPUTED_VALUE"""),"")</f>
        <v/>
      </c>
      <c r="D752" s="18" t="str">
        <f ca="1">IFERROR(__xludf.DUMMYFUNCTION("""COMPUTED_VALUE"""),"")</f>
        <v/>
      </c>
      <c r="E752" s="18" t="str">
        <f ca="1">IFERROR(__xludf.DUMMYFUNCTION("""COMPUTED_VALUE"""),"")</f>
        <v/>
      </c>
      <c r="F752" s="18" t="str">
        <f ca="1">IFERROR(__xludf.DUMMYFUNCTION("""COMPUTED_VALUE"""),"")</f>
        <v/>
      </c>
      <c r="G752" s="18" t="str">
        <f ca="1">IFERROR(__xludf.DUMMYFUNCTION("""COMPUTED_VALUE"""),"")</f>
        <v/>
      </c>
      <c r="H752" s="18" t="str">
        <f ca="1">IFERROR(__xludf.DUMMYFUNCTION("""COMPUTED_VALUE"""),"")</f>
        <v/>
      </c>
      <c r="I752" s="18" t="str">
        <f ca="1">IFERROR(__xludf.DUMMYFUNCTION("""COMPUTED_VALUE"""),"")</f>
        <v/>
      </c>
      <c r="J752" s="18" t="str">
        <f ca="1">IFERROR(__xludf.DUMMYFUNCTION("""COMPUTED_VALUE"""),"")</f>
        <v/>
      </c>
      <c r="K752" s="18" t="str">
        <f ca="1">IFERROR(__xludf.DUMMYFUNCTION("""COMPUTED_VALUE"""),"")</f>
        <v/>
      </c>
      <c r="L752" s="18" t="str">
        <f ca="1">IFERROR(__xludf.DUMMYFUNCTION("""COMPUTED_VALUE"""),"")</f>
        <v/>
      </c>
      <c r="M752" s="18" t="str">
        <f ca="1">IFERROR(__xludf.DUMMYFUNCTION("""COMPUTED_VALUE"""),"")</f>
        <v/>
      </c>
      <c r="N752" s="18" t="str">
        <f ca="1">IFERROR(__xludf.DUMMYFUNCTION("""COMPUTED_VALUE"""),"")</f>
        <v/>
      </c>
      <c r="O752" s="18" t="str">
        <f ca="1">IFERROR(__xludf.DUMMYFUNCTION("""COMPUTED_VALUE"""),"")</f>
        <v/>
      </c>
      <c r="P752" s="18" t="str">
        <f ca="1">IFERROR(__xludf.DUMMYFUNCTION("""COMPUTED_VALUE"""),"")</f>
        <v/>
      </c>
      <c r="Q752" s="18" t="str">
        <f ca="1">IFERROR(__xludf.DUMMYFUNCTION("""COMPUTED_VALUE"""),"")</f>
        <v/>
      </c>
      <c r="R752" s="18" t="str">
        <f ca="1">IFERROR(__xludf.DUMMYFUNCTION("""COMPUTED_VALUE"""),"")</f>
        <v/>
      </c>
      <c r="S752" s="18" t="str">
        <f ca="1">IFERROR(__xludf.DUMMYFUNCTION("""COMPUTED_VALUE"""),"")</f>
        <v/>
      </c>
      <c r="T752" s="18" t="str">
        <f ca="1">IFERROR(__xludf.DUMMYFUNCTION("""COMPUTED_VALUE"""),"")</f>
        <v/>
      </c>
      <c r="U752" s="18" t="str">
        <f ca="1">IFERROR(__xludf.DUMMYFUNCTION("""COMPUTED_VALUE"""),"")</f>
        <v/>
      </c>
      <c r="V752" s="18" t="str">
        <f ca="1">IFERROR(__xludf.DUMMYFUNCTION("""COMPUTED_VALUE"""),"")</f>
        <v/>
      </c>
      <c r="W752" s="18" t="str">
        <f ca="1">IFERROR(__xludf.DUMMYFUNCTION("""COMPUTED_VALUE"""),"")</f>
        <v/>
      </c>
      <c r="X752" s="18" t="str">
        <f ca="1">IFERROR(__xludf.DUMMYFUNCTION("""COMPUTED_VALUE"""),"")</f>
        <v/>
      </c>
      <c r="Y752" s="18" t="e">
        <f ca="1"/>
        <v>#NAME?</v>
      </c>
      <c r="Z752" s="18" t="str">
        <f ca="1">IFERROR(__xludf.DUMMYFUNCTION("""COMPUTED_VALUE"""),"")</f>
        <v/>
      </c>
      <c r="AA752" s="18" t="str">
        <f ca="1">IFERROR(__xludf.DUMMYFUNCTION("""COMPUTED_VALUE"""),"")</f>
        <v/>
      </c>
      <c r="AC752" s="59"/>
    </row>
    <row r="753" spans="1:29" x14ac:dyDescent="0.25">
      <c r="A753" s="18">
        <v>0</v>
      </c>
      <c r="B753" s="52" t="str">
        <f ca="1"/>
        <v/>
      </c>
      <c r="C753" s="52" t="str">
        <f ca="1">IFERROR(__xludf.DUMMYFUNCTION("""COMPUTED_VALUE"""),"")</f>
        <v/>
      </c>
      <c r="D753" s="18" t="str">
        <f ca="1">IFERROR(__xludf.DUMMYFUNCTION("""COMPUTED_VALUE"""),"")</f>
        <v/>
      </c>
      <c r="E753" s="18" t="str">
        <f ca="1">IFERROR(__xludf.DUMMYFUNCTION("""COMPUTED_VALUE"""),"")</f>
        <v/>
      </c>
      <c r="F753" s="18" t="str">
        <f ca="1">IFERROR(__xludf.DUMMYFUNCTION("""COMPUTED_VALUE"""),"")</f>
        <v/>
      </c>
      <c r="G753" s="18" t="str">
        <f ca="1">IFERROR(__xludf.DUMMYFUNCTION("""COMPUTED_VALUE"""),"")</f>
        <v/>
      </c>
      <c r="H753" s="18" t="str">
        <f ca="1">IFERROR(__xludf.DUMMYFUNCTION("""COMPUTED_VALUE"""),"")</f>
        <v/>
      </c>
      <c r="I753" s="18" t="str">
        <f ca="1">IFERROR(__xludf.DUMMYFUNCTION("""COMPUTED_VALUE"""),"")</f>
        <v/>
      </c>
      <c r="J753" s="18" t="str">
        <f ca="1">IFERROR(__xludf.DUMMYFUNCTION("""COMPUTED_VALUE"""),"")</f>
        <v/>
      </c>
      <c r="K753" s="18" t="str">
        <f ca="1">IFERROR(__xludf.DUMMYFUNCTION("""COMPUTED_VALUE"""),"")</f>
        <v/>
      </c>
      <c r="L753" s="18" t="str">
        <f ca="1">IFERROR(__xludf.DUMMYFUNCTION("""COMPUTED_VALUE"""),"")</f>
        <v/>
      </c>
      <c r="M753" s="18" t="str">
        <f ca="1">IFERROR(__xludf.DUMMYFUNCTION("""COMPUTED_VALUE"""),"")</f>
        <v/>
      </c>
      <c r="N753" s="18" t="str">
        <f ca="1">IFERROR(__xludf.DUMMYFUNCTION("""COMPUTED_VALUE"""),"")</f>
        <v/>
      </c>
      <c r="O753" s="18" t="str">
        <f ca="1">IFERROR(__xludf.DUMMYFUNCTION("""COMPUTED_VALUE"""),"")</f>
        <v/>
      </c>
      <c r="P753" s="18" t="str">
        <f ca="1">IFERROR(__xludf.DUMMYFUNCTION("""COMPUTED_VALUE"""),"")</f>
        <v/>
      </c>
      <c r="Q753" s="18" t="str">
        <f ca="1">IFERROR(__xludf.DUMMYFUNCTION("""COMPUTED_VALUE"""),"")</f>
        <v/>
      </c>
      <c r="R753" s="18" t="str">
        <f ca="1">IFERROR(__xludf.DUMMYFUNCTION("""COMPUTED_VALUE"""),"")</f>
        <v/>
      </c>
      <c r="S753" s="18" t="str">
        <f ca="1">IFERROR(__xludf.DUMMYFUNCTION("""COMPUTED_VALUE"""),"")</f>
        <v/>
      </c>
      <c r="T753" s="18" t="str">
        <f ca="1">IFERROR(__xludf.DUMMYFUNCTION("""COMPUTED_VALUE"""),"")</f>
        <v/>
      </c>
      <c r="U753" s="18" t="str">
        <f ca="1">IFERROR(__xludf.DUMMYFUNCTION("""COMPUTED_VALUE"""),"")</f>
        <v/>
      </c>
      <c r="V753" s="18" t="str">
        <f ca="1">IFERROR(__xludf.DUMMYFUNCTION("""COMPUTED_VALUE"""),"")</f>
        <v/>
      </c>
      <c r="W753" s="18" t="str">
        <f ca="1">IFERROR(__xludf.DUMMYFUNCTION("""COMPUTED_VALUE"""),"")</f>
        <v/>
      </c>
      <c r="X753" s="18" t="str">
        <f ca="1">IFERROR(__xludf.DUMMYFUNCTION("""COMPUTED_VALUE"""),"")</f>
        <v/>
      </c>
      <c r="Y753" s="18" t="e">
        <f ca="1"/>
        <v>#NAME?</v>
      </c>
      <c r="Z753" s="18" t="str">
        <f ca="1">IFERROR(__xludf.DUMMYFUNCTION("""COMPUTED_VALUE"""),"")</f>
        <v/>
      </c>
      <c r="AA753" s="18" t="str">
        <f ca="1">IFERROR(__xludf.DUMMYFUNCTION("""COMPUTED_VALUE"""),"")</f>
        <v/>
      </c>
      <c r="AC753" s="59"/>
    </row>
    <row r="754" spans="1:29" x14ac:dyDescent="0.25">
      <c r="A754" s="18">
        <v>0</v>
      </c>
      <c r="B754" s="52" t="str">
        <f ca="1"/>
        <v/>
      </c>
      <c r="C754" s="52" t="str">
        <f ca="1">IFERROR(__xludf.DUMMYFUNCTION("""COMPUTED_VALUE"""),"")</f>
        <v/>
      </c>
      <c r="D754" s="18" t="str">
        <f ca="1">IFERROR(__xludf.DUMMYFUNCTION("""COMPUTED_VALUE"""),"")</f>
        <v/>
      </c>
      <c r="E754" s="18" t="str">
        <f ca="1">IFERROR(__xludf.DUMMYFUNCTION("""COMPUTED_VALUE"""),"")</f>
        <v/>
      </c>
      <c r="F754" s="18" t="str">
        <f ca="1">IFERROR(__xludf.DUMMYFUNCTION("""COMPUTED_VALUE"""),"")</f>
        <v/>
      </c>
      <c r="G754" s="18" t="str">
        <f ca="1">IFERROR(__xludf.DUMMYFUNCTION("""COMPUTED_VALUE"""),"")</f>
        <v/>
      </c>
      <c r="H754" s="18" t="str">
        <f ca="1">IFERROR(__xludf.DUMMYFUNCTION("""COMPUTED_VALUE"""),"")</f>
        <v/>
      </c>
      <c r="I754" s="18" t="str">
        <f ca="1">IFERROR(__xludf.DUMMYFUNCTION("""COMPUTED_VALUE"""),"")</f>
        <v/>
      </c>
      <c r="J754" s="18" t="str">
        <f ca="1">IFERROR(__xludf.DUMMYFUNCTION("""COMPUTED_VALUE"""),"")</f>
        <v/>
      </c>
      <c r="K754" s="18" t="str">
        <f ca="1">IFERROR(__xludf.DUMMYFUNCTION("""COMPUTED_VALUE"""),"")</f>
        <v/>
      </c>
      <c r="L754" s="18" t="str">
        <f ca="1">IFERROR(__xludf.DUMMYFUNCTION("""COMPUTED_VALUE"""),"")</f>
        <v/>
      </c>
      <c r="M754" s="18" t="str">
        <f ca="1">IFERROR(__xludf.DUMMYFUNCTION("""COMPUTED_VALUE"""),"")</f>
        <v/>
      </c>
      <c r="N754" s="18" t="str">
        <f ca="1">IFERROR(__xludf.DUMMYFUNCTION("""COMPUTED_VALUE"""),"")</f>
        <v/>
      </c>
      <c r="O754" s="18" t="str">
        <f ca="1">IFERROR(__xludf.DUMMYFUNCTION("""COMPUTED_VALUE"""),"")</f>
        <v/>
      </c>
      <c r="P754" s="18" t="str">
        <f ca="1">IFERROR(__xludf.DUMMYFUNCTION("""COMPUTED_VALUE"""),"")</f>
        <v/>
      </c>
      <c r="Q754" s="18" t="str">
        <f ca="1">IFERROR(__xludf.DUMMYFUNCTION("""COMPUTED_VALUE"""),"")</f>
        <v/>
      </c>
      <c r="R754" s="18" t="str">
        <f ca="1">IFERROR(__xludf.DUMMYFUNCTION("""COMPUTED_VALUE"""),"")</f>
        <v/>
      </c>
      <c r="S754" s="18" t="str">
        <f ca="1">IFERROR(__xludf.DUMMYFUNCTION("""COMPUTED_VALUE"""),"")</f>
        <v/>
      </c>
      <c r="T754" s="18" t="str">
        <f ca="1">IFERROR(__xludf.DUMMYFUNCTION("""COMPUTED_VALUE"""),"")</f>
        <v/>
      </c>
      <c r="U754" s="18" t="str">
        <f ca="1">IFERROR(__xludf.DUMMYFUNCTION("""COMPUTED_VALUE"""),"")</f>
        <v/>
      </c>
      <c r="V754" s="18" t="str">
        <f ca="1">IFERROR(__xludf.DUMMYFUNCTION("""COMPUTED_VALUE"""),"")</f>
        <v/>
      </c>
      <c r="W754" s="18" t="str">
        <f ca="1">IFERROR(__xludf.DUMMYFUNCTION("""COMPUTED_VALUE"""),"")</f>
        <v/>
      </c>
      <c r="X754" s="18" t="str">
        <f ca="1">IFERROR(__xludf.DUMMYFUNCTION("""COMPUTED_VALUE"""),"")</f>
        <v/>
      </c>
      <c r="Y754" s="18" t="e">
        <f ca="1"/>
        <v>#NAME?</v>
      </c>
      <c r="Z754" s="18" t="str">
        <f ca="1">IFERROR(__xludf.DUMMYFUNCTION("""COMPUTED_VALUE"""),"")</f>
        <v/>
      </c>
      <c r="AA754" s="18" t="str">
        <f ca="1">IFERROR(__xludf.DUMMYFUNCTION("""COMPUTED_VALUE"""),"")</f>
        <v/>
      </c>
      <c r="AC754" s="59"/>
    </row>
    <row r="755" spans="1:29" x14ac:dyDescent="0.25">
      <c r="A755" s="18">
        <v>0</v>
      </c>
      <c r="B755" s="52" t="str">
        <f ca="1"/>
        <v/>
      </c>
      <c r="C755" s="52" t="str">
        <f ca="1">IFERROR(__xludf.DUMMYFUNCTION("""COMPUTED_VALUE"""),"")</f>
        <v/>
      </c>
      <c r="D755" s="18" t="str">
        <f ca="1">IFERROR(__xludf.DUMMYFUNCTION("""COMPUTED_VALUE"""),"")</f>
        <v/>
      </c>
      <c r="E755" s="18" t="str">
        <f ca="1">IFERROR(__xludf.DUMMYFUNCTION("""COMPUTED_VALUE"""),"")</f>
        <v/>
      </c>
      <c r="F755" s="18" t="str">
        <f ca="1">IFERROR(__xludf.DUMMYFUNCTION("""COMPUTED_VALUE"""),"")</f>
        <v/>
      </c>
      <c r="G755" s="18" t="str">
        <f ca="1">IFERROR(__xludf.DUMMYFUNCTION("""COMPUTED_VALUE"""),"")</f>
        <v/>
      </c>
      <c r="H755" s="18" t="str">
        <f ca="1">IFERROR(__xludf.DUMMYFUNCTION("""COMPUTED_VALUE"""),"")</f>
        <v/>
      </c>
      <c r="I755" s="18" t="str">
        <f ca="1">IFERROR(__xludf.DUMMYFUNCTION("""COMPUTED_VALUE"""),"")</f>
        <v/>
      </c>
      <c r="J755" s="18" t="str">
        <f ca="1">IFERROR(__xludf.DUMMYFUNCTION("""COMPUTED_VALUE"""),"")</f>
        <v/>
      </c>
      <c r="K755" s="18" t="str">
        <f ca="1">IFERROR(__xludf.DUMMYFUNCTION("""COMPUTED_VALUE"""),"")</f>
        <v/>
      </c>
      <c r="L755" s="18" t="str">
        <f ca="1">IFERROR(__xludf.DUMMYFUNCTION("""COMPUTED_VALUE"""),"")</f>
        <v/>
      </c>
      <c r="M755" s="18" t="str">
        <f ca="1">IFERROR(__xludf.DUMMYFUNCTION("""COMPUTED_VALUE"""),"")</f>
        <v/>
      </c>
      <c r="N755" s="18" t="str">
        <f ca="1">IFERROR(__xludf.DUMMYFUNCTION("""COMPUTED_VALUE"""),"")</f>
        <v/>
      </c>
      <c r="O755" s="18" t="str">
        <f ca="1">IFERROR(__xludf.DUMMYFUNCTION("""COMPUTED_VALUE"""),"")</f>
        <v/>
      </c>
      <c r="P755" s="18" t="str">
        <f ca="1">IFERROR(__xludf.DUMMYFUNCTION("""COMPUTED_VALUE"""),"")</f>
        <v/>
      </c>
      <c r="Q755" s="18" t="str">
        <f ca="1">IFERROR(__xludf.DUMMYFUNCTION("""COMPUTED_VALUE"""),"")</f>
        <v/>
      </c>
      <c r="R755" s="18" t="str">
        <f ca="1">IFERROR(__xludf.DUMMYFUNCTION("""COMPUTED_VALUE"""),"")</f>
        <v/>
      </c>
      <c r="S755" s="18" t="str">
        <f ca="1">IFERROR(__xludf.DUMMYFUNCTION("""COMPUTED_VALUE"""),"")</f>
        <v/>
      </c>
      <c r="T755" s="18" t="str">
        <f ca="1">IFERROR(__xludf.DUMMYFUNCTION("""COMPUTED_VALUE"""),"")</f>
        <v/>
      </c>
      <c r="U755" s="18" t="str">
        <f ca="1">IFERROR(__xludf.DUMMYFUNCTION("""COMPUTED_VALUE"""),"")</f>
        <v/>
      </c>
      <c r="V755" s="18" t="str">
        <f ca="1">IFERROR(__xludf.DUMMYFUNCTION("""COMPUTED_VALUE"""),"")</f>
        <v/>
      </c>
      <c r="W755" s="18" t="str">
        <f ca="1">IFERROR(__xludf.DUMMYFUNCTION("""COMPUTED_VALUE"""),"")</f>
        <v/>
      </c>
      <c r="X755" s="18" t="str">
        <f ca="1">IFERROR(__xludf.DUMMYFUNCTION("""COMPUTED_VALUE"""),"")</f>
        <v/>
      </c>
      <c r="Y755" s="18" t="e">
        <f ca="1"/>
        <v>#NAME?</v>
      </c>
      <c r="Z755" s="18" t="str">
        <f ca="1">IFERROR(__xludf.DUMMYFUNCTION("""COMPUTED_VALUE"""),"")</f>
        <v/>
      </c>
      <c r="AA755" s="18" t="str">
        <f ca="1">IFERROR(__xludf.DUMMYFUNCTION("""COMPUTED_VALUE"""),"")</f>
        <v/>
      </c>
      <c r="AC755" s="59"/>
    </row>
    <row r="756" spans="1:29" x14ac:dyDescent="0.25">
      <c r="A756" s="18">
        <v>0</v>
      </c>
      <c r="B756" s="52" t="str">
        <f ca="1"/>
        <v/>
      </c>
      <c r="C756" s="52" t="str">
        <f ca="1">IFERROR(__xludf.DUMMYFUNCTION("""COMPUTED_VALUE"""),"")</f>
        <v/>
      </c>
      <c r="D756" s="18" t="str">
        <f ca="1">IFERROR(__xludf.DUMMYFUNCTION("""COMPUTED_VALUE"""),"")</f>
        <v/>
      </c>
      <c r="E756" s="18" t="str">
        <f ca="1">IFERROR(__xludf.DUMMYFUNCTION("""COMPUTED_VALUE"""),"")</f>
        <v/>
      </c>
      <c r="F756" s="18" t="str">
        <f ca="1">IFERROR(__xludf.DUMMYFUNCTION("""COMPUTED_VALUE"""),"")</f>
        <v/>
      </c>
      <c r="G756" s="18" t="str">
        <f ca="1">IFERROR(__xludf.DUMMYFUNCTION("""COMPUTED_VALUE"""),"")</f>
        <v/>
      </c>
      <c r="H756" s="18" t="str">
        <f ca="1">IFERROR(__xludf.DUMMYFUNCTION("""COMPUTED_VALUE"""),"")</f>
        <v/>
      </c>
      <c r="I756" s="18" t="str">
        <f ca="1">IFERROR(__xludf.DUMMYFUNCTION("""COMPUTED_VALUE"""),"")</f>
        <v/>
      </c>
      <c r="J756" s="18" t="str">
        <f ca="1">IFERROR(__xludf.DUMMYFUNCTION("""COMPUTED_VALUE"""),"")</f>
        <v/>
      </c>
      <c r="K756" s="18" t="str">
        <f ca="1">IFERROR(__xludf.DUMMYFUNCTION("""COMPUTED_VALUE"""),"")</f>
        <v/>
      </c>
      <c r="L756" s="18" t="str">
        <f ca="1">IFERROR(__xludf.DUMMYFUNCTION("""COMPUTED_VALUE"""),"")</f>
        <v/>
      </c>
      <c r="M756" s="18" t="str">
        <f ca="1">IFERROR(__xludf.DUMMYFUNCTION("""COMPUTED_VALUE"""),"")</f>
        <v/>
      </c>
      <c r="N756" s="18" t="str">
        <f ca="1">IFERROR(__xludf.DUMMYFUNCTION("""COMPUTED_VALUE"""),"")</f>
        <v/>
      </c>
      <c r="O756" s="18" t="str">
        <f ca="1">IFERROR(__xludf.DUMMYFUNCTION("""COMPUTED_VALUE"""),"")</f>
        <v/>
      </c>
      <c r="P756" s="18" t="str">
        <f ca="1">IFERROR(__xludf.DUMMYFUNCTION("""COMPUTED_VALUE"""),"")</f>
        <v/>
      </c>
      <c r="Q756" s="18" t="str">
        <f ca="1">IFERROR(__xludf.DUMMYFUNCTION("""COMPUTED_VALUE"""),"")</f>
        <v/>
      </c>
      <c r="R756" s="18" t="str">
        <f ca="1">IFERROR(__xludf.DUMMYFUNCTION("""COMPUTED_VALUE"""),"")</f>
        <v/>
      </c>
      <c r="S756" s="18" t="str">
        <f ca="1">IFERROR(__xludf.DUMMYFUNCTION("""COMPUTED_VALUE"""),"")</f>
        <v/>
      </c>
      <c r="T756" s="18" t="str">
        <f ca="1">IFERROR(__xludf.DUMMYFUNCTION("""COMPUTED_VALUE"""),"")</f>
        <v/>
      </c>
      <c r="U756" s="18" t="str">
        <f ca="1">IFERROR(__xludf.DUMMYFUNCTION("""COMPUTED_VALUE"""),"")</f>
        <v/>
      </c>
      <c r="V756" s="18" t="str">
        <f ca="1">IFERROR(__xludf.DUMMYFUNCTION("""COMPUTED_VALUE"""),"")</f>
        <v/>
      </c>
      <c r="W756" s="18" t="str">
        <f ca="1">IFERROR(__xludf.DUMMYFUNCTION("""COMPUTED_VALUE"""),"")</f>
        <v/>
      </c>
      <c r="X756" s="18" t="str">
        <f ca="1">IFERROR(__xludf.DUMMYFUNCTION("""COMPUTED_VALUE"""),"")</f>
        <v/>
      </c>
      <c r="Y756" s="18" t="e">
        <f ca="1"/>
        <v>#NAME?</v>
      </c>
      <c r="Z756" s="18" t="str">
        <f ca="1">IFERROR(__xludf.DUMMYFUNCTION("""COMPUTED_VALUE"""),"")</f>
        <v/>
      </c>
      <c r="AA756" s="18" t="str">
        <f ca="1">IFERROR(__xludf.DUMMYFUNCTION("""COMPUTED_VALUE"""),"")</f>
        <v/>
      </c>
      <c r="AC756" s="59"/>
    </row>
    <row r="757" spans="1:29" x14ac:dyDescent="0.25">
      <c r="A757" s="18">
        <v>0</v>
      </c>
      <c r="B757" s="52" t="str">
        <f ca="1"/>
        <v/>
      </c>
      <c r="C757" s="52" t="str">
        <f ca="1">IFERROR(__xludf.DUMMYFUNCTION("""COMPUTED_VALUE"""),"")</f>
        <v/>
      </c>
      <c r="D757" s="18" t="str">
        <f ca="1">IFERROR(__xludf.DUMMYFUNCTION("""COMPUTED_VALUE"""),"")</f>
        <v/>
      </c>
      <c r="E757" s="18" t="str">
        <f ca="1">IFERROR(__xludf.DUMMYFUNCTION("""COMPUTED_VALUE"""),"")</f>
        <v/>
      </c>
      <c r="F757" s="18" t="str">
        <f ca="1">IFERROR(__xludf.DUMMYFUNCTION("""COMPUTED_VALUE"""),"")</f>
        <v/>
      </c>
      <c r="G757" s="18" t="str">
        <f ca="1">IFERROR(__xludf.DUMMYFUNCTION("""COMPUTED_VALUE"""),"")</f>
        <v/>
      </c>
      <c r="H757" s="18" t="str">
        <f ca="1">IFERROR(__xludf.DUMMYFUNCTION("""COMPUTED_VALUE"""),"")</f>
        <v/>
      </c>
      <c r="I757" s="18" t="str">
        <f ca="1">IFERROR(__xludf.DUMMYFUNCTION("""COMPUTED_VALUE"""),"")</f>
        <v/>
      </c>
      <c r="J757" s="18" t="str">
        <f ca="1">IFERROR(__xludf.DUMMYFUNCTION("""COMPUTED_VALUE"""),"")</f>
        <v/>
      </c>
      <c r="K757" s="18" t="str">
        <f ca="1">IFERROR(__xludf.DUMMYFUNCTION("""COMPUTED_VALUE"""),"")</f>
        <v/>
      </c>
      <c r="L757" s="18" t="str">
        <f ca="1">IFERROR(__xludf.DUMMYFUNCTION("""COMPUTED_VALUE"""),"")</f>
        <v/>
      </c>
      <c r="M757" s="18" t="str">
        <f ca="1">IFERROR(__xludf.DUMMYFUNCTION("""COMPUTED_VALUE"""),"")</f>
        <v/>
      </c>
      <c r="N757" s="18" t="str">
        <f ca="1">IFERROR(__xludf.DUMMYFUNCTION("""COMPUTED_VALUE"""),"")</f>
        <v/>
      </c>
      <c r="O757" s="18" t="str">
        <f ca="1">IFERROR(__xludf.DUMMYFUNCTION("""COMPUTED_VALUE"""),"")</f>
        <v/>
      </c>
      <c r="P757" s="18" t="str">
        <f ca="1">IFERROR(__xludf.DUMMYFUNCTION("""COMPUTED_VALUE"""),"")</f>
        <v/>
      </c>
      <c r="Q757" s="18" t="str">
        <f ca="1">IFERROR(__xludf.DUMMYFUNCTION("""COMPUTED_VALUE"""),"")</f>
        <v/>
      </c>
      <c r="R757" s="18" t="str">
        <f ca="1">IFERROR(__xludf.DUMMYFUNCTION("""COMPUTED_VALUE"""),"")</f>
        <v/>
      </c>
      <c r="S757" s="18" t="str">
        <f ca="1">IFERROR(__xludf.DUMMYFUNCTION("""COMPUTED_VALUE"""),"")</f>
        <v/>
      </c>
      <c r="T757" s="18" t="str">
        <f ca="1">IFERROR(__xludf.DUMMYFUNCTION("""COMPUTED_VALUE"""),"")</f>
        <v/>
      </c>
      <c r="U757" s="18" t="str">
        <f ca="1">IFERROR(__xludf.DUMMYFUNCTION("""COMPUTED_VALUE"""),"")</f>
        <v/>
      </c>
      <c r="V757" s="18" t="str">
        <f ca="1">IFERROR(__xludf.DUMMYFUNCTION("""COMPUTED_VALUE"""),"")</f>
        <v/>
      </c>
      <c r="W757" s="18" t="str">
        <f ca="1">IFERROR(__xludf.DUMMYFUNCTION("""COMPUTED_VALUE"""),"")</f>
        <v/>
      </c>
      <c r="X757" s="18" t="str">
        <f ca="1">IFERROR(__xludf.DUMMYFUNCTION("""COMPUTED_VALUE"""),"")</f>
        <v/>
      </c>
      <c r="Y757" s="18" t="e">
        <f ca="1"/>
        <v>#NAME?</v>
      </c>
      <c r="Z757" s="18" t="str">
        <f ca="1">IFERROR(__xludf.DUMMYFUNCTION("""COMPUTED_VALUE"""),"")</f>
        <v/>
      </c>
      <c r="AA757" s="18" t="str">
        <f ca="1">IFERROR(__xludf.DUMMYFUNCTION("""COMPUTED_VALUE"""),"")</f>
        <v/>
      </c>
      <c r="AC757" s="59"/>
    </row>
    <row r="758" spans="1:29" x14ac:dyDescent="0.25">
      <c r="A758" s="18">
        <v>0</v>
      </c>
      <c r="B758" s="52" t="str">
        <f ca="1"/>
        <v/>
      </c>
      <c r="C758" s="52" t="str">
        <f ca="1">IFERROR(__xludf.DUMMYFUNCTION("""COMPUTED_VALUE"""),"")</f>
        <v/>
      </c>
      <c r="D758" s="18" t="str">
        <f ca="1">IFERROR(__xludf.DUMMYFUNCTION("""COMPUTED_VALUE"""),"")</f>
        <v/>
      </c>
      <c r="E758" s="18" t="str">
        <f ca="1">IFERROR(__xludf.DUMMYFUNCTION("""COMPUTED_VALUE"""),"")</f>
        <v/>
      </c>
      <c r="F758" s="18" t="str">
        <f ca="1">IFERROR(__xludf.DUMMYFUNCTION("""COMPUTED_VALUE"""),"")</f>
        <v/>
      </c>
      <c r="G758" s="18" t="str">
        <f ca="1">IFERROR(__xludf.DUMMYFUNCTION("""COMPUTED_VALUE"""),"")</f>
        <v/>
      </c>
      <c r="H758" s="18" t="str">
        <f ca="1">IFERROR(__xludf.DUMMYFUNCTION("""COMPUTED_VALUE"""),"")</f>
        <v/>
      </c>
      <c r="I758" s="18" t="str">
        <f ca="1">IFERROR(__xludf.DUMMYFUNCTION("""COMPUTED_VALUE"""),"")</f>
        <v/>
      </c>
      <c r="J758" s="18" t="str">
        <f ca="1">IFERROR(__xludf.DUMMYFUNCTION("""COMPUTED_VALUE"""),"")</f>
        <v/>
      </c>
      <c r="K758" s="18" t="str">
        <f ca="1">IFERROR(__xludf.DUMMYFUNCTION("""COMPUTED_VALUE"""),"")</f>
        <v/>
      </c>
      <c r="L758" s="18" t="str">
        <f ca="1">IFERROR(__xludf.DUMMYFUNCTION("""COMPUTED_VALUE"""),"")</f>
        <v/>
      </c>
      <c r="M758" s="18" t="str">
        <f ca="1">IFERROR(__xludf.DUMMYFUNCTION("""COMPUTED_VALUE"""),"")</f>
        <v/>
      </c>
      <c r="N758" s="18" t="str">
        <f ca="1">IFERROR(__xludf.DUMMYFUNCTION("""COMPUTED_VALUE"""),"")</f>
        <v/>
      </c>
      <c r="O758" s="18" t="str">
        <f ca="1">IFERROR(__xludf.DUMMYFUNCTION("""COMPUTED_VALUE"""),"")</f>
        <v/>
      </c>
      <c r="P758" s="18" t="str">
        <f ca="1">IFERROR(__xludf.DUMMYFUNCTION("""COMPUTED_VALUE"""),"")</f>
        <v/>
      </c>
      <c r="Q758" s="18" t="str">
        <f ca="1">IFERROR(__xludf.DUMMYFUNCTION("""COMPUTED_VALUE"""),"")</f>
        <v/>
      </c>
      <c r="R758" s="18" t="str">
        <f ca="1">IFERROR(__xludf.DUMMYFUNCTION("""COMPUTED_VALUE"""),"")</f>
        <v/>
      </c>
      <c r="S758" s="18" t="str">
        <f ca="1">IFERROR(__xludf.DUMMYFUNCTION("""COMPUTED_VALUE"""),"")</f>
        <v/>
      </c>
      <c r="T758" s="18" t="str">
        <f ca="1">IFERROR(__xludf.DUMMYFUNCTION("""COMPUTED_VALUE"""),"")</f>
        <v/>
      </c>
      <c r="U758" s="18" t="str">
        <f ca="1">IFERROR(__xludf.DUMMYFUNCTION("""COMPUTED_VALUE"""),"")</f>
        <v/>
      </c>
      <c r="V758" s="18" t="str">
        <f ca="1">IFERROR(__xludf.DUMMYFUNCTION("""COMPUTED_VALUE"""),"")</f>
        <v/>
      </c>
      <c r="W758" s="18" t="str">
        <f ca="1">IFERROR(__xludf.DUMMYFUNCTION("""COMPUTED_VALUE"""),"")</f>
        <v/>
      </c>
      <c r="X758" s="18" t="str">
        <f ca="1">IFERROR(__xludf.DUMMYFUNCTION("""COMPUTED_VALUE"""),"")</f>
        <v/>
      </c>
      <c r="Y758" s="18" t="e">
        <f ca="1"/>
        <v>#NAME?</v>
      </c>
      <c r="Z758" s="18" t="str">
        <f ca="1">IFERROR(__xludf.DUMMYFUNCTION("""COMPUTED_VALUE"""),"")</f>
        <v/>
      </c>
      <c r="AA758" s="18" t="str">
        <f ca="1">IFERROR(__xludf.DUMMYFUNCTION("""COMPUTED_VALUE"""),"")</f>
        <v/>
      </c>
      <c r="AC758" s="59"/>
    </row>
    <row r="759" spans="1:29" x14ac:dyDescent="0.25">
      <c r="A759" s="18">
        <v>0</v>
      </c>
      <c r="B759" s="52" t="str">
        <f ca="1"/>
        <v/>
      </c>
      <c r="C759" s="52" t="str">
        <f ca="1">IFERROR(__xludf.DUMMYFUNCTION("""COMPUTED_VALUE"""),"")</f>
        <v/>
      </c>
      <c r="D759" s="18" t="str">
        <f ca="1">IFERROR(__xludf.DUMMYFUNCTION("""COMPUTED_VALUE"""),"")</f>
        <v/>
      </c>
      <c r="E759" s="18" t="str">
        <f ca="1">IFERROR(__xludf.DUMMYFUNCTION("""COMPUTED_VALUE"""),"")</f>
        <v/>
      </c>
      <c r="F759" s="18" t="str">
        <f ca="1">IFERROR(__xludf.DUMMYFUNCTION("""COMPUTED_VALUE"""),"")</f>
        <v/>
      </c>
      <c r="G759" s="18" t="str">
        <f ca="1">IFERROR(__xludf.DUMMYFUNCTION("""COMPUTED_VALUE"""),"")</f>
        <v/>
      </c>
      <c r="H759" s="18" t="str">
        <f ca="1">IFERROR(__xludf.DUMMYFUNCTION("""COMPUTED_VALUE"""),"")</f>
        <v/>
      </c>
      <c r="I759" s="18" t="str">
        <f ca="1">IFERROR(__xludf.DUMMYFUNCTION("""COMPUTED_VALUE"""),"")</f>
        <v/>
      </c>
      <c r="J759" s="18" t="str">
        <f ca="1">IFERROR(__xludf.DUMMYFUNCTION("""COMPUTED_VALUE"""),"")</f>
        <v/>
      </c>
      <c r="K759" s="18" t="str">
        <f ca="1">IFERROR(__xludf.DUMMYFUNCTION("""COMPUTED_VALUE"""),"")</f>
        <v/>
      </c>
      <c r="L759" s="18" t="str">
        <f ca="1">IFERROR(__xludf.DUMMYFUNCTION("""COMPUTED_VALUE"""),"")</f>
        <v/>
      </c>
      <c r="M759" s="18" t="str">
        <f ca="1">IFERROR(__xludf.DUMMYFUNCTION("""COMPUTED_VALUE"""),"")</f>
        <v/>
      </c>
      <c r="N759" s="18" t="str">
        <f ca="1">IFERROR(__xludf.DUMMYFUNCTION("""COMPUTED_VALUE"""),"")</f>
        <v/>
      </c>
      <c r="O759" s="18" t="str">
        <f ca="1">IFERROR(__xludf.DUMMYFUNCTION("""COMPUTED_VALUE"""),"")</f>
        <v/>
      </c>
      <c r="P759" s="18" t="str">
        <f ca="1">IFERROR(__xludf.DUMMYFUNCTION("""COMPUTED_VALUE"""),"")</f>
        <v/>
      </c>
      <c r="Q759" s="18" t="str">
        <f ca="1">IFERROR(__xludf.DUMMYFUNCTION("""COMPUTED_VALUE"""),"")</f>
        <v/>
      </c>
      <c r="R759" s="18" t="str">
        <f ca="1">IFERROR(__xludf.DUMMYFUNCTION("""COMPUTED_VALUE"""),"")</f>
        <v/>
      </c>
      <c r="S759" s="18" t="str">
        <f ca="1">IFERROR(__xludf.DUMMYFUNCTION("""COMPUTED_VALUE"""),"")</f>
        <v/>
      </c>
      <c r="T759" s="18" t="str">
        <f ca="1">IFERROR(__xludf.DUMMYFUNCTION("""COMPUTED_VALUE"""),"")</f>
        <v/>
      </c>
      <c r="U759" s="18" t="str">
        <f ca="1">IFERROR(__xludf.DUMMYFUNCTION("""COMPUTED_VALUE"""),"")</f>
        <v/>
      </c>
      <c r="V759" s="18" t="str">
        <f ca="1">IFERROR(__xludf.DUMMYFUNCTION("""COMPUTED_VALUE"""),"")</f>
        <v/>
      </c>
      <c r="W759" s="18" t="str">
        <f ca="1">IFERROR(__xludf.DUMMYFUNCTION("""COMPUTED_VALUE"""),"")</f>
        <v/>
      </c>
      <c r="X759" s="18" t="str">
        <f ca="1">IFERROR(__xludf.DUMMYFUNCTION("""COMPUTED_VALUE"""),"")</f>
        <v/>
      </c>
      <c r="Y759" s="18" t="e">
        <f ca="1"/>
        <v>#NAME?</v>
      </c>
      <c r="Z759" s="18" t="str">
        <f ca="1">IFERROR(__xludf.DUMMYFUNCTION("""COMPUTED_VALUE"""),"")</f>
        <v/>
      </c>
      <c r="AA759" s="18" t="str">
        <f ca="1">IFERROR(__xludf.DUMMYFUNCTION("""COMPUTED_VALUE"""),"")</f>
        <v/>
      </c>
      <c r="AC759" s="59"/>
    </row>
    <row r="760" spans="1:29" x14ac:dyDescent="0.25">
      <c r="A760" s="18">
        <v>0</v>
      </c>
      <c r="B760" s="52" t="str">
        <f ca="1"/>
        <v/>
      </c>
      <c r="C760" s="52" t="str">
        <f ca="1">IFERROR(__xludf.DUMMYFUNCTION("""COMPUTED_VALUE"""),"")</f>
        <v/>
      </c>
      <c r="D760" s="18" t="str">
        <f ca="1">IFERROR(__xludf.DUMMYFUNCTION("""COMPUTED_VALUE"""),"")</f>
        <v/>
      </c>
      <c r="E760" s="18" t="str">
        <f ca="1">IFERROR(__xludf.DUMMYFUNCTION("""COMPUTED_VALUE"""),"")</f>
        <v/>
      </c>
      <c r="F760" s="18" t="str">
        <f ca="1">IFERROR(__xludf.DUMMYFUNCTION("""COMPUTED_VALUE"""),"")</f>
        <v/>
      </c>
      <c r="G760" s="18" t="str">
        <f ca="1">IFERROR(__xludf.DUMMYFUNCTION("""COMPUTED_VALUE"""),"")</f>
        <v/>
      </c>
      <c r="H760" s="18" t="str">
        <f ca="1">IFERROR(__xludf.DUMMYFUNCTION("""COMPUTED_VALUE"""),"")</f>
        <v/>
      </c>
      <c r="I760" s="18" t="str">
        <f ca="1">IFERROR(__xludf.DUMMYFUNCTION("""COMPUTED_VALUE"""),"")</f>
        <v/>
      </c>
      <c r="J760" s="18" t="str">
        <f ca="1">IFERROR(__xludf.DUMMYFUNCTION("""COMPUTED_VALUE"""),"")</f>
        <v/>
      </c>
      <c r="K760" s="18" t="str">
        <f ca="1">IFERROR(__xludf.DUMMYFUNCTION("""COMPUTED_VALUE"""),"")</f>
        <v/>
      </c>
      <c r="L760" s="18" t="str">
        <f ca="1">IFERROR(__xludf.DUMMYFUNCTION("""COMPUTED_VALUE"""),"")</f>
        <v/>
      </c>
      <c r="M760" s="18" t="str">
        <f ca="1">IFERROR(__xludf.DUMMYFUNCTION("""COMPUTED_VALUE"""),"")</f>
        <v/>
      </c>
      <c r="N760" s="18" t="str">
        <f ca="1">IFERROR(__xludf.DUMMYFUNCTION("""COMPUTED_VALUE"""),"")</f>
        <v/>
      </c>
      <c r="O760" s="18" t="str">
        <f ca="1">IFERROR(__xludf.DUMMYFUNCTION("""COMPUTED_VALUE"""),"")</f>
        <v/>
      </c>
      <c r="P760" s="18" t="str">
        <f ca="1">IFERROR(__xludf.DUMMYFUNCTION("""COMPUTED_VALUE"""),"")</f>
        <v/>
      </c>
      <c r="Q760" s="18" t="str">
        <f ca="1">IFERROR(__xludf.DUMMYFUNCTION("""COMPUTED_VALUE"""),"")</f>
        <v/>
      </c>
      <c r="R760" s="18" t="str">
        <f ca="1">IFERROR(__xludf.DUMMYFUNCTION("""COMPUTED_VALUE"""),"")</f>
        <v/>
      </c>
      <c r="S760" s="18" t="str">
        <f ca="1">IFERROR(__xludf.DUMMYFUNCTION("""COMPUTED_VALUE"""),"")</f>
        <v/>
      </c>
      <c r="T760" s="18" t="str">
        <f ca="1">IFERROR(__xludf.DUMMYFUNCTION("""COMPUTED_VALUE"""),"")</f>
        <v/>
      </c>
      <c r="U760" s="18" t="str">
        <f ca="1">IFERROR(__xludf.DUMMYFUNCTION("""COMPUTED_VALUE"""),"")</f>
        <v/>
      </c>
      <c r="V760" s="18" t="str">
        <f ca="1">IFERROR(__xludf.DUMMYFUNCTION("""COMPUTED_VALUE"""),"")</f>
        <v/>
      </c>
      <c r="W760" s="18" t="str">
        <f ca="1">IFERROR(__xludf.DUMMYFUNCTION("""COMPUTED_VALUE"""),"")</f>
        <v/>
      </c>
      <c r="X760" s="18" t="str">
        <f ca="1">IFERROR(__xludf.DUMMYFUNCTION("""COMPUTED_VALUE"""),"")</f>
        <v/>
      </c>
      <c r="Y760" s="18" t="e">
        <f ca="1"/>
        <v>#NAME?</v>
      </c>
      <c r="Z760" s="18" t="str">
        <f ca="1">IFERROR(__xludf.DUMMYFUNCTION("""COMPUTED_VALUE"""),"")</f>
        <v/>
      </c>
      <c r="AA760" s="18" t="str">
        <f ca="1">IFERROR(__xludf.DUMMYFUNCTION("""COMPUTED_VALUE"""),"")</f>
        <v/>
      </c>
      <c r="AC760" s="59"/>
    </row>
    <row r="761" spans="1:29" x14ac:dyDescent="0.25">
      <c r="A761" s="18">
        <v>0</v>
      </c>
      <c r="B761" s="52" t="str">
        <f ca="1"/>
        <v/>
      </c>
      <c r="C761" s="52" t="str">
        <f ca="1">IFERROR(__xludf.DUMMYFUNCTION("""COMPUTED_VALUE"""),"")</f>
        <v/>
      </c>
      <c r="D761" s="18" t="str">
        <f ca="1">IFERROR(__xludf.DUMMYFUNCTION("""COMPUTED_VALUE"""),"")</f>
        <v/>
      </c>
      <c r="E761" s="18" t="str">
        <f ca="1">IFERROR(__xludf.DUMMYFUNCTION("""COMPUTED_VALUE"""),"")</f>
        <v/>
      </c>
      <c r="F761" s="18" t="str">
        <f ca="1">IFERROR(__xludf.DUMMYFUNCTION("""COMPUTED_VALUE"""),"")</f>
        <v/>
      </c>
      <c r="G761" s="18" t="str">
        <f ca="1">IFERROR(__xludf.DUMMYFUNCTION("""COMPUTED_VALUE"""),"")</f>
        <v/>
      </c>
      <c r="H761" s="18" t="str">
        <f ca="1">IFERROR(__xludf.DUMMYFUNCTION("""COMPUTED_VALUE"""),"")</f>
        <v/>
      </c>
      <c r="I761" s="18" t="str">
        <f ca="1">IFERROR(__xludf.DUMMYFUNCTION("""COMPUTED_VALUE"""),"")</f>
        <v/>
      </c>
      <c r="J761" s="18" t="str">
        <f ca="1">IFERROR(__xludf.DUMMYFUNCTION("""COMPUTED_VALUE"""),"")</f>
        <v/>
      </c>
      <c r="K761" s="18" t="str">
        <f ca="1">IFERROR(__xludf.DUMMYFUNCTION("""COMPUTED_VALUE"""),"")</f>
        <v/>
      </c>
      <c r="L761" s="18" t="str">
        <f ca="1">IFERROR(__xludf.DUMMYFUNCTION("""COMPUTED_VALUE"""),"")</f>
        <v/>
      </c>
      <c r="M761" s="18" t="str">
        <f ca="1">IFERROR(__xludf.DUMMYFUNCTION("""COMPUTED_VALUE"""),"")</f>
        <v/>
      </c>
      <c r="N761" s="18" t="str">
        <f ca="1">IFERROR(__xludf.DUMMYFUNCTION("""COMPUTED_VALUE"""),"")</f>
        <v/>
      </c>
      <c r="O761" s="18" t="str">
        <f ca="1">IFERROR(__xludf.DUMMYFUNCTION("""COMPUTED_VALUE"""),"")</f>
        <v/>
      </c>
      <c r="P761" s="18" t="str">
        <f ca="1">IFERROR(__xludf.DUMMYFUNCTION("""COMPUTED_VALUE"""),"")</f>
        <v/>
      </c>
      <c r="Q761" s="18" t="str">
        <f ca="1">IFERROR(__xludf.DUMMYFUNCTION("""COMPUTED_VALUE"""),"")</f>
        <v/>
      </c>
      <c r="R761" s="18" t="str">
        <f ca="1">IFERROR(__xludf.DUMMYFUNCTION("""COMPUTED_VALUE"""),"")</f>
        <v/>
      </c>
      <c r="S761" s="18" t="str">
        <f ca="1">IFERROR(__xludf.DUMMYFUNCTION("""COMPUTED_VALUE"""),"")</f>
        <v/>
      </c>
      <c r="T761" s="18" t="str">
        <f ca="1">IFERROR(__xludf.DUMMYFUNCTION("""COMPUTED_VALUE"""),"")</f>
        <v/>
      </c>
      <c r="U761" s="18" t="str">
        <f ca="1">IFERROR(__xludf.DUMMYFUNCTION("""COMPUTED_VALUE"""),"")</f>
        <v/>
      </c>
      <c r="V761" s="18" t="str">
        <f ca="1">IFERROR(__xludf.DUMMYFUNCTION("""COMPUTED_VALUE"""),"")</f>
        <v/>
      </c>
      <c r="W761" s="18" t="str">
        <f ca="1">IFERROR(__xludf.DUMMYFUNCTION("""COMPUTED_VALUE"""),"")</f>
        <v/>
      </c>
      <c r="X761" s="18" t="str">
        <f ca="1">IFERROR(__xludf.DUMMYFUNCTION("""COMPUTED_VALUE"""),"")</f>
        <v/>
      </c>
      <c r="Y761" s="18" t="e">
        <f ca="1"/>
        <v>#NAME?</v>
      </c>
      <c r="Z761" s="18" t="str">
        <f ca="1">IFERROR(__xludf.DUMMYFUNCTION("""COMPUTED_VALUE"""),"")</f>
        <v/>
      </c>
      <c r="AA761" s="18" t="str">
        <f ca="1">IFERROR(__xludf.DUMMYFUNCTION("""COMPUTED_VALUE"""),"")</f>
        <v/>
      </c>
      <c r="AC761" s="59"/>
    </row>
    <row r="762" spans="1:29" x14ac:dyDescent="0.25">
      <c r="A762" s="18">
        <v>0</v>
      </c>
      <c r="B762" s="52" t="str">
        <f ca="1"/>
        <v/>
      </c>
      <c r="C762" s="52" t="str">
        <f ca="1">IFERROR(__xludf.DUMMYFUNCTION("""COMPUTED_VALUE"""),"")</f>
        <v/>
      </c>
      <c r="D762" s="18" t="str">
        <f ca="1">IFERROR(__xludf.DUMMYFUNCTION("""COMPUTED_VALUE"""),"")</f>
        <v/>
      </c>
      <c r="E762" s="18" t="str">
        <f ca="1">IFERROR(__xludf.DUMMYFUNCTION("""COMPUTED_VALUE"""),"")</f>
        <v/>
      </c>
      <c r="F762" s="18" t="str">
        <f ca="1">IFERROR(__xludf.DUMMYFUNCTION("""COMPUTED_VALUE"""),"")</f>
        <v/>
      </c>
      <c r="G762" s="18" t="str">
        <f ca="1">IFERROR(__xludf.DUMMYFUNCTION("""COMPUTED_VALUE"""),"")</f>
        <v/>
      </c>
      <c r="H762" s="18" t="str">
        <f ca="1">IFERROR(__xludf.DUMMYFUNCTION("""COMPUTED_VALUE"""),"")</f>
        <v/>
      </c>
      <c r="I762" s="18" t="str">
        <f ca="1">IFERROR(__xludf.DUMMYFUNCTION("""COMPUTED_VALUE"""),"")</f>
        <v/>
      </c>
      <c r="J762" s="18" t="str">
        <f ca="1">IFERROR(__xludf.DUMMYFUNCTION("""COMPUTED_VALUE"""),"")</f>
        <v/>
      </c>
      <c r="K762" s="18" t="str">
        <f ca="1">IFERROR(__xludf.DUMMYFUNCTION("""COMPUTED_VALUE"""),"")</f>
        <v/>
      </c>
      <c r="L762" s="18" t="str">
        <f ca="1">IFERROR(__xludf.DUMMYFUNCTION("""COMPUTED_VALUE"""),"")</f>
        <v/>
      </c>
      <c r="M762" s="18" t="str">
        <f ca="1">IFERROR(__xludf.DUMMYFUNCTION("""COMPUTED_VALUE"""),"")</f>
        <v/>
      </c>
      <c r="N762" s="18" t="str">
        <f ca="1">IFERROR(__xludf.DUMMYFUNCTION("""COMPUTED_VALUE"""),"")</f>
        <v/>
      </c>
      <c r="O762" s="18" t="str">
        <f ca="1">IFERROR(__xludf.DUMMYFUNCTION("""COMPUTED_VALUE"""),"")</f>
        <v/>
      </c>
      <c r="P762" s="18" t="str">
        <f ca="1">IFERROR(__xludf.DUMMYFUNCTION("""COMPUTED_VALUE"""),"")</f>
        <v/>
      </c>
      <c r="Q762" s="18" t="str">
        <f ca="1">IFERROR(__xludf.DUMMYFUNCTION("""COMPUTED_VALUE"""),"")</f>
        <v/>
      </c>
      <c r="R762" s="18" t="str">
        <f ca="1">IFERROR(__xludf.DUMMYFUNCTION("""COMPUTED_VALUE"""),"")</f>
        <v/>
      </c>
      <c r="S762" s="18" t="str">
        <f ca="1">IFERROR(__xludf.DUMMYFUNCTION("""COMPUTED_VALUE"""),"")</f>
        <v/>
      </c>
      <c r="T762" s="18" t="str">
        <f ca="1">IFERROR(__xludf.DUMMYFUNCTION("""COMPUTED_VALUE"""),"")</f>
        <v/>
      </c>
      <c r="U762" s="18" t="str">
        <f ca="1">IFERROR(__xludf.DUMMYFUNCTION("""COMPUTED_VALUE"""),"")</f>
        <v/>
      </c>
      <c r="V762" s="18" t="str">
        <f ca="1">IFERROR(__xludf.DUMMYFUNCTION("""COMPUTED_VALUE"""),"")</f>
        <v/>
      </c>
      <c r="W762" s="18" t="str">
        <f ca="1">IFERROR(__xludf.DUMMYFUNCTION("""COMPUTED_VALUE"""),"")</f>
        <v/>
      </c>
      <c r="X762" s="18" t="str">
        <f ca="1">IFERROR(__xludf.DUMMYFUNCTION("""COMPUTED_VALUE"""),"")</f>
        <v/>
      </c>
      <c r="Y762" s="18" t="e">
        <f ca="1"/>
        <v>#NAME?</v>
      </c>
      <c r="Z762" s="18" t="str">
        <f ca="1">IFERROR(__xludf.DUMMYFUNCTION("""COMPUTED_VALUE"""),"")</f>
        <v/>
      </c>
      <c r="AA762" s="18" t="str">
        <f ca="1">IFERROR(__xludf.DUMMYFUNCTION("""COMPUTED_VALUE"""),"")</f>
        <v/>
      </c>
      <c r="AC762" s="59"/>
    </row>
    <row r="763" spans="1:29" x14ac:dyDescent="0.25">
      <c r="A763" s="18">
        <v>0</v>
      </c>
      <c r="B763" s="52" t="str">
        <f ca="1"/>
        <v/>
      </c>
      <c r="C763" s="52" t="str">
        <f ca="1">IFERROR(__xludf.DUMMYFUNCTION("""COMPUTED_VALUE"""),"")</f>
        <v/>
      </c>
      <c r="D763" s="18" t="str">
        <f ca="1">IFERROR(__xludf.DUMMYFUNCTION("""COMPUTED_VALUE"""),"")</f>
        <v/>
      </c>
      <c r="E763" s="18" t="str">
        <f ca="1">IFERROR(__xludf.DUMMYFUNCTION("""COMPUTED_VALUE"""),"")</f>
        <v/>
      </c>
      <c r="F763" s="18" t="str">
        <f ca="1">IFERROR(__xludf.DUMMYFUNCTION("""COMPUTED_VALUE"""),"")</f>
        <v/>
      </c>
      <c r="G763" s="18" t="str">
        <f ca="1">IFERROR(__xludf.DUMMYFUNCTION("""COMPUTED_VALUE"""),"")</f>
        <v/>
      </c>
      <c r="H763" s="18" t="str">
        <f ca="1">IFERROR(__xludf.DUMMYFUNCTION("""COMPUTED_VALUE"""),"")</f>
        <v/>
      </c>
      <c r="I763" s="18" t="str">
        <f ca="1">IFERROR(__xludf.DUMMYFUNCTION("""COMPUTED_VALUE"""),"")</f>
        <v/>
      </c>
      <c r="J763" s="18" t="str">
        <f ca="1">IFERROR(__xludf.DUMMYFUNCTION("""COMPUTED_VALUE"""),"")</f>
        <v/>
      </c>
      <c r="K763" s="18" t="str">
        <f ca="1">IFERROR(__xludf.DUMMYFUNCTION("""COMPUTED_VALUE"""),"")</f>
        <v/>
      </c>
      <c r="L763" s="18" t="str">
        <f ca="1">IFERROR(__xludf.DUMMYFUNCTION("""COMPUTED_VALUE"""),"")</f>
        <v/>
      </c>
      <c r="M763" s="18" t="str">
        <f ca="1">IFERROR(__xludf.DUMMYFUNCTION("""COMPUTED_VALUE"""),"")</f>
        <v/>
      </c>
      <c r="N763" s="18" t="str">
        <f ca="1">IFERROR(__xludf.DUMMYFUNCTION("""COMPUTED_VALUE"""),"")</f>
        <v/>
      </c>
      <c r="O763" s="18" t="str">
        <f ca="1">IFERROR(__xludf.DUMMYFUNCTION("""COMPUTED_VALUE"""),"")</f>
        <v/>
      </c>
      <c r="P763" s="18" t="str">
        <f ca="1">IFERROR(__xludf.DUMMYFUNCTION("""COMPUTED_VALUE"""),"")</f>
        <v/>
      </c>
      <c r="Q763" s="18" t="str">
        <f ca="1">IFERROR(__xludf.DUMMYFUNCTION("""COMPUTED_VALUE"""),"")</f>
        <v/>
      </c>
      <c r="R763" s="18" t="str">
        <f ca="1">IFERROR(__xludf.DUMMYFUNCTION("""COMPUTED_VALUE"""),"")</f>
        <v/>
      </c>
      <c r="S763" s="18" t="str">
        <f ca="1">IFERROR(__xludf.DUMMYFUNCTION("""COMPUTED_VALUE"""),"")</f>
        <v/>
      </c>
      <c r="T763" s="18" t="str">
        <f ca="1">IFERROR(__xludf.DUMMYFUNCTION("""COMPUTED_VALUE"""),"")</f>
        <v/>
      </c>
      <c r="U763" s="18" t="str">
        <f ca="1">IFERROR(__xludf.DUMMYFUNCTION("""COMPUTED_VALUE"""),"")</f>
        <v/>
      </c>
      <c r="V763" s="18" t="str">
        <f ca="1">IFERROR(__xludf.DUMMYFUNCTION("""COMPUTED_VALUE"""),"")</f>
        <v/>
      </c>
      <c r="W763" s="18" t="str">
        <f ca="1">IFERROR(__xludf.DUMMYFUNCTION("""COMPUTED_VALUE"""),"")</f>
        <v/>
      </c>
      <c r="X763" s="18" t="str">
        <f ca="1">IFERROR(__xludf.DUMMYFUNCTION("""COMPUTED_VALUE"""),"")</f>
        <v/>
      </c>
      <c r="Y763" s="18" t="e">
        <f ca="1"/>
        <v>#NAME?</v>
      </c>
      <c r="Z763" s="18" t="str">
        <f ca="1">IFERROR(__xludf.DUMMYFUNCTION("""COMPUTED_VALUE"""),"")</f>
        <v/>
      </c>
      <c r="AA763" s="18" t="str">
        <f ca="1">IFERROR(__xludf.DUMMYFUNCTION("""COMPUTED_VALUE"""),"")</f>
        <v/>
      </c>
      <c r="AC763" s="59"/>
    </row>
    <row r="764" spans="1:29" x14ac:dyDescent="0.25">
      <c r="A764" s="18">
        <v>0</v>
      </c>
      <c r="B764" s="52" t="str">
        <f ca="1"/>
        <v/>
      </c>
      <c r="C764" s="52" t="str">
        <f ca="1">IFERROR(__xludf.DUMMYFUNCTION("""COMPUTED_VALUE"""),"")</f>
        <v/>
      </c>
      <c r="D764" s="18" t="str">
        <f ca="1">IFERROR(__xludf.DUMMYFUNCTION("""COMPUTED_VALUE"""),"")</f>
        <v/>
      </c>
      <c r="E764" s="18" t="str">
        <f ca="1">IFERROR(__xludf.DUMMYFUNCTION("""COMPUTED_VALUE"""),"")</f>
        <v/>
      </c>
      <c r="F764" s="18" t="str">
        <f ca="1">IFERROR(__xludf.DUMMYFUNCTION("""COMPUTED_VALUE"""),"")</f>
        <v/>
      </c>
      <c r="G764" s="18" t="str">
        <f ca="1">IFERROR(__xludf.DUMMYFUNCTION("""COMPUTED_VALUE"""),"")</f>
        <v/>
      </c>
      <c r="H764" s="18" t="str">
        <f ca="1">IFERROR(__xludf.DUMMYFUNCTION("""COMPUTED_VALUE"""),"")</f>
        <v/>
      </c>
      <c r="I764" s="18" t="str">
        <f ca="1">IFERROR(__xludf.DUMMYFUNCTION("""COMPUTED_VALUE"""),"")</f>
        <v/>
      </c>
      <c r="J764" s="18" t="str">
        <f ca="1">IFERROR(__xludf.DUMMYFUNCTION("""COMPUTED_VALUE"""),"")</f>
        <v/>
      </c>
      <c r="K764" s="18" t="str">
        <f ca="1">IFERROR(__xludf.DUMMYFUNCTION("""COMPUTED_VALUE"""),"")</f>
        <v/>
      </c>
      <c r="L764" s="18" t="str">
        <f ca="1">IFERROR(__xludf.DUMMYFUNCTION("""COMPUTED_VALUE"""),"")</f>
        <v/>
      </c>
      <c r="M764" s="18" t="str">
        <f ca="1">IFERROR(__xludf.DUMMYFUNCTION("""COMPUTED_VALUE"""),"")</f>
        <v/>
      </c>
      <c r="N764" s="18" t="str">
        <f ca="1">IFERROR(__xludf.DUMMYFUNCTION("""COMPUTED_VALUE"""),"")</f>
        <v/>
      </c>
      <c r="O764" s="18" t="str">
        <f ca="1">IFERROR(__xludf.DUMMYFUNCTION("""COMPUTED_VALUE"""),"")</f>
        <v/>
      </c>
      <c r="P764" s="18" t="str">
        <f ca="1">IFERROR(__xludf.DUMMYFUNCTION("""COMPUTED_VALUE"""),"")</f>
        <v/>
      </c>
      <c r="Q764" s="18" t="str">
        <f ca="1">IFERROR(__xludf.DUMMYFUNCTION("""COMPUTED_VALUE"""),"")</f>
        <v/>
      </c>
      <c r="R764" s="18" t="str">
        <f ca="1">IFERROR(__xludf.DUMMYFUNCTION("""COMPUTED_VALUE"""),"")</f>
        <v/>
      </c>
      <c r="S764" s="18" t="str">
        <f ca="1">IFERROR(__xludf.DUMMYFUNCTION("""COMPUTED_VALUE"""),"")</f>
        <v/>
      </c>
      <c r="T764" s="18" t="str">
        <f ca="1">IFERROR(__xludf.DUMMYFUNCTION("""COMPUTED_VALUE"""),"")</f>
        <v/>
      </c>
      <c r="U764" s="18" t="str">
        <f ca="1">IFERROR(__xludf.DUMMYFUNCTION("""COMPUTED_VALUE"""),"")</f>
        <v/>
      </c>
      <c r="V764" s="18" t="str">
        <f ca="1">IFERROR(__xludf.DUMMYFUNCTION("""COMPUTED_VALUE"""),"")</f>
        <v/>
      </c>
      <c r="W764" s="18" t="str">
        <f ca="1">IFERROR(__xludf.DUMMYFUNCTION("""COMPUTED_VALUE"""),"")</f>
        <v/>
      </c>
      <c r="X764" s="18" t="str">
        <f ca="1">IFERROR(__xludf.DUMMYFUNCTION("""COMPUTED_VALUE"""),"")</f>
        <v/>
      </c>
      <c r="Y764" s="18" t="e">
        <f ca="1"/>
        <v>#NAME?</v>
      </c>
      <c r="Z764" s="18" t="str">
        <f ca="1">IFERROR(__xludf.DUMMYFUNCTION("""COMPUTED_VALUE"""),"")</f>
        <v/>
      </c>
      <c r="AA764" s="18" t="str">
        <f ca="1">IFERROR(__xludf.DUMMYFUNCTION("""COMPUTED_VALUE"""),"")</f>
        <v/>
      </c>
      <c r="AC764" s="59"/>
    </row>
    <row r="765" spans="1:29" x14ac:dyDescent="0.25">
      <c r="A765" s="18">
        <v>0</v>
      </c>
      <c r="B765" s="52" t="str">
        <f ca="1"/>
        <v/>
      </c>
      <c r="C765" s="52" t="str">
        <f ca="1">IFERROR(__xludf.DUMMYFUNCTION("""COMPUTED_VALUE"""),"")</f>
        <v/>
      </c>
      <c r="D765" s="18" t="str">
        <f ca="1">IFERROR(__xludf.DUMMYFUNCTION("""COMPUTED_VALUE"""),"")</f>
        <v/>
      </c>
      <c r="E765" s="18" t="str">
        <f ca="1">IFERROR(__xludf.DUMMYFUNCTION("""COMPUTED_VALUE"""),"")</f>
        <v/>
      </c>
      <c r="F765" s="18" t="str">
        <f ca="1">IFERROR(__xludf.DUMMYFUNCTION("""COMPUTED_VALUE"""),"")</f>
        <v/>
      </c>
      <c r="G765" s="18" t="str">
        <f ca="1">IFERROR(__xludf.DUMMYFUNCTION("""COMPUTED_VALUE"""),"")</f>
        <v/>
      </c>
      <c r="H765" s="18" t="str">
        <f ca="1">IFERROR(__xludf.DUMMYFUNCTION("""COMPUTED_VALUE"""),"")</f>
        <v/>
      </c>
      <c r="I765" s="18" t="str">
        <f ca="1">IFERROR(__xludf.DUMMYFUNCTION("""COMPUTED_VALUE"""),"")</f>
        <v/>
      </c>
      <c r="J765" s="18" t="str">
        <f ca="1">IFERROR(__xludf.DUMMYFUNCTION("""COMPUTED_VALUE"""),"")</f>
        <v/>
      </c>
      <c r="K765" s="18" t="str">
        <f ca="1">IFERROR(__xludf.DUMMYFUNCTION("""COMPUTED_VALUE"""),"")</f>
        <v/>
      </c>
      <c r="L765" s="18" t="str">
        <f ca="1">IFERROR(__xludf.DUMMYFUNCTION("""COMPUTED_VALUE"""),"")</f>
        <v/>
      </c>
      <c r="M765" s="18" t="str">
        <f ca="1">IFERROR(__xludf.DUMMYFUNCTION("""COMPUTED_VALUE"""),"")</f>
        <v/>
      </c>
      <c r="N765" s="18" t="str">
        <f ca="1">IFERROR(__xludf.DUMMYFUNCTION("""COMPUTED_VALUE"""),"")</f>
        <v/>
      </c>
      <c r="O765" s="18" t="str">
        <f ca="1">IFERROR(__xludf.DUMMYFUNCTION("""COMPUTED_VALUE"""),"")</f>
        <v/>
      </c>
      <c r="P765" s="18" t="str">
        <f ca="1">IFERROR(__xludf.DUMMYFUNCTION("""COMPUTED_VALUE"""),"")</f>
        <v/>
      </c>
      <c r="Q765" s="18" t="str">
        <f ca="1">IFERROR(__xludf.DUMMYFUNCTION("""COMPUTED_VALUE"""),"")</f>
        <v/>
      </c>
      <c r="R765" s="18" t="str">
        <f ca="1">IFERROR(__xludf.DUMMYFUNCTION("""COMPUTED_VALUE"""),"")</f>
        <v/>
      </c>
      <c r="S765" s="18" t="str">
        <f ca="1">IFERROR(__xludf.DUMMYFUNCTION("""COMPUTED_VALUE"""),"")</f>
        <v/>
      </c>
      <c r="T765" s="18" t="str">
        <f ca="1">IFERROR(__xludf.DUMMYFUNCTION("""COMPUTED_VALUE"""),"")</f>
        <v/>
      </c>
      <c r="U765" s="18" t="str">
        <f ca="1">IFERROR(__xludf.DUMMYFUNCTION("""COMPUTED_VALUE"""),"")</f>
        <v/>
      </c>
      <c r="V765" s="18" t="str">
        <f ca="1">IFERROR(__xludf.DUMMYFUNCTION("""COMPUTED_VALUE"""),"")</f>
        <v/>
      </c>
      <c r="W765" s="18" t="str">
        <f ca="1">IFERROR(__xludf.DUMMYFUNCTION("""COMPUTED_VALUE"""),"")</f>
        <v/>
      </c>
      <c r="X765" s="18" t="str">
        <f ca="1">IFERROR(__xludf.DUMMYFUNCTION("""COMPUTED_VALUE"""),"")</f>
        <v/>
      </c>
      <c r="Y765" s="18" t="e">
        <f ca="1"/>
        <v>#NAME?</v>
      </c>
      <c r="Z765" s="18" t="str">
        <f ca="1">IFERROR(__xludf.DUMMYFUNCTION("""COMPUTED_VALUE"""),"")</f>
        <v/>
      </c>
      <c r="AA765" s="18" t="str">
        <f ca="1">IFERROR(__xludf.DUMMYFUNCTION("""COMPUTED_VALUE"""),"")</f>
        <v/>
      </c>
      <c r="AC765" s="59"/>
    </row>
    <row r="766" spans="1:29" x14ac:dyDescent="0.25">
      <c r="A766" s="18">
        <v>0</v>
      </c>
      <c r="B766" s="52" t="str">
        <f ca="1"/>
        <v/>
      </c>
      <c r="C766" s="52" t="str">
        <f ca="1">IFERROR(__xludf.DUMMYFUNCTION("""COMPUTED_VALUE"""),"")</f>
        <v/>
      </c>
      <c r="D766" s="18" t="str">
        <f ca="1">IFERROR(__xludf.DUMMYFUNCTION("""COMPUTED_VALUE"""),"")</f>
        <v/>
      </c>
      <c r="E766" s="18" t="str">
        <f ca="1">IFERROR(__xludf.DUMMYFUNCTION("""COMPUTED_VALUE"""),"")</f>
        <v/>
      </c>
      <c r="F766" s="18" t="str">
        <f ca="1">IFERROR(__xludf.DUMMYFUNCTION("""COMPUTED_VALUE"""),"")</f>
        <v/>
      </c>
      <c r="G766" s="18" t="str">
        <f ca="1">IFERROR(__xludf.DUMMYFUNCTION("""COMPUTED_VALUE"""),"")</f>
        <v/>
      </c>
      <c r="H766" s="18" t="str">
        <f ca="1">IFERROR(__xludf.DUMMYFUNCTION("""COMPUTED_VALUE"""),"")</f>
        <v/>
      </c>
      <c r="I766" s="18" t="str">
        <f ca="1">IFERROR(__xludf.DUMMYFUNCTION("""COMPUTED_VALUE"""),"")</f>
        <v/>
      </c>
      <c r="J766" s="18" t="str">
        <f ca="1">IFERROR(__xludf.DUMMYFUNCTION("""COMPUTED_VALUE"""),"")</f>
        <v/>
      </c>
      <c r="K766" s="18" t="str">
        <f ca="1">IFERROR(__xludf.DUMMYFUNCTION("""COMPUTED_VALUE"""),"")</f>
        <v/>
      </c>
      <c r="L766" s="18" t="str">
        <f ca="1">IFERROR(__xludf.DUMMYFUNCTION("""COMPUTED_VALUE"""),"")</f>
        <v/>
      </c>
      <c r="M766" s="18" t="str">
        <f ca="1">IFERROR(__xludf.DUMMYFUNCTION("""COMPUTED_VALUE"""),"")</f>
        <v/>
      </c>
      <c r="N766" s="18" t="str">
        <f ca="1">IFERROR(__xludf.DUMMYFUNCTION("""COMPUTED_VALUE"""),"")</f>
        <v/>
      </c>
      <c r="O766" s="18" t="str">
        <f ca="1">IFERROR(__xludf.DUMMYFUNCTION("""COMPUTED_VALUE"""),"")</f>
        <v/>
      </c>
      <c r="P766" s="18" t="str">
        <f ca="1">IFERROR(__xludf.DUMMYFUNCTION("""COMPUTED_VALUE"""),"")</f>
        <v/>
      </c>
      <c r="Q766" s="18" t="str">
        <f ca="1">IFERROR(__xludf.DUMMYFUNCTION("""COMPUTED_VALUE"""),"")</f>
        <v/>
      </c>
      <c r="R766" s="18" t="str">
        <f ca="1">IFERROR(__xludf.DUMMYFUNCTION("""COMPUTED_VALUE"""),"")</f>
        <v/>
      </c>
      <c r="S766" s="18" t="str">
        <f ca="1">IFERROR(__xludf.DUMMYFUNCTION("""COMPUTED_VALUE"""),"")</f>
        <v/>
      </c>
      <c r="T766" s="18" t="str">
        <f ca="1">IFERROR(__xludf.DUMMYFUNCTION("""COMPUTED_VALUE"""),"")</f>
        <v/>
      </c>
      <c r="U766" s="18" t="str">
        <f ca="1">IFERROR(__xludf.DUMMYFUNCTION("""COMPUTED_VALUE"""),"")</f>
        <v/>
      </c>
      <c r="V766" s="18" t="str">
        <f ca="1">IFERROR(__xludf.DUMMYFUNCTION("""COMPUTED_VALUE"""),"")</f>
        <v/>
      </c>
      <c r="W766" s="18" t="str">
        <f ca="1">IFERROR(__xludf.DUMMYFUNCTION("""COMPUTED_VALUE"""),"")</f>
        <v/>
      </c>
      <c r="X766" s="18" t="str">
        <f ca="1">IFERROR(__xludf.DUMMYFUNCTION("""COMPUTED_VALUE"""),"")</f>
        <v/>
      </c>
      <c r="Y766" s="18" t="e">
        <f ca="1"/>
        <v>#NAME?</v>
      </c>
      <c r="Z766" s="18" t="str">
        <f ca="1">IFERROR(__xludf.DUMMYFUNCTION("""COMPUTED_VALUE"""),"")</f>
        <v/>
      </c>
      <c r="AA766" s="18" t="str">
        <f ca="1">IFERROR(__xludf.DUMMYFUNCTION("""COMPUTED_VALUE"""),"")</f>
        <v/>
      </c>
      <c r="AC766" s="59"/>
    </row>
    <row r="767" spans="1:29" x14ac:dyDescent="0.25">
      <c r="A767" s="18">
        <v>0</v>
      </c>
      <c r="B767" s="52" t="str">
        <f ca="1"/>
        <v/>
      </c>
      <c r="C767" s="52" t="str">
        <f ca="1">IFERROR(__xludf.DUMMYFUNCTION("""COMPUTED_VALUE"""),"")</f>
        <v/>
      </c>
      <c r="D767" s="18" t="str">
        <f ca="1">IFERROR(__xludf.DUMMYFUNCTION("""COMPUTED_VALUE"""),"")</f>
        <v/>
      </c>
      <c r="E767" s="18" t="str">
        <f ca="1">IFERROR(__xludf.DUMMYFUNCTION("""COMPUTED_VALUE"""),"")</f>
        <v/>
      </c>
      <c r="F767" s="18" t="str">
        <f ca="1">IFERROR(__xludf.DUMMYFUNCTION("""COMPUTED_VALUE"""),"")</f>
        <v/>
      </c>
      <c r="G767" s="18" t="str">
        <f ca="1">IFERROR(__xludf.DUMMYFUNCTION("""COMPUTED_VALUE"""),"")</f>
        <v/>
      </c>
      <c r="H767" s="18" t="str">
        <f ca="1">IFERROR(__xludf.DUMMYFUNCTION("""COMPUTED_VALUE"""),"")</f>
        <v/>
      </c>
      <c r="I767" s="18" t="str">
        <f ca="1">IFERROR(__xludf.DUMMYFUNCTION("""COMPUTED_VALUE"""),"")</f>
        <v/>
      </c>
      <c r="J767" s="18" t="str">
        <f ca="1">IFERROR(__xludf.DUMMYFUNCTION("""COMPUTED_VALUE"""),"")</f>
        <v/>
      </c>
      <c r="K767" s="18" t="str">
        <f ca="1">IFERROR(__xludf.DUMMYFUNCTION("""COMPUTED_VALUE"""),"")</f>
        <v/>
      </c>
      <c r="L767" s="18" t="str">
        <f ca="1">IFERROR(__xludf.DUMMYFUNCTION("""COMPUTED_VALUE"""),"")</f>
        <v/>
      </c>
      <c r="M767" s="18" t="str">
        <f ca="1">IFERROR(__xludf.DUMMYFUNCTION("""COMPUTED_VALUE"""),"")</f>
        <v/>
      </c>
      <c r="N767" s="18" t="str">
        <f ca="1">IFERROR(__xludf.DUMMYFUNCTION("""COMPUTED_VALUE"""),"")</f>
        <v/>
      </c>
      <c r="O767" s="18" t="str">
        <f ca="1">IFERROR(__xludf.DUMMYFUNCTION("""COMPUTED_VALUE"""),"")</f>
        <v/>
      </c>
      <c r="P767" s="18" t="str">
        <f ca="1">IFERROR(__xludf.DUMMYFUNCTION("""COMPUTED_VALUE"""),"")</f>
        <v/>
      </c>
      <c r="Q767" s="18" t="str">
        <f ca="1">IFERROR(__xludf.DUMMYFUNCTION("""COMPUTED_VALUE"""),"")</f>
        <v/>
      </c>
      <c r="R767" s="18" t="str">
        <f ca="1">IFERROR(__xludf.DUMMYFUNCTION("""COMPUTED_VALUE"""),"")</f>
        <v/>
      </c>
      <c r="S767" s="18" t="str">
        <f ca="1">IFERROR(__xludf.DUMMYFUNCTION("""COMPUTED_VALUE"""),"")</f>
        <v/>
      </c>
      <c r="T767" s="18" t="str">
        <f ca="1">IFERROR(__xludf.DUMMYFUNCTION("""COMPUTED_VALUE"""),"")</f>
        <v/>
      </c>
      <c r="U767" s="18" t="str">
        <f ca="1">IFERROR(__xludf.DUMMYFUNCTION("""COMPUTED_VALUE"""),"")</f>
        <v/>
      </c>
      <c r="V767" s="18" t="str">
        <f ca="1">IFERROR(__xludf.DUMMYFUNCTION("""COMPUTED_VALUE"""),"")</f>
        <v/>
      </c>
      <c r="W767" s="18" t="str">
        <f ca="1">IFERROR(__xludf.DUMMYFUNCTION("""COMPUTED_VALUE"""),"")</f>
        <v/>
      </c>
      <c r="X767" s="18" t="str">
        <f ca="1">IFERROR(__xludf.DUMMYFUNCTION("""COMPUTED_VALUE"""),"")</f>
        <v/>
      </c>
      <c r="Y767" s="18" t="e">
        <f ca="1"/>
        <v>#NAME?</v>
      </c>
      <c r="Z767" s="18" t="str">
        <f ca="1">IFERROR(__xludf.DUMMYFUNCTION("""COMPUTED_VALUE"""),"")</f>
        <v/>
      </c>
      <c r="AA767" s="18" t="str">
        <f ca="1">IFERROR(__xludf.DUMMYFUNCTION("""COMPUTED_VALUE"""),"")</f>
        <v/>
      </c>
      <c r="AC767" s="59"/>
    </row>
    <row r="768" spans="1:29" x14ac:dyDescent="0.25">
      <c r="A768" s="18">
        <v>0</v>
      </c>
      <c r="B768" s="52" t="str">
        <f ca="1"/>
        <v/>
      </c>
      <c r="C768" s="52" t="str">
        <f ca="1">IFERROR(__xludf.DUMMYFUNCTION("""COMPUTED_VALUE"""),"")</f>
        <v/>
      </c>
      <c r="D768" s="18" t="str">
        <f ca="1">IFERROR(__xludf.DUMMYFUNCTION("""COMPUTED_VALUE"""),"")</f>
        <v/>
      </c>
      <c r="E768" s="18" t="str">
        <f ca="1">IFERROR(__xludf.DUMMYFUNCTION("""COMPUTED_VALUE"""),"")</f>
        <v/>
      </c>
      <c r="F768" s="18" t="str">
        <f ca="1">IFERROR(__xludf.DUMMYFUNCTION("""COMPUTED_VALUE"""),"")</f>
        <v/>
      </c>
      <c r="G768" s="18" t="str">
        <f ca="1">IFERROR(__xludf.DUMMYFUNCTION("""COMPUTED_VALUE"""),"")</f>
        <v/>
      </c>
      <c r="H768" s="18" t="str">
        <f ca="1">IFERROR(__xludf.DUMMYFUNCTION("""COMPUTED_VALUE"""),"")</f>
        <v/>
      </c>
      <c r="I768" s="18" t="str">
        <f ca="1">IFERROR(__xludf.DUMMYFUNCTION("""COMPUTED_VALUE"""),"")</f>
        <v/>
      </c>
      <c r="J768" s="18" t="str">
        <f ca="1">IFERROR(__xludf.DUMMYFUNCTION("""COMPUTED_VALUE"""),"")</f>
        <v/>
      </c>
      <c r="K768" s="18" t="str">
        <f ca="1">IFERROR(__xludf.DUMMYFUNCTION("""COMPUTED_VALUE"""),"")</f>
        <v/>
      </c>
      <c r="L768" s="18" t="str">
        <f ca="1">IFERROR(__xludf.DUMMYFUNCTION("""COMPUTED_VALUE"""),"")</f>
        <v/>
      </c>
      <c r="M768" s="18" t="str">
        <f ca="1">IFERROR(__xludf.DUMMYFUNCTION("""COMPUTED_VALUE"""),"")</f>
        <v/>
      </c>
      <c r="N768" s="18" t="str">
        <f ca="1">IFERROR(__xludf.DUMMYFUNCTION("""COMPUTED_VALUE"""),"")</f>
        <v/>
      </c>
      <c r="O768" s="18" t="str">
        <f ca="1">IFERROR(__xludf.DUMMYFUNCTION("""COMPUTED_VALUE"""),"")</f>
        <v/>
      </c>
      <c r="P768" s="18" t="str">
        <f ca="1">IFERROR(__xludf.DUMMYFUNCTION("""COMPUTED_VALUE"""),"")</f>
        <v/>
      </c>
      <c r="Q768" s="18" t="str">
        <f ca="1">IFERROR(__xludf.DUMMYFUNCTION("""COMPUTED_VALUE"""),"")</f>
        <v/>
      </c>
      <c r="R768" s="18" t="str">
        <f ca="1">IFERROR(__xludf.DUMMYFUNCTION("""COMPUTED_VALUE"""),"")</f>
        <v/>
      </c>
      <c r="S768" s="18" t="str">
        <f ca="1">IFERROR(__xludf.DUMMYFUNCTION("""COMPUTED_VALUE"""),"")</f>
        <v/>
      </c>
      <c r="T768" s="18" t="str">
        <f ca="1">IFERROR(__xludf.DUMMYFUNCTION("""COMPUTED_VALUE"""),"")</f>
        <v/>
      </c>
      <c r="U768" s="18" t="str">
        <f ca="1">IFERROR(__xludf.DUMMYFUNCTION("""COMPUTED_VALUE"""),"")</f>
        <v/>
      </c>
      <c r="V768" s="18" t="str">
        <f ca="1">IFERROR(__xludf.DUMMYFUNCTION("""COMPUTED_VALUE"""),"")</f>
        <v/>
      </c>
      <c r="W768" s="18" t="str">
        <f ca="1">IFERROR(__xludf.DUMMYFUNCTION("""COMPUTED_VALUE"""),"")</f>
        <v/>
      </c>
      <c r="X768" s="18" t="str">
        <f ca="1">IFERROR(__xludf.DUMMYFUNCTION("""COMPUTED_VALUE"""),"")</f>
        <v/>
      </c>
      <c r="Y768" s="18" t="e">
        <f ca="1"/>
        <v>#NAME?</v>
      </c>
      <c r="Z768" s="18" t="str">
        <f ca="1">IFERROR(__xludf.DUMMYFUNCTION("""COMPUTED_VALUE"""),"")</f>
        <v/>
      </c>
      <c r="AA768" s="18" t="str">
        <f ca="1">IFERROR(__xludf.DUMMYFUNCTION("""COMPUTED_VALUE"""),"")</f>
        <v/>
      </c>
      <c r="AC768" s="59"/>
    </row>
    <row r="769" spans="1:29" x14ac:dyDescent="0.25">
      <c r="A769" s="18">
        <v>0</v>
      </c>
      <c r="B769" s="52" t="str">
        <f ca="1"/>
        <v/>
      </c>
      <c r="C769" s="52" t="str">
        <f ca="1">IFERROR(__xludf.DUMMYFUNCTION("""COMPUTED_VALUE"""),"")</f>
        <v/>
      </c>
      <c r="D769" s="18" t="str">
        <f ca="1">IFERROR(__xludf.DUMMYFUNCTION("""COMPUTED_VALUE"""),"")</f>
        <v/>
      </c>
      <c r="E769" s="18" t="str">
        <f ca="1">IFERROR(__xludf.DUMMYFUNCTION("""COMPUTED_VALUE"""),"")</f>
        <v/>
      </c>
      <c r="F769" s="18" t="str">
        <f ca="1">IFERROR(__xludf.DUMMYFUNCTION("""COMPUTED_VALUE"""),"")</f>
        <v/>
      </c>
      <c r="G769" s="18" t="str">
        <f ca="1">IFERROR(__xludf.DUMMYFUNCTION("""COMPUTED_VALUE"""),"")</f>
        <v/>
      </c>
      <c r="H769" s="18" t="str">
        <f ca="1">IFERROR(__xludf.DUMMYFUNCTION("""COMPUTED_VALUE"""),"")</f>
        <v/>
      </c>
      <c r="I769" s="18" t="str">
        <f ca="1">IFERROR(__xludf.DUMMYFUNCTION("""COMPUTED_VALUE"""),"")</f>
        <v/>
      </c>
      <c r="J769" s="18" t="str">
        <f ca="1">IFERROR(__xludf.DUMMYFUNCTION("""COMPUTED_VALUE"""),"")</f>
        <v/>
      </c>
      <c r="K769" s="18" t="str">
        <f ca="1">IFERROR(__xludf.DUMMYFUNCTION("""COMPUTED_VALUE"""),"")</f>
        <v/>
      </c>
      <c r="L769" s="18" t="str">
        <f ca="1">IFERROR(__xludf.DUMMYFUNCTION("""COMPUTED_VALUE"""),"")</f>
        <v/>
      </c>
      <c r="M769" s="18" t="str">
        <f ca="1">IFERROR(__xludf.DUMMYFUNCTION("""COMPUTED_VALUE"""),"")</f>
        <v/>
      </c>
      <c r="N769" s="18" t="str">
        <f ca="1">IFERROR(__xludf.DUMMYFUNCTION("""COMPUTED_VALUE"""),"")</f>
        <v/>
      </c>
      <c r="O769" s="18" t="str">
        <f ca="1">IFERROR(__xludf.DUMMYFUNCTION("""COMPUTED_VALUE"""),"")</f>
        <v/>
      </c>
      <c r="P769" s="18" t="str">
        <f ca="1">IFERROR(__xludf.DUMMYFUNCTION("""COMPUTED_VALUE"""),"")</f>
        <v/>
      </c>
      <c r="Q769" s="18" t="str">
        <f ca="1">IFERROR(__xludf.DUMMYFUNCTION("""COMPUTED_VALUE"""),"")</f>
        <v/>
      </c>
      <c r="R769" s="18" t="str">
        <f ca="1">IFERROR(__xludf.DUMMYFUNCTION("""COMPUTED_VALUE"""),"")</f>
        <v/>
      </c>
      <c r="S769" s="18" t="str">
        <f ca="1">IFERROR(__xludf.DUMMYFUNCTION("""COMPUTED_VALUE"""),"")</f>
        <v/>
      </c>
      <c r="T769" s="18" t="str">
        <f ca="1">IFERROR(__xludf.DUMMYFUNCTION("""COMPUTED_VALUE"""),"")</f>
        <v/>
      </c>
      <c r="U769" s="18" t="str">
        <f ca="1">IFERROR(__xludf.DUMMYFUNCTION("""COMPUTED_VALUE"""),"")</f>
        <v/>
      </c>
      <c r="V769" s="18" t="str">
        <f ca="1">IFERROR(__xludf.DUMMYFUNCTION("""COMPUTED_VALUE"""),"")</f>
        <v/>
      </c>
      <c r="W769" s="18" t="str">
        <f ca="1">IFERROR(__xludf.DUMMYFUNCTION("""COMPUTED_VALUE"""),"")</f>
        <v/>
      </c>
      <c r="X769" s="18" t="str">
        <f ca="1">IFERROR(__xludf.DUMMYFUNCTION("""COMPUTED_VALUE"""),"")</f>
        <v/>
      </c>
      <c r="Y769" s="18" t="e">
        <f ca="1"/>
        <v>#NAME?</v>
      </c>
      <c r="Z769" s="18" t="str">
        <f ca="1">IFERROR(__xludf.DUMMYFUNCTION("""COMPUTED_VALUE"""),"")</f>
        <v/>
      </c>
      <c r="AA769" s="18" t="str">
        <f ca="1">IFERROR(__xludf.DUMMYFUNCTION("""COMPUTED_VALUE"""),"")</f>
        <v/>
      </c>
      <c r="AC769" s="59"/>
    </row>
    <row r="770" spans="1:29" x14ac:dyDescent="0.25">
      <c r="A770" s="18">
        <v>0</v>
      </c>
      <c r="B770" s="52" t="str">
        <f ca="1"/>
        <v/>
      </c>
      <c r="C770" s="52" t="str">
        <f ca="1">IFERROR(__xludf.DUMMYFUNCTION("""COMPUTED_VALUE"""),"")</f>
        <v/>
      </c>
      <c r="D770" s="18" t="str">
        <f ca="1">IFERROR(__xludf.DUMMYFUNCTION("""COMPUTED_VALUE"""),"")</f>
        <v/>
      </c>
      <c r="E770" s="18" t="str">
        <f ca="1">IFERROR(__xludf.DUMMYFUNCTION("""COMPUTED_VALUE"""),"")</f>
        <v/>
      </c>
      <c r="F770" s="18" t="str">
        <f ca="1">IFERROR(__xludf.DUMMYFUNCTION("""COMPUTED_VALUE"""),"")</f>
        <v/>
      </c>
      <c r="G770" s="18" t="str">
        <f ca="1">IFERROR(__xludf.DUMMYFUNCTION("""COMPUTED_VALUE"""),"")</f>
        <v/>
      </c>
      <c r="H770" s="18" t="str">
        <f ca="1">IFERROR(__xludf.DUMMYFUNCTION("""COMPUTED_VALUE"""),"")</f>
        <v/>
      </c>
      <c r="I770" s="18" t="str">
        <f ca="1">IFERROR(__xludf.DUMMYFUNCTION("""COMPUTED_VALUE"""),"")</f>
        <v/>
      </c>
      <c r="J770" s="18" t="str">
        <f ca="1">IFERROR(__xludf.DUMMYFUNCTION("""COMPUTED_VALUE"""),"")</f>
        <v/>
      </c>
      <c r="K770" s="18" t="str">
        <f ca="1">IFERROR(__xludf.DUMMYFUNCTION("""COMPUTED_VALUE"""),"")</f>
        <v/>
      </c>
      <c r="L770" s="18" t="str">
        <f ca="1">IFERROR(__xludf.DUMMYFUNCTION("""COMPUTED_VALUE"""),"")</f>
        <v/>
      </c>
      <c r="M770" s="18" t="str">
        <f ca="1">IFERROR(__xludf.DUMMYFUNCTION("""COMPUTED_VALUE"""),"")</f>
        <v/>
      </c>
      <c r="N770" s="18" t="str">
        <f ca="1">IFERROR(__xludf.DUMMYFUNCTION("""COMPUTED_VALUE"""),"")</f>
        <v/>
      </c>
      <c r="O770" s="18" t="str">
        <f ca="1">IFERROR(__xludf.DUMMYFUNCTION("""COMPUTED_VALUE"""),"")</f>
        <v/>
      </c>
      <c r="P770" s="18" t="str">
        <f ca="1">IFERROR(__xludf.DUMMYFUNCTION("""COMPUTED_VALUE"""),"")</f>
        <v/>
      </c>
      <c r="Q770" s="18" t="str">
        <f ca="1">IFERROR(__xludf.DUMMYFUNCTION("""COMPUTED_VALUE"""),"")</f>
        <v/>
      </c>
      <c r="R770" s="18" t="str">
        <f ca="1">IFERROR(__xludf.DUMMYFUNCTION("""COMPUTED_VALUE"""),"")</f>
        <v/>
      </c>
      <c r="S770" s="18" t="str">
        <f ca="1">IFERROR(__xludf.DUMMYFUNCTION("""COMPUTED_VALUE"""),"")</f>
        <v/>
      </c>
      <c r="T770" s="18" t="str">
        <f ca="1">IFERROR(__xludf.DUMMYFUNCTION("""COMPUTED_VALUE"""),"")</f>
        <v/>
      </c>
      <c r="U770" s="18" t="str">
        <f ca="1">IFERROR(__xludf.DUMMYFUNCTION("""COMPUTED_VALUE"""),"")</f>
        <v/>
      </c>
      <c r="V770" s="18" t="str">
        <f ca="1">IFERROR(__xludf.DUMMYFUNCTION("""COMPUTED_VALUE"""),"")</f>
        <v/>
      </c>
      <c r="W770" s="18" t="str">
        <f ca="1">IFERROR(__xludf.DUMMYFUNCTION("""COMPUTED_VALUE"""),"")</f>
        <v/>
      </c>
      <c r="X770" s="18" t="str">
        <f ca="1">IFERROR(__xludf.DUMMYFUNCTION("""COMPUTED_VALUE"""),"")</f>
        <v/>
      </c>
      <c r="Y770" s="18" t="e">
        <f ca="1"/>
        <v>#NAME?</v>
      </c>
      <c r="Z770" s="18" t="str">
        <f ca="1">IFERROR(__xludf.DUMMYFUNCTION("""COMPUTED_VALUE"""),"")</f>
        <v/>
      </c>
      <c r="AA770" s="18" t="str">
        <f ca="1">IFERROR(__xludf.DUMMYFUNCTION("""COMPUTED_VALUE"""),"")</f>
        <v/>
      </c>
      <c r="AC770" s="59"/>
    </row>
    <row r="771" spans="1:29" x14ac:dyDescent="0.25">
      <c r="A771" s="18">
        <v>0</v>
      </c>
      <c r="B771" s="52" t="str">
        <f ca="1"/>
        <v/>
      </c>
      <c r="C771" s="52" t="str">
        <f ca="1">IFERROR(__xludf.DUMMYFUNCTION("""COMPUTED_VALUE"""),"")</f>
        <v/>
      </c>
      <c r="D771" s="18" t="str">
        <f ca="1">IFERROR(__xludf.DUMMYFUNCTION("""COMPUTED_VALUE"""),"")</f>
        <v/>
      </c>
      <c r="E771" s="18" t="str">
        <f ca="1">IFERROR(__xludf.DUMMYFUNCTION("""COMPUTED_VALUE"""),"")</f>
        <v/>
      </c>
      <c r="F771" s="18" t="str">
        <f ca="1">IFERROR(__xludf.DUMMYFUNCTION("""COMPUTED_VALUE"""),"")</f>
        <v/>
      </c>
      <c r="G771" s="18" t="str">
        <f ca="1">IFERROR(__xludf.DUMMYFUNCTION("""COMPUTED_VALUE"""),"")</f>
        <v/>
      </c>
      <c r="H771" s="18" t="str">
        <f ca="1">IFERROR(__xludf.DUMMYFUNCTION("""COMPUTED_VALUE"""),"")</f>
        <v/>
      </c>
      <c r="I771" s="18" t="str">
        <f ca="1">IFERROR(__xludf.DUMMYFUNCTION("""COMPUTED_VALUE"""),"")</f>
        <v/>
      </c>
      <c r="J771" s="18" t="str">
        <f ca="1">IFERROR(__xludf.DUMMYFUNCTION("""COMPUTED_VALUE"""),"")</f>
        <v/>
      </c>
      <c r="K771" s="18" t="str">
        <f ca="1">IFERROR(__xludf.DUMMYFUNCTION("""COMPUTED_VALUE"""),"")</f>
        <v/>
      </c>
      <c r="L771" s="18" t="str">
        <f ca="1">IFERROR(__xludf.DUMMYFUNCTION("""COMPUTED_VALUE"""),"")</f>
        <v/>
      </c>
      <c r="M771" s="18" t="str">
        <f ca="1">IFERROR(__xludf.DUMMYFUNCTION("""COMPUTED_VALUE"""),"")</f>
        <v/>
      </c>
      <c r="N771" s="18" t="str">
        <f ca="1">IFERROR(__xludf.DUMMYFUNCTION("""COMPUTED_VALUE"""),"")</f>
        <v/>
      </c>
      <c r="O771" s="18" t="str">
        <f ca="1">IFERROR(__xludf.DUMMYFUNCTION("""COMPUTED_VALUE"""),"")</f>
        <v/>
      </c>
      <c r="P771" s="18" t="str">
        <f ca="1">IFERROR(__xludf.DUMMYFUNCTION("""COMPUTED_VALUE"""),"")</f>
        <v/>
      </c>
      <c r="Q771" s="18" t="str">
        <f ca="1">IFERROR(__xludf.DUMMYFUNCTION("""COMPUTED_VALUE"""),"")</f>
        <v/>
      </c>
      <c r="R771" s="18" t="str">
        <f ca="1">IFERROR(__xludf.DUMMYFUNCTION("""COMPUTED_VALUE"""),"")</f>
        <v/>
      </c>
      <c r="S771" s="18" t="str">
        <f ca="1">IFERROR(__xludf.DUMMYFUNCTION("""COMPUTED_VALUE"""),"")</f>
        <v/>
      </c>
      <c r="T771" s="18" t="str">
        <f ca="1">IFERROR(__xludf.DUMMYFUNCTION("""COMPUTED_VALUE"""),"")</f>
        <v/>
      </c>
      <c r="U771" s="18" t="str">
        <f ca="1">IFERROR(__xludf.DUMMYFUNCTION("""COMPUTED_VALUE"""),"")</f>
        <v/>
      </c>
      <c r="V771" s="18" t="str">
        <f ca="1">IFERROR(__xludf.DUMMYFUNCTION("""COMPUTED_VALUE"""),"")</f>
        <v/>
      </c>
      <c r="W771" s="18" t="str">
        <f ca="1">IFERROR(__xludf.DUMMYFUNCTION("""COMPUTED_VALUE"""),"")</f>
        <v/>
      </c>
      <c r="X771" s="18" t="str">
        <f ca="1">IFERROR(__xludf.DUMMYFUNCTION("""COMPUTED_VALUE"""),"")</f>
        <v/>
      </c>
      <c r="Y771" s="18" t="e">
        <f ca="1"/>
        <v>#NAME?</v>
      </c>
      <c r="Z771" s="18" t="str">
        <f ca="1">IFERROR(__xludf.DUMMYFUNCTION("""COMPUTED_VALUE"""),"")</f>
        <v/>
      </c>
      <c r="AA771" s="18" t="str">
        <f ca="1">IFERROR(__xludf.DUMMYFUNCTION("""COMPUTED_VALUE"""),"")</f>
        <v/>
      </c>
      <c r="AC771" s="59"/>
    </row>
    <row r="772" spans="1:29" x14ac:dyDescent="0.25">
      <c r="A772" s="18">
        <v>0</v>
      </c>
      <c r="B772" s="52" t="str">
        <f ca="1"/>
        <v/>
      </c>
      <c r="C772" s="52" t="str">
        <f ca="1">IFERROR(__xludf.DUMMYFUNCTION("""COMPUTED_VALUE"""),"")</f>
        <v/>
      </c>
      <c r="D772" s="18" t="str">
        <f ca="1">IFERROR(__xludf.DUMMYFUNCTION("""COMPUTED_VALUE"""),"")</f>
        <v/>
      </c>
      <c r="E772" s="18" t="str">
        <f ca="1">IFERROR(__xludf.DUMMYFUNCTION("""COMPUTED_VALUE"""),"")</f>
        <v/>
      </c>
      <c r="F772" s="18" t="str">
        <f ca="1">IFERROR(__xludf.DUMMYFUNCTION("""COMPUTED_VALUE"""),"")</f>
        <v/>
      </c>
      <c r="G772" s="18" t="str">
        <f ca="1">IFERROR(__xludf.DUMMYFUNCTION("""COMPUTED_VALUE"""),"")</f>
        <v/>
      </c>
      <c r="H772" s="18" t="str">
        <f ca="1">IFERROR(__xludf.DUMMYFUNCTION("""COMPUTED_VALUE"""),"")</f>
        <v/>
      </c>
      <c r="I772" s="18" t="str">
        <f ca="1">IFERROR(__xludf.DUMMYFUNCTION("""COMPUTED_VALUE"""),"")</f>
        <v/>
      </c>
      <c r="J772" s="18" t="str">
        <f ca="1">IFERROR(__xludf.DUMMYFUNCTION("""COMPUTED_VALUE"""),"")</f>
        <v/>
      </c>
      <c r="K772" s="18" t="str">
        <f ca="1">IFERROR(__xludf.DUMMYFUNCTION("""COMPUTED_VALUE"""),"")</f>
        <v/>
      </c>
      <c r="L772" s="18" t="str">
        <f ca="1">IFERROR(__xludf.DUMMYFUNCTION("""COMPUTED_VALUE"""),"")</f>
        <v/>
      </c>
      <c r="M772" s="18" t="str">
        <f ca="1">IFERROR(__xludf.DUMMYFUNCTION("""COMPUTED_VALUE"""),"")</f>
        <v/>
      </c>
      <c r="N772" s="18" t="str">
        <f ca="1">IFERROR(__xludf.DUMMYFUNCTION("""COMPUTED_VALUE"""),"")</f>
        <v/>
      </c>
      <c r="O772" s="18" t="str">
        <f ca="1">IFERROR(__xludf.DUMMYFUNCTION("""COMPUTED_VALUE"""),"")</f>
        <v/>
      </c>
      <c r="P772" s="18" t="str">
        <f ca="1">IFERROR(__xludf.DUMMYFUNCTION("""COMPUTED_VALUE"""),"")</f>
        <v/>
      </c>
      <c r="Q772" s="18" t="str">
        <f ca="1">IFERROR(__xludf.DUMMYFUNCTION("""COMPUTED_VALUE"""),"")</f>
        <v/>
      </c>
      <c r="R772" s="18" t="str">
        <f ca="1">IFERROR(__xludf.DUMMYFUNCTION("""COMPUTED_VALUE"""),"")</f>
        <v/>
      </c>
      <c r="S772" s="18" t="str">
        <f ca="1">IFERROR(__xludf.DUMMYFUNCTION("""COMPUTED_VALUE"""),"")</f>
        <v/>
      </c>
      <c r="T772" s="18" t="str">
        <f ca="1">IFERROR(__xludf.DUMMYFUNCTION("""COMPUTED_VALUE"""),"")</f>
        <v/>
      </c>
      <c r="U772" s="18" t="str">
        <f ca="1">IFERROR(__xludf.DUMMYFUNCTION("""COMPUTED_VALUE"""),"")</f>
        <v/>
      </c>
      <c r="V772" s="18" t="str">
        <f ca="1">IFERROR(__xludf.DUMMYFUNCTION("""COMPUTED_VALUE"""),"")</f>
        <v/>
      </c>
      <c r="W772" s="18" t="str">
        <f ca="1">IFERROR(__xludf.DUMMYFUNCTION("""COMPUTED_VALUE"""),"")</f>
        <v/>
      </c>
      <c r="X772" s="18" t="str">
        <f ca="1">IFERROR(__xludf.DUMMYFUNCTION("""COMPUTED_VALUE"""),"")</f>
        <v/>
      </c>
      <c r="Y772" s="18" t="e">
        <f ca="1"/>
        <v>#NAME?</v>
      </c>
      <c r="Z772" s="18" t="str">
        <f ca="1">IFERROR(__xludf.DUMMYFUNCTION("""COMPUTED_VALUE"""),"")</f>
        <v/>
      </c>
      <c r="AA772" s="18" t="str">
        <f ca="1">IFERROR(__xludf.DUMMYFUNCTION("""COMPUTED_VALUE"""),"")</f>
        <v/>
      </c>
      <c r="AC772" s="59"/>
    </row>
    <row r="773" spans="1:29" x14ac:dyDescent="0.25">
      <c r="A773" s="18">
        <v>0</v>
      </c>
      <c r="B773" s="52" t="str">
        <f ca="1"/>
        <v/>
      </c>
      <c r="C773" s="52" t="str">
        <f ca="1">IFERROR(__xludf.DUMMYFUNCTION("""COMPUTED_VALUE"""),"")</f>
        <v/>
      </c>
      <c r="D773" s="18" t="str">
        <f ca="1">IFERROR(__xludf.DUMMYFUNCTION("""COMPUTED_VALUE"""),"")</f>
        <v/>
      </c>
      <c r="E773" s="18" t="str">
        <f ca="1">IFERROR(__xludf.DUMMYFUNCTION("""COMPUTED_VALUE"""),"")</f>
        <v/>
      </c>
      <c r="F773" s="18" t="str">
        <f ca="1">IFERROR(__xludf.DUMMYFUNCTION("""COMPUTED_VALUE"""),"")</f>
        <v/>
      </c>
      <c r="G773" s="18" t="str">
        <f ca="1">IFERROR(__xludf.DUMMYFUNCTION("""COMPUTED_VALUE"""),"")</f>
        <v/>
      </c>
      <c r="H773" s="18" t="str">
        <f ca="1">IFERROR(__xludf.DUMMYFUNCTION("""COMPUTED_VALUE"""),"")</f>
        <v/>
      </c>
      <c r="I773" s="18" t="str">
        <f ca="1">IFERROR(__xludf.DUMMYFUNCTION("""COMPUTED_VALUE"""),"")</f>
        <v/>
      </c>
      <c r="J773" s="18" t="str">
        <f ca="1">IFERROR(__xludf.DUMMYFUNCTION("""COMPUTED_VALUE"""),"")</f>
        <v/>
      </c>
      <c r="K773" s="18" t="str">
        <f ca="1">IFERROR(__xludf.DUMMYFUNCTION("""COMPUTED_VALUE"""),"")</f>
        <v/>
      </c>
      <c r="L773" s="18" t="str">
        <f ca="1">IFERROR(__xludf.DUMMYFUNCTION("""COMPUTED_VALUE"""),"")</f>
        <v/>
      </c>
      <c r="M773" s="18" t="str">
        <f ca="1">IFERROR(__xludf.DUMMYFUNCTION("""COMPUTED_VALUE"""),"")</f>
        <v/>
      </c>
      <c r="N773" s="18" t="str">
        <f ca="1">IFERROR(__xludf.DUMMYFUNCTION("""COMPUTED_VALUE"""),"")</f>
        <v/>
      </c>
      <c r="O773" s="18" t="str">
        <f ca="1">IFERROR(__xludf.DUMMYFUNCTION("""COMPUTED_VALUE"""),"")</f>
        <v/>
      </c>
      <c r="P773" s="18" t="str">
        <f ca="1">IFERROR(__xludf.DUMMYFUNCTION("""COMPUTED_VALUE"""),"")</f>
        <v/>
      </c>
      <c r="Q773" s="18" t="str">
        <f ca="1">IFERROR(__xludf.DUMMYFUNCTION("""COMPUTED_VALUE"""),"")</f>
        <v/>
      </c>
      <c r="R773" s="18" t="str">
        <f ca="1">IFERROR(__xludf.DUMMYFUNCTION("""COMPUTED_VALUE"""),"")</f>
        <v/>
      </c>
      <c r="S773" s="18" t="str">
        <f ca="1">IFERROR(__xludf.DUMMYFUNCTION("""COMPUTED_VALUE"""),"")</f>
        <v/>
      </c>
      <c r="T773" s="18" t="str">
        <f ca="1">IFERROR(__xludf.DUMMYFUNCTION("""COMPUTED_VALUE"""),"")</f>
        <v/>
      </c>
      <c r="U773" s="18" t="str">
        <f ca="1">IFERROR(__xludf.DUMMYFUNCTION("""COMPUTED_VALUE"""),"")</f>
        <v/>
      </c>
      <c r="V773" s="18" t="str">
        <f ca="1">IFERROR(__xludf.DUMMYFUNCTION("""COMPUTED_VALUE"""),"")</f>
        <v/>
      </c>
      <c r="W773" s="18" t="str">
        <f ca="1">IFERROR(__xludf.DUMMYFUNCTION("""COMPUTED_VALUE"""),"")</f>
        <v/>
      </c>
      <c r="X773" s="18" t="str">
        <f ca="1">IFERROR(__xludf.DUMMYFUNCTION("""COMPUTED_VALUE"""),"")</f>
        <v/>
      </c>
      <c r="Y773" s="18" t="e">
        <f ca="1"/>
        <v>#NAME?</v>
      </c>
      <c r="Z773" s="18" t="str">
        <f ca="1">IFERROR(__xludf.DUMMYFUNCTION("""COMPUTED_VALUE"""),"")</f>
        <v/>
      </c>
      <c r="AA773" s="18" t="str">
        <f ca="1">IFERROR(__xludf.DUMMYFUNCTION("""COMPUTED_VALUE"""),"")</f>
        <v/>
      </c>
      <c r="AC773" s="59"/>
    </row>
    <row r="774" spans="1:29" x14ac:dyDescent="0.25">
      <c r="A774" s="18">
        <v>0</v>
      </c>
      <c r="B774" s="52" t="str">
        <f ca="1"/>
        <v/>
      </c>
      <c r="C774" s="52" t="str">
        <f ca="1">IFERROR(__xludf.DUMMYFUNCTION("""COMPUTED_VALUE"""),"")</f>
        <v/>
      </c>
      <c r="D774" s="18" t="str">
        <f ca="1">IFERROR(__xludf.DUMMYFUNCTION("""COMPUTED_VALUE"""),"")</f>
        <v/>
      </c>
      <c r="E774" s="18" t="str">
        <f ca="1">IFERROR(__xludf.DUMMYFUNCTION("""COMPUTED_VALUE"""),"")</f>
        <v/>
      </c>
      <c r="F774" s="18" t="str">
        <f ca="1">IFERROR(__xludf.DUMMYFUNCTION("""COMPUTED_VALUE"""),"")</f>
        <v/>
      </c>
      <c r="G774" s="18" t="str">
        <f ca="1">IFERROR(__xludf.DUMMYFUNCTION("""COMPUTED_VALUE"""),"")</f>
        <v/>
      </c>
      <c r="H774" s="18" t="str">
        <f ca="1">IFERROR(__xludf.DUMMYFUNCTION("""COMPUTED_VALUE"""),"")</f>
        <v/>
      </c>
      <c r="I774" s="18" t="str">
        <f ca="1">IFERROR(__xludf.DUMMYFUNCTION("""COMPUTED_VALUE"""),"")</f>
        <v/>
      </c>
      <c r="J774" s="18" t="str">
        <f ca="1">IFERROR(__xludf.DUMMYFUNCTION("""COMPUTED_VALUE"""),"")</f>
        <v/>
      </c>
      <c r="K774" s="18" t="str">
        <f ca="1">IFERROR(__xludf.DUMMYFUNCTION("""COMPUTED_VALUE"""),"")</f>
        <v/>
      </c>
      <c r="L774" s="18" t="str">
        <f ca="1">IFERROR(__xludf.DUMMYFUNCTION("""COMPUTED_VALUE"""),"")</f>
        <v/>
      </c>
      <c r="M774" s="18" t="str">
        <f ca="1">IFERROR(__xludf.DUMMYFUNCTION("""COMPUTED_VALUE"""),"")</f>
        <v/>
      </c>
      <c r="N774" s="18" t="str">
        <f ca="1">IFERROR(__xludf.DUMMYFUNCTION("""COMPUTED_VALUE"""),"")</f>
        <v/>
      </c>
      <c r="O774" s="18" t="str">
        <f ca="1">IFERROR(__xludf.DUMMYFUNCTION("""COMPUTED_VALUE"""),"")</f>
        <v/>
      </c>
      <c r="P774" s="18" t="str">
        <f ca="1">IFERROR(__xludf.DUMMYFUNCTION("""COMPUTED_VALUE"""),"")</f>
        <v/>
      </c>
      <c r="Q774" s="18" t="str">
        <f ca="1">IFERROR(__xludf.DUMMYFUNCTION("""COMPUTED_VALUE"""),"")</f>
        <v/>
      </c>
      <c r="R774" s="18" t="str">
        <f ca="1">IFERROR(__xludf.DUMMYFUNCTION("""COMPUTED_VALUE"""),"")</f>
        <v/>
      </c>
      <c r="S774" s="18" t="str">
        <f ca="1">IFERROR(__xludf.DUMMYFUNCTION("""COMPUTED_VALUE"""),"")</f>
        <v/>
      </c>
      <c r="T774" s="18" t="str">
        <f ca="1">IFERROR(__xludf.DUMMYFUNCTION("""COMPUTED_VALUE"""),"")</f>
        <v/>
      </c>
      <c r="U774" s="18" t="str">
        <f ca="1">IFERROR(__xludf.DUMMYFUNCTION("""COMPUTED_VALUE"""),"")</f>
        <v/>
      </c>
      <c r="V774" s="18" t="str">
        <f ca="1">IFERROR(__xludf.DUMMYFUNCTION("""COMPUTED_VALUE"""),"")</f>
        <v/>
      </c>
      <c r="W774" s="18" t="str">
        <f ca="1">IFERROR(__xludf.DUMMYFUNCTION("""COMPUTED_VALUE"""),"")</f>
        <v/>
      </c>
      <c r="X774" s="18" t="str">
        <f ca="1">IFERROR(__xludf.DUMMYFUNCTION("""COMPUTED_VALUE"""),"")</f>
        <v/>
      </c>
      <c r="Y774" s="18" t="e">
        <f ca="1"/>
        <v>#NAME?</v>
      </c>
      <c r="Z774" s="18" t="str">
        <f ca="1">IFERROR(__xludf.DUMMYFUNCTION("""COMPUTED_VALUE"""),"")</f>
        <v/>
      </c>
      <c r="AA774" s="18" t="str">
        <f ca="1">IFERROR(__xludf.DUMMYFUNCTION("""COMPUTED_VALUE"""),"")</f>
        <v/>
      </c>
      <c r="AC774" s="59"/>
    </row>
    <row r="775" spans="1:29" x14ac:dyDescent="0.25">
      <c r="A775" s="18">
        <v>0</v>
      </c>
      <c r="B775" s="52" t="str">
        <f ca="1"/>
        <v/>
      </c>
      <c r="C775" s="52" t="str">
        <f ca="1">IFERROR(__xludf.DUMMYFUNCTION("""COMPUTED_VALUE"""),"")</f>
        <v/>
      </c>
      <c r="D775" s="18" t="str">
        <f ca="1">IFERROR(__xludf.DUMMYFUNCTION("""COMPUTED_VALUE"""),"")</f>
        <v/>
      </c>
      <c r="E775" s="18" t="str">
        <f ca="1">IFERROR(__xludf.DUMMYFUNCTION("""COMPUTED_VALUE"""),"")</f>
        <v/>
      </c>
      <c r="F775" s="18" t="str">
        <f ca="1">IFERROR(__xludf.DUMMYFUNCTION("""COMPUTED_VALUE"""),"")</f>
        <v/>
      </c>
      <c r="G775" s="18" t="str">
        <f ca="1">IFERROR(__xludf.DUMMYFUNCTION("""COMPUTED_VALUE"""),"")</f>
        <v/>
      </c>
      <c r="H775" s="18" t="str">
        <f ca="1">IFERROR(__xludf.DUMMYFUNCTION("""COMPUTED_VALUE"""),"")</f>
        <v/>
      </c>
      <c r="I775" s="18" t="str">
        <f ca="1">IFERROR(__xludf.DUMMYFUNCTION("""COMPUTED_VALUE"""),"")</f>
        <v/>
      </c>
      <c r="J775" s="18" t="str">
        <f ca="1">IFERROR(__xludf.DUMMYFUNCTION("""COMPUTED_VALUE"""),"")</f>
        <v/>
      </c>
      <c r="K775" s="18" t="str">
        <f ca="1">IFERROR(__xludf.DUMMYFUNCTION("""COMPUTED_VALUE"""),"")</f>
        <v/>
      </c>
      <c r="L775" s="18" t="str">
        <f ca="1">IFERROR(__xludf.DUMMYFUNCTION("""COMPUTED_VALUE"""),"")</f>
        <v/>
      </c>
      <c r="M775" s="18" t="str">
        <f ca="1">IFERROR(__xludf.DUMMYFUNCTION("""COMPUTED_VALUE"""),"")</f>
        <v/>
      </c>
      <c r="N775" s="18" t="str">
        <f ca="1">IFERROR(__xludf.DUMMYFUNCTION("""COMPUTED_VALUE"""),"")</f>
        <v/>
      </c>
      <c r="O775" s="18" t="str">
        <f ca="1">IFERROR(__xludf.DUMMYFUNCTION("""COMPUTED_VALUE"""),"")</f>
        <v/>
      </c>
      <c r="P775" s="18" t="str">
        <f ca="1">IFERROR(__xludf.DUMMYFUNCTION("""COMPUTED_VALUE"""),"")</f>
        <v/>
      </c>
      <c r="Q775" s="18" t="str">
        <f ca="1">IFERROR(__xludf.DUMMYFUNCTION("""COMPUTED_VALUE"""),"")</f>
        <v/>
      </c>
      <c r="R775" s="18" t="str">
        <f ca="1">IFERROR(__xludf.DUMMYFUNCTION("""COMPUTED_VALUE"""),"")</f>
        <v/>
      </c>
      <c r="S775" s="18" t="str">
        <f ca="1">IFERROR(__xludf.DUMMYFUNCTION("""COMPUTED_VALUE"""),"")</f>
        <v/>
      </c>
      <c r="T775" s="18" t="str">
        <f ca="1">IFERROR(__xludf.DUMMYFUNCTION("""COMPUTED_VALUE"""),"")</f>
        <v/>
      </c>
      <c r="U775" s="18" t="str">
        <f ca="1">IFERROR(__xludf.DUMMYFUNCTION("""COMPUTED_VALUE"""),"")</f>
        <v/>
      </c>
      <c r="V775" s="18" t="str">
        <f ca="1">IFERROR(__xludf.DUMMYFUNCTION("""COMPUTED_VALUE"""),"")</f>
        <v/>
      </c>
      <c r="W775" s="18" t="str">
        <f ca="1">IFERROR(__xludf.DUMMYFUNCTION("""COMPUTED_VALUE"""),"")</f>
        <v/>
      </c>
      <c r="X775" s="18" t="str">
        <f ca="1">IFERROR(__xludf.DUMMYFUNCTION("""COMPUTED_VALUE"""),"")</f>
        <v/>
      </c>
      <c r="Y775" s="18" t="e">
        <f ca="1"/>
        <v>#NAME?</v>
      </c>
      <c r="Z775" s="18" t="str">
        <f ca="1">IFERROR(__xludf.DUMMYFUNCTION("""COMPUTED_VALUE"""),"")</f>
        <v/>
      </c>
      <c r="AA775" s="18" t="str">
        <f ca="1">IFERROR(__xludf.DUMMYFUNCTION("""COMPUTED_VALUE"""),"")</f>
        <v/>
      </c>
      <c r="AC775" s="59"/>
    </row>
    <row r="776" spans="1:29" x14ac:dyDescent="0.25">
      <c r="A776" s="18">
        <v>0</v>
      </c>
      <c r="B776" s="52" t="str">
        <f ca="1"/>
        <v/>
      </c>
      <c r="C776" s="52" t="str">
        <f ca="1">IFERROR(__xludf.DUMMYFUNCTION("""COMPUTED_VALUE"""),"")</f>
        <v/>
      </c>
      <c r="D776" s="18" t="str">
        <f ca="1">IFERROR(__xludf.DUMMYFUNCTION("""COMPUTED_VALUE"""),"")</f>
        <v/>
      </c>
      <c r="E776" s="18" t="str">
        <f ca="1">IFERROR(__xludf.DUMMYFUNCTION("""COMPUTED_VALUE"""),"")</f>
        <v/>
      </c>
      <c r="F776" s="18" t="str">
        <f ca="1">IFERROR(__xludf.DUMMYFUNCTION("""COMPUTED_VALUE"""),"")</f>
        <v/>
      </c>
      <c r="G776" s="18" t="str">
        <f ca="1">IFERROR(__xludf.DUMMYFUNCTION("""COMPUTED_VALUE"""),"")</f>
        <v/>
      </c>
      <c r="H776" s="18" t="str">
        <f ca="1">IFERROR(__xludf.DUMMYFUNCTION("""COMPUTED_VALUE"""),"")</f>
        <v/>
      </c>
      <c r="I776" s="18" t="str">
        <f ca="1">IFERROR(__xludf.DUMMYFUNCTION("""COMPUTED_VALUE"""),"")</f>
        <v/>
      </c>
      <c r="J776" s="18" t="str">
        <f ca="1">IFERROR(__xludf.DUMMYFUNCTION("""COMPUTED_VALUE"""),"")</f>
        <v/>
      </c>
      <c r="K776" s="18" t="str">
        <f ca="1">IFERROR(__xludf.DUMMYFUNCTION("""COMPUTED_VALUE"""),"")</f>
        <v/>
      </c>
      <c r="L776" s="18" t="str">
        <f ca="1">IFERROR(__xludf.DUMMYFUNCTION("""COMPUTED_VALUE"""),"")</f>
        <v/>
      </c>
      <c r="M776" s="18" t="str">
        <f ca="1">IFERROR(__xludf.DUMMYFUNCTION("""COMPUTED_VALUE"""),"")</f>
        <v/>
      </c>
      <c r="N776" s="18" t="str">
        <f ca="1">IFERROR(__xludf.DUMMYFUNCTION("""COMPUTED_VALUE"""),"")</f>
        <v/>
      </c>
      <c r="O776" s="18" t="str">
        <f ca="1">IFERROR(__xludf.DUMMYFUNCTION("""COMPUTED_VALUE"""),"")</f>
        <v/>
      </c>
      <c r="P776" s="18" t="str">
        <f ca="1">IFERROR(__xludf.DUMMYFUNCTION("""COMPUTED_VALUE"""),"")</f>
        <v/>
      </c>
      <c r="Q776" s="18" t="str">
        <f ca="1">IFERROR(__xludf.DUMMYFUNCTION("""COMPUTED_VALUE"""),"")</f>
        <v/>
      </c>
      <c r="R776" s="18" t="str">
        <f ca="1">IFERROR(__xludf.DUMMYFUNCTION("""COMPUTED_VALUE"""),"")</f>
        <v/>
      </c>
      <c r="S776" s="18" t="str">
        <f ca="1">IFERROR(__xludf.DUMMYFUNCTION("""COMPUTED_VALUE"""),"")</f>
        <v/>
      </c>
      <c r="T776" s="18" t="str">
        <f ca="1">IFERROR(__xludf.DUMMYFUNCTION("""COMPUTED_VALUE"""),"")</f>
        <v/>
      </c>
      <c r="U776" s="18" t="str">
        <f ca="1">IFERROR(__xludf.DUMMYFUNCTION("""COMPUTED_VALUE"""),"")</f>
        <v/>
      </c>
      <c r="V776" s="18" t="str">
        <f ca="1">IFERROR(__xludf.DUMMYFUNCTION("""COMPUTED_VALUE"""),"")</f>
        <v/>
      </c>
      <c r="W776" s="18" t="str">
        <f ca="1">IFERROR(__xludf.DUMMYFUNCTION("""COMPUTED_VALUE"""),"")</f>
        <v/>
      </c>
      <c r="X776" s="18" t="str">
        <f ca="1">IFERROR(__xludf.DUMMYFUNCTION("""COMPUTED_VALUE"""),"")</f>
        <v/>
      </c>
      <c r="Y776" s="18" t="e">
        <f ca="1"/>
        <v>#NAME?</v>
      </c>
      <c r="Z776" s="18" t="str">
        <f ca="1">IFERROR(__xludf.DUMMYFUNCTION("""COMPUTED_VALUE"""),"")</f>
        <v/>
      </c>
      <c r="AA776" s="18" t="str">
        <f ca="1">IFERROR(__xludf.DUMMYFUNCTION("""COMPUTED_VALUE"""),"")</f>
        <v/>
      </c>
      <c r="AC776" s="59"/>
    </row>
    <row r="777" spans="1:29" x14ac:dyDescent="0.25">
      <c r="A777" s="18">
        <v>0</v>
      </c>
      <c r="B777" s="52" t="str">
        <f ca="1"/>
        <v/>
      </c>
      <c r="C777" s="52" t="str">
        <f ca="1">IFERROR(__xludf.DUMMYFUNCTION("""COMPUTED_VALUE"""),"")</f>
        <v/>
      </c>
      <c r="D777" s="18" t="str">
        <f ca="1">IFERROR(__xludf.DUMMYFUNCTION("""COMPUTED_VALUE"""),"")</f>
        <v/>
      </c>
      <c r="E777" s="18" t="str">
        <f ca="1">IFERROR(__xludf.DUMMYFUNCTION("""COMPUTED_VALUE"""),"")</f>
        <v/>
      </c>
      <c r="F777" s="18" t="str">
        <f ca="1">IFERROR(__xludf.DUMMYFUNCTION("""COMPUTED_VALUE"""),"")</f>
        <v/>
      </c>
      <c r="G777" s="18" t="str">
        <f ca="1">IFERROR(__xludf.DUMMYFUNCTION("""COMPUTED_VALUE"""),"")</f>
        <v/>
      </c>
      <c r="H777" s="18" t="str">
        <f ca="1">IFERROR(__xludf.DUMMYFUNCTION("""COMPUTED_VALUE"""),"")</f>
        <v/>
      </c>
      <c r="I777" s="18" t="str">
        <f ca="1">IFERROR(__xludf.DUMMYFUNCTION("""COMPUTED_VALUE"""),"")</f>
        <v/>
      </c>
      <c r="J777" s="18" t="str">
        <f ca="1">IFERROR(__xludf.DUMMYFUNCTION("""COMPUTED_VALUE"""),"")</f>
        <v/>
      </c>
      <c r="K777" s="18" t="str">
        <f ca="1">IFERROR(__xludf.DUMMYFUNCTION("""COMPUTED_VALUE"""),"")</f>
        <v/>
      </c>
      <c r="L777" s="18" t="str">
        <f ca="1">IFERROR(__xludf.DUMMYFUNCTION("""COMPUTED_VALUE"""),"")</f>
        <v/>
      </c>
      <c r="M777" s="18" t="str">
        <f ca="1">IFERROR(__xludf.DUMMYFUNCTION("""COMPUTED_VALUE"""),"")</f>
        <v/>
      </c>
      <c r="N777" s="18" t="str">
        <f ca="1">IFERROR(__xludf.DUMMYFUNCTION("""COMPUTED_VALUE"""),"")</f>
        <v/>
      </c>
      <c r="O777" s="18" t="str">
        <f ca="1">IFERROR(__xludf.DUMMYFUNCTION("""COMPUTED_VALUE"""),"")</f>
        <v/>
      </c>
      <c r="P777" s="18" t="str">
        <f ca="1">IFERROR(__xludf.DUMMYFUNCTION("""COMPUTED_VALUE"""),"")</f>
        <v/>
      </c>
      <c r="Q777" s="18" t="str">
        <f ca="1">IFERROR(__xludf.DUMMYFUNCTION("""COMPUTED_VALUE"""),"")</f>
        <v/>
      </c>
      <c r="R777" s="18" t="str">
        <f ca="1">IFERROR(__xludf.DUMMYFUNCTION("""COMPUTED_VALUE"""),"")</f>
        <v/>
      </c>
      <c r="S777" s="18" t="str">
        <f ca="1">IFERROR(__xludf.DUMMYFUNCTION("""COMPUTED_VALUE"""),"")</f>
        <v/>
      </c>
      <c r="T777" s="18" t="str">
        <f ca="1">IFERROR(__xludf.DUMMYFUNCTION("""COMPUTED_VALUE"""),"")</f>
        <v/>
      </c>
      <c r="U777" s="18" t="str">
        <f ca="1">IFERROR(__xludf.DUMMYFUNCTION("""COMPUTED_VALUE"""),"")</f>
        <v/>
      </c>
      <c r="V777" s="18" t="str">
        <f ca="1">IFERROR(__xludf.DUMMYFUNCTION("""COMPUTED_VALUE"""),"")</f>
        <v/>
      </c>
      <c r="W777" s="18" t="str">
        <f ca="1">IFERROR(__xludf.DUMMYFUNCTION("""COMPUTED_VALUE"""),"")</f>
        <v/>
      </c>
      <c r="X777" s="18" t="str">
        <f ca="1">IFERROR(__xludf.DUMMYFUNCTION("""COMPUTED_VALUE"""),"")</f>
        <v/>
      </c>
      <c r="Y777" s="18" t="e">
        <f ca="1"/>
        <v>#NAME?</v>
      </c>
      <c r="Z777" s="18" t="str">
        <f ca="1">IFERROR(__xludf.DUMMYFUNCTION("""COMPUTED_VALUE"""),"")</f>
        <v/>
      </c>
      <c r="AA777" s="18" t="str">
        <f ca="1">IFERROR(__xludf.DUMMYFUNCTION("""COMPUTED_VALUE"""),"")</f>
        <v/>
      </c>
      <c r="AC777" s="59"/>
    </row>
    <row r="778" spans="1:29" x14ac:dyDescent="0.25">
      <c r="A778" s="18">
        <v>0</v>
      </c>
      <c r="B778" s="52" t="str">
        <f ca="1"/>
        <v/>
      </c>
      <c r="C778" s="52" t="str">
        <f ca="1">IFERROR(__xludf.DUMMYFUNCTION("""COMPUTED_VALUE"""),"")</f>
        <v/>
      </c>
      <c r="D778" s="18" t="str">
        <f ca="1">IFERROR(__xludf.DUMMYFUNCTION("""COMPUTED_VALUE"""),"")</f>
        <v/>
      </c>
      <c r="E778" s="18" t="str">
        <f ca="1">IFERROR(__xludf.DUMMYFUNCTION("""COMPUTED_VALUE"""),"")</f>
        <v/>
      </c>
      <c r="F778" s="18" t="str">
        <f ca="1">IFERROR(__xludf.DUMMYFUNCTION("""COMPUTED_VALUE"""),"")</f>
        <v/>
      </c>
      <c r="G778" s="18" t="str">
        <f ca="1">IFERROR(__xludf.DUMMYFUNCTION("""COMPUTED_VALUE"""),"")</f>
        <v/>
      </c>
      <c r="H778" s="18" t="str">
        <f ca="1">IFERROR(__xludf.DUMMYFUNCTION("""COMPUTED_VALUE"""),"")</f>
        <v/>
      </c>
      <c r="I778" s="18" t="str">
        <f ca="1">IFERROR(__xludf.DUMMYFUNCTION("""COMPUTED_VALUE"""),"")</f>
        <v/>
      </c>
      <c r="J778" s="18" t="str">
        <f ca="1">IFERROR(__xludf.DUMMYFUNCTION("""COMPUTED_VALUE"""),"")</f>
        <v/>
      </c>
      <c r="K778" s="18" t="str">
        <f ca="1">IFERROR(__xludf.DUMMYFUNCTION("""COMPUTED_VALUE"""),"")</f>
        <v/>
      </c>
      <c r="L778" s="18" t="str">
        <f ca="1">IFERROR(__xludf.DUMMYFUNCTION("""COMPUTED_VALUE"""),"")</f>
        <v/>
      </c>
      <c r="M778" s="18" t="str">
        <f ca="1">IFERROR(__xludf.DUMMYFUNCTION("""COMPUTED_VALUE"""),"")</f>
        <v/>
      </c>
      <c r="N778" s="18" t="str">
        <f ca="1">IFERROR(__xludf.DUMMYFUNCTION("""COMPUTED_VALUE"""),"")</f>
        <v/>
      </c>
      <c r="O778" s="18" t="str">
        <f ca="1">IFERROR(__xludf.DUMMYFUNCTION("""COMPUTED_VALUE"""),"")</f>
        <v/>
      </c>
      <c r="P778" s="18" t="str">
        <f ca="1">IFERROR(__xludf.DUMMYFUNCTION("""COMPUTED_VALUE"""),"")</f>
        <v/>
      </c>
      <c r="Q778" s="18" t="str">
        <f ca="1">IFERROR(__xludf.DUMMYFUNCTION("""COMPUTED_VALUE"""),"")</f>
        <v/>
      </c>
      <c r="R778" s="18" t="str">
        <f ca="1">IFERROR(__xludf.DUMMYFUNCTION("""COMPUTED_VALUE"""),"")</f>
        <v/>
      </c>
      <c r="S778" s="18" t="str">
        <f ca="1">IFERROR(__xludf.DUMMYFUNCTION("""COMPUTED_VALUE"""),"")</f>
        <v/>
      </c>
      <c r="T778" s="18" t="str">
        <f ca="1">IFERROR(__xludf.DUMMYFUNCTION("""COMPUTED_VALUE"""),"")</f>
        <v/>
      </c>
      <c r="U778" s="18" t="str">
        <f ca="1">IFERROR(__xludf.DUMMYFUNCTION("""COMPUTED_VALUE"""),"")</f>
        <v/>
      </c>
      <c r="V778" s="18" t="str">
        <f ca="1">IFERROR(__xludf.DUMMYFUNCTION("""COMPUTED_VALUE"""),"")</f>
        <v/>
      </c>
      <c r="W778" s="18" t="str">
        <f ca="1">IFERROR(__xludf.DUMMYFUNCTION("""COMPUTED_VALUE"""),"")</f>
        <v/>
      </c>
      <c r="X778" s="18" t="str">
        <f ca="1">IFERROR(__xludf.DUMMYFUNCTION("""COMPUTED_VALUE"""),"")</f>
        <v/>
      </c>
      <c r="Y778" s="18" t="e">
        <f ca="1"/>
        <v>#NAME?</v>
      </c>
      <c r="Z778" s="18" t="str">
        <f ca="1">IFERROR(__xludf.DUMMYFUNCTION("""COMPUTED_VALUE"""),"")</f>
        <v/>
      </c>
      <c r="AA778" s="18" t="str">
        <f ca="1">IFERROR(__xludf.DUMMYFUNCTION("""COMPUTED_VALUE"""),"")</f>
        <v/>
      </c>
      <c r="AC778" s="59"/>
    </row>
    <row r="779" spans="1:29" x14ac:dyDescent="0.25">
      <c r="A779" s="18">
        <v>0</v>
      </c>
      <c r="B779" s="52" t="str">
        <f ca="1"/>
        <v/>
      </c>
      <c r="C779" s="52" t="str">
        <f ca="1">IFERROR(__xludf.DUMMYFUNCTION("""COMPUTED_VALUE"""),"")</f>
        <v/>
      </c>
      <c r="D779" s="18" t="str">
        <f ca="1">IFERROR(__xludf.DUMMYFUNCTION("""COMPUTED_VALUE"""),"")</f>
        <v/>
      </c>
      <c r="E779" s="18" t="str">
        <f ca="1">IFERROR(__xludf.DUMMYFUNCTION("""COMPUTED_VALUE"""),"")</f>
        <v/>
      </c>
      <c r="F779" s="18" t="str">
        <f ca="1">IFERROR(__xludf.DUMMYFUNCTION("""COMPUTED_VALUE"""),"")</f>
        <v/>
      </c>
      <c r="G779" s="18" t="str">
        <f ca="1">IFERROR(__xludf.DUMMYFUNCTION("""COMPUTED_VALUE"""),"")</f>
        <v/>
      </c>
      <c r="H779" s="18" t="str">
        <f ca="1">IFERROR(__xludf.DUMMYFUNCTION("""COMPUTED_VALUE"""),"")</f>
        <v/>
      </c>
      <c r="I779" s="18" t="str">
        <f ca="1">IFERROR(__xludf.DUMMYFUNCTION("""COMPUTED_VALUE"""),"")</f>
        <v/>
      </c>
      <c r="J779" s="18" t="str">
        <f ca="1">IFERROR(__xludf.DUMMYFUNCTION("""COMPUTED_VALUE"""),"")</f>
        <v/>
      </c>
      <c r="K779" s="18" t="str">
        <f ca="1">IFERROR(__xludf.DUMMYFUNCTION("""COMPUTED_VALUE"""),"")</f>
        <v/>
      </c>
      <c r="L779" s="18" t="str">
        <f ca="1">IFERROR(__xludf.DUMMYFUNCTION("""COMPUTED_VALUE"""),"")</f>
        <v/>
      </c>
      <c r="M779" s="18" t="str">
        <f ca="1">IFERROR(__xludf.DUMMYFUNCTION("""COMPUTED_VALUE"""),"")</f>
        <v/>
      </c>
      <c r="N779" s="18" t="str">
        <f ca="1">IFERROR(__xludf.DUMMYFUNCTION("""COMPUTED_VALUE"""),"")</f>
        <v/>
      </c>
      <c r="O779" s="18" t="str">
        <f ca="1">IFERROR(__xludf.DUMMYFUNCTION("""COMPUTED_VALUE"""),"")</f>
        <v/>
      </c>
      <c r="P779" s="18" t="str">
        <f ca="1">IFERROR(__xludf.DUMMYFUNCTION("""COMPUTED_VALUE"""),"")</f>
        <v/>
      </c>
      <c r="Q779" s="18" t="str">
        <f ca="1">IFERROR(__xludf.DUMMYFUNCTION("""COMPUTED_VALUE"""),"")</f>
        <v/>
      </c>
      <c r="R779" s="18" t="str">
        <f ca="1">IFERROR(__xludf.DUMMYFUNCTION("""COMPUTED_VALUE"""),"")</f>
        <v/>
      </c>
      <c r="S779" s="18" t="str">
        <f ca="1">IFERROR(__xludf.DUMMYFUNCTION("""COMPUTED_VALUE"""),"")</f>
        <v/>
      </c>
      <c r="T779" s="18" t="str">
        <f ca="1">IFERROR(__xludf.DUMMYFUNCTION("""COMPUTED_VALUE"""),"")</f>
        <v/>
      </c>
      <c r="U779" s="18" t="str">
        <f ca="1">IFERROR(__xludf.DUMMYFUNCTION("""COMPUTED_VALUE"""),"")</f>
        <v/>
      </c>
      <c r="V779" s="18" t="str">
        <f ca="1">IFERROR(__xludf.DUMMYFUNCTION("""COMPUTED_VALUE"""),"")</f>
        <v/>
      </c>
      <c r="W779" s="18" t="str">
        <f ca="1">IFERROR(__xludf.DUMMYFUNCTION("""COMPUTED_VALUE"""),"")</f>
        <v/>
      </c>
      <c r="X779" s="18" t="str">
        <f ca="1">IFERROR(__xludf.DUMMYFUNCTION("""COMPUTED_VALUE"""),"")</f>
        <v/>
      </c>
      <c r="Y779" s="18" t="e">
        <f ca="1"/>
        <v>#NAME?</v>
      </c>
      <c r="Z779" s="18" t="str">
        <f ca="1">IFERROR(__xludf.DUMMYFUNCTION("""COMPUTED_VALUE"""),"")</f>
        <v/>
      </c>
      <c r="AA779" s="18" t="str">
        <f ca="1">IFERROR(__xludf.DUMMYFUNCTION("""COMPUTED_VALUE"""),"")</f>
        <v/>
      </c>
      <c r="AC779" s="59"/>
    </row>
    <row r="780" spans="1:29" x14ac:dyDescent="0.25">
      <c r="A780" s="18">
        <v>0</v>
      </c>
      <c r="B780" s="52" t="str">
        <f ca="1"/>
        <v/>
      </c>
      <c r="C780" s="52" t="str">
        <f ca="1">IFERROR(__xludf.DUMMYFUNCTION("""COMPUTED_VALUE"""),"")</f>
        <v/>
      </c>
      <c r="D780" s="18" t="str">
        <f ca="1">IFERROR(__xludf.DUMMYFUNCTION("""COMPUTED_VALUE"""),"")</f>
        <v/>
      </c>
      <c r="E780" s="18" t="str">
        <f ca="1">IFERROR(__xludf.DUMMYFUNCTION("""COMPUTED_VALUE"""),"")</f>
        <v/>
      </c>
      <c r="F780" s="18" t="str">
        <f ca="1">IFERROR(__xludf.DUMMYFUNCTION("""COMPUTED_VALUE"""),"")</f>
        <v/>
      </c>
      <c r="G780" s="18" t="str">
        <f ca="1">IFERROR(__xludf.DUMMYFUNCTION("""COMPUTED_VALUE"""),"")</f>
        <v/>
      </c>
      <c r="H780" s="18" t="str">
        <f ca="1">IFERROR(__xludf.DUMMYFUNCTION("""COMPUTED_VALUE"""),"")</f>
        <v/>
      </c>
      <c r="I780" s="18" t="str">
        <f ca="1">IFERROR(__xludf.DUMMYFUNCTION("""COMPUTED_VALUE"""),"")</f>
        <v/>
      </c>
      <c r="J780" s="18" t="str">
        <f ca="1">IFERROR(__xludf.DUMMYFUNCTION("""COMPUTED_VALUE"""),"")</f>
        <v/>
      </c>
      <c r="K780" s="18" t="str">
        <f ca="1">IFERROR(__xludf.DUMMYFUNCTION("""COMPUTED_VALUE"""),"")</f>
        <v/>
      </c>
      <c r="L780" s="18" t="str">
        <f ca="1">IFERROR(__xludf.DUMMYFUNCTION("""COMPUTED_VALUE"""),"")</f>
        <v/>
      </c>
      <c r="M780" s="18" t="str">
        <f ca="1">IFERROR(__xludf.DUMMYFUNCTION("""COMPUTED_VALUE"""),"")</f>
        <v/>
      </c>
      <c r="N780" s="18" t="str">
        <f ca="1">IFERROR(__xludf.DUMMYFUNCTION("""COMPUTED_VALUE"""),"")</f>
        <v/>
      </c>
      <c r="O780" s="18" t="str">
        <f ca="1">IFERROR(__xludf.DUMMYFUNCTION("""COMPUTED_VALUE"""),"")</f>
        <v/>
      </c>
      <c r="P780" s="18" t="str">
        <f ca="1">IFERROR(__xludf.DUMMYFUNCTION("""COMPUTED_VALUE"""),"")</f>
        <v/>
      </c>
      <c r="Q780" s="18" t="str">
        <f ca="1">IFERROR(__xludf.DUMMYFUNCTION("""COMPUTED_VALUE"""),"")</f>
        <v/>
      </c>
      <c r="R780" s="18" t="str">
        <f ca="1">IFERROR(__xludf.DUMMYFUNCTION("""COMPUTED_VALUE"""),"")</f>
        <v/>
      </c>
      <c r="S780" s="18" t="str">
        <f ca="1">IFERROR(__xludf.DUMMYFUNCTION("""COMPUTED_VALUE"""),"")</f>
        <v/>
      </c>
      <c r="T780" s="18" t="str">
        <f ca="1">IFERROR(__xludf.DUMMYFUNCTION("""COMPUTED_VALUE"""),"")</f>
        <v/>
      </c>
      <c r="U780" s="18" t="str">
        <f ca="1">IFERROR(__xludf.DUMMYFUNCTION("""COMPUTED_VALUE"""),"")</f>
        <v/>
      </c>
      <c r="V780" s="18" t="str">
        <f ca="1">IFERROR(__xludf.DUMMYFUNCTION("""COMPUTED_VALUE"""),"")</f>
        <v/>
      </c>
      <c r="W780" s="18" t="str">
        <f ca="1">IFERROR(__xludf.DUMMYFUNCTION("""COMPUTED_VALUE"""),"")</f>
        <v/>
      </c>
      <c r="X780" s="18" t="str">
        <f ca="1">IFERROR(__xludf.DUMMYFUNCTION("""COMPUTED_VALUE"""),"")</f>
        <v/>
      </c>
      <c r="Y780" s="18" t="e">
        <f ca="1"/>
        <v>#NAME?</v>
      </c>
      <c r="Z780" s="18" t="str">
        <f ca="1">IFERROR(__xludf.DUMMYFUNCTION("""COMPUTED_VALUE"""),"")</f>
        <v/>
      </c>
      <c r="AA780" s="18" t="str">
        <f ca="1">IFERROR(__xludf.DUMMYFUNCTION("""COMPUTED_VALUE"""),"")</f>
        <v/>
      </c>
      <c r="AC780" s="59"/>
    </row>
    <row r="781" spans="1:29" x14ac:dyDescent="0.25">
      <c r="A781" s="18">
        <v>0</v>
      </c>
      <c r="B781" s="52" t="str">
        <f ca="1"/>
        <v/>
      </c>
      <c r="C781" s="52" t="str">
        <f ca="1">IFERROR(__xludf.DUMMYFUNCTION("""COMPUTED_VALUE"""),"")</f>
        <v/>
      </c>
      <c r="D781" s="18" t="str">
        <f ca="1">IFERROR(__xludf.DUMMYFUNCTION("""COMPUTED_VALUE"""),"")</f>
        <v/>
      </c>
      <c r="E781" s="18" t="str">
        <f ca="1">IFERROR(__xludf.DUMMYFUNCTION("""COMPUTED_VALUE"""),"")</f>
        <v/>
      </c>
      <c r="F781" s="18" t="str">
        <f ca="1">IFERROR(__xludf.DUMMYFUNCTION("""COMPUTED_VALUE"""),"")</f>
        <v/>
      </c>
      <c r="G781" s="18" t="str">
        <f ca="1">IFERROR(__xludf.DUMMYFUNCTION("""COMPUTED_VALUE"""),"")</f>
        <v/>
      </c>
      <c r="H781" s="18" t="str">
        <f ca="1">IFERROR(__xludf.DUMMYFUNCTION("""COMPUTED_VALUE"""),"")</f>
        <v/>
      </c>
      <c r="I781" s="18" t="str">
        <f ca="1">IFERROR(__xludf.DUMMYFUNCTION("""COMPUTED_VALUE"""),"")</f>
        <v/>
      </c>
      <c r="J781" s="18" t="str">
        <f ca="1">IFERROR(__xludf.DUMMYFUNCTION("""COMPUTED_VALUE"""),"")</f>
        <v/>
      </c>
      <c r="K781" s="18" t="str">
        <f ca="1">IFERROR(__xludf.DUMMYFUNCTION("""COMPUTED_VALUE"""),"")</f>
        <v/>
      </c>
      <c r="L781" s="18" t="str">
        <f ca="1">IFERROR(__xludf.DUMMYFUNCTION("""COMPUTED_VALUE"""),"")</f>
        <v/>
      </c>
      <c r="M781" s="18" t="str">
        <f ca="1">IFERROR(__xludf.DUMMYFUNCTION("""COMPUTED_VALUE"""),"")</f>
        <v/>
      </c>
      <c r="N781" s="18" t="str">
        <f ca="1">IFERROR(__xludf.DUMMYFUNCTION("""COMPUTED_VALUE"""),"")</f>
        <v/>
      </c>
      <c r="O781" s="18" t="str">
        <f ca="1">IFERROR(__xludf.DUMMYFUNCTION("""COMPUTED_VALUE"""),"")</f>
        <v/>
      </c>
      <c r="P781" s="18" t="str">
        <f ca="1">IFERROR(__xludf.DUMMYFUNCTION("""COMPUTED_VALUE"""),"")</f>
        <v/>
      </c>
      <c r="Q781" s="18" t="str">
        <f ca="1">IFERROR(__xludf.DUMMYFUNCTION("""COMPUTED_VALUE"""),"")</f>
        <v/>
      </c>
      <c r="R781" s="18" t="str">
        <f ca="1">IFERROR(__xludf.DUMMYFUNCTION("""COMPUTED_VALUE"""),"")</f>
        <v/>
      </c>
      <c r="S781" s="18" t="str">
        <f ca="1">IFERROR(__xludf.DUMMYFUNCTION("""COMPUTED_VALUE"""),"")</f>
        <v/>
      </c>
      <c r="T781" s="18" t="str">
        <f ca="1">IFERROR(__xludf.DUMMYFUNCTION("""COMPUTED_VALUE"""),"")</f>
        <v/>
      </c>
      <c r="U781" s="18" t="str">
        <f ca="1">IFERROR(__xludf.DUMMYFUNCTION("""COMPUTED_VALUE"""),"")</f>
        <v/>
      </c>
      <c r="V781" s="18" t="str">
        <f ca="1">IFERROR(__xludf.DUMMYFUNCTION("""COMPUTED_VALUE"""),"")</f>
        <v/>
      </c>
      <c r="W781" s="18" t="str">
        <f ca="1">IFERROR(__xludf.DUMMYFUNCTION("""COMPUTED_VALUE"""),"")</f>
        <v/>
      </c>
      <c r="X781" s="18" t="str">
        <f ca="1">IFERROR(__xludf.DUMMYFUNCTION("""COMPUTED_VALUE"""),"")</f>
        <v/>
      </c>
      <c r="Y781" s="18" t="e">
        <f ca="1"/>
        <v>#NAME?</v>
      </c>
      <c r="Z781" s="18" t="str">
        <f ca="1">IFERROR(__xludf.DUMMYFUNCTION("""COMPUTED_VALUE"""),"")</f>
        <v/>
      </c>
      <c r="AA781" s="18" t="str">
        <f ca="1">IFERROR(__xludf.DUMMYFUNCTION("""COMPUTED_VALUE"""),"")</f>
        <v/>
      </c>
      <c r="AC781" s="59"/>
    </row>
    <row r="782" spans="1:29" x14ac:dyDescent="0.25">
      <c r="A782" s="18">
        <v>0</v>
      </c>
      <c r="B782" s="52" t="str">
        <f ca="1"/>
        <v/>
      </c>
      <c r="C782" s="52" t="str">
        <f ca="1">IFERROR(__xludf.DUMMYFUNCTION("""COMPUTED_VALUE"""),"")</f>
        <v/>
      </c>
      <c r="D782" s="18" t="str">
        <f ca="1">IFERROR(__xludf.DUMMYFUNCTION("""COMPUTED_VALUE"""),"")</f>
        <v/>
      </c>
      <c r="E782" s="18" t="str">
        <f ca="1">IFERROR(__xludf.DUMMYFUNCTION("""COMPUTED_VALUE"""),"")</f>
        <v/>
      </c>
      <c r="F782" s="18" t="str">
        <f ca="1">IFERROR(__xludf.DUMMYFUNCTION("""COMPUTED_VALUE"""),"")</f>
        <v/>
      </c>
      <c r="G782" s="18" t="str">
        <f ca="1">IFERROR(__xludf.DUMMYFUNCTION("""COMPUTED_VALUE"""),"")</f>
        <v/>
      </c>
      <c r="H782" s="18" t="str">
        <f ca="1">IFERROR(__xludf.DUMMYFUNCTION("""COMPUTED_VALUE"""),"")</f>
        <v/>
      </c>
      <c r="I782" s="18" t="str">
        <f ca="1">IFERROR(__xludf.DUMMYFUNCTION("""COMPUTED_VALUE"""),"")</f>
        <v/>
      </c>
      <c r="J782" s="18" t="str">
        <f ca="1">IFERROR(__xludf.DUMMYFUNCTION("""COMPUTED_VALUE"""),"")</f>
        <v/>
      </c>
      <c r="K782" s="18" t="str">
        <f ca="1">IFERROR(__xludf.DUMMYFUNCTION("""COMPUTED_VALUE"""),"")</f>
        <v/>
      </c>
      <c r="L782" s="18" t="str">
        <f ca="1">IFERROR(__xludf.DUMMYFUNCTION("""COMPUTED_VALUE"""),"")</f>
        <v/>
      </c>
      <c r="M782" s="18" t="str">
        <f ca="1">IFERROR(__xludf.DUMMYFUNCTION("""COMPUTED_VALUE"""),"")</f>
        <v/>
      </c>
      <c r="N782" s="18" t="str">
        <f ca="1">IFERROR(__xludf.DUMMYFUNCTION("""COMPUTED_VALUE"""),"")</f>
        <v/>
      </c>
      <c r="O782" s="18" t="str">
        <f ca="1">IFERROR(__xludf.DUMMYFUNCTION("""COMPUTED_VALUE"""),"")</f>
        <v/>
      </c>
      <c r="P782" s="18" t="str">
        <f ca="1">IFERROR(__xludf.DUMMYFUNCTION("""COMPUTED_VALUE"""),"")</f>
        <v/>
      </c>
      <c r="Q782" s="18" t="str">
        <f ca="1">IFERROR(__xludf.DUMMYFUNCTION("""COMPUTED_VALUE"""),"")</f>
        <v/>
      </c>
      <c r="R782" s="18" t="str">
        <f ca="1">IFERROR(__xludf.DUMMYFUNCTION("""COMPUTED_VALUE"""),"")</f>
        <v/>
      </c>
      <c r="S782" s="18" t="str">
        <f ca="1">IFERROR(__xludf.DUMMYFUNCTION("""COMPUTED_VALUE"""),"")</f>
        <v/>
      </c>
      <c r="T782" s="18" t="str">
        <f ca="1">IFERROR(__xludf.DUMMYFUNCTION("""COMPUTED_VALUE"""),"")</f>
        <v/>
      </c>
      <c r="U782" s="18" t="str">
        <f ca="1">IFERROR(__xludf.DUMMYFUNCTION("""COMPUTED_VALUE"""),"")</f>
        <v/>
      </c>
      <c r="V782" s="18" t="str">
        <f ca="1">IFERROR(__xludf.DUMMYFUNCTION("""COMPUTED_VALUE"""),"")</f>
        <v/>
      </c>
      <c r="W782" s="18" t="str">
        <f ca="1">IFERROR(__xludf.DUMMYFUNCTION("""COMPUTED_VALUE"""),"")</f>
        <v/>
      </c>
      <c r="X782" s="18" t="str">
        <f ca="1">IFERROR(__xludf.DUMMYFUNCTION("""COMPUTED_VALUE"""),"")</f>
        <v/>
      </c>
      <c r="Y782" s="18" t="e">
        <f ca="1"/>
        <v>#NAME?</v>
      </c>
      <c r="Z782" s="18" t="str">
        <f ca="1">IFERROR(__xludf.DUMMYFUNCTION("""COMPUTED_VALUE"""),"")</f>
        <v/>
      </c>
      <c r="AA782" s="18" t="str">
        <f ca="1">IFERROR(__xludf.DUMMYFUNCTION("""COMPUTED_VALUE"""),"")</f>
        <v/>
      </c>
      <c r="AC782" s="59"/>
    </row>
    <row r="783" spans="1:29" x14ac:dyDescent="0.25">
      <c r="A783" s="18">
        <v>0</v>
      </c>
      <c r="B783" s="52" t="str">
        <f ca="1"/>
        <v/>
      </c>
      <c r="C783" s="52" t="str">
        <f ca="1">IFERROR(__xludf.DUMMYFUNCTION("""COMPUTED_VALUE"""),"")</f>
        <v/>
      </c>
      <c r="D783" s="18" t="str">
        <f ca="1">IFERROR(__xludf.DUMMYFUNCTION("""COMPUTED_VALUE"""),"")</f>
        <v/>
      </c>
      <c r="E783" s="18" t="str">
        <f ca="1">IFERROR(__xludf.DUMMYFUNCTION("""COMPUTED_VALUE"""),"")</f>
        <v/>
      </c>
      <c r="F783" s="18" t="str">
        <f ca="1">IFERROR(__xludf.DUMMYFUNCTION("""COMPUTED_VALUE"""),"")</f>
        <v/>
      </c>
      <c r="G783" s="18" t="str">
        <f ca="1">IFERROR(__xludf.DUMMYFUNCTION("""COMPUTED_VALUE"""),"")</f>
        <v/>
      </c>
      <c r="H783" s="18" t="str">
        <f ca="1">IFERROR(__xludf.DUMMYFUNCTION("""COMPUTED_VALUE"""),"")</f>
        <v/>
      </c>
      <c r="I783" s="18" t="str">
        <f ca="1">IFERROR(__xludf.DUMMYFUNCTION("""COMPUTED_VALUE"""),"")</f>
        <v/>
      </c>
      <c r="J783" s="18" t="str">
        <f ca="1">IFERROR(__xludf.DUMMYFUNCTION("""COMPUTED_VALUE"""),"")</f>
        <v/>
      </c>
      <c r="K783" s="18" t="str">
        <f ca="1">IFERROR(__xludf.DUMMYFUNCTION("""COMPUTED_VALUE"""),"")</f>
        <v/>
      </c>
      <c r="L783" s="18" t="str">
        <f ca="1">IFERROR(__xludf.DUMMYFUNCTION("""COMPUTED_VALUE"""),"")</f>
        <v/>
      </c>
      <c r="M783" s="18" t="str">
        <f ca="1">IFERROR(__xludf.DUMMYFUNCTION("""COMPUTED_VALUE"""),"")</f>
        <v/>
      </c>
      <c r="N783" s="18" t="str">
        <f ca="1">IFERROR(__xludf.DUMMYFUNCTION("""COMPUTED_VALUE"""),"")</f>
        <v/>
      </c>
      <c r="O783" s="18" t="str">
        <f ca="1">IFERROR(__xludf.DUMMYFUNCTION("""COMPUTED_VALUE"""),"")</f>
        <v/>
      </c>
      <c r="P783" s="18" t="str">
        <f ca="1">IFERROR(__xludf.DUMMYFUNCTION("""COMPUTED_VALUE"""),"")</f>
        <v/>
      </c>
      <c r="Q783" s="18" t="str">
        <f ca="1">IFERROR(__xludf.DUMMYFUNCTION("""COMPUTED_VALUE"""),"")</f>
        <v/>
      </c>
      <c r="R783" s="18" t="str">
        <f ca="1">IFERROR(__xludf.DUMMYFUNCTION("""COMPUTED_VALUE"""),"")</f>
        <v/>
      </c>
      <c r="S783" s="18" t="str">
        <f ca="1">IFERROR(__xludf.DUMMYFUNCTION("""COMPUTED_VALUE"""),"")</f>
        <v/>
      </c>
      <c r="T783" s="18" t="str">
        <f ca="1">IFERROR(__xludf.DUMMYFUNCTION("""COMPUTED_VALUE"""),"")</f>
        <v/>
      </c>
      <c r="U783" s="18" t="str">
        <f ca="1">IFERROR(__xludf.DUMMYFUNCTION("""COMPUTED_VALUE"""),"")</f>
        <v/>
      </c>
      <c r="V783" s="18" t="str">
        <f ca="1">IFERROR(__xludf.DUMMYFUNCTION("""COMPUTED_VALUE"""),"")</f>
        <v/>
      </c>
      <c r="W783" s="18" t="str">
        <f ca="1">IFERROR(__xludf.DUMMYFUNCTION("""COMPUTED_VALUE"""),"")</f>
        <v/>
      </c>
      <c r="X783" s="18" t="str">
        <f ca="1">IFERROR(__xludf.DUMMYFUNCTION("""COMPUTED_VALUE"""),"")</f>
        <v/>
      </c>
      <c r="Y783" s="18" t="e">
        <f ca="1"/>
        <v>#NAME?</v>
      </c>
      <c r="Z783" s="18" t="str">
        <f ca="1">IFERROR(__xludf.DUMMYFUNCTION("""COMPUTED_VALUE"""),"")</f>
        <v/>
      </c>
      <c r="AA783" s="18" t="str">
        <f ca="1">IFERROR(__xludf.DUMMYFUNCTION("""COMPUTED_VALUE"""),"")</f>
        <v/>
      </c>
      <c r="AC783" s="59"/>
    </row>
    <row r="784" spans="1:29" x14ac:dyDescent="0.25">
      <c r="A784" s="18">
        <v>0</v>
      </c>
      <c r="B784" s="52" t="str">
        <f ca="1"/>
        <v/>
      </c>
      <c r="C784" s="52" t="str">
        <f ca="1">IFERROR(__xludf.DUMMYFUNCTION("""COMPUTED_VALUE"""),"")</f>
        <v/>
      </c>
      <c r="D784" s="18" t="str">
        <f ca="1">IFERROR(__xludf.DUMMYFUNCTION("""COMPUTED_VALUE"""),"")</f>
        <v/>
      </c>
      <c r="E784" s="18" t="str">
        <f ca="1">IFERROR(__xludf.DUMMYFUNCTION("""COMPUTED_VALUE"""),"")</f>
        <v/>
      </c>
      <c r="F784" s="18" t="str">
        <f ca="1">IFERROR(__xludf.DUMMYFUNCTION("""COMPUTED_VALUE"""),"")</f>
        <v/>
      </c>
      <c r="G784" s="18" t="str">
        <f ca="1">IFERROR(__xludf.DUMMYFUNCTION("""COMPUTED_VALUE"""),"")</f>
        <v/>
      </c>
      <c r="H784" s="18" t="str">
        <f ca="1">IFERROR(__xludf.DUMMYFUNCTION("""COMPUTED_VALUE"""),"")</f>
        <v/>
      </c>
      <c r="I784" s="18" t="str">
        <f ca="1">IFERROR(__xludf.DUMMYFUNCTION("""COMPUTED_VALUE"""),"")</f>
        <v/>
      </c>
      <c r="J784" s="18" t="str">
        <f ca="1">IFERROR(__xludf.DUMMYFUNCTION("""COMPUTED_VALUE"""),"")</f>
        <v/>
      </c>
      <c r="K784" s="18" t="str">
        <f ca="1">IFERROR(__xludf.DUMMYFUNCTION("""COMPUTED_VALUE"""),"")</f>
        <v/>
      </c>
      <c r="L784" s="18" t="str">
        <f ca="1">IFERROR(__xludf.DUMMYFUNCTION("""COMPUTED_VALUE"""),"")</f>
        <v/>
      </c>
      <c r="M784" s="18" t="str">
        <f ca="1">IFERROR(__xludf.DUMMYFUNCTION("""COMPUTED_VALUE"""),"")</f>
        <v/>
      </c>
      <c r="N784" s="18" t="str">
        <f ca="1">IFERROR(__xludf.DUMMYFUNCTION("""COMPUTED_VALUE"""),"")</f>
        <v/>
      </c>
      <c r="O784" s="18" t="str">
        <f ca="1">IFERROR(__xludf.DUMMYFUNCTION("""COMPUTED_VALUE"""),"")</f>
        <v/>
      </c>
      <c r="P784" s="18" t="str">
        <f ca="1">IFERROR(__xludf.DUMMYFUNCTION("""COMPUTED_VALUE"""),"")</f>
        <v/>
      </c>
      <c r="Q784" s="18" t="str">
        <f ca="1">IFERROR(__xludf.DUMMYFUNCTION("""COMPUTED_VALUE"""),"")</f>
        <v/>
      </c>
      <c r="R784" s="18" t="str">
        <f ca="1">IFERROR(__xludf.DUMMYFUNCTION("""COMPUTED_VALUE"""),"")</f>
        <v/>
      </c>
      <c r="S784" s="18" t="str">
        <f ca="1">IFERROR(__xludf.DUMMYFUNCTION("""COMPUTED_VALUE"""),"")</f>
        <v/>
      </c>
      <c r="T784" s="18" t="str">
        <f ca="1">IFERROR(__xludf.DUMMYFUNCTION("""COMPUTED_VALUE"""),"")</f>
        <v/>
      </c>
      <c r="U784" s="18" t="str">
        <f ca="1">IFERROR(__xludf.DUMMYFUNCTION("""COMPUTED_VALUE"""),"")</f>
        <v/>
      </c>
      <c r="V784" s="18" t="str">
        <f ca="1">IFERROR(__xludf.DUMMYFUNCTION("""COMPUTED_VALUE"""),"")</f>
        <v/>
      </c>
      <c r="W784" s="18" t="str">
        <f ca="1">IFERROR(__xludf.DUMMYFUNCTION("""COMPUTED_VALUE"""),"")</f>
        <v/>
      </c>
      <c r="X784" s="18" t="str">
        <f ca="1">IFERROR(__xludf.DUMMYFUNCTION("""COMPUTED_VALUE"""),"")</f>
        <v/>
      </c>
      <c r="Y784" s="18" t="e">
        <f ca="1"/>
        <v>#NAME?</v>
      </c>
      <c r="Z784" s="18" t="str">
        <f ca="1">IFERROR(__xludf.DUMMYFUNCTION("""COMPUTED_VALUE"""),"")</f>
        <v/>
      </c>
      <c r="AA784" s="18" t="str">
        <f ca="1">IFERROR(__xludf.DUMMYFUNCTION("""COMPUTED_VALUE"""),"")</f>
        <v/>
      </c>
      <c r="AC784" s="59"/>
    </row>
    <row r="785" spans="1:29" x14ac:dyDescent="0.25">
      <c r="A785" s="18">
        <v>0</v>
      </c>
      <c r="B785" s="52" t="str">
        <f ca="1"/>
        <v/>
      </c>
      <c r="C785" s="52" t="str">
        <f ca="1">IFERROR(__xludf.DUMMYFUNCTION("""COMPUTED_VALUE"""),"")</f>
        <v/>
      </c>
      <c r="D785" s="18" t="str">
        <f ca="1">IFERROR(__xludf.DUMMYFUNCTION("""COMPUTED_VALUE"""),"")</f>
        <v/>
      </c>
      <c r="E785" s="18" t="str">
        <f ca="1">IFERROR(__xludf.DUMMYFUNCTION("""COMPUTED_VALUE"""),"")</f>
        <v/>
      </c>
      <c r="F785" s="18" t="str">
        <f ca="1">IFERROR(__xludf.DUMMYFUNCTION("""COMPUTED_VALUE"""),"")</f>
        <v/>
      </c>
      <c r="G785" s="18" t="str">
        <f ca="1">IFERROR(__xludf.DUMMYFUNCTION("""COMPUTED_VALUE"""),"")</f>
        <v/>
      </c>
      <c r="H785" s="18" t="str">
        <f ca="1">IFERROR(__xludf.DUMMYFUNCTION("""COMPUTED_VALUE"""),"")</f>
        <v/>
      </c>
      <c r="I785" s="18" t="str">
        <f ca="1">IFERROR(__xludf.DUMMYFUNCTION("""COMPUTED_VALUE"""),"")</f>
        <v/>
      </c>
      <c r="J785" s="18" t="str">
        <f ca="1">IFERROR(__xludf.DUMMYFUNCTION("""COMPUTED_VALUE"""),"")</f>
        <v/>
      </c>
      <c r="K785" s="18" t="str">
        <f ca="1">IFERROR(__xludf.DUMMYFUNCTION("""COMPUTED_VALUE"""),"")</f>
        <v/>
      </c>
      <c r="L785" s="18" t="str">
        <f ca="1">IFERROR(__xludf.DUMMYFUNCTION("""COMPUTED_VALUE"""),"")</f>
        <v/>
      </c>
      <c r="M785" s="18" t="str">
        <f ca="1">IFERROR(__xludf.DUMMYFUNCTION("""COMPUTED_VALUE"""),"")</f>
        <v/>
      </c>
      <c r="N785" s="18" t="str">
        <f ca="1">IFERROR(__xludf.DUMMYFUNCTION("""COMPUTED_VALUE"""),"")</f>
        <v/>
      </c>
      <c r="O785" s="18" t="str">
        <f ca="1">IFERROR(__xludf.DUMMYFUNCTION("""COMPUTED_VALUE"""),"")</f>
        <v/>
      </c>
      <c r="P785" s="18" t="str">
        <f ca="1">IFERROR(__xludf.DUMMYFUNCTION("""COMPUTED_VALUE"""),"")</f>
        <v/>
      </c>
      <c r="Q785" s="18" t="str">
        <f ca="1">IFERROR(__xludf.DUMMYFUNCTION("""COMPUTED_VALUE"""),"")</f>
        <v/>
      </c>
      <c r="R785" s="18" t="str">
        <f ca="1">IFERROR(__xludf.DUMMYFUNCTION("""COMPUTED_VALUE"""),"")</f>
        <v/>
      </c>
      <c r="S785" s="18" t="str">
        <f ca="1">IFERROR(__xludf.DUMMYFUNCTION("""COMPUTED_VALUE"""),"")</f>
        <v/>
      </c>
      <c r="T785" s="18" t="str">
        <f ca="1">IFERROR(__xludf.DUMMYFUNCTION("""COMPUTED_VALUE"""),"")</f>
        <v/>
      </c>
      <c r="U785" s="18" t="str">
        <f ca="1">IFERROR(__xludf.DUMMYFUNCTION("""COMPUTED_VALUE"""),"")</f>
        <v/>
      </c>
      <c r="V785" s="18" t="str">
        <f ca="1">IFERROR(__xludf.DUMMYFUNCTION("""COMPUTED_VALUE"""),"")</f>
        <v/>
      </c>
      <c r="W785" s="18" t="str">
        <f ca="1">IFERROR(__xludf.DUMMYFUNCTION("""COMPUTED_VALUE"""),"")</f>
        <v/>
      </c>
      <c r="X785" s="18" t="str">
        <f ca="1">IFERROR(__xludf.DUMMYFUNCTION("""COMPUTED_VALUE"""),"")</f>
        <v/>
      </c>
      <c r="Y785" s="18" t="e">
        <f ca="1"/>
        <v>#NAME?</v>
      </c>
      <c r="Z785" s="18" t="str">
        <f ca="1">IFERROR(__xludf.DUMMYFUNCTION("""COMPUTED_VALUE"""),"")</f>
        <v/>
      </c>
      <c r="AA785" s="18" t="str">
        <f ca="1">IFERROR(__xludf.DUMMYFUNCTION("""COMPUTED_VALUE"""),"")</f>
        <v/>
      </c>
      <c r="AC785" s="59"/>
    </row>
    <row r="786" spans="1:29" x14ac:dyDescent="0.25">
      <c r="A786" s="18">
        <v>0</v>
      </c>
      <c r="B786" s="52" t="str">
        <f ca="1"/>
        <v/>
      </c>
      <c r="C786" s="52" t="str">
        <f ca="1">IFERROR(__xludf.DUMMYFUNCTION("""COMPUTED_VALUE"""),"")</f>
        <v/>
      </c>
      <c r="D786" s="18" t="str">
        <f ca="1">IFERROR(__xludf.DUMMYFUNCTION("""COMPUTED_VALUE"""),"")</f>
        <v/>
      </c>
      <c r="E786" s="18" t="str">
        <f ca="1">IFERROR(__xludf.DUMMYFUNCTION("""COMPUTED_VALUE"""),"")</f>
        <v/>
      </c>
      <c r="F786" s="18" t="str">
        <f ca="1">IFERROR(__xludf.DUMMYFUNCTION("""COMPUTED_VALUE"""),"")</f>
        <v/>
      </c>
      <c r="G786" s="18" t="str">
        <f ca="1">IFERROR(__xludf.DUMMYFUNCTION("""COMPUTED_VALUE"""),"")</f>
        <v/>
      </c>
      <c r="H786" s="18" t="str">
        <f ca="1">IFERROR(__xludf.DUMMYFUNCTION("""COMPUTED_VALUE"""),"")</f>
        <v/>
      </c>
      <c r="I786" s="18" t="str">
        <f ca="1">IFERROR(__xludf.DUMMYFUNCTION("""COMPUTED_VALUE"""),"")</f>
        <v/>
      </c>
      <c r="J786" s="18" t="str">
        <f ca="1">IFERROR(__xludf.DUMMYFUNCTION("""COMPUTED_VALUE"""),"")</f>
        <v/>
      </c>
      <c r="K786" s="18" t="str">
        <f ca="1">IFERROR(__xludf.DUMMYFUNCTION("""COMPUTED_VALUE"""),"")</f>
        <v/>
      </c>
      <c r="L786" s="18" t="str">
        <f ca="1">IFERROR(__xludf.DUMMYFUNCTION("""COMPUTED_VALUE"""),"")</f>
        <v/>
      </c>
      <c r="M786" s="18" t="str">
        <f ca="1">IFERROR(__xludf.DUMMYFUNCTION("""COMPUTED_VALUE"""),"")</f>
        <v/>
      </c>
      <c r="N786" s="18" t="str">
        <f ca="1">IFERROR(__xludf.DUMMYFUNCTION("""COMPUTED_VALUE"""),"")</f>
        <v/>
      </c>
      <c r="O786" s="18" t="str">
        <f ca="1">IFERROR(__xludf.DUMMYFUNCTION("""COMPUTED_VALUE"""),"")</f>
        <v/>
      </c>
      <c r="P786" s="18" t="str">
        <f ca="1">IFERROR(__xludf.DUMMYFUNCTION("""COMPUTED_VALUE"""),"")</f>
        <v/>
      </c>
      <c r="Q786" s="18" t="str">
        <f ca="1">IFERROR(__xludf.DUMMYFUNCTION("""COMPUTED_VALUE"""),"")</f>
        <v/>
      </c>
      <c r="R786" s="18" t="str">
        <f ca="1">IFERROR(__xludf.DUMMYFUNCTION("""COMPUTED_VALUE"""),"")</f>
        <v/>
      </c>
      <c r="S786" s="18" t="str">
        <f ca="1">IFERROR(__xludf.DUMMYFUNCTION("""COMPUTED_VALUE"""),"")</f>
        <v/>
      </c>
      <c r="T786" s="18" t="str">
        <f ca="1">IFERROR(__xludf.DUMMYFUNCTION("""COMPUTED_VALUE"""),"")</f>
        <v/>
      </c>
      <c r="U786" s="18" t="str">
        <f ca="1">IFERROR(__xludf.DUMMYFUNCTION("""COMPUTED_VALUE"""),"")</f>
        <v/>
      </c>
      <c r="V786" s="18" t="str">
        <f ca="1">IFERROR(__xludf.DUMMYFUNCTION("""COMPUTED_VALUE"""),"")</f>
        <v/>
      </c>
      <c r="W786" s="18" t="str">
        <f ca="1">IFERROR(__xludf.DUMMYFUNCTION("""COMPUTED_VALUE"""),"")</f>
        <v/>
      </c>
      <c r="X786" s="18" t="str">
        <f ca="1">IFERROR(__xludf.DUMMYFUNCTION("""COMPUTED_VALUE"""),"")</f>
        <v/>
      </c>
      <c r="Y786" s="18" t="e">
        <f ca="1"/>
        <v>#NAME?</v>
      </c>
      <c r="Z786" s="18" t="str">
        <f ca="1">IFERROR(__xludf.DUMMYFUNCTION("""COMPUTED_VALUE"""),"")</f>
        <v/>
      </c>
      <c r="AA786" s="18" t="str">
        <f ca="1">IFERROR(__xludf.DUMMYFUNCTION("""COMPUTED_VALUE"""),"")</f>
        <v/>
      </c>
      <c r="AC786" s="59"/>
    </row>
    <row r="787" spans="1:29" x14ac:dyDescent="0.25">
      <c r="A787" s="18">
        <v>0</v>
      </c>
      <c r="B787" s="52" t="str">
        <f ca="1"/>
        <v/>
      </c>
      <c r="C787" s="52" t="str">
        <f ca="1">IFERROR(__xludf.DUMMYFUNCTION("""COMPUTED_VALUE"""),"")</f>
        <v/>
      </c>
      <c r="D787" s="18" t="str">
        <f ca="1">IFERROR(__xludf.DUMMYFUNCTION("""COMPUTED_VALUE"""),"")</f>
        <v/>
      </c>
      <c r="E787" s="18" t="str">
        <f ca="1">IFERROR(__xludf.DUMMYFUNCTION("""COMPUTED_VALUE"""),"")</f>
        <v/>
      </c>
      <c r="F787" s="18" t="str">
        <f ca="1">IFERROR(__xludf.DUMMYFUNCTION("""COMPUTED_VALUE"""),"")</f>
        <v/>
      </c>
      <c r="G787" s="18" t="str">
        <f ca="1">IFERROR(__xludf.DUMMYFUNCTION("""COMPUTED_VALUE"""),"")</f>
        <v/>
      </c>
      <c r="H787" s="18" t="str">
        <f ca="1">IFERROR(__xludf.DUMMYFUNCTION("""COMPUTED_VALUE"""),"")</f>
        <v/>
      </c>
      <c r="I787" s="18" t="str">
        <f ca="1">IFERROR(__xludf.DUMMYFUNCTION("""COMPUTED_VALUE"""),"")</f>
        <v/>
      </c>
      <c r="J787" s="18" t="str">
        <f ca="1">IFERROR(__xludf.DUMMYFUNCTION("""COMPUTED_VALUE"""),"")</f>
        <v/>
      </c>
      <c r="K787" s="18" t="str">
        <f ca="1">IFERROR(__xludf.DUMMYFUNCTION("""COMPUTED_VALUE"""),"")</f>
        <v/>
      </c>
      <c r="L787" s="18" t="str">
        <f ca="1">IFERROR(__xludf.DUMMYFUNCTION("""COMPUTED_VALUE"""),"")</f>
        <v/>
      </c>
      <c r="M787" s="18" t="str">
        <f ca="1">IFERROR(__xludf.DUMMYFUNCTION("""COMPUTED_VALUE"""),"")</f>
        <v/>
      </c>
      <c r="N787" s="18" t="str">
        <f ca="1">IFERROR(__xludf.DUMMYFUNCTION("""COMPUTED_VALUE"""),"")</f>
        <v/>
      </c>
      <c r="O787" s="18" t="str">
        <f ca="1">IFERROR(__xludf.DUMMYFUNCTION("""COMPUTED_VALUE"""),"")</f>
        <v/>
      </c>
      <c r="P787" s="18" t="str">
        <f ca="1">IFERROR(__xludf.DUMMYFUNCTION("""COMPUTED_VALUE"""),"")</f>
        <v/>
      </c>
      <c r="Q787" s="18" t="str">
        <f ca="1">IFERROR(__xludf.DUMMYFUNCTION("""COMPUTED_VALUE"""),"")</f>
        <v/>
      </c>
      <c r="R787" s="18" t="str">
        <f ca="1">IFERROR(__xludf.DUMMYFUNCTION("""COMPUTED_VALUE"""),"")</f>
        <v/>
      </c>
      <c r="S787" s="18" t="str">
        <f ca="1">IFERROR(__xludf.DUMMYFUNCTION("""COMPUTED_VALUE"""),"")</f>
        <v/>
      </c>
      <c r="T787" s="18" t="str">
        <f ca="1">IFERROR(__xludf.DUMMYFUNCTION("""COMPUTED_VALUE"""),"")</f>
        <v/>
      </c>
      <c r="U787" s="18" t="str">
        <f ca="1">IFERROR(__xludf.DUMMYFUNCTION("""COMPUTED_VALUE"""),"")</f>
        <v/>
      </c>
      <c r="V787" s="18" t="str">
        <f ca="1">IFERROR(__xludf.DUMMYFUNCTION("""COMPUTED_VALUE"""),"")</f>
        <v/>
      </c>
      <c r="W787" s="18" t="str">
        <f ca="1">IFERROR(__xludf.DUMMYFUNCTION("""COMPUTED_VALUE"""),"")</f>
        <v/>
      </c>
      <c r="X787" s="18" t="str">
        <f ca="1">IFERROR(__xludf.DUMMYFUNCTION("""COMPUTED_VALUE"""),"")</f>
        <v/>
      </c>
      <c r="Y787" s="18" t="e">
        <f ca="1"/>
        <v>#NAME?</v>
      </c>
      <c r="Z787" s="18" t="str">
        <f ca="1">IFERROR(__xludf.DUMMYFUNCTION("""COMPUTED_VALUE"""),"")</f>
        <v/>
      </c>
      <c r="AA787" s="18" t="str">
        <f ca="1">IFERROR(__xludf.DUMMYFUNCTION("""COMPUTED_VALUE"""),"")</f>
        <v/>
      </c>
      <c r="AC787" s="59"/>
    </row>
    <row r="788" spans="1:29" x14ac:dyDescent="0.25">
      <c r="A788" s="18">
        <v>0</v>
      </c>
      <c r="B788" s="52" t="str">
        <f ca="1"/>
        <v/>
      </c>
      <c r="C788" s="52" t="str">
        <f ca="1">IFERROR(__xludf.DUMMYFUNCTION("""COMPUTED_VALUE"""),"")</f>
        <v/>
      </c>
      <c r="D788" s="18" t="str">
        <f ca="1">IFERROR(__xludf.DUMMYFUNCTION("""COMPUTED_VALUE"""),"")</f>
        <v/>
      </c>
      <c r="E788" s="18" t="str">
        <f ca="1">IFERROR(__xludf.DUMMYFUNCTION("""COMPUTED_VALUE"""),"")</f>
        <v/>
      </c>
      <c r="F788" s="18" t="str">
        <f ca="1">IFERROR(__xludf.DUMMYFUNCTION("""COMPUTED_VALUE"""),"")</f>
        <v/>
      </c>
      <c r="G788" s="18" t="str">
        <f ca="1">IFERROR(__xludf.DUMMYFUNCTION("""COMPUTED_VALUE"""),"")</f>
        <v/>
      </c>
      <c r="H788" s="18" t="str">
        <f ca="1">IFERROR(__xludf.DUMMYFUNCTION("""COMPUTED_VALUE"""),"")</f>
        <v/>
      </c>
      <c r="I788" s="18" t="str">
        <f ca="1">IFERROR(__xludf.DUMMYFUNCTION("""COMPUTED_VALUE"""),"")</f>
        <v/>
      </c>
      <c r="J788" s="18" t="str">
        <f ca="1">IFERROR(__xludf.DUMMYFUNCTION("""COMPUTED_VALUE"""),"")</f>
        <v/>
      </c>
      <c r="K788" s="18" t="str">
        <f ca="1">IFERROR(__xludf.DUMMYFUNCTION("""COMPUTED_VALUE"""),"")</f>
        <v/>
      </c>
      <c r="L788" s="18" t="str">
        <f ca="1">IFERROR(__xludf.DUMMYFUNCTION("""COMPUTED_VALUE"""),"")</f>
        <v/>
      </c>
      <c r="M788" s="18" t="str">
        <f ca="1">IFERROR(__xludf.DUMMYFUNCTION("""COMPUTED_VALUE"""),"")</f>
        <v/>
      </c>
      <c r="N788" s="18" t="str">
        <f ca="1">IFERROR(__xludf.DUMMYFUNCTION("""COMPUTED_VALUE"""),"")</f>
        <v/>
      </c>
      <c r="O788" s="18" t="str">
        <f ca="1">IFERROR(__xludf.DUMMYFUNCTION("""COMPUTED_VALUE"""),"")</f>
        <v/>
      </c>
      <c r="P788" s="18" t="str">
        <f ca="1">IFERROR(__xludf.DUMMYFUNCTION("""COMPUTED_VALUE"""),"")</f>
        <v/>
      </c>
      <c r="Q788" s="18" t="str">
        <f ca="1">IFERROR(__xludf.DUMMYFUNCTION("""COMPUTED_VALUE"""),"")</f>
        <v/>
      </c>
      <c r="R788" s="18" t="str">
        <f ca="1">IFERROR(__xludf.DUMMYFUNCTION("""COMPUTED_VALUE"""),"")</f>
        <v/>
      </c>
      <c r="S788" s="18" t="str">
        <f ca="1">IFERROR(__xludf.DUMMYFUNCTION("""COMPUTED_VALUE"""),"")</f>
        <v/>
      </c>
      <c r="T788" s="18" t="str">
        <f ca="1">IFERROR(__xludf.DUMMYFUNCTION("""COMPUTED_VALUE"""),"")</f>
        <v/>
      </c>
      <c r="U788" s="18" t="str">
        <f ca="1">IFERROR(__xludf.DUMMYFUNCTION("""COMPUTED_VALUE"""),"")</f>
        <v/>
      </c>
      <c r="V788" s="18" t="str">
        <f ca="1">IFERROR(__xludf.DUMMYFUNCTION("""COMPUTED_VALUE"""),"")</f>
        <v/>
      </c>
      <c r="W788" s="18" t="str">
        <f ca="1">IFERROR(__xludf.DUMMYFUNCTION("""COMPUTED_VALUE"""),"")</f>
        <v/>
      </c>
      <c r="X788" s="18" t="str">
        <f ca="1">IFERROR(__xludf.DUMMYFUNCTION("""COMPUTED_VALUE"""),"")</f>
        <v/>
      </c>
      <c r="Y788" s="18" t="e">
        <f ca="1"/>
        <v>#NAME?</v>
      </c>
      <c r="Z788" s="18" t="str">
        <f ca="1">IFERROR(__xludf.DUMMYFUNCTION("""COMPUTED_VALUE"""),"")</f>
        <v/>
      </c>
      <c r="AA788" s="18" t="str">
        <f ca="1">IFERROR(__xludf.DUMMYFUNCTION("""COMPUTED_VALUE"""),"")</f>
        <v/>
      </c>
      <c r="AC788" s="59"/>
    </row>
    <row r="789" spans="1:29" x14ac:dyDescent="0.25">
      <c r="A789" s="18">
        <v>0</v>
      </c>
      <c r="B789" s="52" t="str">
        <f ca="1"/>
        <v/>
      </c>
      <c r="C789" s="52" t="str">
        <f ca="1">IFERROR(__xludf.DUMMYFUNCTION("""COMPUTED_VALUE"""),"")</f>
        <v/>
      </c>
      <c r="D789" s="18" t="str">
        <f ca="1">IFERROR(__xludf.DUMMYFUNCTION("""COMPUTED_VALUE"""),"")</f>
        <v/>
      </c>
      <c r="E789" s="18" t="str">
        <f ca="1">IFERROR(__xludf.DUMMYFUNCTION("""COMPUTED_VALUE"""),"")</f>
        <v/>
      </c>
      <c r="F789" s="18" t="str">
        <f ca="1">IFERROR(__xludf.DUMMYFUNCTION("""COMPUTED_VALUE"""),"")</f>
        <v/>
      </c>
      <c r="G789" s="18" t="str">
        <f ca="1">IFERROR(__xludf.DUMMYFUNCTION("""COMPUTED_VALUE"""),"")</f>
        <v/>
      </c>
      <c r="H789" s="18" t="str">
        <f ca="1">IFERROR(__xludf.DUMMYFUNCTION("""COMPUTED_VALUE"""),"")</f>
        <v/>
      </c>
      <c r="I789" s="18" t="str">
        <f ca="1">IFERROR(__xludf.DUMMYFUNCTION("""COMPUTED_VALUE"""),"")</f>
        <v/>
      </c>
      <c r="J789" s="18" t="str">
        <f ca="1">IFERROR(__xludf.DUMMYFUNCTION("""COMPUTED_VALUE"""),"")</f>
        <v/>
      </c>
      <c r="K789" s="18" t="str">
        <f ca="1">IFERROR(__xludf.DUMMYFUNCTION("""COMPUTED_VALUE"""),"")</f>
        <v/>
      </c>
      <c r="L789" s="18" t="str">
        <f ca="1">IFERROR(__xludf.DUMMYFUNCTION("""COMPUTED_VALUE"""),"")</f>
        <v/>
      </c>
      <c r="M789" s="18" t="str">
        <f ca="1">IFERROR(__xludf.DUMMYFUNCTION("""COMPUTED_VALUE"""),"")</f>
        <v/>
      </c>
      <c r="N789" s="18" t="str">
        <f ca="1">IFERROR(__xludf.DUMMYFUNCTION("""COMPUTED_VALUE"""),"")</f>
        <v/>
      </c>
      <c r="O789" s="18" t="str">
        <f ca="1">IFERROR(__xludf.DUMMYFUNCTION("""COMPUTED_VALUE"""),"")</f>
        <v/>
      </c>
      <c r="P789" s="18" t="str">
        <f ca="1">IFERROR(__xludf.DUMMYFUNCTION("""COMPUTED_VALUE"""),"")</f>
        <v/>
      </c>
      <c r="Q789" s="18" t="str">
        <f ca="1">IFERROR(__xludf.DUMMYFUNCTION("""COMPUTED_VALUE"""),"")</f>
        <v/>
      </c>
      <c r="R789" s="18" t="str">
        <f ca="1">IFERROR(__xludf.DUMMYFUNCTION("""COMPUTED_VALUE"""),"")</f>
        <v/>
      </c>
      <c r="S789" s="18" t="str">
        <f ca="1">IFERROR(__xludf.DUMMYFUNCTION("""COMPUTED_VALUE"""),"")</f>
        <v/>
      </c>
      <c r="T789" s="18" t="str">
        <f ca="1">IFERROR(__xludf.DUMMYFUNCTION("""COMPUTED_VALUE"""),"")</f>
        <v/>
      </c>
      <c r="U789" s="18" t="str">
        <f ca="1">IFERROR(__xludf.DUMMYFUNCTION("""COMPUTED_VALUE"""),"")</f>
        <v/>
      </c>
      <c r="V789" s="18" t="str">
        <f ca="1">IFERROR(__xludf.DUMMYFUNCTION("""COMPUTED_VALUE"""),"")</f>
        <v/>
      </c>
      <c r="W789" s="18" t="str">
        <f ca="1">IFERROR(__xludf.DUMMYFUNCTION("""COMPUTED_VALUE"""),"")</f>
        <v/>
      </c>
      <c r="X789" s="18" t="str">
        <f ca="1">IFERROR(__xludf.DUMMYFUNCTION("""COMPUTED_VALUE"""),"")</f>
        <v/>
      </c>
      <c r="Y789" s="18" t="e">
        <f ca="1"/>
        <v>#NAME?</v>
      </c>
      <c r="Z789" s="18" t="str">
        <f ca="1">IFERROR(__xludf.DUMMYFUNCTION("""COMPUTED_VALUE"""),"")</f>
        <v/>
      </c>
      <c r="AA789" s="18" t="str">
        <f ca="1">IFERROR(__xludf.DUMMYFUNCTION("""COMPUTED_VALUE"""),"")</f>
        <v/>
      </c>
      <c r="AC789" s="59"/>
    </row>
    <row r="790" spans="1:29" x14ac:dyDescent="0.25">
      <c r="A790" s="18">
        <v>0</v>
      </c>
      <c r="B790" s="52" t="str">
        <f ca="1"/>
        <v/>
      </c>
      <c r="C790" s="52" t="str">
        <f ca="1">IFERROR(__xludf.DUMMYFUNCTION("""COMPUTED_VALUE"""),"")</f>
        <v/>
      </c>
      <c r="D790" s="18" t="str">
        <f ca="1">IFERROR(__xludf.DUMMYFUNCTION("""COMPUTED_VALUE"""),"")</f>
        <v/>
      </c>
      <c r="E790" s="18" t="str">
        <f ca="1">IFERROR(__xludf.DUMMYFUNCTION("""COMPUTED_VALUE"""),"")</f>
        <v/>
      </c>
      <c r="F790" s="18" t="str">
        <f ca="1">IFERROR(__xludf.DUMMYFUNCTION("""COMPUTED_VALUE"""),"")</f>
        <v/>
      </c>
      <c r="G790" s="18" t="str">
        <f ca="1">IFERROR(__xludf.DUMMYFUNCTION("""COMPUTED_VALUE"""),"")</f>
        <v/>
      </c>
      <c r="H790" s="18" t="str">
        <f ca="1">IFERROR(__xludf.DUMMYFUNCTION("""COMPUTED_VALUE"""),"")</f>
        <v/>
      </c>
      <c r="I790" s="18" t="str">
        <f ca="1">IFERROR(__xludf.DUMMYFUNCTION("""COMPUTED_VALUE"""),"")</f>
        <v/>
      </c>
      <c r="J790" s="18" t="str">
        <f ca="1">IFERROR(__xludf.DUMMYFUNCTION("""COMPUTED_VALUE"""),"")</f>
        <v/>
      </c>
      <c r="K790" s="18" t="str">
        <f ca="1">IFERROR(__xludf.DUMMYFUNCTION("""COMPUTED_VALUE"""),"")</f>
        <v/>
      </c>
      <c r="L790" s="18" t="str">
        <f ca="1">IFERROR(__xludf.DUMMYFUNCTION("""COMPUTED_VALUE"""),"")</f>
        <v/>
      </c>
      <c r="M790" s="18" t="str">
        <f ca="1">IFERROR(__xludf.DUMMYFUNCTION("""COMPUTED_VALUE"""),"")</f>
        <v/>
      </c>
      <c r="N790" s="18" t="str">
        <f ca="1">IFERROR(__xludf.DUMMYFUNCTION("""COMPUTED_VALUE"""),"")</f>
        <v/>
      </c>
      <c r="O790" s="18" t="str">
        <f ca="1">IFERROR(__xludf.DUMMYFUNCTION("""COMPUTED_VALUE"""),"")</f>
        <v/>
      </c>
      <c r="P790" s="18" t="str">
        <f ca="1">IFERROR(__xludf.DUMMYFUNCTION("""COMPUTED_VALUE"""),"")</f>
        <v/>
      </c>
      <c r="Q790" s="18" t="str">
        <f ca="1">IFERROR(__xludf.DUMMYFUNCTION("""COMPUTED_VALUE"""),"")</f>
        <v/>
      </c>
      <c r="R790" s="18" t="str">
        <f ca="1">IFERROR(__xludf.DUMMYFUNCTION("""COMPUTED_VALUE"""),"")</f>
        <v/>
      </c>
      <c r="S790" s="18" t="str">
        <f ca="1">IFERROR(__xludf.DUMMYFUNCTION("""COMPUTED_VALUE"""),"")</f>
        <v/>
      </c>
      <c r="T790" s="18" t="str">
        <f ca="1">IFERROR(__xludf.DUMMYFUNCTION("""COMPUTED_VALUE"""),"")</f>
        <v/>
      </c>
      <c r="U790" s="18" t="str">
        <f ca="1">IFERROR(__xludf.DUMMYFUNCTION("""COMPUTED_VALUE"""),"")</f>
        <v/>
      </c>
      <c r="V790" s="18" t="str">
        <f ca="1">IFERROR(__xludf.DUMMYFUNCTION("""COMPUTED_VALUE"""),"")</f>
        <v/>
      </c>
      <c r="W790" s="18" t="str">
        <f ca="1">IFERROR(__xludf.DUMMYFUNCTION("""COMPUTED_VALUE"""),"")</f>
        <v/>
      </c>
      <c r="X790" s="18" t="str">
        <f ca="1">IFERROR(__xludf.DUMMYFUNCTION("""COMPUTED_VALUE"""),"")</f>
        <v/>
      </c>
      <c r="Y790" s="18" t="e">
        <f ca="1"/>
        <v>#NAME?</v>
      </c>
      <c r="Z790" s="18" t="str">
        <f ca="1">IFERROR(__xludf.DUMMYFUNCTION("""COMPUTED_VALUE"""),"")</f>
        <v/>
      </c>
      <c r="AA790" s="18" t="str">
        <f ca="1">IFERROR(__xludf.DUMMYFUNCTION("""COMPUTED_VALUE"""),"")</f>
        <v/>
      </c>
      <c r="AC790" s="59"/>
    </row>
    <row r="791" spans="1:29" x14ac:dyDescent="0.25">
      <c r="A791" s="18">
        <v>0</v>
      </c>
      <c r="B791" s="52" t="str">
        <f ca="1"/>
        <v/>
      </c>
      <c r="C791" s="52" t="str">
        <f ca="1">IFERROR(__xludf.DUMMYFUNCTION("""COMPUTED_VALUE"""),"")</f>
        <v/>
      </c>
      <c r="D791" s="18" t="str">
        <f ca="1">IFERROR(__xludf.DUMMYFUNCTION("""COMPUTED_VALUE"""),"")</f>
        <v/>
      </c>
      <c r="E791" s="18" t="str">
        <f ca="1">IFERROR(__xludf.DUMMYFUNCTION("""COMPUTED_VALUE"""),"")</f>
        <v/>
      </c>
      <c r="F791" s="18" t="str">
        <f ca="1">IFERROR(__xludf.DUMMYFUNCTION("""COMPUTED_VALUE"""),"")</f>
        <v/>
      </c>
      <c r="G791" s="18" t="str">
        <f ca="1">IFERROR(__xludf.DUMMYFUNCTION("""COMPUTED_VALUE"""),"")</f>
        <v/>
      </c>
      <c r="H791" s="18" t="str">
        <f ca="1">IFERROR(__xludf.DUMMYFUNCTION("""COMPUTED_VALUE"""),"")</f>
        <v/>
      </c>
      <c r="I791" s="18" t="str">
        <f ca="1">IFERROR(__xludf.DUMMYFUNCTION("""COMPUTED_VALUE"""),"")</f>
        <v/>
      </c>
      <c r="J791" s="18" t="str">
        <f ca="1">IFERROR(__xludf.DUMMYFUNCTION("""COMPUTED_VALUE"""),"")</f>
        <v/>
      </c>
      <c r="K791" s="18" t="str">
        <f ca="1">IFERROR(__xludf.DUMMYFUNCTION("""COMPUTED_VALUE"""),"")</f>
        <v/>
      </c>
      <c r="L791" s="18" t="str">
        <f ca="1">IFERROR(__xludf.DUMMYFUNCTION("""COMPUTED_VALUE"""),"")</f>
        <v/>
      </c>
      <c r="M791" s="18" t="str">
        <f ca="1">IFERROR(__xludf.DUMMYFUNCTION("""COMPUTED_VALUE"""),"")</f>
        <v/>
      </c>
      <c r="N791" s="18" t="str">
        <f ca="1">IFERROR(__xludf.DUMMYFUNCTION("""COMPUTED_VALUE"""),"")</f>
        <v/>
      </c>
      <c r="O791" s="18" t="str">
        <f ca="1">IFERROR(__xludf.DUMMYFUNCTION("""COMPUTED_VALUE"""),"")</f>
        <v/>
      </c>
      <c r="P791" s="18" t="str">
        <f ca="1">IFERROR(__xludf.DUMMYFUNCTION("""COMPUTED_VALUE"""),"")</f>
        <v/>
      </c>
      <c r="Q791" s="18" t="str">
        <f ca="1">IFERROR(__xludf.DUMMYFUNCTION("""COMPUTED_VALUE"""),"")</f>
        <v/>
      </c>
      <c r="R791" s="18" t="str">
        <f ca="1">IFERROR(__xludf.DUMMYFUNCTION("""COMPUTED_VALUE"""),"")</f>
        <v/>
      </c>
      <c r="S791" s="18" t="str">
        <f ca="1">IFERROR(__xludf.DUMMYFUNCTION("""COMPUTED_VALUE"""),"")</f>
        <v/>
      </c>
      <c r="T791" s="18" t="str">
        <f ca="1">IFERROR(__xludf.DUMMYFUNCTION("""COMPUTED_VALUE"""),"")</f>
        <v/>
      </c>
      <c r="U791" s="18" t="str">
        <f ca="1">IFERROR(__xludf.DUMMYFUNCTION("""COMPUTED_VALUE"""),"")</f>
        <v/>
      </c>
      <c r="V791" s="18" t="str">
        <f ca="1">IFERROR(__xludf.DUMMYFUNCTION("""COMPUTED_VALUE"""),"")</f>
        <v/>
      </c>
      <c r="W791" s="18" t="str">
        <f ca="1">IFERROR(__xludf.DUMMYFUNCTION("""COMPUTED_VALUE"""),"")</f>
        <v/>
      </c>
      <c r="X791" s="18" t="str">
        <f ca="1">IFERROR(__xludf.DUMMYFUNCTION("""COMPUTED_VALUE"""),"")</f>
        <v/>
      </c>
      <c r="Y791" s="18" t="e">
        <f ca="1"/>
        <v>#NAME?</v>
      </c>
      <c r="Z791" s="18" t="str">
        <f ca="1">IFERROR(__xludf.DUMMYFUNCTION("""COMPUTED_VALUE"""),"")</f>
        <v/>
      </c>
      <c r="AA791" s="18" t="str">
        <f ca="1">IFERROR(__xludf.DUMMYFUNCTION("""COMPUTED_VALUE"""),"")</f>
        <v/>
      </c>
      <c r="AC791" s="59"/>
    </row>
    <row r="792" spans="1:29" x14ac:dyDescent="0.25">
      <c r="A792" s="18">
        <v>0</v>
      </c>
      <c r="B792" s="52" t="str">
        <f ca="1"/>
        <v/>
      </c>
      <c r="C792" s="52" t="str">
        <f ca="1">IFERROR(__xludf.DUMMYFUNCTION("""COMPUTED_VALUE"""),"")</f>
        <v/>
      </c>
      <c r="D792" s="18" t="str">
        <f ca="1">IFERROR(__xludf.DUMMYFUNCTION("""COMPUTED_VALUE"""),"")</f>
        <v/>
      </c>
      <c r="E792" s="18" t="str">
        <f ca="1">IFERROR(__xludf.DUMMYFUNCTION("""COMPUTED_VALUE"""),"")</f>
        <v/>
      </c>
      <c r="F792" s="18" t="str">
        <f ca="1">IFERROR(__xludf.DUMMYFUNCTION("""COMPUTED_VALUE"""),"")</f>
        <v/>
      </c>
      <c r="G792" s="18" t="str">
        <f ca="1">IFERROR(__xludf.DUMMYFUNCTION("""COMPUTED_VALUE"""),"")</f>
        <v/>
      </c>
      <c r="H792" s="18" t="str">
        <f ca="1">IFERROR(__xludf.DUMMYFUNCTION("""COMPUTED_VALUE"""),"")</f>
        <v/>
      </c>
      <c r="I792" s="18" t="str">
        <f ca="1">IFERROR(__xludf.DUMMYFUNCTION("""COMPUTED_VALUE"""),"")</f>
        <v/>
      </c>
      <c r="J792" s="18" t="str">
        <f ca="1">IFERROR(__xludf.DUMMYFUNCTION("""COMPUTED_VALUE"""),"")</f>
        <v/>
      </c>
      <c r="K792" s="18" t="str">
        <f ca="1">IFERROR(__xludf.DUMMYFUNCTION("""COMPUTED_VALUE"""),"")</f>
        <v/>
      </c>
      <c r="L792" s="18" t="str">
        <f ca="1">IFERROR(__xludf.DUMMYFUNCTION("""COMPUTED_VALUE"""),"")</f>
        <v/>
      </c>
      <c r="M792" s="18" t="str">
        <f ca="1">IFERROR(__xludf.DUMMYFUNCTION("""COMPUTED_VALUE"""),"")</f>
        <v/>
      </c>
      <c r="N792" s="18" t="str">
        <f ca="1">IFERROR(__xludf.DUMMYFUNCTION("""COMPUTED_VALUE"""),"")</f>
        <v/>
      </c>
      <c r="O792" s="18" t="str">
        <f ca="1">IFERROR(__xludf.DUMMYFUNCTION("""COMPUTED_VALUE"""),"")</f>
        <v/>
      </c>
      <c r="P792" s="18" t="str">
        <f ca="1">IFERROR(__xludf.DUMMYFUNCTION("""COMPUTED_VALUE"""),"")</f>
        <v/>
      </c>
      <c r="Q792" s="18" t="str">
        <f ca="1">IFERROR(__xludf.DUMMYFUNCTION("""COMPUTED_VALUE"""),"")</f>
        <v/>
      </c>
      <c r="R792" s="18" t="str">
        <f ca="1">IFERROR(__xludf.DUMMYFUNCTION("""COMPUTED_VALUE"""),"")</f>
        <v/>
      </c>
      <c r="S792" s="18" t="str">
        <f ca="1">IFERROR(__xludf.DUMMYFUNCTION("""COMPUTED_VALUE"""),"")</f>
        <v/>
      </c>
      <c r="T792" s="18" t="str">
        <f ca="1">IFERROR(__xludf.DUMMYFUNCTION("""COMPUTED_VALUE"""),"")</f>
        <v/>
      </c>
      <c r="U792" s="18" t="str">
        <f ca="1">IFERROR(__xludf.DUMMYFUNCTION("""COMPUTED_VALUE"""),"")</f>
        <v/>
      </c>
      <c r="V792" s="18" t="str">
        <f ca="1">IFERROR(__xludf.DUMMYFUNCTION("""COMPUTED_VALUE"""),"")</f>
        <v/>
      </c>
      <c r="W792" s="18" t="str">
        <f ca="1">IFERROR(__xludf.DUMMYFUNCTION("""COMPUTED_VALUE"""),"")</f>
        <v/>
      </c>
      <c r="X792" s="18" t="str">
        <f ca="1">IFERROR(__xludf.DUMMYFUNCTION("""COMPUTED_VALUE"""),"")</f>
        <v/>
      </c>
      <c r="Y792" s="18" t="e">
        <f ca="1"/>
        <v>#NAME?</v>
      </c>
      <c r="Z792" s="18" t="str">
        <f ca="1">IFERROR(__xludf.DUMMYFUNCTION("""COMPUTED_VALUE"""),"")</f>
        <v/>
      </c>
      <c r="AA792" s="18" t="str">
        <f ca="1">IFERROR(__xludf.DUMMYFUNCTION("""COMPUTED_VALUE"""),"")</f>
        <v/>
      </c>
      <c r="AC792" s="59"/>
    </row>
    <row r="793" spans="1:29" x14ac:dyDescent="0.25">
      <c r="A793" s="18">
        <v>0</v>
      </c>
      <c r="B793" s="52" t="str">
        <f ca="1"/>
        <v/>
      </c>
      <c r="C793" s="52" t="str">
        <f ca="1">IFERROR(__xludf.DUMMYFUNCTION("""COMPUTED_VALUE"""),"")</f>
        <v/>
      </c>
      <c r="D793" s="18" t="str">
        <f ca="1">IFERROR(__xludf.DUMMYFUNCTION("""COMPUTED_VALUE"""),"")</f>
        <v/>
      </c>
      <c r="E793" s="18" t="str">
        <f ca="1">IFERROR(__xludf.DUMMYFUNCTION("""COMPUTED_VALUE"""),"")</f>
        <v/>
      </c>
      <c r="F793" s="18" t="str">
        <f ca="1">IFERROR(__xludf.DUMMYFUNCTION("""COMPUTED_VALUE"""),"")</f>
        <v/>
      </c>
      <c r="G793" s="18" t="str">
        <f ca="1">IFERROR(__xludf.DUMMYFUNCTION("""COMPUTED_VALUE"""),"")</f>
        <v/>
      </c>
      <c r="H793" s="18" t="str">
        <f ca="1">IFERROR(__xludf.DUMMYFUNCTION("""COMPUTED_VALUE"""),"")</f>
        <v/>
      </c>
      <c r="I793" s="18" t="str">
        <f ca="1">IFERROR(__xludf.DUMMYFUNCTION("""COMPUTED_VALUE"""),"")</f>
        <v/>
      </c>
      <c r="J793" s="18" t="str">
        <f ca="1">IFERROR(__xludf.DUMMYFUNCTION("""COMPUTED_VALUE"""),"")</f>
        <v/>
      </c>
      <c r="K793" s="18" t="str">
        <f ca="1">IFERROR(__xludf.DUMMYFUNCTION("""COMPUTED_VALUE"""),"")</f>
        <v/>
      </c>
      <c r="L793" s="18" t="str">
        <f ca="1">IFERROR(__xludf.DUMMYFUNCTION("""COMPUTED_VALUE"""),"")</f>
        <v/>
      </c>
      <c r="M793" s="18" t="str">
        <f ca="1">IFERROR(__xludf.DUMMYFUNCTION("""COMPUTED_VALUE"""),"")</f>
        <v/>
      </c>
      <c r="N793" s="18" t="str">
        <f ca="1">IFERROR(__xludf.DUMMYFUNCTION("""COMPUTED_VALUE"""),"")</f>
        <v/>
      </c>
      <c r="O793" s="18" t="str">
        <f ca="1">IFERROR(__xludf.DUMMYFUNCTION("""COMPUTED_VALUE"""),"")</f>
        <v/>
      </c>
      <c r="P793" s="18" t="str">
        <f ca="1">IFERROR(__xludf.DUMMYFUNCTION("""COMPUTED_VALUE"""),"")</f>
        <v/>
      </c>
      <c r="Q793" s="18" t="str">
        <f ca="1">IFERROR(__xludf.DUMMYFUNCTION("""COMPUTED_VALUE"""),"")</f>
        <v/>
      </c>
      <c r="R793" s="18" t="str">
        <f ca="1">IFERROR(__xludf.DUMMYFUNCTION("""COMPUTED_VALUE"""),"")</f>
        <v/>
      </c>
      <c r="S793" s="18" t="str">
        <f ca="1">IFERROR(__xludf.DUMMYFUNCTION("""COMPUTED_VALUE"""),"")</f>
        <v/>
      </c>
      <c r="T793" s="18" t="str">
        <f ca="1">IFERROR(__xludf.DUMMYFUNCTION("""COMPUTED_VALUE"""),"")</f>
        <v/>
      </c>
      <c r="U793" s="18" t="str">
        <f ca="1">IFERROR(__xludf.DUMMYFUNCTION("""COMPUTED_VALUE"""),"")</f>
        <v/>
      </c>
      <c r="V793" s="18" t="str">
        <f ca="1">IFERROR(__xludf.DUMMYFUNCTION("""COMPUTED_VALUE"""),"")</f>
        <v/>
      </c>
      <c r="W793" s="18" t="str">
        <f ca="1">IFERROR(__xludf.DUMMYFUNCTION("""COMPUTED_VALUE"""),"")</f>
        <v/>
      </c>
      <c r="X793" s="18" t="str">
        <f ca="1">IFERROR(__xludf.DUMMYFUNCTION("""COMPUTED_VALUE"""),"")</f>
        <v/>
      </c>
      <c r="Y793" s="18" t="e">
        <f ca="1"/>
        <v>#NAME?</v>
      </c>
      <c r="Z793" s="18" t="str">
        <f ca="1">IFERROR(__xludf.DUMMYFUNCTION("""COMPUTED_VALUE"""),"")</f>
        <v/>
      </c>
      <c r="AA793" s="18" t="str">
        <f ca="1">IFERROR(__xludf.DUMMYFUNCTION("""COMPUTED_VALUE"""),"")</f>
        <v/>
      </c>
      <c r="AC793" s="59"/>
    </row>
    <row r="794" spans="1:29" x14ac:dyDescent="0.25">
      <c r="A794" s="18">
        <v>0</v>
      </c>
      <c r="B794" s="52" t="str">
        <f ca="1"/>
        <v/>
      </c>
      <c r="C794" s="52" t="str">
        <f ca="1">IFERROR(__xludf.DUMMYFUNCTION("""COMPUTED_VALUE"""),"")</f>
        <v/>
      </c>
      <c r="D794" s="18" t="str">
        <f ca="1">IFERROR(__xludf.DUMMYFUNCTION("""COMPUTED_VALUE"""),"")</f>
        <v/>
      </c>
      <c r="E794" s="18" t="str">
        <f ca="1">IFERROR(__xludf.DUMMYFUNCTION("""COMPUTED_VALUE"""),"")</f>
        <v/>
      </c>
      <c r="F794" s="18" t="str">
        <f ca="1">IFERROR(__xludf.DUMMYFUNCTION("""COMPUTED_VALUE"""),"")</f>
        <v/>
      </c>
      <c r="G794" s="18" t="str">
        <f ca="1">IFERROR(__xludf.DUMMYFUNCTION("""COMPUTED_VALUE"""),"")</f>
        <v/>
      </c>
      <c r="H794" s="18" t="str">
        <f ca="1">IFERROR(__xludf.DUMMYFUNCTION("""COMPUTED_VALUE"""),"")</f>
        <v/>
      </c>
      <c r="I794" s="18" t="str">
        <f ca="1">IFERROR(__xludf.DUMMYFUNCTION("""COMPUTED_VALUE"""),"")</f>
        <v/>
      </c>
      <c r="J794" s="18" t="str">
        <f ca="1">IFERROR(__xludf.DUMMYFUNCTION("""COMPUTED_VALUE"""),"")</f>
        <v/>
      </c>
      <c r="K794" s="18" t="str">
        <f ca="1">IFERROR(__xludf.DUMMYFUNCTION("""COMPUTED_VALUE"""),"")</f>
        <v/>
      </c>
      <c r="L794" s="18" t="str">
        <f ca="1">IFERROR(__xludf.DUMMYFUNCTION("""COMPUTED_VALUE"""),"")</f>
        <v/>
      </c>
      <c r="M794" s="18" t="str">
        <f ca="1">IFERROR(__xludf.DUMMYFUNCTION("""COMPUTED_VALUE"""),"")</f>
        <v/>
      </c>
      <c r="N794" s="18" t="str">
        <f ca="1">IFERROR(__xludf.DUMMYFUNCTION("""COMPUTED_VALUE"""),"")</f>
        <v/>
      </c>
      <c r="O794" s="18" t="str">
        <f ca="1">IFERROR(__xludf.DUMMYFUNCTION("""COMPUTED_VALUE"""),"")</f>
        <v/>
      </c>
      <c r="P794" s="18" t="str">
        <f ca="1">IFERROR(__xludf.DUMMYFUNCTION("""COMPUTED_VALUE"""),"")</f>
        <v/>
      </c>
      <c r="Q794" s="18" t="str">
        <f ca="1">IFERROR(__xludf.DUMMYFUNCTION("""COMPUTED_VALUE"""),"")</f>
        <v/>
      </c>
      <c r="R794" s="18" t="str">
        <f ca="1">IFERROR(__xludf.DUMMYFUNCTION("""COMPUTED_VALUE"""),"")</f>
        <v/>
      </c>
      <c r="S794" s="18" t="str">
        <f ca="1">IFERROR(__xludf.DUMMYFUNCTION("""COMPUTED_VALUE"""),"")</f>
        <v/>
      </c>
      <c r="T794" s="18" t="str">
        <f ca="1">IFERROR(__xludf.DUMMYFUNCTION("""COMPUTED_VALUE"""),"")</f>
        <v/>
      </c>
      <c r="U794" s="18" t="str">
        <f ca="1">IFERROR(__xludf.DUMMYFUNCTION("""COMPUTED_VALUE"""),"")</f>
        <v/>
      </c>
      <c r="V794" s="18" t="str">
        <f ca="1">IFERROR(__xludf.DUMMYFUNCTION("""COMPUTED_VALUE"""),"")</f>
        <v/>
      </c>
      <c r="W794" s="18" t="str">
        <f ca="1">IFERROR(__xludf.DUMMYFUNCTION("""COMPUTED_VALUE"""),"")</f>
        <v/>
      </c>
      <c r="X794" s="18" t="str">
        <f ca="1">IFERROR(__xludf.DUMMYFUNCTION("""COMPUTED_VALUE"""),"")</f>
        <v/>
      </c>
      <c r="Y794" s="18" t="e">
        <f ca="1"/>
        <v>#NAME?</v>
      </c>
      <c r="Z794" s="18" t="str">
        <f ca="1">IFERROR(__xludf.DUMMYFUNCTION("""COMPUTED_VALUE"""),"")</f>
        <v/>
      </c>
      <c r="AA794" s="18" t="str">
        <f ca="1">IFERROR(__xludf.DUMMYFUNCTION("""COMPUTED_VALUE"""),"")</f>
        <v/>
      </c>
      <c r="AC794" s="59"/>
    </row>
    <row r="795" spans="1:29" x14ac:dyDescent="0.25">
      <c r="A795" s="18">
        <v>0</v>
      </c>
      <c r="B795" s="52" t="str">
        <f ca="1"/>
        <v/>
      </c>
      <c r="C795" s="52" t="str">
        <f ca="1">IFERROR(__xludf.DUMMYFUNCTION("""COMPUTED_VALUE"""),"")</f>
        <v/>
      </c>
      <c r="D795" s="18" t="str">
        <f ca="1">IFERROR(__xludf.DUMMYFUNCTION("""COMPUTED_VALUE"""),"")</f>
        <v/>
      </c>
      <c r="E795" s="18" t="str">
        <f ca="1">IFERROR(__xludf.DUMMYFUNCTION("""COMPUTED_VALUE"""),"")</f>
        <v/>
      </c>
      <c r="F795" s="18" t="str">
        <f ca="1">IFERROR(__xludf.DUMMYFUNCTION("""COMPUTED_VALUE"""),"")</f>
        <v/>
      </c>
      <c r="G795" s="18" t="str">
        <f ca="1">IFERROR(__xludf.DUMMYFUNCTION("""COMPUTED_VALUE"""),"")</f>
        <v/>
      </c>
      <c r="H795" s="18" t="str">
        <f ca="1">IFERROR(__xludf.DUMMYFUNCTION("""COMPUTED_VALUE"""),"")</f>
        <v/>
      </c>
      <c r="I795" s="18" t="str">
        <f ca="1">IFERROR(__xludf.DUMMYFUNCTION("""COMPUTED_VALUE"""),"")</f>
        <v/>
      </c>
      <c r="J795" s="18" t="str">
        <f ca="1">IFERROR(__xludf.DUMMYFUNCTION("""COMPUTED_VALUE"""),"")</f>
        <v/>
      </c>
      <c r="K795" s="18" t="str">
        <f ca="1">IFERROR(__xludf.DUMMYFUNCTION("""COMPUTED_VALUE"""),"")</f>
        <v/>
      </c>
      <c r="L795" s="18" t="str">
        <f ca="1">IFERROR(__xludf.DUMMYFUNCTION("""COMPUTED_VALUE"""),"")</f>
        <v/>
      </c>
      <c r="M795" s="18" t="str">
        <f ca="1">IFERROR(__xludf.DUMMYFUNCTION("""COMPUTED_VALUE"""),"")</f>
        <v/>
      </c>
      <c r="N795" s="18" t="str">
        <f ca="1">IFERROR(__xludf.DUMMYFUNCTION("""COMPUTED_VALUE"""),"")</f>
        <v/>
      </c>
      <c r="O795" s="18" t="str">
        <f ca="1">IFERROR(__xludf.DUMMYFUNCTION("""COMPUTED_VALUE"""),"")</f>
        <v/>
      </c>
      <c r="P795" s="18" t="str">
        <f ca="1">IFERROR(__xludf.DUMMYFUNCTION("""COMPUTED_VALUE"""),"")</f>
        <v/>
      </c>
      <c r="Q795" s="18" t="str">
        <f ca="1">IFERROR(__xludf.DUMMYFUNCTION("""COMPUTED_VALUE"""),"")</f>
        <v/>
      </c>
      <c r="R795" s="18" t="str">
        <f ca="1">IFERROR(__xludf.DUMMYFUNCTION("""COMPUTED_VALUE"""),"")</f>
        <v/>
      </c>
      <c r="S795" s="18" t="str">
        <f ca="1">IFERROR(__xludf.DUMMYFUNCTION("""COMPUTED_VALUE"""),"")</f>
        <v/>
      </c>
      <c r="T795" s="18" t="str">
        <f ca="1">IFERROR(__xludf.DUMMYFUNCTION("""COMPUTED_VALUE"""),"")</f>
        <v/>
      </c>
      <c r="U795" s="18" t="str">
        <f ca="1">IFERROR(__xludf.DUMMYFUNCTION("""COMPUTED_VALUE"""),"")</f>
        <v/>
      </c>
      <c r="V795" s="18" t="str">
        <f ca="1">IFERROR(__xludf.DUMMYFUNCTION("""COMPUTED_VALUE"""),"")</f>
        <v/>
      </c>
      <c r="W795" s="18" t="str">
        <f ca="1">IFERROR(__xludf.DUMMYFUNCTION("""COMPUTED_VALUE"""),"")</f>
        <v/>
      </c>
      <c r="X795" s="18" t="str">
        <f ca="1">IFERROR(__xludf.DUMMYFUNCTION("""COMPUTED_VALUE"""),"")</f>
        <v/>
      </c>
      <c r="Y795" s="18" t="e">
        <f ca="1"/>
        <v>#NAME?</v>
      </c>
      <c r="Z795" s="18" t="str">
        <f ca="1">IFERROR(__xludf.DUMMYFUNCTION("""COMPUTED_VALUE"""),"")</f>
        <v/>
      </c>
      <c r="AA795" s="18" t="str">
        <f ca="1">IFERROR(__xludf.DUMMYFUNCTION("""COMPUTED_VALUE"""),"")</f>
        <v/>
      </c>
      <c r="AC795" s="59"/>
    </row>
    <row r="796" spans="1:29" x14ac:dyDescent="0.25">
      <c r="A796" s="18">
        <v>0</v>
      </c>
      <c r="B796" s="52" t="str">
        <f ca="1"/>
        <v/>
      </c>
      <c r="C796" s="52" t="str">
        <f ca="1">IFERROR(__xludf.DUMMYFUNCTION("""COMPUTED_VALUE"""),"")</f>
        <v/>
      </c>
      <c r="D796" s="18" t="str">
        <f ca="1">IFERROR(__xludf.DUMMYFUNCTION("""COMPUTED_VALUE"""),"")</f>
        <v/>
      </c>
      <c r="E796" s="18" t="str">
        <f ca="1">IFERROR(__xludf.DUMMYFUNCTION("""COMPUTED_VALUE"""),"")</f>
        <v/>
      </c>
      <c r="F796" s="18" t="str">
        <f ca="1">IFERROR(__xludf.DUMMYFUNCTION("""COMPUTED_VALUE"""),"")</f>
        <v/>
      </c>
      <c r="G796" s="18" t="str">
        <f ca="1">IFERROR(__xludf.DUMMYFUNCTION("""COMPUTED_VALUE"""),"")</f>
        <v/>
      </c>
      <c r="H796" s="18" t="str">
        <f ca="1">IFERROR(__xludf.DUMMYFUNCTION("""COMPUTED_VALUE"""),"")</f>
        <v/>
      </c>
      <c r="I796" s="18" t="str">
        <f ca="1">IFERROR(__xludf.DUMMYFUNCTION("""COMPUTED_VALUE"""),"")</f>
        <v/>
      </c>
      <c r="J796" s="18" t="str">
        <f ca="1">IFERROR(__xludf.DUMMYFUNCTION("""COMPUTED_VALUE"""),"")</f>
        <v/>
      </c>
      <c r="K796" s="18" t="str">
        <f ca="1">IFERROR(__xludf.DUMMYFUNCTION("""COMPUTED_VALUE"""),"")</f>
        <v/>
      </c>
      <c r="L796" s="18" t="str">
        <f ca="1">IFERROR(__xludf.DUMMYFUNCTION("""COMPUTED_VALUE"""),"")</f>
        <v/>
      </c>
      <c r="M796" s="18" t="str">
        <f ca="1">IFERROR(__xludf.DUMMYFUNCTION("""COMPUTED_VALUE"""),"")</f>
        <v/>
      </c>
      <c r="N796" s="18" t="str">
        <f ca="1">IFERROR(__xludf.DUMMYFUNCTION("""COMPUTED_VALUE"""),"")</f>
        <v/>
      </c>
      <c r="O796" s="18" t="str">
        <f ca="1">IFERROR(__xludf.DUMMYFUNCTION("""COMPUTED_VALUE"""),"")</f>
        <v/>
      </c>
      <c r="P796" s="18" t="str">
        <f ca="1">IFERROR(__xludf.DUMMYFUNCTION("""COMPUTED_VALUE"""),"")</f>
        <v/>
      </c>
      <c r="Q796" s="18" t="str">
        <f ca="1">IFERROR(__xludf.DUMMYFUNCTION("""COMPUTED_VALUE"""),"")</f>
        <v/>
      </c>
      <c r="R796" s="18" t="str">
        <f ca="1">IFERROR(__xludf.DUMMYFUNCTION("""COMPUTED_VALUE"""),"")</f>
        <v/>
      </c>
      <c r="S796" s="18" t="str">
        <f ca="1">IFERROR(__xludf.DUMMYFUNCTION("""COMPUTED_VALUE"""),"")</f>
        <v/>
      </c>
      <c r="T796" s="18" t="str">
        <f ca="1">IFERROR(__xludf.DUMMYFUNCTION("""COMPUTED_VALUE"""),"")</f>
        <v/>
      </c>
      <c r="U796" s="18" t="str">
        <f ca="1">IFERROR(__xludf.DUMMYFUNCTION("""COMPUTED_VALUE"""),"")</f>
        <v/>
      </c>
      <c r="V796" s="18" t="str">
        <f ca="1">IFERROR(__xludf.DUMMYFUNCTION("""COMPUTED_VALUE"""),"")</f>
        <v/>
      </c>
      <c r="W796" s="18" t="str">
        <f ca="1">IFERROR(__xludf.DUMMYFUNCTION("""COMPUTED_VALUE"""),"")</f>
        <v/>
      </c>
      <c r="X796" s="18" t="str">
        <f ca="1">IFERROR(__xludf.DUMMYFUNCTION("""COMPUTED_VALUE"""),"")</f>
        <v/>
      </c>
      <c r="Y796" s="18" t="e">
        <f ca="1"/>
        <v>#NAME?</v>
      </c>
      <c r="Z796" s="18" t="str">
        <f ca="1">IFERROR(__xludf.DUMMYFUNCTION("""COMPUTED_VALUE"""),"")</f>
        <v/>
      </c>
      <c r="AA796" s="18" t="str">
        <f ca="1">IFERROR(__xludf.DUMMYFUNCTION("""COMPUTED_VALUE"""),"")</f>
        <v/>
      </c>
      <c r="AC796" s="59"/>
    </row>
    <row r="797" spans="1:29" x14ac:dyDescent="0.25">
      <c r="A797" s="18">
        <v>0</v>
      </c>
      <c r="B797" s="52" t="str">
        <f ca="1"/>
        <v/>
      </c>
      <c r="C797" s="52" t="str">
        <f ca="1">IFERROR(__xludf.DUMMYFUNCTION("""COMPUTED_VALUE"""),"")</f>
        <v/>
      </c>
      <c r="D797" s="18" t="str">
        <f ca="1">IFERROR(__xludf.DUMMYFUNCTION("""COMPUTED_VALUE"""),"")</f>
        <v/>
      </c>
      <c r="E797" s="18" t="str">
        <f ca="1">IFERROR(__xludf.DUMMYFUNCTION("""COMPUTED_VALUE"""),"")</f>
        <v/>
      </c>
      <c r="F797" s="18" t="str">
        <f ca="1">IFERROR(__xludf.DUMMYFUNCTION("""COMPUTED_VALUE"""),"")</f>
        <v/>
      </c>
      <c r="G797" s="18" t="str">
        <f ca="1">IFERROR(__xludf.DUMMYFUNCTION("""COMPUTED_VALUE"""),"")</f>
        <v/>
      </c>
      <c r="H797" s="18" t="str">
        <f ca="1">IFERROR(__xludf.DUMMYFUNCTION("""COMPUTED_VALUE"""),"")</f>
        <v/>
      </c>
      <c r="I797" s="18" t="str">
        <f ca="1">IFERROR(__xludf.DUMMYFUNCTION("""COMPUTED_VALUE"""),"")</f>
        <v/>
      </c>
      <c r="J797" s="18" t="str">
        <f ca="1">IFERROR(__xludf.DUMMYFUNCTION("""COMPUTED_VALUE"""),"")</f>
        <v/>
      </c>
      <c r="K797" s="18" t="str">
        <f ca="1">IFERROR(__xludf.DUMMYFUNCTION("""COMPUTED_VALUE"""),"")</f>
        <v/>
      </c>
      <c r="L797" s="18" t="str">
        <f ca="1">IFERROR(__xludf.DUMMYFUNCTION("""COMPUTED_VALUE"""),"")</f>
        <v/>
      </c>
      <c r="M797" s="18" t="str">
        <f ca="1">IFERROR(__xludf.DUMMYFUNCTION("""COMPUTED_VALUE"""),"")</f>
        <v/>
      </c>
      <c r="N797" s="18" t="str">
        <f ca="1">IFERROR(__xludf.DUMMYFUNCTION("""COMPUTED_VALUE"""),"")</f>
        <v/>
      </c>
      <c r="O797" s="18" t="str">
        <f ca="1">IFERROR(__xludf.DUMMYFUNCTION("""COMPUTED_VALUE"""),"")</f>
        <v/>
      </c>
      <c r="P797" s="18" t="str">
        <f ca="1">IFERROR(__xludf.DUMMYFUNCTION("""COMPUTED_VALUE"""),"")</f>
        <v/>
      </c>
      <c r="Q797" s="18" t="str">
        <f ca="1">IFERROR(__xludf.DUMMYFUNCTION("""COMPUTED_VALUE"""),"")</f>
        <v/>
      </c>
      <c r="R797" s="18" t="str">
        <f ca="1">IFERROR(__xludf.DUMMYFUNCTION("""COMPUTED_VALUE"""),"")</f>
        <v/>
      </c>
      <c r="S797" s="18" t="str">
        <f ca="1">IFERROR(__xludf.DUMMYFUNCTION("""COMPUTED_VALUE"""),"")</f>
        <v/>
      </c>
      <c r="T797" s="18" t="str">
        <f ca="1">IFERROR(__xludf.DUMMYFUNCTION("""COMPUTED_VALUE"""),"")</f>
        <v/>
      </c>
      <c r="U797" s="18" t="str">
        <f ca="1">IFERROR(__xludf.DUMMYFUNCTION("""COMPUTED_VALUE"""),"")</f>
        <v/>
      </c>
      <c r="V797" s="18" t="str">
        <f ca="1">IFERROR(__xludf.DUMMYFUNCTION("""COMPUTED_VALUE"""),"")</f>
        <v/>
      </c>
      <c r="W797" s="18" t="str">
        <f ca="1">IFERROR(__xludf.DUMMYFUNCTION("""COMPUTED_VALUE"""),"")</f>
        <v/>
      </c>
      <c r="X797" s="18" t="str">
        <f ca="1">IFERROR(__xludf.DUMMYFUNCTION("""COMPUTED_VALUE"""),"")</f>
        <v/>
      </c>
      <c r="Y797" s="18" t="e">
        <f ca="1"/>
        <v>#NAME?</v>
      </c>
      <c r="Z797" s="18" t="str">
        <f ca="1">IFERROR(__xludf.DUMMYFUNCTION("""COMPUTED_VALUE"""),"")</f>
        <v/>
      </c>
      <c r="AA797" s="18" t="str">
        <f ca="1">IFERROR(__xludf.DUMMYFUNCTION("""COMPUTED_VALUE"""),"")</f>
        <v/>
      </c>
      <c r="AC797" s="59"/>
    </row>
    <row r="798" spans="1:29" x14ac:dyDescent="0.25">
      <c r="A798" s="18">
        <v>0</v>
      </c>
      <c r="B798" s="52" t="str">
        <f ca="1"/>
        <v/>
      </c>
      <c r="C798" s="52" t="str">
        <f ca="1">IFERROR(__xludf.DUMMYFUNCTION("""COMPUTED_VALUE"""),"")</f>
        <v/>
      </c>
      <c r="D798" s="18" t="str">
        <f ca="1">IFERROR(__xludf.DUMMYFUNCTION("""COMPUTED_VALUE"""),"")</f>
        <v/>
      </c>
      <c r="E798" s="18" t="str">
        <f ca="1">IFERROR(__xludf.DUMMYFUNCTION("""COMPUTED_VALUE"""),"")</f>
        <v/>
      </c>
      <c r="F798" s="18" t="str">
        <f ca="1">IFERROR(__xludf.DUMMYFUNCTION("""COMPUTED_VALUE"""),"")</f>
        <v/>
      </c>
      <c r="G798" s="18" t="str">
        <f ca="1">IFERROR(__xludf.DUMMYFUNCTION("""COMPUTED_VALUE"""),"")</f>
        <v/>
      </c>
      <c r="H798" s="18" t="str">
        <f ca="1">IFERROR(__xludf.DUMMYFUNCTION("""COMPUTED_VALUE"""),"")</f>
        <v/>
      </c>
      <c r="I798" s="18" t="str">
        <f ca="1">IFERROR(__xludf.DUMMYFUNCTION("""COMPUTED_VALUE"""),"")</f>
        <v/>
      </c>
      <c r="J798" s="18" t="str">
        <f ca="1">IFERROR(__xludf.DUMMYFUNCTION("""COMPUTED_VALUE"""),"")</f>
        <v/>
      </c>
      <c r="K798" s="18" t="str">
        <f ca="1">IFERROR(__xludf.DUMMYFUNCTION("""COMPUTED_VALUE"""),"")</f>
        <v/>
      </c>
      <c r="L798" s="18" t="str">
        <f ca="1">IFERROR(__xludf.DUMMYFUNCTION("""COMPUTED_VALUE"""),"")</f>
        <v/>
      </c>
      <c r="M798" s="18" t="str">
        <f ca="1">IFERROR(__xludf.DUMMYFUNCTION("""COMPUTED_VALUE"""),"")</f>
        <v/>
      </c>
      <c r="N798" s="18" t="str">
        <f ca="1">IFERROR(__xludf.DUMMYFUNCTION("""COMPUTED_VALUE"""),"")</f>
        <v/>
      </c>
      <c r="O798" s="18" t="str">
        <f ca="1">IFERROR(__xludf.DUMMYFUNCTION("""COMPUTED_VALUE"""),"")</f>
        <v/>
      </c>
      <c r="P798" s="18" t="str">
        <f ca="1">IFERROR(__xludf.DUMMYFUNCTION("""COMPUTED_VALUE"""),"")</f>
        <v/>
      </c>
      <c r="Q798" s="18" t="str">
        <f ca="1">IFERROR(__xludf.DUMMYFUNCTION("""COMPUTED_VALUE"""),"")</f>
        <v/>
      </c>
      <c r="R798" s="18" t="str">
        <f ca="1">IFERROR(__xludf.DUMMYFUNCTION("""COMPUTED_VALUE"""),"")</f>
        <v/>
      </c>
      <c r="S798" s="18" t="str">
        <f ca="1">IFERROR(__xludf.DUMMYFUNCTION("""COMPUTED_VALUE"""),"")</f>
        <v/>
      </c>
      <c r="T798" s="18" t="str">
        <f ca="1">IFERROR(__xludf.DUMMYFUNCTION("""COMPUTED_VALUE"""),"")</f>
        <v/>
      </c>
      <c r="U798" s="18" t="str">
        <f ca="1">IFERROR(__xludf.DUMMYFUNCTION("""COMPUTED_VALUE"""),"")</f>
        <v/>
      </c>
      <c r="V798" s="18" t="str">
        <f ca="1">IFERROR(__xludf.DUMMYFUNCTION("""COMPUTED_VALUE"""),"")</f>
        <v/>
      </c>
      <c r="W798" s="18" t="str">
        <f ca="1">IFERROR(__xludf.DUMMYFUNCTION("""COMPUTED_VALUE"""),"")</f>
        <v/>
      </c>
      <c r="X798" s="18" t="str">
        <f ca="1">IFERROR(__xludf.DUMMYFUNCTION("""COMPUTED_VALUE"""),"")</f>
        <v/>
      </c>
      <c r="Y798" s="18" t="e">
        <f ca="1"/>
        <v>#NAME?</v>
      </c>
      <c r="Z798" s="18" t="str">
        <f ca="1">IFERROR(__xludf.DUMMYFUNCTION("""COMPUTED_VALUE"""),"")</f>
        <v/>
      </c>
      <c r="AA798" s="18" t="str">
        <f ca="1">IFERROR(__xludf.DUMMYFUNCTION("""COMPUTED_VALUE"""),"")</f>
        <v/>
      </c>
      <c r="AC798" s="59"/>
    </row>
    <row r="799" spans="1:29" x14ac:dyDescent="0.25">
      <c r="A799" s="18">
        <v>0</v>
      </c>
      <c r="B799" s="52" t="str">
        <f ca="1"/>
        <v/>
      </c>
      <c r="C799" s="52" t="str">
        <f ca="1">IFERROR(__xludf.DUMMYFUNCTION("""COMPUTED_VALUE"""),"")</f>
        <v/>
      </c>
      <c r="D799" s="18" t="str">
        <f ca="1">IFERROR(__xludf.DUMMYFUNCTION("""COMPUTED_VALUE"""),"")</f>
        <v/>
      </c>
      <c r="E799" s="18" t="str">
        <f ca="1">IFERROR(__xludf.DUMMYFUNCTION("""COMPUTED_VALUE"""),"")</f>
        <v/>
      </c>
      <c r="F799" s="18" t="str">
        <f ca="1">IFERROR(__xludf.DUMMYFUNCTION("""COMPUTED_VALUE"""),"")</f>
        <v/>
      </c>
      <c r="G799" s="18" t="str">
        <f ca="1">IFERROR(__xludf.DUMMYFUNCTION("""COMPUTED_VALUE"""),"")</f>
        <v/>
      </c>
      <c r="H799" s="18" t="str">
        <f ca="1">IFERROR(__xludf.DUMMYFUNCTION("""COMPUTED_VALUE"""),"")</f>
        <v/>
      </c>
      <c r="I799" s="18" t="str">
        <f ca="1">IFERROR(__xludf.DUMMYFUNCTION("""COMPUTED_VALUE"""),"")</f>
        <v/>
      </c>
      <c r="J799" s="18" t="str">
        <f ca="1">IFERROR(__xludf.DUMMYFUNCTION("""COMPUTED_VALUE"""),"")</f>
        <v/>
      </c>
      <c r="K799" s="18" t="str">
        <f ca="1">IFERROR(__xludf.DUMMYFUNCTION("""COMPUTED_VALUE"""),"")</f>
        <v/>
      </c>
      <c r="L799" s="18" t="str">
        <f ca="1">IFERROR(__xludf.DUMMYFUNCTION("""COMPUTED_VALUE"""),"")</f>
        <v/>
      </c>
      <c r="M799" s="18" t="str">
        <f ca="1">IFERROR(__xludf.DUMMYFUNCTION("""COMPUTED_VALUE"""),"")</f>
        <v/>
      </c>
      <c r="N799" s="18" t="str">
        <f ca="1">IFERROR(__xludf.DUMMYFUNCTION("""COMPUTED_VALUE"""),"")</f>
        <v/>
      </c>
      <c r="O799" s="18" t="str">
        <f ca="1">IFERROR(__xludf.DUMMYFUNCTION("""COMPUTED_VALUE"""),"")</f>
        <v/>
      </c>
      <c r="P799" s="18" t="str">
        <f ca="1">IFERROR(__xludf.DUMMYFUNCTION("""COMPUTED_VALUE"""),"")</f>
        <v/>
      </c>
      <c r="Q799" s="18" t="str">
        <f ca="1">IFERROR(__xludf.DUMMYFUNCTION("""COMPUTED_VALUE"""),"")</f>
        <v/>
      </c>
      <c r="R799" s="18" t="str">
        <f ca="1">IFERROR(__xludf.DUMMYFUNCTION("""COMPUTED_VALUE"""),"")</f>
        <v/>
      </c>
      <c r="S799" s="18" t="str">
        <f ca="1">IFERROR(__xludf.DUMMYFUNCTION("""COMPUTED_VALUE"""),"")</f>
        <v/>
      </c>
      <c r="T799" s="18" t="str">
        <f ca="1">IFERROR(__xludf.DUMMYFUNCTION("""COMPUTED_VALUE"""),"")</f>
        <v/>
      </c>
      <c r="U799" s="18" t="str">
        <f ca="1">IFERROR(__xludf.DUMMYFUNCTION("""COMPUTED_VALUE"""),"")</f>
        <v/>
      </c>
      <c r="V799" s="18" t="str">
        <f ca="1">IFERROR(__xludf.DUMMYFUNCTION("""COMPUTED_VALUE"""),"")</f>
        <v/>
      </c>
      <c r="W799" s="18" t="str">
        <f ca="1">IFERROR(__xludf.DUMMYFUNCTION("""COMPUTED_VALUE"""),"")</f>
        <v/>
      </c>
      <c r="X799" s="18" t="str">
        <f ca="1">IFERROR(__xludf.DUMMYFUNCTION("""COMPUTED_VALUE"""),"")</f>
        <v/>
      </c>
      <c r="Y799" s="18" t="e">
        <f ca="1"/>
        <v>#NAME?</v>
      </c>
      <c r="Z799" s="18" t="str">
        <f ca="1">IFERROR(__xludf.DUMMYFUNCTION("""COMPUTED_VALUE"""),"")</f>
        <v/>
      </c>
      <c r="AA799" s="18" t="str">
        <f ca="1">IFERROR(__xludf.DUMMYFUNCTION("""COMPUTED_VALUE"""),"")</f>
        <v/>
      </c>
      <c r="AC799" s="59"/>
    </row>
    <row r="800" spans="1:29" x14ac:dyDescent="0.25">
      <c r="A800" s="18">
        <v>0</v>
      </c>
      <c r="B800" s="52" t="str">
        <f ca="1"/>
        <v/>
      </c>
      <c r="C800" s="52" t="str">
        <f ca="1">IFERROR(__xludf.DUMMYFUNCTION("""COMPUTED_VALUE"""),"")</f>
        <v/>
      </c>
      <c r="D800" s="18" t="str">
        <f ca="1">IFERROR(__xludf.DUMMYFUNCTION("""COMPUTED_VALUE"""),"")</f>
        <v/>
      </c>
      <c r="E800" s="18" t="str">
        <f ca="1">IFERROR(__xludf.DUMMYFUNCTION("""COMPUTED_VALUE"""),"")</f>
        <v/>
      </c>
      <c r="F800" s="18" t="str">
        <f ca="1">IFERROR(__xludf.DUMMYFUNCTION("""COMPUTED_VALUE"""),"")</f>
        <v/>
      </c>
      <c r="G800" s="18" t="str">
        <f ca="1">IFERROR(__xludf.DUMMYFUNCTION("""COMPUTED_VALUE"""),"")</f>
        <v/>
      </c>
      <c r="H800" s="18" t="str">
        <f ca="1">IFERROR(__xludf.DUMMYFUNCTION("""COMPUTED_VALUE"""),"")</f>
        <v/>
      </c>
      <c r="I800" s="18" t="str">
        <f ca="1">IFERROR(__xludf.DUMMYFUNCTION("""COMPUTED_VALUE"""),"")</f>
        <v/>
      </c>
      <c r="J800" s="18" t="str">
        <f ca="1">IFERROR(__xludf.DUMMYFUNCTION("""COMPUTED_VALUE"""),"")</f>
        <v/>
      </c>
      <c r="K800" s="18" t="str">
        <f ca="1">IFERROR(__xludf.DUMMYFUNCTION("""COMPUTED_VALUE"""),"")</f>
        <v/>
      </c>
      <c r="L800" s="18" t="str">
        <f ca="1">IFERROR(__xludf.DUMMYFUNCTION("""COMPUTED_VALUE"""),"")</f>
        <v/>
      </c>
      <c r="M800" s="18" t="str">
        <f ca="1">IFERROR(__xludf.DUMMYFUNCTION("""COMPUTED_VALUE"""),"")</f>
        <v/>
      </c>
      <c r="N800" s="18" t="str">
        <f ca="1">IFERROR(__xludf.DUMMYFUNCTION("""COMPUTED_VALUE"""),"")</f>
        <v/>
      </c>
      <c r="O800" s="18" t="str">
        <f ca="1">IFERROR(__xludf.DUMMYFUNCTION("""COMPUTED_VALUE"""),"")</f>
        <v/>
      </c>
      <c r="P800" s="18" t="str">
        <f ca="1">IFERROR(__xludf.DUMMYFUNCTION("""COMPUTED_VALUE"""),"")</f>
        <v/>
      </c>
      <c r="Q800" s="18" t="str">
        <f ca="1">IFERROR(__xludf.DUMMYFUNCTION("""COMPUTED_VALUE"""),"")</f>
        <v/>
      </c>
      <c r="R800" s="18" t="str">
        <f ca="1">IFERROR(__xludf.DUMMYFUNCTION("""COMPUTED_VALUE"""),"")</f>
        <v/>
      </c>
      <c r="S800" s="18" t="str">
        <f ca="1">IFERROR(__xludf.DUMMYFUNCTION("""COMPUTED_VALUE"""),"")</f>
        <v/>
      </c>
      <c r="T800" s="18" t="str">
        <f ca="1">IFERROR(__xludf.DUMMYFUNCTION("""COMPUTED_VALUE"""),"")</f>
        <v/>
      </c>
      <c r="U800" s="18" t="str">
        <f ca="1">IFERROR(__xludf.DUMMYFUNCTION("""COMPUTED_VALUE"""),"")</f>
        <v/>
      </c>
      <c r="V800" s="18" t="str">
        <f ca="1">IFERROR(__xludf.DUMMYFUNCTION("""COMPUTED_VALUE"""),"")</f>
        <v/>
      </c>
      <c r="W800" s="18" t="str">
        <f ca="1">IFERROR(__xludf.DUMMYFUNCTION("""COMPUTED_VALUE"""),"")</f>
        <v/>
      </c>
      <c r="X800" s="18" t="str">
        <f ca="1">IFERROR(__xludf.DUMMYFUNCTION("""COMPUTED_VALUE"""),"")</f>
        <v/>
      </c>
      <c r="Y800" s="18" t="e">
        <f ca="1"/>
        <v>#NAME?</v>
      </c>
      <c r="Z800" s="18" t="str">
        <f ca="1">IFERROR(__xludf.DUMMYFUNCTION("""COMPUTED_VALUE"""),"")</f>
        <v/>
      </c>
      <c r="AA800" s="18" t="str">
        <f ca="1">IFERROR(__xludf.DUMMYFUNCTION("""COMPUTED_VALUE"""),"")</f>
        <v/>
      </c>
      <c r="AC800" s="59"/>
    </row>
    <row r="801" spans="1:29" x14ac:dyDescent="0.25">
      <c r="A801" s="18">
        <v>0</v>
      </c>
      <c r="B801" s="52" t="str">
        <f ca="1"/>
        <v/>
      </c>
      <c r="C801" s="52" t="str">
        <f ca="1">IFERROR(__xludf.DUMMYFUNCTION("""COMPUTED_VALUE"""),"")</f>
        <v/>
      </c>
      <c r="D801" s="18" t="str">
        <f ca="1">IFERROR(__xludf.DUMMYFUNCTION("""COMPUTED_VALUE"""),"")</f>
        <v/>
      </c>
      <c r="E801" s="18" t="str">
        <f ca="1">IFERROR(__xludf.DUMMYFUNCTION("""COMPUTED_VALUE"""),"")</f>
        <v/>
      </c>
      <c r="F801" s="18" t="str">
        <f ca="1">IFERROR(__xludf.DUMMYFUNCTION("""COMPUTED_VALUE"""),"")</f>
        <v/>
      </c>
      <c r="G801" s="18" t="str">
        <f ca="1">IFERROR(__xludf.DUMMYFUNCTION("""COMPUTED_VALUE"""),"")</f>
        <v/>
      </c>
      <c r="H801" s="18" t="str">
        <f ca="1">IFERROR(__xludf.DUMMYFUNCTION("""COMPUTED_VALUE"""),"")</f>
        <v/>
      </c>
      <c r="I801" s="18" t="str">
        <f ca="1">IFERROR(__xludf.DUMMYFUNCTION("""COMPUTED_VALUE"""),"")</f>
        <v/>
      </c>
      <c r="J801" s="18" t="str">
        <f ca="1">IFERROR(__xludf.DUMMYFUNCTION("""COMPUTED_VALUE"""),"")</f>
        <v/>
      </c>
      <c r="K801" s="18" t="str">
        <f ca="1">IFERROR(__xludf.DUMMYFUNCTION("""COMPUTED_VALUE"""),"")</f>
        <v/>
      </c>
      <c r="L801" s="18" t="str">
        <f ca="1">IFERROR(__xludf.DUMMYFUNCTION("""COMPUTED_VALUE"""),"")</f>
        <v/>
      </c>
      <c r="M801" s="18" t="str">
        <f ca="1">IFERROR(__xludf.DUMMYFUNCTION("""COMPUTED_VALUE"""),"")</f>
        <v/>
      </c>
      <c r="N801" s="18" t="str">
        <f ca="1">IFERROR(__xludf.DUMMYFUNCTION("""COMPUTED_VALUE"""),"")</f>
        <v/>
      </c>
      <c r="O801" s="18" t="str">
        <f ca="1">IFERROR(__xludf.DUMMYFUNCTION("""COMPUTED_VALUE"""),"")</f>
        <v/>
      </c>
      <c r="P801" s="18" t="str">
        <f ca="1">IFERROR(__xludf.DUMMYFUNCTION("""COMPUTED_VALUE"""),"")</f>
        <v/>
      </c>
      <c r="Q801" s="18" t="str">
        <f ca="1">IFERROR(__xludf.DUMMYFUNCTION("""COMPUTED_VALUE"""),"")</f>
        <v/>
      </c>
      <c r="R801" s="18" t="str">
        <f ca="1">IFERROR(__xludf.DUMMYFUNCTION("""COMPUTED_VALUE"""),"")</f>
        <v/>
      </c>
      <c r="S801" s="18" t="str">
        <f ca="1">IFERROR(__xludf.DUMMYFUNCTION("""COMPUTED_VALUE"""),"")</f>
        <v/>
      </c>
      <c r="T801" s="18" t="str">
        <f ca="1">IFERROR(__xludf.DUMMYFUNCTION("""COMPUTED_VALUE"""),"")</f>
        <v/>
      </c>
      <c r="U801" s="18" t="str">
        <f ca="1">IFERROR(__xludf.DUMMYFUNCTION("""COMPUTED_VALUE"""),"")</f>
        <v/>
      </c>
      <c r="V801" s="18" t="str">
        <f ca="1">IFERROR(__xludf.DUMMYFUNCTION("""COMPUTED_VALUE"""),"")</f>
        <v/>
      </c>
      <c r="W801" s="18" t="str">
        <f ca="1">IFERROR(__xludf.DUMMYFUNCTION("""COMPUTED_VALUE"""),"")</f>
        <v/>
      </c>
      <c r="X801" s="18" t="str">
        <f ca="1">IFERROR(__xludf.DUMMYFUNCTION("""COMPUTED_VALUE"""),"")</f>
        <v/>
      </c>
      <c r="Y801" s="18" t="e">
        <f ca="1"/>
        <v>#NAME?</v>
      </c>
      <c r="Z801" s="18" t="str">
        <f ca="1">IFERROR(__xludf.DUMMYFUNCTION("""COMPUTED_VALUE"""),"")</f>
        <v/>
      </c>
      <c r="AA801" s="18" t="str">
        <f ca="1">IFERROR(__xludf.DUMMYFUNCTION("""COMPUTED_VALUE"""),"")</f>
        <v/>
      </c>
      <c r="AC801" s="59"/>
    </row>
    <row r="802" spans="1:29" x14ac:dyDescent="0.25">
      <c r="A802" s="18">
        <v>0</v>
      </c>
      <c r="B802" s="52" t="str">
        <f ca="1"/>
        <v/>
      </c>
      <c r="C802" s="52" t="str">
        <f ca="1">IFERROR(__xludf.DUMMYFUNCTION("""COMPUTED_VALUE"""),"")</f>
        <v/>
      </c>
      <c r="D802" s="18" t="str">
        <f ca="1">IFERROR(__xludf.DUMMYFUNCTION("""COMPUTED_VALUE"""),"")</f>
        <v/>
      </c>
      <c r="E802" s="18" t="str">
        <f ca="1">IFERROR(__xludf.DUMMYFUNCTION("""COMPUTED_VALUE"""),"")</f>
        <v/>
      </c>
      <c r="F802" s="18" t="str">
        <f ca="1">IFERROR(__xludf.DUMMYFUNCTION("""COMPUTED_VALUE"""),"")</f>
        <v/>
      </c>
      <c r="G802" s="18" t="str">
        <f ca="1">IFERROR(__xludf.DUMMYFUNCTION("""COMPUTED_VALUE"""),"")</f>
        <v/>
      </c>
      <c r="H802" s="18" t="str">
        <f ca="1">IFERROR(__xludf.DUMMYFUNCTION("""COMPUTED_VALUE"""),"")</f>
        <v/>
      </c>
      <c r="I802" s="18" t="str">
        <f ca="1">IFERROR(__xludf.DUMMYFUNCTION("""COMPUTED_VALUE"""),"")</f>
        <v/>
      </c>
      <c r="J802" s="18" t="str">
        <f ca="1">IFERROR(__xludf.DUMMYFUNCTION("""COMPUTED_VALUE"""),"")</f>
        <v/>
      </c>
      <c r="K802" s="18" t="str">
        <f ca="1">IFERROR(__xludf.DUMMYFUNCTION("""COMPUTED_VALUE"""),"")</f>
        <v/>
      </c>
      <c r="L802" s="18" t="str">
        <f ca="1">IFERROR(__xludf.DUMMYFUNCTION("""COMPUTED_VALUE"""),"")</f>
        <v/>
      </c>
      <c r="M802" s="18" t="str">
        <f ca="1">IFERROR(__xludf.DUMMYFUNCTION("""COMPUTED_VALUE"""),"")</f>
        <v/>
      </c>
      <c r="N802" s="18" t="str">
        <f ca="1">IFERROR(__xludf.DUMMYFUNCTION("""COMPUTED_VALUE"""),"")</f>
        <v/>
      </c>
      <c r="O802" s="18" t="str">
        <f ca="1">IFERROR(__xludf.DUMMYFUNCTION("""COMPUTED_VALUE"""),"")</f>
        <v/>
      </c>
      <c r="P802" s="18" t="str">
        <f ca="1">IFERROR(__xludf.DUMMYFUNCTION("""COMPUTED_VALUE"""),"")</f>
        <v/>
      </c>
      <c r="Q802" s="18" t="str">
        <f ca="1">IFERROR(__xludf.DUMMYFUNCTION("""COMPUTED_VALUE"""),"")</f>
        <v/>
      </c>
      <c r="R802" s="18" t="str">
        <f ca="1">IFERROR(__xludf.DUMMYFUNCTION("""COMPUTED_VALUE"""),"")</f>
        <v/>
      </c>
      <c r="S802" s="18" t="str">
        <f ca="1">IFERROR(__xludf.DUMMYFUNCTION("""COMPUTED_VALUE"""),"")</f>
        <v/>
      </c>
      <c r="T802" s="18" t="str">
        <f ca="1">IFERROR(__xludf.DUMMYFUNCTION("""COMPUTED_VALUE"""),"")</f>
        <v/>
      </c>
      <c r="U802" s="18" t="str">
        <f ca="1">IFERROR(__xludf.DUMMYFUNCTION("""COMPUTED_VALUE"""),"")</f>
        <v/>
      </c>
      <c r="V802" s="18" t="str">
        <f ca="1">IFERROR(__xludf.DUMMYFUNCTION("""COMPUTED_VALUE"""),"")</f>
        <v/>
      </c>
      <c r="W802" s="18" t="str">
        <f ca="1">IFERROR(__xludf.DUMMYFUNCTION("""COMPUTED_VALUE"""),"")</f>
        <v/>
      </c>
      <c r="X802" s="18" t="str">
        <f ca="1">IFERROR(__xludf.DUMMYFUNCTION("""COMPUTED_VALUE"""),"")</f>
        <v/>
      </c>
      <c r="Y802" s="18" t="e">
        <f ca="1"/>
        <v>#NAME?</v>
      </c>
      <c r="Z802" s="18" t="str">
        <f ca="1">IFERROR(__xludf.DUMMYFUNCTION("""COMPUTED_VALUE"""),"")</f>
        <v/>
      </c>
      <c r="AA802" s="18" t="str">
        <f ca="1">IFERROR(__xludf.DUMMYFUNCTION("""COMPUTED_VALUE"""),"")</f>
        <v/>
      </c>
      <c r="AC802" s="59"/>
    </row>
    <row r="803" spans="1:29" x14ac:dyDescent="0.25">
      <c r="A803" s="18">
        <v>0</v>
      </c>
      <c r="B803" s="52" t="str">
        <f ca="1"/>
        <v/>
      </c>
      <c r="C803" s="52" t="str">
        <f ca="1">IFERROR(__xludf.DUMMYFUNCTION("""COMPUTED_VALUE"""),"")</f>
        <v/>
      </c>
      <c r="D803" s="18" t="str">
        <f ca="1">IFERROR(__xludf.DUMMYFUNCTION("""COMPUTED_VALUE"""),"")</f>
        <v/>
      </c>
      <c r="E803" s="18" t="str">
        <f ca="1">IFERROR(__xludf.DUMMYFUNCTION("""COMPUTED_VALUE"""),"")</f>
        <v/>
      </c>
      <c r="F803" s="18" t="str">
        <f ca="1">IFERROR(__xludf.DUMMYFUNCTION("""COMPUTED_VALUE"""),"")</f>
        <v/>
      </c>
      <c r="G803" s="18" t="str">
        <f ca="1">IFERROR(__xludf.DUMMYFUNCTION("""COMPUTED_VALUE"""),"")</f>
        <v/>
      </c>
      <c r="H803" s="18" t="str">
        <f ca="1">IFERROR(__xludf.DUMMYFUNCTION("""COMPUTED_VALUE"""),"")</f>
        <v/>
      </c>
      <c r="I803" s="18" t="str">
        <f ca="1">IFERROR(__xludf.DUMMYFUNCTION("""COMPUTED_VALUE"""),"")</f>
        <v/>
      </c>
      <c r="J803" s="18" t="str">
        <f ca="1">IFERROR(__xludf.DUMMYFUNCTION("""COMPUTED_VALUE"""),"")</f>
        <v/>
      </c>
      <c r="K803" s="18" t="str">
        <f ca="1">IFERROR(__xludf.DUMMYFUNCTION("""COMPUTED_VALUE"""),"")</f>
        <v/>
      </c>
      <c r="L803" s="18" t="str">
        <f ca="1">IFERROR(__xludf.DUMMYFUNCTION("""COMPUTED_VALUE"""),"")</f>
        <v/>
      </c>
      <c r="M803" s="18" t="str">
        <f ca="1">IFERROR(__xludf.DUMMYFUNCTION("""COMPUTED_VALUE"""),"")</f>
        <v/>
      </c>
      <c r="N803" s="18" t="str">
        <f ca="1">IFERROR(__xludf.DUMMYFUNCTION("""COMPUTED_VALUE"""),"")</f>
        <v/>
      </c>
      <c r="O803" s="18" t="str">
        <f ca="1">IFERROR(__xludf.DUMMYFUNCTION("""COMPUTED_VALUE"""),"")</f>
        <v/>
      </c>
      <c r="P803" s="18" t="str">
        <f ca="1">IFERROR(__xludf.DUMMYFUNCTION("""COMPUTED_VALUE"""),"")</f>
        <v/>
      </c>
      <c r="Q803" s="18" t="str">
        <f ca="1">IFERROR(__xludf.DUMMYFUNCTION("""COMPUTED_VALUE"""),"")</f>
        <v/>
      </c>
      <c r="R803" s="18" t="str">
        <f ca="1">IFERROR(__xludf.DUMMYFUNCTION("""COMPUTED_VALUE"""),"")</f>
        <v/>
      </c>
      <c r="S803" s="18" t="str">
        <f ca="1">IFERROR(__xludf.DUMMYFUNCTION("""COMPUTED_VALUE"""),"")</f>
        <v/>
      </c>
      <c r="T803" s="18" t="str">
        <f ca="1">IFERROR(__xludf.DUMMYFUNCTION("""COMPUTED_VALUE"""),"")</f>
        <v/>
      </c>
      <c r="U803" s="18" t="str">
        <f ca="1">IFERROR(__xludf.DUMMYFUNCTION("""COMPUTED_VALUE"""),"")</f>
        <v/>
      </c>
      <c r="V803" s="18" t="str">
        <f ca="1">IFERROR(__xludf.DUMMYFUNCTION("""COMPUTED_VALUE"""),"")</f>
        <v/>
      </c>
      <c r="W803" s="18" t="str">
        <f ca="1">IFERROR(__xludf.DUMMYFUNCTION("""COMPUTED_VALUE"""),"")</f>
        <v/>
      </c>
      <c r="X803" s="18" t="str">
        <f ca="1">IFERROR(__xludf.DUMMYFUNCTION("""COMPUTED_VALUE"""),"")</f>
        <v/>
      </c>
      <c r="Y803" s="18" t="e">
        <f ca="1"/>
        <v>#NAME?</v>
      </c>
      <c r="Z803" s="18" t="str">
        <f ca="1">IFERROR(__xludf.DUMMYFUNCTION("""COMPUTED_VALUE"""),"")</f>
        <v/>
      </c>
      <c r="AA803" s="18" t="str">
        <f ca="1">IFERROR(__xludf.DUMMYFUNCTION("""COMPUTED_VALUE"""),"")</f>
        <v/>
      </c>
      <c r="AC803" s="59"/>
    </row>
    <row r="804" spans="1:29" x14ac:dyDescent="0.25">
      <c r="A804" s="18">
        <v>0</v>
      </c>
      <c r="B804" s="52" t="str">
        <f ca="1"/>
        <v/>
      </c>
      <c r="C804" s="52" t="str">
        <f ca="1">IFERROR(__xludf.DUMMYFUNCTION("""COMPUTED_VALUE"""),"")</f>
        <v/>
      </c>
      <c r="D804" s="18" t="str">
        <f ca="1">IFERROR(__xludf.DUMMYFUNCTION("""COMPUTED_VALUE"""),"")</f>
        <v/>
      </c>
      <c r="E804" s="18" t="str">
        <f ca="1">IFERROR(__xludf.DUMMYFUNCTION("""COMPUTED_VALUE"""),"")</f>
        <v/>
      </c>
      <c r="F804" s="18" t="str">
        <f ca="1">IFERROR(__xludf.DUMMYFUNCTION("""COMPUTED_VALUE"""),"")</f>
        <v/>
      </c>
      <c r="G804" s="18" t="str">
        <f ca="1">IFERROR(__xludf.DUMMYFUNCTION("""COMPUTED_VALUE"""),"")</f>
        <v/>
      </c>
      <c r="H804" s="18" t="str">
        <f ca="1">IFERROR(__xludf.DUMMYFUNCTION("""COMPUTED_VALUE"""),"")</f>
        <v/>
      </c>
      <c r="I804" s="18" t="str">
        <f ca="1">IFERROR(__xludf.DUMMYFUNCTION("""COMPUTED_VALUE"""),"")</f>
        <v/>
      </c>
      <c r="J804" s="18" t="str">
        <f ca="1">IFERROR(__xludf.DUMMYFUNCTION("""COMPUTED_VALUE"""),"")</f>
        <v/>
      </c>
      <c r="K804" s="18" t="str">
        <f ca="1">IFERROR(__xludf.DUMMYFUNCTION("""COMPUTED_VALUE"""),"")</f>
        <v/>
      </c>
      <c r="L804" s="18" t="str">
        <f ca="1">IFERROR(__xludf.DUMMYFUNCTION("""COMPUTED_VALUE"""),"")</f>
        <v/>
      </c>
      <c r="M804" s="18" t="str">
        <f ca="1">IFERROR(__xludf.DUMMYFUNCTION("""COMPUTED_VALUE"""),"")</f>
        <v/>
      </c>
      <c r="N804" s="18" t="str">
        <f ca="1">IFERROR(__xludf.DUMMYFUNCTION("""COMPUTED_VALUE"""),"")</f>
        <v/>
      </c>
      <c r="O804" s="18" t="str">
        <f ca="1">IFERROR(__xludf.DUMMYFUNCTION("""COMPUTED_VALUE"""),"")</f>
        <v/>
      </c>
      <c r="P804" s="18" t="str">
        <f ca="1">IFERROR(__xludf.DUMMYFUNCTION("""COMPUTED_VALUE"""),"")</f>
        <v/>
      </c>
      <c r="Q804" s="18" t="str">
        <f ca="1">IFERROR(__xludf.DUMMYFUNCTION("""COMPUTED_VALUE"""),"")</f>
        <v/>
      </c>
      <c r="R804" s="18" t="str">
        <f ca="1">IFERROR(__xludf.DUMMYFUNCTION("""COMPUTED_VALUE"""),"")</f>
        <v/>
      </c>
      <c r="S804" s="18" t="str">
        <f ca="1">IFERROR(__xludf.DUMMYFUNCTION("""COMPUTED_VALUE"""),"")</f>
        <v/>
      </c>
      <c r="T804" s="18" t="str">
        <f ca="1">IFERROR(__xludf.DUMMYFUNCTION("""COMPUTED_VALUE"""),"")</f>
        <v/>
      </c>
      <c r="U804" s="18" t="str">
        <f ca="1">IFERROR(__xludf.DUMMYFUNCTION("""COMPUTED_VALUE"""),"")</f>
        <v/>
      </c>
      <c r="V804" s="18" t="str">
        <f ca="1">IFERROR(__xludf.DUMMYFUNCTION("""COMPUTED_VALUE"""),"")</f>
        <v/>
      </c>
      <c r="W804" s="18" t="str">
        <f ca="1">IFERROR(__xludf.DUMMYFUNCTION("""COMPUTED_VALUE"""),"")</f>
        <v/>
      </c>
      <c r="X804" s="18" t="str">
        <f ca="1">IFERROR(__xludf.DUMMYFUNCTION("""COMPUTED_VALUE"""),"")</f>
        <v/>
      </c>
      <c r="Y804" s="18" t="e">
        <f ca="1"/>
        <v>#NAME?</v>
      </c>
      <c r="Z804" s="18" t="str">
        <f ca="1">IFERROR(__xludf.DUMMYFUNCTION("""COMPUTED_VALUE"""),"")</f>
        <v/>
      </c>
      <c r="AA804" s="18" t="str">
        <f ca="1">IFERROR(__xludf.DUMMYFUNCTION("""COMPUTED_VALUE"""),"")</f>
        <v/>
      </c>
      <c r="AC804" s="59"/>
    </row>
    <row r="805" spans="1:29" x14ac:dyDescent="0.25">
      <c r="A805" s="18">
        <v>0</v>
      </c>
      <c r="B805" s="52" t="str">
        <f ca="1"/>
        <v/>
      </c>
      <c r="C805" s="52" t="str">
        <f ca="1">IFERROR(__xludf.DUMMYFUNCTION("""COMPUTED_VALUE"""),"")</f>
        <v/>
      </c>
      <c r="D805" s="18" t="str">
        <f ca="1">IFERROR(__xludf.DUMMYFUNCTION("""COMPUTED_VALUE"""),"")</f>
        <v/>
      </c>
      <c r="E805" s="18" t="str">
        <f ca="1">IFERROR(__xludf.DUMMYFUNCTION("""COMPUTED_VALUE"""),"")</f>
        <v/>
      </c>
      <c r="F805" s="18" t="str">
        <f ca="1">IFERROR(__xludf.DUMMYFUNCTION("""COMPUTED_VALUE"""),"")</f>
        <v/>
      </c>
      <c r="G805" s="18" t="str">
        <f ca="1">IFERROR(__xludf.DUMMYFUNCTION("""COMPUTED_VALUE"""),"")</f>
        <v/>
      </c>
      <c r="H805" s="18" t="str">
        <f ca="1">IFERROR(__xludf.DUMMYFUNCTION("""COMPUTED_VALUE"""),"")</f>
        <v/>
      </c>
      <c r="I805" s="18" t="str">
        <f ca="1">IFERROR(__xludf.DUMMYFUNCTION("""COMPUTED_VALUE"""),"")</f>
        <v/>
      </c>
      <c r="J805" s="18" t="str">
        <f ca="1">IFERROR(__xludf.DUMMYFUNCTION("""COMPUTED_VALUE"""),"")</f>
        <v/>
      </c>
      <c r="K805" s="18" t="str">
        <f ca="1">IFERROR(__xludf.DUMMYFUNCTION("""COMPUTED_VALUE"""),"")</f>
        <v/>
      </c>
      <c r="L805" s="18" t="str">
        <f ca="1">IFERROR(__xludf.DUMMYFUNCTION("""COMPUTED_VALUE"""),"")</f>
        <v/>
      </c>
      <c r="M805" s="18" t="str">
        <f ca="1">IFERROR(__xludf.DUMMYFUNCTION("""COMPUTED_VALUE"""),"")</f>
        <v/>
      </c>
      <c r="N805" s="18" t="str">
        <f ca="1">IFERROR(__xludf.DUMMYFUNCTION("""COMPUTED_VALUE"""),"")</f>
        <v/>
      </c>
      <c r="O805" s="18" t="str">
        <f ca="1">IFERROR(__xludf.DUMMYFUNCTION("""COMPUTED_VALUE"""),"")</f>
        <v/>
      </c>
      <c r="P805" s="18" t="str">
        <f ca="1">IFERROR(__xludf.DUMMYFUNCTION("""COMPUTED_VALUE"""),"")</f>
        <v/>
      </c>
      <c r="Q805" s="18" t="str">
        <f ca="1">IFERROR(__xludf.DUMMYFUNCTION("""COMPUTED_VALUE"""),"")</f>
        <v/>
      </c>
      <c r="R805" s="18" t="str">
        <f ca="1">IFERROR(__xludf.DUMMYFUNCTION("""COMPUTED_VALUE"""),"")</f>
        <v/>
      </c>
      <c r="S805" s="18" t="str">
        <f ca="1">IFERROR(__xludf.DUMMYFUNCTION("""COMPUTED_VALUE"""),"")</f>
        <v/>
      </c>
      <c r="T805" s="18" t="str">
        <f ca="1">IFERROR(__xludf.DUMMYFUNCTION("""COMPUTED_VALUE"""),"")</f>
        <v/>
      </c>
      <c r="U805" s="18" t="str">
        <f ca="1">IFERROR(__xludf.DUMMYFUNCTION("""COMPUTED_VALUE"""),"")</f>
        <v/>
      </c>
      <c r="V805" s="18" t="str">
        <f ca="1">IFERROR(__xludf.DUMMYFUNCTION("""COMPUTED_VALUE"""),"")</f>
        <v/>
      </c>
      <c r="W805" s="18" t="str">
        <f ca="1">IFERROR(__xludf.DUMMYFUNCTION("""COMPUTED_VALUE"""),"")</f>
        <v/>
      </c>
      <c r="X805" s="18" t="str">
        <f ca="1">IFERROR(__xludf.DUMMYFUNCTION("""COMPUTED_VALUE"""),"")</f>
        <v/>
      </c>
      <c r="Y805" s="18" t="e">
        <f ca="1"/>
        <v>#NAME?</v>
      </c>
      <c r="Z805" s="18" t="str">
        <f ca="1">IFERROR(__xludf.DUMMYFUNCTION("""COMPUTED_VALUE"""),"")</f>
        <v/>
      </c>
      <c r="AA805" s="18" t="str">
        <f ca="1">IFERROR(__xludf.DUMMYFUNCTION("""COMPUTED_VALUE"""),"")</f>
        <v/>
      </c>
      <c r="AC805" s="59"/>
    </row>
    <row r="806" spans="1:29" x14ac:dyDescent="0.25">
      <c r="A806" s="18">
        <v>0</v>
      </c>
      <c r="B806" s="52" t="str">
        <f ca="1"/>
        <v/>
      </c>
      <c r="C806" s="52" t="str">
        <f ca="1">IFERROR(__xludf.DUMMYFUNCTION("""COMPUTED_VALUE"""),"")</f>
        <v/>
      </c>
      <c r="D806" s="18" t="str">
        <f ca="1">IFERROR(__xludf.DUMMYFUNCTION("""COMPUTED_VALUE"""),"")</f>
        <v/>
      </c>
      <c r="E806" s="18" t="str">
        <f ca="1">IFERROR(__xludf.DUMMYFUNCTION("""COMPUTED_VALUE"""),"")</f>
        <v/>
      </c>
      <c r="F806" s="18" t="str">
        <f ca="1">IFERROR(__xludf.DUMMYFUNCTION("""COMPUTED_VALUE"""),"")</f>
        <v/>
      </c>
      <c r="G806" s="18" t="str">
        <f ca="1">IFERROR(__xludf.DUMMYFUNCTION("""COMPUTED_VALUE"""),"")</f>
        <v/>
      </c>
      <c r="H806" s="18" t="str">
        <f ca="1">IFERROR(__xludf.DUMMYFUNCTION("""COMPUTED_VALUE"""),"")</f>
        <v/>
      </c>
      <c r="I806" s="18" t="str">
        <f ca="1">IFERROR(__xludf.DUMMYFUNCTION("""COMPUTED_VALUE"""),"")</f>
        <v/>
      </c>
      <c r="J806" s="18" t="str">
        <f ca="1">IFERROR(__xludf.DUMMYFUNCTION("""COMPUTED_VALUE"""),"")</f>
        <v/>
      </c>
      <c r="K806" s="18" t="str">
        <f ca="1">IFERROR(__xludf.DUMMYFUNCTION("""COMPUTED_VALUE"""),"")</f>
        <v/>
      </c>
      <c r="L806" s="18" t="str">
        <f ca="1">IFERROR(__xludf.DUMMYFUNCTION("""COMPUTED_VALUE"""),"")</f>
        <v/>
      </c>
      <c r="M806" s="18" t="str">
        <f ca="1">IFERROR(__xludf.DUMMYFUNCTION("""COMPUTED_VALUE"""),"")</f>
        <v/>
      </c>
      <c r="N806" s="18" t="str">
        <f ca="1">IFERROR(__xludf.DUMMYFUNCTION("""COMPUTED_VALUE"""),"")</f>
        <v/>
      </c>
      <c r="O806" s="18" t="str">
        <f ca="1">IFERROR(__xludf.DUMMYFUNCTION("""COMPUTED_VALUE"""),"")</f>
        <v/>
      </c>
      <c r="P806" s="18" t="str">
        <f ca="1">IFERROR(__xludf.DUMMYFUNCTION("""COMPUTED_VALUE"""),"")</f>
        <v/>
      </c>
      <c r="Q806" s="18" t="str">
        <f ca="1">IFERROR(__xludf.DUMMYFUNCTION("""COMPUTED_VALUE"""),"")</f>
        <v/>
      </c>
      <c r="R806" s="18" t="str">
        <f ca="1">IFERROR(__xludf.DUMMYFUNCTION("""COMPUTED_VALUE"""),"")</f>
        <v/>
      </c>
      <c r="S806" s="18" t="str">
        <f ca="1">IFERROR(__xludf.DUMMYFUNCTION("""COMPUTED_VALUE"""),"")</f>
        <v/>
      </c>
      <c r="T806" s="18" t="str">
        <f ca="1">IFERROR(__xludf.DUMMYFUNCTION("""COMPUTED_VALUE"""),"")</f>
        <v/>
      </c>
      <c r="U806" s="18" t="str">
        <f ca="1">IFERROR(__xludf.DUMMYFUNCTION("""COMPUTED_VALUE"""),"")</f>
        <v/>
      </c>
      <c r="V806" s="18" t="str">
        <f ca="1">IFERROR(__xludf.DUMMYFUNCTION("""COMPUTED_VALUE"""),"")</f>
        <v/>
      </c>
      <c r="W806" s="18" t="str">
        <f ca="1">IFERROR(__xludf.DUMMYFUNCTION("""COMPUTED_VALUE"""),"")</f>
        <v/>
      </c>
      <c r="X806" s="18" t="str">
        <f ca="1">IFERROR(__xludf.DUMMYFUNCTION("""COMPUTED_VALUE"""),"")</f>
        <v/>
      </c>
      <c r="Y806" s="18" t="e">
        <f ca="1"/>
        <v>#NAME?</v>
      </c>
      <c r="Z806" s="18" t="str">
        <f ca="1">IFERROR(__xludf.DUMMYFUNCTION("""COMPUTED_VALUE"""),"")</f>
        <v/>
      </c>
      <c r="AA806" s="18" t="str">
        <f ca="1">IFERROR(__xludf.DUMMYFUNCTION("""COMPUTED_VALUE"""),"")</f>
        <v/>
      </c>
      <c r="AC806" s="59"/>
    </row>
    <row r="807" spans="1:29" x14ac:dyDescent="0.25">
      <c r="A807" s="18">
        <v>0</v>
      </c>
      <c r="B807" s="52" t="str">
        <f ca="1"/>
        <v/>
      </c>
      <c r="C807" s="52" t="str">
        <f ca="1">IFERROR(__xludf.DUMMYFUNCTION("""COMPUTED_VALUE"""),"")</f>
        <v/>
      </c>
      <c r="D807" s="18" t="str">
        <f ca="1">IFERROR(__xludf.DUMMYFUNCTION("""COMPUTED_VALUE"""),"")</f>
        <v/>
      </c>
      <c r="E807" s="18" t="str">
        <f ca="1">IFERROR(__xludf.DUMMYFUNCTION("""COMPUTED_VALUE"""),"")</f>
        <v/>
      </c>
      <c r="F807" s="18" t="str">
        <f ca="1">IFERROR(__xludf.DUMMYFUNCTION("""COMPUTED_VALUE"""),"")</f>
        <v/>
      </c>
      <c r="G807" s="18" t="str">
        <f ca="1">IFERROR(__xludf.DUMMYFUNCTION("""COMPUTED_VALUE"""),"")</f>
        <v/>
      </c>
      <c r="H807" s="18" t="str">
        <f ca="1">IFERROR(__xludf.DUMMYFUNCTION("""COMPUTED_VALUE"""),"")</f>
        <v/>
      </c>
      <c r="I807" s="18" t="str">
        <f ca="1">IFERROR(__xludf.DUMMYFUNCTION("""COMPUTED_VALUE"""),"")</f>
        <v/>
      </c>
      <c r="J807" s="18" t="str">
        <f ca="1">IFERROR(__xludf.DUMMYFUNCTION("""COMPUTED_VALUE"""),"")</f>
        <v/>
      </c>
      <c r="K807" s="18" t="str">
        <f ca="1">IFERROR(__xludf.DUMMYFUNCTION("""COMPUTED_VALUE"""),"")</f>
        <v/>
      </c>
      <c r="L807" s="18" t="str">
        <f ca="1">IFERROR(__xludf.DUMMYFUNCTION("""COMPUTED_VALUE"""),"")</f>
        <v/>
      </c>
      <c r="M807" s="18" t="str">
        <f ca="1">IFERROR(__xludf.DUMMYFUNCTION("""COMPUTED_VALUE"""),"")</f>
        <v/>
      </c>
      <c r="N807" s="18" t="str">
        <f ca="1">IFERROR(__xludf.DUMMYFUNCTION("""COMPUTED_VALUE"""),"")</f>
        <v/>
      </c>
      <c r="O807" s="18" t="str">
        <f ca="1">IFERROR(__xludf.DUMMYFUNCTION("""COMPUTED_VALUE"""),"")</f>
        <v/>
      </c>
      <c r="P807" s="18" t="str">
        <f ca="1">IFERROR(__xludf.DUMMYFUNCTION("""COMPUTED_VALUE"""),"")</f>
        <v/>
      </c>
      <c r="Q807" s="18" t="str">
        <f ca="1">IFERROR(__xludf.DUMMYFUNCTION("""COMPUTED_VALUE"""),"")</f>
        <v/>
      </c>
      <c r="R807" s="18" t="str">
        <f ca="1">IFERROR(__xludf.DUMMYFUNCTION("""COMPUTED_VALUE"""),"")</f>
        <v/>
      </c>
      <c r="S807" s="18" t="str">
        <f ca="1">IFERROR(__xludf.DUMMYFUNCTION("""COMPUTED_VALUE"""),"")</f>
        <v/>
      </c>
      <c r="T807" s="18" t="str">
        <f ca="1">IFERROR(__xludf.DUMMYFUNCTION("""COMPUTED_VALUE"""),"")</f>
        <v/>
      </c>
      <c r="U807" s="18" t="str">
        <f ca="1">IFERROR(__xludf.DUMMYFUNCTION("""COMPUTED_VALUE"""),"")</f>
        <v/>
      </c>
      <c r="V807" s="18" t="str">
        <f ca="1">IFERROR(__xludf.DUMMYFUNCTION("""COMPUTED_VALUE"""),"")</f>
        <v/>
      </c>
      <c r="W807" s="18" t="str">
        <f ca="1">IFERROR(__xludf.DUMMYFUNCTION("""COMPUTED_VALUE"""),"")</f>
        <v/>
      </c>
      <c r="X807" s="18" t="str">
        <f ca="1">IFERROR(__xludf.DUMMYFUNCTION("""COMPUTED_VALUE"""),"")</f>
        <v/>
      </c>
      <c r="Y807" s="18" t="e">
        <f ca="1"/>
        <v>#NAME?</v>
      </c>
      <c r="Z807" s="18" t="str">
        <f ca="1">IFERROR(__xludf.DUMMYFUNCTION("""COMPUTED_VALUE"""),"")</f>
        <v/>
      </c>
      <c r="AA807" s="18" t="str">
        <f ca="1">IFERROR(__xludf.DUMMYFUNCTION("""COMPUTED_VALUE"""),"")</f>
        <v/>
      </c>
      <c r="AC807" s="59"/>
    </row>
    <row r="808" spans="1:29" x14ac:dyDescent="0.25">
      <c r="A808" s="18">
        <v>0</v>
      </c>
      <c r="B808" s="52" t="str">
        <f ca="1"/>
        <v/>
      </c>
      <c r="C808" s="52" t="str">
        <f ca="1">IFERROR(__xludf.DUMMYFUNCTION("""COMPUTED_VALUE"""),"")</f>
        <v/>
      </c>
      <c r="D808" s="18" t="str">
        <f ca="1">IFERROR(__xludf.DUMMYFUNCTION("""COMPUTED_VALUE"""),"")</f>
        <v/>
      </c>
      <c r="E808" s="18" t="str">
        <f ca="1">IFERROR(__xludf.DUMMYFUNCTION("""COMPUTED_VALUE"""),"")</f>
        <v/>
      </c>
      <c r="F808" s="18" t="str">
        <f ca="1">IFERROR(__xludf.DUMMYFUNCTION("""COMPUTED_VALUE"""),"")</f>
        <v/>
      </c>
      <c r="G808" s="18" t="str">
        <f ca="1">IFERROR(__xludf.DUMMYFUNCTION("""COMPUTED_VALUE"""),"")</f>
        <v/>
      </c>
      <c r="H808" s="18" t="str">
        <f ca="1">IFERROR(__xludf.DUMMYFUNCTION("""COMPUTED_VALUE"""),"")</f>
        <v/>
      </c>
      <c r="I808" s="18" t="str">
        <f ca="1">IFERROR(__xludf.DUMMYFUNCTION("""COMPUTED_VALUE"""),"")</f>
        <v/>
      </c>
      <c r="J808" s="18" t="str">
        <f ca="1">IFERROR(__xludf.DUMMYFUNCTION("""COMPUTED_VALUE"""),"")</f>
        <v/>
      </c>
      <c r="K808" s="18" t="str">
        <f ca="1">IFERROR(__xludf.DUMMYFUNCTION("""COMPUTED_VALUE"""),"")</f>
        <v/>
      </c>
      <c r="L808" s="18" t="str">
        <f ca="1">IFERROR(__xludf.DUMMYFUNCTION("""COMPUTED_VALUE"""),"")</f>
        <v/>
      </c>
      <c r="M808" s="18" t="str">
        <f ca="1">IFERROR(__xludf.DUMMYFUNCTION("""COMPUTED_VALUE"""),"")</f>
        <v/>
      </c>
      <c r="N808" s="18" t="str">
        <f ca="1">IFERROR(__xludf.DUMMYFUNCTION("""COMPUTED_VALUE"""),"")</f>
        <v/>
      </c>
      <c r="O808" s="18" t="str">
        <f ca="1">IFERROR(__xludf.DUMMYFUNCTION("""COMPUTED_VALUE"""),"")</f>
        <v/>
      </c>
      <c r="P808" s="18" t="str">
        <f ca="1">IFERROR(__xludf.DUMMYFUNCTION("""COMPUTED_VALUE"""),"")</f>
        <v/>
      </c>
      <c r="Q808" s="18" t="str">
        <f ca="1">IFERROR(__xludf.DUMMYFUNCTION("""COMPUTED_VALUE"""),"")</f>
        <v/>
      </c>
      <c r="R808" s="18" t="str">
        <f ca="1">IFERROR(__xludf.DUMMYFUNCTION("""COMPUTED_VALUE"""),"")</f>
        <v/>
      </c>
      <c r="S808" s="18" t="str">
        <f ca="1">IFERROR(__xludf.DUMMYFUNCTION("""COMPUTED_VALUE"""),"")</f>
        <v/>
      </c>
      <c r="T808" s="18" t="str">
        <f ca="1">IFERROR(__xludf.DUMMYFUNCTION("""COMPUTED_VALUE"""),"")</f>
        <v/>
      </c>
      <c r="U808" s="18" t="str">
        <f ca="1">IFERROR(__xludf.DUMMYFUNCTION("""COMPUTED_VALUE"""),"")</f>
        <v/>
      </c>
      <c r="V808" s="18" t="str">
        <f ca="1">IFERROR(__xludf.DUMMYFUNCTION("""COMPUTED_VALUE"""),"")</f>
        <v/>
      </c>
      <c r="W808" s="18" t="str">
        <f ca="1">IFERROR(__xludf.DUMMYFUNCTION("""COMPUTED_VALUE"""),"")</f>
        <v/>
      </c>
      <c r="X808" s="18" t="str">
        <f ca="1">IFERROR(__xludf.DUMMYFUNCTION("""COMPUTED_VALUE"""),"")</f>
        <v/>
      </c>
      <c r="Y808" s="18" t="e">
        <f ca="1"/>
        <v>#NAME?</v>
      </c>
      <c r="Z808" s="18" t="str">
        <f ca="1">IFERROR(__xludf.DUMMYFUNCTION("""COMPUTED_VALUE"""),"")</f>
        <v/>
      </c>
      <c r="AA808" s="18" t="str">
        <f ca="1">IFERROR(__xludf.DUMMYFUNCTION("""COMPUTED_VALUE"""),"")</f>
        <v/>
      </c>
      <c r="AC808" s="59"/>
    </row>
    <row r="809" spans="1:29" x14ac:dyDescent="0.25">
      <c r="A809" s="18">
        <v>0</v>
      </c>
      <c r="B809" s="52" t="str">
        <f ca="1"/>
        <v/>
      </c>
      <c r="C809" s="52" t="str">
        <f ca="1">IFERROR(__xludf.DUMMYFUNCTION("""COMPUTED_VALUE"""),"")</f>
        <v/>
      </c>
      <c r="D809" s="18" t="str">
        <f ca="1">IFERROR(__xludf.DUMMYFUNCTION("""COMPUTED_VALUE"""),"")</f>
        <v/>
      </c>
      <c r="E809" s="18" t="str">
        <f ca="1">IFERROR(__xludf.DUMMYFUNCTION("""COMPUTED_VALUE"""),"")</f>
        <v/>
      </c>
      <c r="F809" s="18" t="str">
        <f ca="1">IFERROR(__xludf.DUMMYFUNCTION("""COMPUTED_VALUE"""),"")</f>
        <v/>
      </c>
      <c r="G809" s="18" t="str">
        <f ca="1">IFERROR(__xludf.DUMMYFUNCTION("""COMPUTED_VALUE"""),"")</f>
        <v/>
      </c>
      <c r="H809" s="18" t="str">
        <f ca="1">IFERROR(__xludf.DUMMYFUNCTION("""COMPUTED_VALUE"""),"")</f>
        <v/>
      </c>
      <c r="I809" s="18" t="str">
        <f ca="1">IFERROR(__xludf.DUMMYFUNCTION("""COMPUTED_VALUE"""),"")</f>
        <v/>
      </c>
      <c r="J809" s="18" t="str">
        <f ca="1">IFERROR(__xludf.DUMMYFUNCTION("""COMPUTED_VALUE"""),"")</f>
        <v/>
      </c>
      <c r="K809" s="18" t="str">
        <f ca="1">IFERROR(__xludf.DUMMYFUNCTION("""COMPUTED_VALUE"""),"")</f>
        <v/>
      </c>
      <c r="L809" s="18" t="str">
        <f ca="1">IFERROR(__xludf.DUMMYFUNCTION("""COMPUTED_VALUE"""),"")</f>
        <v/>
      </c>
      <c r="M809" s="18" t="str">
        <f ca="1">IFERROR(__xludf.DUMMYFUNCTION("""COMPUTED_VALUE"""),"")</f>
        <v/>
      </c>
      <c r="N809" s="18" t="str">
        <f ca="1">IFERROR(__xludf.DUMMYFUNCTION("""COMPUTED_VALUE"""),"")</f>
        <v/>
      </c>
      <c r="O809" s="18" t="str">
        <f ca="1">IFERROR(__xludf.DUMMYFUNCTION("""COMPUTED_VALUE"""),"")</f>
        <v/>
      </c>
      <c r="P809" s="18" t="str">
        <f ca="1">IFERROR(__xludf.DUMMYFUNCTION("""COMPUTED_VALUE"""),"")</f>
        <v/>
      </c>
      <c r="Q809" s="18" t="str">
        <f ca="1">IFERROR(__xludf.DUMMYFUNCTION("""COMPUTED_VALUE"""),"")</f>
        <v/>
      </c>
      <c r="R809" s="18" t="str">
        <f ca="1">IFERROR(__xludf.DUMMYFUNCTION("""COMPUTED_VALUE"""),"")</f>
        <v/>
      </c>
      <c r="S809" s="18" t="str">
        <f ca="1">IFERROR(__xludf.DUMMYFUNCTION("""COMPUTED_VALUE"""),"")</f>
        <v/>
      </c>
      <c r="T809" s="18" t="str">
        <f ca="1">IFERROR(__xludf.DUMMYFUNCTION("""COMPUTED_VALUE"""),"")</f>
        <v/>
      </c>
      <c r="U809" s="18" t="str">
        <f ca="1">IFERROR(__xludf.DUMMYFUNCTION("""COMPUTED_VALUE"""),"")</f>
        <v/>
      </c>
      <c r="V809" s="18" t="str">
        <f ca="1">IFERROR(__xludf.DUMMYFUNCTION("""COMPUTED_VALUE"""),"")</f>
        <v/>
      </c>
      <c r="W809" s="18" t="str">
        <f ca="1">IFERROR(__xludf.DUMMYFUNCTION("""COMPUTED_VALUE"""),"")</f>
        <v/>
      </c>
      <c r="X809" s="18" t="str">
        <f ca="1">IFERROR(__xludf.DUMMYFUNCTION("""COMPUTED_VALUE"""),"")</f>
        <v/>
      </c>
      <c r="Y809" s="18" t="e">
        <f ca="1"/>
        <v>#NAME?</v>
      </c>
      <c r="Z809" s="18" t="str">
        <f ca="1">IFERROR(__xludf.DUMMYFUNCTION("""COMPUTED_VALUE"""),"")</f>
        <v/>
      </c>
      <c r="AA809" s="18" t="str">
        <f ca="1">IFERROR(__xludf.DUMMYFUNCTION("""COMPUTED_VALUE"""),"")</f>
        <v/>
      </c>
      <c r="AC809" s="59"/>
    </row>
    <row r="810" spans="1:29" x14ac:dyDescent="0.25">
      <c r="A810" s="18">
        <v>0</v>
      </c>
      <c r="B810" s="52" t="str">
        <f ca="1"/>
        <v/>
      </c>
      <c r="C810" s="52" t="str">
        <f ca="1">IFERROR(__xludf.DUMMYFUNCTION("""COMPUTED_VALUE"""),"")</f>
        <v/>
      </c>
      <c r="D810" s="18" t="str">
        <f ca="1">IFERROR(__xludf.DUMMYFUNCTION("""COMPUTED_VALUE"""),"")</f>
        <v/>
      </c>
      <c r="E810" s="18" t="str">
        <f ca="1">IFERROR(__xludf.DUMMYFUNCTION("""COMPUTED_VALUE"""),"")</f>
        <v/>
      </c>
      <c r="F810" s="18" t="str">
        <f ca="1">IFERROR(__xludf.DUMMYFUNCTION("""COMPUTED_VALUE"""),"")</f>
        <v/>
      </c>
      <c r="G810" s="18" t="str">
        <f ca="1">IFERROR(__xludf.DUMMYFUNCTION("""COMPUTED_VALUE"""),"")</f>
        <v/>
      </c>
      <c r="H810" s="18" t="str">
        <f ca="1">IFERROR(__xludf.DUMMYFUNCTION("""COMPUTED_VALUE"""),"")</f>
        <v/>
      </c>
      <c r="I810" s="18" t="str">
        <f ca="1">IFERROR(__xludf.DUMMYFUNCTION("""COMPUTED_VALUE"""),"")</f>
        <v/>
      </c>
      <c r="J810" s="18" t="str">
        <f ca="1">IFERROR(__xludf.DUMMYFUNCTION("""COMPUTED_VALUE"""),"")</f>
        <v/>
      </c>
      <c r="K810" s="18" t="str">
        <f ca="1">IFERROR(__xludf.DUMMYFUNCTION("""COMPUTED_VALUE"""),"")</f>
        <v/>
      </c>
      <c r="L810" s="18" t="str">
        <f ca="1">IFERROR(__xludf.DUMMYFUNCTION("""COMPUTED_VALUE"""),"")</f>
        <v/>
      </c>
      <c r="M810" s="18" t="str">
        <f ca="1">IFERROR(__xludf.DUMMYFUNCTION("""COMPUTED_VALUE"""),"")</f>
        <v/>
      </c>
      <c r="N810" s="18" t="str">
        <f ca="1">IFERROR(__xludf.DUMMYFUNCTION("""COMPUTED_VALUE"""),"")</f>
        <v/>
      </c>
      <c r="O810" s="18" t="str">
        <f ca="1">IFERROR(__xludf.DUMMYFUNCTION("""COMPUTED_VALUE"""),"")</f>
        <v/>
      </c>
      <c r="P810" s="18" t="str">
        <f ca="1">IFERROR(__xludf.DUMMYFUNCTION("""COMPUTED_VALUE"""),"")</f>
        <v/>
      </c>
      <c r="Q810" s="18" t="str">
        <f ca="1">IFERROR(__xludf.DUMMYFUNCTION("""COMPUTED_VALUE"""),"")</f>
        <v/>
      </c>
      <c r="R810" s="18" t="str">
        <f ca="1">IFERROR(__xludf.DUMMYFUNCTION("""COMPUTED_VALUE"""),"")</f>
        <v/>
      </c>
      <c r="S810" s="18" t="str">
        <f ca="1">IFERROR(__xludf.DUMMYFUNCTION("""COMPUTED_VALUE"""),"")</f>
        <v/>
      </c>
      <c r="T810" s="18" t="str">
        <f ca="1">IFERROR(__xludf.DUMMYFUNCTION("""COMPUTED_VALUE"""),"")</f>
        <v/>
      </c>
      <c r="U810" s="18" t="str">
        <f ca="1">IFERROR(__xludf.DUMMYFUNCTION("""COMPUTED_VALUE"""),"")</f>
        <v/>
      </c>
      <c r="V810" s="18" t="str">
        <f ca="1">IFERROR(__xludf.DUMMYFUNCTION("""COMPUTED_VALUE"""),"")</f>
        <v/>
      </c>
      <c r="W810" s="18" t="str">
        <f ca="1">IFERROR(__xludf.DUMMYFUNCTION("""COMPUTED_VALUE"""),"")</f>
        <v/>
      </c>
      <c r="X810" s="18" t="str">
        <f ca="1">IFERROR(__xludf.DUMMYFUNCTION("""COMPUTED_VALUE"""),"")</f>
        <v/>
      </c>
      <c r="Y810" s="18" t="e">
        <f ca="1"/>
        <v>#NAME?</v>
      </c>
      <c r="Z810" s="18" t="str">
        <f ca="1">IFERROR(__xludf.DUMMYFUNCTION("""COMPUTED_VALUE"""),"")</f>
        <v/>
      </c>
      <c r="AA810" s="18" t="str">
        <f ca="1">IFERROR(__xludf.DUMMYFUNCTION("""COMPUTED_VALUE"""),"")</f>
        <v/>
      </c>
      <c r="AC810" s="59"/>
    </row>
    <row r="811" spans="1:29" x14ac:dyDescent="0.25">
      <c r="A811" s="18">
        <v>0</v>
      </c>
      <c r="B811" s="52" t="str">
        <f ca="1"/>
        <v/>
      </c>
      <c r="C811" s="52" t="str">
        <f ca="1">IFERROR(__xludf.DUMMYFUNCTION("""COMPUTED_VALUE"""),"")</f>
        <v/>
      </c>
      <c r="D811" s="18" t="str">
        <f ca="1">IFERROR(__xludf.DUMMYFUNCTION("""COMPUTED_VALUE"""),"")</f>
        <v/>
      </c>
      <c r="E811" s="18" t="str">
        <f ca="1">IFERROR(__xludf.DUMMYFUNCTION("""COMPUTED_VALUE"""),"")</f>
        <v/>
      </c>
      <c r="F811" s="18" t="str">
        <f ca="1">IFERROR(__xludf.DUMMYFUNCTION("""COMPUTED_VALUE"""),"")</f>
        <v/>
      </c>
      <c r="G811" s="18" t="str">
        <f ca="1">IFERROR(__xludf.DUMMYFUNCTION("""COMPUTED_VALUE"""),"")</f>
        <v/>
      </c>
      <c r="H811" s="18" t="str">
        <f ca="1">IFERROR(__xludf.DUMMYFUNCTION("""COMPUTED_VALUE"""),"")</f>
        <v/>
      </c>
      <c r="I811" s="18" t="str">
        <f ca="1">IFERROR(__xludf.DUMMYFUNCTION("""COMPUTED_VALUE"""),"")</f>
        <v/>
      </c>
      <c r="J811" s="18" t="str">
        <f ca="1">IFERROR(__xludf.DUMMYFUNCTION("""COMPUTED_VALUE"""),"")</f>
        <v/>
      </c>
      <c r="K811" s="18" t="str">
        <f ca="1">IFERROR(__xludf.DUMMYFUNCTION("""COMPUTED_VALUE"""),"")</f>
        <v/>
      </c>
      <c r="L811" s="18" t="str">
        <f ca="1">IFERROR(__xludf.DUMMYFUNCTION("""COMPUTED_VALUE"""),"")</f>
        <v/>
      </c>
      <c r="M811" s="18" t="str">
        <f ca="1">IFERROR(__xludf.DUMMYFUNCTION("""COMPUTED_VALUE"""),"")</f>
        <v/>
      </c>
      <c r="N811" s="18" t="str">
        <f ca="1">IFERROR(__xludf.DUMMYFUNCTION("""COMPUTED_VALUE"""),"")</f>
        <v/>
      </c>
      <c r="O811" s="18" t="str">
        <f ca="1">IFERROR(__xludf.DUMMYFUNCTION("""COMPUTED_VALUE"""),"")</f>
        <v/>
      </c>
      <c r="P811" s="18" t="str">
        <f ca="1">IFERROR(__xludf.DUMMYFUNCTION("""COMPUTED_VALUE"""),"")</f>
        <v/>
      </c>
      <c r="Q811" s="18" t="str">
        <f ca="1">IFERROR(__xludf.DUMMYFUNCTION("""COMPUTED_VALUE"""),"")</f>
        <v/>
      </c>
      <c r="R811" s="18" t="str">
        <f ca="1">IFERROR(__xludf.DUMMYFUNCTION("""COMPUTED_VALUE"""),"")</f>
        <v/>
      </c>
      <c r="S811" s="18" t="str">
        <f ca="1">IFERROR(__xludf.DUMMYFUNCTION("""COMPUTED_VALUE"""),"")</f>
        <v/>
      </c>
      <c r="T811" s="18" t="str">
        <f ca="1">IFERROR(__xludf.DUMMYFUNCTION("""COMPUTED_VALUE"""),"")</f>
        <v/>
      </c>
      <c r="U811" s="18" t="str">
        <f ca="1">IFERROR(__xludf.DUMMYFUNCTION("""COMPUTED_VALUE"""),"")</f>
        <v/>
      </c>
      <c r="V811" s="18" t="str">
        <f ca="1">IFERROR(__xludf.DUMMYFUNCTION("""COMPUTED_VALUE"""),"")</f>
        <v/>
      </c>
      <c r="W811" s="18" t="str">
        <f ca="1">IFERROR(__xludf.DUMMYFUNCTION("""COMPUTED_VALUE"""),"")</f>
        <v/>
      </c>
      <c r="X811" s="18" t="str">
        <f ca="1">IFERROR(__xludf.DUMMYFUNCTION("""COMPUTED_VALUE"""),"")</f>
        <v/>
      </c>
      <c r="Y811" s="18" t="e">
        <f ca="1"/>
        <v>#NAME?</v>
      </c>
      <c r="Z811" s="18" t="str">
        <f ca="1">IFERROR(__xludf.DUMMYFUNCTION("""COMPUTED_VALUE"""),"")</f>
        <v/>
      </c>
      <c r="AA811" s="18" t="str">
        <f ca="1">IFERROR(__xludf.DUMMYFUNCTION("""COMPUTED_VALUE"""),"")</f>
        <v/>
      </c>
      <c r="AC811" s="59"/>
    </row>
    <row r="812" spans="1:29" x14ac:dyDescent="0.25">
      <c r="A812" s="18">
        <v>0</v>
      </c>
      <c r="B812" s="52" t="str">
        <f ca="1"/>
        <v/>
      </c>
      <c r="C812" s="52" t="str">
        <f ca="1">IFERROR(__xludf.DUMMYFUNCTION("""COMPUTED_VALUE"""),"")</f>
        <v/>
      </c>
      <c r="D812" s="18" t="str">
        <f ca="1">IFERROR(__xludf.DUMMYFUNCTION("""COMPUTED_VALUE"""),"")</f>
        <v/>
      </c>
      <c r="E812" s="18" t="str">
        <f ca="1">IFERROR(__xludf.DUMMYFUNCTION("""COMPUTED_VALUE"""),"")</f>
        <v/>
      </c>
      <c r="F812" s="18" t="str">
        <f ca="1">IFERROR(__xludf.DUMMYFUNCTION("""COMPUTED_VALUE"""),"")</f>
        <v/>
      </c>
      <c r="G812" s="18" t="str">
        <f ca="1">IFERROR(__xludf.DUMMYFUNCTION("""COMPUTED_VALUE"""),"")</f>
        <v/>
      </c>
      <c r="H812" s="18" t="str">
        <f ca="1">IFERROR(__xludf.DUMMYFUNCTION("""COMPUTED_VALUE"""),"")</f>
        <v/>
      </c>
      <c r="I812" s="18" t="str">
        <f ca="1">IFERROR(__xludf.DUMMYFUNCTION("""COMPUTED_VALUE"""),"")</f>
        <v/>
      </c>
      <c r="J812" s="18" t="str">
        <f ca="1">IFERROR(__xludf.DUMMYFUNCTION("""COMPUTED_VALUE"""),"")</f>
        <v/>
      </c>
      <c r="K812" s="18" t="str">
        <f ca="1">IFERROR(__xludf.DUMMYFUNCTION("""COMPUTED_VALUE"""),"")</f>
        <v/>
      </c>
      <c r="L812" s="18" t="str">
        <f ca="1">IFERROR(__xludf.DUMMYFUNCTION("""COMPUTED_VALUE"""),"")</f>
        <v/>
      </c>
      <c r="M812" s="18" t="str">
        <f ca="1">IFERROR(__xludf.DUMMYFUNCTION("""COMPUTED_VALUE"""),"")</f>
        <v/>
      </c>
      <c r="N812" s="18" t="str">
        <f ca="1">IFERROR(__xludf.DUMMYFUNCTION("""COMPUTED_VALUE"""),"")</f>
        <v/>
      </c>
      <c r="O812" s="18" t="str">
        <f ca="1">IFERROR(__xludf.DUMMYFUNCTION("""COMPUTED_VALUE"""),"")</f>
        <v/>
      </c>
      <c r="P812" s="18" t="str">
        <f ca="1">IFERROR(__xludf.DUMMYFUNCTION("""COMPUTED_VALUE"""),"")</f>
        <v/>
      </c>
      <c r="Q812" s="18" t="str">
        <f ca="1">IFERROR(__xludf.DUMMYFUNCTION("""COMPUTED_VALUE"""),"")</f>
        <v/>
      </c>
      <c r="R812" s="18" t="str">
        <f ca="1">IFERROR(__xludf.DUMMYFUNCTION("""COMPUTED_VALUE"""),"")</f>
        <v/>
      </c>
      <c r="S812" s="18" t="str">
        <f ca="1">IFERROR(__xludf.DUMMYFUNCTION("""COMPUTED_VALUE"""),"")</f>
        <v/>
      </c>
      <c r="T812" s="18" t="str">
        <f ca="1">IFERROR(__xludf.DUMMYFUNCTION("""COMPUTED_VALUE"""),"")</f>
        <v/>
      </c>
      <c r="U812" s="18" t="str">
        <f ca="1">IFERROR(__xludf.DUMMYFUNCTION("""COMPUTED_VALUE"""),"")</f>
        <v/>
      </c>
      <c r="V812" s="18" t="str">
        <f ca="1">IFERROR(__xludf.DUMMYFUNCTION("""COMPUTED_VALUE"""),"")</f>
        <v/>
      </c>
      <c r="W812" s="18" t="str">
        <f ca="1">IFERROR(__xludf.DUMMYFUNCTION("""COMPUTED_VALUE"""),"")</f>
        <v/>
      </c>
      <c r="X812" s="18" t="str">
        <f ca="1">IFERROR(__xludf.DUMMYFUNCTION("""COMPUTED_VALUE"""),"")</f>
        <v/>
      </c>
      <c r="Y812" s="18" t="e">
        <f ca="1"/>
        <v>#NAME?</v>
      </c>
      <c r="Z812" s="18" t="str">
        <f ca="1">IFERROR(__xludf.DUMMYFUNCTION("""COMPUTED_VALUE"""),"")</f>
        <v/>
      </c>
      <c r="AA812" s="18" t="str">
        <f ca="1">IFERROR(__xludf.DUMMYFUNCTION("""COMPUTED_VALUE"""),"")</f>
        <v/>
      </c>
      <c r="AC812" s="59"/>
    </row>
    <row r="813" spans="1:29" x14ac:dyDescent="0.25">
      <c r="A813" s="18">
        <v>0</v>
      </c>
      <c r="B813" s="52" t="str">
        <f ca="1"/>
        <v/>
      </c>
      <c r="C813" s="52" t="str">
        <f ca="1">IFERROR(__xludf.DUMMYFUNCTION("""COMPUTED_VALUE"""),"")</f>
        <v/>
      </c>
      <c r="D813" s="18" t="str">
        <f ca="1">IFERROR(__xludf.DUMMYFUNCTION("""COMPUTED_VALUE"""),"")</f>
        <v/>
      </c>
      <c r="E813" s="18" t="str">
        <f ca="1">IFERROR(__xludf.DUMMYFUNCTION("""COMPUTED_VALUE"""),"")</f>
        <v/>
      </c>
      <c r="F813" s="18" t="str">
        <f ca="1">IFERROR(__xludf.DUMMYFUNCTION("""COMPUTED_VALUE"""),"")</f>
        <v/>
      </c>
      <c r="G813" s="18" t="str">
        <f ca="1">IFERROR(__xludf.DUMMYFUNCTION("""COMPUTED_VALUE"""),"")</f>
        <v/>
      </c>
      <c r="H813" s="18" t="str">
        <f ca="1">IFERROR(__xludf.DUMMYFUNCTION("""COMPUTED_VALUE"""),"")</f>
        <v/>
      </c>
      <c r="I813" s="18" t="str">
        <f ca="1">IFERROR(__xludf.DUMMYFUNCTION("""COMPUTED_VALUE"""),"")</f>
        <v/>
      </c>
      <c r="J813" s="18" t="str">
        <f ca="1">IFERROR(__xludf.DUMMYFUNCTION("""COMPUTED_VALUE"""),"")</f>
        <v/>
      </c>
      <c r="K813" s="18" t="str">
        <f ca="1">IFERROR(__xludf.DUMMYFUNCTION("""COMPUTED_VALUE"""),"")</f>
        <v/>
      </c>
      <c r="L813" s="18" t="str">
        <f ca="1">IFERROR(__xludf.DUMMYFUNCTION("""COMPUTED_VALUE"""),"")</f>
        <v/>
      </c>
      <c r="M813" s="18" t="str">
        <f ca="1">IFERROR(__xludf.DUMMYFUNCTION("""COMPUTED_VALUE"""),"")</f>
        <v/>
      </c>
      <c r="N813" s="18" t="str">
        <f ca="1">IFERROR(__xludf.DUMMYFUNCTION("""COMPUTED_VALUE"""),"")</f>
        <v/>
      </c>
      <c r="O813" s="18" t="str">
        <f ca="1">IFERROR(__xludf.DUMMYFUNCTION("""COMPUTED_VALUE"""),"")</f>
        <v/>
      </c>
      <c r="P813" s="18" t="str">
        <f ca="1">IFERROR(__xludf.DUMMYFUNCTION("""COMPUTED_VALUE"""),"")</f>
        <v/>
      </c>
      <c r="Q813" s="18" t="str">
        <f ca="1">IFERROR(__xludf.DUMMYFUNCTION("""COMPUTED_VALUE"""),"")</f>
        <v/>
      </c>
      <c r="R813" s="18" t="str">
        <f ca="1">IFERROR(__xludf.DUMMYFUNCTION("""COMPUTED_VALUE"""),"")</f>
        <v/>
      </c>
      <c r="S813" s="18" t="str">
        <f ca="1">IFERROR(__xludf.DUMMYFUNCTION("""COMPUTED_VALUE"""),"")</f>
        <v/>
      </c>
      <c r="T813" s="18" t="str">
        <f ca="1">IFERROR(__xludf.DUMMYFUNCTION("""COMPUTED_VALUE"""),"")</f>
        <v/>
      </c>
      <c r="U813" s="18" t="str">
        <f ca="1">IFERROR(__xludf.DUMMYFUNCTION("""COMPUTED_VALUE"""),"")</f>
        <v/>
      </c>
      <c r="V813" s="18" t="str">
        <f ca="1">IFERROR(__xludf.DUMMYFUNCTION("""COMPUTED_VALUE"""),"")</f>
        <v/>
      </c>
      <c r="W813" s="18" t="str">
        <f ca="1">IFERROR(__xludf.DUMMYFUNCTION("""COMPUTED_VALUE"""),"")</f>
        <v/>
      </c>
      <c r="X813" s="18" t="str">
        <f ca="1">IFERROR(__xludf.DUMMYFUNCTION("""COMPUTED_VALUE"""),"")</f>
        <v/>
      </c>
      <c r="Y813" s="18" t="e">
        <f ca="1"/>
        <v>#NAME?</v>
      </c>
      <c r="Z813" s="18" t="str">
        <f ca="1">IFERROR(__xludf.DUMMYFUNCTION("""COMPUTED_VALUE"""),"")</f>
        <v/>
      </c>
      <c r="AA813" s="18" t="str">
        <f ca="1">IFERROR(__xludf.DUMMYFUNCTION("""COMPUTED_VALUE"""),"")</f>
        <v/>
      </c>
      <c r="AC813" s="59"/>
    </row>
    <row r="814" spans="1:29" x14ac:dyDescent="0.25">
      <c r="A814" s="18">
        <v>0</v>
      </c>
      <c r="B814" s="52" t="str">
        <f ca="1"/>
        <v/>
      </c>
      <c r="C814" s="52" t="str">
        <f ca="1">IFERROR(__xludf.DUMMYFUNCTION("""COMPUTED_VALUE"""),"")</f>
        <v/>
      </c>
      <c r="D814" s="18" t="str">
        <f ca="1">IFERROR(__xludf.DUMMYFUNCTION("""COMPUTED_VALUE"""),"")</f>
        <v/>
      </c>
      <c r="E814" s="18" t="str">
        <f ca="1">IFERROR(__xludf.DUMMYFUNCTION("""COMPUTED_VALUE"""),"")</f>
        <v/>
      </c>
      <c r="F814" s="18" t="str">
        <f ca="1">IFERROR(__xludf.DUMMYFUNCTION("""COMPUTED_VALUE"""),"")</f>
        <v/>
      </c>
      <c r="G814" s="18" t="str">
        <f ca="1">IFERROR(__xludf.DUMMYFUNCTION("""COMPUTED_VALUE"""),"")</f>
        <v/>
      </c>
      <c r="H814" s="18" t="str">
        <f ca="1">IFERROR(__xludf.DUMMYFUNCTION("""COMPUTED_VALUE"""),"")</f>
        <v/>
      </c>
      <c r="I814" s="18" t="str">
        <f ca="1">IFERROR(__xludf.DUMMYFUNCTION("""COMPUTED_VALUE"""),"")</f>
        <v/>
      </c>
      <c r="J814" s="18" t="str">
        <f ca="1">IFERROR(__xludf.DUMMYFUNCTION("""COMPUTED_VALUE"""),"")</f>
        <v/>
      </c>
      <c r="K814" s="18" t="str">
        <f ca="1">IFERROR(__xludf.DUMMYFUNCTION("""COMPUTED_VALUE"""),"")</f>
        <v/>
      </c>
      <c r="L814" s="18" t="str">
        <f ca="1">IFERROR(__xludf.DUMMYFUNCTION("""COMPUTED_VALUE"""),"")</f>
        <v/>
      </c>
      <c r="M814" s="18" t="str">
        <f ca="1">IFERROR(__xludf.DUMMYFUNCTION("""COMPUTED_VALUE"""),"")</f>
        <v/>
      </c>
      <c r="N814" s="18" t="str">
        <f ca="1">IFERROR(__xludf.DUMMYFUNCTION("""COMPUTED_VALUE"""),"")</f>
        <v/>
      </c>
      <c r="O814" s="18" t="str">
        <f ca="1">IFERROR(__xludf.DUMMYFUNCTION("""COMPUTED_VALUE"""),"")</f>
        <v/>
      </c>
      <c r="P814" s="18" t="str">
        <f ca="1">IFERROR(__xludf.DUMMYFUNCTION("""COMPUTED_VALUE"""),"")</f>
        <v/>
      </c>
      <c r="Q814" s="18" t="str">
        <f ca="1">IFERROR(__xludf.DUMMYFUNCTION("""COMPUTED_VALUE"""),"")</f>
        <v/>
      </c>
      <c r="R814" s="18" t="str">
        <f ca="1">IFERROR(__xludf.DUMMYFUNCTION("""COMPUTED_VALUE"""),"")</f>
        <v/>
      </c>
      <c r="S814" s="18" t="str">
        <f ca="1">IFERROR(__xludf.DUMMYFUNCTION("""COMPUTED_VALUE"""),"")</f>
        <v/>
      </c>
      <c r="T814" s="18" t="str">
        <f ca="1">IFERROR(__xludf.DUMMYFUNCTION("""COMPUTED_VALUE"""),"")</f>
        <v/>
      </c>
      <c r="U814" s="18" t="str">
        <f ca="1">IFERROR(__xludf.DUMMYFUNCTION("""COMPUTED_VALUE"""),"")</f>
        <v/>
      </c>
      <c r="V814" s="18" t="str">
        <f ca="1">IFERROR(__xludf.DUMMYFUNCTION("""COMPUTED_VALUE"""),"")</f>
        <v/>
      </c>
      <c r="W814" s="18" t="str">
        <f ca="1">IFERROR(__xludf.DUMMYFUNCTION("""COMPUTED_VALUE"""),"")</f>
        <v/>
      </c>
      <c r="X814" s="18" t="str">
        <f ca="1">IFERROR(__xludf.DUMMYFUNCTION("""COMPUTED_VALUE"""),"")</f>
        <v/>
      </c>
      <c r="Y814" s="18" t="e">
        <f ca="1"/>
        <v>#NAME?</v>
      </c>
      <c r="Z814" s="18" t="str">
        <f ca="1">IFERROR(__xludf.DUMMYFUNCTION("""COMPUTED_VALUE"""),"")</f>
        <v/>
      </c>
      <c r="AA814" s="18" t="str">
        <f ca="1">IFERROR(__xludf.DUMMYFUNCTION("""COMPUTED_VALUE"""),"")</f>
        <v/>
      </c>
      <c r="AC814" s="59"/>
    </row>
    <row r="815" spans="1:29" x14ac:dyDescent="0.25">
      <c r="A815" s="18">
        <v>0</v>
      </c>
      <c r="B815" s="52" t="str">
        <f ca="1"/>
        <v/>
      </c>
      <c r="C815" s="52" t="str">
        <f ca="1">IFERROR(__xludf.DUMMYFUNCTION("""COMPUTED_VALUE"""),"")</f>
        <v/>
      </c>
      <c r="D815" s="18" t="str">
        <f ca="1">IFERROR(__xludf.DUMMYFUNCTION("""COMPUTED_VALUE"""),"")</f>
        <v/>
      </c>
      <c r="E815" s="18" t="str">
        <f ca="1">IFERROR(__xludf.DUMMYFUNCTION("""COMPUTED_VALUE"""),"")</f>
        <v/>
      </c>
      <c r="F815" s="18" t="str">
        <f ca="1">IFERROR(__xludf.DUMMYFUNCTION("""COMPUTED_VALUE"""),"")</f>
        <v/>
      </c>
      <c r="G815" s="18" t="str">
        <f ca="1">IFERROR(__xludf.DUMMYFUNCTION("""COMPUTED_VALUE"""),"")</f>
        <v/>
      </c>
      <c r="H815" s="18" t="str">
        <f ca="1">IFERROR(__xludf.DUMMYFUNCTION("""COMPUTED_VALUE"""),"")</f>
        <v/>
      </c>
      <c r="I815" s="18" t="str">
        <f ca="1">IFERROR(__xludf.DUMMYFUNCTION("""COMPUTED_VALUE"""),"")</f>
        <v/>
      </c>
      <c r="J815" s="18" t="str">
        <f ca="1">IFERROR(__xludf.DUMMYFUNCTION("""COMPUTED_VALUE"""),"")</f>
        <v/>
      </c>
      <c r="K815" s="18" t="str">
        <f ca="1">IFERROR(__xludf.DUMMYFUNCTION("""COMPUTED_VALUE"""),"")</f>
        <v/>
      </c>
      <c r="L815" s="18" t="str">
        <f ca="1">IFERROR(__xludf.DUMMYFUNCTION("""COMPUTED_VALUE"""),"")</f>
        <v/>
      </c>
      <c r="M815" s="18" t="str">
        <f ca="1">IFERROR(__xludf.DUMMYFUNCTION("""COMPUTED_VALUE"""),"")</f>
        <v/>
      </c>
      <c r="N815" s="18" t="str">
        <f ca="1">IFERROR(__xludf.DUMMYFUNCTION("""COMPUTED_VALUE"""),"")</f>
        <v/>
      </c>
      <c r="O815" s="18" t="str">
        <f ca="1">IFERROR(__xludf.DUMMYFUNCTION("""COMPUTED_VALUE"""),"")</f>
        <v/>
      </c>
      <c r="P815" s="18" t="str">
        <f ca="1">IFERROR(__xludf.DUMMYFUNCTION("""COMPUTED_VALUE"""),"")</f>
        <v/>
      </c>
      <c r="Q815" s="18" t="str">
        <f ca="1">IFERROR(__xludf.DUMMYFUNCTION("""COMPUTED_VALUE"""),"")</f>
        <v/>
      </c>
      <c r="R815" s="18" t="str">
        <f ca="1">IFERROR(__xludf.DUMMYFUNCTION("""COMPUTED_VALUE"""),"")</f>
        <v/>
      </c>
      <c r="S815" s="18" t="str">
        <f ca="1">IFERROR(__xludf.DUMMYFUNCTION("""COMPUTED_VALUE"""),"")</f>
        <v/>
      </c>
      <c r="T815" s="18" t="str">
        <f ca="1">IFERROR(__xludf.DUMMYFUNCTION("""COMPUTED_VALUE"""),"")</f>
        <v/>
      </c>
      <c r="U815" s="18" t="str">
        <f ca="1">IFERROR(__xludf.DUMMYFUNCTION("""COMPUTED_VALUE"""),"")</f>
        <v/>
      </c>
      <c r="V815" s="18" t="str">
        <f ca="1">IFERROR(__xludf.DUMMYFUNCTION("""COMPUTED_VALUE"""),"")</f>
        <v/>
      </c>
      <c r="W815" s="18" t="str">
        <f ca="1">IFERROR(__xludf.DUMMYFUNCTION("""COMPUTED_VALUE"""),"")</f>
        <v/>
      </c>
      <c r="X815" s="18" t="str">
        <f ca="1">IFERROR(__xludf.DUMMYFUNCTION("""COMPUTED_VALUE"""),"")</f>
        <v/>
      </c>
      <c r="Y815" s="18" t="e">
        <f ca="1"/>
        <v>#NAME?</v>
      </c>
      <c r="Z815" s="18" t="str">
        <f ca="1">IFERROR(__xludf.DUMMYFUNCTION("""COMPUTED_VALUE"""),"")</f>
        <v/>
      </c>
      <c r="AA815" s="18" t="str">
        <f ca="1">IFERROR(__xludf.DUMMYFUNCTION("""COMPUTED_VALUE"""),"")</f>
        <v/>
      </c>
      <c r="AC815" s="59"/>
    </row>
    <row r="816" spans="1:29" x14ac:dyDescent="0.25">
      <c r="A816" s="18">
        <v>0</v>
      </c>
      <c r="B816" s="52" t="str">
        <f ca="1"/>
        <v/>
      </c>
      <c r="C816" s="52" t="str">
        <f ca="1">IFERROR(__xludf.DUMMYFUNCTION("""COMPUTED_VALUE"""),"")</f>
        <v/>
      </c>
      <c r="D816" s="18" t="str">
        <f ca="1">IFERROR(__xludf.DUMMYFUNCTION("""COMPUTED_VALUE"""),"")</f>
        <v/>
      </c>
      <c r="E816" s="18" t="str">
        <f ca="1">IFERROR(__xludf.DUMMYFUNCTION("""COMPUTED_VALUE"""),"")</f>
        <v/>
      </c>
      <c r="F816" s="18" t="str">
        <f ca="1">IFERROR(__xludf.DUMMYFUNCTION("""COMPUTED_VALUE"""),"")</f>
        <v/>
      </c>
      <c r="G816" s="18" t="str">
        <f ca="1">IFERROR(__xludf.DUMMYFUNCTION("""COMPUTED_VALUE"""),"")</f>
        <v/>
      </c>
      <c r="H816" s="18" t="str">
        <f ca="1">IFERROR(__xludf.DUMMYFUNCTION("""COMPUTED_VALUE"""),"")</f>
        <v/>
      </c>
      <c r="I816" s="18" t="str">
        <f ca="1">IFERROR(__xludf.DUMMYFUNCTION("""COMPUTED_VALUE"""),"")</f>
        <v/>
      </c>
      <c r="J816" s="18" t="str">
        <f ca="1">IFERROR(__xludf.DUMMYFUNCTION("""COMPUTED_VALUE"""),"")</f>
        <v/>
      </c>
      <c r="K816" s="18" t="str">
        <f ca="1">IFERROR(__xludf.DUMMYFUNCTION("""COMPUTED_VALUE"""),"")</f>
        <v/>
      </c>
      <c r="L816" s="18" t="str">
        <f ca="1">IFERROR(__xludf.DUMMYFUNCTION("""COMPUTED_VALUE"""),"")</f>
        <v/>
      </c>
      <c r="M816" s="18" t="str">
        <f ca="1">IFERROR(__xludf.DUMMYFUNCTION("""COMPUTED_VALUE"""),"")</f>
        <v/>
      </c>
      <c r="N816" s="18" t="str">
        <f ca="1">IFERROR(__xludf.DUMMYFUNCTION("""COMPUTED_VALUE"""),"")</f>
        <v/>
      </c>
      <c r="O816" s="18" t="str">
        <f ca="1">IFERROR(__xludf.DUMMYFUNCTION("""COMPUTED_VALUE"""),"")</f>
        <v/>
      </c>
      <c r="P816" s="18" t="str">
        <f ca="1">IFERROR(__xludf.DUMMYFUNCTION("""COMPUTED_VALUE"""),"")</f>
        <v/>
      </c>
      <c r="Q816" s="18" t="str">
        <f ca="1">IFERROR(__xludf.DUMMYFUNCTION("""COMPUTED_VALUE"""),"")</f>
        <v/>
      </c>
      <c r="R816" s="18" t="str">
        <f ca="1">IFERROR(__xludf.DUMMYFUNCTION("""COMPUTED_VALUE"""),"")</f>
        <v/>
      </c>
      <c r="S816" s="18" t="str">
        <f ca="1">IFERROR(__xludf.DUMMYFUNCTION("""COMPUTED_VALUE"""),"")</f>
        <v/>
      </c>
      <c r="T816" s="18" t="str">
        <f ca="1">IFERROR(__xludf.DUMMYFUNCTION("""COMPUTED_VALUE"""),"")</f>
        <v/>
      </c>
      <c r="U816" s="18" t="str">
        <f ca="1">IFERROR(__xludf.DUMMYFUNCTION("""COMPUTED_VALUE"""),"")</f>
        <v/>
      </c>
      <c r="V816" s="18" t="str">
        <f ca="1">IFERROR(__xludf.DUMMYFUNCTION("""COMPUTED_VALUE"""),"")</f>
        <v/>
      </c>
      <c r="W816" s="18" t="str">
        <f ca="1">IFERROR(__xludf.DUMMYFUNCTION("""COMPUTED_VALUE"""),"")</f>
        <v/>
      </c>
      <c r="X816" s="18" t="str">
        <f ca="1">IFERROR(__xludf.DUMMYFUNCTION("""COMPUTED_VALUE"""),"")</f>
        <v/>
      </c>
      <c r="Y816" s="18" t="e">
        <f ca="1"/>
        <v>#NAME?</v>
      </c>
      <c r="Z816" s="18" t="str">
        <f ca="1">IFERROR(__xludf.DUMMYFUNCTION("""COMPUTED_VALUE"""),"")</f>
        <v/>
      </c>
      <c r="AA816" s="18" t="str">
        <f ca="1">IFERROR(__xludf.DUMMYFUNCTION("""COMPUTED_VALUE"""),"")</f>
        <v/>
      </c>
      <c r="AC816" s="59"/>
    </row>
    <row r="817" spans="1:29" x14ac:dyDescent="0.25">
      <c r="A817" s="18">
        <v>0</v>
      </c>
      <c r="B817" s="52" t="str">
        <f ca="1"/>
        <v/>
      </c>
      <c r="C817" s="52" t="str">
        <f ca="1">IFERROR(__xludf.DUMMYFUNCTION("""COMPUTED_VALUE"""),"")</f>
        <v/>
      </c>
      <c r="D817" s="18" t="str">
        <f ca="1">IFERROR(__xludf.DUMMYFUNCTION("""COMPUTED_VALUE"""),"")</f>
        <v/>
      </c>
      <c r="E817" s="18" t="str">
        <f ca="1">IFERROR(__xludf.DUMMYFUNCTION("""COMPUTED_VALUE"""),"")</f>
        <v/>
      </c>
      <c r="F817" s="18" t="str">
        <f ca="1">IFERROR(__xludf.DUMMYFUNCTION("""COMPUTED_VALUE"""),"")</f>
        <v/>
      </c>
      <c r="G817" s="18" t="str">
        <f ca="1">IFERROR(__xludf.DUMMYFUNCTION("""COMPUTED_VALUE"""),"")</f>
        <v/>
      </c>
      <c r="H817" s="18" t="str">
        <f ca="1">IFERROR(__xludf.DUMMYFUNCTION("""COMPUTED_VALUE"""),"")</f>
        <v/>
      </c>
      <c r="I817" s="18" t="str">
        <f ca="1">IFERROR(__xludf.DUMMYFUNCTION("""COMPUTED_VALUE"""),"")</f>
        <v/>
      </c>
      <c r="J817" s="18" t="str">
        <f ca="1">IFERROR(__xludf.DUMMYFUNCTION("""COMPUTED_VALUE"""),"")</f>
        <v/>
      </c>
      <c r="K817" s="18" t="str">
        <f ca="1">IFERROR(__xludf.DUMMYFUNCTION("""COMPUTED_VALUE"""),"")</f>
        <v/>
      </c>
      <c r="L817" s="18" t="str">
        <f ca="1">IFERROR(__xludf.DUMMYFUNCTION("""COMPUTED_VALUE"""),"")</f>
        <v/>
      </c>
      <c r="M817" s="18" t="str">
        <f ca="1">IFERROR(__xludf.DUMMYFUNCTION("""COMPUTED_VALUE"""),"")</f>
        <v/>
      </c>
      <c r="N817" s="18" t="str">
        <f ca="1">IFERROR(__xludf.DUMMYFUNCTION("""COMPUTED_VALUE"""),"")</f>
        <v/>
      </c>
      <c r="O817" s="18" t="str">
        <f ca="1">IFERROR(__xludf.DUMMYFUNCTION("""COMPUTED_VALUE"""),"")</f>
        <v/>
      </c>
      <c r="P817" s="18" t="str">
        <f ca="1">IFERROR(__xludf.DUMMYFUNCTION("""COMPUTED_VALUE"""),"")</f>
        <v/>
      </c>
      <c r="Q817" s="18" t="str">
        <f ca="1">IFERROR(__xludf.DUMMYFUNCTION("""COMPUTED_VALUE"""),"")</f>
        <v/>
      </c>
      <c r="R817" s="18" t="str">
        <f ca="1">IFERROR(__xludf.DUMMYFUNCTION("""COMPUTED_VALUE"""),"")</f>
        <v/>
      </c>
      <c r="S817" s="18" t="str">
        <f ca="1">IFERROR(__xludf.DUMMYFUNCTION("""COMPUTED_VALUE"""),"")</f>
        <v/>
      </c>
      <c r="T817" s="18" t="str">
        <f ca="1">IFERROR(__xludf.DUMMYFUNCTION("""COMPUTED_VALUE"""),"")</f>
        <v/>
      </c>
      <c r="U817" s="18" t="str">
        <f ca="1">IFERROR(__xludf.DUMMYFUNCTION("""COMPUTED_VALUE"""),"")</f>
        <v/>
      </c>
      <c r="V817" s="18" t="str">
        <f ca="1">IFERROR(__xludf.DUMMYFUNCTION("""COMPUTED_VALUE"""),"")</f>
        <v/>
      </c>
      <c r="W817" s="18" t="str">
        <f ca="1">IFERROR(__xludf.DUMMYFUNCTION("""COMPUTED_VALUE"""),"")</f>
        <v/>
      </c>
      <c r="X817" s="18" t="str">
        <f ca="1">IFERROR(__xludf.DUMMYFUNCTION("""COMPUTED_VALUE"""),"")</f>
        <v/>
      </c>
      <c r="Y817" s="18" t="e">
        <f ca="1"/>
        <v>#NAME?</v>
      </c>
      <c r="Z817" s="18" t="str">
        <f ca="1">IFERROR(__xludf.DUMMYFUNCTION("""COMPUTED_VALUE"""),"")</f>
        <v/>
      </c>
      <c r="AA817" s="18" t="str">
        <f ca="1">IFERROR(__xludf.DUMMYFUNCTION("""COMPUTED_VALUE"""),"")</f>
        <v/>
      </c>
      <c r="AC817" s="59"/>
    </row>
    <row r="818" spans="1:29" x14ac:dyDescent="0.25">
      <c r="A818" s="18">
        <v>0</v>
      </c>
      <c r="B818" s="52" t="str">
        <f ca="1"/>
        <v/>
      </c>
      <c r="C818" s="52" t="str">
        <f ca="1">IFERROR(__xludf.DUMMYFUNCTION("""COMPUTED_VALUE"""),"")</f>
        <v/>
      </c>
      <c r="D818" s="18" t="str">
        <f ca="1">IFERROR(__xludf.DUMMYFUNCTION("""COMPUTED_VALUE"""),"")</f>
        <v/>
      </c>
      <c r="E818" s="18" t="str">
        <f ca="1">IFERROR(__xludf.DUMMYFUNCTION("""COMPUTED_VALUE"""),"")</f>
        <v/>
      </c>
      <c r="F818" s="18" t="str">
        <f ca="1">IFERROR(__xludf.DUMMYFUNCTION("""COMPUTED_VALUE"""),"")</f>
        <v/>
      </c>
      <c r="G818" s="18" t="str">
        <f ca="1">IFERROR(__xludf.DUMMYFUNCTION("""COMPUTED_VALUE"""),"")</f>
        <v/>
      </c>
      <c r="H818" s="18" t="str">
        <f ca="1">IFERROR(__xludf.DUMMYFUNCTION("""COMPUTED_VALUE"""),"")</f>
        <v/>
      </c>
      <c r="I818" s="18" t="str">
        <f ca="1">IFERROR(__xludf.DUMMYFUNCTION("""COMPUTED_VALUE"""),"")</f>
        <v/>
      </c>
      <c r="J818" s="18" t="str">
        <f ca="1">IFERROR(__xludf.DUMMYFUNCTION("""COMPUTED_VALUE"""),"")</f>
        <v/>
      </c>
      <c r="K818" s="18" t="str">
        <f ca="1">IFERROR(__xludf.DUMMYFUNCTION("""COMPUTED_VALUE"""),"")</f>
        <v/>
      </c>
      <c r="L818" s="18" t="str">
        <f ca="1">IFERROR(__xludf.DUMMYFUNCTION("""COMPUTED_VALUE"""),"")</f>
        <v/>
      </c>
      <c r="M818" s="18" t="str">
        <f ca="1">IFERROR(__xludf.DUMMYFUNCTION("""COMPUTED_VALUE"""),"")</f>
        <v/>
      </c>
      <c r="N818" s="18" t="str">
        <f ca="1">IFERROR(__xludf.DUMMYFUNCTION("""COMPUTED_VALUE"""),"")</f>
        <v/>
      </c>
      <c r="O818" s="18" t="str">
        <f ca="1">IFERROR(__xludf.DUMMYFUNCTION("""COMPUTED_VALUE"""),"")</f>
        <v/>
      </c>
      <c r="P818" s="18" t="str">
        <f ca="1">IFERROR(__xludf.DUMMYFUNCTION("""COMPUTED_VALUE"""),"")</f>
        <v/>
      </c>
      <c r="Q818" s="18" t="str">
        <f ca="1">IFERROR(__xludf.DUMMYFUNCTION("""COMPUTED_VALUE"""),"")</f>
        <v/>
      </c>
      <c r="R818" s="18" t="str">
        <f ca="1">IFERROR(__xludf.DUMMYFUNCTION("""COMPUTED_VALUE"""),"")</f>
        <v/>
      </c>
      <c r="S818" s="18" t="str">
        <f ca="1">IFERROR(__xludf.DUMMYFUNCTION("""COMPUTED_VALUE"""),"")</f>
        <v/>
      </c>
      <c r="T818" s="18" t="str">
        <f ca="1">IFERROR(__xludf.DUMMYFUNCTION("""COMPUTED_VALUE"""),"")</f>
        <v/>
      </c>
      <c r="U818" s="18" t="str">
        <f ca="1">IFERROR(__xludf.DUMMYFUNCTION("""COMPUTED_VALUE"""),"")</f>
        <v/>
      </c>
      <c r="V818" s="18" t="str">
        <f ca="1">IFERROR(__xludf.DUMMYFUNCTION("""COMPUTED_VALUE"""),"")</f>
        <v/>
      </c>
      <c r="W818" s="18" t="str">
        <f ca="1">IFERROR(__xludf.DUMMYFUNCTION("""COMPUTED_VALUE"""),"")</f>
        <v/>
      </c>
      <c r="X818" s="18" t="str">
        <f ca="1">IFERROR(__xludf.DUMMYFUNCTION("""COMPUTED_VALUE"""),"")</f>
        <v/>
      </c>
      <c r="Y818" s="18" t="e">
        <f ca="1"/>
        <v>#NAME?</v>
      </c>
      <c r="Z818" s="18" t="str">
        <f ca="1">IFERROR(__xludf.DUMMYFUNCTION("""COMPUTED_VALUE"""),"")</f>
        <v/>
      </c>
      <c r="AA818" s="18" t="str">
        <f ca="1">IFERROR(__xludf.DUMMYFUNCTION("""COMPUTED_VALUE"""),"")</f>
        <v/>
      </c>
      <c r="AC818" s="59"/>
    </row>
    <row r="819" spans="1:29" x14ac:dyDescent="0.25">
      <c r="A819" s="18">
        <v>0</v>
      </c>
      <c r="B819" s="52" t="str">
        <f ca="1"/>
        <v/>
      </c>
      <c r="C819" s="52" t="str">
        <f ca="1">IFERROR(__xludf.DUMMYFUNCTION("""COMPUTED_VALUE"""),"")</f>
        <v/>
      </c>
      <c r="D819" s="18" t="str">
        <f ca="1">IFERROR(__xludf.DUMMYFUNCTION("""COMPUTED_VALUE"""),"")</f>
        <v/>
      </c>
      <c r="E819" s="18" t="str">
        <f ca="1">IFERROR(__xludf.DUMMYFUNCTION("""COMPUTED_VALUE"""),"")</f>
        <v/>
      </c>
      <c r="F819" s="18" t="str">
        <f ca="1">IFERROR(__xludf.DUMMYFUNCTION("""COMPUTED_VALUE"""),"")</f>
        <v/>
      </c>
      <c r="G819" s="18" t="str">
        <f ca="1">IFERROR(__xludf.DUMMYFUNCTION("""COMPUTED_VALUE"""),"")</f>
        <v/>
      </c>
      <c r="H819" s="18" t="str">
        <f ca="1">IFERROR(__xludf.DUMMYFUNCTION("""COMPUTED_VALUE"""),"")</f>
        <v/>
      </c>
      <c r="I819" s="18" t="str">
        <f ca="1">IFERROR(__xludf.DUMMYFUNCTION("""COMPUTED_VALUE"""),"")</f>
        <v/>
      </c>
      <c r="J819" s="18" t="str">
        <f ca="1">IFERROR(__xludf.DUMMYFUNCTION("""COMPUTED_VALUE"""),"")</f>
        <v/>
      </c>
      <c r="K819" s="18" t="str">
        <f ca="1">IFERROR(__xludf.DUMMYFUNCTION("""COMPUTED_VALUE"""),"")</f>
        <v/>
      </c>
      <c r="L819" s="18" t="str">
        <f ca="1">IFERROR(__xludf.DUMMYFUNCTION("""COMPUTED_VALUE"""),"")</f>
        <v/>
      </c>
      <c r="M819" s="18" t="str">
        <f ca="1">IFERROR(__xludf.DUMMYFUNCTION("""COMPUTED_VALUE"""),"")</f>
        <v/>
      </c>
      <c r="N819" s="18" t="str">
        <f ca="1">IFERROR(__xludf.DUMMYFUNCTION("""COMPUTED_VALUE"""),"")</f>
        <v/>
      </c>
      <c r="O819" s="18" t="str">
        <f ca="1">IFERROR(__xludf.DUMMYFUNCTION("""COMPUTED_VALUE"""),"")</f>
        <v/>
      </c>
      <c r="P819" s="18" t="str">
        <f ca="1">IFERROR(__xludf.DUMMYFUNCTION("""COMPUTED_VALUE"""),"")</f>
        <v/>
      </c>
      <c r="Q819" s="18" t="str">
        <f ca="1">IFERROR(__xludf.DUMMYFUNCTION("""COMPUTED_VALUE"""),"")</f>
        <v/>
      </c>
      <c r="R819" s="18" t="str">
        <f ca="1">IFERROR(__xludf.DUMMYFUNCTION("""COMPUTED_VALUE"""),"")</f>
        <v/>
      </c>
      <c r="S819" s="18" t="str">
        <f ca="1">IFERROR(__xludf.DUMMYFUNCTION("""COMPUTED_VALUE"""),"")</f>
        <v/>
      </c>
      <c r="T819" s="18" t="str">
        <f ca="1">IFERROR(__xludf.DUMMYFUNCTION("""COMPUTED_VALUE"""),"")</f>
        <v/>
      </c>
      <c r="U819" s="18" t="str">
        <f ca="1">IFERROR(__xludf.DUMMYFUNCTION("""COMPUTED_VALUE"""),"")</f>
        <v/>
      </c>
      <c r="V819" s="18" t="str">
        <f ca="1">IFERROR(__xludf.DUMMYFUNCTION("""COMPUTED_VALUE"""),"")</f>
        <v/>
      </c>
      <c r="W819" s="18" t="str">
        <f ca="1">IFERROR(__xludf.DUMMYFUNCTION("""COMPUTED_VALUE"""),"")</f>
        <v/>
      </c>
      <c r="X819" s="18" t="str">
        <f ca="1">IFERROR(__xludf.DUMMYFUNCTION("""COMPUTED_VALUE"""),"")</f>
        <v/>
      </c>
      <c r="Y819" s="18" t="e">
        <f ca="1"/>
        <v>#NAME?</v>
      </c>
      <c r="Z819" s="18" t="str">
        <f ca="1">IFERROR(__xludf.DUMMYFUNCTION("""COMPUTED_VALUE"""),"")</f>
        <v/>
      </c>
      <c r="AA819" s="18" t="str">
        <f ca="1">IFERROR(__xludf.DUMMYFUNCTION("""COMPUTED_VALUE"""),"")</f>
        <v/>
      </c>
      <c r="AC819" s="59"/>
    </row>
    <row r="820" spans="1:29" x14ac:dyDescent="0.25">
      <c r="A820" s="18">
        <v>0</v>
      </c>
      <c r="B820" s="52" t="str">
        <f ca="1"/>
        <v/>
      </c>
      <c r="C820" s="52" t="str">
        <f ca="1">IFERROR(__xludf.DUMMYFUNCTION("""COMPUTED_VALUE"""),"")</f>
        <v/>
      </c>
      <c r="D820" s="18" t="str">
        <f ca="1">IFERROR(__xludf.DUMMYFUNCTION("""COMPUTED_VALUE"""),"")</f>
        <v/>
      </c>
      <c r="E820" s="18" t="str">
        <f ca="1">IFERROR(__xludf.DUMMYFUNCTION("""COMPUTED_VALUE"""),"")</f>
        <v/>
      </c>
      <c r="F820" s="18" t="str">
        <f ca="1">IFERROR(__xludf.DUMMYFUNCTION("""COMPUTED_VALUE"""),"")</f>
        <v/>
      </c>
      <c r="G820" s="18" t="str">
        <f ca="1">IFERROR(__xludf.DUMMYFUNCTION("""COMPUTED_VALUE"""),"")</f>
        <v/>
      </c>
      <c r="H820" s="18" t="str">
        <f ca="1">IFERROR(__xludf.DUMMYFUNCTION("""COMPUTED_VALUE"""),"")</f>
        <v/>
      </c>
      <c r="I820" s="18" t="str">
        <f ca="1">IFERROR(__xludf.DUMMYFUNCTION("""COMPUTED_VALUE"""),"")</f>
        <v/>
      </c>
      <c r="J820" s="18" t="str">
        <f ca="1">IFERROR(__xludf.DUMMYFUNCTION("""COMPUTED_VALUE"""),"")</f>
        <v/>
      </c>
      <c r="K820" s="18" t="str">
        <f ca="1">IFERROR(__xludf.DUMMYFUNCTION("""COMPUTED_VALUE"""),"")</f>
        <v/>
      </c>
      <c r="L820" s="18" t="str">
        <f ca="1">IFERROR(__xludf.DUMMYFUNCTION("""COMPUTED_VALUE"""),"")</f>
        <v/>
      </c>
      <c r="M820" s="18" t="str">
        <f ca="1">IFERROR(__xludf.DUMMYFUNCTION("""COMPUTED_VALUE"""),"")</f>
        <v/>
      </c>
      <c r="N820" s="18" t="str">
        <f ca="1">IFERROR(__xludf.DUMMYFUNCTION("""COMPUTED_VALUE"""),"")</f>
        <v/>
      </c>
      <c r="O820" s="18" t="str">
        <f ca="1">IFERROR(__xludf.DUMMYFUNCTION("""COMPUTED_VALUE"""),"")</f>
        <v/>
      </c>
      <c r="P820" s="18" t="str">
        <f ca="1">IFERROR(__xludf.DUMMYFUNCTION("""COMPUTED_VALUE"""),"")</f>
        <v/>
      </c>
      <c r="Q820" s="18" t="str">
        <f ca="1">IFERROR(__xludf.DUMMYFUNCTION("""COMPUTED_VALUE"""),"")</f>
        <v/>
      </c>
      <c r="R820" s="18" t="str">
        <f ca="1">IFERROR(__xludf.DUMMYFUNCTION("""COMPUTED_VALUE"""),"")</f>
        <v/>
      </c>
      <c r="S820" s="18" t="str">
        <f ca="1">IFERROR(__xludf.DUMMYFUNCTION("""COMPUTED_VALUE"""),"")</f>
        <v/>
      </c>
      <c r="T820" s="18" t="str">
        <f ca="1">IFERROR(__xludf.DUMMYFUNCTION("""COMPUTED_VALUE"""),"")</f>
        <v/>
      </c>
      <c r="U820" s="18" t="str">
        <f ca="1">IFERROR(__xludf.DUMMYFUNCTION("""COMPUTED_VALUE"""),"")</f>
        <v/>
      </c>
      <c r="V820" s="18" t="str">
        <f ca="1">IFERROR(__xludf.DUMMYFUNCTION("""COMPUTED_VALUE"""),"")</f>
        <v/>
      </c>
      <c r="W820" s="18" t="str">
        <f ca="1">IFERROR(__xludf.DUMMYFUNCTION("""COMPUTED_VALUE"""),"")</f>
        <v/>
      </c>
      <c r="X820" s="18" t="str">
        <f ca="1">IFERROR(__xludf.DUMMYFUNCTION("""COMPUTED_VALUE"""),"")</f>
        <v/>
      </c>
      <c r="Y820" s="18" t="e">
        <f ca="1"/>
        <v>#NAME?</v>
      </c>
      <c r="Z820" s="18" t="str">
        <f ca="1">IFERROR(__xludf.DUMMYFUNCTION("""COMPUTED_VALUE"""),"")</f>
        <v/>
      </c>
      <c r="AA820" s="18" t="str">
        <f ca="1">IFERROR(__xludf.DUMMYFUNCTION("""COMPUTED_VALUE"""),"")</f>
        <v/>
      </c>
      <c r="AC820" s="59"/>
    </row>
    <row r="821" spans="1:29" x14ac:dyDescent="0.25">
      <c r="A821" s="18">
        <v>0</v>
      </c>
      <c r="B821" s="52" t="str">
        <f ca="1"/>
        <v/>
      </c>
      <c r="C821" s="52" t="str">
        <f ca="1">IFERROR(__xludf.DUMMYFUNCTION("""COMPUTED_VALUE"""),"")</f>
        <v/>
      </c>
      <c r="D821" s="18" t="str">
        <f ca="1">IFERROR(__xludf.DUMMYFUNCTION("""COMPUTED_VALUE"""),"")</f>
        <v/>
      </c>
      <c r="E821" s="18" t="str">
        <f ca="1">IFERROR(__xludf.DUMMYFUNCTION("""COMPUTED_VALUE"""),"")</f>
        <v/>
      </c>
      <c r="F821" s="18" t="str">
        <f ca="1">IFERROR(__xludf.DUMMYFUNCTION("""COMPUTED_VALUE"""),"")</f>
        <v/>
      </c>
      <c r="G821" s="18" t="str">
        <f ca="1">IFERROR(__xludf.DUMMYFUNCTION("""COMPUTED_VALUE"""),"")</f>
        <v/>
      </c>
      <c r="H821" s="18" t="str">
        <f ca="1">IFERROR(__xludf.DUMMYFUNCTION("""COMPUTED_VALUE"""),"")</f>
        <v/>
      </c>
      <c r="I821" s="18" t="str">
        <f ca="1">IFERROR(__xludf.DUMMYFUNCTION("""COMPUTED_VALUE"""),"")</f>
        <v/>
      </c>
      <c r="J821" s="18" t="str">
        <f ca="1">IFERROR(__xludf.DUMMYFUNCTION("""COMPUTED_VALUE"""),"")</f>
        <v/>
      </c>
      <c r="K821" s="18" t="str">
        <f ca="1">IFERROR(__xludf.DUMMYFUNCTION("""COMPUTED_VALUE"""),"")</f>
        <v/>
      </c>
      <c r="L821" s="18" t="str">
        <f ca="1">IFERROR(__xludf.DUMMYFUNCTION("""COMPUTED_VALUE"""),"")</f>
        <v/>
      </c>
      <c r="M821" s="18" t="str">
        <f ca="1">IFERROR(__xludf.DUMMYFUNCTION("""COMPUTED_VALUE"""),"")</f>
        <v/>
      </c>
      <c r="N821" s="18" t="str">
        <f ca="1">IFERROR(__xludf.DUMMYFUNCTION("""COMPUTED_VALUE"""),"")</f>
        <v/>
      </c>
      <c r="O821" s="18" t="str">
        <f ca="1">IFERROR(__xludf.DUMMYFUNCTION("""COMPUTED_VALUE"""),"")</f>
        <v/>
      </c>
      <c r="P821" s="18" t="str">
        <f ca="1">IFERROR(__xludf.DUMMYFUNCTION("""COMPUTED_VALUE"""),"")</f>
        <v/>
      </c>
      <c r="Q821" s="18" t="str">
        <f ca="1">IFERROR(__xludf.DUMMYFUNCTION("""COMPUTED_VALUE"""),"")</f>
        <v/>
      </c>
      <c r="R821" s="18" t="str">
        <f ca="1">IFERROR(__xludf.DUMMYFUNCTION("""COMPUTED_VALUE"""),"")</f>
        <v/>
      </c>
      <c r="S821" s="18" t="str">
        <f ca="1">IFERROR(__xludf.DUMMYFUNCTION("""COMPUTED_VALUE"""),"")</f>
        <v/>
      </c>
      <c r="T821" s="18" t="str">
        <f ca="1">IFERROR(__xludf.DUMMYFUNCTION("""COMPUTED_VALUE"""),"")</f>
        <v/>
      </c>
      <c r="U821" s="18" t="str">
        <f ca="1">IFERROR(__xludf.DUMMYFUNCTION("""COMPUTED_VALUE"""),"")</f>
        <v/>
      </c>
      <c r="V821" s="18" t="str">
        <f ca="1">IFERROR(__xludf.DUMMYFUNCTION("""COMPUTED_VALUE"""),"")</f>
        <v/>
      </c>
      <c r="W821" s="18" t="str">
        <f ca="1">IFERROR(__xludf.DUMMYFUNCTION("""COMPUTED_VALUE"""),"")</f>
        <v/>
      </c>
      <c r="X821" s="18" t="str">
        <f ca="1">IFERROR(__xludf.DUMMYFUNCTION("""COMPUTED_VALUE"""),"")</f>
        <v/>
      </c>
      <c r="Y821" s="18" t="e">
        <f ca="1"/>
        <v>#NAME?</v>
      </c>
      <c r="Z821" s="18" t="str">
        <f ca="1">IFERROR(__xludf.DUMMYFUNCTION("""COMPUTED_VALUE"""),"")</f>
        <v/>
      </c>
      <c r="AA821" s="18" t="str">
        <f ca="1">IFERROR(__xludf.DUMMYFUNCTION("""COMPUTED_VALUE"""),"")</f>
        <v/>
      </c>
      <c r="AC821" s="59"/>
    </row>
    <row r="822" spans="1:29" x14ac:dyDescent="0.25">
      <c r="A822" s="18">
        <v>0</v>
      </c>
      <c r="B822" s="52" t="str">
        <f ca="1"/>
        <v/>
      </c>
      <c r="C822" s="52" t="str">
        <f ca="1">IFERROR(__xludf.DUMMYFUNCTION("""COMPUTED_VALUE"""),"")</f>
        <v/>
      </c>
      <c r="D822" s="18" t="str">
        <f ca="1">IFERROR(__xludf.DUMMYFUNCTION("""COMPUTED_VALUE"""),"")</f>
        <v/>
      </c>
      <c r="E822" s="18" t="str">
        <f ca="1">IFERROR(__xludf.DUMMYFUNCTION("""COMPUTED_VALUE"""),"")</f>
        <v/>
      </c>
      <c r="F822" s="18" t="str">
        <f ca="1">IFERROR(__xludf.DUMMYFUNCTION("""COMPUTED_VALUE"""),"")</f>
        <v/>
      </c>
      <c r="G822" s="18" t="str">
        <f ca="1">IFERROR(__xludf.DUMMYFUNCTION("""COMPUTED_VALUE"""),"")</f>
        <v/>
      </c>
      <c r="H822" s="18" t="str">
        <f ca="1">IFERROR(__xludf.DUMMYFUNCTION("""COMPUTED_VALUE"""),"")</f>
        <v/>
      </c>
      <c r="I822" s="18" t="str">
        <f ca="1">IFERROR(__xludf.DUMMYFUNCTION("""COMPUTED_VALUE"""),"")</f>
        <v/>
      </c>
      <c r="J822" s="18" t="str">
        <f ca="1">IFERROR(__xludf.DUMMYFUNCTION("""COMPUTED_VALUE"""),"")</f>
        <v/>
      </c>
      <c r="K822" s="18" t="str">
        <f ca="1">IFERROR(__xludf.DUMMYFUNCTION("""COMPUTED_VALUE"""),"")</f>
        <v/>
      </c>
      <c r="L822" s="18" t="str">
        <f ca="1">IFERROR(__xludf.DUMMYFUNCTION("""COMPUTED_VALUE"""),"")</f>
        <v/>
      </c>
      <c r="M822" s="18" t="str">
        <f ca="1">IFERROR(__xludf.DUMMYFUNCTION("""COMPUTED_VALUE"""),"")</f>
        <v/>
      </c>
      <c r="N822" s="18" t="str">
        <f ca="1">IFERROR(__xludf.DUMMYFUNCTION("""COMPUTED_VALUE"""),"")</f>
        <v/>
      </c>
      <c r="O822" s="18" t="str">
        <f ca="1">IFERROR(__xludf.DUMMYFUNCTION("""COMPUTED_VALUE"""),"")</f>
        <v/>
      </c>
      <c r="P822" s="18" t="str">
        <f ca="1">IFERROR(__xludf.DUMMYFUNCTION("""COMPUTED_VALUE"""),"")</f>
        <v/>
      </c>
      <c r="Q822" s="18" t="str">
        <f ca="1">IFERROR(__xludf.DUMMYFUNCTION("""COMPUTED_VALUE"""),"")</f>
        <v/>
      </c>
      <c r="R822" s="18" t="str">
        <f ca="1">IFERROR(__xludf.DUMMYFUNCTION("""COMPUTED_VALUE"""),"")</f>
        <v/>
      </c>
      <c r="S822" s="18" t="str">
        <f ca="1">IFERROR(__xludf.DUMMYFUNCTION("""COMPUTED_VALUE"""),"")</f>
        <v/>
      </c>
      <c r="T822" s="18" t="str">
        <f ca="1">IFERROR(__xludf.DUMMYFUNCTION("""COMPUTED_VALUE"""),"")</f>
        <v/>
      </c>
      <c r="U822" s="18" t="str">
        <f ca="1">IFERROR(__xludf.DUMMYFUNCTION("""COMPUTED_VALUE"""),"")</f>
        <v/>
      </c>
      <c r="V822" s="18" t="str">
        <f ca="1">IFERROR(__xludf.DUMMYFUNCTION("""COMPUTED_VALUE"""),"")</f>
        <v/>
      </c>
      <c r="W822" s="18" t="str">
        <f ca="1">IFERROR(__xludf.DUMMYFUNCTION("""COMPUTED_VALUE"""),"")</f>
        <v/>
      </c>
      <c r="X822" s="18" t="str">
        <f ca="1">IFERROR(__xludf.DUMMYFUNCTION("""COMPUTED_VALUE"""),"")</f>
        <v/>
      </c>
      <c r="Y822" s="18" t="e">
        <f ca="1"/>
        <v>#NAME?</v>
      </c>
      <c r="Z822" s="18" t="str">
        <f ca="1">IFERROR(__xludf.DUMMYFUNCTION("""COMPUTED_VALUE"""),"")</f>
        <v/>
      </c>
      <c r="AA822" s="18" t="str">
        <f ca="1">IFERROR(__xludf.DUMMYFUNCTION("""COMPUTED_VALUE"""),"")</f>
        <v/>
      </c>
      <c r="AC822" s="59"/>
    </row>
    <row r="823" spans="1:29" x14ac:dyDescent="0.25">
      <c r="A823" s="18">
        <v>0</v>
      </c>
      <c r="B823" s="52" t="str">
        <f ca="1"/>
        <v/>
      </c>
      <c r="C823" s="52" t="str">
        <f ca="1">IFERROR(__xludf.DUMMYFUNCTION("""COMPUTED_VALUE"""),"")</f>
        <v/>
      </c>
      <c r="D823" s="18" t="str">
        <f ca="1">IFERROR(__xludf.DUMMYFUNCTION("""COMPUTED_VALUE"""),"")</f>
        <v/>
      </c>
      <c r="E823" s="18" t="str">
        <f ca="1">IFERROR(__xludf.DUMMYFUNCTION("""COMPUTED_VALUE"""),"")</f>
        <v/>
      </c>
      <c r="F823" s="18" t="str">
        <f ca="1">IFERROR(__xludf.DUMMYFUNCTION("""COMPUTED_VALUE"""),"")</f>
        <v/>
      </c>
      <c r="G823" s="18" t="str">
        <f ca="1">IFERROR(__xludf.DUMMYFUNCTION("""COMPUTED_VALUE"""),"")</f>
        <v/>
      </c>
      <c r="H823" s="18" t="str">
        <f ca="1">IFERROR(__xludf.DUMMYFUNCTION("""COMPUTED_VALUE"""),"")</f>
        <v/>
      </c>
      <c r="I823" s="18" t="str">
        <f ca="1">IFERROR(__xludf.DUMMYFUNCTION("""COMPUTED_VALUE"""),"")</f>
        <v/>
      </c>
      <c r="J823" s="18" t="str">
        <f ca="1">IFERROR(__xludf.DUMMYFUNCTION("""COMPUTED_VALUE"""),"")</f>
        <v/>
      </c>
      <c r="K823" s="18" t="str">
        <f ca="1">IFERROR(__xludf.DUMMYFUNCTION("""COMPUTED_VALUE"""),"")</f>
        <v/>
      </c>
      <c r="L823" s="18" t="str">
        <f ca="1">IFERROR(__xludf.DUMMYFUNCTION("""COMPUTED_VALUE"""),"")</f>
        <v/>
      </c>
      <c r="M823" s="18" t="str">
        <f ca="1">IFERROR(__xludf.DUMMYFUNCTION("""COMPUTED_VALUE"""),"")</f>
        <v/>
      </c>
      <c r="N823" s="18" t="str">
        <f ca="1">IFERROR(__xludf.DUMMYFUNCTION("""COMPUTED_VALUE"""),"")</f>
        <v/>
      </c>
      <c r="O823" s="18" t="str">
        <f ca="1">IFERROR(__xludf.DUMMYFUNCTION("""COMPUTED_VALUE"""),"")</f>
        <v/>
      </c>
      <c r="P823" s="18" t="str">
        <f ca="1">IFERROR(__xludf.DUMMYFUNCTION("""COMPUTED_VALUE"""),"")</f>
        <v/>
      </c>
      <c r="Q823" s="18" t="str">
        <f ca="1">IFERROR(__xludf.DUMMYFUNCTION("""COMPUTED_VALUE"""),"")</f>
        <v/>
      </c>
      <c r="R823" s="18" t="str">
        <f ca="1">IFERROR(__xludf.DUMMYFUNCTION("""COMPUTED_VALUE"""),"")</f>
        <v/>
      </c>
      <c r="S823" s="18" t="str">
        <f ca="1">IFERROR(__xludf.DUMMYFUNCTION("""COMPUTED_VALUE"""),"")</f>
        <v/>
      </c>
      <c r="T823" s="18" t="str">
        <f ca="1">IFERROR(__xludf.DUMMYFUNCTION("""COMPUTED_VALUE"""),"")</f>
        <v/>
      </c>
      <c r="U823" s="18" t="str">
        <f ca="1">IFERROR(__xludf.DUMMYFUNCTION("""COMPUTED_VALUE"""),"")</f>
        <v/>
      </c>
      <c r="V823" s="18" t="str">
        <f ca="1">IFERROR(__xludf.DUMMYFUNCTION("""COMPUTED_VALUE"""),"")</f>
        <v/>
      </c>
      <c r="W823" s="18" t="str">
        <f ca="1">IFERROR(__xludf.DUMMYFUNCTION("""COMPUTED_VALUE"""),"")</f>
        <v/>
      </c>
      <c r="X823" s="18" t="str">
        <f ca="1">IFERROR(__xludf.DUMMYFUNCTION("""COMPUTED_VALUE"""),"")</f>
        <v/>
      </c>
      <c r="Y823" s="18" t="e">
        <f ca="1"/>
        <v>#NAME?</v>
      </c>
      <c r="Z823" s="18" t="str">
        <f ca="1">IFERROR(__xludf.DUMMYFUNCTION("""COMPUTED_VALUE"""),"")</f>
        <v/>
      </c>
      <c r="AA823" s="18" t="str">
        <f ca="1">IFERROR(__xludf.DUMMYFUNCTION("""COMPUTED_VALUE"""),"")</f>
        <v/>
      </c>
      <c r="AC823" s="59"/>
    </row>
    <row r="824" spans="1:29" x14ac:dyDescent="0.25">
      <c r="A824" s="18">
        <v>0</v>
      </c>
      <c r="B824" s="52" t="str">
        <f ca="1"/>
        <v/>
      </c>
      <c r="C824" s="52" t="str">
        <f ca="1">IFERROR(__xludf.DUMMYFUNCTION("""COMPUTED_VALUE"""),"")</f>
        <v/>
      </c>
      <c r="D824" s="18" t="str">
        <f ca="1">IFERROR(__xludf.DUMMYFUNCTION("""COMPUTED_VALUE"""),"")</f>
        <v/>
      </c>
      <c r="E824" s="18" t="str">
        <f ca="1">IFERROR(__xludf.DUMMYFUNCTION("""COMPUTED_VALUE"""),"")</f>
        <v/>
      </c>
      <c r="F824" s="18" t="str">
        <f ca="1">IFERROR(__xludf.DUMMYFUNCTION("""COMPUTED_VALUE"""),"")</f>
        <v/>
      </c>
      <c r="G824" s="18" t="str">
        <f ca="1">IFERROR(__xludf.DUMMYFUNCTION("""COMPUTED_VALUE"""),"")</f>
        <v/>
      </c>
      <c r="H824" s="18" t="str">
        <f ca="1">IFERROR(__xludf.DUMMYFUNCTION("""COMPUTED_VALUE"""),"")</f>
        <v/>
      </c>
      <c r="I824" s="18" t="str">
        <f ca="1">IFERROR(__xludf.DUMMYFUNCTION("""COMPUTED_VALUE"""),"")</f>
        <v/>
      </c>
      <c r="J824" s="18" t="str">
        <f ca="1">IFERROR(__xludf.DUMMYFUNCTION("""COMPUTED_VALUE"""),"")</f>
        <v/>
      </c>
      <c r="K824" s="18" t="str">
        <f ca="1">IFERROR(__xludf.DUMMYFUNCTION("""COMPUTED_VALUE"""),"")</f>
        <v/>
      </c>
      <c r="L824" s="18" t="str">
        <f ca="1">IFERROR(__xludf.DUMMYFUNCTION("""COMPUTED_VALUE"""),"")</f>
        <v/>
      </c>
      <c r="M824" s="18" t="str">
        <f ca="1">IFERROR(__xludf.DUMMYFUNCTION("""COMPUTED_VALUE"""),"")</f>
        <v/>
      </c>
      <c r="N824" s="18" t="str">
        <f ca="1">IFERROR(__xludf.DUMMYFUNCTION("""COMPUTED_VALUE"""),"")</f>
        <v/>
      </c>
      <c r="O824" s="18" t="str">
        <f ca="1">IFERROR(__xludf.DUMMYFUNCTION("""COMPUTED_VALUE"""),"")</f>
        <v/>
      </c>
      <c r="P824" s="18" t="str">
        <f ca="1">IFERROR(__xludf.DUMMYFUNCTION("""COMPUTED_VALUE"""),"")</f>
        <v/>
      </c>
      <c r="Q824" s="18" t="str">
        <f ca="1">IFERROR(__xludf.DUMMYFUNCTION("""COMPUTED_VALUE"""),"")</f>
        <v/>
      </c>
      <c r="R824" s="18" t="str">
        <f ca="1">IFERROR(__xludf.DUMMYFUNCTION("""COMPUTED_VALUE"""),"")</f>
        <v/>
      </c>
      <c r="S824" s="18" t="str">
        <f ca="1">IFERROR(__xludf.DUMMYFUNCTION("""COMPUTED_VALUE"""),"")</f>
        <v/>
      </c>
      <c r="T824" s="18" t="str">
        <f ca="1">IFERROR(__xludf.DUMMYFUNCTION("""COMPUTED_VALUE"""),"")</f>
        <v/>
      </c>
      <c r="U824" s="18" t="str">
        <f ca="1">IFERROR(__xludf.DUMMYFUNCTION("""COMPUTED_VALUE"""),"")</f>
        <v/>
      </c>
      <c r="V824" s="18" t="str">
        <f ca="1">IFERROR(__xludf.DUMMYFUNCTION("""COMPUTED_VALUE"""),"")</f>
        <v/>
      </c>
      <c r="W824" s="18" t="str">
        <f ca="1">IFERROR(__xludf.DUMMYFUNCTION("""COMPUTED_VALUE"""),"")</f>
        <v/>
      </c>
      <c r="X824" s="18" t="str">
        <f ca="1">IFERROR(__xludf.DUMMYFUNCTION("""COMPUTED_VALUE"""),"")</f>
        <v/>
      </c>
      <c r="Y824" s="18" t="e">
        <f ca="1"/>
        <v>#NAME?</v>
      </c>
      <c r="Z824" s="18" t="str">
        <f ca="1">IFERROR(__xludf.DUMMYFUNCTION("""COMPUTED_VALUE"""),"")</f>
        <v/>
      </c>
      <c r="AA824" s="18" t="str">
        <f ca="1">IFERROR(__xludf.DUMMYFUNCTION("""COMPUTED_VALUE"""),"")</f>
        <v/>
      </c>
      <c r="AC824" s="59"/>
    </row>
    <row r="825" spans="1:29" x14ac:dyDescent="0.25">
      <c r="A825" s="18">
        <v>0</v>
      </c>
      <c r="B825" s="52" t="str">
        <f ca="1"/>
        <v/>
      </c>
      <c r="C825" s="52" t="str">
        <f ca="1">IFERROR(__xludf.DUMMYFUNCTION("""COMPUTED_VALUE"""),"")</f>
        <v/>
      </c>
      <c r="D825" s="18" t="str">
        <f ca="1">IFERROR(__xludf.DUMMYFUNCTION("""COMPUTED_VALUE"""),"")</f>
        <v/>
      </c>
      <c r="E825" s="18" t="str">
        <f ca="1">IFERROR(__xludf.DUMMYFUNCTION("""COMPUTED_VALUE"""),"")</f>
        <v/>
      </c>
      <c r="F825" s="18" t="str">
        <f ca="1">IFERROR(__xludf.DUMMYFUNCTION("""COMPUTED_VALUE"""),"")</f>
        <v/>
      </c>
      <c r="G825" s="18" t="str">
        <f ca="1">IFERROR(__xludf.DUMMYFUNCTION("""COMPUTED_VALUE"""),"")</f>
        <v/>
      </c>
      <c r="H825" s="18" t="str">
        <f ca="1">IFERROR(__xludf.DUMMYFUNCTION("""COMPUTED_VALUE"""),"")</f>
        <v/>
      </c>
      <c r="I825" s="18" t="str">
        <f ca="1">IFERROR(__xludf.DUMMYFUNCTION("""COMPUTED_VALUE"""),"")</f>
        <v/>
      </c>
      <c r="J825" s="18" t="str">
        <f ca="1">IFERROR(__xludf.DUMMYFUNCTION("""COMPUTED_VALUE"""),"")</f>
        <v/>
      </c>
      <c r="K825" s="18" t="str">
        <f ca="1">IFERROR(__xludf.DUMMYFUNCTION("""COMPUTED_VALUE"""),"")</f>
        <v/>
      </c>
      <c r="L825" s="18" t="str">
        <f ca="1">IFERROR(__xludf.DUMMYFUNCTION("""COMPUTED_VALUE"""),"")</f>
        <v/>
      </c>
      <c r="M825" s="18" t="str">
        <f ca="1">IFERROR(__xludf.DUMMYFUNCTION("""COMPUTED_VALUE"""),"")</f>
        <v/>
      </c>
      <c r="N825" s="18" t="str">
        <f ca="1">IFERROR(__xludf.DUMMYFUNCTION("""COMPUTED_VALUE"""),"")</f>
        <v/>
      </c>
      <c r="O825" s="18" t="str">
        <f ca="1">IFERROR(__xludf.DUMMYFUNCTION("""COMPUTED_VALUE"""),"")</f>
        <v/>
      </c>
      <c r="P825" s="18" t="str">
        <f ca="1">IFERROR(__xludf.DUMMYFUNCTION("""COMPUTED_VALUE"""),"")</f>
        <v/>
      </c>
      <c r="Q825" s="18" t="str">
        <f ca="1">IFERROR(__xludf.DUMMYFUNCTION("""COMPUTED_VALUE"""),"")</f>
        <v/>
      </c>
      <c r="R825" s="18" t="str">
        <f ca="1">IFERROR(__xludf.DUMMYFUNCTION("""COMPUTED_VALUE"""),"")</f>
        <v/>
      </c>
      <c r="S825" s="18" t="str">
        <f ca="1">IFERROR(__xludf.DUMMYFUNCTION("""COMPUTED_VALUE"""),"")</f>
        <v/>
      </c>
      <c r="T825" s="18" t="str">
        <f ca="1">IFERROR(__xludf.DUMMYFUNCTION("""COMPUTED_VALUE"""),"")</f>
        <v/>
      </c>
      <c r="U825" s="18" t="str">
        <f ca="1">IFERROR(__xludf.DUMMYFUNCTION("""COMPUTED_VALUE"""),"")</f>
        <v/>
      </c>
      <c r="V825" s="18" t="str">
        <f ca="1">IFERROR(__xludf.DUMMYFUNCTION("""COMPUTED_VALUE"""),"")</f>
        <v/>
      </c>
      <c r="W825" s="18" t="str">
        <f ca="1">IFERROR(__xludf.DUMMYFUNCTION("""COMPUTED_VALUE"""),"")</f>
        <v/>
      </c>
      <c r="X825" s="18" t="str">
        <f ca="1">IFERROR(__xludf.DUMMYFUNCTION("""COMPUTED_VALUE"""),"")</f>
        <v/>
      </c>
      <c r="Y825" s="18" t="e">
        <f ca="1"/>
        <v>#NAME?</v>
      </c>
      <c r="Z825" s="18" t="str">
        <f ca="1">IFERROR(__xludf.DUMMYFUNCTION("""COMPUTED_VALUE"""),"")</f>
        <v/>
      </c>
      <c r="AA825" s="18" t="str">
        <f ca="1">IFERROR(__xludf.DUMMYFUNCTION("""COMPUTED_VALUE"""),"")</f>
        <v/>
      </c>
      <c r="AC825" s="59"/>
    </row>
    <row r="826" spans="1:29" x14ac:dyDescent="0.25">
      <c r="A826" s="18">
        <v>0</v>
      </c>
      <c r="B826" s="52" t="str">
        <f ca="1"/>
        <v/>
      </c>
      <c r="C826" s="52" t="str">
        <f ca="1">IFERROR(__xludf.DUMMYFUNCTION("""COMPUTED_VALUE"""),"")</f>
        <v/>
      </c>
      <c r="D826" s="18" t="str">
        <f ca="1">IFERROR(__xludf.DUMMYFUNCTION("""COMPUTED_VALUE"""),"")</f>
        <v/>
      </c>
      <c r="E826" s="18" t="str">
        <f ca="1">IFERROR(__xludf.DUMMYFUNCTION("""COMPUTED_VALUE"""),"")</f>
        <v/>
      </c>
      <c r="F826" s="18" t="str">
        <f ca="1">IFERROR(__xludf.DUMMYFUNCTION("""COMPUTED_VALUE"""),"")</f>
        <v/>
      </c>
      <c r="G826" s="18" t="str">
        <f ca="1">IFERROR(__xludf.DUMMYFUNCTION("""COMPUTED_VALUE"""),"")</f>
        <v/>
      </c>
      <c r="H826" s="18" t="str">
        <f ca="1">IFERROR(__xludf.DUMMYFUNCTION("""COMPUTED_VALUE"""),"")</f>
        <v/>
      </c>
      <c r="I826" s="18" t="str">
        <f ca="1">IFERROR(__xludf.DUMMYFUNCTION("""COMPUTED_VALUE"""),"")</f>
        <v/>
      </c>
      <c r="J826" s="18" t="str">
        <f ca="1">IFERROR(__xludf.DUMMYFUNCTION("""COMPUTED_VALUE"""),"")</f>
        <v/>
      </c>
      <c r="K826" s="18" t="str">
        <f ca="1">IFERROR(__xludf.DUMMYFUNCTION("""COMPUTED_VALUE"""),"")</f>
        <v/>
      </c>
      <c r="L826" s="18" t="str">
        <f ca="1">IFERROR(__xludf.DUMMYFUNCTION("""COMPUTED_VALUE"""),"")</f>
        <v/>
      </c>
      <c r="M826" s="18" t="str">
        <f ca="1">IFERROR(__xludf.DUMMYFUNCTION("""COMPUTED_VALUE"""),"")</f>
        <v/>
      </c>
      <c r="N826" s="18" t="str">
        <f ca="1">IFERROR(__xludf.DUMMYFUNCTION("""COMPUTED_VALUE"""),"")</f>
        <v/>
      </c>
      <c r="O826" s="18" t="str">
        <f ca="1">IFERROR(__xludf.DUMMYFUNCTION("""COMPUTED_VALUE"""),"")</f>
        <v/>
      </c>
      <c r="P826" s="18" t="str">
        <f ca="1">IFERROR(__xludf.DUMMYFUNCTION("""COMPUTED_VALUE"""),"")</f>
        <v/>
      </c>
      <c r="Q826" s="18" t="str">
        <f ca="1">IFERROR(__xludf.DUMMYFUNCTION("""COMPUTED_VALUE"""),"")</f>
        <v/>
      </c>
      <c r="R826" s="18" t="str">
        <f ca="1">IFERROR(__xludf.DUMMYFUNCTION("""COMPUTED_VALUE"""),"")</f>
        <v/>
      </c>
      <c r="S826" s="18" t="str">
        <f ca="1">IFERROR(__xludf.DUMMYFUNCTION("""COMPUTED_VALUE"""),"")</f>
        <v/>
      </c>
      <c r="T826" s="18" t="str">
        <f ca="1">IFERROR(__xludf.DUMMYFUNCTION("""COMPUTED_VALUE"""),"")</f>
        <v/>
      </c>
      <c r="U826" s="18" t="str">
        <f ca="1">IFERROR(__xludf.DUMMYFUNCTION("""COMPUTED_VALUE"""),"")</f>
        <v/>
      </c>
      <c r="V826" s="18" t="str">
        <f ca="1">IFERROR(__xludf.DUMMYFUNCTION("""COMPUTED_VALUE"""),"")</f>
        <v/>
      </c>
      <c r="W826" s="18" t="str">
        <f ca="1">IFERROR(__xludf.DUMMYFUNCTION("""COMPUTED_VALUE"""),"")</f>
        <v/>
      </c>
      <c r="X826" s="18" t="str">
        <f ca="1">IFERROR(__xludf.DUMMYFUNCTION("""COMPUTED_VALUE"""),"")</f>
        <v/>
      </c>
      <c r="Y826" s="18" t="e">
        <f ca="1"/>
        <v>#NAME?</v>
      </c>
      <c r="Z826" s="18" t="str">
        <f ca="1">IFERROR(__xludf.DUMMYFUNCTION("""COMPUTED_VALUE"""),"")</f>
        <v/>
      </c>
      <c r="AA826" s="18" t="str">
        <f ca="1">IFERROR(__xludf.DUMMYFUNCTION("""COMPUTED_VALUE"""),"")</f>
        <v/>
      </c>
      <c r="AC826" s="59"/>
    </row>
    <row r="827" spans="1:29" x14ac:dyDescent="0.25">
      <c r="A827" s="18">
        <v>0</v>
      </c>
      <c r="B827" s="52" t="str">
        <f ca="1"/>
        <v/>
      </c>
      <c r="C827" s="52" t="str">
        <f ca="1">IFERROR(__xludf.DUMMYFUNCTION("""COMPUTED_VALUE"""),"")</f>
        <v/>
      </c>
      <c r="D827" s="18" t="str">
        <f ca="1">IFERROR(__xludf.DUMMYFUNCTION("""COMPUTED_VALUE"""),"")</f>
        <v/>
      </c>
      <c r="E827" s="18" t="str">
        <f ca="1">IFERROR(__xludf.DUMMYFUNCTION("""COMPUTED_VALUE"""),"")</f>
        <v/>
      </c>
      <c r="F827" s="18" t="str">
        <f ca="1">IFERROR(__xludf.DUMMYFUNCTION("""COMPUTED_VALUE"""),"")</f>
        <v/>
      </c>
      <c r="G827" s="18" t="str">
        <f ca="1">IFERROR(__xludf.DUMMYFUNCTION("""COMPUTED_VALUE"""),"")</f>
        <v/>
      </c>
      <c r="H827" s="18" t="str">
        <f ca="1">IFERROR(__xludf.DUMMYFUNCTION("""COMPUTED_VALUE"""),"")</f>
        <v/>
      </c>
      <c r="I827" s="18" t="str">
        <f ca="1">IFERROR(__xludf.DUMMYFUNCTION("""COMPUTED_VALUE"""),"")</f>
        <v/>
      </c>
      <c r="J827" s="18" t="str">
        <f ca="1">IFERROR(__xludf.DUMMYFUNCTION("""COMPUTED_VALUE"""),"")</f>
        <v/>
      </c>
      <c r="K827" s="18" t="str">
        <f ca="1">IFERROR(__xludf.DUMMYFUNCTION("""COMPUTED_VALUE"""),"")</f>
        <v/>
      </c>
      <c r="L827" s="18" t="str">
        <f ca="1">IFERROR(__xludf.DUMMYFUNCTION("""COMPUTED_VALUE"""),"")</f>
        <v/>
      </c>
      <c r="M827" s="18" t="str">
        <f ca="1">IFERROR(__xludf.DUMMYFUNCTION("""COMPUTED_VALUE"""),"")</f>
        <v/>
      </c>
      <c r="N827" s="18" t="str">
        <f ca="1">IFERROR(__xludf.DUMMYFUNCTION("""COMPUTED_VALUE"""),"")</f>
        <v/>
      </c>
      <c r="O827" s="18" t="str">
        <f ca="1">IFERROR(__xludf.DUMMYFUNCTION("""COMPUTED_VALUE"""),"")</f>
        <v/>
      </c>
      <c r="P827" s="18" t="str">
        <f ca="1">IFERROR(__xludf.DUMMYFUNCTION("""COMPUTED_VALUE"""),"")</f>
        <v/>
      </c>
      <c r="Q827" s="18" t="str">
        <f ca="1">IFERROR(__xludf.DUMMYFUNCTION("""COMPUTED_VALUE"""),"")</f>
        <v/>
      </c>
      <c r="R827" s="18" t="str">
        <f ca="1">IFERROR(__xludf.DUMMYFUNCTION("""COMPUTED_VALUE"""),"")</f>
        <v/>
      </c>
      <c r="S827" s="18" t="str">
        <f ca="1">IFERROR(__xludf.DUMMYFUNCTION("""COMPUTED_VALUE"""),"")</f>
        <v/>
      </c>
      <c r="T827" s="18" t="str">
        <f ca="1">IFERROR(__xludf.DUMMYFUNCTION("""COMPUTED_VALUE"""),"")</f>
        <v/>
      </c>
      <c r="U827" s="18" t="str">
        <f ca="1">IFERROR(__xludf.DUMMYFUNCTION("""COMPUTED_VALUE"""),"")</f>
        <v/>
      </c>
      <c r="V827" s="18" t="str">
        <f ca="1">IFERROR(__xludf.DUMMYFUNCTION("""COMPUTED_VALUE"""),"")</f>
        <v/>
      </c>
      <c r="W827" s="18" t="str">
        <f ca="1">IFERROR(__xludf.DUMMYFUNCTION("""COMPUTED_VALUE"""),"")</f>
        <v/>
      </c>
      <c r="X827" s="18" t="str">
        <f ca="1">IFERROR(__xludf.DUMMYFUNCTION("""COMPUTED_VALUE"""),"")</f>
        <v/>
      </c>
      <c r="Y827" s="18" t="e">
        <f ca="1"/>
        <v>#NAME?</v>
      </c>
      <c r="Z827" s="18" t="str">
        <f ca="1">IFERROR(__xludf.DUMMYFUNCTION("""COMPUTED_VALUE"""),"")</f>
        <v/>
      </c>
      <c r="AA827" s="18" t="str">
        <f ca="1">IFERROR(__xludf.DUMMYFUNCTION("""COMPUTED_VALUE"""),"")</f>
        <v/>
      </c>
      <c r="AC827" s="59"/>
    </row>
    <row r="828" spans="1:29" x14ac:dyDescent="0.25">
      <c r="A828" s="18">
        <v>0</v>
      </c>
      <c r="B828" s="52" t="str">
        <f ca="1"/>
        <v/>
      </c>
      <c r="C828" s="52" t="str">
        <f ca="1">IFERROR(__xludf.DUMMYFUNCTION("""COMPUTED_VALUE"""),"")</f>
        <v/>
      </c>
      <c r="D828" s="18" t="str">
        <f ca="1">IFERROR(__xludf.DUMMYFUNCTION("""COMPUTED_VALUE"""),"")</f>
        <v/>
      </c>
      <c r="E828" s="18" t="str">
        <f ca="1">IFERROR(__xludf.DUMMYFUNCTION("""COMPUTED_VALUE"""),"")</f>
        <v/>
      </c>
      <c r="F828" s="18" t="str">
        <f ca="1">IFERROR(__xludf.DUMMYFUNCTION("""COMPUTED_VALUE"""),"")</f>
        <v/>
      </c>
      <c r="G828" s="18" t="str">
        <f ca="1">IFERROR(__xludf.DUMMYFUNCTION("""COMPUTED_VALUE"""),"")</f>
        <v/>
      </c>
      <c r="H828" s="18" t="str">
        <f ca="1">IFERROR(__xludf.DUMMYFUNCTION("""COMPUTED_VALUE"""),"")</f>
        <v/>
      </c>
      <c r="I828" s="18" t="str">
        <f ca="1">IFERROR(__xludf.DUMMYFUNCTION("""COMPUTED_VALUE"""),"")</f>
        <v/>
      </c>
      <c r="J828" s="18" t="str">
        <f ca="1">IFERROR(__xludf.DUMMYFUNCTION("""COMPUTED_VALUE"""),"")</f>
        <v/>
      </c>
      <c r="K828" s="18" t="str">
        <f ca="1">IFERROR(__xludf.DUMMYFUNCTION("""COMPUTED_VALUE"""),"")</f>
        <v/>
      </c>
      <c r="L828" s="18" t="str">
        <f ca="1">IFERROR(__xludf.DUMMYFUNCTION("""COMPUTED_VALUE"""),"")</f>
        <v/>
      </c>
      <c r="M828" s="18" t="str">
        <f ca="1">IFERROR(__xludf.DUMMYFUNCTION("""COMPUTED_VALUE"""),"")</f>
        <v/>
      </c>
      <c r="N828" s="18" t="str">
        <f ca="1">IFERROR(__xludf.DUMMYFUNCTION("""COMPUTED_VALUE"""),"")</f>
        <v/>
      </c>
      <c r="O828" s="18" t="str">
        <f ca="1">IFERROR(__xludf.DUMMYFUNCTION("""COMPUTED_VALUE"""),"")</f>
        <v/>
      </c>
      <c r="P828" s="18" t="str">
        <f ca="1">IFERROR(__xludf.DUMMYFUNCTION("""COMPUTED_VALUE"""),"")</f>
        <v/>
      </c>
      <c r="Q828" s="18" t="str">
        <f ca="1">IFERROR(__xludf.DUMMYFUNCTION("""COMPUTED_VALUE"""),"")</f>
        <v/>
      </c>
      <c r="R828" s="18" t="str">
        <f ca="1">IFERROR(__xludf.DUMMYFUNCTION("""COMPUTED_VALUE"""),"")</f>
        <v/>
      </c>
      <c r="S828" s="18" t="str">
        <f ca="1">IFERROR(__xludf.DUMMYFUNCTION("""COMPUTED_VALUE"""),"")</f>
        <v/>
      </c>
      <c r="T828" s="18" t="str">
        <f ca="1">IFERROR(__xludf.DUMMYFUNCTION("""COMPUTED_VALUE"""),"")</f>
        <v/>
      </c>
      <c r="U828" s="18" t="str">
        <f ca="1">IFERROR(__xludf.DUMMYFUNCTION("""COMPUTED_VALUE"""),"")</f>
        <v/>
      </c>
      <c r="V828" s="18" t="str">
        <f ca="1">IFERROR(__xludf.DUMMYFUNCTION("""COMPUTED_VALUE"""),"")</f>
        <v/>
      </c>
      <c r="W828" s="18" t="str">
        <f ca="1">IFERROR(__xludf.DUMMYFUNCTION("""COMPUTED_VALUE"""),"")</f>
        <v/>
      </c>
      <c r="X828" s="18" t="str">
        <f ca="1">IFERROR(__xludf.DUMMYFUNCTION("""COMPUTED_VALUE"""),"")</f>
        <v/>
      </c>
      <c r="Y828" s="18" t="e">
        <f ca="1"/>
        <v>#NAME?</v>
      </c>
      <c r="Z828" s="18" t="str">
        <f ca="1">IFERROR(__xludf.DUMMYFUNCTION("""COMPUTED_VALUE"""),"")</f>
        <v/>
      </c>
      <c r="AA828" s="18" t="str">
        <f ca="1">IFERROR(__xludf.DUMMYFUNCTION("""COMPUTED_VALUE"""),"")</f>
        <v/>
      </c>
      <c r="AC828" s="59"/>
    </row>
    <row r="829" spans="1:29" x14ac:dyDescent="0.25">
      <c r="A829" s="18">
        <v>0</v>
      </c>
      <c r="B829" s="52" t="str">
        <f ca="1"/>
        <v/>
      </c>
      <c r="C829" s="52" t="str">
        <f ca="1">IFERROR(__xludf.DUMMYFUNCTION("""COMPUTED_VALUE"""),"")</f>
        <v/>
      </c>
      <c r="D829" s="18" t="str">
        <f ca="1">IFERROR(__xludf.DUMMYFUNCTION("""COMPUTED_VALUE"""),"")</f>
        <v/>
      </c>
      <c r="E829" s="18" t="str">
        <f ca="1">IFERROR(__xludf.DUMMYFUNCTION("""COMPUTED_VALUE"""),"")</f>
        <v/>
      </c>
      <c r="F829" s="18" t="str">
        <f ca="1">IFERROR(__xludf.DUMMYFUNCTION("""COMPUTED_VALUE"""),"")</f>
        <v/>
      </c>
      <c r="G829" s="18" t="str">
        <f ca="1">IFERROR(__xludf.DUMMYFUNCTION("""COMPUTED_VALUE"""),"")</f>
        <v/>
      </c>
      <c r="H829" s="18" t="str">
        <f ca="1">IFERROR(__xludf.DUMMYFUNCTION("""COMPUTED_VALUE"""),"")</f>
        <v/>
      </c>
      <c r="I829" s="18" t="str">
        <f ca="1">IFERROR(__xludf.DUMMYFUNCTION("""COMPUTED_VALUE"""),"")</f>
        <v/>
      </c>
      <c r="J829" s="18" t="str">
        <f ca="1">IFERROR(__xludf.DUMMYFUNCTION("""COMPUTED_VALUE"""),"")</f>
        <v/>
      </c>
      <c r="K829" s="18" t="str">
        <f ca="1">IFERROR(__xludf.DUMMYFUNCTION("""COMPUTED_VALUE"""),"")</f>
        <v/>
      </c>
      <c r="L829" s="18" t="str">
        <f ca="1">IFERROR(__xludf.DUMMYFUNCTION("""COMPUTED_VALUE"""),"")</f>
        <v/>
      </c>
      <c r="M829" s="18" t="str">
        <f ca="1">IFERROR(__xludf.DUMMYFUNCTION("""COMPUTED_VALUE"""),"")</f>
        <v/>
      </c>
      <c r="N829" s="18" t="str">
        <f ca="1">IFERROR(__xludf.DUMMYFUNCTION("""COMPUTED_VALUE"""),"")</f>
        <v/>
      </c>
      <c r="O829" s="18" t="str">
        <f ca="1">IFERROR(__xludf.DUMMYFUNCTION("""COMPUTED_VALUE"""),"")</f>
        <v/>
      </c>
      <c r="P829" s="18" t="str">
        <f ca="1">IFERROR(__xludf.DUMMYFUNCTION("""COMPUTED_VALUE"""),"")</f>
        <v/>
      </c>
      <c r="Q829" s="18" t="str">
        <f ca="1">IFERROR(__xludf.DUMMYFUNCTION("""COMPUTED_VALUE"""),"")</f>
        <v/>
      </c>
      <c r="R829" s="18" t="str">
        <f ca="1">IFERROR(__xludf.DUMMYFUNCTION("""COMPUTED_VALUE"""),"")</f>
        <v/>
      </c>
      <c r="S829" s="18" t="str">
        <f ca="1">IFERROR(__xludf.DUMMYFUNCTION("""COMPUTED_VALUE"""),"")</f>
        <v/>
      </c>
      <c r="T829" s="18" t="str">
        <f ca="1">IFERROR(__xludf.DUMMYFUNCTION("""COMPUTED_VALUE"""),"")</f>
        <v/>
      </c>
      <c r="U829" s="18" t="str">
        <f ca="1">IFERROR(__xludf.DUMMYFUNCTION("""COMPUTED_VALUE"""),"")</f>
        <v/>
      </c>
      <c r="V829" s="18" t="str">
        <f ca="1">IFERROR(__xludf.DUMMYFUNCTION("""COMPUTED_VALUE"""),"")</f>
        <v/>
      </c>
      <c r="W829" s="18" t="str">
        <f ca="1">IFERROR(__xludf.DUMMYFUNCTION("""COMPUTED_VALUE"""),"")</f>
        <v/>
      </c>
      <c r="X829" s="18" t="str">
        <f ca="1">IFERROR(__xludf.DUMMYFUNCTION("""COMPUTED_VALUE"""),"")</f>
        <v/>
      </c>
      <c r="Y829" s="18" t="e">
        <f ca="1"/>
        <v>#NAME?</v>
      </c>
      <c r="Z829" s="18" t="str">
        <f ca="1">IFERROR(__xludf.DUMMYFUNCTION("""COMPUTED_VALUE"""),"")</f>
        <v/>
      </c>
      <c r="AA829" s="18" t="str">
        <f ca="1">IFERROR(__xludf.DUMMYFUNCTION("""COMPUTED_VALUE"""),"")</f>
        <v/>
      </c>
      <c r="AC829" s="59"/>
    </row>
    <row r="830" spans="1:29" x14ac:dyDescent="0.25">
      <c r="A830" s="18">
        <v>0</v>
      </c>
      <c r="B830" s="52" t="str">
        <f ca="1"/>
        <v/>
      </c>
      <c r="C830" s="52" t="str">
        <f ca="1">IFERROR(__xludf.DUMMYFUNCTION("""COMPUTED_VALUE"""),"")</f>
        <v/>
      </c>
      <c r="D830" s="18" t="str">
        <f ca="1">IFERROR(__xludf.DUMMYFUNCTION("""COMPUTED_VALUE"""),"")</f>
        <v/>
      </c>
      <c r="E830" s="18" t="str">
        <f ca="1">IFERROR(__xludf.DUMMYFUNCTION("""COMPUTED_VALUE"""),"")</f>
        <v/>
      </c>
      <c r="F830" s="18" t="str">
        <f ca="1">IFERROR(__xludf.DUMMYFUNCTION("""COMPUTED_VALUE"""),"")</f>
        <v/>
      </c>
      <c r="G830" s="18" t="str">
        <f ca="1">IFERROR(__xludf.DUMMYFUNCTION("""COMPUTED_VALUE"""),"")</f>
        <v/>
      </c>
      <c r="H830" s="18" t="str">
        <f ca="1">IFERROR(__xludf.DUMMYFUNCTION("""COMPUTED_VALUE"""),"")</f>
        <v/>
      </c>
      <c r="I830" s="18" t="str">
        <f ca="1">IFERROR(__xludf.DUMMYFUNCTION("""COMPUTED_VALUE"""),"")</f>
        <v/>
      </c>
      <c r="J830" s="18" t="str">
        <f ca="1">IFERROR(__xludf.DUMMYFUNCTION("""COMPUTED_VALUE"""),"")</f>
        <v/>
      </c>
      <c r="K830" s="18" t="str">
        <f ca="1">IFERROR(__xludf.DUMMYFUNCTION("""COMPUTED_VALUE"""),"")</f>
        <v/>
      </c>
      <c r="L830" s="18" t="str">
        <f ca="1">IFERROR(__xludf.DUMMYFUNCTION("""COMPUTED_VALUE"""),"")</f>
        <v/>
      </c>
      <c r="M830" s="18" t="str">
        <f ca="1">IFERROR(__xludf.DUMMYFUNCTION("""COMPUTED_VALUE"""),"")</f>
        <v/>
      </c>
      <c r="N830" s="18" t="str">
        <f ca="1">IFERROR(__xludf.DUMMYFUNCTION("""COMPUTED_VALUE"""),"")</f>
        <v/>
      </c>
      <c r="O830" s="18" t="str">
        <f ca="1">IFERROR(__xludf.DUMMYFUNCTION("""COMPUTED_VALUE"""),"")</f>
        <v/>
      </c>
      <c r="P830" s="18" t="str">
        <f ca="1">IFERROR(__xludf.DUMMYFUNCTION("""COMPUTED_VALUE"""),"")</f>
        <v/>
      </c>
      <c r="Q830" s="18" t="str">
        <f ca="1">IFERROR(__xludf.DUMMYFUNCTION("""COMPUTED_VALUE"""),"")</f>
        <v/>
      </c>
      <c r="R830" s="18" t="str">
        <f ca="1">IFERROR(__xludf.DUMMYFUNCTION("""COMPUTED_VALUE"""),"")</f>
        <v/>
      </c>
      <c r="S830" s="18" t="str">
        <f ca="1">IFERROR(__xludf.DUMMYFUNCTION("""COMPUTED_VALUE"""),"")</f>
        <v/>
      </c>
      <c r="T830" s="18" t="str">
        <f ca="1">IFERROR(__xludf.DUMMYFUNCTION("""COMPUTED_VALUE"""),"")</f>
        <v/>
      </c>
      <c r="U830" s="18" t="str">
        <f ca="1">IFERROR(__xludf.DUMMYFUNCTION("""COMPUTED_VALUE"""),"")</f>
        <v/>
      </c>
      <c r="V830" s="18" t="str">
        <f ca="1">IFERROR(__xludf.DUMMYFUNCTION("""COMPUTED_VALUE"""),"")</f>
        <v/>
      </c>
      <c r="W830" s="18" t="str">
        <f ca="1">IFERROR(__xludf.DUMMYFUNCTION("""COMPUTED_VALUE"""),"")</f>
        <v/>
      </c>
      <c r="X830" s="18" t="str">
        <f ca="1">IFERROR(__xludf.DUMMYFUNCTION("""COMPUTED_VALUE"""),"")</f>
        <v/>
      </c>
      <c r="Y830" s="18" t="e">
        <f ca="1"/>
        <v>#NAME?</v>
      </c>
      <c r="Z830" s="18" t="str">
        <f ca="1">IFERROR(__xludf.DUMMYFUNCTION("""COMPUTED_VALUE"""),"")</f>
        <v/>
      </c>
      <c r="AA830" s="18" t="str">
        <f ca="1">IFERROR(__xludf.DUMMYFUNCTION("""COMPUTED_VALUE"""),"")</f>
        <v/>
      </c>
      <c r="AC830" s="59"/>
    </row>
    <row r="831" spans="1:29" x14ac:dyDescent="0.25">
      <c r="A831" s="18">
        <v>0</v>
      </c>
      <c r="B831" s="52" t="str">
        <f ca="1"/>
        <v/>
      </c>
      <c r="C831" s="52" t="str">
        <f ca="1">IFERROR(__xludf.DUMMYFUNCTION("""COMPUTED_VALUE"""),"")</f>
        <v/>
      </c>
      <c r="D831" s="18" t="str">
        <f ca="1">IFERROR(__xludf.DUMMYFUNCTION("""COMPUTED_VALUE"""),"")</f>
        <v/>
      </c>
      <c r="E831" s="18" t="str">
        <f ca="1">IFERROR(__xludf.DUMMYFUNCTION("""COMPUTED_VALUE"""),"")</f>
        <v/>
      </c>
      <c r="F831" s="18" t="str">
        <f ca="1">IFERROR(__xludf.DUMMYFUNCTION("""COMPUTED_VALUE"""),"")</f>
        <v/>
      </c>
      <c r="G831" s="18" t="str">
        <f ca="1">IFERROR(__xludf.DUMMYFUNCTION("""COMPUTED_VALUE"""),"")</f>
        <v/>
      </c>
      <c r="H831" s="18" t="str">
        <f ca="1">IFERROR(__xludf.DUMMYFUNCTION("""COMPUTED_VALUE"""),"")</f>
        <v/>
      </c>
      <c r="I831" s="18" t="str">
        <f ca="1">IFERROR(__xludf.DUMMYFUNCTION("""COMPUTED_VALUE"""),"")</f>
        <v/>
      </c>
      <c r="J831" s="18" t="str">
        <f ca="1">IFERROR(__xludf.DUMMYFUNCTION("""COMPUTED_VALUE"""),"")</f>
        <v/>
      </c>
      <c r="K831" s="18" t="str">
        <f ca="1">IFERROR(__xludf.DUMMYFUNCTION("""COMPUTED_VALUE"""),"")</f>
        <v/>
      </c>
      <c r="L831" s="18" t="str">
        <f ca="1">IFERROR(__xludf.DUMMYFUNCTION("""COMPUTED_VALUE"""),"")</f>
        <v/>
      </c>
      <c r="M831" s="18" t="str">
        <f ca="1">IFERROR(__xludf.DUMMYFUNCTION("""COMPUTED_VALUE"""),"")</f>
        <v/>
      </c>
      <c r="N831" s="18" t="str">
        <f ca="1">IFERROR(__xludf.DUMMYFUNCTION("""COMPUTED_VALUE"""),"")</f>
        <v/>
      </c>
      <c r="O831" s="18" t="str">
        <f ca="1">IFERROR(__xludf.DUMMYFUNCTION("""COMPUTED_VALUE"""),"")</f>
        <v/>
      </c>
      <c r="P831" s="18" t="str">
        <f ca="1">IFERROR(__xludf.DUMMYFUNCTION("""COMPUTED_VALUE"""),"")</f>
        <v/>
      </c>
      <c r="Q831" s="18" t="str">
        <f ca="1">IFERROR(__xludf.DUMMYFUNCTION("""COMPUTED_VALUE"""),"")</f>
        <v/>
      </c>
      <c r="R831" s="18" t="str">
        <f ca="1">IFERROR(__xludf.DUMMYFUNCTION("""COMPUTED_VALUE"""),"")</f>
        <v/>
      </c>
      <c r="S831" s="18" t="str">
        <f ca="1">IFERROR(__xludf.DUMMYFUNCTION("""COMPUTED_VALUE"""),"")</f>
        <v/>
      </c>
      <c r="T831" s="18" t="str">
        <f ca="1">IFERROR(__xludf.DUMMYFUNCTION("""COMPUTED_VALUE"""),"")</f>
        <v/>
      </c>
      <c r="U831" s="18" t="str">
        <f ca="1">IFERROR(__xludf.DUMMYFUNCTION("""COMPUTED_VALUE"""),"")</f>
        <v/>
      </c>
      <c r="V831" s="18" t="str">
        <f ca="1">IFERROR(__xludf.DUMMYFUNCTION("""COMPUTED_VALUE"""),"")</f>
        <v/>
      </c>
      <c r="W831" s="18" t="str">
        <f ca="1">IFERROR(__xludf.DUMMYFUNCTION("""COMPUTED_VALUE"""),"")</f>
        <v/>
      </c>
      <c r="X831" s="18" t="str">
        <f ca="1">IFERROR(__xludf.DUMMYFUNCTION("""COMPUTED_VALUE"""),"")</f>
        <v/>
      </c>
      <c r="Y831" s="18" t="e">
        <f ca="1"/>
        <v>#NAME?</v>
      </c>
      <c r="Z831" s="18" t="str">
        <f ca="1">IFERROR(__xludf.DUMMYFUNCTION("""COMPUTED_VALUE"""),"")</f>
        <v/>
      </c>
      <c r="AA831" s="18" t="str">
        <f ca="1">IFERROR(__xludf.DUMMYFUNCTION("""COMPUTED_VALUE"""),"")</f>
        <v/>
      </c>
      <c r="AC831" s="59"/>
    </row>
    <row r="832" spans="1:29" x14ac:dyDescent="0.25">
      <c r="A832" s="18">
        <v>0</v>
      </c>
      <c r="B832" s="52" t="str">
        <f ca="1"/>
        <v/>
      </c>
      <c r="C832" s="52" t="str">
        <f ca="1">IFERROR(__xludf.DUMMYFUNCTION("""COMPUTED_VALUE"""),"")</f>
        <v/>
      </c>
      <c r="D832" s="18" t="str">
        <f ca="1">IFERROR(__xludf.DUMMYFUNCTION("""COMPUTED_VALUE"""),"")</f>
        <v/>
      </c>
      <c r="E832" s="18" t="str">
        <f ca="1">IFERROR(__xludf.DUMMYFUNCTION("""COMPUTED_VALUE"""),"")</f>
        <v/>
      </c>
      <c r="F832" s="18" t="str">
        <f ca="1">IFERROR(__xludf.DUMMYFUNCTION("""COMPUTED_VALUE"""),"")</f>
        <v/>
      </c>
      <c r="G832" s="18" t="str">
        <f ca="1">IFERROR(__xludf.DUMMYFUNCTION("""COMPUTED_VALUE"""),"")</f>
        <v/>
      </c>
      <c r="H832" s="18" t="str">
        <f ca="1">IFERROR(__xludf.DUMMYFUNCTION("""COMPUTED_VALUE"""),"")</f>
        <v/>
      </c>
      <c r="I832" s="18" t="str">
        <f ca="1">IFERROR(__xludf.DUMMYFUNCTION("""COMPUTED_VALUE"""),"")</f>
        <v/>
      </c>
      <c r="J832" s="18" t="str">
        <f ca="1">IFERROR(__xludf.DUMMYFUNCTION("""COMPUTED_VALUE"""),"")</f>
        <v/>
      </c>
      <c r="K832" s="18" t="str">
        <f ca="1">IFERROR(__xludf.DUMMYFUNCTION("""COMPUTED_VALUE"""),"")</f>
        <v/>
      </c>
      <c r="L832" s="18" t="str">
        <f ca="1">IFERROR(__xludf.DUMMYFUNCTION("""COMPUTED_VALUE"""),"")</f>
        <v/>
      </c>
      <c r="M832" s="18" t="str">
        <f ca="1">IFERROR(__xludf.DUMMYFUNCTION("""COMPUTED_VALUE"""),"")</f>
        <v/>
      </c>
      <c r="N832" s="18" t="str">
        <f ca="1">IFERROR(__xludf.DUMMYFUNCTION("""COMPUTED_VALUE"""),"")</f>
        <v/>
      </c>
      <c r="O832" s="18" t="str">
        <f ca="1">IFERROR(__xludf.DUMMYFUNCTION("""COMPUTED_VALUE"""),"")</f>
        <v/>
      </c>
      <c r="P832" s="18" t="str">
        <f ca="1">IFERROR(__xludf.DUMMYFUNCTION("""COMPUTED_VALUE"""),"")</f>
        <v/>
      </c>
      <c r="Q832" s="18" t="str">
        <f ca="1">IFERROR(__xludf.DUMMYFUNCTION("""COMPUTED_VALUE"""),"")</f>
        <v/>
      </c>
      <c r="R832" s="18" t="str">
        <f ca="1">IFERROR(__xludf.DUMMYFUNCTION("""COMPUTED_VALUE"""),"")</f>
        <v/>
      </c>
      <c r="S832" s="18" t="str">
        <f ca="1">IFERROR(__xludf.DUMMYFUNCTION("""COMPUTED_VALUE"""),"")</f>
        <v/>
      </c>
      <c r="T832" s="18" t="str">
        <f ca="1">IFERROR(__xludf.DUMMYFUNCTION("""COMPUTED_VALUE"""),"")</f>
        <v/>
      </c>
      <c r="U832" s="18" t="str">
        <f ca="1">IFERROR(__xludf.DUMMYFUNCTION("""COMPUTED_VALUE"""),"")</f>
        <v/>
      </c>
      <c r="V832" s="18" t="str">
        <f ca="1">IFERROR(__xludf.DUMMYFUNCTION("""COMPUTED_VALUE"""),"")</f>
        <v/>
      </c>
      <c r="W832" s="18" t="str">
        <f ca="1">IFERROR(__xludf.DUMMYFUNCTION("""COMPUTED_VALUE"""),"")</f>
        <v/>
      </c>
      <c r="X832" s="18" t="str">
        <f ca="1">IFERROR(__xludf.DUMMYFUNCTION("""COMPUTED_VALUE"""),"")</f>
        <v/>
      </c>
      <c r="Y832" s="18" t="e">
        <f ca="1"/>
        <v>#NAME?</v>
      </c>
      <c r="Z832" s="18" t="str">
        <f ca="1">IFERROR(__xludf.DUMMYFUNCTION("""COMPUTED_VALUE"""),"")</f>
        <v/>
      </c>
      <c r="AA832" s="18" t="str">
        <f ca="1">IFERROR(__xludf.DUMMYFUNCTION("""COMPUTED_VALUE"""),"")</f>
        <v/>
      </c>
      <c r="AC832" s="59"/>
    </row>
    <row r="833" spans="1:29" x14ac:dyDescent="0.25">
      <c r="A833" s="18">
        <v>0</v>
      </c>
      <c r="B833" s="52" t="str">
        <f ca="1"/>
        <v/>
      </c>
      <c r="C833" s="52" t="str">
        <f ca="1">IFERROR(__xludf.DUMMYFUNCTION("""COMPUTED_VALUE"""),"")</f>
        <v/>
      </c>
      <c r="D833" s="18" t="str">
        <f ca="1">IFERROR(__xludf.DUMMYFUNCTION("""COMPUTED_VALUE"""),"")</f>
        <v/>
      </c>
      <c r="E833" s="18" t="str">
        <f ca="1">IFERROR(__xludf.DUMMYFUNCTION("""COMPUTED_VALUE"""),"")</f>
        <v/>
      </c>
      <c r="F833" s="18" t="str">
        <f ca="1">IFERROR(__xludf.DUMMYFUNCTION("""COMPUTED_VALUE"""),"")</f>
        <v/>
      </c>
      <c r="G833" s="18" t="str">
        <f ca="1">IFERROR(__xludf.DUMMYFUNCTION("""COMPUTED_VALUE"""),"")</f>
        <v/>
      </c>
      <c r="H833" s="18" t="str">
        <f ca="1">IFERROR(__xludf.DUMMYFUNCTION("""COMPUTED_VALUE"""),"")</f>
        <v/>
      </c>
      <c r="I833" s="18" t="str">
        <f ca="1">IFERROR(__xludf.DUMMYFUNCTION("""COMPUTED_VALUE"""),"")</f>
        <v/>
      </c>
      <c r="J833" s="18" t="str">
        <f ca="1">IFERROR(__xludf.DUMMYFUNCTION("""COMPUTED_VALUE"""),"")</f>
        <v/>
      </c>
      <c r="K833" s="18" t="str">
        <f ca="1">IFERROR(__xludf.DUMMYFUNCTION("""COMPUTED_VALUE"""),"")</f>
        <v/>
      </c>
      <c r="L833" s="18" t="str">
        <f ca="1">IFERROR(__xludf.DUMMYFUNCTION("""COMPUTED_VALUE"""),"")</f>
        <v/>
      </c>
      <c r="M833" s="18" t="str">
        <f ca="1">IFERROR(__xludf.DUMMYFUNCTION("""COMPUTED_VALUE"""),"")</f>
        <v/>
      </c>
      <c r="N833" s="18" t="str">
        <f ca="1">IFERROR(__xludf.DUMMYFUNCTION("""COMPUTED_VALUE"""),"")</f>
        <v/>
      </c>
      <c r="O833" s="18" t="str">
        <f ca="1">IFERROR(__xludf.DUMMYFUNCTION("""COMPUTED_VALUE"""),"")</f>
        <v/>
      </c>
      <c r="P833" s="18" t="str">
        <f ca="1">IFERROR(__xludf.DUMMYFUNCTION("""COMPUTED_VALUE"""),"")</f>
        <v/>
      </c>
      <c r="Q833" s="18" t="str">
        <f ca="1">IFERROR(__xludf.DUMMYFUNCTION("""COMPUTED_VALUE"""),"")</f>
        <v/>
      </c>
      <c r="R833" s="18" t="str">
        <f ca="1">IFERROR(__xludf.DUMMYFUNCTION("""COMPUTED_VALUE"""),"")</f>
        <v/>
      </c>
      <c r="S833" s="18" t="str">
        <f ca="1">IFERROR(__xludf.DUMMYFUNCTION("""COMPUTED_VALUE"""),"")</f>
        <v/>
      </c>
      <c r="T833" s="18" t="str">
        <f ca="1">IFERROR(__xludf.DUMMYFUNCTION("""COMPUTED_VALUE"""),"")</f>
        <v/>
      </c>
      <c r="U833" s="18" t="str">
        <f ca="1">IFERROR(__xludf.DUMMYFUNCTION("""COMPUTED_VALUE"""),"")</f>
        <v/>
      </c>
      <c r="V833" s="18" t="str">
        <f ca="1">IFERROR(__xludf.DUMMYFUNCTION("""COMPUTED_VALUE"""),"")</f>
        <v/>
      </c>
      <c r="W833" s="18" t="str">
        <f ca="1">IFERROR(__xludf.DUMMYFUNCTION("""COMPUTED_VALUE"""),"")</f>
        <v/>
      </c>
      <c r="X833" s="18" t="str">
        <f ca="1">IFERROR(__xludf.DUMMYFUNCTION("""COMPUTED_VALUE"""),"")</f>
        <v/>
      </c>
      <c r="Y833" s="18" t="e">
        <f ca="1"/>
        <v>#NAME?</v>
      </c>
      <c r="Z833" s="18" t="str">
        <f ca="1">IFERROR(__xludf.DUMMYFUNCTION("""COMPUTED_VALUE"""),"")</f>
        <v/>
      </c>
      <c r="AA833" s="18" t="str">
        <f ca="1">IFERROR(__xludf.DUMMYFUNCTION("""COMPUTED_VALUE"""),"")</f>
        <v/>
      </c>
      <c r="AC833" s="59"/>
    </row>
    <row r="834" spans="1:29" x14ac:dyDescent="0.25">
      <c r="A834" s="18">
        <v>0</v>
      </c>
      <c r="B834" s="52" t="str">
        <f ca="1"/>
        <v/>
      </c>
      <c r="C834" s="52" t="str">
        <f ca="1">IFERROR(__xludf.DUMMYFUNCTION("""COMPUTED_VALUE"""),"")</f>
        <v/>
      </c>
      <c r="D834" s="18" t="str">
        <f ca="1">IFERROR(__xludf.DUMMYFUNCTION("""COMPUTED_VALUE"""),"")</f>
        <v/>
      </c>
      <c r="E834" s="18" t="str">
        <f ca="1">IFERROR(__xludf.DUMMYFUNCTION("""COMPUTED_VALUE"""),"")</f>
        <v/>
      </c>
      <c r="F834" s="18" t="str">
        <f ca="1">IFERROR(__xludf.DUMMYFUNCTION("""COMPUTED_VALUE"""),"")</f>
        <v/>
      </c>
      <c r="G834" s="18" t="str">
        <f ca="1">IFERROR(__xludf.DUMMYFUNCTION("""COMPUTED_VALUE"""),"")</f>
        <v/>
      </c>
      <c r="H834" s="18" t="str">
        <f ca="1">IFERROR(__xludf.DUMMYFUNCTION("""COMPUTED_VALUE"""),"")</f>
        <v/>
      </c>
      <c r="I834" s="18" t="str">
        <f ca="1">IFERROR(__xludf.DUMMYFUNCTION("""COMPUTED_VALUE"""),"")</f>
        <v/>
      </c>
      <c r="J834" s="18" t="str">
        <f ca="1">IFERROR(__xludf.DUMMYFUNCTION("""COMPUTED_VALUE"""),"")</f>
        <v/>
      </c>
      <c r="K834" s="18" t="str">
        <f ca="1">IFERROR(__xludf.DUMMYFUNCTION("""COMPUTED_VALUE"""),"")</f>
        <v/>
      </c>
      <c r="L834" s="18" t="str">
        <f ca="1">IFERROR(__xludf.DUMMYFUNCTION("""COMPUTED_VALUE"""),"")</f>
        <v/>
      </c>
      <c r="M834" s="18" t="str">
        <f ca="1">IFERROR(__xludf.DUMMYFUNCTION("""COMPUTED_VALUE"""),"")</f>
        <v/>
      </c>
      <c r="N834" s="18" t="str">
        <f ca="1">IFERROR(__xludf.DUMMYFUNCTION("""COMPUTED_VALUE"""),"")</f>
        <v/>
      </c>
      <c r="O834" s="18" t="str">
        <f ca="1">IFERROR(__xludf.DUMMYFUNCTION("""COMPUTED_VALUE"""),"")</f>
        <v/>
      </c>
      <c r="P834" s="18" t="str">
        <f ca="1">IFERROR(__xludf.DUMMYFUNCTION("""COMPUTED_VALUE"""),"")</f>
        <v/>
      </c>
      <c r="Q834" s="18" t="str">
        <f ca="1">IFERROR(__xludf.DUMMYFUNCTION("""COMPUTED_VALUE"""),"")</f>
        <v/>
      </c>
      <c r="R834" s="18" t="str">
        <f ca="1">IFERROR(__xludf.DUMMYFUNCTION("""COMPUTED_VALUE"""),"")</f>
        <v/>
      </c>
      <c r="S834" s="18" t="str">
        <f ca="1">IFERROR(__xludf.DUMMYFUNCTION("""COMPUTED_VALUE"""),"")</f>
        <v/>
      </c>
      <c r="T834" s="18" t="str">
        <f ca="1">IFERROR(__xludf.DUMMYFUNCTION("""COMPUTED_VALUE"""),"")</f>
        <v/>
      </c>
      <c r="U834" s="18" t="str">
        <f ca="1">IFERROR(__xludf.DUMMYFUNCTION("""COMPUTED_VALUE"""),"")</f>
        <v/>
      </c>
      <c r="V834" s="18" t="str">
        <f ca="1">IFERROR(__xludf.DUMMYFUNCTION("""COMPUTED_VALUE"""),"")</f>
        <v/>
      </c>
      <c r="W834" s="18" t="str">
        <f ca="1">IFERROR(__xludf.DUMMYFUNCTION("""COMPUTED_VALUE"""),"")</f>
        <v/>
      </c>
      <c r="X834" s="18" t="str">
        <f ca="1">IFERROR(__xludf.DUMMYFUNCTION("""COMPUTED_VALUE"""),"")</f>
        <v/>
      </c>
      <c r="Y834" s="18" t="e">
        <f ca="1"/>
        <v>#NAME?</v>
      </c>
      <c r="Z834" s="18" t="str">
        <f ca="1">IFERROR(__xludf.DUMMYFUNCTION("""COMPUTED_VALUE"""),"")</f>
        <v/>
      </c>
      <c r="AA834" s="18" t="str">
        <f ca="1">IFERROR(__xludf.DUMMYFUNCTION("""COMPUTED_VALUE"""),"")</f>
        <v/>
      </c>
      <c r="AC834" s="59"/>
    </row>
    <row r="835" spans="1:29" x14ac:dyDescent="0.25">
      <c r="A835" s="18">
        <v>0</v>
      </c>
      <c r="B835" s="52" t="str">
        <f ca="1"/>
        <v/>
      </c>
      <c r="C835" s="52" t="str">
        <f ca="1">IFERROR(__xludf.DUMMYFUNCTION("""COMPUTED_VALUE"""),"")</f>
        <v/>
      </c>
      <c r="D835" s="18" t="str">
        <f ca="1">IFERROR(__xludf.DUMMYFUNCTION("""COMPUTED_VALUE"""),"")</f>
        <v/>
      </c>
      <c r="E835" s="18" t="str">
        <f ca="1">IFERROR(__xludf.DUMMYFUNCTION("""COMPUTED_VALUE"""),"")</f>
        <v/>
      </c>
      <c r="F835" s="18" t="str">
        <f ca="1">IFERROR(__xludf.DUMMYFUNCTION("""COMPUTED_VALUE"""),"")</f>
        <v/>
      </c>
      <c r="G835" s="18" t="str">
        <f ca="1">IFERROR(__xludf.DUMMYFUNCTION("""COMPUTED_VALUE"""),"")</f>
        <v/>
      </c>
      <c r="H835" s="18" t="str">
        <f ca="1">IFERROR(__xludf.DUMMYFUNCTION("""COMPUTED_VALUE"""),"")</f>
        <v/>
      </c>
      <c r="I835" s="18" t="str">
        <f ca="1">IFERROR(__xludf.DUMMYFUNCTION("""COMPUTED_VALUE"""),"")</f>
        <v/>
      </c>
      <c r="J835" s="18" t="str">
        <f ca="1">IFERROR(__xludf.DUMMYFUNCTION("""COMPUTED_VALUE"""),"")</f>
        <v/>
      </c>
      <c r="K835" s="18" t="str">
        <f ca="1">IFERROR(__xludf.DUMMYFUNCTION("""COMPUTED_VALUE"""),"")</f>
        <v/>
      </c>
      <c r="L835" s="18" t="str">
        <f ca="1">IFERROR(__xludf.DUMMYFUNCTION("""COMPUTED_VALUE"""),"")</f>
        <v/>
      </c>
      <c r="M835" s="18" t="str">
        <f ca="1">IFERROR(__xludf.DUMMYFUNCTION("""COMPUTED_VALUE"""),"")</f>
        <v/>
      </c>
      <c r="N835" s="18" t="str">
        <f ca="1">IFERROR(__xludf.DUMMYFUNCTION("""COMPUTED_VALUE"""),"")</f>
        <v/>
      </c>
      <c r="O835" s="18" t="str">
        <f ca="1">IFERROR(__xludf.DUMMYFUNCTION("""COMPUTED_VALUE"""),"")</f>
        <v/>
      </c>
      <c r="P835" s="18" t="str">
        <f ca="1">IFERROR(__xludf.DUMMYFUNCTION("""COMPUTED_VALUE"""),"")</f>
        <v/>
      </c>
      <c r="Q835" s="18" t="str">
        <f ca="1">IFERROR(__xludf.DUMMYFUNCTION("""COMPUTED_VALUE"""),"")</f>
        <v/>
      </c>
      <c r="R835" s="18" t="str">
        <f ca="1">IFERROR(__xludf.DUMMYFUNCTION("""COMPUTED_VALUE"""),"")</f>
        <v/>
      </c>
      <c r="S835" s="18" t="str">
        <f ca="1">IFERROR(__xludf.DUMMYFUNCTION("""COMPUTED_VALUE"""),"")</f>
        <v/>
      </c>
      <c r="T835" s="18" t="str">
        <f ca="1">IFERROR(__xludf.DUMMYFUNCTION("""COMPUTED_VALUE"""),"")</f>
        <v/>
      </c>
      <c r="U835" s="18" t="str">
        <f ca="1">IFERROR(__xludf.DUMMYFUNCTION("""COMPUTED_VALUE"""),"")</f>
        <v/>
      </c>
      <c r="V835" s="18" t="str">
        <f ca="1">IFERROR(__xludf.DUMMYFUNCTION("""COMPUTED_VALUE"""),"")</f>
        <v/>
      </c>
      <c r="W835" s="18" t="str">
        <f ca="1">IFERROR(__xludf.DUMMYFUNCTION("""COMPUTED_VALUE"""),"")</f>
        <v/>
      </c>
      <c r="X835" s="18" t="str">
        <f ca="1">IFERROR(__xludf.DUMMYFUNCTION("""COMPUTED_VALUE"""),"")</f>
        <v/>
      </c>
      <c r="Y835" s="18" t="e">
        <f ca="1"/>
        <v>#NAME?</v>
      </c>
      <c r="Z835" s="18" t="str">
        <f ca="1">IFERROR(__xludf.DUMMYFUNCTION("""COMPUTED_VALUE"""),"")</f>
        <v/>
      </c>
      <c r="AA835" s="18" t="str">
        <f ca="1">IFERROR(__xludf.DUMMYFUNCTION("""COMPUTED_VALUE"""),"")</f>
        <v/>
      </c>
      <c r="AC835" s="59"/>
    </row>
    <row r="836" spans="1:29" x14ac:dyDescent="0.25">
      <c r="A836" s="18">
        <v>0</v>
      </c>
      <c r="B836" s="52" t="str">
        <f ca="1"/>
        <v/>
      </c>
      <c r="C836" s="52" t="str">
        <f ca="1">IFERROR(__xludf.DUMMYFUNCTION("""COMPUTED_VALUE"""),"")</f>
        <v/>
      </c>
      <c r="D836" s="18" t="str">
        <f ca="1">IFERROR(__xludf.DUMMYFUNCTION("""COMPUTED_VALUE"""),"")</f>
        <v/>
      </c>
      <c r="E836" s="18" t="str">
        <f ca="1">IFERROR(__xludf.DUMMYFUNCTION("""COMPUTED_VALUE"""),"")</f>
        <v/>
      </c>
      <c r="F836" s="18" t="str">
        <f ca="1">IFERROR(__xludf.DUMMYFUNCTION("""COMPUTED_VALUE"""),"")</f>
        <v/>
      </c>
      <c r="G836" s="18" t="str">
        <f ca="1">IFERROR(__xludf.DUMMYFUNCTION("""COMPUTED_VALUE"""),"")</f>
        <v/>
      </c>
      <c r="H836" s="18" t="str">
        <f ca="1">IFERROR(__xludf.DUMMYFUNCTION("""COMPUTED_VALUE"""),"")</f>
        <v/>
      </c>
      <c r="I836" s="18" t="str">
        <f ca="1">IFERROR(__xludf.DUMMYFUNCTION("""COMPUTED_VALUE"""),"")</f>
        <v/>
      </c>
      <c r="J836" s="18" t="str">
        <f ca="1">IFERROR(__xludf.DUMMYFUNCTION("""COMPUTED_VALUE"""),"")</f>
        <v/>
      </c>
      <c r="K836" s="18" t="str">
        <f ca="1">IFERROR(__xludf.DUMMYFUNCTION("""COMPUTED_VALUE"""),"")</f>
        <v/>
      </c>
      <c r="L836" s="18" t="str">
        <f ca="1">IFERROR(__xludf.DUMMYFUNCTION("""COMPUTED_VALUE"""),"")</f>
        <v/>
      </c>
      <c r="M836" s="18" t="str">
        <f ca="1">IFERROR(__xludf.DUMMYFUNCTION("""COMPUTED_VALUE"""),"")</f>
        <v/>
      </c>
      <c r="N836" s="18" t="str">
        <f ca="1">IFERROR(__xludf.DUMMYFUNCTION("""COMPUTED_VALUE"""),"")</f>
        <v/>
      </c>
      <c r="O836" s="18" t="str">
        <f ca="1">IFERROR(__xludf.DUMMYFUNCTION("""COMPUTED_VALUE"""),"")</f>
        <v/>
      </c>
      <c r="P836" s="18" t="str">
        <f ca="1">IFERROR(__xludf.DUMMYFUNCTION("""COMPUTED_VALUE"""),"")</f>
        <v/>
      </c>
      <c r="Q836" s="18" t="str">
        <f ca="1">IFERROR(__xludf.DUMMYFUNCTION("""COMPUTED_VALUE"""),"")</f>
        <v/>
      </c>
      <c r="R836" s="18" t="str">
        <f ca="1">IFERROR(__xludf.DUMMYFUNCTION("""COMPUTED_VALUE"""),"")</f>
        <v/>
      </c>
      <c r="S836" s="18" t="str">
        <f ca="1">IFERROR(__xludf.DUMMYFUNCTION("""COMPUTED_VALUE"""),"")</f>
        <v/>
      </c>
      <c r="T836" s="18" t="str">
        <f ca="1">IFERROR(__xludf.DUMMYFUNCTION("""COMPUTED_VALUE"""),"")</f>
        <v/>
      </c>
      <c r="U836" s="18" t="str">
        <f ca="1">IFERROR(__xludf.DUMMYFUNCTION("""COMPUTED_VALUE"""),"")</f>
        <v/>
      </c>
      <c r="V836" s="18" t="str">
        <f ca="1">IFERROR(__xludf.DUMMYFUNCTION("""COMPUTED_VALUE"""),"")</f>
        <v/>
      </c>
      <c r="W836" s="18" t="str">
        <f ca="1">IFERROR(__xludf.DUMMYFUNCTION("""COMPUTED_VALUE"""),"")</f>
        <v/>
      </c>
      <c r="X836" s="18" t="str">
        <f ca="1">IFERROR(__xludf.DUMMYFUNCTION("""COMPUTED_VALUE"""),"")</f>
        <v/>
      </c>
      <c r="Y836" s="18" t="e">
        <f ca="1"/>
        <v>#NAME?</v>
      </c>
      <c r="Z836" s="18" t="str">
        <f ca="1">IFERROR(__xludf.DUMMYFUNCTION("""COMPUTED_VALUE"""),"")</f>
        <v/>
      </c>
      <c r="AA836" s="18" t="str">
        <f ca="1">IFERROR(__xludf.DUMMYFUNCTION("""COMPUTED_VALUE"""),"")</f>
        <v/>
      </c>
      <c r="AC836" s="59"/>
    </row>
    <row r="837" spans="1:29" x14ac:dyDescent="0.25">
      <c r="A837" s="18">
        <v>0</v>
      </c>
      <c r="B837" s="52" t="str">
        <f ca="1"/>
        <v/>
      </c>
      <c r="C837" s="52" t="str">
        <f ca="1">IFERROR(__xludf.DUMMYFUNCTION("""COMPUTED_VALUE"""),"")</f>
        <v/>
      </c>
      <c r="D837" s="18" t="str">
        <f ca="1">IFERROR(__xludf.DUMMYFUNCTION("""COMPUTED_VALUE"""),"")</f>
        <v/>
      </c>
      <c r="E837" s="18" t="str">
        <f ca="1">IFERROR(__xludf.DUMMYFUNCTION("""COMPUTED_VALUE"""),"")</f>
        <v/>
      </c>
      <c r="F837" s="18" t="str">
        <f ca="1">IFERROR(__xludf.DUMMYFUNCTION("""COMPUTED_VALUE"""),"")</f>
        <v/>
      </c>
      <c r="G837" s="18" t="str">
        <f ca="1">IFERROR(__xludf.DUMMYFUNCTION("""COMPUTED_VALUE"""),"")</f>
        <v/>
      </c>
      <c r="H837" s="18" t="str">
        <f ca="1">IFERROR(__xludf.DUMMYFUNCTION("""COMPUTED_VALUE"""),"")</f>
        <v/>
      </c>
      <c r="I837" s="18" t="str">
        <f ca="1">IFERROR(__xludf.DUMMYFUNCTION("""COMPUTED_VALUE"""),"")</f>
        <v/>
      </c>
      <c r="J837" s="18" t="str">
        <f ca="1">IFERROR(__xludf.DUMMYFUNCTION("""COMPUTED_VALUE"""),"")</f>
        <v/>
      </c>
      <c r="K837" s="18" t="str">
        <f ca="1">IFERROR(__xludf.DUMMYFUNCTION("""COMPUTED_VALUE"""),"")</f>
        <v/>
      </c>
      <c r="L837" s="18" t="str">
        <f ca="1">IFERROR(__xludf.DUMMYFUNCTION("""COMPUTED_VALUE"""),"")</f>
        <v/>
      </c>
      <c r="M837" s="18" t="str">
        <f ca="1">IFERROR(__xludf.DUMMYFUNCTION("""COMPUTED_VALUE"""),"")</f>
        <v/>
      </c>
      <c r="N837" s="18" t="str">
        <f ca="1">IFERROR(__xludf.DUMMYFUNCTION("""COMPUTED_VALUE"""),"")</f>
        <v/>
      </c>
      <c r="O837" s="18" t="str">
        <f ca="1">IFERROR(__xludf.DUMMYFUNCTION("""COMPUTED_VALUE"""),"")</f>
        <v/>
      </c>
      <c r="P837" s="18" t="str">
        <f ca="1">IFERROR(__xludf.DUMMYFUNCTION("""COMPUTED_VALUE"""),"")</f>
        <v/>
      </c>
      <c r="Q837" s="18" t="str">
        <f ca="1">IFERROR(__xludf.DUMMYFUNCTION("""COMPUTED_VALUE"""),"")</f>
        <v/>
      </c>
      <c r="R837" s="18" t="str">
        <f ca="1">IFERROR(__xludf.DUMMYFUNCTION("""COMPUTED_VALUE"""),"")</f>
        <v/>
      </c>
      <c r="S837" s="18" t="str">
        <f ca="1">IFERROR(__xludf.DUMMYFUNCTION("""COMPUTED_VALUE"""),"")</f>
        <v/>
      </c>
      <c r="T837" s="18" t="str">
        <f ca="1">IFERROR(__xludf.DUMMYFUNCTION("""COMPUTED_VALUE"""),"")</f>
        <v/>
      </c>
      <c r="U837" s="18" t="str">
        <f ca="1">IFERROR(__xludf.DUMMYFUNCTION("""COMPUTED_VALUE"""),"")</f>
        <v/>
      </c>
      <c r="V837" s="18" t="str">
        <f ca="1">IFERROR(__xludf.DUMMYFUNCTION("""COMPUTED_VALUE"""),"")</f>
        <v/>
      </c>
      <c r="W837" s="18" t="str">
        <f ca="1">IFERROR(__xludf.DUMMYFUNCTION("""COMPUTED_VALUE"""),"")</f>
        <v/>
      </c>
      <c r="X837" s="18" t="str">
        <f ca="1">IFERROR(__xludf.DUMMYFUNCTION("""COMPUTED_VALUE"""),"")</f>
        <v/>
      </c>
      <c r="Y837" s="18" t="e">
        <f ca="1"/>
        <v>#NAME?</v>
      </c>
      <c r="Z837" s="18" t="str">
        <f ca="1">IFERROR(__xludf.DUMMYFUNCTION("""COMPUTED_VALUE"""),"")</f>
        <v/>
      </c>
      <c r="AA837" s="18" t="str">
        <f ca="1">IFERROR(__xludf.DUMMYFUNCTION("""COMPUTED_VALUE"""),"")</f>
        <v/>
      </c>
      <c r="AC837" s="59"/>
    </row>
    <row r="838" spans="1:29" x14ac:dyDescent="0.25">
      <c r="A838" s="18">
        <v>0</v>
      </c>
      <c r="B838" s="52" t="str">
        <f ca="1"/>
        <v/>
      </c>
      <c r="C838" s="52" t="str">
        <f ca="1">IFERROR(__xludf.DUMMYFUNCTION("""COMPUTED_VALUE"""),"")</f>
        <v/>
      </c>
      <c r="D838" s="18" t="str">
        <f ca="1">IFERROR(__xludf.DUMMYFUNCTION("""COMPUTED_VALUE"""),"")</f>
        <v/>
      </c>
      <c r="E838" s="18" t="str">
        <f ca="1">IFERROR(__xludf.DUMMYFUNCTION("""COMPUTED_VALUE"""),"")</f>
        <v/>
      </c>
      <c r="F838" s="18" t="str">
        <f ca="1">IFERROR(__xludf.DUMMYFUNCTION("""COMPUTED_VALUE"""),"")</f>
        <v/>
      </c>
      <c r="G838" s="18" t="str">
        <f ca="1">IFERROR(__xludf.DUMMYFUNCTION("""COMPUTED_VALUE"""),"")</f>
        <v/>
      </c>
      <c r="H838" s="18" t="str">
        <f ca="1">IFERROR(__xludf.DUMMYFUNCTION("""COMPUTED_VALUE"""),"")</f>
        <v/>
      </c>
      <c r="I838" s="18" t="str">
        <f ca="1">IFERROR(__xludf.DUMMYFUNCTION("""COMPUTED_VALUE"""),"")</f>
        <v/>
      </c>
      <c r="J838" s="18" t="str">
        <f ca="1">IFERROR(__xludf.DUMMYFUNCTION("""COMPUTED_VALUE"""),"")</f>
        <v/>
      </c>
      <c r="K838" s="18" t="str">
        <f ca="1">IFERROR(__xludf.DUMMYFUNCTION("""COMPUTED_VALUE"""),"")</f>
        <v/>
      </c>
      <c r="L838" s="18" t="str">
        <f ca="1">IFERROR(__xludf.DUMMYFUNCTION("""COMPUTED_VALUE"""),"")</f>
        <v/>
      </c>
      <c r="M838" s="18" t="str">
        <f ca="1">IFERROR(__xludf.DUMMYFUNCTION("""COMPUTED_VALUE"""),"")</f>
        <v/>
      </c>
      <c r="N838" s="18" t="str">
        <f ca="1">IFERROR(__xludf.DUMMYFUNCTION("""COMPUTED_VALUE"""),"")</f>
        <v/>
      </c>
      <c r="O838" s="18" t="str">
        <f ca="1">IFERROR(__xludf.DUMMYFUNCTION("""COMPUTED_VALUE"""),"")</f>
        <v/>
      </c>
      <c r="P838" s="18" t="str">
        <f ca="1">IFERROR(__xludf.DUMMYFUNCTION("""COMPUTED_VALUE"""),"")</f>
        <v/>
      </c>
      <c r="Q838" s="18" t="str">
        <f ca="1">IFERROR(__xludf.DUMMYFUNCTION("""COMPUTED_VALUE"""),"")</f>
        <v/>
      </c>
      <c r="R838" s="18" t="str">
        <f ca="1">IFERROR(__xludf.DUMMYFUNCTION("""COMPUTED_VALUE"""),"")</f>
        <v/>
      </c>
      <c r="S838" s="18" t="str">
        <f ca="1">IFERROR(__xludf.DUMMYFUNCTION("""COMPUTED_VALUE"""),"")</f>
        <v/>
      </c>
      <c r="T838" s="18" t="str">
        <f ca="1">IFERROR(__xludf.DUMMYFUNCTION("""COMPUTED_VALUE"""),"")</f>
        <v/>
      </c>
      <c r="U838" s="18" t="str">
        <f ca="1">IFERROR(__xludf.DUMMYFUNCTION("""COMPUTED_VALUE"""),"")</f>
        <v/>
      </c>
      <c r="V838" s="18" t="str">
        <f ca="1">IFERROR(__xludf.DUMMYFUNCTION("""COMPUTED_VALUE"""),"")</f>
        <v/>
      </c>
      <c r="W838" s="18" t="str">
        <f ca="1">IFERROR(__xludf.DUMMYFUNCTION("""COMPUTED_VALUE"""),"")</f>
        <v/>
      </c>
      <c r="X838" s="18" t="str">
        <f ca="1">IFERROR(__xludf.DUMMYFUNCTION("""COMPUTED_VALUE"""),"")</f>
        <v/>
      </c>
      <c r="Y838" s="18" t="e">
        <f ca="1"/>
        <v>#NAME?</v>
      </c>
      <c r="Z838" s="18" t="str">
        <f ca="1">IFERROR(__xludf.DUMMYFUNCTION("""COMPUTED_VALUE"""),"")</f>
        <v/>
      </c>
      <c r="AA838" s="18" t="str">
        <f ca="1">IFERROR(__xludf.DUMMYFUNCTION("""COMPUTED_VALUE"""),"")</f>
        <v/>
      </c>
      <c r="AC838" s="59"/>
    </row>
    <row r="839" spans="1:29" x14ac:dyDescent="0.25">
      <c r="A839" s="18">
        <v>0</v>
      </c>
      <c r="B839" s="52" t="str">
        <f ca="1"/>
        <v/>
      </c>
      <c r="C839" s="52" t="str">
        <f ca="1">IFERROR(__xludf.DUMMYFUNCTION("""COMPUTED_VALUE"""),"")</f>
        <v/>
      </c>
      <c r="D839" s="18" t="str">
        <f ca="1">IFERROR(__xludf.DUMMYFUNCTION("""COMPUTED_VALUE"""),"")</f>
        <v/>
      </c>
      <c r="E839" s="18" t="str">
        <f ca="1">IFERROR(__xludf.DUMMYFUNCTION("""COMPUTED_VALUE"""),"")</f>
        <v/>
      </c>
      <c r="F839" s="18" t="str">
        <f ca="1">IFERROR(__xludf.DUMMYFUNCTION("""COMPUTED_VALUE"""),"")</f>
        <v/>
      </c>
      <c r="G839" s="18" t="str">
        <f ca="1">IFERROR(__xludf.DUMMYFUNCTION("""COMPUTED_VALUE"""),"")</f>
        <v/>
      </c>
      <c r="H839" s="18" t="str">
        <f ca="1">IFERROR(__xludf.DUMMYFUNCTION("""COMPUTED_VALUE"""),"")</f>
        <v/>
      </c>
      <c r="I839" s="18" t="str">
        <f ca="1">IFERROR(__xludf.DUMMYFUNCTION("""COMPUTED_VALUE"""),"")</f>
        <v/>
      </c>
      <c r="J839" s="18" t="str">
        <f ca="1">IFERROR(__xludf.DUMMYFUNCTION("""COMPUTED_VALUE"""),"")</f>
        <v/>
      </c>
      <c r="K839" s="18" t="str">
        <f ca="1">IFERROR(__xludf.DUMMYFUNCTION("""COMPUTED_VALUE"""),"")</f>
        <v/>
      </c>
      <c r="L839" s="18" t="str">
        <f ca="1">IFERROR(__xludf.DUMMYFUNCTION("""COMPUTED_VALUE"""),"")</f>
        <v/>
      </c>
      <c r="M839" s="18" t="str">
        <f ca="1">IFERROR(__xludf.DUMMYFUNCTION("""COMPUTED_VALUE"""),"")</f>
        <v/>
      </c>
      <c r="N839" s="18" t="str">
        <f ca="1">IFERROR(__xludf.DUMMYFUNCTION("""COMPUTED_VALUE"""),"")</f>
        <v/>
      </c>
      <c r="O839" s="18" t="str">
        <f ca="1">IFERROR(__xludf.DUMMYFUNCTION("""COMPUTED_VALUE"""),"")</f>
        <v/>
      </c>
      <c r="P839" s="18" t="str">
        <f ca="1">IFERROR(__xludf.DUMMYFUNCTION("""COMPUTED_VALUE"""),"")</f>
        <v/>
      </c>
      <c r="Q839" s="18" t="str">
        <f ca="1">IFERROR(__xludf.DUMMYFUNCTION("""COMPUTED_VALUE"""),"")</f>
        <v/>
      </c>
      <c r="R839" s="18" t="str">
        <f ca="1">IFERROR(__xludf.DUMMYFUNCTION("""COMPUTED_VALUE"""),"")</f>
        <v/>
      </c>
      <c r="S839" s="18" t="str">
        <f ca="1">IFERROR(__xludf.DUMMYFUNCTION("""COMPUTED_VALUE"""),"")</f>
        <v/>
      </c>
      <c r="T839" s="18" t="str">
        <f ca="1">IFERROR(__xludf.DUMMYFUNCTION("""COMPUTED_VALUE"""),"")</f>
        <v/>
      </c>
      <c r="U839" s="18" t="str">
        <f ca="1">IFERROR(__xludf.DUMMYFUNCTION("""COMPUTED_VALUE"""),"")</f>
        <v/>
      </c>
      <c r="V839" s="18" t="str">
        <f ca="1">IFERROR(__xludf.DUMMYFUNCTION("""COMPUTED_VALUE"""),"")</f>
        <v/>
      </c>
      <c r="W839" s="18" t="str">
        <f ca="1">IFERROR(__xludf.DUMMYFUNCTION("""COMPUTED_VALUE"""),"")</f>
        <v/>
      </c>
      <c r="X839" s="18" t="str">
        <f ca="1">IFERROR(__xludf.DUMMYFUNCTION("""COMPUTED_VALUE"""),"")</f>
        <v/>
      </c>
      <c r="Y839" s="18" t="e">
        <f ca="1"/>
        <v>#NAME?</v>
      </c>
      <c r="Z839" s="18" t="str">
        <f ca="1">IFERROR(__xludf.DUMMYFUNCTION("""COMPUTED_VALUE"""),"")</f>
        <v/>
      </c>
      <c r="AA839" s="18" t="str">
        <f ca="1">IFERROR(__xludf.DUMMYFUNCTION("""COMPUTED_VALUE"""),"")</f>
        <v/>
      </c>
      <c r="AC839" s="59"/>
    </row>
    <row r="840" spans="1:29" x14ac:dyDescent="0.25">
      <c r="A840" s="18">
        <v>0</v>
      </c>
      <c r="B840" s="52" t="str">
        <f ca="1"/>
        <v/>
      </c>
      <c r="C840" s="52" t="str">
        <f ca="1">IFERROR(__xludf.DUMMYFUNCTION("""COMPUTED_VALUE"""),"")</f>
        <v/>
      </c>
      <c r="D840" s="18" t="str">
        <f ca="1">IFERROR(__xludf.DUMMYFUNCTION("""COMPUTED_VALUE"""),"")</f>
        <v/>
      </c>
      <c r="E840" s="18" t="str">
        <f ca="1">IFERROR(__xludf.DUMMYFUNCTION("""COMPUTED_VALUE"""),"")</f>
        <v/>
      </c>
      <c r="F840" s="18" t="str">
        <f ca="1">IFERROR(__xludf.DUMMYFUNCTION("""COMPUTED_VALUE"""),"")</f>
        <v/>
      </c>
      <c r="G840" s="18" t="str">
        <f ca="1">IFERROR(__xludf.DUMMYFUNCTION("""COMPUTED_VALUE"""),"")</f>
        <v/>
      </c>
      <c r="H840" s="18" t="str">
        <f ca="1">IFERROR(__xludf.DUMMYFUNCTION("""COMPUTED_VALUE"""),"")</f>
        <v/>
      </c>
      <c r="I840" s="18" t="str">
        <f ca="1">IFERROR(__xludf.DUMMYFUNCTION("""COMPUTED_VALUE"""),"")</f>
        <v/>
      </c>
      <c r="J840" s="18" t="str">
        <f ca="1">IFERROR(__xludf.DUMMYFUNCTION("""COMPUTED_VALUE"""),"")</f>
        <v/>
      </c>
      <c r="K840" s="18" t="str">
        <f ca="1">IFERROR(__xludf.DUMMYFUNCTION("""COMPUTED_VALUE"""),"")</f>
        <v/>
      </c>
      <c r="L840" s="18" t="str">
        <f ca="1">IFERROR(__xludf.DUMMYFUNCTION("""COMPUTED_VALUE"""),"")</f>
        <v/>
      </c>
      <c r="M840" s="18" t="str">
        <f ca="1">IFERROR(__xludf.DUMMYFUNCTION("""COMPUTED_VALUE"""),"")</f>
        <v/>
      </c>
      <c r="N840" s="18" t="str">
        <f ca="1">IFERROR(__xludf.DUMMYFUNCTION("""COMPUTED_VALUE"""),"")</f>
        <v/>
      </c>
      <c r="O840" s="18" t="str">
        <f ca="1">IFERROR(__xludf.DUMMYFUNCTION("""COMPUTED_VALUE"""),"")</f>
        <v/>
      </c>
      <c r="P840" s="18" t="str">
        <f ca="1">IFERROR(__xludf.DUMMYFUNCTION("""COMPUTED_VALUE"""),"")</f>
        <v/>
      </c>
      <c r="Q840" s="18" t="str">
        <f ca="1">IFERROR(__xludf.DUMMYFUNCTION("""COMPUTED_VALUE"""),"")</f>
        <v/>
      </c>
      <c r="R840" s="18" t="str">
        <f ca="1">IFERROR(__xludf.DUMMYFUNCTION("""COMPUTED_VALUE"""),"")</f>
        <v/>
      </c>
      <c r="S840" s="18" t="str">
        <f ca="1">IFERROR(__xludf.DUMMYFUNCTION("""COMPUTED_VALUE"""),"")</f>
        <v/>
      </c>
      <c r="T840" s="18" t="str">
        <f ca="1">IFERROR(__xludf.DUMMYFUNCTION("""COMPUTED_VALUE"""),"")</f>
        <v/>
      </c>
      <c r="U840" s="18" t="str">
        <f ca="1">IFERROR(__xludf.DUMMYFUNCTION("""COMPUTED_VALUE"""),"")</f>
        <v/>
      </c>
      <c r="V840" s="18" t="str">
        <f ca="1">IFERROR(__xludf.DUMMYFUNCTION("""COMPUTED_VALUE"""),"")</f>
        <v/>
      </c>
      <c r="W840" s="18" t="str">
        <f ca="1">IFERROR(__xludf.DUMMYFUNCTION("""COMPUTED_VALUE"""),"")</f>
        <v/>
      </c>
      <c r="X840" s="18" t="str">
        <f ca="1">IFERROR(__xludf.DUMMYFUNCTION("""COMPUTED_VALUE"""),"")</f>
        <v/>
      </c>
      <c r="Y840" s="18" t="e">
        <f ca="1"/>
        <v>#NAME?</v>
      </c>
      <c r="Z840" s="18" t="str">
        <f ca="1">IFERROR(__xludf.DUMMYFUNCTION("""COMPUTED_VALUE"""),"")</f>
        <v/>
      </c>
      <c r="AA840" s="18" t="str">
        <f ca="1">IFERROR(__xludf.DUMMYFUNCTION("""COMPUTED_VALUE"""),"")</f>
        <v/>
      </c>
      <c r="AC840" s="59"/>
    </row>
    <row r="841" spans="1:29" x14ac:dyDescent="0.25">
      <c r="A841" s="18">
        <v>0</v>
      </c>
      <c r="B841" s="52" t="str">
        <f ca="1"/>
        <v/>
      </c>
      <c r="C841" s="52" t="str">
        <f ca="1">IFERROR(__xludf.DUMMYFUNCTION("""COMPUTED_VALUE"""),"")</f>
        <v/>
      </c>
      <c r="D841" s="18" t="str">
        <f ca="1">IFERROR(__xludf.DUMMYFUNCTION("""COMPUTED_VALUE"""),"")</f>
        <v/>
      </c>
      <c r="E841" s="18" t="str">
        <f ca="1">IFERROR(__xludf.DUMMYFUNCTION("""COMPUTED_VALUE"""),"")</f>
        <v/>
      </c>
      <c r="F841" s="18" t="str">
        <f ca="1">IFERROR(__xludf.DUMMYFUNCTION("""COMPUTED_VALUE"""),"")</f>
        <v/>
      </c>
      <c r="G841" s="18" t="str">
        <f ca="1">IFERROR(__xludf.DUMMYFUNCTION("""COMPUTED_VALUE"""),"")</f>
        <v/>
      </c>
      <c r="H841" s="18" t="str">
        <f ca="1">IFERROR(__xludf.DUMMYFUNCTION("""COMPUTED_VALUE"""),"")</f>
        <v/>
      </c>
      <c r="I841" s="18" t="str">
        <f ca="1">IFERROR(__xludf.DUMMYFUNCTION("""COMPUTED_VALUE"""),"")</f>
        <v/>
      </c>
      <c r="J841" s="18" t="str">
        <f ca="1">IFERROR(__xludf.DUMMYFUNCTION("""COMPUTED_VALUE"""),"")</f>
        <v/>
      </c>
      <c r="K841" s="18" t="str">
        <f ca="1">IFERROR(__xludf.DUMMYFUNCTION("""COMPUTED_VALUE"""),"")</f>
        <v/>
      </c>
      <c r="L841" s="18" t="str">
        <f ca="1">IFERROR(__xludf.DUMMYFUNCTION("""COMPUTED_VALUE"""),"")</f>
        <v/>
      </c>
      <c r="M841" s="18" t="str">
        <f ca="1">IFERROR(__xludf.DUMMYFUNCTION("""COMPUTED_VALUE"""),"")</f>
        <v/>
      </c>
      <c r="N841" s="18" t="str">
        <f ca="1">IFERROR(__xludf.DUMMYFUNCTION("""COMPUTED_VALUE"""),"")</f>
        <v/>
      </c>
      <c r="O841" s="18" t="str">
        <f ca="1">IFERROR(__xludf.DUMMYFUNCTION("""COMPUTED_VALUE"""),"")</f>
        <v/>
      </c>
      <c r="P841" s="18" t="str">
        <f ca="1">IFERROR(__xludf.DUMMYFUNCTION("""COMPUTED_VALUE"""),"")</f>
        <v/>
      </c>
      <c r="Q841" s="18" t="str">
        <f ca="1">IFERROR(__xludf.DUMMYFUNCTION("""COMPUTED_VALUE"""),"")</f>
        <v/>
      </c>
      <c r="R841" s="18" t="str">
        <f ca="1">IFERROR(__xludf.DUMMYFUNCTION("""COMPUTED_VALUE"""),"")</f>
        <v/>
      </c>
      <c r="S841" s="18" t="str">
        <f ca="1">IFERROR(__xludf.DUMMYFUNCTION("""COMPUTED_VALUE"""),"")</f>
        <v/>
      </c>
      <c r="T841" s="18" t="str">
        <f ca="1">IFERROR(__xludf.DUMMYFUNCTION("""COMPUTED_VALUE"""),"")</f>
        <v/>
      </c>
      <c r="U841" s="18" t="str">
        <f ca="1">IFERROR(__xludf.DUMMYFUNCTION("""COMPUTED_VALUE"""),"")</f>
        <v/>
      </c>
      <c r="V841" s="18" t="str">
        <f ca="1">IFERROR(__xludf.DUMMYFUNCTION("""COMPUTED_VALUE"""),"")</f>
        <v/>
      </c>
      <c r="W841" s="18" t="str">
        <f ca="1">IFERROR(__xludf.DUMMYFUNCTION("""COMPUTED_VALUE"""),"")</f>
        <v/>
      </c>
      <c r="X841" s="18" t="str">
        <f ca="1">IFERROR(__xludf.DUMMYFUNCTION("""COMPUTED_VALUE"""),"")</f>
        <v/>
      </c>
      <c r="Y841" s="18" t="e">
        <f ca="1"/>
        <v>#NAME?</v>
      </c>
      <c r="Z841" s="18" t="str">
        <f ca="1">IFERROR(__xludf.DUMMYFUNCTION("""COMPUTED_VALUE"""),"")</f>
        <v/>
      </c>
      <c r="AA841" s="18" t="str">
        <f ca="1">IFERROR(__xludf.DUMMYFUNCTION("""COMPUTED_VALUE"""),"")</f>
        <v/>
      </c>
      <c r="AC841" s="59"/>
    </row>
    <row r="842" spans="1:29" x14ac:dyDescent="0.25">
      <c r="A842" s="18">
        <v>0</v>
      </c>
      <c r="B842" s="52" t="str">
        <f ca="1"/>
        <v/>
      </c>
      <c r="C842" s="52" t="str">
        <f ca="1">IFERROR(__xludf.DUMMYFUNCTION("""COMPUTED_VALUE"""),"")</f>
        <v/>
      </c>
      <c r="D842" s="18" t="str">
        <f ca="1">IFERROR(__xludf.DUMMYFUNCTION("""COMPUTED_VALUE"""),"")</f>
        <v/>
      </c>
      <c r="E842" s="18" t="str">
        <f ca="1">IFERROR(__xludf.DUMMYFUNCTION("""COMPUTED_VALUE"""),"")</f>
        <v/>
      </c>
      <c r="F842" s="18" t="str">
        <f ca="1">IFERROR(__xludf.DUMMYFUNCTION("""COMPUTED_VALUE"""),"")</f>
        <v/>
      </c>
      <c r="G842" s="18" t="str">
        <f ca="1">IFERROR(__xludf.DUMMYFUNCTION("""COMPUTED_VALUE"""),"")</f>
        <v/>
      </c>
      <c r="H842" s="18" t="str">
        <f ca="1">IFERROR(__xludf.DUMMYFUNCTION("""COMPUTED_VALUE"""),"")</f>
        <v/>
      </c>
      <c r="I842" s="18" t="str">
        <f ca="1">IFERROR(__xludf.DUMMYFUNCTION("""COMPUTED_VALUE"""),"")</f>
        <v/>
      </c>
      <c r="J842" s="18" t="str">
        <f ca="1">IFERROR(__xludf.DUMMYFUNCTION("""COMPUTED_VALUE"""),"")</f>
        <v/>
      </c>
      <c r="K842" s="18" t="str">
        <f ca="1">IFERROR(__xludf.DUMMYFUNCTION("""COMPUTED_VALUE"""),"")</f>
        <v/>
      </c>
      <c r="L842" s="18" t="str">
        <f ca="1">IFERROR(__xludf.DUMMYFUNCTION("""COMPUTED_VALUE"""),"")</f>
        <v/>
      </c>
      <c r="M842" s="18" t="str">
        <f ca="1">IFERROR(__xludf.DUMMYFUNCTION("""COMPUTED_VALUE"""),"")</f>
        <v/>
      </c>
      <c r="N842" s="18" t="str">
        <f ca="1">IFERROR(__xludf.DUMMYFUNCTION("""COMPUTED_VALUE"""),"")</f>
        <v/>
      </c>
      <c r="O842" s="18" t="str">
        <f ca="1">IFERROR(__xludf.DUMMYFUNCTION("""COMPUTED_VALUE"""),"")</f>
        <v/>
      </c>
      <c r="P842" s="18" t="str">
        <f ca="1">IFERROR(__xludf.DUMMYFUNCTION("""COMPUTED_VALUE"""),"")</f>
        <v/>
      </c>
      <c r="Q842" s="18" t="str">
        <f ca="1">IFERROR(__xludf.DUMMYFUNCTION("""COMPUTED_VALUE"""),"")</f>
        <v/>
      </c>
      <c r="R842" s="18" t="str">
        <f ca="1">IFERROR(__xludf.DUMMYFUNCTION("""COMPUTED_VALUE"""),"")</f>
        <v/>
      </c>
      <c r="S842" s="18" t="str">
        <f ca="1">IFERROR(__xludf.DUMMYFUNCTION("""COMPUTED_VALUE"""),"")</f>
        <v/>
      </c>
      <c r="T842" s="18" t="str">
        <f ca="1">IFERROR(__xludf.DUMMYFUNCTION("""COMPUTED_VALUE"""),"")</f>
        <v/>
      </c>
      <c r="U842" s="18" t="str">
        <f ca="1">IFERROR(__xludf.DUMMYFUNCTION("""COMPUTED_VALUE"""),"")</f>
        <v/>
      </c>
      <c r="V842" s="18" t="str">
        <f ca="1">IFERROR(__xludf.DUMMYFUNCTION("""COMPUTED_VALUE"""),"")</f>
        <v/>
      </c>
      <c r="W842" s="18" t="str">
        <f ca="1">IFERROR(__xludf.DUMMYFUNCTION("""COMPUTED_VALUE"""),"")</f>
        <v/>
      </c>
      <c r="X842" s="18" t="str">
        <f ca="1">IFERROR(__xludf.DUMMYFUNCTION("""COMPUTED_VALUE"""),"")</f>
        <v/>
      </c>
      <c r="Y842" s="18" t="e">
        <f ca="1"/>
        <v>#NAME?</v>
      </c>
      <c r="Z842" s="18" t="str">
        <f ca="1">IFERROR(__xludf.DUMMYFUNCTION("""COMPUTED_VALUE"""),"")</f>
        <v/>
      </c>
      <c r="AA842" s="18" t="str">
        <f ca="1">IFERROR(__xludf.DUMMYFUNCTION("""COMPUTED_VALUE"""),"")</f>
        <v/>
      </c>
      <c r="AC842" s="59"/>
    </row>
    <row r="843" spans="1:29" x14ac:dyDescent="0.25">
      <c r="A843" s="18">
        <v>0</v>
      </c>
      <c r="B843" s="52" t="str">
        <f ca="1"/>
        <v/>
      </c>
      <c r="C843" s="52" t="str">
        <f ca="1">IFERROR(__xludf.DUMMYFUNCTION("""COMPUTED_VALUE"""),"")</f>
        <v/>
      </c>
      <c r="D843" s="18" t="str">
        <f ca="1">IFERROR(__xludf.DUMMYFUNCTION("""COMPUTED_VALUE"""),"")</f>
        <v/>
      </c>
      <c r="E843" s="18" t="str">
        <f ca="1">IFERROR(__xludf.DUMMYFUNCTION("""COMPUTED_VALUE"""),"")</f>
        <v/>
      </c>
      <c r="F843" s="18" t="str">
        <f ca="1">IFERROR(__xludf.DUMMYFUNCTION("""COMPUTED_VALUE"""),"")</f>
        <v/>
      </c>
      <c r="G843" s="18" t="str">
        <f ca="1">IFERROR(__xludf.DUMMYFUNCTION("""COMPUTED_VALUE"""),"")</f>
        <v/>
      </c>
      <c r="H843" s="18" t="str">
        <f ca="1">IFERROR(__xludf.DUMMYFUNCTION("""COMPUTED_VALUE"""),"")</f>
        <v/>
      </c>
      <c r="I843" s="18" t="str">
        <f ca="1">IFERROR(__xludf.DUMMYFUNCTION("""COMPUTED_VALUE"""),"")</f>
        <v/>
      </c>
      <c r="J843" s="18" t="str">
        <f ca="1">IFERROR(__xludf.DUMMYFUNCTION("""COMPUTED_VALUE"""),"")</f>
        <v/>
      </c>
      <c r="K843" s="18" t="str">
        <f ca="1">IFERROR(__xludf.DUMMYFUNCTION("""COMPUTED_VALUE"""),"")</f>
        <v/>
      </c>
      <c r="L843" s="18" t="str">
        <f ca="1">IFERROR(__xludf.DUMMYFUNCTION("""COMPUTED_VALUE"""),"")</f>
        <v/>
      </c>
      <c r="M843" s="18" t="str">
        <f ca="1">IFERROR(__xludf.DUMMYFUNCTION("""COMPUTED_VALUE"""),"")</f>
        <v/>
      </c>
      <c r="N843" s="18" t="str">
        <f ca="1">IFERROR(__xludf.DUMMYFUNCTION("""COMPUTED_VALUE"""),"")</f>
        <v/>
      </c>
      <c r="O843" s="18" t="str">
        <f ca="1">IFERROR(__xludf.DUMMYFUNCTION("""COMPUTED_VALUE"""),"")</f>
        <v/>
      </c>
      <c r="P843" s="18" t="str">
        <f ca="1">IFERROR(__xludf.DUMMYFUNCTION("""COMPUTED_VALUE"""),"")</f>
        <v/>
      </c>
      <c r="Q843" s="18" t="str">
        <f ca="1">IFERROR(__xludf.DUMMYFUNCTION("""COMPUTED_VALUE"""),"")</f>
        <v/>
      </c>
      <c r="R843" s="18" t="str">
        <f ca="1">IFERROR(__xludf.DUMMYFUNCTION("""COMPUTED_VALUE"""),"")</f>
        <v/>
      </c>
      <c r="S843" s="18" t="str">
        <f ca="1">IFERROR(__xludf.DUMMYFUNCTION("""COMPUTED_VALUE"""),"")</f>
        <v/>
      </c>
      <c r="T843" s="18" t="str">
        <f ca="1">IFERROR(__xludf.DUMMYFUNCTION("""COMPUTED_VALUE"""),"")</f>
        <v/>
      </c>
      <c r="U843" s="18" t="str">
        <f ca="1">IFERROR(__xludf.DUMMYFUNCTION("""COMPUTED_VALUE"""),"")</f>
        <v/>
      </c>
      <c r="V843" s="18" t="str">
        <f ca="1">IFERROR(__xludf.DUMMYFUNCTION("""COMPUTED_VALUE"""),"")</f>
        <v/>
      </c>
      <c r="W843" s="18" t="str">
        <f ca="1">IFERROR(__xludf.DUMMYFUNCTION("""COMPUTED_VALUE"""),"")</f>
        <v/>
      </c>
      <c r="X843" s="18" t="str">
        <f ca="1">IFERROR(__xludf.DUMMYFUNCTION("""COMPUTED_VALUE"""),"")</f>
        <v/>
      </c>
      <c r="Y843" s="18" t="e">
        <f ca="1"/>
        <v>#NAME?</v>
      </c>
      <c r="Z843" s="18" t="str">
        <f ca="1">IFERROR(__xludf.DUMMYFUNCTION("""COMPUTED_VALUE"""),"")</f>
        <v/>
      </c>
      <c r="AA843" s="18" t="str">
        <f ca="1">IFERROR(__xludf.DUMMYFUNCTION("""COMPUTED_VALUE"""),"")</f>
        <v/>
      </c>
      <c r="AC843" s="59"/>
    </row>
    <row r="844" spans="1:29" x14ac:dyDescent="0.25">
      <c r="A844" s="18">
        <v>0</v>
      </c>
      <c r="B844" s="52" t="str">
        <f ca="1"/>
        <v/>
      </c>
      <c r="C844" s="52" t="str">
        <f ca="1">IFERROR(__xludf.DUMMYFUNCTION("""COMPUTED_VALUE"""),"")</f>
        <v/>
      </c>
      <c r="D844" s="18" t="str">
        <f ca="1">IFERROR(__xludf.DUMMYFUNCTION("""COMPUTED_VALUE"""),"")</f>
        <v/>
      </c>
      <c r="E844" s="18" t="str">
        <f ca="1">IFERROR(__xludf.DUMMYFUNCTION("""COMPUTED_VALUE"""),"")</f>
        <v/>
      </c>
      <c r="F844" s="18" t="str">
        <f ca="1">IFERROR(__xludf.DUMMYFUNCTION("""COMPUTED_VALUE"""),"")</f>
        <v/>
      </c>
      <c r="G844" s="18" t="str">
        <f ca="1">IFERROR(__xludf.DUMMYFUNCTION("""COMPUTED_VALUE"""),"")</f>
        <v/>
      </c>
      <c r="H844" s="18" t="str">
        <f ca="1">IFERROR(__xludf.DUMMYFUNCTION("""COMPUTED_VALUE"""),"")</f>
        <v/>
      </c>
      <c r="I844" s="18" t="str">
        <f ca="1">IFERROR(__xludf.DUMMYFUNCTION("""COMPUTED_VALUE"""),"")</f>
        <v/>
      </c>
      <c r="J844" s="18" t="str">
        <f ca="1">IFERROR(__xludf.DUMMYFUNCTION("""COMPUTED_VALUE"""),"")</f>
        <v/>
      </c>
      <c r="K844" s="18" t="str">
        <f ca="1">IFERROR(__xludf.DUMMYFUNCTION("""COMPUTED_VALUE"""),"")</f>
        <v/>
      </c>
      <c r="L844" s="18" t="str">
        <f ca="1">IFERROR(__xludf.DUMMYFUNCTION("""COMPUTED_VALUE"""),"")</f>
        <v/>
      </c>
      <c r="M844" s="18" t="str">
        <f ca="1">IFERROR(__xludf.DUMMYFUNCTION("""COMPUTED_VALUE"""),"")</f>
        <v/>
      </c>
      <c r="N844" s="18" t="str">
        <f ca="1">IFERROR(__xludf.DUMMYFUNCTION("""COMPUTED_VALUE"""),"")</f>
        <v/>
      </c>
      <c r="O844" s="18" t="str">
        <f ca="1">IFERROR(__xludf.DUMMYFUNCTION("""COMPUTED_VALUE"""),"")</f>
        <v/>
      </c>
      <c r="P844" s="18" t="str">
        <f ca="1">IFERROR(__xludf.DUMMYFUNCTION("""COMPUTED_VALUE"""),"")</f>
        <v/>
      </c>
      <c r="Q844" s="18" t="str">
        <f ca="1">IFERROR(__xludf.DUMMYFUNCTION("""COMPUTED_VALUE"""),"")</f>
        <v/>
      </c>
      <c r="R844" s="18" t="str">
        <f ca="1">IFERROR(__xludf.DUMMYFUNCTION("""COMPUTED_VALUE"""),"")</f>
        <v/>
      </c>
      <c r="S844" s="18" t="str">
        <f ca="1">IFERROR(__xludf.DUMMYFUNCTION("""COMPUTED_VALUE"""),"")</f>
        <v/>
      </c>
      <c r="T844" s="18" t="str">
        <f ca="1">IFERROR(__xludf.DUMMYFUNCTION("""COMPUTED_VALUE"""),"")</f>
        <v/>
      </c>
      <c r="U844" s="18" t="str">
        <f ca="1">IFERROR(__xludf.DUMMYFUNCTION("""COMPUTED_VALUE"""),"")</f>
        <v/>
      </c>
      <c r="V844" s="18" t="str">
        <f ca="1">IFERROR(__xludf.DUMMYFUNCTION("""COMPUTED_VALUE"""),"")</f>
        <v/>
      </c>
      <c r="W844" s="18" t="str">
        <f ca="1">IFERROR(__xludf.DUMMYFUNCTION("""COMPUTED_VALUE"""),"")</f>
        <v/>
      </c>
      <c r="X844" s="18" t="str">
        <f ca="1">IFERROR(__xludf.DUMMYFUNCTION("""COMPUTED_VALUE"""),"")</f>
        <v/>
      </c>
      <c r="Y844" s="18" t="e">
        <f ca="1"/>
        <v>#NAME?</v>
      </c>
      <c r="Z844" s="18" t="str">
        <f ca="1">IFERROR(__xludf.DUMMYFUNCTION("""COMPUTED_VALUE"""),"")</f>
        <v/>
      </c>
      <c r="AA844" s="18" t="str">
        <f ca="1">IFERROR(__xludf.DUMMYFUNCTION("""COMPUTED_VALUE"""),"")</f>
        <v/>
      </c>
      <c r="AC844" s="59"/>
    </row>
    <row r="845" spans="1:29" x14ac:dyDescent="0.25">
      <c r="A845" s="18">
        <v>0</v>
      </c>
      <c r="B845" s="52" t="str">
        <f ca="1"/>
        <v/>
      </c>
      <c r="C845" s="52" t="str">
        <f ca="1">IFERROR(__xludf.DUMMYFUNCTION("""COMPUTED_VALUE"""),"")</f>
        <v/>
      </c>
      <c r="D845" s="18" t="str">
        <f ca="1">IFERROR(__xludf.DUMMYFUNCTION("""COMPUTED_VALUE"""),"")</f>
        <v/>
      </c>
      <c r="E845" s="18" t="str">
        <f ca="1">IFERROR(__xludf.DUMMYFUNCTION("""COMPUTED_VALUE"""),"")</f>
        <v/>
      </c>
      <c r="F845" s="18" t="str">
        <f ca="1">IFERROR(__xludf.DUMMYFUNCTION("""COMPUTED_VALUE"""),"")</f>
        <v/>
      </c>
      <c r="G845" s="18" t="str">
        <f ca="1">IFERROR(__xludf.DUMMYFUNCTION("""COMPUTED_VALUE"""),"")</f>
        <v/>
      </c>
      <c r="H845" s="18" t="str">
        <f ca="1">IFERROR(__xludf.DUMMYFUNCTION("""COMPUTED_VALUE"""),"")</f>
        <v/>
      </c>
      <c r="I845" s="18" t="str">
        <f ca="1">IFERROR(__xludf.DUMMYFUNCTION("""COMPUTED_VALUE"""),"")</f>
        <v/>
      </c>
      <c r="J845" s="18" t="str">
        <f ca="1">IFERROR(__xludf.DUMMYFUNCTION("""COMPUTED_VALUE"""),"")</f>
        <v/>
      </c>
      <c r="K845" s="18" t="str">
        <f ca="1">IFERROR(__xludf.DUMMYFUNCTION("""COMPUTED_VALUE"""),"")</f>
        <v/>
      </c>
      <c r="L845" s="18" t="str">
        <f ca="1">IFERROR(__xludf.DUMMYFUNCTION("""COMPUTED_VALUE"""),"")</f>
        <v/>
      </c>
      <c r="M845" s="18" t="str">
        <f ca="1">IFERROR(__xludf.DUMMYFUNCTION("""COMPUTED_VALUE"""),"")</f>
        <v/>
      </c>
      <c r="N845" s="18" t="str">
        <f ca="1">IFERROR(__xludf.DUMMYFUNCTION("""COMPUTED_VALUE"""),"")</f>
        <v/>
      </c>
      <c r="O845" s="18" t="str">
        <f ca="1">IFERROR(__xludf.DUMMYFUNCTION("""COMPUTED_VALUE"""),"")</f>
        <v/>
      </c>
      <c r="P845" s="18" t="str">
        <f ca="1">IFERROR(__xludf.DUMMYFUNCTION("""COMPUTED_VALUE"""),"")</f>
        <v/>
      </c>
      <c r="Q845" s="18" t="str">
        <f ca="1">IFERROR(__xludf.DUMMYFUNCTION("""COMPUTED_VALUE"""),"")</f>
        <v/>
      </c>
      <c r="R845" s="18" t="str">
        <f ca="1">IFERROR(__xludf.DUMMYFUNCTION("""COMPUTED_VALUE"""),"")</f>
        <v/>
      </c>
      <c r="S845" s="18" t="str">
        <f ca="1">IFERROR(__xludf.DUMMYFUNCTION("""COMPUTED_VALUE"""),"")</f>
        <v/>
      </c>
      <c r="T845" s="18" t="str">
        <f ca="1">IFERROR(__xludf.DUMMYFUNCTION("""COMPUTED_VALUE"""),"")</f>
        <v/>
      </c>
      <c r="U845" s="18" t="str">
        <f ca="1">IFERROR(__xludf.DUMMYFUNCTION("""COMPUTED_VALUE"""),"")</f>
        <v/>
      </c>
      <c r="V845" s="18" t="str">
        <f ca="1">IFERROR(__xludf.DUMMYFUNCTION("""COMPUTED_VALUE"""),"")</f>
        <v/>
      </c>
      <c r="W845" s="18" t="str">
        <f ca="1">IFERROR(__xludf.DUMMYFUNCTION("""COMPUTED_VALUE"""),"")</f>
        <v/>
      </c>
      <c r="X845" s="18" t="str">
        <f ca="1">IFERROR(__xludf.DUMMYFUNCTION("""COMPUTED_VALUE"""),"")</f>
        <v/>
      </c>
      <c r="Y845" s="18" t="e">
        <f ca="1"/>
        <v>#NAME?</v>
      </c>
      <c r="Z845" s="18" t="str">
        <f ca="1">IFERROR(__xludf.DUMMYFUNCTION("""COMPUTED_VALUE"""),"")</f>
        <v/>
      </c>
      <c r="AA845" s="18" t="str">
        <f ca="1">IFERROR(__xludf.DUMMYFUNCTION("""COMPUTED_VALUE"""),"")</f>
        <v/>
      </c>
      <c r="AC845" s="59"/>
    </row>
    <row r="846" spans="1:29" x14ac:dyDescent="0.25">
      <c r="A846" s="18">
        <v>0</v>
      </c>
      <c r="B846" s="52" t="str">
        <f ca="1"/>
        <v/>
      </c>
      <c r="C846" s="52" t="str">
        <f ca="1">IFERROR(__xludf.DUMMYFUNCTION("""COMPUTED_VALUE"""),"")</f>
        <v/>
      </c>
      <c r="D846" s="18" t="str">
        <f ca="1">IFERROR(__xludf.DUMMYFUNCTION("""COMPUTED_VALUE"""),"")</f>
        <v/>
      </c>
      <c r="E846" s="18" t="str">
        <f ca="1">IFERROR(__xludf.DUMMYFUNCTION("""COMPUTED_VALUE"""),"")</f>
        <v/>
      </c>
      <c r="F846" s="18" t="str">
        <f ca="1">IFERROR(__xludf.DUMMYFUNCTION("""COMPUTED_VALUE"""),"")</f>
        <v/>
      </c>
      <c r="G846" s="18" t="str">
        <f ca="1">IFERROR(__xludf.DUMMYFUNCTION("""COMPUTED_VALUE"""),"")</f>
        <v/>
      </c>
      <c r="H846" s="18" t="str">
        <f ca="1">IFERROR(__xludf.DUMMYFUNCTION("""COMPUTED_VALUE"""),"")</f>
        <v/>
      </c>
      <c r="I846" s="18" t="str">
        <f ca="1">IFERROR(__xludf.DUMMYFUNCTION("""COMPUTED_VALUE"""),"")</f>
        <v/>
      </c>
      <c r="J846" s="18" t="str">
        <f ca="1">IFERROR(__xludf.DUMMYFUNCTION("""COMPUTED_VALUE"""),"")</f>
        <v/>
      </c>
      <c r="K846" s="18" t="str">
        <f ca="1">IFERROR(__xludf.DUMMYFUNCTION("""COMPUTED_VALUE"""),"")</f>
        <v/>
      </c>
      <c r="L846" s="18" t="str">
        <f ca="1">IFERROR(__xludf.DUMMYFUNCTION("""COMPUTED_VALUE"""),"")</f>
        <v/>
      </c>
      <c r="M846" s="18" t="str">
        <f ca="1">IFERROR(__xludf.DUMMYFUNCTION("""COMPUTED_VALUE"""),"")</f>
        <v/>
      </c>
      <c r="N846" s="18" t="str">
        <f ca="1">IFERROR(__xludf.DUMMYFUNCTION("""COMPUTED_VALUE"""),"")</f>
        <v/>
      </c>
      <c r="O846" s="18" t="str">
        <f ca="1">IFERROR(__xludf.DUMMYFUNCTION("""COMPUTED_VALUE"""),"")</f>
        <v/>
      </c>
      <c r="P846" s="18" t="str">
        <f ca="1">IFERROR(__xludf.DUMMYFUNCTION("""COMPUTED_VALUE"""),"")</f>
        <v/>
      </c>
      <c r="Q846" s="18" t="str">
        <f ca="1">IFERROR(__xludf.DUMMYFUNCTION("""COMPUTED_VALUE"""),"")</f>
        <v/>
      </c>
      <c r="R846" s="18" t="str">
        <f ca="1">IFERROR(__xludf.DUMMYFUNCTION("""COMPUTED_VALUE"""),"")</f>
        <v/>
      </c>
      <c r="S846" s="18" t="str">
        <f ca="1">IFERROR(__xludf.DUMMYFUNCTION("""COMPUTED_VALUE"""),"")</f>
        <v/>
      </c>
      <c r="T846" s="18" t="str">
        <f ca="1">IFERROR(__xludf.DUMMYFUNCTION("""COMPUTED_VALUE"""),"")</f>
        <v/>
      </c>
      <c r="U846" s="18" t="str">
        <f ca="1">IFERROR(__xludf.DUMMYFUNCTION("""COMPUTED_VALUE"""),"")</f>
        <v/>
      </c>
      <c r="V846" s="18" t="str">
        <f ca="1">IFERROR(__xludf.DUMMYFUNCTION("""COMPUTED_VALUE"""),"")</f>
        <v/>
      </c>
      <c r="W846" s="18" t="str">
        <f ca="1">IFERROR(__xludf.DUMMYFUNCTION("""COMPUTED_VALUE"""),"")</f>
        <v/>
      </c>
      <c r="X846" s="18" t="str">
        <f ca="1">IFERROR(__xludf.DUMMYFUNCTION("""COMPUTED_VALUE"""),"")</f>
        <v/>
      </c>
      <c r="Y846" s="18" t="e">
        <f ca="1"/>
        <v>#NAME?</v>
      </c>
      <c r="Z846" s="18" t="str">
        <f ca="1">IFERROR(__xludf.DUMMYFUNCTION("""COMPUTED_VALUE"""),"")</f>
        <v/>
      </c>
      <c r="AA846" s="18" t="str">
        <f ca="1">IFERROR(__xludf.DUMMYFUNCTION("""COMPUTED_VALUE"""),"")</f>
        <v/>
      </c>
      <c r="AC846" s="59"/>
    </row>
    <row r="847" spans="1:29" x14ac:dyDescent="0.25">
      <c r="A847" s="18">
        <v>0</v>
      </c>
      <c r="B847" s="52" t="str">
        <f ca="1"/>
        <v/>
      </c>
      <c r="C847" s="52" t="str">
        <f ca="1">IFERROR(__xludf.DUMMYFUNCTION("""COMPUTED_VALUE"""),"")</f>
        <v/>
      </c>
      <c r="D847" s="18" t="str">
        <f ca="1">IFERROR(__xludf.DUMMYFUNCTION("""COMPUTED_VALUE"""),"")</f>
        <v/>
      </c>
      <c r="E847" s="18" t="str">
        <f ca="1">IFERROR(__xludf.DUMMYFUNCTION("""COMPUTED_VALUE"""),"")</f>
        <v/>
      </c>
      <c r="F847" s="18" t="str">
        <f ca="1">IFERROR(__xludf.DUMMYFUNCTION("""COMPUTED_VALUE"""),"")</f>
        <v/>
      </c>
      <c r="G847" s="18" t="str">
        <f ca="1">IFERROR(__xludf.DUMMYFUNCTION("""COMPUTED_VALUE"""),"")</f>
        <v/>
      </c>
      <c r="H847" s="18" t="str">
        <f ca="1">IFERROR(__xludf.DUMMYFUNCTION("""COMPUTED_VALUE"""),"")</f>
        <v/>
      </c>
      <c r="I847" s="18" t="str">
        <f ca="1">IFERROR(__xludf.DUMMYFUNCTION("""COMPUTED_VALUE"""),"")</f>
        <v/>
      </c>
      <c r="J847" s="18" t="str">
        <f ca="1">IFERROR(__xludf.DUMMYFUNCTION("""COMPUTED_VALUE"""),"")</f>
        <v/>
      </c>
      <c r="K847" s="18" t="str">
        <f ca="1">IFERROR(__xludf.DUMMYFUNCTION("""COMPUTED_VALUE"""),"")</f>
        <v/>
      </c>
      <c r="L847" s="18" t="str">
        <f ca="1">IFERROR(__xludf.DUMMYFUNCTION("""COMPUTED_VALUE"""),"")</f>
        <v/>
      </c>
      <c r="M847" s="18" t="str">
        <f ca="1">IFERROR(__xludf.DUMMYFUNCTION("""COMPUTED_VALUE"""),"")</f>
        <v/>
      </c>
      <c r="N847" s="18" t="str">
        <f ca="1">IFERROR(__xludf.DUMMYFUNCTION("""COMPUTED_VALUE"""),"")</f>
        <v/>
      </c>
      <c r="O847" s="18" t="str">
        <f ca="1">IFERROR(__xludf.DUMMYFUNCTION("""COMPUTED_VALUE"""),"")</f>
        <v/>
      </c>
      <c r="P847" s="18" t="str">
        <f ca="1">IFERROR(__xludf.DUMMYFUNCTION("""COMPUTED_VALUE"""),"")</f>
        <v/>
      </c>
      <c r="Q847" s="18" t="str">
        <f ca="1">IFERROR(__xludf.DUMMYFUNCTION("""COMPUTED_VALUE"""),"")</f>
        <v/>
      </c>
      <c r="R847" s="18" t="str">
        <f ca="1">IFERROR(__xludf.DUMMYFUNCTION("""COMPUTED_VALUE"""),"")</f>
        <v/>
      </c>
      <c r="S847" s="18" t="str">
        <f ca="1">IFERROR(__xludf.DUMMYFUNCTION("""COMPUTED_VALUE"""),"")</f>
        <v/>
      </c>
      <c r="T847" s="18" t="str">
        <f ca="1">IFERROR(__xludf.DUMMYFUNCTION("""COMPUTED_VALUE"""),"")</f>
        <v/>
      </c>
      <c r="U847" s="18" t="str">
        <f ca="1">IFERROR(__xludf.DUMMYFUNCTION("""COMPUTED_VALUE"""),"")</f>
        <v/>
      </c>
      <c r="V847" s="18" t="str">
        <f ca="1">IFERROR(__xludf.DUMMYFUNCTION("""COMPUTED_VALUE"""),"")</f>
        <v/>
      </c>
      <c r="W847" s="18" t="str">
        <f ca="1">IFERROR(__xludf.DUMMYFUNCTION("""COMPUTED_VALUE"""),"")</f>
        <v/>
      </c>
      <c r="X847" s="18" t="str">
        <f ca="1">IFERROR(__xludf.DUMMYFUNCTION("""COMPUTED_VALUE"""),"")</f>
        <v/>
      </c>
      <c r="Y847" s="18" t="e">
        <f ca="1"/>
        <v>#NAME?</v>
      </c>
      <c r="Z847" s="18" t="str">
        <f ca="1">IFERROR(__xludf.DUMMYFUNCTION("""COMPUTED_VALUE"""),"")</f>
        <v/>
      </c>
      <c r="AA847" s="18" t="str">
        <f ca="1">IFERROR(__xludf.DUMMYFUNCTION("""COMPUTED_VALUE"""),"")</f>
        <v/>
      </c>
      <c r="AC847" s="59"/>
    </row>
    <row r="848" spans="1:29" x14ac:dyDescent="0.25">
      <c r="A848" s="18">
        <v>0</v>
      </c>
      <c r="B848" s="52" t="str">
        <f ca="1"/>
        <v/>
      </c>
      <c r="C848" s="52" t="str">
        <f ca="1">IFERROR(__xludf.DUMMYFUNCTION("""COMPUTED_VALUE"""),"")</f>
        <v/>
      </c>
      <c r="D848" s="18" t="str">
        <f ca="1">IFERROR(__xludf.DUMMYFUNCTION("""COMPUTED_VALUE"""),"")</f>
        <v/>
      </c>
      <c r="E848" s="18" t="str">
        <f ca="1">IFERROR(__xludf.DUMMYFUNCTION("""COMPUTED_VALUE"""),"")</f>
        <v/>
      </c>
      <c r="F848" s="18" t="str">
        <f ca="1">IFERROR(__xludf.DUMMYFUNCTION("""COMPUTED_VALUE"""),"")</f>
        <v/>
      </c>
      <c r="G848" s="18" t="str">
        <f ca="1">IFERROR(__xludf.DUMMYFUNCTION("""COMPUTED_VALUE"""),"")</f>
        <v/>
      </c>
      <c r="H848" s="18" t="str">
        <f ca="1">IFERROR(__xludf.DUMMYFUNCTION("""COMPUTED_VALUE"""),"")</f>
        <v/>
      </c>
      <c r="I848" s="18" t="str">
        <f ca="1">IFERROR(__xludf.DUMMYFUNCTION("""COMPUTED_VALUE"""),"")</f>
        <v/>
      </c>
      <c r="J848" s="18" t="str">
        <f ca="1">IFERROR(__xludf.DUMMYFUNCTION("""COMPUTED_VALUE"""),"")</f>
        <v/>
      </c>
      <c r="K848" s="18" t="str">
        <f ca="1">IFERROR(__xludf.DUMMYFUNCTION("""COMPUTED_VALUE"""),"")</f>
        <v/>
      </c>
      <c r="L848" s="18" t="str">
        <f ca="1">IFERROR(__xludf.DUMMYFUNCTION("""COMPUTED_VALUE"""),"")</f>
        <v/>
      </c>
      <c r="M848" s="18" t="str">
        <f ca="1">IFERROR(__xludf.DUMMYFUNCTION("""COMPUTED_VALUE"""),"")</f>
        <v/>
      </c>
      <c r="N848" s="18" t="str">
        <f ca="1">IFERROR(__xludf.DUMMYFUNCTION("""COMPUTED_VALUE"""),"")</f>
        <v/>
      </c>
      <c r="O848" s="18" t="str">
        <f ca="1">IFERROR(__xludf.DUMMYFUNCTION("""COMPUTED_VALUE"""),"")</f>
        <v/>
      </c>
      <c r="P848" s="18" t="str">
        <f ca="1">IFERROR(__xludf.DUMMYFUNCTION("""COMPUTED_VALUE"""),"")</f>
        <v/>
      </c>
      <c r="Q848" s="18" t="str">
        <f ca="1">IFERROR(__xludf.DUMMYFUNCTION("""COMPUTED_VALUE"""),"")</f>
        <v/>
      </c>
      <c r="R848" s="18" t="str">
        <f ca="1">IFERROR(__xludf.DUMMYFUNCTION("""COMPUTED_VALUE"""),"")</f>
        <v/>
      </c>
      <c r="S848" s="18" t="str">
        <f ca="1">IFERROR(__xludf.DUMMYFUNCTION("""COMPUTED_VALUE"""),"")</f>
        <v/>
      </c>
      <c r="T848" s="18" t="str">
        <f ca="1">IFERROR(__xludf.DUMMYFUNCTION("""COMPUTED_VALUE"""),"")</f>
        <v/>
      </c>
      <c r="U848" s="18" t="str">
        <f ca="1">IFERROR(__xludf.DUMMYFUNCTION("""COMPUTED_VALUE"""),"")</f>
        <v/>
      </c>
      <c r="V848" s="18" t="str">
        <f ca="1">IFERROR(__xludf.DUMMYFUNCTION("""COMPUTED_VALUE"""),"")</f>
        <v/>
      </c>
      <c r="W848" s="18" t="str">
        <f ca="1">IFERROR(__xludf.DUMMYFUNCTION("""COMPUTED_VALUE"""),"")</f>
        <v/>
      </c>
      <c r="X848" s="18" t="str">
        <f ca="1">IFERROR(__xludf.DUMMYFUNCTION("""COMPUTED_VALUE"""),"")</f>
        <v/>
      </c>
      <c r="Y848" s="18" t="e">
        <f ca="1"/>
        <v>#NAME?</v>
      </c>
      <c r="Z848" s="18" t="str">
        <f ca="1">IFERROR(__xludf.DUMMYFUNCTION("""COMPUTED_VALUE"""),"")</f>
        <v/>
      </c>
      <c r="AA848" s="18" t="str">
        <f ca="1">IFERROR(__xludf.DUMMYFUNCTION("""COMPUTED_VALUE"""),"")</f>
        <v/>
      </c>
      <c r="AC848" s="59"/>
    </row>
    <row r="849" spans="1:29" x14ac:dyDescent="0.25">
      <c r="A849" s="18">
        <v>0</v>
      </c>
      <c r="B849" s="52" t="str">
        <f ca="1"/>
        <v/>
      </c>
      <c r="C849" s="52" t="str">
        <f ca="1">IFERROR(__xludf.DUMMYFUNCTION("""COMPUTED_VALUE"""),"")</f>
        <v/>
      </c>
      <c r="D849" s="18" t="str">
        <f ca="1">IFERROR(__xludf.DUMMYFUNCTION("""COMPUTED_VALUE"""),"")</f>
        <v/>
      </c>
      <c r="E849" s="18" t="str">
        <f ca="1">IFERROR(__xludf.DUMMYFUNCTION("""COMPUTED_VALUE"""),"")</f>
        <v/>
      </c>
      <c r="F849" s="18" t="str">
        <f ca="1">IFERROR(__xludf.DUMMYFUNCTION("""COMPUTED_VALUE"""),"")</f>
        <v/>
      </c>
      <c r="G849" s="18" t="str">
        <f ca="1">IFERROR(__xludf.DUMMYFUNCTION("""COMPUTED_VALUE"""),"")</f>
        <v/>
      </c>
      <c r="H849" s="18" t="str">
        <f ca="1">IFERROR(__xludf.DUMMYFUNCTION("""COMPUTED_VALUE"""),"")</f>
        <v/>
      </c>
      <c r="I849" s="18" t="str">
        <f ca="1">IFERROR(__xludf.DUMMYFUNCTION("""COMPUTED_VALUE"""),"")</f>
        <v/>
      </c>
      <c r="J849" s="18" t="str">
        <f ca="1">IFERROR(__xludf.DUMMYFUNCTION("""COMPUTED_VALUE"""),"")</f>
        <v/>
      </c>
      <c r="K849" s="18" t="str">
        <f ca="1">IFERROR(__xludf.DUMMYFUNCTION("""COMPUTED_VALUE"""),"")</f>
        <v/>
      </c>
      <c r="L849" s="18" t="str">
        <f ca="1">IFERROR(__xludf.DUMMYFUNCTION("""COMPUTED_VALUE"""),"")</f>
        <v/>
      </c>
      <c r="M849" s="18" t="str">
        <f ca="1">IFERROR(__xludf.DUMMYFUNCTION("""COMPUTED_VALUE"""),"")</f>
        <v/>
      </c>
      <c r="N849" s="18" t="str">
        <f ca="1">IFERROR(__xludf.DUMMYFUNCTION("""COMPUTED_VALUE"""),"")</f>
        <v/>
      </c>
      <c r="O849" s="18" t="str">
        <f ca="1">IFERROR(__xludf.DUMMYFUNCTION("""COMPUTED_VALUE"""),"")</f>
        <v/>
      </c>
      <c r="P849" s="18" t="str">
        <f ca="1">IFERROR(__xludf.DUMMYFUNCTION("""COMPUTED_VALUE"""),"")</f>
        <v/>
      </c>
      <c r="Q849" s="18" t="str">
        <f ca="1">IFERROR(__xludf.DUMMYFUNCTION("""COMPUTED_VALUE"""),"")</f>
        <v/>
      </c>
      <c r="R849" s="18" t="str">
        <f ca="1">IFERROR(__xludf.DUMMYFUNCTION("""COMPUTED_VALUE"""),"")</f>
        <v/>
      </c>
      <c r="S849" s="18" t="str">
        <f ca="1">IFERROR(__xludf.DUMMYFUNCTION("""COMPUTED_VALUE"""),"")</f>
        <v/>
      </c>
      <c r="T849" s="18" t="str">
        <f ca="1">IFERROR(__xludf.DUMMYFUNCTION("""COMPUTED_VALUE"""),"")</f>
        <v/>
      </c>
      <c r="U849" s="18" t="str">
        <f ca="1">IFERROR(__xludf.DUMMYFUNCTION("""COMPUTED_VALUE"""),"")</f>
        <v/>
      </c>
      <c r="V849" s="18" t="str">
        <f ca="1">IFERROR(__xludf.DUMMYFUNCTION("""COMPUTED_VALUE"""),"")</f>
        <v/>
      </c>
      <c r="W849" s="18" t="str">
        <f ca="1">IFERROR(__xludf.DUMMYFUNCTION("""COMPUTED_VALUE"""),"")</f>
        <v/>
      </c>
      <c r="X849" s="18" t="str">
        <f ca="1">IFERROR(__xludf.DUMMYFUNCTION("""COMPUTED_VALUE"""),"")</f>
        <v/>
      </c>
      <c r="Y849" s="18" t="e">
        <f ca="1"/>
        <v>#NAME?</v>
      </c>
      <c r="Z849" s="18" t="str">
        <f ca="1">IFERROR(__xludf.DUMMYFUNCTION("""COMPUTED_VALUE"""),"")</f>
        <v/>
      </c>
      <c r="AA849" s="18" t="str">
        <f ca="1">IFERROR(__xludf.DUMMYFUNCTION("""COMPUTED_VALUE"""),"")</f>
        <v/>
      </c>
      <c r="AC849" s="59"/>
    </row>
    <row r="850" spans="1:29" x14ac:dyDescent="0.25">
      <c r="A850" s="18">
        <v>0</v>
      </c>
      <c r="B850" s="52" t="str">
        <f ca="1"/>
        <v/>
      </c>
      <c r="C850" s="52" t="str">
        <f ca="1">IFERROR(__xludf.DUMMYFUNCTION("""COMPUTED_VALUE"""),"")</f>
        <v/>
      </c>
      <c r="D850" s="18" t="str">
        <f ca="1">IFERROR(__xludf.DUMMYFUNCTION("""COMPUTED_VALUE"""),"")</f>
        <v/>
      </c>
      <c r="E850" s="18" t="str">
        <f ca="1">IFERROR(__xludf.DUMMYFUNCTION("""COMPUTED_VALUE"""),"")</f>
        <v/>
      </c>
      <c r="F850" s="18" t="str">
        <f ca="1">IFERROR(__xludf.DUMMYFUNCTION("""COMPUTED_VALUE"""),"")</f>
        <v/>
      </c>
      <c r="G850" s="18" t="str">
        <f ca="1">IFERROR(__xludf.DUMMYFUNCTION("""COMPUTED_VALUE"""),"")</f>
        <v/>
      </c>
      <c r="H850" s="18" t="str">
        <f ca="1">IFERROR(__xludf.DUMMYFUNCTION("""COMPUTED_VALUE"""),"")</f>
        <v/>
      </c>
      <c r="I850" s="18" t="str">
        <f ca="1">IFERROR(__xludf.DUMMYFUNCTION("""COMPUTED_VALUE"""),"")</f>
        <v/>
      </c>
      <c r="J850" s="18" t="str">
        <f ca="1">IFERROR(__xludf.DUMMYFUNCTION("""COMPUTED_VALUE"""),"")</f>
        <v/>
      </c>
      <c r="K850" s="18" t="str">
        <f ca="1">IFERROR(__xludf.DUMMYFUNCTION("""COMPUTED_VALUE"""),"")</f>
        <v/>
      </c>
      <c r="L850" s="18" t="str">
        <f ca="1">IFERROR(__xludf.DUMMYFUNCTION("""COMPUTED_VALUE"""),"")</f>
        <v/>
      </c>
      <c r="M850" s="18" t="str">
        <f ca="1">IFERROR(__xludf.DUMMYFUNCTION("""COMPUTED_VALUE"""),"")</f>
        <v/>
      </c>
      <c r="N850" s="18" t="str">
        <f ca="1">IFERROR(__xludf.DUMMYFUNCTION("""COMPUTED_VALUE"""),"")</f>
        <v/>
      </c>
      <c r="O850" s="18" t="str">
        <f ca="1">IFERROR(__xludf.DUMMYFUNCTION("""COMPUTED_VALUE"""),"")</f>
        <v/>
      </c>
      <c r="P850" s="18" t="str">
        <f ca="1">IFERROR(__xludf.DUMMYFUNCTION("""COMPUTED_VALUE"""),"")</f>
        <v/>
      </c>
      <c r="Q850" s="18" t="str">
        <f ca="1">IFERROR(__xludf.DUMMYFUNCTION("""COMPUTED_VALUE"""),"")</f>
        <v/>
      </c>
      <c r="R850" s="18" t="str">
        <f ca="1">IFERROR(__xludf.DUMMYFUNCTION("""COMPUTED_VALUE"""),"")</f>
        <v/>
      </c>
      <c r="S850" s="18" t="str">
        <f ca="1">IFERROR(__xludf.DUMMYFUNCTION("""COMPUTED_VALUE"""),"")</f>
        <v/>
      </c>
      <c r="T850" s="18" t="str">
        <f ca="1">IFERROR(__xludf.DUMMYFUNCTION("""COMPUTED_VALUE"""),"")</f>
        <v/>
      </c>
      <c r="U850" s="18" t="str">
        <f ca="1">IFERROR(__xludf.DUMMYFUNCTION("""COMPUTED_VALUE"""),"")</f>
        <v/>
      </c>
      <c r="V850" s="18" t="str">
        <f ca="1">IFERROR(__xludf.DUMMYFUNCTION("""COMPUTED_VALUE"""),"")</f>
        <v/>
      </c>
      <c r="W850" s="18" t="str">
        <f ca="1">IFERROR(__xludf.DUMMYFUNCTION("""COMPUTED_VALUE"""),"")</f>
        <v/>
      </c>
      <c r="X850" s="18" t="str">
        <f ca="1">IFERROR(__xludf.DUMMYFUNCTION("""COMPUTED_VALUE"""),"")</f>
        <v/>
      </c>
      <c r="Y850" s="18" t="e">
        <f ca="1"/>
        <v>#NAME?</v>
      </c>
      <c r="Z850" s="18" t="str">
        <f ca="1">IFERROR(__xludf.DUMMYFUNCTION("""COMPUTED_VALUE"""),"")</f>
        <v/>
      </c>
      <c r="AA850" s="18" t="str">
        <f ca="1">IFERROR(__xludf.DUMMYFUNCTION("""COMPUTED_VALUE"""),"")</f>
        <v/>
      </c>
      <c r="AC850" s="59"/>
    </row>
    <row r="851" spans="1:29" x14ac:dyDescent="0.25">
      <c r="A851" s="18">
        <v>0</v>
      </c>
      <c r="B851" s="52" t="str">
        <f ca="1"/>
        <v/>
      </c>
      <c r="C851" s="52" t="str">
        <f ca="1">IFERROR(__xludf.DUMMYFUNCTION("""COMPUTED_VALUE"""),"")</f>
        <v/>
      </c>
      <c r="D851" s="18" t="str">
        <f ca="1">IFERROR(__xludf.DUMMYFUNCTION("""COMPUTED_VALUE"""),"")</f>
        <v/>
      </c>
      <c r="E851" s="18" t="str">
        <f ca="1">IFERROR(__xludf.DUMMYFUNCTION("""COMPUTED_VALUE"""),"")</f>
        <v/>
      </c>
      <c r="F851" s="18" t="str">
        <f ca="1">IFERROR(__xludf.DUMMYFUNCTION("""COMPUTED_VALUE"""),"")</f>
        <v/>
      </c>
      <c r="G851" s="18" t="str">
        <f ca="1">IFERROR(__xludf.DUMMYFUNCTION("""COMPUTED_VALUE"""),"")</f>
        <v/>
      </c>
      <c r="H851" s="18" t="str">
        <f ca="1">IFERROR(__xludf.DUMMYFUNCTION("""COMPUTED_VALUE"""),"")</f>
        <v/>
      </c>
      <c r="I851" s="18" t="str">
        <f ca="1">IFERROR(__xludf.DUMMYFUNCTION("""COMPUTED_VALUE"""),"")</f>
        <v/>
      </c>
      <c r="J851" s="18" t="str">
        <f ca="1">IFERROR(__xludf.DUMMYFUNCTION("""COMPUTED_VALUE"""),"")</f>
        <v/>
      </c>
      <c r="K851" s="18" t="str">
        <f ca="1">IFERROR(__xludf.DUMMYFUNCTION("""COMPUTED_VALUE"""),"")</f>
        <v/>
      </c>
      <c r="L851" s="18" t="str">
        <f ca="1">IFERROR(__xludf.DUMMYFUNCTION("""COMPUTED_VALUE"""),"")</f>
        <v/>
      </c>
      <c r="M851" s="18" t="str">
        <f ca="1">IFERROR(__xludf.DUMMYFUNCTION("""COMPUTED_VALUE"""),"")</f>
        <v/>
      </c>
      <c r="N851" s="18" t="str">
        <f ca="1">IFERROR(__xludf.DUMMYFUNCTION("""COMPUTED_VALUE"""),"")</f>
        <v/>
      </c>
      <c r="O851" s="18" t="str">
        <f ca="1">IFERROR(__xludf.DUMMYFUNCTION("""COMPUTED_VALUE"""),"")</f>
        <v/>
      </c>
      <c r="P851" s="18" t="str">
        <f ca="1">IFERROR(__xludf.DUMMYFUNCTION("""COMPUTED_VALUE"""),"")</f>
        <v/>
      </c>
      <c r="Q851" s="18" t="str">
        <f ca="1">IFERROR(__xludf.DUMMYFUNCTION("""COMPUTED_VALUE"""),"")</f>
        <v/>
      </c>
      <c r="R851" s="18" t="str">
        <f ca="1">IFERROR(__xludf.DUMMYFUNCTION("""COMPUTED_VALUE"""),"")</f>
        <v/>
      </c>
      <c r="S851" s="18" t="str">
        <f ca="1">IFERROR(__xludf.DUMMYFUNCTION("""COMPUTED_VALUE"""),"")</f>
        <v/>
      </c>
      <c r="T851" s="18" t="str">
        <f ca="1">IFERROR(__xludf.DUMMYFUNCTION("""COMPUTED_VALUE"""),"")</f>
        <v/>
      </c>
      <c r="U851" s="18" t="str">
        <f ca="1">IFERROR(__xludf.DUMMYFUNCTION("""COMPUTED_VALUE"""),"")</f>
        <v/>
      </c>
      <c r="V851" s="18" t="str">
        <f ca="1">IFERROR(__xludf.DUMMYFUNCTION("""COMPUTED_VALUE"""),"")</f>
        <v/>
      </c>
      <c r="W851" s="18" t="str">
        <f ca="1">IFERROR(__xludf.DUMMYFUNCTION("""COMPUTED_VALUE"""),"")</f>
        <v/>
      </c>
      <c r="X851" s="18" t="str">
        <f ca="1">IFERROR(__xludf.DUMMYFUNCTION("""COMPUTED_VALUE"""),"")</f>
        <v/>
      </c>
      <c r="Y851" s="18" t="e">
        <f ca="1"/>
        <v>#NAME?</v>
      </c>
      <c r="Z851" s="18" t="str">
        <f ca="1">IFERROR(__xludf.DUMMYFUNCTION("""COMPUTED_VALUE"""),"")</f>
        <v/>
      </c>
      <c r="AA851" s="18" t="str">
        <f ca="1">IFERROR(__xludf.DUMMYFUNCTION("""COMPUTED_VALUE"""),"")</f>
        <v/>
      </c>
      <c r="AC851" s="59"/>
    </row>
    <row r="852" spans="1:29" x14ac:dyDescent="0.25">
      <c r="A852" s="18">
        <v>0</v>
      </c>
      <c r="B852" s="52" t="str">
        <f ca="1"/>
        <v/>
      </c>
      <c r="C852" s="52" t="str">
        <f ca="1">IFERROR(__xludf.DUMMYFUNCTION("""COMPUTED_VALUE"""),"")</f>
        <v/>
      </c>
      <c r="D852" s="18" t="str">
        <f ca="1">IFERROR(__xludf.DUMMYFUNCTION("""COMPUTED_VALUE"""),"")</f>
        <v/>
      </c>
      <c r="E852" s="18" t="str">
        <f ca="1">IFERROR(__xludf.DUMMYFUNCTION("""COMPUTED_VALUE"""),"")</f>
        <v/>
      </c>
      <c r="F852" s="18" t="str">
        <f ca="1">IFERROR(__xludf.DUMMYFUNCTION("""COMPUTED_VALUE"""),"")</f>
        <v/>
      </c>
      <c r="G852" s="18" t="str">
        <f ca="1">IFERROR(__xludf.DUMMYFUNCTION("""COMPUTED_VALUE"""),"")</f>
        <v/>
      </c>
      <c r="H852" s="18" t="str">
        <f ca="1">IFERROR(__xludf.DUMMYFUNCTION("""COMPUTED_VALUE"""),"")</f>
        <v/>
      </c>
      <c r="I852" s="18" t="str">
        <f ca="1">IFERROR(__xludf.DUMMYFUNCTION("""COMPUTED_VALUE"""),"")</f>
        <v/>
      </c>
      <c r="J852" s="18" t="str">
        <f ca="1">IFERROR(__xludf.DUMMYFUNCTION("""COMPUTED_VALUE"""),"")</f>
        <v/>
      </c>
      <c r="K852" s="18" t="str">
        <f ca="1">IFERROR(__xludf.DUMMYFUNCTION("""COMPUTED_VALUE"""),"")</f>
        <v/>
      </c>
      <c r="L852" s="18" t="str">
        <f ca="1">IFERROR(__xludf.DUMMYFUNCTION("""COMPUTED_VALUE"""),"")</f>
        <v/>
      </c>
      <c r="M852" s="18" t="str">
        <f ca="1">IFERROR(__xludf.DUMMYFUNCTION("""COMPUTED_VALUE"""),"")</f>
        <v/>
      </c>
      <c r="N852" s="18" t="str">
        <f ca="1">IFERROR(__xludf.DUMMYFUNCTION("""COMPUTED_VALUE"""),"")</f>
        <v/>
      </c>
      <c r="O852" s="18" t="str">
        <f ca="1">IFERROR(__xludf.DUMMYFUNCTION("""COMPUTED_VALUE"""),"")</f>
        <v/>
      </c>
      <c r="P852" s="18" t="str">
        <f ca="1">IFERROR(__xludf.DUMMYFUNCTION("""COMPUTED_VALUE"""),"")</f>
        <v/>
      </c>
      <c r="Q852" s="18" t="str">
        <f ca="1">IFERROR(__xludf.DUMMYFUNCTION("""COMPUTED_VALUE"""),"")</f>
        <v/>
      </c>
      <c r="R852" s="18" t="str">
        <f ca="1">IFERROR(__xludf.DUMMYFUNCTION("""COMPUTED_VALUE"""),"")</f>
        <v/>
      </c>
      <c r="S852" s="18" t="str">
        <f ca="1">IFERROR(__xludf.DUMMYFUNCTION("""COMPUTED_VALUE"""),"")</f>
        <v/>
      </c>
      <c r="T852" s="18" t="str">
        <f ca="1">IFERROR(__xludf.DUMMYFUNCTION("""COMPUTED_VALUE"""),"")</f>
        <v/>
      </c>
      <c r="U852" s="18" t="str">
        <f ca="1">IFERROR(__xludf.DUMMYFUNCTION("""COMPUTED_VALUE"""),"")</f>
        <v/>
      </c>
      <c r="V852" s="18" t="str">
        <f ca="1">IFERROR(__xludf.DUMMYFUNCTION("""COMPUTED_VALUE"""),"")</f>
        <v/>
      </c>
      <c r="W852" s="18" t="str">
        <f ca="1">IFERROR(__xludf.DUMMYFUNCTION("""COMPUTED_VALUE"""),"")</f>
        <v/>
      </c>
      <c r="X852" s="18" t="str">
        <f ca="1">IFERROR(__xludf.DUMMYFUNCTION("""COMPUTED_VALUE"""),"")</f>
        <v/>
      </c>
      <c r="Y852" s="18" t="e">
        <f ca="1"/>
        <v>#NAME?</v>
      </c>
      <c r="Z852" s="18" t="str">
        <f ca="1">IFERROR(__xludf.DUMMYFUNCTION("""COMPUTED_VALUE"""),"")</f>
        <v/>
      </c>
      <c r="AA852" s="18" t="str">
        <f ca="1">IFERROR(__xludf.DUMMYFUNCTION("""COMPUTED_VALUE"""),"")</f>
        <v/>
      </c>
      <c r="AC852" s="59"/>
    </row>
    <row r="853" spans="1:29" x14ac:dyDescent="0.25">
      <c r="A853" s="18">
        <v>0</v>
      </c>
      <c r="B853" s="52" t="str">
        <f ca="1"/>
        <v/>
      </c>
      <c r="C853" s="52" t="str">
        <f ca="1">IFERROR(__xludf.DUMMYFUNCTION("""COMPUTED_VALUE"""),"")</f>
        <v/>
      </c>
      <c r="D853" s="18" t="str">
        <f ca="1">IFERROR(__xludf.DUMMYFUNCTION("""COMPUTED_VALUE"""),"")</f>
        <v/>
      </c>
      <c r="E853" s="18" t="str">
        <f ca="1">IFERROR(__xludf.DUMMYFUNCTION("""COMPUTED_VALUE"""),"")</f>
        <v/>
      </c>
      <c r="F853" s="18" t="str">
        <f ca="1">IFERROR(__xludf.DUMMYFUNCTION("""COMPUTED_VALUE"""),"")</f>
        <v/>
      </c>
      <c r="G853" s="18" t="str">
        <f ca="1">IFERROR(__xludf.DUMMYFUNCTION("""COMPUTED_VALUE"""),"")</f>
        <v/>
      </c>
      <c r="H853" s="18" t="str">
        <f ca="1">IFERROR(__xludf.DUMMYFUNCTION("""COMPUTED_VALUE"""),"")</f>
        <v/>
      </c>
      <c r="I853" s="18" t="str">
        <f ca="1">IFERROR(__xludf.DUMMYFUNCTION("""COMPUTED_VALUE"""),"")</f>
        <v/>
      </c>
      <c r="J853" s="18" t="str">
        <f ca="1">IFERROR(__xludf.DUMMYFUNCTION("""COMPUTED_VALUE"""),"")</f>
        <v/>
      </c>
      <c r="K853" s="18" t="str">
        <f ca="1">IFERROR(__xludf.DUMMYFUNCTION("""COMPUTED_VALUE"""),"")</f>
        <v/>
      </c>
      <c r="L853" s="18" t="str">
        <f ca="1">IFERROR(__xludf.DUMMYFUNCTION("""COMPUTED_VALUE"""),"")</f>
        <v/>
      </c>
      <c r="M853" s="18" t="str">
        <f ca="1">IFERROR(__xludf.DUMMYFUNCTION("""COMPUTED_VALUE"""),"")</f>
        <v/>
      </c>
      <c r="N853" s="18" t="str">
        <f ca="1">IFERROR(__xludf.DUMMYFUNCTION("""COMPUTED_VALUE"""),"")</f>
        <v/>
      </c>
      <c r="O853" s="18" t="str">
        <f ca="1">IFERROR(__xludf.DUMMYFUNCTION("""COMPUTED_VALUE"""),"")</f>
        <v/>
      </c>
      <c r="P853" s="18" t="str">
        <f ca="1">IFERROR(__xludf.DUMMYFUNCTION("""COMPUTED_VALUE"""),"")</f>
        <v/>
      </c>
      <c r="Q853" s="18" t="str">
        <f ca="1">IFERROR(__xludf.DUMMYFUNCTION("""COMPUTED_VALUE"""),"")</f>
        <v/>
      </c>
      <c r="R853" s="18" t="str">
        <f ca="1">IFERROR(__xludf.DUMMYFUNCTION("""COMPUTED_VALUE"""),"")</f>
        <v/>
      </c>
      <c r="S853" s="18" t="str">
        <f ca="1">IFERROR(__xludf.DUMMYFUNCTION("""COMPUTED_VALUE"""),"")</f>
        <v/>
      </c>
      <c r="T853" s="18" t="str">
        <f ca="1">IFERROR(__xludf.DUMMYFUNCTION("""COMPUTED_VALUE"""),"")</f>
        <v/>
      </c>
      <c r="U853" s="18" t="str">
        <f ca="1">IFERROR(__xludf.DUMMYFUNCTION("""COMPUTED_VALUE"""),"")</f>
        <v/>
      </c>
      <c r="V853" s="18" t="str">
        <f ca="1">IFERROR(__xludf.DUMMYFUNCTION("""COMPUTED_VALUE"""),"")</f>
        <v/>
      </c>
      <c r="W853" s="18" t="str">
        <f ca="1">IFERROR(__xludf.DUMMYFUNCTION("""COMPUTED_VALUE"""),"")</f>
        <v/>
      </c>
      <c r="X853" s="18" t="str">
        <f ca="1">IFERROR(__xludf.DUMMYFUNCTION("""COMPUTED_VALUE"""),"")</f>
        <v/>
      </c>
      <c r="Y853" s="18" t="e">
        <f ca="1"/>
        <v>#NAME?</v>
      </c>
      <c r="Z853" s="18" t="str">
        <f ca="1">IFERROR(__xludf.DUMMYFUNCTION("""COMPUTED_VALUE"""),"")</f>
        <v/>
      </c>
      <c r="AA853" s="18" t="str">
        <f ca="1">IFERROR(__xludf.DUMMYFUNCTION("""COMPUTED_VALUE"""),"")</f>
        <v/>
      </c>
      <c r="AC853" s="59"/>
    </row>
    <row r="854" spans="1:29" x14ac:dyDescent="0.25">
      <c r="A854" s="18">
        <v>0</v>
      </c>
      <c r="B854" s="52" t="str">
        <f ca="1"/>
        <v/>
      </c>
      <c r="C854" s="52" t="str">
        <f ca="1">IFERROR(__xludf.DUMMYFUNCTION("""COMPUTED_VALUE"""),"")</f>
        <v/>
      </c>
      <c r="D854" s="18" t="str">
        <f ca="1">IFERROR(__xludf.DUMMYFUNCTION("""COMPUTED_VALUE"""),"")</f>
        <v/>
      </c>
      <c r="E854" s="18" t="str">
        <f ca="1">IFERROR(__xludf.DUMMYFUNCTION("""COMPUTED_VALUE"""),"")</f>
        <v/>
      </c>
      <c r="F854" s="18" t="str">
        <f ca="1">IFERROR(__xludf.DUMMYFUNCTION("""COMPUTED_VALUE"""),"")</f>
        <v/>
      </c>
      <c r="G854" s="18" t="str">
        <f ca="1">IFERROR(__xludf.DUMMYFUNCTION("""COMPUTED_VALUE"""),"")</f>
        <v/>
      </c>
      <c r="H854" s="18" t="str">
        <f ca="1">IFERROR(__xludf.DUMMYFUNCTION("""COMPUTED_VALUE"""),"")</f>
        <v/>
      </c>
      <c r="I854" s="18" t="str">
        <f ca="1">IFERROR(__xludf.DUMMYFUNCTION("""COMPUTED_VALUE"""),"")</f>
        <v/>
      </c>
      <c r="J854" s="18" t="str">
        <f ca="1">IFERROR(__xludf.DUMMYFUNCTION("""COMPUTED_VALUE"""),"")</f>
        <v/>
      </c>
      <c r="K854" s="18" t="str">
        <f ca="1">IFERROR(__xludf.DUMMYFUNCTION("""COMPUTED_VALUE"""),"")</f>
        <v/>
      </c>
      <c r="L854" s="18" t="str">
        <f ca="1">IFERROR(__xludf.DUMMYFUNCTION("""COMPUTED_VALUE"""),"")</f>
        <v/>
      </c>
      <c r="M854" s="18" t="str">
        <f ca="1">IFERROR(__xludf.DUMMYFUNCTION("""COMPUTED_VALUE"""),"")</f>
        <v/>
      </c>
      <c r="N854" s="18" t="str">
        <f ca="1">IFERROR(__xludf.DUMMYFUNCTION("""COMPUTED_VALUE"""),"")</f>
        <v/>
      </c>
      <c r="O854" s="18" t="str">
        <f ca="1">IFERROR(__xludf.DUMMYFUNCTION("""COMPUTED_VALUE"""),"")</f>
        <v/>
      </c>
      <c r="P854" s="18" t="str">
        <f ca="1">IFERROR(__xludf.DUMMYFUNCTION("""COMPUTED_VALUE"""),"")</f>
        <v/>
      </c>
      <c r="Q854" s="18" t="str">
        <f ca="1">IFERROR(__xludf.DUMMYFUNCTION("""COMPUTED_VALUE"""),"")</f>
        <v/>
      </c>
      <c r="R854" s="18" t="str">
        <f ca="1">IFERROR(__xludf.DUMMYFUNCTION("""COMPUTED_VALUE"""),"")</f>
        <v/>
      </c>
      <c r="S854" s="18" t="str">
        <f ca="1">IFERROR(__xludf.DUMMYFUNCTION("""COMPUTED_VALUE"""),"")</f>
        <v/>
      </c>
      <c r="T854" s="18" t="str">
        <f ca="1">IFERROR(__xludf.DUMMYFUNCTION("""COMPUTED_VALUE"""),"")</f>
        <v/>
      </c>
      <c r="U854" s="18" t="str">
        <f ca="1">IFERROR(__xludf.DUMMYFUNCTION("""COMPUTED_VALUE"""),"")</f>
        <v/>
      </c>
      <c r="V854" s="18" t="str">
        <f ca="1">IFERROR(__xludf.DUMMYFUNCTION("""COMPUTED_VALUE"""),"")</f>
        <v/>
      </c>
      <c r="W854" s="18" t="str">
        <f ca="1">IFERROR(__xludf.DUMMYFUNCTION("""COMPUTED_VALUE"""),"")</f>
        <v/>
      </c>
      <c r="X854" s="18" t="str">
        <f ca="1">IFERROR(__xludf.DUMMYFUNCTION("""COMPUTED_VALUE"""),"")</f>
        <v/>
      </c>
      <c r="Y854" s="18" t="e">
        <f ca="1"/>
        <v>#NAME?</v>
      </c>
      <c r="Z854" s="18" t="str">
        <f ca="1">IFERROR(__xludf.DUMMYFUNCTION("""COMPUTED_VALUE"""),"")</f>
        <v/>
      </c>
      <c r="AA854" s="18" t="str">
        <f ca="1">IFERROR(__xludf.DUMMYFUNCTION("""COMPUTED_VALUE"""),"")</f>
        <v/>
      </c>
      <c r="AC854" s="59"/>
    </row>
    <row r="855" spans="1:29" x14ac:dyDescent="0.25">
      <c r="A855" s="18">
        <v>0</v>
      </c>
      <c r="B855" s="52" t="str">
        <f ca="1"/>
        <v/>
      </c>
      <c r="C855" s="52" t="str">
        <f ca="1">IFERROR(__xludf.DUMMYFUNCTION("""COMPUTED_VALUE"""),"")</f>
        <v/>
      </c>
      <c r="D855" s="18" t="str">
        <f ca="1">IFERROR(__xludf.DUMMYFUNCTION("""COMPUTED_VALUE"""),"")</f>
        <v/>
      </c>
      <c r="E855" s="18" t="str">
        <f ca="1">IFERROR(__xludf.DUMMYFUNCTION("""COMPUTED_VALUE"""),"")</f>
        <v/>
      </c>
      <c r="F855" s="18" t="str">
        <f ca="1">IFERROR(__xludf.DUMMYFUNCTION("""COMPUTED_VALUE"""),"")</f>
        <v/>
      </c>
      <c r="G855" s="18" t="str">
        <f ca="1">IFERROR(__xludf.DUMMYFUNCTION("""COMPUTED_VALUE"""),"")</f>
        <v/>
      </c>
      <c r="H855" s="18" t="str">
        <f ca="1">IFERROR(__xludf.DUMMYFUNCTION("""COMPUTED_VALUE"""),"")</f>
        <v/>
      </c>
      <c r="I855" s="18" t="str">
        <f ca="1">IFERROR(__xludf.DUMMYFUNCTION("""COMPUTED_VALUE"""),"")</f>
        <v/>
      </c>
      <c r="J855" s="18" t="str">
        <f ca="1">IFERROR(__xludf.DUMMYFUNCTION("""COMPUTED_VALUE"""),"")</f>
        <v/>
      </c>
      <c r="K855" s="18" t="str">
        <f ca="1">IFERROR(__xludf.DUMMYFUNCTION("""COMPUTED_VALUE"""),"")</f>
        <v/>
      </c>
      <c r="L855" s="18" t="str">
        <f ca="1">IFERROR(__xludf.DUMMYFUNCTION("""COMPUTED_VALUE"""),"")</f>
        <v/>
      </c>
      <c r="M855" s="18" t="str">
        <f ca="1">IFERROR(__xludf.DUMMYFUNCTION("""COMPUTED_VALUE"""),"")</f>
        <v/>
      </c>
      <c r="N855" s="18" t="str">
        <f ca="1">IFERROR(__xludf.DUMMYFUNCTION("""COMPUTED_VALUE"""),"")</f>
        <v/>
      </c>
      <c r="O855" s="18" t="str">
        <f ca="1">IFERROR(__xludf.DUMMYFUNCTION("""COMPUTED_VALUE"""),"")</f>
        <v/>
      </c>
      <c r="P855" s="18" t="str">
        <f ca="1">IFERROR(__xludf.DUMMYFUNCTION("""COMPUTED_VALUE"""),"")</f>
        <v/>
      </c>
      <c r="Q855" s="18" t="str">
        <f ca="1">IFERROR(__xludf.DUMMYFUNCTION("""COMPUTED_VALUE"""),"")</f>
        <v/>
      </c>
      <c r="R855" s="18" t="str">
        <f ca="1">IFERROR(__xludf.DUMMYFUNCTION("""COMPUTED_VALUE"""),"")</f>
        <v/>
      </c>
      <c r="S855" s="18" t="str">
        <f ca="1">IFERROR(__xludf.DUMMYFUNCTION("""COMPUTED_VALUE"""),"")</f>
        <v/>
      </c>
      <c r="T855" s="18" t="str">
        <f ca="1">IFERROR(__xludf.DUMMYFUNCTION("""COMPUTED_VALUE"""),"")</f>
        <v/>
      </c>
      <c r="U855" s="18" t="str">
        <f ca="1">IFERROR(__xludf.DUMMYFUNCTION("""COMPUTED_VALUE"""),"")</f>
        <v/>
      </c>
      <c r="V855" s="18" t="str">
        <f ca="1">IFERROR(__xludf.DUMMYFUNCTION("""COMPUTED_VALUE"""),"")</f>
        <v/>
      </c>
      <c r="W855" s="18" t="str">
        <f ca="1">IFERROR(__xludf.DUMMYFUNCTION("""COMPUTED_VALUE"""),"")</f>
        <v/>
      </c>
      <c r="X855" s="18" t="str">
        <f ca="1">IFERROR(__xludf.DUMMYFUNCTION("""COMPUTED_VALUE"""),"")</f>
        <v/>
      </c>
      <c r="Y855" s="18" t="e">
        <f ca="1"/>
        <v>#NAME?</v>
      </c>
      <c r="Z855" s="18" t="str">
        <f ca="1">IFERROR(__xludf.DUMMYFUNCTION("""COMPUTED_VALUE"""),"")</f>
        <v/>
      </c>
      <c r="AA855" s="18" t="str">
        <f ca="1">IFERROR(__xludf.DUMMYFUNCTION("""COMPUTED_VALUE"""),"")</f>
        <v/>
      </c>
      <c r="AC855" s="59"/>
    </row>
    <row r="856" spans="1:29" x14ac:dyDescent="0.25">
      <c r="A856" s="18">
        <v>0</v>
      </c>
      <c r="B856" s="52" t="str">
        <f ca="1"/>
        <v/>
      </c>
      <c r="C856" s="52" t="str">
        <f ca="1">IFERROR(__xludf.DUMMYFUNCTION("""COMPUTED_VALUE"""),"")</f>
        <v/>
      </c>
      <c r="D856" s="18" t="str">
        <f ca="1">IFERROR(__xludf.DUMMYFUNCTION("""COMPUTED_VALUE"""),"")</f>
        <v/>
      </c>
      <c r="E856" s="18" t="str">
        <f ca="1">IFERROR(__xludf.DUMMYFUNCTION("""COMPUTED_VALUE"""),"")</f>
        <v/>
      </c>
      <c r="F856" s="18" t="str">
        <f ca="1">IFERROR(__xludf.DUMMYFUNCTION("""COMPUTED_VALUE"""),"")</f>
        <v/>
      </c>
      <c r="G856" s="18" t="str">
        <f ca="1">IFERROR(__xludf.DUMMYFUNCTION("""COMPUTED_VALUE"""),"")</f>
        <v/>
      </c>
      <c r="H856" s="18" t="str">
        <f ca="1">IFERROR(__xludf.DUMMYFUNCTION("""COMPUTED_VALUE"""),"")</f>
        <v/>
      </c>
      <c r="I856" s="18" t="str">
        <f ca="1">IFERROR(__xludf.DUMMYFUNCTION("""COMPUTED_VALUE"""),"")</f>
        <v/>
      </c>
      <c r="J856" s="18" t="str">
        <f ca="1">IFERROR(__xludf.DUMMYFUNCTION("""COMPUTED_VALUE"""),"")</f>
        <v/>
      </c>
      <c r="K856" s="18" t="str">
        <f ca="1">IFERROR(__xludf.DUMMYFUNCTION("""COMPUTED_VALUE"""),"")</f>
        <v/>
      </c>
      <c r="L856" s="18" t="str">
        <f ca="1">IFERROR(__xludf.DUMMYFUNCTION("""COMPUTED_VALUE"""),"")</f>
        <v/>
      </c>
      <c r="M856" s="18" t="str">
        <f ca="1">IFERROR(__xludf.DUMMYFUNCTION("""COMPUTED_VALUE"""),"")</f>
        <v/>
      </c>
      <c r="N856" s="18" t="str">
        <f ca="1">IFERROR(__xludf.DUMMYFUNCTION("""COMPUTED_VALUE"""),"")</f>
        <v/>
      </c>
      <c r="O856" s="18" t="str">
        <f ca="1">IFERROR(__xludf.DUMMYFUNCTION("""COMPUTED_VALUE"""),"")</f>
        <v/>
      </c>
      <c r="P856" s="18" t="str">
        <f ca="1">IFERROR(__xludf.DUMMYFUNCTION("""COMPUTED_VALUE"""),"")</f>
        <v/>
      </c>
      <c r="Q856" s="18" t="str">
        <f ca="1">IFERROR(__xludf.DUMMYFUNCTION("""COMPUTED_VALUE"""),"")</f>
        <v/>
      </c>
      <c r="R856" s="18" t="str">
        <f ca="1">IFERROR(__xludf.DUMMYFUNCTION("""COMPUTED_VALUE"""),"")</f>
        <v/>
      </c>
      <c r="S856" s="18" t="str">
        <f ca="1">IFERROR(__xludf.DUMMYFUNCTION("""COMPUTED_VALUE"""),"")</f>
        <v/>
      </c>
      <c r="T856" s="18" t="str">
        <f ca="1">IFERROR(__xludf.DUMMYFUNCTION("""COMPUTED_VALUE"""),"")</f>
        <v/>
      </c>
      <c r="U856" s="18" t="str">
        <f ca="1">IFERROR(__xludf.DUMMYFUNCTION("""COMPUTED_VALUE"""),"")</f>
        <v/>
      </c>
      <c r="V856" s="18" t="str">
        <f ca="1">IFERROR(__xludf.DUMMYFUNCTION("""COMPUTED_VALUE"""),"")</f>
        <v/>
      </c>
      <c r="W856" s="18" t="str">
        <f ca="1">IFERROR(__xludf.DUMMYFUNCTION("""COMPUTED_VALUE"""),"")</f>
        <v/>
      </c>
      <c r="X856" s="18" t="str">
        <f ca="1">IFERROR(__xludf.DUMMYFUNCTION("""COMPUTED_VALUE"""),"")</f>
        <v/>
      </c>
      <c r="Y856" s="18" t="e">
        <f ca="1"/>
        <v>#NAME?</v>
      </c>
      <c r="Z856" s="18" t="str">
        <f ca="1">IFERROR(__xludf.DUMMYFUNCTION("""COMPUTED_VALUE"""),"")</f>
        <v/>
      </c>
      <c r="AA856" s="18" t="str">
        <f ca="1">IFERROR(__xludf.DUMMYFUNCTION("""COMPUTED_VALUE"""),"")</f>
        <v/>
      </c>
      <c r="AC856" s="59"/>
    </row>
    <row r="857" spans="1:29" x14ac:dyDescent="0.25">
      <c r="A857" s="18">
        <v>0</v>
      </c>
      <c r="B857" s="52" t="str">
        <f ca="1"/>
        <v/>
      </c>
      <c r="C857" s="52" t="str">
        <f ca="1">IFERROR(__xludf.DUMMYFUNCTION("""COMPUTED_VALUE"""),"")</f>
        <v/>
      </c>
      <c r="D857" s="18" t="str">
        <f ca="1">IFERROR(__xludf.DUMMYFUNCTION("""COMPUTED_VALUE"""),"")</f>
        <v/>
      </c>
      <c r="E857" s="18" t="str">
        <f ca="1">IFERROR(__xludf.DUMMYFUNCTION("""COMPUTED_VALUE"""),"")</f>
        <v/>
      </c>
      <c r="F857" s="18" t="str">
        <f ca="1">IFERROR(__xludf.DUMMYFUNCTION("""COMPUTED_VALUE"""),"")</f>
        <v/>
      </c>
      <c r="G857" s="18" t="str">
        <f ca="1">IFERROR(__xludf.DUMMYFUNCTION("""COMPUTED_VALUE"""),"")</f>
        <v/>
      </c>
      <c r="H857" s="18" t="str">
        <f ca="1">IFERROR(__xludf.DUMMYFUNCTION("""COMPUTED_VALUE"""),"")</f>
        <v/>
      </c>
      <c r="I857" s="18" t="str">
        <f ca="1">IFERROR(__xludf.DUMMYFUNCTION("""COMPUTED_VALUE"""),"")</f>
        <v/>
      </c>
      <c r="J857" s="18" t="str">
        <f ca="1">IFERROR(__xludf.DUMMYFUNCTION("""COMPUTED_VALUE"""),"")</f>
        <v/>
      </c>
      <c r="K857" s="18" t="str">
        <f ca="1">IFERROR(__xludf.DUMMYFUNCTION("""COMPUTED_VALUE"""),"")</f>
        <v/>
      </c>
      <c r="L857" s="18" t="str">
        <f ca="1">IFERROR(__xludf.DUMMYFUNCTION("""COMPUTED_VALUE"""),"")</f>
        <v/>
      </c>
      <c r="M857" s="18" t="str">
        <f ca="1">IFERROR(__xludf.DUMMYFUNCTION("""COMPUTED_VALUE"""),"")</f>
        <v/>
      </c>
      <c r="N857" s="18" t="str">
        <f ca="1">IFERROR(__xludf.DUMMYFUNCTION("""COMPUTED_VALUE"""),"")</f>
        <v/>
      </c>
      <c r="O857" s="18" t="str">
        <f ca="1">IFERROR(__xludf.DUMMYFUNCTION("""COMPUTED_VALUE"""),"")</f>
        <v/>
      </c>
      <c r="P857" s="18" t="str">
        <f ca="1">IFERROR(__xludf.DUMMYFUNCTION("""COMPUTED_VALUE"""),"")</f>
        <v/>
      </c>
      <c r="Q857" s="18" t="str">
        <f ca="1">IFERROR(__xludf.DUMMYFUNCTION("""COMPUTED_VALUE"""),"")</f>
        <v/>
      </c>
      <c r="R857" s="18" t="str">
        <f ca="1">IFERROR(__xludf.DUMMYFUNCTION("""COMPUTED_VALUE"""),"")</f>
        <v/>
      </c>
      <c r="S857" s="18" t="str">
        <f ca="1">IFERROR(__xludf.DUMMYFUNCTION("""COMPUTED_VALUE"""),"")</f>
        <v/>
      </c>
      <c r="T857" s="18" t="str">
        <f ca="1">IFERROR(__xludf.DUMMYFUNCTION("""COMPUTED_VALUE"""),"")</f>
        <v/>
      </c>
      <c r="U857" s="18" t="str">
        <f ca="1">IFERROR(__xludf.DUMMYFUNCTION("""COMPUTED_VALUE"""),"")</f>
        <v/>
      </c>
      <c r="V857" s="18" t="str">
        <f ca="1">IFERROR(__xludf.DUMMYFUNCTION("""COMPUTED_VALUE"""),"")</f>
        <v/>
      </c>
      <c r="W857" s="18" t="str">
        <f ca="1">IFERROR(__xludf.DUMMYFUNCTION("""COMPUTED_VALUE"""),"")</f>
        <v/>
      </c>
      <c r="X857" s="18" t="str">
        <f ca="1">IFERROR(__xludf.DUMMYFUNCTION("""COMPUTED_VALUE"""),"")</f>
        <v/>
      </c>
      <c r="Y857" s="18" t="e">
        <f ca="1"/>
        <v>#NAME?</v>
      </c>
      <c r="Z857" s="18" t="str">
        <f ca="1">IFERROR(__xludf.DUMMYFUNCTION("""COMPUTED_VALUE"""),"")</f>
        <v/>
      </c>
      <c r="AA857" s="18" t="str">
        <f ca="1">IFERROR(__xludf.DUMMYFUNCTION("""COMPUTED_VALUE"""),"")</f>
        <v/>
      </c>
      <c r="AC857" s="59"/>
    </row>
    <row r="858" spans="1:29" x14ac:dyDescent="0.25">
      <c r="A858" s="18">
        <v>0</v>
      </c>
      <c r="B858" s="52" t="str">
        <f ca="1"/>
        <v/>
      </c>
      <c r="C858" s="52" t="str">
        <f ca="1">IFERROR(__xludf.DUMMYFUNCTION("""COMPUTED_VALUE"""),"")</f>
        <v/>
      </c>
      <c r="D858" s="18" t="str">
        <f ca="1">IFERROR(__xludf.DUMMYFUNCTION("""COMPUTED_VALUE"""),"")</f>
        <v/>
      </c>
      <c r="E858" s="18" t="str">
        <f ca="1">IFERROR(__xludf.DUMMYFUNCTION("""COMPUTED_VALUE"""),"")</f>
        <v/>
      </c>
      <c r="F858" s="18" t="str">
        <f ca="1">IFERROR(__xludf.DUMMYFUNCTION("""COMPUTED_VALUE"""),"")</f>
        <v/>
      </c>
      <c r="G858" s="18" t="str">
        <f ca="1">IFERROR(__xludf.DUMMYFUNCTION("""COMPUTED_VALUE"""),"")</f>
        <v/>
      </c>
      <c r="H858" s="18" t="str">
        <f ca="1">IFERROR(__xludf.DUMMYFUNCTION("""COMPUTED_VALUE"""),"")</f>
        <v/>
      </c>
      <c r="I858" s="18" t="str">
        <f ca="1">IFERROR(__xludf.DUMMYFUNCTION("""COMPUTED_VALUE"""),"")</f>
        <v/>
      </c>
      <c r="J858" s="18" t="str">
        <f ca="1">IFERROR(__xludf.DUMMYFUNCTION("""COMPUTED_VALUE"""),"")</f>
        <v/>
      </c>
      <c r="K858" s="18" t="str">
        <f ca="1">IFERROR(__xludf.DUMMYFUNCTION("""COMPUTED_VALUE"""),"")</f>
        <v/>
      </c>
      <c r="L858" s="18" t="str">
        <f ca="1">IFERROR(__xludf.DUMMYFUNCTION("""COMPUTED_VALUE"""),"")</f>
        <v/>
      </c>
      <c r="M858" s="18" t="str">
        <f ca="1">IFERROR(__xludf.DUMMYFUNCTION("""COMPUTED_VALUE"""),"")</f>
        <v/>
      </c>
      <c r="N858" s="18" t="str">
        <f ca="1">IFERROR(__xludf.DUMMYFUNCTION("""COMPUTED_VALUE"""),"")</f>
        <v/>
      </c>
      <c r="O858" s="18" t="str">
        <f ca="1">IFERROR(__xludf.DUMMYFUNCTION("""COMPUTED_VALUE"""),"")</f>
        <v/>
      </c>
      <c r="P858" s="18" t="str">
        <f ca="1">IFERROR(__xludf.DUMMYFUNCTION("""COMPUTED_VALUE"""),"")</f>
        <v/>
      </c>
      <c r="Q858" s="18" t="str">
        <f ca="1">IFERROR(__xludf.DUMMYFUNCTION("""COMPUTED_VALUE"""),"")</f>
        <v/>
      </c>
      <c r="R858" s="18" t="str">
        <f ca="1">IFERROR(__xludf.DUMMYFUNCTION("""COMPUTED_VALUE"""),"")</f>
        <v/>
      </c>
      <c r="S858" s="18" t="str">
        <f ca="1">IFERROR(__xludf.DUMMYFUNCTION("""COMPUTED_VALUE"""),"")</f>
        <v/>
      </c>
      <c r="T858" s="18" t="str">
        <f ca="1">IFERROR(__xludf.DUMMYFUNCTION("""COMPUTED_VALUE"""),"")</f>
        <v/>
      </c>
      <c r="U858" s="18" t="str">
        <f ca="1">IFERROR(__xludf.DUMMYFUNCTION("""COMPUTED_VALUE"""),"")</f>
        <v/>
      </c>
      <c r="V858" s="18" t="str">
        <f ca="1">IFERROR(__xludf.DUMMYFUNCTION("""COMPUTED_VALUE"""),"")</f>
        <v/>
      </c>
      <c r="W858" s="18" t="str">
        <f ca="1">IFERROR(__xludf.DUMMYFUNCTION("""COMPUTED_VALUE"""),"")</f>
        <v/>
      </c>
      <c r="X858" s="18" t="str">
        <f ca="1">IFERROR(__xludf.DUMMYFUNCTION("""COMPUTED_VALUE"""),"")</f>
        <v/>
      </c>
      <c r="Y858" s="18" t="e">
        <f ca="1"/>
        <v>#NAME?</v>
      </c>
      <c r="Z858" s="18" t="str">
        <f ca="1">IFERROR(__xludf.DUMMYFUNCTION("""COMPUTED_VALUE"""),"")</f>
        <v/>
      </c>
      <c r="AA858" s="18" t="str">
        <f ca="1">IFERROR(__xludf.DUMMYFUNCTION("""COMPUTED_VALUE"""),"")</f>
        <v/>
      </c>
      <c r="AC858" s="59"/>
    </row>
    <row r="859" spans="1:29" x14ac:dyDescent="0.25">
      <c r="A859" s="18">
        <v>0</v>
      </c>
      <c r="B859" s="52" t="str">
        <f ca="1"/>
        <v/>
      </c>
      <c r="C859" s="52" t="str">
        <f ca="1">IFERROR(__xludf.DUMMYFUNCTION("""COMPUTED_VALUE"""),"")</f>
        <v/>
      </c>
      <c r="D859" s="18" t="str">
        <f ca="1">IFERROR(__xludf.DUMMYFUNCTION("""COMPUTED_VALUE"""),"")</f>
        <v/>
      </c>
      <c r="E859" s="18" t="str">
        <f ca="1">IFERROR(__xludf.DUMMYFUNCTION("""COMPUTED_VALUE"""),"")</f>
        <v/>
      </c>
      <c r="F859" s="18" t="str">
        <f ca="1">IFERROR(__xludf.DUMMYFUNCTION("""COMPUTED_VALUE"""),"")</f>
        <v/>
      </c>
      <c r="G859" s="18" t="str">
        <f ca="1">IFERROR(__xludf.DUMMYFUNCTION("""COMPUTED_VALUE"""),"")</f>
        <v/>
      </c>
      <c r="H859" s="18" t="str">
        <f ca="1">IFERROR(__xludf.DUMMYFUNCTION("""COMPUTED_VALUE"""),"")</f>
        <v/>
      </c>
      <c r="I859" s="18" t="str">
        <f ca="1">IFERROR(__xludf.DUMMYFUNCTION("""COMPUTED_VALUE"""),"")</f>
        <v/>
      </c>
      <c r="J859" s="18" t="str">
        <f ca="1">IFERROR(__xludf.DUMMYFUNCTION("""COMPUTED_VALUE"""),"")</f>
        <v/>
      </c>
      <c r="K859" s="18" t="str">
        <f ca="1">IFERROR(__xludf.DUMMYFUNCTION("""COMPUTED_VALUE"""),"")</f>
        <v/>
      </c>
      <c r="L859" s="18" t="str">
        <f ca="1">IFERROR(__xludf.DUMMYFUNCTION("""COMPUTED_VALUE"""),"")</f>
        <v/>
      </c>
      <c r="M859" s="18" t="str">
        <f ca="1">IFERROR(__xludf.DUMMYFUNCTION("""COMPUTED_VALUE"""),"")</f>
        <v/>
      </c>
      <c r="N859" s="18" t="str">
        <f ca="1">IFERROR(__xludf.DUMMYFUNCTION("""COMPUTED_VALUE"""),"")</f>
        <v/>
      </c>
      <c r="O859" s="18" t="str">
        <f ca="1">IFERROR(__xludf.DUMMYFUNCTION("""COMPUTED_VALUE"""),"")</f>
        <v/>
      </c>
      <c r="P859" s="18" t="str">
        <f ca="1">IFERROR(__xludf.DUMMYFUNCTION("""COMPUTED_VALUE"""),"")</f>
        <v/>
      </c>
      <c r="Q859" s="18" t="str">
        <f ca="1">IFERROR(__xludf.DUMMYFUNCTION("""COMPUTED_VALUE"""),"")</f>
        <v/>
      </c>
      <c r="R859" s="18" t="str">
        <f ca="1">IFERROR(__xludf.DUMMYFUNCTION("""COMPUTED_VALUE"""),"")</f>
        <v/>
      </c>
      <c r="S859" s="18" t="str">
        <f ca="1">IFERROR(__xludf.DUMMYFUNCTION("""COMPUTED_VALUE"""),"")</f>
        <v/>
      </c>
      <c r="T859" s="18" t="str">
        <f ca="1">IFERROR(__xludf.DUMMYFUNCTION("""COMPUTED_VALUE"""),"")</f>
        <v/>
      </c>
      <c r="U859" s="18" t="str">
        <f ca="1">IFERROR(__xludf.DUMMYFUNCTION("""COMPUTED_VALUE"""),"")</f>
        <v/>
      </c>
      <c r="V859" s="18" t="str">
        <f ca="1">IFERROR(__xludf.DUMMYFUNCTION("""COMPUTED_VALUE"""),"")</f>
        <v/>
      </c>
      <c r="W859" s="18" t="str">
        <f ca="1">IFERROR(__xludf.DUMMYFUNCTION("""COMPUTED_VALUE"""),"")</f>
        <v/>
      </c>
      <c r="X859" s="18" t="str">
        <f ca="1">IFERROR(__xludf.DUMMYFUNCTION("""COMPUTED_VALUE"""),"")</f>
        <v/>
      </c>
      <c r="Y859" s="18" t="e">
        <f ca="1"/>
        <v>#NAME?</v>
      </c>
      <c r="Z859" s="18" t="str">
        <f ca="1">IFERROR(__xludf.DUMMYFUNCTION("""COMPUTED_VALUE"""),"")</f>
        <v/>
      </c>
      <c r="AA859" s="18" t="str">
        <f ca="1">IFERROR(__xludf.DUMMYFUNCTION("""COMPUTED_VALUE"""),"")</f>
        <v/>
      </c>
      <c r="AC859" s="59"/>
    </row>
    <row r="860" spans="1:29" x14ac:dyDescent="0.25">
      <c r="A860" s="18">
        <v>0</v>
      </c>
      <c r="B860" s="52" t="str">
        <f ca="1"/>
        <v/>
      </c>
      <c r="C860" s="52" t="str">
        <f ca="1">IFERROR(__xludf.DUMMYFUNCTION("""COMPUTED_VALUE"""),"")</f>
        <v/>
      </c>
      <c r="D860" s="18" t="str">
        <f ca="1">IFERROR(__xludf.DUMMYFUNCTION("""COMPUTED_VALUE"""),"")</f>
        <v/>
      </c>
      <c r="E860" s="18" t="str">
        <f ca="1">IFERROR(__xludf.DUMMYFUNCTION("""COMPUTED_VALUE"""),"")</f>
        <v/>
      </c>
      <c r="F860" s="18" t="str">
        <f ca="1">IFERROR(__xludf.DUMMYFUNCTION("""COMPUTED_VALUE"""),"")</f>
        <v/>
      </c>
      <c r="G860" s="18" t="str">
        <f ca="1">IFERROR(__xludf.DUMMYFUNCTION("""COMPUTED_VALUE"""),"")</f>
        <v/>
      </c>
      <c r="H860" s="18" t="str">
        <f ca="1">IFERROR(__xludf.DUMMYFUNCTION("""COMPUTED_VALUE"""),"")</f>
        <v/>
      </c>
      <c r="I860" s="18" t="str">
        <f ca="1">IFERROR(__xludf.DUMMYFUNCTION("""COMPUTED_VALUE"""),"")</f>
        <v/>
      </c>
      <c r="J860" s="18" t="str">
        <f ca="1">IFERROR(__xludf.DUMMYFUNCTION("""COMPUTED_VALUE"""),"")</f>
        <v/>
      </c>
      <c r="K860" s="18" t="str">
        <f ca="1">IFERROR(__xludf.DUMMYFUNCTION("""COMPUTED_VALUE"""),"")</f>
        <v/>
      </c>
      <c r="L860" s="18" t="str">
        <f ca="1">IFERROR(__xludf.DUMMYFUNCTION("""COMPUTED_VALUE"""),"")</f>
        <v/>
      </c>
      <c r="M860" s="18" t="str">
        <f ca="1">IFERROR(__xludf.DUMMYFUNCTION("""COMPUTED_VALUE"""),"")</f>
        <v/>
      </c>
      <c r="N860" s="18" t="str">
        <f ca="1">IFERROR(__xludf.DUMMYFUNCTION("""COMPUTED_VALUE"""),"")</f>
        <v/>
      </c>
      <c r="O860" s="18" t="str">
        <f ca="1">IFERROR(__xludf.DUMMYFUNCTION("""COMPUTED_VALUE"""),"")</f>
        <v/>
      </c>
      <c r="P860" s="18" t="str">
        <f ca="1">IFERROR(__xludf.DUMMYFUNCTION("""COMPUTED_VALUE"""),"")</f>
        <v/>
      </c>
      <c r="Q860" s="18" t="str">
        <f ca="1">IFERROR(__xludf.DUMMYFUNCTION("""COMPUTED_VALUE"""),"")</f>
        <v/>
      </c>
      <c r="R860" s="18" t="str">
        <f ca="1">IFERROR(__xludf.DUMMYFUNCTION("""COMPUTED_VALUE"""),"")</f>
        <v/>
      </c>
      <c r="S860" s="18" t="str">
        <f ca="1">IFERROR(__xludf.DUMMYFUNCTION("""COMPUTED_VALUE"""),"")</f>
        <v/>
      </c>
      <c r="T860" s="18" t="str">
        <f ca="1">IFERROR(__xludf.DUMMYFUNCTION("""COMPUTED_VALUE"""),"")</f>
        <v/>
      </c>
      <c r="U860" s="18" t="str">
        <f ca="1">IFERROR(__xludf.DUMMYFUNCTION("""COMPUTED_VALUE"""),"")</f>
        <v/>
      </c>
      <c r="V860" s="18" t="str">
        <f ca="1">IFERROR(__xludf.DUMMYFUNCTION("""COMPUTED_VALUE"""),"")</f>
        <v/>
      </c>
      <c r="W860" s="18" t="str">
        <f ca="1">IFERROR(__xludf.DUMMYFUNCTION("""COMPUTED_VALUE"""),"")</f>
        <v/>
      </c>
      <c r="X860" s="18" t="str">
        <f ca="1">IFERROR(__xludf.DUMMYFUNCTION("""COMPUTED_VALUE"""),"")</f>
        <v/>
      </c>
      <c r="Y860" s="18" t="e">
        <f ca="1"/>
        <v>#NAME?</v>
      </c>
      <c r="Z860" s="18" t="str">
        <f ca="1">IFERROR(__xludf.DUMMYFUNCTION("""COMPUTED_VALUE"""),"")</f>
        <v/>
      </c>
      <c r="AA860" s="18" t="str">
        <f ca="1">IFERROR(__xludf.DUMMYFUNCTION("""COMPUTED_VALUE"""),"")</f>
        <v/>
      </c>
      <c r="AC860" s="59"/>
    </row>
    <row r="861" spans="1:29" x14ac:dyDescent="0.25">
      <c r="A861" s="18">
        <v>0</v>
      </c>
      <c r="B861" s="52" t="str">
        <f ca="1"/>
        <v/>
      </c>
      <c r="C861" s="52" t="str">
        <f ca="1">IFERROR(__xludf.DUMMYFUNCTION("""COMPUTED_VALUE"""),"")</f>
        <v/>
      </c>
      <c r="D861" s="18" t="str">
        <f ca="1">IFERROR(__xludf.DUMMYFUNCTION("""COMPUTED_VALUE"""),"")</f>
        <v/>
      </c>
      <c r="E861" s="18" t="str">
        <f ca="1">IFERROR(__xludf.DUMMYFUNCTION("""COMPUTED_VALUE"""),"")</f>
        <v/>
      </c>
      <c r="F861" s="18" t="str">
        <f ca="1">IFERROR(__xludf.DUMMYFUNCTION("""COMPUTED_VALUE"""),"")</f>
        <v/>
      </c>
      <c r="G861" s="18" t="str">
        <f ca="1">IFERROR(__xludf.DUMMYFUNCTION("""COMPUTED_VALUE"""),"")</f>
        <v/>
      </c>
      <c r="H861" s="18" t="str">
        <f ca="1">IFERROR(__xludf.DUMMYFUNCTION("""COMPUTED_VALUE"""),"")</f>
        <v/>
      </c>
      <c r="I861" s="18" t="str">
        <f ca="1">IFERROR(__xludf.DUMMYFUNCTION("""COMPUTED_VALUE"""),"")</f>
        <v/>
      </c>
      <c r="J861" s="18" t="str">
        <f ca="1">IFERROR(__xludf.DUMMYFUNCTION("""COMPUTED_VALUE"""),"")</f>
        <v/>
      </c>
      <c r="K861" s="18" t="str">
        <f ca="1">IFERROR(__xludf.DUMMYFUNCTION("""COMPUTED_VALUE"""),"")</f>
        <v/>
      </c>
      <c r="L861" s="18" t="str">
        <f ca="1">IFERROR(__xludf.DUMMYFUNCTION("""COMPUTED_VALUE"""),"")</f>
        <v/>
      </c>
      <c r="M861" s="18" t="str">
        <f ca="1">IFERROR(__xludf.DUMMYFUNCTION("""COMPUTED_VALUE"""),"")</f>
        <v/>
      </c>
      <c r="N861" s="18" t="str">
        <f ca="1">IFERROR(__xludf.DUMMYFUNCTION("""COMPUTED_VALUE"""),"")</f>
        <v/>
      </c>
      <c r="O861" s="18" t="str">
        <f ca="1">IFERROR(__xludf.DUMMYFUNCTION("""COMPUTED_VALUE"""),"")</f>
        <v/>
      </c>
      <c r="P861" s="18" t="str">
        <f ca="1">IFERROR(__xludf.DUMMYFUNCTION("""COMPUTED_VALUE"""),"")</f>
        <v/>
      </c>
      <c r="Q861" s="18" t="str">
        <f ca="1">IFERROR(__xludf.DUMMYFUNCTION("""COMPUTED_VALUE"""),"")</f>
        <v/>
      </c>
      <c r="R861" s="18" t="str">
        <f ca="1">IFERROR(__xludf.DUMMYFUNCTION("""COMPUTED_VALUE"""),"")</f>
        <v/>
      </c>
      <c r="S861" s="18" t="str">
        <f ca="1">IFERROR(__xludf.DUMMYFUNCTION("""COMPUTED_VALUE"""),"")</f>
        <v/>
      </c>
      <c r="T861" s="18" t="str">
        <f ca="1">IFERROR(__xludf.DUMMYFUNCTION("""COMPUTED_VALUE"""),"")</f>
        <v/>
      </c>
      <c r="U861" s="18" t="str">
        <f ca="1">IFERROR(__xludf.DUMMYFUNCTION("""COMPUTED_VALUE"""),"")</f>
        <v/>
      </c>
      <c r="V861" s="18" t="str">
        <f ca="1">IFERROR(__xludf.DUMMYFUNCTION("""COMPUTED_VALUE"""),"")</f>
        <v/>
      </c>
      <c r="W861" s="18" t="str">
        <f ca="1">IFERROR(__xludf.DUMMYFUNCTION("""COMPUTED_VALUE"""),"")</f>
        <v/>
      </c>
      <c r="X861" s="18" t="str">
        <f ca="1">IFERROR(__xludf.DUMMYFUNCTION("""COMPUTED_VALUE"""),"")</f>
        <v/>
      </c>
      <c r="Y861" s="18" t="e">
        <f ca="1"/>
        <v>#NAME?</v>
      </c>
      <c r="Z861" s="18" t="str">
        <f ca="1">IFERROR(__xludf.DUMMYFUNCTION("""COMPUTED_VALUE"""),"")</f>
        <v/>
      </c>
      <c r="AA861" s="18" t="str">
        <f ca="1">IFERROR(__xludf.DUMMYFUNCTION("""COMPUTED_VALUE"""),"")</f>
        <v/>
      </c>
      <c r="AC861" s="59"/>
    </row>
    <row r="862" spans="1:29" x14ac:dyDescent="0.25">
      <c r="A862" s="18">
        <v>0</v>
      </c>
      <c r="B862" s="52" t="str">
        <f ca="1"/>
        <v/>
      </c>
      <c r="C862" s="52" t="str">
        <f ca="1">IFERROR(__xludf.DUMMYFUNCTION("""COMPUTED_VALUE"""),"")</f>
        <v/>
      </c>
      <c r="D862" s="18" t="str">
        <f ca="1">IFERROR(__xludf.DUMMYFUNCTION("""COMPUTED_VALUE"""),"")</f>
        <v/>
      </c>
      <c r="E862" s="18" t="str">
        <f ca="1">IFERROR(__xludf.DUMMYFUNCTION("""COMPUTED_VALUE"""),"")</f>
        <v/>
      </c>
      <c r="F862" s="18" t="str">
        <f ca="1">IFERROR(__xludf.DUMMYFUNCTION("""COMPUTED_VALUE"""),"")</f>
        <v/>
      </c>
      <c r="G862" s="18" t="str">
        <f ca="1">IFERROR(__xludf.DUMMYFUNCTION("""COMPUTED_VALUE"""),"")</f>
        <v/>
      </c>
      <c r="H862" s="18" t="str">
        <f ca="1">IFERROR(__xludf.DUMMYFUNCTION("""COMPUTED_VALUE"""),"")</f>
        <v/>
      </c>
      <c r="I862" s="18" t="str">
        <f ca="1">IFERROR(__xludf.DUMMYFUNCTION("""COMPUTED_VALUE"""),"")</f>
        <v/>
      </c>
      <c r="J862" s="18" t="str">
        <f ca="1">IFERROR(__xludf.DUMMYFUNCTION("""COMPUTED_VALUE"""),"")</f>
        <v/>
      </c>
      <c r="K862" s="18" t="str">
        <f ca="1">IFERROR(__xludf.DUMMYFUNCTION("""COMPUTED_VALUE"""),"")</f>
        <v/>
      </c>
      <c r="L862" s="18" t="str">
        <f ca="1">IFERROR(__xludf.DUMMYFUNCTION("""COMPUTED_VALUE"""),"")</f>
        <v/>
      </c>
      <c r="M862" s="18" t="str">
        <f ca="1">IFERROR(__xludf.DUMMYFUNCTION("""COMPUTED_VALUE"""),"")</f>
        <v/>
      </c>
      <c r="N862" s="18" t="str">
        <f ca="1">IFERROR(__xludf.DUMMYFUNCTION("""COMPUTED_VALUE"""),"")</f>
        <v/>
      </c>
      <c r="O862" s="18" t="str">
        <f ca="1">IFERROR(__xludf.DUMMYFUNCTION("""COMPUTED_VALUE"""),"")</f>
        <v/>
      </c>
      <c r="P862" s="18" t="str">
        <f ca="1">IFERROR(__xludf.DUMMYFUNCTION("""COMPUTED_VALUE"""),"")</f>
        <v/>
      </c>
      <c r="Q862" s="18" t="str">
        <f ca="1">IFERROR(__xludf.DUMMYFUNCTION("""COMPUTED_VALUE"""),"")</f>
        <v/>
      </c>
      <c r="R862" s="18" t="str">
        <f ca="1">IFERROR(__xludf.DUMMYFUNCTION("""COMPUTED_VALUE"""),"")</f>
        <v/>
      </c>
      <c r="S862" s="18" t="str">
        <f ca="1">IFERROR(__xludf.DUMMYFUNCTION("""COMPUTED_VALUE"""),"")</f>
        <v/>
      </c>
      <c r="T862" s="18" t="str">
        <f ca="1">IFERROR(__xludf.DUMMYFUNCTION("""COMPUTED_VALUE"""),"")</f>
        <v/>
      </c>
      <c r="U862" s="18" t="str">
        <f ca="1">IFERROR(__xludf.DUMMYFUNCTION("""COMPUTED_VALUE"""),"")</f>
        <v/>
      </c>
      <c r="V862" s="18" t="str">
        <f ca="1">IFERROR(__xludf.DUMMYFUNCTION("""COMPUTED_VALUE"""),"")</f>
        <v/>
      </c>
      <c r="W862" s="18" t="str">
        <f ca="1">IFERROR(__xludf.DUMMYFUNCTION("""COMPUTED_VALUE"""),"")</f>
        <v/>
      </c>
      <c r="X862" s="18" t="str">
        <f ca="1">IFERROR(__xludf.DUMMYFUNCTION("""COMPUTED_VALUE"""),"")</f>
        <v/>
      </c>
      <c r="Y862" s="18" t="e">
        <f ca="1"/>
        <v>#NAME?</v>
      </c>
      <c r="Z862" s="18" t="str">
        <f ca="1">IFERROR(__xludf.DUMMYFUNCTION("""COMPUTED_VALUE"""),"")</f>
        <v/>
      </c>
      <c r="AA862" s="18" t="str">
        <f ca="1">IFERROR(__xludf.DUMMYFUNCTION("""COMPUTED_VALUE"""),"")</f>
        <v/>
      </c>
      <c r="AC862" s="59"/>
    </row>
    <row r="863" spans="1:29" x14ac:dyDescent="0.25">
      <c r="A863" s="18">
        <v>0</v>
      </c>
      <c r="B863" s="52" t="str">
        <f ca="1"/>
        <v/>
      </c>
      <c r="C863" s="52" t="str">
        <f ca="1">IFERROR(__xludf.DUMMYFUNCTION("""COMPUTED_VALUE"""),"")</f>
        <v/>
      </c>
      <c r="D863" s="18" t="str">
        <f ca="1">IFERROR(__xludf.DUMMYFUNCTION("""COMPUTED_VALUE"""),"")</f>
        <v/>
      </c>
      <c r="E863" s="18" t="str">
        <f ca="1">IFERROR(__xludf.DUMMYFUNCTION("""COMPUTED_VALUE"""),"")</f>
        <v/>
      </c>
      <c r="F863" s="18" t="str">
        <f ca="1">IFERROR(__xludf.DUMMYFUNCTION("""COMPUTED_VALUE"""),"")</f>
        <v/>
      </c>
      <c r="G863" s="18" t="str">
        <f ca="1">IFERROR(__xludf.DUMMYFUNCTION("""COMPUTED_VALUE"""),"")</f>
        <v/>
      </c>
      <c r="H863" s="18" t="str">
        <f ca="1">IFERROR(__xludf.DUMMYFUNCTION("""COMPUTED_VALUE"""),"")</f>
        <v/>
      </c>
      <c r="I863" s="18" t="str">
        <f ca="1">IFERROR(__xludf.DUMMYFUNCTION("""COMPUTED_VALUE"""),"")</f>
        <v/>
      </c>
      <c r="J863" s="18" t="str">
        <f ca="1">IFERROR(__xludf.DUMMYFUNCTION("""COMPUTED_VALUE"""),"")</f>
        <v/>
      </c>
      <c r="K863" s="18" t="str">
        <f ca="1">IFERROR(__xludf.DUMMYFUNCTION("""COMPUTED_VALUE"""),"")</f>
        <v/>
      </c>
      <c r="L863" s="18" t="str">
        <f ca="1">IFERROR(__xludf.DUMMYFUNCTION("""COMPUTED_VALUE"""),"")</f>
        <v/>
      </c>
      <c r="M863" s="18" t="str">
        <f ca="1">IFERROR(__xludf.DUMMYFUNCTION("""COMPUTED_VALUE"""),"")</f>
        <v/>
      </c>
      <c r="N863" s="18" t="str">
        <f ca="1">IFERROR(__xludf.DUMMYFUNCTION("""COMPUTED_VALUE"""),"")</f>
        <v/>
      </c>
      <c r="O863" s="18" t="str">
        <f ca="1">IFERROR(__xludf.DUMMYFUNCTION("""COMPUTED_VALUE"""),"")</f>
        <v/>
      </c>
      <c r="P863" s="18" t="str">
        <f ca="1">IFERROR(__xludf.DUMMYFUNCTION("""COMPUTED_VALUE"""),"")</f>
        <v/>
      </c>
      <c r="Q863" s="18" t="str">
        <f ca="1">IFERROR(__xludf.DUMMYFUNCTION("""COMPUTED_VALUE"""),"")</f>
        <v/>
      </c>
      <c r="R863" s="18" t="str">
        <f ca="1">IFERROR(__xludf.DUMMYFUNCTION("""COMPUTED_VALUE"""),"")</f>
        <v/>
      </c>
      <c r="S863" s="18" t="str">
        <f ca="1">IFERROR(__xludf.DUMMYFUNCTION("""COMPUTED_VALUE"""),"")</f>
        <v/>
      </c>
      <c r="T863" s="18" t="str">
        <f ca="1">IFERROR(__xludf.DUMMYFUNCTION("""COMPUTED_VALUE"""),"")</f>
        <v/>
      </c>
      <c r="U863" s="18" t="str">
        <f ca="1">IFERROR(__xludf.DUMMYFUNCTION("""COMPUTED_VALUE"""),"")</f>
        <v/>
      </c>
      <c r="V863" s="18" t="str">
        <f ca="1">IFERROR(__xludf.DUMMYFUNCTION("""COMPUTED_VALUE"""),"")</f>
        <v/>
      </c>
      <c r="W863" s="18" t="str">
        <f ca="1">IFERROR(__xludf.DUMMYFUNCTION("""COMPUTED_VALUE"""),"")</f>
        <v/>
      </c>
      <c r="X863" s="18" t="str">
        <f ca="1">IFERROR(__xludf.DUMMYFUNCTION("""COMPUTED_VALUE"""),"")</f>
        <v/>
      </c>
      <c r="Y863" s="18" t="e">
        <f ca="1"/>
        <v>#NAME?</v>
      </c>
      <c r="Z863" s="18" t="str">
        <f ca="1">IFERROR(__xludf.DUMMYFUNCTION("""COMPUTED_VALUE"""),"")</f>
        <v/>
      </c>
      <c r="AA863" s="18" t="str">
        <f ca="1">IFERROR(__xludf.DUMMYFUNCTION("""COMPUTED_VALUE"""),"")</f>
        <v/>
      </c>
      <c r="AC863" s="59"/>
    </row>
    <row r="864" spans="1:29" x14ac:dyDescent="0.25">
      <c r="A864" s="18">
        <v>0</v>
      </c>
      <c r="B864" s="52" t="str">
        <f ca="1"/>
        <v/>
      </c>
      <c r="C864" s="52" t="str">
        <f ca="1">IFERROR(__xludf.DUMMYFUNCTION("""COMPUTED_VALUE"""),"")</f>
        <v/>
      </c>
      <c r="D864" s="18" t="str">
        <f ca="1">IFERROR(__xludf.DUMMYFUNCTION("""COMPUTED_VALUE"""),"")</f>
        <v/>
      </c>
      <c r="E864" s="18" t="str">
        <f ca="1">IFERROR(__xludf.DUMMYFUNCTION("""COMPUTED_VALUE"""),"")</f>
        <v/>
      </c>
      <c r="F864" s="18" t="str">
        <f ca="1">IFERROR(__xludf.DUMMYFUNCTION("""COMPUTED_VALUE"""),"")</f>
        <v/>
      </c>
      <c r="G864" s="18" t="str">
        <f ca="1">IFERROR(__xludf.DUMMYFUNCTION("""COMPUTED_VALUE"""),"")</f>
        <v/>
      </c>
      <c r="H864" s="18" t="str">
        <f ca="1">IFERROR(__xludf.DUMMYFUNCTION("""COMPUTED_VALUE"""),"")</f>
        <v/>
      </c>
      <c r="I864" s="18" t="str">
        <f ca="1">IFERROR(__xludf.DUMMYFUNCTION("""COMPUTED_VALUE"""),"")</f>
        <v/>
      </c>
      <c r="J864" s="18" t="str">
        <f ca="1">IFERROR(__xludf.DUMMYFUNCTION("""COMPUTED_VALUE"""),"")</f>
        <v/>
      </c>
      <c r="K864" s="18" t="str">
        <f ca="1">IFERROR(__xludf.DUMMYFUNCTION("""COMPUTED_VALUE"""),"")</f>
        <v/>
      </c>
      <c r="L864" s="18" t="str">
        <f ca="1">IFERROR(__xludf.DUMMYFUNCTION("""COMPUTED_VALUE"""),"")</f>
        <v/>
      </c>
      <c r="M864" s="18" t="str">
        <f ca="1">IFERROR(__xludf.DUMMYFUNCTION("""COMPUTED_VALUE"""),"")</f>
        <v/>
      </c>
      <c r="N864" s="18" t="str">
        <f ca="1">IFERROR(__xludf.DUMMYFUNCTION("""COMPUTED_VALUE"""),"")</f>
        <v/>
      </c>
      <c r="O864" s="18" t="str">
        <f ca="1">IFERROR(__xludf.DUMMYFUNCTION("""COMPUTED_VALUE"""),"")</f>
        <v/>
      </c>
      <c r="P864" s="18" t="str">
        <f ca="1">IFERROR(__xludf.DUMMYFUNCTION("""COMPUTED_VALUE"""),"")</f>
        <v/>
      </c>
      <c r="Q864" s="18" t="str">
        <f ca="1">IFERROR(__xludf.DUMMYFUNCTION("""COMPUTED_VALUE"""),"")</f>
        <v/>
      </c>
      <c r="R864" s="18" t="str">
        <f ca="1">IFERROR(__xludf.DUMMYFUNCTION("""COMPUTED_VALUE"""),"")</f>
        <v/>
      </c>
      <c r="S864" s="18" t="str">
        <f ca="1">IFERROR(__xludf.DUMMYFUNCTION("""COMPUTED_VALUE"""),"")</f>
        <v/>
      </c>
      <c r="T864" s="18" t="str">
        <f ca="1">IFERROR(__xludf.DUMMYFUNCTION("""COMPUTED_VALUE"""),"")</f>
        <v/>
      </c>
      <c r="U864" s="18" t="str">
        <f ca="1">IFERROR(__xludf.DUMMYFUNCTION("""COMPUTED_VALUE"""),"")</f>
        <v/>
      </c>
      <c r="V864" s="18" t="str">
        <f ca="1">IFERROR(__xludf.DUMMYFUNCTION("""COMPUTED_VALUE"""),"")</f>
        <v/>
      </c>
      <c r="W864" s="18" t="str">
        <f ca="1">IFERROR(__xludf.DUMMYFUNCTION("""COMPUTED_VALUE"""),"")</f>
        <v/>
      </c>
      <c r="X864" s="18" t="str">
        <f ca="1">IFERROR(__xludf.DUMMYFUNCTION("""COMPUTED_VALUE"""),"")</f>
        <v/>
      </c>
      <c r="Y864" s="18" t="e">
        <f ca="1"/>
        <v>#NAME?</v>
      </c>
      <c r="Z864" s="18" t="str">
        <f ca="1">IFERROR(__xludf.DUMMYFUNCTION("""COMPUTED_VALUE"""),"")</f>
        <v/>
      </c>
      <c r="AA864" s="18" t="str">
        <f ca="1">IFERROR(__xludf.DUMMYFUNCTION("""COMPUTED_VALUE"""),"")</f>
        <v/>
      </c>
      <c r="AC864" s="59"/>
    </row>
    <row r="865" spans="1:29" x14ac:dyDescent="0.25">
      <c r="A865" s="18">
        <v>0</v>
      </c>
      <c r="B865" s="52" t="str">
        <f ca="1"/>
        <v/>
      </c>
      <c r="C865" s="52" t="str">
        <f ca="1">IFERROR(__xludf.DUMMYFUNCTION("""COMPUTED_VALUE"""),"")</f>
        <v/>
      </c>
      <c r="D865" s="18" t="str">
        <f ca="1">IFERROR(__xludf.DUMMYFUNCTION("""COMPUTED_VALUE"""),"")</f>
        <v/>
      </c>
      <c r="E865" s="18" t="str">
        <f ca="1">IFERROR(__xludf.DUMMYFUNCTION("""COMPUTED_VALUE"""),"")</f>
        <v/>
      </c>
      <c r="F865" s="18" t="str">
        <f ca="1">IFERROR(__xludf.DUMMYFUNCTION("""COMPUTED_VALUE"""),"")</f>
        <v/>
      </c>
      <c r="G865" s="18" t="str">
        <f ca="1">IFERROR(__xludf.DUMMYFUNCTION("""COMPUTED_VALUE"""),"")</f>
        <v/>
      </c>
      <c r="H865" s="18" t="str">
        <f ca="1">IFERROR(__xludf.DUMMYFUNCTION("""COMPUTED_VALUE"""),"")</f>
        <v/>
      </c>
      <c r="I865" s="18" t="str">
        <f ca="1">IFERROR(__xludf.DUMMYFUNCTION("""COMPUTED_VALUE"""),"")</f>
        <v/>
      </c>
      <c r="J865" s="18" t="str">
        <f ca="1">IFERROR(__xludf.DUMMYFUNCTION("""COMPUTED_VALUE"""),"")</f>
        <v/>
      </c>
      <c r="K865" s="18" t="str">
        <f ca="1">IFERROR(__xludf.DUMMYFUNCTION("""COMPUTED_VALUE"""),"")</f>
        <v/>
      </c>
      <c r="L865" s="18" t="str">
        <f ca="1">IFERROR(__xludf.DUMMYFUNCTION("""COMPUTED_VALUE"""),"")</f>
        <v/>
      </c>
      <c r="M865" s="18" t="str">
        <f ca="1">IFERROR(__xludf.DUMMYFUNCTION("""COMPUTED_VALUE"""),"")</f>
        <v/>
      </c>
      <c r="N865" s="18" t="str">
        <f ca="1">IFERROR(__xludf.DUMMYFUNCTION("""COMPUTED_VALUE"""),"")</f>
        <v/>
      </c>
      <c r="O865" s="18" t="str">
        <f ca="1">IFERROR(__xludf.DUMMYFUNCTION("""COMPUTED_VALUE"""),"")</f>
        <v/>
      </c>
      <c r="P865" s="18" t="str">
        <f ca="1">IFERROR(__xludf.DUMMYFUNCTION("""COMPUTED_VALUE"""),"")</f>
        <v/>
      </c>
      <c r="Q865" s="18" t="str">
        <f ca="1">IFERROR(__xludf.DUMMYFUNCTION("""COMPUTED_VALUE"""),"")</f>
        <v/>
      </c>
      <c r="R865" s="18" t="str">
        <f ca="1">IFERROR(__xludf.DUMMYFUNCTION("""COMPUTED_VALUE"""),"")</f>
        <v/>
      </c>
      <c r="S865" s="18" t="str">
        <f ca="1">IFERROR(__xludf.DUMMYFUNCTION("""COMPUTED_VALUE"""),"")</f>
        <v/>
      </c>
      <c r="T865" s="18" t="str">
        <f ca="1">IFERROR(__xludf.DUMMYFUNCTION("""COMPUTED_VALUE"""),"")</f>
        <v/>
      </c>
      <c r="U865" s="18" t="str">
        <f ca="1">IFERROR(__xludf.DUMMYFUNCTION("""COMPUTED_VALUE"""),"")</f>
        <v/>
      </c>
      <c r="V865" s="18" t="str">
        <f ca="1">IFERROR(__xludf.DUMMYFUNCTION("""COMPUTED_VALUE"""),"")</f>
        <v/>
      </c>
      <c r="W865" s="18" t="str">
        <f ca="1">IFERROR(__xludf.DUMMYFUNCTION("""COMPUTED_VALUE"""),"")</f>
        <v/>
      </c>
      <c r="X865" s="18" t="str">
        <f ca="1">IFERROR(__xludf.DUMMYFUNCTION("""COMPUTED_VALUE"""),"")</f>
        <v/>
      </c>
      <c r="Y865" s="18" t="e">
        <f ca="1"/>
        <v>#NAME?</v>
      </c>
      <c r="Z865" s="18" t="str">
        <f ca="1">IFERROR(__xludf.DUMMYFUNCTION("""COMPUTED_VALUE"""),"")</f>
        <v/>
      </c>
      <c r="AA865" s="18" t="str">
        <f ca="1">IFERROR(__xludf.DUMMYFUNCTION("""COMPUTED_VALUE"""),"")</f>
        <v/>
      </c>
      <c r="AC865" s="59"/>
    </row>
    <row r="866" spans="1:29" x14ac:dyDescent="0.25">
      <c r="A866" s="18">
        <v>0</v>
      </c>
      <c r="B866" s="52" t="str">
        <f ca="1"/>
        <v/>
      </c>
      <c r="C866" s="52" t="str">
        <f ca="1">IFERROR(__xludf.DUMMYFUNCTION("""COMPUTED_VALUE"""),"")</f>
        <v/>
      </c>
      <c r="D866" s="18" t="str">
        <f ca="1">IFERROR(__xludf.DUMMYFUNCTION("""COMPUTED_VALUE"""),"")</f>
        <v/>
      </c>
      <c r="E866" s="18" t="str">
        <f ca="1">IFERROR(__xludf.DUMMYFUNCTION("""COMPUTED_VALUE"""),"")</f>
        <v/>
      </c>
      <c r="F866" s="18" t="str">
        <f ca="1">IFERROR(__xludf.DUMMYFUNCTION("""COMPUTED_VALUE"""),"")</f>
        <v/>
      </c>
      <c r="G866" s="18" t="str">
        <f ca="1">IFERROR(__xludf.DUMMYFUNCTION("""COMPUTED_VALUE"""),"")</f>
        <v/>
      </c>
      <c r="H866" s="18" t="str">
        <f ca="1">IFERROR(__xludf.DUMMYFUNCTION("""COMPUTED_VALUE"""),"")</f>
        <v/>
      </c>
      <c r="I866" s="18" t="str">
        <f ca="1">IFERROR(__xludf.DUMMYFUNCTION("""COMPUTED_VALUE"""),"")</f>
        <v/>
      </c>
      <c r="J866" s="18" t="str">
        <f ca="1">IFERROR(__xludf.DUMMYFUNCTION("""COMPUTED_VALUE"""),"")</f>
        <v/>
      </c>
      <c r="K866" s="18" t="str">
        <f ca="1">IFERROR(__xludf.DUMMYFUNCTION("""COMPUTED_VALUE"""),"")</f>
        <v/>
      </c>
      <c r="L866" s="18" t="str">
        <f ca="1">IFERROR(__xludf.DUMMYFUNCTION("""COMPUTED_VALUE"""),"")</f>
        <v/>
      </c>
      <c r="M866" s="18" t="str">
        <f ca="1">IFERROR(__xludf.DUMMYFUNCTION("""COMPUTED_VALUE"""),"")</f>
        <v/>
      </c>
      <c r="N866" s="18" t="str">
        <f ca="1">IFERROR(__xludf.DUMMYFUNCTION("""COMPUTED_VALUE"""),"")</f>
        <v/>
      </c>
      <c r="O866" s="18" t="str">
        <f ca="1">IFERROR(__xludf.DUMMYFUNCTION("""COMPUTED_VALUE"""),"")</f>
        <v/>
      </c>
      <c r="P866" s="18" t="str">
        <f ca="1">IFERROR(__xludf.DUMMYFUNCTION("""COMPUTED_VALUE"""),"")</f>
        <v/>
      </c>
      <c r="Q866" s="18" t="str">
        <f ca="1">IFERROR(__xludf.DUMMYFUNCTION("""COMPUTED_VALUE"""),"")</f>
        <v/>
      </c>
      <c r="R866" s="18" t="str">
        <f ca="1">IFERROR(__xludf.DUMMYFUNCTION("""COMPUTED_VALUE"""),"")</f>
        <v/>
      </c>
      <c r="S866" s="18" t="str">
        <f ca="1">IFERROR(__xludf.DUMMYFUNCTION("""COMPUTED_VALUE"""),"")</f>
        <v/>
      </c>
      <c r="T866" s="18" t="str">
        <f ca="1">IFERROR(__xludf.DUMMYFUNCTION("""COMPUTED_VALUE"""),"")</f>
        <v/>
      </c>
      <c r="U866" s="18" t="str">
        <f ca="1">IFERROR(__xludf.DUMMYFUNCTION("""COMPUTED_VALUE"""),"")</f>
        <v/>
      </c>
      <c r="V866" s="18" t="str">
        <f ca="1">IFERROR(__xludf.DUMMYFUNCTION("""COMPUTED_VALUE"""),"")</f>
        <v/>
      </c>
      <c r="W866" s="18" t="str">
        <f ca="1">IFERROR(__xludf.DUMMYFUNCTION("""COMPUTED_VALUE"""),"")</f>
        <v/>
      </c>
      <c r="X866" s="18" t="str">
        <f ca="1">IFERROR(__xludf.DUMMYFUNCTION("""COMPUTED_VALUE"""),"")</f>
        <v/>
      </c>
      <c r="Y866" s="18" t="e">
        <f ca="1"/>
        <v>#NAME?</v>
      </c>
      <c r="Z866" s="18" t="str">
        <f ca="1">IFERROR(__xludf.DUMMYFUNCTION("""COMPUTED_VALUE"""),"")</f>
        <v/>
      </c>
      <c r="AA866" s="18" t="str">
        <f ca="1">IFERROR(__xludf.DUMMYFUNCTION("""COMPUTED_VALUE"""),"")</f>
        <v/>
      </c>
      <c r="AC866" s="59"/>
    </row>
    <row r="867" spans="1:29" x14ac:dyDescent="0.25">
      <c r="A867" s="18">
        <v>0</v>
      </c>
      <c r="B867" s="52" t="str">
        <f ca="1"/>
        <v/>
      </c>
      <c r="C867" s="52" t="str">
        <f ca="1">IFERROR(__xludf.DUMMYFUNCTION("""COMPUTED_VALUE"""),"")</f>
        <v/>
      </c>
      <c r="D867" s="18" t="str">
        <f ca="1">IFERROR(__xludf.DUMMYFUNCTION("""COMPUTED_VALUE"""),"")</f>
        <v/>
      </c>
      <c r="E867" s="18" t="str">
        <f ca="1">IFERROR(__xludf.DUMMYFUNCTION("""COMPUTED_VALUE"""),"")</f>
        <v/>
      </c>
      <c r="F867" s="18" t="str">
        <f ca="1">IFERROR(__xludf.DUMMYFUNCTION("""COMPUTED_VALUE"""),"")</f>
        <v/>
      </c>
      <c r="G867" s="18" t="str">
        <f ca="1">IFERROR(__xludf.DUMMYFUNCTION("""COMPUTED_VALUE"""),"")</f>
        <v/>
      </c>
      <c r="H867" s="18" t="str">
        <f ca="1">IFERROR(__xludf.DUMMYFUNCTION("""COMPUTED_VALUE"""),"")</f>
        <v/>
      </c>
      <c r="I867" s="18" t="str">
        <f ca="1">IFERROR(__xludf.DUMMYFUNCTION("""COMPUTED_VALUE"""),"")</f>
        <v/>
      </c>
      <c r="J867" s="18" t="str">
        <f ca="1">IFERROR(__xludf.DUMMYFUNCTION("""COMPUTED_VALUE"""),"")</f>
        <v/>
      </c>
      <c r="K867" s="18" t="str">
        <f ca="1">IFERROR(__xludf.DUMMYFUNCTION("""COMPUTED_VALUE"""),"")</f>
        <v/>
      </c>
      <c r="L867" s="18" t="str">
        <f ca="1">IFERROR(__xludf.DUMMYFUNCTION("""COMPUTED_VALUE"""),"")</f>
        <v/>
      </c>
      <c r="M867" s="18" t="str">
        <f ca="1">IFERROR(__xludf.DUMMYFUNCTION("""COMPUTED_VALUE"""),"")</f>
        <v/>
      </c>
      <c r="N867" s="18" t="str">
        <f ca="1">IFERROR(__xludf.DUMMYFUNCTION("""COMPUTED_VALUE"""),"")</f>
        <v/>
      </c>
      <c r="O867" s="18" t="str">
        <f ca="1">IFERROR(__xludf.DUMMYFUNCTION("""COMPUTED_VALUE"""),"")</f>
        <v/>
      </c>
      <c r="P867" s="18" t="str">
        <f ca="1">IFERROR(__xludf.DUMMYFUNCTION("""COMPUTED_VALUE"""),"")</f>
        <v/>
      </c>
      <c r="Q867" s="18" t="str">
        <f ca="1">IFERROR(__xludf.DUMMYFUNCTION("""COMPUTED_VALUE"""),"")</f>
        <v/>
      </c>
      <c r="R867" s="18" t="str">
        <f ca="1">IFERROR(__xludf.DUMMYFUNCTION("""COMPUTED_VALUE"""),"")</f>
        <v/>
      </c>
      <c r="S867" s="18" t="str">
        <f ca="1">IFERROR(__xludf.DUMMYFUNCTION("""COMPUTED_VALUE"""),"")</f>
        <v/>
      </c>
      <c r="T867" s="18" t="str">
        <f ca="1">IFERROR(__xludf.DUMMYFUNCTION("""COMPUTED_VALUE"""),"")</f>
        <v/>
      </c>
      <c r="U867" s="18" t="str">
        <f ca="1">IFERROR(__xludf.DUMMYFUNCTION("""COMPUTED_VALUE"""),"")</f>
        <v/>
      </c>
      <c r="V867" s="18" t="str">
        <f ca="1">IFERROR(__xludf.DUMMYFUNCTION("""COMPUTED_VALUE"""),"")</f>
        <v/>
      </c>
      <c r="W867" s="18" t="str">
        <f ca="1">IFERROR(__xludf.DUMMYFUNCTION("""COMPUTED_VALUE"""),"")</f>
        <v/>
      </c>
      <c r="X867" s="18" t="str">
        <f ca="1">IFERROR(__xludf.DUMMYFUNCTION("""COMPUTED_VALUE"""),"")</f>
        <v/>
      </c>
      <c r="Y867" s="18" t="e">
        <f ca="1"/>
        <v>#NAME?</v>
      </c>
      <c r="Z867" s="18" t="str">
        <f ca="1">IFERROR(__xludf.DUMMYFUNCTION("""COMPUTED_VALUE"""),"")</f>
        <v/>
      </c>
      <c r="AA867" s="18" t="str">
        <f ca="1">IFERROR(__xludf.DUMMYFUNCTION("""COMPUTED_VALUE"""),"")</f>
        <v/>
      </c>
      <c r="AC867" s="59"/>
    </row>
    <row r="868" spans="1:29" x14ac:dyDescent="0.25">
      <c r="A868" s="18">
        <v>0</v>
      </c>
      <c r="B868" s="52" t="str">
        <f ca="1"/>
        <v/>
      </c>
      <c r="C868" s="52" t="str">
        <f ca="1">IFERROR(__xludf.DUMMYFUNCTION("""COMPUTED_VALUE"""),"")</f>
        <v/>
      </c>
      <c r="D868" s="18" t="str">
        <f ca="1">IFERROR(__xludf.DUMMYFUNCTION("""COMPUTED_VALUE"""),"")</f>
        <v/>
      </c>
      <c r="E868" s="18" t="str">
        <f ca="1">IFERROR(__xludf.DUMMYFUNCTION("""COMPUTED_VALUE"""),"")</f>
        <v/>
      </c>
      <c r="F868" s="18" t="str">
        <f ca="1">IFERROR(__xludf.DUMMYFUNCTION("""COMPUTED_VALUE"""),"")</f>
        <v/>
      </c>
      <c r="G868" s="18" t="str">
        <f ca="1">IFERROR(__xludf.DUMMYFUNCTION("""COMPUTED_VALUE"""),"")</f>
        <v/>
      </c>
      <c r="H868" s="18" t="str">
        <f ca="1">IFERROR(__xludf.DUMMYFUNCTION("""COMPUTED_VALUE"""),"")</f>
        <v/>
      </c>
      <c r="I868" s="18" t="str">
        <f ca="1">IFERROR(__xludf.DUMMYFUNCTION("""COMPUTED_VALUE"""),"")</f>
        <v/>
      </c>
      <c r="J868" s="18" t="str">
        <f ca="1">IFERROR(__xludf.DUMMYFUNCTION("""COMPUTED_VALUE"""),"")</f>
        <v/>
      </c>
      <c r="K868" s="18" t="str">
        <f ca="1">IFERROR(__xludf.DUMMYFUNCTION("""COMPUTED_VALUE"""),"")</f>
        <v/>
      </c>
      <c r="L868" s="18" t="str">
        <f ca="1">IFERROR(__xludf.DUMMYFUNCTION("""COMPUTED_VALUE"""),"")</f>
        <v/>
      </c>
      <c r="M868" s="18" t="str">
        <f ca="1">IFERROR(__xludf.DUMMYFUNCTION("""COMPUTED_VALUE"""),"")</f>
        <v/>
      </c>
      <c r="N868" s="18" t="str">
        <f ca="1">IFERROR(__xludf.DUMMYFUNCTION("""COMPUTED_VALUE"""),"")</f>
        <v/>
      </c>
      <c r="O868" s="18" t="str">
        <f ca="1">IFERROR(__xludf.DUMMYFUNCTION("""COMPUTED_VALUE"""),"")</f>
        <v/>
      </c>
      <c r="P868" s="18" t="str">
        <f ca="1">IFERROR(__xludf.DUMMYFUNCTION("""COMPUTED_VALUE"""),"")</f>
        <v/>
      </c>
      <c r="Q868" s="18" t="str">
        <f ca="1">IFERROR(__xludf.DUMMYFUNCTION("""COMPUTED_VALUE"""),"")</f>
        <v/>
      </c>
      <c r="R868" s="18" t="str">
        <f ca="1">IFERROR(__xludf.DUMMYFUNCTION("""COMPUTED_VALUE"""),"")</f>
        <v/>
      </c>
      <c r="S868" s="18" t="str">
        <f ca="1">IFERROR(__xludf.DUMMYFUNCTION("""COMPUTED_VALUE"""),"")</f>
        <v/>
      </c>
      <c r="T868" s="18" t="str">
        <f ca="1">IFERROR(__xludf.DUMMYFUNCTION("""COMPUTED_VALUE"""),"")</f>
        <v/>
      </c>
      <c r="U868" s="18" t="str">
        <f ca="1">IFERROR(__xludf.DUMMYFUNCTION("""COMPUTED_VALUE"""),"")</f>
        <v/>
      </c>
      <c r="V868" s="18" t="str">
        <f ca="1">IFERROR(__xludf.DUMMYFUNCTION("""COMPUTED_VALUE"""),"")</f>
        <v/>
      </c>
      <c r="W868" s="18" t="str">
        <f ca="1">IFERROR(__xludf.DUMMYFUNCTION("""COMPUTED_VALUE"""),"")</f>
        <v/>
      </c>
      <c r="X868" s="18" t="str">
        <f ca="1">IFERROR(__xludf.DUMMYFUNCTION("""COMPUTED_VALUE"""),"")</f>
        <v/>
      </c>
      <c r="Y868" s="18" t="e">
        <f ca="1"/>
        <v>#NAME?</v>
      </c>
      <c r="Z868" s="18" t="str">
        <f ca="1">IFERROR(__xludf.DUMMYFUNCTION("""COMPUTED_VALUE"""),"")</f>
        <v/>
      </c>
      <c r="AA868" s="18" t="str">
        <f ca="1">IFERROR(__xludf.DUMMYFUNCTION("""COMPUTED_VALUE"""),"")</f>
        <v/>
      </c>
      <c r="AC868" s="59"/>
    </row>
    <row r="869" spans="1:29" x14ac:dyDescent="0.25">
      <c r="A869" s="18">
        <v>0</v>
      </c>
      <c r="B869" s="52" t="str">
        <f ca="1"/>
        <v/>
      </c>
      <c r="C869" s="52" t="str">
        <f ca="1">IFERROR(__xludf.DUMMYFUNCTION("""COMPUTED_VALUE"""),"")</f>
        <v/>
      </c>
      <c r="D869" s="18" t="str">
        <f ca="1">IFERROR(__xludf.DUMMYFUNCTION("""COMPUTED_VALUE"""),"")</f>
        <v/>
      </c>
      <c r="E869" s="18" t="str">
        <f ca="1">IFERROR(__xludf.DUMMYFUNCTION("""COMPUTED_VALUE"""),"")</f>
        <v/>
      </c>
      <c r="F869" s="18" t="str">
        <f ca="1">IFERROR(__xludf.DUMMYFUNCTION("""COMPUTED_VALUE"""),"")</f>
        <v/>
      </c>
      <c r="G869" s="18" t="str">
        <f ca="1">IFERROR(__xludf.DUMMYFUNCTION("""COMPUTED_VALUE"""),"")</f>
        <v/>
      </c>
      <c r="H869" s="18" t="str">
        <f ca="1">IFERROR(__xludf.DUMMYFUNCTION("""COMPUTED_VALUE"""),"")</f>
        <v/>
      </c>
      <c r="I869" s="18" t="str">
        <f ca="1">IFERROR(__xludf.DUMMYFUNCTION("""COMPUTED_VALUE"""),"")</f>
        <v/>
      </c>
      <c r="J869" s="18" t="str">
        <f ca="1">IFERROR(__xludf.DUMMYFUNCTION("""COMPUTED_VALUE"""),"")</f>
        <v/>
      </c>
      <c r="K869" s="18" t="str">
        <f ca="1">IFERROR(__xludf.DUMMYFUNCTION("""COMPUTED_VALUE"""),"")</f>
        <v/>
      </c>
      <c r="L869" s="18" t="str">
        <f ca="1">IFERROR(__xludf.DUMMYFUNCTION("""COMPUTED_VALUE"""),"")</f>
        <v/>
      </c>
      <c r="M869" s="18" t="str">
        <f ca="1">IFERROR(__xludf.DUMMYFUNCTION("""COMPUTED_VALUE"""),"")</f>
        <v/>
      </c>
      <c r="N869" s="18" t="str">
        <f ca="1">IFERROR(__xludf.DUMMYFUNCTION("""COMPUTED_VALUE"""),"")</f>
        <v/>
      </c>
      <c r="O869" s="18" t="str">
        <f ca="1">IFERROR(__xludf.DUMMYFUNCTION("""COMPUTED_VALUE"""),"")</f>
        <v/>
      </c>
      <c r="P869" s="18" t="str">
        <f ca="1">IFERROR(__xludf.DUMMYFUNCTION("""COMPUTED_VALUE"""),"")</f>
        <v/>
      </c>
      <c r="Q869" s="18" t="str">
        <f ca="1">IFERROR(__xludf.DUMMYFUNCTION("""COMPUTED_VALUE"""),"")</f>
        <v/>
      </c>
      <c r="R869" s="18" t="str">
        <f ca="1">IFERROR(__xludf.DUMMYFUNCTION("""COMPUTED_VALUE"""),"")</f>
        <v/>
      </c>
      <c r="S869" s="18" t="str">
        <f ca="1">IFERROR(__xludf.DUMMYFUNCTION("""COMPUTED_VALUE"""),"")</f>
        <v/>
      </c>
      <c r="T869" s="18" t="str">
        <f ca="1">IFERROR(__xludf.DUMMYFUNCTION("""COMPUTED_VALUE"""),"")</f>
        <v/>
      </c>
      <c r="U869" s="18" t="str">
        <f ca="1">IFERROR(__xludf.DUMMYFUNCTION("""COMPUTED_VALUE"""),"")</f>
        <v/>
      </c>
      <c r="V869" s="18" t="str">
        <f ca="1">IFERROR(__xludf.DUMMYFUNCTION("""COMPUTED_VALUE"""),"")</f>
        <v/>
      </c>
      <c r="W869" s="18" t="str">
        <f ca="1">IFERROR(__xludf.DUMMYFUNCTION("""COMPUTED_VALUE"""),"")</f>
        <v/>
      </c>
      <c r="X869" s="18" t="str">
        <f ca="1">IFERROR(__xludf.DUMMYFUNCTION("""COMPUTED_VALUE"""),"")</f>
        <v/>
      </c>
      <c r="Y869" s="18" t="e">
        <f ca="1"/>
        <v>#NAME?</v>
      </c>
      <c r="Z869" s="18" t="str">
        <f ca="1">IFERROR(__xludf.DUMMYFUNCTION("""COMPUTED_VALUE"""),"")</f>
        <v/>
      </c>
      <c r="AA869" s="18" t="str">
        <f ca="1">IFERROR(__xludf.DUMMYFUNCTION("""COMPUTED_VALUE"""),"")</f>
        <v/>
      </c>
      <c r="AC869" s="59"/>
    </row>
    <row r="870" spans="1:29" x14ac:dyDescent="0.25">
      <c r="A870" s="18">
        <v>0</v>
      </c>
      <c r="B870" s="52" t="str">
        <f ca="1"/>
        <v/>
      </c>
      <c r="C870" s="52" t="str">
        <f ca="1">IFERROR(__xludf.DUMMYFUNCTION("""COMPUTED_VALUE"""),"")</f>
        <v/>
      </c>
      <c r="D870" s="18" t="str">
        <f ca="1">IFERROR(__xludf.DUMMYFUNCTION("""COMPUTED_VALUE"""),"")</f>
        <v/>
      </c>
      <c r="E870" s="18" t="str">
        <f ca="1">IFERROR(__xludf.DUMMYFUNCTION("""COMPUTED_VALUE"""),"")</f>
        <v/>
      </c>
      <c r="F870" s="18" t="str">
        <f ca="1">IFERROR(__xludf.DUMMYFUNCTION("""COMPUTED_VALUE"""),"")</f>
        <v/>
      </c>
      <c r="G870" s="18" t="str">
        <f ca="1">IFERROR(__xludf.DUMMYFUNCTION("""COMPUTED_VALUE"""),"")</f>
        <v/>
      </c>
      <c r="H870" s="18" t="str">
        <f ca="1">IFERROR(__xludf.DUMMYFUNCTION("""COMPUTED_VALUE"""),"")</f>
        <v/>
      </c>
      <c r="I870" s="18" t="str">
        <f ca="1">IFERROR(__xludf.DUMMYFUNCTION("""COMPUTED_VALUE"""),"")</f>
        <v/>
      </c>
      <c r="J870" s="18" t="str">
        <f ca="1">IFERROR(__xludf.DUMMYFUNCTION("""COMPUTED_VALUE"""),"")</f>
        <v/>
      </c>
      <c r="K870" s="18" t="str">
        <f ca="1">IFERROR(__xludf.DUMMYFUNCTION("""COMPUTED_VALUE"""),"")</f>
        <v/>
      </c>
      <c r="L870" s="18" t="str">
        <f ca="1">IFERROR(__xludf.DUMMYFUNCTION("""COMPUTED_VALUE"""),"")</f>
        <v/>
      </c>
      <c r="M870" s="18" t="str">
        <f ca="1">IFERROR(__xludf.DUMMYFUNCTION("""COMPUTED_VALUE"""),"")</f>
        <v/>
      </c>
      <c r="N870" s="18" t="str">
        <f ca="1">IFERROR(__xludf.DUMMYFUNCTION("""COMPUTED_VALUE"""),"")</f>
        <v/>
      </c>
      <c r="O870" s="18" t="str">
        <f ca="1">IFERROR(__xludf.DUMMYFUNCTION("""COMPUTED_VALUE"""),"")</f>
        <v/>
      </c>
      <c r="P870" s="18" t="str">
        <f ca="1">IFERROR(__xludf.DUMMYFUNCTION("""COMPUTED_VALUE"""),"")</f>
        <v/>
      </c>
      <c r="Q870" s="18" t="str">
        <f ca="1">IFERROR(__xludf.DUMMYFUNCTION("""COMPUTED_VALUE"""),"")</f>
        <v/>
      </c>
      <c r="R870" s="18" t="str">
        <f ca="1">IFERROR(__xludf.DUMMYFUNCTION("""COMPUTED_VALUE"""),"")</f>
        <v/>
      </c>
      <c r="S870" s="18" t="str">
        <f ca="1">IFERROR(__xludf.DUMMYFUNCTION("""COMPUTED_VALUE"""),"")</f>
        <v/>
      </c>
      <c r="T870" s="18" t="str">
        <f ca="1">IFERROR(__xludf.DUMMYFUNCTION("""COMPUTED_VALUE"""),"")</f>
        <v/>
      </c>
      <c r="U870" s="18" t="str">
        <f ca="1">IFERROR(__xludf.DUMMYFUNCTION("""COMPUTED_VALUE"""),"")</f>
        <v/>
      </c>
      <c r="V870" s="18" t="str">
        <f ca="1">IFERROR(__xludf.DUMMYFUNCTION("""COMPUTED_VALUE"""),"")</f>
        <v/>
      </c>
      <c r="W870" s="18" t="str">
        <f ca="1">IFERROR(__xludf.DUMMYFUNCTION("""COMPUTED_VALUE"""),"")</f>
        <v/>
      </c>
      <c r="X870" s="18" t="str">
        <f ca="1">IFERROR(__xludf.DUMMYFUNCTION("""COMPUTED_VALUE"""),"")</f>
        <v/>
      </c>
      <c r="Y870" s="18" t="e">
        <f ca="1"/>
        <v>#NAME?</v>
      </c>
      <c r="Z870" s="18" t="str">
        <f ca="1">IFERROR(__xludf.DUMMYFUNCTION("""COMPUTED_VALUE"""),"")</f>
        <v/>
      </c>
      <c r="AA870" s="18" t="str">
        <f ca="1">IFERROR(__xludf.DUMMYFUNCTION("""COMPUTED_VALUE"""),"")</f>
        <v/>
      </c>
      <c r="AC870" s="59"/>
    </row>
    <row r="871" spans="1:29" x14ac:dyDescent="0.25">
      <c r="A871" s="18">
        <v>0</v>
      </c>
      <c r="B871" s="52" t="str">
        <f ca="1"/>
        <v/>
      </c>
      <c r="C871" s="52" t="str">
        <f ca="1">IFERROR(__xludf.DUMMYFUNCTION("""COMPUTED_VALUE"""),"")</f>
        <v/>
      </c>
      <c r="D871" s="18" t="str">
        <f ca="1">IFERROR(__xludf.DUMMYFUNCTION("""COMPUTED_VALUE"""),"")</f>
        <v/>
      </c>
      <c r="E871" s="18" t="str">
        <f ca="1">IFERROR(__xludf.DUMMYFUNCTION("""COMPUTED_VALUE"""),"")</f>
        <v/>
      </c>
      <c r="F871" s="18" t="str">
        <f ca="1">IFERROR(__xludf.DUMMYFUNCTION("""COMPUTED_VALUE"""),"")</f>
        <v/>
      </c>
      <c r="G871" s="18" t="str">
        <f ca="1">IFERROR(__xludf.DUMMYFUNCTION("""COMPUTED_VALUE"""),"")</f>
        <v/>
      </c>
      <c r="H871" s="18" t="str">
        <f ca="1">IFERROR(__xludf.DUMMYFUNCTION("""COMPUTED_VALUE"""),"")</f>
        <v/>
      </c>
      <c r="I871" s="18" t="str">
        <f ca="1">IFERROR(__xludf.DUMMYFUNCTION("""COMPUTED_VALUE"""),"")</f>
        <v/>
      </c>
      <c r="J871" s="18" t="str">
        <f ca="1">IFERROR(__xludf.DUMMYFUNCTION("""COMPUTED_VALUE"""),"")</f>
        <v/>
      </c>
      <c r="K871" s="18" t="str">
        <f ca="1">IFERROR(__xludf.DUMMYFUNCTION("""COMPUTED_VALUE"""),"")</f>
        <v/>
      </c>
      <c r="L871" s="18" t="str">
        <f ca="1">IFERROR(__xludf.DUMMYFUNCTION("""COMPUTED_VALUE"""),"")</f>
        <v/>
      </c>
      <c r="M871" s="18" t="str">
        <f ca="1">IFERROR(__xludf.DUMMYFUNCTION("""COMPUTED_VALUE"""),"")</f>
        <v/>
      </c>
      <c r="N871" s="18" t="str">
        <f ca="1">IFERROR(__xludf.DUMMYFUNCTION("""COMPUTED_VALUE"""),"")</f>
        <v/>
      </c>
      <c r="O871" s="18" t="str">
        <f ca="1">IFERROR(__xludf.DUMMYFUNCTION("""COMPUTED_VALUE"""),"")</f>
        <v/>
      </c>
      <c r="P871" s="18" t="str">
        <f ca="1">IFERROR(__xludf.DUMMYFUNCTION("""COMPUTED_VALUE"""),"")</f>
        <v/>
      </c>
      <c r="Q871" s="18" t="str">
        <f ca="1">IFERROR(__xludf.DUMMYFUNCTION("""COMPUTED_VALUE"""),"")</f>
        <v/>
      </c>
      <c r="R871" s="18" t="str">
        <f ca="1">IFERROR(__xludf.DUMMYFUNCTION("""COMPUTED_VALUE"""),"")</f>
        <v/>
      </c>
      <c r="S871" s="18" t="str">
        <f ca="1">IFERROR(__xludf.DUMMYFUNCTION("""COMPUTED_VALUE"""),"")</f>
        <v/>
      </c>
      <c r="T871" s="18" t="str">
        <f ca="1">IFERROR(__xludf.DUMMYFUNCTION("""COMPUTED_VALUE"""),"")</f>
        <v/>
      </c>
      <c r="U871" s="18" t="str">
        <f ca="1">IFERROR(__xludf.DUMMYFUNCTION("""COMPUTED_VALUE"""),"")</f>
        <v/>
      </c>
      <c r="V871" s="18" t="str">
        <f ca="1">IFERROR(__xludf.DUMMYFUNCTION("""COMPUTED_VALUE"""),"")</f>
        <v/>
      </c>
      <c r="W871" s="18" t="str">
        <f ca="1">IFERROR(__xludf.DUMMYFUNCTION("""COMPUTED_VALUE"""),"")</f>
        <v/>
      </c>
      <c r="X871" s="18" t="str">
        <f ca="1">IFERROR(__xludf.DUMMYFUNCTION("""COMPUTED_VALUE"""),"")</f>
        <v/>
      </c>
      <c r="Y871" s="18" t="e">
        <f ca="1"/>
        <v>#NAME?</v>
      </c>
      <c r="Z871" s="18" t="str">
        <f ca="1">IFERROR(__xludf.DUMMYFUNCTION("""COMPUTED_VALUE"""),"")</f>
        <v/>
      </c>
      <c r="AA871" s="18" t="str">
        <f ca="1">IFERROR(__xludf.DUMMYFUNCTION("""COMPUTED_VALUE"""),"")</f>
        <v/>
      </c>
      <c r="AC871" s="59"/>
    </row>
    <row r="872" spans="1:29" x14ac:dyDescent="0.25">
      <c r="A872" s="18">
        <v>0</v>
      </c>
      <c r="B872" s="52" t="str">
        <f ca="1"/>
        <v/>
      </c>
      <c r="C872" s="52" t="str">
        <f ca="1">IFERROR(__xludf.DUMMYFUNCTION("""COMPUTED_VALUE"""),"")</f>
        <v/>
      </c>
      <c r="D872" s="18" t="str">
        <f ca="1">IFERROR(__xludf.DUMMYFUNCTION("""COMPUTED_VALUE"""),"")</f>
        <v/>
      </c>
      <c r="E872" s="18" t="str">
        <f ca="1">IFERROR(__xludf.DUMMYFUNCTION("""COMPUTED_VALUE"""),"")</f>
        <v/>
      </c>
      <c r="F872" s="18" t="str">
        <f ca="1">IFERROR(__xludf.DUMMYFUNCTION("""COMPUTED_VALUE"""),"")</f>
        <v/>
      </c>
      <c r="G872" s="18" t="str">
        <f ca="1">IFERROR(__xludf.DUMMYFUNCTION("""COMPUTED_VALUE"""),"")</f>
        <v/>
      </c>
      <c r="H872" s="18" t="str">
        <f ca="1">IFERROR(__xludf.DUMMYFUNCTION("""COMPUTED_VALUE"""),"")</f>
        <v/>
      </c>
      <c r="I872" s="18" t="str">
        <f ca="1">IFERROR(__xludf.DUMMYFUNCTION("""COMPUTED_VALUE"""),"")</f>
        <v/>
      </c>
      <c r="J872" s="18" t="str">
        <f ca="1">IFERROR(__xludf.DUMMYFUNCTION("""COMPUTED_VALUE"""),"")</f>
        <v/>
      </c>
      <c r="K872" s="18" t="str">
        <f ca="1">IFERROR(__xludf.DUMMYFUNCTION("""COMPUTED_VALUE"""),"")</f>
        <v/>
      </c>
      <c r="L872" s="18" t="str">
        <f ca="1">IFERROR(__xludf.DUMMYFUNCTION("""COMPUTED_VALUE"""),"")</f>
        <v/>
      </c>
      <c r="M872" s="18" t="str">
        <f ca="1">IFERROR(__xludf.DUMMYFUNCTION("""COMPUTED_VALUE"""),"")</f>
        <v/>
      </c>
      <c r="N872" s="18" t="str">
        <f ca="1">IFERROR(__xludf.DUMMYFUNCTION("""COMPUTED_VALUE"""),"")</f>
        <v/>
      </c>
      <c r="O872" s="18" t="str">
        <f ca="1">IFERROR(__xludf.DUMMYFUNCTION("""COMPUTED_VALUE"""),"")</f>
        <v/>
      </c>
      <c r="P872" s="18" t="str">
        <f ca="1">IFERROR(__xludf.DUMMYFUNCTION("""COMPUTED_VALUE"""),"")</f>
        <v/>
      </c>
      <c r="Q872" s="18" t="str">
        <f ca="1">IFERROR(__xludf.DUMMYFUNCTION("""COMPUTED_VALUE"""),"")</f>
        <v/>
      </c>
      <c r="R872" s="18" t="str">
        <f ca="1">IFERROR(__xludf.DUMMYFUNCTION("""COMPUTED_VALUE"""),"")</f>
        <v/>
      </c>
      <c r="S872" s="18" t="str">
        <f ca="1">IFERROR(__xludf.DUMMYFUNCTION("""COMPUTED_VALUE"""),"")</f>
        <v/>
      </c>
      <c r="T872" s="18" t="str">
        <f ca="1">IFERROR(__xludf.DUMMYFUNCTION("""COMPUTED_VALUE"""),"")</f>
        <v/>
      </c>
      <c r="U872" s="18" t="str">
        <f ca="1">IFERROR(__xludf.DUMMYFUNCTION("""COMPUTED_VALUE"""),"")</f>
        <v/>
      </c>
      <c r="V872" s="18" t="str">
        <f ca="1">IFERROR(__xludf.DUMMYFUNCTION("""COMPUTED_VALUE"""),"")</f>
        <v/>
      </c>
      <c r="W872" s="18" t="str">
        <f ca="1">IFERROR(__xludf.DUMMYFUNCTION("""COMPUTED_VALUE"""),"")</f>
        <v/>
      </c>
      <c r="X872" s="18" t="str">
        <f ca="1">IFERROR(__xludf.DUMMYFUNCTION("""COMPUTED_VALUE"""),"")</f>
        <v/>
      </c>
      <c r="Y872" s="18" t="e">
        <f ca="1"/>
        <v>#NAME?</v>
      </c>
      <c r="Z872" s="18" t="str">
        <f ca="1">IFERROR(__xludf.DUMMYFUNCTION("""COMPUTED_VALUE"""),"")</f>
        <v/>
      </c>
      <c r="AA872" s="18" t="str">
        <f ca="1">IFERROR(__xludf.DUMMYFUNCTION("""COMPUTED_VALUE"""),"")</f>
        <v/>
      </c>
      <c r="AC872" s="59"/>
    </row>
    <row r="873" spans="1:29" x14ac:dyDescent="0.25">
      <c r="A873" s="18">
        <v>0</v>
      </c>
      <c r="B873" s="52" t="str">
        <f ca="1"/>
        <v/>
      </c>
      <c r="C873" s="52" t="str">
        <f ca="1">IFERROR(__xludf.DUMMYFUNCTION("""COMPUTED_VALUE"""),"")</f>
        <v/>
      </c>
      <c r="D873" s="18" t="str">
        <f ca="1">IFERROR(__xludf.DUMMYFUNCTION("""COMPUTED_VALUE"""),"")</f>
        <v/>
      </c>
      <c r="E873" s="18" t="str">
        <f ca="1">IFERROR(__xludf.DUMMYFUNCTION("""COMPUTED_VALUE"""),"")</f>
        <v/>
      </c>
      <c r="F873" s="18" t="str">
        <f ca="1">IFERROR(__xludf.DUMMYFUNCTION("""COMPUTED_VALUE"""),"")</f>
        <v/>
      </c>
      <c r="G873" s="18" t="str">
        <f ca="1">IFERROR(__xludf.DUMMYFUNCTION("""COMPUTED_VALUE"""),"")</f>
        <v/>
      </c>
      <c r="H873" s="18" t="str">
        <f ca="1">IFERROR(__xludf.DUMMYFUNCTION("""COMPUTED_VALUE"""),"")</f>
        <v/>
      </c>
      <c r="I873" s="18" t="str">
        <f ca="1">IFERROR(__xludf.DUMMYFUNCTION("""COMPUTED_VALUE"""),"")</f>
        <v/>
      </c>
      <c r="J873" s="18" t="str">
        <f ca="1">IFERROR(__xludf.DUMMYFUNCTION("""COMPUTED_VALUE"""),"")</f>
        <v/>
      </c>
      <c r="K873" s="18" t="str">
        <f ca="1">IFERROR(__xludf.DUMMYFUNCTION("""COMPUTED_VALUE"""),"")</f>
        <v/>
      </c>
      <c r="L873" s="18" t="str">
        <f ca="1">IFERROR(__xludf.DUMMYFUNCTION("""COMPUTED_VALUE"""),"")</f>
        <v/>
      </c>
      <c r="M873" s="18" t="str">
        <f ca="1">IFERROR(__xludf.DUMMYFUNCTION("""COMPUTED_VALUE"""),"")</f>
        <v/>
      </c>
      <c r="N873" s="18" t="str">
        <f ca="1">IFERROR(__xludf.DUMMYFUNCTION("""COMPUTED_VALUE"""),"")</f>
        <v/>
      </c>
      <c r="O873" s="18" t="str">
        <f ca="1">IFERROR(__xludf.DUMMYFUNCTION("""COMPUTED_VALUE"""),"")</f>
        <v/>
      </c>
      <c r="P873" s="18" t="str">
        <f ca="1">IFERROR(__xludf.DUMMYFUNCTION("""COMPUTED_VALUE"""),"")</f>
        <v/>
      </c>
      <c r="Q873" s="18" t="str">
        <f ca="1">IFERROR(__xludf.DUMMYFUNCTION("""COMPUTED_VALUE"""),"")</f>
        <v/>
      </c>
      <c r="R873" s="18" t="str">
        <f ca="1">IFERROR(__xludf.DUMMYFUNCTION("""COMPUTED_VALUE"""),"")</f>
        <v/>
      </c>
      <c r="S873" s="18" t="str">
        <f ca="1">IFERROR(__xludf.DUMMYFUNCTION("""COMPUTED_VALUE"""),"")</f>
        <v/>
      </c>
      <c r="T873" s="18" t="str">
        <f ca="1">IFERROR(__xludf.DUMMYFUNCTION("""COMPUTED_VALUE"""),"")</f>
        <v/>
      </c>
      <c r="U873" s="18" t="str">
        <f ca="1">IFERROR(__xludf.DUMMYFUNCTION("""COMPUTED_VALUE"""),"")</f>
        <v/>
      </c>
      <c r="V873" s="18" t="str">
        <f ca="1">IFERROR(__xludf.DUMMYFUNCTION("""COMPUTED_VALUE"""),"")</f>
        <v/>
      </c>
      <c r="W873" s="18" t="str">
        <f ca="1">IFERROR(__xludf.DUMMYFUNCTION("""COMPUTED_VALUE"""),"")</f>
        <v/>
      </c>
      <c r="X873" s="18" t="str">
        <f ca="1">IFERROR(__xludf.DUMMYFUNCTION("""COMPUTED_VALUE"""),"")</f>
        <v/>
      </c>
      <c r="Y873" s="18" t="e">
        <f ca="1"/>
        <v>#NAME?</v>
      </c>
      <c r="Z873" s="18" t="str">
        <f ca="1">IFERROR(__xludf.DUMMYFUNCTION("""COMPUTED_VALUE"""),"")</f>
        <v/>
      </c>
      <c r="AA873" s="18" t="str">
        <f ca="1">IFERROR(__xludf.DUMMYFUNCTION("""COMPUTED_VALUE"""),"")</f>
        <v/>
      </c>
      <c r="AC873" s="59"/>
    </row>
    <row r="874" spans="1:29" x14ac:dyDescent="0.25">
      <c r="A874" s="18">
        <v>0</v>
      </c>
      <c r="B874" s="52" t="str">
        <f ca="1"/>
        <v/>
      </c>
      <c r="C874" s="52" t="str">
        <f ca="1">IFERROR(__xludf.DUMMYFUNCTION("""COMPUTED_VALUE"""),"")</f>
        <v/>
      </c>
      <c r="D874" s="18" t="str">
        <f ca="1">IFERROR(__xludf.DUMMYFUNCTION("""COMPUTED_VALUE"""),"")</f>
        <v/>
      </c>
      <c r="E874" s="18" t="str">
        <f ca="1">IFERROR(__xludf.DUMMYFUNCTION("""COMPUTED_VALUE"""),"")</f>
        <v/>
      </c>
      <c r="F874" s="18" t="str">
        <f ca="1">IFERROR(__xludf.DUMMYFUNCTION("""COMPUTED_VALUE"""),"")</f>
        <v/>
      </c>
      <c r="G874" s="18" t="str">
        <f ca="1">IFERROR(__xludf.DUMMYFUNCTION("""COMPUTED_VALUE"""),"")</f>
        <v/>
      </c>
      <c r="H874" s="18" t="str">
        <f ca="1">IFERROR(__xludf.DUMMYFUNCTION("""COMPUTED_VALUE"""),"")</f>
        <v/>
      </c>
      <c r="I874" s="18" t="str">
        <f ca="1">IFERROR(__xludf.DUMMYFUNCTION("""COMPUTED_VALUE"""),"")</f>
        <v/>
      </c>
      <c r="J874" s="18" t="str">
        <f ca="1">IFERROR(__xludf.DUMMYFUNCTION("""COMPUTED_VALUE"""),"")</f>
        <v/>
      </c>
      <c r="K874" s="18" t="str">
        <f ca="1">IFERROR(__xludf.DUMMYFUNCTION("""COMPUTED_VALUE"""),"")</f>
        <v/>
      </c>
      <c r="L874" s="18" t="str">
        <f ca="1">IFERROR(__xludf.DUMMYFUNCTION("""COMPUTED_VALUE"""),"")</f>
        <v/>
      </c>
      <c r="M874" s="18" t="str">
        <f ca="1">IFERROR(__xludf.DUMMYFUNCTION("""COMPUTED_VALUE"""),"")</f>
        <v/>
      </c>
      <c r="N874" s="18" t="str">
        <f ca="1">IFERROR(__xludf.DUMMYFUNCTION("""COMPUTED_VALUE"""),"")</f>
        <v/>
      </c>
      <c r="O874" s="18" t="str">
        <f ca="1">IFERROR(__xludf.DUMMYFUNCTION("""COMPUTED_VALUE"""),"")</f>
        <v/>
      </c>
      <c r="P874" s="18" t="str">
        <f ca="1">IFERROR(__xludf.DUMMYFUNCTION("""COMPUTED_VALUE"""),"")</f>
        <v/>
      </c>
      <c r="Q874" s="18" t="str">
        <f ca="1">IFERROR(__xludf.DUMMYFUNCTION("""COMPUTED_VALUE"""),"")</f>
        <v/>
      </c>
      <c r="R874" s="18" t="str">
        <f ca="1">IFERROR(__xludf.DUMMYFUNCTION("""COMPUTED_VALUE"""),"")</f>
        <v/>
      </c>
      <c r="S874" s="18" t="str">
        <f ca="1">IFERROR(__xludf.DUMMYFUNCTION("""COMPUTED_VALUE"""),"")</f>
        <v/>
      </c>
      <c r="T874" s="18" t="str">
        <f ca="1">IFERROR(__xludf.DUMMYFUNCTION("""COMPUTED_VALUE"""),"")</f>
        <v/>
      </c>
      <c r="U874" s="18" t="str">
        <f ca="1">IFERROR(__xludf.DUMMYFUNCTION("""COMPUTED_VALUE"""),"")</f>
        <v/>
      </c>
      <c r="V874" s="18" t="str">
        <f ca="1">IFERROR(__xludf.DUMMYFUNCTION("""COMPUTED_VALUE"""),"")</f>
        <v/>
      </c>
      <c r="W874" s="18" t="str">
        <f ca="1">IFERROR(__xludf.DUMMYFUNCTION("""COMPUTED_VALUE"""),"")</f>
        <v/>
      </c>
      <c r="X874" s="18" t="str">
        <f ca="1">IFERROR(__xludf.DUMMYFUNCTION("""COMPUTED_VALUE"""),"")</f>
        <v/>
      </c>
      <c r="Y874" s="18" t="e">
        <f ca="1"/>
        <v>#NAME?</v>
      </c>
      <c r="Z874" s="18" t="str">
        <f ca="1">IFERROR(__xludf.DUMMYFUNCTION("""COMPUTED_VALUE"""),"")</f>
        <v/>
      </c>
      <c r="AA874" s="18" t="str">
        <f ca="1">IFERROR(__xludf.DUMMYFUNCTION("""COMPUTED_VALUE"""),"")</f>
        <v/>
      </c>
      <c r="AC874" s="59"/>
    </row>
    <row r="875" spans="1:29" x14ac:dyDescent="0.25">
      <c r="A875" s="18">
        <v>0</v>
      </c>
      <c r="B875" s="52" t="str">
        <f ca="1"/>
        <v/>
      </c>
      <c r="C875" s="52" t="str">
        <f ca="1">IFERROR(__xludf.DUMMYFUNCTION("""COMPUTED_VALUE"""),"")</f>
        <v/>
      </c>
      <c r="D875" s="18" t="str">
        <f ca="1">IFERROR(__xludf.DUMMYFUNCTION("""COMPUTED_VALUE"""),"")</f>
        <v/>
      </c>
      <c r="E875" s="18" t="str">
        <f ca="1">IFERROR(__xludf.DUMMYFUNCTION("""COMPUTED_VALUE"""),"")</f>
        <v/>
      </c>
      <c r="F875" s="18" t="str">
        <f ca="1">IFERROR(__xludf.DUMMYFUNCTION("""COMPUTED_VALUE"""),"")</f>
        <v/>
      </c>
      <c r="G875" s="18" t="str">
        <f ca="1">IFERROR(__xludf.DUMMYFUNCTION("""COMPUTED_VALUE"""),"")</f>
        <v/>
      </c>
      <c r="H875" s="18" t="str">
        <f ca="1">IFERROR(__xludf.DUMMYFUNCTION("""COMPUTED_VALUE"""),"")</f>
        <v/>
      </c>
      <c r="I875" s="18" t="str">
        <f ca="1">IFERROR(__xludf.DUMMYFUNCTION("""COMPUTED_VALUE"""),"")</f>
        <v/>
      </c>
      <c r="J875" s="18" t="str">
        <f ca="1">IFERROR(__xludf.DUMMYFUNCTION("""COMPUTED_VALUE"""),"")</f>
        <v/>
      </c>
      <c r="K875" s="18" t="str">
        <f ca="1">IFERROR(__xludf.DUMMYFUNCTION("""COMPUTED_VALUE"""),"")</f>
        <v/>
      </c>
      <c r="L875" s="18" t="str">
        <f ca="1">IFERROR(__xludf.DUMMYFUNCTION("""COMPUTED_VALUE"""),"")</f>
        <v/>
      </c>
      <c r="M875" s="18" t="str">
        <f ca="1">IFERROR(__xludf.DUMMYFUNCTION("""COMPUTED_VALUE"""),"")</f>
        <v/>
      </c>
      <c r="N875" s="18" t="str">
        <f ca="1">IFERROR(__xludf.DUMMYFUNCTION("""COMPUTED_VALUE"""),"")</f>
        <v/>
      </c>
      <c r="O875" s="18" t="str">
        <f ca="1">IFERROR(__xludf.DUMMYFUNCTION("""COMPUTED_VALUE"""),"")</f>
        <v/>
      </c>
      <c r="P875" s="18" t="str">
        <f ca="1">IFERROR(__xludf.DUMMYFUNCTION("""COMPUTED_VALUE"""),"")</f>
        <v/>
      </c>
      <c r="Q875" s="18" t="str">
        <f ca="1">IFERROR(__xludf.DUMMYFUNCTION("""COMPUTED_VALUE"""),"")</f>
        <v/>
      </c>
      <c r="R875" s="18" t="str">
        <f ca="1">IFERROR(__xludf.DUMMYFUNCTION("""COMPUTED_VALUE"""),"")</f>
        <v/>
      </c>
      <c r="S875" s="18" t="str">
        <f ca="1">IFERROR(__xludf.DUMMYFUNCTION("""COMPUTED_VALUE"""),"")</f>
        <v/>
      </c>
      <c r="T875" s="18" t="str">
        <f ca="1">IFERROR(__xludf.DUMMYFUNCTION("""COMPUTED_VALUE"""),"")</f>
        <v/>
      </c>
      <c r="U875" s="18" t="str">
        <f ca="1">IFERROR(__xludf.DUMMYFUNCTION("""COMPUTED_VALUE"""),"")</f>
        <v/>
      </c>
      <c r="V875" s="18" t="str">
        <f ca="1">IFERROR(__xludf.DUMMYFUNCTION("""COMPUTED_VALUE"""),"")</f>
        <v/>
      </c>
      <c r="W875" s="18" t="str">
        <f ca="1">IFERROR(__xludf.DUMMYFUNCTION("""COMPUTED_VALUE"""),"")</f>
        <v/>
      </c>
      <c r="X875" s="18" t="str">
        <f ca="1">IFERROR(__xludf.DUMMYFUNCTION("""COMPUTED_VALUE"""),"")</f>
        <v/>
      </c>
      <c r="Y875" s="18" t="e">
        <f ca="1"/>
        <v>#NAME?</v>
      </c>
      <c r="Z875" s="18" t="str">
        <f ca="1">IFERROR(__xludf.DUMMYFUNCTION("""COMPUTED_VALUE"""),"")</f>
        <v/>
      </c>
      <c r="AA875" s="18" t="str">
        <f ca="1">IFERROR(__xludf.DUMMYFUNCTION("""COMPUTED_VALUE"""),"")</f>
        <v/>
      </c>
      <c r="AC875" s="59"/>
    </row>
    <row r="876" spans="1:29" x14ac:dyDescent="0.25">
      <c r="A876" s="18">
        <v>0</v>
      </c>
      <c r="B876" s="52" t="str">
        <f ca="1"/>
        <v/>
      </c>
      <c r="C876" s="52" t="str">
        <f ca="1">IFERROR(__xludf.DUMMYFUNCTION("""COMPUTED_VALUE"""),"")</f>
        <v/>
      </c>
      <c r="D876" s="18" t="str">
        <f ca="1">IFERROR(__xludf.DUMMYFUNCTION("""COMPUTED_VALUE"""),"")</f>
        <v/>
      </c>
      <c r="E876" s="18" t="str">
        <f ca="1">IFERROR(__xludf.DUMMYFUNCTION("""COMPUTED_VALUE"""),"")</f>
        <v/>
      </c>
      <c r="F876" s="18" t="str">
        <f ca="1">IFERROR(__xludf.DUMMYFUNCTION("""COMPUTED_VALUE"""),"")</f>
        <v/>
      </c>
      <c r="G876" s="18" t="str">
        <f ca="1">IFERROR(__xludf.DUMMYFUNCTION("""COMPUTED_VALUE"""),"")</f>
        <v/>
      </c>
      <c r="H876" s="18" t="str">
        <f ca="1">IFERROR(__xludf.DUMMYFUNCTION("""COMPUTED_VALUE"""),"")</f>
        <v/>
      </c>
      <c r="I876" s="18" t="str">
        <f ca="1">IFERROR(__xludf.DUMMYFUNCTION("""COMPUTED_VALUE"""),"")</f>
        <v/>
      </c>
      <c r="J876" s="18" t="str">
        <f ca="1">IFERROR(__xludf.DUMMYFUNCTION("""COMPUTED_VALUE"""),"")</f>
        <v/>
      </c>
      <c r="K876" s="18" t="str">
        <f ca="1">IFERROR(__xludf.DUMMYFUNCTION("""COMPUTED_VALUE"""),"")</f>
        <v/>
      </c>
      <c r="L876" s="18" t="str">
        <f ca="1">IFERROR(__xludf.DUMMYFUNCTION("""COMPUTED_VALUE"""),"")</f>
        <v/>
      </c>
      <c r="M876" s="18" t="str">
        <f ca="1">IFERROR(__xludf.DUMMYFUNCTION("""COMPUTED_VALUE"""),"")</f>
        <v/>
      </c>
      <c r="N876" s="18" t="str">
        <f ca="1">IFERROR(__xludf.DUMMYFUNCTION("""COMPUTED_VALUE"""),"")</f>
        <v/>
      </c>
      <c r="O876" s="18" t="str">
        <f ca="1">IFERROR(__xludf.DUMMYFUNCTION("""COMPUTED_VALUE"""),"")</f>
        <v/>
      </c>
      <c r="P876" s="18" t="str">
        <f ca="1">IFERROR(__xludf.DUMMYFUNCTION("""COMPUTED_VALUE"""),"")</f>
        <v/>
      </c>
      <c r="Q876" s="18" t="str">
        <f ca="1">IFERROR(__xludf.DUMMYFUNCTION("""COMPUTED_VALUE"""),"")</f>
        <v/>
      </c>
      <c r="R876" s="18" t="str">
        <f ca="1">IFERROR(__xludf.DUMMYFUNCTION("""COMPUTED_VALUE"""),"")</f>
        <v/>
      </c>
      <c r="S876" s="18" t="str">
        <f ca="1">IFERROR(__xludf.DUMMYFUNCTION("""COMPUTED_VALUE"""),"")</f>
        <v/>
      </c>
      <c r="T876" s="18" t="str">
        <f ca="1">IFERROR(__xludf.DUMMYFUNCTION("""COMPUTED_VALUE"""),"")</f>
        <v/>
      </c>
      <c r="U876" s="18" t="str">
        <f ca="1">IFERROR(__xludf.DUMMYFUNCTION("""COMPUTED_VALUE"""),"")</f>
        <v/>
      </c>
      <c r="V876" s="18" t="str">
        <f ca="1">IFERROR(__xludf.DUMMYFUNCTION("""COMPUTED_VALUE"""),"")</f>
        <v/>
      </c>
      <c r="W876" s="18" t="str">
        <f ca="1">IFERROR(__xludf.DUMMYFUNCTION("""COMPUTED_VALUE"""),"")</f>
        <v/>
      </c>
      <c r="X876" s="18" t="str">
        <f ca="1">IFERROR(__xludf.DUMMYFUNCTION("""COMPUTED_VALUE"""),"")</f>
        <v/>
      </c>
      <c r="Y876" s="18" t="e">
        <f ca="1"/>
        <v>#NAME?</v>
      </c>
      <c r="Z876" s="18" t="str">
        <f ca="1">IFERROR(__xludf.DUMMYFUNCTION("""COMPUTED_VALUE"""),"")</f>
        <v/>
      </c>
      <c r="AA876" s="18" t="str">
        <f ca="1">IFERROR(__xludf.DUMMYFUNCTION("""COMPUTED_VALUE"""),"")</f>
        <v/>
      </c>
      <c r="AC876" s="59"/>
    </row>
    <row r="877" spans="1:29" x14ac:dyDescent="0.25">
      <c r="A877" s="18">
        <v>0</v>
      </c>
      <c r="B877" s="52" t="str">
        <f ca="1"/>
        <v/>
      </c>
      <c r="C877" s="52" t="str">
        <f ca="1">IFERROR(__xludf.DUMMYFUNCTION("""COMPUTED_VALUE"""),"")</f>
        <v/>
      </c>
      <c r="D877" s="18" t="str">
        <f ca="1">IFERROR(__xludf.DUMMYFUNCTION("""COMPUTED_VALUE"""),"")</f>
        <v/>
      </c>
      <c r="E877" s="18" t="str">
        <f ca="1">IFERROR(__xludf.DUMMYFUNCTION("""COMPUTED_VALUE"""),"")</f>
        <v/>
      </c>
      <c r="F877" s="18" t="str">
        <f ca="1">IFERROR(__xludf.DUMMYFUNCTION("""COMPUTED_VALUE"""),"")</f>
        <v/>
      </c>
      <c r="G877" s="18" t="str">
        <f ca="1">IFERROR(__xludf.DUMMYFUNCTION("""COMPUTED_VALUE"""),"")</f>
        <v/>
      </c>
      <c r="H877" s="18" t="str">
        <f ca="1">IFERROR(__xludf.DUMMYFUNCTION("""COMPUTED_VALUE"""),"")</f>
        <v/>
      </c>
      <c r="I877" s="18" t="str">
        <f ca="1">IFERROR(__xludf.DUMMYFUNCTION("""COMPUTED_VALUE"""),"")</f>
        <v/>
      </c>
      <c r="J877" s="18" t="str">
        <f ca="1">IFERROR(__xludf.DUMMYFUNCTION("""COMPUTED_VALUE"""),"")</f>
        <v/>
      </c>
      <c r="K877" s="18" t="str">
        <f ca="1">IFERROR(__xludf.DUMMYFUNCTION("""COMPUTED_VALUE"""),"")</f>
        <v/>
      </c>
      <c r="L877" s="18" t="str">
        <f ca="1">IFERROR(__xludf.DUMMYFUNCTION("""COMPUTED_VALUE"""),"")</f>
        <v/>
      </c>
      <c r="M877" s="18" t="str">
        <f ca="1">IFERROR(__xludf.DUMMYFUNCTION("""COMPUTED_VALUE"""),"")</f>
        <v/>
      </c>
      <c r="N877" s="18" t="str">
        <f ca="1">IFERROR(__xludf.DUMMYFUNCTION("""COMPUTED_VALUE"""),"")</f>
        <v/>
      </c>
      <c r="O877" s="18" t="str">
        <f ca="1">IFERROR(__xludf.DUMMYFUNCTION("""COMPUTED_VALUE"""),"")</f>
        <v/>
      </c>
      <c r="P877" s="18" t="str">
        <f ca="1">IFERROR(__xludf.DUMMYFUNCTION("""COMPUTED_VALUE"""),"")</f>
        <v/>
      </c>
      <c r="Q877" s="18" t="str">
        <f ca="1">IFERROR(__xludf.DUMMYFUNCTION("""COMPUTED_VALUE"""),"")</f>
        <v/>
      </c>
      <c r="R877" s="18" t="str">
        <f ca="1">IFERROR(__xludf.DUMMYFUNCTION("""COMPUTED_VALUE"""),"")</f>
        <v/>
      </c>
      <c r="S877" s="18" t="str">
        <f ca="1">IFERROR(__xludf.DUMMYFUNCTION("""COMPUTED_VALUE"""),"")</f>
        <v/>
      </c>
      <c r="T877" s="18" t="str">
        <f ca="1">IFERROR(__xludf.DUMMYFUNCTION("""COMPUTED_VALUE"""),"")</f>
        <v/>
      </c>
      <c r="U877" s="18" t="str">
        <f ca="1">IFERROR(__xludf.DUMMYFUNCTION("""COMPUTED_VALUE"""),"")</f>
        <v/>
      </c>
      <c r="V877" s="18" t="str">
        <f ca="1">IFERROR(__xludf.DUMMYFUNCTION("""COMPUTED_VALUE"""),"")</f>
        <v/>
      </c>
      <c r="W877" s="18" t="str">
        <f ca="1">IFERROR(__xludf.DUMMYFUNCTION("""COMPUTED_VALUE"""),"")</f>
        <v/>
      </c>
      <c r="X877" s="18" t="str">
        <f ca="1">IFERROR(__xludf.DUMMYFUNCTION("""COMPUTED_VALUE"""),"")</f>
        <v/>
      </c>
      <c r="Y877" s="18" t="e">
        <f ca="1"/>
        <v>#NAME?</v>
      </c>
      <c r="Z877" s="18" t="str">
        <f ca="1">IFERROR(__xludf.DUMMYFUNCTION("""COMPUTED_VALUE"""),"")</f>
        <v/>
      </c>
      <c r="AA877" s="18" t="str">
        <f ca="1">IFERROR(__xludf.DUMMYFUNCTION("""COMPUTED_VALUE"""),"")</f>
        <v/>
      </c>
      <c r="AC877" s="59"/>
    </row>
    <row r="878" spans="1:29" x14ac:dyDescent="0.25">
      <c r="A878" s="18">
        <v>0</v>
      </c>
      <c r="B878" s="52" t="str">
        <f ca="1"/>
        <v/>
      </c>
      <c r="C878" s="52" t="str">
        <f ca="1">IFERROR(__xludf.DUMMYFUNCTION("""COMPUTED_VALUE"""),"")</f>
        <v/>
      </c>
      <c r="D878" s="18" t="str">
        <f ca="1">IFERROR(__xludf.DUMMYFUNCTION("""COMPUTED_VALUE"""),"")</f>
        <v/>
      </c>
      <c r="E878" s="18" t="str">
        <f ca="1">IFERROR(__xludf.DUMMYFUNCTION("""COMPUTED_VALUE"""),"")</f>
        <v/>
      </c>
      <c r="F878" s="18" t="str">
        <f ca="1">IFERROR(__xludf.DUMMYFUNCTION("""COMPUTED_VALUE"""),"")</f>
        <v/>
      </c>
      <c r="G878" s="18" t="str">
        <f ca="1">IFERROR(__xludf.DUMMYFUNCTION("""COMPUTED_VALUE"""),"")</f>
        <v/>
      </c>
      <c r="H878" s="18" t="str">
        <f ca="1">IFERROR(__xludf.DUMMYFUNCTION("""COMPUTED_VALUE"""),"")</f>
        <v/>
      </c>
      <c r="I878" s="18" t="str">
        <f ca="1">IFERROR(__xludf.DUMMYFUNCTION("""COMPUTED_VALUE"""),"")</f>
        <v/>
      </c>
      <c r="J878" s="18" t="str">
        <f ca="1">IFERROR(__xludf.DUMMYFUNCTION("""COMPUTED_VALUE"""),"")</f>
        <v/>
      </c>
      <c r="K878" s="18" t="str">
        <f ca="1">IFERROR(__xludf.DUMMYFUNCTION("""COMPUTED_VALUE"""),"")</f>
        <v/>
      </c>
      <c r="L878" s="18" t="str">
        <f ca="1">IFERROR(__xludf.DUMMYFUNCTION("""COMPUTED_VALUE"""),"")</f>
        <v/>
      </c>
      <c r="M878" s="18" t="str">
        <f ca="1">IFERROR(__xludf.DUMMYFUNCTION("""COMPUTED_VALUE"""),"")</f>
        <v/>
      </c>
      <c r="N878" s="18" t="str">
        <f ca="1">IFERROR(__xludf.DUMMYFUNCTION("""COMPUTED_VALUE"""),"")</f>
        <v/>
      </c>
      <c r="O878" s="18" t="str">
        <f ca="1">IFERROR(__xludf.DUMMYFUNCTION("""COMPUTED_VALUE"""),"")</f>
        <v/>
      </c>
      <c r="P878" s="18" t="str">
        <f ca="1">IFERROR(__xludf.DUMMYFUNCTION("""COMPUTED_VALUE"""),"")</f>
        <v/>
      </c>
      <c r="Q878" s="18" t="str">
        <f ca="1">IFERROR(__xludf.DUMMYFUNCTION("""COMPUTED_VALUE"""),"")</f>
        <v/>
      </c>
      <c r="R878" s="18" t="str">
        <f ca="1">IFERROR(__xludf.DUMMYFUNCTION("""COMPUTED_VALUE"""),"")</f>
        <v/>
      </c>
      <c r="S878" s="18" t="str">
        <f ca="1">IFERROR(__xludf.DUMMYFUNCTION("""COMPUTED_VALUE"""),"")</f>
        <v/>
      </c>
      <c r="T878" s="18" t="str">
        <f ca="1">IFERROR(__xludf.DUMMYFUNCTION("""COMPUTED_VALUE"""),"")</f>
        <v/>
      </c>
      <c r="U878" s="18" t="str">
        <f ca="1">IFERROR(__xludf.DUMMYFUNCTION("""COMPUTED_VALUE"""),"")</f>
        <v/>
      </c>
      <c r="V878" s="18" t="str">
        <f ca="1">IFERROR(__xludf.DUMMYFUNCTION("""COMPUTED_VALUE"""),"")</f>
        <v/>
      </c>
      <c r="W878" s="18" t="str">
        <f ca="1">IFERROR(__xludf.DUMMYFUNCTION("""COMPUTED_VALUE"""),"")</f>
        <v/>
      </c>
      <c r="X878" s="18" t="str">
        <f ca="1">IFERROR(__xludf.DUMMYFUNCTION("""COMPUTED_VALUE"""),"")</f>
        <v/>
      </c>
      <c r="Y878" s="18" t="e">
        <f ca="1"/>
        <v>#NAME?</v>
      </c>
      <c r="Z878" s="18" t="str">
        <f ca="1">IFERROR(__xludf.DUMMYFUNCTION("""COMPUTED_VALUE"""),"")</f>
        <v/>
      </c>
      <c r="AA878" s="18" t="str">
        <f ca="1">IFERROR(__xludf.DUMMYFUNCTION("""COMPUTED_VALUE"""),"")</f>
        <v/>
      </c>
      <c r="AC878" s="59"/>
    </row>
    <row r="879" spans="1:29" x14ac:dyDescent="0.25">
      <c r="A879" s="18">
        <v>0</v>
      </c>
      <c r="B879" s="52" t="str">
        <f ca="1"/>
        <v/>
      </c>
      <c r="C879" s="52" t="str">
        <f ca="1">IFERROR(__xludf.DUMMYFUNCTION("""COMPUTED_VALUE"""),"")</f>
        <v/>
      </c>
      <c r="D879" s="18" t="str">
        <f ca="1">IFERROR(__xludf.DUMMYFUNCTION("""COMPUTED_VALUE"""),"")</f>
        <v/>
      </c>
      <c r="E879" s="18" t="str">
        <f ca="1">IFERROR(__xludf.DUMMYFUNCTION("""COMPUTED_VALUE"""),"")</f>
        <v/>
      </c>
      <c r="F879" s="18" t="str">
        <f ca="1">IFERROR(__xludf.DUMMYFUNCTION("""COMPUTED_VALUE"""),"")</f>
        <v/>
      </c>
      <c r="G879" s="18" t="str">
        <f ca="1">IFERROR(__xludf.DUMMYFUNCTION("""COMPUTED_VALUE"""),"")</f>
        <v/>
      </c>
      <c r="H879" s="18" t="str">
        <f ca="1">IFERROR(__xludf.DUMMYFUNCTION("""COMPUTED_VALUE"""),"")</f>
        <v/>
      </c>
      <c r="I879" s="18" t="str">
        <f ca="1">IFERROR(__xludf.DUMMYFUNCTION("""COMPUTED_VALUE"""),"")</f>
        <v/>
      </c>
      <c r="J879" s="18" t="str">
        <f ca="1">IFERROR(__xludf.DUMMYFUNCTION("""COMPUTED_VALUE"""),"")</f>
        <v/>
      </c>
      <c r="K879" s="18" t="str">
        <f ca="1">IFERROR(__xludf.DUMMYFUNCTION("""COMPUTED_VALUE"""),"")</f>
        <v/>
      </c>
      <c r="L879" s="18" t="str">
        <f ca="1">IFERROR(__xludf.DUMMYFUNCTION("""COMPUTED_VALUE"""),"")</f>
        <v/>
      </c>
      <c r="M879" s="18" t="str">
        <f ca="1">IFERROR(__xludf.DUMMYFUNCTION("""COMPUTED_VALUE"""),"")</f>
        <v/>
      </c>
      <c r="N879" s="18" t="str">
        <f ca="1">IFERROR(__xludf.DUMMYFUNCTION("""COMPUTED_VALUE"""),"")</f>
        <v/>
      </c>
      <c r="O879" s="18" t="str">
        <f ca="1">IFERROR(__xludf.DUMMYFUNCTION("""COMPUTED_VALUE"""),"")</f>
        <v/>
      </c>
      <c r="P879" s="18" t="str">
        <f ca="1">IFERROR(__xludf.DUMMYFUNCTION("""COMPUTED_VALUE"""),"")</f>
        <v/>
      </c>
      <c r="Q879" s="18" t="str">
        <f ca="1">IFERROR(__xludf.DUMMYFUNCTION("""COMPUTED_VALUE"""),"")</f>
        <v/>
      </c>
      <c r="R879" s="18" t="str">
        <f ca="1">IFERROR(__xludf.DUMMYFUNCTION("""COMPUTED_VALUE"""),"")</f>
        <v/>
      </c>
      <c r="S879" s="18" t="str">
        <f ca="1">IFERROR(__xludf.DUMMYFUNCTION("""COMPUTED_VALUE"""),"")</f>
        <v/>
      </c>
      <c r="T879" s="18" t="str">
        <f ca="1">IFERROR(__xludf.DUMMYFUNCTION("""COMPUTED_VALUE"""),"")</f>
        <v/>
      </c>
      <c r="U879" s="18" t="str">
        <f ca="1">IFERROR(__xludf.DUMMYFUNCTION("""COMPUTED_VALUE"""),"")</f>
        <v/>
      </c>
      <c r="V879" s="18" t="str">
        <f ca="1">IFERROR(__xludf.DUMMYFUNCTION("""COMPUTED_VALUE"""),"")</f>
        <v/>
      </c>
      <c r="W879" s="18" t="str">
        <f ca="1">IFERROR(__xludf.DUMMYFUNCTION("""COMPUTED_VALUE"""),"")</f>
        <v/>
      </c>
      <c r="X879" s="18" t="str">
        <f ca="1">IFERROR(__xludf.DUMMYFUNCTION("""COMPUTED_VALUE"""),"")</f>
        <v/>
      </c>
      <c r="Y879" s="18" t="e">
        <f ca="1"/>
        <v>#NAME?</v>
      </c>
      <c r="Z879" s="18" t="str">
        <f ca="1">IFERROR(__xludf.DUMMYFUNCTION("""COMPUTED_VALUE"""),"")</f>
        <v/>
      </c>
      <c r="AA879" s="18" t="str">
        <f ca="1">IFERROR(__xludf.DUMMYFUNCTION("""COMPUTED_VALUE"""),"")</f>
        <v/>
      </c>
      <c r="AC879" s="59"/>
    </row>
    <row r="880" spans="1:29" x14ac:dyDescent="0.25">
      <c r="A880" s="18">
        <v>0</v>
      </c>
      <c r="B880" s="52" t="str">
        <f ca="1"/>
        <v/>
      </c>
      <c r="C880" s="52" t="str">
        <f ca="1">IFERROR(__xludf.DUMMYFUNCTION("""COMPUTED_VALUE"""),"")</f>
        <v/>
      </c>
      <c r="D880" s="18" t="str">
        <f ca="1">IFERROR(__xludf.DUMMYFUNCTION("""COMPUTED_VALUE"""),"")</f>
        <v/>
      </c>
      <c r="E880" s="18" t="str">
        <f ca="1">IFERROR(__xludf.DUMMYFUNCTION("""COMPUTED_VALUE"""),"")</f>
        <v/>
      </c>
      <c r="F880" s="18" t="str">
        <f ca="1">IFERROR(__xludf.DUMMYFUNCTION("""COMPUTED_VALUE"""),"")</f>
        <v/>
      </c>
      <c r="G880" s="18" t="str">
        <f ca="1">IFERROR(__xludf.DUMMYFUNCTION("""COMPUTED_VALUE"""),"")</f>
        <v/>
      </c>
      <c r="H880" s="18" t="str">
        <f ca="1">IFERROR(__xludf.DUMMYFUNCTION("""COMPUTED_VALUE"""),"")</f>
        <v/>
      </c>
      <c r="I880" s="18" t="str">
        <f ca="1">IFERROR(__xludf.DUMMYFUNCTION("""COMPUTED_VALUE"""),"")</f>
        <v/>
      </c>
      <c r="J880" s="18" t="str">
        <f ca="1">IFERROR(__xludf.DUMMYFUNCTION("""COMPUTED_VALUE"""),"")</f>
        <v/>
      </c>
      <c r="K880" s="18" t="str">
        <f ca="1">IFERROR(__xludf.DUMMYFUNCTION("""COMPUTED_VALUE"""),"")</f>
        <v/>
      </c>
      <c r="L880" s="18" t="str">
        <f ca="1">IFERROR(__xludf.DUMMYFUNCTION("""COMPUTED_VALUE"""),"")</f>
        <v/>
      </c>
      <c r="M880" s="18" t="str">
        <f ca="1">IFERROR(__xludf.DUMMYFUNCTION("""COMPUTED_VALUE"""),"")</f>
        <v/>
      </c>
      <c r="N880" s="18" t="str">
        <f ca="1">IFERROR(__xludf.DUMMYFUNCTION("""COMPUTED_VALUE"""),"")</f>
        <v/>
      </c>
      <c r="O880" s="18" t="str">
        <f ca="1">IFERROR(__xludf.DUMMYFUNCTION("""COMPUTED_VALUE"""),"")</f>
        <v/>
      </c>
      <c r="P880" s="18" t="str">
        <f ca="1">IFERROR(__xludf.DUMMYFUNCTION("""COMPUTED_VALUE"""),"")</f>
        <v/>
      </c>
      <c r="Q880" s="18" t="str">
        <f ca="1">IFERROR(__xludf.DUMMYFUNCTION("""COMPUTED_VALUE"""),"")</f>
        <v/>
      </c>
      <c r="R880" s="18" t="str">
        <f ca="1">IFERROR(__xludf.DUMMYFUNCTION("""COMPUTED_VALUE"""),"")</f>
        <v/>
      </c>
      <c r="S880" s="18" t="str">
        <f ca="1">IFERROR(__xludf.DUMMYFUNCTION("""COMPUTED_VALUE"""),"")</f>
        <v/>
      </c>
      <c r="T880" s="18" t="str">
        <f ca="1">IFERROR(__xludf.DUMMYFUNCTION("""COMPUTED_VALUE"""),"")</f>
        <v/>
      </c>
      <c r="U880" s="18" t="str">
        <f ca="1">IFERROR(__xludf.DUMMYFUNCTION("""COMPUTED_VALUE"""),"")</f>
        <v/>
      </c>
      <c r="V880" s="18" t="str">
        <f ca="1">IFERROR(__xludf.DUMMYFUNCTION("""COMPUTED_VALUE"""),"")</f>
        <v/>
      </c>
      <c r="W880" s="18" t="str">
        <f ca="1">IFERROR(__xludf.DUMMYFUNCTION("""COMPUTED_VALUE"""),"")</f>
        <v/>
      </c>
      <c r="X880" s="18" t="str">
        <f ca="1">IFERROR(__xludf.DUMMYFUNCTION("""COMPUTED_VALUE"""),"")</f>
        <v/>
      </c>
      <c r="Y880" s="18" t="e">
        <f ca="1"/>
        <v>#NAME?</v>
      </c>
      <c r="Z880" s="18" t="str">
        <f ca="1">IFERROR(__xludf.DUMMYFUNCTION("""COMPUTED_VALUE"""),"")</f>
        <v/>
      </c>
      <c r="AA880" s="18" t="str">
        <f ca="1">IFERROR(__xludf.DUMMYFUNCTION("""COMPUTED_VALUE"""),"")</f>
        <v/>
      </c>
      <c r="AC880" s="59"/>
    </row>
    <row r="881" spans="1:29" x14ac:dyDescent="0.25">
      <c r="A881" s="18">
        <v>0</v>
      </c>
      <c r="B881" s="52" t="str">
        <f ca="1"/>
        <v/>
      </c>
      <c r="C881" s="52" t="str">
        <f ca="1">IFERROR(__xludf.DUMMYFUNCTION("""COMPUTED_VALUE"""),"")</f>
        <v/>
      </c>
      <c r="D881" s="18" t="str">
        <f ca="1">IFERROR(__xludf.DUMMYFUNCTION("""COMPUTED_VALUE"""),"")</f>
        <v/>
      </c>
      <c r="E881" s="18" t="str">
        <f ca="1">IFERROR(__xludf.DUMMYFUNCTION("""COMPUTED_VALUE"""),"")</f>
        <v/>
      </c>
      <c r="F881" s="18" t="str">
        <f ca="1">IFERROR(__xludf.DUMMYFUNCTION("""COMPUTED_VALUE"""),"")</f>
        <v/>
      </c>
      <c r="G881" s="18" t="str">
        <f ca="1">IFERROR(__xludf.DUMMYFUNCTION("""COMPUTED_VALUE"""),"")</f>
        <v/>
      </c>
      <c r="H881" s="18" t="str">
        <f ca="1">IFERROR(__xludf.DUMMYFUNCTION("""COMPUTED_VALUE"""),"")</f>
        <v/>
      </c>
      <c r="I881" s="18" t="str">
        <f ca="1">IFERROR(__xludf.DUMMYFUNCTION("""COMPUTED_VALUE"""),"")</f>
        <v/>
      </c>
      <c r="J881" s="18" t="str">
        <f ca="1">IFERROR(__xludf.DUMMYFUNCTION("""COMPUTED_VALUE"""),"")</f>
        <v/>
      </c>
      <c r="K881" s="18" t="str">
        <f ca="1">IFERROR(__xludf.DUMMYFUNCTION("""COMPUTED_VALUE"""),"")</f>
        <v/>
      </c>
      <c r="L881" s="18" t="str">
        <f ca="1">IFERROR(__xludf.DUMMYFUNCTION("""COMPUTED_VALUE"""),"")</f>
        <v/>
      </c>
      <c r="M881" s="18" t="str">
        <f ca="1">IFERROR(__xludf.DUMMYFUNCTION("""COMPUTED_VALUE"""),"")</f>
        <v/>
      </c>
      <c r="N881" s="18" t="str">
        <f ca="1">IFERROR(__xludf.DUMMYFUNCTION("""COMPUTED_VALUE"""),"")</f>
        <v/>
      </c>
      <c r="O881" s="18" t="str">
        <f ca="1">IFERROR(__xludf.DUMMYFUNCTION("""COMPUTED_VALUE"""),"")</f>
        <v/>
      </c>
      <c r="P881" s="18" t="str">
        <f ca="1">IFERROR(__xludf.DUMMYFUNCTION("""COMPUTED_VALUE"""),"")</f>
        <v/>
      </c>
      <c r="Q881" s="18" t="str">
        <f ca="1">IFERROR(__xludf.DUMMYFUNCTION("""COMPUTED_VALUE"""),"")</f>
        <v/>
      </c>
      <c r="R881" s="18" t="str">
        <f ca="1">IFERROR(__xludf.DUMMYFUNCTION("""COMPUTED_VALUE"""),"")</f>
        <v/>
      </c>
      <c r="S881" s="18" t="str">
        <f ca="1">IFERROR(__xludf.DUMMYFUNCTION("""COMPUTED_VALUE"""),"")</f>
        <v/>
      </c>
      <c r="T881" s="18" t="str">
        <f ca="1">IFERROR(__xludf.DUMMYFUNCTION("""COMPUTED_VALUE"""),"")</f>
        <v/>
      </c>
      <c r="U881" s="18" t="str">
        <f ca="1">IFERROR(__xludf.DUMMYFUNCTION("""COMPUTED_VALUE"""),"")</f>
        <v/>
      </c>
      <c r="V881" s="18" t="str">
        <f ca="1">IFERROR(__xludf.DUMMYFUNCTION("""COMPUTED_VALUE"""),"")</f>
        <v/>
      </c>
      <c r="W881" s="18" t="str">
        <f ca="1">IFERROR(__xludf.DUMMYFUNCTION("""COMPUTED_VALUE"""),"")</f>
        <v/>
      </c>
      <c r="X881" s="18" t="str">
        <f ca="1">IFERROR(__xludf.DUMMYFUNCTION("""COMPUTED_VALUE"""),"")</f>
        <v/>
      </c>
      <c r="Y881" s="18" t="e">
        <f ca="1"/>
        <v>#NAME?</v>
      </c>
      <c r="Z881" s="18" t="str">
        <f ca="1">IFERROR(__xludf.DUMMYFUNCTION("""COMPUTED_VALUE"""),"")</f>
        <v/>
      </c>
      <c r="AA881" s="18" t="str">
        <f ca="1">IFERROR(__xludf.DUMMYFUNCTION("""COMPUTED_VALUE"""),"")</f>
        <v/>
      </c>
      <c r="AC881" s="59"/>
    </row>
    <row r="882" spans="1:29" x14ac:dyDescent="0.25">
      <c r="A882" s="18">
        <v>0</v>
      </c>
      <c r="B882" s="52" t="str">
        <f ca="1"/>
        <v/>
      </c>
      <c r="C882" s="52" t="str">
        <f ca="1">IFERROR(__xludf.DUMMYFUNCTION("""COMPUTED_VALUE"""),"")</f>
        <v/>
      </c>
      <c r="D882" s="18" t="str">
        <f ca="1">IFERROR(__xludf.DUMMYFUNCTION("""COMPUTED_VALUE"""),"")</f>
        <v/>
      </c>
      <c r="E882" s="18" t="str">
        <f ca="1">IFERROR(__xludf.DUMMYFUNCTION("""COMPUTED_VALUE"""),"")</f>
        <v/>
      </c>
      <c r="F882" s="18" t="str">
        <f ca="1">IFERROR(__xludf.DUMMYFUNCTION("""COMPUTED_VALUE"""),"")</f>
        <v/>
      </c>
      <c r="G882" s="18" t="str">
        <f ca="1">IFERROR(__xludf.DUMMYFUNCTION("""COMPUTED_VALUE"""),"")</f>
        <v/>
      </c>
      <c r="H882" s="18" t="str">
        <f ca="1">IFERROR(__xludf.DUMMYFUNCTION("""COMPUTED_VALUE"""),"")</f>
        <v/>
      </c>
      <c r="I882" s="18" t="str">
        <f ca="1">IFERROR(__xludf.DUMMYFUNCTION("""COMPUTED_VALUE"""),"")</f>
        <v/>
      </c>
      <c r="J882" s="18" t="str">
        <f ca="1">IFERROR(__xludf.DUMMYFUNCTION("""COMPUTED_VALUE"""),"")</f>
        <v/>
      </c>
      <c r="K882" s="18" t="str">
        <f ca="1">IFERROR(__xludf.DUMMYFUNCTION("""COMPUTED_VALUE"""),"")</f>
        <v/>
      </c>
      <c r="L882" s="18" t="str">
        <f ca="1">IFERROR(__xludf.DUMMYFUNCTION("""COMPUTED_VALUE"""),"")</f>
        <v/>
      </c>
      <c r="M882" s="18" t="str">
        <f ca="1">IFERROR(__xludf.DUMMYFUNCTION("""COMPUTED_VALUE"""),"")</f>
        <v/>
      </c>
      <c r="N882" s="18" t="str">
        <f ca="1">IFERROR(__xludf.DUMMYFUNCTION("""COMPUTED_VALUE"""),"")</f>
        <v/>
      </c>
      <c r="O882" s="18" t="str">
        <f ca="1">IFERROR(__xludf.DUMMYFUNCTION("""COMPUTED_VALUE"""),"")</f>
        <v/>
      </c>
      <c r="P882" s="18" t="str">
        <f ca="1">IFERROR(__xludf.DUMMYFUNCTION("""COMPUTED_VALUE"""),"")</f>
        <v/>
      </c>
      <c r="Q882" s="18" t="str">
        <f ca="1">IFERROR(__xludf.DUMMYFUNCTION("""COMPUTED_VALUE"""),"")</f>
        <v/>
      </c>
      <c r="R882" s="18" t="str">
        <f ca="1">IFERROR(__xludf.DUMMYFUNCTION("""COMPUTED_VALUE"""),"")</f>
        <v/>
      </c>
      <c r="S882" s="18" t="str">
        <f ca="1">IFERROR(__xludf.DUMMYFUNCTION("""COMPUTED_VALUE"""),"")</f>
        <v/>
      </c>
      <c r="T882" s="18" t="str">
        <f ca="1">IFERROR(__xludf.DUMMYFUNCTION("""COMPUTED_VALUE"""),"")</f>
        <v/>
      </c>
      <c r="U882" s="18" t="str">
        <f ca="1">IFERROR(__xludf.DUMMYFUNCTION("""COMPUTED_VALUE"""),"")</f>
        <v/>
      </c>
      <c r="V882" s="18" t="str">
        <f ca="1">IFERROR(__xludf.DUMMYFUNCTION("""COMPUTED_VALUE"""),"")</f>
        <v/>
      </c>
      <c r="W882" s="18" t="str">
        <f ca="1">IFERROR(__xludf.DUMMYFUNCTION("""COMPUTED_VALUE"""),"")</f>
        <v/>
      </c>
      <c r="X882" s="18" t="str">
        <f ca="1">IFERROR(__xludf.DUMMYFUNCTION("""COMPUTED_VALUE"""),"")</f>
        <v/>
      </c>
      <c r="Y882" s="18" t="e">
        <f ca="1"/>
        <v>#NAME?</v>
      </c>
      <c r="Z882" s="18" t="str">
        <f ca="1">IFERROR(__xludf.DUMMYFUNCTION("""COMPUTED_VALUE"""),"")</f>
        <v/>
      </c>
      <c r="AA882" s="18" t="str">
        <f ca="1">IFERROR(__xludf.DUMMYFUNCTION("""COMPUTED_VALUE"""),"")</f>
        <v/>
      </c>
      <c r="AC882" s="59"/>
    </row>
    <row r="883" spans="1:29" x14ac:dyDescent="0.25">
      <c r="A883" s="18">
        <v>0</v>
      </c>
      <c r="B883" s="52" t="str">
        <f ca="1"/>
        <v/>
      </c>
      <c r="C883" s="52" t="str">
        <f ca="1">IFERROR(__xludf.DUMMYFUNCTION("""COMPUTED_VALUE"""),"")</f>
        <v/>
      </c>
      <c r="D883" s="18" t="str">
        <f ca="1">IFERROR(__xludf.DUMMYFUNCTION("""COMPUTED_VALUE"""),"")</f>
        <v/>
      </c>
      <c r="E883" s="18" t="str">
        <f ca="1">IFERROR(__xludf.DUMMYFUNCTION("""COMPUTED_VALUE"""),"")</f>
        <v/>
      </c>
      <c r="F883" s="18" t="str">
        <f ca="1">IFERROR(__xludf.DUMMYFUNCTION("""COMPUTED_VALUE"""),"")</f>
        <v/>
      </c>
      <c r="G883" s="18" t="str">
        <f ca="1">IFERROR(__xludf.DUMMYFUNCTION("""COMPUTED_VALUE"""),"")</f>
        <v/>
      </c>
      <c r="H883" s="18" t="str">
        <f ca="1">IFERROR(__xludf.DUMMYFUNCTION("""COMPUTED_VALUE"""),"")</f>
        <v/>
      </c>
      <c r="I883" s="18" t="str">
        <f ca="1">IFERROR(__xludf.DUMMYFUNCTION("""COMPUTED_VALUE"""),"")</f>
        <v/>
      </c>
      <c r="J883" s="18" t="str">
        <f ca="1">IFERROR(__xludf.DUMMYFUNCTION("""COMPUTED_VALUE"""),"")</f>
        <v/>
      </c>
      <c r="K883" s="18" t="str">
        <f ca="1">IFERROR(__xludf.DUMMYFUNCTION("""COMPUTED_VALUE"""),"")</f>
        <v/>
      </c>
      <c r="L883" s="18" t="str">
        <f ca="1">IFERROR(__xludf.DUMMYFUNCTION("""COMPUTED_VALUE"""),"")</f>
        <v/>
      </c>
      <c r="M883" s="18" t="str">
        <f ca="1">IFERROR(__xludf.DUMMYFUNCTION("""COMPUTED_VALUE"""),"")</f>
        <v/>
      </c>
      <c r="N883" s="18" t="str">
        <f ca="1">IFERROR(__xludf.DUMMYFUNCTION("""COMPUTED_VALUE"""),"")</f>
        <v/>
      </c>
      <c r="O883" s="18" t="str">
        <f ca="1">IFERROR(__xludf.DUMMYFUNCTION("""COMPUTED_VALUE"""),"")</f>
        <v/>
      </c>
      <c r="P883" s="18" t="str">
        <f ca="1">IFERROR(__xludf.DUMMYFUNCTION("""COMPUTED_VALUE"""),"")</f>
        <v/>
      </c>
      <c r="Q883" s="18" t="str">
        <f ca="1">IFERROR(__xludf.DUMMYFUNCTION("""COMPUTED_VALUE"""),"")</f>
        <v/>
      </c>
      <c r="R883" s="18" t="str">
        <f ca="1">IFERROR(__xludf.DUMMYFUNCTION("""COMPUTED_VALUE"""),"")</f>
        <v/>
      </c>
      <c r="S883" s="18" t="str">
        <f ca="1">IFERROR(__xludf.DUMMYFUNCTION("""COMPUTED_VALUE"""),"")</f>
        <v/>
      </c>
      <c r="T883" s="18" t="str">
        <f ca="1">IFERROR(__xludf.DUMMYFUNCTION("""COMPUTED_VALUE"""),"")</f>
        <v/>
      </c>
      <c r="U883" s="18" t="str">
        <f ca="1">IFERROR(__xludf.DUMMYFUNCTION("""COMPUTED_VALUE"""),"")</f>
        <v/>
      </c>
      <c r="V883" s="18" t="str">
        <f ca="1">IFERROR(__xludf.DUMMYFUNCTION("""COMPUTED_VALUE"""),"")</f>
        <v/>
      </c>
      <c r="W883" s="18" t="str">
        <f ca="1">IFERROR(__xludf.DUMMYFUNCTION("""COMPUTED_VALUE"""),"")</f>
        <v/>
      </c>
      <c r="X883" s="18" t="str">
        <f ca="1">IFERROR(__xludf.DUMMYFUNCTION("""COMPUTED_VALUE"""),"")</f>
        <v/>
      </c>
      <c r="Y883" s="18" t="e">
        <f ca="1"/>
        <v>#NAME?</v>
      </c>
      <c r="Z883" s="18" t="str">
        <f ca="1">IFERROR(__xludf.DUMMYFUNCTION("""COMPUTED_VALUE"""),"")</f>
        <v/>
      </c>
      <c r="AA883" s="18" t="str">
        <f ca="1">IFERROR(__xludf.DUMMYFUNCTION("""COMPUTED_VALUE"""),"")</f>
        <v/>
      </c>
      <c r="AC883" s="59"/>
    </row>
    <row r="884" spans="1:29" x14ac:dyDescent="0.25">
      <c r="A884" s="18">
        <v>0</v>
      </c>
      <c r="B884" s="52" t="str">
        <f ca="1"/>
        <v/>
      </c>
      <c r="C884" s="52" t="str">
        <f ca="1">IFERROR(__xludf.DUMMYFUNCTION("""COMPUTED_VALUE"""),"")</f>
        <v/>
      </c>
      <c r="D884" s="18" t="str">
        <f ca="1">IFERROR(__xludf.DUMMYFUNCTION("""COMPUTED_VALUE"""),"")</f>
        <v/>
      </c>
      <c r="E884" s="18" t="str">
        <f ca="1">IFERROR(__xludf.DUMMYFUNCTION("""COMPUTED_VALUE"""),"")</f>
        <v/>
      </c>
      <c r="F884" s="18" t="str">
        <f ca="1">IFERROR(__xludf.DUMMYFUNCTION("""COMPUTED_VALUE"""),"")</f>
        <v/>
      </c>
      <c r="G884" s="18" t="str">
        <f ca="1">IFERROR(__xludf.DUMMYFUNCTION("""COMPUTED_VALUE"""),"")</f>
        <v/>
      </c>
      <c r="H884" s="18" t="str">
        <f ca="1">IFERROR(__xludf.DUMMYFUNCTION("""COMPUTED_VALUE"""),"")</f>
        <v/>
      </c>
      <c r="I884" s="18" t="str">
        <f ca="1">IFERROR(__xludf.DUMMYFUNCTION("""COMPUTED_VALUE"""),"")</f>
        <v/>
      </c>
      <c r="J884" s="18" t="str">
        <f ca="1">IFERROR(__xludf.DUMMYFUNCTION("""COMPUTED_VALUE"""),"")</f>
        <v/>
      </c>
      <c r="K884" s="18" t="str">
        <f ca="1">IFERROR(__xludf.DUMMYFUNCTION("""COMPUTED_VALUE"""),"")</f>
        <v/>
      </c>
      <c r="L884" s="18" t="str">
        <f ca="1">IFERROR(__xludf.DUMMYFUNCTION("""COMPUTED_VALUE"""),"")</f>
        <v/>
      </c>
      <c r="M884" s="18" t="str">
        <f ca="1">IFERROR(__xludf.DUMMYFUNCTION("""COMPUTED_VALUE"""),"")</f>
        <v/>
      </c>
      <c r="N884" s="18" t="str">
        <f ca="1">IFERROR(__xludf.DUMMYFUNCTION("""COMPUTED_VALUE"""),"")</f>
        <v/>
      </c>
      <c r="O884" s="18" t="str">
        <f ca="1">IFERROR(__xludf.DUMMYFUNCTION("""COMPUTED_VALUE"""),"")</f>
        <v/>
      </c>
      <c r="P884" s="18" t="str">
        <f ca="1">IFERROR(__xludf.DUMMYFUNCTION("""COMPUTED_VALUE"""),"")</f>
        <v/>
      </c>
      <c r="Q884" s="18" t="str">
        <f ca="1">IFERROR(__xludf.DUMMYFUNCTION("""COMPUTED_VALUE"""),"")</f>
        <v/>
      </c>
      <c r="R884" s="18" t="str">
        <f ca="1">IFERROR(__xludf.DUMMYFUNCTION("""COMPUTED_VALUE"""),"")</f>
        <v/>
      </c>
      <c r="S884" s="18" t="str">
        <f ca="1">IFERROR(__xludf.DUMMYFUNCTION("""COMPUTED_VALUE"""),"")</f>
        <v/>
      </c>
      <c r="T884" s="18" t="str">
        <f ca="1">IFERROR(__xludf.DUMMYFUNCTION("""COMPUTED_VALUE"""),"")</f>
        <v/>
      </c>
      <c r="U884" s="18" t="str">
        <f ca="1">IFERROR(__xludf.DUMMYFUNCTION("""COMPUTED_VALUE"""),"")</f>
        <v/>
      </c>
      <c r="V884" s="18" t="str">
        <f ca="1">IFERROR(__xludf.DUMMYFUNCTION("""COMPUTED_VALUE"""),"")</f>
        <v/>
      </c>
      <c r="W884" s="18" t="str">
        <f ca="1">IFERROR(__xludf.DUMMYFUNCTION("""COMPUTED_VALUE"""),"")</f>
        <v/>
      </c>
      <c r="X884" s="18" t="str">
        <f ca="1">IFERROR(__xludf.DUMMYFUNCTION("""COMPUTED_VALUE"""),"")</f>
        <v/>
      </c>
      <c r="Y884" s="18" t="e">
        <f ca="1"/>
        <v>#NAME?</v>
      </c>
      <c r="Z884" s="18" t="str">
        <f ca="1">IFERROR(__xludf.DUMMYFUNCTION("""COMPUTED_VALUE"""),"")</f>
        <v/>
      </c>
      <c r="AA884" s="18" t="str">
        <f ca="1">IFERROR(__xludf.DUMMYFUNCTION("""COMPUTED_VALUE"""),"")</f>
        <v/>
      </c>
      <c r="AC884" s="59"/>
    </row>
    <row r="885" spans="1:29" x14ac:dyDescent="0.25">
      <c r="A885" s="18">
        <v>0</v>
      </c>
      <c r="B885" s="52" t="str">
        <f ca="1"/>
        <v/>
      </c>
      <c r="C885" s="52" t="str">
        <f ca="1">IFERROR(__xludf.DUMMYFUNCTION("""COMPUTED_VALUE"""),"")</f>
        <v/>
      </c>
      <c r="D885" s="18" t="str">
        <f ca="1">IFERROR(__xludf.DUMMYFUNCTION("""COMPUTED_VALUE"""),"")</f>
        <v/>
      </c>
      <c r="E885" s="18" t="str">
        <f ca="1">IFERROR(__xludf.DUMMYFUNCTION("""COMPUTED_VALUE"""),"")</f>
        <v/>
      </c>
      <c r="F885" s="18" t="str">
        <f ca="1">IFERROR(__xludf.DUMMYFUNCTION("""COMPUTED_VALUE"""),"")</f>
        <v/>
      </c>
      <c r="G885" s="18" t="str">
        <f ca="1">IFERROR(__xludf.DUMMYFUNCTION("""COMPUTED_VALUE"""),"")</f>
        <v/>
      </c>
      <c r="H885" s="18" t="str">
        <f ca="1">IFERROR(__xludf.DUMMYFUNCTION("""COMPUTED_VALUE"""),"")</f>
        <v/>
      </c>
      <c r="I885" s="18" t="str">
        <f ca="1">IFERROR(__xludf.DUMMYFUNCTION("""COMPUTED_VALUE"""),"")</f>
        <v/>
      </c>
      <c r="J885" s="18" t="str">
        <f ca="1">IFERROR(__xludf.DUMMYFUNCTION("""COMPUTED_VALUE"""),"")</f>
        <v/>
      </c>
      <c r="K885" s="18" t="str">
        <f ca="1">IFERROR(__xludf.DUMMYFUNCTION("""COMPUTED_VALUE"""),"")</f>
        <v/>
      </c>
      <c r="L885" s="18" t="str">
        <f ca="1">IFERROR(__xludf.DUMMYFUNCTION("""COMPUTED_VALUE"""),"")</f>
        <v/>
      </c>
      <c r="M885" s="18" t="str">
        <f ca="1">IFERROR(__xludf.DUMMYFUNCTION("""COMPUTED_VALUE"""),"")</f>
        <v/>
      </c>
      <c r="N885" s="18" t="str">
        <f ca="1">IFERROR(__xludf.DUMMYFUNCTION("""COMPUTED_VALUE"""),"")</f>
        <v/>
      </c>
      <c r="O885" s="18" t="str">
        <f ca="1">IFERROR(__xludf.DUMMYFUNCTION("""COMPUTED_VALUE"""),"")</f>
        <v/>
      </c>
      <c r="P885" s="18" t="str">
        <f ca="1">IFERROR(__xludf.DUMMYFUNCTION("""COMPUTED_VALUE"""),"")</f>
        <v/>
      </c>
      <c r="Q885" s="18" t="str">
        <f ca="1">IFERROR(__xludf.DUMMYFUNCTION("""COMPUTED_VALUE"""),"")</f>
        <v/>
      </c>
      <c r="R885" s="18" t="str">
        <f ca="1">IFERROR(__xludf.DUMMYFUNCTION("""COMPUTED_VALUE"""),"")</f>
        <v/>
      </c>
      <c r="S885" s="18" t="str">
        <f ca="1">IFERROR(__xludf.DUMMYFUNCTION("""COMPUTED_VALUE"""),"")</f>
        <v/>
      </c>
      <c r="T885" s="18" t="str">
        <f ca="1">IFERROR(__xludf.DUMMYFUNCTION("""COMPUTED_VALUE"""),"")</f>
        <v/>
      </c>
      <c r="U885" s="18" t="str">
        <f ca="1">IFERROR(__xludf.DUMMYFUNCTION("""COMPUTED_VALUE"""),"")</f>
        <v/>
      </c>
      <c r="V885" s="18" t="str">
        <f ca="1">IFERROR(__xludf.DUMMYFUNCTION("""COMPUTED_VALUE"""),"")</f>
        <v/>
      </c>
      <c r="W885" s="18" t="str">
        <f ca="1">IFERROR(__xludf.DUMMYFUNCTION("""COMPUTED_VALUE"""),"")</f>
        <v/>
      </c>
      <c r="X885" s="18" t="str">
        <f ca="1">IFERROR(__xludf.DUMMYFUNCTION("""COMPUTED_VALUE"""),"")</f>
        <v/>
      </c>
      <c r="Y885" s="18" t="e">
        <f ca="1"/>
        <v>#NAME?</v>
      </c>
      <c r="Z885" s="18" t="str">
        <f ca="1">IFERROR(__xludf.DUMMYFUNCTION("""COMPUTED_VALUE"""),"")</f>
        <v/>
      </c>
      <c r="AA885" s="18" t="str">
        <f ca="1">IFERROR(__xludf.DUMMYFUNCTION("""COMPUTED_VALUE"""),"")</f>
        <v/>
      </c>
      <c r="AC885" s="59"/>
    </row>
    <row r="886" spans="1:29" x14ac:dyDescent="0.25">
      <c r="A886" s="18">
        <v>0</v>
      </c>
      <c r="B886" s="52" t="str">
        <f ca="1"/>
        <v/>
      </c>
      <c r="C886" s="52" t="str">
        <f ca="1">IFERROR(__xludf.DUMMYFUNCTION("""COMPUTED_VALUE"""),"")</f>
        <v/>
      </c>
      <c r="D886" s="18" t="str">
        <f ca="1">IFERROR(__xludf.DUMMYFUNCTION("""COMPUTED_VALUE"""),"")</f>
        <v/>
      </c>
      <c r="E886" s="18" t="str">
        <f ca="1">IFERROR(__xludf.DUMMYFUNCTION("""COMPUTED_VALUE"""),"")</f>
        <v/>
      </c>
      <c r="F886" s="18" t="str">
        <f ca="1">IFERROR(__xludf.DUMMYFUNCTION("""COMPUTED_VALUE"""),"")</f>
        <v/>
      </c>
      <c r="G886" s="18" t="str">
        <f ca="1">IFERROR(__xludf.DUMMYFUNCTION("""COMPUTED_VALUE"""),"")</f>
        <v/>
      </c>
      <c r="H886" s="18" t="str">
        <f ca="1">IFERROR(__xludf.DUMMYFUNCTION("""COMPUTED_VALUE"""),"")</f>
        <v/>
      </c>
      <c r="I886" s="18" t="str">
        <f ca="1">IFERROR(__xludf.DUMMYFUNCTION("""COMPUTED_VALUE"""),"")</f>
        <v/>
      </c>
      <c r="J886" s="18" t="str">
        <f ca="1">IFERROR(__xludf.DUMMYFUNCTION("""COMPUTED_VALUE"""),"")</f>
        <v/>
      </c>
      <c r="K886" s="18" t="str">
        <f ca="1">IFERROR(__xludf.DUMMYFUNCTION("""COMPUTED_VALUE"""),"")</f>
        <v/>
      </c>
      <c r="L886" s="18" t="str">
        <f ca="1">IFERROR(__xludf.DUMMYFUNCTION("""COMPUTED_VALUE"""),"")</f>
        <v/>
      </c>
      <c r="M886" s="18" t="str">
        <f ca="1">IFERROR(__xludf.DUMMYFUNCTION("""COMPUTED_VALUE"""),"")</f>
        <v/>
      </c>
      <c r="N886" s="18" t="str">
        <f ca="1">IFERROR(__xludf.DUMMYFUNCTION("""COMPUTED_VALUE"""),"")</f>
        <v/>
      </c>
      <c r="O886" s="18" t="str">
        <f ca="1">IFERROR(__xludf.DUMMYFUNCTION("""COMPUTED_VALUE"""),"")</f>
        <v/>
      </c>
      <c r="P886" s="18" t="str">
        <f ca="1">IFERROR(__xludf.DUMMYFUNCTION("""COMPUTED_VALUE"""),"")</f>
        <v/>
      </c>
      <c r="Q886" s="18" t="str">
        <f ca="1">IFERROR(__xludf.DUMMYFUNCTION("""COMPUTED_VALUE"""),"")</f>
        <v/>
      </c>
      <c r="R886" s="18" t="str">
        <f ca="1">IFERROR(__xludf.DUMMYFUNCTION("""COMPUTED_VALUE"""),"")</f>
        <v/>
      </c>
      <c r="S886" s="18" t="str">
        <f ca="1">IFERROR(__xludf.DUMMYFUNCTION("""COMPUTED_VALUE"""),"")</f>
        <v/>
      </c>
      <c r="T886" s="18" t="str">
        <f ca="1">IFERROR(__xludf.DUMMYFUNCTION("""COMPUTED_VALUE"""),"")</f>
        <v/>
      </c>
      <c r="U886" s="18" t="str">
        <f ca="1">IFERROR(__xludf.DUMMYFUNCTION("""COMPUTED_VALUE"""),"")</f>
        <v/>
      </c>
      <c r="V886" s="18" t="str">
        <f ca="1">IFERROR(__xludf.DUMMYFUNCTION("""COMPUTED_VALUE"""),"")</f>
        <v/>
      </c>
      <c r="W886" s="18" t="str">
        <f ca="1">IFERROR(__xludf.DUMMYFUNCTION("""COMPUTED_VALUE"""),"")</f>
        <v/>
      </c>
      <c r="X886" s="18" t="str">
        <f ca="1">IFERROR(__xludf.DUMMYFUNCTION("""COMPUTED_VALUE"""),"")</f>
        <v/>
      </c>
      <c r="Y886" s="18" t="e">
        <f ca="1"/>
        <v>#NAME?</v>
      </c>
      <c r="Z886" s="18" t="str">
        <f ca="1">IFERROR(__xludf.DUMMYFUNCTION("""COMPUTED_VALUE"""),"")</f>
        <v/>
      </c>
      <c r="AA886" s="18" t="str">
        <f ca="1">IFERROR(__xludf.DUMMYFUNCTION("""COMPUTED_VALUE"""),"")</f>
        <v/>
      </c>
      <c r="AC886" s="59"/>
    </row>
    <row r="887" spans="1:29" x14ac:dyDescent="0.25">
      <c r="A887" s="18">
        <v>0</v>
      </c>
      <c r="B887" s="52" t="str">
        <f ca="1"/>
        <v/>
      </c>
      <c r="C887" s="52" t="str">
        <f ca="1">IFERROR(__xludf.DUMMYFUNCTION("""COMPUTED_VALUE"""),"")</f>
        <v/>
      </c>
      <c r="D887" s="18" t="str">
        <f ca="1">IFERROR(__xludf.DUMMYFUNCTION("""COMPUTED_VALUE"""),"")</f>
        <v/>
      </c>
      <c r="E887" s="18" t="str">
        <f ca="1">IFERROR(__xludf.DUMMYFUNCTION("""COMPUTED_VALUE"""),"")</f>
        <v/>
      </c>
      <c r="F887" s="18" t="str">
        <f ca="1">IFERROR(__xludf.DUMMYFUNCTION("""COMPUTED_VALUE"""),"")</f>
        <v/>
      </c>
      <c r="G887" s="18" t="str">
        <f ca="1">IFERROR(__xludf.DUMMYFUNCTION("""COMPUTED_VALUE"""),"")</f>
        <v/>
      </c>
      <c r="H887" s="18" t="str">
        <f ca="1">IFERROR(__xludf.DUMMYFUNCTION("""COMPUTED_VALUE"""),"")</f>
        <v/>
      </c>
      <c r="I887" s="18" t="str">
        <f ca="1">IFERROR(__xludf.DUMMYFUNCTION("""COMPUTED_VALUE"""),"")</f>
        <v/>
      </c>
      <c r="J887" s="18" t="str">
        <f ca="1">IFERROR(__xludf.DUMMYFUNCTION("""COMPUTED_VALUE"""),"")</f>
        <v/>
      </c>
      <c r="K887" s="18" t="str">
        <f ca="1">IFERROR(__xludf.DUMMYFUNCTION("""COMPUTED_VALUE"""),"")</f>
        <v/>
      </c>
      <c r="L887" s="18" t="str">
        <f ca="1">IFERROR(__xludf.DUMMYFUNCTION("""COMPUTED_VALUE"""),"")</f>
        <v/>
      </c>
      <c r="M887" s="18" t="str">
        <f ca="1">IFERROR(__xludf.DUMMYFUNCTION("""COMPUTED_VALUE"""),"")</f>
        <v/>
      </c>
      <c r="N887" s="18" t="str">
        <f ca="1">IFERROR(__xludf.DUMMYFUNCTION("""COMPUTED_VALUE"""),"")</f>
        <v/>
      </c>
      <c r="O887" s="18" t="str">
        <f ca="1">IFERROR(__xludf.DUMMYFUNCTION("""COMPUTED_VALUE"""),"")</f>
        <v/>
      </c>
      <c r="P887" s="18" t="str">
        <f ca="1">IFERROR(__xludf.DUMMYFUNCTION("""COMPUTED_VALUE"""),"")</f>
        <v/>
      </c>
      <c r="Q887" s="18" t="str">
        <f ca="1">IFERROR(__xludf.DUMMYFUNCTION("""COMPUTED_VALUE"""),"")</f>
        <v/>
      </c>
      <c r="R887" s="18" t="str">
        <f ca="1">IFERROR(__xludf.DUMMYFUNCTION("""COMPUTED_VALUE"""),"")</f>
        <v/>
      </c>
      <c r="S887" s="18" t="str">
        <f ca="1">IFERROR(__xludf.DUMMYFUNCTION("""COMPUTED_VALUE"""),"")</f>
        <v/>
      </c>
      <c r="T887" s="18" t="str">
        <f ca="1">IFERROR(__xludf.DUMMYFUNCTION("""COMPUTED_VALUE"""),"")</f>
        <v/>
      </c>
      <c r="U887" s="18" t="str">
        <f ca="1">IFERROR(__xludf.DUMMYFUNCTION("""COMPUTED_VALUE"""),"")</f>
        <v/>
      </c>
      <c r="V887" s="18" t="str">
        <f ca="1">IFERROR(__xludf.DUMMYFUNCTION("""COMPUTED_VALUE"""),"")</f>
        <v/>
      </c>
      <c r="W887" s="18" t="str">
        <f ca="1">IFERROR(__xludf.DUMMYFUNCTION("""COMPUTED_VALUE"""),"")</f>
        <v/>
      </c>
      <c r="X887" s="18" t="str">
        <f ca="1">IFERROR(__xludf.DUMMYFUNCTION("""COMPUTED_VALUE"""),"")</f>
        <v/>
      </c>
      <c r="Y887" s="18" t="e">
        <f ca="1"/>
        <v>#NAME?</v>
      </c>
      <c r="Z887" s="18" t="str">
        <f ca="1">IFERROR(__xludf.DUMMYFUNCTION("""COMPUTED_VALUE"""),"")</f>
        <v/>
      </c>
      <c r="AA887" s="18" t="str">
        <f ca="1">IFERROR(__xludf.DUMMYFUNCTION("""COMPUTED_VALUE"""),"")</f>
        <v/>
      </c>
      <c r="AC887" s="59"/>
    </row>
    <row r="888" spans="1:29" x14ac:dyDescent="0.25">
      <c r="A888" s="18">
        <v>0</v>
      </c>
      <c r="B888" s="52" t="str">
        <f ca="1"/>
        <v/>
      </c>
      <c r="C888" s="52" t="str">
        <f ca="1">IFERROR(__xludf.DUMMYFUNCTION("""COMPUTED_VALUE"""),"")</f>
        <v/>
      </c>
      <c r="D888" s="18" t="str">
        <f ca="1">IFERROR(__xludf.DUMMYFUNCTION("""COMPUTED_VALUE"""),"")</f>
        <v/>
      </c>
      <c r="E888" s="18" t="str">
        <f ca="1">IFERROR(__xludf.DUMMYFUNCTION("""COMPUTED_VALUE"""),"")</f>
        <v/>
      </c>
      <c r="F888" s="18" t="str">
        <f ca="1">IFERROR(__xludf.DUMMYFUNCTION("""COMPUTED_VALUE"""),"")</f>
        <v/>
      </c>
      <c r="G888" s="18" t="str">
        <f ca="1">IFERROR(__xludf.DUMMYFUNCTION("""COMPUTED_VALUE"""),"")</f>
        <v/>
      </c>
      <c r="H888" s="18" t="str">
        <f ca="1">IFERROR(__xludf.DUMMYFUNCTION("""COMPUTED_VALUE"""),"")</f>
        <v/>
      </c>
      <c r="I888" s="18" t="str">
        <f ca="1">IFERROR(__xludf.DUMMYFUNCTION("""COMPUTED_VALUE"""),"")</f>
        <v/>
      </c>
      <c r="J888" s="18" t="str">
        <f ca="1">IFERROR(__xludf.DUMMYFUNCTION("""COMPUTED_VALUE"""),"")</f>
        <v/>
      </c>
      <c r="K888" s="18" t="str">
        <f ca="1">IFERROR(__xludf.DUMMYFUNCTION("""COMPUTED_VALUE"""),"")</f>
        <v/>
      </c>
      <c r="L888" s="18" t="str">
        <f ca="1">IFERROR(__xludf.DUMMYFUNCTION("""COMPUTED_VALUE"""),"")</f>
        <v/>
      </c>
      <c r="M888" s="18" t="str">
        <f ca="1">IFERROR(__xludf.DUMMYFUNCTION("""COMPUTED_VALUE"""),"")</f>
        <v/>
      </c>
      <c r="N888" s="18" t="str">
        <f ca="1">IFERROR(__xludf.DUMMYFUNCTION("""COMPUTED_VALUE"""),"")</f>
        <v/>
      </c>
      <c r="O888" s="18" t="str">
        <f ca="1">IFERROR(__xludf.DUMMYFUNCTION("""COMPUTED_VALUE"""),"")</f>
        <v/>
      </c>
      <c r="P888" s="18" t="str">
        <f ca="1">IFERROR(__xludf.DUMMYFUNCTION("""COMPUTED_VALUE"""),"")</f>
        <v/>
      </c>
      <c r="Q888" s="18" t="str">
        <f ca="1">IFERROR(__xludf.DUMMYFUNCTION("""COMPUTED_VALUE"""),"")</f>
        <v/>
      </c>
      <c r="R888" s="18" t="str">
        <f ca="1">IFERROR(__xludf.DUMMYFUNCTION("""COMPUTED_VALUE"""),"")</f>
        <v/>
      </c>
      <c r="S888" s="18" t="str">
        <f ca="1">IFERROR(__xludf.DUMMYFUNCTION("""COMPUTED_VALUE"""),"")</f>
        <v/>
      </c>
      <c r="T888" s="18" t="str">
        <f ca="1">IFERROR(__xludf.DUMMYFUNCTION("""COMPUTED_VALUE"""),"")</f>
        <v/>
      </c>
      <c r="U888" s="18" t="str">
        <f ca="1">IFERROR(__xludf.DUMMYFUNCTION("""COMPUTED_VALUE"""),"")</f>
        <v/>
      </c>
      <c r="V888" s="18" t="str">
        <f ca="1">IFERROR(__xludf.DUMMYFUNCTION("""COMPUTED_VALUE"""),"")</f>
        <v/>
      </c>
      <c r="W888" s="18" t="str">
        <f ca="1">IFERROR(__xludf.DUMMYFUNCTION("""COMPUTED_VALUE"""),"")</f>
        <v/>
      </c>
      <c r="X888" s="18" t="str">
        <f ca="1">IFERROR(__xludf.DUMMYFUNCTION("""COMPUTED_VALUE"""),"")</f>
        <v/>
      </c>
      <c r="Y888" s="18" t="e">
        <f ca="1"/>
        <v>#NAME?</v>
      </c>
      <c r="Z888" s="18" t="str">
        <f ca="1">IFERROR(__xludf.DUMMYFUNCTION("""COMPUTED_VALUE"""),"")</f>
        <v/>
      </c>
      <c r="AA888" s="18" t="str">
        <f ca="1">IFERROR(__xludf.DUMMYFUNCTION("""COMPUTED_VALUE"""),"")</f>
        <v/>
      </c>
      <c r="AC888" s="59"/>
    </row>
    <row r="889" spans="1:29" x14ac:dyDescent="0.25">
      <c r="A889" s="18">
        <v>0</v>
      </c>
      <c r="B889" s="52" t="str">
        <f ca="1"/>
        <v/>
      </c>
      <c r="C889" s="52" t="str">
        <f ca="1">IFERROR(__xludf.DUMMYFUNCTION("""COMPUTED_VALUE"""),"")</f>
        <v/>
      </c>
      <c r="D889" s="18" t="str">
        <f ca="1">IFERROR(__xludf.DUMMYFUNCTION("""COMPUTED_VALUE"""),"")</f>
        <v/>
      </c>
      <c r="E889" s="18" t="str">
        <f ca="1">IFERROR(__xludf.DUMMYFUNCTION("""COMPUTED_VALUE"""),"")</f>
        <v/>
      </c>
      <c r="F889" s="18" t="str">
        <f ca="1">IFERROR(__xludf.DUMMYFUNCTION("""COMPUTED_VALUE"""),"")</f>
        <v/>
      </c>
      <c r="G889" s="18" t="str">
        <f ca="1">IFERROR(__xludf.DUMMYFUNCTION("""COMPUTED_VALUE"""),"")</f>
        <v/>
      </c>
      <c r="H889" s="18" t="str">
        <f ca="1">IFERROR(__xludf.DUMMYFUNCTION("""COMPUTED_VALUE"""),"")</f>
        <v/>
      </c>
      <c r="I889" s="18" t="str">
        <f ca="1">IFERROR(__xludf.DUMMYFUNCTION("""COMPUTED_VALUE"""),"")</f>
        <v/>
      </c>
      <c r="J889" s="18" t="str">
        <f ca="1">IFERROR(__xludf.DUMMYFUNCTION("""COMPUTED_VALUE"""),"")</f>
        <v/>
      </c>
      <c r="K889" s="18" t="str">
        <f ca="1">IFERROR(__xludf.DUMMYFUNCTION("""COMPUTED_VALUE"""),"")</f>
        <v/>
      </c>
      <c r="L889" s="18" t="str">
        <f ca="1">IFERROR(__xludf.DUMMYFUNCTION("""COMPUTED_VALUE"""),"")</f>
        <v/>
      </c>
      <c r="M889" s="18" t="str">
        <f ca="1">IFERROR(__xludf.DUMMYFUNCTION("""COMPUTED_VALUE"""),"")</f>
        <v/>
      </c>
      <c r="N889" s="18" t="str">
        <f ca="1">IFERROR(__xludf.DUMMYFUNCTION("""COMPUTED_VALUE"""),"")</f>
        <v/>
      </c>
      <c r="O889" s="18" t="str">
        <f ca="1">IFERROR(__xludf.DUMMYFUNCTION("""COMPUTED_VALUE"""),"")</f>
        <v/>
      </c>
      <c r="P889" s="18" t="str">
        <f ca="1">IFERROR(__xludf.DUMMYFUNCTION("""COMPUTED_VALUE"""),"")</f>
        <v/>
      </c>
      <c r="Q889" s="18" t="str">
        <f ca="1">IFERROR(__xludf.DUMMYFUNCTION("""COMPUTED_VALUE"""),"")</f>
        <v/>
      </c>
      <c r="R889" s="18" t="str">
        <f ca="1">IFERROR(__xludf.DUMMYFUNCTION("""COMPUTED_VALUE"""),"")</f>
        <v/>
      </c>
      <c r="S889" s="18" t="str">
        <f ca="1">IFERROR(__xludf.DUMMYFUNCTION("""COMPUTED_VALUE"""),"")</f>
        <v/>
      </c>
      <c r="T889" s="18" t="str">
        <f ca="1">IFERROR(__xludf.DUMMYFUNCTION("""COMPUTED_VALUE"""),"")</f>
        <v/>
      </c>
      <c r="U889" s="18" t="str">
        <f ca="1">IFERROR(__xludf.DUMMYFUNCTION("""COMPUTED_VALUE"""),"")</f>
        <v/>
      </c>
      <c r="V889" s="18" t="str">
        <f ca="1">IFERROR(__xludf.DUMMYFUNCTION("""COMPUTED_VALUE"""),"")</f>
        <v/>
      </c>
      <c r="W889" s="18" t="str">
        <f ca="1">IFERROR(__xludf.DUMMYFUNCTION("""COMPUTED_VALUE"""),"")</f>
        <v/>
      </c>
      <c r="X889" s="18" t="str">
        <f ca="1">IFERROR(__xludf.DUMMYFUNCTION("""COMPUTED_VALUE"""),"")</f>
        <v/>
      </c>
      <c r="Y889" s="18" t="e">
        <f ca="1"/>
        <v>#NAME?</v>
      </c>
      <c r="Z889" s="18" t="str">
        <f ca="1">IFERROR(__xludf.DUMMYFUNCTION("""COMPUTED_VALUE"""),"")</f>
        <v/>
      </c>
      <c r="AA889" s="18" t="str">
        <f ca="1">IFERROR(__xludf.DUMMYFUNCTION("""COMPUTED_VALUE"""),"")</f>
        <v/>
      </c>
      <c r="AC889" s="59"/>
    </row>
    <row r="890" spans="1:29" x14ac:dyDescent="0.25">
      <c r="A890" s="18">
        <v>0</v>
      </c>
      <c r="B890" s="52" t="str">
        <f ca="1"/>
        <v/>
      </c>
      <c r="C890" s="52" t="str">
        <f ca="1">IFERROR(__xludf.DUMMYFUNCTION("""COMPUTED_VALUE"""),"")</f>
        <v/>
      </c>
      <c r="D890" s="18" t="str">
        <f ca="1">IFERROR(__xludf.DUMMYFUNCTION("""COMPUTED_VALUE"""),"")</f>
        <v/>
      </c>
      <c r="E890" s="18" t="str">
        <f ca="1">IFERROR(__xludf.DUMMYFUNCTION("""COMPUTED_VALUE"""),"")</f>
        <v/>
      </c>
      <c r="F890" s="18" t="str">
        <f ca="1">IFERROR(__xludf.DUMMYFUNCTION("""COMPUTED_VALUE"""),"")</f>
        <v/>
      </c>
      <c r="G890" s="18" t="str">
        <f ca="1">IFERROR(__xludf.DUMMYFUNCTION("""COMPUTED_VALUE"""),"")</f>
        <v/>
      </c>
      <c r="H890" s="18" t="str">
        <f ca="1">IFERROR(__xludf.DUMMYFUNCTION("""COMPUTED_VALUE"""),"")</f>
        <v/>
      </c>
      <c r="I890" s="18" t="str">
        <f ca="1">IFERROR(__xludf.DUMMYFUNCTION("""COMPUTED_VALUE"""),"")</f>
        <v/>
      </c>
      <c r="J890" s="18" t="str">
        <f ca="1">IFERROR(__xludf.DUMMYFUNCTION("""COMPUTED_VALUE"""),"")</f>
        <v/>
      </c>
      <c r="K890" s="18" t="str">
        <f ca="1">IFERROR(__xludf.DUMMYFUNCTION("""COMPUTED_VALUE"""),"")</f>
        <v/>
      </c>
      <c r="L890" s="18" t="str">
        <f ca="1">IFERROR(__xludf.DUMMYFUNCTION("""COMPUTED_VALUE"""),"")</f>
        <v/>
      </c>
      <c r="M890" s="18" t="str">
        <f ca="1">IFERROR(__xludf.DUMMYFUNCTION("""COMPUTED_VALUE"""),"")</f>
        <v/>
      </c>
      <c r="N890" s="18" t="str">
        <f ca="1">IFERROR(__xludf.DUMMYFUNCTION("""COMPUTED_VALUE"""),"")</f>
        <v/>
      </c>
      <c r="O890" s="18" t="str">
        <f ca="1">IFERROR(__xludf.DUMMYFUNCTION("""COMPUTED_VALUE"""),"")</f>
        <v/>
      </c>
      <c r="P890" s="18" t="str">
        <f ca="1">IFERROR(__xludf.DUMMYFUNCTION("""COMPUTED_VALUE"""),"")</f>
        <v/>
      </c>
      <c r="Q890" s="18" t="str">
        <f ca="1">IFERROR(__xludf.DUMMYFUNCTION("""COMPUTED_VALUE"""),"")</f>
        <v/>
      </c>
      <c r="R890" s="18" t="str">
        <f ca="1">IFERROR(__xludf.DUMMYFUNCTION("""COMPUTED_VALUE"""),"")</f>
        <v/>
      </c>
      <c r="S890" s="18" t="str">
        <f ca="1">IFERROR(__xludf.DUMMYFUNCTION("""COMPUTED_VALUE"""),"")</f>
        <v/>
      </c>
      <c r="T890" s="18" t="str">
        <f ca="1">IFERROR(__xludf.DUMMYFUNCTION("""COMPUTED_VALUE"""),"")</f>
        <v/>
      </c>
      <c r="U890" s="18" t="str">
        <f ca="1">IFERROR(__xludf.DUMMYFUNCTION("""COMPUTED_VALUE"""),"")</f>
        <v/>
      </c>
      <c r="V890" s="18" t="str">
        <f ca="1">IFERROR(__xludf.DUMMYFUNCTION("""COMPUTED_VALUE"""),"")</f>
        <v/>
      </c>
      <c r="W890" s="18" t="str">
        <f ca="1">IFERROR(__xludf.DUMMYFUNCTION("""COMPUTED_VALUE"""),"")</f>
        <v/>
      </c>
      <c r="X890" s="18" t="str">
        <f ca="1">IFERROR(__xludf.DUMMYFUNCTION("""COMPUTED_VALUE"""),"")</f>
        <v/>
      </c>
      <c r="Y890" s="18" t="e">
        <f ca="1"/>
        <v>#NAME?</v>
      </c>
      <c r="Z890" s="18" t="str">
        <f ca="1">IFERROR(__xludf.DUMMYFUNCTION("""COMPUTED_VALUE"""),"")</f>
        <v/>
      </c>
      <c r="AA890" s="18" t="str">
        <f ca="1">IFERROR(__xludf.DUMMYFUNCTION("""COMPUTED_VALUE"""),"")</f>
        <v/>
      </c>
      <c r="AC890" s="59"/>
    </row>
    <row r="891" spans="1:29" x14ac:dyDescent="0.25">
      <c r="A891" s="18">
        <v>0</v>
      </c>
      <c r="B891" s="52" t="str">
        <f ca="1"/>
        <v/>
      </c>
      <c r="C891" s="52" t="str">
        <f ca="1">IFERROR(__xludf.DUMMYFUNCTION("""COMPUTED_VALUE"""),"")</f>
        <v/>
      </c>
      <c r="D891" s="18" t="str">
        <f ca="1">IFERROR(__xludf.DUMMYFUNCTION("""COMPUTED_VALUE"""),"")</f>
        <v/>
      </c>
      <c r="E891" s="18" t="str">
        <f ca="1">IFERROR(__xludf.DUMMYFUNCTION("""COMPUTED_VALUE"""),"")</f>
        <v/>
      </c>
      <c r="F891" s="18" t="str">
        <f ca="1">IFERROR(__xludf.DUMMYFUNCTION("""COMPUTED_VALUE"""),"")</f>
        <v/>
      </c>
      <c r="G891" s="18" t="str">
        <f ca="1">IFERROR(__xludf.DUMMYFUNCTION("""COMPUTED_VALUE"""),"")</f>
        <v/>
      </c>
      <c r="H891" s="18" t="str">
        <f ca="1">IFERROR(__xludf.DUMMYFUNCTION("""COMPUTED_VALUE"""),"")</f>
        <v/>
      </c>
      <c r="I891" s="18" t="str">
        <f ca="1">IFERROR(__xludf.DUMMYFUNCTION("""COMPUTED_VALUE"""),"")</f>
        <v/>
      </c>
      <c r="J891" s="18" t="str">
        <f ca="1">IFERROR(__xludf.DUMMYFUNCTION("""COMPUTED_VALUE"""),"")</f>
        <v/>
      </c>
      <c r="K891" s="18" t="str">
        <f ca="1">IFERROR(__xludf.DUMMYFUNCTION("""COMPUTED_VALUE"""),"")</f>
        <v/>
      </c>
      <c r="L891" s="18" t="str">
        <f ca="1">IFERROR(__xludf.DUMMYFUNCTION("""COMPUTED_VALUE"""),"")</f>
        <v/>
      </c>
      <c r="M891" s="18" t="str">
        <f ca="1">IFERROR(__xludf.DUMMYFUNCTION("""COMPUTED_VALUE"""),"")</f>
        <v/>
      </c>
      <c r="N891" s="18" t="str">
        <f ca="1">IFERROR(__xludf.DUMMYFUNCTION("""COMPUTED_VALUE"""),"")</f>
        <v/>
      </c>
      <c r="O891" s="18" t="str">
        <f ca="1">IFERROR(__xludf.DUMMYFUNCTION("""COMPUTED_VALUE"""),"")</f>
        <v/>
      </c>
      <c r="P891" s="18" t="str">
        <f ca="1">IFERROR(__xludf.DUMMYFUNCTION("""COMPUTED_VALUE"""),"")</f>
        <v/>
      </c>
      <c r="Q891" s="18" t="str">
        <f ca="1">IFERROR(__xludf.DUMMYFUNCTION("""COMPUTED_VALUE"""),"")</f>
        <v/>
      </c>
      <c r="R891" s="18" t="str">
        <f ca="1">IFERROR(__xludf.DUMMYFUNCTION("""COMPUTED_VALUE"""),"")</f>
        <v/>
      </c>
      <c r="S891" s="18" t="str">
        <f ca="1">IFERROR(__xludf.DUMMYFUNCTION("""COMPUTED_VALUE"""),"")</f>
        <v/>
      </c>
      <c r="T891" s="18" t="str">
        <f ca="1">IFERROR(__xludf.DUMMYFUNCTION("""COMPUTED_VALUE"""),"")</f>
        <v/>
      </c>
      <c r="U891" s="18" t="str">
        <f ca="1">IFERROR(__xludf.DUMMYFUNCTION("""COMPUTED_VALUE"""),"")</f>
        <v/>
      </c>
      <c r="V891" s="18" t="str">
        <f ca="1">IFERROR(__xludf.DUMMYFUNCTION("""COMPUTED_VALUE"""),"")</f>
        <v/>
      </c>
      <c r="W891" s="18" t="str">
        <f ca="1">IFERROR(__xludf.DUMMYFUNCTION("""COMPUTED_VALUE"""),"")</f>
        <v/>
      </c>
      <c r="X891" s="18" t="str">
        <f ca="1">IFERROR(__xludf.DUMMYFUNCTION("""COMPUTED_VALUE"""),"")</f>
        <v/>
      </c>
      <c r="Y891" s="18" t="e">
        <f ca="1"/>
        <v>#NAME?</v>
      </c>
      <c r="Z891" s="18" t="str">
        <f ca="1">IFERROR(__xludf.DUMMYFUNCTION("""COMPUTED_VALUE"""),"")</f>
        <v/>
      </c>
      <c r="AA891" s="18" t="str">
        <f ca="1">IFERROR(__xludf.DUMMYFUNCTION("""COMPUTED_VALUE"""),"")</f>
        <v/>
      </c>
      <c r="AC891" s="59"/>
    </row>
    <row r="892" spans="1:29" x14ac:dyDescent="0.25">
      <c r="A892" s="18">
        <v>0</v>
      </c>
      <c r="B892" s="52" t="str">
        <f ca="1"/>
        <v/>
      </c>
      <c r="C892" s="52" t="str">
        <f ca="1">IFERROR(__xludf.DUMMYFUNCTION("""COMPUTED_VALUE"""),"")</f>
        <v/>
      </c>
      <c r="D892" s="18" t="str">
        <f ca="1">IFERROR(__xludf.DUMMYFUNCTION("""COMPUTED_VALUE"""),"")</f>
        <v/>
      </c>
      <c r="E892" s="18" t="str">
        <f ca="1">IFERROR(__xludf.DUMMYFUNCTION("""COMPUTED_VALUE"""),"")</f>
        <v/>
      </c>
      <c r="F892" s="18" t="str">
        <f ca="1">IFERROR(__xludf.DUMMYFUNCTION("""COMPUTED_VALUE"""),"")</f>
        <v/>
      </c>
      <c r="G892" s="18" t="str">
        <f ca="1">IFERROR(__xludf.DUMMYFUNCTION("""COMPUTED_VALUE"""),"")</f>
        <v/>
      </c>
      <c r="H892" s="18" t="str">
        <f ca="1">IFERROR(__xludf.DUMMYFUNCTION("""COMPUTED_VALUE"""),"")</f>
        <v/>
      </c>
      <c r="I892" s="18" t="str">
        <f ca="1">IFERROR(__xludf.DUMMYFUNCTION("""COMPUTED_VALUE"""),"")</f>
        <v/>
      </c>
      <c r="J892" s="18" t="str">
        <f ca="1">IFERROR(__xludf.DUMMYFUNCTION("""COMPUTED_VALUE"""),"")</f>
        <v/>
      </c>
      <c r="K892" s="18" t="str">
        <f ca="1">IFERROR(__xludf.DUMMYFUNCTION("""COMPUTED_VALUE"""),"")</f>
        <v/>
      </c>
      <c r="L892" s="18" t="str">
        <f ca="1">IFERROR(__xludf.DUMMYFUNCTION("""COMPUTED_VALUE"""),"")</f>
        <v/>
      </c>
      <c r="M892" s="18" t="str">
        <f ca="1">IFERROR(__xludf.DUMMYFUNCTION("""COMPUTED_VALUE"""),"")</f>
        <v/>
      </c>
      <c r="N892" s="18" t="str">
        <f ca="1">IFERROR(__xludf.DUMMYFUNCTION("""COMPUTED_VALUE"""),"")</f>
        <v/>
      </c>
      <c r="O892" s="18" t="str">
        <f ca="1">IFERROR(__xludf.DUMMYFUNCTION("""COMPUTED_VALUE"""),"")</f>
        <v/>
      </c>
      <c r="P892" s="18" t="str">
        <f ca="1">IFERROR(__xludf.DUMMYFUNCTION("""COMPUTED_VALUE"""),"")</f>
        <v/>
      </c>
      <c r="Q892" s="18" t="str">
        <f ca="1">IFERROR(__xludf.DUMMYFUNCTION("""COMPUTED_VALUE"""),"")</f>
        <v/>
      </c>
      <c r="R892" s="18" t="str">
        <f ca="1">IFERROR(__xludf.DUMMYFUNCTION("""COMPUTED_VALUE"""),"")</f>
        <v/>
      </c>
      <c r="S892" s="18" t="str">
        <f ca="1">IFERROR(__xludf.DUMMYFUNCTION("""COMPUTED_VALUE"""),"")</f>
        <v/>
      </c>
      <c r="T892" s="18" t="str">
        <f ca="1">IFERROR(__xludf.DUMMYFUNCTION("""COMPUTED_VALUE"""),"")</f>
        <v/>
      </c>
      <c r="U892" s="18" t="str">
        <f ca="1">IFERROR(__xludf.DUMMYFUNCTION("""COMPUTED_VALUE"""),"")</f>
        <v/>
      </c>
      <c r="V892" s="18" t="str">
        <f ca="1">IFERROR(__xludf.DUMMYFUNCTION("""COMPUTED_VALUE"""),"")</f>
        <v/>
      </c>
      <c r="W892" s="18" t="str">
        <f ca="1">IFERROR(__xludf.DUMMYFUNCTION("""COMPUTED_VALUE"""),"")</f>
        <v/>
      </c>
      <c r="X892" s="18" t="str">
        <f ca="1">IFERROR(__xludf.DUMMYFUNCTION("""COMPUTED_VALUE"""),"")</f>
        <v/>
      </c>
      <c r="Y892" s="18" t="e">
        <f ca="1"/>
        <v>#NAME?</v>
      </c>
      <c r="Z892" s="18" t="str">
        <f ca="1">IFERROR(__xludf.DUMMYFUNCTION("""COMPUTED_VALUE"""),"")</f>
        <v/>
      </c>
      <c r="AA892" s="18" t="str">
        <f ca="1">IFERROR(__xludf.DUMMYFUNCTION("""COMPUTED_VALUE"""),"")</f>
        <v/>
      </c>
      <c r="AC892" s="59"/>
    </row>
    <row r="893" spans="1:29" x14ac:dyDescent="0.25">
      <c r="A893" s="18">
        <v>0</v>
      </c>
      <c r="B893" s="52" t="str">
        <f ca="1"/>
        <v/>
      </c>
      <c r="C893" s="52" t="str">
        <f ca="1">IFERROR(__xludf.DUMMYFUNCTION("""COMPUTED_VALUE"""),"")</f>
        <v/>
      </c>
      <c r="D893" s="18" t="str">
        <f ca="1">IFERROR(__xludf.DUMMYFUNCTION("""COMPUTED_VALUE"""),"")</f>
        <v/>
      </c>
      <c r="E893" s="18" t="str">
        <f ca="1">IFERROR(__xludf.DUMMYFUNCTION("""COMPUTED_VALUE"""),"")</f>
        <v/>
      </c>
      <c r="F893" s="18" t="str">
        <f ca="1">IFERROR(__xludf.DUMMYFUNCTION("""COMPUTED_VALUE"""),"")</f>
        <v/>
      </c>
      <c r="G893" s="18" t="str">
        <f ca="1">IFERROR(__xludf.DUMMYFUNCTION("""COMPUTED_VALUE"""),"")</f>
        <v/>
      </c>
      <c r="H893" s="18" t="str">
        <f ca="1">IFERROR(__xludf.DUMMYFUNCTION("""COMPUTED_VALUE"""),"")</f>
        <v/>
      </c>
      <c r="I893" s="18" t="str">
        <f ca="1">IFERROR(__xludf.DUMMYFUNCTION("""COMPUTED_VALUE"""),"")</f>
        <v/>
      </c>
      <c r="J893" s="18" t="str">
        <f ca="1">IFERROR(__xludf.DUMMYFUNCTION("""COMPUTED_VALUE"""),"")</f>
        <v/>
      </c>
      <c r="K893" s="18" t="str">
        <f ca="1">IFERROR(__xludf.DUMMYFUNCTION("""COMPUTED_VALUE"""),"")</f>
        <v/>
      </c>
      <c r="L893" s="18" t="str">
        <f ca="1">IFERROR(__xludf.DUMMYFUNCTION("""COMPUTED_VALUE"""),"")</f>
        <v/>
      </c>
      <c r="M893" s="18" t="str">
        <f ca="1">IFERROR(__xludf.DUMMYFUNCTION("""COMPUTED_VALUE"""),"")</f>
        <v/>
      </c>
      <c r="N893" s="18" t="str">
        <f ca="1">IFERROR(__xludf.DUMMYFUNCTION("""COMPUTED_VALUE"""),"")</f>
        <v/>
      </c>
      <c r="O893" s="18" t="str">
        <f ca="1">IFERROR(__xludf.DUMMYFUNCTION("""COMPUTED_VALUE"""),"")</f>
        <v/>
      </c>
      <c r="P893" s="18" t="str">
        <f ca="1">IFERROR(__xludf.DUMMYFUNCTION("""COMPUTED_VALUE"""),"")</f>
        <v/>
      </c>
      <c r="Q893" s="18" t="str">
        <f ca="1">IFERROR(__xludf.DUMMYFUNCTION("""COMPUTED_VALUE"""),"")</f>
        <v/>
      </c>
      <c r="R893" s="18" t="str">
        <f ca="1">IFERROR(__xludf.DUMMYFUNCTION("""COMPUTED_VALUE"""),"")</f>
        <v/>
      </c>
      <c r="S893" s="18" t="str">
        <f ca="1">IFERROR(__xludf.DUMMYFUNCTION("""COMPUTED_VALUE"""),"")</f>
        <v/>
      </c>
      <c r="T893" s="18" t="str">
        <f ca="1">IFERROR(__xludf.DUMMYFUNCTION("""COMPUTED_VALUE"""),"")</f>
        <v/>
      </c>
      <c r="U893" s="18" t="str">
        <f ca="1">IFERROR(__xludf.DUMMYFUNCTION("""COMPUTED_VALUE"""),"")</f>
        <v/>
      </c>
      <c r="V893" s="18" t="str">
        <f ca="1">IFERROR(__xludf.DUMMYFUNCTION("""COMPUTED_VALUE"""),"")</f>
        <v/>
      </c>
      <c r="W893" s="18" t="str">
        <f ca="1">IFERROR(__xludf.DUMMYFUNCTION("""COMPUTED_VALUE"""),"")</f>
        <v/>
      </c>
      <c r="X893" s="18" t="str">
        <f ca="1">IFERROR(__xludf.DUMMYFUNCTION("""COMPUTED_VALUE"""),"")</f>
        <v/>
      </c>
      <c r="Y893" s="18" t="e">
        <f ca="1"/>
        <v>#NAME?</v>
      </c>
      <c r="Z893" s="18" t="str">
        <f ca="1">IFERROR(__xludf.DUMMYFUNCTION("""COMPUTED_VALUE"""),"")</f>
        <v/>
      </c>
      <c r="AA893" s="18" t="str">
        <f ca="1">IFERROR(__xludf.DUMMYFUNCTION("""COMPUTED_VALUE"""),"")</f>
        <v/>
      </c>
      <c r="AC893" s="59"/>
    </row>
    <row r="894" spans="1:29" x14ac:dyDescent="0.25">
      <c r="A894" s="18">
        <v>0</v>
      </c>
      <c r="B894" s="52" t="str">
        <f ca="1"/>
        <v/>
      </c>
      <c r="C894" s="52" t="str">
        <f ca="1">IFERROR(__xludf.DUMMYFUNCTION("""COMPUTED_VALUE"""),"")</f>
        <v/>
      </c>
      <c r="D894" s="18" t="str">
        <f ca="1">IFERROR(__xludf.DUMMYFUNCTION("""COMPUTED_VALUE"""),"")</f>
        <v/>
      </c>
      <c r="E894" s="18" t="str">
        <f ca="1">IFERROR(__xludf.DUMMYFUNCTION("""COMPUTED_VALUE"""),"")</f>
        <v/>
      </c>
      <c r="F894" s="18" t="str">
        <f ca="1">IFERROR(__xludf.DUMMYFUNCTION("""COMPUTED_VALUE"""),"")</f>
        <v/>
      </c>
      <c r="G894" s="18" t="str">
        <f ca="1">IFERROR(__xludf.DUMMYFUNCTION("""COMPUTED_VALUE"""),"")</f>
        <v/>
      </c>
      <c r="H894" s="18" t="str">
        <f ca="1">IFERROR(__xludf.DUMMYFUNCTION("""COMPUTED_VALUE"""),"")</f>
        <v/>
      </c>
      <c r="I894" s="18" t="str">
        <f ca="1">IFERROR(__xludf.DUMMYFUNCTION("""COMPUTED_VALUE"""),"")</f>
        <v/>
      </c>
      <c r="J894" s="18" t="str">
        <f ca="1">IFERROR(__xludf.DUMMYFUNCTION("""COMPUTED_VALUE"""),"")</f>
        <v/>
      </c>
      <c r="K894" s="18" t="str">
        <f ca="1">IFERROR(__xludf.DUMMYFUNCTION("""COMPUTED_VALUE"""),"")</f>
        <v/>
      </c>
      <c r="L894" s="18" t="str">
        <f ca="1">IFERROR(__xludf.DUMMYFUNCTION("""COMPUTED_VALUE"""),"")</f>
        <v/>
      </c>
      <c r="M894" s="18" t="str">
        <f ca="1">IFERROR(__xludf.DUMMYFUNCTION("""COMPUTED_VALUE"""),"")</f>
        <v/>
      </c>
      <c r="N894" s="18" t="str">
        <f ca="1">IFERROR(__xludf.DUMMYFUNCTION("""COMPUTED_VALUE"""),"")</f>
        <v/>
      </c>
      <c r="O894" s="18" t="str">
        <f ca="1">IFERROR(__xludf.DUMMYFUNCTION("""COMPUTED_VALUE"""),"")</f>
        <v/>
      </c>
      <c r="P894" s="18" t="str">
        <f ca="1">IFERROR(__xludf.DUMMYFUNCTION("""COMPUTED_VALUE"""),"")</f>
        <v/>
      </c>
      <c r="Q894" s="18" t="str">
        <f ca="1">IFERROR(__xludf.DUMMYFUNCTION("""COMPUTED_VALUE"""),"")</f>
        <v/>
      </c>
      <c r="R894" s="18" t="str">
        <f ca="1">IFERROR(__xludf.DUMMYFUNCTION("""COMPUTED_VALUE"""),"")</f>
        <v/>
      </c>
      <c r="S894" s="18" t="str">
        <f ca="1">IFERROR(__xludf.DUMMYFUNCTION("""COMPUTED_VALUE"""),"")</f>
        <v/>
      </c>
      <c r="T894" s="18" t="str">
        <f ca="1">IFERROR(__xludf.DUMMYFUNCTION("""COMPUTED_VALUE"""),"")</f>
        <v/>
      </c>
      <c r="U894" s="18" t="str">
        <f ca="1">IFERROR(__xludf.DUMMYFUNCTION("""COMPUTED_VALUE"""),"")</f>
        <v/>
      </c>
      <c r="V894" s="18" t="str">
        <f ca="1">IFERROR(__xludf.DUMMYFUNCTION("""COMPUTED_VALUE"""),"")</f>
        <v/>
      </c>
      <c r="W894" s="18" t="str">
        <f ca="1">IFERROR(__xludf.DUMMYFUNCTION("""COMPUTED_VALUE"""),"")</f>
        <v/>
      </c>
      <c r="X894" s="18" t="str">
        <f ca="1">IFERROR(__xludf.DUMMYFUNCTION("""COMPUTED_VALUE"""),"")</f>
        <v/>
      </c>
      <c r="Y894" s="18" t="e">
        <f ca="1"/>
        <v>#NAME?</v>
      </c>
      <c r="Z894" s="18" t="str">
        <f ca="1">IFERROR(__xludf.DUMMYFUNCTION("""COMPUTED_VALUE"""),"")</f>
        <v/>
      </c>
      <c r="AA894" s="18" t="str">
        <f ca="1">IFERROR(__xludf.DUMMYFUNCTION("""COMPUTED_VALUE"""),"")</f>
        <v/>
      </c>
      <c r="AC894" s="59"/>
    </row>
    <row r="895" spans="1:29" x14ac:dyDescent="0.25">
      <c r="A895" s="18">
        <v>0</v>
      </c>
      <c r="B895" s="52" t="str">
        <f ca="1"/>
        <v/>
      </c>
      <c r="C895" s="52" t="str">
        <f ca="1">IFERROR(__xludf.DUMMYFUNCTION("""COMPUTED_VALUE"""),"")</f>
        <v/>
      </c>
      <c r="D895" s="18" t="str">
        <f ca="1">IFERROR(__xludf.DUMMYFUNCTION("""COMPUTED_VALUE"""),"")</f>
        <v/>
      </c>
      <c r="E895" s="18" t="str">
        <f ca="1">IFERROR(__xludf.DUMMYFUNCTION("""COMPUTED_VALUE"""),"")</f>
        <v/>
      </c>
      <c r="F895" s="18" t="str">
        <f ca="1">IFERROR(__xludf.DUMMYFUNCTION("""COMPUTED_VALUE"""),"")</f>
        <v/>
      </c>
      <c r="G895" s="18" t="str">
        <f ca="1">IFERROR(__xludf.DUMMYFUNCTION("""COMPUTED_VALUE"""),"")</f>
        <v/>
      </c>
      <c r="H895" s="18" t="str">
        <f ca="1">IFERROR(__xludf.DUMMYFUNCTION("""COMPUTED_VALUE"""),"")</f>
        <v/>
      </c>
      <c r="I895" s="18" t="str">
        <f ca="1">IFERROR(__xludf.DUMMYFUNCTION("""COMPUTED_VALUE"""),"")</f>
        <v/>
      </c>
      <c r="J895" s="18" t="str">
        <f ca="1">IFERROR(__xludf.DUMMYFUNCTION("""COMPUTED_VALUE"""),"")</f>
        <v/>
      </c>
      <c r="K895" s="18" t="str">
        <f ca="1">IFERROR(__xludf.DUMMYFUNCTION("""COMPUTED_VALUE"""),"")</f>
        <v/>
      </c>
      <c r="L895" s="18" t="str">
        <f ca="1">IFERROR(__xludf.DUMMYFUNCTION("""COMPUTED_VALUE"""),"")</f>
        <v/>
      </c>
      <c r="M895" s="18" t="str">
        <f ca="1">IFERROR(__xludf.DUMMYFUNCTION("""COMPUTED_VALUE"""),"")</f>
        <v/>
      </c>
      <c r="N895" s="18" t="str">
        <f ca="1">IFERROR(__xludf.DUMMYFUNCTION("""COMPUTED_VALUE"""),"")</f>
        <v/>
      </c>
      <c r="O895" s="18" t="str">
        <f ca="1">IFERROR(__xludf.DUMMYFUNCTION("""COMPUTED_VALUE"""),"")</f>
        <v/>
      </c>
      <c r="P895" s="18" t="str">
        <f ca="1">IFERROR(__xludf.DUMMYFUNCTION("""COMPUTED_VALUE"""),"")</f>
        <v/>
      </c>
      <c r="Q895" s="18" t="str">
        <f ca="1">IFERROR(__xludf.DUMMYFUNCTION("""COMPUTED_VALUE"""),"")</f>
        <v/>
      </c>
      <c r="R895" s="18" t="str">
        <f ca="1">IFERROR(__xludf.DUMMYFUNCTION("""COMPUTED_VALUE"""),"")</f>
        <v/>
      </c>
      <c r="S895" s="18" t="str">
        <f ca="1">IFERROR(__xludf.DUMMYFUNCTION("""COMPUTED_VALUE"""),"")</f>
        <v/>
      </c>
      <c r="T895" s="18" t="str">
        <f ca="1">IFERROR(__xludf.DUMMYFUNCTION("""COMPUTED_VALUE"""),"")</f>
        <v/>
      </c>
      <c r="U895" s="18" t="str">
        <f ca="1">IFERROR(__xludf.DUMMYFUNCTION("""COMPUTED_VALUE"""),"")</f>
        <v/>
      </c>
      <c r="V895" s="18" t="str">
        <f ca="1">IFERROR(__xludf.DUMMYFUNCTION("""COMPUTED_VALUE"""),"")</f>
        <v/>
      </c>
      <c r="W895" s="18" t="str">
        <f ca="1">IFERROR(__xludf.DUMMYFUNCTION("""COMPUTED_VALUE"""),"")</f>
        <v/>
      </c>
      <c r="X895" s="18" t="str">
        <f ca="1">IFERROR(__xludf.DUMMYFUNCTION("""COMPUTED_VALUE"""),"")</f>
        <v/>
      </c>
      <c r="Y895" s="18" t="e">
        <f ca="1"/>
        <v>#NAME?</v>
      </c>
      <c r="Z895" s="18" t="str">
        <f ca="1">IFERROR(__xludf.DUMMYFUNCTION("""COMPUTED_VALUE"""),"")</f>
        <v/>
      </c>
      <c r="AA895" s="18" t="str">
        <f ca="1">IFERROR(__xludf.DUMMYFUNCTION("""COMPUTED_VALUE"""),"")</f>
        <v/>
      </c>
      <c r="AC895" s="59"/>
    </row>
    <row r="896" spans="1:29" x14ac:dyDescent="0.25">
      <c r="A896" s="18">
        <v>0</v>
      </c>
      <c r="B896" s="52" t="str">
        <f ca="1"/>
        <v/>
      </c>
      <c r="C896" s="52" t="str">
        <f ca="1">IFERROR(__xludf.DUMMYFUNCTION("""COMPUTED_VALUE"""),"")</f>
        <v/>
      </c>
      <c r="D896" s="18" t="str">
        <f ca="1">IFERROR(__xludf.DUMMYFUNCTION("""COMPUTED_VALUE"""),"")</f>
        <v/>
      </c>
      <c r="E896" s="18" t="str">
        <f ca="1">IFERROR(__xludf.DUMMYFUNCTION("""COMPUTED_VALUE"""),"")</f>
        <v/>
      </c>
      <c r="F896" s="18" t="str">
        <f ca="1">IFERROR(__xludf.DUMMYFUNCTION("""COMPUTED_VALUE"""),"")</f>
        <v/>
      </c>
      <c r="G896" s="18" t="str">
        <f ca="1">IFERROR(__xludf.DUMMYFUNCTION("""COMPUTED_VALUE"""),"")</f>
        <v/>
      </c>
      <c r="H896" s="18" t="str">
        <f ca="1">IFERROR(__xludf.DUMMYFUNCTION("""COMPUTED_VALUE"""),"")</f>
        <v/>
      </c>
      <c r="I896" s="18" t="str">
        <f ca="1">IFERROR(__xludf.DUMMYFUNCTION("""COMPUTED_VALUE"""),"")</f>
        <v/>
      </c>
      <c r="J896" s="18" t="str">
        <f ca="1">IFERROR(__xludf.DUMMYFUNCTION("""COMPUTED_VALUE"""),"")</f>
        <v/>
      </c>
      <c r="K896" s="18" t="str">
        <f ca="1">IFERROR(__xludf.DUMMYFUNCTION("""COMPUTED_VALUE"""),"")</f>
        <v/>
      </c>
      <c r="L896" s="18" t="str">
        <f ca="1">IFERROR(__xludf.DUMMYFUNCTION("""COMPUTED_VALUE"""),"")</f>
        <v/>
      </c>
      <c r="M896" s="18" t="str">
        <f ca="1">IFERROR(__xludf.DUMMYFUNCTION("""COMPUTED_VALUE"""),"")</f>
        <v/>
      </c>
      <c r="N896" s="18" t="str">
        <f ca="1">IFERROR(__xludf.DUMMYFUNCTION("""COMPUTED_VALUE"""),"")</f>
        <v/>
      </c>
      <c r="O896" s="18" t="str">
        <f ca="1">IFERROR(__xludf.DUMMYFUNCTION("""COMPUTED_VALUE"""),"")</f>
        <v/>
      </c>
      <c r="P896" s="18" t="str">
        <f ca="1">IFERROR(__xludf.DUMMYFUNCTION("""COMPUTED_VALUE"""),"")</f>
        <v/>
      </c>
      <c r="Q896" s="18" t="str">
        <f ca="1">IFERROR(__xludf.DUMMYFUNCTION("""COMPUTED_VALUE"""),"")</f>
        <v/>
      </c>
      <c r="R896" s="18" t="str">
        <f ca="1">IFERROR(__xludf.DUMMYFUNCTION("""COMPUTED_VALUE"""),"")</f>
        <v/>
      </c>
      <c r="S896" s="18" t="str">
        <f ca="1">IFERROR(__xludf.DUMMYFUNCTION("""COMPUTED_VALUE"""),"")</f>
        <v/>
      </c>
      <c r="T896" s="18" t="str">
        <f ca="1">IFERROR(__xludf.DUMMYFUNCTION("""COMPUTED_VALUE"""),"")</f>
        <v/>
      </c>
      <c r="U896" s="18" t="str">
        <f ca="1">IFERROR(__xludf.DUMMYFUNCTION("""COMPUTED_VALUE"""),"")</f>
        <v/>
      </c>
      <c r="V896" s="18" t="str">
        <f ca="1">IFERROR(__xludf.DUMMYFUNCTION("""COMPUTED_VALUE"""),"")</f>
        <v/>
      </c>
      <c r="W896" s="18" t="str">
        <f ca="1">IFERROR(__xludf.DUMMYFUNCTION("""COMPUTED_VALUE"""),"")</f>
        <v/>
      </c>
      <c r="X896" s="18" t="str">
        <f ca="1">IFERROR(__xludf.DUMMYFUNCTION("""COMPUTED_VALUE"""),"")</f>
        <v/>
      </c>
      <c r="Y896" s="18" t="e">
        <f ca="1"/>
        <v>#NAME?</v>
      </c>
      <c r="Z896" s="18" t="str">
        <f ca="1">IFERROR(__xludf.DUMMYFUNCTION("""COMPUTED_VALUE"""),"")</f>
        <v/>
      </c>
      <c r="AA896" s="18" t="str">
        <f ca="1">IFERROR(__xludf.DUMMYFUNCTION("""COMPUTED_VALUE"""),"")</f>
        <v/>
      </c>
      <c r="AC896" s="59"/>
    </row>
    <row r="897" spans="1:29" x14ac:dyDescent="0.25">
      <c r="A897" s="18">
        <v>0</v>
      </c>
      <c r="B897" s="52" t="str">
        <f ca="1"/>
        <v/>
      </c>
      <c r="C897" s="52" t="str">
        <f ca="1">IFERROR(__xludf.DUMMYFUNCTION("""COMPUTED_VALUE"""),"")</f>
        <v/>
      </c>
      <c r="D897" s="18" t="str">
        <f ca="1">IFERROR(__xludf.DUMMYFUNCTION("""COMPUTED_VALUE"""),"")</f>
        <v/>
      </c>
      <c r="E897" s="18" t="str">
        <f ca="1">IFERROR(__xludf.DUMMYFUNCTION("""COMPUTED_VALUE"""),"")</f>
        <v/>
      </c>
      <c r="F897" s="18" t="str">
        <f ca="1">IFERROR(__xludf.DUMMYFUNCTION("""COMPUTED_VALUE"""),"")</f>
        <v/>
      </c>
      <c r="G897" s="18" t="str">
        <f ca="1">IFERROR(__xludf.DUMMYFUNCTION("""COMPUTED_VALUE"""),"")</f>
        <v/>
      </c>
      <c r="H897" s="18" t="str">
        <f ca="1">IFERROR(__xludf.DUMMYFUNCTION("""COMPUTED_VALUE"""),"")</f>
        <v/>
      </c>
      <c r="I897" s="18" t="str">
        <f ca="1">IFERROR(__xludf.DUMMYFUNCTION("""COMPUTED_VALUE"""),"")</f>
        <v/>
      </c>
      <c r="J897" s="18" t="str">
        <f ca="1">IFERROR(__xludf.DUMMYFUNCTION("""COMPUTED_VALUE"""),"")</f>
        <v/>
      </c>
      <c r="K897" s="18" t="str">
        <f ca="1">IFERROR(__xludf.DUMMYFUNCTION("""COMPUTED_VALUE"""),"")</f>
        <v/>
      </c>
      <c r="L897" s="18" t="str">
        <f ca="1">IFERROR(__xludf.DUMMYFUNCTION("""COMPUTED_VALUE"""),"")</f>
        <v/>
      </c>
      <c r="M897" s="18" t="str">
        <f ca="1">IFERROR(__xludf.DUMMYFUNCTION("""COMPUTED_VALUE"""),"")</f>
        <v/>
      </c>
      <c r="N897" s="18" t="str">
        <f ca="1">IFERROR(__xludf.DUMMYFUNCTION("""COMPUTED_VALUE"""),"")</f>
        <v/>
      </c>
      <c r="O897" s="18" t="str">
        <f ca="1">IFERROR(__xludf.DUMMYFUNCTION("""COMPUTED_VALUE"""),"")</f>
        <v/>
      </c>
      <c r="P897" s="18" t="str">
        <f ca="1">IFERROR(__xludf.DUMMYFUNCTION("""COMPUTED_VALUE"""),"")</f>
        <v/>
      </c>
      <c r="Q897" s="18" t="str">
        <f ca="1">IFERROR(__xludf.DUMMYFUNCTION("""COMPUTED_VALUE"""),"")</f>
        <v/>
      </c>
      <c r="R897" s="18" t="str">
        <f ca="1">IFERROR(__xludf.DUMMYFUNCTION("""COMPUTED_VALUE"""),"")</f>
        <v/>
      </c>
      <c r="S897" s="18" t="str">
        <f ca="1">IFERROR(__xludf.DUMMYFUNCTION("""COMPUTED_VALUE"""),"")</f>
        <v/>
      </c>
      <c r="T897" s="18" t="str">
        <f ca="1">IFERROR(__xludf.DUMMYFUNCTION("""COMPUTED_VALUE"""),"")</f>
        <v/>
      </c>
      <c r="U897" s="18" t="str">
        <f ca="1">IFERROR(__xludf.DUMMYFUNCTION("""COMPUTED_VALUE"""),"")</f>
        <v/>
      </c>
      <c r="V897" s="18" t="str">
        <f ca="1">IFERROR(__xludf.DUMMYFUNCTION("""COMPUTED_VALUE"""),"")</f>
        <v/>
      </c>
      <c r="W897" s="18" t="str">
        <f ca="1">IFERROR(__xludf.DUMMYFUNCTION("""COMPUTED_VALUE"""),"")</f>
        <v/>
      </c>
      <c r="X897" s="18" t="str">
        <f ca="1">IFERROR(__xludf.DUMMYFUNCTION("""COMPUTED_VALUE"""),"")</f>
        <v/>
      </c>
      <c r="Y897" s="18" t="e">
        <f ca="1"/>
        <v>#NAME?</v>
      </c>
      <c r="Z897" s="18" t="str">
        <f ca="1">IFERROR(__xludf.DUMMYFUNCTION("""COMPUTED_VALUE"""),"")</f>
        <v/>
      </c>
      <c r="AA897" s="18" t="str">
        <f ca="1">IFERROR(__xludf.DUMMYFUNCTION("""COMPUTED_VALUE"""),"")</f>
        <v/>
      </c>
      <c r="AC897" s="59"/>
    </row>
    <row r="898" spans="1:29" x14ac:dyDescent="0.25">
      <c r="A898" s="18">
        <v>0</v>
      </c>
      <c r="B898" s="52" t="str">
        <f ca="1"/>
        <v/>
      </c>
      <c r="C898" s="52" t="str">
        <f ca="1">IFERROR(__xludf.DUMMYFUNCTION("""COMPUTED_VALUE"""),"")</f>
        <v/>
      </c>
      <c r="D898" s="18" t="str">
        <f ca="1">IFERROR(__xludf.DUMMYFUNCTION("""COMPUTED_VALUE"""),"")</f>
        <v/>
      </c>
      <c r="E898" s="18" t="str">
        <f ca="1">IFERROR(__xludf.DUMMYFUNCTION("""COMPUTED_VALUE"""),"")</f>
        <v/>
      </c>
      <c r="F898" s="18" t="str">
        <f ca="1">IFERROR(__xludf.DUMMYFUNCTION("""COMPUTED_VALUE"""),"")</f>
        <v/>
      </c>
      <c r="G898" s="18" t="str">
        <f ca="1">IFERROR(__xludf.DUMMYFUNCTION("""COMPUTED_VALUE"""),"")</f>
        <v/>
      </c>
      <c r="H898" s="18" t="str">
        <f ca="1">IFERROR(__xludf.DUMMYFUNCTION("""COMPUTED_VALUE"""),"")</f>
        <v/>
      </c>
      <c r="I898" s="18" t="str">
        <f ca="1">IFERROR(__xludf.DUMMYFUNCTION("""COMPUTED_VALUE"""),"")</f>
        <v/>
      </c>
      <c r="J898" s="18" t="str">
        <f ca="1">IFERROR(__xludf.DUMMYFUNCTION("""COMPUTED_VALUE"""),"")</f>
        <v/>
      </c>
      <c r="K898" s="18" t="str">
        <f ca="1">IFERROR(__xludf.DUMMYFUNCTION("""COMPUTED_VALUE"""),"")</f>
        <v/>
      </c>
      <c r="L898" s="18" t="str">
        <f ca="1">IFERROR(__xludf.DUMMYFUNCTION("""COMPUTED_VALUE"""),"")</f>
        <v/>
      </c>
      <c r="M898" s="18" t="str">
        <f ca="1">IFERROR(__xludf.DUMMYFUNCTION("""COMPUTED_VALUE"""),"")</f>
        <v/>
      </c>
      <c r="N898" s="18" t="str">
        <f ca="1">IFERROR(__xludf.DUMMYFUNCTION("""COMPUTED_VALUE"""),"")</f>
        <v/>
      </c>
      <c r="O898" s="18" t="str">
        <f ca="1">IFERROR(__xludf.DUMMYFUNCTION("""COMPUTED_VALUE"""),"")</f>
        <v/>
      </c>
      <c r="P898" s="18" t="str">
        <f ca="1">IFERROR(__xludf.DUMMYFUNCTION("""COMPUTED_VALUE"""),"")</f>
        <v/>
      </c>
      <c r="Q898" s="18" t="str">
        <f ca="1">IFERROR(__xludf.DUMMYFUNCTION("""COMPUTED_VALUE"""),"")</f>
        <v/>
      </c>
      <c r="R898" s="18" t="str">
        <f ca="1">IFERROR(__xludf.DUMMYFUNCTION("""COMPUTED_VALUE"""),"")</f>
        <v/>
      </c>
      <c r="S898" s="18" t="str">
        <f ca="1">IFERROR(__xludf.DUMMYFUNCTION("""COMPUTED_VALUE"""),"")</f>
        <v/>
      </c>
      <c r="T898" s="18" t="str">
        <f ca="1">IFERROR(__xludf.DUMMYFUNCTION("""COMPUTED_VALUE"""),"")</f>
        <v/>
      </c>
      <c r="U898" s="18" t="str">
        <f ca="1">IFERROR(__xludf.DUMMYFUNCTION("""COMPUTED_VALUE"""),"")</f>
        <v/>
      </c>
      <c r="V898" s="18" t="str">
        <f ca="1">IFERROR(__xludf.DUMMYFUNCTION("""COMPUTED_VALUE"""),"")</f>
        <v/>
      </c>
      <c r="W898" s="18" t="str">
        <f ca="1">IFERROR(__xludf.DUMMYFUNCTION("""COMPUTED_VALUE"""),"")</f>
        <v/>
      </c>
      <c r="X898" s="18" t="str">
        <f ca="1">IFERROR(__xludf.DUMMYFUNCTION("""COMPUTED_VALUE"""),"")</f>
        <v/>
      </c>
      <c r="Y898" s="18" t="e">
        <f ca="1"/>
        <v>#NAME?</v>
      </c>
      <c r="Z898" s="18" t="str">
        <f ca="1">IFERROR(__xludf.DUMMYFUNCTION("""COMPUTED_VALUE"""),"")</f>
        <v/>
      </c>
      <c r="AA898" s="18" t="str">
        <f ca="1">IFERROR(__xludf.DUMMYFUNCTION("""COMPUTED_VALUE"""),"")</f>
        <v/>
      </c>
      <c r="AC898" s="59"/>
    </row>
    <row r="899" spans="1:29" x14ac:dyDescent="0.25">
      <c r="A899" s="18">
        <v>0</v>
      </c>
      <c r="B899" s="52" t="str">
        <f ca="1"/>
        <v/>
      </c>
      <c r="C899" s="52" t="str">
        <f ca="1">IFERROR(__xludf.DUMMYFUNCTION("""COMPUTED_VALUE"""),"")</f>
        <v/>
      </c>
      <c r="D899" s="18" t="str">
        <f ca="1">IFERROR(__xludf.DUMMYFUNCTION("""COMPUTED_VALUE"""),"")</f>
        <v/>
      </c>
      <c r="E899" s="18" t="str">
        <f ca="1">IFERROR(__xludf.DUMMYFUNCTION("""COMPUTED_VALUE"""),"")</f>
        <v/>
      </c>
      <c r="F899" s="18" t="str">
        <f ca="1">IFERROR(__xludf.DUMMYFUNCTION("""COMPUTED_VALUE"""),"")</f>
        <v/>
      </c>
      <c r="G899" s="18" t="str">
        <f ca="1">IFERROR(__xludf.DUMMYFUNCTION("""COMPUTED_VALUE"""),"")</f>
        <v/>
      </c>
      <c r="H899" s="18" t="str">
        <f ca="1">IFERROR(__xludf.DUMMYFUNCTION("""COMPUTED_VALUE"""),"")</f>
        <v/>
      </c>
      <c r="I899" s="18" t="str">
        <f ca="1">IFERROR(__xludf.DUMMYFUNCTION("""COMPUTED_VALUE"""),"")</f>
        <v/>
      </c>
      <c r="J899" s="18" t="str">
        <f ca="1">IFERROR(__xludf.DUMMYFUNCTION("""COMPUTED_VALUE"""),"")</f>
        <v/>
      </c>
      <c r="K899" s="18" t="str">
        <f ca="1">IFERROR(__xludf.DUMMYFUNCTION("""COMPUTED_VALUE"""),"")</f>
        <v/>
      </c>
      <c r="L899" s="18" t="str">
        <f ca="1">IFERROR(__xludf.DUMMYFUNCTION("""COMPUTED_VALUE"""),"")</f>
        <v/>
      </c>
      <c r="M899" s="18" t="str">
        <f ca="1">IFERROR(__xludf.DUMMYFUNCTION("""COMPUTED_VALUE"""),"")</f>
        <v/>
      </c>
      <c r="N899" s="18" t="str">
        <f ca="1">IFERROR(__xludf.DUMMYFUNCTION("""COMPUTED_VALUE"""),"")</f>
        <v/>
      </c>
      <c r="O899" s="18" t="str">
        <f ca="1">IFERROR(__xludf.DUMMYFUNCTION("""COMPUTED_VALUE"""),"")</f>
        <v/>
      </c>
      <c r="P899" s="18" t="str">
        <f ca="1">IFERROR(__xludf.DUMMYFUNCTION("""COMPUTED_VALUE"""),"")</f>
        <v/>
      </c>
      <c r="Q899" s="18" t="str">
        <f ca="1">IFERROR(__xludf.DUMMYFUNCTION("""COMPUTED_VALUE"""),"")</f>
        <v/>
      </c>
      <c r="R899" s="18" t="str">
        <f ca="1">IFERROR(__xludf.DUMMYFUNCTION("""COMPUTED_VALUE"""),"")</f>
        <v/>
      </c>
      <c r="S899" s="18" t="str">
        <f ca="1">IFERROR(__xludf.DUMMYFUNCTION("""COMPUTED_VALUE"""),"")</f>
        <v/>
      </c>
      <c r="T899" s="18" t="str">
        <f ca="1">IFERROR(__xludf.DUMMYFUNCTION("""COMPUTED_VALUE"""),"")</f>
        <v/>
      </c>
      <c r="U899" s="18" t="str">
        <f ca="1">IFERROR(__xludf.DUMMYFUNCTION("""COMPUTED_VALUE"""),"")</f>
        <v/>
      </c>
      <c r="V899" s="18" t="str">
        <f ca="1">IFERROR(__xludf.DUMMYFUNCTION("""COMPUTED_VALUE"""),"")</f>
        <v/>
      </c>
      <c r="W899" s="18" t="str">
        <f ca="1">IFERROR(__xludf.DUMMYFUNCTION("""COMPUTED_VALUE"""),"")</f>
        <v/>
      </c>
      <c r="X899" s="18" t="str">
        <f ca="1">IFERROR(__xludf.DUMMYFUNCTION("""COMPUTED_VALUE"""),"")</f>
        <v/>
      </c>
      <c r="Y899" s="18" t="e">
        <f ca="1"/>
        <v>#NAME?</v>
      </c>
      <c r="Z899" s="18" t="str">
        <f ca="1">IFERROR(__xludf.DUMMYFUNCTION("""COMPUTED_VALUE"""),"")</f>
        <v/>
      </c>
      <c r="AA899" s="18" t="str">
        <f ca="1">IFERROR(__xludf.DUMMYFUNCTION("""COMPUTED_VALUE"""),"")</f>
        <v/>
      </c>
      <c r="AC899" s="59"/>
    </row>
    <row r="900" spans="1:29" x14ac:dyDescent="0.25">
      <c r="A900" s="18">
        <v>0</v>
      </c>
      <c r="B900" s="52" t="str">
        <f ca="1"/>
        <v/>
      </c>
      <c r="C900" s="52" t="str">
        <f ca="1">IFERROR(__xludf.DUMMYFUNCTION("""COMPUTED_VALUE"""),"")</f>
        <v/>
      </c>
      <c r="D900" s="18" t="str">
        <f ca="1">IFERROR(__xludf.DUMMYFUNCTION("""COMPUTED_VALUE"""),"")</f>
        <v/>
      </c>
      <c r="E900" s="18" t="str">
        <f ca="1">IFERROR(__xludf.DUMMYFUNCTION("""COMPUTED_VALUE"""),"")</f>
        <v/>
      </c>
      <c r="F900" s="18" t="str">
        <f ca="1">IFERROR(__xludf.DUMMYFUNCTION("""COMPUTED_VALUE"""),"")</f>
        <v/>
      </c>
      <c r="G900" s="18" t="str">
        <f ca="1">IFERROR(__xludf.DUMMYFUNCTION("""COMPUTED_VALUE"""),"")</f>
        <v/>
      </c>
      <c r="H900" s="18" t="str">
        <f ca="1">IFERROR(__xludf.DUMMYFUNCTION("""COMPUTED_VALUE"""),"")</f>
        <v/>
      </c>
      <c r="I900" s="18" t="str">
        <f ca="1">IFERROR(__xludf.DUMMYFUNCTION("""COMPUTED_VALUE"""),"")</f>
        <v/>
      </c>
      <c r="J900" s="18" t="str">
        <f ca="1">IFERROR(__xludf.DUMMYFUNCTION("""COMPUTED_VALUE"""),"")</f>
        <v/>
      </c>
      <c r="K900" s="18" t="str">
        <f ca="1">IFERROR(__xludf.DUMMYFUNCTION("""COMPUTED_VALUE"""),"")</f>
        <v/>
      </c>
      <c r="L900" s="18" t="str">
        <f ca="1">IFERROR(__xludf.DUMMYFUNCTION("""COMPUTED_VALUE"""),"")</f>
        <v/>
      </c>
      <c r="M900" s="18" t="str">
        <f ca="1">IFERROR(__xludf.DUMMYFUNCTION("""COMPUTED_VALUE"""),"")</f>
        <v/>
      </c>
      <c r="N900" s="18" t="str">
        <f ca="1">IFERROR(__xludf.DUMMYFUNCTION("""COMPUTED_VALUE"""),"")</f>
        <v/>
      </c>
      <c r="O900" s="18" t="str">
        <f ca="1">IFERROR(__xludf.DUMMYFUNCTION("""COMPUTED_VALUE"""),"")</f>
        <v/>
      </c>
      <c r="P900" s="18" t="str">
        <f ca="1">IFERROR(__xludf.DUMMYFUNCTION("""COMPUTED_VALUE"""),"")</f>
        <v/>
      </c>
      <c r="Q900" s="18" t="str">
        <f ca="1">IFERROR(__xludf.DUMMYFUNCTION("""COMPUTED_VALUE"""),"")</f>
        <v/>
      </c>
      <c r="R900" s="18" t="str">
        <f ca="1">IFERROR(__xludf.DUMMYFUNCTION("""COMPUTED_VALUE"""),"")</f>
        <v/>
      </c>
      <c r="S900" s="18" t="str">
        <f ca="1">IFERROR(__xludf.DUMMYFUNCTION("""COMPUTED_VALUE"""),"")</f>
        <v/>
      </c>
      <c r="T900" s="18" t="str">
        <f ca="1">IFERROR(__xludf.DUMMYFUNCTION("""COMPUTED_VALUE"""),"")</f>
        <v/>
      </c>
      <c r="U900" s="18" t="str">
        <f ca="1">IFERROR(__xludf.DUMMYFUNCTION("""COMPUTED_VALUE"""),"")</f>
        <v/>
      </c>
      <c r="V900" s="18" t="str">
        <f ca="1">IFERROR(__xludf.DUMMYFUNCTION("""COMPUTED_VALUE"""),"")</f>
        <v/>
      </c>
      <c r="W900" s="18" t="str">
        <f ca="1">IFERROR(__xludf.DUMMYFUNCTION("""COMPUTED_VALUE"""),"")</f>
        <v/>
      </c>
      <c r="X900" s="18" t="str">
        <f ca="1">IFERROR(__xludf.DUMMYFUNCTION("""COMPUTED_VALUE"""),"")</f>
        <v/>
      </c>
      <c r="Y900" s="18" t="e">
        <f ca="1"/>
        <v>#NAME?</v>
      </c>
      <c r="Z900" s="18" t="str">
        <f ca="1">IFERROR(__xludf.DUMMYFUNCTION("""COMPUTED_VALUE"""),"")</f>
        <v/>
      </c>
      <c r="AA900" s="18" t="str">
        <f ca="1">IFERROR(__xludf.DUMMYFUNCTION("""COMPUTED_VALUE"""),"")</f>
        <v/>
      </c>
      <c r="AC900" s="59"/>
    </row>
    <row r="901" spans="1:29" x14ac:dyDescent="0.25">
      <c r="A901" s="18">
        <v>0</v>
      </c>
      <c r="B901" s="52" t="str">
        <f ca="1"/>
        <v/>
      </c>
      <c r="C901" s="52" t="str">
        <f ca="1">IFERROR(__xludf.DUMMYFUNCTION("""COMPUTED_VALUE"""),"")</f>
        <v/>
      </c>
      <c r="D901" s="18" t="str">
        <f ca="1">IFERROR(__xludf.DUMMYFUNCTION("""COMPUTED_VALUE"""),"")</f>
        <v/>
      </c>
      <c r="E901" s="18" t="str">
        <f ca="1">IFERROR(__xludf.DUMMYFUNCTION("""COMPUTED_VALUE"""),"")</f>
        <v/>
      </c>
      <c r="F901" s="18" t="str">
        <f ca="1">IFERROR(__xludf.DUMMYFUNCTION("""COMPUTED_VALUE"""),"")</f>
        <v/>
      </c>
      <c r="G901" s="18" t="str">
        <f ca="1">IFERROR(__xludf.DUMMYFUNCTION("""COMPUTED_VALUE"""),"")</f>
        <v/>
      </c>
      <c r="H901" s="18" t="str">
        <f ca="1">IFERROR(__xludf.DUMMYFUNCTION("""COMPUTED_VALUE"""),"")</f>
        <v/>
      </c>
      <c r="I901" s="18" t="str">
        <f ca="1">IFERROR(__xludf.DUMMYFUNCTION("""COMPUTED_VALUE"""),"")</f>
        <v/>
      </c>
      <c r="J901" s="18" t="str">
        <f ca="1">IFERROR(__xludf.DUMMYFUNCTION("""COMPUTED_VALUE"""),"")</f>
        <v/>
      </c>
      <c r="K901" s="18" t="str">
        <f ca="1">IFERROR(__xludf.DUMMYFUNCTION("""COMPUTED_VALUE"""),"")</f>
        <v/>
      </c>
      <c r="L901" s="18" t="str">
        <f ca="1">IFERROR(__xludf.DUMMYFUNCTION("""COMPUTED_VALUE"""),"")</f>
        <v/>
      </c>
      <c r="M901" s="18" t="str">
        <f ca="1">IFERROR(__xludf.DUMMYFUNCTION("""COMPUTED_VALUE"""),"")</f>
        <v/>
      </c>
      <c r="N901" s="18" t="str">
        <f ca="1">IFERROR(__xludf.DUMMYFUNCTION("""COMPUTED_VALUE"""),"")</f>
        <v/>
      </c>
      <c r="O901" s="18" t="str">
        <f ca="1">IFERROR(__xludf.DUMMYFUNCTION("""COMPUTED_VALUE"""),"")</f>
        <v/>
      </c>
      <c r="P901" s="18" t="str">
        <f ca="1">IFERROR(__xludf.DUMMYFUNCTION("""COMPUTED_VALUE"""),"")</f>
        <v/>
      </c>
      <c r="Q901" s="18" t="str">
        <f ca="1">IFERROR(__xludf.DUMMYFUNCTION("""COMPUTED_VALUE"""),"")</f>
        <v/>
      </c>
      <c r="R901" s="18" t="str">
        <f ca="1">IFERROR(__xludf.DUMMYFUNCTION("""COMPUTED_VALUE"""),"")</f>
        <v/>
      </c>
      <c r="S901" s="18" t="str">
        <f ca="1">IFERROR(__xludf.DUMMYFUNCTION("""COMPUTED_VALUE"""),"")</f>
        <v/>
      </c>
      <c r="T901" s="18" t="str">
        <f ca="1">IFERROR(__xludf.DUMMYFUNCTION("""COMPUTED_VALUE"""),"")</f>
        <v/>
      </c>
      <c r="U901" s="18" t="str">
        <f ca="1">IFERROR(__xludf.DUMMYFUNCTION("""COMPUTED_VALUE"""),"")</f>
        <v/>
      </c>
      <c r="V901" s="18" t="str">
        <f ca="1">IFERROR(__xludf.DUMMYFUNCTION("""COMPUTED_VALUE"""),"")</f>
        <v/>
      </c>
      <c r="W901" s="18" t="str">
        <f ca="1">IFERROR(__xludf.DUMMYFUNCTION("""COMPUTED_VALUE"""),"")</f>
        <v/>
      </c>
      <c r="X901" s="18" t="str">
        <f ca="1">IFERROR(__xludf.DUMMYFUNCTION("""COMPUTED_VALUE"""),"")</f>
        <v/>
      </c>
      <c r="Y901" s="18" t="e">
        <f ca="1"/>
        <v>#NAME?</v>
      </c>
      <c r="Z901" s="18" t="str">
        <f ca="1">IFERROR(__xludf.DUMMYFUNCTION("""COMPUTED_VALUE"""),"")</f>
        <v/>
      </c>
      <c r="AA901" s="18" t="str">
        <f ca="1">IFERROR(__xludf.DUMMYFUNCTION("""COMPUTED_VALUE"""),"")</f>
        <v/>
      </c>
      <c r="AC901" s="59"/>
    </row>
    <row r="902" spans="1:29" x14ac:dyDescent="0.25">
      <c r="A902" s="18">
        <v>0</v>
      </c>
      <c r="B902" s="52" t="str">
        <f ca="1"/>
        <v/>
      </c>
      <c r="C902" s="52" t="str">
        <f ca="1">IFERROR(__xludf.DUMMYFUNCTION("""COMPUTED_VALUE"""),"")</f>
        <v/>
      </c>
      <c r="D902" s="18" t="str">
        <f ca="1">IFERROR(__xludf.DUMMYFUNCTION("""COMPUTED_VALUE"""),"")</f>
        <v/>
      </c>
      <c r="E902" s="18" t="str">
        <f ca="1">IFERROR(__xludf.DUMMYFUNCTION("""COMPUTED_VALUE"""),"")</f>
        <v/>
      </c>
      <c r="F902" s="18" t="str">
        <f ca="1">IFERROR(__xludf.DUMMYFUNCTION("""COMPUTED_VALUE"""),"")</f>
        <v/>
      </c>
      <c r="G902" s="18" t="str">
        <f ca="1">IFERROR(__xludf.DUMMYFUNCTION("""COMPUTED_VALUE"""),"")</f>
        <v/>
      </c>
      <c r="H902" s="18" t="str">
        <f ca="1">IFERROR(__xludf.DUMMYFUNCTION("""COMPUTED_VALUE"""),"")</f>
        <v/>
      </c>
      <c r="I902" s="18" t="str">
        <f ca="1">IFERROR(__xludf.DUMMYFUNCTION("""COMPUTED_VALUE"""),"")</f>
        <v/>
      </c>
      <c r="J902" s="18" t="str">
        <f ca="1">IFERROR(__xludf.DUMMYFUNCTION("""COMPUTED_VALUE"""),"")</f>
        <v/>
      </c>
      <c r="K902" s="18" t="str">
        <f ca="1">IFERROR(__xludf.DUMMYFUNCTION("""COMPUTED_VALUE"""),"")</f>
        <v/>
      </c>
      <c r="L902" s="18" t="str">
        <f ca="1">IFERROR(__xludf.DUMMYFUNCTION("""COMPUTED_VALUE"""),"")</f>
        <v/>
      </c>
      <c r="M902" s="18" t="str">
        <f ca="1">IFERROR(__xludf.DUMMYFUNCTION("""COMPUTED_VALUE"""),"")</f>
        <v/>
      </c>
      <c r="N902" s="18" t="str">
        <f ca="1">IFERROR(__xludf.DUMMYFUNCTION("""COMPUTED_VALUE"""),"")</f>
        <v/>
      </c>
      <c r="O902" s="18" t="str">
        <f ca="1">IFERROR(__xludf.DUMMYFUNCTION("""COMPUTED_VALUE"""),"")</f>
        <v/>
      </c>
      <c r="P902" s="18" t="str">
        <f ca="1">IFERROR(__xludf.DUMMYFUNCTION("""COMPUTED_VALUE"""),"")</f>
        <v/>
      </c>
      <c r="Q902" s="18" t="str">
        <f ca="1">IFERROR(__xludf.DUMMYFUNCTION("""COMPUTED_VALUE"""),"")</f>
        <v/>
      </c>
      <c r="R902" s="18" t="str">
        <f ca="1">IFERROR(__xludf.DUMMYFUNCTION("""COMPUTED_VALUE"""),"")</f>
        <v/>
      </c>
      <c r="S902" s="18" t="str">
        <f ca="1">IFERROR(__xludf.DUMMYFUNCTION("""COMPUTED_VALUE"""),"")</f>
        <v/>
      </c>
      <c r="T902" s="18" t="str">
        <f ca="1">IFERROR(__xludf.DUMMYFUNCTION("""COMPUTED_VALUE"""),"")</f>
        <v/>
      </c>
      <c r="U902" s="18" t="str">
        <f ca="1">IFERROR(__xludf.DUMMYFUNCTION("""COMPUTED_VALUE"""),"")</f>
        <v/>
      </c>
      <c r="V902" s="18" t="str">
        <f ca="1">IFERROR(__xludf.DUMMYFUNCTION("""COMPUTED_VALUE"""),"")</f>
        <v/>
      </c>
      <c r="W902" s="18" t="str">
        <f ca="1">IFERROR(__xludf.DUMMYFUNCTION("""COMPUTED_VALUE"""),"")</f>
        <v/>
      </c>
      <c r="X902" s="18" t="str">
        <f ca="1">IFERROR(__xludf.DUMMYFUNCTION("""COMPUTED_VALUE"""),"")</f>
        <v/>
      </c>
      <c r="Y902" s="18" t="e">
        <f ca="1"/>
        <v>#NAME?</v>
      </c>
      <c r="Z902" s="18" t="str">
        <f ca="1">IFERROR(__xludf.DUMMYFUNCTION("""COMPUTED_VALUE"""),"")</f>
        <v/>
      </c>
      <c r="AA902" s="18" t="str">
        <f ca="1">IFERROR(__xludf.DUMMYFUNCTION("""COMPUTED_VALUE"""),"")</f>
        <v/>
      </c>
      <c r="AC902" s="59"/>
    </row>
    <row r="903" spans="1:29" x14ac:dyDescent="0.25">
      <c r="A903" s="18">
        <v>0</v>
      </c>
      <c r="B903" s="52" t="str">
        <f ca="1"/>
        <v/>
      </c>
      <c r="C903" s="52" t="str">
        <f ca="1">IFERROR(__xludf.DUMMYFUNCTION("""COMPUTED_VALUE"""),"")</f>
        <v/>
      </c>
      <c r="D903" s="18" t="str">
        <f ca="1">IFERROR(__xludf.DUMMYFUNCTION("""COMPUTED_VALUE"""),"")</f>
        <v/>
      </c>
      <c r="E903" s="18" t="str">
        <f ca="1">IFERROR(__xludf.DUMMYFUNCTION("""COMPUTED_VALUE"""),"")</f>
        <v/>
      </c>
      <c r="F903" s="18" t="str">
        <f ca="1">IFERROR(__xludf.DUMMYFUNCTION("""COMPUTED_VALUE"""),"")</f>
        <v/>
      </c>
      <c r="G903" s="18" t="str">
        <f ca="1">IFERROR(__xludf.DUMMYFUNCTION("""COMPUTED_VALUE"""),"")</f>
        <v/>
      </c>
      <c r="H903" s="18" t="str">
        <f ca="1">IFERROR(__xludf.DUMMYFUNCTION("""COMPUTED_VALUE"""),"")</f>
        <v/>
      </c>
      <c r="I903" s="18" t="str">
        <f ca="1">IFERROR(__xludf.DUMMYFUNCTION("""COMPUTED_VALUE"""),"")</f>
        <v/>
      </c>
      <c r="J903" s="18" t="str">
        <f ca="1">IFERROR(__xludf.DUMMYFUNCTION("""COMPUTED_VALUE"""),"")</f>
        <v/>
      </c>
      <c r="K903" s="18" t="str">
        <f ca="1">IFERROR(__xludf.DUMMYFUNCTION("""COMPUTED_VALUE"""),"")</f>
        <v/>
      </c>
      <c r="L903" s="18" t="str">
        <f ca="1">IFERROR(__xludf.DUMMYFUNCTION("""COMPUTED_VALUE"""),"")</f>
        <v/>
      </c>
      <c r="M903" s="18" t="str">
        <f ca="1">IFERROR(__xludf.DUMMYFUNCTION("""COMPUTED_VALUE"""),"")</f>
        <v/>
      </c>
      <c r="N903" s="18" t="str">
        <f ca="1">IFERROR(__xludf.DUMMYFUNCTION("""COMPUTED_VALUE"""),"")</f>
        <v/>
      </c>
      <c r="O903" s="18" t="str">
        <f ca="1">IFERROR(__xludf.DUMMYFUNCTION("""COMPUTED_VALUE"""),"")</f>
        <v/>
      </c>
      <c r="P903" s="18" t="str">
        <f ca="1">IFERROR(__xludf.DUMMYFUNCTION("""COMPUTED_VALUE"""),"")</f>
        <v/>
      </c>
      <c r="Q903" s="18" t="str">
        <f ca="1">IFERROR(__xludf.DUMMYFUNCTION("""COMPUTED_VALUE"""),"")</f>
        <v/>
      </c>
      <c r="R903" s="18" t="str">
        <f ca="1">IFERROR(__xludf.DUMMYFUNCTION("""COMPUTED_VALUE"""),"")</f>
        <v/>
      </c>
      <c r="S903" s="18" t="str">
        <f ca="1">IFERROR(__xludf.DUMMYFUNCTION("""COMPUTED_VALUE"""),"")</f>
        <v/>
      </c>
      <c r="T903" s="18" t="str">
        <f ca="1">IFERROR(__xludf.DUMMYFUNCTION("""COMPUTED_VALUE"""),"")</f>
        <v/>
      </c>
      <c r="U903" s="18" t="str">
        <f ca="1">IFERROR(__xludf.DUMMYFUNCTION("""COMPUTED_VALUE"""),"")</f>
        <v/>
      </c>
      <c r="V903" s="18" t="str">
        <f ca="1">IFERROR(__xludf.DUMMYFUNCTION("""COMPUTED_VALUE"""),"")</f>
        <v/>
      </c>
      <c r="W903" s="18" t="str">
        <f ca="1">IFERROR(__xludf.DUMMYFUNCTION("""COMPUTED_VALUE"""),"")</f>
        <v/>
      </c>
      <c r="X903" s="18" t="str">
        <f ca="1">IFERROR(__xludf.DUMMYFUNCTION("""COMPUTED_VALUE"""),"")</f>
        <v/>
      </c>
      <c r="Y903" s="18" t="e">
        <f ca="1"/>
        <v>#NAME?</v>
      </c>
      <c r="Z903" s="18" t="str">
        <f ca="1">IFERROR(__xludf.DUMMYFUNCTION("""COMPUTED_VALUE"""),"")</f>
        <v/>
      </c>
      <c r="AA903" s="18" t="str">
        <f ca="1">IFERROR(__xludf.DUMMYFUNCTION("""COMPUTED_VALUE"""),"")</f>
        <v/>
      </c>
      <c r="AC903" s="59"/>
    </row>
    <row r="904" spans="1:29" x14ac:dyDescent="0.25">
      <c r="A904" s="18">
        <v>0</v>
      </c>
      <c r="B904" s="52" t="str">
        <f ca="1"/>
        <v/>
      </c>
      <c r="C904" s="52" t="str">
        <f ca="1">IFERROR(__xludf.DUMMYFUNCTION("""COMPUTED_VALUE"""),"")</f>
        <v/>
      </c>
      <c r="D904" s="18" t="str">
        <f ca="1">IFERROR(__xludf.DUMMYFUNCTION("""COMPUTED_VALUE"""),"")</f>
        <v/>
      </c>
      <c r="E904" s="18" t="str">
        <f ca="1">IFERROR(__xludf.DUMMYFUNCTION("""COMPUTED_VALUE"""),"")</f>
        <v/>
      </c>
      <c r="F904" s="18" t="str">
        <f ca="1">IFERROR(__xludf.DUMMYFUNCTION("""COMPUTED_VALUE"""),"")</f>
        <v/>
      </c>
      <c r="G904" s="18" t="str">
        <f ca="1">IFERROR(__xludf.DUMMYFUNCTION("""COMPUTED_VALUE"""),"")</f>
        <v/>
      </c>
      <c r="H904" s="18" t="str">
        <f ca="1">IFERROR(__xludf.DUMMYFUNCTION("""COMPUTED_VALUE"""),"")</f>
        <v/>
      </c>
      <c r="I904" s="18" t="str">
        <f ca="1">IFERROR(__xludf.DUMMYFUNCTION("""COMPUTED_VALUE"""),"")</f>
        <v/>
      </c>
      <c r="J904" s="18" t="str">
        <f ca="1">IFERROR(__xludf.DUMMYFUNCTION("""COMPUTED_VALUE"""),"")</f>
        <v/>
      </c>
      <c r="K904" s="18" t="str">
        <f ca="1">IFERROR(__xludf.DUMMYFUNCTION("""COMPUTED_VALUE"""),"")</f>
        <v/>
      </c>
      <c r="L904" s="18" t="str">
        <f ca="1">IFERROR(__xludf.DUMMYFUNCTION("""COMPUTED_VALUE"""),"")</f>
        <v/>
      </c>
      <c r="M904" s="18" t="str">
        <f ca="1">IFERROR(__xludf.DUMMYFUNCTION("""COMPUTED_VALUE"""),"")</f>
        <v/>
      </c>
      <c r="N904" s="18" t="str">
        <f ca="1">IFERROR(__xludf.DUMMYFUNCTION("""COMPUTED_VALUE"""),"")</f>
        <v/>
      </c>
      <c r="O904" s="18" t="str">
        <f ca="1">IFERROR(__xludf.DUMMYFUNCTION("""COMPUTED_VALUE"""),"")</f>
        <v/>
      </c>
      <c r="P904" s="18" t="str">
        <f ca="1">IFERROR(__xludf.DUMMYFUNCTION("""COMPUTED_VALUE"""),"")</f>
        <v/>
      </c>
      <c r="Q904" s="18" t="str">
        <f ca="1">IFERROR(__xludf.DUMMYFUNCTION("""COMPUTED_VALUE"""),"")</f>
        <v/>
      </c>
      <c r="R904" s="18" t="str">
        <f ca="1">IFERROR(__xludf.DUMMYFUNCTION("""COMPUTED_VALUE"""),"")</f>
        <v/>
      </c>
      <c r="S904" s="18" t="str">
        <f ca="1">IFERROR(__xludf.DUMMYFUNCTION("""COMPUTED_VALUE"""),"")</f>
        <v/>
      </c>
      <c r="T904" s="18" t="str">
        <f ca="1">IFERROR(__xludf.DUMMYFUNCTION("""COMPUTED_VALUE"""),"")</f>
        <v/>
      </c>
      <c r="U904" s="18" t="str">
        <f ca="1">IFERROR(__xludf.DUMMYFUNCTION("""COMPUTED_VALUE"""),"")</f>
        <v/>
      </c>
      <c r="V904" s="18" t="str">
        <f ca="1">IFERROR(__xludf.DUMMYFUNCTION("""COMPUTED_VALUE"""),"")</f>
        <v/>
      </c>
      <c r="W904" s="18" t="str">
        <f ca="1">IFERROR(__xludf.DUMMYFUNCTION("""COMPUTED_VALUE"""),"")</f>
        <v/>
      </c>
      <c r="X904" s="18" t="str">
        <f ca="1">IFERROR(__xludf.DUMMYFUNCTION("""COMPUTED_VALUE"""),"")</f>
        <v/>
      </c>
      <c r="Y904" s="18" t="e">
        <f ca="1"/>
        <v>#NAME?</v>
      </c>
      <c r="Z904" s="18" t="str">
        <f ca="1">IFERROR(__xludf.DUMMYFUNCTION("""COMPUTED_VALUE"""),"")</f>
        <v/>
      </c>
      <c r="AA904" s="18" t="str">
        <f ca="1">IFERROR(__xludf.DUMMYFUNCTION("""COMPUTED_VALUE"""),"")</f>
        <v/>
      </c>
      <c r="AC904" s="59"/>
    </row>
    <row r="905" spans="1:29" x14ac:dyDescent="0.25">
      <c r="A905" s="18">
        <v>0</v>
      </c>
      <c r="B905" s="52" t="str">
        <f ca="1"/>
        <v/>
      </c>
      <c r="C905" s="52" t="str">
        <f ca="1">IFERROR(__xludf.DUMMYFUNCTION("""COMPUTED_VALUE"""),"")</f>
        <v/>
      </c>
      <c r="D905" s="18" t="str">
        <f ca="1">IFERROR(__xludf.DUMMYFUNCTION("""COMPUTED_VALUE"""),"")</f>
        <v/>
      </c>
      <c r="E905" s="18" t="str">
        <f ca="1">IFERROR(__xludf.DUMMYFUNCTION("""COMPUTED_VALUE"""),"")</f>
        <v/>
      </c>
      <c r="F905" s="18" t="str">
        <f ca="1">IFERROR(__xludf.DUMMYFUNCTION("""COMPUTED_VALUE"""),"")</f>
        <v/>
      </c>
      <c r="G905" s="18" t="str">
        <f ca="1">IFERROR(__xludf.DUMMYFUNCTION("""COMPUTED_VALUE"""),"")</f>
        <v/>
      </c>
      <c r="H905" s="18" t="str">
        <f ca="1">IFERROR(__xludf.DUMMYFUNCTION("""COMPUTED_VALUE"""),"")</f>
        <v/>
      </c>
      <c r="I905" s="18" t="str">
        <f ca="1">IFERROR(__xludf.DUMMYFUNCTION("""COMPUTED_VALUE"""),"")</f>
        <v/>
      </c>
      <c r="J905" s="18" t="str">
        <f ca="1">IFERROR(__xludf.DUMMYFUNCTION("""COMPUTED_VALUE"""),"")</f>
        <v/>
      </c>
      <c r="K905" s="18" t="str">
        <f ca="1">IFERROR(__xludf.DUMMYFUNCTION("""COMPUTED_VALUE"""),"")</f>
        <v/>
      </c>
      <c r="L905" s="18" t="str">
        <f ca="1">IFERROR(__xludf.DUMMYFUNCTION("""COMPUTED_VALUE"""),"")</f>
        <v/>
      </c>
      <c r="M905" s="18" t="str">
        <f ca="1">IFERROR(__xludf.DUMMYFUNCTION("""COMPUTED_VALUE"""),"")</f>
        <v/>
      </c>
      <c r="N905" s="18" t="str">
        <f ca="1">IFERROR(__xludf.DUMMYFUNCTION("""COMPUTED_VALUE"""),"")</f>
        <v/>
      </c>
      <c r="O905" s="18" t="str">
        <f ca="1">IFERROR(__xludf.DUMMYFUNCTION("""COMPUTED_VALUE"""),"")</f>
        <v/>
      </c>
      <c r="P905" s="18" t="str">
        <f ca="1">IFERROR(__xludf.DUMMYFUNCTION("""COMPUTED_VALUE"""),"")</f>
        <v/>
      </c>
      <c r="Q905" s="18" t="str">
        <f ca="1">IFERROR(__xludf.DUMMYFUNCTION("""COMPUTED_VALUE"""),"")</f>
        <v/>
      </c>
      <c r="R905" s="18" t="str">
        <f ca="1">IFERROR(__xludf.DUMMYFUNCTION("""COMPUTED_VALUE"""),"")</f>
        <v/>
      </c>
      <c r="S905" s="18" t="str">
        <f ca="1">IFERROR(__xludf.DUMMYFUNCTION("""COMPUTED_VALUE"""),"")</f>
        <v/>
      </c>
      <c r="T905" s="18" t="str">
        <f ca="1">IFERROR(__xludf.DUMMYFUNCTION("""COMPUTED_VALUE"""),"")</f>
        <v/>
      </c>
      <c r="U905" s="18" t="str">
        <f ca="1">IFERROR(__xludf.DUMMYFUNCTION("""COMPUTED_VALUE"""),"")</f>
        <v/>
      </c>
      <c r="V905" s="18" t="str">
        <f ca="1">IFERROR(__xludf.DUMMYFUNCTION("""COMPUTED_VALUE"""),"")</f>
        <v/>
      </c>
      <c r="W905" s="18" t="str">
        <f ca="1">IFERROR(__xludf.DUMMYFUNCTION("""COMPUTED_VALUE"""),"")</f>
        <v/>
      </c>
      <c r="X905" s="18" t="str">
        <f ca="1">IFERROR(__xludf.DUMMYFUNCTION("""COMPUTED_VALUE"""),"")</f>
        <v/>
      </c>
      <c r="Y905" s="18" t="e">
        <f ca="1"/>
        <v>#NAME?</v>
      </c>
      <c r="Z905" s="18" t="str">
        <f ca="1">IFERROR(__xludf.DUMMYFUNCTION("""COMPUTED_VALUE"""),"")</f>
        <v/>
      </c>
      <c r="AA905" s="18" t="str">
        <f ca="1">IFERROR(__xludf.DUMMYFUNCTION("""COMPUTED_VALUE"""),"")</f>
        <v/>
      </c>
      <c r="AC905" s="59"/>
    </row>
    <row r="906" spans="1:29" x14ac:dyDescent="0.25">
      <c r="A906" s="18">
        <v>0</v>
      </c>
      <c r="B906" s="52" t="str">
        <f ca="1"/>
        <v/>
      </c>
      <c r="C906" s="52" t="str">
        <f ca="1">IFERROR(__xludf.DUMMYFUNCTION("""COMPUTED_VALUE"""),"")</f>
        <v/>
      </c>
      <c r="D906" s="18" t="str">
        <f ca="1">IFERROR(__xludf.DUMMYFUNCTION("""COMPUTED_VALUE"""),"")</f>
        <v/>
      </c>
      <c r="E906" s="18" t="str">
        <f ca="1">IFERROR(__xludf.DUMMYFUNCTION("""COMPUTED_VALUE"""),"")</f>
        <v/>
      </c>
      <c r="F906" s="18" t="str">
        <f ca="1">IFERROR(__xludf.DUMMYFUNCTION("""COMPUTED_VALUE"""),"")</f>
        <v/>
      </c>
      <c r="G906" s="18" t="str">
        <f ca="1">IFERROR(__xludf.DUMMYFUNCTION("""COMPUTED_VALUE"""),"")</f>
        <v/>
      </c>
      <c r="H906" s="18" t="str">
        <f ca="1">IFERROR(__xludf.DUMMYFUNCTION("""COMPUTED_VALUE"""),"")</f>
        <v/>
      </c>
      <c r="I906" s="18" t="str">
        <f ca="1">IFERROR(__xludf.DUMMYFUNCTION("""COMPUTED_VALUE"""),"")</f>
        <v/>
      </c>
      <c r="J906" s="18" t="str">
        <f ca="1">IFERROR(__xludf.DUMMYFUNCTION("""COMPUTED_VALUE"""),"")</f>
        <v/>
      </c>
      <c r="K906" s="18" t="str">
        <f ca="1">IFERROR(__xludf.DUMMYFUNCTION("""COMPUTED_VALUE"""),"")</f>
        <v/>
      </c>
      <c r="L906" s="18" t="str">
        <f ca="1">IFERROR(__xludf.DUMMYFUNCTION("""COMPUTED_VALUE"""),"")</f>
        <v/>
      </c>
      <c r="M906" s="18" t="str">
        <f ca="1">IFERROR(__xludf.DUMMYFUNCTION("""COMPUTED_VALUE"""),"")</f>
        <v/>
      </c>
      <c r="N906" s="18" t="str">
        <f ca="1">IFERROR(__xludf.DUMMYFUNCTION("""COMPUTED_VALUE"""),"")</f>
        <v/>
      </c>
      <c r="O906" s="18" t="str">
        <f ca="1">IFERROR(__xludf.DUMMYFUNCTION("""COMPUTED_VALUE"""),"")</f>
        <v/>
      </c>
      <c r="P906" s="18" t="str">
        <f ca="1">IFERROR(__xludf.DUMMYFUNCTION("""COMPUTED_VALUE"""),"")</f>
        <v/>
      </c>
      <c r="Q906" s="18" t="str">
        <f ca="1">IFERROR(__xludf.DUMMYFUNCTION("""COMPUTED_VALUE"""),"")</f>
        <v/>
      </c>
      <c r="R906" s="18" t="str">
        <f ca="1">IFERROR(__xludf.DUMMYFUNCTION("""COMPUTED_VALUE"""),"")</f>
        <v/>
      </c>
      <c r="S906" s="18" t="str">
        <f ca="1">IFERROR(__xludf.DUMMYFUNCTION("""COMPUTED_VALUE"""),"")</f>
        <v/>
      </c>
      <c r="T906" s="18" t="str">
        <f ca="1">IFERROR(__xludf.DUMMYFUNCTION("""COMPUTED_VALUE"""),"")</f>
        <v/>
      </c>
      <c r="U906" s="18" t="str">
        <f ca="1">IFERROR(__xludf.DUMMYFUNCTION("""COMPUTED_VALUE"""),"")</f>
        <v/>
      </c>
      <c r="V906" s="18" t="str">
        <f ca="1">IFERROR(__xludf.DUMMYFUNCTION("""COMPUTED_VALUE"""),"")</f>
        <v/>
      </c>
      <c r="W906" s="18" t="str">
        <f ca="1">IFERROR(__xludf.DUMMYFUNCTION("""COMPUTED_VALUE"""),"")</f>
        <v/>
      </c>
      <c r="X906" s="18" t="str">
        <f ca="1">IFERROR(__xludf.DUMMYFUNCTION("""COMPUTED_VALUE"""),"")</f>
        <v/>
      </c>
      <c r="Y906" s="18" t="e">
        <f ca="1"/>
        <v>#NAME?</v>
      </c>
      <c r="Z906" s="18" t="str">
        <f ca="1">IFERROR(__xludf.DUMMYFUNCTION("""COMPUTED_VALUE"""),"")</f>
        <v/>
      </c>
      <c r="AA906" s="18" t="str">
        <f ca="1">IFERROR(__xludf.DUMMYFUNCTION("""COMPUTED_VALUE"""),"")</f>
        <v/>
      </c>
      <c r="AC906" s="59"/>
    </row>
    <row r="907" spans="1:29" x14ac:dyDescent="0.25">
      <c r="A907" s="18">
        <v>0</v>
      </c>
      <c r="B907" s="52" t="str">
        <f ca="1"/>
        <v/>
      </c>
      <c r="C907" s="52" t="str">
        <f ca="1">IFERROR(__xludf.DUMMYFUNCTION("""COMPUTED_VALUE"""),"")</f>
        <v/>
      </c>
      <c r="D907" s="18" t="str">
        <f ca="1">IFERROR(__xludf.DUMMYFUNCTION("""COMPUTED_VALUE"""),"")</f>
        <v/>
      </c>
      <c r="E907" s="18" t="str">
        <f ca="1">IFERROR(__xludf.DUMMYFUNCTION("""COMPUTED_VALUE"""),"")</f>
        <v/>
      </c>
      <c r="F907" s="18" t="str">
        <f ca="1">IFERROR(__xludf.DUMMYFUNCTION("""COMPUTED_VALUE"""),"")</f>
        <v/>
      </c>
      <c r="G907" s="18" t="str">
        <f ca="1">IFERROR(__xludf.DUMMYFUNCTION("""COMPUTED_VALUE"""),"")</f>
        <v/>
      </c>
      <c r="H907" s="18" t="str">
        <f ca="1">IFERROR(__xludf.DUMMYFUNCTION("""COMPUTED_VALUE"""),"")</f>
        <v/>
      </c>
      <c r="I907" s="18" t="str">
        <f ca="1">IFERROR(__xludf.DUMMYFUNCTION("""COMPUTED_VALUE"""),"")</f>
        <v/>
      </c>
      <c r="J907" s="18" t="str">
        <f ca="1">IFERROR(__xludf.DUMMYFUNCTION("""COMPUTED_VALUE"""),"")</f>
        <v/>
      </c>
      <c r="K907" s="18" t="str">
        <f ca="1">IFERROR(__xludf.DUMMYFUNCTION("""COMPUTED_VALUE"""),"")</f>
        <v/>
      </c>
      <c r="L907" s="18" t="str">
        <f ca="1">IFERROR(__xludf.DUMMYFUNCTION("""COMPUTED_VALUE"""),"")</f>
        <v/>
      </c>
      <c r="M907" s="18" t="str">
        <f ca="1">IFERROR(__xludf.DUMMYFUNCTION("""COMPUTED_VALUE"""),"")</f>
        <v/>
      </c>
      <c r="N907" s="18" t="str">
        <f ca="1">IFERROR(__xludf.DUMMYFUNCTION("""COMPUTED_VALUE"""),"")</f>
        <v/>
      </c>
      <c r="O907" s="18" t="str">
        <f ca="1">IFERROR(__xludf.DUMMYFUNCTION("""COMPUTED_VALUE"""),"")</f>
        <v/>
      </c>
      <c r="P907" s="18" t="str">
        <f ca="1">IFERROR(__xludf.DUMMYFUNCTION("""COMPUTED_VALUE"""),"")</f>
        <v/>
      </c>
      <c r="Q907" s="18" t="str">
        <f ca="1">IFERROR(__xludf.DUMMYFUNCTION("""COMPUTED_VALUE"""),"")</f>
        <v/>
      </c>
      <c r="R907" s="18" t="str">
        <f ca="1">IFERROR(__xludf.DUMMYFUNCTION("""COMPUTED_VALUE"""),"")</f>
        <v/>
      </c>
      <c r="S907" s="18" t="str">
        <f ca="1">IFERROR(__xludf.DUMMYFUNCTION("""COMPUTED_VALUE"""),"")</f>
        <v/>
      </c>
      <c r="T907" s="18" t="str">
        <f ca="1">IFERROR(__xludf.DUMMYFUNCTION("""COMPUTED_VALUE"""),"")</f>
        <v/>
      </c>
      <c r="U907" s="18" t="str">
        <f ca="1">IFERROR(__xludf.DUMMYFUNCTION("""COMPUTED_VALUE"""),"")</f>
        <v/>
      </c>
      <c r="V907" s="18" t="str">
        <f ca="1">IFERROR(__xludf.DUMMYFUNCTION("""COMPUTED_VALUE"""),"")</f>
        <v/>
      </c>
      <c r="W907" s="18" t="str">
        <f ca="1">IFERROR(__xludf.DUMMYFUNCTION("""COMPUTED_VALUE"""),"")</f>
        <v/>
      </c>
      <c r="X907" s="18" t="str">
        <f ca="1">IFERROR(__xludf.DUMMYFUNCTION("""COMPUTED_VALUE"""),"")</f>
        <v/>
      </c>
      <c r="Y907" s="18" t="e">
        <f ca="1"/>
        <v>#NAME?</v>
      </c>
      <c r="Z907" s="18" t="str">
        <f ca="1">IFERROR(__xludf.DUMMYFUNCTION("""COMPUTED_VALUE"""),"")</f>
        <v/>
      </c>
      <c r="AA907" s="18" t="str">
        <f ca="1">IFERROR(__xludf.DUMMYFUNCTION("""COMPUTED_VALUE"""),"")</f>
        <v/>
      </c>
      <c r="AC907" s="59"/>
    </row>
    <row r="908" spans="1:29" x14ac:dyDescent="0.25">
      <c r="A908" s="18">
        <v>0</v>
      </c>
      <c r="B908" s="52" t="str">
        <f ca="1"/>
        <v/>
      </c>
      <c r="C908" s="52" t="str">
        <f ca="1">IFERROR(__xludf.DUMMYFUNCTION("""COMPUTED_VALUE"""),"")</f>
        <v/>
      </c>
      <c r="D908" s="18" t="str">
        <f ca="1">IFERROR(__xludf.DUMMYFUNCTION("""COMPUTED_VALUE"""),"")</f>
        <v/>
      </c>
      <c r="E908" s="18" t="str">
        <f ca="1">IFERROR(__xludf.DUMMYFUNCTION("""COMPUTED_VALUE"""),"")</f>
        <v/>
      </c>
      <c r="F908" s="18" t="str">
        <f ca="1">IFERROR(__xludf.DUMMYFUNCTION("""COMPUTED_VALUE"""),"")</f>
        <v/>
      </c>
      <c r="G908" s="18" t="str">
        <f ca="1">IFERROR(__xludf.DUMMYFUNCTION("""COMPUTED_VALUE"""),"")</f>
        <v/>
      </c>
      <c r="H908" s="18" t="str">
        <f ca="1">IFERROR(__xludf.DUMMYFUNCTION("""COMPUTED_VALUE"""),"")</f>
        <v/>
      </c>
      <c r="I908" s="18" t="str">
        <f ca="1">IFERROR(__xludf.DUMMYFUNCTION("""COMPUTED_VALUE"""),"")</f>
        <v/>
      </c>
      <c r="J908" s="18" t="str">
        <f ca="1">IFERROR(__xludf.DUMMYFUNCTION("""COMPUTED_VALUE"""),"")</f>
        <v/>
      </c>
      <c r="K908" s="18" t="str">
        <f ca="1">IFERROR(__xludf.DUMMYFUNCTION("""COMPUTED_VALUE"""),"")</f>
        <v/>
      </c>
      <c r="L908" s="18" t="str">
        <f ca="1">IFERROR(__xludf.DUMMYFUNCTION("""COMPUTED_VALUE"""),"")</f>
        <v/>
      </c>
      <c r="M908" s="18" t="str">
        <f ca="1">IFERROR(__xludf.DUMMYFUNCTION("""COMPUTED_VALUE"""),"")</f>
        <v/>
      </c>
      <c r="N908" s="18" t="str">
        <f ca="1">IFERROR(__xludf.DUMMYFUNCTION("""COMPUTED_VALUE"""),"")</f>
        <v/>
      </c>
      <c r="O908" s="18" t="str">
        <f ca="1">IFERROR(__xludf.DUMMYFUNCTION("""COMPUTED_VALUE"""),"")</f>
        <v/>
      </c>
      <c r="P908" s="18" t="str">
        <f ca="1">IFERROR(__xludf.DUMMYFUNCTION("""COMPUTED_VALUE"""),"")</f>
        <v/>
      </c>
      <c r="Q908" s="18" t="str">
        <f ca="1">IFERROR(__xludf.DUMMYFUNCTION("""COMPUTED_VALUE"""),"")</f>
        <v/>
      </c>
      <c r="R908" s="18" t="str">
        <f ca="1">IFERROR(__xludf.DUMMYFUNCTION("""COMPUTED_VALUE"""),"")</f>
        <v/>
      </c>
      <c r="S908" s="18" t="str">
        <f ca="1">IFERROR(__xludf.DUMMYFUNCTION("""COMPUTED_VALUE"""),"")</f>
        <v/>
      </c>
      <c r="T908" s="18" t="str">
        <f ca="1">IFERROR(__xludf.DUMMYFUNCTION("""COMPUTED_VALUE"""),"")</f>
        <v/>
      </c>
      <c r="U908" s="18" t="str">
        <f ca="1">IFERROR(__xludf.DUMMYFUNCTION("""COMPUTED_VALUE"""),"")</f>
        <v/>
      </c>
      <c r="V908" s="18" t="str">
        <f ca="1">IFERROR(__xludf.DUMMYFUNCTION("""COMPUTED_VALUE"""),"")</f>
        <v/>
      </c>
      <c r="W908" s="18" t="str">
        <f ca="1">IFERROR(__xludf.DUMMYFUNCTION("""COMPUTED_VALUE"""),"")</f>
        <v/>
      </c>
      <c r="X908" s="18" t="str">
        <f ca="1">IFERROR(__xludf.DUMMYFUNCTION("""COMPUTED_VALUE"""),"")</f>
        <v/>
      </c>
      <c r="Y908" s="18" t="e">
        <f ca="1"/>
        <v>#NAME?</v>
      </c>
      <c r="Z908" s="18" t="str">
        <f ca="1">IFERROR(__xludf.DUMMYFUNCTION("""COMPUTED_VALUE"""),"")</f>
        <v/>
      </c>
      <c r="AA908" s="18" t="str">
        <f ca="1">IFERROR(__xludf.DUMMYFUNCTION("""COMPUTED_VALUE"""),"")</f>
        <v/>
      </c>
      <c r="AC908" s="59"/>
    </row>
    <row r="909" spans="1:29" x14ac:dyDescent="0.25">
      <c r="A909" s="18">
        <v>0</v>
      </c>
      <c r="B909" s="52" t="str">
        <f ca="1"/>
        <v/>
      </c>
      <c r="C909" s="52" t="str">
        <f ca="1">IFERROR(__xludf.DUMMYFUNCTION("""COMPUTED_VALUE"""),"")</f>
        <v/>
      </c>
      <c r="D909" s="18" t="str">
        <f ca="1">IFERROR(__xludf.DUMMYFUNCTION("""COMPUTED_VALUE"""),"")</f>
        <v/>
      </c>
      <c r="E909" s="18" t="str">
        <f ca="1">IFERROR(__xludf.DUMMYFUNCTION("""COMPUTED_VALUE"""),"")</f>
        <v/>
      </c>
      <c r="F909" s="18" t="str">
        <f ca="1">IFERROR(__xludf.DUMMYFUNCTION("""COMPUTED_VALUE"""),"")</f>
        <v/>
      </c>
      <c r="G909" s="18" t="str">
        <f ca="1">IFERROR(__xludf.DUMMYFUNCTION("""COMPUTED_VALUE"""),"")</f>
        <v/>
      </c>
      <c r="H909" s="18" t="str">
        <f ca="1">IFERROR(__xludf.DUMMYFUNCTION("""COMPUTED_VALUE"""),"")</f>
        <v/>
      </c>
      <c r="I909" s="18" t="str">
        <f ca="1">IFERROR(__xludf.DUMMYFUNCTION("""COMPUTED_VALUE"""),"")</f>
        <v/>
      </c>
      <c r="J909" s="18" t="str">
        <f ca="1">IFERROR(__xludf.DUMMYFUNCTION("""COMPUTED_VALUE"""),"")</f>
        <v/>
      </c>
      <c r="K909" s="18" t="str">
        <f ca="1">IFERROR(__xludf.DUMMYFUNCTION("""COMPUTED_VALUE"""),"")</f>
        <v/>
      </c>
      <c r="L909" s="18" t="str">
        <f ca="1">IFERROR(__xludf.DUMMYFUNCTION("""COMPUTED_VALUE"""),"")</f>
        <v/>
      </c>
      <c r="M909" s="18" t="str">
        <f ca="1">IFERROR(__xludf.DUMMYFUNCTION("""COMPUTED_VALUE"""),"")</f>
        <v/>
      </c>
      <c r="N909" s="18" t="str">
        <f ca="1">IFERROR(__xludf.DUMMYFUNCTION("""COMPUTED_VALUE"""),"")</f>
        <v/>
      </c>
      <c r="O909" s="18" t="str">
        <f ca="1">IFERROR(__xludf.DUMMYFUNCTION("""COMPUTED_VALUE"""),"")</f>
        <v/>
      </c>
      <c r="P909" s="18" t="str">
        <f ca="1">IFERROR(__xludf.DUMMYFUNCTION("""COMPUTED_VALUE"""),"")</f>
        <v/>
      </c>
      <c r="Q909" s="18" t="str">
        <f ca="1">IFERROR(__xludf.DUMMYFUNCTION("""COMPUTED_VALUE"""),"")</f>
        <v/>
      </c>
      <c r="R909" s="18" t="str">
        <f ca="1">IFERROR(__xludf.DUMMYFUNCTION("""COMPUTED_VALUE"""),"")</f>
        <v/>
      </c>
      <c r="S909" s="18" t="str">
        <f ca="1">IFERROR(__xludf.DUMMYFUNCTION("""COMPUTED_VALUE"""),"")</f>
        <v/>
      </c>
      <c r="T909" s="18" t="str">
        <f ca="1">IFERROR(__xludf.DUMMYFUNCTION("""COMPUTED_VALUE"""),"")</f>
        <v/>
      </c>
      <c r="U909" s="18" t="str">
        <f ca="1">IFERROR(__xludf.DUMMYFUNCTION("""COMPUTED_VALUE"""),"")</f>
        <v/>
      </c>
      <c r="V909" s="18" t="str">
        <f ca="1">IFERROR(__xludf.DUMMYFUNCTION("""COMPUTED_VALUE"""),"")</f>
        <v/>
      </c>
      <c r="W909" s="18" t="str">
        <f ca="1">IFERROR(__xludf.DUMMYFUNCTION("""COMPUTED_VALUE"""),"")</f>
        <v/>
      </c>
      <c r="X909" s="18" t="str">
        <f ca="1">IFERROR(__xludf.DUMMYFUNCTION("""COMPUTED_VALUE"""),"")</f>
        <v/>
      </c>
      <c r="Y909" s="18" t="e">
        <f ca="1"/>
        <v>#NAME?</v>
      </c>
      <c r="Z909" s="18" t="str">
        <f ca="1">IFERROR(__xludf.DUMMYFUNCTION("""COMPUTED_VALUE"""),"")</f>
        <v/>
      </c>
      <c r="AA909" s="18" t="str">
        <f ca="1">IFERROR(__xludf.DUMMYFUNCTION("""COMPUTED_VALUE"""),"")</f>
        <v/>
      </c>
      <c r="AC909" s="59"/>
    </row>
    <row r="910" spans="1:29" x14ac:dyDescent="0.25">
      <c r="A910" s="18">
        <v>0</v>
      </c>
      <c r="B910" s="52" t="str">
        <f ca="1"/>
        <v/>
      </c>
      <c r="C910" s="52" t="str">
        <f ca="1">IFERROR(__xludf.DUMMYFUNCTION("""COMPUTED_VALUE"""),"")</f>
        <v/>
      </c>
      <c r="D910" s="18" t="str">
        <f ca="1">IFERROR(__xludf.DUMMYFUNCTION("""COMPUTED_VALUE"""),"")</f>
        <v/>
      </c>
      <c r="E910" s="18" t="str">
        <f ca="1">IFERROR(__xludf.DUMMYFUNCTION("""COMPUTED_VALUE"""),"")</f>
        <v/>
      </c>
      <c r="F910" s="18" t="str">
        <f ca="1">IFERROR(__xludf.DUMMYFUNCTION("""COMPUTED_VALUE"""),"")</f>
        <v/>
      </c>
      <c r="G910" s="18" t="str">
        <f ca="1">IFERROR(__xludf.DUMMYFUNCTION("""COMPUTED_VALUE"""),"")</f>
        <v/>
      </c>
      <c r="H910" s="18" t="str">
        <f ca="1">IFERROR(__xludf.DUMMYFUNCTION("""COMPUTED_VALUE"""),"")</f>
        <v/>
      </c>
      <c r="I910" s="18" t="str">
        <f ca="1">IFERROR(__xludf.DUMMYFUNCTION("""COMPUTED_VALUE"""),"")</f>
        <v/>
      </c>
      <c r="J910" s="18" t="str">
        <f ca="1">IFERROR(__xludf.DUMMYFUNCTION("""COMPUTED_VALUE"""),"")</f>
        <v/>
      </c>
      <c r="K910" s="18" t="str">
        <f ca="1">IFERROR(__xludf.DUMMYFUNCTION("""COMPUTED_VALUE"""),"")</f>
        <v/>
      </c>
      <c r="L910" s="18" t="str">
        <f ca="1">IFERROR(__xludf.DUMMYFUNCTION("""COMPUTED_VALUE"""),"")</f>
        <v/>
      </c>
      <c r="M910" s="18" t="str">
        <f ca="1">IFERROR(__xludf.DUMMYFUNCTION("""COMPUTED_VALUE"""),"")</f>
        <v/>
      </c>
      <c r="N910" s="18" t="str">
        <f ca="1">IFERROR(__xludf.DUMMYFUNCTION("""COMPUTED_VALUE"""),"")</f>
        <v/>
      </c>
      <c r="O910" s="18" t="str">
        <f ca="1">IFERROR(__xludf.DUMMYFUNCTION("""COMPUTED_VALUE"""),"")</f>
        <v/>
      </c>
      <c r="P910" s="18" t="str">
        <f ca="1">IFERROR(__xludf.DUMMYFUNCTION("""COMPUTED_VALUE"""),"")</f>
        <v/>
      </c>
      <c r="Q910" s="18" t="str">
        <f ca="1">IFERROR(__xludf.DUMMYFUNCTION("""COMPUTED_VALUE"""),"")</f>
        <v/>
      </c>
      <c r="R910" s="18" t="str">
        <f ca="1">IFERROR(__xludf.DUMMYFUNCTION("""COMPUTED_VALUE"""),"")</f>
        <v/>
      </c>
      <c r="S910" s="18" t="str">
        <f ca="1">IFERROR(__xludf.DUMMYFUNCTION("""COMPUTED_VALUE"""),"")</f>
        <v/>
      </c>
      <c r="T910" s="18" t="str">
        <f ca="1">IFERROR(__xludf.DUMMYFUNCTION("""COMPUTED_VALUE"""),"")</f>
        <v/>
      </c>
      <c r="U910" s="18" t="str">
        <f ca="1">IFERROR(__xludf.DUMMYFUNCTION("""COMPUTED_VALUE"""),"")</f>
        <v/>
      </c>
      <c r="V910" s="18" t="str">
        <f ca="1">IFERROR(__xludf.DUMMYFUNCTION("""COMPUTED_VALUE"""),"")</f>
        <v/>
      </c>
      <c r="W910" s="18" t="str">
        <f ca="1">IFERROR(__xludf.DUMMYFUNCTION("""COMPUTED_VALUE"""),"")</f>
        <v/>
      </c>
      <c r="X910" s="18" t="str">
        <f ca="1">IFERROR(__xludf.DUMMYFUNCTION("""COMPUTED_VALUE"""),"")</f>
        <v/>
      </c>
      <c r="Y910" s="18" t="e">
        <f ca="1"/>
        <v>#NAME?</v>
      </c>
      <c r="Z910" s="18" t="str">
        <f ca="1">IFERROR(__xludf.DUMMYFUNCTION("""COMPUTED_VALUE"""),"")</f>
        <v/>
      </c>
      <c r="AA910" s="18" t="str">
        <f ca="1">IFERROR(__xludf.DUMMYFUNCTION("""COMPUTED_VALUE"""),"")</f>
        <v/>
      </c>
      <c r="AC910" s="59"/>
    </row>
    <row r="911" spans="1:29" x14ac:dyDescent="0.25">
      <c r="A911" s="18">
        <v>0</v>
      </c>
      <c r="B911" s="52" t="str">
        <f ca="1"/>
        <v/>
      </c>
      <c r="C911" s="52" t="str">
        <f ca="1">IFERROR(__xludf.DUMMYFUNCTION("""COMPUTED_VALUE"""),"")</f>
        <v/>
      </c>
      <c r="D911" s="18" t="str">
        <f ca="1">IFERROR(__xludf.DUMMYFUNCTION("""COMPUTED_VALUE"""),"")</f>
        <v/>
      </c>
      <c r="E911" s="18" t="str">
        <f ca="1">IFERROR(__xludf.DUMMYFUNCTION("""COMPUTED_VALUE"""),"")</f>
        <v/>
      </c>
      <c r="F911" s="18" t="str">
        <f ca="1">IFERROR(__xludf.DUMMYFUNCTION("""COMPUTED_VALUE"""),"")</f>
        <v/>
      </c>
      <c r="G911" s="18" t="str">
        <f ca="1">IFERROR(__xludf.DUMMYFUNCTION("""COMPUTED_VALUE"""),"")</f>
        <v/>
      </c>
      <c r="H911" s="18" t="str">
        <f ca="1">IFERROR(__xludf.DUMMYFUNCTION("""COMPUTED_VALUE"""),"")</f>
        <v/>
      </c>
      <c r="I911" s="18" t="str">
        <f ca="1">IFERROR(__xludf.DUMMYFUNCTION("""COMPUTED_VALUE"""),"")</f>
        <v/>
      </c>
      <c r="J911" s="18" t="str">
        <f ca="1">IFERROR(__xludf.DUMMYFUNCTION("""COMPUTED_VALUE"""),"")</f>
        <v/>
      </c>
      <c r="K911" s="18" t="str">
        <f ca="1">IFERROR(__xludf.DUMMYFUNCTION("""COMPUTED_VALUE"""),"")</f>
        <v/>
      </c>
      <c r="L911" s="18" t="str">
        <f ca="1">IFERROR(__xludf.DUMMYFUNCTION("""COMPUTED_VALUE"""),"")</f>
        <v/>
      </c>
      <c r="M911" s="18" t="str">
        <f ca="1">IFERROR(__xludf.DUMMYFUNCTION("""COMPUTED_VALUE"""),"")</f>
        <v/>
      </c>
      <c r="N911" s="18" t="str">
        <f ca="1">IFERROR(__xludf.DUMMYFUNCTION("""COMPUTED_VALUE"""),"")</f>
        <v/>
      </c>
      <c r="O911" s="18" t="str">
        <f ca="1">IFERROR(__xludf.DUMMYFUNCTION("""COMPUTED_VALUE"""),"")</f>
        <v/>
      </c>
      <c r="P911" s="18" t="str">
        <f ca="1">IFERROR(__xludf.DUMMYFUNCTION("""COMPUTED_VALUE"""),"")</f>
        <v/>
      </c>
      <c r="Q911" s="18" t="str">
        <f ca="1">IFERROR(__xludf.DUMMYFUNCTION("""COMPUTED_VALUE"""),"")</f>
        <v/>
      </c>
      <c r="R911" s="18" t="str">
        <f ca="1">IFERROR(__xludf.DUMMYFUNCTION("""COMPUTED_VALUE"""),"")</f>
        <v/>
      </c>
      <c r="S911" s="18" t="str">
        <f ca="1">IFERROR(__xludf.DUMMYFUNCTION("""COMPUTED_VALUE"""),"")</f>
        <v/>
      </c>
      <c r="T911" s="18" t="str">
        <f ca="1">IFERROR(__xludf.DUMMYFUNCTION("""COMPUTED_VALUE"""),"")</f>
        <v/>
      </c>
      <c r="U911" s="18" t="str">
        <f ca="1">IFERROR(__xludf.DUMMYFUNCTION("""COMPUTED_VALUE"""),"")</f>
        <v/>
      </c>
      <c r="V911" s="18" t="str">
        <f ca="1">IFERROR(__xludf.DUMMYFUNCTION("""COMPUTED_VALUE"""),"")</f>
        <v/>
      </c>
      <c r="W911" s="18" t="str">
        <f ca="1">IFERROR(__xludf.DUMMYFUNCTION("""COMPUTED_VALUE"""),"")</f>
        <v/>
      </c>
      <c r="X911" s="18" t="str">
        <f ca="1">IFERROR(__xludf.DUMMYFUNCTION("""COMPUTED_VALUE"""),"")</f>
        <v/>
      </c>
      <c r="Y911" s="18" t="e">
        <f ca="1"/>
        <v>#NAME?</v>
      </c>
      <c r="Z911" s="18" t="str">
        <f ca="1">IFERROR(__xludf.DUMMYFUNCTION("""COMPUTED_VALUE"""),"")</f>
        <v/>
      </c>
      <c r="AA911" s="18" t="str">
        <f ca="1">IFERROR(__xludf.DUMMYFUNCTION("""COMPUTED_VALUE"""),"")</f>
        <v/>
      </c>
      <c r="AC911" s="59"/>
    </row>
    <row r="912" spans="1:29" x14ac:dyDescent="0.25">
      <c r="A912" s="18">
        <v>0</v>
      </c>
      <c r="B912" s="52" t="str">
        <f ca="1"/>
        <v/>
      </c>
      <c r="C912" s="52" t="str">
        <f ca="1">IFERROR(__xludf.DUMMYFUNCTION("""COMPUTED_VALUE"""),"")</f>
        <v/>
      </c>
      <c r="D912" s="18" t="str">
        <f ca="1">IFERROR(__xludf.DUMMYFUNCTION("""COMPUTED_VALUE"""),"")</f>
        <v/>
      </c>
      <c r="E912" s="18" t="str">
        <f ca="1">IFERROR(__xludf.DUMMYFUNCTION("""COMPUTED_VALUE"""),"")</f>
        <v/>
      </c>
      <c r="F912" s="18" t="str">
        <f ca="1">IFERROR(__xludf.DUMMYFUNCTION("""COMPUTED_VALUE"""),"")</f>
        <v/>
      </c>
      <c r="G912" s="18" t="str">
        <f ca="1">IFERROR(__xludf.DUMMYFUNCTION("""COMPUTED_VALUE"""),"")</f>
        <v/>
      </c>
      <c r="H912" s="18" t="str">
        <f ca="1">IFERROR(__xludf.DUMMYFUNCTION("""COMPUTED_VALUE"""),"")</f>
        <v/>
      </c>
      <c r="I912" s="18" t="str">
        <f ca="1">IFERROR(__xludf.DUMMYFUNCTION("""COMPUTED_VALUE"""),"")</f>
        <v/>
      </c>
      <c r="J912" s="18" t="str">
        <f ca="1">IFERROR(__xludf.DUMMYFUNCTION("""COMPUTED_VALUE"""),"")</f>
        <v/>
      </c>
      <c r="K912" s="18" t="str">
        <f ca="1">IFERROR(__xludf.DUMMYFUNCTION("""COMPUTED_VALUE"""),"")</f>
        <v/>
      </c>
      <c r="L912" s="18" t="str">
        <f ca="1">IFERROR(__xludf.DUMMYFUNCTION("""COMPUTED_VALUE"""),"")</f>
        <v/>
      </c>
      <c r="M912" s="18" t="str">
        <f ca="1">IFERROR(__xludf.DUMMYFUNCTION("""COMPUTED_VALUE"""),"")</f>
        <v/>
      </c>
      <c r="N912" s="18" t="str">
        <f ca="1">IFERROR(__xludf.DUMMYFUNCTION("""COMPUTED_VALUE"""),"")</f>
        <v/>
      </c>
      <c r="O912" s="18" t="str">
        <f ca="1">IFERROR(__xludf.DUMMYFUNCTION("""COMPUTED_VALUE"""),"")</f>
        <v/>
      </c>
      <c r="P912" s="18" t="str">
        <f ca="1">IFERROR(__xludf.DUMMYFUNCTION("""COMPUTED_VALUE"""),"")</f>
        <v/>
      </c>
      <c r="Q912" s="18" t="str">
        <f ca="1">IFERROR(__xludf.DUMMYFUNCTION("""COMPUTED_VALUE"""),"")</f>
        <v/>
      </c>
      <c r="R912" s="18" t="str">
        <f ca="1">IFERROR(__xludf.DUMMYFUNCTION("""COMPUTED_VALUE"""),"")</f>
        <v/>
      </c>
      <c r="S912" s="18" t="str">
        <f ca="1">IFERROR(__xludf.DUMMYFUNCTION("""COMPUTED_VALUE"""),"")</f>
        <v/>
      </c>
      <c r="T912" s="18" t="str">
        <f ca="1">IFERROR(__xludf.DUMMYFUNCTION("""COMPUTED_VALUE"""),"")</f>
        <v/>
      </c>
      <c r="U912" s="18" t="str">
        <f ca="1">IFERROR(__xludf.DUMMYFUNCTION("""COMPUTED_VALUE"""),"")</f>
        <v/>
      </c>
      <c r="V912" s="18" t="str">
        <f ca="1">IFERROR(__xludf.DUMMYFUNCTION("""COMPUTED_VALUE"""),"")</f>
        <v/>
      </c>
      <c r="W912" s="18" t="str">
        <f ca="1">IFERROR(__xludf.DUMMYFUNCTION("""COMPUTED_VALUE"""),"")</f>
        <v/>
      </c>
      <c r="X912" s="18" t="str">
        <f ca="1">IFERROR(__xludf.DUMMYFUNCTION("""COMPUTED_VALUE"""),"")</f>
        <v/>
      </c>
      <c r="Y912" s="18" t="e">
        <f ca="1"/>
        <v>#NAME?</v>
      </c>
      <c r="Z912" s="18" t="str">
        <f ca="1">IFERROR(__xludf.DUMMYFUNCTION("""COMPUTED_VALUE"""),"")</f>
        <v/>
      </c>
      <c r="AA912" s="18" t="str">
        <f ca="1">IFERROR(__xludf.DUMMYFUNCTION("""COMPUTED_VALUE"""),"")</f>
        <v/>
      </c>
      <c r="AC912" s="59"/>
    </row>
    <row r="913" spans="1:29" x14ac:dyDescent="0.25">
      <c r="A913" s="18">
        <v>0</v>
      </c>
      <c r="B913" s="52" t="str">
        <f ca="1"/>
        <v/>
      </c>
      <c r="C913" s="52" t="str">
        <f ca="1">IFERROR(__xludf.DUMMYFUNCTION("""COMPUTED_VALUE"""),"")</f>
        <v/>
      </c>
      <c r="D913" s="18" t="str">
        <f ca="1">IFERROR(__xludf.DUMMYFUNCTION("""COMPUTED_VALUE"""),"")</f>
        <v/>
      </c>
      <c r="E913" s="18" t="str">
        <f ca="1">IFERROR(__xludf.DUMMYFUNCTION("""COMPUTED_VALUE"""),"")</f>
        <v/>
      </c>
      <c r="F913" s="18" t="str">
        <f ca="1">IFERROR(__xludf.DUMMYFUNCTION("""COMPUTED_VALUE"""),"")</f>
        <v/>
      </c>
      <c r="G913" s="18" t="str">
        <f ca="1">IFERROR(__xludf.DUMMYFUNCTION("""COMPUTED_VALUE"""),"")</f>
        <v/>
      </c>
      <c r="H913" s="18" t="str">
        <f ca="1">IFERROR(__xludf.DUMMYFUNCTION("""COMPUTED_VALUE"""),"")</f>
        <v/>
      </c>
      <c r="I913" s="18" t="str">
        <f ca="1">IFERROR(__xludf.DUMMYFUNCTION("""COMPUTED_VALUE"""),"")</f>
        <v/>
      </c>
      <c r="J913" s="18" t="str">
        <f ca="1">IFERROR(__xludf.DUMMYFUNCTION("""COMPUTED_VALUE"""),"")</f>
        <v/>
      </c>
      <c r="K913" s="18" t="str">
        <f ca="1">IFERROR(__xludf.DUMMYFUNCTION("""COMPUTED_VALUE"""),"")</f>
        <v/>
      </c>
      <c r="L913" s="18" t="str">
        <f ca="1">IFERROR(__xludf.DUMMYFUNCTION("""COMPUTED_VALUE"""),"")</f>
        <v/>
      </c>
      <c r="M913" s="18" t="str">
        <f ca="1">IFERROR(__xludf.DUMMYFUNCTION("""COMPUTED_VALUE"""),"")</f>
        <v/>
      </c>
      <c r="N913" s="18" t="str">
        <f ca="1">IFERROR(__xludf.DUMMYFUNCTION("""COMPUTED_VALUE"""),"")</f>
        <v/>
      </c>
      <c r="O913" s="18" t="str">
        <f ca="1">IFERROR(__xludf.DUMMYFUNCTION("""COMPUTED_VALUE"""),"")</f>
        <v/>
      </c>
      <c r="P913" s="18" t="str">
        <f ca="1">IFERROR(__xludf.DUMMYFUNCTION("""COMPUTED_VALUE"""),"")</f>
        <v/>
      </c>
      <c r="Q913" s="18" t="str">
        <f ca="1">IFERROR(__xludf.DUMMYFUNCTION("""COMPUTED_VALUE"""),"")</f>
        <v/>
      </c>
      <c r="R913" s="18" t="str">
        <f ca="1">IFERROR(__xludf.DUMMYFUNCTION("""COMPUTED_VALUE"""),"")</f>
        <v/>
      </c>
      <c r="S913" s="18" t="str">
        <f ca="1">IFERROR(__xludf.DUMMYFUNCTION("""COMPUTED_VALUE"""),"")</f>
        <v/>
      </c>
      <c r="T913" s="18" t="str">
        <f ca="1">IFERROR(__xludf.DUMMYFUNCTION("""COMPUTED_VALUE"""),"")</f>
        <v/>
      </c>
      <c r="U913" s="18" t="str">
        <f ca="1">IFERROR(__xludf.DUMMYFUNCTION("""COMPUTED_VALUE"""),"")</f>
        <v/>
      </c>
      <c r="V913" s="18" t="str">
        <f ca="1">IFERROR(__xludf.DUMMYFUNCTION("""COMPUTED_VALUE"""),"")</f>
        <v/>
      </c>
      <c r="W913" s="18" t="str">
        <f ca="1">IFERROR(__xludf.DUMMYFUNCTION("""COMPUTED_VALUE"""),"")</f>
        <v/>
      </c>
      <c r="X913" s="18" t="str">
        <f ca="1">IFERROR(__xludf.DUMMYFUNCTION("""COMPUTED_VALUE"""),"")</f>
        <v/>
      </c>
      <c r="Y913" s="18" t="e">
        <f ca="1"/>
        <v>#NAME?</v>
      </c>
      <c r="Z913" s="18" t="str">
        <f ca="1">IFERROR(__xludf.DUMMYFUNCTION("""COMPUTED_VALUE"""),"")</f>
        <v/>
      </c>
      <c r="AA913" s="18" t="str">
        <f ca="1">IFERROR(__xludf.DUMMYFUNCTION("""COMPUTED_VALUE"""),"")</f>
        <v/>
      </c>
      <c r="AC913" s="59"/>
    </row>
    <row r="914" spans="1:29" x14ac:dyDescent="0.25">
      <c r="A914" s="18">
        <v>0</v>
      </c>
      <c r="B914" s="52" t="str">
        <f ca="1"/>
        <v/>
      </c>
      <c r="C914" s="52" t="str">
        <f ca="1">IFERROR(__xludf.DUMMYFUNCTION("""COMPUTED_VALUE"""),"")</f>
        <v/>
      </c>
      <c r="D914" s="18" t="str">
        <f ca="1">IFERROR(__xludf.DUMMYFUNCTION("""COMPUTED_VALUE"""),"")</f>
        <v/>
      </c>
      <c r="E914" s="18" t="str">
        <f ca="1">IFERROR(__xludf.DUMMYFUNCTION("""COMPUTED_VALUE"""),"")</f>
        <v/>
      </c>
      <c r="F914" s="18" t="str">
        <f ca="1">IFERROR(__xludf.DUMMYFUNCTION("""COMPUTED_VALUE"""),"")</f>
        <v/>
      </c>
      <c r="G914" s="18" t="str">
        <f ca="1">IFERROR(__xludf.DUMMYFUNCTION("""COMPUTED_VALUE"""),"")</f>
        <v/>
      </c>
      <c r="H914" s="18" t="str">
        <f ca="1">IFERROR(__xludf.DUMMYFUNCTION("""COMPUTED_VALUE"""),"")</f>
        <v/>
      </c>
      <c r="I914" s="18" t="str">
        <f ca="1">IFERROR(__xludf.DUMMYFUNCTION("""COMPUTED_VALUE"""),"")</f>
        <v/>
      </c>
      <c r="J914" s="18" t="str">
        <f ca="1">IFERROR(__xludf.DUMMYFUNCTION("""COMPUTED_VALUE"""),"")</f>
        <v/>
      </c>
      <c r="K914" s="18" t="str">
        <f ca="1">IFERROR(__xludf.DUMMYFUNCTION("""COMPUTED_VALUE"""),"")</f>
        <v/>
      </c>
      <c r="L914" s="18" t="str">
        <f ca="1">IFERROR(__xludf.DUMMYFUNCTION("""COMPUTED_VALUE"""),"")</f>
        <v/>
      </c>
      <c r="M914" s="18" t="str">
        <f ca="1">IFERROR(__xludf.DUMMYFUNCTION("""COMPUTED_VALUE"""),"")</f>
        <v/>
      </c>
      <c r="N914" s="18" t="str">
        <f ca="1">IFERROR(__xludf.DUMMYFUNCTION("""COMPUTED_VALUE"""),"")</f>
        <v/>
      </c>
      <c r="O914" s="18" t="str">
        <f ca="1">IFERROR(__xludf.DUMMYFUNCTION("""COMPUTED_VALUE"""),"")</f>
        <v/>
      </c>
      <c r="P914" s="18" t="str">
        <f ca="1">IFERROR(__xludf.DUMMYFUNCTION("""COMPUTED_VALUE"""),"")</f>
        <v/>
      </c>
      <c r="Q914" s="18" t="str">
        <f ca="1">IFERROR(__xludf.DUMMYFUNCTION("""COMPUTED_VALUE"""),"")</f>
        <v/>
      </c>
      <c r="R914" s="18" t="str">
        <f ca="1">IFERROR(__xludf.DUMMYFUNCTION("""COMPUTED_VALUE"""),"")</f>
        <v/>
      </c>
      <c r="S914" s="18" t="str">
        <f ca="1">IFERROR(__xludf.DUMMYFUNCTION("""COMPUTED_VALUE"""),"")</f>
        <v/>
      </c>
      <c r="T914" s="18" t="str">
        <f ca="1">IFERROR(__xludf.DUMMYFUNCTION("""COMPUTED_VALUE"""),"")</f>
        <v/>
      </c>
      <c r="U914" s="18" t="str">
        <f ca="1">IFERROR(__xludf.DUMMYFUNCTION("""COMPUTED_VALUE"""),"")</f>
        <v/>
      </c>
      <c r="V914" s="18" t="str">
        <f ca="1">IFERROR(__xludf.DUMMYFUNCTION("""COMPUTED_VALUE"""),"")</f>
        <v/>
      </c>
      <c r="W914" s="18" t="str">
        <f ca="1">IFERROR(__xludf.DUMMYFUNCTION("""COMPUTED_VALUE"""),"")</f>
        <v/>
      </c>
      <c r="X914" s="18" t="str">
        <f ca="1">IFERROR(__xludf.DUMMYFUNCTION("""COMPUTED_VALUE"""),"")</f>
        <v/>
      </c>
      <c r="Y914" s="18" t="e">
        <f ca="1"/>
        <v>#NAME?</v>
      </c>
      <c r="Z914" s="18" t="str">
        <f ca="1">IFERROR(__xludf.DUMMYFUNCTION("""COMPUTED_VALUE"""),"")</f>
        <v/>
      </c>
      <c r="AA914" s="18" t="str">
        <f ca="1">IFERROR(__xludf.DUMMYFUNCTION("""COMPUTED_VALUE"""),"")</f>
        <v/>
      </c>
      <c r="AC914" s="59"/>
    </row>
    <row r="915" spans="1:29" x14ac:dyDescent="0.25">
      <c r="A915" s="18">
        <v>0</v>
      </c>
      <c r="B915" s="52" t="str">
        <f ca="1"/>
        <v/>
      </c>
      <c r="C915" s="52" t="str">
        <f ca="1">IFERROR(__xludf.DUMMYFUNCTION("""COMPUTED_VALUE"""),"")</f>
        <v/>
      </c>
      <c r="D915" s="18" t="str">
        <f ca="1">IFERROR(__xludf.DUMMYFUNCTION("""COMPUTED_VALUE"""),"")</f>
        <v/>
      </c>
      <c r="E915" s="18" t="str">
        <f ca="1">IFERROR(__xludf.DUMMYFUNCTION("""COMPUTED_VALUE"""),"")</f>
        <v/>
      </c>
      <c r="F915" s="18" t="str">
        <f ca="1">IFERROR(__xludf.DUMMYFUNCTION("""COMPUTED_VALUE"""),"")</f>
        <v/>
      </c>
      <c r="G915" s="18" t="str">
        <f ca="1">IFERROR(__xludf.DUMMYFUNCTION("""COMPUTED_VALUE"""),"")</f>
        <v/>
      </c>
      <c r="H915" s="18" t="str">
        <f ca="1">IFERROR(__xludf.DUMMYFUNCTION("""COMPUTED_VALUE"""),"")</f>
        <v/>
      </c>
      <c r="I915" s="18" t="str">
        <f ca="1">IFERROR(__xludf.DUMMYFUNCTION("""COMPUTED_VALUE"""),"")</f>
        <v/>
      </c>
      <c r="J915" s="18" t="str">
        <f ca="1">IFERROR(__xludf.DUMMYFUNCTION("""COMPUTED_VALUE"""),"")</f>
        <v/>
      </c>
      <c r="K915" s="18" t="str">
        <f ca="1">IFERROR(__xludf.DUMMYFUNCTION("""COMPUTED_VALUE"""),"")</f>
        <v/>
      </c>
      <c r="L915" s="18" t="str">
        <f ca="1">IFERROR(__xludf.DUMMYFUNCTION("""COMPUTED_VALUE"""),"")</f>
        <v/>
      </c>
      <c r="M915" s="18" t="str">
        <f ca="1">IFERROR(__xludf.DUMMYFUNCTION("""COMPUTED_VALUE"""),"")</f>
        <v/>
      </c>
      <c r="N915" s="18" t="str">
        <f ca="1">IFERROR(__xludf.DUMMYFUNCTION("""COMPUTED_VALUE"""),"")</f>
        <v/>
      </c>
      <c r="O915" s="18" t="str">
        <f ca="1">IFERROR(__xludf.DUMMYFUNCTION("""COMPUTED_VALUE"""),"")</f>
        <v/>
      </c>
      <c r="P915" s="18" t="str">
        <f ca="1">IFERROR(__xludf.DUMMYFUNCTION("""COMPUTED_VALUE"""),"")</f>
        <v/>
      </c>
      <c r="Q915" s="18" t="str">
        <f ca="1">IFERROR(__xludf.DUMMYFUNCTION("""COMPUTED_VALUE"""),"")</f>
        <v/>
      </c>
      <c r="R915" s="18" t="str">
        <f ca="1">IFERROR(__xludf.DUMMYFUNCTION("""COMPUTED_VALUE"""),"")</f>
        <v/>
      </c>
      <c r="S915" s="18" t="str">
        <f ca="1">IFERROR(__xludf.DUMMYFUNCTION("""COMPUTED_VALUE"""),"")</f>
        <v/>
      </c>
      <c r="T915" s="18" t="str">
        <f ca="1">IFERROR(__xludf.DUMMYFUNCTION("""COMPUTED_VALUE"""),"")</f>
        <v/>
      </c>
      <c r="U915" s="18" t="str">
        <f ca="1">IFERROR(__xludf.DUMMYFUNCTION("""COMPUTED_VALUE"""),"")</f>
        <v/>
      </c>
      <c r="V915" s="18" t="str">
        <f ca="1">IFERROR(__xludf.DUMMYFUNCTION("""COMPUTED_VALUE"""),"")</f>
        <v/>
      </c>
      <c r="W915" s="18" t="str">
        <f ca="1">IFERROR(__xludf.DUMMYFUNCTION("""COMPUTED_VALUE"""),"")</f>
        <v/>
      </c>
      <c r="X915" s="18" t="str">
        <f ca="1">IFERROR(__xludf.DUMMYFUNCTION("""COMPUTED_VALUE"""),"")</f>
        <v/>
      </c>
      <c r="Y915" s="18" t="e">
        <f ca="1"/>
        <v>#NAME?</v>
      </c>
      <c r="Z915" s="18" t="str">
        <f ca="1">IFERROR(__xludf.DUMMYFUNCTION("""COMPUTED_VALUE"""),"")</f>
        <v/>
      </c>
      <c r="AA915" s="18" t="str">
        <f ca="1">IFERROR(__xludf.DUMMYFUNCTION("""COMPUTED_VALUE"""),"")</f>
        <v/>
      </c>
      <c r="AC915" s="59"/>
    </row>
    <row r="916" spans="1:29" x14ac:dyDescent="0.25">
      <c r="A916" s="18">
        <v>0</v>
      </c>
      <c r="B916" s="52" t="str">
        <f ca="1"/>
        <v/>
      </c>
      <c r="C916" s="52" t="str">
        <f ca="1">IFERROR(__xludf.DUMMYFUNCTION("""COMPUTED_VALUE"""),"")</f>
        <v/>
      </c>
      <c r="D916" s="18" t="str">
        <f ca="1">IFERROR(__xludf.DUMMYFUNCTION("""COMPUTED_VALUE"""),"")</f>
        <v/>
      </c>
      <c r="E916" s="18" t="str">
        <f ca="1">IFERROR(__xludf.DUMMYFUNCTION("""COMPUTED_VALUE"""),"")</f>
        <v/>
      </c>
      <c r="F916" s="18" t="str">
        <f ca="1">IFERROR(__xludf.DUMMYFUNCTION("""COMPUTED_VALUE"""),"")</f>
        <v/>
      </c>
      <c r="G916" s="18" t="str">
        <f ca="1">IFERROR(__xludf.DUMMYFUNCTION("""COMPUTED_VALUE"""),"")</f>
        <v/>
      </c>
      <c r="H916" s="18" t="str">
        <f ca="1">IFERROR(__xludf.DUMMYFUNCTION("""COMPUTED_VALUE"""),"")</f>
        <v/>
      </c>
      <c r="I916" s="18" t="str">
        <f ca="1">IFERROR(__xludf.DUMMYFUNCTION("""COMPUTED_VALUE"""),"")</f>
        <v/>
      </c>
      <c r="J916" s="18" t="str">
        <f ca="1">IFERROR(__xludf.DUMMYFUNCTION("""COMPUTED_VALUE"""),"")</f>
        <v/>
      </c>
      <c r="K916" s="18" t="str">
        <f ca="1">IFERROR(__xludf.DUMMYFUNCTION("""COMPUTED_VALUE"""),"")</f>
        <v/>
      </c>
      <c r="L916" s="18" t="str">
        <f ca="1">IFERROR(__xludf.DUMMYFUNCTION("""COMPUTED_VALUE"""),"")</f>
        <v/>
      </c>
      <c r="M916" s="18" t="str">
        <f ca="1">IFERROR(__xludf.DUMMYFUNCTION("""COMPUTED_VALUE"""),"")</f>
        <v/>
      </c>
      <c r="N916" s="18" t="str">
        <f ca="1">IFERROR(__xludf.DUMMYFUNCTION("""COMPUTED_VALUE"""),"")</f>
        <v/>
      </c>
      <c r="O916" s="18" t="str">
        <f ca="1">IFERROR(__xludf.DUMMYFUNCTION("""COMPUTED_VALUE"""),"")</f>
        <v/>
      </c>
      <c r="P916" s="18" t="str">
        <f ca="1">IFERROR(__xludf.DUMMYFUNCTION("""COMPUTED_VALUE"""),"")</f>
        <v/>
      </c>
      <c r="Q916" s="18" t="str">
        <f ca="1">IFERROR(__xludf.DUMMYFUNCTION("""COMPUTED_VALUE"""),"")</f>
        <v/>
      </c>
      <c r="R916" s="18" t="str">
        <f ca="1">IFERROR(__xludf.DUMMYFUNCTION("""COMPUTED_VALUE"""),"")</f>
        <v/>
      </c>
      <c r="S916" s="18" t="str">
        <f ca="1">IFERROR(__xludf.DUMMYFUNCTION("""COMPUTED_VALUE"""),"")</f>
        <v/>
      </c>
      <c r="T916" s="18" t="str">
        <f ca="1">IFERROR(__xludf.DUMMYFUNCTION("""COMPUTED_VALUE"""),"")</f>
        <v/>
      </c>
      <c r="U916" s="18" t="str">
        <f ca="1">IFERROR(__xludf.DUMMYFUNCTION("""COMPUTED_VALUE"""),"")</f>
        <v/>
      </c>
      <c r="V916" s="18" t="str">
        <f ca="1">IFERROR(__xludf.DUMMYFUNCTION("""COMPUTED_VALUE"""),"")</f>
        <v/>
      </c>
      <c r="W916" s="18" t="str">
        <f ca="1">IFERROR(__xludf.DUMMYFUNCTION("""COMPUTED_VALUE"""),"")</f>
        <v/>
      </c>
      <c r="X916" s="18" t="str">
        <f ca="1">IFERROR(__xludf.DUMMYFUNCTION("""COMPUTED_VALUE"""),"")</f>
        <v/>
      </c>
      <c r="Y916" s="18" t="e">
        <f ca="1"/>
        <v>#NAME?</v>
      </c>
      <c r="Z916" s="18" t="str">
        <f ca="1">IFERROR(__xludf.DUMMYFUNCTION("""COMPUTED_VALUE"""),"")</f>
        <v/>
      </c>
      <c r="AA916" s="18" t="str">
        <f ca="1">IFERROR(__xludf.DUMMYFUNCTION("""COMPUTED_VALUE"""),"")</f>
        <v/>
      </c>
      <c r="AC916" s="59"/>
    </row>
    <row r="917" spans="1:29" x14ac:dyDescent="0.25">
      <c r="A917" s="18">
        <v>0</v>
      </c>
      <c r="B917" s="52" t="str">
        <f ca="1"/>
        <v/>
      </c>
      <c r="C917" s="52" t="str">
        <f ca="1">IFERROR(__xludf.DUMMYFUNCTION("""COMPUTED_VALUE"""),"")</f>
        <v/>
      </c>
      <c r="D917" s="18" t="str">
        <f ca="1">IFERROR(__xludf.DUMMYFUNCTION("""COMPUTED_VALUE"""),"")</f>
        <v/>
      </c>
      <c r="E917" s="18" t="str">
        <f ca="1">IFERROR(__xludf.DUMMYFUNCTION("""COMPUTED_VALUE"""),"")</f>
        <v/>
      </c>
      <c r="F917" s="18" t="str">
        <f ca="1">IFERROR(__xludf.DUMMYFUNCTION("""COMPUTED_VALUE"""),"")</f>
        <v/>
      </c>
      <c r="G917" s="18" t="str">
        <f ca="1">IFERROR(__xludf.DUMMYFUNCTION("""COMPUTED_VALUE"""),"")</f>
        <v/>
      </c>
      <c r="H917" s="18" t="str">
        <f ca="1">IFERROR(__xludf.DUMMYFUNCTION("""COMPUTED_VALUE"""),"")</f>
        <v/>
      </c>
      <c r="I917" s="18" t="str">
        <f ca="1">IFERROR(__xludf.DUMMYFUNCTION("""COMPUTED_VALUE"""),"")</f>
        <v/>
      </c>
      <c r="J917" s="18" t="str">
        <f ca="1">IFERROR(__xludf.DUMMYFUNCTION("""COMPUTED_VALUE"""),"")</f>
        <v/>
      </c>
      <c r="K917" s="18" t="str">
        <f ca="1">IFERROR(__xludf.DUMMYFUNCTION("""COMPUTED_VALUE"""),"")</f>
        <v/>
      </c>
      <c r="L917" s="18" t="str">
        <f ca="1">IFERROR(__xludf.DUMMYFUNCTION("""COMPUTED_VALUE"""),"")</f>
        <v/>
      </c>
      <c r="M917" s="18" t="str">
        <f ca="1">IFERROR(__xludf.DUMMYFUNCTION("""COMPUTED_VALUE"""),"")</f>
        <v/>
      </c>
      <c r="N917" s="18" t="str">
        <f ca="1">IFERROR(__xludf.DUMMYFUNCTION("""COMPUTED_VALUE"""),"")</f>
        <v/>
      </c>
      <c r="O917" s="18" t="str">
        <f ca="1">IFERROR(__xludf.DUMMYFUNCTION("""COMPUTED_VALUE"""),"")</f>
        <v/>
      </c>
      <c r="P917" s="18" t="str">
        <f ca="1">IFERROR(__xludf.DUMMYFUNCTION("""COMPUTED_VALUE"""),"")</f>
        <v/>
      </c>
      <c r="Q917" s="18" t="str">
        <f ca="1">IFERROR(__xludf.DUMMYFUNCTION("""COMPUTED_VALUE"""),"")</f>
        <v/>
      </c>
      <c r="R917" s="18" t="str">
        <f ca="1">IFERROR(__xludf.DUMMYFUNCTION("""COMPUTED_VALUE"""),"")</f>
        <v/>
      </c>
      <c r="S917" s="18" t="str">
        <f ca="1">IFERROR(__xludf.DUMMYFUNCTION("""COMPUTED_VALUE"""),"")</f>
        <v/>
      </c>
      <c r="T917" s="18" t="str">
        <f ca="1">IFERROR(__xludf.DUMMYFUNCTION("""COMPUTED_VALUE"""),"")</f>
        <v/>
      </c>
      <c r="U917" s="18" t="str">
        <f ca="1">IFERROR(__xludf.DUMMYFUNCTION("""COMPUTED_VALUE"""),"")</f>
        <v/>
      </c>
      <c r="V917" s="18" t="str">
        <f ca="1">IFERROR(__xludf.DUMMYFUNCTION("""COMPUTED_VALUE"""),"")</f>
        <v/>
      </c>
      <c r="W917" s="18" t="str">
        <f ca="1">IFERROR(__xludf.DUMMYFUNCTION("""COMPUTED_VALUE"""),"")</f>
        <v/>
      </c>
      <c r="X917" s="18" t="str">
        <f ca="1">IFERROR(__xludf.DUMMYFUNCTION("""COMPUTED_VALUE"""),"")</f>
        <v/>
      </c>
      <c r="Y917" s="18" t="e">
        <f ca="1"/>
        <v>#NAME?</v>
      </c>
      <c r="Z917" s="18" t="str">
        <f ca="1">IFERROR(__xludf.DUMMYFUNCTION("""COMPUTED_VALUE"""),"")</f>
        <v/>
      </c>
      <c r="AA917" s="18" t="str">
        <f ca="1">IFERROR(__xludf.DUMMYFUNCTION("""COMPUTED_VALUE"""),"")</f>
        <v/>
      </c>
      <c r="AC917" s="59"/>
    </row>
    <row r="918" spans="1:29" x14ac:dyDescent="0.25">
      <c r="A918" s="18">
        <v>0</v>
      </c>
      <c r="B918" s="52" t="str">
        <f ca="1"/>
        <v/>
      </c>
      <c r="C918" s="52" t="str">
        <f ca="1">IFERROR(__xludf.DUMMYFUNCTION("""COMPUTED_VALUE"""),"")</f>
        <v/>
      </c>
      <c r="D918" s="18" t="str">
        <f ca="1">IFERROR(__xludf.DUMMYFUNCTION("""COMPUTED_VALUE"""),"")</f>
        <v/>
      </c>
      <c r="E918" s="18" t="str">
        <f ca="1">IFERROR(__xludf.DUMMYFUNCTION("""COMPUTED_VALUE"""),"")</f>
        <v/>
      </c>
      <c r="F918" s="18" t="str">
        <f ca="1">IFERROR(__xludf.DUMMYFUNCTION("""COMPUTED_VALUE"""),"")</f>
        <v/>
      </c>
      <c r="G918" s="18" t="str">
        <f ca="1">IFERROR(__xludf.DUMMYFUNCTION("""COMPUTED_VALUE"""),"")</f>
        <v/>
      </c>
      <c r="H918" s="18" t="str">
        <f ca="1">IFERROR(__xludf.DUMMYFUNCTION("""COMPUTED_VALUE"""),"")</f>
        <v/>
      </c>
      <c r="I918" s="18" t="str">
        <f ca="1">IFERROR(__xludf.DUMMYFUNCTION("""COMPUTED_VALUE"""),"")</f>
        <v/>
      </c>
      <c r="J918" s="18" t="str">
        <f ca="1">IFERROR(__xludf.DUMMYFUNCTION("""COMPUTED_VALUE"""),"")</f>
        <v/>
      </c>
      <c r="K918" s="18" t="str">
        <f ca="1">IFERROR(__xludf.DUMMYFUNCTION("""COMPUTED_VALUE"""),"")</f>
        <v/>
      </c>
      <c r="L918" s="18" t="str">
        <f ca="1">IFERROR(__xludf.DUMMYFUNCTION("""COMPUTED_VALUE"""),"")</f>
        <v/>
      </c>
      <c r="M918" s="18" t="str">
        <f ca="1">IFERROR(__xludf.DUMMYFUNCTION("""COMPUTED_VALUE"""),"")</f>
        <v/>
      </c>
      <c r="N918" s="18" t="str">
        <f ca="1">IFERROR(__xludf.DUMMYFUNCTION("""COMPUTED_VALUE"""),"")</f>
        <v/>
      </c>
      <c r="O918" s="18" t="str">
        <f ca="1">IFERROR(__xludf.DUMMYFUNCTION("""COMPUTED_VALUE"""),"")</f>
        <v/>
      </c>
      <c r="P918" s="18" t="str">
        <f ca="1">IFERROR(__xludf.DUMMYFUNCTION("""COMPUTED_VALUE"""),"")</f>
        <v/>
      </c>
      <c r="Q918" s="18" t="str">
        <f ca="1">IFERROR(__xludf.DUMMYFUNCTION("""COMPUTED_VALUE"""),"")</f>
        <v/>
      </c>
      <c r="R918" s="18" t="str">
        <f ca="1">IFERROR(__xludf.DUMMYFUNCTION("""COMPUTED_VALUE"""),"")</f>
        <v/>
      </c>
      <c r="S918" s="18" t="str">
        <f ca="1">IFERROR(__xludf.DUMMYFUNCTION("""COMPUTED_VALUE"""),"")</f>
        <v/>
      </c>
      <c r="T918" s="18" t="str">
        <f ca="1">IFERROR(__xludf.DUMMYFUNCTION("""COMPUTED_VALUE"""),"")</f>
        <v/>
      </c>
      <c r="U918" s="18" t="str">
        <f ca="1">IFERROR(__xludf.DUMMYFUNCTION("""COMPUTED_VALUE"""),"")</f>
        <v/>
      </c>
      <c r="V918" s="18" t="str">
        <f ca="1">IFERROR(__xludf.DUMMYFUNCTION("""COMPUTED_VALUE"""),"")</f>
        <v/>
      </c>
      <c r="W918" s="18" t="str">
        <f ca="1">IFERROR(__xludf.DUMMYFUNCTION("""COMPUTED_VALUE"""),"")</f>
        <v/>
      </c>
      <c r="X918" s="18" t="str">
        <f ca="1">IFERROR(__xludf.DUMMYFUNCTION("""COMPUTED_VALUE"""),"")</f>
        <v/>
      </c>
      <c r="Y918" s="18" t="e">
        <f ca="1"/>
        <v>#NAME?</v>
      </c>
      <c r="Z918" s="18" t="str">
        <f ca="1">IFERROR(__xludf.DUMMYFUNCTION("""COMPUTED_VALUE"""),"")</f>
        <v/>
      </c>
      <c r="AA918" s="18" t="str">
        <f ca="1">IFERROR(__xludf.DUMMYFUNCTION("""COMPUTED_VALUE"""),"")</f>
        <v/>
      </c>
      <c r="AC918" s="59"/>
    </row>
    <row r="919" spans="1:29" x14ac:dyDescent="0.25">
      <c r="A919" s="18">
        <v>0</v>
      </c>
      <c r="B919" s="52" t="str">
        <f ca="1"/>
        <v/>
      </c>
      <c r="C919" s="52" t="str">
        <f ca="1">IFERROR(__xludf.DUMMYFUNCTION("""COMPUTED_VALUE"""),"")</f>
        <v/>
      </c>
      <c r="D919" s="18" t="str">
        <f ca="1">IFERROR(__xludf.DUMMYFUNCTION("""COMPUTED_VALUE"""),"")</f>
        <v/>
      </c>
      <c r="E919" s="18" t="str">
        <f ca="1">IFERROR(__xludf.DUMMYFUNCTION("""COMPUTED_VALUE"""),"")</f>
        <v/>
      </c>
      <c r="F919" s="18" t="str">
        <f ca="1">IFERROR(__xludf.DUMMYFUNCTION("""COMPUTED_VALUE"""),"")</f>
        <v/>
      </c>
      <c r="G919" s="18" t="str">
        <f ca="1">IFERROR(__xludf.DUMMYFUNCTION("""COMPUTED_VALUE"""),"")</f>
        <v/>
      </c>
      <c r="H919" s="18" t="str">
        <f ca="1">IFERROR(__xludf.DUMMYFUNCTION("""COMPUTED_VALUE"""),"")</f>
        <v/>
      </c>
      <c r="I919" s="18" t="str">
        <f ca="1">IFERROR(__xludf.DUMMYFUNCTION("""COMPUTED_VALUE"""),"")</f>
        <v/>
      </c>
      <c r="J919" s="18" t="str">
        <f ca="1">IFERROR(__xludf.DUMMYFUNCTION("""COMPUTED_VALUE"""),"")</f>
        <v/>
      </c>
      <c r="K919" s="18" t="str">
        <f ca="1">IFERROR(__xludf.DUMMYFUNCTION("""COMPUTED_VALUE"""),"")</f>
        <v/>
      </c>
      <c r="L919" s="18" t="str">
        <f ca="1">IFERROR(__xludf.DUMMYFUNCTION("""COMPUTED_VALUE"""),"")</f>
        <v/>
      </c>
      <c r="M919" s="18" t="str">
        <f ca="1">IFERROR(__xludf.DUMMYFUNCTION("""COMPUTED_VALUE"""),"")</f>
        <v/>
      </c>
      <c r="N919" s="18" t="str">
        <f ca="1">IFERROR(__xludf.DUMMYFUNCTION("""COMPUTED_VALUE"""),"")</f>
        <v/>
      </c>
      <c r="O919" s="18" t="str">
        <f ca="1">IFERROR(__xludf.DUMMYFUNCTION("""COMPUTED_VALUE"""),"")</f>
        <v/>
      </c>
      <c r="P919" s="18" t="str">
        <f ca="1">IFERROR(__xludf.DUMMYFUNCTION("""COMPUTED_VALUE"""),"")</f>
        <v/>
      </c>
      <c r="Q919" s="18" t="str">
        <f ca="1">IFERROR(__xludf.DUMMYFUNCTION("""COMPUTED_VALUE"""),"")</f>
        <v/>
      </c>
      <c r="R919" s="18" t="str">
        <f ca="1">IFERROR(__xludf.DUMMYFUNCTION("""COMPUTED_VALUE"""),"")</f>
        <v/>
      </c>
      <c r="S919" s="18" t="str">
        <f ca="1">IFERROR(__xludf.DUMMYFUNCTION("""COMPUTED_VALUE"""),"")</f>
        <v/>
      </c>
      <c r="T919" s="18" t="str">
        <f ca="1">IFERROR(__xludf.DUMMYFUNCTION("""COMPUTED_VALUE"""),"")</f>
        <v/>
      </c>
      <c r="U919" s="18" t="str">
        <f ca="1">IFERROR(__xludf.DUMMYFUNCTION("""COMPUTED_VALUE"""),"")</f>
        <v/>
      </c>
      <c r="V919" s="18" t="str">
        <f ca="1">IFERROR(__xludf.DUMMYFUNCTION("""COMPUTED_VALUE"""),"")</f>
        <v/>
      </c>
      <c r="W919" s="18" t="str">
        <f ca="1">IFERROR(__xludf.DUMMYFUNCTION("""COMPUTED_VALUE"""),"")</f>
        <v/>
      </c>
      <c r="X919" s="18" t="str">
        <f ca="1">IFERROR(__xludf.DUMMYFUNCTION("""COMPUTED_VALUE"""),"")</f>
        <v/>
      </c>
      <c r="Y919" s="18" t="e">
        <f ca="1"/>
        <v>#NAME?</v>
      </c>
      <c r="Z919" s="18" t="str">
        <f ca="1">IFERROR(__xludf.DUMMYFUNCTION("""COMPUTED_VALUE"""),"")</f>
        <v/>
      </c>
      <c r="AA919" s="18" t="str">
        <f ca="1">IFERROR(__xludf.DUMMYFUNCTION("""COMPUTED_VALUE"""),"")</f>
        <v/>
      </c>
      <c r="AC919" s="59"/>
    </row>
    <row r="920" spans="1:29" x14ac:dyDescent="0.25">
      <c r="A920" s="18">
        <v>0</v>
      </c>
      <c r="B920" s="52" t="str">
        <f ca="1"/>
        <v/>
      </c>
      <c r="C920" s="52" t="str">
        <f ca="1">IFERROR(__xludf.DUMMYFUNCTION("""COMPUTED_VALUE"""),"")</f>
        <v/>
      </c>
      <c r="D920" s="18" t="str">
        <f ca="1">IFERROR(__xludf.DUMMYFUNCTION("""COMPUTED_VALUE"""),"")</f>
        <v/>
      </c>
      <c r="E920" s="18" t="str">
        <f ca="1">IFERROR(__xludf.DUMMYFUNCTION("""COMPUTED_VALUE"""),"")</f>
        <v/>
      </c>
      <c r="F920" s="18" t="str">
        <f ca="1">IFERROR(__xludf.DUMMYFUNCTION("""COMPUTED_VALUE"""),"")</f>
        <v/>
      </c>
      <c r="G920" s="18" t="str">
        <f ca="1">IFERROR(__xludf.DUMMYFUNCTION("""COMPUTED_VALUE"""),"")</f>
        <v/>
      </c>
      <c r="H920" s="18" t="str">
        <f ca="1">IFERROR(__xludf.DUMMYFUNCTION("""COMPUTED_VALUE"""),"")</f>
        <v/>
      </c>
      <c r="I920" s="18" t="str">
        <f ca="1">IFERROR(__xludf.DUMMYFUNCTION("""COMPUTED_VALUE"""),"")</f>
        <v/>
      </c>
      <c r="J920" s="18" t="str">
        <f ca="1">IFERROR(__xludf.DUMMYFUNCTION("""COMPUTED_VALUE"""),"")</f>
        <v/>
      </c>
      <c r="K920" s="18" t="str">
        <f ca="1">IFERROR(__xludf.DUMMYFUNCTION("""COMPUTED_VALUE"""),"")</f>
        <v/>
      </c>
      <c r="L920" s="18" t="str">
        <f ca="1">IFERROR(__xludf.DUMMYFUNCTION("""COMPUTED_VALUE"""),"")</f>
        <v/>
      </c>
      <c r="M920" s="18" t="str">
        <f ca="1">IFERROR(__xludf.DUMMYFUNCTION("""COMPUTED_VALUE"""),"")</f>
        <v/>
      </c>
      <c r="N920" s="18" t="str">
        <f ca="1">IFERROR(__xludf.DUMMYFUNCTION("""COMPUTED_VALUE"""),"")</f>
        <v/>
      </c>
      <c r="O920" s="18" t="str">
        <f ca="1">IFERROR(__xludf.DUMMYFUNCTION("""COMPUTED_VALUE"""),"")</f>
        <v/>
      </c>
      <c r="P920" s="18" t="str">
        <f ca="1">IFERROR(__xludf.DUMMYFUNCTION("""COMPUTED_VALUE"""),"")</f>
        <v/>
      </c>
      <c r="Q920" s="18" t="str">
        <f ca="1">IFERROR(__xludf.DUMMYFUNCTION("""COMPUTED_VALUE"""),"")</f>
        <v/>
      </c>
      <c r="R920" s="18" t="str">
        <f ca="1">IFERROR(__xludf.DUMMYFUNCTION("""COMPUTED_VALUE"""),"")</f>
        <v/>
      </c>
      <c r="S920" s="18" t="str">
        <f ca="1">IFERROR(__xludf.DUMMYFUNCTION("""COMPUTED_VALUE"""),"")</f>
        <v/>
      </c>
      <c r="T920" s="18" t="str">
        <f ca="1">IFERROR(__xludf.DUMMYFUNCTION("""COMPUTED_VALUE"""),"")</f>
        <v/>
      </c>
      <c r="U920" s="18" t="str">
        <f ca="1">IFERROR(__xludf.DUMMYFUNCTION("""COMPUTED_VALUE"""),"")</f>
        <v/>
      </c>
      <c r="V920" s="18" t="str">
        <f ca="1">IFERROR(__xludf.DUMMYFUNCTION("""COMPUTED_VALUE"""),"")</f>
        <v/>
      </c>
      <c r="W920" s="18" t="str">
        <f ca="1">IFERROR(__xludf.DUMMYFUNCTION("""COMPUTED_VALUE"""),"")</f>
        <v/>
      </c>
      <c r="X920" s="18" t="str">
        <f ca="1">IFERROR(__xludf.DUMMYFUNCTION("""COMPUTED_VALUE"""),"")</f>
        <v/>
      </c>
      <c r="Y920" s="18" t="e">
        <f ca="1"/>
        <v>#NAME?</v>
      </c>
      <c r="Z920" s="18" t="str">
        <f ca="1">IFERROR(__xludf.DUMMYFUNCTION("""COMPUTED_VALUE"""),"")</f>
        <v/>
      </c>
      <c r="AA920" s="18" t="str">
        <f ca="1">IFERROR(__xludf.DUMMYFUNCTION("""COMPUTED_VALUE"""),"")</f>
        <v/>
      </c>
      <c r="AC920" s="59"/>
    </row>
    <row r="921" spans="1:29" x14ac:dyDescent="0.25">
      <c r="A921" s="18">
        <v>0</v>
      </c>
      <c r="B921" s="52" t="str">
        <f ca="1"/>
        <v/>
      </c>
      <c r="C921" s="52" t="str">
        <f ca="1">IFERROR(__xludf.DUMMYFUNCTION("""COMPUTED_VALUE"""),"")</f>
        <v/>
      </c>
      <c r="D921" s="18" t="str">
        <f ca="1">IFERROR(__xludf.DUMMYFUNCTION("""COMPUTED_VALUE"""),"")</f>
        <v/>
      </c>
      <c r="E921" s="18" t="str">
        <f ca="1">IFERROR(__xludf.DUMMYFUNCTION("""COMPUTED_VALUE"""),"")</f>
        <v/>
      </c>
      <c r="F921" s="18" t="str">
        <f ca="1">IFERROR(__xludf.DUMMYFUNCTION("""COMPUTED_VALUE"""),"")</f>
        <v/>
      </c>
      <c r="G921" s="18" t="str">
        <f ca="1">IFERROR(__xludf.DUMMYFUNCTION("""COMPUTED_VALUE"""),"")</f>
        <v/>
      </c>
      <c r="H921" s="18" t="str">
        <f ca="1">IFERROR(__xludf.DUMMYFUNCTION("""COMPUTED_VALUE"""),"")</f>
        <v/>
      </c>
      <c r="I921" s="18" t="str">
        <f ca="1">IFERROR(__xludf.DUMMYFUNCTION("""COMPUTED_VALUE"""),"")</f>
        <v/>
      </c>
      <c r="J921" s="18" t="str">
        <f ca="1">IFERROR(__xludf.DUMMYFUNCTION("""COMPUTED_VALUE"""),"")</f>
        <v/>
      </c>
      <c r="K921" s="18" t="str">
        <f ca="1">IFERROR(__xludf.DUMMYFUNCTION("""COMPUTED_VALUE"""),"")</f>
        <v/>
      </c>
      <c r="L921" s="18" t="str">
        <f ca="1">IFERROR(__xludf.DUMMYFUNCTION("""COMPUTED_VALUE"""),"")</f>
        <v/>
      </c>
      <c r="M921" s="18" t="str">
        <f ca="1">IFERROR(__xludf.DUMMYFUNCTION("""COMPUTED_VALUE"""),"")</f>
        <v/>
      </c>
      <c r="N921" s="18" t="str">
        <f ca="1">IFERROR(__xludf.DUMMYFUNCTION("""COMPUTED_VALUE"""),"")</f>
        <v/>
      </c>
      <c r="O921" s="18" t="str">
        <f ca="1">IFERROR(__xludf.DUMMYFUNCTION("""COMPUTED_VALUE"""),"")</f>
        <v/>
      </c>
      <c r="P921" s="18" t="str">
        <f ca="1">IFERROR(__xludf.DUMMYFUNCTION("""COMPUTED_VALUE"""),"")</f>
        <v/>
      </c>
      <c r="Q921" s="18" t="str">
        <f ca="1">IFERROR(__xludf.DUMMYFUNCTION("""COMPUTED_VALUE"""),"")</f>
        <v/>
      </c>
      <c r="R921" s="18" t="str">
        <f ca="1">IFERROR(__xludf.DUMMYFUNCTION("""COMPUTED_VALUE"""),"")</f>
        <v/>
      </c>
      <c r="S921" s="18" t="str">
        <f ca="1">IFERROR(__xludf.DUMMYFUNCTION("""COMPUTED_VALUE"""),"")</f>
        <v/>
      </c>
      <c r="T921" s="18" t="str">
        <f ca="1">IFERROR(__xludf.DUMMYFUNCTION("""COMPUTED_VALUE"""),"")</f>
        <v/>
      </c>
      <c r="U921" s="18" t="str">
        <f ca="1">IFERROR(__xludf.DUMMYFUNCTION("""COMPUTED_VALUE"""),"")</f>
        <v/>
      </c>
      <c r="V921" s="18" t="str">
        <f ca="1">IFERROR(__xludf.DUMMYFUNCTION("""COMPUTED_VALUE"""),"")</f>
        <v/>
      </c>
      <c r="W921" s="18" t="str">
        <f ca="1">IFERROR(__xludf.DUMMYFUNCTION("""COMPUTED_VALUE"""),"")</f>
        <v/>
      </c>
      <c r="X921" s="18" t="str">
        <f ca="1">IFERROR(__xludf.DUMMYFUNCTION("""COMPUTED_VALUE"""),"")</f>
        <v/>
      </c>
      <c r="Y921" s="18" t="e">
        <f ca="1"/>
        <v>#NAME?</v>
      </c>
      <c r="Z921" s="18" t="str">
        <f ca="1">IFERROR(__xludf.DUMMYFUNCTION("""COMPUTED_VALUE"""),"")</f>
        <v/>
      </c>
      <c r="AA921" s="18" t="str">
        <f ca="1">IFERROR(__xludf.DUMMYFUNCTION("""COMPUTED_VALUE"""),"")</f>
        <v/>
      </c>
      <c r="AC921" s="59"/>
    </row>
    <row r="922" spans="1:29" x14ac:dyDescent="0.25">
      <c r="A922" s="18">
        <v>0</v>
      </c>
      <c r="B922" s="52" t="str">
        <f ca="1"/>
        <v/>
      </c>
      <c r="C922" s="52" t="str">
        <f ca="1">IFERROR(__xludf.DUMMYFUNCTION("""COMPUTED_VALUE"""),"")</f>
        <v/>
      </c>
      <c r="D922" s="18" t="str">
        <f ca="1">IFERROR(__xludf.DUMMYFUNCTION("""COMPUTED_VALUE"""),"")</f>
        <v/>
      </c>
      <c r="E922" s="18" t="str">
        <f ca="1">IFERROR(__xludf.DUMMYFUNCTION("""COMPUTED_VALUE"""),"")</f>
        <v/>
      </c>
      <c r="F922" s="18" t="str">
        <f ca="1">IFERROR(__xludf.DUMMYFUNCTION("""COMPUTED_VALUE"""),"")</f>
        <v/>
      </c>
      <c r="G922" s="18" t="str">
        <f ca="1">IFERROR(__xludf.DUMMYFUNCTION("""COMPUTED_VALUE"""),"")</f>
        <v/>
      </c>
      <c r="H922" s="18" t="str">
        <f ca="1">IFERROR(__xludf.DUMMYFUNCTION("""COMPUTED_VALUE"""),"")</f>
        <v/>
      </c>
      <c r="I922" s="18" t="str">
        <f ca="1">IFERROR(__xludf.DUMMYFUNCTION("""COMPUTED_VALUE"""),"")</f>
        <v/>
      </c>
      <c r="J922" s="18" t="str">
        <f ca="1">IFERROR(__xludf.DUMMYFUNCTION("""COMPUTED_VALUE"""),"")</f>
        <v/>
      </c>
      <c r="K922" s="18" t="str">
        <f ca="1">IFERROR(__xludf.DUMMYFUNCTION("""COMPUTED_VALUE"""),"")</f>
        <v/>
      </c>
      <c r="L922" s="18" t="str">
        <f ca="1">IFERROR(__xludf.DUMMYFUNCTION("""COMPUTED_VALUE"""),"")</f>
        <v/>
      </c>
      <c r="M922" s="18" t="str">
        <f ca="1">IFERROR(__xludf.DUMMYFUNCTION("""COMPUTED_VALUE"""),"")</f>
        <v/>
      </c>
      <c r="N922" s="18" t="str">
        <f ca="1">IFERROR(__xludf.DUMMYFUNCTION("""COMPUTED_VALUE"""),"")</f>
        <v/>
      </c>
      <c r="O922" s="18" t="str">
        <f ca="1">IFERROR(__xludf.DUMMYFUNCTION("""COMPUTED_VALUE"""),"")</f>
        <v/>
      </c>
      <c r="P922" s="18" t="str">
        <f ca="1">IFERROR(__xludf.DUMMYFUNCTION("""COMPUTED_VALUE"""),"")</f>
        <v/>
      </c>
      <c r="Q922" s="18" t="str">
        <f ca="1">IFERROR(__xludf.DUMMYFUNCTION("""COMPUTED_VALUE"""),"")</f>
        <v/>
      </c>
      <c r="R922" s="18" t="str">
        <f ca="1">IFERROR(__xludf.DUMMYFUNCTION("""COMPUTED_VALUE"""),"")</f>
        <v/>
      </c>
      <c r="S922" s="18" t="str">
        <f ca="1">IFERROR(__xludf.DUMMYFUNCTION("""COMPUTED_VALUE"""),"")</f>
        <v/>
      </c>
      <c r="T922" s="18" t="str">
        <f ca="1">IFERROR(__xludf.DUMMYFUNCTION("""COMPUTED_VALUE"""),"")</f>
        <v/>
      </c>
      <c r="U922" s="18" t="str">
        <f ca="1">IFERROR(__xludf.DUMMYFUNCTION("""COMPUTED_VALUE"""),"")</f>
        <v/>
      </c>
      <c r="V922" s="18" t="str">
        <f ca="1">IFERROR(__xludf.DUMMYFUNCTION("""COMPUTED_VALUE"""),"")</f>
        <v/>
      </c>
      <c r="W922" s="18" t="str">
        <f ca="1">IFERROR(__xludf.DUMMYFUNCTION("""COMPUTED_VALUE"""),"")</f>
        <v/>
      </c>
      <c r="X922" s="18" t="str">
        <f ca="1">IFERROR(__xludf.DUMMYFUNCTION("""COMPUTED_VALUE"""),"")</f>
        <v/>
      </c>
      <c r="Y922" s="18" t="e">
        <f ca="1"/>
        <v>#NAME?</v>
      </c>
      <c r="Z922" s="18" t="str">
        <f ca="1">IFERROR(__xludf.DUMMYFUNCTION("""COMPUTED_VALUE"""),"")</f>
        <v/>
      </c>
      <c r="AA922" s="18" t="str">
        <f ca="1">IFERROR(__xludf.DUMMYFUNCTION("""COMPUTED_VALUE"""),"")</f>
        <v/>
      </c>
      <c r="AC922" s="59"/>
    </row>
    <row r="923" spans="1:29" x14ac:dyDescent="0.25">
      <c r="A923" s="18">
        <v>0</v>
      </c>
      <c r="B923" s="52" t="str">
        <f ca="1"/>
        <v/>
      </c>
      <c r="C923" s="52" t="str">
        <f ca="1">IFERROR(__xludf.DUMMYFUNCTION("""COMPUTED_VALUE"""),"")</f>
        <v/>
      </c>
      <c r="D923" s="18" t="str">
        <f ca="1">IFERROR(__xludf.DUMMYFUNCTION("""COMPUTED_VALUE"""),"")</f>
        <v/>
      </c>
      <c r="E923" s="18" t="str">
        <f ca="1">IFERROR(__xludf.DUMMYFUNCTION("""COMPUTED_VALUE"""),"")</f>
        <v/>
      </c>
      <c r="F923" s="18" t="str">
        <f ca="1">IFERROR(__xludf.DUMMYFUNCTION("""COMPUTED_VALUE"""),"")</f>
        <v/>
      </c>
      <c r="G923" s="18" t="str">
        <f ca="1">IFERROR(__xludf.DUMMYFUNCTION("""COMPUTED_VALUE"""),"")</f>
        <v/>
      </c>
      <c r="H923" s="18" t="str">
        <f ca="1">IFERROR(__xludf.DUMMYFUNCTION("""COMPUTED_VALUE"""),"")</f>
        <v/>
      </c>
      <c r="I923" s="18" t="str">
        <f ca="1">IFERROR(__xludf.DUMMYFUNCTION("""COMPUTED_VALUE"""),"")</f>
        <v/>
      </c>
      <c r="J923" s="18" t="str">
        <f ca="1">IFERROR(__xludf.DUMMYFUNCTION("""COMPUTED_VALUE"""),"")</f>
        <v/>
      </c>
      <c r="K923" s="18" t="str">
        <f ca="1">IFERROR(__xludf.DUMMYFUNCTION("""COMPUTED_VALUE"""),"")</f>
        <v/>
      </c>
      <c r="L923" s="18" t="str">
        <f ca="1">IFERROR(__xludf.DUMMYFUNCTION("""COMPUTED_VALUE"""),"")</f>
        <v/>
      </c>
      <c r="M923" s="18" t="str">
        <f ca="1">IFERROR(__xludf.DUMMYFUNCTION("""COMPUTED_VALUE"""),"")</f>
        <v/>
      </c>
      <c r="N923" s="18" t="str">
        <f ca="1">IFERROR(__xludf.DUMMYFUNCTION("""COMPUTED_VALUE"""),"")</f>
        <v/>
      </c>
      <c r="O923" s="18" t="str">
        <f ca="1">IFERROR(__xludf.DUMMYFUNCTION("""COMPUTED_VALUE"""),"")</f>
        <v/>
      </c>
      <c r="P923" s="18" t="str">
        <f ca="1">IFERROR(__xludf.DUMMYFUNCTION("""COMPUTED_VALUE"""),"")</f>
        <v/>
      </c>
      <c r="Q923" s="18" t="str">
        <f ca="1">IFERROR(__xludf.DUMMYFUNCTION("""COMPUTED_VALUE"""),"")</f>
        <v/>
      </c>
      <c r="R923" s="18" t="str">
        <f ca="1">IFERROR(__xludf.DUMMYFUNCTION("""COMPUTED_VALUE"""),"")</f>
        <v/>
      </c>
      <c r="S923" s="18" t="str">
        <f ca="1">IFERROR(__xludf.DUMMYFUNCTION("""COMPUTED_VALUE"""),"")</f>
        <v/>
      </c>
      <c r="T923" s="18" t="str">
        <f ca="1">IFERROR(__xludf.DUMMYFUNCTION("""COMPUTED_VALUE"""),"")</f>
        <v/>
      </c>
      <c r="U923" s="18" t="str">
        <f ca="1">IFERROR(__xludf.DUMMYFUNCTION("""COMPUTED_VALUE"""),"")</f>
        <v/>
      </c>
      <c r="V923" s="18" t="str">
        <f ca="1">IFERROR(__xludf.DUMMYFUNCTION("""COMPUTED_VALUE"""),"")</f>
        <v/>
      </c>
      <c r="W923" s="18" t="str">
        <f ca="1">IFERROR(__xludf.DUMMYFUNCTION("""COMPUTED_VALUE"""),"")</f>
        <v/>
      </c>
      <c r="X923" s="18" t="str">
        <f ca="1">IFERROR(__xludf.DUMMYFUNCTION("""COMPUTED_VALUE"""),"")</f>
        <v/>
      </c>
      <c r="Y923" s="18" t="e">
        <f ca="1"/>
        <v>#NAME?</v>
      </c>
      <c r="Z923" s="18" t="str">
        <f ca="1">IFERROR(__xludf.DUMMYFUNCTION("""COMPUTED_VALUE"""),"")</f>
        <v/>
      </c>
      <c r="AA923" s="18" t="str">
        <f ca="1">IFERROR(__xludf.DUMMYFUNCTION("""COMPUTED_VALUE"""),"")</f>
        <v/>
      </c>
      <c r="AC923" s="59"/>
    </row>
    <row r="924" spans="1:29" x14ac:dyDescent="0.25">
      <c r="A924" s="18">
        <v>0</v>
      </c>
      <c r="B924" s="52" t="str">
        <f ca="1"/>
        <v/>
      </c>
      <c r="C924" s="52" t="str">
        <f ca="1">IFERROR(__xludf.DUMMYFUNCTION("""COMPUTED_VALUE"""),"")</f>
        <v/>
      </c>
      <c r="D924" s="18" t="str">
        <f ca="1">IFERROR(__xludf.DUMMYFUNCTION("""COMPUTED_VALUE"""),"")</f>
        <v/>
      </c>
      <c r="E924" s="18" t="str">
        <f ca="1">IFERROR(__xludf.DUMMYFUNCTION("""COMPUTED_VALUE"""),"")</f>
        <v/>
      </c>
      <c r="F924" s="18" t="str">
        <f ca="1">IFERROR(__xludf.DUMMYFUNCTION("""COMPUTED_VALUE"""),"")</f>
        <v/>
      </c>
      <c r="G924" s="18" t="str">
        <f ca="1">IFERROR(__xludf.DUMMYFUNCTION("""COMPUTED_VALUE"""),"")</f>
        <v/>
      </c>
      <c r="H924" s="18" t="str">
        <f ca="1">IFERROR(__xludf.DUMMYFUNCTION("""COMPUTED_VALUE"""),"")</f>
        <v/>
      </c>
      <c r="I924" s="18" t="str">
        <f ca="1">IFERROR(__xludf.DUMMYFUNCTION("""COMPUTED_VALUE"""),"")</f>
        <v/>
      </c>
      <c r="J924" s="18" t="str">
        <f ca="1">IFERROR(__xludf.DUMMYFUNCTION("""COMPUTED_VALUE"""),"")</f>
        <v/>
      </c>
      <c r="K924" s="18" t="str">
        <f ca="1">IFERROR(__xludf.DUMMYFUNCTION("""COMPUTED_VALUE"""),"")</f>
        <v/>
      </c>
      <c r="L924" s="18" t="str">
        <f ca="1">IFERROR(__xludf.DUMMYFUNCTION("""COMPUTED_VALUE"""),"")</f>
        <v/>
      </c>
      <c r="M924" s="18" t="str">
        <f ca="1">IFERROR(__xludf.DUMMYFUNCTION("""COMPUTED_VALUE"""),"")</f>
        <v/>
      </c>
      <c r="N924" s="18" t="str">
        <f ca="1">IFERROR(__xludf.DUMMYFUNCTION("""COMPUTED_VALUE"""),"")</f>
        <v/>
      </c>
      <c r="O924" s="18" t="str">
        <f ca="1">IFERROR(__xludf.DUMMYFUNCTION("""COMPUTED_VALUE"""),"")</f>
        <v/>
      </c>
      <c r="P924" s="18" t="str">
        <f ca="1">IFERROR(__xludf.DUMMYFUNCTION("""COMPUTED_VALUE"""),"")</f>
        <v/>
      </c>
      <c r="Q924" s="18" t="str">
        <f ca="1">IFERROR(__xludf.DUMMYFUNCTION("""COMPUTED_VALUE"""),"")</f>
        <v/>
      </c>
      <c r="R924" s="18" t="str">
        <f ca="1">IFERROR(__xludf.DUMMYFUNCTION("""COMPUTED_VALUE"""),"")</f>
        <v/>
      </c>
      <c r="S924" s="18" t="str">
        <f ca="1">IFERROR(__xludf.DUMMYFUNCTION("""COMPUTED_VALUE"""),"")</f>
        <v/>
      </c>
      <c r="T924" s="18" t="str">
        <f ca="1">IFERROR(__xludf.DUMMYFUNCTION("""COMPUTED_VALUE"""),"")</f>
        <v/>
      </c>
      <c r="U924" s="18" t="str">
        <f ca="1">IFERROR(__xludf.DUMMYFUNCTION("""COMPUTED_VALUE"""),"")</f>
        <v/>
      </c>
      <c r="V924" s="18" t="str">
        <f ca="1">IFERROR(__xludf.DUMMYFUNCTION("""COMPUTED_VALUE"""),"")</f>
        <v/>
      </c>
      <c r="W924" s="18" t="str">
        <f ca="1">IFERROR(__xludf.DUMMYFUNCTION("""COMPUTED_VALUE"""),"")</f>
        <v/>
      </c>
      <c r="X924" s="18" t="str">
        <f ca="1">IFERROR(__xludf.DUMMYFUNCTION("""COMPUTED_VALUE"""),"")</f>
        <v/>
      </c>
      <c r="Y924" s="18" t="e">
        <f ca="1"/>
        <v>#NAME?</v>
      </c>
      <c r="Z924" s="18" t="str">
        <f ca="1">IFERROR(__xludf.DUMMYFUNCTION("""COMPUTED_VALUE"""),"")</f>
        <v/>
      </c>
      <c r="AA924" s="18" t="str">
        <f ca="1">IFERROR(__xludf.DUMMYFUNCTION("""COMPUTED_VALUE"""),"")</f>
        <v/>
      </c>
      <c r="AC924" s="59"/>
    </row>
    <row r="925" spans="1:29" x14ac:dyDescent="0.25">
      <c r="A925" s="18">
        <v>0</v>
      </c>
      <c r="B925" s="52" t="str">
        <f ca="1"/>
        <v/>
      </c>
      <c r="C925" s="52" t="str">
        <f ca="1">IFERROR(__xludf.DUMMYFUNCTION("""COMPUTED_VALUE"""),"")</f>
        <v/>
      </c>
      <c r="D925" s="18" t="str">
        <f ca="1">IFERROR(__xludf.DUMMYFUNCTION("""COMPUTED_VALUE"""),"")</f>
        <v/>
      </c>
      <c r="E925" s="18" t="str">
        <f ca="1">IFERROR(__xludf.DUMMYFUNCTION("""COMPUTED_VALUE"""),"")</f>
        <v/>
      </c>
      <c r="F925" s="18" t="str">
        <f ca="1">IFERROR(__xludf.DUMMYFUNCTION("""COMPUTED_VALUE"""),"")</f>
        <v/>
      </c>
      <c r="G925" s="18" t="str">
        <f ca="1">IFERROR(__xludf.DUMMYFUNCTION("""COMPUTED_VALUE"""),"")</f>
        <v/>
      </c>
      <c r="H925" s="18" t="str">
        <f ca="1">IFERROR(__xludf.DUMMYFUNCTION("""COMPUTED_VALUE"""),"")</f>
        <v/>
      </c>
      <c r="I925" s="18" t="str">
        <f ca="1">IFERROR(__xludf.DUMMYFUNCTION("""COMPUTED_VALUE"""),"")</f>
        <v/>
      </c>
      <c r="J925" s="18" t="str">
        <f ca="1">IFERROR(__xludf.DUMMYFUNCTION("""COMPUTED_VALUE"""),"")</f>
        <v/>
      </c>
      <c r="K925" s="18" t="str">
        <f ca="1">IFERROR(__xludf.DUMMYFUNCTION("""COMPUTED_VALUE"""),"")</f>
        <v/>
      </c>
      <c r="L925" s="18" t="str">
        <f ca="1">IFERROR(__xludf.DUMMYFUNCTION("""COMPUTED_VALUE"""),"")</f>
        <v/>
      </c>
      <c r="M925" s="18" t="str">
        <f ca="1">IFERROR(__xludf.DUMMYFUNCTION("""COMPUTED_VALUE"""),"")</f>
        <v/>
      </c>
      <c r="N925" s="18" t="str">
        <f ca="1">IFERROR(__xludf.DUMMYFUNCTION("""COMPUTED_VALUE"""),"")</f>
        <v/>
      </c>
      <c r="O925" s="18" t="str">
        <f ca="1">IFERROR(__xludf.DUMMYFUNCTION("""COMPUTED_VALUE"""),"")</f>
        <v/>
      </c>
      <c r="P925" s="18" t="str">
        <f ca="1">IFERROR(__xludf.DUMMYFUNCTION("""COMPUTED_VALUE"""),"")</f>
        <v/>
      </c>
      <c r="Q925" s="18" t="str">
        <f ca="1">IFERROR(__xludf.DUMMYFUNCTION("""COMPUTED_VALUE"""),"")</f>
        <v/>
      </c>
      <c r="R925" s="18" t="str">
        <f ca="1">IFERROR(__xludf.DUMMYFUNCTION("""COMPUTED_VALUE"""),"")</f>
        <v/>
      </c>
      <c r="S925" s="18" t="str">
        <f ca="1">IFERROR(__xludf.DUMMYFUNCTION("""COMPUTED_VALUE"""),"")</f>
        <v/>
      </c>
      <c r="T925" s="18" t="str">
        <f ca="1">IFERROR(__xludf.DUMMYFUNCTION("""COMPUTED_VALUE"""),"")</f>
        <v/>
      </c>
      <c r="U925" s="18" t="str">
        <f ca="1">IFERROR(__xludf.DUMMYFUNCTION("""COMPUTED_VALUE"""),"")</f>
        <v/>
      </c>
      <c r="V925" s="18" t="str">
        <f ca="1">IFERROR(__xludf.DUMMYFUNCTION("""COMPUTED_VALUE"""),"")</f>
        <v/>
      </c>
      <c r="W925" s="18" t="str">
        <f ca="1">IFERROR(__xludf.DUMMYFUNCTION("""COMPUTED_VALUE"""),"")</f>
        <v/>
      </c>
      <c r="X925" s="18" t="str">
        <f ca="1">IFERROR(__xludf.DUMMYFUNCTION("""COMPUTED_VALUE"""),"")</f>
        <v/>
      </c>
      <c r="Y925" s="18" t="e">
        <f ca="1"/>
        <v>#NAME?</v>
      </c>
      <c r="Z925" s="18" t="str">
        <f ca="1">IFERROR(__xludf.DUMMYFUNCTION("""COMPUTED_VALUE"""),"")</f>
        <v/>
      </c>
      <c r="AA925" s="18" t="str">
        <f ca="1">IFERROR(__xludf.DUMMYFUNCTION("""COMPUTED_VALUE"""),"")</f>
        <v/>
      </c>
      <c r="AC925" s="59"/>
    </row>
    <row r="926" spans="1:29" x14ac:dyDescent="0.25">
      <c r="A926" s="18">
        <v>0</v>
      </c>
      <c r="B926" s="52" t="str">
        <f ca="1"/>
        <v/>
      </c>
      <c r="C926" s="52" t="str">
        <f ca="1">IFERROR(__xludf.DUMMYFUNCTION("""COMPUTED_VALUE"""),"")</f>
        <v/>
      </c>
      <c r="D926" s="18" t="str">
        <f ca="1">IFERROR(__xludf.DUMMYFUNCTION("""COMPUTED_VALUE"""),"")</f>
        <v/>
      </c>
      <c r="E926" s="18" t="str">
        <f ca="1">IFERROR(__xludf.DUMMYFUNCTION("""COMPUTED_VALUE"""),"")</f>
        <v/>
      </c>
      <c r="F926" s="18" t="str">
        <f ca="1">IFERROR(__xludf.DUMMYFUNCTION("""COMPUTED_VALUE"""),"")</f>
        <v/>
      </c>
      <c r="G926" s="18" t="str">
        <f ca="1">IFERROR(__xludf.DUMMYFUNCTION("""COMPUTED_VALUE"""),"")</f>
        <v/>
      </c>
      <c r="H926" s="18" t="str">
        <f ca="1">IFERROR(__xludf.DUMMYFUNCTION("""COMPUTED_VALUE"""),"")</f>
        <v/>
      </c>
      <c r="I926" s="18" t="str">
        <f ca="1">IFERROR(__xludf.DUMMYFUNCTION("""COMPUTED_VALUE"""),"")</f>
        <v/>
      </c>
      <c r="J926" s="18" t="str">
        <f ca="1">IFERROR(__xludf.DUMMYFUNCTION("""COMPUTED_VALUE"""),"")</f>
        <v/>
      </c>
      <c r="K926" s="18" t="str">
        <f ca="1">IFERROR(__xludf.DUMMYFUNCTION("""COMPUTED_VALUE"""),"")</f>
        <v/>
      </c>
      <c r="L926" s="18" t="str">
        <f ca="1">IFERROR(__xludf.DUMMYFUNCTION("""COMPUTED_VALUE"""),"")</f>
        <v/>
      </c>
      <c r="M926" s="18" t="str">
        <f ca="1">IFERROR(__xludf.DUMMYFUNCTION("""COMPUTED_VALUE"""),"")</f>
        <v/>
      </c>
      <c r="N926" s="18" t="str">
        <f ca="1">IFERROR(__xludf.DUMMYFUNCTION("""COMPUTED_VALUE"""),"")</f>
        <v/>
      </c>
      <c r="O926" s="18" t="str">
        <f ca="1">IFERROR(__xludf.DUMMYFUNCTION("""COMPUTED_VALUE"""),"")</f>
        <v/>
      </c>
      <c r="P926" s="18" t="str">
        <f ca="1">IFERROR(__xludf.DUMMYFUNCTION("""COMPUTED_VALUE"""),"")</f>
        <v/>
      </c>
      <c r="Q926" s="18" t="str">
        <f ca="1">IFERROR(__xludf.DUMMYFUNCTION("""COMPUTED_VALUE"""),"")</f>
        <v/>
      </c>
      <c r="R926" s="18" t="str">
        <f ca="1">IFERROR(__xludf.DUMMYFUNCTION("""COMPUTED_VALUE"""),"")</f>
        <v/>
      </c>
      <c r="S926" s="18" t="str">
        <f ca="1">IFERROR(__xludf.DUMMYFUNCTION("""COMPUTED_VALUE"""),"")</f>
        <v/>
      </c>
      <c r="T926" s="18" t="str">
        <f ca="1">IFERROR(__xludf.DUMMYFUNCTION("""COMPUTED_VALUE"""),"")</f>
        <v/>
      </c>
      <c r="U926" s="18" t="str">
        <f ca="1">IFERROR(__xludf.DUMMYFUNCTION("""COMPUTED_VALUE"""),"")</f>
        <v/>
      </c>
      <c r="V926" s="18" t="str">
        <f ca="1">IFERROR(__xludf.DUMMYFUNCTION("""COMPUTED_VALUE"""),"")</f>
        <v/>
      </c>
      <c r="W926" s="18" t="str">
        <f ca="1">IFERROR(__xludf.DUMMYFUNCTION("""COMPUTED_VALUE"""),"")</f>
        <v/>
      </c>
      <c r="X926" s="18" t="str">
        <f ca="1">IFERROR(__xludf.DUMMYFUNCTION("""COMPUTED_VALUE"""),"")</f>
        <v/>
      </c>
      <c r="Y926" s="18" t="e">
        <f ca="1"/>
        <v>#NAME?</v>
      </c>
      <c r="Z926" s="18" t="str">
        <f ca="1">IFERROR(__xludf.DUMMYFUNCTION("""COMPUTED_VALUE"""),"")</f>
        <v/>
      </c>
      <c r="AA926" s="18" t="str">
        <f ca="1">IFERROR(__xludf.DUMMYFUNCTION("""COMPUTED_VALUE"""),"")</f>
        <v/>
      </c>
      <c r="AC926" s="59"/>
    </row>
    <row r="927" spans="1:29" x14ac:dyDescent="0.25">
      <c r="A927" s="18">
        <v>0</v>
      </c>
      <c r="B927" s="52" t="str">
        <f ca="1"/>
        <v/>
      </c>
      <c r="C927" s="52" t="str">
        <f ca="1">IFERROR(__xludf.DUMMYFUNCTION("""COMPUTED_VALUE"""),"")</f>
        <v/>
      </c>
      <c r="D927" s="18" t="str">
        <f ca="1">IFERROR(__xludf.DUMMYFUNCTION("""COMPUTED_VALUE"""),"")</f>
        <v/>
      </c>
      <c r="E927" s="18" t="str">
        <f ca="1">IFERROR(__xludf.DUMMYFUNCTION("""COMPUTED_VALUE"""),"")</f>
        <v/>
      </c>
      <c r="F927" s="18" t="str">
        <f ca="1">IFERROR(__xludf.DUMMYFUNCTION("""COMPUTED_VALUE"""),"")</f>
        <v/>
      </c>
      <c r="G927" s="18" t="str">
        <f ca="1">IFERROR(__xludf.DUMMYFUNCTION("""COMPUTED_VALUE"""),"")</f>
        <v/>
      </c>
      <c r="H927" s="18" t="str">
        <f ca="1">IFERROR(__xludf.DUMMYFUNCTION("""COMPUTED_VALUE"""),"")</f>
        <v/>
      </c>
      <c r="I927" s="18" t="str">
        <f ca="1">IFERROR(__xludf.DUMMYFUNCTION("""COMPUTED_VALUE"""),"")</f>
        <v/>
      </c>
      <c r="J927" s="18" t="str">
        <f ca="1">IFERROR(__xludf.DUMMYFUNCTION("""COMPUTED_VALUE"""),"")</f>
        <v/>
      </c>
      <c r="K927" s="18" t="str">
        <f ca="1">IFERROR(__xludf.DUMMYFUNCTION("""COMPUTED_VALUE"""),"")</f>
        <v/>
      </c>
      <c r="L927" s="18" t="str">
        <f ca="1">IFERROR(__xludf.DUMMYFUNCTION("""COMPUTED_VALUE"""),"")</f>
        <v/>
      </c>
      <c r="M927" s="18" t="str">
        <f ca="1">IFERROR(__xludf.DUMMYFUNCTION("""COMPUTED_VALUE"""),"")</f>
        <v/>
      </c>
      <c r="N927" s="18" t="str">
        <f ca="1">IFERROR(__xludf.DUMMYFUNCTION("""COMPUTED_VALUE"""),"")</f>
        <v/>
      </c>
      <c r="O927" s="18" t="str">
        <f ca="1">IFERROR(__xludf.DUMMYFUNCTION("""COMPUTED_VALUE"""),"")</f>
        <v/>
      </c>
      <c r="P927" s="18" t="str">
        <f ca="1">IFERROR(__xludf.DUMMYFUNCTION("""COMPUTED_VALUE"""),"")</f>
        <v/>
      </c>
      <c r="Q927" s="18" t="str">
        <f ca="1">IFERROR(__xludf.DUMMYFUNCTION("""COMPUTED_VALUE"""),"")</f>
        <v/>
      </c>
      <c r="R927" s="18" t="str">
        <f ca="1">IFERROR(__xludf.DUMMYFUNCTION("""COMPUTED_VALUE"""),"")</f>
        <v/>
      </c>
      <c r="S927" s="18" t="str">
        <f ca="1">IFERROR(__xludf.DUMMYFUNCTION("""COMPUTED_VALUE"""),"")</f>
        <v/>
      </c>
      <c r="T927" s="18" t="str">
        <f ca="1">IFERROR(__xludf.DUMMYFUNCTION("""COMPUTED_VALUE"""),"")</f>
        <v/>
      </c>
      <c r="U927" s="18" t="str">
        <f ca="1">IFERROR(__xludf.DUMMYFUNCTION("""COMPUTED_VALUE"""),"")</f>
        <v/>
      </c>
      <c r="V927" s="18" t="str">
        <f ca="1">IFERROR(__xludf.DUMMYFUNCTION("""COMPUTED_VALUE"""),"")</f>
        <v/>
      </c>
      <c r="W927" s="18" t="str">
        <f ca="1">IFERROR(__xludf.DUMMYFUNCTION("""COMPUTED_VALUE"""),"")</f>
        <v/>
      </c>
      <c r="X927" s="18" t="str">
        <f ca="1">IFERROR(__xludf.DUMMYFUNCTION("""COMPUTED_VALUE"""),"")</f>
        <v/>
      </c>
      <c r="Y927" s="18" t="e">
        <f ca="1"/>
        <v>#NAME?</v>
      </c>
      <c r="Z927" s="18" t="str">
        <f ca="1">IFERROR(__xludf.DUMMYFUNCTION("""COMPUTED_VALUE"""),"")</f>
        <v/>
      </c>
      <c r="AA927" s="18" t="str">
        <f ca="1">IFERROR(__xludf.DUMMYFUNCTION("""COMPUTED_VALUE"""),"")</f>
        <v/>
      </c>
      <c r="AC927" s="59"/>
    </row>
    <row r="928" spans="1:29" x14ac:dyDescent="0.25">
      <c r="A928" s="18">
        <v>0</v>
      </c>
      <c r="B928" s="52" t="str">
        <f ca="1"/>
        <v/>
      </c>
      <c r="C928" s="52" t="str">
        <f ca="1">IFERROR(__xludf.DUMMYFUNCTION("""COMPUTED_VALUE"""),"")</f>
        <v/>
      </c>
      <c r="D928" s="18" t="str">
        <f ca="1">IFERROR(__xludf.DUMMYFUNCTION("""COMPUTED_VALUE"""),"")</f>
        <v/>
      </c>
      <c r="E928" s="18" t="str">
        <f ca="1">IFERROR(__xludf.DUMMYFUNCTION("""COMPUTED_VALUE"""),"")</f>
        <v/>
      </c>
      <c r="F928" s="18" t="str">
        <f ca="1">IFERROR(__xludf.DUMMYFUNCTION("""COMPUTED_VALUE"""),"")</f>
        <v/>
      </c>
      <c r="G928" s="18" t="str">
        <f ca="1">IFERROR(__xludf.DUMMYFUNCTION("""COMPUTED_VALUE"""),"")</f>
        <v/>
      </c>
      <c r="H928" s="18" t="str">
        <f ca="1">IFERROR(__xludf.DUMMYFUNCTION("""COMPUTED_VALUE"""),"")</f>
        <v/>
      </c>
      <c r="I928" s="18" t="str">
        <f ca="1">IFERROR(__xludf.DUMMYFUNCTION("""COMPUTED_VALUE"""),"")</f>
        <v/>
      </c>
      <c r="J928" s="18" t="str">
        <f ca="1">IFERROR(__xludf.DUMMYFUNCTION("""COMPUTED_VALUE"""),"")</f>
        <v/>
      </c>
      <c r="K928" s="18" t="str">
        <f ca="1">IFERROR(__xludf.DUMMYFUNCTION("""COMPUTED_VALUE"""),"")</f>
        <v/>
      </c>
      <c r="L928" s="18" t="str">
        <f ca="1">IFERROR(__xludf.DUMMYFUNCTION("""COMPUTED_VALUE"""),"")</f>
        <v/>
      </c>
      <c r="M928" s="18" t="str">
        <f ca="1">IFERROR(__xludf.DUMMYFUNCTION("""COMPUTED_VALUE"""),"")</f>
        <v/>
      </c>
      <c r="N928" s="18" t="str">
        <f ca="1">IFERROR(__xludf.DUMMYFUNCTION("""COMPUTED_VALUE"""),"")</f>
        <v/>
      </c>
      <c r="O928" s="18" t="str">
        <f ca="1">IFERROR(__xludf.DUMMYFUNCTION("""COMPUTED_VALUE"""),"")</f>
        <v/>
      </c>
      <c r="P928" s="18" t="str">
        <f ca="1">IFERROR(__xludf.DUMMYFUNCTION("""COMPUTED_VALUE"""),"")</f>
        <v/>
      </c>
      <c r="Q928" s="18" t="str">
        <f ca="1">IFERROR(__xludf.DUMMYFUNCTION("""COMPUTED_VALUE"""),"")</f>
        <v/>
      </c>
      <c r="R928" s="18" t="str">
        <f ca="1">IFERROR(__xludf.DUMMYFUNCTION("""COMPUTED_VALUE"""),"")</f>
        <v/>
      </c>
      <c r="S928" s="18" t="str">
        <f ca="1">IFERROR(__xludf.DUMMYFUNCTION("""COMPUTED_VALUE"""),"")</f>
        <v/>
      </c>
      <c r="T928" s="18" t="str">
        <f ca="1">IFERROR(__xludf.DUMMYFUNCTION("""COMPUTED_VALUE"""),"")</f>
        <v/>
      </c>
      <c r="U928" s="18" t="str">
        <f ca="1">IFERROR(__xludf.DUMMYFUNCTION("""COMPUTED_VALUE"""),"")</f>
        <v/>
      </c>
      <c r="V928" s="18" t="str">
        <f ca="1">IFERROR(__xludf.DUMMYFUNCTION("""COMPUTED_VALUE"""),"")</f>
        <v/>
      </c>
      <c r="W928" s="18" t="str">
        <f ca="1">IFERROR(__xludf.DUMMYFUNCTION("""COMPUTED_VALUE"""),"")</f>
        <v/>
      </c>
      <c r="X928" s="18" t="str">
        <f ca="1">IFERROR(__xludf.DUMMYFUNCTION("""COMPUTED_VALUE"""),"")</f>
        <v/>
      </c>
      <c r="Y928" s="18" t="e">
        <f ca="1"/>
        <v>#NAME?</v>
      </c>
      <c r="Z928" s="18" t="str">
        <f ca="1">IFERROR(__xludf.DUMMYFUNCTION("""COMPUTED_VALUE"""),"")</f>
        <v/>
      </c>
      <c r="AA928" s="18" t="str">
        <f ca="1">IFERROR(__xludf.DUMMYFUNCTION("""COMPUTED_VALUE"""),"")</f>
        <v/>
      </c>
      <c r="AC928" s="59"/>
    </row>
    <row r="929" spans="1:29" x14ac:dyDescent="0.25">
      <c r="A929" s="18">
        <v>0</v>
      </c>
      <c r="B929" s="52" t="str">
        <f ca="1"/>
        <v/>
      </c>
      <c r="C929" s="52" t="str">
        <f ca="1">IFERROR(__xludf.DUMMYFUNCTION("""COMPUTED_VALUE"""),"")</f>
        <v/>
      </c>
      <c r="D929" s="18" t="str">
        <f ca="1">IFERROR(__xludf.DUMMYFUNCTION("""COMPUTED_VALUE"""),"")</f>
        <v/>
      </c>
      <c r="E929" s="18" t="str">
        <f ca="1">IFERROR(__xludf.DUMMYFUNCTION("""COMPUTED_VALUE"""),"")</f>
        <v/>
      </c>
      <c r="F929" s="18" t="str">
        <f ca="1">IFERROR(__xludf.DUMMYFUNCTION("""COMPUTED_VALUE"""),"")</f>
        <v/>
      </c>
      <c r="G929" s="18" t="str">
        <f ca="1">IFERROR(__xludf.DUMMYFUNCTION("""COMPUTED_VALUE"""),"")</f>
        <v/>
      </c>
      <c r="H929" s="18" t="str">
        <f ca="1">IFERROR(__xludf.DUMMYFUNCTION("""COMPUTED_VALUE"""),"")</f>
        <v/>
      </c>
      <c r="I929" s="18" t="str">
        <f ca="1">IFERROR(__xludf.DUMMYFUNCTION("""COMPUTED_VALUE"""),"")</f>
        <v/>
      </c>
      <c r="J929" s="18" t="str">
        <f ca="1">IFERROR(__xludf.DUMMYFUNCTION("""COMPUTED_VALUE"""),"")</f>
        <v/>
      </c>
      <c r="K929" s="18" t="str">
        <f ca="1">IFERROR(__xludf.DUMMYFUNCTION("""COMPUTED_VALUE"""),"")</f>
        <v/>
      </c>
      <c r="L929" s="18" t="str">
        <f ca="1">IFERROR(__xludf.DUMMYFUNCTION("""COMPUTED_VALUE"""),"")</f>
        <v/>
      </c>
      <c r="M929" s="18" t="str">
        <f ca="1">IFERROR(__xludf.DUMMYFUNCTION("""COMPUTED_VALUE"""),"")</f>
        <v/>
      </c>
      <c r="N929" s="18" t="str">
        <f ca="1">IFERROR(__xludf.DUMMYFUNCTION("""COMPUTED_VALUE"""),"")</f>
        <v/>
      </c>
      <c r="O929" s="18" t="str">
        <f ca="1">IFERROR(__xludf.DUMMYFUNCTION("""COMPUTED_VALUE"""),"")</f>
        <v/>
      </c>
      <c r="P929" s="18" t="str">
        <f ca="1">IFERROR(__xludf.DUMMYFUNCTION("""COMPUTED_VALUE"""),"")</f>
        <v/>
      </c>
      <c r="Q929" s="18" t="str">
        <f ca="1">IFERROR(__xludf.DUMMYFUNCTION("""COMPUTED_VALUE"""),"")</f>
        <v/>
      </c>
      <c r="R929" s="18" t="str">
        <f ca="1">IFERROR(__xludf.DUMMYFUNCTION("""COMPUTED_VALUE"""),"")</f>
        <v/>
      </c>
      <c r="S929" s="18" t="str">
        <f ca="1">IFERROR(__xludf.DUMMYFUNCTION("""COMPUTED_VALUE"""),"")</f>
        <v/>
      </c>
      <c r="T929" s="18" t="str">
        <f ca="1">IFERROR(__xludf.DUMMYFUNCTION("""COMPUTED_VALUE"""),"")</f>
        <v/>
      </c>
      <c r="U929" s="18" t="str">
        <f ca="1">IFERROR(__xludf.DUMMYFUNCTION("""COMPUTED_VALUE"""),"")</f>
        <v/>
      </c>
      <c r="V929" s="18" t="str">
        <f ca="1">IFERROR(__xludf.DUMMYFUNCTION("""COMPUTED_VALUE"""),"")</f>
        <v/>
      </c>
      <c r="W929" s="18" t="str">
        <f ca="1">IFERROR(__xludf.DUMMYFUNCTION("""COMPUTED_VALUE"""),"")</f>
        <v/>
      </c>
      <c r="X929" s="18" t="str">
        <f ca="1">IFERROR(__xludf.DUMMYFUNCTION("""COMPUTED_VALUE"""),"")</f>
        <v/>
      </c>
      <c r="Y929" s="18" t="e">
        <f ca="1"/>
        <v>#NAME?</v>
      </c>
      <c r="Z929" s="18" t="str">
        <f ca="1">IFERROR(__xludf.DUMMYFUNCTION("""COMPUTED_VALUE"""),"")</f>
        <v/>
      </c>
      <c r="AA929" s="18" t="str">
        <f ca="1">IFERROR(__xludf.DUMMYFUNCTION("""COMPUTED_VALUE"""),"")</f>
        <v/>
      </c>
      <c r="AC929" s="59"/>
    </row>
    <row r="930" spans="1:29" x14ac:dyDescent="0.25">
      <c r="A930" s="18">
        <v>0</v>
      </c>
      <c r="B930" s="52" t="str">
        <f ca="1"/>
        <v/>
      </c>
      <c r="C930" s="52" t="str">
        <f ca="1">IFERROR(__xludf.DUMMYFUNCTION("""COMPUTED_VALUE"""),"")</f>
        <v/>
      </c>
      <c r="D930" s="18" t="str">
        <f ca="1">IFERROR(__xludf.DUMMYFUNCTION("""COMPUTED_VALUE"""),"")</f>
        <v/>
      </c>
      <c r="E930" s="18" t="str">
        <f ca="1">IFERROR(__xludf.DUMMYFUNCTION("""COMPUTED_VALUE"""),"")</f>
        <v/>
      </c>
      <c r="F930" s="18" t="str">
        <f ca="1">IFERROR(__xludf.DUMMYFUNCTION("""COMPUTED_VALUE"""),"")</f>
        <v/>
      </c>
      <c r="G930" s="18" t="str">
        <f ca="1">IFERROR(__xludf.DUMMYFUNCTION("""COMPUTED_VALUE"""),"")</f>
        <v/>
      </c>
      <c r="H930" s="18" t="str">
        <f ca="1">IFERROR(__xludf.DUMMYFUNCTION("""COMPUTED_VALUE"""),"")</f>
        <v/>
      </c>
      <c r="I930" s="18" t="str">
        <f ca="1">IFERROR(__xludf.DUMMYFUNCTION("""COMPUTED_VALUE"""),"")</f>
        <v/>
      </c>
      <c r="J930" s="18" t="str">
        <f ca="1">IFERROR(__xludf.DUMMYFUNCTION("""COMPUTED_VALUE"""),"")</f>
        <v/>
      </c>
      <c r="K930" s="18" t="str">
        <f ca="1">IFERROR(__xludf.DUMMYFUNCTION("""COMPUTED_VALUE"""),"")</f>
        <v/>
      </c>
      <c r="L930" s="18" t="str">
        <f ca="1">IFERROR(__xludf.DUMMYFUNCTION("""COMPUTED_VALUE"""),"")</f>
        <v/>
      </c>
      <c r="M930" s="18" t="str">
        <f ca="1">IFERROR(__xludf.DUMMYFUNCTION("""COMPUTED_VALUE"""),"")</f>
        <v/>
      </c>
      <c r="N930" s="18" t="str">
        <f ca="1">IFERROR(__xludf.DUMMYFUNCTION("""COMPUTED_VALUE"""),"")</f>
        <v/>
      </c>
      <c r="O930" s="18" t="str">
        <f ca="1">IFERROR(__xludf.DUMMYFUNCTION("""COMPUTED_VALUE"""),"")</f>
        <v/>
      </c>
      <c r="P930" s="18" t="str">
        <f ca="1">IFERROR(__xludf.DUMMYFUNCTION("""COMPUTED_VALUE"""),"")</f>
        <v/>
      </c>
      <c r="Q930" s="18" t="str">
        <f ca="1">IFERROR(__xludf.DUMMYFUNCTION("""COMPUTED_VALUE"""),"")</f>
        <v/>
      </c>
      <c r="R930" s="18" t="str">
        <f ca="1">IFERROR(__xludf.DUMMYFUNCTION("""COMPUTED_VALUE"""),"")</f>
        <v/>
      </c>
      <c r="S930" s="18" t="str">
        <f ca="1">IFERROR(__xludf.DUMMYFUNCTION("""COMPUTED_VALUE"""),"")</f>
        <v/>
      </c>
      <c r="T930" s="18" t="str">
        <f ca="1">IFERROR(__xludf.DUMMYFUNCTION("""COMPUTED_VALUE"""),"")</f>
        <v/>
      </c>
      <c r="U930" s="18" t="str">
        <f ca="1">IFERROR(__xludf.DUMMYFUNCTION("""COMPUTED_VALUE"""),"")</f>
        <v/>
      </c>
      <c r="V930" s="18" t="str">
        <f ca="1">IFERROR(__xludf.DUMMYFUNCTION("""COMPUTED_VALUE"""),"")</f>
        <v/>
      </c>
      <c r="W930" s="18" t="str">
        <f ca="1">IFERROR(__xludf.DUMMYFUNCTION("""COMPUTED_VALUE"""),"")</f>
        <v/>
      </c>
      <c r="X930" s="18" t="str">
        <f ca="1">IFERROR(__xludf.DUMMYFUNCTION("""COMPUTED_VALUE"""),"")</f>
        <v/>
      </c>
      <c r="Y930" s="18" t="e">
        <f ca="1"/>
        <v>#NAME?</v>
      </c>
      <c r="Z930" s="18" t="str">
        <f ca="1">IFERROR(__xludf.DUMMYFUNCTION("""COMPUTED_VALUE"""),"")</f>
        <v/>
      </c>
      <c r="AA930" s="18" t="str">
        <f ca="1">IFERROR(__xludf.DUMMYFUNCTION("""COMPUTED_VALUE"""),"")</f>
        <v/>
      </c>
      <c r="AC930" s="59"/>
    </row>
    <row r="931" spans="1:29" x14ac:dyDescent="0.25">
      <c r="A931" s="18">
        <v>0</v>
      </c>
      <c r="B931" s="52" t="str">
        <f ca="1"/>
        <v/>
      </c>
      <c r="C931" s="52" t="str">
        <f ca="1">IFERROR(__xludf.DUMMYFUNCTION("""COMPUTED_VALUE"""),"")</f>
        <v/>
      </c>
      <c r="D931" s="18" t="str">
        <f ca="1">IFERROR(__xludf.DUMMYFUNCTION("""COMPUTED_VALUE"""),"")</f>
        <v/>
      </c>
      <c r="E931" s="18" t="str">
        <f ca="1">IFERROR(__xludf.DUMMYFUNCTION("""COMPUTED_VALUE"""),"")</f>
        <v/>
      </c>
      <c r="F931" s="18" t="str">
        <f ca="1">IFERROR(__xludf.DUMMYFUNCTION("""COMPUTED_VALUE"""),"")</f>
        <v/>
      </c>
      <c r="G931" s="18" t="str">
        <f ca="1">IFERROR(__xludf.DUMMYFUNCTION("""COMPUTED_VALUE"""),"")</f>
        <v/>
      </c>
      <c r="H931" s="18" t="str">
        <f ca="1">IFERROR(__xludf.DUMMYFUNCTION("""COMPUTED_VALUE"""),"")</f>
        <v/>
      </c>
      <c r="I931" s="18" t="str">
        <f ca="1">IFERROR(__xludf.DUMMYFUNCTION("""COMPUTED_VALUE"""),"")</f>
        <v/>
      </c>
      <c r="J931" s="18" t="str">
        <f ca="1">IFERROR(__xludf.DUMMYFUNCTION("""COMPUTED_VALUE"""),"")</f>
        <v/>
      </c>
      <c r="K931" s="18" t="str">
        <f ca="1">IFERROR(__xludf.DUMMYFUNCTION("""COMPUTED_VALUE"""),"")</f>
        <v/>
      </c>
      <c r="L931" s="18" t="str">
        <f ca="1">IFERROR(__xludf.DUMMYFUNCTION("""COMPUTED_VALUE"""),"")</f>
        <v/>
      </c>
      <c r="M931" s="18" t="str">
        <f ca="1">IFERROR(__xludf.DUMMYFUNCTION("""COMPUTED_VALUE"""),"")</f>
        <v/>
      </c>
      <c r="N931" s="18" t="str">
        <f ca="1">IFERROR(__xludf.DUMMYFUNCTION("""COMPUTED_VALUE"""),"")</f>
        <v/>
      </c>
      <c r="O931" s="18" t="str">
        <f ca="1">IFERROR(__xludf.DUMMYFUNCTION("""COMPUTED_VALUE"""),"")</f>
        <v/>
      </c>
      <c r="P931" s="18" t="str">
        <f ca="1">IFERROR(__xludf.DUMMYFUNCTION("""COMPUTED_VALUE"""),"")</f>
        <v/>
      </c>
      <c r="Q931" s="18" t="str">
        <f ca="1">IFERROR(__xludf.DUMMYFUNCTION("""COMPUTED_VALUE"""),"")</f>
        <v/>
      </c>
      <c r="R931" s="18" t="str">
        <f ca="1">IFERROR(__xludf.DUMMYFUNCTION("""COMPUTED_VALUE"""),"")</f>
        <v/>
      </c>
      <c r="S931" s="18" t="str">
        <f ca="1">IFERROR(__xludf.DUMMYFUNCTION("""COMPUTED_VALUE"""),"")</f>
        <v/>
      </c>
      <c r="T931" s="18" t="str">
        <f ca="1">IFERROR(__xludf.DUMMYFUNCTION("""COMPUTED_VALUE"""),"")</f>
        <v/>
      </c>
      <c r="U931" s="18" t="str">
        <f ca="1">IFERROR(__xludf.DUMMYFUNCTION("""COMPUTED_VALUE"""),"")</f>
        <v/>
      </c>
      <c r="V931" s="18" t="str">
        <f ca="1">IFERROR(__xludf.DUMMYFUNCTION("""COMPUTED_VALUE"""),"")</f>
        <v/>
      </c>
      <c r="W931" s="18" t="str">
        <f ca="1">IFERROR(__xludf.DUMMYFUNCTION("""COMPUTED_VALUE"""),"")</f>
        <v/>
      </c>
      <c r="X931" s="18" t="str">
        <f ca="1">IFERROR(__xludf.DUMMYFUNCTION("""COMPUTED_VALUE"""),"")</f>
        <v/>
      </c>
      <c r="Y931" s="18" t="e">
        <f ca="1"/>
        <v>#NAME?</v>
      </c>
      <c r="Z931" s="18" t="str">
        <f ca="1">IFERROR(__xludf.DUMMYFUNCTION("""COMPUTED_VALUE"""),"")</f>
        <v/>
      </c>
      <c r="AA931" s="18" t="str">
        <f ca="1">IFERROR(__xludf.DUMMYFUNCTION("""COMPUTED_VALUE"""),"")</f>
        <v/>
      </c>
      <c r="AC931" s="59"/>
    </row>
    <row r="932" spans="1:29" x14ac:dyDescent="0.25">
      <c r="A932" s="18">
        <v>0</v>
      </c>
      <c r="B932" s="52" t="str">
        <f ca="1"/>
        <v/>
      </c>
      <c r="C932" s="52" t="str">
        <f ca="1">IFERROR(__xludf.DUMMYFUNCTION("""COMPUTED_VALUE"""),"")</f>
        <v/>
      </c>
      <c r="D932" s="18" t="str">
        <f ca="1">IFERROR(__xludf.DUMMYFUNCTION("""COMPUTED_VALUE"""),"")</f>
        <v/>
      </c>
      <c r="E932" s="18" t="str">
        <f ca="1">IFERROR(__xludf.DUMMYFUNCTION("""COMPUTED_VALUE"""),"")</f>
        <v/>
      </c>
      <c r="F932" s="18" t="str">
        <f ca="1">IFERROR(__xludf.DUMMYFUNCTION("""COMPUTED_VALUE"""),"")</f>
        <v/>
      </c>
      <c r="G932" s="18" t="str">
        <f ca="1">IFERROR(__xludf.DUMMYFUNCTION("""COMPUTED_VALUE"""),"")</f>
        <v/>
      </c>
      <c r="H932" s="18" t="str">
        <f ca="1">IFERROR(__xludf.DUMMYFUNCTION("""COMPUTED_VALUE"""),"")</f>
        <v/>
      </c>
      <c r="I932" s="18" t="str">
        <f ca="1">IFERROR(__xludf.DUMMYFUNCTION("""COMPUTED_VALUE"""),"")</f>
        <v/>
      </c>
      <c r="J932" s="18" t="str">
        <f ca="1">IFERROR(__xludf.DUMMYFUNCTION("""COMPUTED_VALUE"""),"")</f>
        <v/>
      </c>
      <c r="K932" s="18" t="str">
        <f ca="1">IFERROR(__xludf.DUMMYFUNCTION("""COMPUTED_VALUE"""),"")</f>
        <v/>
      </c>
      <c r="L932" s="18" t="str">
        <f ca="1">IFERROR(__xludf.DUMMYFUNCTION("""COMPUTED_VALUE"""),"")</f>
        <v/>
      </c>
      <c r="M932" s="18" t="str">
        <f ca="1">IFERROR(__xludf.DUMMYFUNCTION("""COMPUTED_VALUE"""),"")</f>
        <v/>
      </c>
      <c r="N932" s="18" t="str">
        <f ca="1">IFERROR(__xludf.DUMMYFUNCTION("""COMPUTED_VALUE"""),"")</f>
        <v/>
      </c>
      <c r="O932" s="18" t="str">
        <f ca="1">IFERROR(__xludf.DUMMYFUNCTION("""COMPUTED_VALUE"""),"")</f>
        <v/>
      </c>
      <c r="P932" s="18" t="str">
        <f ca="1">IFERROR(__xludf.DUMMYFUNCTION("""COMPUTED_VALUE"""),"")</f>
        <v/>
      </c>
      <c r="Q932" s="18" t="str">
        <f ca="1">IFERROR(__xludf.DUMMYFUNCTION("""COMPUTED_VALUE"""),"")</f>
        <v/>
      </c>
      <c r="R932" s="18" t="str">
        <f ca="1">IFERROR(__xludf.DUMMYFUNCTION("""COMPUTED_VALUE"""),"")</f>
        <v/>
      </c>
      <c r="S932" s="18" t="str">
        <f ca="1">IFERROR(__xludf.DUMMYFUNCTION("""COMPUTED_VALUE"""),"")</f>
        <v/>
      </c>
      <c r="T932" s="18" t="str">
        <f ca="1">IFERROR(__xludf.DUMMYFUNCTION("""COMPUTED_VALUE"""),"")</f>
        <v/>
      </c>
      <c r="U932" s="18" t="str">
        <f ca="1">IFERROR(__xludf.DUMMYFUNCTION("""COMPUTED_VALUE"""),"")</f>
        <v/>
      </c>
      <c r="V932" s="18" t="str">
        <f ca="1">IFERROR(__xludf.DUMMYFUNCTION("""COMPUTED_VALUE"""),"")</f>
        <v/>
      </c>
      <c r="W932" s="18" t="str">
        <f ca="1">IFERROR(__xludf.DUMMYFUNCTION("""COMPUTED_VALUE"""),"")</f>
        <v/>
      </c>
      <c r="X932" s="18" t="str">
        <f ca="1">IFERROR(__xludf.DUMMYFUNCTION("""COMPUTED_VALUE"""),"")</f>
        <v/>
      </c>
      <c r="Y932" s="18" t="e">
        <f ca="1"/>
        <v>#NAME?</v>
      </c>
      <c r="Z932" s="18" t="str">
        <f ca="1">IFERROR(__xludf.DUMMYFUNCTION("""COMPUTED_VALUE"""),"")</f>
        <v/>
      </c>
      <c r="AA932" s="18" t="str">
        <f ca="1">IFERROR(__xludf.DUMMYFUNCTION("""COMPUTED_VALUE"""),"")</f>
        <v/>
      </c>
      <c r="AC932" s="59"/>
    </row>
    <row r="933" spans="1:29" x14ac:dyDescent="0.25">
      <c r="A933" s="18">
        <v>0</v>
      </c>
      <c r="B933" s="52" t="str">
        <f ca="1"/>
        <v/>
      </c>
      <c r="C933" s="52" t="str">
        <f ca="1">IFERROR(__xludf.DUMMYFUNCTION("""COMPUTED_VALUE"""),"")</f>
        <v/>
      </c>
      <c r="D933" s="18" t="str">
        <f ca="1">IFERROR(__xludf.DUMMYFUNCTION("""COMPUTED_VALUE"""),"")</f>
        <v/>
      </c>
      <c r="E933" s="18" t="str">
        <f ca="1">IFERROR(__xludf.DUMMYFUNCTION("""COMPUTED_VALUE"""),"")</f>
        <v/>
      </c>
      <c r="F933" s="18" t="str">
        <f ca="1">IFERROR(__xludf.DUMMYFUNCTION("""COMPUTED_VALUE"""),"")</f>
        <v/>
      </c>
      <c r="G933" s="18" t="str">
        <f ca="1">IFERROR(__xludf.DUMMYFUNCTION("""COMPUTED_VALUE"""),"")</f>
        <v/>
      </c>
      <c r="H933" s="18" t="str">
        <f ca="1">IFERROR(__xludf.DUMMYFUNCTION("""COMPUTED_VALUE"""),"")</f>
        <v/>
      </c>
      <c r="I933" s="18" t="str">
        <f ca="1">IFERROR(__xludf.DUMMYFUNCTION("""COMPUTED_VALUE"""),"")</f>
        <v/>
      </c>
      <c r="J933" s="18" t="str">
        <f ca="1">IFERROR(__xludf.DUMMYFUNCTION("""COMPUTED_VALUE"""),"")</f>
        <v/>
      </c>
      <c r="K933" s="18" t="str">
        <f ca="1">IFERROR(__xludf.DUMMYFUNCTION("""COMPUTED_VALUE"""),"")</f>
        <v/>
      </c>
      <c r="L933" s="18" t="str">
        <f ca="1">IFERROR(__xludf.DUMMYFUNCTION("""COMPUTED_VALUE"""),"")</f>
        <v/>
      </c>
      <c r="M933" s="18" t="str">
        <f ca="1">IFERROR(__xludf.DUMMYFUNCTION("""COMPUTED_VALUE"""),"")</f>
        <v/>
      </c>
      <c r="N933" s="18" t="str">
        <f ca="1">IFERROR(__xludf.DUMMYFUNCTION("""COMPUTED_VALUE"""),"")</f>
        <v/>
      </c>
      <c r="O933" s="18" t="str">
        <f ca="1">IFERROR(__xludf.DUMMYFUNCTION("""COMPUTED_VALUE"""),"")</f>
        <v/>
      </c>
      <c r="P933" s="18" t="str">
        <f ca="1">IFERROR(__xludf.DUMMYFUNCTION("""COMPUTED_VALUE"""),"")</f>
        <v/>
      </c>
      <c r="Q933" s="18" t="str">
        <f ca="1">IFERROR(__xludf.DUMMYFUNCTION("""COMPUTED_VALUE"""),"")</f>
        <v/>
      </c>
      <c r="R933" s="18" t="str">
        <f ca="1">IFERROR(__xludf.DUMMYFUNCTION("""COMPUTED_VALUE"""),"")</f>
        <v/>
      </c>
      <c r="S933" s="18" t="str">
        <f ca="1">IFERROR(__xludf.DUMMYFUNCTION("""COMPUTED_VALUE"""),"")</f>
        <v/>
      </c>
      <c r="T933" s="18" t="str">
        <f ca="1">IFERROR(__xludf.DUMMYFUNCTION("""COMPUTED_VALUE"""),"")</f>
        <v/>
      </c>
      <c r="U933" s="18" t="str">
        <f ca="1">IFERROR(__xludf.DUMMYFUNCTION("""COMPUTED_VALUE"""),"")</f>
        <v/>
      </c>
      <c r="V933" s="18" t="str">
        <f ca="1">IFERROR(__xludf.DUMMYFUNCTION("""COMPUTED_VALUE"""),"")</f>
        <v/>
      </c>
      <c r="W933" s="18" t="str">
        <f ca="1">IFERROR(__xludf.DUMMYFUNCTION("""COMPUTED_VALUE"""),"")</f>
        <v/>
      </c>
      <c r="X933" s="18" t="str">
        <f ca="1">IFERROR(__xludf.DUMMYFUNCTION("""COMPUTED_VALUE"""),"")</f>
        <v/>
      </c>
      <c r="Y933" s="18" t="e">
        <f ca="1"/>
        <v>#NAME?</v>
      </c>
      <c r="Z933" s="18" t="str">
        <f ca="1">IFERROR(__xludf.DUMMYFUNCTION("""COMPUTED_VALUE"""),"")</f>
        <v/>
      </c>
      <c r="AA933" s="18" t="str">
        <f ca="1">IFERROR(__xludf.DUMMYFUNCTION("""COMPUTED_VALUE"""),"")</f>
        <v/>
      </c>
      <c r="AC933" s="59"/>
    </row>
    <row r="934" spans="1:29" x14ac:dyDescent="0.25">
      <c r="A934" s="18">
        <v>0</v>
      </c>
      <c r="B934" s="52" t="str">
        <f ca="1"/>
        <v/>
      </c>
      <c r="C934" s="52" t="str">
        <f ca="1">IFERROR(__xludf.DUMMYFUNCTION("""COMPUTED_VALUE"""),"")</f>
        <v/>
      </c>
      <c r="D934" s="18" t="str">
        <f ca="1">IFERROR(__xludf.DUMMYFUNCTION("""COMPUTED_VALUE"""),"")</f>
        <v/>
      </c>
      <c r="E934" s="18" t="str">
        <f ca="1">IFERROR(__xludf.DUMMYFUNCTION("""COMPUTED_VALUE"""),"")</f>
        <v/>
      </c>
      <c r="F934" s="18" t="str">
        <f ca="1">IFERROR(__xludf.DUMMYFUNCTION("""COMPUTED_VALUE"""),"")</f>
        <v/>
      </c>
      <c r="G934" s="18" t="str">
        <f ca="1">IFERROR(__xludf.DUMMYFUNCTION("""COMPUTED_VALUE"""),"")</f>
        <v/>
      </c>
      <c r="H934" s="18" t="str">
        <f ca="1">IFERROR(__xludf.DUMMYFUNCTION("""COMPUTED_VALUE"""),"")</f>
        <v/>
      </c>
      <c r="I934" s="18" t="str">
        <f ca="1">IFERROR(__xludf.DUMMYFUNCTION("""COMPUTED_VALUE"""),"")</f>
        <v/>
      </c>
      <c r="J934" s="18" t="str">
        <f ca="1">IFERROR(__xludf.DUMMYFUNCTION("""COMPUTED_VALUE"""),"")</f>
        <v/>
      </c>
      <c r="K934" s="18" t="str">
        <f ca="1">IFERROR(__xludf.DUMMYFUNCTION("""COMPUTED_VALUE"""),"")</f>
        <v/>
      </c>
      <c r="L934" s="18" t="str">
        <f ca="1">IFERROR(__xludf.DUMMYFUNCTION("""COMPUTED_VALUE"""),"")</f>
        <v/>
      </c>
      <c r="M934" s="18" t="str">
        <f ca="1">IFERROR(__xludf.DUMMYFUNCTION("""COMPUTED_VALUE"""),"")</f>
        <v/>
      </c>
      <c r="N934" s="18" t="str">
        <f ca="1">IFERROR(__xludf.DUMMYFUNCTION("""COMPUTED_VALUE"""),"")</f>
        <v/>
      </c>
      <c r="O934" s="18" t="str">
        <f ca="1">IFERROR(__xludf.DUMMYFUNCTION("""COMPUTED_VALUE"""),"")</f>
        <v/>
      </c>
      <c r="P934" s="18" t="str">
        <f ca="1">IFERROR(__xludf.DUMMYFUNCTION("""COMPUTED_VALUE"""),"")</f>
        <v/>
      </c>
      <c r="Q934" s="18" t="str">
        <f ca="1">IFERROR(__xludf.DUMMYFUNCTION("""COMPUTED_VALUE"""),"")</f>
        <v/>
      </c>
      <c r="R934" s="18" t="str">
        <f ca="1">IFERROR(__xludf.DUMMYFUNCTION("""COMPUTED_VALUE"""),"")</f>
        <v/>
      </c>
      <c r="S934" s="18" t="str">
        <f ca="1">IFERROR(__xludf.DUMMYFUNCTION("""COMPUTED_VALUE"""),"")</f>
        <v/>
      </c>
      <c r="T934" s="18" t="str">
        <f ca="1">IFERROR(__xludf.DUMMYFUNCTION("""COMPUTED_VALUE"""),"")</f>
        <v/>
      </c>
      <c r="U934" s="18" t="str">
        <f ca="1">IFERROR(__xludf.DUMMYFUNCTION("""COMPUTED_VALUE"""),"")</f>
        <v/>
      </c>
      <c r="V934" s="18" t="str">
        <f ca="1">IFERROR(__xludf.DUMMYFUNCTION("""COMPUTED_VALUE"""),"")</f>
        <v/>
      </c>
      <c r="W934" s="18" t="str">
        <f ca="1">IFERROR(__xludf.DUMMYFUNCTION("""COMPUTED_VALUE"""),"")</f>
        <v/>
      </c>
      <c r="X934" s="18" t="str">
        <f ca="1">IFERROR(__xludf.DUMMYFUNCTION("""COMPUTED_VALUE"""),"")</f>
        <v/>
      </c>
      <c r="Y934" s="18" t="e">
        <f ca="1"/>
        <v>#NAME?</v>
      </c>
      <c r="Z934" s="18" t="str">
        <f ca="1">IFERROR(__xludf.DUMMYFUNCTION("""COMPUTED_VALUE"""),"")</f>
        <v/>
      </c>
      <c r="AA934" s="18" t="str">
        <f ca="1">IFERROR(__xludf.DUMMYFUNCTION("""COMPUTED_VALUE"""),"")</f>
        <v/>
      </c>
      <c r="AC934" s="59"/>
    </row>
    <row r="935" spans="1:29" x14ac:dyDescent="0.25">
      <c r="A935" s="18">
        <v>0</v>
      </c>
      <c r="B935" s="52" t="str">
        <f ca="1"/>
        <v/>
      </c>
      <c r="C935" s="52" t="str">
        <f ca="1">IFERROR(__xludf.DUMMYFUNCTION("""COMPUTED_VALUE"""),"")</f>
        <v/>
      </c>
      <c r="D935" s="18" t="str">
        <f ca="1">IFERROR(__xludf.DUMMYFUNCTION("""COMPUTED_VALUE"""),"")</f>
        <v/>
      </c>
      <c r="E935" s="18" t="str">
        <f ca="1">IFERROR(__xludf.DUMMYFUNCTION("""COMPUTED_VALUE"""),"")</f>
        <v/>
      </c>
      <c r="F935" s="18" t="str">
        <f ca="1">IFERROR(__xludf.DUMMYFUNCTION("""COMPUTED_VALUE"""),"")</f>
        <v/>
      </c>
      <c r="G935" s="18" t="str">
        <f ca="1">IFERROR(__xludf.DUMMYFUNCTION("""COMPUTED_VALUE"""),"")</f>
        <v/>
      </c>
      <c r="H935" s="18" t="str">
        <f ca="1">IFERROR(__xludf.DUMMYFUNCTION("""COMPUTED_VALUE"""),"")</f>
        <v/>
      </c>
      <c r="I935" s="18" t="str">
        <f ca="1">IFERROR(__xludf.DUMMYFUNCTION("""COMPUTED_VALUE"""),"")</f>
        <v/>
      </c>
      <c r="J935" s="18" t="str">
        <f ca="1">IFERROR(__xludf.DUMMYFUNCTION("""COMPUTED_VALUE"""),"")</f>
        <v/>
      </c>
      <c r="K935" s="18" t="str">
        <f ca="1">IFERROR(__xludf.DUMMYFUNCTION("""COMPUTED_VALUE"""),"")</f>
        <v/>
      </c>
      <c r="L935" s="18" t="str">
        <f ca="1">IFERROR(__xludf.DUMMYFUNCTION("""COMPUTED_VALUE"""),"")</f>
        <v/>
      </c>
      <c r="M935" s="18" t="str">
        <f ca="1">IFERROR(__xludf.DUMMYFUNCTION("""COMPUTED_VALUE"""),"")</f>
        <v/>
      </c>
      <c r="N935" s="18" t="str">
        <f ca="1">IFERROR(__xludf.DUMMYFUNCTION("""COMPUTED_VALUE"""),"")</f>
        <v/>
      </c>
      <c r="O935" s="18" t="str">
        <f ca="1">IFERROR(__xludf.DUMMYFUNCTION("""COMPUTED_VALUE"""),"")</f>
        <v/>
      </c>
      <c r="P935" s="18" t="str">
        <f ca="1">IFERROR(__xludf.DUMMYFUNCTION("""COMPUTED_VALUE"""),"")</f>
        <v/>
      </c>
      <c r="Q935" s="18" t="str">
        <f ca="1">IFERROR(__xludf.DUMMYFUNCTION("""COMPUTED_VALUE"""),"")</f>
        <v/>
      </c>
      <c r="R935" s="18" t="str">
        <f ca="1">IFERROR(__xludf.DUMMYFUNCTION("""COMPUTED_VALUE"""),"")</f>
        <v/>
      </c>
      <c r="S935" s="18" t="str">
        <f ca="1">IFERROR(__xludf.DUMMYFUNCTION("""COMPUTED_VALUE"""),"")</f>
        <v/>
      </c>
      <c r="T935" s="18" t="str">
        <f ca="1">IFERROR(__xludf.DUMMYFUNCTION("""COMPUTED_VALUE"""),"")</f>
        <v/>
      </c>
      <c r="U935" s="18" t="str">
        <f ca="1">IFERROR(__xludf.DUMMYFUNCTION("""COMPUTED_VALUE"""),"")</f>
        <v/>
      </c>
      <c r="V935" s="18" t="str">
        <f ca="1">IFERROR(__xludf.DUMMYFUNCTION("""COMPUTED_VALUE"""),"")</f>
        <v/>
      </c>
      <c r="W935" s="18" t="str">
        <f ca="1">IFERROR(__xludf.DUMMYFUNCTION("""COMPUTED_VALUE"""),"")</f>
        <v/>
      </c>
      <c r="X935" s="18" t="str">
        <f ca="1">IFERROR(__xludf.DUMMYFUNCTION("""COMPUTED_VALUE"""),"")</f>
        <v/>
      </c>
      <c r="Y935" s="18" t="e">
        <f ca="1"/>
        <v>#NAME?</v>
      </c>
      <c r="Z935" s="18" t="str">
        <f ca="1">IFERROR(__xludf.DUMMYFUNCTION("""COMPUTED_VALUE"""),"")</f>
        <v/>
      </c>
      <c r="AA935" s="18" t="str">
        <f ca="1">IFERROR(__xludf.DUMMYFUNCTION("""COMPUTED_VALUE"""),"")</f>
        <v/>
      </c>
      <c r="AC935" s="59"/>
    </row>
    <row r="936" spans="1:29" x14ac:dyDescent="0.25">
      <c r="A936" s="18">
        <v>0</v>
      </c>
      <c r="B936" s="52" t="str">
        <f ca="1"/>
        <v/>
      </c>
      <c r="C936" s="52" t="str">
        <f ca="1">IFERROR(__xludf.DUMMYFUNCTION("""COMPUTED_VALUE"""),"")</f>
        <v/>
      </c>
      <c r="D936" s="18" t="str">
        <f ca="1">IFERROR(__xludf.DUMMYFUNCTION("""COMPUTED_VALUE"""),"")</f>
        <v/>
      </c>
      <c r="E936" s="18" t="str">
        <f ca="1">IFERROR(__xludf.DUMMYFUNCTION("""COMPUTED_VALUE"""),"")</f>
        <v/>
      </c>
      <c r="F936" s="18" t="str">
        <f ca="1">IFERROR(__xludf.DUMMYFUNCTION("""COMPUTED_VALUE"""),"")</f>
        <v/>
      </c>
      <c r="G936" s="18" t="str">
        <f ca="1">IFERROR(__xludf.DUMMYFUNCTION("""COMPUTED_VALUE"""),"")</f>
        <v/>
      </c>
      <c r="H936" s="18" t="str">
        <f ca="1">IFERROR(__xludf.DUMMYFUNCTION("""COMPUTED_VALUE"""),"")</f>
        <v/>
      </c>
      <c r="I936" s="18" t="str">
        <f ca="1">IFERROR(__xludf.DUMMYFUNCTION("""COMPUTED_VALUE"""),"")</f>
        <v/>
      </c>
      <c r="J936" s="18" t="str">
        <f ca="1">IFERROR(__xludf.DUMMYFUNCTION("""COMPUTED_VALUE"""),"")</f>
        <v/>
      </c>
      <c r="K936" s="18" t="str">
        <f ca="1">IFERROR(__xludf.DUMMYFUNCTION("""COMPUTED_VALUE"""),"")</f>
        <v/>
      </c>
      <c r="L936" s="18" t="str">
        <f ca="1">IFERROR(__xludf.DUMMYFUNCTION("""COMPUTED_VALUE"""),"")</f>
        <v/>
      </c>
      <c r="M936" s="18" t="str">
        <f ca="1">IFERROR(__xludf.DUMMYFUNCTION("""COMPUTED_VALUE"""),"")</f>
        <v/>
      </c>
      <c r="N936" s="18" t="str">
        <f ca="1">IFERROR(__xludf.DUMMYFUNCTION("""COMPUTED_VALUE"""),"")</f>
        <v/>
      </c>
      <c r="O936" s="18" t="str">
        <f ca="1">IFERROR(__xludf.DUMMYFUNCTION("""COMPUTED_VALUE"""),"")</f>
        <v/>
      </c>
      <c r="P936" s="18" t="str">
        <f ca="1">IFERROR(__xludf.DUMMYFUNCTION("""COMPUTED_VALUE"""),"")</f>
        <v/>
      </c>
      <c r="Q936" s="18" t="str">
        <f ca="1">IFERROR(__xludf.DUMMYFUNCTION("""COMPUTED_VALUE"""),"")</f>
        <v/>
      </c>
      <c r="R936" s="18" t="str">
        <f ca="1">IFERROR(__xludf.DUMMYFUNCTION("""COMPUTED_VALUE"""),"")</f>
        <v/>
      </c>
      <c r="S936" s="18" t="str">
        <f ca="1">IFERROR(__xludf.DUMMYFUNCTION("""COMPUTED_VALUE"""),"")</f>
        <v/>
      </c>
      <c r="T936" s="18" t="str">
        <f ca="1">IFERROR(__xludf.DUMMYFUNCTION("""COMPUTED_VALUE"""),"")</f>
        <v/>
      </c>
      <c r="U936" s="18" t="str">
        <f ca="1">IFERROR(__xludf.DUMMYFUNCTION("""COMPUTED_VALUE"""),"")</f>
        <v/>
      </c>
      <c r="V936" s="18" t="str">
        <f ca="1">IFERROR(__xludf.DUMMYFUNCTION("""COMPUTED_VALUE"""),"")</f>
        <v/>
      </c>
      <c r="W936" s="18" t="str">
        <f ca="1">IFERROR(__xludf.DUMMYFUNCTION("""COMPUTED_VALUE"""),"")</f>
        <v/>
      </c>
      <c r="X936" s="18" t="str">
        <f ca="1">IFERROR(__xludf.DUMMYFUNCTION("""COMPUTED_VALUE"""),"")</f>
        <v/>
      </c>
      <c r="Y936" s="18" t="e">
        <f ca="1"/>
        <v>#NAME?</v>
      </c>
      <c r="Z936" s="18" t="str">
        <f ca="1">IFERROR(__xludf.DUMMYFUNCTION("""COMPUTED_VALUE"""),"")</f>
        <v/>
      </c>
      <c r="AA936" s="18" t="str">
        <f ca="1">IFERROR(__xludf.DUMMYFUNCTION("""COMPUTED_VALUE"""),"")</f>
        <v/>
      </c>
      <c r="AC936" s="59"/>
    </row>
    <row r="937" spans="1:29" x14ac:dyDescent="0.25">
      <c r="A937" s="18">
        <v>0</v>
      </c>
      <c r="B937" s="52" t="str">
        <f ca="1"/>
        <v/>
      </c>
      <c r="C937" s="52" t="str">
        <f ca="1">IFERROR(__xludf.DUMMYFUNCTION("""COMPUTED_VALUE"""),"")</f>
        <v/>
      </c>
      <c r="D937" s="18" t="str">
        <f ca="1">IFERROR(__xludf.DUMMYFUNCTION("""COMPUTED_VALUE"""),"")</f>
        <v/>
      </c>
      <c r="E937" s="18" t="str">
        <f ca="1">IFERROR(__xludf.DUMMYFUNCTION("""COMPUTED_VALUE"""),"")</f>
        <v/>
      </c>
      <c r="F937" s="18" t="str">
        <f ca="1">IFERROR(__xludf.DUMMYFUNCTION("""COMPUTED_VALUE"""),"")</f>
        <v/>
      </c>
      <c r="G937" s="18" t="str">
        <f ca="1">IFERROR(__xludf.DUMMYFUNCTION("""COMPUTED_VALUE"""),"")</f>
        <v/>
      </c>
      <c r="H937" s="18" t="str">
        <f ca="1">IFERROR(__xludf.DUMMYFUNCTION("""COMPUTED_VALUE"""),"")</f>
        <v/>
      </c>
      <c r="I937" s="18" t="str">
        <f ca="1">IFERROR(__xludf.DUMMYFUNCTION("""COMPUTED_VALUE"""),"")</f>
        <v/>
      </c>
      <c r="J937" s="18" t="str">
        <f ca="1">IFERROR(__xludf.DUMMYFUNCTION("""COMPUTED_VALUE"""),"")</f>
        <v/>
      </c>
      <c r="K937" s="18" t="str">
        <f ca="1">IFERROR(__xludf.DUMMYFUNCTION("""COMPUTED_VALUE"""),"")</f>
        <v/>
      </c>
      <c r="L937" s="18" t="str">
        <f ca="1">IFERROR(__xludf.DUMMYFUNCTION("""COMPUTED_VALUE"""),"")</f>
        <v/>
      </c>
      <c r="M937" s="18" t="str">
        <f ca="1">IFERROR(__xludf.DUMMYFUNCTION("""COMPUTED_VALUE"""),"")</f>
        <v/>
      </c>
      <c r="N937" s="18" t="str">
        <f ca="1">IFERROR(__xludf.DUMMYFUNCTION("""COMPUTED_VALUE"""),"")</f>
        <v/>
      </c>
      <c r="O937" s="18" t="str">
        <f ca="1">IFERROR(__xludf.DUMMYFUNCTION("""COMPUTED_VALUE"""),"")</f>
        <v/>
      </c>
      <c r="P937" s="18" t="str">
        <f ca="1">IFERROR(__xludf.DUMMYFUNCTION("""COMPUTED_VALUE"""),"")</f>
        <v/>
      </c>
      <c r="Q937" s="18" t="str">
        <f ca="1">IFERROR(__xludf.DUMMYFUNCTION("""COMPUTED_VALUE"""),"")</f>
        <v/>
      </c>
      <c r="R937" s="18" t="str">
        <f ca="1">IFERROR(__xludf.DUMMYFUNCTION("""COMPUTED_VALUE"""),"")</f>
        <v/>
      </c>
      <c r="S937" s="18" t="str">
        <f ca="1">IFERROR(__xludf.DUMMYFUNCTION("""COMPUTED_VALUE"""),"")</f>
        <v/>
      </c>
      <c r="T937" s="18" t="str">
        <f ca="1">IFERROR(__xludf.DUMMYFUNCTION("""COMPUTED_VALUE"""),"")</f>
        <v/>
      </c>
      <c r="U937" s="18" t="str">
        <f ca="1">IFERROR(__xludf.DUMMYFUNCTION("""COMPUTED_VALUE"""),"")</f>
        <v/>
      </c>
      <c r="V937" s="18" t="str">
        <f ca="1">IFERROR(__xludf.DUMMYFUNCTION("""COMPUTED_VALUE"""),"")</f>
        <v/>
      </c>
      <c r="W937" s="18" t="str">
        <f ca="1">IFERROR(__xludf.DUMMYFUNCTION("""COMPUTED_VALUE"""),"")</f>
        <v/>
      </c>
      <c r="X937" s="18" t="str">
        <f ca="1">IFERROR(__xludf.DUMMYFUNCTION("""COMPUTED_VALUE"""),"")</f>
        <v/>
      </c>
      <c r="Y937" s="18" t="e">
        <f ca="1"/>
        <v>#NAME?</v>
      </c>
      <c r="Z937" s="18" t="str">
        <f ca="1">IFERROR(__xludf.DUMMYFUNCTION("""COMPUTED_VALUE"""),"")</f>
        <v/>
      </c>
      <c r="AA937" s="18" t="str">
        <f ca="1">IFERROR(__xludf.DUMMYFUNCTION("""COMPUTED_VALUE"""),"")</f>
        <v/>
      </c>
      <c r="AC937" s="59"/>
    </row>
    <row r="938" spans="1:29" x14ac:dyDescent="0.25">
      <c r="A938" s="18">
        <v>0</v>
      </c>
      <c r="B938" s="52" t="str">
        <f ca="1"/>
        <v/>
      </c>
      <c r="C938" s="52" t="str">
        <f ca="1">IFERROR(__xludf.DUMMYFUNCTION("""COMPUTED_VALUE"""),"")</f>
        <v/>
      </c>
      <c r="D938" s="18" t="str">
        <f ca="1">IFERROR(__xludf.DUMMYFUNCTION("""COMPUTED_VALUE"""),"")</f>
        <v/>
      </c>
      <c r="E938" s="18" t="str">
        <f ca="1">IFERROR(__xludf.DUMMYFUNCTION("""COMPUTED_VALUE"""),"")</f>
        <v/>
      </c>
      <c r="F938" s="18" t="str">
        <f ca="1">IFERROR(__xludf.DUMMYFUNCTION("""COMPUTED_VALUE"""),"")</f>
        <v/>
      </c>
      <c r="G938" s="18" t="str">
        <f ca="1">IFERROR(__xludf.DUMMYFUNCTION("""COMPUTED_VALUE"""),"")</f>
        <v/>
      </c>
      <c r="H938" s="18" t="str">
        <f ca="1">IFERROR(__xludf.DUMMYFUNCTION("""COMPUTED_VALUE"""),"")</f>
        <v/>
      </c>
      <c r="I938" s="18" t="str">
        <f ca="1">IFERROR(__xludf.DUMMYFUNCTION("""COMPUTED_VALUE"""),"")</f>
        <v/>
      </c>
      <c r="J938" s="18" t="str">
        <f ca="1">IFERROR(__xludf.DUMMYFUNCTION("""COMPUTED_VALUE"""),"")</f>
        <v/>
      </c>
      <c r="K938" s="18" t="str">
        <f ca="1">IFERROR(__xludf.DUMMYFUNCTION("""COMPUTED_VALUE"""),"")</f>
        <v/>
      </c>
      <c r="L938" s="18" t="str">
        <f ca="1">IFERROR(__xludf.DUMMYFUNCTION("""COMPUTED_VALUE"""),"")</f>
        <v/>
      </c>
      <c r="M938" s="18" t="str">
        <f ca="1">IFERROR(__xludf.DUMMYFUNCTION("""COMPUTED_VALUE"""),"")</f>
        <v/>
      </c>
      <c r="N938" s="18" t="str">
        <f ca="1">IFERROR(__xludf.DUMMYFUNCTION("""COMPUTED_VALUE"""),"")</f>
        <v/>
      </c>
      <c r="O938" s="18" t="str">
        <f ca="1">IFERROR(__xludf.DUMMYFUNCTION("""COMPUTED_VALUE"""),"")</f>
        <v/>
      </c>
      <c r="P938" s="18" t="str">
        <f ca="1">IFERROR(__xludf.DUMMYFUNCTION("""COMPUTED_VALUE"""),"")</f>
        <v/>
      </c>
      <c r="Q938" s="18" t="str">
        <f ca="1">IFERROR(__xludf.DUMMYFUNCTION("""COMPUTED_VALUE"""),"")</f>
        <v/>
      </c>
      <c r="R938" s="18" t="str">
        <f ca="1">IFERROR(__xludf.DUMMYFUNCTION("""COMPUTED_VALUE"""),"")</f>
        <v/>
      </c>
      <c r="S938" s="18" t="str">
        <f ca="1">IFERROR(__xludf.DUMMYFUNCTION("""COMPUTED_VALUE"""),"")</f>
        <v/>
      </c>
      <c r="T938" s="18" t="str">
        <f ca="1">IFERROR(__xludf.DUMMYFUNCTION("""COMPUTED_VALUE"""),"")</f>
        <v/>
      </c>
      <c r="U938" s="18" t="str">
        <f ca="1">IFERROR(__xludf.DUMMYFUNCTION("""COMPUTED_VALUE"""),"")</f>
        <v/>
      </c>
      <c r="V938" s="18" t="str">
        <f ca="1">IFERROR(__xludf.DUMMYFUNCTION("""COMPUTED_VALUE"""),"")</f>
        <v/>
      </c>
      <c r="W938" s="18" t="str">
        <f ca="1">IFERROR(__xludf.DUMMYFUNCTION("""COMPUTED_VALUE"""),"")</f>
        <v/>
      </c>
      <c r="X938" s="18" t="str">
        <f ca="1">IFERROR(__xludf.DUMMYFUNCTION("""COMPUTED_VALUE"""),"")</f>
        <v/>
      </c>
      <c r="Y938" s="18" t="e">
        <f ca="1"/>
        <v>#NAME?</v>
      </c>
      <c r="Z938" s="18" t="str">
        <f ca="1">IFERROR(__xludf.DUMMYFUNCTION("""COMPUTED_VALUE"""),"")</f>
        <v/>
      </c>
      <c r="AA938" s="18" t="str">
        <f ca="1">IFERROR(__xludf.DUMMYFUNCTION("""COMPUTED_VALUE"""),"")</f>
        <v/>
      </c>
      <c r="AC938" s="59"/>
    </row>
    <row r="939" spans="1:29" x14ac:dyDescent="0.25">
      <c r="A939" s="18">
        <v>0</v>
      </c>
      <c r="B939" s="52" t="str">
        <f ca="1"/>
        <v/>
      </c>
      <c r="C939" s="52" t="str">
        <f ca="1">IFERROR(__xludf.DUMMYFUNCTION("""COMPUTED_VALUE"""),"")</f>
        <v/>
      </c>
      <c r="D939" s="18" t="str">
        <f ca="1">IFERROR(__xludf.DUMMYFUNCTION("""COMPUTED_VALUE"""),"")</f>
        <v/>
      </c>
      <c r="E939" s="18" t="str">
        <f ca="1">IFERROR(__xludf.DUMMYFUNCTION("""COMPUTED_VALUE"""),"")</f>
        <v/>
      </c>
      <c r="F939" s="18" t="str">
        <f ca="1">IFERROR(__xludf.DUMMYFUNCTION("""COMPUTED_VALUE"""),"")</f>
        <v/>
      </c>
      <c r="G939" s="18" t="str">
        <f ca="1">IFERROR(__xludf.DUMMYFUNCTION("""COMPUTED_VALUE"""),"")</f>
        <v/>
      </c>
      <c r="H939" s="18" t="str">
        <f ca="1">IFERROR(__xludf.DUMMYFUNCTION("""COMPUTED_VALUE"""),"")</f>
        <v/>
      </c>
      <c r="I939" s="18" t="str">
        <f ca="1">IFERROR(__xludf.DUMMYFUNCTION("""COMPUTED_VALUE"""),"")</f>
        <v/>
      </c>
      <c r="J939" s="18" t="str">
        <f ca="1">IFERROR(__xludf.DUMMYFUNCTION("""COMPUTED_VALUE"""),"")</f>
        <v/>
      </c>
      <c r="K939" s="18" t="str">
        <f ca="1">IFERROR(__xludf.DUMMYFUNCTION("""COMPUTED_VALUE"""),"")</f>
        <v/>
      </c>
      <c r="L939" s="18" t="str">
        <f ca="1">IFERROR(__xludf.DUMMYFUNCTION("""COMPUTED_VALUE"""),"")</f>
        <v/>
      </c>
      <c r="M939" s="18" t="str">
        <f ca="1">IFERROR(__xludf.DUMMYFUNCTION("""COMPUTED_VALUE"""),"")</f>
        <v/>
      </c>
      <c r="N939" s="18" t="str">
        <f ca="1">IFERROR(__xludf.DUMMYFUNCTION("""COMPUTED_VALUE"""),"")</f>
        <v/>
      </c>
      <c r="O939" s="18" t="str">
        <f ca="1">IFERROR(__xludf.DUMMYFUNCTION("""COMPUTED_VALUE"""),"")</f>
        <v/>
      </c>
      <c r="P939" s="18" t="str">
        <f ca="1">IFERROR(__xludf.DUMMYFUNCTION("""COMPUTED_VALUE"""),"")</f>
        <v/>
      </c>
      <c r="Q939" s="18" t="str">
        <f ca="1">IFERROR(__xludf.DUMMYFUNCTION("""COMPUTED_VALUE"""),"")</f>
        <v/>
      </c>
      <c r="R939" s="18" t="str">
        <f ca="1">IFERROR(__xludf.DUMMYFUNCTION("""COMPUTED_VALUE"""),"")</f>
        <v/>
      </c>
      <c r="S939" s="18" t="str">
        <f ca="1">IFERROR(__xludf.DUMMYFUNCTION("""COMPUTED_VALUE"""),"")</f>
        <v/>
      </c>
      <c r="T939" s="18" t="str">
        <f ca="1">IFERROR(__xludf.DUMMYFUNCTION("""COMPUTED_VALUE"""),"")</f>
        <v/>
      </c>
      <c r="U939" s="18" t="str">
        <f ca="1">IFERROR(__xludf.DUMMYFUNCTION("""COMPUTED_VALUE"""),"")</f>
        <v/>
      </c>
      <c r="V939" s="18" t="str">
        <f ca="1">IFERROR(__xludf.DUMMYFUNCTION("""COMPUTED_VALUE"""),"")</f>
        <v/>
      </c>
      <c r="W939" s="18" t="str">
        <f ca="1">IFERROR(__xludf.DUMMYFUNCTION("""COMPUTED_VALUE"""),"")</f>
        <v/>
      </c>
      <c r="X939" s="18" t="str">
        <f ca="1">IFERROR(__xludf.DUMMYFUNCTION("""COMPUTED_VALUE"""),"")</f>
        <v/>
      </c>
      <c r="Y939" s="18" t="e">
        <f ca="1"/>
        <v>#NAME?</v>
      </c>
      <c r="Z939" s="18" t="str">
        <f ca="1">IFERROR(__xludf.DUMMYFUNCTION("""COMPUTED_VALUE"""),"")</f>
        <v/>
      </c>
      <c r="AA939" s="18" t="str">
        <f ca="1">IFERROR(__xludf.DUMMYFUNCTION("""COMPUTED_VALUE"""),"")</f>
        <v/>
      </c>
      <c r="AC939" s="59"/>
    </row>
    <row r="940" spans="1:29" x14ac:dyDescent="0.25">
      <c r="A940" s="18">
        <v>0</v>
      </c>
      <c r="B940" s="52" t="str">
        <f ca="1"/>
        <v/>
      </c>
      <c r="C940" s="52" t="str">
        <f ca="1">IFERROR(__xludf.DUMMYFUNCTION("""COMPUTED_VALUE"""),"")</f>
        <v/>
      </c>
      <c r="D940" s="18" t="str">
        <f ca="1">IFERROR(__xludf.DUMMYFUNCTION("""COMPUTED_VALUE"""),"")</f>
        <v/>
      </c>
      <c r="E940" s="18" t="str">
        <f ca="1">IFERROR(__xludf.DUMMYFUNCTION("""COMPUTED_VALUE"""),"")</f>
        <v/>
      </c>
      <c r="F940" s="18" t="str">
        <f ca="1">IFERROR(__xludf.DUMMYFUNCTION("""COMPUTED_VALUE"""),"")</f>
        <v/>
      </c>
      <c r="G940" s="18" t="str">
        <f ca="1">IFERROR(__xludf.DUMMYFUNCTION("""COMPUTED_VALUE"""),"")</f>
        <v/>
      </c>
      <c r="H940" s="18" t="str">
        <f ca="1">IFERROR(__xludf.DUMMYFUNCTION("""COMPUTED_VALUE"""),"")</f>
        <v/>
      </c>
      <c r="I940" s="18" t="str">
        <f ca="1">IFERROR(__xludf.DUMMYFUNCTION("""COMPUTED_VALUE"""),"")</f>
        <v/>
      </c>
      <c r="J940" s="18" t="str">
        <f ca="1">IFERROR(__xludf.DUMMYFUNCTION("""COMPUTED_VALUE"""),"")</f>
        <v/>
      </c>
      <c r="K940" s="18" t="str">
        <f ca="1">IFERROR(__xludf.DUMMYFUNCTION("""COMPUTED_VALUE"""),"")</f>
        <v/>
      </c>
      <c r="L940" s="18" t="str">
        <f ca="1">IFERROR(__xludf.DUMMYFUNCTION("""COMPUTED_VALUE"""),"")</f>
        <v/>
      </c>
      <c r="M940" s="18" t="str">
        <f ca="1">IFERROR(__xludf.DUMMYFUNCTION("""COMPUTED_VALUE"""),"")</f>
        <v/>
      </c>
      <c r="N940" s="18" t="str">
        <f ca="1">IFERROR(__xludf.DUMMYFUNCTION("""COMPUTED_VALUE"""),"")</f>
        <v/>
      </c>
      <c r="O940" s="18" t="str">
        <f ca="1">IFERROR(__xludf.DUMMYFUNCTION("""COMPUTED_VALUE"""),"")</f>
        <v/>
      </c>
      <c r="P940" s="18" t="str">
        <f ca="1">IFERROR(__xludf.DUMMYFUNCTION("""COMPUTED_VALUE"""),"")</f>
        <v/>
      </c>
      <c r="Q940" s="18" t="str">
        <f ca="1">IFERROR(__xludf.DUMMYFUNCTION("""COMPUTED_VALUE"""),"")</f>
        <v/>
      </c>
      <c r="R940" s="18" t="str">
        <f ca="1">IFERROR(__xludf.DUMMYFUNCTION("""COMPUTED_VALUE"""),"")</f>
        <v/>
      </c>
      <c r="S940" s="18" t="str">
        <f ca="1">IFERROR(__xludf.DUMMYFUNCTION("""COMPUTED_VALUE"""),"")</f>
        <v/>
      </c>
      <c r="T940" s="18" t="str">
        <f ca="1">IFERROR(__xludf.DUMMYFUNCTION("""COMPUTED_VALUE"""),"")</f>
        <v/>
      </c>
      <c r="U940" s="18" t="str">
        <f ca="1">IFERROR(__xludf.DUMMYFUNCTION("""COMPUTED_VALUE"""),"")</f>
        <v/>
      </c>
      <c r="V940" s="18" t="str">
        <f ca="1">IFERROR(__xludf.DUMMYFUNCTION("""COMPUTED_VALUE"""),"")</f>
        <v/>
      </c>
      <c r="W940" s="18" t="str">
        <f ca="1">IFERROR(__xludf.DUMMYFUNCTION("""COMPUTED_VALUE"""),"")</f>
        <v/>
      </c>
      <c r="X940" s="18" t="str">
        <f ca="1">IFERROR(__xludf.DUMMYFUNCTION("""COMPUTED_VALUE"""),"")</f>
        <v/>
      </c>
      <c r="Y940" s="18" t="e">
        <f ca="1"/>
        <v>#NAME?</v>
      </c>
      <c r="Z940" s="18" t="str">
        <f ca="1">IFERROR(__xludf.DUMMYFUNCTION("""COMPUTED_VALUE"""),"")</f>
        <v/>
      </c>
      <c r="AA940" s="18" t="str">
        <f ca="1">IFERROR(__xludf.DUMMYFUNCTION("""COMPUTED_VALUE"""),"")</f>
        <v/>
      </c>
      <c r="AC940" s="59"/>
    </row>
    <row r="941" spans="1:29" x14ac:dyDescent="0.25">
      <c r="A941" s="18">
        <v>0</v>
      </c>
      <c r="B941" s="52" t="str">
        <f ca="1"/>
        <v/>
      </c>
      <c r="C941" s="52" t="str">
        <f ca="1">IFERROR(__xludf.DUMMYFUNCTION("""COMPUTED_VALUE"""),"")</f>
        <v/>
      </c>
      <c r="D941" s="18" t="str">
        <f ca="1">IFERROR(__xludf.DUMMYFUNCTION("""COMPUTED_VALUE"""),"")</f>
        <v/>
      </c>
      <c r="E941" s="18" t="str">
        <f ca="1">IFERROR(__xludf.DUMMYFUNCTION("""COMPUTED_VALUE"""),"")</f>
        <v/>
      </c>
      <c r="F941" s="18" t="str">
        <f ca="1">IFERROR(__xludf.DUMMYFUNCTION("""COMPUTED_VALUE"""),"")</f>
        <v/>
      </c>
      <c r="G941" s="18" t="str">
        <f ca="1">IFERROR(__xludf.DUMMYFUNCTION("""COMPUTED_VALUE"""),"")</f>
        <v/>
      </c>
      <c r="H941" s="18" t="str">
        <f ca="1">IFERROR(__xludf.DUMMYFUNCTION("""COMPUTED_VALUE"""),"")</f>
        <v/>
      </c>
      <c r="I941" s="18" t="str">
        <f ca="1">IFERROR(__xludf.DUMMYFUNCTION("""COMPUTED_VALUE"""),"")</f>
        <v/>
      </c>
      <c r="J941" s="18" t="str">
        <f ca="1">IFERROR(__xludf.DUMMYFUNCTION("""COMPUTED_VALUE"""),"")</f>
        <v/>
      </c>
      <c r="K941" s="18" t="str">
        <f ca="1">IFERROR(__xludf.DUMMYFUNCTION("""COMPUTED_VALUE"""),"")</f>
        <v/>
      </c>
      <c r="L941" s="18" t="str">
        <f ca="1">IFERROR(__xludf.DUMMYFUNCTION("""COMPUTED_VALUE"""),"")</f>
        <v/>
      </c>
      <c r="M941" s="18" t="str">
        <f ca="1">IFERROR(__xludf.DUMMYFUNCTION("""COMPUTED_VALUE"""),"")</f>
        <v/>
      </c>
      <c r="N941" s="18" t="str">
        <f ca="1">IFERROR(__xludf.DUMMYFUNCTION("""COMPUTED_VALUE"""),"")</f>
        <v/>
      </c>
      <c r="O941" s="18" t="str">
        <f ca="1">IFERROR(__xludf.DUMMYFUNCTION("""COMPUTED_VALUE"""),"")</f>
        <v/>
      </c>
      <c r="P941" s="18" t="str">
        <f ca="1">IFERROR(__xludf.DUMMYFUNCTION("""COMPUTED_VALUE"""),"")</f>
        <v/>
      </c>
      <c r="Q941" s="18" t="str">
        <f ca="1">IFERROR(__xludf.DUMMYFUNCTION("""COMPUTED_VALUE"""),"")</f>
        <v/>
      </c>
      <c r="R941" s="18" t="str">
        <f ca="1">IFERROR(__xludf.DUMMYFUNCTION("""COMPUTED_VALUE"""),"")</f>
        <v/>
      </c>
      <c r="S941" s="18" t="str">
        <f ca="1">IFERROR(__xludf.DUMMYFUNCTION("""COMPUTED_VALUE"""),"")</f>
        <v/>
      </c>
      <c r="T941" s="18" t="str">
        <f ca="1">IFERROR(__xludf.DUMMYFUNCTION("""COMPUTED_VALUE"""),"")</f>
        <v/>
      </c>
      <c r="U941" s="18" t="str">
        <f ca="1">IFERROR(__xludf.DUMMYFUNCTION("""COMPUTED_VALUE"""),"")</f>
        <v/>
      </c>
      <c r="V941" s="18" t="str">
        <f ca="1">IFERROR(__xludf.DUMMYFUNCTION("""COMPUTED_VALUE"""),"")</f>
        <v/>
      </c>
      <c r="W941" s="18" t="str">
        <f ca="1">IFERROR(__xludf.DUMMYFUNCTION("""COMPUTED_VALUE"""),"")</f>
        <v/>
      </c>
      <c r="X941" s="18" t="str">
        <f ca="1">IFERROR(__xludf.DUMMYFUNCTION("""COMPUTED_VALUE"""),"")</f>
        <v/>
      </c>
      <c r="Y941" s="18" t="e">
        <f ca="1"/>
        <v>#NAME?</v>
      </c>
      <c r="Z941" s="18" t="str">
        <f ca="1">IFERROR(__xludf.DUMMYFUNCTION("""COMPUTED_VALUE"""),"")</f>
        <v/>
      </c>
      <c r="AA941" s="18" t="str">
        <f ca="1">IFERROR(__xludf.DUMMYFUNCTION("""COMPUTED_VALUE"""),"")</f>
        <v/>
      </c>
      <c r="AC941" s="59"/>
    </row>
    <row r="942" spans="1:29" x14ac:dyDescent="0.25">
      <c r="A942" s="18">
        <v>0</v>
      </c>
      <c r="B942" s="52" t="str">
        <f ca="1"/>
        <v/>
      </c>
      <c r="C942" s="52" t="str">
        <f ca="1">IFERROR(__xludf.DUMMYFUNCTION("""COMPUTED_VALUE"""),"")</f>
        <v/>
      </c>
      <c r="D942" s="18" t="str">
        <f ca="1">IFERROR(__xludf.DUMMYFUNCTION("""COMPUTED_VALUE"""),"")</f>
        <v/>
      </c>
      <c r="E942" s="18" t="str">
        <f ca="1">IFERROR(__xludf.DUMMYFUNCTION("""COMPUTED_VALUE"""),"")</f>
        <v/>
      </c>
      <c r="F942" s="18" t="str">
        <f ca="1">IFERROR(__xludf.DUMMYFUNCTION("""COMPUTED_VALUE"""),"")</f>
        <v/>
      </c>
      <c r="G942" s="18" t="str">
        <f ca="1">IFERROR(__xludf.DUMMYFUNCTION("""COMPUTED_VALUE"""),"")</f>
        <v/>
      </c>
      <c r="H942" s="18" t="str">
        <f ca="1">IFERROR(__xludf.DUMMYFUNCTION("""COMPUTED_VALUE"""),"")</f>
        <v/>
      </c>
      <c r="I942" s="18" t="str">
        <f ca="1">IFERROR(__xludf.DUMMYFUNCTION("""COMPUTED_VALUE"""),"")</f>
        <v/>
      </c>
      <c r="J942" s="18" t="str">
        <f ca="1">IFERROR(__xludf.DUMMYFUNCTION("""COMPUTED_VALUE"""),"")</f>
        <v/>
      </c>
      <c r="K942" s="18" t="str">
        <f ca="1">IFERROR(__xludf.DUMMYFUNCTION("""COMPUTED_VALUE"""),"")</f>
        <v/>
      </c>
      <c r="L942" s="18" t="str">
        <f ca="1">IFERROR(__xludf.DUMMYFUNCTION("""COMPUTED_VALUE"""),"")</f>
        <v/>
      </c>
      <c r="M942" s="18" t="str">
        <f ca="1">IFERROR(__xludf.DUMMYFUNCTION("""COMPUTED_VALUE"""),"")</f>
        <v/>
      </c>
      <c r="N942" s="18" t="str">
        <f ca="1">IFERROR(__xludf.DUMMYFUNCTION("""COMPUTED_VALUE"""),"")</f>
        <v/>
      </c>
      <c r="O942" s="18" t="str">
        <f ca="1">IFERROR(__xludf.DUMMYFUNCTION("""COMPUTED_VALUE"""),"")</f>
        <v/>
      </c>
      <c r="P942" s="18" t="str">
        <f ca="1">IFERROR(__xludf.DUMMYFUNCTION("""COMPUTED_VALUE"""),"")</f>
        <v/>
      </c>
      <c r="Q942" s="18" t="str">
        <f ca="1">IFERROR(__xludf.DUMMYFUNCTION("""COMPUTED_VALUE"""),"")</f>
        <v/>
      </c>
      <c r="R942" s="18" t="str">
        <f ca="1">IFERROR(__xludf.DUMMYFUNCTION("""COMPUTED_VALUE"""),"")</f>
        <v/>
      </c>
      <c r="S942" s="18" t="str">
        <f ca="1">IFERROR(__xludf.DUMMYFUNCTION("""COMPUTED_VALUE"""),"")</f>
        <v/>
      </c>
      <c r="T942" s="18" t="str">
        <f ca="1">IFERROR(__xludf.DUMMYFUNCTION("""COMPUTED_VALUE"""),"")</f>
        <v/>
      </c>
      <c r="U942" s="18" t="str">
        <f ca="1">IFERROR(__xludf.DUMMYFUNCTION("""COMPUTED_VALUE"""),"")</f>
        <v/>
      </c>
      <c r="V942" s="18" t="str">
        <f ca="1">IFERROR(__xludf.DUMMYFUNCTION("""COMPUTED_VALUE"""),"")</f>
        <v/>
      </c>
      <c r="W942" s="18" t="str">
        <f ca="1">IFERROR(__xludf.DUMMYFUNCTION("""COMPUTED_VALUE"""),"")</f>
        <v/>
      </c>
      <c r="X942" s="18" t="str">
        <f ca="1">IFERROR(__xludf.DUMMYFUNCTION("""COMPUTED_VALUE"""),"")</f>
        <v/>
      </c>
      <c r="Y942" s="18" t="e">
        <f ca="1"/>
        <v>#NAME?</v>
      </c>
      <c r="Z942" s="18" t="str">
        <f ca="1">IFERROR(__xludf.DUMMYFUNCTION("""COMPUTED_VALUE"""),"")</f>
        <v/>
      </c>
      <c r="AA942" s="18" t="str">
        <f ca="1">IFERROR(__xludf.DUMMYFUNCTION("""COMPUTED_VALUE"""),"")</f>
        <v/>
      </c>
      <c r="AC942" s="59"/>
    </row>
    <row r="943" spans="1:29" x14ac:dyDescent="0.25">
      <c r="A943" s="18">
        <v>0</v>
      </c>
      <c r="B943" s="52" t="str">
        <f ca="1"/>
        <v/>
      </c>
      <c r="C943" s="52" t="str">
        <f ca="1">IFERROR(__xludf.DUMMYFUNCTION("""COMPUTED_VALUE"""),"")</f>
        <v/>
      </c>
      <c r="D943" s="18" t="str">
        <f ca="1">IFERROR(__xludf.DUMMYFUNCTION("""COMPUTED_VALUE"""),"")</f>
        <v/>
      </c>
      <c r="E943" s="18" t="str">
        <f ca="1">IFERROR(__xludf.DUMMYFUNCTION("""COMPUTED_VALUE"""),"")</f>
        <v/>
      </c>
      <c r="F943" s="18" t="str">
        <f ca="1">IFERROR(__xludf.DUMMYFUNCTION("""COMPUTED_VALUE"""),"")</f>
        <v/>
      </c>
      <c r="G943" s="18" t="str">
        <f ca="1">IFERROR(__xludf.DUMMYFUNCTION("""COMPUTED_VALUE"""),"")</f>
        <v/>
      </c>
      <c r="H943" s="18" t="str">
        <f ca="1">IFERROR(__xludf.DUMMYFUNCTION("""COMPUTED_VALUE"""),"")</f>
        <v/>
      </c>
      <c r="I943" s="18" t="str">
        <f ca="1">IFERROR(__xludf.DUMMYFUNCTION("""COMPUTED_VALUE"""),"")</f>
        <v/>
      </c>
      <c r="J943" s="18" t="str">
        <f ca="1">IFERROR(__xludf.DUMMYFUNCTION("""COMPUTED_VALUE"""),"")</f>
        <v/>
      </c>
      <c r="K943" s="18" t="str">
        <f ca="1">IFERROR(__xludf.DUMMYFUNCTION("""COMPUTED_VALUE"""),"")</f>
        <v/>
      </c>
      <c r="L943" s="18" t="str">
        <f ca="1">IFERROR(__xludf.DUMMYFUNCTION("""COMPUTED_VALUE"""),"")</f>
        <v/>
      </c>
      <c r="M943" s="18" t="str">
        <f ca="1">IFERROR(__xludf.DUMMYFUNCTION("""COMPUTED_VALUE"""),"")</f>
        <v/>
      </c>
      <c r="N943" s="18" t="str">
        <f ca="1">IFERROR(__xludf.DUMMYFUNCTION("""COMPUTED_VALUE"""),"")</f>
        <v/>
      </c>
      <c r="O943" s="18" t="str">
        <f ca="1">IFERROR(__xludf.DUMMYFUNCTION("""COMPUTED_VALUE"""),"")</f>
        <v/>
      </c>
      <c r="P943" s="18" t="str">
        <f ca="1">IFERROR(__xludf.DUMMYFUNCTION("""COMPUTED_VALUE"""),"")</f>
        <v/>
      </c>
      <c r="Q943" s="18" t="str">
        <f ca="1">IFERROR(__xludf.DUMMYFUNCTION("""COMPUTED_VALUE"""),"")</f>
        <v/>
      </c>
      <c r="R943" s="18" t="str">
        <f ca="1">IFERROR(__xludf.DUMMYFUNCTION("""COMPUTED_VALUE"""),"")</f>
        <v/>
      </c>
      <c r="S943" s="18" t="str">
        <f ca="1">IFERROR(__xludf.DUMMYFUNCTION("""COMPUTED_VALUE"""),"")</f>
        <v/>
      </c>
      <c r="T943" s="18" t="str">
        <f ca="1">IFERROR(__xludf.DUMMYFUNCTION("""COMPUTED_VALUE"""),"")</f>
        <v/>
      </c>
      <c r="U943" s="18" t="str">
        <f ca="1">IFERROR(__xludf.DUMMYFUNCTION("""COMPUTED_VALUE"""),"")</f>
        <v/>
      </c>
      <c r="V943" s="18" t="str">
        <f ca="1">IFERROR(__xludf.DUMMYFUNCTION("""COMPUTED_VALUE"""),"")</f>
        <v/>
      </c>
      <c r="W943" s="18" t="str">
        <f ca="1">IFERROR(__xludf.DUMMYFUNCTION("""COMPUTED_VALUE"""),"")</f>
        <v/>
      </c>
      <c r="X943" s="18" t="str">
        <f ca="1">IFERROR(__xludf.DUMMYFUNCTION("""COMPUTED_VALUE"""),"")</f>
        <v/>
      </c>
      <c r="Y943" s="18" t="e">
        <f ca="1"/>
        <v>#NAME?</v>
      </c>
      <c r="Z943" s="18" t="str">
        <f ca="1">IFERROR(__xludf.DUMMYFUNCTION("""COMPUTED_VALUE"""),"")</f>
        <v/>
      </c>
      <c r="AA943" s="18" t="str">
        <f ca="1">IFERROR(__xludf.DUMMYFUNCTION("""COMPUTED_VALUE"""),"")</f>
        <v/>
      </c>
      <c r="AC943" s="59"/>
    </row>
    <row r="944" spans="1:29" x14ac:dyDescent="0.25">
      <c r="A944" s="18">
        <v>0</v>
      </c>
      <c r="B944" s="52" t="str">
        <f ca="1"/>
        <v/>
      </c>
      <c r="C944" s="52" t="str">
        <f ca="1">IFERROR(__xludf.DUMMYFUNCTION("""COMPUTED_VALUE"""),"")</f>
        <v/>
      </c>
      <c r="D944" s="18" t="str">
        <f ca="1">IFERROR(__xludf.DUMMYFUNCTION("""COMPUTED_VALUE"""),"")</f>
        <v/>
      </c>
      <c r="E944" s="18" t="str">
        <f ca="1">IFERROR(__xludf.DUMMYFUNCTION("""COMPUTED_VALUE"""),"")</f>
        <v/>
      </c>
      <c r="F944" s="18" t="str">
        <f ca="1">IFERROR(__xludf.DUMMYFUNCTION("""COMPUTED_VALUE"""),"")</f>
        <v/>
      </c>
      <c r="G944" s="18" t="str">
        <f ca="1">IFERROR(__xludf.DUMMYFUNCTION("""COMPUTED_VALUE"""),"")</f>
        <v/>
      </c>
      <c r="H944" s="18" t="str">
        <f ca="1">IFERROR(__xludf.DUMMYFUNCTION("""COMPUTED_VALUE"""),"")</f>
        <v/>
      </c>
      <c r="I944" s="18" t="str">
        <f ca="1">IFERROR(__xludf.DUMMYFUNCTION("""COMPUTED_VALUE"""),"")</f>
        <v/>
      </c>
      <c r="J944" s="18" t="str">
        <f ca="1">IFERROR(__xludf.DUMMYFUNCTION("""COMPUTED_VALUE"""),"")</f>
        <v/>
      </c>
      <c r="K944" s="18" t="str">
        <f ca="1">IFERROR(__xludf.DUMMYFUNCTION("""COMPUTED_VALUE"""),"")</f>
        <v/>
      </c>
      <c r="L944" s="18" t="str">
        <f ca="1">IFERROR(__xludf.DUMMYFUNCTION("""COMPUTED_VALUE"""),"")</f>
        <v/>
      </c>
      <c r="M944" s="18" t="str">
        <f ca="1">IFERROR(__xludf.DUMMYFUNCTION("""COMPUTED_VALUE"""),"")</f>
        <v/>
      </c>
      <c r="N944" s="18" t="str">
        <f ca="1">IFERROR(__xludf.DUMMYFUNCTION("""COMPUTED_VALUE"""),"")</f>
        <v/>
      </c>
      <c r="O944" s="18" t="str">
        <f ca="1">IFERROR(__xludf.DUMMYFUNCTION("""COMPUTED_VALUE"""),"")</f>
        <v/>
      </c>
      <c r="P944" s="18" t="str">
        <f ca="1">IFERROR(__xludf.DUMMYFUNCTION("""COMPUTED_VALUE"""),"")</f>
        <v/>
      </c>
      <c r="Q944" s="18" t="str">
        <f ca="1">IFERROR(__xludf.DUMMYFUNCTION("""COMPUTED_VALUE"""),"")</f>
        <v/>
      </c>
      <c r="R944" s="18" t="str">
        <f ca="1">IFERROR(__xludf.DUMMYFUNCTION("""COMPUTED_VALUE"""),"")</f>
        <v/>
      </c>
      <c r="S944" s="18" t="str">
        <f ca="1">IFERROR(__xludf.DUMMYFUNCTION("""COMPUTED_VALUE"""),"")</f>
        <v/>
      </c>
      <c r="T944" s="18" t="str">
        <f ca="1">IFERROR(__xludf.DUMMYFUNCTION("""COMPUTED_VALUE"""),"")</f>
        <v/>
      </c>
      <c r="U944" s="18" t="str">
        <f ca="1">IFERROR(__xludf.DUMMYFUNCTION("""COMPUTED_VALUE"""),"")</f>
        <v/>
      </c>
      <c r="V944" s="18" t="str">
        <f ca="1">IFERROR(__xludf.DUMMYFUNCTION("""COMPUTED_VALUE"""),"")</f>
        <v/>
      </c>
      <c r="W944" s="18" t="str">
        <f ca="1">IFERROR(__xludf.DUMMYFUNCTION("""COMPUTED_VALUE"""),"")</f>
        <v/>
      </c>
      <c r="X944" s="18" t="str">
        <f ca="1">IFERROR(__xludf.DUMMYFUNCTION("""COMPUTED_VALUE"""),"")</f>
        <v/>
      </c>
      <c r="Y944" s="18" t="e">
        <f ca="1"/>
        <v>#NAME?</v>
      </c>
      <c r="Z944" s="18" t="str">
        <f ca="1">IFERROR(__xludf.DUMMYFUNCTION("""COMPUTED_VALUE"""),"")</f>
        <v/>
      </c>
      <c r="AA944" s="18" t="str">
        <f ca="1">IFERROR(__xludf.DUMMYFUNCTION("""COMPUTED_VALUE"""),"")</f>
        <v/>
      </c>
      <c r="AC944" s="59"/>
    </row>
    <row r="945" spans="1:29" x14ac:dyDescent="0.25">
      <c r="A945" s="18">
        <v>0</v>
      </c>
      <c r="B945" s="52" t="str">
        <f ca="1"/>
        <v/>
      </c>
      <c r="C945" s="52" t="str">
        <f ca="1">IFERROR(__xludf.DUMMYFUNCTION("""COMPUTED_VALUE"""),"")</f>
        <v/>
      </c>
      <c r="D945" s="18" t="str">
        <f ca="1">IFERROR(__xludf.DUMMYFUNCTION("""COMPUTED_VALUE"""),"")</f>
        <v/>
      </c>
      <c r="E945" s="18" t="str">
        <f ca="1">IFERROR(__xludf.DUMMYFUNCTION("""COMPUTED_VALUE"""),"")</f>
        <v/>
      </c>
      <c r="F945" s="18" t="str">
        <f ca="1">IFERROR(__xludf.DUMMYFUNCTION("""COMPUTED_VALUE"""),"")</f>
        <v/>
      </c>
      <c r="G945" s="18" t="str">
        <f ca="1">IFERROR(__xludf.DUMMYFUNCTION("""COMPUTED_VALUE"""),"")</f>
        <v/>
      </c>
      <c r="H945" s="18" t="str">
        <f ca="1">IFERROR(__xludf.DUMMYFUNCTION("""COMPUTED_VALUE"""),"")</f>
        <v/>
      </c>
      <c r="I945" s="18" t="str">
        <f ca="1">IFERROR(__xludf.DUMMYFUNCTION("""COMPUTED_VALUE"""),"")</f>
        <v/>
      </c>
      <c r="J945" s="18" t="str">
        <f ca="1">IFERROR(__xludf.DUMMYFUNCTION("""COMPUTED_VALUE"""),"")</f>
        <v/>
      </c>
      <c r="K945" s="18" t="str">
        <f ca="1">IFERROR(__xludf.DUMMYFUNCTION("""COMPUTED_VALUE"""),"")</f>
        <v/>
      </c>
      <c r="L945" s="18" t="str">
        <f ca="1">IFERROR(__xludf.DUMMYFUNCTION("""COMPUTED_VALUE"""),"")</f>
        <v/>
      </c>
      <c r="M945" s="18" t="str">
        <f ca="1">IFERROR(__xludf.DUMMYFUNCTION("""COMPUTED_VALUE"""),"")</f>
        <v/>
      </c>
      <c r="N945" s="18" t="str">
        <f ca="1">IFERROR(__xludf.DUMMYFUNCTION("""COMPUTED_VALUE"""),"")</f>
        <v/>
      </c>
      <c r="O945" s="18" t="str">
        <f ca="1">IFERROR(__xludf.DUMMYFUNCTION("""COMPUTED_VALUE"""),"")</f>
        <v/>
      </c>
      <c r="P945" s="18" t="str">
        <f ca="1">IFERROR(__xludf.DUMMYFUNCTION("""COMPUTED_VALUE"""),"")</f>
        <v/>
      </c>
      <c r="Q945" s="18" t="str">
        <f ca="1">IFERROR(__xludf.DUMMYFUNCTION("""COMPUTED_VALUE"""),"")</f>
        <v/>
      </c>
      <c r="R945" s="18" t="str">
        <f ca="1">IFERROR(__xludf.DUMMYFUNCTION("""COMPUTED_VALUE"""),"")</f>
        <v/>
      </c>
      <c r="S945" s="18" t="str">
        <f ca="1">IFERROR(__xludf.DUMMYFUNCTION("""COMPUTED_VALUE"""),"")</f>
        <v/>
      </c>
      <c r="T945" s="18" t="str">
        <f ca="1">IFERROR(__xludf.DUMMYFUNCTION("""COMPUTED_VALUE"""),"")</f>
        <v/>
      </c>
      <c r="U945" s="18" t="str">
        <f ca="1">IFERROR(__xludf.DUMMYFUNCTION("""COMPUTED_VALUE"""),"")</f>
        <v/>
      </c>
      <c r="V945" s="18" t="str">
        <f ca="1">IFERROR(__xludf.DUMMYFUNCTION("""COMPUTED_VALUE"""),"")</f>
        <v/>
      </c>
      <c r="W945" s="18" t="str">
        <f ca="1">IFERROR(__xludf.DUMMYFUNCTION("""COMPUTED_VALUE"""),"")</f>
        <v/>
      </c>
      <c r="X945" s="18" t="str">
        <f ca="1">IFERROR(__xludf.DUMMYFUNCTION("""COMPUTED_VALUE"""),"")</f>
        <v/>
      </c>
      <c r="Y945" s="18" t="e">
        <f ca="1"/>
        <v>#NAME?</v>
      </c>
      <c r="Z945" s="18" t="str">
        <f ca="1">IFERROR(__xludf.DUMMYFUNCTION("""COMPUTED_VALUE"""),"")</f>
        <v/>
      </c>
      <c r="AA945" s="18" t="str">
        <f ca="1">IFERROR(__xludf.DUMMYFUNCTION("""COMPUTED_VALUE"""),"")</f>
        <v/>
      </c>
      <c r="AC945" s="59"/>
    </row>
    <row r="946" spans="1:29" x14ac:dyDescent="0.25">
      <c r="A946" s="18">
        <v>0</v>
      </c>
      <c r="B946" s="52" t="str">
        <f ca="1"/>
        <v/>
      </c>
      <c r="C946" s="52" t="str">
        <f ca="1">IFERROR(__xludf.DUMMYFUNCTION("""COMPUTED_VALUE"""),"")</f>
        <v/>
      </c>
      <c r="D946" s="18" t="str">
        <f ca="1">IFERROR(__xludf.DUMMYFUNCTION("""COMPUTED_VALUE"""),"")</f>
        <v/>
      </c>
      <c r="E946" s="18" t="str">
        <f ca="1">IFERROR(__xludf.DUMMYFUNCTION("""COMPUTED_VALUE"""),"")</f>
        <v/>
      </c>
      <c r="F946" s="18" t="str">
        <f ca="1">IFERROR(__xludf.DUMMYFUNCTION("""COMPUTED_VALUE"""),"")</f>
        <v/>
      </c>
      <c r="G946" s="18" t="str">
        <f ca="1">IFERROR(__xludf.DUMMYFUNCTION("""COMPUTED_VALUE"""),"")</f>
        <v/>
      </c>
      <c r="H946" s="18" t="str">
        <f ca="1">IFERROR(__xludf.DUMMYFUNCTION("""COMPUTED_VALUE"""),"")</f>
        <v/>
      </c>
      <c r="I946" s="18" t="str">
        <f ca="1">IFERROR(__xludf.DUMMYFUNCTION("""COMPUTED_VALUE"""),"")</f>
        <v/>
      </c>
      <c r="J946" s="18" t="str">
        <f ca="1">IFERROR(__xludf.DUMMYFUNCTION("""COMPUTED_VALUE"""),"")</f>
        <v/>
      </c>
      <c r="K946" s="18" t="str">
        <f ca="1">IFERROR(__xludf.DUMMYFUNCTION("""COMPUTED_VALUE"""),"")</f>
        <v/>
      </c>
      <c r="L946" s="18" t="str">
        <f ca="1">IFERROR(__xludf.DUMMYFUNCTION("""COMPUTED_VALUE"""),"")</f>
        <v/>
      </c>
      <c r="M946" s="18" t="str">
        <f ca="1">IFERROR(__xludf.DUMMYFUNCTION("""COMPUTED_VALUE"""),"")</f>
        <v/>
      </c>
      <c r="N946" s="18" t="str">
        <f ca="1">IFERROR(__xludf.DUMMYFUNCTION("""COMPUTED_VALUE"""),"")</f>
        <v/>
      </c>
      <c r="O946" s="18" t="str">
        <f ca="1">IFERROR(__xludf.DUMMYFUNCTION("""COMPUTED_VALUE"""),"")</f>
        <v/>
      </c>
      <c r="P946" s="18" t="str">
        <f ca="1">IFERROR(__xludf.DUMMYFUNCTION("""COMPUTED_VALUE"""),"")</f>
        <v/>
      </c>
      <c r="Q946" s="18" t="str">
        <f ca="1">IFERROR(__xludf.DUMMYFUNCTION("""COMPUTED_VALUE"""),"")</f>
        <v/>
      </c>
      <c r="R946" s="18" t="str">
        <f ca="1">IFERROR(__xludf.DUMMYFUNCTION("""COMPUTED_VALUE"""),"")</f>
        <v/>
      </c>
      <c r="S946" s="18" t="str">
        <f ca="1">IFERROR(__xludf.DUMMYFUNCTION("""COMPUTED_VALUE"""),"")</f>
        <v/>
      </c>
      <c r="T946" s="18" t="str">
        <f ca="1">IFERROR(__xludf.DUMMYFUNCTION("""COMPUTED_VALUE"""),"")</f>
        <v/>
      </c>
      <c r="U946" s="18" t="str">
        <f ca="1">IFERROR(__xludf.DUMMYFUNCTION("""COMPUTED_VALUE"""),"")</f>
        <v/>
      </c>
      <c r="V946" s="18" t="str">
        <f ca="1">IFERROR(__xludf.DUMMYFUNCTION("""COMPUTED_VALUE"""),"")</f>
        <v/>
      </c>
      <c r="W946" s="18" t="str">
        <f ca="1">IFERROR(__xludf.DUMMYFUNCTION("""COMPUTED_VALUE"""),"")</f>
        <v/>
      </c>
      <c r="X946" s="18" t="str">
        <f ca="1">IFERROR(__xludf.DUMMYFUNCTION("""COMPUTED_VALUE"""),"")</f>
        <v/>
      </c>
      <c r="Y946" s="18" t="e">
        <f ca="1"/>
        <v>#NAME?</v>
      </c>
      <c r="Z946" s="18" t="str">
        <f ca="1">IFERROR(__xludf.DUMMYFUNCTION("""COMPUTED_VALUE"""),"")</f>
        <v/>
      </c>
      <c r="AA946" s="18" t="str">
        <f ca="1">IFERROR(__xludf.DUMMYFUNCTION("""COMPUTED_VALUE"""),"")</f>
        <v/>
      </c>
      <c r="AC946" s="59"/>
    </row>
    <row r="947" spans="1:29" x14ac:dyDescent="0.25">
      <c r="A947" s="18">
        <v>0</v>
      </c>
      <c r="B947" s="52" t="str">
        <f ca="1"/>
        <v/>
      </c>
      <c r="C947" s="52" t="str">
        <f ca="1">IFERROR(__xludf.DUMMYFUNCTION("""COMPUTED_VALUE"""),"")</f>
        <v/>
      </c>
      <c r="D947" s="18" t="str">
        <f ca="1">IFERROR(__xludf.DUMMYFUNCTION("""COMPUTED_VALUE"""),"")</f>
        <v/>
      </c>
      <c r="E947" s="18" t="str">
        <f ca="1">IFERROR(__xludf.DUMMYFUNCTION("""COMPUTED_VALUE"""),"")</f>
        <v/>
      </c>
      <c r="F947" s="18" t="str">
        <f ca="1">IFERROR(__xludf.DUMMYFUNCTION("""COMPUTED_VALUE"""),"")</f>
        <v/>
      </c>
      <c r="G947" s="18" t="str">
        <f ca="1">IFERROR(__xludf.DUMMYFUNCTION("""COMPUTED_VALUE"""),"")</f>
        <v/>
      </c>
      <c r="H947" s="18" t="str">
        <f ca="1">IFERROR(__xludf.DUMMYFUNCTION("""COMPUTED_VALUE"""),"")</f>
        <v/>
      </c>
      <c r="I947" s="18" t="str">
        <f ca="1">IFERROR(__xludf.DUMMYFUNCTION("""COMPUTED_VALUE"""),"")</f>
        <v/>
      </c>
      <c r="J947" s="18" t="str">
        <f ca="1">IFERROR(__xludf.DUMMYFUNCTION("""COMPUTED_VALUE"""),"")</f>
        <v/>
      </c>
      <c r="K947" s="18" t="str">
        <f ca="1">IFERROR(__xludf.DUMMYFUNCTION("""COMPUTED_VALUE"""),"")</f>
        <v/>
      </c>
      <c r="L947" s="18" t="str">
        <f ca="1">IFERROR(__xludf.DUMMYFUNCTION("""COMPUTED_VALUE"""),"")</f>
        <v/>
      </c>
      <c r="M947" s="18" t="str">
        <f ca="1">IFERROR(__xludf.DUMMYFUNCTION("""COMPUTED_VALUE"""),"")</f>
        <v/>
      </c>
      <c r="N947" s="18" t="str">
        <f ca="1">IFERROR(__xludf.DUMMYFUNCTION("""COMPUTED_VALUE"""),"")</f>
        <v/>
      </c>
      <c r="O947" s="18" t="str">
        <f ca="1">IFERROR(__xludf.DUMMYFUNCTION("""COMPUTED_VALUE"""),"")</f>
        <v/>
      </c>
      <c r="P947" s="18" t="str">
        <f ca="1">IFERROR(__xludf.DUMMYFUNCTION("""COMPUTED_VALUE"""),"")</f>
        <v/>
      </c>
      <c r="Q947" s="18" t="str">
        <f ca="1">IFERROR(__xludf.DUMMYFUNCTION("""COMPUTED_VALUE"""),"")</f>
        <v/>
      </c>
      <c r="R947" s="18" t="str">
        <f ca="1">IFERROR(__xludf.DUMMYFUNCTION("""COMPUTED_VALUE"""),"")</f>
        <v/>
      </c>
      <c r="S947" s="18" t="str">
        <f ca="1">IFERROR(__xludf.DUMMYFUNCTION("""COMPUTED_VALUE"""),"")</f>
        <v/>
      </c>
      <c r="T947" s="18" t="str">
        <f ca="1">IFERROR(__xludf.DUMMYFUNCTION("""COMPUTED_VALUE"""),"")</f>
        <v/>
      </c>
      <c r="U947" s="18" t="str">
        <f ca="1">IFERROR(__xludf.DUMMYFUNCTION("""COMPUTED_VALUE"""),"")</f>
        <v/>
      </c>
      <c r="V947" s="18" t="str">
        <f ca="1">IFERROR(__xludf.DUMMYFUNCTION("""COMPUTED_VALUE"""),"")</f>
        <v/>
      </c>
      <c r="W947" s="18" t="str">
        <f ca="1">IFERROR(__xludf.DUMMYFUNCTION("""COMPUTED_VALUE"""),"")</f>
        <v/>
      </c>
      <c r="X947" s="18" t="str">
        <f ca="1">IFERROR(__xludf.DUMMYFUNCTION("""COMPUTED_VALUE"""),"")</f>
        <v/>
      </c>
      <c r="Y947" s="18" t="e">
        <f ca="1"/>
        <v>#NAME?</v>
      </c>
      <c r="Z947" s="18" t="str">
        <f ca="1">IFERROR(__xludf.DUMMYFUNCTION("""COMPUTED_VALUE"""),"")</f>
        <v/>
      </c>
      <c r="AA947" s="18" t="str">
        <f ca="1">IFERROR(__xludf.DUMMYFUNCTION("""COMPUTED_VALUE"""),"")</f>
        <v/>
      </c>
      <c r="AC947" s="59"/>
    </row>
    <row r="948" spans="1:29" x14ac:dyDescent="0.25">
      <c r="A948" s="18">
        <v>0</v>
      </c>
      <c r="B948" s="52" t="str">
        <f ca="1"/>
        <v/>
      </c>
      <c r="C948" s="52" t="str">
        <f ca="1">IFERROR(__xludf.DUMMYFUNCTION("""COMPUTED_VALUE"""),"")</f>
        <v/>
      </c>
      <c r="D948" s="18" t="str">
        <f ca="1">IFERROR(__xludf.DUMMYFUNCTION("""COMPUTED_VALUE"""),"")</f>
        <v/>
      </c>
      <c r="E948" s="18" t="str">
        <f ca="1">IFERROR(__xludf.DUMMYFUNCTION("""COMPUTED_VALUE"""),"")</f>
        <v/>
      </c>
      <c r="F948" s="18" t="str">
        <f ca="1">IFERROR(__xludf.DUMMYFUNCTION("""COMPUTED_VALUE"""),"")</f>
        <v/>
      </c>
      <c r="G948" s="18" t="str">
        <f ca="1">IFERROR(__xludf.DUMMYFUNCTION("""COMPUTED_VALUE"""),"")</f>
        <v/>
      </c>
      <c r="H948" s="18" t="str">
        <f ca="1">IFERROR(__xludf.DUMMYFUNCTION("""COMPUTED_VALUE"""),"")</f>
        <v/>
      </c>
      <c r="I948" s="18" t="str">
        <f ca="1">IFERROR(__xludf.DUMMYFUNCTION("""COMPUTED_VALUE"""),"")</f>
        <v/>
      </c>
      <c r="J948" s="18" t="str">
        <f ca="1">IFERROR(__xludf.DUMMYFUNCTION("""COMPUTED_VALUE"""),"")</f>
        <v/>
      </c>
      <c r="K948" s="18" t="str">
        <f ca="1">IFERROR(__xludf.DUMMYFUNCTION("""COMPUTED_VALUE"""),"")</f>
        <v/>
      </c>
      <c r="L948" s="18" t="str">
        <f ca="1">IFERROR(__xludf.DUMMYFUNCTION("""COMPUTED_VALUE"""),"")</f>
        <v/>
      </c>
      <c r="M948" s="18" t="str">
        <f ca="1">IFERROR(__xludf.DUMMYFUNCTION("""COMPUTED_VALUE"""),"")</f>
        <v/>
      </c>
      <c r="N948" s="18" t="str">
        <f ca="1">IFERROR(__xludf.DUMMYFUNCTION("""COMPUTED_VALUE"""),"")</f>
        <v/>
      </c>
      <c r="O948" s="18" t="str">
        <f ca="1">IFERROR(__xludf.DUMMYFUNCTION("""COMPUTED_VALUE"""),"")</f>
        <v/>
      </c>
      <c r="P948" s="18" t="str">
        <f ca="1">IFERROR(__xludf.DUMMYFUNCTION("""COMPUTED_VALUE"""),"")</f>
        <v/>
      </c>
      <c r="Q948" s="18" t="str">
        <f ca="1">IFERROR(__xludf.DUMMYFUNCTION("""COMPUTED_VALUE"""),"")</f>
        <v/>
      </c>
      <c r="R948" s="18" t="str">
        <f ca="1">IFERROR(__xludf.DUMMYFUNCTION("""COMPUTED_VALUE"""),"")</f>
        <v/>
      </c>
      <c r="S948" s="18" t="str">
        <f ca="1">IFERROR(__xludf.DUMMYFUNCTION("""COMPUTED_VALUE"""),"")</f>
        <v/>
      </c>
      <c r="T948" s="18" t="str">
        <f ca="1">IFERROR(__xludf.DUMMYFUNCTION("""COMPUTED_VALUE"""),"")</f>
        <v/>
      </c>
      <c r="U948" s="18" t="str">
        <f ca="1">IFERROR(__xludf.DUMMYFUNCTION("""COMPUTED_VALUE"""),"")</f>
        <v/>
      </c>
      <c r="V948" s="18" t="str">
        <f ca="1">IFERROR(__xludf.DUMMYFUNCTION("""COMPUTED_VALUE"""),"")</f>
        <v/>
      </c>
      <c r="W948" s="18" t="str">
        <f ca="1">IFERROR(__xludf.DUMMYFUNCTION("""COMPUTED_VALUE"""),"")</f>
        <v/>
      </c>
      <c r="X948" s="18" t="str">
        <f ca="1">IFERROR(__xludf.DUMMYFUNCTION("""COMPUTED_VALUE"""),"")</f>
        <v/>
      </c>
      <c r="Y948" s="18" t="e">
        <f ca="1"/>
        <v>#NAME?</v>
      </c>
      <c r="Z948" s="18" t="str">
        <f ca="1">IFERROR(__xludf.DUMMYFUNCTION("""COMPUTED_VALUE"""),"")</f>
        <v/>
      </c>
      <c r="AA948" s="18" t="str">
        <f ca="1">IFERROR(__xludf.DUMMYFUNCTION("""COMPUTED_VALUE"""),"")</f>
        <v/>
      </c>
      <c r="AC948" s="59"/>
    </row>
    <row r="949" spans="1:29" x14ac:dyDescent="0.25">
      <c r="A949" s="18">
        <v>0</v>
      </c>
      <c r="B949" s="52" t="str">
        <f ca="1"/>
        <v/>
      </c>
      <c r="C949" s="52" t="str">
        <f ca="1">IFERROR(__xludf.DUMMYFUNCTION("""COMPUTED_VALUE"""),"")</f>
        <v/>
      </c>
      <c r="D949" s="18" t="str">
        <f ca="1">IFERROR(__xludf.DUMMYFUNCTION("""COMPUTED_VALUE"""),"")</f>
        <v/>
      </c>
      <c r="E949" s="18" t="str">
        <f ca="1">IFERROR(__xludf.DUMMYFUNCTION("""COMPUTED_VALUE"""),"")</f>
        <v/>
      </c>
      <c r="F949" s="18" t="str">
        <f ca="1">IFERROR(__xludf.DUMMYFUNCTION("""COMPUTED_VALUE"""),"")</f>
        <v/>
      </c>
      <c r="G949" s="18" t="str">
        <f ca="1">IFERROR(__xludf.DUMMYFUNCTION("""COMPUTED_VALUE"""),"")</f>
        <v/>
      </c>
      <c r="H949" s="18" t="str">
        <f ca="1">IFERROR(__xludf.DUMMYFUNCTION("""COMPUTED_VALUE"""),"")</f>
        <v/>
      </c>
      <c r="I949" s="18" t="str">
        <f ca="1">IFERROR(__xludf.DUMMYFUNCTION("""COMPUTED_VALUE"""),"")</f>
        <v/>
      </c>
      <c r="J949" s="18" t="str">
        <f ca="1">IFERROR(__xludf.DUMMYFUNCTION("""COMPUTED_VALUE"""),"")</f>
        <v/>
      </c>
      <c r="K949" s="18" t="str">
        <f ca="1">IFERROR(__xludf.DUMMYFUNCTION("""COMPUTED_VALUE"""),"")</f>
        <v/>
      </c>
      <c r="L949" s="18" t="str">
        <f ca="1">IFERROR(__xludf.DUMMYFUNCTION("""COMPUTED_VALUE"""),"")</f>
        <v/>
      </c>
      <c r="M949" s="18" t="str">
        <f ca="1">IFERROR(__xludf.DUMMYFUNCTION("""COMPUTED_VALUE"""),"")</f>
        <v/>
      </c>
      <c r="N949" s="18" t="str">
        <f ca="1">IFERROR(__xludf.DUMMYFUNCTION("""COMPUTED_VALUE"""),"")</f>
        <v/>
      </c>
      <c r="O949" s="18" t="str">
        <f ca="1">IFERROR(__xludf.DUMMYFUNCTION("""COMPUTED_VALUE"""),"")</f>
        <v/>
      </c>
      <c r="P949" s="18" t="str">
        <f ca="1">IFERROR(__xludf.DUMMYFUNCTION("""COMPUTED_VALUE"""),"")</f>
        <v/>
      </c>
      <c r="Q949" s="18" t="str">
        <f ca="1">IFERROR(__xludf.DUMMYFUNCTION("""COMPUTED_VALUE"""),"")</f>
        <v/>
      </c>
      <c r="R949" s="18" t="str">
        <f ca="1">IFERROR(__xludf.DUMMYFUNCTION("""COMPUTED_VALUE"""),"")</f>
        <v/>
      </c>
      <c r="S949" s="18" t="str">
        <f ca="1">IFERROR(__xludf.DUMMYFUNCTION("""COMPUTED_VALUE"""),"")</f>
        <v/>
      </c>
      <c r="T949" s="18" t="str">
        <f ca="1">IFERROR(__xludf.DUMMYFUNCTION("""COMPUTED_VALUE"""),"")</f>
        <v/>
      </c>
      <c r="U949" s="18" t="str">
        <f ca="1">IFERROR(__xludf.DUMMYFUNCTION("""COMPUTED_VALUE"""),"")</f>
        <v/>
      </c>
      <c r="V949" s="18" t="str">
        <f ca="1">IFERROR(__xludf.DUMMYFUNCTION("""COMPUTED_VALUE"""),"")</f>
        <v/>
      </c>
      <c r="W949" s="18" t="str">
        <f ca="1">IFERROR(__xludf.DUMMYFUNCTION("""COMPUTED_VALUE"""),"")</f>
        <v/>
      </c>
      <c r="X949" s="18" t="str">
        <f ca="1">IFERROR(__xludf.DUMMYFUNCTION("""COMPUTED_VALUE"""),"")</f>
        <v/>
      </c>
      <c r="Y949" s="18" t="e">
        <f ca="1"/>
        <v>#NAME?</v>
      </c>
      <c r="Z949" s="18" t="str">
        <f ca="1">IFERROR(__xludf.DUMMYFUNCTION("""COMPUTED_VALUE"""),"")</f>
        <v/>
      </c>
      <c r="AA949" s="18" t="str">
        <f ca="1">IFERROR(__xludf.DUMMYFUNCTION("""COMPUTED_VALUE"""),"")</f>
        <v/>
      </c>
      <c r="AC949" s="59"/>
    </row>
    <row r="950" spans="1:29" x14ac:dyDescent="0.25">
      <c r="A950" s="18">
        <v>0</v>
      </c>
      <c r="B950" s="52" t="str">
        <f ca="1"/>
        <v/>
      </c>
      <c r="C950" s="52" t="str">
        <f ca="1">IFERROR(__xludf.DUMMYFUNCTION("""COMPUTED_VALUE"""),"")</f>
        <v/>
      </c>
      <c r="D950" s="18" t="str">
        <f ca="1">IFERROR(__xludf.DUMMYFUNCTION("""COMPUTED_VALUE"""),"")</f>
        <v/>
      </c>
      <c r="E950" s="18" t="str">
        <f ca="1">IFERROR(__xludf.DUMMYFUNCTION("""COMPUTED_VALUE"""),"")</f>
        <v/>
      </c>
      <c r="F950" s="18" t="str">
        <f ca="1">IFERROR(__xludf.DUMMYFUNCTION("""COMPUTED_VALUE"""),"")</f>
        <v/>
      </c>
      <c r="G950" s="18" t="str">
        <f ca="1">IFERROR(__xludf.DUMMYFUNCTION("""COMPUTED_VALUE"""),"")</f>
        <v/>
      </c>
      <c r="H950" s="18" t="str">
        <f ca="1">IFERROR(__xludf.DUMMYFUNCTION("""COMPUTED_VALUE"""),"")</f>
        <v/>
      </c>
      <c r="I950" s="18" t="str">
        <f ca="1">IFERROR(__xludf.DUMMYFUNCTION("""COMPUTED_VALUE"""),"")</f>
        <v/>
      </c>
      <c r="J950" s="18" t="str">
        <f ca="1">IFERROR(__xludf.DUMMYFUNCTION("""COMPUTED_VALUE"""),"")</f>
        <v/>
      </c>
      <c r="K950" s="18" t="str">
        <f ca="1">IFERROR(__xludf.DUMMYFUNCTION("""COMPUTED_VALUE"""),"")</f>
        <v/>
      </c>
      <c r="L950" s="18" t="str">
        <f ca="1">IFERROR(__xludf.DUMMYFUNCTION("""COMPUTED_VALUE"""),"")</f>
        <v/>
      </c>
      <c r="M950" s="18" t="str">
        <f ca="1">IFERROR(__xludf.DUMMYFUNCTION("""COMPUTED_VALUE"""),"")</f>
        <v/>
      </c>
      <c r="N950" s="18" t="str">
        <f ca="1">IFERROR(__xludf.DUMMYFUNCTION("""COMPUTED_VALUE"""),"")</f>
        <v/>
      </c>
      <c r="O950" s="18" t="str">
        <f ca="1">IFERROR(__xludf.DUMMYFUNCTION("""COMPUTED_VALUE"""),"")</f>
        <v/>
      </c>
      <c r="P950" s="18" t="str">
        <f ca="1">IFERROR(__xludf.DUMMYFUNCTION("""COMPUTED_VALUE"""),"")</f>
        <v/>
      </c>
      <c r="Q950" s="18" t="str">
        <f ca="1">IFERROR(__xludf.DUMMYFUNCTION("""COMPUTED_VALUE"""),"")</f>
        <v/>
      </c>
      <c r="R950" s="18" t="str">
        <f ca="1">IFERROR(__xludf.DUMMYFUNCTION("""COMPUTED_VALUE"""),"")</f>
        <v/>
      </c>
      <c r="S950" s="18" t="str">
        <f ca="1">IFERROR(__xludf.DUMMYFUNCTION("""COMPUTED_VALUE"""),"")</f>
        <v/>
      </c>
      <c r="T950" s="18" t="str">
        <f ca="1">IFERROR(__xludf.DUMMYFUNCTION("""COMPUTED_VALUE"""),"")</f>
        <v/>
      </c>
      <c r="U950" s="18" t="str">
        <f ca="1">IFERROR(__xludf.DUMMYFUNCTION("""COMPUTED_VALUE"""),"")</f>
        <v/>
      </c>
      <c r="V950" s="18" t="str">
        <f ca="1">IFERROR(__xludf.DUMMYFUNCTION("""COMPUTED_VALUE"""),"")</f>
        <v/>
      </c>
      <c r="W950" s="18" t="str">
        <f ca="1">IFERROR(__xludf.DUMMYFUNCTION("""COMPUTED_VALUE"""),"")</f>
        <v/>
      </c>
      <c r="X950" s="18" t="str">
        <f ca="1">IFERROR(__xludf.DUMMYFUNCTION("""COMPUTED_VALUE"""),"")</f>
        <v/>
      </c>
      <c r="Y950" s="18" t="e">
        <f ca="1"/>
        <v>#NAME?</v>
      </c>
      <c r="Z950" s="18" t="str">
        <f ca="1">IFERROR(__xludf.DUMMYFUNCTION("""COMPUTED_VALUE"""),"")</f>
        <v/>
      </c>
      <c r="AA950" s="18" t="str">
        <f ca="1">IFERROR(__xludf.DUMMYFUNCTION("""COMPUTED_VALUE"""),"")</f>
        <v/>
      </c>
      <c r="AC950" s="59"/>
    </row>
    <row r="951" spans="1:29" x14ac:dyDescent="0.25">
      <c r="A951" s="18">
        <v>0</v>
      </c>
      <c r="B951" s="52" t="str">
        <f ca="1"/>
        <v/>
      </c>
      <c r="C951" s="52" t="str">
        <f ca="1">IFERROR(__xludf.DUMMYFUNCTION("""COMPUTED_VALUE"""),"")</f>
        <v/>
      </c>
      <c r="D951" s="18" t="str">
        <f ca="1">IFERROR(__xludf.DUMMYFUNCTION("""COMPUTED_VALUE"""),"")</f>
        <v/>
      </c>
      <c r="E951" s="18" t="str">
        <f ca="1">IFERROR(__xludf.DUMMYFUNCTION("""COMPUTED_VALUE"""),"")</f>
        <v/>
      </c>
      <c r="F951" s="18" t="str">
        <f ca="1">IFERROR(__xludf.DUMMYFUNCTION("""COMPUTED_VALUE"""),"")</f>
        <v/>
      </c>
      <c r="G951" s="18" t="str">
        <f ca="1">IFERROR(__xludf.DUMMYFUNCTION("""COMPUTED_VALUE"""),"")</f>
        <v/>
      </c>
      <c r="H951" s="18" t="str">
        <f ca="1">IFERROR(__xludf.DUMMYFUNCTION("""COMPUTED_VALUE"""),"")</f>
        <v/>
      </c>
      <c r="I951" s="18" t="str">
        <f ca="1">IFERROR(__xludf.DUMMYFUNCTION("""COMPUTED_VALUE"""),"")</f>
        <v/>
      </c>
      <c r="J951" s="18" t="str">
        <f ca="1">IFERROR(__xludf.DUMMYFUNCTION("""COMPUTED_VALUE"""),"")</f>
        <v/>
      </c>
      <c r="K951" s="18" t="str">
        <f ca="1">IFERROR(__xludf.DUMMYFUNCTION("""COMPUTED_VALUE"""),"")</f>
        <v/>
      </c>
      <c r="L951" s="18" t="str">
        <f ca="1">IFERROR(__xludf.DUMMYFUNCTION("""COMPUTED_VALUE"""),"")</f>
        <v/>
      </c>
      <c r="M951" s="18" t="str">
        <f ca="1">IFERROR(__xludf.DUMMYFUNCTION("""COMPUTED_VALUE"""),"")</f>
        <v/>
      </c>
      <c r="N951" s="18" t="str">
        <f ca="1">IFERROR(__xludf.DUMMYFUNCTION("""COMPUTED_VALUE"""),"")</f>
        <v/>
      </c>
      <c r="O951" s="18" t="str">
        <f ca="1">IFERROR(__xludf.DUMMYFUNCTION("""COMPUTED_VALUE"""),"")</f>
        <v/>
      </c>
      <c r="P951" s="18" t="str">
        <f ca="1">IFERROR(__xludf.DUMMYFUNCTION("""COMPUTED_VALUE"""),"")</f>
        <v/>
      </c>
      <c r="Q951" s="18" t="str">
        <f ca="1">IFERROR(__xludf.DUMMYFUNCTION("""COMPUTED_VALUE"""),"")</f>
        <v/>
      </c>
      <c r="R951" s="18" t="str">
        <f ca="1">IFERROR(__xludf.DUMMYFUNCTION("""COMPUTED_VALUE"""),"")</f>
        <v/>
      </c>
      <c r="S951" s="18" t="str">
        <f ca="1">IFERROR(__xludf.DUMMYFUNCTION("""COMPUTED_VALUE"""),"")</f>
        <v/>
      </c>
      <c r="T951" s="18" t="str">
        <f ca="1">IFERROR(__xludf.DUMMYFUNCTION("""COMPUTED_VALUE"""),"")</f>
        <v/>
      </c>
      <c r="U951" s="18" t="str">
        <f ca="1">IFERROR(__xludf.DUMMYFUNCTION("""COMPUTED_VALUE"""),"")</f>
        <v/>
      </c>
      <c r="V951" s="18" t="str">
        <f ca="1">IFERROR(__xludf.DUMMYFUNCTION("""COMPUTED_VALUE"""),"")</f>
        <v/>
      </c>
      <c r="W951" s="18" t="str">
        <f ca="1">IFERROR(__xludf.DUMMYFUNCTION("""COMPUTED_VALUE"""),"")</f>
        <v/>
      </c>
      <c r="X951" s="18" t="str">
        <f ca="1">IFERROR(__xludf.DUMMYFUNCTION("""COMPUTED_VALUE"""),"")</f>
        <v/>
      </c>
      <c r="Y951" s="18" t="e">
        <f ca="1"/>
        <v>#NAME?</v>
      </c>
      <c r="Z951" s="18" t="str">
        <f ca="1">IFERROR(__xludf.DUMMYFUNCTION("""COMPUTED_VALUE"""),"")</f>
        <v/>
      </c>
      <c r="AA951" s="18" t="str">
        <f ca="1">IFERROR(__xludf.DUMMYFUNCTION("""COMPUTED_VALUE"""),"")</f>
        <v/>
      </c>
      <c r="AC951" s="59"/>
    </row>
    <row r="952" spans="1:29" x14ac:dyDescent="0.25">
      <c r="A952" s="18">
        <v>0</v>
      </c>
      <c r="B952" s="52" t="str">
        <f ca="1"/>
        <v/>
      </c>
      <c r="C952" s="52" t="str">
        <f ca="1">IFERROR(__xludf.DUMMYFUNCTION("""COMPUTED_VALUE"""),"")</f>
        <v/>
      </c>
      <c r="D952" s="18" t="str">
        <f ca="1">IFERROR(__xludf.DUMMYFUNCTION("""COMPUTED_VALUE"""),"")</f>
        <v/>
      </c>
      <c r="E952" s="18" t="str">
        <f ca="1">IFERROR(__xludf.DUMMYFUNCTION("""COMPUTED_VALUE"""),"")</f>
        <v/>
      </c>
      <c r="F952" s="18" t="str">
        <f ca="1">IFERROR(__xludf.DUMMYFUNCTION("""COMPUTED_VALUE"""),"")</f>
        <v/>
      </c>
      <c r="G952" s="18" t="str">
        <f ca="1">IFERROR(__xludf.DUMMYFUNCTION("""COMPUTED_VALUE"""),"")</f>
        <v/>
      </c>
      <c r="H952" s="18" t="str">
        <f ca="1">IFERROR(__xludf.DUMMYFUNCTION("""COMPUTED_VALUE"""),"")</f>
        <v/>
      </c>
      <c r="I952" s="18" t="str">
        <f ca="1">IFERROR(__xludf.DUMMYFUNCTION("""COMPUTED_VALUE"""),"")</f>
        <v/>
      </c>
      <c r="J952" s="18" t="str">
        <f ca="1">IFERROR(__xludf.DUMMYFUNCTION("""COMPUTED_VALUE"""),"")</f>
        <v/>
      </c>
      <c r="K952" s="18" t="str">
        <f ca="1">IFERROR(__xludf.DUMMYFUNCTION("""COMPUTED_VALUE"""),"")</f>
        <v/>
      </c>
      <c r="L952" s="18" t="str">
        <f ca="1">IFERROR(__xludf.DUMMYFUNCTION("""COMPUTED_VALUE"""),"")</f>
        <v/>
      </c>
      <c r="M952" s="18" t="str">
        <f ca="1">IFERROR(__xludf.DUMMYFUNCTION("""COMPUTED_VALUE"""),"")</f>
        <v/>
      </c>
      <c r="N952" s="18" t="str">
        <f ca="1">IFERROR(__xludf.DUMMYFUNCTION("""COMPUTED_VALUE"""),"")</f>
        <v/>
      </c>
      <c r="O952" s="18" t="str">
        <f ca="1">IFERROR(__xludf.DUMMYFUNCTION("""COMPUTED_VALUE"""),"")</f>
        <v/>
      </c>
      <c r="P952" s="18" t="str">
        <f ca="1">IFERROR(__xludf.DUMMYFUNCTION("""COMPUTED_VALUE"""),"")</f>
        <v/>
      </c>
      <c r="Q952" s="18" t="str">
        <f ca="1">IFERROR(__xludf.DUMMYFUNCTION("""COMPUTED_VALUE"""),"")</f>
        <v/>
      </c>
      <c r="R952" s="18" t="str">
        <f ca="1">IFERROR(__xludf.DUMMYFUNCTION("""COMPUTED_VALUE"""),"")</f>
        <v/>
      </c>
      <c r="S952" s="18" t="str">
        <f ca="1">IFERROR(__xludf.DUMMYFUNCTION("""COMPUTED_VALUE"""),"")</f>
        <v/>
      </c>
      <c r="T952" s="18" t="str">
        <f ca="1">IFERROR(__xludf.DUMMYFUNCTION("""COMPUTED_VALUE"""),"")</f>
        <v/>
      </c>
      <c r="U952" s="18" t="str">
        <f ca="1">IFERROR(__xludf.DUMMYFUNCTION("""COMPUTED_VALUE"""),"")</f>
        <v/>
      </c>
      <c r="V952" s="18" t="str">
        <f ca="1">IFERROR(__xludf.DUMMYFUNCTION("""COMPUTED_VALUE"""),"")</f>
        <v/>
      </c>
      <c r="W952" s="18" t="str">
        <f ca="1">IFERROR(__xludf.DUMMYFUNCTION("""COMPUTED_VALUE"""),"")</f>
        <v/>
      </c>
      <c r="X952" s="18" t="str">
        <f ca="1">IFERROR(__xludf.DUMMYFUNCTION("""COMPUTED_VALUE"""),"")</f>
        <v/>
      </c>
      <c r="Y952" s="18" t="e">
        <f ca="1"/>
        <v>#NAME?</v>
      </c>
      <c r="Z952" s="18" t="str">
        <f ca="1">IFERROR(__xludf.DUMMYFUNCTION("""COMPUTED_VALUE"""),"")</f>
        <v/>
      </c>
      <c r="AA952" s="18" t="str">
        <f ca="1">IFERROR(__xludf.DUMMYFUNCTION("""COMPUTED_VALUE"""),"")</f>
        <v/>
      </c>
      <c r="AC952" s="59"/>
    </row>
    <row r="953" spans="1:29" x14ac:dyDescent="0.25">
      <c r="A953" s="18">
        <v>0</v>
      </c>
      <c r="B953" s="52" t="str">
        <f ca="1"/>
        <v/>
      </c>
      <c r="C953" s="52" t="str">
        <f ca="1">IFERROR(__xludf.DUMMYFUNCTION("""COMPUTED_VALUE"""),"")</f>
        <v/>
      </c>
      <c r="D953" s="18" t="str">
        <f ca="1">IFERROR(__xludf.DUMMYFUNCTION("""COMPUTED_VALUE"""),"")</f>
        <v/>
      </c>
      <c r="E953" s="18" t="str">
        <f ca="1">IFERROR(__xludf.DUMMYFUNCTION("""COMPUTED_VALUE"""),"")</f>
        <v/>
      </c>
      <c r="F953" s="18" t="str">
        <f ca="1">IFERROR(__xludf.DUMMYFUNCTION("""COMPUTED_VALUE"""),"")</f>
        <v/>
      </c>
      <c r="G953" s="18" t="str">
        <f ca="1">IFERROR(__xludf.DUMMYFUNCTION("""COMPUTED_VALUE"""),"")</f>
        <v/>
      </c>
      <c r="H953" s="18" t="str">
        <f ca="1">IFERROR(__xludf.DUMMYFUNCTION("""COMPUTED_VALUE"""),"")</f>
        <v/>
      </c>
      <c r="I953" s="18" t="str">
        <f ca="1">IFERROR(__xludf.DUMMYFUNCTION("""COMPUTED_VALUE"""),"")</f>
        <v/>
      </c>
      <c r="J953" s="18" t="str">
        <f ca="1">IFERROR(__xludf.DUMMYFUNCTION("""COMPUTED_VALUE"""),"")</f>
        <v/>
      </c>
      <c r="K953" s="18" t="str">
        <f ca="1">IFERROR(__xludf.DUMMYFUNCTION("""COMPUTED_VALUE"""),"")</f>
        <v/>
      </c>
      <c r="L953" s="18" t="str">
        <f ca="1">IFERROR(__xludf.DUMMYFUNCTION("""COMPUTED_VALUE"""),"")</f>
        <v/>
      </c>
      <c r="M953" s="18" t="str">
        <f ca="1">IFERROR(__xludf.DUMMYFUNCTION("""COMPUTED_VALUE"""),"")</f>
        <v/>
      </c>
      <c r="N953" s="18" t="str">
        <f ca="1">IFERROR(__xludf.DUMMYFUNCTION("""COMPUTED_VALUE"""),"")</f>
        <v/>
      </c>
      <c r="O953" s="18" t="str">
        <f ca="1">IFERROR(__xludf.DUMMYFUNCTION("""COMPUTED_VALUE"""),"")</f>
        <v/>
      </c>
      <c r="P953" s="18" t="str">
        <f ca="1">IFERROR(__xludf.DUMMYFUNCTION("""COMPUTED_VALUE"""),"")</f>
        <v/>
      </c>
      <c r="Q953" s="18" t="str">
        <f ca="1">IFERROR(__xludf.DUMMYFUNCTION("""COMPUTED_VALUE"""),"")</f>
        <v/>
      </c>
      <c r="R953" s="18" t="str">
        <f ca="1">IFERROR(__xludf.DUMMYFUNCTION("""COMPUTED_VALUE"""),"")</f>
        <v/>
      </c>
      <c r="S953" s="18" t="str">
        <f ca="1">IFERROR(__xludf.DUMMYFUNCTION("""COMPUTED_VALUE"""),"")</f>
        <v/>
      </c>
      <c r="T953" s="18" t="str">
        <f ca="1">IFERROR(__xludf.DUMMYFUNCTION("""COMPUTED_VALUE"""),"")</f>
        <v/>
      </c>
      <c r="U953" s="18" t="str">
        <f ca="1">IFERROR(__xludf.DUMMYFUNCTION("""COMPUTED_VALUE"""),"")</f>
        <v/>
      </c>
      <c r="V953" s="18" t="str">
        <f ca="1">IFERROR(__xludf.DUMMYFUNCTION("""COMPUTED_VALUE"""),"")</f>
        <v/>
      </c>
      <c r="W953" s="18" t="str">
        <f ca="1">IFERROR(__xludf.DUMMYFUNCTION("""COMPUTED_VALUE"""),"")</f>
        <v/>
      </c>
      <c r="X953" s="18" t="str">
        <f ca="1">IFERROR(__xludf.DUMMYFUNCTION("""COMPUTED_VALUE"""),"")</f>
        <v/>
      </c>
      <c r="Y953" s="18" t="e">
        <f ca="1"/>
        <v>#NAME?</v>
      </c>
      <c r="Z953" s="18" t="str">
        <f ca="1">IFERROR(__xludf.DUMMYFUNCTION("""COMPUTED_VALUE"""),"")</f>
        <v/>
      </c>
      <c r="AA953" s="18" t="str">
        <f ca="1">IFERROR(__xludf.DUMMYFUNCTION("""COMPUTED_VALUE"""),"")</f>
        <v/>
      </c>
      <c r="AC953" s="59"/>
    </row>
    <row r="954" spans="1:29" x14ac:dyDescent="0.25">
      <c r="A954" s="18">
        <v>0</v>
      </c>
      <c r="B954" s="52" t="str">
        <f ca="1"/>
        <v/>
      </c>
      <c r="C954" s="52" t="str">
        <f ca="1">IFERROR(__xludf.DUMMYFUNCTION("""COMPUTED_VALUE"""),"")</f>
        <v/>
      </c>
      <c r="D954" s="18" t="str">
        <f ca="1">IFERROR(__xludf.DUMMYFUNCTION("""COMPUTED_VALUE"""),"")</f>
        <v/>
      </c>
      <c r="E954" s="18" t="str">
        <f ca="1">IFERROR(__xludf.DUMMYFUNCTION("""COMPUTED_VALUE"""),"")</f>
        <v/>
      </c>
      <c r="F954" s="18" t="str">
        <f ca="1">IFERROR(__xludf.DUMMYFUNCTION("""COMPUTED_VALUE"""),"")</f>
        <v/>
      </c>
      <c r="G954" s="18" t="str">
        <f ca="1">IFERROR(__xludf.DUMMYFUNCTION("""COMPUTED_VALUE"""),"")</f>
        <v/>
      </c>
      <c r="H954" s="18" t="str">
        <f ca="1">IFERROR(__xludf.DUMMYFUNCTION("""COMPUTED_VALUE"""),"")</f>
        <v/>
      </c>
      <c r="I954" s="18" t="str">
        <f ca="1">IFERROR(__xludf.DUMMYFUNCTION("""COMPUTED_VALUE"""),"")</f>
        <v/>
      </c>
      <c r="J954" s="18" t="str">
        <f ca="1">IFERROR(__xludf.DUMMYFUNCTION("""COMPUTED_VALUE"""),"")</f>
        <v/>
      </c>
      <c r="K954" s="18" t="str">
        <f ca="1">IFERROR(__xludf.DUMMYFUNCTION("""COMPUTED_VALUE"""),"")</f>
        <v/>
      </c>
      <c r="L954" s="18" t="str">
        <f ca="1">IFERROR(__xludf.DUMMYFUNCTION("""COMPUTED_VALUE"""),"")</f>
        <v/>
      </c>
      <c r="M954" s="18" t="str">
        <f ca="1">IFERROR(__xludf.DUMMYFUNCTION("""COMPUTED_VALUE"""),"")</f>
        <v/>
      </c>
      <c r="N954" s="18" t="str">
        <f ca="1">IFERROR(__xludf.DUMMYFUNCTION("""COMPUTED_VALUE"""),"")</f>
        <v/>
      </c>
      <c r="O954" s="18" t="str">
        <f ca="1">IFERROR(__xludf.DUMMYFUNCTION("""COMPUTED_VALUE"""),"")</f>
        <v/>
      </c>
      <c r="P954" s="18" t="str">
        <f ca="1">IFERROR(__xludf.DUMMYFUNCTION("""COMPUTED_VALUE"""),"")</f>
        <v/>
      </c>
      <c r="Q954" s="18" t="str">
        <f ca="1">IFERROR(__xludf.DUMMYFUNCTION("""COMPUTED_VALUE"""),"")</f>
        <v/>
      </c>
      <c r="R954" s="18" t="str">
        <f ca="1">IFERROR(__xludf.DUMMYFUNCTION("""COMPUTED_VALUE"""),"")</f>
        <v/>
      </c>
      <c r="S954" s="18" t="str">
        <f ca="1">IFERROR(__xludf.DUMMYFUNCTION("""COMPUTED_VALUE"""),"")</f>
        <v/>
      </c>
      <c r="T954" s="18" t="str">
        <f ca="1">IFERROR(__xludf.DUMMYFUNCTION("""COMPUTED_VALUE"""),"")</f>
        <v/>
      </c>
      <c r="U954" s="18" t="str">
        <f ca="1">IFERROR(__xludf.DUMMYFUNCTION("""COMPUTED_VALUE"""),"")</f>
        <v/>
      </c>
      <c r="V954" s="18" t="str">
        <f ca="1">IFERROR(__xludf.DUMMYFUNCTION("""COMPUTED_VALUE"""),"")</f>
        <v/>
      </c>
      <c r="W954" s="18" t="str">
        <f ca="1">IFERROR(__xludf.DUMMYFUNCTION("""COMPUTED_VALUE"""),"")</f>
        <v/>
      </c>
      <c r="X954" s="18" t="str">
        <f ca="1">IFERROR(__xludf.DUMMYFUNCTION("""COMPUTED_VALUE"""),"")</f>
        <v/>
      </c>
      <c r="Y954" s="18" t="e">
        <f ca="1"/>
        <v>#NAME?</v>
      </c>
      <c r="Z954" s="18" t="str">
        <f ca="1">IFERROR(__xludf.DUMMYFUNCTION("""COMPUTED_VALUE"""),"")</f>
        <v/>
      </c>
      <c r="AA954" s="18" t="str">
        <f ca="1">IFERROR(__xludf.DUMMYFUNCTION("""COMPUTED_VALUE"""),"")</f>
        <v/>
      </c>
      <c r="AC954" s="59"/>
    </row>
    <row r="955" spans="1:29" x14ac:dyDescent="0.25">
      <c r="A955" s="18">
        <v>0</v>
      </c>
      <c r="B955" s="52" t="str">
        <f ca="1"/>
        <v/>
      </c>
      <c r="C955" s="52" t="str">
        <f ca="1">IFERROR(__xludf.DUMMYFUNCTION("""COMPUTED_VALUE"""),"")</f>
        <v/>
      </c>
      <c r="D955" s="18" t="str">
        <f ca="1">IFERROR(__xludf.DUMMYFUNCTION("""COMPUTED_VALUE"""),"")</f>
        <v/>
      </c>
      <c r="E955" s="18" t="str">
        <f ca="1">IFERROR(__xludf.DUMMYFUNCTION("""COMPUTED_VALUE"""),"")</f>
        <v/>
      </c>
      <c r="F955" s="18" t="str">
        <f ca="1">IFERROR(__xludf.DUMMYFUNCTION("""COMPUTED_VALUE"""),"")</f>
        <v/>
      </c>
      <c r="G955" s="18" t="str">
        <f ca="1">IFERROR(__xludf.DUMMYFUNCTION("""COMPUTED_VALUE"""),"")</f>
        <v/>
      </c>
      <c r="H955" s="18" t="str">
        <f ca="1">IFERROR(__xludf.DUMMYFUNCTION("""COMPUTED_VALUE"""),"")</f>
        <v/>
      </c>
      <c r="I955" s="18" t="str">
        <f ca="1">IFERROR(__xludf.DUMMYFUNCTION("""COMPUTED_VALUE"""),"")</f>
        <v/>
      </c>
      <c r="J955" s="18" t="str">
        <f ca="1">IFERROR(__xludf.DUMMYFUNCTION("""COMPUTED_VALUE"""),"")</f>
        <v/>
      </c>
      <c r="K955" s="18" t="str">
        <f ca="1">IFERROR(__xludf.DUMMYFUNCTION("""COMPUTED_VALUE"""),"")</f>
        <v/>
      </c>
      <c r="L955" s="18" t="str">
        <f ca="1">IFERROR(__xludf.DUMMYFUNCTION("""COMPUTED_VALUE"""),"")</f>
        <v/>
      </c>
      <c r="M955" s="18" t="str">
        <f ca="1">IFERROR(__xludf.DUMMYFUNCTION("""COMPUTED_VALUE"""),"")</f>
        <v/>
      </c>
      <c r="N955" s="18" t="str">
        <f ca="1">IFERROR(__xludf.DUMMYFUNCTION("""COMPUTED_VALUE"""),"")</f>
        <v/>
      </c>
      <c r="O955" s="18" t="str">
        <f ca="1">IFERROR(__xludf.DUMMYFUNCTION("""COMPUTED_VALUE"""),"")</f>
        <v/>
      </c>
      <c r="P955" s="18" t="str">
        <f ca="1">IFERROR(__xludf.DUMMYFUNCTION("""COMPUTED_VALUE"""),"")</f>
        <v/>
      </c>
      <c r="Q955" s="18" t="str">
        <f ca="1">IFERROR(__xludf.DUMMYFUNCTION("""COMPUTED_VALUE"""),"")</f>
        <v/>
      </c>
      <c r="R955" s="18" t="str">
        <f ca="1">IFERROR(__xludf.DUMMYFUNCTION("""COMPUTED_VALUE"""),"")</f>
        <v/>
      </c>
      <c r="S955" s="18" t="str">
        <f ca="1">IFERROR(__xludf.DUMMYFUNCTION("""COMPUTED_VALUE"""),"")</f>
        <v/>
      </c>
      <c r="T955" s="18" t="str">
        <f ca="1">IFERROR(__xludf.DUMMYFUNCTION("""COMPUTED_VALUE"""),"")</f>
        <v/>
      </c>
      <c r="U955" s="18" t="str">
        <f ca="1">IFERROR(__xludf.DUMMYFUNCTION("""COMPUTED_VALUE"""),"")</f>
        <v/>
      </c>
      <c r="V955" s="18" t="str">
        <f ca="1">IFERROR(__xludf.DUMMYFUNCTION("""COMPUTED_VALUE"""),"")</f>
        <v/>
      </c>
      <c r="W955" s="18" t="str">
        <f ca="1">IFERROR(__xludf.DUMMYFUNCTION("""COMPUTED_VALUE"""),"")</f>
        <v/>
      </c>
      <c r="X955" s="18" t="str">
        <f ca="1">IFERROR(__xludf.DUMMYFUNCTION("""COMPUTED_VALUE"""),"")</f>
        <v/>
      </c>
      <c r="Y955" s="18" t="e">
        <f ca="1"/>
        <v>#NAME?</v>
      </c>
      <c r="Z955" s="18" t="str">
        <f ca="1">IFERROR(__xludf.DUMMYFUNCTION("""COMPUTED_VALUE"""),"")</f>
        <v/>
      </c>
      <c r="AA955" s="18" t="str">
        <f ca="1">IFERROR(__xludf.DUMMYFUNCTION("""COMPUTED_VALUE"""),"")</f>
        <v/>
      </c>
      <c r="AC955" s="59"/>
    </row>
    <row r="956" spans="1:29" x14ac:dyDescent="0.25">
      <c r="A956" s="18">
        <v>0</v>
      </c>
      <c r="B956" s="52" t="str">
        <f ca="1"/>
        <v/>
      </c>
      <c r="C956" s="52" t="str">
        <f ca="1">IFERROR(__xludf.DUMMYFUNCTION("""COMPUTED_VALUE"""),"")</f>
        <v/>
      </c>
      <c r="D956" s="18" t="str">
        <f ca="1">IFERROR(__xludf.DUMMYFUNCTION("""COMPUTED_VALUE"""),"")</f>
        <v/>
      </c>
      <c r="E956" s="18" t="str">
        <f ca="1">IFERROR(__xludf.DUMMYFUNCTION("""COMPUTED_VALUE"""),"")</f>
        <v/>
      </c>
      <c r="F956" s="18" t="str">
        <f ca="1">IFERROR(__xludf.DUMMYFUNCTION("""COMPUTED_VALUE"""),"")</f>
        <v/>
      </c>
      <c r="G956" s="18" t="str">
        <f ca="1">IFERROR(__xludf.DUMMYFUNCTION("""COMPUTED_VALUE"""),"")</f>
        <v/>
      </c>
      <c r="H956" s="18" t="str">
        <f ca="1">IFERROR(__xludf.DUMMYFUNCTION("""COMPUTED_VALUE"""),"")</f>
        <v/>
      </c>
      <c r="I956" s="18" t="str">
        <f ca="1">IFERROR(__xludf.DUMMYFUNCTION("""COMPUTED_VALUE"""),"")</f>
        <v/>
      </c>
      <c r="J956" s="18" t="str">
        <f ca="1">IFERROR(__xludf.DUMMYFUNCTION("""COMPUTED_VALUE"""),"")</f>
        <v/>
      </c>
      <c r="K956" s="18" t="str">
        <f ca="1">IFERROR(__xludf.DUMMYFUNCTION("""COMPUTED_VALUE"""),"")</f>
        <v/>
      </c>
      <c r="L956" s="18" t="str">
        <f ca="1">IFERROR(__xludf.DUMMYFUNCTION("""COMPUTED_VALUE"""),"")</f>
        <v/>
      </c>
      <c r="M956" s="18" t="str">
        <f ca="1">IFERROR(__xludf.DUMMYFUNCTION("""COMPUTED_VALUE"""),"")</f>
        <v/>
      </c>
      <c r="N956" s="18" t="str">
        <f ca="1">IFERROR(__xludf.DUMMYFUNCTION("""COMPUTED_VALUE"""),"")</f>
        <v/>
      </c>
      <c r="O956" s="18" t="str">
        <f ca="1">IFERROR(__xludf.DUMMYFUNCTION("""COMPUTED_VALUE"""),"")</f>
        <v/>
      </c>
      <c r="P956" s="18" t="str">
        <f ca="1">IFERROR(__xludf.DUMMYFUNCTION("""COMPUTED_VALUE"""),"")</f>
        <v/>
      </c>
      <c r="Q956" s="18" t="str">
        <f ca="1">IFERROR(__xludf.DUMMYFUNCTION("""COMPUTED_VALUE"""),"")</f>
        <v/>
      </c>
      <c r="R956" s="18" t="str">
        <f ca="1">IFERROR(__xludf.DUMMYFUNCTION("""COMPUTED_VALUE"""),"")</f>
        <v/>
      </c>
      <c r="S956" s="18" t="str">
        <f ca="1">IFERROR(__xludf.DUMMYFUNCTION("""COMPUTED_VALUE"""),"")</f>
        <v/>
      </c>
      <c r="T956" s="18" t="str">
        <f ca="1">IFERROR(__xludf.DUMMYFUNCTION("""COMPUTED_VALUE"""),"")</f>
        <v/>
      </c>
      <c r="U956" s="18" t="str">
        <f ca="1">IFERROR(__xludf.DUMMYFUNCTION("""COMPUTED_VALUE"""),"")</f>
        <v/>
      </c>
      <c r="V956" s="18" t="str">
        <f ca="1">IFERROR(__xludf.DUMMYFUNCTION("""COMPUTED_VALUE"""),"")</f>
        <v/>
      </c>
      <c r="W956" s="18" t="str">
        <f ca="1">IFERROR(__xludf.DUMMYFUNCTION("""COMPUTED_VALUE"""),"")</f>
        <v/>
      </c>
      <c r="X956" s="18" t="str">
        <f ca="1">IFERROR(__xludf.DUMMYFUNCTION("""COMPUTED_VALUE"""),"")</f>
        <v/>
      </c>
      <c r="Y956" s="18" t="e">
        <f ca="1"/>
        <v>#NAME?</v>
      </c>
      <c r="Z956" s="18" t="str">
        <f ca="1">IFERROR(__xludf.DUMMYFUNCTION("""COMPUTED_VALUE"""),"")</f>
        <v/>
      </c>
      <c r="AA956" s="18" t="str">
        <f ca="1">IFERROR(__xludf.DUMMYFUNCTION("""COMPUTED_VALUE"""),"")</f>
        <v/>
      </c>
      <c r="AC956" s="59"/>
    </row>
    <row r="957" spans="1:29" x14ac:dyDescent="0.25">
      <c r="A957" s="18">
        <v>0</v>
      </c>
      <c r="B957" s="52" t="str">
        <f ca="1"/>
        <v/>
      </c>
      <c r="C957" s="52" t="str">
        <f ca="1">IFERROR(__xludf.DUMMYFUNCTION("""COMPUTED_VALUE"""),"")</f>
        <v/>
      </c>
      <c r="D957" s="18" t="str">
        <f ca="1">IFERROR(__xludf.DUMMYFUNCTION("""COMPUTED_VALUE"""),"")</f>
        <v/>
      </c>
      <c r="E957" s="18" t="str">
        <f ca="1">IFERROR(__xludf.DUMMYFUNCTION("""COMPUTED_VALUE"""),"")</f>
        <v/>
      </c>
      <c r="F957" s="18" t="str">
        <f ca="1">IFERROR(__xludf.DUMMYFUNCTION("""COMPUTED_VALUE"""),"")</f>
        <v/>
      </c>
      <c r="G957" s="18" t="str">
        <f ca="1">IFERROR(__xludf.DUMMYFUNCTION("""COMPUTED_VALUE"""),"")</f>
        <v/>
      </c>
      <c r="H957" s="18" t="str">
        <f ca="1">IFERROR(__xludf.DUMMYFUNCTION("""COMPUTED_VALUE"""),"")</f>
        <v/>
      </c>
      <c r="I957" s="18" t="str">
        <f ca="1">IFERROR(__xludf.DUMMYFUNCTION("""COMPUTED_VALUE"""),"")</f>
        <v/>
      </c>
      <c r="J957" s="18" t="str">
        <f ca="1">IFERROR(__xludf.DUMMYFUNCTION("""COMPUTED_VALUE"""),"")</f>
        <v/>
      </c>
      <c r="K957" s="18" t="str">
        <f ca="1">IFERROR(__xludf.DUMMYFUNCTION("""COMPUTED_VALUE"""),"")</f>
        <v/>
      </c>
      <c r="L957" s="18" t="str">
        <f ca="1">IFERROR(__xludf.DUMMYFUNCTION("""COMPUTED_VALUE"""),"")</f>
        <v/>
      </c>
      <c r="M957" s="18" t="str">
        <f ca="1">IFERROR(__xludf.DUMMYFUNCTION("""COMPUTED_VALUE"""),"")</f>
        <v/>
      </c>
      <c r="N957" s="18" t="str">
        <f ca="1">IFERROR(__xludf.DUMMYFUNCTION("""COMPUTED_VALUE"""),"")</f>
        <v/>
      </c>
      <c r="O957" s="18" t="str">
        <f ca="1">IFERROR(__xludf.DUMMYFUNCTION("""COMPUTED_VALUE"""),"")</f>
        <v/>
      </c>
      <c r="P957" s="18" t="str">
        <f ca="1">IFERROR(__xludf.DUMMYFUNCTION("""COMPUTED_VALUE"""),"")</f>
        <v/>
      </c>
      <c r="Q957" s="18" t="str">
        <f ca="1">IFERROR(__xludf.DUMMYFUNCTION("""COMPUTED_VALUE"""),"")</f>
        <v/>
      </c>
      <c r="R957" s="18" t="str">
        <f ca="1">IFERROR(__xludf.DUMMYFUNCTION("""COMPUTED_VALUE"""),"")</f>
        <v/>
      </c>
      <c r="S957" s="18" t="str">
        <f ca="1">IFERROR(__xludf.DUMMYFUNCTION("""COMPUTED_VALUE"""),"")</f>
        <v/>
      </c>
      <c r="T957" s="18" t="str">
        <f ca="1">IFERROR(__xludf.DUMMYFUNCTION("""COMPUTED_VALUE"""),"")</f>
        <v/>
      </c>
      <c r="U957" s="18" t="str">
        <f ca="1">IFERROR(__xludf.DUMMYFUNCTION("""COMPUTED_VALUE"""),"")</f>
        <v/>
      </c>
      <c r="V957" s="18" t="str">
        <f ca="1">IFERROR(__xludf.DUMMYFUNCTION("""COMPUTED_VALUE"""),"")</f>
        <v/>
      </c>
      <c r="W957" s="18" t="str">
        <f ca="1">IFERROR(__xludf.DUMMYFUNCTION("""COMPUTED_VALUE"""),"")</f>
        <v/>
      </c>
      <c r="X957" s="18" t="str">
        <f ca="1">IFERROR(__xludf.DUMMYFUNCTION("""COMPUTED_VALUE"""),"")</f>
        <v/>
      </c>
      <c r="Y957" s="18" t="e">
        <f ca="1"/>
        <v>#NAME?</v>
      </c>
      <c r="Z957" s="18" t="str">
        <f ca="1">IFERROR(__xludf.DUMMYFUNCTION("""COMPUTED_VALUE"""),"")</f>
        <v/>
      </c>
      <c r="AA957" s="18" t="str">
        <f ca="1">IFERROR(__xludf.DUMMYFUNCTION("""COMPUTED_VALUE"""),"")</f>
        <v/>
      </c>
      <c r="AC957" s="59"/>
    </row>
    <row r="958" spans="1:29" x14ac:dyDescent="0.25">
      <c r="A958" s="18">
        <v>0</v>
      </c>
      <c r="B958" s="52" t="str">
        <f ca="1"/>
        <v/>
      </c>
      <c r="C958" s="52" t="str">
        <f ca="1">IFERROR(__xludf.DUMMYFUNCTION("""COMPUTED_VALUE"""),"")</f>
        <v/>
      </c>
      <c r="D958" s="18" t="str">
        <f ca="1">IFERROR(__xludf.DUMMYFUNCTION("""COMPUTED_VALUE"""),"")</f>
        <v/>
      </c>
      <c r="E958" s="18" t="str">
        <f ca="1">IFERROR(__xludf.DUMMYFUNCTION("""COMPUTED_VALUE"""),"")</f>
        <v/>
      </c>
      <c r="F958" s="18" t="str">
        <f ca="1">IFERROR(__xludf.DUMMYFUNCTION("""COMPUTED_VALUE"""),"")</f>
        <v/>
      </c>
      <c r="G958" s="18" t="str">
        <f ca="1">IFERROR(__xludf.DUMMYFUNCTION("""COMPUTED_VALUE"""),"")</f>
        <v/>
      </c>
      <c r="H958" s="18" t="str">
        <f ca="1">IFERROR(__xludf.DUMMYFUNCTION("""COMPUTED_VALUE"""),"")</f>
        <v/>
      </c>
      <c r="I958" s="18" t="str">
        <f ca="1">IFERROR(__xludf.DUMMYFUNCTION("""COMPUTED_VALUE"""),"")</f>
        <v/>
      </c>
      <c r="J958" s="18" t="str">
        <f ca="1">IFERROR(__xludf.DUMMYFUNCTION("""COMPUTED_VALUE"""),"")</f>
        <v/>
      </c>
      <c r="K958" s="18" t="str">
        <f ca="1">IFERROR(__xludf.DUMMYFUNCTION("""COMPUTED_VALUE"""),"")</f>
        <v/>
      </c>
      <c r="L958" s="18" t="str">
        <f ca="1">IFERROR(__xludf.DUMMYFUNCTION("""COMPUTED_VALUE"""),"")</f>
        <v/>
      </c>
      <c r="M958" s="18" t="str">
        <f ca="1">IFERROR(__xludf.DUMMYFUNCTION("""COMPUTED_VALUE"""),"")</f>
        <v/>
      </c>
      <c r="N958" s="18" t="str">
        <f ca="1">IFERROR(__xludf.DUMMYFUNCTION("""COMPUTED_VALUE"""),"")</f>
        <v/>
      </c>
      <c r="O958" s="18" t="str">
        <f ca="1">IFERROR(__xludf.DUMMYFUNCTION("""COMPUTED_VALUE"""),"")</f>
        <v/>
      </c>
      <c r="P958" s="18" t="str">
        <f ca="1">IFERROR(__xludf.DUMMYFUNCTION("""COMPUTED_VALUE"""),"")</f>
        <v/>
      </c>
      <c r="Q958" s="18" t="str">
        <f ca="1">IFERROR(__xludf.DUMMYFUNCTION("""COMPUTED_VALUE"""),"")</f>
        <v/>
      </c>
      <c r="R958" s="18" t="str">
        <f ca="1">IFERROR(__xludf.DUMMYFUNCTION("""COMPUTED_VALUE"""),"")</f>
        <v/>
      </c>
      <c r="S958" s="18" t="str">
        <f ca="1">IFERROR(__xludf.DUMMYFUNCTION("""COMPUTED_VALUE"""),"")</f>
        <v/>
      </c>
      <c r="T958" s="18" t="str">
        <f ca="1">IFERROR(__xludf.DUMMYFUNCTION("""COMPUTED_VALUE"""),"")</f>
        <v/>
      </c>
      <c r="U958" s="18" t="str">
        <f ca="1">IFERROR(__xludf.DUMMYFUNCTION("""COMPUTED_VALUE"""),"")</f>
        <v/>
      </c>
      <c r="V958" s="18" t="str">
        <f ca="1">IFERROR(__xludf.DUMMYFUNCTION("""COMPUTED_VALUE"""),"")</f>
        <v/>
      </c>
      <c r="W958" s="18" t="str">
        <f ca="1">IFERROR(__xludf.DUMMYFUNCTION("""COMPUTED_VALUE"""),"")</f>
        <v/>
      </c>
      <c r="X958" s="18" t="str">
        <f ca="1">IFERROR(__xludf.DUMMYFUNCTION("""COMPUTED_VALUE"""),"")</f>
        <v/>
      </c>
      <c r="Y958" s="18" t="e">
        <f ca="1"/>
        <v>#NAME?</v>
      </c>
      <c r="Z958" s="18" t="str">
        <f ca="1">IFERROR(__xludf.DUMMYFUNCTION("""COMPUTED_VALUE"""),"")</f>
        <v/>
      </c>
      <c r="AA958" s="18" t="str">
        <f ca="1">IFERROR(__xludf.DUMMYFUNCTION("""COMPUTED_VALUE"""),"")</f>
        <v/>
      </c>
      <c r="AC958" s="59"/>
    </row>
    <row r="959" spans="1:29" x14ac:dyDescent="0.25">
      <c r="A959" s="18">
        <v>0</v>
      </c>
      <c r="B959" s="52" t="str">
        <f ca="1"/>
        <v/>
      </c>
      <c r="C959" s="52" t="str">
        <f ca="1">IFERROR(__xludf.DUMMYFUNCTION("""COMPUTED_VALUE"""),"")</f>
        <v/>
      </c>
      <c r="D959" s="18" t="str">
        <f ca="1">IFERROR(__xludf.DUMMYFUNCTION("""COMPUTED_VALUE"""),"")</f>
        <v/>
      </c>
      <c r="E959" s="18" t="str">
        <f ca="1">IFERROR(__xludf.DUMMYFUNCTION("""COMPUTED_VALUE"""),"")</f>
        <v/>
      </c>
      <c r="F959" s="18" t="str">
        <f ca="1">IFERROR(__xludf.DUMMYFUNCTION("""COMPUTED_VALUE"""),"")</f>
        <v/>
      </c>
      <c r="G959" s="18" t="str">
        <f ca="1">IFERROR(__xludf.DUMMYFUNCTION("""COMPUTED_VALUE"""),"")</f>
        <v/>
      </c>
      <c r="H959" s="18" t="str">
        <f ca="1">IFERROR(__xludf.DUMMYFUNCTION("""COMPUTED_VALUE"""),"")</f>
        <v/>
      </c>
      <c r="I959" s="18" t="str">
        <f ca="1">IFERROR(__xludf.DUMMYFUNCTION("""COMPUTED_VALUE"""),"")</f>
        <v/>
      </c>
      <c r="J959" s="18" t="str">
        <f ca="1">IFERROR(__xludf.DUMMYFUNCTION("""COMPUTED_VALUE"""),"")</f>
        <v/>
      </c>
      <c r="K959" s="18" t="str">
        <f ca="1">IFERROR(__xludf.DUMMYFUNCTION("""COMPUTED_VALUE"""),"")</f>
        <v/>
      </c>
      <c r="L959" s="18" t="str">
        <f ca="1">IFERROR(__xludf.DUMMYFUNCTION("""COMPUTED_VALUE"""),"")</f>
        <v/>
      </c>
      <c r="M959" s="18" t="str">
        <f ca="1">IFERROR(__xludf.DUMMYFUNCTION("""COMPUTED_VALUE"""),"")</f>
        <v/>
      </c>
      <c r="N959" s="18" t="str">
        <f ca="1">IFERROR(__xludf.DUMMYFUNCTION("""COMPUTED_VALUE"""),"")</f>
        <v/>
      </c>
      <c r="O959" s="18" t="str">
        <f ca="1">IFERROR(__xludf.DUMMYFUNCTION("""COMPUTED_VALUE"""),"")</f>
        <v/>
      </c>
      <c r="P959" s="18" t="str">
        <f ca="1">IFERROR(__xludf.DUMMYFUNCTION("""COMPUTED_VALUE"""),"")</f>
        <v/>
      </c>
      <c r="Q959" s="18" t="str">
        <f ca="1">IFERROR(__xludf.DUMMYFUNCTION("""COMPUTED_VALUE"""),"")</f>
        <v/>
      </c>
      <c r="R959" s="18" t="str">
        <f ca="1">IFERROR(__xludf.DUMMYFUNCTION("""COMPUTED_VALUE"""),"")</f>
        <v/>
      </c>
      <c r="S959" s="18" t="str">
        <f ca="1">IFERROR(__xludf.DUMMYFUNCTION("""COMPUTED_VALUE"""),"")</f>
        <v/>
      </c>
      <c r="T959" s="18" t="str">
        <f ca="1">IFERROR(__xludf.DUMMYFUNCTION("""COMPUTED_VALUE"""),"")</f>
        <v/>
      </c>
      <c r="U959" s="18" t="str">
        <f ca="1">IFERROR(__xludf.DUMMYFUNCTION("""COMPUTED_VALUE"""),"")</f>
        <v/>
      </c>
      <c r="V959" s="18" t="str">
        <f ca="1">IFERROR(__xludf.DUMMYFUNCTION("""COMPUTED_VALUE"""),"")</f>
        <v/>
      </c>
      <c r="W959" s="18" t="str">
        <f ca="1">IFERROR(__xludf.DUMMYFUNCTION("""COMPUTED_VALUE"""),"")</f>
        <v/>
      </c>
      <c r="X959" s="18" t="str">
        <f ca="1">IFERROR(__xludf.DUMMYFUNCTION("""COMPUTED_VALUE"""),"")</f>
        <v/>
      </c>
      <c r="Y959" s="18" t="e">
        <f ca="1"/>
        <v>#NAME?</v>
      </c>
      <c r="Z959" s="18" t="str">
        <f ca="1">IFERROR(__xludf.DUMMYFUNCTION("""COMPUTED_VALUE"""),"")</f>
        <v/>
      </c>
      <c r="AA959" s="18" t="str">
        <f ca="1">IFERROR(__xludf.DUMMYFUNCTION("""COMPUTED_VALUE"""),"")</f>
        <v/>
      </c>
      <c r="AC959" s="59"/>
    </row>
    <row r="960" spans="1:29" x14ac:dyDescent="0.25">
      <c r="A960" s="18">
        <v>0</v>
      </c>
      <c r="B960" s="52" t="str">
        <f ca="1"/>
        <v/>
      </c>
      <c r="C960" s="52" t="str">
        <f ca="1">IFERROR(__xludf.DUMMYFUNCTION("""COMPUTED_VALUE"""),"")</f>
        <v/>
      </c>
      <c r="D960" s="18" t="str">
        <f ca="1">IFERROR(__xludf.DUMMYFUNCTION("""COMPUTED_VALUE"""),"")</f>
        <v/>
      </c>
      <c r="E960" s="18" t="str">
        <f ca="1">IFERROR(__xludf.DUMMYFUNCTION("""COMPUTED_VALUE"""),"")</f>
        <v/>
      </c>
      <c r="F960" s="18" t="str">
        <f ca="1">IFERROR(__xludf.DUMMYFUNCTION("""COMPUTED_VALUE"""),"")</f>
        <v/>
      </c>
      <c r="G960" s="18" t="str">
        <f ca="1">IFERROR(__xludf.DUMMYFUNCTION("""COMPUTED_VALUE"""),"")</f>
        <v/>
      </c>
      <c r="H960" s="18" t="str">
        <f ca="1">IFERROR(__xludf.DUMMYFUNCTION("""COMPUTED_VALUE"""),"")</f>
        <v/>
      </c>
      <c r="I960" s="18" t="str">
        <f ca="1">IFERROR(__xludf.DUMMYFUNCTION("""COMPUTED_VALUE"""),"")</f>
        <v/>
      </c>
      <c r="J960" s="18" t="str">
        <f ca="1">IFERROR(__xludf.DUMMYFUNCTION("""COMPUTED_VALUE"""),"")</f>
        <v/>
      </c>
      <c r="K960" s="18" t="str">
        <f ca="1">IFERROR(__xludf.DUMMYFUNCTION("""COMPUTED_VALUE"""),"")</f>
        <v/>
      </c>
      <c r="L960" s="18" t="str">
        <f ca="1">IFERROR(__xludf.DUMMYFUNCTION("""COMPUTED_VALUE"""),"")</f>
        <v/>
      </c>
      <c r="M960" s="18" t="str">
        <f ca="1">IFERROR(__xludf.DUMMYFUNCTION("""COMPUTED_VALUE"""),"")</f>
        <v/>
      </c>
      <c r="N960" s="18" t="str">
        <f ca="1">IFERROR(__xludf.DUMMYFUNCTION("""COMPUTED_VALUE"""),"")</f>
        <v/>
      </c>
      <c r="O960" s="18" t="str">
        <f ca="1">IFERROR(__xludf.DUMMYFUNCTION("""COMPUTED_VALUE"""),"")</f>
        <v/>
      </c>
      <c r="P960" s="18" t="str">
        <f ca="1">IFERROR(__xludf.DUMMYFUNCTION("""COMPUTED_VALUE"""),"")</f>
        <v/>
      </c>
      <c r="Q960" s="18" t="str">
        <f ca="1">IFERROR(__xludf.DUMMYFUNCTION("""COMPUTED_VALUE"""),"")</f>
        <v/>
      </c>
      <c r="R960" s="18" t="str">
        <f ca="1">IFERROR(__xludf.DUMMYFUNCTION("""COMPUTED_VALUE"""),"")</f>
        <v/>
      </c>
      <c r="S960" s="18" t="str">
        <f ca="1">IFERROR(__xludf.DUMMYFUNCTION("""COMPUTED_VALUE"""),"")</f>
        <v/>
      </c>
      <c r="T960" s="18" t="str">
        <f ca="1">IFERROR(__xludf.DUMMYFUNCTION("""COMPUTED_VALUE"""),"")</f>
        <v/>
      </c>
      <c r="U960" s="18" t="str">
        <f ca="1">IFERROR(__xludf.DUMMYFUNCTION("""COMPUTED_VALUE"""),"")</f>
        <v/>
      </c>
      <c r="V960" s="18" t="str">
        <f ca="1">IFERROR(__xludf.DUMMYFUNCTION("""COMPUTED_VALUE"""),"")</f>
        <v/>
      </c>
      <c r="W960" s="18" t="str">
        <f ca="1">IFERROR(__xludf.DUMMYFUNCTION("""COMPUTED_VALUE"""),"")</f>
        <v/>
      </c>
      <c r="X960" s="18" t="str">
        <f ca="1">IFERROR(__xludf.DUMMYFUNCTION("""COMPUTED_VALUE"""),"")</f>
        <v/>
      </c>
      <c r="Y960" s="18" t="e">
        <f ca="1"/>
        <v>#NAME?</v>
      </c>
      <c r="Z960" s="18" t="str">
        <f ca="1">IFERROR(__xludf.DUMMYFUNCTION("""COMPUTED_VALUE"""),"")</f>
        <v/>
      </c>
      <c r="AA960" s="18" t="str">
        <f ca="1">IFERROR(__xludf.DUMMYFUNCTION("""COMPUTED_VALUE"""),"")</f>
        <v/>
      </c>
      <c r="AC960" s="59"/>
    </row>
    <row r="961" spans="1:29" x14ac:dyDescent="0.25">
      <c r="A961" s="18">
        <v>0</v>
      </c>
      <c r="B961" s="52" t="str">
        <f ca="1"/>
        <v/>
      </c>
      <c r="C961" s="52" t="str">
        <f ca="1">IFERROR(__xludf.DUMMYFUNCTION("""COMPUTED_VALUE"""),"")</f>
        <v/>
      </c>
      <c r="D961" s="18" t="str">
        <f ca="1">IFERROR(__xludf.DUMMYFUNCTION("""COMPUTED_VALUE"""),"")</f>
        <v/>
      </c>
      <c r="E961" s="18" t="str">
        <f ca="1">IFERROR(__xludf.DUMMYFUNCTION("""COMPUTED_VALUE"""),"")</f>
        <v/>
      </c>
      <c r="F961" s="18" t="str">
        <f ca="1">IFERROR(__xludf.DUMMYFUNCTION("""COMPUTED_VALUE"""),"")</f>
        <v/>
      </c>
      <c r="G961" s="18" t="str">
        <f ca="1">IFERROR(__xludf.DUMMYFUNCTION("""COMPUTED_VALUE"""),"")</f>
        <v/>
      </c>
      <c r="H961" s="18" t="str">
        <f ca="1">IFERROR(__xludf.DUMMYFUNCTION("""COMPUTED_VALUE"""),"")</f>
        <v/>
      </c>
      <c r="I961" s="18" t="str">
        <f ca="1">IFERROR(__xludf.DUMMYFUNCTION("""COMPUTED_VALUE"""),"")</f>
        <v/>
      </c>
      <c r="J961" s="18" t="str">
        <f ca="1">IFERROR(__xludf.DUMMYFUNCTION("""COMPUTED_VALUE"""),"")</f>
        <v/>
      </c>
      <c r="K961" s="18" t="str">
        <f ca="1">IFERROR(__xludf.DUMMYFUNCTION("""COMPUTED_VALUE"""),"")</f>
        <v/>
      </c>
      <c r="L961" s="18" t="str">
        <f ca="1">IFERROR(__xludf.DUMMYFUNCTION("""COMPUTED_VALUE"""),"")</f>
        <v/>
      </c>
      <c r="M961" s="18" t="str">
        <f ca="1">IFERROR(__xludf.DUMMYFUNCTION("""COMPUTED_VALUE"""),"")</f>
        <v/>
      </c>
      <c r="N961" s="18" t="str">
        <f ca="1">IFERROR(__xludf.DUMMYFUNCTION("""COMPUTED_VALUE"""),"")</f>
        <v/>
      </c>
      <c r="O961" s="18" t="str">
        <f ca="1">IFERROR(__xludf.DUMMYFUNCTION("""COMPUTED_VALUE"""),"")</f>
        <v/>
      </c>
      <c r="P961" s="18" t="str">
        <f ca="1">IFERROR(__xludf.DUMMYFUNCTION("""COMPUTED_VALUE"""),"")</f>
        <v/>
      </c>
      <c r="Q961" s="18" t="str">
        <f ca="1">IFERROR(__xludf.DUMMYFUNCTION("""COMPUTED_VALUE"""),"")</f>
        <v/>
      </c>
      <c r="R961" s="18" t="str">
        <f ca="1">IFERROR(__xludf.DUMMYFUNCTION("""COMPUTED_VALUE"""),"")</f>
        <v/>
      </c>
      <c r="S961" s="18" t="str">
        <f ca="1">IFERROR(__xludf.DUMMYFUNCTION("""COMPUTED_VALUE"""),"")</f>
        <v/>
      </c>
      <c r="T961" s="18" t="str">
        <f ca="1">IFERROR(__xludf.DUMMYFUNCTION("""COMPUTED_VALUE"""),"")</f>
        <v/>
      </c>
      <c r="U961" s="18" t="str">
        <f ca="1">IFERROR(__xludf.DUMMYFUNCTION("""COMPUTED_VALUE"""),"")</f>
        <v/>
      </c>
      <c r="V961" s="18" t="str">
        <f ca="1">IFERROR(__xludf.DUMMYFUNCTION("""COMPUTED_VALUE"""),"")</f>
        <v/>
      </c>
      <c r="W961" s="18" t="str">
        <f ca="1">IFERROR(__xludf.DUMMYFUNCTION("""COMPUTED_VALUE"""),"")</f>
        <v/>
      </c>
      <c r="X961" s="18" t="str">
        <f ca="1">IFERROR(__xludf.DUMMYFUNCTION("""COMPUTED_VALUE"""),"")</f>
        <v/>
      </c>
      <c r="Y961" s="18" t="e">
        <f ca="1"/>
        <v>#NAME?</v>
      </c>
      <c r="Z961" s="18" t="str">
        <f ca="1">IFERROR(__xludf.DUMMYFUNCTION("""COMPUTED_VALUE"""),"")</f>
        <v/>
      </c>
      <c r="AA961" s="18" t="str">
        <f ca="1">IFERROR(__xludf.DUMMYFUNCTION("""COMPUTED_VALUE"""),"")</f>
        <v/>
      </c>
      <c r="AC961" s="59"/>
    </row>
    <row r="962" spans="1:29" x14ac:dyDescent="0.25">
      <c r="A962" s="18">
        <v>0</v>
      </c>
      <c r="B962" s="52" t="str">
        <f ca="1"/>
        <v/>
      </c>
      <c r="C962" s="52" t="str">
        <f ca="1">IFERROR(__xludf.DUMMYFUNCTION("""COMPUTED_VALUE"""),"")</f>
        <v/>
      </c>
      <c r="D962" s="18" t="str">
        <f ca="1">IFERROR(__xludf.DUMMYFUNCTION("""COMPUTED_VALUE"""),"")</f>
        <v/>
      </c>
      <c r="E962" s="18" t="str">
        <f ca="1">IFERROR(__xludf.DUMMYFUNCTION("""COMPUTED_VALUE"""),"")</f>
        <v/>
      </c>
      <c r="F962" s="18" t="str">
        <f ca="1">IFERROR(__xludf.DUMMYFUNCTION("""COMPUTED_VALUE"""),"")</f>
        <v/>
      </c>
      <c r="G962" s="18" t="str">
        <f ca="1">IFERROR(__xludf.DUMMYFUNCTION("""COMPUTED_VALUE"""),"")</f>
        <v/>
      </c>
      <c r="H962" s="18" t="str">
        <f ca="1">IFERROR(__xludf.DUMMYFUNCTION("""COMPUTED_VALUE"""),"")</f>
        <v/>
      </c>
      <c r="I962" s="18" t="str">
        <f ca="1">IFERROR(__xludf.DUMMYFUNCTION("""COMPUTED_VALUE"""),"")</f>
        <v/>
      </c>
      <c r="J962" s="18" t="str">
        <f ca="1">IFERROR(__xludf.DUMMYFUNCTION("""COMPUTED_VALUE"""),"")</f>
        <v/>
      </c>
      <c r="K962" s="18" t="str">
        <f ca="1">IFERROR(__xludf.DUMMYFUNCTION("""COMPUTED_VALUE"""),"")</f>
        <v/>
      </c>
      <c r="L962" s="18" t="str">
        <f ca="1">IFERROR(__xludf.DUMMYFUNCTION("""COMPUTED_VALUE"""),"")</f>
        <v/>
      </c>
      <c r="M962" s="18" t="str">
        <f ca="1">IFERROR(__xludf.DUMMYFUNCTION("""COMPUTED_VALUE"""),"")</f>
        <v/>
      </c>
      <c r="N962" s="18" t="str">
        <f ca="1">IFERROR(__xludf.DUMMYFUNCTION("""COMPUTED_VALUE"""),"")</f>
        <v/>
      </c>
      <c r="O962" s="18" t="str">
        <f ca="1">IFERROR(__xludf.DUMMYFUNCTION("""COMPUTED_VALUE"""),"")</f>
        <v/>
      </c>
      <c r="P962" s="18" t="str">
        <f ca="1">IFERROR(__xludf.DUMMYFUNCTION("""COMPUTED_VALUE"""),"")</f>
        <v/>
      </c>
      <c r="Q962" s="18" t="str">
        <f ca="1">IFERROR(__xludf.DUMMYFUNCTION("""COMPUTED_VALUE"""),"")</f>
        <v/>
      </c>
      <c r="R962" s="18" t="str">
        <f ca="1">IFERROR(__xludf.DUMMYFUNCTION("""COMPUTED_VALUE"""),"")</f>
        <v/>
      </c>
      <c r="S962" s="18" t="str">
        <f ca="1">IFERROR(__xludf.DUMMYFUNCTION("""COMPUTED_VALUE"""),"")</f>
        <v/>
      </c>
      <c r="T962" s="18" t="str">
        <f ca="1">IFERROR(__xludf.DUMMYFUNCTION("""COMPUTED_VALUE"""),"")</f>
        <v/>
      </c>
      <c r="U962" s="18" t="str">
        <f ca="1">IFERROR(__xludf.DUMMYFUNCTION("""COMPUTED_VALUE"""),"")</f>
        <v/>
      </c>
      <c r="V962" s="18" t="str">
        <f ca="1">IFERROR(__xludf.DUMMYFUNCTION("""COMPUTED_VALUE"""),"")</f>
        <v/>
      </c>
      <c r="W962" s="18" t="str">
        <f ca="1">IFERROR(__xludf.DUMMYFUNCTION("""COMPUTED_VALUE"""),"")</f>
        <v/>
      </c>
      <c r="X962" s="18" t="str">
        <f ca="1">IFERROR(__xludf.DUMMYFUNCTION("""COMPUTED_VALUE"""),"")</f>
        <v/>
      </c>
      <c r="Y962" s="18" t="e">
        <f ca="1"/>
        <v>#NAME?</v>
      </c>
      <c r="Z962" s="18" t="str">
        <f ca="1">IFERROR(__xludf.DUMMYFUNCTION("""COMPUTED_VALUE"""),"")</f>
        <v/>
      </c>
      <c r="AA962" s="18" t="str">
        <f ca="1">IFERROR(__xludf.DUMMYFUNCTION("""COMPUTED_VALUE"""),"")</f>
        <v/>
      </c>
      <c r="AC962" s="59"/>
    </row>
    <row r="963" spans="1:29" x14ac:dyDescent="0.25">
      <c r="A963" s="18">
        <v>0</v>
      </c>
      <c r="B963" s="52" t="str">
        <f ca="1"/>
        <v/>
      </c>
      <c r="C963" s="52" t="str">
        <f ca="1">IFERROR(__xludf.DUMMYFUNCTION("""COMPUTED_VALUE"""),"")</f>
        <v/>
      </c>
      <c r="D963" s="18" t="str">
        <f ca="1">IFERROR(__xludf.DUMMYFUNCTION("""COMPUTED_VALUE"""),"")</f>
        <v/>
      </c>
      <c r="E963" s="18" t="str">
        <f ca="1">IFERROR(__xludf.DUMMYFUNCTION("""COMPUTED_VALUE"""),"")</f>
        <v/>
      </c>
      <c r="F963" s="18" t="str">
        <f ca="1">IFERROR(__xludf.DUMMYFUNCTION("""COMPUTED_VALUE"""),"")</f>
        <v/>
      </c>
      <c r="G963" s="18" t="str">
        <f ca="1">IFERROR(__xludf.DUMMYFUNCTION("""COMPUTED_VALUE"""),"")</f>
        <v/>
      </c>
      <c r="H963" s="18" t="str">
        <f ca="1">IFERROR(__xludf.DUMMYFUNCTION("""COMPUTED_VALUE"""),"")</f>
        <v/>
      </c>
      <c r="I963" s="18" t="str">
        <f ca="1">IFERROR(__xludf.DUMMYFUNCTION("""COMPUTED_VALUE"""),"")</f>
        <v/>
      </c>
      <c r="J963" s="18" t="str">
        <f ca="1">IFERROR(__xludf.DUMMYFUNCTION("""COMPUTED_VALUE"""),"")</f>
        <v/>
      </c>
      <c r="K963" s="18" t="str">
        <f ca="1">IFERROR(__xludf.DUMMYFUNCTION("""COMPUTED_VALUE"""),"")</f>
        <v/>
      </c>
      <c r="L963" s="18" t="str">
        <f ca="1">IFERROR(__xludf.DUMMYFUNCTION("""COMPUTED_VALUE"""),"")</f>
        <v/>
      </c>
      <c r="M963" s="18" t="str">
        <f ca="1">IFERROR(__xludf.DUMMYFUNCTION("""COMPUTED_VALUE"""),"")</f>
        <v/>
      </c>
      <c r="N963" s="18" t="str">
        <f ca="1">IFERROR(__xludf.DUMMYFUNCTION("""COMPUTED_VALUE"""),"")</f>
        <v/>
      </c>
      <c r="O963" s="18" t="str">
        <f ca="1">IFERROR(__xludf.DUMMYFUNCTION("""COMPUTED_VALUE"""),"")</f>
        <v/>
      </c>
      <c r="P963" s="18" t="str">
        <f ca="1">IFERROR(__xludf.DUMMYFUNCTION("""COMPUTED_VALUE"""),"")</f>
        <v/>
      </c>
      <c r="Q963" s="18" t="str">
        <f ca="1">IFERROR(__xludf.DUMMYFUNCTION("""COMPUTED_VALUE"""),"")</f>
        <v/>
      </c>
      <c r="R963" s="18" t="str">
        <f ca="1">IFERROR(__xludf.DUMMYFUNCTION("""COMPUTED_VALUE"""),"")</f>
        <v/>
      </c>
      <c r="S963" s="18" t="str">
        <f ca="1">IFERROR(__xludf.DUMMYFUNCTION("""COMPUTED_VALUE"""),"")</f>
        <v/>
      </c>
      <c r="T963" s="18" t="str">
        <f ca="1">IFERROR(__xludf.DUMMYFUNCTION("""COMPUTED_VALUE"""),"")</f>
        <v/>
      </c>
      <c r="U963" s="18" t="str">
        <f ca="1">IFERROR(__xludf.DUMMYFUNCTION("""COMPUTED_VALUE"""),"")</f>
        <v/>
      </c>
      <c r="V963" s="18" t="str">
        <f ca="1">IFERROR(__xludf.DUMMYFUNCTION("""COMPUTED_VALUE"""),"")</f>
        <v/>
      </c>
      <c r="W963" s="18" t="str">
        <f ca="1">IFERROR(__xludf.DUMMYFUNCTION("""COMPUTED_VALUE"""),"")</f>
        <v/>
      </c>
      <c r="X963" s="18" t="str">
        <f ca="1">IFERROR(__xludf.DUMMYFUNCTION("""COMPUTED_VALUE"""),"")</f>
        <v/>
      </c>
      <c r="Y963" s="18" t="e">
        <f ca="1"/>
        <v>#NAME?</v>
      </c>
      <c r="Z963" s="18" t="str">
        <f ca="1">IFERROR(__xludf.DUMMYFUNCTION("""COMPUTED_VALUE"""),"")</f>
        <v/>
      </c>
      <c r="AA963" s="18" t="str">
        <f ca="1">IFERROR(__xludf.DUMMYFUNCTION("""COMPUTED_VALUE"""),"")</f>
        <v/>
      </c>
      <c r="AC963" s="59"/>
    </row>
    <row r="964" spans="1:29" x14ac:dyDescent="0.25">
      <c r="A964" s="18">
        <v>0</v>
      </c>
      <c r="B964" s="52" t="str">
        <f ca="1"/>
        <v/>
      </c>
      <c r="C964" s="52" t="str">
        <f ca="1">IFERROR(__xludf.DUMMYFUNCTION("""COMPUTED_VALUE"""),"")</f>
        <v/>
      </c>
      <c r="D964" s="18" t="str">
        <f ca="1">IFERROR(__xludf.DUMMYFUNCTION("""COMPUTED_VALUE"""),"")</f>
        <v/>
      </c>
      <c r="E964" s="18" t="str">
        <f ca="1">IFERROR(__xludf.DUMMYFUNCTION("""COMPUTED_VALUE"""),"")</f>
        <v/>
      </c>
      <c r="F964" s="18" t="str">
        <f ca="1">IFERROR(__xludf.DUMMYFUNCTION("""COMPUTED_VALUE"""),"")</f>
        <v/>
      </c>
      <c r="G964" s="18" t="str">
        <f ca="1">IFERROR(__xludf.DUMMYFUNCTION("""COMPUTED_VALUE"""),"")</f>
        <v/>
      </c>
      <c r="H964" s="18" t="str">
        <f ca="1">IFERROR(__xludf.DUMMYFUNCTION("""COMPUTED_VALUE"""),"")</f>
        <v/>
      </c>
      <c r="I964" s="18" t="str">
        <f ca="1">IFERROR(__xludf.DUMMYFUNCTION("""COMPUTED_VALUE"""),"")</f>
        <v/>
      </c>
      <c r="J964" s="18" t="str">
        <f ca="1">IFERROR(__xludf.DUMMYFUNCTION("""COMPUTED_VALUE"""),"")</f>
        <v/>
      </c>
      <c r="K964" s="18" t="str">
        <f ca="1">IFERROR(__xludf.DUMMYFUNCTION("""COMPUTED_VALUE"""),"")</f>
        <v/>
      </c>
      <c r="L964" s="18" t="str">
        <f ca="1">IFERROR(__xludf.DUMMYFUNCTION("""COMPUTED_VALUE"""),"")</f>
        <v/>
      </c>
      <c r="M964" s="18" t="str">
        <f ca="1">IFERROR(__xludf.DUMMYFUNCTION("""COMPUTED_VALUE"""),"")</f>
        <v/>
      </c>
      <c r="N964" s="18" t="str">
        <f ca="1">IFERROR(__xludf.DUMMYFUNCTION("""COMPUTED_VALUE"""),"")</f>
        <v/>
      </c>
      <c r="O964" s="18" t="str">
        <f ca="1">IFERROR(__xludf.DUMMYFUNCTION("""COMPUTED_VALUE"""),"")</f>
        <v/>
      </c>
      <c r="P964" s="18" t="str">
        <f ca="1">IFERROR(__xludf.DUMMYFUNCTION("""COMPUTED_VALUE"""),"")</f>
        <v/>
      </c>
      <c r="Q964" s="18" t="str">
        <f ca="1">IFERROR(__xludf.DUMMYFUNCTION("""COMPUTED_VALUE"""),"")</f>
        <v/>
      </c>
      <c r="R964" s="18" t="str">
        <f ca="1">IFERROR(__xludf.DUMMYFUNCTION("""COMPUTED_VALUE"""),"")</f>
        <v/>
      </c>
      <c r="S964" s="18" t="str">
        <f ca="1">IFERROR(__xludf.DUMMYFUNCTION("""COMPUTED_VALUE"""),"")</f>
        <v/>
      </c>
      <c r="T964" s="18" t="str">
        <f ca="1">IFERROR(__xludf.DUMMYFUNCTION("""COMPUTED_VALUE"""),"")</f>
        <v/>
      </c>
      <c r="U964" s="18" t="str">
        <f ca="1">IFERROR(__xludf.DUMMYFUNCTION("""COMPUTED_VALUE"""),"")</f>
        <v/>
      </c>
      <c r="V964" s="18" t="str">
        <f ca="1">IFERROR(__xludf.DUMMYFUNCTION("""COMPUTED_VALUE"""),"")</f>
        <v/>
      </c>
      <c r="W964" s="18" t="str">
        <f ca="1">IFERROR(__xludf.DUMMYFUNCTION("""COMPUTED_VALUE"""),"")</f>
        <v/>
      </c>
      <c r="X964" s="18" t="str">
        <f ca="1">IFERROR(__xludf.DUMMYFUNCTION("""COMPUTED_VALUE"""),"")</f>
        <v/>
      </c>
      <c r="Y964" s="18" t="e">
        <f ca="1"/>
        <v>#NAME?</v>
      </c>
      <c r="Z964" s="18" t="str">
        <f ca="1">IFERROR(__xludf.DUMMYFUNCTION("""COMPUTED_VALUE"""),"")</f>
        <v/>
      </c>
      <c r="AA964" s="18" t="str">
        <f ca="1">IFERROR(__xludf.DUMMYFUNCTION("""COMPUTED_VALUE"""),"")</f>
        <v/>
      </c>
      <c r="AC964" s="59"/>
    </row>
    <row r="965" spans="1:29" x14ac:dyDescent="0.25">
      <c r="A965" s="18">
        <v>0</v>
      </c>
      <c r="B965" s="52" t="str">
        <f ca="1"/>
        <v/>
      </c>
      <c r="C965" s="52" t="str">
        <f ca="1">IFERROR(__xludf.DUMMYFUNCTION("""COMPUTED_VALUE"""),"")</f>
        <v/>
      </c>
      <c r="D965" s="18" t="str">
        <f ca="1">IFERROR(__xludf.DUMMYFUNCTION("""COMPUTED_VALUE"""),"")</f>
        <v/>
      </c>
      <c r="E965" s="18" t="str">
        <f ca="1">IFERROR(__xludf.DUMMYFUNCTION("""COMPUTED_VALUE"""),"")</f>
        <v/>
      </c>
      <c r="F965" s="18" t="str">
        <f ca="1">IFERROR(__xludf.DUMMYFUNCTION("""COMPUTED_VALUE"""),"")</f>
        <v/>
      </c>
      <c r="G965" s="18" t="str">
        <f ca="1">IFERROR(__xludf.DUMMYFUNCTION("""COMPUTED_VALUE"""),"")</f>
        <v/>
      </c>
      <c r="H965" s="18" t="str">
        <f ca="1">IFERROR(__xludf.DUMMYFUNCTION("""COMPUTED_VALUE"""),"")</f>
        <v/>
      </c>
      <c r="I965" s="18" t="str">
        <f ca="1">IFERROR(__xludf.DUMMYFUNCTION("""COMPUTED_VALUE"""),"")</f>
        <v/>
      </c>
      <c r="J965" s="18" t="str">
        <f ca="1">IFERROR(__xludf.DUMMYFUNCTION("""COMPUTED_VALUE"""),"")</f>
        <v/>
      </c>
      <c r="K965" s="18" t="str">
        <f ca="1">IFERROR(__xludf.DUMMYFUNCTION("""COMPUTED_VALUE"""),"")</f>
        <v/>
      </c>
      <c r="L965" s="18" t="str">
        <f ca="1">IFERROR(__xludf.DUMMYFUNCTION("""COMPUTED_VALUE"""),"")</f>
        <v/>
      </c>
      <c r="M965" s="18" t="str">
        <f ca="1">IFERROR(__xludf.DUMMYFUNCTION("""COMPUTED_VALUE"""),"")</f>
        <v/>
      </c>
      <c r="N965" s="18" t="str">
        <f ca="1">IFERROR(__xludf.DUMMYFUNCTION("""COMPUTED_VALUE"""),"")</f>
        <v/>
      </c>
      <c r="O965" s="18" t="str">
        <f ca="1">IFERROR(__xludf.DUMMYFUNCTION("""COMPUTED_VALUE"""),"")</f>
        <v/>
      </c>
      <c r="P965" s="18" t="str">
        <f ca="1">IFERROR(__xludf.DUMMYFUNCTION("""COMPUTED_VALUE"""),"")</f>
        <v/>
      </c>
      <c r="Q965" s="18" t="str">
        <f ca="1">IFERROR(__xludf.DUMMYFUNCTION("""COMPUTED_VALUE"""),"")</f>
        <v/>
      </c>
      <c r="R965" s="18" t="str">
        <f ca="1">IFERROR(__xludf.DUMMYFUNCTION("""COMPUTED_VALUE"""),"")</f>
        <v/>
      </c>
      <c r="S965" s="18" t="str">
        <f ca="1">IFERROR(__xludf.DUMMYFUNCTION("""COMPUTED_VALUE"""),"")</f>
        <v/>
      </c>
      <c r="T965" s="18" t="str">
        <f ca="1">IFERROR(__xludf.DUMMYFUNCTION("""COMPUTED_VALUE"""),"")</f>
        <v/>
      </c>
      <c r="U965" s="18" t="str">
        <f ca="1">IFERROR(__xludf.DUMMYFUNCTION("""COMPUTED_VALUE"""),"")</f>
        <v/>
      </c>
      <c r="V965" s="18" t="str">
        <f ca="1">IFERROR(__xludf.DUMMYFUNCTION("""COMPUTED_VALUE"""),"")</f>
        <v/>
      </c>
      <c r="W965" s="18" t="str">
        <f ca="1">IFERROR(__xludf.DUMMYFUNCTION("""COMPUTED_VALUE"""),"")</f>
        <v/>
      </c>
      <c r="X965" s="18" t="str">
        <f ca="1">IFERROR(__xludf.DUMMYFUNCTION("""COMPUTED_VALUE"""),"")</f>
        <v/>
      </c>
      <c r="Y965" s="18" t="e">
        <f ca="1"/>
        <v>#NAME?</v>
      </c>
      <c r="Z965" s="18" t="str">
        <f ca="1">IFERROR(__xludf.DUMMYFUNCTION("""COMPUTED_VALUE"""),"")</f>
        <v/>
      </c>
      <c r="AA965" s="18" t="str">
        <f ca="1">IFERROR(__xludf.DUMMYFUNCTION("""COMPUTED_VALUE"""),"")</f>
        <v/>
      </c>
      <c r="AC965" s="59"/>
    </row>
    <row r="966" spans="1:29" x14ac:dyDescent="0.25">
      <c r="A966" s="18">
        <v>0</v>
      </c>
      <c r="B966" s="52" t="str">
        <f ca="1"/>
        <v/>
      </c>
      <c r="C966" s="52" t="str">
        <f ca="1">IFERROR(__xludf.DUMMYFUNCTION("""COMPUTED_VALUE"""),"")</f>
        <v/>
      </c>
      <c r="D966" s="18" t="str">
        <f ca="1">IFERROR(__xludf.DUMMYFUNCTION("""COMPUTED_VALUE"""),"")</f>
        <v/>
      </c>
      <c r="E966" s="18" t="str">
        <f ca="1">IFERROR(__xludf.DUMMYFUNCTION("""COMPUTED_VALUE"""),"")</f>
        <v/>
      </c>
      <c r="F966" s="18" t="str">
        <f ca="1">IFERROR(__xludf.DUMMYFUNCTION("""COMPUTED_VALUE"""),"")</f>
        <v/>
      </c>
      <c r="G966" s="18" t="str">
        <f ca="1">IFERROR(__xludf.DUMMYFUNCTION("""COMPUTED_VALUE"""),"")</f>
        <v/>
      </c>
      <c r="H966" s="18" t="str">
        <f ca="1">IFERROR(__xludf.DUMMYFUNCTION("""COMPUTED_VALUE"""),"")</f>
        <v/>
      </c>
      <c r="I966" s="18" t="str">
        <f ca="1">IFERROR(__xludf.DUMMYFUNCTION("""COMPUTED_VALUE"""),"")</f>
        <v/>
      </c>
      <c r="J966" s="18" t="str">
        <f ca="1">IFERROR(__xludf.DUMMYFUNCTION("""COMPUTED_VALUE"""),"")</f>
        <v/>
      </c>
      <c r="K966" s="18" t="str">
        <f ca="1">IFERROR(__xludf.DUMMYFUNCTION("""COMPUTED_VALUE"""),"")</f>
        <v/>
      </c>
      <c r="L966" s="18" t="str">
        <f ca="1">IFERROR(__xludf.DUMMYFUNCTION("""COMPUTED_VALUE"""),"")</f>
        <v/>
      </c>
      <c r="M966" s="18" t="str">
        <f ca="1">IFERROR(__xludf.DUMMYFUNCTION("""COMPUTED_VALUE"""),"")</f>
        <v/>
      </c>
      <c r="N966" s="18" t="str">
        <f ca="1">IFERROR(__xludf.DUMMYFUNCTION("""COMPUTED_VALUE"""),"")</f>
        <v/>
      </c>
      <c r="O966" s="18" t="str">
        <f ca="1">IFERROR(__xludf.DUMMYFUNCTION("""COMPUTED_VALUE"""),"")</f>
        <v/>
      </c>
      <c r="P966" s="18" t="str">
        <f ca="1">IFERROR(__xludf.DUMMYFUNCTION("""COMPUTED_VALUE"""),"")</f>
        <v/>
      </c>
      <c r="Q966" s="18" t="str">
        <f ca="1">IFERROR(__xludf.DUMMYFUNCTION("""COMPUTED_VALUE"""),"")</f>
        <v/>
      </c>
      <c r="R966" s="18" t="str">
        <f ca="1">IFERROR(__xludf.DUMMYFUNCTION("""COMPUTED_VALUE"""),"")</f>
        <v/>
      </c>
      <c r="S966" s="18" t="str">
        <f ca="1">IFERROR(__xludf.DUMMYFUNCTION("""COMPUTED_VALUE"""),"")</f>
        <v/>
      </c>
      <c r="T966" s="18" t="str">
        <f ca="1">IFERROR(__xludf.DUMMYFUNCTION("""COMPUTED_VALUE"""),"")</f>
        <v/>
      </c>
      <c r="U966" s="18" t="str">
        <f ca="1">IFERROR(__xludf.DUMMYFUNCTION("""COMPUTED_VALUE"""),"")</f>
        <v/>
      </c>
      <c r="V966" s="18" t="str">
        <f ca="1">IFERROR(__xludf.DUMMYFUNCTION("""COMPUTED_VALUE"""),"")</f>
        <v/>
      </c>
      <c r="W966" s="18" t="str">
        <f ca="1">IFERROR(__xludf.DUMMYFUNCTION("""COMPUTED_VALUE"""),"")</f>
        <v/>
      </c>
      <c r="X966" s="18" t="str">
        <f ca="1">IFERROR(__xludf.DUMMYFUNCTION("""COMPUTED_VALUE"""),"")</f>
        <v/>
      </c>
      <c r="Y966" s="18" t="e">
        <f ca="1"/>
        <v>#NAME?</v>
      </c>
      <c r="Z966" s="18" t="str">
        <f ca="1">IFERROR(__xludf.DUMMYFUNCTION("""COMPUTED_VALUE"""),"")</f>
        <v/>
      </c>
      <c r="AA966" s="18" t="str">
        <f ca="1">IFERROR(__xludf.DUMMYFUNCTION("""COMPUTED_VALUE"""),"")</f>
        <v/>
      </c>
      <c r="AC966" s="59"/>
    </row>
    <row r="967" spans="1:29" x14ac:dyDescent="0.25">
      <c r="A967" s="18">
        <v>0</v>
      </c>
      <c r="B967" s="52" t="str">
        <f ca="1"/>
        <v/>
      </c>
      <c r="C967" s="52" t="str">
        <f ca="1">IFERROR(__xludf.DUMMYFUNCTION("""COMPUTED_VALUE"""),"")</f>
        <v/>
      </c>
      <c r="D967" s="18" t="str">
        <f ca="1">IFERROR(__xludf.DUMMYFUNCTION("""COMPUTED_VALUE"""),"")</f>
        <v/>
      </c>
      <c r="E967" s="18" t="str">
        <f ca="1">IFERROR(__xludf.DUMMYFUNCTION("""COMPUTED_VALUE"""),"")</f>
        <v/>
      </c>
      <c r="F967" s="18" t="str">
        <f ca="1">IFERROR(__xludf.DUMMYFUNCTION("""COMPUTED_VALUE"""),"")</f>
        <v/>
      </c>
      <c r="G967" s="18" t="str">
        <f ca="1">IFERROR(__xludf.DUMMYFUNCTION("""COMPUTED_VALUE"""),"")</f>
        <v/>
      </c>
      <c r="H967" s="18" t="str">
        <f ca="1">IFERROR(__xludf.DUMMYFUNCTION("""COMPUTED_VALUE"""),"")</f>
        <v/>
      </c>
      <c r="I967" s="18" t="str">
        <f ca="1">IFERROR(__xludf.DUMMYFUNCTION("""COMPUTED_VALUE"""),"")</f>
        <v/>
      </c>
      <c r="J967" s="18" t="str">
        <f ca="1">IFERROR(__xludf.DUMMYFUNCTION("""COMPUTED_VALUE"""),"")</f>
        <v/>
      </c>
      <c r="K967" s="18" t="str">
        <f ca="1">IFERROR(__xludf.DUMMYFUNCTION("""COMPUTED_VALUE"""),"")</f>
        <v/>
      </c>
      <c r="L967" s="18" t="str">
        <f ca="1">IFERROR(__xludf.DUMMYFUNCTION("""COMPUTED_VALUE"""),"")</f>
        <v/>
      </c>
      <c r="M967" s="18" t="str">
        <f ca="1">IFERROR(__xludf.DUMMYFUNCTION("""COMPUTED_VALUE"""),"")</f>
        <v/>
      </c>
      <c r="N967" s="18" t="str">
        <f ca="1">IFERROR(__xludf.DUMMYFUNCTION("""COMPUTED_VALUE"""),"")</f>
        <v/>
      </c>
      <c r="O967" s="18" t="str">
        <f ca="1">IFERROR(__xludf.DUMMYFUNCTION("""COMPUTED_VALUE"""),"")</f>
        <v/>
      </c>
      <c r="P967" s="18" t="str">
        <f ca="1">IFERROR(__xludf.DUMMYFUNCTION("""COMPUTED_VALUE"""),"")</f>
        <v/>
      </c>
      <c r="Q967" s="18" t="str">
        <f ca="1">IFERROR(__xludf.DUMMYFUNCTION("""COMPUTED_VALUE"""),"")</f>
        <v/>
      </c>
      <c r="R967" s="18" t="str">
        <f ca="1">IFERROR(__xludf.DUMMYFUNCTION("""COMPUTED_VALUE"""),"")</f>
        <v/>
      </c>
      <c r="S967" s="18" t="str">
        <f ca="1">IFERROR(__xludf.DUMMYFUNCTION("""COMPUTED_VALUE"""),"")</f>
        <v/>
      </c>
      <c r="T967" s="18" t="str">
        <f ca="1">IFERROR(__xludf.DUMMYFUNCTION("""COMPUTED_VALUE"""),"")</f>
        <v/>
      </c>
      <c r="U967" s="18" t="str">
        <f ca="1">IFERROR(__xludf.DUMMYFUNCTION("""COMPUTED_VALUE"""),"")</f>
        <v/>
      </c>
      <c r="V967" s="18" t="str">
        <f ca="1">IFERROR(__xludf.DUMMYFUNCTION("""COMPUTED_VALUE"""),"")</f>
        <v/>
      </c>
      <c r="W967" s="18" t="str">
        <f ca="1">IFERROR(__xludf.DUMMYFUNCTION("""COMPUTED_VALUE"""),"")</f>
        <v/>
      </c>
      <c r="X967" s="18" t="str">
        <f ca="1">IFERROR(__xludf.DUMMYFUNCTION("""COMPUTED_VALUE"""),"")</f>
        <v/>
      </c>
      <c r="Y967" s="18" t="e">
        <f ca="1"/>
        <v>#NAME?</v>
      </c>
      <c r="Z967" s="18" t="str">
        <f ca="1">IFERROR(__xludf.DUMMYFUNCTION("""COMPUTED_VALUE"""),"")</f>
        <v/>
      </c>
      <c r="AA967" s="18" t="str">
        <f ca="1">IFERROR(__xludf.DUMMYFUNCTION("""COMPUTED_VALUE"""),"")</f>
        <v/>
      </c>
      <c r="AC967" s="59"/>
    </row>
    <row r="968" spans="1:29" x14ac:dyDescent="0.25">
      <c r="A968" s="18">
        <v>0</v>
      </c>
      <c r="B968" s="52" t="str">
        <f ca="1"/>
        <v/>
      </c>
      <c r="C968" s="52" t="str">
        <f ca="1">IFERROR(__xludf.DUMMYFUNCTION("""COMPUTED_VALUE"""),"")</f>
        <v/>
      </c>
      <c r="D968" s="18" t="str">
        <f ca="1">IFERROR(__xludf.DUMMYFUNCTION("""COMPUTED_VALUE"""),"")</f>
        <v/>
      </c>
      <c r="E968" s="18" t="str">
        <f ca="1">IFERROR(__xludf.DUMMYFUNCTION("""COMPUTED_VALUE"""),"")</f>
        <v/>
      </c>
      <c r="F968" s="18" t="str">
        <f ca="1">IFERROR(__xludf.DUMMYFUNCTION("""COMPUTED_VALUE"""),"")</f>
        <v/>
      </c>
      <c r="G968" s="18" t="str">
        <f ca="1">IFERROR(__xludf.DUMMYFUNCTION("""COMPUTED_VALUE"""),"")</f>
        <v/>
      </c>
      <c r="H968" s="18" t="str">
        <f ca="1">IFERROR(__xludf.DUMMYFUNCTION("""COMPUTED_VALUE"""),"")</f>
        <v/>
      </c>
      <c r="I968" s="18" t="str">
        <f ca="1">IFERROR(__xludf.DUMMYFUNCTION("""COMPUTED_VALUE"""),"")</f>
        <v/>
      </c>
      <c r="J968" s="18" t="str">
        <f ca="1">IFERROR(__xludf.DUMMYFUNCTION("""COMPUTED_VALUE"""),"")</f>
        <v/>
      </c>
      <c r="K968" s="18" t="str">
        <f ca="1">IFERROR(__xludf.DUMMYFUNCTION("""COMPUTED_VALUE"""),"")</f>
        <v/>
      </c>
      <c r="L968" s="18" t="str">
        <f ca="1">IFERROR(__xludf.DUMMYFUNCTION("""COMPUTED_VALUE"""),"")</f>
        <v/>
      </c>
      <c r="M968" s="18" t="str">
        <f ca="1">IFERROR(__xludf.DUMMYFUNCTION("""COMPUTED_VALUE"""),"")</f>
        <v/>
      </c>
      <c r="N968" s="18" t="str">
        <f ca="1">IFERROR(__xludf.DUMMYFUNCTION("""COMPUTED_VALUE"""),"")</f>
        <v/>
      </c>
      <c r="O968" s="18" t="str">
        <f ca="1">IFERROR(__xludf.DUMMYFUNCTION("""COMPUTED_VALUE"""),"")</f>
        <v/>
      </c>
      <c r="P968" s="18" t="str">
        <f ca="1">IFERROR(__xludf.DUMMYFUNCTION("""COMPUTED_VALUE"""),"")</f>
        <v/>
      </c>
      <c r="Q968" s="18" t="str">
        <f ca="1">IFERROR(__xludf.DUMMYFUNCTION("""COMPUTED_VALUE"""),"")</f>
        <v/>
      </c>
      <c r="R968" s="18" t="str">
        <f ca="1">IFERROR(__xludf.DUMMYFUNCTION("""COMPUTED_VALUE"""),"")</f>
        <v/>
      </c>
      <c r="S968" s="18" t="str">
        <f ca="1">IFERROR(__xludf.DUMMYFUNCTION("""COMPUTED_VALUE"""),"")</f>
        <v/>
      </c>
      <c r="T968" s="18" t="str">
        <f ca="1">IFERROR(__xludf.DUMMYFUNCTION("""COMPUTED_VALUE"""),"")</f>
        <v/>
      </c>
      <c r="U968" s="18" t="str">
        <f ca="1">IFERROR(__xludf.DUMMYFUNCTION("""COMPUTED_VALUE"""),"")</f>
        <v/>
      </c>
      <c r="V968" s="18" t="str">
        <f ca="1">IFERROR(__xludf.DUMMYFUNCTION("""COMPUTED_VALUE"""),"")</f>
        <v/>
      </c>
      <c r="W968" s="18" t="str">
        <f ca="1">IFERROR(__xludf.DUMMYFUNCTION("""COMPUTED_VALUE"""),"")</f>
        <v/>
      </c>
      <c r="X968" s="18" t="str">
        <f ca="1">IFERROR(__xludf.DUMMYFUNCTION("""COMPUTED_VALUE"""),"")</f>
        <v/>
      </c>
      <c r="Y968" s="18" t="e">
        <f ca="1"/>
        <v>#NAME?</v>
      </c>
      <c r="Z968" s="18" t="str">
        <f ca="1">IFERROR(__xludf.DUMMYFUNCTION("""COMPUTED_VALUE"""),"")</f>
        <v/>
      </c>
      <c r="AA968" s="18" t="str">
        <f ca="1">IFERROR(__xludf.DUMMYFUNCTION("""COMPUTED_VALUE"""),"")</f>
        <v/>
      </c>
      <c r="AC968" s="59"/>
    </row>
    <row r="969" spans="1:29" x14ac:dyDescent="0.25">
      <c r="A969" s="18">
        <v>0</v>
      </c>
      <c r="B969" s="52" t="str">
        <f ca="1"/>
        <v/>
      </c>
      <c r="C969" s="52" t="str">
        <f ca="1">IFERROR(__xludf.DUMMYFUNCTION("""COMPUTED_VALUE"""),"")</f>
        <v/>
      </c>
      <c r="D969" s="18" t="str">
        <f ca="1">IFERROR(__xludf.DUMMYFUNCTION("""COMPUTED_VALUE"""),"")</f>
        <v/>
      </c>
      <c r="E969" s="18" t="str">
        <f ca="1">IFERROR(__xludf.DUMMYFUNCTION("""COMPUTED_VALUE"""),"")</f>
        <v/>
      </c>
      <c r="F969" s="18" t="str">
        <f ca="1">IFERROR(__xludf.DUMMYFUNCTION("""COMPUTED_VALUE"""),"")</f>
        <v/>
      </c>
      <c r="G969" s="18" t="str">
        <f ca="1">IFERROR(__xludf.DUMMYFUNCTION("""COMPUTED_VALUE"""),"")</f>
        <v/>
      </c>
      <c r="H969" s="18" t="str">
        <f ca="1">IFERROR(__xludf.DUMMYFUNCTION("""COMPUTED_VALUE"""),"")</f>
        <v/>
      </c>
      <c r="I969" s="18" t="str">
        <f ca="1">IFERROR(__xludf.DUMMYFUNCTION("""COMPUTED_VALUE"""),"")</f>
        <v/>
      </c>
      <c r="J969" s="18" t="str">
        <f ca="1">IFERROR(__xludf.DUMMYFUNCTION("""COMPUTED_VALUE"""),"")</f>
        <v/>
      </c>
      <c r="K969" s="18" t="str">
        <f ca="1">IFERROR(__xludf.DUMMYFUNCTION("""COMPUTED_VALUE"""),"")</f>
        <v/>
      </c>
      <c r="L969" s="18" t="str">
        <f ca="1">IFERROR(__xludf.DUMMYFUNCTION("""COMPUTED_VALUE"""),"")</f>
        <v/>
      </c>
      <c r="M969" s="18" t="str">
        <f ca="1">IFERROR(__xludf.DUMMYFUNCTION("""COMPUTED_VALUE"""),"")</f>
        <v/>
      </c>
      <c r="N969" s="18" t="str">
        <f ca="1">IFERROR(__xludf.DUMMYFUNCTION("""COMPUTED_VALUE"""),"")</f>
        <v/>
      </c>
      <c r="O969" s="18" t="str">
        <f ca="1">IFERROR(__xludf.DUMMYFUNCTION("""COMPUTED_VALUE"""),"")</f>
        <v/>
      </c>
      <c r="P969" s="18" t="str">
        <f ca="1">IFERROR(__xludf.DUMMYFUNCTION("""COMPUTED_VALUE"""),"")</f>
        <v/>
      </c>
      <c r="Q969" s="18" t="str">
        <f ca="1">IFERROR(__xludf.DUMMYFUNCTION("""COMPUTED_VALUE"""),"")</f>
        <v/>
      </c>
      <c r="R969" s="18" t="str">
        <f ca="1">IFERROR(__xludf.DUMMYFUNCTION("""COMPUTED_VALUE"""),"")</f>
        <v/>
      </c>
      <c r="S969" s="18" t="str">
        <f ca="1">IFERROR(__xludf.DUMMYFUNCTION("""COMPUTED_VALUE"""),"")</f>
        <v/>
      </c>
      <c r="T969" s="18" t="str">
        <f ca="1">IFERROR(__xludf.DUMMYFUNCTION("""COMPUTED_VALUE"""),"")</f>
        <v/>
      </c>
      <c r="U969" s="18" t="str">
        <f ca="1">IFERROR(__xludf.DUMMYFUNCTION("""COMPUTED_VALUE"""),"")</f>
        <v/>
      </c>
      <c r="V969" s="18" t="str">
        <f ca="1">IFERROR(__xludf.DUMMYFUNCTION("""COMPUTED_VALUE"""),"")</f>
        <v/>
      </c>
      <c r="W969" s="18" t="str">
        <f ca="1">IFERROR(__xludf.DUMMYFUNCTION("""COMPUTED_VALUE"""),"")</f>
        <v/>
      </c>
      <c r="X969" s="18" t="str">
        <f ca="1">IFERROR(__xludf.DUMMYFUNCTION("""COMPUTED_VALUE"""),"")</f>
        <v/>
      </c>
      <c r="Y969" s="18" t="e">
        <f ca="1"/>
        <v>#NAME?</v>
      </c>
      <c r="Z969" s="18" t="str">
        <f ca="1">IFERROR(__xludf.DUMMYFUNCTION("""COMPUTED_VALUE"""),"")</f>
        <v/>
      </c>
      <c r="AA969" s="18" t="str">
        <f ca="1">IFERROR(__xludf.DUMMYFUNCTION("""COMPUTED_VALUE"""),"")</f>
        <v/>
      </c>
      <c r="AC969" s="59"/>
    </row>
    <row r="970" spans="1:29" x14ac:dyDescent="0.25">
      <c r="A970" s="18">
        <v>0</v>
      </c>
      <c r="B970" s="52" t="str">
        <f ca="1"/>
        <v/>
      </c>
      <c r="C970" s="52" t="str">
        <f ca="1">IFERROR(__xludf.DUMMYFUNCTION("""COMPUTED_VALUE"""),"")</f>
        <v/>
      </c>
      <c r="D970" s="18" t="str">
        <f ca="1">IFERROR(__xludf.DUMMYFUNCTION("""COMPUTED_VALUE"""),"")</f>
        <v/>
      </c>
      <c r="E970" s="18" t="str">
        <f ca="1">IFERROR(__xludf.DUMMYFUNCTION("""COMPUTED_VALUE"""),"")</f>
        <v/>
      </c>
      <c r="F970" s="18" t="str">
        <f ca="1">IFERROR(__xludf.DUMMYFUNCTION("""COMPUTED_VALUE"""),"")</f>
        <v/>
      </c>
      <c r="G970" s="18" t="str">
        <f ca="1">IFERROR(__xludf.DUMMYFUNCTION("""COMPUTED_VALUE"""),"")</f>
        <v/>
      </c>
      <c r="H970" s="18" t="str">
        <f ca="1">IFERROR(__xludf.DUMMYFUNCTION("""COMPUTED_VALUE"""),"")</f>
        <v/>
      </c>
      <c r="I970" s="18" t="str">
        <f ca="1">IFERROR(__xludf.DUMMYFUNCTION("""COMPUTED_VALUE"""),"")</f>
        <v/>
      </c>
      <c r="J970" s="18" t="str">
        <f ca="1">IFERROR(__xludf.DUMMYFUNCTION("""COMPUTED_VALUE"""),"")</f>
        <v/>
      </c>
      <c r="K970" s="18" t="str">
        <f ca="1">IFERROR(__xludf.DUMMYFUNCTION("""COMPUTED_VALUE"""),"")</f>
        <v/>
      </c>
      <c r="L970" s="18" t="str">
        <f ca="1">IFERROR(__xludf.DUMMYFUNCTION("""COMPUTED_VALUE"""),"")</f>
        <v/>
      </c>
      <c r="M970" s="18" t="str">
        <f ca="1">IFERROR(__xludf.DUMMYFUNCTION("""COMPUTED_VALUE"""),"")</f>
        <v/>
      </c>
      <c r="N970" s="18" t="str">
        <f ca="1">IFERROR(__xludf.DUMMYFUNCTION("""COMPUTED_VALUE"""),"")</f>
        <v/>
      </c>
      <c r="O970" s="18" t="str">
        <f ca="1">IFERROR(__xludf.DUMMYFUNCTION("""COMPUTED_VALUE"""),"")</f>
        <v/>
      </c>
      <c r="P970" s="18" t="str">
        <f ca="1">IFERROR(__xludf.DUMMYFUNCTION("""COMPUTED_VALUE"""),"")</f>
        <v/>
      </c>
      <c r="Q970" s="18" t="str">
        <f ca="1">IFERROR(__xludf.DUMMYFUNCTION("""COMPUTED_VALUE"""),"")</f>
        <v/>
      </c>
      <c r="R970" s="18" t="str">
        <f ca="1">IFERROR(__xludf.DUMMYFUNCTION("""COMPUTED_VALUE"""),"")</f>
        <v/>
      </c>
      <c r="S970" s="18" t="str">
        <f ca="1">IFERROR(__xludf.DUMMYFUNCTION("""COMPUTED_VALUE"""),"")</f>
        <v/>
      </c>
      <c r="T970" s="18" t="str">
        <f ca="1">IFERROR(__xludf.DUMMYFUNCTION("""COMPUTED_VALUE"""),"")</f>
        <v/>
      </c>
      <c r="U970" s="18" t="str">
        <f ca="1">IFERROR(__xludf.DUMMYFUNCTION("""COMPUTED_VALUE"""),"")</f>
        <v/>
      </c>
      <c r="V970" s="18" t="str">
        <f ca="1">IFERROR(__xludf.DUMMYFUNCTION("""COMPUTED_VALUE"""),"")</f>
        <v/>
      </c>
      <c r="W970" s="18" t="str">
        <f ca="1">IFERROR(__xludf.DUMMYFUNCTION("""COMPUTED_VALUE"""),"")</f>
        <v/>
      </c>
      <c r="X970" s="18" t="str">
        <f ca="1">IFERROR(__xludf.DUMMYFUNCTION("""COMPUTED_VALUE"""),"")</f>
        <v/>
      </c>
      <c r="Y970" s="18" t="e">
        <f ca="1"/>
        <v>#NAME?</v>
      </c>
      <c r="Z970" s="18" t="str">
        <f ca="1">IFERROR(__xludf.DUMMYFUNCTION("""COMPUTED_VALUE"""),"")</f>
        <v/>
      </c>
      <c r="AA970" s="18" t="str">
        <f ca="1">IFERROR(__xludf.DUMMYFUNCTION("""COMPUTED_VALUE"""),"")</f>
        <v/>
      </c>
      <c r="AC970" s="59"/>
    </row>
    <row r="971" spans="1:29" x14ac:dyDescent="0.25">
      <c r="A971" s="18">
        <v>0</v>
      </c>
      <c r="B971" s="52" t="str">
        <f ca="1"/>
        <v/>
      </c>
      <c r="C971" s="52" t="str">
        <f ca="1">IFERROR(__xludf.DUMMYFUNCTION("""COMPUTED_VALUE"""),"")</f>
        <v/>
      </c>
      <c r="D971" s="18" t="str">
        <f ca="1">IFERROR(__xludf.DUMMYFUNCTION("""COMPUTED_VALUE"""),"")</f>
        <v/>
      </c>
      <c r="E971" s="18" t="str">
        <f ca="1">IFERROR(__xludf.DUMMYFUNCTION("""COMPUTED_VALUE"""),"")</f>
        <v/>
      </c>
      <c r="F971" s="18" t="str">
        <f ca="1">IFERROR(__xludf.DUMMYFUNCTION("""COMPUTED_VALUE"""),"")</f>
        <v/>
      </c>
      <c r="G971" s="18" t="str">
        <f ca="1">IFERROR(__xludf.DUMMYFUNCTION("""COMPUTED_VALUE"""),"")</f>
        <v/>
      </c>
      <c r="H971" s="18" t="str">
        <f ca="1">IFERROR(__xludf.DUMMYFUNCTION("""COMPUTED_VALUE"""),"")</f>
        <v/>
      </c>
      <c r="I971" s="18" t="str">
        <f ca="1">IFERROR(__xludf.DUMMYFUNCTION("""COMPUTED_VALUE"""),"")</f>
        <v/>
      </c>
      <c r="J971" s="18" t="str">
        <f ca="1">IFERROR(__xludf.DUMMYFUNCTION("""COMPUTED_VALUE"""),"")</f>
        <v/>
      </c>
      <c r="K971" s="18" t="str">
        <f ca="1">IFERROR(__xludf.DUMMYFUNCTION("""COMPUTED_VALUE"""),"")</f>
        <v/>
      </c>
      <c r="L971" s="18" t="str">
        <f ca="1">IFERROR(__xludf.DUMMYFUNCTION("""COMPUTED_VALUE"""),"")</f>
        <v/>
      </c>
      <c r="M971" s="18" t="str">
        <f ca="1">IFERROR(__xludf.DUMMYFUNCTION("""COMPUTED_VALUE"""),"")</f>
        <v/>
      </c>
      <c r="N971" s="18" t="str">
        <f ca="1">IFERROR(__xludf.DUMMYFUNCTION("""COMPUTED_VALUE"""),"")</f>
        <v/>
      </c>
      <c r="O971" s="18" t="str">
        <f ca="1">IFERROR(__xludf.DUMMYFUNCTION("""COMPUTED_VALUE"""),"")</f>
        <v/>
      </c>
      <c r="P971" s="18" t="str">
        <f ca="1">IFERROR(__xludf.DUMMYFUNCTION("""COMPUTED_VALUE"""),"")</f>
        <v/>
      </c>
      <c r="Q971" s="18" t="str">
        <f ca="1">IFERROR(__xludf.DUMMYFUNCTION("""COMPUTED_VALUE"""),"")</f>
        <v/>
      </c>
      <c r="R971" s="18" t="str">
        <f ca="1">IFERROR(__xludf.DUMMYFUNCTION("""COMPUTED_VALUE"""),"")</f>
        <v/>
      </c>
      <c r="S971" s="18" t="str">
        <f ca="1">IFERROR(__xludf.DUMMYFUNCTION("""COMPUTED_VALUE"""),"")</f>
        <v/>
      </c>
      <c r="T971" s="18" t="str">
        <f ca="1">IFERROR(__xludf.DUMMYFUNCTION("""COMPUTED_VALUE"""),"")</f>
        <v/>
      </c>
      <c r="U971" s="18" t="str">
        <f ca="1">IFERROR(__xludf.DUMMYFUNCTION("""COMPUTED_VALUE"""),"")</f>
        <v/>
      </c>
      <c r="V971" s="18" t="str">
        <f ca="1">IFERROR(__xludf.DUMMYFUNCTION("""COMPUTED_VALUE"""),"")</f>
        <v/>
      </c>
      <c r="W971" s="18" t="str">
        <f ca="1">IFERROR(__xludf.DUMMYFUNCTION("""COMPUTED_VALUE"""),"")</f>
        <v/>
      </c>
      <c r="X971" s="18" t="str">
        <f ca="1">IFERROR(__xludf.DUMMYFUNCTION("""COMPUTED_VALUE"""),"")</f>
        <v/>
      </c>
      <c r="Y971" s="18" t="e">
        <f ca="1"/>
        <v>#NAME?</v>
      </c>
      <c r="Z971" s="18" t="str">
        <f ca="1">IFERROR(__xludf.DUMMYFUNCTION("""COMPUTED_VALUE"""),"")</f>
        <v/>
      </c>
      <c r="AA971" s="18" t="str">
        <f ca="1">IFERROR(__xludf.DUMMYFUNCTION("""COMPUTED_VALUE"""),"")</f>
        <v/>
      </c>
      <c r="AC971" s="59"/>
    </row>
    <row r="972" spans="1:29" x14ac:dyDescent="0.25">
      <c r="A972" s="18">
        <v>0</v>
      </c>
      <c r="B972" s="52" t="str">
        <f ca="1"/>
        <v/>
      </c>
      <c r="C972" s="52" t="str">
        <f ca="1">IFERROR(__xludf.DUMMYFUNCTION("""COMPUTED_VALUE"""),"")</f>
        <v/>
      </c>
      <c r="D972" s="18" t="str">
        <f ca="1">IFERROR(__xludf.DUMMYFUNCTION("""COMPUTED_VALUE"""),"")</f>
        <v/>
      </c>
      <c r="E972" s="18" t="str">
        <f ca="1">IFERROR(__xludf.DUMMYFUNCTION("""COMPUTED_VALUE"""),"")</f>
        <v/>
      </c>
      <c r="F972" s="18" t="str">
        <f ca="1">IFERROR(__xludf.DUMMYFUNCTION("""COMPUTED_VALUE"""),"")</f>
        <v/>
      </c>
      <c r="G972" s="18" t="str">
        <f ca="1">IFERROR(__xludf.DUMMYFUNCTION("""COMPUTED_VALUE"""),"")</f>
        <v/>
      </c>
      <c r="H972" s="18" t="str">
        <f ca="1">IFERROR(__xludf.DUMMYFUNCTION("""COMPUTED_VALUE"""),"")</f>
        <v/>
      </c>
      <c r="I972" s="18" t="str">
        <f ca="1">IFERROR(__xludf.DUMMYFUNCTION("""COMPUTED_VALUE"""),"")</f>
        <v/>
      </c>
      <c r="J972" s="18" t="str">
        <f ca="1">IFERROR(__xludf.DUMMYFUNCTION("""COMPUTED_VALUE"""),"")</f>
        <v/>
      </c>
      <c r="K972" s="18" t="str">
        <f ca="1">IFERROR(__xludf.DUMMYFUNCTION("""COMPUTED_VALUE"""),"")</f>
        <v/>
      </c>
      <c r="L972" s="18" t="str">
        <f ca="1">IFERROR(__xludf.DUMMYFUNCTION("""COMPUTED_VALUE"""),"")</f>
        <v/>
      </c>
      <c r="M972" s="18" t="str">
        <f ca="1">IFERROR(__xludf.DUMMYFUNCTION("""COMPUTED_VALUE"""),"")</f>
        <v/>
      </c>
      <c r="N972" s="18" t="str">
        <f ca="1">IFERROR(__xludf.DUMMYFUNCTION("""COMPUTED_VALUE"""),"")</f>
        <v/>
      </c>
      <c r="O972" s="18" t="str">
        <f ca="1">IFERROR(__xludf.DUMMYFUNCTION("""COMPUTED_VALUE"""),"")</f>
        <v/>
      </c>
      <c r="P972" s="18" t="str">
        <f ca="1">IFERROR(__xludf.DUMMYFUNCTION("""COMPUTED_VALUE"""),"")</f>
        <v/>
      </c>
      <c r="Q972" s="18" t="str">
        <f ca="1">IFERROR(__xludf.DUMMYFUNCTION("""COMPUTED_VALUE"""),"")</f>
        <v/>
      </c>
      <c r="R972" s="18" t="str">
        <f ca="1">IFERROR(__xludf.DUMMYFUNCTION("""COMPUTED_VALUE"""),"")</f>
        <v/>
      </c>
      <c r="S972" s="18" t="str">
        <f ca="1">IFERROR(__xludf.DUMMYFUNCTION("""COMPUTED_VALUE"""),"")</f>
        <v/>
      </c>
      <c r="T972" s="18" t="str">
        <f ca="1">IFERROR(__xludf.DUMMYFUNCTION("""COMPUTED_VALUE"""),"")</f>
        <v/>
      </c>
      <c r="U972" s="18" t="str">
        <f ca="1">IFERROR(__xludf.DUMMYFUNCTION("""COMPUTED_VALUE"""),"")</f>
        <v/>
      </c>
      <c r="V972" s="18" t="str">
        <f ca="1">IFERROR(__xludf.DUMMYFUNCTION("""COMPUTED_VALUE"""),"")</f>
        <v/>
      </c>
      <c r="W972" s="18" t="str">
        <f ca="1">IFERROR(__xludf.DUMMYFUNCTION("""COMPUTED_VALUE"""),"")</f>
        <v/>
      </c>
      <c r="X972" s="18" t="str">
        <f ca="1">IFERROR(__xludf.DUMMYFUNCTION("""COMPUTED_VALUE"""),"")</f>
        <v/>
      </c>
      <c r="Y972" s="18" t="e">
        <f ca="1"/>
        <v>#NAME?</v>
      </c>
      <c r="Z972" s="18" t="str">
        <f ca="1">IFERROR(__xludf.DUMMYFUNCTION("""COMPUTED_VALUE"""),"")</f>
        <v/>
      </c>
      <c r="AA972" s="18" t="str">
        <f ca="1">IFERROR(__xludf.DUMMYFUNCTION("""COMPUTED_VALUE"""),"")</f>
        <v/>
      </c>
      <c r="AC972" s="59"/>
    </row>
    <row r="973" spans="1:29" x14ac:dyDescent="0.25">
      <c r="A973" s="18">
        <v>0</v>
      </c>
      <c r="B973" s="52" t="str">
        <f ca="1"/>
        <v/>
      </c>
      <c r="C973" s="52" t="str">
        <f ca="1">IFERROR(__xludf.DUMMYFUNCTION("""COMPUTED_VALUE"""),"")</f>
        <v/>
      </c>
      <c r="D973" s="18" t="str">
        <f ca="1">IFERROR(__xludf.DUMMYFUNCTION("""COMPUTED_VALUE"""),"")</f>
        <v/>
      </c>
      <c r="E973" s="18" t="str">
        <f ca="1">IFERROR(__xludf.DUMMYFUNCTION("""COMPUTED_VALUE"""),"")</f>
        <v/>
      </c>
      <c r="F973" s="18" t="str">
        <f ca="1">IFERROR(__xludf.DUMMYFUNCTION("""COMPUTED_VALUE"""),"")</f>
        <v/>
      </c>
      <c r="G973" s="18" t="str">
        <f ca="1">IFERROR(__xludf.DUMMYFUNCTION("""COMPUTED_VALUE"""),"")</f>
        <v/>
      </c>
      <c r="H973" s="18" t="str">
        <f ca="1">IFERROR(__xludf.DUMMYFUNCTION("""COMPUTED_VALUE"""),"")</f>
        <v/>
      </c>
      <c r="I973" s="18" t="str">
        <f ca="1">IFERROR(__xludf.DUMMYFUNCTION("""COMPUTED_VALUE"""),"")</f>
        <v/>
      </c>
      <c r="J973" s="18" t="str">
        <f ca="1">IFERROR(__xludf.DUMMYFUNCTION("""COMPUTED_VALUE"""),"")</f>
        <v/>
      </c>
      <c r="K973" s="18" t="str">
        <f ca="1">IFERROR(__xludf.DUMMYFUNCTION("""COMPUTED_VALUE"""),"")</f>
        <v/>
      </c>
      <c r="L973" s="18" t="str">
        <f ca="1">IFERROR(__xludf.DUMMYFUNCTION("""COMPUTED_VALUE"""),"")</f>
        <v/>
      </c>
      <c r="M973" s="18" t="str">
        <f ca="1">IFERROR(__xludf.DUMMYFUNCTION("""COMPUTED_VALUE"""),"")</f>
        <v/>
      </c>
      <c r="N973" s="18" t="str">
        <f ca="1">IFERROR(__xludf.DUMMYFUNCTION("""COMPUTED_VALUE"""),"")</f>
        <v/>
      </c>
      <c r="O973" s="18" t="str">
        <f ca="1">IFERROR(__xludf.DUMMYFUNCTION("""COMPUTED_VALUE"""),"")</f>
        <v/>
      </c>
      <c r="P973" s="18" t="str">
        <f ca="1">IFERROR(__xludf.DUMMYFUNCTION("""COMPUTED_VALUE"""),"")</f>
        <v/>
      </c>
      <c r="Q973" s="18" t="str">
        <f ca="1">IFERROR(__xludf.DUMMYFUNCTION("""COMPUTED_VALUE"""),"")</f>
        <v/>
      </c>
      <c r="R973" s="18" t="str">
        <f ca="1">IFERROR(__xludf.DUMMYFUNCTION("""COMPUTED_VALUE"""),"")</f>
        <v/>
      </c>
      <c r="S973" s="18" t="str">
        <f ca="1">IFERROR(__xludf.DUMMYFUNCTION("""COMPUTED_VALUE"""),"")</f>
        <v/>
      </c>
      <c r="T973" s="18" t="str">
        <f ca="1">IFERROR(__xludf.DUMMYFUNCTION("""COMPUTED_VALUE"""),"")</f>
        <v/>
      </c>
      <c r="U973" s="18" t="str">
        <f ca="1">IFERROR(__xludf.DUMMYFUNCTION("""COMPUTED_VALUE"""),"")</f>
        <v/>
      </c>
      <c r="V973" s="18" t="str">
        <f ca="1">IFERROR(__xludf.DUMMYFUNCTION("""COMPUTED_VALUE"""),"")</f>
        <v/>
      </c>
      <c r="W973" s="18" t="str">
        <f ca="1">IFERROR(__xludf.DUMMYFUNCTION("""COMPUTED_VALUE"""),"")</f>
        <v/>
      </c>
      <c r="X973" s="18" t="str">
        <f ca="1">IFERROR(__xludf.DUMMYFUNCTION("""COMPUTED_VALUE"""),"")</f>
        <v/>
      </c>
      <c r="Y973" s="18" t="e">
        <f ca="1"/>
        <v>#NAME?</v>
      </c>
      <c r="Z973" s="18" t="str">
        <f ca="1">IFERROR(__xludf.DUMMYFUNCTION("""COMPUTED_VALUE"""),"")</f>
        <v/>
      </c>
      <c r="AA973" s="18" t="str">
        <f ca="1">IFERROR(__xludf.DUMMYFUNCTION("""COMPUTED_VALUE"""),"")</f>
        <v/>
      </c>
      <c r="AC973" s="59"/>
    </row>
    <row r="974" spans="1:29" x14ac:dyDescent="0.25">
      <c r="A974" s="18">
        <v>0</v>
      </c>
      <c r="B974" s="52" t="str">
        <f ca="1"/>
        <v/>
      </c>
      <c r="C974" s="52" t="str">
        <f ca="1">IFERROR(__xludf.DUMMYFUNCTION("""COMPUTED_VALUE"""),"")</f>
        <v/>
      </c>
      <c r="D974" s="18" t="str">
        <f ca="1">IFERROR(__xludf.DUMMYFUNCTION("""COMPUTED_VALUE"""),"")</f>
        <v/>
      </c>
      <c r="E974" s="18" t="str">
        <f ca="1">IFERROR(__xludf.DUMMYFUNCTION("""COMPUTED_VALUE"""),"")</f>
        <v/>
      </c>
      <c r="F974" s="18" t="str">
        <f ca="1">IFERROR(__xludf.DUMMYFUNCTION("""COMPUTED_VALUE"""),"")</f>
        <v/>
      </c>
      <c r="G974" s="18" t="str">
        <f ca="1">IFERROR(__xludf.DUMMYFUNCTION("""COMPUTED_VALUE"""),"")</f>
        <v/>
      </c>
      <c r="H974" s="18" t="str">
        <f ca="1">IFERROR(__xludf.DUMMYFUNCTION("""COMPUTED_VALUE"""),"")</f>
        <v/>
      </c>
      <c r="I974" s="18" t="str">
        <f ca="1">IFERROR(__xludf.DUMMYFUNCTION("""COMPUTED_VALUE"""),"")</f>
        <v/>
      </c>
      <c r="J974" s="18" t="str">
        <f ca="1">IFERROR(__xludf.DUMMYFUNCTION("""COMPUTED_VALUE"""),"")</f>
        <v/>
      </c>
      <c r="K974" s="18" t="str">
        <f ca="1">IFERROR(__xludf.DUMMYFUNCTION("""COMPUTED_VALUE"""),"")</f>
        <v/>
      </c>
      <c r="L974" s="18" t="str">
        <f ca="1">IFERROR(__xludf.DUMMYFUNCTION("""COMPUTED_VALUE"""),"")</f>
        <v/>
      </c>
      <c r="M974" s="18" t="str">
        <f ca="1">IFERROR(__xludf.DUMMYFUNCTION("""COMPUTED_VALUE"""),"")</f>
        <v/>
      </c>
      <c r="N974" s="18" t="str">
        <f ca="1">IFERROR(__xludf.DUMMYFUNCTION("""COMPUTED_VALUE"""),"")</f>
        <v/>
      </c>
      <c r="O974" s="18" t="str">
        <f ca="1">IFERROR(__xludf.DUMMYFUNCTION("""COMPUTED_VALUE"""),"")</f>
        <v/>
      </c>
      <c r="P974" s="18" t="str">
        <f ca="1">IFERROR(__xludf.DUMMYFUNCTION("""COMPUTED_VALUE"""),"")</f>
        <v/>
      </c>
      <c r="Q974" s="18" t="str">
        <f ca="1">IFERROR(__xludf.DUMMYFUNCTION("""COMPUTED_VALUE"""),"")</f>
        <v/>
      </c>
      <c r="R974" s="18" t="str">
        <f ca="1">IFERROR(__xludf.DUMMYFUNCTION("""COMPUTED_VALUE"""),"")</f>
        <v/>
      </c>
      <c r="S974" s="18" t="str">
        <f ca="1">IFERROR(__xludf.DUMMYFUNCTION("""COMPUTED_VALUE"""),"")</f>
        <v/>
      </c>
      <c r="T974" s="18" t="str">
        <f ca="1">IFERROR(__xludf.DUMMYFUNCTION("""COMPUTED_VALUE"""),"")</f>
        <v/>
      </c>
      <c r="U974" s="18" t="str">
        <f ca="1">IFERROR(__xludf.DUMMYFUNCTION("""COMPUTED_VALUE"""),"")</f>
        <v/>
      </c>
      <c r="V974" s="18" t="str">
        <f ca="1">IFERROR(__xludf.DUMMYFUNCTION("""COMPUTED_VALUE"""),"")</f>
        <v/>
      </c>
      <c r="W974" s="18" t="str">
        <f ca="1">IFERROR(__xludf.DUMMYFUNCTION("""COMPUTED_VALUE"""),"")</f>
        <v/>
      </c>
      <c r="X974" s="18" t="str">
        <f ca="1">IFERROR(__xludf.DUMMYFUNCTION("""COMPUTED_VALUE"""),"")</f>
        <v/>
      </c>
      <c r="Y974" s="18" t="e">
        <f ca="1"/>
        <v>#NAME?</v>
      </c>
      <c r="Z974" s="18" t="str">
        <f ca="1">IFERROR(__xludf.DUMMYFUNCTION("""COMPUTED_VALUE"""),"")</f>
        <v/>
      </c>
      <c r="AA974" s="18" t="str">
        <f ca="1">IFERROR(__xludf.DUMMYFUNCTION("""COMPUTED_VALUE"""),"")</f>
        <v/>
      </c>
      <c r="AC974" s="59"/>
    </row>
    <row r="975" spans="1:29" x14ac:dyDescent="0.25">
      <c r="A975" s="18">
        <v>0</v>
      </c>
      <c r="B975" s="52" t="str">
        <f ca="1"/>
        <v/>
      </c>
      <c r="C975" s="52" t="str">
        <f ca="1">IFERROR(__xludf.DUMMYFUNCTION("""COMPUTED_VALUE"""),"")</f>
        <v/>
      </c>
      <c r="D975" s="18" t="str">
        <f ca="1">IFERROR(__xludf.DUMMYFUNCTION("""COMPUTED_VALUE"""),"")</f>
        <v/>
      </c>
      <c r="E975" s="18" t="str">
        <f ca="1">IFERROR(__xludf.DUMMYFUNCTION("""COMPUTED_VALUE"""),"")</f>
        <v/>
      </c>
      <c r="F975" s="18" t="str">
        <f ca="1">IFERROR(__xludf.DUMMYFUNCTION("""COMPUTED_VALUE"""),"")</f>
        <v/>
      </c>
      <c r="G975" s="18" t="str">
        <f ca="1">IFERROR(__xludf.DUMMYFUNCTION("""COMPUTED_VALUE"""),"")</f>
        <v/>
      </c>
      <c r="H975" s="18" t="str">
        <f ca="1">IFERROR(__xludf.DUMMYFUNCTION("""COMPUTED_VALUE"""),"")</f>
        <v/>
      </c>
      <c r="I975" s="18" t="str">
        <f ca="1">IFERROR(__xludf.DUMMYFUNCTION("""COMPUTED_VALUE"""),"")</f>
        <v/>
      </c>
      <c r="J975" s="18" t="str">
        <f ca="1">IFERROR(__xludf.DUMMYFUNCTION("""COMPUTED_VALUE"""),"")</f>
        <v/>
      </c>
      <c r="K975" s="18" t="str">
        <f ca="1">IFERROR(__xludf.DUMMYFUNCTION("""COMPUTED_VALUE"""),"")</f>
        <v/>
      </c>
      <c r="L975" s="18" t="str">
        <f ca="1">IFERROR(__xludf.DUMMYFUNCTION("""COMPUTED_VALUE"""),"")</f>
        <v/>
      </c>
      <c r="M975" s="18" t="str">
        <f ca="1">IFERROR(__xludf.DUMMYFUNCTION("""COMPUTED_VALUE"""),"")</f>
        <v/>
      </c>
      <c r="N975" s="18" t="str">
        <f ca="1">IFERROR(__xludf.DUMMYFUNCTION("""COMPUTED_VALUE"""),"")</f>
        <v/>
      </c>
      <c r="O975" s="18" t="str">
        <f ca="1">IFERROR(__xludf.DUMMYFUNCTION("""COMPUTED_VALUE"""),"")</f>
        <v/>
      </c>
      <c r="P975" s="18" t="str">
        <f ca="1">IFERROR(__xludf.DUMMYFUNCTION("""COMPUTED_VALUE"""),"")</f>
        <v/>
      </c>
      <c r="Q975" s="18" t="str">
        <f ca="1">IFERROR(__xludf.DUMMYFUNCTION("""COMPUTED_VALUE"""),"")</f>
        <v/>
      </c>
      <c r="R975" s="18" t="str">
        <f ca="1">IFERROR(__xludf.DUMMYFUNCTION("""COMPUTED_VALUE"""),"")</f>
        <v/>
      </c>
      <c r="S975" s="18" t="str">
        <f ca="1">IFERROR(__xludf.DUMMYFUNCTION("""COMPUTED_VALUE"""),"")</f>
        <v/>
      </c>
      <c r="T975" s="18" t="str">
        <f ca="1">IFERROR(__xludf.DUMMYFUNCTION("""COMPUTED_VALUE"""),"")</f>
        <v/>
      </c>
      <c r="U975" s="18" t="str">
        <f ca="1">IFERROR(__xludf.DUMMYFUNCTION("""COMPUTED_VALUE"""),"")</f>
        <v/>
      </c>
      <c r="V975" s="18" t="str">
        <f ca="1">IFERROR(__xludf.DUMMYFUNCTION("""COMPUTED_VALUE"""),"")</f>
        <v/>
      </c>
      <c r="W975" s="18" t="str">
        <f ca="1">IFERROR(__xludf.DUMMYFUNCTION("""COMPUTED_VALUE"""),"")</f>
        <v/>
      </c>
      <c r="X975" s="18" t="str">
        <f ca="1">IFERROR(__xludf.DUMMYFUNCTION("""COMPUTED_VALUE"""),"")</f>
        <v/>
      </c>
      <c r="Y975" s="18" t="e">
        <f ca="1"/>
        <v>#NAME?</v>
      </c>
      <c r="Z975" s="18" t="str">
        <f ca="1">IFERROR(__xludf.DUMMYFUNCTION("""COMPUTED_VALUE"""),"")</f>
        <v/>
      </c>
      <c r="AA975" s="18" t="str">
        <f ca="1">IFERROR(__xludf.DUMMYFUNCTION("""COMPUTED_VALUE"""),"")</f>
        <v/>
      </c>
      <c r="AC975" s="59"/>
    </row>
    <row r="976" spans="1:29" x14ac:dyDescent="0.25">
      <c r="A976" s="18">
        <v>0</v>
      </c>
      <c r="B976" s="52" t="str">
        <f ca="1"/>
        <v/>
      </c>
      <c r="C976" s="52" t="str">
        <f ca="1">IFERROR(__xludf.DUMMYFUNCTION("""COMPUTED_VALUE"""),"")</f>
        <v/>
      </c>
      <c r="D976" s="18" t="str">
        <f ca="1">IFERROR(__xludf.DUMMYFUNCTION("""COMPUTED_VALUE"""),"")</f>
        <v/>
      </c>
      <c r="E976" s="18" t="str">
        <f ca="1">IFERROR(__xludf.DUMMYFUNCTION("""COMPUTED_VALUE"""),"")</f>
        <v/>
      </c>
      <c r="F976" s="18" t="str">
        <f ca="1">IFERROR(__xludf.DUMMYFUNCTION("""COMPUTED_VALUE"""),"")</f>
        <v/>
      </c>
      <c r="G976" s="18" t="str">
        <f ca="1">IFERROR(__xludf.DUMMYFUNCTION("""COMPUTED_VALUE"""),"")</f>
        <v/>
      </c>
      <c r="H976" s="18" t="str">
        <f ca="1">IFERROR(__xludf.DUMMYFUNCTION("""COMPUTED_VALUE"""),"")</f>
        <v/>
      </c>
      <c r="I976" s="18" t="str">
        <f ca="1">IFERROR(__xludf.DUMMYFUNCTION("""COMPUTED_VALUE"""),"")</f>
        <v/>
      </c>
      <c r="J976" s="18" t="str">
        <f ca="1">IFERROR(__xludf.DUMMYFUNCTION("""COMPUTED_VALUE"""),"")</f>
        <v/>
      </c>
      <c r="K976" s="18" t="str">
        <f ca="1">IFERROR(__xludf.DUMMYFUNCTION("""COMPUTED_VALUE"""),"")</f>
        <v/>
      </c>
      <c r="L976" s="18" t="str">
        <f ca="1">IFERROR(__xludf.DUMMYFUNCTION("""COMPUTED_VALUE"""),"")</f>
        <v/>
      </c>
      <c r="M976" s="18" t="str">
        <f ca="1">IFERROR(__xludf.DUMMYFUNCTION("""COMPUTED_VALUE"""),"")</f>
        <v/>
      </c>
      <c r="N976" s="18" t="str">
        <f ca="1">IFERROR(__xludf.DUMMYFUNCTION("""COMPUTED_VALUE"""),"")</f>
        <v/>
      </c>
      <c r="O976" s="18" t="str">
        <f ca="1">IFERROR(__xludf.DUMMYFUNCTION("""COMPUTED_VALUE"""),"")</f>
        <v/>
      </c>
      <c r="P976" s="18" t="str">
        <f ca="1">IFERROR(__xludf.DUMMYFUNCTION("""COMPUTED_VALUE"""),"")</f>
        <v/>
      </c>
      <c r="Q976" s="18" t="str">
        <f ca="1">IFERROR(__xludf.DUMMYFUNCTION("""COMPUTED_VALUE"""),"")</f>
        <v/>
      </c>
      <c r="R976" s="18" t="str">
        <f ca="1">IFERROR(__xludf.DUMMYFUNCTION("""COMPUTED_VALUE"""),"")</f>
        <v/>
      </c>
      <c r="S976" s="18" t="str">
        <f ca="1">IFERROR(__xludf.DUMMYFUNCTION("""COMPUTED_VALUE"""),"")</f>
        <v/>
      </c>
      <c r="T976" s="18" t="str">
        <f ca="1">IFERROR(__xludf.DUMMYFUNCTION("""COMPUTED_VALUE"""),"")</f>
        <v/>
      </c>
      <c r="U976" s="18" t="str">
        <f ca="1">IFERROR(__xludf.DUMMYFUNCTION("""COMPUTED_VALUE"""),"")</f>
        <v/>
      </c>
      <c r="V976" s="18" t="str">
        <f ca="1">IFERROR(__xludf.DUMMYFUNCTION("""COMPUTED_VALUE"""),"")</f>
        <v/>
      </c>
      <c r="W976" s="18" t="str">
        <f ca="1">IFERROR(__xludf.DUMMYFUNCTION("""COMPUTED_VALUE"""),"")</f>
        <v/>
      </c>
      <c r="X976" s="18" t="str">
        <f ca="1">IFERROR(__xludf.DUMMYFUNCTION("""COMPUTED_VALUE"""),"")</f>
        <v/>
      </c>
      <c r="Y976" s="18" t="e">
        <f ca="1"/>
        <v>#NAME?</v>
      </c>
      <c r="Z976" s="18" t="str">
        <f ca="1">IFERROR(__xludf.DUMMYFUNCTION("""COMPUTED_VALUE"""),"")</f>
        <v/>
      </c>
      <c r="AA976" s="18" t="str">
        <f ca="1">IFERROR(__xludf.DUMMYFUNCTION("""COMPUTED_VALUE"""),"")</f>
        <v/>
      </c>
      <c r="AC976" s="59"/>
    </row>
    <row r="977" spans="1:29" x14ac:dyDescent="0.25">
      <c r="A977" s="18">
        <v>0</v>
      </c>
      <c r="B977" s="52" t="str">
        <f ca="1"/>
        <v/>
      </c>
      <c r="C977" s="52" t="str">
        <f ca="1">IFERROR(__xludf.DUMMYFUNCTION("""COMPUTED_VALUE"""),"")</f>
        <v/>
      </c>
      <c r="D977" s="18" t="str">
        <f ca="1">IFERROR(__xludf.DUMMYFUNCTION("""COMPUTED_VALUE"""),"")</f>
        <v/>
      </c>
      <c r="E977" s="18" t="str">
        <f ca="1">IFERROR(__xludf.DUMMYFUNCTION("""COMPUTED_VALUE"""),"")</f>
        <v/>
      </c>
      <c r="F977" s="18" t="str">
        <f ca="1">IFERROR(__xludf.DUMMYFUNCTION("""COMPUTED_VALUE"""),"")</f>
        <v/>
      </c>
      <c r="G977" s="18" t="str">
        <f ca="1">IFERROR(__xludf.DUMMYFUNCTION("""COMPUTED_VALUE"""),"")</f>
        <v/>
      </c>
      <c r="H977" s="18" t="str">
        <f ca="1">IFERROR(__xludf.DUMMYFUNCTION("""COMPUTED_VALUE"""),"")</f>
        <v/>
      </c>
      <c r="I977" s="18" t="str">
        <f ca="1">IFERROR(__xludf.DUMMYFUNCTION("""COMPUTED_VALUE"""),"")</f>
        <v/>
      </c>
      <c r="J977" s="18" t="str">
        <f ca="1">IFERROR(__xludf.DUMMYFUNCTION("""COMPUTED_VALUE"""),"")</f>
        <v/>
      </c>
      <c r="K977" s="18" t="str">
        <f ca="1">IFERROR(__xludf.DUMMYFUNCTION("""COMPUTED_VALUE"""),"")</f>
        <v/>
      </c>
      <c r="L977" s="18" t="str">
        <f ca="1">IFERROR(__xludf.DUMMYFUNCTION("""COMPUTED_VALUE"""),"")</f>
        <v/>
      </c>
      <c r="M977" s="18" t="str">
        <f ca="1">IFERROR(__xludf.DUMMYFUNCTION("""COMPUTED_VALUE"""),"")</f>
        <v/>
      </c>
      <c r="N977" s="18" t="str">
        <f ca="1">IFERROR(__xludf.DUMMYFUNCTION("""COMPUTED_VALUE"""),"")</f>
        <v/>
      </c>
      <c r="O977" s="18" t="str">
        <f ca="1">IFERROR(__xludf.DUMMYFUNCTION("""COMPUTED_VALUE"""),"")</f>
        <v/>
      </c>
      <c r="P977" s="18" t="str">
        <f ca="1">IFERROR(__xludf.DUMMYFUNCTION("""COMPUTED_VALUE"""),"")</f>
        <v/>
      </c>
      <c r="Q977" s="18" t="str">
        <f ca="1">IFERROR(__xludf.DUMMYFUNCTION("""COMPUTED_VALUE"""),"")</f>
        <v/>
      </c>
      <c r="R977" s="18" t="str">
        <f ca="1">IFERROR(__xludf.DUMMYFUNCTION("""COMPUTED_VALUE"""),"")</f>
        <v/>
      </c>
      <c r="S977" s="18" t="str">
        <f ca="1">IFERROR(__xludf.DUMMYFUNCTION("""COMPUTED_VALUE"""),"")</f>
        <v/>
      </c>
      <c r="T977" s="18" t="str">
        <f ca="1">IFERROR(__xludf.DUMMYFUNCTION("""COMPUTED_VALUE"""),"")</f>
        <v/>
      </c>
      <c r="U977" s="18" t="str">
        <f ca="1">IFERROR(__xludf.DUMMYFUNCTION("""COMPUTED_VALUE"""),"")</f>
        <v/>
      </c>
      <c r="V977" s="18" t="str">
        <f ca="1">IFERROR(__xludf.DUMMYFUNCTION("""COMPUTED_VALUE"""),"")</f>
        <v/>
      </c>
      <c r="W977" s="18" t="str">
        <f ca="1">IFERROR(__xludf.DUMMYFUNCTION("""COMPUTED_VALUE"""),"")</f>
        <v/>
      </c>
      <c r="X977" s="18" t="str">
        <f ca="1">IFERROR(__xludf.DUMMYFUNCTION("""COMPUTED_VALUE"""),"")</f>
        <v/>
      </c>
      <c r="Y977" s="18" t="e">
        <f ca="1"/>
        <v>#NAME?</v>
      </c>
      <c r="Z977" s="18" t="str">
        <f ca="1">IFERROR(__xludf.DUMMYFUNCTION("""COMPUTED_VALUE"""),"")</f>
        <v/>
      </c>
      <c r="AA977" s="18" t="str">
        <f ca="1">IFERROR(__xludf.DUMMYFUNCTION("""COMPUTED_VALUE"""),"")</f>
        <v/>
      </c>
      <c r="AC977" s="59"/>
    </row>
    <row r="978" spans="1:29" x14ac:dyDescent="0.25">
      <c r="A978" s="18">
        <v>0</v>
      </c>
      <c r="B978" s="52" t="str">
        <f ca="1"/>
        <v/>
      </c>
      <c r="C978" s="52" t="str">
        <f ca="1">IFERROR(__xludf.DUMMYFUNCTION("""COMPUTED_VALUE"""),"")</f>
        <v/>
      </c>
      <c r="D978" s="18" t="str">
        <f ca="1">IFERROR(__xludf.DUMMYFUNCTION("""COMPUTED_VALUE"""),"")</f>
        <v/>
      </c>
      <c r="E978" s="18" t="str">
        <f ca="1">IFERROR(__xludf.DUMMYFUNCTION("""COMPUTED_VALUE"""),"")</f>
        <v/>
      </c>
      <c r="F978" s="18" t="str">
        <f ca="1">IFERROR(__xludf.DUMMYFUNCTION("""COMPUTED_VALUE"""),"")</f>
        <v/>
      </c>
      <c r="G978" s="18" t="str">
        <f ca="1">IFERROR(__xludf.DUMMYFUNCTION("""COMPUTED_VALUE"""),"")</f>
        <v/>
      </c>
      <c r="H978" s="18" t="str">
        <f ca="1">IFERROR(__xludf.DUMMYFUNCTION("""COMPUTED_VALUE"""),"")</f>
        <v/>
      </c>
      <c r="I978" s="18" t="str">
        <f ca="1">IFERROR(__xludf.DUMMYFUNCTION("""COMPUTED_VALUE"""),"")</f>
        <v/>
      </c>
      <c r="J978" s="18" t="str">
        <f ca="1">IFERROR(__xludf.DUMMYFUNCTION("""COMPUTED_VALUE"""),"")</f>
        <v/>
      </c>
      <c r="K978" s="18" t="str">
        <f ca="1">IFERROR(__xludf.DUMMYFUNCTION("""COMPUTED_VALUE"""),"")</f>
        <v/>
      </c>
      <c r="L978" s="18" t="str">
        <f ca="1">IFERROR(__xludf.DUMMYFUNCTION("""COMPUTED_VALUE"""),"")</f>
        <v/>
      </c>
      <c r="M978" s="18" t="str">
        <f ca="1">IFERROR(__xludf.DUMMYFUNCTION("""COMPUTED_VALUE"""),"")</f>
        <v/>
      </c>
      <c r="N978" s="18" t="str">
        <f ca="1">IFERROR(__xludf.DUMMYFUNCTION("""COMPUTED_VALUE"""),"")</f>
        <v/>
      </c>
      <c r="O978" s="18" t="str">
        <f ca="1">IFERROR(__xludf.DUMMYFUNCTION("""COMPUTED_VALUE"""),"")</f>
        <v/>
      </c>
      <c r="P978" s="18" t="str">
        <f ca="1">IFERROR(__xludf.DUMMYFUNCTION("""COMPUTED_VALUE"""),"")</f>
        <v/>
      </c>
      <c r="Q978" s="18" t="str">
        <f ca="1">IFERROR(__xludf.DUMMYFUNCTION("""COMPUTED_VALUE"""),"")</f>
        <v/>
      </c>
      <c r="R978" s="18" t="str">
        <f ca="1">IFERROR(__xludf.DUMMYFUNCTION("""COMPUTED_VALUE"""),"")</f>
        <v/>
      </c>
      <c r="S978" s="18" t="str">
        <f ca="1">IFERROR(__xludf.DUMMYFUNCTION("""COMPUTED_VALUE"""),"")</f>
        <v/>
      </c>
      <c r="T978" s="18" t="str">
        <f ca="1">IFERROR(__xludf.DUMMYFUNCTION("""COMPUTED_VALUE"""),"")</f>
        <v/>
      </c>
      <c r="U978" s="18" t="str">
        <f ca="1">IFERROR(__xludf.DUMMYFUNCTION("""COMPUTED_VALUE"""),"")</f>
        <v/>
      </c>
      <c r="V978" s="18" t="str">
        <f ca="1">IFERROR(__xludf.DUMMYFUNCTION("""COMPUTED_VALUE"""),"")</f>
        <v/>
      </c>
      <c r="W978" s="18" t="str">
        <f ca="1">IFERROR(__xludf.DUMMYFUNCTION("""COMPUTED_VALUE"""),"")</f>
        <v/>
      </c>
      <c r="X978" s="18" t="str">
        <f ca="1">IFERROR(__xludf.DUMMYFUNCTION("""COMPUTED_VALUE"""),"")</f>
        <v/>
      </c>
      <c r="Y978" s="18" t="e">
        <f ca="1"/>
        <v>#NAME?</v>
      </c>
      <c r="Z978" s="18" t="str">
        <f ca="1">IFERROR(__xludf.DUMMYFUNCTION("""COMPUTED_VALUE"""),"")</f>
        <v/>
      </c>
      <c r="AA978" s="18" t="str">
        <f ca="1">IFERROR(__xludf.DUMMYFUNCTION("""COMPUTED_VALUE"""),"")</f>
        <v/>
      </c>
      <c r="AC978" s="59"/>
    </row>
    <row r="979" spans="1:29" x14ac:dyDescent="0.25">
      <c r="A979" s="18">
        <v>0</v>
      </c>
      <c r="B979" s="52" t="str">
        <f ca="1"/>
        <v/>
      </c>
      <c r="C979" s="52" t="str">
        <f ca="1">IFERROR(__xludf.DUMMYFUNCTION("""COMPUTED_VALUE"""),"")</f>
        <v/>
      </c>
      <c r="D979" s="18" t="str">
        <f ca="1">IFERROR(__xludf.DUMMYFUNCTION("""COMPUTED_VALUE"""),"")</f>
        <v/>
      </c>
      <c r="E979" s="18" t="str">
        <f ca="1">IFERROR(__xludf.DUMMYFUNCTION("""COMPUTED_VALUE"""),"")</f>
        <v/>
      </c>
      <c r="F979" s="18" t="str">
        <f ca="1">IFERROR(__xludf.DUMMYFUNCTION("""COMPUTED_VALUE"""),"")</f>
        <v/>
      </c>
      <c r="G979" s="18" t="str">
        <f ca="1">IFERROR(__xludf.DUMMYFUNCTION("""COMPUTED_VALUE"""),"")</f>
        <v/>
      </c>
      <c r="H979" s="18" t="str">
        <f ca="1">IFERROR(__xludf.DUMMYFUNCTION("""COMPUTED_VALUE"""),"")</f>
        <v/>
      </c>
      <c r="I979" s="18" t="str">
        <f ca="1">IFERROR(__xludf.DUMMYFUNCTION("""COMPUTED_VALUE"""),"")</f>
        <v/>
      </c>
      <c r="J979" s="18" t="str">
        <f ca="1">IFERROR(__xludf.DUMMYFUNCTION("""COMPUTED_VALUE"""),"")</f>
        <v/>
      </c>
      <c r="K979" s="18" t="str">
        <f ca="1">IFERROR(__xludf.DUMMYFUNCTION("""COMPUTED_VALUE"""),"")</f>
        <v/>
      </c>
      <c r="L979" s="18" t="str">
        <f ca="1">IFERROR(__xludf.DUMMYFUNCTION("""COMPUTED_VALUE"""),"")</f>
        <v/>
      </c>
      <c r="M979" s="18" t="str">
        <f ca="1">IFERROR(__xludf.DUMMYFUNCTION("""COMPUTED_VALUE"""),"")</f>
        <v/>
      </c>
      <c r="N979" s="18" t="str">
        <f ca="1">IFERROR(__xludf.DUMMYFUNCTION("""COMPUTED_VALUE"""),"")</f>
        <v/>
      </c>
      <c r="O979" s="18" t="str">
        <f ca="1">IFERROR(__xludf.DUMMYFUNCTION("""COMPUTED_VALUE"""),"")</f>
        <v/>
      </c>
      <c r="P979" s="18" t="str">
        <f ca="1">IFERROR(__xludf.DUMMYFUNCTION("""COMPUTED_VALUE"""),"")</f>
        <v/>
      </c>
      <c r="Q979" s="18" t="str">
        <f ca="1">IFERROR(__xludf.DUMMYFUNCTION("""COMPUTED_VALUE"""),"")</f>
        <v/>
      </c>
      <c r="R979" s="18" t="str">
        <f ca="1">IFERROR(__xludf.DUMMYFUNCTION("""COMPUTED_VALUE"""),"")</f>
        <v/>
      </c>
      <c r="S979" s="18" t="str">
        <f ca="1">IFERROR(__xludf.DUMMYFUNCTION("""COMPUTED_VALUE"""),"")</f>
        <v/>
      </c>
      <c r="T979" s="18" t="str">
        <f ca="1">IFERROR(__xludf.DUMMYFUNCTION("""COMPUTED_VALUE"""),"")</f>
        <v/>
      </c>
      <c r="U979" s="18" t="str">
        <f ca="1">IFERROR(__xludf.DUMMYFUNCTION("""COMPUTED_VALUE"""),"")</f>
        <v/>
      </c>
      <c r="V979" s="18" t="str">
        <f ca="1">IFERROR(__xludf.DUMMYFUNCTION("""COMPUTED_VALUE"""),"")</f>
        <v/>
      </c>
      <c r="W979" s="18" t="str">
        <f ca="1">IFERROR(__xludf.DUMMYFUNCTION("""COMPUTED_VALUE"""),"")</f>
        <v/>
      </c>
      <c r="X979" s="18" t="str">
        <f ca="1">IFERROR(__xludf.DUMMYFUNCTION("""COMPUTED_VALUE"""),"")</f>
        <v/>
      </c>
      <c r="Y979" s="18" t="e">
        <f ca="1"/>
        <v>#NAME?</v>
      </c>
      <c r="Z979" s="18" t="str">
        <f ca="1">IFERROR(__xludf.DUMMYFUNCTION("""COMPUTED_VALUE"""),"")</f>
        <v/>
      </c>
      <c r="AA979" s="18" t="str">
        <f ca="1">IFERROR(__xludf.DUMMYFUNCTION("""COMPUTED_VALUE"""),"")</f>
        <v/>
      </c>
      <c r="AC979" s="59"/>
    </row>
    <row r="980" spans="1:29" x14ac:dyDescent="0.25">
      <c r="A980" s="18">
        <v>0</v>
      </c>
      <c r="B980" s="52" t="str">
        <f ca="1"/>
        <v/>
      </c>
      <c r="C980" s="52" t="str">
        <f ca="1">IFERROR(__xludf.DUMMYFUNCTION("""COMPUTED_VALUE"""),"")</f>
        <v/>
      </c>
      <c r="D980" s="18" t="str">
        <f ca="1">IFERROR(__xludf.DUMMYFUNCTION("""COMPUTED_VALUE"""),"")</f>
        <v/>
      </c>
      <c r="E980" s="18" t="str">
        <f ca="1">IFERROR(__xludf.DUMMYFUNCTION("""COMPUTED_VALUE"""),"")</f>
        <v/>
      </c>
      <c r="F980" s="18" t="str">
        <f ca="1">IFERROR(__xludf.DUMMYFUNCTION("""COMPUTED_VALUE"""),"")</f>
        <v/>
      </c>
      <c r="G980" s="18" t="str">
        <f ca="1">IFERROR(__xludf.DUMMYFUNCTION("""COMPUTED_VALUE"""),"")</f>
        <v/>
      </c>
      <c r="H980" s="18" t="str">
        <f ca="1">IFERROR(__xludf.DUMMYFUNCTION("""COMPUTED_VALUE"""),"")</f>
        <v/>
      </c>
      <c r="I980" s="18" t="str">
        <f ca="1">IFERROR(__xludf.DUMMYFUNCTION("""COMPUTED_VALUE"""),"")</f>
        <v/>
      </c>
      <c r="J980" s="18" t="str">
        <f ca="1">IFERROR(__xludf.DUMMYFUNCTION("""COMPUTED_VALUE"""),"")</f>
        <v/>
      </c>
      <c r="K980" s="18" t="str">
        <f ca="1">IFERROR(__xludf.DUMMYFUNCTION("""COMPUTED_VALUE"""),"")</f>
        <v/>
      </c>
      <c r="L980" s="18" t="str">
        <f ca="1">IFERROR(__xludf.DUMMYFUNCTION("""COMPUTED_VALUE"""),"")</f>
        <v/>
      </c>
      <c r="M980" s="18" t="str">
        <f ca="1">IFERROR(__xludf.DUMMYFUNCTION("""COMPUTED_VALUE"""),"")</f>
        <v/>
      </c>
      <c r="N980" s="18" t="str">
        <f ca="1">IFERROR(__xludf.DUMMYFUNCTION("""COMPUTED_VALUE"""),"")</f>
        <v/>
      </c>
      <c r="O980" s="18" t="str">
        <f ca="1">IFERROR(__xludf.DUMMYFUNCTION("""COMPUTED_VALUE"""),"")</f>
        <v/>
      </c>
      <c r="P980" s="18" t="str">
        <f ca="1">IFERROR(__xludf.DUMMYFUNCTION("""COMPUTED_VALUE"""),"")</f>
        <v/>
      </c>
      <c r="Q980" s="18" t="str">
        <f ca="1">IFERROR(__xludf.DUMMYFUNCTION("""COMPUTED_VALUE"""),"")</f>
        <v/>
      </c>
      <c r="R980" s="18" t="str">
        <f ca="1">IFERROR(__xludf.DUMMYFUNCTION("""COMPUTED_VALUE"""),"")</f>
        <v/>
      </c>
      <c r="S980" s="18" t="str">
        <f ca="1">IFERROR(__xludf.DUMMYFUNCTION("""COMPUTED_VALUE"""),"")</f>
        <v/>
      </c>
      <c r="T980" s="18" t="str">
        <f ca="1">IFERROR(__xludf.DUMMYFUNCTION("""COMPUTED_VALUE"""),"")</f>
        <v/>
      </c>
      <c r="U980" s="18" t="str">
        <f ca="1">IFERROR(__xludf.DUMMYFUNCTION("""COMPUTED_VALUE"""),"")</f>
        <v/>
      </c>
      <c r="V980" s="18" t="str">
        <f ca="1">IFERROR(__xludf.DUMMYFUNCTION("""COMPUTED_VALUE"""),"")</f>
        <v/>
      </c>
      <c r="W980" s="18" t="str">
        <f ca="1">IFERROR(__xludf.DUMMYFUNCTION("""COMPUTED_VALUE"""),"")</f>
        <v/>
      </c>
      <c r="X980" s="18" t="str">
        <f ca="1">IFERROR(__xludf.DUMMYFUNCTION("""COMPUTED_VALUE"""),"")</f>
        <v/>
      </c>
      <c r="Y980" s="18" t="e">
        <f ca="1"/>
        <v>#NAME?</v>
      </c>
      <c r="Z980" s="18" t="str">
        <f ca="1">IFERROR(__xludf.DUMMYFUNCTION("""COMPUTED_VALUE"""),"")</f>
        <v/>
      </c>
      <c r="AA980" s="18" t="str">
        <f ca="1">IFERROR(__xludf.DUMMYFUNCTION("""COMPUTED_VALUE"""),"")</f>
        <v/>
      </c>
      <c r="AC980" s="59"/>
    </row>
    <row r="981" spans="1:29" x14ac:dyDescent="0.25">
      <c r="A981" s="18">
        <v>0</v>
      </c>
      <c r="B981" s="52" t="str">
        <f ca="1"/>
        <v/>
      </c>
      <c r="C981" s="52" t="str">
        <f ca="1">IFERROR(__xludf.DUMMYFUNCTION("""COMPUTED_VALUE"""),"")</f>
        <v/>
      </c>
      <c r="D981" s="18" t="str">
        <f ca="1">IFERROR(__xludf.DUMMYFUNCTION("""COMPUTED_VALUE"""),"")</f>
        <v/>
      </c>
      <c r="E981" s="18" t="str">
        <f ca="1">IFERROR(__xludf.DUMMYFUNCTION("""COMPUTED_VALUE"""),"")</f>
        <v/>
      </c>
      <c r="F981" s="18" t="str">
        <f ca="1">IFERROR(__xludf.DUMMYFUNCTION("""COMPUTED_VALUE"""),"")</f>
        <v/>
      </c>
      <c r="G981" s="18" t="str">
        <f ca="1">IFERROR(__xludf.DUMMYFUNCTION("""COMPUTED_VALUE"""),"")</f>
        <v/>
      </c>
      <c r="H981" s="18" t="str">
        <f ca="1">IFERROR(__xludf.DUMMYFUNCTION("""COMPUTED_VALUE"""),"")</f>
        <v/>
      </c>
      <c r="I981" s="18" t="str">
        <f ca="1">IFERROR(__xludf.DUMMYFUNCTION("""COMPUTED_VALUE"""),"")</f>
        <v/>
      </c>
      <c r="J981" s="18" t="str">
        <f ca="1">IFERROR(__xludf.DUMMYFUNCTION("""COMPUTED_VALUE"""),"")</f>
        <v/>
      </c>
      <c r="K981" s="18" t="str">
        <f ca="1">IFERROR(__xludf.DUMMYFUNCTION("""COMPUTED_VALUE"""),"")</f>
        <v/>
      </c>
      <c r="L981" s="18" t="str">
        <f ca="1">IFERROR(__xludf.DUMMYFUNCTION("""COMPUTED_VALUE"""),"")</f>
        <v/>
      </c>
      <c r="M981" s="18" t="str">
        <f ca="1">IFERROR(__xludf.DUMMYFUNCTION("""COMPUTED_VALUE"""),"")</f>
        <v/>
      </c>
      <c r="N981" s="18" t="str">
        <f ca="1">IFERROR(__xludf.DUMMYFUNCTION("""COMPUTED_VALUE"""),"")</f>
        <v/>
      </c>
      <c r="O981" s="18" t="str">
        <f ca="1">IFERROR(__xludf.DUMMYFUNCTION("""COMPUTED_VALUE"""),"")</f>
        <v/>
      </c>
      <c r="P981" s="18" t="str">
        <f ca="1">IFERROR(__xludf.DUMMYFUNCTION("""COMPUTED_VALUE"""),"")</f>
        <v/>
      </c>
      <c r="Q981" s="18" t="str">
        <f ca="1">IFERROR(__xludf.DUMMYFUNCTION("""COMPUTED_VALUE"""),"")</f>
        <v/>
      </c>
      <c r="R981" s="18" t="str">
        <f ca="1">IFERROR(__xludf.DUMMYFUNCTION("""COMPUTED_VALUE"""),"")</f>
        <v/>
      </c>
      <c r="S981" s="18" t="str">
        <f ca="1">IFERROR(__xludf.DUMMYFUNCTION("""COMPUTED_VALUE"""),"")</f>
        <v/>
      </c>
      <c r="T981" s="18" t="str">
        <f ca="1">IFERROR(__xludf.DUMMYFUNCTION("""COMPUTED_VALUE"""),"")</f>
        <v/>
      </c>
      <c r="U981" s="18" t="str">
        <f ca="1">IFERROR(__xludf.DUMMYFUNCTION("""COMPUTED_VALUE"""),"")</f>
        <v/>
      </c>
      <c r="V981" s="18" t="str">
        <f ca="1">IFERROR(__xludf.DUMMYFUNCTION("""COMPUTED_VALUE"""),"")</f>
        <v/>
      </c>
      <c r="W981" s="18" t="str">
        <f ca="1">IFERROR(__xludf.DUMMYFUNCTION("""COMPUTED_VALUE"""),"")</f>
        <v/>
      </c>
      <c r="X981" s="18" t="str">
        <f ca="1">IFERROR(__xludf.DUMMYFUNCTION("""COMPUTED_VALUE"""),"")</f>
        <v/>
      </c>
      <c r="Y981" s="18" t="e">
        <f ca="1"/>
        <v>#NAME?</v>
      </c>
      <c r="Z981" s="18" t="str">
        <f ca="1">IFERROR(__xludf.DUMMYFUNCTION("""COMPUTED_VALUE"""),"")</f>
        <v/>
      </c>
      <c r="AA981" s="18" t="str">
        <f ca="1">IFERROR(__xludf.DUMMYFUNCTION("""COMPUTED_VALUE"""),"")</f>
        <v/>
      </c>
      <c r="AC981" s="59"/>
    </row>
    <row r="982" spans="1:29" x14ac:dyDescent="0.25">
      <c r="A982" s="18">
        <v>0</v>
      </c>
      <c r="B982" s="52" t="str">
        <f ca="1"/>
        <v/>
      </c>
      <c r="C982" s="52" t="str">
        <f ca="1">IFERROR(__xludf.DUMMYFUNCTION("""COMPUTED_VALUE"""),"")</f>
        <v/>
      </c>
      <c r="D982" s="18" t="str">
        <f ca="1">IFERROR(__xludf.DUMMYFUNCTION("""COMPUTED_VALUE"""),"")</f>
        <v/>
      </c>
      <c r="E982" s="18" t="str">
        <f ca="1">IFERROR(__xludf.DUMMYFUNCTION("""COMPUTED_VALUE"""),"")</f>
        <v/>
      </c>
      <c r="F982" s="18" t="str">
        <f ca="1">IFERROR(__xludf.DUMMYFUNCTION("""COMPUTED_VALUE"""),"")</f>
        <v/>
      </c>
      <c r="G982" s="18" t="str">
        <f ca="1">IFERROR(__xludf.DUMMYFUNCTION("""COMPUTED_VALUE"""),"")</f>
        <v/>
      </c>
      <c r="H982" s="18" t="str">
        <f ca="1">IFERROR(__xludf.DUMMYFUNCTION("""COMPUTED_VALUE"""),"")</f>
        <v/>
      </c>
      <c r="I982" s="18" t="str">
        <f ca="1">IFERROR(__xludf.DUMMYFUNCTION("""COMPUTED_VALUE"""),"")</f>
        <v/>
      </c>
      <c r="J982" s="18" t="str">
        <f ca="1">IFERROR(__xludf.DUMMYFUNCTION("""COMPUTED_VALUE"""),"")</f>
        <v/>
      </c>
      <c r="K982" s="18" t="str">
        <f ca="1">IFERROR(__xludf.DUMMYFUNCTION("""COMPUTED_VALUE"""),"")</f>
        <v/>
      </c>
      <c r="L982" s="18" t="str">
        <f ca="1">IFERROR(__xludf.DUMMYFUNCTION("""COMPUTED_VALUE"""),"")</f>
        <v/>
      </c>
      <c r="M982" s="18" t="str">
        <f ca="1">IFERROR(__xludf.DUMMYFUNCTION("""COMPUTED_VALUE"""),"")</f>
        <v/>
      </c>
      <c r="N982" s="18" t="str">
        <f ca="1">IFERROR(__xludf.DUMMYFUNCTION("""COMPUTED_VALUE"""),"")</f>
        <v/>
      </c>
      <c r="O982" s="18" t="str">
        <f ca="1">IFERROR(__xludf.DUMMYFUNCTION("""COMPUTED_VALUE"""),"")</f>
        <v/>
      </c>
      <c r="P982" s="18" t="str">
        <f ca="1">IFERROR(__xludf.DUMMYFUNCTION("""COMPUTED_VALUE"""),"")</f>
        <v/>
      </c>
      <c r="Q982" s="18" t="str">
        <f ca="1">IFERROR(__xludf.DUMMYFUNCTION("""COMPUTED_VALUE"""),"")</f>
        <v/>
      </c>
      <c r="R982" s="18" t="str">
        <f ca="1">IFERROR(__xludf.DUMMYFUNCTION("""COMPUTED_VALUE"""),"")</f>
        <v/>
      </c>
      <c r="S982" s="18" t="str">
        <f ca="1">IFERROR(__xludf.DUMMYFUNCTION("""COMPUTED_VALUE"""),"")</f>
        <v/>
      </c>
      <c r="T982" s="18" t="str">
        <f ca="1">IFERROR(__xludf.DUMMYFUNCTION("""COMPUTED_VALUE"""),"")</f>
        <v/>
      </c>
      <c r="U982" s="18" t="str">
        <f ca="1">IFERROR(__xludf.DUMMYFUNCTION("""COMPUTED_VALUE"""),"")</f>
        <v/>
      </c>
      <c r="V982" s="18" t="str">
        <f ca="1">IFERROR(__xludf.DUMMYFUNCTION("""COMPUTED_VALUE"""),"")</f>
        <v/>
      </c>
      <c r="W982" s="18" t="str">
        <f ca="1">IFERROR(__xludf.DUMMYFUNCTION("""COMPUTED_VALUE"""),"")</f>
        <v/>
      </c>
      <c r="X982" s="18" t="str">
        <f ca="1">IFERROR(__xludf.DUMMYFUNCTION("""COMPUTED_VALUE"""),"")</f>
        <v/>
      </c>
      <c r="Y982" s="18" t="e">
        <f ca="1"/>
        <v>#NAME?</v>
      </c>
      <c r="Z982" s="18" t="str">
        <f ca="1">IFERROR(__xludf.DUMMYFUNCTION("""COMPUTED_VALUE"""),"")</f>
        <v/>
      </c>
      <c r="AA982" s="18" t="str">
        <f ca="1">IFERROR(__xludf.DUMMYFUNCTION("""COMPUTED_VALUE"""),"")</f>
        <v/>
      </c>
      <c r="AC982" s="59"/>
    </row>
    <row r="983" spans="1:29" x14ac:dyDescent="0.25">
      <c r="A983" s="18">
        <v>0</v>
      </c>
      <c r="B983" s="52" t="str">
        <f ca="1"/>
        <v/>
      </c>
      <c r="C983" s="52" t="str">
        <f ca="1">IFERROR(__xludf.DUMMYFUNCTION("""COMPUTED_VALUE"""),"")</f>
        <v/>
      </c>
      <c r="D983" s="18" t="str">
        <f ca="1">IFERROR(__xludf.DUMMYFUNCTION("""COMPUTED_VALUE"""),"")</f>
        <v/>
      </c>
      <c r="E983" s="18" t="str">
        <f ca="1">IFERROR(__xludf.DUMMYFUNCTION("""COMPUTED_VALUE"""),"")</f>
        <v/>
      </c>
      <c r="F983" s="18" t="str">
        <f ca="1">IFERROR(__xludf.DUMMYFUNCTION("""COMPUTED_VALUE"""),"")</f>
        <v/>
      </c>
      <c r="G983" s="18" t="str">
        <f ca="1">IFERROR(__xludf.DUMMYFUNCTION("""COMPUTED_VALUE"""),"")</f>
        <v/>
      </c>
      <c r="H983" s="18" t="str">
        <f ca="1">IFERROR(__xludf.DUMMYFUNCTION("""COMPUTED_VALUE"""),"")</f>
        <v/>
      </c>
      <c r="I983" s="18" t="str">
        <f ca="1">IFERROR(__xludf.DUMMYFUNCTION("""COMPUTED_VALUE"""),"")</f>
        <v/>
      </c>
      <c r="J983" s="18" t="str">
        <f ca="1">IFERROR(__xludf.DUMMYFUNCTION("""COMPUTED_VALUE"""),"")</f>
        <v/>
      </c>
      <c r="K983" s="18" t="str">
        <f ca="1">IFERROR(__xludf.DUMMYFUNCTION("""COMPUTED_VALUE"""),"")</f>
        <v/>
      </c>
      <c r="L983" s="18" t="str">
        <f ca="1">IFERROR(__xludf.DUMMYFUNCTION("""COMPUTED_VALUE"""),"")</f>
        <v/>
      </c>
      <c r="M983" s="18" t="str">
        <f ca="1">IFERROR(__xludf.DUMMYFUNCTION("""COMPUTED_VALUE"""),"")</f>
        <v/>
      </c>
      <c r="N983" s="18" t="str">
        <f ca="1">IFERROR(__xludf.DUMMYFUNCTION("""COMPUTED_VALUE"""),"")</f>
        <v/>
      </c>
      <c r="O983" s="18" t="str">
        <f ca="1">IFERROR(__xludf.DUMMYFUNCTION("""COMPUTED_VALUE"""),"")</f>
        <v/>
      </c>
      <c r="P983" s="18" t="str">
        <f ca="1">IFERROR(__xludf.DUMMYFUNCTION("""COMPUTED_VALUE"""),"")</f>
        <v/>
      </c>
      <c r="Q983" s="18" t="str">
        <f ca="1">IFERROR(__xludf.DUMMYFUNCTION("""COMPUTED_VALUE"""),"")</f>
        <v/>
      </c>
      <c r="R983" s="18" t="str">
        <f ca="1">IFERROR(__xludf.DUMMYFUNCTION("""COMPUTED_VALUE"""),"")</f>
        <v/>
      </c>
      <c r="S983" s="18" t="str">
        <f ca="1">IFERROR(__xludf.DUMMYFUNCTION("""COMPUTED_VALUE"""),"")</f>
        <v/>
      </c>
      <c r="T983" s="18" t="str">
        <f ca="1">IFERROR(__xludf.DUMMYFUNCTION("""COMPUTED_VALUE"""),"")</f>
        <v/>
      </c>
      <c r="U983" s="18" t="str">
        <f ca="1">IFERROR(__xludf.DUMMYFUNCTION("""COMPUTED_VALUE"""),"")</f>
        <v/>
      </c>
      <c r="V983" s="18" t="str">
        <f ca="1">IFERROR(__xludf.DUMMYFUNCTION("""COMPUTED_VALUE"""),"")</f>
        <v/>
      </c>
      <c r="W983" s="18" t="str">
        <f ca="1">IFERROR(__xludf.DUMMYFUNCTION("""COMPUTED_VALUE"""),"")</f>
        <v/>
      </c>
      <c r="X983" s="18" t="str">
        <f ca="1">IFERROR(__xludf.DUMMYFUNCTION("""COMPUTED_VALUE"""),"")</f>
        <v/>
      </c>
      <c r="Y983" s="18" t="e">
        <f ca="1"/>
        <v>#NAME?</v>
      </c>
      <c r="Z983" s="18" t="str">
        <f ca="1">IFERROR(__xludf.DUMMYFUNCTION("""COMPUTED_VALUE"""),"")</f>
        <v/>
      </c>
      <c r="AA983" s="18" t="str">
        <f ca="1">IFERROR(__xludf.DUMMYFUNCTION("""COMPUTED_VALUE"""),"")</f>
        <v/>
      </c>
      <c r="AC983" s="59"/>
    </row>
    <row r="984" spans="1:29" x14ac:dyDescent="0.25">
      <c r="A984" s="18">
        <v>0</v>
      </c>
      <c r="B984" s="52" t="str">
        <f ca="1"/>
        <v/>
      </c>
      <c r="C984" s="52" t="str">
        <f ca="1">IFERROR(__xludf.DUMMYFUNCTION("""COMPUTED_VALUE"""),"")</f>
        <v/>
      </c>
      <c r="D984" s="18" t="str">
        <f ca="1">IFERROR(__xludf.DUMMYFUNCTION("""COMPUTED_VALUE"""),"")</f>
        <v/>
      </c>
      <c r="E984" s="18" t="str">
        <f ca="1">IFERROR(__xludf.DUMMYFUNCTION("""COMPUTED_VALUE"""),"")</f>
        <v/>
      </c>
      <c r="F984" s="18" t="str">
        <f ca="1">IFERROR(__xludf.DUMMYFUNCTION("""COMPUTED_VALUE"""),"")</f>
        <v/>
      </c>
      <c r="G984" s="18" t="str">
        <f ca="1">IFERROR(__xludf.DUMMYFUNCTION("""COMPUTED_VALUE"""),"")</f>
        <v/>
      </c>
      <c r="H984" s="18" t="str">
        <f ca="1">IFERROR(__xludf.DUMMYFUNCTION("""COMPUTED_VALUE"""),"")</f>
        <v/>
      </c>
      <c r="I984" s="18" t="str">
        <f ca="1">IFERROR(__xludf.DUMMYFUNCTION("""COMPUTED_VALUE"""),"")</f>
        <v/>
      </c>
      <c r="J984" s="18" t="str">
        <f ca="1">IFERROR(__xludf.DUMMYFUNCTION("""COMPUTED_VALUE"""),"")</f>
        <v/>
      </c>
      <c r="K984" s="18" t="str">
        <f ca="1">IFERROR(__xludf.DUMMYFUNCTION("""COMPUTED_VALUE"""),"")</f>
        <v/>
      </c>
      <c r="L984" s="18" t="str">
        <f ca="1">IFERROR(__xludf.DUMMYFUNCTION("""COMPUTED_VALUE"""),"")</f>
        <v/>
      </c>
      <c r="M984" s="18" t="str">
        <f ca="1">IFERROR(__xludf.DUMMYFUNCTION("""COMPUTED_VALUE"""),"")</f>
        <v/>
      </c>
      <c r="N984" s="18" t="str">
        <f ca="1">IFERROR(__xludf.DUMMYFUNCTION("""COMPUTED_VALUE"""),"")</f>
        <v/>
      </c>
      <c r="O984" s="18" t="str">
        <f ca="1">IFERROR(__xludf.DUMMYFUNCTION("""COMPUTED_VALUE"""),"")</f>
        <v/>
      </c>
      <c r="P984" s="18" t="str">
        <f ca="1">IFERROR(__xludf.DUMMYFUNCTION("""COMPUTED_VALUE"""),"")</f>
        <v/>
      </c>
      <c r="Q984" s="18" t="str">
        <f ca="1">IFERROR(__xludf.DUMMYFUNCTION("""COMPUTED_VALUE"""),"")</f>
        <v/>
      </c>
      <c r="R984" s="18" t="str">
        <f ca="1">IFERROR(__xludf.DUMMYFUNCTION("""COMPUTED_VALUE"""),"")</f>
        <v/>
      </c>
      <c r="S984" s="18" t="str">
        <f ca="1">IFERROR(__xludf.DUMMYFUNCTION("""COMPUTED_VALUE"""),"")</f>
        <v/>
      </c>
      <c r="T984" s="18" t="str">
        <f ca="1">IFERROR(__xludf.DUMMYFUNCTION("""COMPUTED_VALUE"""),"")</f>
        <v/>
      </c>
      <c r="U984" s="18" t="str">
        <f ca="1">IFERROR(__xludf.DUMMYFUNCTION("""COMPUTED_VALUE"""),"")</f>
        <v/>
      </c>
      <c r="V984" s="18" t="str">
        <f ca="1">IFERROR(__xludf.DUMMYFUNCTION("""COMPUTED_VALUE"""),"")</f>
        <v/>
      </c>
      <c r="W984" s="18" t="str">
        <f ca="1">IFERROR(__xludf.DUMMYFUNCTION("""COMPUTED_VALUE"""),"")</f>
        <v/>
      </c>
      <c r="X984" s="18" t="str">
        <f ca="1">IFERROR(__xludf.DUMMYFUNCTION("""COMPUTED_VALUE"""),"")</f>
        <v/>
      </c>
      <c r="Y984" s="18" t="e">
        <f ca="1"/>
        <v>#NAME?</v>
      </c>
      <c r="Z984" s="18" t="str">
        <f ca="1">IFERROR(__xludf.DUMMYFUNCTION("""COMPUTED_VALUE"""),"")</f>
        <v/>
      </c>
      <c r="AA984" s="18" t="str">
        <f ca="1">IFERROR(__xludf.DUMMYFUNCTION("""COMPUTED_VALUE"""),"")</f>
        <v/>
      </c>
      <c r="AC984" s="59"/>
    </row>
    <row r="985" spans="1:29" x14ac:dyDescent="0.25">
      <c r="A985" s="18">
        <v>0</v>
      </c>
      <c r="B985" s="52" t="str">
        <f ca="1"/>
        <v/>
      </c>
      <c r="C985" s="52" t="str">
        <f ca="1">IFERROR(__xludf.DUMMYFUNCTION("""COMPUTED_VALUE"""),"")</f>
        <v/>
      </c>
      <c r="D985" s="18" t="str">
        <f ca="1">IFERROR(__xludf.DUMMYFUNCTION("""COMPUTED_VALUE"""),"")</f>
        <v/>
      </c>
      <c r="E985" s="18" t="str">
        <f ca="1">IFERROR(__xludf.DUMMYFUNCTION("""COMPUTED_VALUE"""),"")</f>
        <v/>
      </c>
      <c r="F985" s="18" t="str">
        <f ca="1">IFERROR(__xludf.DUMMYFUNCTION("""COMPUTED_VALUE"""),"")</f>
        <v/>
      </c>
      <c r="G985" s="18" t="str">
        <f ca="1">IFERROR(__xludf.DUMMYFUNCTION("""COMPUTED_VALUE"""),"")</f>
        <v/>
      </c>
      <c r="H985" s="18" t="str">
        <f ca="1">IFERROR(__xludf.DUMMYFUNCTION("""COMPUTED_VALUE"""),"")</f>
        <v/>
      </c>
      <c r="I985" s="18" t="str">
        <f ca="1">IFERROR(__xludf.DUMMYFUNCTION("""COMPUTED_VALUE"""),"")</f>
        <v/>
      </c>
      <c r="J985" s="18" t="str">
        <f ca="1">IFERROR(__xludf.DUMMYFUNCTION("""COMPUTED_VALUE"""),"")</f>
        <v/>
      </c>
      <c r="K985" s="18" t="str">
        <f ca="1">IFERROR(__xludf.DUMMYFUNCTION("""COMPUTED_VALUE"""),"")</f>
        <v/>
      </c>
      <c r="L985" s="18" t="str">
        <f ca="1">IFERROR(__xludf.DUMMYFUNCTION("""COMPUTED_VALUE"""),"")</f>
        <v/>
      </c>
      <c r="M985" s="18" t="str">
        <f ca="1">IFERROR(__xludf.DUMMYFUNCTION("""COMPUTED_VALUE"""),"")</f>
        <v/>
      </c>
      <c r="N985" s="18" t="str">
        <f ca="1">IFERROR(__xludf.DUMMYFUNCTION("""COMPUTED_VALUE"""),"")</f>
        <v/>
      </c>
      <c r="O985" s="18" t="str">
        <f ca="1">IFERROR(__xludf.DUMMYFUNCTION("""COMPUTED_VALUE"""),"")</f>
        <v/>
      </c>
      <c r="P985" s="18" t="str">
        <f ca="1">IFERROR(__xludf.DUMMYFUNCTION("""COMPUTED_VALUE"""),"")</f>
        <v/>
      </c>
      <c r="Q985" s="18" t="str">
        <f ca="1">IFERROR(__xludf.DUMMYFUNCTION("""COMPUTED_VALUE"""),"")</f>
        <v/>
      </c>
      <c r="R985" s="18" t="str">
        <f ca="1">IFERROR(__xludf.DUMMYFUNCTION("""COMPUTED_VALUE"""),"")</f>
        <v/>
      </c>
      <c r="S985" s="18" t="str">
        <f ca="1">IFERROR(__xludf.DUMMYFUNCTION("""COMPUTED_VALUE"""),"")</f>
        <v/>
      </c>
      <c r="T985" s="18" t="str">
        <f ca="1">IFERROR(__xludf.DUMMYFUNCTION("""COMPUTED_VALUE"""),"")</f>
        <v/>
      </c>
      <c r="U985" s="18" t="str">
        <f ca="1">IFERROR(__xludf.DUMMYFUNCTION("""COMPUTED_VALUE"""),"")</f>
        <v/>
      </c>
      <c r="V985" s="18" t="str">
        <f ca="1">IFERROR(__xludf.DUMMYFUNCTION("""COMPUTED_VALUE"""),"")</f>
        <v/>
      </c>
      <c r="W985" s="18" t="str">
        <f ca="1">IFERROR(__xludf.DUMMYFUNCTION("""COMPUTED_VALUE"""),"")</f>
        <v/>
      </c>
      <c r="X985" s="18" t="str">
        <f ca="1">IFERROR(__xludf.DUMMYFUNCTION("""COMPUTED_VALUE"""),"")</f>
        <v/>
      </c>
      <c r="Y985" s="18" t="e">
        <f ca="1"/>
        <v>#NAME?</v>
      </c>
      <c r="Z985" s="18" t="str">
        <f ca="1">IFERROR(__xludf.DUMMYFUNCTION("""COMPUTED_VALUE"""),"")</f>
        <v/>
      </c>
      <c r="AA985" s="18" t="str">
        <f ca="1">IFERROR(__xludf.DUMMYFUNCTION("""COMPUTED_VALUE"""),"")</f>
        <v/>
      </c>
      <c r="AC985" s="59"/>
    </row>
    <row r="986" spans="1:29" x14ac:dyDescent="0.25">
      <c r="A986" s="18">
        <v>0</v>
      </c>
      <c r="B986" s="52" t="str">
        <f ca="1"/>
        <v/>
      </c>
      <c r="C986" s="52" t="str">
        <f ca="1">IFERROR(__xludf.DUMMYFUNCTION("""COMPUTED_VALUE"""),"")</f>
        <v/>
      </c>
      <c r="D986" s="18" t="str">
        <f ca="1">IFERROR(__xludf.DUMMYFUNCTION("""COMPUTED_VALUE"""),"")</f>
        <v/>
      </c>
      <c r="E986" s="18" t="str">
        <f ca="1">IFERROR(__xludf.DUMMYFUNCTION("""COMPUTED_VALUE"""),"")</f>
        <v/>
      </c>
      <c r="F986" s="18" t="str">
        <f ca="1">IFERROR(__xludf.DUMMYFUNCTION("""COMPUTED_VALUE"""),"")</f>
        <v/>
      </c>
      <c r="G986" s="18" t="str">
        <f ca="1">IFERROR(__xludf.DUMMYFUNCTION("""COMPUTED_VALUE"""),"")</f>
        <v/>
      </c>
      <c r="H986" s="18" t="str">
        <f ca="1">IFERROR(__xludf.DUMMYFUNCTION("""COMPUTED_VALUE"""),"")</f>
        <v/>
      </c>
      <c r="I986" s="18" t="str">
        <f ca="1">IFERROR(__xludf.DUMMYFUNCTION("""COMPUTED_VALUE"""),"")</f>
        <v/>
      </c>
      <c r="J986" s="18" t="str">
        <f ca="1">IFERROR(__xludf.DUMMYFUNCTION("""COMPUTED_VALUE"""),"")</f>
        <v/>
      </c>
      <c r="K986" s="18" t="str">
        <f ca="1">IFERROR(__xludf.DUMMYFUNCTION("""COMPUTED_VALUE"""),"")</f>
        <v/>
      </c>
      <c r="L986" s="18" t="str">
        <f ca="1">IFERROR(__xludf.DUMMYFUNCTION("""COMPUTED_VALUE"""),"")</f>
        <v/>
      </c>
      <c r="M986" s="18" t="str">
        <f ca="1">IFERROR(__xludf.DUMMYFUNCTION("""COMPUTED_VALUE"""),"")</f>
        <v/>
      </c>
      <c r="N986" s="18" t="str">
        <f ca="1">IFERROR(__xludf.DUMMYFUNCTION("""COMPUTED_VALUE"""),"")</f>
        <v/>
      </c>
      <c r="O986" s="18" t="str">
        <f ca="1">IFERROR(__xludf.DUMMYFUNCTION("""COMPUTED_VALUE"""),"")</f>
        <v/>
      </c>
      <c r="P986" s="18" t="str">
        <f ca="1">IFERROR(__xludf.DUMMYFUNCTION("""COMPUTED_VALUE"""),"")</f>
        <v/>
      </c>
      <c r="Q986" s="18" t="str">
        <f ca="1">IFERROR(__xludf.DUMMYFUNCTION("""COMPUTED_VALUE"""),"")</f>
        <v/>
      </c>
      <c r="R986" s="18" t="str">
        <f ca="1">IFERROR(__xludf.DUMMYFUNCTION("""COMPUTED_VALUE"""),"")</f>
        <v/>
      </c>
      <c r="S986" s="18" t="str">
        <f ca="1">IFERROR(__xludf.DUMMYFUNCTION("""COMPUTED_VALUE"""),"")</f>
        <v/>
      </c>
      <c r="T986" s="18" t="str">
        <f ca="1">IFERROR(__xludf.DUMMYFUNCTION("""COMPUTED_VALUE"""),"")</f>
        <v/>
      </c>
      <c r="U986" s="18" t="str">
        <f ca="1">IFERROR(__xludf.DUMMYFUNCTION("""COMPUTED_VALUE"""),"")</f>
        <v/>
      </c>
      <c r="V986" s="18" t="str">
        <f ca="1">IFERROR(__xludf.DUMMYFUNCTION("""COMPUTED_VALUE"""),"")</f>
        <v/>
      </c>
      <c r="W986" s="18" t="str">
        <f ca="1">IFERROR(__xludf.DUMMYFUNCTION("""COMPUTED_VALUE"""),"")</f>
        <v/>
      </c>
      <c r="X986" s="18" t="str">
        <f ca="1">IFERROR(__xludf.DUMMYFUNCTION("""COMPUTED_VALUE"""),"")</f>
        <v/>
      </c>
      <c r="Y986" s="18" t="e">
        <f ca="1"/>
        <v>#NAME?</v>
      </c>
      <c r="Z986" s="18" t="str">
        <f ca="1">IFERROR(__xludf.DUMMYFUNCTION("""COMPUTED_VALUE"""),"")</f>
        <v/>
      </c>
      <c r="AA986" s="18" t="str">
        <f ca="1">IFERROR(__xludf.DUMMYFUNCTION("""COMPUTED_VALUE"""),"")</f>
        <v/>
      </c>
      <c r="AC986" s="59"/>
    </row>
    <row r="987" spans="1:29" x14ac:dyDescent="0.25">
      <c r="A987" s="18">
        <v>0</v>
      </c>
      <c r="B987" s="52" t="str">
        <f ca="1"/>
        <v/>
      </c>
      <c r="C987" s="52" t="str">
        <f ca="1">IFERROR(__xludf.DUMMYFUNCTION("""COMPUTED_VALUE"""),"")</f>
        <v/>
      </c>
      <c r="D987" s="18" t="str">
        <f ca="1">IFERROR(__xludf.DUMMYFUNCTION("""COMPUTED_VALUE"""),"")</f>
        <v/>
      </c>
      <c r="E987" s="18" t="str">
        <f ca="1">IFERROR(__xludf.DUMMYFUNCTION("""COMPUTED_VALUE"""),"")</f>
        <v/>
      </c>
      <c r="F987" s="18" t="str">
        <f ca="1">IFERROR(__xludf.DUMMYFUNCTION("""COMPUTED_VALUE"""),"")</f>
        <v/>
      </c>
      <c r="G987" s="18" t="str">
        <f ca="1">IFERROR(__xludf.DUMMYFUNCTION("""COMPUTED_VALUE"""),"")</f>
        <v/>
      </c>
      <c r="H987" s="18" t="str">
        <f ca="1">IFERROR(__xludf.DUMMYFUNCTION("""COMPUTED_VALUE"""),"")</f>
        <v/>
      </c>
      <c r="I987" s="18" t="str">
        <f ca="1">IFERROR(__xludf.DUMMYFUNCTION("""COMPUTED_VALUE"""),"")</f>
        <v/>
      </c>
      <c r="J987" s="18" t="str">
        <f ca="1">IFERROR(__xludf.DUMMYFUNCTION("""COMPUTED_VALUE"""),"")</f>
        <v/>
      </c>
      <c r="K987" s="18" t="str">
        <f ca="1">IFERROR(__xludf.DUMMYFUNCTION("""COMPUTED_VALUE"""),"")</f>
        <v/>
      </c>
      <c r="L987" s="18" t="str">
        <f ca="1">IFERROR(__xludf.DUMMYFUNCTION("""COMPUTED_VALUE"""),"")</f>
        <v/>
      </c>
      <c r="M987" s="18" t="str">
        <f ca="1">IFERROR(__xludf.DUMMYFUNCTION("""COMPUTED_VALUE"""),"")</f>
        <v/>
      </c>
      <c r="N987" s="18" t="str">
        <f ca="1">IFERROR(__xludf.DUMMYFUNCTION("""COMPUTED_VALUE"""),"")</f>
        <v/>
      </c>
      <c r="O987" s="18" t="str">
        <f ca="1">IFERROR(__xludf.DUMMYFUNCTION("""COMPUTED_VALUE"""),"")</f>
        <v/>
      </c>
      <c r="P987" s="18" t="str">
        <f ca="1">IFERROR(__xludf.DUMMYFUNCTION("""COMPUTED_VALUE"""),"")</f>
        <v/>
      </c>
      <c r="Q987" s="18" t="str">
        <f ca="1">IFERROR(__xludf.DUMMYFUNCTION("""COMPUTED_VALUE"""),"")</f>
        <v/>
      </c>
      <c r="R987" s="18" t="str">
        <f ca="1">IFERROR(__xludf.DUMMYFUNCTION("""COMPUTED_VALUE"""),"")</f>
        <v/>
      </c>
      <c r="S987" s="18" t="str">
        <f ca="1">IFERROR(__xludf.DUMMYFUNCTION("""COMPUTED_VALUE"""),"")</f>
        <v/>
      </c>
      <c r="T987" s="18" t="str">
        <f ca="1">IFERROR(__xludf.DUMMYFUNCTION("""COMPUTED_VALUE"""),"")</f>
        <v/>
      </c>
      <c r="U987" s="18" t="str">
        <f ca="1">IFERROR(__xludf.DUMMYFUNCTION("""COMPUTED_VALUE"""),"")</f>
        <v/>
      </c>
      <c r="V987" s="18" t="str">
        <f ca="1">IFERROR(__xludf.DUMMYFUNCTION("""COMPUTED_VALUE"""),"")</f>
        <v/>
      </c>
      <c r="W987" s="18" t="str">
        <f ca="1">IFERROR(__xludf.DUMMYFUNCTION("""COMPUTED_VALUE"""),"")</f>
        <v/>
      </c>
      <c r="X987" s="18" t="str">
        <f ca="1">IFERROR(__xludf.DUMMYFUNCTION("""COMPUTED_VALUE"""),"")</f>
        <v/>
      </c>
      <c r="Y987" s="18" t="e">
        <f ca="1"/>
        <v>#NAME?</v>
      </c>
      <c r="Z987" s="18" t="str">
        <f ca="1">IFERROR(__xludf.DUMMYFUNCTION("""COMPUTED_VALUE"""),"")</f>
        <v/>
      </c>
      <c r="AA987" s="18" t="str">
        <f ca="1">IFERROR(__xludf.DUMMYFUNCTION("""COMPUTED_VALUE"""),"")</f>
        <v/>
      </c>
      <c r="AC987" s="59"/>
    </row>
    <row r="988" spans="1:29" x14ac:dyDescent="0.25">
      <c r="A988" s="18">
        <v>0</v>
      </c>
      <c r="B988" s="52" t="str">
        <f ca="1"/>
        <v/>
      </c>
      <c r="C988" s="52" t="str">
        <f ca="1">IFERROR(__xludf.DUMMYFUNCTION("""COMPUTED_VALUE"""),"")</f>
        <v/>
      </c>
      <c r="D988" s="18" t="str">
        <f ca="1">IFERROR(__xludf.DUMMYFUNCTION("""COMPUTED_VALUE"""),"")</f>
        <v/>
      </c>
      <c r="E988" s="18" t="str">
        <f ca="1">IFERROR(__xludf.DUMMYFUNCTION("""COMPUTED_VALUE"""),"")</f>
        <v/>
      </c>
      <c r="F988" s="18" t="str">
        <f ca="1">IFERROR(__xludf.DUMMYFUNCTION("""COMPUTED_VALUE"""),"")</f>
        <v/>
      </c>
      <c r="G988" s="18" t="str">
        <f ca="1">IFERROR(__xludf.DUMMYFUNCTION("""COMPUTED_VALUE"""),"")</f>
        <v/>
      </c>
      <c r="H988" s="18" t="str">
        <f ca="1">IFERROR(__xludf.DUMMYFUNCTION("""COMPUTED_VALUE"""),"")</f>
        <v/>
      </c>
      <c r="I988" s="18" t="str">
        <f ca="1">IFERROR(__xludf.DUMMYFUNCTION("""COMPUTED_VALUE"""),"")</f>
        <v/>
      </c>
      <c r="J988" s="18" t="str">
        <f ca="1">IFERROR(__xludf.DUMMYFUNCTION("""COMPUTED_VALUE"""),"")</f>
        <v/>
      </c>
      <c r="K988" s="18" t="str">
        <f ca="1">IFERROR(__xludf.DUMMYFUNCTION("""COMPUTED_VALUE"""),"")</f>
        <v/>
      </c>
      <c r="L988" s="18" t="str">
        <f ca="1">IFERROR(__xludf.DUMMYFUNCTION("""COMPUTED_VALUE"""),"")</f>
        <v/>
      </c>
      <c r="M988" s="18" t="str">
        <f ca="1">IFERROR(__xludf.DUMMYFUNCTION("""COMPUTED_VALUE"""),"")</f>
        <v/>
      </c>
      <c r="N988" s="18" t="str">
        <f ca="1">IFERROR(__xludf.DUMMYFUNCTION("""COMPUTED_VALUE"""),"")</f>
        <v/>
      </c>
      <c r="O988" s="18" t="str">
        <f ca="1">IFERROR(__xludf.DUMMYFUNCTION("""COMPUTED_VALUE"""),"")</f>
        <v/>
      </c>
      <c r="P988" s="18" t="str">
        <f ca="1">IFERROR(__xludf.DUMMYFUNCTION("""COMPUTED_VALUE"""),"")</f>
        <v/>
      </c>
      <c r="Q988" s="18" t="str">
        <f ca="1">IFERROR(__xludf.DUMMYFUNCTION("""COMPUTED_VALUE"""),"")</f>
        <v/>
      </c>
      <c r="R988" s="18" t="str">
        <f ca="1">IFERROR(__xludf.DUMMYFUNCTION("""COMPUTED_VALUE"""),"")</f>
        <v/>
      </c>
      <c r="S988" s="18" t="str">
        <f ca="1">IFERROR(__xludf.DUMMYFUNCTION("""COMPUTED_VALUE"""),"")</f>
        <v/>
      </c>
      <c r="T988" s="18" t="str">
        <f ca="1">IFERROR(__xludf.DUMMYFUNCTION("""COMPUTED_VALUE"""),"")</f>
        <v/>
      </c>
      <c r="U988" s="18" t="str">
        <f ca="1">IFERROR(__xludf.DUMMYFUNCTION("""COMPUTED_VALUE"""),"")</f>
        <v/>
      </c>
      <c r="V988" s="18" t="str">
        <f ca="1">IFERROR(__xludf.DUMMYFUNCTION("""COMPUTED_VALUE"""),"")</f>
        <v/>
      </c>
      <c r="W988" s="18" t="str">
        <f ca="1">IFERROR(__xludf.DUMMYFUNCTION("""COMPUTED_VALUE"""),"")</f>
        <v/>
      </c>
      <c r="X988" s="18" t="str">
        <f ca="1">IFERROR(__xludf.DUMMYFUNCTION("""COMPUTED_VALUE"""),"")</f>
        <v/>
      </c>
      <c r="Y988" s="18" t="e">
        <f ca="1"/>
        <v>#NAME?</v>
      </c>
      <c r="Z988" s="18" t="str">
        <f ca="1">IFERROR(__xludf.DUMMYFUNCTION("""COMPUTED_VALUE"""),"")</f>
        <v/>
      </c>
      <c r="AA988" s="18" t="str">
        <f ca="1">IFERROR(__xludf.DUMMYFUNCTION("""COMPUTED_VALUE"""),"")</f>
        <v/>
      </c>
      <c r="AC988" s="59"/>
    </row>
    <row r="989" spans="1:29" x14ac:dyDescent="0.25">
      <c r="A989" s="18">
        <v>0</v>
      </c>
      <c r="B989" s="52" t="str">
        <f ca="1"/>
        <v/>
      </c>
      <c r="C989" s="52" t="str">
        <f ca="1">IFERROR(__xludf.DUMMYFUNCTION("""COMPUTED_VALUE"""),"")</f>
        <v/>
      </c>
      <c r="D989" s="18" t="str">
        <f ca="1">IFERROR(__xludf.DUMMYFUNCTION("""COMPUTED_VALUE"""),"")</f>
        <v/>
      </c>
      <c r="E989" s="18" t="str">
        <f ca="1">IFERROR(__xludf.DUMMYFUNCTION("""COMPUTED_VALUE"""),"")</f>
        <v/>
      </c>
      <c r="F989" s="18" t="str">
        <f ca="1">IFERROR(__xludf.DUMMYFUNCTION("""COMPUTED_VALUE"""),"")</f>
        <v/>
      </c>
      <c r="G989" s="18" t="str">
        <f ca="1">IFERROR(__xludf.DUMMYFUNCTION("""COMPUTED_VALUE"""),"")</f>
        <v/>
      </c>
      <c r="H989" s="18" t="str">
        <f ca="1">IFERROR(__xludf.DUMMYFUNCTION("""COMPUTED_VALUE"""),"")</f>
        <v/>
      </c>
      <c r="I989" s="18" t="str">
        <f ca="1">IFERROR(__xludf.DUMMYFUNCTION("""COMPUTED_VALUE"""),"")</f>
        <v/>
      </c>
      <c r="J989" s="18" t="str">
        <f ca="1">IFERROR(__xludf.DUMMYFUNCTION("""COMPUTED_VALUE"""),"")</f>
        <v/>
      </c>
      <c r="K989" s="18" t="str">
        <f ca="1">IFERROR(__xludf.DUMMYFUNCTION("""COMPUTED_VALUE"""),"")</f>
        <v/>
      </c>
      <c r="L989" s="18" t="str">
        <f ca="1">IFERROR(__xludf.DUMMYFUNCTION("""COMPUTED_VALUE"""),"")</f>
        <v/>
      </c>
      <c r="M989" s="18" t="str">
        <f ca="1">IFERROR(__xludf.DUMMYFUNCTION("""COMPUTED_VALUE"""),"")</f>
        <v/>
      </c>
      <c r="N989" s="18" t="str">
        <f ca="1">IFERROR(__xludf.DUMMYFUNCTION("""COMPUTED_VALUE"""),"")</f>
        <v/>
      </c>
      <c r="O989" s="18" t="str">
        <f ca="1">IFERROR(__xludf.DUMMYFUNCTION("""COMPUTED_VALUE"""),"")</f>
        <v/>
      </c>
      <c r="P989" s="18" t="str">
        <f ca="1">IFERROR(__xludf.DUMMYFUNCTION("""COMPUTED_VALUE"""),"")</f>
        <v/>
      </c>
      <c r="Q989" s="18" t="str">
        <f ca="1">IFERROR(__xludf.DUMMYFUNCTION("""COMPUTED_VALUE"""),"")</f>
        <v/>
      </c>
      <c r="R989" s="18" t="str">
        <f ca="1">IFERROR(__xludf.DUMMYFUNCTION("""COMPUTED_VALUE"""),"")</f>
        <v/>
      </c>
      <c r="S989" s="18" t="str">
        <f ca="1">IFERROR(__xludf.DUMMYFUNCTION("""COMPUTED_VALUE"""),"")</f>
        <v/>
      </c>
      <c r="T989" s="18" t="str">
        <f ca="1">IFERROR(__xludf.DUMMYFUNCTION("""COMPUTED_VALUE"""),"")</f>
        <v/>
      </c>
      <c r="U989" s="18" t="str">
        <f ca="1">IFERROR(__xludf.DUMMYFUNCTION("""COMPUTED_VALUE"""),"")</f>
        <v/>
      </c>
      <c r="V989" s="18" t="str">
        <f ca="1">IFERROR(__xludf.DUMMYFUNCTION("""COMPUTED_VALUE"""),"")</f>
        <v/>
      </c>
      <c r="W989" s="18" t="str">
        <f ca="1">IFERROR(__xludf.DUMMYFUNCTION("""COMPUTED_VALUE"""),"")</f>
        <v/>
      </c>
      <c r="X989" s="18" t="str">
        <f ca="1">IFERROR(__xludf.DUMMYFUNCTION("""COMPUTED_VALUE"""),"")</f>
        <v/>
      </c>
      <c r="Y989" s="18" t="e">
        <f ca="1"/>
        <v>#NAME?</v>
      </c>
      <c r="Z989" s="18" t="str">
        <f ca="1">IFERROR(__xludf.DUMMYFUNCTION("""COMPUTED_VALUE"""),"")</f>
        <v/>
      </c>
      <c r="AA989" s="18" t="str">
        <f ca="1">IFERROR(__xludf.DUMMYFUNCTION("""COMPUTED_VALUE"""),"")</f>
        <v/>
      </c>
      <c r="AC989" s="59"/>
    </row>
    <row r="990" spans="1:29" x14ac:dyDescent="0.25">
      <c r="A990" s="18">
        <v>0</v>
      </c>
      <c r="B990" s="52" t="str">
        <f ca="1"/>
        <v/>
      </c>
      <c r="C990" s="52" t="str">
        <f ca="1">IFERROR(__xludf.DUMMYFUNCTION("""COMPUTED_VALUE"""),"")</f>
        <v/>
      </c>
      <c r="D990" s="18" t="str">
        <f ca="1">IFERROR(__xludf.DUMMYFUNCTION("""COMPUTED_VALUE"""),"")</f>
        <v/>
      </c>
      <c r="E990" s="18" t="str">
        <f ca="1">IFERROR(__xludf.DUMMYFUNCTION("""COMPUTED_VALUE"""),"")</f>
        <v/>
      </c>
      <c r="F990" s="18" t="str">
        <f ca="1">IFERROR(__xludf.DUMMYFUNCTION("""COMPUTED_VALUE"""),"")</f>
        <v/>
      </c>
      <c r="G990" s="18" t="str">
        <f ca="1">IFERROR(__xludf.DUMMYFUNCTION("""COMPUTED_VALUE"""),"")</f>
        <v/>
      </c>
      <c r="H990" s="18" t="str">
        <f ca="1">IFERROR(__xludf.DUMMYFUNCTION("""COMPUTED_VALUE"""),"")</f>
        <v/>
      </c>
      <c r="I990" s="18" t="str">
        <f ca="1">IFERROR(__xludf.DUMMYFUNCTION("""COMPUTED_VALUE"""),"")</f>
        <v/>
      </c>
      <c r="J990" s="18" t="str">
        <f ca="1">IFERROR(__xludf.DUMMYFUNCTION("""COMPUTED_VALUE"""),"")</f>
        <v/>
      </c>
      <c r="K990" s="18" t="str">
        <f ca="1">IFERROR(__xludf.DUMMYFUNCTION("""COMPUTED_VALUE"""),"")</f>
        <v/>
      </c>
      <c r="L990" s="18" t="str">
        <f ca="1">IFERROR(__xludf.DUMMYFUNCTION("""COMPUTED_VALUE"""),"")</f>
        <v/>
      </c>
      <c r="M990" s="18" t="str">
        <f ca="1">IFERROR(__xludf.DUMMYFUNCTION("""COMPUTED_VALUE"""),"")</f>
        <v/>
      </c>
      <c r="N990" s="18" t="str">
        <f ca="1">IFERROR(__xludf.DUMMYFUNCTION("""COMPUTED_VALUE"""),"")</f>
        <v/>
      </c>
      <c r="O990" s="18" t="str">
        <f ca="1">IFERROR(__xludf.DUMMYFUNCTION("""COMPUTED_VALUE"""),"")</f>
        <v/>
      </c>
      <c r="P990" s="18" t="str">
        <f ca="1">IFERROR(__xludf.DUMMYFUNCTION("""COMPUTED_VALUE"""),"")</f>
        <v/>
      </c>
      <c r="Q990" s="18" t="str">
        <f ca="1">IFERROR(__xludf.DUMMYFUNCTION("""COMPUTED_VALUE"""),"")</f>
        <v/>
      </c>
      <c r="R990" s="18" t="str">
        <f ca="1">IFERROR(__xludf.DUMMYFUNCTION("""COMPUTED_VALUE"""),"")</f>
        <v/>
      </c>
      <c r="S990" s="18" t="str">
        <f ca="1">IFERROR(__xludf.DUMMYFUNCTION("""COMPUTED_VALUE"""),"")</f>
        <v/>
      </c>
      <c r="T990" s="18" t="str">
        <f ca="1">IFERROR(__xludf.DUMMYFUNCTION("""COMPUTED_VALUE"""),"")</f>
        <v/>
      </c>
      <c r="U990" s="18" t="str">
        <f ca="1">IFERROR(__xludf.DUMMYFUNCTION("""COMPUTED_VALUE"""),"")</f>
        <v/>
      </c>
      <c r="V990" s="18" t="str">
        <f ca="1">IFERROR(__xludf.DUMMYFUNCTION("""COMPUTED_VALUE"""),"")</f>
        <v/>
      </c>
      <c r="W990" s="18" t="str">
        <f ca="1">IFERROR(__xludf.DUMMYFUNCTION("""COMPUTED_VALUE"""),"")</f>
        <v/>
      </c>
      <c r="X990" s="18" t="str">
        <f ca="1">IFERROR(__xludf.DUMMYFUNCTION("""COMPUTED_VALUE"""),"")</f>
        <v/>
      </c>
      <c r="Y990" s="18" t="e">
        <f ca="1"/>
        <v>#NAME?</v>
      </c>
      <c r="Z990" s="18" t="str">
        <f ca="1">IFERROR(__xludf.DUMMYFUNCTION("""COMPUTED_VALUE"""),"")</f>
        <v/>
      </c>
      <c r="AA990" s="18" t="str">
        <f ca="1">IFERROR(__xludf.DUMMYFUNCTION("""COMPUTED_VALUE"""),"")</f>
        <v/>
      </c>
      <c r="AC990" s="59"/>
    </row>
    <row r="991" spans="1:29" x14ac:dyDescent="0.25">
      <c r="A991" s="18">
        <v>0</v>
      </c>
      <c r="B991" s="52" t="str">
        <f ca="1"/>
        <v/>
      </c>
      <c r="C991" s="52" t="str">
        <f ca="1">IFERROR(__xludf.DUMMYFUNCTION("""COMPUTED_VALUE"""),"")</f>
        <v/>
      </c>
      <c r="D991" s="18" t="str">
        <f ca="1">IFERROR(__xludf.DUMMYFUNCTION("""COMPUTED_VALUE"""),"")</f>
        <v/>
      </c>
      <c r="E991" s="18" t="str">
        <f ca="1">IFERROR(__xludf.DUMMYFUNCTION("""COMPUTED_VALUE"""),"")</f>
        <v/>
      </c>
      <c r="F991" s="18" t="str">
        <f ca="1">IFERROR(__xludf.DUMMYFUNCTION("""COMPUTED_VALUE"""),"")</f>
        <v/>
      </c>
      <c r="G991" s="18" t="str">
        <f ca="1">IFERROR(__xludf.DUMMYFUNCTION("""COMPUTED_VALUE"""),"")</f>
        <v/>
      </c>
      <c r="H991" s="18" t="str">
        <f ca="1">IFERROR(__xludf.DUMMYFUNCTION("""COMPUTED_VALUE"""),"")</f>
        <v/>
      </c>
      <c r="I991" s="18" t="str">
        <f ca="1">IFERROR(__xludf.DUMMYFUNCTION("""COMPUTED_VALUE"""),"")</f>
        <v/>
      </c>
      <c r="J991" s="18" t="str">
        <f ca="1">IFERROR(__xludf.DUMMYFUNCTION("""COMPUTED_VALUE"""),"")</f>
        <v/>
      </c>
      <c r="K991" s="18" t="str">
        <f ca="1">IFERROR(__xludf.DUMMYFUNCTION("""COMPUTED_VALUE"""),"")</f>
        <v/>
      </c>
      <c r="L991" s="18" t="str">
        <f ca="1">IFERROR(__xludf.DUMMYFUNCTION("""COMPUTED_VALUE"""),"")</f>
        <v/>
      </c>
      <c r="M991" s="18" t="str">
        <f ca="1">IFERROR(__xludf.DUMMYFUNCTION("""COMPUTED_VALUE"""),"")</f>
        <v/>
      </c>
      <c r="N991" s="18" t="str">
        <f ca="1">IFERROR(__xludf.DUMMYFUNCTION("""COMPUTED_VALUE"""),"")</f>
        <v/>
      </c>
      <c r="O991" s="18" t="str">
        <f ca="1">IFERROR(__xludf.DUMMYFUNCTION("""COMPUTED_VALUE"""),"")</f>
        <v/>
      </c>
      <c r="P991" s="18" t="str">
        <f ca="1">IFERROR(__xludf.DUMMYFUNCTION("""COMPUTED_VALUE"""),"")</f>
        <v/>
      </c>
      <c r="Q991" s="18" t="str">
        <f ca="1">IFERROR(__xludf.DUMMYFUNCTION("""COMPUTED_VALUE"""),"")</f>
        <v/>
      </c>
      <c r="R991" s="18" t="str">
        <f ca="1">IFERROR(__xludf.DUMMYFUNCTION("""COMPUTED_VALUE"""),"")</f>
        <v/>
      </c>
      <c r="S991" s="18" t="str">
        <f ca="1">IFERROR(__xludf.DUMMYFUNCTION("""COMPUTED_VALUE"""),"")</f>
        <v/>
      </c>
      <c r="T991" s="18" t="str">
        <f ca="1">IFERROR(__xludf.DUMMYFUNCTION("""COMPUTED_VALUE"""),"")</f>
        <v/>
      </c>
      <c r="U991" s="18" t="str">
        <f ca="1">IFERROR(__xludf.DUMMYFUNCTION("""COMPUTED_VALUE"""),"")</f>
        <v/>
      </c>
      <c r="V991" s="18" t="str">
        <f ca="1">IFERROR(__xludf.DUMMYFUNCTION("""COMPUTED_VALUE"""),"")</f>
        <v/>
      </c>
      <c r="W991" s="18" t="str">
        <f ca="1">IFERROR(__xludf.DUMMYFUNCTION("""COMPUTED_VALUE"""),"")</f>
        <v/>
      </c>
      <c r="X991" s="18" t="str">
        <f ca="1">IFERROR(__xludf.DUMMYFUNCTION("""COMPUTED_VALUE"""),"")</f>
        <v/>
      </c>
      <c r="Y991" s="18" t="e">
        <f ca="1"/>
        <v>#NAME?</v>
      </c>
      <c r="Z991" s="18" t="str">
        <f ca="1">IFERROR(__xludf.DUMMYFUNCTION("""COMPUTED_VALUE"""),"")</f>
        <v/>
      </c>
      <c r="AA991" s="18" t="str">
        <f ca="1">IFERROR(__xludf.DUMMYFUNCTION("""COMPUTED_VALUE"""),"")</f>
        <v/>
      </c>
      <c r="AC991" s="59"/>
    </row>
    <row r="992" spans="1:29" x14ac:dyDescent="0.25">
      <c r="A992" s="18">
        <v>0</v>
      </c>
      <c r="B992" s="52" t="str">
        <f ca="1"/>
        <v/>
      </c>
      <c r="C992" s="52" t="str">
        <f ca="1">IFERROR(__xludf.DUMMYFUNCTION("""COMPUTED_VALUE"""),"")</f>
        <v/>
      </c>
      <c r="D992" s="18" t="str">
        <f ca="1">IFERROR(__xludf.DUMMYFUNCTION("""COMPUTED_VALUE"""),"")</f>
        <v/>
      </c>
      <c r="E992" s="18" t="str">
        <f ca="1">IFERROR(__xludf.DUMMYFUNCTION("""COMPUTED_VALUE"""),"")</f>
        <v/>
      </c>
      <c r="F992" s="18" t="str">
        <f ca="1">IFERROR(__xludf.DUMMYFUNCTION("""COMPUTED_VALUE"""),"")</f>
        <v/>
      </c>
      <c r="G992" s="18" t="str">
        <f ca="1">IFERROR(__xludf.DUMMYFUNCTION("""COMPUTED_VALUE"""),"")</f>
        <v/>
      </c>
      <c r="H992" s="18" t="str">
        <f ca="1">IFERROR(__xludf.DUMMYFUNCTION("""COMPUTED_VALUE"""),"")</f>
        <v/>
      </c>
      <c r="I992" s="18" t="str">
        <f ca="1">IFERROR(__xludf.DUMMYFUNCTION("""COMPUTED_VALUE"""),"")</f>
        <v/>
      </c>
      <c r="J992" s="18" t="str">
        <f ca="1">IFERROR(__xludf.DUMMYFUNCTION("""COMPUTED_VALUE"""),"")</f>
        <v/>
      </c>
      <c r="K992" s="18" t="str">
        <f ca="1">IFERROR(__xludf.DUMMYFUNCTION("""COMPUTED_VALUE"""),"")</f>
        <v/>
      </c>
      <c r="L992" s="18" t="str">
        <f ca="1">IFERROR(__xludf.DUMMYFUNCTION("""COMPUTED_VALUE"""),"")</f>
        <v/>
      </c>
      <c r="M992" s="18" t="str">
        <f ca="1">IFERROR(__xludf.DUMMYFUNCTION("""COMPUTED_VALUE"""),"")</f>
        <v/>
      </c>
      <c r="N992" s="18" t="str">
        <f ca="1">IFERROR(__xludf.DUMMYFUNCTION("""COMPUTED_VALUE"""),"")</f>
        <v/>
      </c>
      <c r="O992" s="18" t="str">
        <f ca="1">IFERROR(__xludf.DUMMYFUNCTION("""COMPUTED_VALUE"""),"")</f>
        <v/>
      </c>
      <c r="P992" s="18" t="str">
        <f ca="1">IFERROR(__xludf.DUMMYFUNCTION("""COMPUTED_VALUE"""),"")</f>
        <v/>
      </c>
      <c r="Q992" s="18" t="str">
        <f ca="1">IFERROR(__xludf.DUMMYFUNCTION("""COMPUTED_VALUE"""),"")</f>
        <v/>
      </c>
      <c r="R992" s="18" t="str">
        <f ca="1">IFERROR(__xludf.DUMMYFUNCTION("""COMPUTED_VALUE"""),"")</f>
        <v/>
      </c>
      <c r="S992" s="18" t="str">
        <f ca="1">IFERROR(__xludf.DUMMYFUNCTION("""COMPUTED_VALUE"""),"")</f>
        <v/>
      </c>
      <c r="T992" s="18" t="str">
        <f ca="1">IFERROR(__xludf.DUMMYFUNCTION("""COMPUTED_VALUE"""),"")</f>
        <v/>
      </c>
      <c r="U992" s="18" t="str">
        <f ca="1">IFERROR(__xludf.DUMMYFUNCTION("""COMPUTED_VALUE"""),"")</f>
        <v/>
      </c>
      <c r="V992" s="18" t="str">
        <f ca="1">IFERROR(__xludf.DUMMYFUNCTION("""COMPUTED_VALUE"""),"")</f>
        <v/>
      </c>
      <c r="W992" s="18" t="str">
        <f ca="1">IFERROR(__xludf.DUMMYFUNCTION("""COMPUTED_VALUE"""),"")</f>
        <v/>
      </c>
      <c r="X992" s="18" t="str">
        <f ca="1">IFERROR(__xludf.DUMMYFUNCTION("""COMPUTED_VALUE"""),"")</f>
        <v/>
      </c>
      <c r="Y992" s="18" t="e">
        <f ca="1"/>
        <v>#NAME?</v>
      </c>
      <c r="Z992" s="18" t="str">
        <f ca="1">IFERROR(__xludf.DUMMYFUNCTION("""COMPUTED_VALUE"""),"")</f>
        <v/>
      </c>
      <c r="AA992" s="18" t="str">
        <f ca="1">IFERROR(__xludf.DUMMYFUNCTION("""COMPUTED_VALUE"""),"")</f>
        <v/>
      </c>
      <c r="AC992" s="59"/>
    </row>
    <row r="993" spans="1:29" x14ac:dyDescent="0.25">
      <c r="A993" s="18">
        <v>0</v>
      </c>
      <c r="B993" s="52" t="str">
        <f ca="1"/>
        <v/>
      </c>
      <c r="C993" s="52" t="str">
        <f ca="1">IFERROR(__xludf.DUMMYFUNCTION("""COMPUTED_VALUE"""),"")</f>
        <v/>
      </c>
      <c r="D993" s="18" t="str">
        <f ca="1">IFERROR(__xludf.DUMMYFUNCTION("""COMPUTED_VALUE"""),"")</f>
        <v/>
      </c>
      <c r="E993" s="18" t="str">
        <f ca="1">IFERROR(__xludf.DUMMYFUNCTION("""COMPUTED_VALUE"""),"")</f>
        <v/>
      </c>
      <c r="F993" s="18" t="str">
        <f ca="1">IFERROR(__xludf.DUMMYFUNCTION("""COMPUTED_VALUE"""),"")</f>
        <v/>
      </c>
      <c r="G993" s="18" t="str">
        <f ca="1">IFERROR(__xludf.DUMMYFUNCTION("""COMPUTED_VALUE"""),"")</f>
        <v/>
      </c>
      <c r="H993" s="18" t="str">
        <f ca="1">IFERROR(__xludf.DUMMYFUNCTION("""COMPUTED_VALUE"""),"")</f>
        <v/>
      </c>
      <c r="I993" s="18" t="str">
        <f ca="1">IFERROR(__xludf.DUMMYFUNCTION("""COMPUTED_VALUE"""),"")</f>
        <v/>
      </c>
      <c r="J993" s="18" t="str">
        <f ca="1">IFERROR(__xludf.DUMMYFUNCTION("""COMPUTED_VALUE"""),"")</f>
        <v/>
      </c>
      <c r="K993" s="18" t="str">
        <f ca="1">IFERROR(__xludf.DUMMYFUNCTION("""COMPUTED_VALUE"""),"")</f>
        <v/>
      </c>
      <c r="L993" s="18" t="str">
        <f ca="1">IFERROR(__xludf.DUMMYFUNCTION("""COMPUTED_VALUE"""),"")</f>
        <v/>
      </c>
      <c r="M993" s="18" t="str">
        <f ca="1">IFERROR(__xludf.DUMMYFUNCTION("""COMPUTED_VALUE"""),"")</f>
        <v/>
      </c>
      <c r="N993" s="18" t="str">
        <f ca="1">IFERROR(__xludf.DUMMYFUNCTION("""COMPUTED_VALUE"""),"")</f>
        <v/>
      </c>
      <c r="O993" s="18" t="str">
        <f ca="1">IFERROR(__xludf.DUMMYFUNCTION("""COMPUTED_VALUE"""),"")</f>
        <v/>
      </c>
      <c r="P993" s="18" t="str">
        <f ca="1">IFERROR(__xludf.DUMMYFUNCTION("""COMPUTED_VALUE"""),"")</f>
        <v/>
      </c>
      <c r="Q993" s="18" t="str">
        <f ca="1">IFERROR(__xludf.DUMMYFUNCTION("""COMPUTED_VALUE"""),"")</f>
        <v/>
      </c>
      <c r="R993" s="18" t="str">
        <f ca="1">IFERROR(__xludf.DUMMYFUNCTION("""COMPUTED_VALUE"""),"")</f>
        <v/>
      </c>
      <c r="S993" s="18" t="str">
        <f ca="1">IFERROR(__xludf.DUMMYFUNCTION("""COMPUTED_VALUE"""),"")</f>
        <v/>
      </c>
      <c r="T993" s="18" t="str">
        <f ca="1">IFERROR(__xludf.DUMMYFUNCTION("""COMPUTED_VALUE"""),"")</f>
        <v/>
      </c>
      <c r="U993" s="18" t="str">
        <f ca="1">IFERROR(__xludf.DUMMYFUNCTION("""COMPUTED_VALUE"""),"")</f>
        <v/>
      </c>
      <c r="V993" s="18" t="str">
        <f ca="1">IFERROR(__xludf.DUMMYFUNCTION("""COMPUTED_VALUE"""),"")</f>
        <v/>
      </c>
      <c r="W993" s="18" t="str">
        <f ca="1">IFERROR(__xludf.DUMMYFUNCTION("""COMPUTED_VALUE"""),"")</f>
        <v/>
      </c>
      <c r="X993" s="18" t="str">
        <f ca="1">IFERROR(__xludf.DUMMYFUNCTION("""COMPUTED_VALUE"""),"")</f>
        <v/>
      </c>
      <c r="Y993" s="18" t="e">
        <f ca="1"/>
        <v>#NAME?</v>
      </c>
      <c r="Z993" s="18" t="str">
        <f ca="1">IFERROR(__xludf.DUMMYFUNCTION("""COMPUTED_VALUE"""),"")</f>
        <v/>
      </c>
      <c r="AA993" s="18" t="str">
        <f ca="1">IFERROR(__xludf.DUMMYFUNCTION("""COMPUTED_VALUE"""),"")</f>
        <v/>
      </c>
      <c r="AC993" s="59"/>
    </row>
    <row r="994" spans="1:29" x14ac:dyDescent="0.25">
      <c r="A994" s="18">
        <v>0</v>
      </c>
      <c r="B994" s="52" t="str">
        <f ca="1"/>
        <v/>
      </c>
      <c r="C994" s="52" t="str">
        <f ca="1">IFERROR(__xludf.DUMMYFUNCTION("""COMPUTED_VALUE"""),"")</f>
        <v/>
      </c>
      <c r="D994" s="18" t="str">
        <f ca="1">IFERROR(__xludf.DUMMYFUNCTION("""COMPUTED_VALUE"""),"")</f>
        <v/>
      </c>
      <c r="E994" s="18" t="str">
        <f ca="1">IFERROR(__xludf.DUMMYFUNCTION("""COMPUTED_VALUE"""),"")</f>
        <v/>
      </c>
      <c r="F994" s="18" t="str">
        <f ca="1">IFERROR(__xludf.DUMMYFUNCTION("""COMPUTED_VALUE"""),"")</f>
        <v/>
      </c>
      <c r="G994" s="18" t="str">
        <f ca="1">IFERROR(__xludf.DUMMYFUNCTION("""COMPUTED_VALUE"""),"")</f>
        <v/>
      </c>
      <c r="H994" s="18" t="str">
        <f ca="1">IFERROR(__xludf.DUMMYFUNCTION("""COMPUTED_VALUE"""),"")</f>
        <v/>
      </c>
      <c r="I994" s="18" t="str">
        <f ca="1">IFERROR(__xludf.DUMMYFUNCTION("""COMPUTED_VALUE"""),"")</f>
        <v/>
      </c>
      <c r="J994" s="18" t="str">
        <f ca="1">IFERROR(__xludf.DUMMYFUNCTION("""COMPUTED_VALUE"""),"")</f>
        <v/>
      </c>
      <c r="K994" s="18" t="str">
        <f ca="1">IFERROR(__xludf.DUMMYFUNCTION("""COMPUTED_VALUE"""),"")</f>
        <v/>
      </c>
      <c r="L994" s="18" t="str">
        <f ca="1">IFERROR(__xludf.DUMMYFUNCTION("""COMPUTED_VALUE"""),"")</f>
        <v/>
      </c>
      <c r="M994" s="18" t="str">
        <f ca="1">IFERROR(__xludf.DUMMYFUNCTION("""COMPUTED_VALUE"""),"")</f>
        <v/>
      </c>
      <c r="N994" s="18" t="str">
        <f ca="1">IFERROR(__xludf.DUMMYFUNCTION("""COMPUTED_VALUE"""),"")</f>
        <v/>
      </c>
      <c r="O994" s="18" t="str">
        <f ca="1">IFERROR(__xludf.DUMMYFUNCTION("""COMPUTED_VALUE"""),"")</f>
        <v/>
      </c>
      <c r="P994" s="18" t="str">
        <f ca="1">IFERROR(__xludf.DUMMYFUNCTION("""COMPUTED_VALUE"""),"")</f>
        <v/>
      </c>
      <c r="Q994" s="18" t="str">
        <f ca="1">IFERROR(__xludf.DUMMYFUNCTION("""COMPUTED_VALUE"""),"")</f>
        <v/>
      </c>
      <c r="R994" s="18" t="str">
        <f ca="1">IFERROR(__xludf.DUMMYFUNCTION("""COMPUTED_VALUE"""),"")</f>
        <v/>
      </c>
      <c r="S994" s="18" t="str">
        <f ca="1">IFERROR(__xludf.DUMMYFUNCTION("""COMPUTED_VALUE"""),"")</f>
        <v/>
      </c>
      <c r="T994" s="18" t="str">
        <f ca="1">IFERROR(__xludf.DUMMYFUNCTION("""COMPUTED_VALUE"""),"")</f>
        <v/>
      </c>
      <c r="U994" s="18" t="str">
        <f ca="1">IFERROR(__xludf.DUMMYFUNCTION("""COMPUTED_VALUE"""),"")</f>
        <v/>
      </c>
      <c r="V994" s="18" t="str">
        <f ca="1">IFERROR(__xludf.DUMMYFUNCTION("""COMPUTED_VALUE"""),"")</f>
        <v/>
      </c>
      <c r="W994" s="18" t="str">
        <f ca="1">IFERROR(__xludf.DUMMYFUNCTION("""COMPUTED_VALUE"""),"")</f>
        <v/>
      </c>
      <c r="X994" s="18" t="str">
        <f ca="1">IFERROR(__xludf.DUMMYFUNCTION("""COMPUTED_VALUE"""),"")</f>
        <v/>
      </c>
      <c r="Y994" s="18" t="e">
        <f ca="1"/>
        <v>#NAME?</v>
      </c>
      <c r="Z994" s="18" t="str">
        <f ca="1">IFERROR(__xludf.DUMMYFUNCTION("""COMPUTED_VALUE"""),"")</f>
        <v/>
      </c>
      <c r="AA994" s="18" t="str">
        <f ca="1">IFERROR(__xludf.DUMMYFUNCTION("""COMPUTED_VALUE"""),"")</f>
        <v/>
      </c>
      <c r="AC994" s="59"/>
    </row>
    <row r="995" spans="1:29" x14ac:dyDescent="0.25">
      <c r="A995" s="18">
        <v>0</v>
      </c>
      <c r="B995" s="52" t="str">
        <f ca="1"/>
        <v/>
      </c>
      <c r="C995" s="52" t="str">
        <f ca="1">IFERROR(__xludf.DUMMYFUNCTION("""COMPUTED_VALUE"""),"")</f>
        <v/>
      </c>
      <c r="D995" s="18" t="str">
        <f ca="1">IFERROR(__xludf.DUMMYFUNCTION("""COMPUTED_VALUE"""),"")</f>
        <v/>
      </c>
      <c r="E995" s="18" t="str">
        <f ca="1">IFERROR(__xludf.DUMMYFUNCTION("""COMPUTED_VALUE"""),"")</f>
        <v/>
      </c>
      <c r="F995" s="18" t="str">
        <f ca="1">IFERROR(__xludf.DUMMYFUNCTION("""COMPUTED_VALUE"""),"")</f>
        <v/>
      </c>
      <c r="G995" s="18" t="str">
        <f ca="1">IFERROR(__xludf.DUMMYFUNCTION("""COMPUTED_VALUE"""),"")</f>
        <v/>
      </c>
      <c r="H995" s="18" t="str">
        <f ca="1">IFERROR(__xludf.DUMMYFUNCTION("""COMPUTED_VALUE"""),"")</f>
        <v/>
      </c>
      <c r="I995" s="18" t="str">
        <f ca="1">IFERROR(__xludf.DUMMYFUNCTION("""COMPUTED_VALUE"""),"")</f>
        <v/>
      </c>
      <c r="J995" s="18" t="str">
        <f ca="1">IFERROR(__xludf.DUMMYFUNCTION("""COMPUTED_VALUE"""),"")</f>
        <v/>
      </c>
      <c r="K995" s="18" t="str">
        <f ca="1">IFERROR(__xludf.DUMMYFUNCTION("""COMPUTED_VALUE"""),"")</f>
        <v/>
      </c>
      <c r="L995" s="18" t="str">
        <f ca="1">IFERROR(__xludf.DUMMYFUNCTION("""COMPUTED_VALUE"""),"")</f>
        <v/>
      </c>
      <c r="M995" s="18" t="str">
        <f ca="1">IFERROR(__xludf.DUMMYFUNCTION("""COMPUTED_VALUE"""),"")</f>
        <v/>
      </c>
      <c r="N995" s="18" t="str">
        <f ca="1">IFERROR(__xludf.DUMMYFUNCTION("""COMPUTED_VALUE"""),"")</f>
        <v/>
      </c>
      <c r="O995" s="18" t="str">
        <f ca="1">IFERROR(__xludf.DUMMYFUNCTION("""COMPUTED_VALUE"""),"")</f>
        <v/>
      </c>
      <c r="P995" s="18" t="str">
        <f ca="1">IFERROR(__xludf.DUMMYFUNCTION("""COMPUTED_VALUE"""),"")</f>
        <v/>
      </c>
      <c r="Q995" s="18" t="str">
        <f ca="1">IFERROR(__xludf.DUMMYFUNCTION("""COMPUTED_VALUE"""),"")</f>
        <v/>
      </c>
      <c r="R995" s="18" t="str">
        <f ca="1">IFERROR(__xludf.DUMMYFUNCTION("""COMPUTED_VALUE"""),"")</f>
        <v/>
      </c>
      <c r="S995" s="18" t="str">
        <f ca="1">IFERROR(__xludf.DUMMYFUNCTION("""COMPUTED_VALUE"""),"")</f>
        <v/>
      </c>
      <c r="T995" s="18" t="str">
        <f ca="1">IFERROR(__xludf.DUMMYFUNCTION("""COMPUTED_VALUE"""),"")</f>
        <v/>
      </c>
      <c r="U995" s="18" t="str">
        <f ca="1">IFERROR(__xludf.DUMMYFUNCTION("""COMPUTED_VALUE"""),"")</f>
        <v/>
      </c>
      <c r="V995" s="18" t="str">
        <f ca="1">IFERROR(__xludf.DUMMYFUNCTION("""COMPUTED_VALUE"""),"")</f>
        <v/>
      </c>
      <c r="W995" s="18" t="str">
        <f ca="1">IFERROR(__xludf.DUMMYFUNCTION("""COMPUTED_VALUE"""),"")</f>
        <v/>
      </c>
      <c r="X995" s="18" t="str">
        <f ca="1">IFERROR(__xludf.DUMMYFUNCTION("""COMPUTED_VALUE"""),"")</f>
        <v/>
      </c>
      <c r="Y995" s="18" t="e">
        <f ca="1"/>
        <v>#NAME?</v>
      </c>
      <c r="Z995" s="18" t="str">
        <f ca="1">IFERROR(__xludf.DUMMYFUNCTION("""COMPUTED_VALUE"""),"")</f>
        <v/>
      </c>
      <c r="AA995" s="18" t="str">
        <f ca="1">IFERROR(__xludf.DUMMYFUNCTION("""COMPUTED_VALUE"""),"")</f>
        <v/>
      </c>
      <c r="AC995" s="59"/>
    </row>
    <row r="996" spans="1:29" x14ac:dyDescent="0.25">
      <c r="A996" s="18">
        <v>0</v>
      </c>
      <c r="B996" s="52" t="str">
        <f ca="1"/>
        <v/>
      </c>
      <c r="C996" s="52" t="str">
        <f ca="1">IFERROR(__xludf.DUMMYFUNCTION("""COMPUTED_VALUE"""),"")</f>
        <v/>
      </c>
      <c r="D996" s="18" t="str">
        <f ca="1">IFERROR(__xludf.DUMMYFUNCTION("""COMPUTED_VALUE"""),"")</f>
        <v/>
      </c>
      <c r="E996" s="18" t="str">
        <f ca="1">IFERROR(__xludf.DUMMYFUNCTION("""COMPUTED_VALUE"""),"")</f>
        <v/>
      </c>
      <c r="F996" s="18" t="str">
        <f ca="1">IFERROR(__xludf.DUMMYFUNCTION("""COMPUTED_VALUE"""),"")</f>
        <v/>
      </c>
      <c r="G996" s="18" t="str">
        <f ca="1">IFERROR(__xludf.DUMMYFUNCTION("""COMPUTED_VALUE"""),"")</f>
        <v/>
      </c>
      <c r="H996" s="18" t="str">
        <f ca="1">IFERROR(__xludf.DUMMYFUNCTION("""COMPUTED_VALUE"""),"")</f>
        <v/>
      </c>
      <c r="I996" s="18" t="str">
        <f ca="1">IFERROR(__xludf.DUMMYFUNCTION("""COMPUTED_VALUE"""),"")</f>
        <v/>
      </c>
      <c r="J996" s="18" t="str">
        <f ca="1">IFERROR(__xludf.DUMMYFUNCTION("""COMPUTED_VALUE"""),"")</f>
        <v/>
      </c>
      <c r="K996" s="18" t="str">
        <f ca="1">IFERROR(__xludf.DUMMYFUNCTION("""COMPUTED_VALUE"""),"")</f>
        <v/>
      </c>
      <c r="L996" s="18" t="str">
        <f ca="1">IFERROR(__xludf.DUMMYFUNCTION("""COMPUTED_VALUE"""),"")</f>
        <v/>
      </c>
      <c r="M996" s="18" t="str">
        <f ca="1">IFERROR(__xludf.DUMMYFUNCTION("""COMPUTED_VALUE"""),"")</f>
        <v/>
      </c>
      <c r="N996" s="18" t="str">
        <f ca="1">IFERROR(__xludf.DUMMYFUNCTION("""COMPUTED_VALUE"""),"")</f>
        <v/>
      </c>
      <c r="O996" s="18" t="str">
        <f ca="1">IFERROR(__xludf.DUMMYFUNCTION("""COMPUTED_VALUE"""),"")</f>
        <v/>
      </c>
      <c r="P996" s="18" t="str">
        <f ca="1">IFERROR(__xludf.DUMMYFUNCTION("""COMPUTED_VALUE"""),"")</f>
        <v/>
      </c>
      <c r="Q996" s="18" t="str">
        <f ca="1">IFERROR(__xludf.DUMMYFUNCTION("""COMPUTED_VALUE"""),"")</f>
        <v/>
      </c>
      <c r="R996" s="18" t="str">
        <f ca="1">IFERROR(__xludf.DUMMYFUNCTION("""COMPUTED_VALUE"""),"")</f>
        <v/>
      </c>
      <c r="S996" s="18" t="str">
        <f ca="1">IFERROR(__xludf.DUMMYFUNCTION("""COMPUTED_VALUE"""),"")</f>
        <v/>
      </c>
      <c r="T996" s="18" t="str">
        <f ca="1">IFERROR(__xludf.DUMMYFUNCTION("""COMPUTED_VALUE"""),"")</f>
        <v/>
      </c>
      <c r="U996" s="18" t="str">
        <f ca="1">IFERROR(__xludf.DUMMYFUNCTION("""COMPUTED_VALUE"""),"")</f>
        <v/>
      </c>
      <c r="V996" s="18" t="str">
        <f ca="1">IFERROR(__xludf.DUMMYFUNCTION("""COMPUTED_VALUE"""),"")</f>
        <v/>
      </c>
      <c r="W996" s="18" t="str">
        <f ca="1">IFERROR(__xludf.DUMMYFUNCTION("""COMPUTED_VALUE"""),"")</f>
        <v/>
      </c>
      <c r="X996" s="18" t="str">
        <f ca="1">IFERROR(__xludf.DUMMYFUNCTION("""COMPUTED_VALUE"""),"")</f>
        <v/>
      </c>
      <c r="Y996" s="18" t="e">
        <f ca="1"/>
        <v>#NAME?</v>
      </c>
      <c r="Z996" s="18" t="str">
        <f ca="1">IFERROR(__xludf.DUMMYFUNCTION("""COMPUTED_VALUE"""),"")</f>
        <v/>
      </c>
      <c r="AA996" s="18" t="str">
        <f ca="1">IFERROR(__xludf.DUMMYFUNCTION("""COMPUTED_VALUE"""),"")</f>
        <v/>
      </c>
      <c r="AC996" s="59"/>
    </row>
    <row r="997" spans="1:29" x14ac:dyDescent="0.25">
      <c r="A997" s="18">
        <v>0</v>
      </c>
      <c r="B997" s="52" t="str">
        <f ca="1"/>
        <v/>
      </c>
      <c r="C997" s="52" t="str">
        <f ca="1">IFERROR(__xludf.DUMMYFUNCTION("""COMPUTED_VALUE"""),"")</f>
        <v/>
      </c>
      <c r="D997" s="18" t="str">
        <f ca="1">IFERROR(__xludf.DUMMYFUNCTION("""COMPUTED_VALUE"""),"")</f>
        <v/>
      </c>
      <c r="E997" s="18" t="str">
        <f ca="1">IFERROR(__xludf.DUMMYFUNCTION("""COMPUTED_VALUE"""),"")</f>
        <v/>
      </c>
      <c r="F997" s="18" t="str">
        <f ca="1">IFERROR(__xludf.DUMMYFUNCTION("""COMPUTED_VALUE"""),"")</f>
        <v/>
      </c>
      <c r="G997" s="18" t="str">
        <f ca="1">IFERROR(__xludf.DUMMYFUNCTION("""COMPUTED_VALUE"""),"")</f>
        <v/>
      </c>
      <c r="H997" s="18" t="str">
        <f ca="1">IFERROR(__xludf.DUMMYFUNCTION("""COMPUTED_VALUE"""),"")</f>
        <v/>
      </c>
      <c r="I997" s="18" t="str">
        <f ca="1">IFERROR(__xludf.DUMMYFUNCTION("""COMPUTED_VALUE"""),"")</f>
        <v/>
      </c>
      <c r="J997" s="18" t="str">
        <f ca="1">IFERROR(__xludf.DUMMYFUNCTION("""COMPUTED_VALUE"""),"")</f>
        <v/>
      </c>
      <c r="K997" s="18" t="str">
        <f ca="1">IFERROR(__xludf.DUMMYFUNCTION("""COMPUTED_VALUE"""),"")</f>
        <v/>
      </c>
      <c r="L997" s="18" t="str">
        <f ca="1">IFERROR(__xludf.DUMMYFUNCTION("""COMPUTED_VALUE"""),"")</f>
        <v/>
      </c>
      <c r="M997" s="18" t="str">
        <f ca="1">IFERROR(__xludf.DUMMYFUNCTION("""COMPUTED_VALUE"""),"")</f>
        <v/>
      </c>
      <c r="N997" s="18" t="str">
        <f ca="1">IFERROR(__xludf.DUMMYFUNCTION("""COMPUTED_VALUE"""),"")</f>
        <v/>
      </c>
      <c r="O997" s="18" t="str">
        <f ca="1">IFERROR(__xludf.DUMMYFUNCTION("""COMPUTED_VALUE"""),"")</f>
        <v/>
      </c>
      <c r="P997" s="18" t="str">
        <f ca="1">IFERROR(__xludf.DUMMYFUNCTION("""COMPUTED_VALUE"""),"")</f>
        <v/>
      </c>
      <c r="Q997" s="18" t="str">
        <f ca="1">IFERROR(__xludf.DUMMYFUNCTION("""COMPUTED_VALUE"""),"")</f>
        <v/>
      </c>
      <c r="R997" s="18" t="str">
        <f ca="1">IFERROR(__xludf.DUMMYFUNCTION("""COMPUTED_VALUE"""),"")</f>
        <v/>
      </c>
      <c r="S997" s="18" t="str">
        <f ca="1">IFERROR(__xludf.DUMMYFUNCTION("""COMPUTED_VALUE"""),"")</f>
        <v/>
      </c>
      <c r="T997" s="18" t="str">
        <f ca="1">IFERROR(__xludf.DUMMYFUNCTION("""COMPUTED_VALUE"""),"")</f>
        <v/>
      </c>
      <c r="U997" s="18" t="str">
        <f ca="1">IFERROR(__xludf.DUMMYFUNCTION("""COMPUTED_VALUE"""),"")</f>
        <v/>
      </c>
      <c r="V997" s="18" t="str">
        <f ca="1">IFERROR(__xludf.DUMMYFUNCTION("""COMPUTED_VALUE"""),"")</f>
        <v/>
      </c>
      <c r="W997" s="18" t="str">
        <f ca="1">IFERROR(__xludf.DUMMYFUNCTION("""COMPUTED_VALUE"""),"")</f>
        <v/>
      </c>
      <c r="X997" s="18" t="str">
        <f ca="1">IFERROR(__xludf.DUMMYFUNCTION("""COMPUTED_VALUE"""),"")</f>
        <v/>
      </c>
      <c r="Y997" s="18" t="e">
        <f ca="1"/>
        <v>#NAME?</v>
      </c>
      <c r="Z997" s="18" t="str">
        <f ca="1">IFERROR(__xludf.DUMMYFUNCTION("""COMPUTED_VALUE"""),"")</f>
        <v/>
      </c>
      <c r="AA997" s="18" t="str">
        <f ca="1">IFERROR(__xludf.DUMMYFUNCTION("""COMPUTED_VALUE"""),"")</f>
        <v/>
      </c>
      <c r="AC997" s="59"/>
    </row>
    <row r="998" spans="1:29" x14ac:dyDescent="0.25">
      <c r="A998" s="18">
        <v>0</v>
      </c>
      <c r="B998" s="52" t="str">
        <f ca="1"/>
        <v/>
      </c>
      <c r="C998" s="52" t="str">
        <f ca="1">IFERROR(__xludf.DUMMYFUNCTION("""COMPUTED_VALUE"""),"")</f>
        <v/>
      </c>
      <c r="D998" s="18" t="str">
        <f ca="1">IFERROR(__xludf.DUMMYFUNCTION("""COMPUTED_VALUE"""),"")</f>
        <v/>
      </c>
      <c r="E998" s="18" t="str">
        <f ca="1">IFERROR(__xludf.DUMMYFUNCTION("""COMPUTED_VALUE"""),"")</f>
        <v/>
      </c>
      <c r="F998" s="18" t="str">
        <f ca="1">IFERROR(__xludf.DUMMYFUNCTION("""COMPUTED_VALUE"""),"")</f>
        <v/>
      </c>
      <c r="G998" s="18" t="str">
        <f ca="1">IFERROR(__xludf.DUMMYFUNCTION("""COMPUTED_VALUE"""),"")</f>
        <v/>
      </c>
      <c r="H998" s="18" t="str">
        <f ca="1">IFERROR(__xludf.DUMMYFUNCTION("""COMPUTED_VALUE"""),"")</f>
        <v/>
      </c>
      <c r="I998" s="18" t="str">
        <f ca="1">IFERROR(__xludf.DUMMYFUNCTION("""COMPUTED_VALUE"""),"")</f>
        <v/>
      </c>
      <c r="J998" s="18" t="str">
        <f ca="1">IFERROR(__xludf.DUMMYFUNCTION("""COMPUTED_VALUE"""),"")</f>
        <v/>
      </c>
      <c r="K998" s="18" t="str">
        <f ca="1">IFERROR(__xludf.DUMMYFUNCTION("""COMPUTED_VALUE"""),"")</f>
        <v/>
      </c>
      <c r="L998" s="18" t="str">
        <f ca="1">IFERROR(__xludf.DUMMYFUNCTION("""COMPUTED_VALUE"""),"")</f>
        <v/>
      </c>
      <c r="M998" s="18" t="str">
        <f ca="1">IFERROR(__xludf.DUMMYFUNCTION("""COMPUTED_VALUE"""),"")</f>
        <v/>
      </c>
      <c r="N998" s="18" t="str">
        <f ca="1">IFERROR(__xludf.DUMMYFUNCTION("""COMPUTED_VALUE"""),"")</f>
        <v/>
      </c>
      <c r="O998" s="18" t="str">
        <f ca="1">IFERROR(__xludf.DUMMYFUNCTION("""COMPUTED_VALUE"""),"")</f>
        <v/>
      </c>
      <c r="P998" s="18" t="str">
        <f ca="1">IFERROR(__xludf.DUMMYFUNCTION("""COMPUTED_VALUE"""),"")</f>
        <v/>
      </c>
      <c r="Q998" s="18" t="str">
        <f ca="1">IFERROR(__xludf.DUMMYFUNCTION("""COMPUTED_VALUE"""),"")</f>
        <v/>
      </c>
      <c r="R998" s="18" t="str">
        <f ca="1">IFERROR(__xludf.DUMMYFUNCTION("""COMPUTED_VALUE"""),"")</f>
        <v/>
      </c>
      <c r="S998" s="18" t="str">
        <f ca="1">IFERROR(__xludf.DUMMYFUNCTION("""COMPUTED_VALUE"""),"")</f>
        <v/>
      </c>
      <c r="T998" s="18" t="str">
        <f ca="1">IFERROR(__xludf.DUMMYFUNCTION("""COMPUTED_VALUE"""),"")</f>
        <v/>
      </c>
      <c r="U998" s="18" t="str">
        <f ca="1">IFERROR(__xludf.DUMMYFUNCTION("""COMPUTED_VALUE"""),"")</f>
        <v/>
      </c>
      <c r="V998" s="18" t="str">
        <f ca="1">IFERROR(__xludf.DUMMYFUNCTION("""COMPUTED_VALUE"""),"")</f>
        <v/>
      </c>
      <c r="W998" s="18" t="str">
        <f ca="1">IFERROR(__xludf.DUMMYFUNCTION("""COMPUTED_VALUE"""),"")</f>
        <v/>
      </c>
      <c r="X998" s="18" t="str">
        <f ca="1">IFERROR(__xludf.DUMMYFUNCTION("""COMPUTED_VALUE"""),"")</f>
        <v/>
      </c>
      <c r="Y998" s="18" t="e">
        <f ca="1"/>
        <v>#NAME?</v>
      </c>
      <c r="Z998" s="18" t="str">
        <f ca="1">IFERROR(__xludf.DUMMYFUNCTION("""COMPUTED_VALUE"""),"")</f>
        <v/>
      </c>
      <c r="AA998" s="18" t="str">
        <f ca="1">IFERROR(__xludf.DUMMYFUNCTION("""COMPUTED_VALUE"""),"")</f>
        <v/>
      </c>
      <c r="AC998" s="59"/>
    </row>
    <row r="999" spans="1:29" x14ac:dyDescent="0.25">
      <c r="A999" s="18">
        <v>0</v>
      </c>
      <c r="B999" s="52" t="str">
        <f ca="1"/>
        <v/>
      </c>
      <c r="C999" s="52" t="str">
        <f ca="1">IFERROR(__xludf.DUMMYFUNCTION("""COMPUTED_VALUE"""),"")</f>
        <v/>
      </c>
      <c r="D999" s="18" t="str">
        <f ca="1">IFERROR(__xludf.DUMMYFUNCTION("""COMPUTED_VALUE"""),"")</f>
        <v/>
      </c>
      <c r="E999" s="18" t="str">
        <f ca="1">IFERROR(__xludf.DUMMYFUNCTION("""COMPUTED_VALUE"""),"")</f>
        <v/>
      </c>
      <c r="F999" s="18" t="str">
        <f ca="1">IFERROR(__xludf.DUMMYFUNCTION("""COMPUTED_VALUE"""),"")</f>
        <v/>
      </c>
      <c r="G999" s="18" t="str">
        <f ca="1">IFERROR(__xludf.DUMMYFUNCTION("""COMPUTED_VALUE"""),"")</f>
        <v/>
      </c>
      <c r="H999" s="18" t="str">
        <f ca="1">IFERROR(__xludf.DUMMYFUNCTION("""COMPUTED_VALUE"""),"")</f>
        <v/>
      </c>
      <c r="I999" s="18" t="str">
        <f ca="1">IFERROR(__xludf.DUMMYFUNCTION("""COMPUTED_VALUE"""),"")</f>
        <v/>
      </c>
      <c r="J999" s="18" t="str">
        <f ca="1">IFERROR(__xludf.DUMMYFUNCTION("""COMPUTED_VALUE"""),"")</f>
        <v/>
      </c>
      <c r="K999" s="18" t="str">
        <f ca="1">IFERROR(__xludf.DUMMYFUNCTION("""COMPUTED_VALUE"""),"")</f>
        <v/>
      </c>
      <c r="L999" s="18" t="str">
        <f ca="1">IFERROR(__xludf.DUMMYFUNCTION("""COMPUTED_VALUE"""),"")</f>
        <v/>
      </c>
      <c r="M999" s="18" t="str">
        <f ca="1">IFERROR(__xludf.DUMMYFUNCTION("""COMPUTED_VALUE"""),"")</f>
        <v/>
      </c>
      <c r="N999" s="18" t="str">
        <f ca="1">IFERROR(__xludf.DUMMYFUNCTION("""COMPUTED_VALUE"""),"")</f>
        <v/>
      </c>
      <c r="O999" s="18" t="str">
        <f ca="1">IFERROR(__xludf.DUMMYFUNCTION("""COMPUTED_VALUE"""),"")</f>
        <v/>
      </c>
      <c r="P999" s="18" t="str">
        <f ca="1">IFERROR(__xludf.DUMMYFUNCTION("""COMPUTED_VALUE"""),"")</f>
        <v/>
      </c>
      <c r="Q999" s="18" t="str">
        <f ca="1">IFERROR(__xludf.DUMMYFUNCTION("""COMPUTED_VALUE"""),"")</f>
        <v/>
      </c>
      <c r="R999" s="18" t="str">
        <f ca="1">IFERROR(__xludf.DUMMYFUNCTION("""COMPUTED_VALUE"""),"")</f>
        <v/>
      </c>
      <c r="S999" s="18" t="str">
        <f ca="1">IFERROR(__xludf.DUMMYFUNCTION("""COMPUTED_VALUE"""),"")</f>
        <v/>
      </c>
      <c r="T999" s="18" t="str">
        <f ca="1">IFERROR(__xludf.DUMMYFUNCTION("""COMPUTED_VALUE"""),"")</f>
        <v/>
      </c>
      <c r="U999" s="18" t="str">
        <f ca="1">IFERROR(__xludf.DUMMYFUNCTION("""COMPUTED_VALUE"""),"")</f>
        <v/>
      </c>
      <c r="V999" s="18" t="str">
        <f ca="1">IFERROR(__xludf.DUMMYFUNCTION("""COMPUTED_VALUE"""),"")</f>
        <v/>
      </c>
      <c r="W999" s="18" t="str">
        <f ca="1">IFERROR(__xludf.DUMMYFUNCTION("""COMPUTED_VALUE"""),"")</f>
        <v/>
      </c>
      <c r="X999" s="18" t="str">
        <f ca="1">IFERROR(__xludf.DUMMYFUNCTION("""COMPUTED_VALUE"""),"")</f>
        <v/>
      </c>
      <c r="Y999" s="18" t="e">
        <f ca="1"/>
        <v>#NAME?</v>
      </c>
      <c r="Z999" s="18" t="str">
        <f ca="1">IFERROR(__xludf.DUMMYFUNCTION("""COMPUTED_VALUE"""),"")</f>
        <v/>
      </c>
      <c r="AA999" s="18" t="str">
        <f ca="1">IFERROR(__xludf.DUMMYFUNCTION("""COMPUTED_VALUE"""),"")</f>
        <v/>
      </c>
      <c r="AC999" s="59"/>
    </row>
    <row r="1000" spans="1:29" x14ac:dyDescent="0.25">
      <c r="A1000" s="18">
        <v>0</v>
      </c>
      <c r="B1000" s="52" t="str">
        <f ca="1"/>
        <v/>
      </c>
      <c r="C1000" s="52" t="str">
        <f ca="1">IFERROR(__xludf.DUMMYFUNCTION("""COMPUTED_VALUE"""),"")</f>
        <v/>
      </c>
      <c r="D1000" s="18" t="str">
        <f ca="1">IFERROR(__xludf.DUMMYFUNCTION("""COMPUTED_VALUE"""),"")</f>
        <v/>
      </c>
      <c r="E1000" s="18" t="str">
        <f ca="1">IFERROR(__xludf.DUMMYFUNCTION("""COMPUTED_VALUE"""),"")</f>
        <v/>
      </c>
      <c r="F1000" s="18" t="str">
        <f ca="1">IFERROR(__xludf.DUMMYFUNCTION("""COMPUTED_VALUE"""),"")</f>
        <v/>
      </c>
      <c r="G1000" s="18" t="str">
        <f ca="1">IFERROR(__xludf.DUMMYFUNCTION("""COMPUTED_VALUE"""),"")</f>
        <v/>
      </c>
      <c r="H1000" s="18" t="str">
        <f ca="1">IFERROR(__xludf.DUMMYFUNCTION("""COMPUTED_VALUE"""),"")</f>
        <v/>
      </c>
      <c r="I1000" s="18" t="str">
        <f ca="1">IFERROR(__xludf.DUMMYFUNCTION("""COMPUTED_VALUE"""),"")</f>
        <v/>
      </c>
      <c r="J1000" s="18" t="str">
        <f ca="1">IFERROR(__xludf.DUMMYFUNCTION("""COMPUTED_VALUE"""),"")</f>
        <v/>
      </c>
      <c r="K1000" s="18" t="str">
        <f ca="1">IFERROR(__xludf.DUMMYFUNCTION("""COMPUTED_VALUE"""),"")</f>
        <v/>
      </c>
      <c r="L1000" s="18" t="str">
        <f ca="1">IFERROR(__xludf.DUMMYFUNCTION("""COMPUTED_VALUE"""),"")</f>
        <v/>
      </c>
      <c r="M1000" s="18" t="str">
        <f ca="1">IFERROR(__xludf.DUMMYFUNCTION("""COMPUTED_VALUE"""),"")</f>
        <v/>
      </c>
      <c r="N1000" s="18" t="str">
        <f ca="1">IFERROR(__xludf.DUMMYFUNCTION("""COMPUTED_VALUE"""),"")</f>
        <v/>
      </c>
      <c r="O1000" s="18" t="str">
        <f ca="1">IFERROR(__xludf.DUMMYFUNCTION("""COMPUTED_VALUE"""),"")</f>
        <v/>
      </c>
      <c r="P1000" s="18" t="str">
        <f ca="1">IFERROR(__xludf.DUMMYFUNCTION("""COMPUTED_VALUE"""),"")</f>
        <v/>
      </c>
      <c r="Q1000" s="18" t="str">
        <f ca="1">IFERROR(__xludf.DUMMYFUNCTION("""COMPUTED_VALUE"""),"")</f>
        <v/>
      </c>
      <c r="R1000" s="18" t="str">
        <f ca="1">IFERROR(__xludf.DUMMYFUNCTION("""COMPUTED_VALUE"""),"")</f>
        <v/>
      </c>
      <c r="S1000" s="18" t="str">
        <f ca="1">IFERROR(__xludf.DUMMYFUNCTION("""COMPUTED_VALUE"""),"")</f>
        <v/>
      </c>
      <c r="T1000" s="18" t="str">
        <f ca="1">IFERROR(__xludf.DUMMYFUNCTION("""COMPUTED_VALUE"""),"")</f>
        <v/>
      </c>
      <c r="U1000" s="18" t="str">
        <f ca="1">IFERROR(__xludf.DUMMYFUNCTION("""COMPUTED_VALUE"""),"")</f>
        <v/>
      </c>
      <c r="V1000" s="18" t="str">
        <f ca="1">IFERROR(__xludf.DUMMYFUNCTION("""COMPUTED_VALUE"""),"")</f>
        <v/>
      </c>
      <c r="W1000" s="18" t="str">
        <f ca="1">IFERROR(__xludf.DUMMYFUNCTION("""COMPUTED_VALUE"""),"")</f>
        <v/>
      </c>
      <c r="X1000" s="18" t="str">
        <f ca="1">IFERROR(__xludf.DUMMYFUNCTION("""COMPUTED_VALUE"""),"")</f>
        <v/>
      </c>
      <c r="Y1000" s="18" t="e">
        <f ca="1"/>
        <v>#NAME?</v>
      </c>
      <c r="Z1000" s="18" t="str">
        <f ca="1">IFERROR(__xludf.DUMMYFUNCTION("""COMPUTED_VALUE"""),"")</f>
        <v/>
      </c>
      <c r="AA1000" s="18" t="str">
        <f ca="1">IFERROR(__xludf.DUMMYFUNCTION("""COMPUTED_VALUE"""),"")</f>
        <v/>
      </c>
      <c r="AC1000" s="59"/>
    </row>
    <row r="1001" spans="1:29" x14ac:dyDescent="0.25">
      <c r="A1001" s="18">
        <v>0</v>
      </c>
      <c r="B1001" s="52" t="str">
        <f ca="1"/>
        <v/>
      </c>
      <c r="C1001" s="52" t="str">
        <f ca="1">IFERROR(__xludf.DUMMYFUNCTION("""COMPUTED_VALUE"""),"")</f>
        <v/>
      </c>
      <c r="D1001" s="18" t="str">
        <f ca="1">IFERROR(__xludf.DUMMYFUNCTION("""COMPUTED_VALUE"""),"")</f>
        <v/>
      </c>
      <c r="E1001" s="18" t="str">
        <f ca="1">IFERROR(__xludf.DUMMYFUNCTION("""COMPUTED_VALUE"""),"")</f>
        <v/>
      </c>
      <c r="F1001" s="18" t="str">
        <f ca="1">IFERROR(__xludf.DUMMYFUNCTION("""COMPUTED_VALUE"""),"")</f>
        <v/>
      </c>
      <c r="G1001" s="18" t="str">
        <f ca="1">IFERROR(__xludf.DUMMYFUNCTION("""COMPUTED_VALUE"""),"")</f>
        <v/>
      </c>
      <c r="H1001" s="18" t="str">
        <f ca="1">IFERROR(__xludf.DUMMYFUNCTION("""COMPUTED_VALUE"""),"")</f>
        <v/>
      </c>
      <c r="I1001" s="18" t="str">
        <f ca="1">IFERROR(__xludf.DUMMYFUNCTION("""COMPUTED_VALUE"""),"")</f>
        <v/>
      </c>
      <c r="J1001" s="18" t="str">
        <f ca="1">IFERROR(__xludf.DUMMYFUNCTION("""COMPUTED_VALUE"""),"")</f>
        <v/>
      </c>
      <c r="K1001" s="18" t="str">
        <f ca="1">IFERROR(__xludf.DUMMYFUNCTION("""COMPUTED_VALUE"""),"")</f>
        <v/>
      </c>
      <c r="L1001" s="18" t="str">
        <f ca="1">IFERROR(__xludf.DUMMYFUNCTION("""COMPUTED_VALUE"""),"")</f>
        <v/>
      </c>
      <c r="M1001" s="18" t="str">
        <f ca="1">IFERROR(__xludf.DUMMYFUNCTION("""COMPUTED_VALUE"""),"")</f>
        <v/>
      </c>
      <c r="N1001" s="18" t="str">
        <f ca="1">IFERROR(__xludf.DUMMYFUNCTION("""COMPUTED_VALUE"""),"")</f>
        <v/>
      </c>
      <c r="O1001" s="18" t="str">
        <f ca="1">IFERROR(__xludf.DUMMYFUNCTION("""COMPUTED_VALUE"""),"")</f>
        <v/>
      </c>
      <c r="P1001" s="18" t="str">
        <f ca="1">IFERROR(__xludf.DUMMYFUNCTION("""COMPUTED_VALUE"""),"")</f>
        <v/>
      </c>
      <c r="Q1001" s="18" t="str">
        <f ca="1">IFERROR(__xludf.DUMMYFUNCTION("""COMPUTED_VALUE"""),"")</f>
        <v/>
      </c>
      <c r="R1001" s="18" t="str">
        <f ca="1">IFERROR(__xludf.DUMMYFUNCTION("""COMPUTED_VALUE"""),"")</f>
        <v/>
      </c>
      <c r="S1001" s="18" t="str">
        <f ca="1">IFERROR(__xludf.DUMMYFUNCTION("""COMPUTED_VALUE"""),"")</f>
        <v/>
      </c>
      <c r="T1001" s="18" t="str">
        <f ca="1">IFERROR(__xludf.DUMMYFUNCTION("""COMPUTED_VALUE"""),"")</f>
        <v/>
      </c>
      <c r="U1001" s="18" t="str">
        <f ca="1">IFERROR(__xludf.DUMMYFUNCTION("""COMPUTED_VALUE"""),"")</f>
        <v/>
      </c>
      <c r="V1001" s="18" t="str">
        <f ca="1">IFERROR(__xludf.DUMMYFUNCTION("""COMPUTED_VALUE"""),"")</f>
        <v/>
      </c>
      <c r="W1001" s="18" t="str">
        <f ca="1">IFERROR(__xludf.DUMMYFUNCTION("""COMPUTED_VALUE"""),"")</f>
        <v/>
      </c>
      <c r="X1001" s="18" t="str">
        <f ca="1">IFERROR(__xludf.DUMMYFUNCTION("""COMPUTED_VALUE"""),"")</f>
        <v/>
      </c>
      <c r="Y1001" s="18" t="e">
        <f ca="1"/>
        <v>#NAME?</v>
      </c>
      <c r="Z1001" s="18" t="str">
        <f ca="1">IFERROR(__xludf.DUMMYFUNCTION("""COMPUTED_VALUE"""),"")</f>
        <v/>
      </c>
      <c r="AA1001" s="18" t="str">
        <f ca="1">IFERROR(__xludf.DUMMYFUNCTION("""COMPUTED_VALUE"""),"")</f>
        <v/>
      </c>
      <c r="AC1001" s="59"/>
    </row>
    <row r="1002" spans="1:29" x14ac:dyDescent="0.25">
      <c r="A1002" s="18">
        <v>0</v>
      </c>
      <c r="B1002" s="52" t="str">
        <f ca="1"/>
        <v/>
      </c>
      <c r="C1002" s="52" t="str">
        <f ca="1">IFERROR(__xludf.DUMMYFUNCTION("""COMPUTED_VALUE"""),"")</f>
        <v/>
      </c>
      <c r="D1002" s="18" t="str">
        <f ca="1">IFERROR(__xludf.DUMMYFUNCTION("""COMPUTED_VALUE"""),"")</f>
        <v/>
      </c>
      <c r="E1002" s="18" t="str">
        <f ca="1">IFERROR(__xludf.DUMMYFUNCTION("""COMPUTED_VALUE"""),"")</f>
        <v/>
      </c>
      <c r="F1002" s="18" t="str">
        <f ca="1">IFERROR(__xludf.DUMMYFUNCTION("""COMPUTED_VALUE"""),"")</f>
        <v/>
      </c>
      <c r="G1002" s="18" t="str">
        <f ca="1">IFERROR(__xludf.DUMMYFUNCTION("""COMPUTED_VALUE"""),"")</f>
        <v/>
      </c>
      <c r="H1002" s="18" t="str">
        <f ca="1">IFERROR(__xludf.DUMMYFUNCTION("""COMPUTED_VALUE"""),"")</f>
        <v/>
      </c>
      <c r="I1002" s="18" t="str">
        <f ca="1">IFERROR(__xludf.DUMMYFUNCTION("""COMPUTED_VALUE"""),"")</f>
        <v/>
      </c>
      <c r="J1002" s="18" t="str">
        <f ca="1">IFERROR(__xludf.DUMMYFUNCTION("""COMPUTED_VALUE"""),"")</f>
        <v/>
      </c>
      <c r="K1002" s="18" t="str">
        <f ca="1">IFERROR(__xludf.DUMMYFUNCTION("""COMPUTED_VALUE"""),"")</f>
        <v/>
      </c>
      <c r="L1002" s="18" t="str">
        <f ca="1">IFERROR(__xludf.DUMMYFUNCTION("""COMPUTED_VALUE"""),"")</f>
        <v/>
      </c>
      <c r="M1002" s="18" t="str">
        <f ca="1">IFERROR(__xludf.DUMMYFUNCTION("""COMPUTED_VALUE"""),"")</f>
        <v/>
      </c>
      <c r="N1002" s="18" t="str">
        <f ca="1">IFERROR(__xludf.DUMMYFUNCTION("""COMPUTED_VALUE"""),"")</f>
        <v/>
      </c>
      <c r="O1002" s="18" t="str">
        <f ca="1">IFERROR(__xludf.DUMMYFUNCTION("""COMPUTED_VALUE"""),"")</f>
        <v/>
      </c>
      <c r="P1002" s="18" t="str">
        <f ca="1">IFERROR(__xludf.DUMMYFUNCTION("""COMPUTED_VALUE"""),"")</f>
        <v/>
      </c>
      <c r="Q1002" s="18" t="str">
        <f ca="1">IFERROR(__xludf.DUMMYFUNCTION("""COMPUTED_VALUE"""),"")</f>
        <v/>
      </c>
      <c r="R1002" s="18" t="str">
        <f ca="1">IFERROR(__xludf.DUMMYFUNCTION("""COMPUTED_VALUE"""),"")</f>
        <v/>
      </c>
      <c r="S1002" s="18" t="str">
        <f ca="1">IFERROR(__xludf.DUMMYFUNCTION("""COMPUTED_VALUE"""),"")</f>
        <v/>
      </c>
      <c r="T1002" s="18" t="str">
        <f ca="1">IFERROR(__xludf.DUMMYFUNCTION("""COMPUTED_VALUE"""),"")</f>
        <v/>
      </c>
      <c r="U1002" s="18" t="str">
        <f ca="1">IFERROR(__xludf.DUMMYFUNCTION("""COMPUTED_VALUE"""),"")</f>
        <v/>
      </c>
      <c r="V1002" s="18" t="str">
        <f ca="1">IFERROR(__xludf.DUMMYFUNCTION("""COMPUTED_VALUE"""),"")</f>
        <v/>
      </c>
      <c r="W1002" s="18" t="str">
        <f ca="1">IFERROR(__xludf.DUMMYFUNCTION("""COMPUTED_VALUE"""),"")</f>
        <v/>
      </c>
      <c r="X1002" s="18" t="str">
        <f ca="1">IFERROR(__xludf.DUMMYFUNCTION("""COMPUTED_VALUE"""),"")</f>
        <v/>
      </c>
      <c r="Y1002" s="18" t="e">
        <f ca="1"/>
        <v>#NAME?</v>
      </c>
      <c r="Z1002" s="18" t="str">
        <f ca="1">IFERROR(__xludf.DUMMYFUNCTION("""COMPUTED_VALUE"""),"")</f>
        <v/>
      </c>
      <c r="AA1002" s="18" t="str">
        <f ca="1">IFERROR(__xludf.DUMMYFUNCTION("""COMPUTED_VALUE"""),"")</f>
        <v/>
      </c>
      <c r="AC1002" s="59"/>
    </row>
    <row r="1003" spans="1:29" x14ac:dyDescent="0.25">
      <c r="A1003" s="18">
        <v>0</v>
      </c>
      <c r="B1003" s="52" t="str">
        <f ca="1"/>
        <v/>
      </c>
      <c r="C1003" s="52" t="str">
        <f ca="1">IFERROR(__xludf.DUMMYFUNCTION("""COMPUTED_VALUE"""),"")</f>
        <v/>
      </c>
      <c r="D1003" s="18" t="str">
        <f ca="1">IFERROR(__xludf.DUMMYFUNCTION("""COMPUTED_VALUE"""),"")</f>
        <v/>
      </c>
      <c r="E1003" s="18" t="str">
        <f ca="1">IFERROR(__xludf.DUMMYFUNCTION("""COMPUTED_VALUE"""),"")</f>
        <v/>
      </c>
      <c r="F1003" s="18" t="str">
        <f ca="1">IFERROR(__xludf.DUMMYFUNCTION("""COMPUTED_VALUE"""),"")</f>
        <v/>
      </c>
      <c r="G1003" s="18" t="str">
        <f ca="1">IFERROR(__xludf.DUMMYFUNCTION("""COMPUTED_VALUE"""),"")</f>
        <v/>
      </c>
      <c r="H1003" s="18" t="str">
        <f ca="1">IFERROR(__xludf.DUMMYFUNCTION("""COMPUTED_VALUE"""),"")</f>
        <v/>
      </c>
      <c r="I1003" s="18" t="str">
        <f ca="1">IFERROR(__xludf.DUMMYFUNCTION("""COMPUTED_VALUE"""),"")</f>
        <v/>
      </c>
      <c r="J1003" s="18" t="str">
        <f ca="1">IFERROR(__xludf.DUMMYFUNCTION("""COMPUTED_VALUE"""),"")</f>
        <v/>
      </c>
      <c r="K1003" s="18" t="str">
        <f ca="1">IFERROR(__xludf.DUMMYFUNCTION("""COMPUTED_VALUE"""),"")</f>
        <v/>
      </c>
      <c r="L1003" s="18" t="str">
        <f ca="1">IFERROR(__xludf.DUMMYFUNCTION("""COMPUTED_VALUE"""),"")</f>
        <v/>
      </c>
      <c r="M1003" s="18" t="str">
        <f ca="1">IFERROR(__xludf.DUMMYFUNCTION("""COMPUTED_VALUE"""),"")</f>
        <v/>
      </c>
      <c r="N1003" s="18" t="str">
        <f ca="1">IFERROR(__xludf.DUMMYFUNCTION("""COMPUTED_VALUE"""),"")</f>
        <v/>
      </c>
      <c r="O1003" s="18" t="str">
        <f ca="1">IFERROR(__xludf.DUMMYFUNCTION("""COMPUTED_VALUE"""),"")</f>
        <v/>
      </c>
      <c r="P1003" s="18" t="str">
        <f ca="1">IFERROR(__xludf.DUMMYFUNCTION("""COMPUTED_VALUE"""),"")</f>
        <v/>
      </c>
      <c r="Q1003" s="18" t="str">
        <f ca="1">IFERROR(__xludf.DUMMYFUNCTION("""COMPUTED_VALUE"""),"")</f>
        <v/>
      </c>
      <c r="R1003" s="18" t="str">
        <f ca="1">IFERROR(__xludf.DUMMYFUNCTION("""COMPUTED_VALUE"""),"")</f>
        <v/>
      </c>
      <c r="S1003" s="18" t="str">
        <f ca="1">IFERROR(__xludf.DUMMYFUNCTION("""COMPUTED_VALUE"""),"")</f>
        <v/>
      </c>
      <c r="T1003" s="18" t="str">
        <f ca="1">IFERROR(__xludf.DUMMYFUNCTION("""COMPUTED_VALUE"""),"")</f>
        <v/>
      </c>
      <c r="U1003" s="18" t="str">
        <f ca="1">IFERROR(__xludf.DUMMYFUNCTION("""COMPUTED_VALUE"""),"")</f>
        <v/>
      </c>
      <c r="V1003" s="18" t="str">
        <f ca="1">IFERROR(__xludf.DUMMYFUNCTION("""COMPUTED_VALUE"""),"")</f>
        <v/>
      </c>
      <c r="W1003" s="18" t="str">
        <f ca="1">IFERROR(__xludf.DUMMYFUNCTION("""COMPUTED_VALUE"""),"")</f>
        <v/>
      </c>
      <c r="X1003" s="18" t="str">
        <f ca="1">IFERROR(__xludf.DUMMYFUNCTION("""COMPUTED_VALUE"""),"")</f>
        <v/>
      </c>
      <c r="Y1003" s="18" t="e">
        <f ca="1"/>
        <v>#NAME?</v>
      </c>
      <c r="Z1003" s="18" t="str">
        <f ca="1">IFERROR(__xludf.DUMMYFUNCTION("""COMPUTED_VALUE"""),"")</f>
        <v/>
      </c>
      <c r="AA1003" s="18" t="str">
        <f ca="1">IFERROR(__xludf.DUMMYFUNCTION("""COMPUTED_VALUE"""),"")</f>
        <v/>
      </c>
      <c r="AC1003" s="59"/>
    </row>
  </sheetData>
  <dataValidations count="1">
    <dataValidation type="list" allowBlank="1" sqref="C2" xr:uid="{6308B432-596F-3C4C-AA29-758FBEE9B438}">
      <formula1>$AC$3:$AP$3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30CD-37A5-4631-BCA5-5C41DA45C9D3}">
  <dimension ref="A1:J40"/>
  <sheetViews>
    <sheetView workbookViewId="0">
      <selection activeCell="C6" sqref="C6"/>
    </sheetView>
  </sheetViews>
  <sheetFormatPr defaultRowHeight="15.75" x14ac:dyDescent="0.25"/>
  <cols>
    <col min="1" max="1" width="27.375" customWidth="1"/>
    <col min="2" max="2" width="21.875" customWidth="1"/>
    <col min="3" max="5" width="16.25" customWidth="1"/>
    <col min="6" max="6" width="31" customWidth="1"/>
    <col min="7" max="10" width="16.25" customWidth="1"/>
  </cols>
  <sheetData>
    <row r="1" spans="1:10" x14ac:dyDescent="0.25">
      <c r="B1" s="61" t="s">
        <v>1521</v>
      </c>
      <c r="C1" s="61" t="s">
        <v>1522</v>
      </c>
      <c r="D1" s="61" t="s">
        <v>1523</v>
      </c>
      <c r="E1" s="61" t="s">
        <v>1524</v>
      </c>
      <c r="F1" s="61" t="s">
        <v>1525</v>
      </c>
      <c r="G1" s="61"/>
      <c r="H1" s="61"/>
      <c r="I1" s="61"/>
      <c r="J1" s="61"/>
    </row>
    <row r="2" spans="1:10" x14ac:dyDescent="0.25">
      <c r="A2" s="61" t="s">
        <v>1526</v>
      </c>
      <c r="B2" t="s">
        <v>1527</v>
      </c>
      <c r="C2" t="s">
        <v>1522</v>
      </c>
      <c r="D2" t="s">
        <v>1528</v>
      </c>
      <c r="E2" t="s">
        <v>1529</v>
      </c>
      <c r="F2" t="s">
        <v>1528</v>
      </c>
    </row>
    <row r="3" spans="1:10" x14ac:dyDescent="0.25">
      <c r="A3" s="61" t="s">
        <v>1530</v>
      </c>
      <c r="B3" t="s">
        <v>1527</v>
      </c>
      <c r="C3" t="s">
        <v>1522</v>
      </c>
      <c r="D3" t="s">
        <v>1528</v>
      </c>
      <c r="E3" t="s">
        <v>1531</v>
      </c>
      <c r="F3" t="s">
        <v>1532</v>
      </c>
    </row>
    <row r="4" spans="1:10" x14ac:dyDescent="0.25">
      <c r="A4" s="61" t="s">
        <v>1533</v>
      </c>
      <c r="B4" t="s">
        <v>1527</v>
      </c>
      <c r="C4" t="s">
        <v>1522</v>
      </c>
      <c r="D4" t="s">
        <v>1528</v>
      </c>
      <c r="E4" t="s">
        <v>1534</v>
      </c>
      <c r="F4" t="s">
        <v>1532</v>
      </c>
    </row>
    <row r="8" spans="1:10" x14ac:dyDescent="0.25">
      <c r="A8" s="61" t="s">
        <v>1535</v>
      </c>
      <c r="B8" t="s">
        <v>1536</v>
      </c>
      <c r="C8" t="s">
        <v>1537</v>
      </c>
      <c r="D8" t="s">
        <v>1538</v>
      </c>
      <c r="G8" s="61" t="s">
        <v>1539</v>
      </c>
    </row>
    <row r="9" spans="1:10" x14ac:dyDescent="0.25">
      <c r="A9" t="s">
        <v>1522</v>
      </c>
      <c r="G9" t="s">
        <v>1527</v>
      </c>
    </row>
    <row r="10" spans="1:10" x14ac:dyDescent="0.25">
      <c r="A10" t="s">
        <v>1523</v>
      </c>
      <c r="G10" t="s">
        <v>1540</v>
      </c>
    </row>
    <row r="11" spans="1:10" x14ac:dyDescent="0.25">
      <c r="A11" t="s">
        <v>1521</v>
      </c>
    </row>
    <row r="12" spans="1:10" x14ac:dyDescent="0.25">
      <c r="A12" t="s">
        <v>1541</v>
      </c>
    </row>
    <row r="13" spans="1:10" x14ac:dyDescent="0.25">
      <c r="A13" t="s">
        <v>1542</v>
      </c>
      <c r="G13" s="61" t="s">
        <v>1543</v>
      </c>
    </row>
    <row r="14" spans="1:10" x14ac:dyDescent="0.25">
      <c r="A14" t="s">
        <v>1544</v>
      </c>
      <c r="G14" t="s">
        <v>1545</v>
      </c>
    </row>
    <row r="15" spans="1:10" x14ac:dyDescent="0.25">
      <c r="A15" t="s">
        <v>1546</v>
      </c>
      <c r="G15" t="s">
        <v>1547</v>
      </c>
    </row>
    <row r="16" spans="1:10" x14ac:dyDescent="0.25">
      <c r="A16" t="s">
        <v>1548</v>
      </c>
      <c r="G16" t="s">
        <v>1549</v>
      </c>
    </row>
    <row r="17" spans="1:6" x14ac:dyDescent="0.25">
      <c r="A17" t="s">
        <v>1524</v>
      </c>
    </row>
    <row r="18" spans="1:6" x14ac:dyDescent="0.25">
      <c r="A18" t="s">
        <v>1525</v>
      </c>
    </row>
    <row r="19" spans="1:6" x14ac:dyDescent="0.25">
      <c r="A19" t="s">
        <v>1550</v>
      </c>
    </row>
    <row r="20" spans="1:6" x14ac:dyDescent="0.25">
      <c r="A20" t="s">
        <v>1551</v>
      </c>
    </row>
    <row r="21" spans="1:6" x14ac:dyDescent="0.25">
      <c r="A21" t="s">
        <v>1552</v>
      </c>
    </row>
    <row r="24" spans="1:6" x14ac:dyDescent="0.25">
      <c r="A24" s="61" t="s">
        <v>1553</v>
      </c>
    </row>
    <row r="25" spans="1:6" x14ac:dyDescent="0.25">
      <c r="A25" t="s">
        <v>1554</v>
      </c>
      <c r="B25" t="s">
        <v>1555</v>
      </c>
    </row>
    <row r="26" spans="1:6" x14ac:dyDescent="0.25">
      <c r="A26" t="s">
        <v>1556</v>
      </c>
      <c r="B26" t="s">
        <v>1557</v>
      </c>
    </row>
    <row r="27" spans="1:6" x14ac:dyDescent="0.25">
      <c r="A27" t="s">
        <v>1558</v>
      </c>
      <c r="B27" t="s">
        <v>1559</v>
      </c>
    </row>
    <row r="29" spans="1:6" x14ac:dyDescent="0.25">
      <c r="A29" s="61" t="s">
        <v>1560</v>
      </c>
      <c r="F29" s="61" t="s">
        <v>1561</v>
      </c>
    </row>
    <row r="30" spans="1:6" x14ac:dyDescent="0.25">
      <c r="A30" t="s">
        <v>1562</v>
      </c>
      <c r="B30" t="s">
        <v>1563</v>
      </c>
      <c r="F30" t="s">
        <v>1564</v>
      </c>
    </row>
    <row r="31" spans="1:6" x14ac:dyDescent="0.25">
      <c r="F31" t="s">
        <v>1565</v>
      </c>
    </row>
    <row r="32" spans="1:6" x14ac:dyDescent="0.25">
      <c r="F32" t="s">
        <v>1566</v>
      </c>
    </row>
    <row r="33" spans="1:9" x14ac:dyDescent="0.25">
      <c r="F33" t="s">
        <v>1567</v>
      </c>
    </row>
    <row r="34" spans="1:9" x14ac:dyDescent="0.25">
      <c r="F34" t="s">
        <v>1568</v>
      </c>
    </row>
    <row r="35" spans="1:9" x14ac:dyDescent="0.25">
      <c r="F35" t="s">
        <v>1569</v>
      </c>
    </row>
    <row r="38" spans="1:9" x14ac:dyDescent="0.25">
      <c r="A38" t="s">
        <v>1570</v>
      </c>
      <c r="B38" t="s">
        <v>1571</v>
      </c>
    </row>
    <row r="39" spans="1:9" x14ac:dyDescent="0.25">
      <c r="A39" t="s">
        <v>1572</v>
      </c>
      <c r="B39" t="s">
        <v>1573</v>
      </c>
    </row>
    <row r="40" spans="1:9" x14ac:dyDescent="0.25">
      <c r="A40" t="s">
        <v>1574</v>
      </c>
      <c r="B40" t="s">
        <v>1575</v>
      </c>
      <c r="G40" s="18"/>
      <c r="H40" s="18"/>
      <c r="I40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6D5990E36C8419D89F3A6431C88AA" ma:contentTypeVersion="15" ma:contentTypeDescription="Create a new document." ma:contentTypeScope="" ma:versionID="eee807110a0d5830f1df8605479a6471">
  <xsd:schema xmlns:xsd="http://www.w3.org/2001/XMLSchema" xmlns:xs="http://www.w3.org/2001/XMLSchema" xmlns:p="http://schemas.microsoft.com/office/2006/metadata/properties" xmlns:ns2="78c701e3-611b-4f1a-bff7-a9100ee7f1b2" xmlns:ns3="0c5623e1-360d-4172-a44b-ca5bb1991d4f" targetNamespace="http://schemas.microsoft.com/office/2006/metadata/properties" ma:root="true" ma:fieldsID="a729436ac0ca19274e136e9ddc3f39a0" ns2:_="" ns3:_="">
    <xsd:import namespace="78c701e3-611b-4f1a-bff7-a9100ee7f1b2"/>
    <xsd:import namespace="0c5623e1-360d-4172-a44b-ca5bb1991d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701e3-611b-4f1a-bff7-a9100ee7f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2100dca-8497-4c43-82fb-c01f90b94c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623e1-360d-4172-a44b-ca5bb1991d4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2477064-7cd8-47db-be5f-72eaf5449c7d}" ma:internalName="TaxCatchAll" ma:showField="CatchAllData" ma:web="0c5623e1-360d-4172-a44b-ca5bb1991d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c701e3-611b-4f1a-bff7-a9100ee7f1b2">
      <Terms xmlns="http://schemas.microsoft.com/office/infopath/2007/PartnerControls"/>
    </lcf76f155ced4ddcb4097134ff3c332f>
    <TaxCatchAll xmlns="0c5623e1-360d-4172-a44b-ca5bb1991d4f" xsi:nil="true"/>
  </documentManagement>
</p:properties>
</file>

<file path=customXml/itemProps1.xml><?xml version="1.0" encoding="utf-8"?>
<ds:datastoreItem xmlns:ds="http://schemas.openxmlformats.org/officeDocument/2006/customXml" ds:itemID="{DB8D681E-2D00-4BD6-A04D-D01BACDA0F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FDE0CD-64CF-4C15-B4BC-218797A7A2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c701e3-611b-4f1a-bff7-a9100ee7f1b2"/>
    <ds:schemaRef ds:uri="0c5623e1-360d-4172-a44b-ca5bb1991d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D37FA8-E029-41BA-8479-D714314FE47F}">
  <ds:schemaRefs>
    <ds:schemaRef ds:uri="0c5623e1-360d-4172-a44b-ca5bb1991d4f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78c701e3-611b-4f1a-bff7-a9100ee7f1b2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model</vt:lpstr>
      <vt:lpstr>data model raw</vt:lpstr>
      <vt:lpstr>Various Commands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Sobieski</dc:creator>
  <cp:keywords/>
  <dc:description/>
  <cp:lastModifiedBy>Devon Brown</cp:lastModifiedBy>
  <cp:revision/>
  <dcterms:created xsi:type="dcterms:W3CDTF">2024-09-03T19:49:12Z</dcterms:created>
  <dcterms:modified xsi:type="dcterms:W3CDTF">2026-07-21T18:02:17Z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0x010100A696D5990E36C8419D89F3A6431C88AA</vt:lpwstr>
  </property>
  <property fmtid="{D5CDD505-2E9C-101B-9397-08002B2CF9AE}" pid="3" name="MediaServiceImageTags">
    <vt:lpwstr/>
  </property>
</Properties>
</file>